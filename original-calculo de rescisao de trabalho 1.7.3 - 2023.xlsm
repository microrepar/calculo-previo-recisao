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drino\Documents\Pasta Pessoal\Drino Planilhas\planilhas para venda\"/>
    </mc:Choice>
  </mc:AlternateContent>
  <bookViews>
    <workbookView xWindow="360" yWindow="75" windowWidth="14235" windowHeight="8700"/>
  </bookViews>
  <sheets>
    <sheet name="Drino Planilhas" sheetId="9" r:id="rId1"/>
    <sheet name="RESCISÃO" sheetId="1" r:id="rId2"/>
    <sheet name="TABELAS" sheetId="2" r:id="rId3"/>
  </sheets>
  <externalReferences>
    <externalReference r:id="rId4"/>
    <externalReference r:id="rId5"/>
  </externalReferences>
  <definedNames>
    <definedName name="_cat2" localSheetId="0">[1]Matriz!#REF!</definedName>
    <definedName name="_cat2">[1]Matriz!#REF!</definedName>
    <definedName name="_xlnm.Print_Area" localSheetId="1">RESCISÃO!$B$5:$AM$77</definedName>
    <definedName name="_xlnm.Print_Area" localSheetId="2">TABELAS!#REF!</definedName>
    <definedName name="categoria" localSheetId="0">'[1]Cadastro Produtos'!#REF!</definedName>
    <definedName name="categoria">'[1]Cadastro Produtos'!#REF!</definedName>
    <definedName name="CC" localSheetId="0">#REF!</definedName>
    <definedName name="CC">#REF!</definedName>
    <definedName name="codigo2" localSheetId="0">[1]Matriz!#REF!</definedName>
    <definedName name="codigo2">[1]Matriz!#REF!</definedName>
    <definedName name="codigocat" localSheetId="0">'[1]Cadastro Produtos'!#REF!</definedName>
    <definedName name="codigocat">'[1]Cadastro Produtos'!#REF!</definedName>
    <definedName name="DATA_INICIAL" localSheetId="0">#REF!</definedName>
    <definedName name="DATA_INICIAL">#REF!</definedName>
    <definedName name="data64" localSheetId="0">#REF!</definedName>
    <definedName name="data64">#REF!</definedName>
    <definedName name="data65" localSheetId="0">#REF!</definedName>
    <definedName name="data65">#REF!</definedName>
    <definedName name="DAYINDX" localSheetId="0">#REF!</definedName>
    <definedName name="DAYINDX">#REF!</definedName>
    <definedName name="Empregado" localSheetId="0">#REF!</definedName>
    <definedName name="Empregado">#REF!</definedName>
    <definedName name="HTML_CodePage" hidden="1">1252</definedName>
    <definedName name="HTML_Control" localSheetId="0" hidden="1">{"'Menu'!$A$1:$L$22","'Menu'!$H$1"}</definedName>
    <definedName name="HTML_Control" hidden="1">{"'Menu'!$A$1:$L$22","'Menu'!$H$1"}</definedName>
    <definedName name="HTML_Description" hidden="1">""</definedName>
    <definedName name="HTML_Email" hidden="1">""</definedName>
    <definedName name="HTML_Header" hidden="1">"Menu"</definedName>
    <definedName name="HTML_LastUpdate" hidden="1">"31/05/04"</definedName>
    <definedName name="HTML_LineAfter" hidden="1">FALSE</definedName>
    <definedName name="HTML_LineBefore" hidden="1">FALSE</definedName>
    <definedName name="HTML_Name" hidden="1">"LUCIMARA"</definedName>
    <definedName name="HTML_OBDlg2" hidden="1">TRUE</definedName>
    <definedName name="HTML_OBDlg4" hidden="1">TRUE</definedName>
    <definedName name="HTML_OS" hidden="1">0</definedName>
    <definedName name="HTML_PathFile" hidden="1">"C:\Meus documentos\MeuHTML.htm"</definedName>
    <definedName name="HTML_Title" hidden="1">"Menu Principal"</definedName>
    <definedName name="linha10" localSheetId="0">'[1]Cadastro Produtos'!#REF!</definedName>
    <definedName name="linha10">'[1]Cadastro Produtos'!#REF!</definedName>
    <definedName name="linha11" localSheetId="0">'[1]Cadastro Produtos'!#REF!</definedName>
    <definedName name="linha11">'[1]Cadastro Produtos'!#REF!</definedName>
    <definedName name="linha12" localSheetId="0">'[1]Cadastro Produtos'!#REF!</definedName>
    <definedName name="linha12">'[1]Cadastro Produtos'!#REF!</definedName>
    <definedName name="linha13" localSheetId="0">'[1]Cadastro Produtos'!#REF!</definedName>
    <definedName name="linha13">'[1]Cadastro Produtos'!#REF!</definedName>
    <definedName name="linha14" localSheetId="0">'[1]Cadastro Produtos'!#REF!</definedName>
    <definedName name="linha14">'[1]Cadastro Produtos'!#REF!</definedName>
    <definedName name="linha15">'[1]Cadastro Produtos'!#REF!</definedName>
    <definedName name="linha16">'[1]Cadastro Produtos'!#REF!</definedName>
    <definedName name="linha17">'[1]Cadastro Produtos'!#REF!</definedName>
    <definedName name="linha18">'[1]Cadastro Produtos'!#REF!</definedName>
    <definedName name="linha19">'[1]Cadastro Produtos'!#REF!</definedName>
    <definedName name="linha20">'[1]Cadastro Produtos'!#REF!</definedName>
    <definedName name="linha7">'[1]Cadastro Produtos'!#REF!</definedName>
    <definedName name="linha8">'[1]Cadastro Produtos'!#REF!</definedName>
    <definedName name="linha9">'[1]Cadastro Produtos'!#REF!</definedName>
    <definedName name="produto2">[1]Matriz!#REF!</definedName>
    <definedName name="recebimento" localSheetId="0">#REF!</definedName>
    <definedName name="recebimento">#REF!</definedName>
    <definedName name="VALOR_HORA" localSheetId="0">#REF!</definedName>
    <definedName name="VALOR_HORA">#REF!</definedName>
    <definedName name="VALORT">[2]Janeiro!$L$7:$L$8,[2]Janeiro!#REF!</definedName>
  </definedNames>
  <calcPr calcId="152511"/>
</workbook>
</file>

<file path=xl/calcChain.xml><?xml version="1.0" encoding="utf-8"?>
<calcChain xmlns="http://schemas.openxmlformats.org/spreadsheetml/2006/main">
  <c r="P93" i="1" l="1"/>
  <c r="P94" i="1"/>
  <c r="P95" i="1"/>
  <c r="I98" i="1"/>
  <c r="G98" i="1"/>
  <c r="G97" i="1"/>
  <c r="F115" i="1"/>
  <c r="H118" i="1"/>
  <c r="G118" i="1"/>
  <c r="Q104" i="1"/>
  <c r="G94" i="1"/>
  <c r="H17" i="2"/>
  <c r="H18" i="2" s="1"/>
  <c r="R111" i="1" s="1"/>
  <c r="D9" i="2"/>
  <c r="O101" i="1" s="1"/>
  <c r="G89" i="1"/>
  <c r="F91" i="1"/>
  <c r="AG83" i="1"/>
  <c r="L42" i="1"/>
  <c r="E119" i="1" s="1"/>
  <c r="X87" i="1"/>
  <c r="X82" i="1"/>
  <c r="X83" i="1"/>
  <c r="X84" i="1" s="1"/>
  <c r="X85" i="1"/>
  <c r="X86" i="1" s="1"/>
  <c r="D8" i="2"/>
  <c r="D10" i="2"/>
  <c r="O102" i="1" s="1"/>
  <c r="D11" i="2"/>
  <c r="O103" i="1" s="1"/>
  <c r="C17" i="2"/>
  <c r="C18" i="2"/>
  <c r="C19" i="2"/>
  <c r="E20" i="2"/>
  <c r="C27" i="2"/>
  <c r="E28" i="2"/>
  <c r="AE18" i="1"/>
  <c r="C21" i="1"/>
  <c r="M28" i="1"/>
  <c r="AE29" i="1"/>
  <c r="I32" i="1"/>
  <c r="M32" i="1"/>
  <c r="C33" i="1"/>
  <c r="M33" i="1"/>
  <c r="M34" i="1"/>
  <c r="V74" i="1"/>
  <c r="F80" i="1"/>
  <c r="AE28" i="1" s="1"/>
  <c r="G80" i="1"/>
  <c r="F85" i="1"/>
  <c r="F88" i="1"/>
  <c r="F89" i="1"/>
  <c r="F90" i="1"/>
  <c r="H90" i="1"/>
  <c r="H91" i="1" s="1"/>
  <c r="O93" i="1"/>
  <c r="O95" i="1" s="1"/>
  <c r="O96" i="1" s="1"/>
  <c r="G100" i="1" s="1"/>
  <c r="O94" i="1"/>
  <c r="G96" i="1"/>
  <c r="O97" i="1"/>
  <c r="P97" i="1"/>
  <c r="N96" i="1" s="1"/>
  <c r="F98" i="1"/>
  <c r="F99" i="1" s="1"/>
  <c r="G99" i="1" s="1"/>
  <c r="F102" i="1" s="1"/>
  <c r="Q100" i="1"/>
  <c r="Q101" i="1"/>
  <c r="Q102" i="1"/>
  <c r="Q103" i="1"/>
  <c r="O104" i="1"/>
  <c r="F106" i="1"/>
  <c r="F107" i="1"/>
  <c r="G106" i="1" s="1"/>
  <c r="G107" i="1"/>
  <c r="E109" i="1"/>
  <c r="E110" i="1"/>
  <c r="G104" i="1" s="1"/>
  <c r="H104" i="1" s="1"/>
  <c r="E111" i="1"/>
  <c r="E112" i="1"/>
  <c r="O109" i="1"/>
  <c r="Q109" i="1"/>
  <c r="O110" i="1"/>
  <c r="Q110" i="1"/>
  <c r="O111" i="1"/>
  <c r="Q111" i="1"/>
  <c r="T111" i="1"/>
  <c r="O112" i="1"/>
  <c r="Q112" i="1"/>
  <c r="T112" i="1"/>
  <c r="O113" i="1"/>
  <c r="Q113" i="1"/>
  <c r="T113" i="1"/>
  <c r="F114" i="1"/>
  <c r="F116" i="1" s="1"/>
  <c r="R116" i="1"/>
  <c r="T116" i="1"/>
  <c r="E120" i="1"/>
  <c r="F120" i="1" s="1"/>
  <c r="E121" i="1"/>
  <c r="F121" i="1" s="1"/>
  <c r="G121" i="1" s="1"/>
  <c r="P33" i="1" s="1"/>
  <c r="T109" i="1" s="1"/>
  <c r="Q121" i="1"/>
  <c r="E122" i="1"/>
  <c r="N131" i="1"/>
  <c r="N133" i="1" s="1"/>
  <c r="N132" i="1"/>
  <c r="AH28" i="1"/>
  <c r="T117" i="1" s="1"/>
  <c r="F122" i="1"/>
  <c r="M30" i="1"/>
  <c r="G122" i="1"/>
  <c r="AH29" i="1" s="1"/>
  <c r="T118" i="1" s="1"/>
  <c r="R110" i="1" l="1"/>
  <c r="H19" i="2"/>
  <c r="H20" i="2" s="1"/>
  <c r="R113" i="1" s="1"/>
  <c r="F11" i="2"/>
  <c r="O100" i="1"/>
  <c r="R112" i="1"/>
  <c r="M24" i="1"/>
  <c r="P24" i="1"/>
  <c r="G101" i="1"/>
  <c r="H89" i="1"/>
  <c r="H88" i="1" s="1"/>
  <c r="G90" i="1"/>
  <c r="F118" i="1"/>
  <c r="G120" i="1" s="1"/>
  <c r="P32" i="1" s="1"/>
  <c r="T108" i="1" s="1"/>
  <c r="AE41" i="1"/>
  <c r="P28" i="1"/>
  <c r="G79" i="1"/>
  <c r="V121" i="1"/>
  <c r="AB121" i="1"/>
  <c r="G91" i="1"/>
  <c r="G92" i="1"/>
  <c r="H92" i="1" s="1"/>
  <c r="H93" i="1" s="1"/>
  <c r="AE42" i="1" s="1"/>
  <c r="G102" i="1"/>
  <c r="G103" i="1" s="1"/>
  <c r="G105" i="1"/>
  <c r="M27" i="1"/>
  <c r="P30" i="1"/>
  <c r="V106" i="1" s="1"/>
  <c r="P27" i="1"/>
  <c r="U103" i="1" s="1"/>
  <c r="F109" i="1"/>
  <c r="C67" i="1" l="1"/>
  <c r="F108" i="1"/>
  <c r="F105" i="1"/>
  <c r="O88" i="1"/>
  <c r="P88" i="1" s="1"/>
  <c r="Q88" i="1" s="1"/>
  <c r="O90" i="1"/>
  <c r="P90" i="1" s="1"/>
  <c r="O91" i="1"/>
  <c r="O89" i="1"/>
  <c r="P89" i="1" s="1"/>
  <c r="M120" i="1"/>
  <c r="O122" i="1"/>
  <c r="H105" i="1"/>
  <c r="V104" i="1"/>
  <c r="P26" i="1"/>
  <c r="U102" i="1" s="1"/>
  <c r="M26" i="1"/>
  <c r="P25" i="1"/>
  <c r="M25" i="1"/>
  <c r="X88" i="1"/>
  <c r="P34" i="1" s="1"/>
  <c r="T100" i="1"/>
  <c r="L43" i="1"/>
  <c r="E100" i="1"/>
  <c r="T110" i="1" l="1"/>
  <c r="L44" i="1"/>
  <c r="V46" i="1"/>
  <c r="V38" i="1"/>
  <c r="V56" i="1" s="1"/>
  <c r="V60" i="1" s="1"/>
  <c r="E106" i="1"/>
  <c r="E105" i="1"/>
  <c r="E104" i="1" s="1"/>
  <c r="E107" i="1"/>
  <c r="F104" i="1" s="1"/>
  <c r="G108" i="1"/>
  <c r="O92" i="1"/>
  <c r="G110" i="1"/>
  <c r="F110" i="1" s="1"/>
  <c r="F111" i="1" s="1"/>
  <c r="P99" i="1"/>
  <c r="Q106" i="1" s="1"/>
  <c r="AE24" i="1" s="1"/>
  <c r="C61" i="1"/>
  <c r="L46" i="1"/>
  <c r="L45" i="1"/>
  <c r="S120" i="1"/>
  <c r="E101" i="1"/>
  <c r="U101" i="1"/>
  <c r="AB120" i="1" s="1"/>
  <c r="AB122" i="1" s="1"/>
  <c r="P120" i="1"/>
  <c r="M121" i="1"/>
  <c r="P121" i="1" s="1"/>
  <c r="F100" i="1" l="1"/>
  <c r="AH24" i="1" s="1"/>
  <c r="S122" i="1" s="1"/>
  <c r="F112" i="1"/>
  <c r="G111" i="1"/>
  <c r="E113" i="1"/>
  <c r="Q120" i="1"/>
  <c r="U135" i="1" s="1"/>
  <c r="P122" i="1" s="1"/>
  <c r="U136" i="1" s="1"/>
  <c r="AE43" i="1" s="1"/>
  <c r="V63" i="1"/>
  <c r="V73" i="1"/>
  <c r="Q99" i="1"/>
  <c r="Q107" i="1" s="1"/>
  <c r="AE25" i="1" s="1"/>
  <c r="U124" i="1"/>
  <c r="T132" i="1" l="1"/>
  <c r="U125" i="1"/>
  <c r="Z127" i="1"/>
  <c r="AE44" i="1"/>
  <c r="V67" i="1"/>
  <c r="V69" i="1" s="1"/>
  <c r="V75" i="1" s="1"/>
  <c r="F101" i="1"/>
  <c r="AH25" i="1" s="1"/>
  <c r="F125" i="1"/>
  <c r="F126" i="1" s="1"/>
  <c r="H111" i="1"/>
  <c r="E125" i="1"/>
  <c r="E126" i="1" s="1"/>
  <c r="T124" i="1"/>
  <c r="Q127" i="1" l="1"/>
  <c r="T125" i="1"/>
  <c r="H110" i="1"/>
  <c r="G112" i="1" s="1"/>
  <c r="H113" i="1"/>
  <c r="H114" i="1" s="1"/>
  <c r="G114" i="1" s="1"/>
  <c r="E127" i="1"/>
  <c r="U133" i="1"/>
  <c r="R117" i="1"/>
  <c r="AE27" i="1"/>
  <c r="U126" i="1"/>
  <c r="U128" i="1" s="1"/>
  <c r="AH27" i="1" s="1"/>
  <c r="H112" i="1" l="1"/>
  <c r="G113" i="1"/>
  <c r="AE26" i="1"/>
  <c r="Q128" i="1"/>
  <c r="P129" i="1" s="1"/>
  <c r="Z126" i="1"/>
  <c r="Z125" i="1" s="1"/>
  <c r="AH26" i="1" s="1"/>
  <c r="AE37" i="1" s="1"/>
  <c r="M29" i="1"/>
  <c r="P29" i="1"/>
  <c r="V105" i="1" l="1"/>
  <c r="V120" i="1" s="1"/>
  <c r="V122" i="1" s="1"/>
  <c r="P31" i="1"/>
  <c r="V107" i="1" s="1"/>
  <c r="M37" i="1"/>
  <c r="M38" i="1" s="1"/>
  <c r="E103" i="1"/>
  <c r="E102" i="1" s="1"/>
  <c r="R133" i="1" s="1"/>
  <c r="R118" i="1" s="1"/>
  <c r="O131" i="1" l="1"/>
  <c r="AC48" i="1"/>
  <c r="C57" i="1"/>
  <c r="V72" i="1" s="1"/>
  <c r="V76" i="1" s="1"/>
  <c r="V124" i="1"/>
  <c r="Z128" i="1" l="1"/>
  <c r="V125" i="1"/>
  <c r="V126" i="1" s="1"/>
  <c r="R131" i="1"/>
  <c r="Q131" i="1"/>
  <c r="R119" i="1" s="1"/>
  <c r="V128" i="1" l="1"/>
</calcChain>
</file>

<file path=xl/comments1.xml><?xml version="1.0" encoding="utf-8"?>
<comments xmlns="http://schemas.openxmlformats.org/spreadsheetml/2006/main">
  <authors>
    <author>usuario</author>
  </authors>
  <commentList>
    <comment ref="C13" authorId="0" shapeId="0">
      <text>
        <r>
          <rPr>
            <sz val="10"/>
            <color indexed="56"/>
            <rFont val="Tahoma"/>
            <family val="2"/>
          </rPr>
          <t>MOTIVO DA RESCISÃO DE CONTRATO</t>
        </r>
      </text>
    </comment>
    <comment ref="C17" authorId="0" shapeId="0">
      <text>
        <r>
          <rPr>
            <sz val="10"/>
            <color indexed="56"/>
            <rFont val="Tahoma"/>
            <family val="2"/>
          </rPr>
          <t>DATA DE ADMISSÃO</t>
        </r>
      </text>
    </comment>
    <comment ref="J17" authorId="0" shapeId="0">
      <text>
        <r>
          <rPr>
            <sz val="10"/>
            <color indexed="56"/>
            <rFont val="Tahoma"/>
            <family val="2"/>
          </rPr>
          <t>DATA DE DEMISSÃO</t>
        </r>
      </text>
    </comment>
    <comment ref="Q17" authorId="0" shapeId="0">
      <text>
        <r>
          <rPr>
            <sz val="10"/>
            <color indexed="56"/>
            <rFont val="Tahoma"/>
            <family val="2"/>
          </rPr>
          <t>SALÁRIO BASE</t>
        </r>
      </text>
    </comment>
    <comment ref="X17" authorId="0" shapeId="0">
      <text>
        <r>
          <rPr>
            <sz val="10"/>
            <color indexed="56"/>
            <rFont val="Tahoma"/>
            <family val="2"/>
          </rPr>
          <t>MÉDIAS DE HORAS EXTRAS</t>
        </r>
      </text>
    </comment>
    <comment ref="AE17" authorId="0" shapeId="0">
      <text>
        <r>
          <rPr>
            <sz val="10"/>
            <color indexed="56"/>
            <rFont val="Tahoma"/>
            <family val="2"/>
          </rPr>
          <t>TIPOS DE AVISO PRÉVIO</t>
        </r>
      </text>
    </comment>
    <comment ref="C20" authorId="0" shapeId="0">
      <text>
        <r>
          <rPr>
            <sz val="10"/>
            <color indexed="56"/>
            <rFont val="Tahoma"/>
            <family val="2"/>
          </rPr>
          <t>DATA DE DEMISSÃO</t>
        </r>
      </text>
    </comment>
    <comment ref="J20" authorId="0" shapeId="0">
      <text>
        <r>
          <rPr>
            <sz val="10"/>
            <color indexed="56"/>
            <rFont val="Tahoma"/>
            <family val="2"/>
          </rPr>
          <t>INFORMAR A PORCENTAGEM DE HORAS EXTRAS NORMAIS</t>
        </r>
      </text>
    </comment>
    <comment ref="N20" authorId="0" shapeId="0">
      <text>
        <r>
          <rPr>
            <sz val="10"/>
            <color indexed="56"/>
            <rFont val="Tahoma"/>
            <family val="2"/>
          </rPr>
          <t>QUANTIDADE DE HORAS EXTRAS NORMAIS</t>
        </r>
      </text>
    </comment>
    <comment ref="U20" authorId="0" shapeId="0">
      <text>
        <r>
          <rPr>
            <sz val="10"/>
            <color indexed="56"/>
            <rFont val="Tahoma"/>
            <family val="2"/>
          </rPr>
          <t>QUANTIDADE DE HORAS EXTRAS 100%</t>
        </r>
      </text>
    </comment>
    <comment ref="AB20" authorId="0" shapeId="0">
      <text>
        <r>
          <rPr>
            <sz val="10"/>
            <color indexed="56"/>
            <rFont val="Tahoma"/>
            <family val="2"/>
          </rPr>
          <t>QUANTIDADE DE HORAS DE ATRASOS/FALTAS</t>
        </r>
      </text>
    </comment>
    <comment ref="AI20" authorId="0" shapeId="0">
      <text>
        <r>
          <rPr>
            <sz val="10"/>
            <color indexed="56"/>
            <rFont val="Tahoma"/>
            <family val="2"/>
          </rPr>
          <t>QUANTIDADE DE DEPENDENTES PARA O IMPOSTO DE RENDA</t>
        </r>
      </text>
    </comment>
    <comment ref="V38" authorId="0" shapeId="0">
      <text>
        <r>
          <rPr>
            <sz val="10"/>
            <color indexed="56"/>
            <rFont val="Tahoma"/>
            <family val="2"/>
          </rPr>
          <t>DATA LIMITE PARA PAGAMENTO DA RESCISÃO</t>
        </r>
      </text>
    </comment>
    <comment ref="L41" authorId="0" shapeId="0">
      <text>
        <r>
          <rPr>
            <sz val="10"/>
            <color indexed="56"/>
            <rFont val="Tahoma"/>
            <family val="2"/>
          </rPr>
          <t>INFORME O TOTAL DEPOSITADO NA CONTA DO FGTS</t>
        </r>
      </text>
    </comment>
  </commentList>
</comments>
</file>

<file path=xl/sharedStrings.xml><?xml version="1.0" encoding="utf-8"?>
<sst xmlns="http://schemas.openxmlformats.org/spreadsheetml/2006/main" count="166" uniqueCount="117">
  <si>
    <t>ADMISSÃO</t>
  </si>
  <si>
    <t>DEMISSÃO</t>
  </si>
  <si>
    <t>SALÁRIO BASE</t>
  </si>
  <si>
    <t>AVISO PRÉVIO</t>
  </si>
  <si>
    <t>DISPENSA DO EMPREGADO SEM JUSTA CAUSA</t>
  </si>
  <si>
    <t>PEDIDO DE DEMISSÃO POR INCIATIVA DO EMPREGADO</t>
  </si>
  <si>
    <t>TÉRMINO DE CONTRATO DE TRABALHO A TERMO</t>
  </si>
  <si>
    <t>SALDO DE SALÁRIO</t>
  </si>
  <si>
    <t>13º SALÁRIO PROP.</t>
  </si>
  <si>
    <t>13º SAL. VARIÁVEL</t>
  </si>
  <si>
    <t>FÉRIAS VENCIDAS</t>
  </si>
  <si>
    <t>FÉRIAS PROPORCIONAIS</t>
  </si>
  <si>
    <t>HORA EXTRA 100%</t>
  </si>
  <si>
    <t xml:space="preserve">HORA EXTRA </t>
  </si>
  <si>
    <t>13º SAL. INDENIZADO</t>
  </si>
  <si>
    <t>FÉRIAS INDENIZADAS</t>
  </si>
  <si>
    <t>PROVENTOS</t>
  </si>
  <si>
    <t>AVISO PRÉVIO INDEN.</t>
  </si>
  <si>
    <t>ADIANTAMENTOS</t>
  </si>
  <si>
    <t>DESCONTOS</t>
  </si>
  <si>
    <t>TOTAL DE VENCIMENTOS</t>
  </si>
  <si>
    <t>TOTAL DE DESCONTOS</t>
  </si>
  <si>
    <t>AP</t>
  </si>
  <si>
    <t>MOT</t>
  </si>
  <si>
    <t>NÃO</t>
  </si>
  <si>
    <t>SIM</t>
  </si>
  <si>
    <t>01/03</t>
  </si>
  <si>
    <t>-</t>
  </si>
  <si>
    <t>QUANTIDADE</t>
  </si>
  <si>
    <t>INDENIZADO</t>
  </si>
  <si>
    <t>DE</t>
  </si>
  <si>
    <t>ACIMA DE</t>
  </si>
  <si>
    <t>ATÉ</t>
  </si>
  <si>
    <t>ALÍQUOTA</t>
  </si>
  <si>
    <t>DEDUÇÃO</t>
  </si>
  <si>
    <t>Dep</t>
  </si>
  <si>
    <t>INSS</t>
  </si>
  <si>
    <t>FGTS DEPOSITADO</t>
  </si>
  <si>
    <t>FGTS (AVISO PRÉVIO)</t>
  </si>
  <si>
    <t>FGTS (VENCIMENTOS)</t>
  </si>
  <si>
    <t>MULTA 50% FGTS</t>
  </si>
  <si>
    <t>TOTAL CONTA FGTS</t>
  </si>
  <si>
    <t>CÁLCULO DE SEGURO DESEMPREGO</t>
  </si>
  <si>
    <t>PARCELAS</t>
  </si>
  <si>
    <t>MÉDIA SALARIAL</t>
  </si>
  <si>
    <t>CÁLCULO DE MULTA DO FGTS</t>
  </si>
  <si>
    <t>DEPEND.</t>
  </si>
  <si>
    <t>% H.E.</t>
  </si>
  <si>
    <t>FALTAS/ATRASOS</t>
  </si>
  <si>
    <t xml:space="preserve">FUNCIONÁRIO.: </t>
  </si>
  <si>
    <t xml:space="preserve">EMPRESA.....: </t>
  </si>
  <si>
    <t></t>
  </si>
  <si>
    <t>MÉDIAS H.E.</t>
  </si>
  <si>
    <t>MOTIVO......:</t>
  </si>
  <si>
    <t>FÉRIAS VENCIDAS?</t>
  </si>
  <si>
    <t>ATRASOS/FALTAS</t>
  </si>
  <si>
    <t>SEGURO</t>
  </si>
  <si>
    <t>VALOR FIXO</t>
  </si>
  <si>
    <t>Ñ TRABALHADO</t>
  </si>
  <si>
    <t>TRABALHADO</t>
  </si>
  <si>
    <t>Salário</t>
  </si>
  <si>
    <t>13º</t>
  </si>
  <si>
    <t>Férias</t>
  </si>
  <si>
    <t>Desc</t>
  </si>
  <si>
    <t>RESCISÃO + MULTA FGTS + SEGURO DESEMPREGO:</t>
  </si>
  <si>
    <t>LÍQUIDO DE RESCISÃO:</t>
  </si>
  <si>
    <t>PEDIDO DE DEMISSÃO POR INICIATIVA DO EMPREGADO</t>
  </si>
  <si>
    <t>RESCISÃO</t>
  </si>
  <si>
    <t>VALOR LÍQUIDO DA RESCISÃO:</t>
  </si>
  <si>
    <t>FUNDO DE GARANTIA</t>
  </si>
  <si>
    <t>SEGURO DESEMPREGO (VALORES ESTIMADOS):</t>
  </si>
  <si>
    <t>QUANTIDADE DE PARCELAS:</t>
  </si>
  <si>
    <t>VALOR TOTAL A RECEBER:</t>
  </si>
  <si>
    <t>RESCISÃO:</t>
  </si>
  <si>
    <t>MULTA DO FGTS:</t>
  </si>
  <si>
    <t>FGTS DEPOSITADO:</t>
  </si>
  <si>
    <t>SEGURO DESEMPREGO:</t>
  </si>
  <si>
    <t>TOTAL A RECEBER:</t>
  </si>
  <si>
    <t>SALÁRIO MÍNIMO (NACIONAL) VIGENTE</t>
  </si>
  <si>
    <t>EM DOBRO</t>
  </si>
  <si>
    <t>IMPORTANTE: VALORES SUJEITOS A VARIAÇÕES</t>
  </si>
  <si>
    <t>salário</t>
  </si>
  <si>
    <t>férias</t>
  </si>
  <si>
    <t>GRRF (CALCULAR 50%)</t>
  </si>
  <si>
    <t>GRRF (CALCULAR 40%)</t>
  </si>
  <si>
    <t>TOTAL A RECEBER (SEGURO DESEMPREGO):</t>
  </si>
  <si>
    <t>VALOR POR PARCELA:</t>
  </si>
  <si>
    <t>TOTAL DEPOSITADO NA CONTA DO FGTS:</t>
  </si>
  <si>
    <t>(DOM.)</t>
  </si>
  <si>
    <t>(SEG.)</t>
  </si>
  <si>
    <t>(TER.)</t>
  </si>
  <si>
    <t>(QUA.)</t>
  </si>
  <si>
    <t>(QUI.)</t>
  </si>
  <si>
    <t>(SEX.)</t>
  </si>
  <si>
    <t>(SÁB.)</t>
  </si>
  <si>
    <t>1/3 SOBRE FÉRIAS</t>
  </si>
  <si>
    <t>INSS SOBRE 13º SALÁRIO</t>
  </si>
  <si>
    <t>IRRF SOBRE SALÁRIO</t>
  </si>
  <si>
    <t>IRRF SOBRE 13º SALÁRIO</t>
  </si>
  <si>
    <t>VALOR POR PARCELA</t>
  </si>
  <si>
    <t>TOTAL SEGURO DESEMPREGO:</t>
  </si>
  <si>
    <t>TOTAL GUIA GRFC:</t>
  </si>
  <si>
    <t>TOTAL GRFC (SOMENTE A PARTE DO FUNCIONÁRIO):</t>
  </si>
  <si>
    <t>ATENÇÃO: Planilha com fórmulas travada. Células para preenchimento estão destravadas.</t>
  </si>
  <si>
    <t>DEDUÇÃO POR DEPENDENTE</t>
  </si>
  <si>
    <t>Adriano Rodrigues</t>
  </si>
  <si>
    <t>LIMITE</t>
  </si>
  <si>
    <r>
      <t xml:space="preserve">Para mais planilhas, acesse o meu site: </t>
    </r>
    <r>
      <rPr>
        <b/>
        <sz val="10"/>
        <color indexed="17"/>
        <rFont val="Arial"/>
        <family val="2"/>
      </rPr>
      <t>www.drinoplanilhas.com.br</t>
    </r>
  </si>
  <si>
    <t>INSS SOBRE SALDO DE SALÁRIOS</t>
  </si>
  <si>
    <r>
      <t xml:space="preserve">Importante! Todo material contido nesta planilha é de minha autoria.
</t>
    </r>
    <r>
      <rPr>
        <sz val="10"/>
        <color indexed="10"/>
        <rFont val="Arial"/>
        <family val="2"/>
      </rPr>
      <t>Não é permitida a cópia desta planilha para</t>
    </r>
    <r>
      <rPr>
        <b/>
        <sz val="10"/>
        <color indexed="10"/>
        <rFont val="Arial"/>
        <family val="2"/>
      </rPr>
      <t xml:space="preserve"> "revenda" </t>
    </r>
    <r>
      <rPr>
        <sz val="10"/>
        <color indexed="10"/>
        <rFont val="Arial"/>
        <family val="2"/>
      </rPr>
      <t>sem a prévia autorização do autor.
A planilha é propriedade intelectual do autor e é protegida através das leis de direitos autorais.</t>
    </r>
  </si>
  <si>
    <t>Suporte pós-venda para esclarecer quaisquer dúvidas que possam surgir:
contato@drinoplanilhas.com.br</t>
  </si>
  <si>
    <t>TABELA DE CONTRIBUIÇÃO - INSS - 2023</t>
  </si>
  <si>
    <t>TABELA DE IMPOSTO DE RENDA SOBRE SALÁRIOS - 2023</t>
  </si>
  <si>
    <t>TABELA DE RECEBIMENTO DO SEGURO DESEMPREGO - 2023</t>
  </si>
  <si>
    <t>2023</t>
  </si>
  <si>
    <t>CÁLCULO PRÉVIO DE RESCISÃO</t>
  </si>
  <si>
    <t>RESUMO DE CÁLCULO DE RESCISÃO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</si>
</sst>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dd/mm/yy"/>
    <numFmt numFmtId="166" formatCode="[hh]:mm"/>
    <numFmt numFmtId="167" formatCode="0.0%"/>
    <numFmt numFmtId="168" formatCode="&quot;R$ &quot;#,##0.00"/>
    <numFmt numFmtId="169" formatCode="00&quot;/&quot;00"/>
    <numFmt numFmtId="170" formatCode="_([$€-2]* #,##0.00_);_([$€-2]* \(#,##0.00\);_([$€-2]* &quot;-&quot;??_)"/>
  </numFmts>
  <fonts count="51" x14ac:knownFonts="1">
    <font>
      <sz val="10"/>
      <name val="Arial"/>
    </font>
    <font>
      <sz val="10"/>
      <name val="Arial"/>
      <family val="2"/>
    </font>
    <font>
      <sz val="10"/>
      <name val="Courier New"/>
      <family val="3"/>
    </font>
    <font>
      <sz val="8"/>
      <name val="Arial"/>
      <family val="2"/>
    </font>
    <font>
      <b/>
      <sz val="12"/>
      <name val="Courier New"/>
      <family val="3"/>
    </font>
    <font>
      <b/>
      <sz val="10"/>
      <name val="Courier New"/>
      <family val="3"/>
    </font>
    <font>
      <sz val="12"/>
      <name val="Courier New"/>
      <family val="3"/>
    </font>
    <font>
      <i/>
      <sz val="10"/>
      <name val="Courier New"/>
      <family val="3"/>
    </font>
    <font>
      <b/>
      <i/>
      <sz val="10"/>
      <name val="Courier New"/>
      <family val="3"/>
    </font>
    <font>
      <b/>
      <sz val="12"/>
      <color indexed="63"/>
      <name val="Courier New"/>
      <family val="3"/>
    </font>
    <font>
      <sz val="8"/>
      <name val="Wingdings"/>
      <charset val="2"/>
    </font>
    <font>
      <sz val="11"/>
      <name val="Wingdings"/>
      <charset val="2"/>
    </font>
    <font>
      <sz val="10"/>
      <color indexed="56"/>
      <name val="Tahoma"/>
      <family val="2"/>
    </font>
    <font>
      <sz val="12"/>
      <color indexed="56"/>
      <name val="Courier New"/>
      <family val="3"/>
    </font>
    <font>
      <sz val="10"/>
      <name val="Arial"/>
      <family val="2"/>
    </font>
    <font>
      <i/>
      <sz val="8"/>
      <name val="Courier New"/>
      <family val="3"/>
    </font>
    <font>
      <b/>
      <i/>
      <sz val="11"/>
      <name val="Courier New"/>
      <family val="3"/>
    </font>
    <font>
      <sz val="8"/>
      <name val="Courier New"/>
      <family val="3"/>
    </font>
    <font>
      <sz val="10"/>
      <name val="Arial"/>
      <family val="2"/>
    </font>
    <font>
      <sz val="9"/>
      <name val="Courier New"/>
      <family val="3"/>
    </font>
    <font>
      <b/>
      <i/>
      <sz val="8"/>
      <name val="Courier New"/>
      <family val="3"/>
    </font>
    <font>
      <sz val="12"/>
      <name val="Arial Rounded MT Bold"/>
      <family val="2"/>
    </font>
    <font>
      <b/>
      <i/>
      <sz val="12"/>
      <name val="Courier New"/>
      <family val="3"/>
    </font>
    <font>
      <sz val="6"/>
      <name val="Courier New"/>
      <family val="3"/>
    </font>
    <font>
      <sz val="18"/>
      <name val="Arial Rounded MT Bold"/>
      <family val="2"/>
    </font>
    <font>
      <sz val="5"/>
      <name val="Courier New"/>
      <family val="3"/>
    </font>
    <font>
      <sz val="2"/>
      <name val="Courier New"/>
      <family val="3"/>
    </font>
    <font>
      <u/>
      <sz val="10"/>
      <color indexed="12"/>
      <name val="Arial"/>
      <family val="2"/>
    </font>
    <font>
      <sz val="9"/>
      <color indexed="9"/>
      <name val="Arial Rounded MT Bold"/>
      <family val="2"/>
    </font>
    <font>
      <sz val="12"/>
      <color indexed="10"/>
      <name val="Courier New"/>
      <family val="3"/>
    </font>
    <font>
      <b/>
      <sz val="12"/>
      <color indexed="10"/>
      <name val="Courier New"/>
      <family val="3"/>
    </font>
    <font>
      <sz val="10"/>
      <color indexed="9"/>
      <name val="Arial Rounded MT Bold"/>
      <family val="2"/>
    </font>
    <font>
      <b/>
      <sz val="15"/>
      <color indexed="23"/>
      <name val="Courier New"/>
      <family val="3"/>
    </font>
    <font>
      <u/>
      <sz val="18"/>
      <color indexed="12"/>
      <name val="Arial Rounded MT Bold"/>
      <family val="2"/>
    </font>
    <font>
      <sz val="10"/>
      <color indexed="12"/>
      <name val="Arial Rounded MT Bold"/>
      <family val="2"/>
    </font>
    <font>
      <sz val="12"/>
      <color indexed="18"/>
      <name val="Courier New"/>
      <family val="3"/>
    </font>
    <font>
      <sz val="10"/>
      <color indexed="8"/>
      <name val="Calibri"/>
      <family val="2"/>
    </font>
    <font>
      <b/>
      <sz val="10"/>
      <color indexed="63"/>
      <name val="Arial"/>
      <family val="2"/>
    </font>
    <font>
      <b/>
      <sz val="10"/>
      <name val="Arial"/>
      <family val="2"/>
    </font>
    <font>
      <b/>
      <sz val="11"/>
      <color indexed="9"/>
      <name val="Arial"/>
      <family val="2"/>
    </font>
    <font>
      <b/>
      <sz val="11"/>
      <color indexed="63"/>
      <name val="Arial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u/>
      <sz val="10"/>
      <color theme="10"/>
      <name val="Arial"/>
      <family val="2"/>
    </font>
    <font>
      <sz val="10"/>
      <color theme="1"/>
      <name val="Courier New"/>
      <family val="2"/>
    </font>
    <font>
      <b/>
      <sz val="11"/>
      <name val="Calibri"/>
      <family val="2"/>
    </font>
    <font>
      <b/>
      <sz val="2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3"/>
      </top>
      <bottom/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23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 style="thin">
        <color indexed="23"/>
      </left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23"/>
      </top>
      <bottom style="thin">
        <color indexed="23"/>
      </bottom>
      <diagonal/>
    </border>
    <border>
      <left style="hair">
        <color indexed="64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23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23"/>
      </right>
      <top style="hair">
        <color indexed="64"/>
      </top>
      <bottom/>
      <diagonal/>
    </border>
    <border>
      <left style="thin">
        <color indexed="23"/>
      </left>
      <right style="hair">
        <color indexed="64"/>
      </right>
      <top style="hair">
        <color indexed="64"/>
      </top>
      <bottom style="thin">
        <color indexed="23"/>
      </bottom>
      <diagonal/>
    </border>
    <border>
      <left style="hair">
        <color indexed="64"/>
      </left>
      <right/>
      <top style="thin">
        <color indexed="23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/>
      <top style="hair">
        <color indexed="64"/>
      </top>
      <bottom style="hair">
        <color indexed="64"/>
      </bottom>
      <diagonal/>
    </border>
    <border>
      <left style="medium">
        <color indexed="23"/>
      </left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/>
      <top style="medium">
        <color indexed="23"/>
      </top>
      <bottom style="medium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15">
    <xf numFmtId="0" fontId="0" fillId="0" borderId="0"/>
    <xf numFmtId="170" fontId="14" fillId="0" borderId="0" applyFont="0" applyFill="0" applyBorder="0" applyAlignment="0" applyProtection="0"/>
    <xf numFmtId="21" fontId="1" fillId="0" borderId="0">
      <alignment horizontal="center"/>
    </xf>
    <xf numFmtId="0" fontId="27" fillId="0" borderId="2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0" fontId="48" fillId="0" borderId="0"/>
    <xf numFmtId="0" fontId="14" fillId="0" borderId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321">
    <xf numFmtId="0" fontId="0" fillId="0" borderId="0" xfId="0"/>
    <xf numFmtId="164" fontId="6" fillId="0" borderId="0" xfId="1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64" fontId="6" fillId="0" borderId="0" xfId="11" applyFont="1" applyFill="1" applyAlignment="1" applyProtection="1">
      <alignment horizontal="center" vertical="center"/>
    </xf>
    <xf numFmtId="0" fontId="6" fillId="0" borderId="0" xfId="11" applyNumberFormat="1" applyFont="1" applyFill="1" applyAlignment="1" applyProtection="1">
      <alignment horizontal="center" vertical="center"/>
    </xf>
    <xf numFmtId="164" fontId="4" fillId="0" borderId="0" xfId="11" applyFont="1" applyFill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 indent="2"/>
    </xf>
    <xf numFmtId="0" fontId="2" fillId="0" borderId="0" xfId="0" applyFont="1" applyFill="1" applyAlignment="1">
      <alignment horizontal="left" vertical="center" indent="1"/>
    </xf>
    <xf numFmtId="0" fontId="7" fillId="0" borderId="0" xfId="0" applyFont="1" applyFill="1" applyBorder="1" applyAlignment="1">
      <alignment vertical="center"/>
    </xf>
    <xf numFmtId="165" fontId="2" fillId="0" borderId="0" xfId="0" applyNumberFormat="1" applyFont="1" applyFill="1" applyAlignment="1">
      <alignment horizontal="center" vertical="center"/>
    </xf>
    <xf numFmtId="4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9" fontId="2" fillId="0" borderId="0" xfId="9" applyNumberFormat="1" applyFont="1" applyFill="1" applyAlignment="1">
      <alignment horizontal="center" vertical="center"/>
    </xf>
    <xf numFmtId="0" fontId="2" fillId="0" borderId="0" xfId="9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0" fontId="6" fillId="0" borderId="0" xfId="11" applyNumberFormat="1" applyFont="1" applyFill="1" applyAlignment="1">
      <alignment horizontal="center" vertical="center"/>
    </xf>
    <xf numFmtId="10" fontId="2" fillId="0" borderId="0" xfId="9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164" fontId="2" fillId="0" borderId="0" xfId="11" applyFont="1" applyFill="1" applyAlignment="1">
      <alignment horizontal="center" vertical="center"/>
    </xf>
    <xf numFmtId="167" fontId="2" fillId="0" borderId="0" xfId="9" applyNumberFormat="1" applyFont="1" applyFill="1" applyAlignment="1">
      <alignment horizontal="center" vertical="center"/>
    </xf>
    <xf numFmtId="9" fontId="2" fillId="0" borderId="0" xfId="0" applyNumberFormat="1" applyFont="1" applyFill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20" fontId="2" fillId="0" borderId="0" xfId="0" applyNumberFormat="1" applyFont="1" applyFill="1" applyAlignment="1">
      <alignment horizontal="center" vertical="center"/>
    </xf>
    <xf numFmtId="164" fontId="11" fillId="0" borderId="0" xfId="11" applyFont="1" applyFill="1" applyBorder="1" applyAlignment="1">
      <alignment horizontal="center" vertical="center"/>
    </xf>
    <xf numFmtId="0" fontId="2" fillId="0" borderId="0" xfId="0" applyFont="1" applyFill="1" applyAlignment="1" applyProtection="1">
      <alignment vertical="center"/>
    </xf>
    <xf numFmtId="0" fontId="7" fillId="0" borderId="0" xfId="0" applyFont="1" applyFill="1" applyBorder="1" applyAlignment="1" applyProtection="1">
      <alignment horizontal="center" vertical="center"/>
    </xf>
    <xf numFmtId="0" fontId="17" fillId="0" borderId="0" xfId="0" applyFont="1" applyAlignment="1" applyProtection="1">
      <alignment horizontal="center" vertical="center"/>
    </xf>
    <xf numFmtId="0" fontId="20" fillId="0" borderId="0" xfId="0" applyFont="1" applyBorder="1" applyAlignment="1" applyProtection="1">
      <alignment vertical="center"/>
    </xf>
    <xf numFmtId="0" fontId="20" fillId="0" borderId="0" xfId="0" applyFont="1" applyBorder="1" applyAlignment="1" applyProtection="1">
      <alignment horizontal="left" vertical="center" indent="1"/>
    </xf>
    <xf numFmtId="164" fontId="2" fillId="0" borderId="0" xfId="0" applyNumberFormat="1" applyFont="1" applyBorder="1" applyAlignment="1" applyProtection="1">
      <alignment horizontal="left" vertical="center" indent="1"/>
    </xf>
    <xf numFmtId="0" fontId="2" fillId="0" borderId="0" xfId="0" applyFont="1" applyBorder="1" applyAlignment="1" applyProtection="1">
      <alignment horizontal="left" vertical="center" indent="1"/>
    </xf>
    <xf numFmtId="168" fontId="2" fillId="0" borderId="0" xfId="0" applyNumberFormat="1" applyFont="1" applyBorder="1" applyAlignment="1" applyProtection="1">
      <alignment horizontal="left" vertical="center" indent="1"/>
    </xf>
    <xf numFmtId="0" fontId="17" fillId="0" borderId="0" xfId="0" applyFont="1" applyAlignment="1">
      <alignment vertical="center" textRotation="90"/>
    </xf>
    <xf numFmtId="0" fontId="17" fillId="0" borderId="0" xfId="0" applyFont="1" applyAlignment="1">
      <alignment horizontal="left" vertical="center" indent="1"/>
    </xf>
    <xf numFmtId="0" fontId="21" fillId="3" borderId="0" xfId="0" applyFont="1" applyFill="1" applyBorder="1" applyAlignment="1">
      <alignment vertical="center"/>
    </xf>
    <xf numFmtId="164" fontId="29" fillId="0" borderId="0" xfId="11" applyFont="1" applyFill="1" applyAlignment="1" applyProtection="1">
      <alignment horizontal="center" vertical="center"/>
    </xf>
    <xf numFmtId="164" fontId="30" fillId="0" borderId="0" xfId="11" applyFont="1" applyFill="1" applyAlignment="1" applyProtection="1">
      <alignment horizontal="center" vertical="center"/>
    </xf>
    <xf numFmtId="0" fontId="19" fillId="0" borderId="0" xfId="0" applyFont="1" applyFill="1" applyAlignment="1">
      <alignment horizontal="center" vertical="center"/>
    </xf>
    <xf numFmtId="9" fontId="25" fillId="0" borderId="0" xfId="9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167" fontId="25" fillId="0" borderId="0" xfId="9" applyNumberFormat="1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64" fontId="26" fillId="0" borderId="0" xfId="11" applyFont="1" applyFill="1" applyAlignment="1">
      <alignment horizontal="center" vertical="center"/>
    </xf>
    <xf numFmtId="168" fontId="5" fillId="0" borderId="0" xfId="0" applyNumberFormat="1" applyFont="1" applyFill="1" applyBorder="1" applyAlignment="1" applyProtection="1">
      <alignment horizontal="left" vertical="center" indent="1"/>
    </xf>
    <xf numFmtId="0" fontId="17" fillId="0" borderId="0" xfId="0" applyFont="1" applyFill="1" applyAlignment="1" applyProtection="1">
      <alignment horizontal="center" vertical="center"/>
    </xf>
    <xf numFmtId="0" fontId="2" fillId="0" borderId="0" xfId="0" applyFont="1" applyFill="1" applyBorder="1" applyAlignment="1">
      <alignment vertical="center"/>
    </xf>
    <xf numFmtId="164" fontId="6" fillId="3" borderId="0" xfId="11" applyFont="1" applyFill="1" applyAlignment="1" applyProtection="1">
      <alignment horizontal="center" vertical="center"/>
    </xf>
    <xf numFmtId="164" fontId="4" fillId="3" borderId="0" xfId="11" applyFont="1" applyFill="1" applyAlignment="1" applyProtection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164" fontId="6" fillId="2" borderId="8" xfId="11" applyFont="1" applyFill="1" applyBorder="1" applyAlignment="1" applyProtection="1">
      <alignment horizontal="center" vertical="center"/>
    </xf>
    <xf numFmtId="164" fontId="6" fillId="2" borderId="9" xfId="11" applyFont="1" applyFill="1" applyBorder="1" applyAlignment="1" applyProtection="1">
      <alignment horizontal="center" vertical="center"/>
    </xf>
    <xf numFmtId="164" fontId="6" fillId="2" borderId="10" xfId="11" applyFont="1" applyFill="1" applyBorder="1" applyAlignment="1" applyProtection="1">
      <alignment horizontal="center" vertical="center"/>
    </xf>
    <xf numFmtId="164" fontId="6" fillId="2" borderId="11" xfId="11" applyFont="1" applyFill="1" applyBorder="1" applyAlignment="1" applyProtection="1">
      <alignment horizontal="center" vertical="center"/>
    </xf>
    <xf numFmtId="164" fontId="6" fillId="2" borderId="12" xfId="11" applyFont="1" applyFill="1" applyBorder="1" applyAlignment="1" applyProtection="1">
      <alignment horizontal="center" vertical="center"/>
    </xf>
    <xf numFmtId="164" fontId="6" fillId="2" borderId="13" xfId="11" applyFont="1" applyFill="1" applyBorder="1" applyAlignment="1" applyProtection="1">
      <alignment horizontal="center" vertical="center"/>
    </xf>
    <xf numFmtId="164" fontId="9" fillId="2" borderId="5" xfId="11" applyFont="1" applyFill="1" applyBorder="1" applyAlignment="1" applyProtection="1">
      <alignment horizontal="center" vertical="center"/>
    </xf>
    <xf numFmtId="164" fontId="35" fillId="2" borderId="8" xfId="11" applyFont="1" applyFill="1" applyBorder="1" applyAlignment="1" applyProtection="1">
      <alignment horizontal="center"/>
    </xf>
    <xf numFmtId="164" fontId="35" fillId="2" borderId="11" xfId="11" applyFont="1" applyFill="1" applyBorder="1" applyAlignment="1" applyProtection="1">
      <alignment horizontal="center"/>
    </xf>
    <xf numFmtId="164" fontId="35" fillId="2" borderId="9" xfId="11" applyFont="1" applyFill="1" applyBorder="1" applyAlignment="1" applyProtection="1">
      <alignment horizontal="center"/>
    </xf>
    <xf numFmtId="164" fontId="35" fillId="2" borderId="12" xfId="11" applyFont="1" applyFill="1" applyBorder="1" applyAlignment="1" applyProtection="1">
      <alignment horizontal="center"/>
    </xf>
    <xf numFmtId="164" fontId="4" fillId="2" borderId="5" xfId="11" applyFont="1" applyFill="1" applyBorder="1" applyAlignment="1" applyProtection="1">
      <alignment horizontal="center" vertical="center"/>
    </xf>
    <xf numFmtId="0" fontId="9" fillId="2" borderId="5" xfId="0" applyFont="1" applyFill="1" applyBorder="1" applyAlignment="1" applyProtection="1">
      <alignment horizontal="center" vertical="center"/>
    </xf>
    <xf numFmtId="164" fontId="40" fillId="2" borderId="0" xfId="11" applyFont="1" applyFill="1" applyBorder="1" applyAlignment="1" applyProtection="1">
      <alignment horizontal="center" vertical="center"/>
    </xf>
    <xf numFmtId="164" fontId="40" fillId="2" borderId="5" xfId="11" applyFont="1" applyFill="1" applyBorder="1" applyAlignment="1" applyProtection="1">
      <alignment horizontal="center" vertical="center"/>
    </xf>
    <xf numFmtId="164" fontId="41" fillId="2" borderId="5" xfId="11" applyFont="1" applyFill="1" applyBorder="1" applyAlignment="1" applyProtection="1">
      <alignment horizontal="center" vertical="center"/>
    </xf>
    <xf numFmtId="164" fontId="41" fillId="2" borderId="0" xfId="11" applyFont="1" applyFill="1" applyBorder="1" applyAlignment="1" applyProtection="1">
      <alignment horizontal="center" vertical="center"/>
    </xf>
    <xf numFmtId="164" fontId="37" fillId="3" borderId="1" xfId="11" applyFont="1" applyFill="1" applyBorder="1" applyAlignment="1" applyProtection="1">
      <alignment horizontal="center" vertical="center"/>
    </xf>
    <xf numFmtId="4" fontId="40" fillId="3" borderId="1" xfId="11" applyNumberFormat="1" applyFont="1" applyFill="1" applyBorder="1" applyAlignment="1" applyProtection="1">
      <alignment horizontal="center" vertical="center"/>
      <protection locked="0"/>
    </xf>
    <xf numFmtId="164" fontId="37" fillId="4" borderId="1" xfId="11" applyFont="1" applyFill="1" applyBorder="1" applyAlignment="1" applyProtection="1">
      <alignment horizontal="center" vertical="center"/>
    </xf>
    <xf numFmtId="4" fontId="40" fillId="4" borderId="1" xfId="11" applyNumberFormat="1" applyFont="1" applyFill="1" applyBorder="1" applyAlignment="1" applyProtection="1">
      <alignment horizontal="center" vertical="center"/>
      <protection locked="0"/>
    </xf>
    <xf numFmtId="10" fontId="40" fillId="3" borderId="1" xfId="9" applyNumberFormat="1" applyFont="1" applyFill="1" applyBorder="1" applyAlignment="1" applyProtection="1">
      <alignment horizontal="center" vertical="center"/>
      <protection locked="0"/>
    </xf>
    <xf numFmtId="10" fontId="40" fillId="4" borderId="1" xfId="9" applyNumberFormat="1" applyFont="1" applyFill="1" applyBorder="1" applyAlignment="1" applyProtection="1">
      <alignment horizontal="center" vertical="center"/>
      <protection locked="0"/>
    </xf>
    <xf numFmtId="167" fontId="40" fillId="3" borderId="1" xfId="9" applyNumberFormat="1" applyFont="1" applyFill="1" applyBorder="1" applyAlignment="1" applyProtection="1">
      <alignment horizontal="center" vertical="center"/>
      <protection locked="0"/>
    </xf>
    <xf numFmtId="167" fontId="40" fillId="4" borderId="1" xfId="9" applyNumberFormat="1" applyFont="1" applyFill="1" applyBorder="1" applyAlignment="1" applyProtection="1">
      <alignment horizontal="center" vertical="center"/>
      <protection locked="0"/>
    </xf>
    <xf numFmtId="164" fontId="40" fillId="4" borderId="1" xfId="11" applyFont="1" applyFill="1" applyBorder="1" applyAlignment="1" applyProtection="1">
      <alignment horizontal="center" vertical="center"/>
      <protection locked="0"/>
    </xf>
    <xf numFmtId="4" fontId="40" fillId="3" borderId="1" xfId="0" applyNumberFormat="1" applyFont="1" applyFill="1" applyBorder="1" applyAlignment="1" applyProtection="1">
      <alignment horizontal="center" vertical="center"/>
      <protection locked="0"/>
    </xf>
    <xf numFmtId="9" fontId="40" fillId="3" borderId="1" xfId="9" applyFont="1" applyFill="1" applyBorder="1" applyAlignment="1" applyProtection="1">
      <alignment horizontal="center" vertical="center"/>
      <protection locked="0"/>
    </xf>
    <xf numFmtId="4" fontId="40" fillId="4" borderId="1" xfId="0" applyNumberFormat="1" applyFont="1" applyFill="1" applyBorder="1" applyAlignment="1" applyProtection="1">
      <alignment horizontal="center" vertical="center"/>
      <protection locked="0"/>
    </xf>
    <xf numFmtId="9" fontId="40" fillId="4" borderId="1" xfId="9" applyFont="1" applyFill="1" applyBorder="1" applyAlignment="1" applyProtection="1">
      <alignment horizontal="center" vertical="center"/>
      <protection locked="0"/>
    </xf>
    <xf numFmtId="4" fontId="40" fillId="3" borderId="1" xfId="0" applyNumberFormat="1" applyFont="1" applyFill="1" applyBorder="1" applyAlignment="1" applyProtection="1">
      <alignment horizontal="center" vertical="center"/>
    </xf>
    <xf numFmtId="4" fontId="40" fillId="3" borderId="1" xfId="11" applyNumberFormat="1" applyFont="1" applyFill="1" applyBorder="1" applyAlignment="1" applyProtection="1">
      <alignment horizontal="center" vertical="center"/>
    </xf>
    <xf numFmtId="4" fontId="40" fillId="4" borderId="1" xfId="11" applyNumberFormat="1" applyFont="1" applyFill="1" applyBorder="1" applyAlignment="1" applyProtection="1">
      <alignment horizontal="center" vertical="center"/>
    </xf>
    <xf numFmtId="49" fontId="39" fillId="2" borderId="0" xfId="11" applyNumberFormat="1" applyFont="1" applyFill="1" applyBorder="1" applyAlignment="1" applyProtection="1">
      <alignment horizontal="center" vertical="center"/>
    </xf>
    <xf numFmtId="164" fontId="39" fillId="2" borderId="19" xfId="11" applyFont="1" applyFill="1" applyBorder="1" applyAlignment="1" applyProtection="1">
      <alignment horizontal="left" vertical="center"/>
    </xf>
    <xf numFmtId="164" fontId="39" fillId="2" borderId="0" xfId="11" applyFont="1" applyFill="1" applyBorder="1" applyAlignment="1" applyProtection="1">
      <alignment horizontal="left" vertical="center"/>
    </xf>
    <xf numFmtId="4" fontId="40" fillId="5" borderId="1" xfId="11" applyNumberFormat="1" applyFont="1" applyFill="1" applyBorder="1" applyAlignment="1" applyProtection="1">
      <alignment horizontal="center" vertical="center"/>
    </xf>
    <xf numFmtId="4" fontId="40" fillId="5" borderId="1" xfId="11" applyNumberFormat="1" applyFont="1" applyFill="1" applyBorder="1" applyAlignment="1" applyProtection="1">
      <alignment horizontal="center" vertical="center"/>
      <protection locked="0"/>
    </xf>
    <xf numFmtId="0" fontId="1" fillId="3" borderId="0" xfId="13" applyFill="1"/>
    <xf numFmtId="0" fontId="1" fillId="0" borderId="0" xfId="13" applyFill="1"/>
    <xf numFmtId="0" fontId="1" fillId="3" borderId="14" xfId="13" applyFill="1" applyBorder="1"/>
    <xf numFmtId="0" fontId="1" fillId="3" borderId="0" xfId="13" applyFill="1" applyBorder="1"/>
    <xf numFmtId="0" fontId="1" fillId="3" borderId="15" xfId="13" applyFill="1" applyBorder="1"/>
    <xf numFmtId="0" fontId="38" fillId="3" borderId="0" xfId="14" applyFont="1" applyFill="1" applyBorder="1" applyAlignment="1" applyProtection="1">
      <alignment horizontal="center" vertical="center"/>
    </xf>
    <xf numFmtId="0" fontId="38" fillId="3" borderId="0" xfId="13" applyFont="1" applyFill="1" applyBorder="1" applyAlignment="1">
      <alignment horizontal="center" vertical="center"/>
    </xf>
    <xf numFmtId="0" fontId="1" fillId="3" borderId="16" xfId="13" applyFill="1" applyBorder="1"/>
    <xf numFmtId="0" fontId="38" fillId="3" borderId="17" xfId="13" applyFont="1" applyFill="1" applyBorder="1" applyAlignment="1">
      <alignment vertical="top"/>
    </xf>
    <xf numFmtId="0" fontId="1" fillId="3" borderId="17" xfId="13" applyFill="1" applyBorder="1"/>
    <xf numFmtId="0" fontId="1" fillId="3" borderId="18" xfId="13" applyFill="1" applyBorder="1"/>
    <xf numFmtId="0" fontId="44" fillId="3" borderId="23" xfId="13" applyFont="1" applyFill="1" applyBorder="1" applyAlignment="1">
      <alignment horizontal="left" vertical="center" wrapText="1"/>
    </xf>
    <xf numFmtId="0" fontId="43" fillId="3" borderId="23" xfId="13" applyFont="1" applyFill="1" applyBorder="1" applyAlignment="1">
      <alignment horizontal="left" vertical="center" wrapText="1"/>
    </xf>
    <xf numFmtId="0" fontId="43" fillId="3" borderId="24" xfId="13" applyFont="1" applyFill="1" applyBorder="1" applyAlignment="1">
      <alignment horizontal="left" vertical="center" wrapText="1"/>
    </xf>
    <xf numFmtId="0" fontId="38" fillId="3" borderId="0" xfId="14" applyFont="1" applyFill="1" applyBorder="1" applyAlignment="1" applyProtection="1">
      <alignment horizontal="left" vertical="center"/>
    </xf>
    <xf numFmtId="0" fontId="38" fillId="3" borderId="25" xfId="14" applyFont="1" applyFill="1" applyBorder="1" applyAlignment="1" applyProtection="1">
      <alignment horizontal="left" vertical="center"/>
    </xf>
    <xf numFmtId="0" fontId="46" fillId="3" borderId="0" xfId="13" applyFont="1" applyFill="1" applyBorder="1" applyAlignment="1">
      <alignment horizontal="left" vertical="center" wrapText="1"/>
    </xf>
    <xf numFmtId="0" fontId="46" fillId="3" borderId="0" xfId="13" applyFont="1" applyFill="1" applyBorder="1" applyAlignment="1">
      <alignment horizontal="left" vertical="center"/>
    </xf>
    <xf numFmtId="0" fontId="46" fillId="3" borderId="25" xfId="13" applyFont="1" applyFill="1" applyBorder="1" applyAlignment="1">
      <alignment horizontal="left" vertical="center"/>
    </xf>
    <xf numFmtId="0" fontId="22" fillId="0" borderId="26" xfId="0" applyFont="1" applyBorder="1" applyAlignment="1" applyProtection="1">
      <alignment horizontal="left" vertical="center" indent="1"/>
    </xf>
    <xf numFmtId="166" fontId="4" fillId="0" borderId="35" xfId="0" applyNumberFormat="1" applyFont="1" applyFill="1" applyBorder="1" applyAlignment="1" applyProtection="1">
      <alignment horizontal="center" vertical="center"/>
      <protection locked="0"/>
    </xf>
    <xf numFmtId="166" fontId="4" fillId="0" borderId="36" xfId="0" applyNumberFormat="1" applyFont="1" applyFill="1" applyBorder="1" applyAlignment="1" applyProtection="1">
      <alignment horizontal="center" vertical="center"/>
      <protection locked="0"/>
    </xf>
    <xf numFmtId="166" fontId="4" fillId="0" borderId="37" xfId="0" applyNumberFormat="1" applyFont="1" applyFill="1" applyBorder="1" applyAlignment="1" applyProtection="1">
      <alignment horizontal="center" vertical="center"/>
      <protection locked="0"/>
    </xf>
    <xf numFmtId="0" fontId="2" fillId="0" borderId="43" xfId="0" applyFont="1" applyFill="1" applyBorder="1" applyAlignment="1">
      <alignment horizontal="center" vertical="center"/>
    </xf>
    <xf numFmtId="164" fontId="4" fillId="3" borderId="61" xfId="11" applyFont="1" applyFill="1" applyBorder="1" applyAlignment="1">
      <alignment vertical="center"/>
    </xf>
    <xf numFmtId="164" fontId="4" fillId="3" borderId="62" xfId="11" applyFont="1" applyFill="1" applyBorder="1" applyAlignment="1">
      <alignment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4" fillId="3" borderId="63" xfId="0" applyFont="1" applyFill="1" applyBorder="1" applyAlignment="1">
      <alignment horizontal="center" vertical="center"/>
    </xf>
    <xf numFmtId="0" fontId="4" fillId="3" borderId="61" xfId="0" applyFont="1" applyFill="1" applyBorder="1" applyAlignment="1">
      <alignment horizontal="center" vertical="center"/>
    </xf>
    <xf numFmtId="164" fontId="2" fillId="0" borderId="43" xfId="11" applyFont="1" applyFill="1" applyBorder="1" applyAlignment="1">
      <alignment vertical="center"/>
    </xf>
    <xf numFmtId="164" fontId="2" fillId="0" borderId="64" xfId="11" applyFont="1" applyFill="1" applyBorder="1" applyAlignment="1">
      <alignment vertical="center"/>
    </xf>
    <xf numFmtId="0" fontId="2" fillId="0" borderId="44" xfId="0" applyFont="1" applyFill="1" applyBorder="1" applyAlignment="1">
      <alignment vertical="center"/>
    </xf>
    <xf numFmtId="0" fontId="2" fillId="0" borderId="45" xfId="0" applyFont="1" applyFill="1" applyBorder="1" applyAlignment="1">
      <alignment vertical="center"/>
    </xf>
    <xf numFmtId="164" fontId="2" fillId="0" borderId="31" xfId="11" applyFont="1" applyFill="1" applyBorder="1" applyAlignment="1">
      <alignment vertical="center"/>
    </xf>
    <xf numFmtId="164" fontId="2" fillId="0" borderId="32" xfId="11" applyFont="1" applyFill="1" applyBorder="1" applyAlignment="1">
      <alignment vertical="center"/>
    </xf>
    <xf numFmtId="10" fontId="2" fillId="0" borderId="43" xfId="9" applyNumberFormat="1" applyFont="1" applyFill="1" applyBorder="1" applyAlignment="1">
      <alignment horizontal="center" vertical="center"/>
    </xf>
    <xf numFmtId="0" fontId="2" fillId="0" borderId="31" xfId="0" applyFont="1" applyFill="1" applyBorder="1" applyAlignment="1" applyProtection="1">
      <alignment horizontal="center" vertical="center"/>
      <protection locked="0"/>
    </xf>
    <xf numFmtId="10" fontId="2" fillId="0" borderId="31" xfId="9" applyNumberFormat="1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vertical="center"/>
    </xf>
    <xf numFmtId="0" fontId="8" fillId="0" borderId="43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0" fontId="2" fillId="0" borderId="31" xfId="0" applyFont="1" applyFill="1" applyBorder="1" applyAlignment="1">
      <alignment vertical="center"/>
    </xf>
    <xf numFmtId="164" fontId="4" fillId="3" borderId="66" xfId="11" applyFont="1" applyFill="1" applyBorder="1" applyAlignment="1">
      <alignment vertical="center"/>
    </xf>
    <xf numFmtId="164" fontId="4" fillId="3" borderId="67" xfId="11" applyFont="1" applyFill="1" applyBorder="1" applyAlignment="1">
      <alignment vertical="center"/>
    </xf>
    <xf numFmtId="164" fontId="4" fillId="3" borderId="68" xfId="11" applyFont="1" applyFill="1" applyBorder="1" applyAlignment="1">
      <alignment vertical="center"/>
    </xf>
    <xf numFmtId="0" fontId="2" fillId="0" borderId="69" xfId="0" applyFont="1" applyFill="1" applyBorder="1" applyAlignment="1">
      <alignment vertical="center"/>
    </xf>
    <xf numFmtId="0" fontId="2" fillId="0" borderId="52" xfId="0" applyFont="1" applyFill="1" applyBorder="1" applyAlignment="1">
      <alignment vertical="center"/>
    </xf>
    <xf numFmtId="0" fontId="2" fillId="0" borderId="70" xfId="0" applyFont="1" applyFill="1" applyBorder="1" applyAlignment="1">
      <alignment vertical="center"/>
    </xf>
    <xf numFmtId="0" fontId="2" fillId="0" borderId="71" xfId="0" applyFont="1" applyFill="1" applyBorder="1" applyAlignment="1">
      <alignment vertical="center"/>
    </xf>
    <xf numFmtId="0" fontId="2" fillId="0" borderId="55" xfId="0" applyFont="1" applyFill="1" applyBorder="1" applyAlignment="1">
      <alignment vertical="center"/>
    </xf>
    <xf numFmtId="0" fontId="2" fillId="0" borderId="65" xfId="0" applyFont="1" applyFill="1" applyBorder="1" applyAlignment="1">
      <alignment vertical="center"/>
    </xf>
    <xf numFmtId="164" fontId="23" fillId="0" borderId="0" xfId="0" applyNumberFormat="1" applyFont="1" applyFill="1" applyAlignment="1">
      <alignment horizontal="center" vertical="center"/>
    </xf>
    <xf numFmtId="167" fontId="2" fillId="0" borderId="31" xfId="9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 indent="1"/>
    </xf>
    <xf numFmtId="0" fontId="2" fillId="0" borderId="33" xfId="0" applyFont="1" applyFill="1" applyBorder="1" applyAlignment="1" applyProtection="1">
      <alignment vertical="center"/>
      <protection locked="0"/>
    </xf>
    <xf numFmtId="0" fontId="2" fillId="0" borderId="31" xfId="0" applyFont="1" applyFill="1" applyBorder="1" applyAlignment="1" applyProtection="1">
      <alignment vertical="center"/>
      <protection locked="0"/>
    </xf>
    <xf numFmtId="164" fontId="2" fillId="0" borderId="31" xfId="11" applyFont="1" applyFill="1" applyBorder="1" applyAlignment="1" applyProtection="1">
      <alignment vertical="center"/>
      <protection locked="0"/>
    </xf>
    <xf numFmtId="164" fontId="2" fillId="0" borderId="32" xfId="11" applyFont="1" applyFill="1" applyBorder="1" applyAlignment="1" applyProtection="1">
      <alignment vertical="center"/>
      <protection locked="0"/>
    </xf>
    <xf numFmtId="0" fontId="2" fillId="0" borderId="59" xfId="0" applyFont="1" applyFill="1" applyBorder="1" applyAlignment="1" applyProtection="1">
      <alignment vertical="center"/>
      <protection locked="0"/>
    </xf>
    <xf numFmtId="0" fontId="2" fillId="0" borderId="38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>
      <alignment horizontal="center" vertical="center"/>
    </xf>
    <xf numFmtId="9" fontId="2" fillId="0" borderId="0" xfId="9" applyFont="1" applyFill="1" applyAlignment="1">
      <alignment horizontal="center" vertical="center"/>
    </xf>
    <xf numFmtId="168" fontId="4" fillId="3" borderId="61" xfId="0" applyNumberFormat="1" applyFont="1" applyFill="1" applyBorder="1" applyAlignment="1">
      <alignment horizontal="center" vertical="center"/>
    </xf>
    <xf numFmtId="168" fontId="4" fillId="3" borderId="62" xfId="0" applyNumberFormat="1" applyFont="1" applyFill="1" applyBorder="1" applyAlignment="1">
      <alignment horizontal="center" vertical="center"/>
    </xf>
    <xf numFmtId="164" fontId="2" fillId="0" borderId="57" xfId="11" applyFont="1" applyFill="1" applyBorder="1" applyAlignment="1">
      <alignment vertical="center"/>
    </xf>
    <xf numFmtId="164" fontId="2" fillId="0" borderId="48" xfId="11" applyFont="1" applyFill="1" applyBorder="1" applyAlignment="1">
      <alignment vertical="center"/>
    </xf>
    <xf numFmtId="164" fontId="2" fillId="0" borderId="58" xfId="11" applyFont="1" applyFill="1" applyBorder="1" applyAlignment="1">
      <alignment vertical="center"/>
    </xf>
    <xf numFmtId="0" fontId="10" fillId="0" borderId="0" xfId="0" applyFont="1" applyFill="1" applyBorder="1" applyAlignment="1">
      <alignment horizontal="center" vertical="center"/>
    </xf>
    <xf numFmtId="0" fontId="5" fillId="3" borderId="72" xfId="0" applyFont="1" applyFill="1" applyBorder="1" applyAlignment="1">
      <alignment vertical="center"/>
    </xf>
    <xf numFmtId="0" fontId="5" fillId="3" borderId="67" xfId="0" applyFont="1" applyFill="1" applyBorder="1" applyAlignment="1">
      <alignment vertical="center"/>
    </xf>
    <xf numFmtId="0" fontId="5" fillId="3" borderId="73" xfId="0" applyFont="1" applyFill="1" applyBorder="1" applyAlignment="1">
      <alignment vertical="center"/>
    </xf>
    <xf numFmtId="0" fontId="8" fillId="0" borderId="9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74" xfId="0" applyFont="1" applyFill="1" applyBorder="1" applyAlignment="1">
      <alignment vertical="center"/>
    </xf>
    <xf numFmtId="0" fontId="5" fillId="3" borderId="63" xfId="0" applyFont="1" applyFill="1" applyBorder="1" applyAlignment="1">
      <alignment vertical="center"/>
    </xf>
    <xf numFmtId="0" fontId="5" fillId="3" borderId="61" xfId="0" applyFont="1" applyFill="1" applyBorder="1" applyAlignment="1">
      <alignment vertical="center"/>
    </xf>
    <xf numFmtId="9" fontId="2" fillId="0" borderId="33" xfId="9" applyFont="1" applyFill="1" applyBorder="1" applyAlignment="1">
      <alignment vertical="center"/>
    </xf>
    <xf numFmtId="9" fontId="2" fillId="0" borderId="31" xfId="9" applyFont="1" applyFill="1" applyBorder="1" applyAlignment="1">
      <alignment vertical="center"/>
    </xf>
    <xf numFmtId="9" fontId="2" fillId="0" borderId="54" xfId="9" applyFont="1" applyFill="1" applyBorder="1" applyAlignment="1">
      <alignment vertical="center"/>
    </xf>
    <xf numFmtId="9" fontId="2" fillId="0" borderId="65" xfId="9" applyFont="1" applyFill="1" applyBorder="1" applyAlignment="1">
      <alignment horizontal="center" vertical="center"/>
    </xf>
    <xf numFmtId="9" fontId="2" fillId="0" borderId="31" xfId="9" applyFont="1" applyFill="1" applyBorder="1" applyAlignment="1">
      <alignment horizontal="center" vertical="center"/>
    </xf>
    <xf numFmtId="164" fontId="8" fillId="0" borderId="57" xfId="0" applyNumberFormat="1" applyFont="1" applyFill="1" applyBorder="1" applyAlignment="1">
      <alignment vertical="center"/>
    </xf>
    <xf numFmtId="0" fontId="8" fillId="0" borderId="48" xfId="0" applyFont="1" applyFill="1" applyBorder="1" applyAlignment="1">
      <alignment vertical="center"/>
    </xf>
    <xf numFmtId="0" fontId="8" fillId="0" borderId="58" xfId="0" applyFont="1" applyFill="1" applyBorder="1" applyAlignment="1">
      <alignment vertical="center"/>
    </xf>
    <xf numFmtId="0" fontId="2" fillId="0" borderId="54" xfId="11" applyNumberFormat="1" applyFont="1" applyFill="1" applyBorder="1" applyAlignment="1">
      <alignment horizontal="left" vertical="center" indent="10"/>
    </xf>
    <xf numFmtId="0" fontId="2" fillId="0" borderId="55" xfId="11" applyNumberFormat="1" applyFont="1" applyFill="1" applyBorder="1" applyAlignment="1">
      <alignment horizontal="left" vertical="center" indent="10"/>
    </xf>
    <xf numFmtId="0" fontId="2" fillId="0" borderId="56" xfId="11" applyNumberFormat="1" applyFont="1" applyFill="1" applyBorder="1" applyAlignment="1">
      <alignment horizontal="left" vertical="center" indent="10"/>
    </xf>
    <xf numFmtId="0" fontId="2" fillId="0" borderId="4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164" fontId="5" fillId="0" borderId="50" xfId="0" applyNumberFormat="1" applyFont="1" applyFill="1" applyBorder="1" applyAlignment="1">
      <alignment vertical="center"/>
    </xf>
    <xf numFmtId="0" fontId="5" fillId="0" borderId="45" xfId="0" applyFont="1" applyFill="1" applyBorder="1" applyAlignment="1">
      <alignment vertical="center"/>
    </xf>
    <xf numFmtId="0" fontId="5" fillId="0" borderId="46" xfId="0" applyFont="1" applyFill="1" applyBorder="1" applyAlignment="1">
      <alignment vertical="center"/>
    </xf>
    <xf numFmtId="164" fontId="16" fillId="0" borderId="0" xfId="11" applyFont="1" applyFill="1" applyBorder="1" applyAlignment="1">
      <alignment vertical="center"/>
    </xf>
    <xf numFmtId="164" fontId="2" fillId="0" borderId="51" xfId="11" applyFont="1" applyFill="1" applyBorder="1" applyAlignment="1">
      <alignment vertical="center"/>
    </xf>
    <xf numFmtId="164" fontId="2" fillId="0" borderId="52" xfId="11" applyFont="1" applyFill="1" applyBorder="1" applyAlignment="1">
      <alignment vertical="center"/>
    </xf>
    <xf numFmtId="164" fontId="2" fillId="0" borderId="53" xfId="11" applyFont="1" applyFill="1" applyBorder="1" applyAlignment="1">
      <alignment vertical="center"/>
    </xf>
    <xf numFmtId="164" fontId="2" fillId="0" borderId="54" xfId="11" applyFont="1" applyFill="1" applyBorder="1" applyAlignment="1">
      <alignment vertical="center"/>
    </xf>
    <xf numFmtId="164" fontId="8" fillId="0" borderId="43" xfId="11" applyFont="1" applyFill="1" applyBorder="1" applyAlignment="1" applyProtection="1">
      <alignment vertical="center"/>
      <protection locked="0"/>
    </xf>
    <xf numFmtId="164" fontId="8" fillId="0" borderId="64" xfId="11" applyFont="1" applyFill="1" applyBorder="1" applyAlignment="1" applyProtection="1">
      <alignment vertical="center"/>
      <protection locked="0"/>
    </xf>
    <xf numFmtId="164" fontId="5" fillId="0" borderId="60" xfId="0" applyNumberFormat="1" applyFont="1" applyFill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34" xfId="0" applyFont="1" applyFill="1" applyBorder="1" applyAlignment="1">
      <alignment vertical="center"/>
    </xf>
    <xf numFmtId="164" fontId="4" fillId="3" borderId="61" xfId="0" applyNumberFormat="1" applyFont="1" applyFill="1" applyBorder="1" applyAlignment="1">
      <alignment vertical="center"/>
    </xf>
    <xf numFmtId="0" fontId="4" fillId="3" borderId="61" xfId="0" applyFont="1" applyFill="1" applyBorder="1" applyAlignment="1">
      <alignment vertical="center"/>
    </xf>
    <xf numFmtId="0" fontId="4" fillId="3" borderId="62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2" fillId="0" borderId="19" xfId="0" applyFont="1" applyFill="1" applyBorder="1" applyAlignment="1">
      <alignment vertical="center"/>
    </xf>
    <xf numFmtId="0" fontId="4" fillId="0" borderId="35" xfId="0" applyNumberFormat="1" applyFont="1" applyFill="1" applyBorder="1" applyAlignment="1" applyProtection="1">
      <alignment horizontal="center" vertical="center"/>
      <protection locked="0"/>
    </xf>
    <xf numFmtId="0" fontId="4" fillId="0" borderId="36" xfId="0" applyNumberFormat="1" applyFont="1" applyFill="1" applyBorder="1" applyAlignment="1" applyProtection="1">
      <alignment horizontal="center" vertical="center"/>
      <protection locked="0"/>
    </xf>
    <xf numFmtId="0" fontId="4" fillId="0" borderId="37" xfId="0" applyNumberFormat="1" applyFont="1" applyFill="1" applyBorder="1" applyAlignment="1" applyProtection="1">
      <alignment horizontal="center" vertical="center"/>
      <protection locked="0"/>
    </xf>
    <xf numFmtId="0" fontId="2" fillId="0" borderId="42" xfId="0" applyFont="1" applyFill="1" applyBorder="1" applyAlignment="1">
      <alignment vertical="center"/>
    </xf>
    <xf numFmtId="0" fontId="2" fillId="0" borderId="43" xfId="0" applyFont="1" applyFill="1" applyBorder="1" applyAlignment="1">
      <alignment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vertical="center"/>
    </xf>
    <xf numFmtId="0" fontId="2" fillId="0" borderId="31" xfId="0" applyFont="1" applyFill="1" applyBorder="1" applyAlignment="1" applyProtection="1">
      <alignment vertical="center"/>
    </xf>
    <xf numFmtId="166" fontId="2" fillId="0" borderId="31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169" fontId="2" fillId="0" borderId="31" xfId="0" applyNumberFormat="1" applyFont="1" applyFill="1" applyBorder="1" applyAlignment="1">
      <alignment horizontal="center" vertical="center"/>
    </xf>
    <xf numFmtId="16" fontId="2" fillId="0" borderId="31" xfId="0" quotePrefix="1" applyNumberFormat="1" applyFont="1" applyFill="1" applyBorder="1" applyAlignment="1">
      <alignment horizontal="center" vertical="center"/>
    </xf>
    <xf numFmtId="9" fontId="4" fillId="0" borderId="35" xfId="9" applyNumberFormat="1" applyFont="1" applyFill="1" applyBorder="1" applyAlignment="1" applyProtection="1">
      <alignment horizontal="center" vertical="center"/>
      <protection locked="0"/>
    </xf>
    <xf numFmtId="9" fontId="4" fillId="0" borderId="36" xfId="9" applyNumberFormat="1" applyFont="1" applyFill="1" applyBorder="1" applyAlignment="1" applyProtection="1">
      <alignment horizontal="center" vertical="center"/>
      <protection locked="0"/>
    </xf>
    <xf numFmtId="9" fontId="4" fillId="0" borderId="37" xfId="9" applyNumberFormat="1" applyFont="1" applyFill="1" applyBorder="1" applyAlignment="1" applyProtection="1">
      <alignment horizontal="center" vertical="center"/>
      <protection locked="0"/>
    </xf>
    <xf numFmtId="0" fontId="4" fillId="0" borderId="35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4" fontId="23" fillId="0" borderId="0" xfId="0" applyNumberFormat="1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" fillId="3" borderId="21" xfId="0" applyFont="1" applyFill="1" applyBorder="1" applyAlignment="1" applyProtection="1">
      <alignment horizontal="left" vertical="center" indent="1"/>
    </xf>
    <xf numFmtId="0" fontId="2" fillId="3" borderId="22" xfId="0" applyFont="1" applyFill="1" applyBorder="1" applyAlignment="1" applyProtection="1">
      <alignment horizontal="left" vertical="center" indent="1"/>
    </xf>
    <xf numFmtId="0" fontId="2" fillId="3" borderId="30" xfId="0" applyFont="1" applyFill="1" applyBorder="1" applyAlignment="1" applyProtection="1">
      <alignment horizontal="left" vertical="center" indent="1"/>
    </xf>
    <xf numFmtId="0" fontId="15" fillId="0" borderId="40" xfId="0" applyFont="1" applyFill="1" applyBorder="1" applyAlignment="1">
      <alignment horizontal="center" vertical="center"/>
    </xf>
    <xf numFmtId="0" fontId="15" fillId="0" borderId="41" xfId="0" applyFont="1" applyFill="1" applyBorder="1" applyAlignment="1">
      <alignment horizontal="center" vertical="center"/>
    </xf>
    <xf numFmtId="166" fontId="2" fillId="0" borderId="31" xfId="0" applyNumberFormat="1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left" vertical="center" indent="1"/>
    </xf>
    <xf numFmtId="0" fontId="2" fillId="0" borderId="0" xfId="0" applyFont="1" applyFill="1" applyAlignment="1">
      <alignment horizontal="left" vertical="center" indent="1"/>
    </xf>
    <xf numFmtId="0" fontId="7" fillId="0" borderId="0" xfId="0" applyFont="1" applyFill="1" applyBorder="1" applyAlignment="1">
      <alignment horizontal="left" vertical="center"/>
    </xf>
    <xf numFmtId="4" fontId="4" fillId="0" borderId="35" xfId="0" applyNumberFormat="1" applyFont="1" applyFill="1" applyBorder="1" applyAlignment="1" applyProtection="1">
      <alignment horizontal="center" vertical="center"/>
      <protection locked="0"/>
    </xf>
    <xf numFmtId="4" fontId="4" fillId="0" borderId="36" xfId="0" applyNumberFormat="1" applyFont="1" applyFill="1" applyBorder="1" applyAlignment="1" applyProtection="1">
      <alignment horizontal="center" vertical="center"/>
      <protection locked="0"/>
    </xf>
    <xf numFmtId="4" fontId="4" fillId="0" borderId="37" xfId="0" applyNumberFormat="1" applyFont="1" applyFill="1" applyBorder="1" applyAlignment="1" applyProtection="1">
      <alignment horizontal="center" vertical="center"/>
      <protection locked="0"/>
    </xf>
    <xf numFmtId="165" fontId="4" fillId="0" borderId="35" xfId="0" applyNumberFormat="1" applyFont="1" applyFill="1" applyBorder="1" applyAlignment="1" applyProtection="1">
      <alignment horizontal="center" vertical="center"/>
      <protection locked="0"/>
    </xf>
    <xf numFmtId="165" fontId="4" fillId="0" borderId="36" xfId="0" applyNumberFormat="1" applyFont="1" applyFill="1" applyBorder="1" applyAlignment="1" applyProtection="1">
      <alignment horizontal="center" vertical="center"/>
      <protection locked="0"/>
    </xf>
    <xf numFmtId="165" fontId="4" fillId="0" borderId="37" xfId="0" applyNumberFormat="1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 applyProtection="1">
      <alignment horizontal="center" vertical="center"/>
      <protection locked="0"/>
    </xf>
    <xf numFmtId="164" fontId="2" fillId="0" borderId="38" xfId="11" applyFont="1" applyFill="1" applyBorder="1" applyAlignment="1" applyProtection="1">
      <alignment vertical="center"/>
      <protection locked="0"/>
    </xf>
    <xf numFmtId="164" fontId="2" fillId="0" borderId="39" xfId="11" applyFont="1" applyFill="1" applyBorder="1" applyAlignment="1" applyProtection="1">
      <alignment vertical="center"/>
      <protection locked="0"/>
    </xf>
    <xf numFmtId="0" fontId="4" fillId="0" borderId="26" xfId="0" applyFont="1" applyFill="1" applyBorder="1" applyAlignment="1" applyProtection="1">
      <alignment horizontal="left" vertical="center" indent="1"/>
      <protection locked="0"/>
    </xf>
    <xf numFmtId="164" fontId="17" fillId="0" borderId="0" xfId="11" applyFont="1" applyFill="1" applyBorder="1" applyAlignment="1" applyProtection="1">
      <alignment horizontal="center" vertical="center" textRotation="90"/>
    </xf>
    <xf numFmtId="164" fontId="2" fillId="0" borderId="31" xfId="11" applyFont="1" applyFill="1" applyBorder="1" applyAlignment="1" applyProtection="1">
      <alignment vertical="center"/>
    </xf>
    <xf numFmtId="164" fontId="2" fillId="0" borderId="32" xfId="11" applyFont="1" applyFill="1" applyBorder="1" applyAlignment="1" applyProtection="1">
      <alignment vertical="center"/>
    </xf>
    <xf numFmtId="0" fontId="2" fillId="0" borderId="31" xfId="0" quotePrefix="1" applyFont="1" applyFill="1" applyBorder="1" applyAlignment="1">
      <alignment horizontal="center" vertical="center"/>
    </xf>
    <xf numFmtId="164" fontId="8" fillId="0" borderId="21" xfId="0" applyNumberFormat="1" applyFont="1" applyBorder="1" applyAlignment="1" applyProtection="1">
      <alignment horizontal="left" vertical="center" indent="1"/>
    </xf>
    <xf numFmtId="164" fontId="8" fillId="0" borderId="22" xfId="0" applyNumberFormat="1" applyFont="1" applyBorder="1" applyAlignment="1" applyProtection="1">
      <alignment horizontal="left" vertical="center" indent="1"/>
    </xf>
    <xf numFmtId="164" fontId="8" fillId="0" borderId="30" xfId="0" applyNumberFormat="1" applyFont="1" applyBorder="1" applyAlignment="1" applyProtection="1">
      <alignment horizontal="left" vertical="center" indent="1"/>
    </xf>
    <xf numFmtId="164" fontId="8" fillId="0" borderId="20" xfId="0" applyNumberFormat="1" applyFont="1" applyBorder="1" applyAlignment="1" applyProtection="1">
      <alignment horizontal="left" vertical="center" indent="1"/>
    </xf>
    <xf numFmtId="164" fontId="8" fillId="0" borderId="26" xfId="0" applyNumberFormat="1" applyFont="1" applyBorder="1" applyAlignment="1" applyProtection="1">
      <alignment horizontal="left" vertical="center" indent="1"/>
    </xf>
    <xf numFmtId="164" fontId="8" fillId="0" borderId="27" xfId="0" applyNumberFormat="1" applyFont="1" applyBorder="1" applyAlignment="1" applyProtection="1">
      <alignment horizontal="left" vertical="center" indent="1"/>
    </xf>
    <xf numFmtId="168" fontId="8" fillId="0" borderId="20" xfId="0" applyNumberFormat="1" applyFont="1" applyBorder="1" applyAlignment="1" applyProtection="1">
      <alignment horizontal="left" vertical="center" indent="1"/>
    </xf>
    <xf numFmtId="168" fontId="8" fillId="0" borderId="26" xfId="0" applyNumberFormat="1" applyFont="1" applyBorder="1" applyAlignment="1" applyProtection="1">
      <alignment horizontal="left" vertical="center" indent="1"/>
    </xf>
    <xf numFmtId="168" fontId="8" fillId="0" borderId="27" xfId="0" applyNumberFormat="1" applyFont="1" applyBorder="1" applyAlignment="1" applyProtection="1">
      <alignment horizontal="left" vertical="center" indent="1"/>
    </xf>
    <xf numFmtId="0" fontId="8" fillId="0" borderId="20" xfId="0" applyNumberFormat="1" applyFont="1" applyBorder="1" applyAlignment="1" applyProtection="1">
      <alignment horizontal="left" vertical="center" indent="1"/>
    </xf>
    <xf numFmtId="0" fontId="8" fillId="0" borderId="26" xfId="0" applyNumberFormat="1" applyFont="1" applyBorder="1" applyAlignment="1" applyProtection="1">
      <alignment horizontal="left" vertical="center" indent="1"/>
    </xf>
    <xf numFmtId="0" fontId="8" fillId="0" borderId="27" xfId="0" applyNumberFormat="1" applyFont="1" applyBorder="1" applyAlignment="1" applyProtection="1">
      <alignment horizontal="left" vertical="center" indent="1"/>
    </xf>
    <xf numFmtId="168" fontId="8" fillId="0" borderId="22" xfId="0" applyNumberFormat="1" applyFont="1" applyFill="1" applyBorder="1" applyAlignment="1" applyProtection="1">
      <alignment horizontal="left" vertical="center" indent="1"/>
    </xf>
    <xf numFmtId="168" fontId="8" fillId="0" borderId="30" xfId="0" applyNumberFormat="1" applyFont="1" applyFill="1" applyBorder="1" applyAlignment="1" applyProtection="1">
      <alignment horizontal="left" vertical="center" indent="1"/>
    </xf>
    <xf numFmtId="168" fontId="22" fillId="0" borderId="26" xfId="0" applyNumberFormat="1" applyFont="1" applyFill="1" applyBorder="1" applyAlignment="1" applyProtection="1">
      <alignment horizontal="left" vertical="center" indent="1"/>
    </xf>
    <xf numFmtId="168" fontId="22" fillId="0" borderId="27" xfId="0" applyNumberFormat="1" applyFont="1" applyFill="1" applyBorder="1" applyAlignment="1" applyProtection="1">
      <alignment horizontal="left" vertical="center" indent="1"/>
    </xf>
    <xf numFmtId="0" fontId="22" fillId="0" borderId="0" xfId="0" applyFont="1" applyBorder="1" applyAlignment="1" applyProtection="1">
      <alignment horizontal="left" vertical="center" indent="1"/>
    </xf>
    <xf numFmtId="0" fontId="2" fillId="0" borderId="21" xfId="0" applyFont="1" applyFill="1" applyBorder="1" applyAlignment="1" applyProtection="1">
      <alignment horizontal="left" vertical="center" indent="1"/>
    </xf>
    <xf numFmtId="0" fontId="2" fillId="0" borderId="22" xfId="0" applyFont="1" applyFill="1" applyBorder="1" applyAlignment="1" applyProtection="1">
      <alignment horizontal="left" vertical="center" indent="1"/>
    </xf>
    <xf numFmtId="0" fontId="2" fillId="3" borderId="20" xfId="0" applyFont="1" applyFill="1" applyBorder="1" applyAlignment="1" applyProtection="1">
      <alignment horizontal="left" vertical="center" indent="1"/>
    </xf>
    <xf numFmtId="0" fontId="2" fillId="3" borderId="26" xfId="0" applyFont="1" applyFill="1" applyBorder="1" applyAlignment="1" applyProtection="1">
      <alignment horizontal="left" vertical="center" indent="1"/>
    </xf>
    <xf numFmtId="168" fontId="8" fillId="3" borderId="26" xfId="0" applyNumberFormat="1" applyFont="1" applyFill="1" applyBorder="1" applyAlignment="1" applyProtection="1">
      <alignment horizontal="left" vertical="center" indent="1"/>
    </xf>
    <xf numFmtId="168" fontId="8" fillId="3" borderId="27" xfId="0" applyNumberFormat="1" applyFont="1" applyFill="1" applyBorder="1" applyAlignment="1" applyProtection="1">
      <alignment horizontal="left" vertical="center" indent="1"/>
    </xf>
    <xf numFmtId="0" fontId="2" fillId="3" borderId="28" xfId="0" applyFont="1" applyFill="1" applyBorder="1" applyAlignment="1" applyProtection="1">
      <alignment horizontal="left" vertical="center" indent="1"/>
    </xf>
    <xf numFmtId="0" fontId="2" fillId="3" borderId="0" xfId="0" applyFont="1" applyFill="1" applyBorder="1" applyAlignment="1" applyProtection="1">
      <alignment horizontal="left" vertical="center" indent="1"/>
    </xf>
    <xf numFmtId="168" fontId="8" fillId="3" borderId="0" xfId="0" applyNumberFormat="1" applyFont="1" applyFill="1" applyBorder="1" applyAlignment="1" applyProtection="1">
      <alignment horizontal="left" vertical="center" indent="1"/>
    </xf>
    <xf numFmtId="168" fontId="8" fillId="3" borderId="29" xfId="0" applyNumberFormat="1" applyFont="1" applyFill="1" applyBorder="1" applyAlignment="1" applyProtection="1">
      <alignment horizontal="left" vertical="center" indent="1"/>
    </xf>
    <xf numFmtId="0" fontId="2" fillId="0" borderId="28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center" indent="1"/>
    </xf>
    <xf numFmtId="168" fontId="8" fillId="0" borderId="0" xfId="0" applyNumberFormat="1" applyFont="1" applyFill="1" applyBorder="1" applyAlignment="1" applyProtection="1">
      <alignment horizontal="left" vertical="center" indent="1"/>
    </xf>
    <xf numFmtId="168" fontId="8" fillId="0" borderId="29" xfId="0" applyNumberFormat="1" applyFont="1" applyFill="1" applyBorder="1" applyAlignment="1" applyProtection="1">
      <alignment horizontal="left" vertical="center" indent="1"/>
    </xf>
    <xf numFmtId="0" fontId="22" fillId="0" borderId="20" xfId="0" applyFont="1" applyFill="1" applyBorder="1" applyAlignment="1" applyProtection="1">
      <alignment horizontal="left" vertical="center" indent="1"/>
    </xf>
    <xf numFmtId="0" fontId="22" fillId="0" borderId="26" xfId="0" applyFont="1" applyFill="1" applyBorder="1" applyAlignment="1" applyProtection="1">
      <alignment horizontal="left" vertical="center" indent="1"/>
    </xf>
    <xf numFmtId="164" fontId="25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164" fontId="37" fillId="4" borderId="1" xfId="11" applyFont="1" applyFill="1" applyBorder="1" applyAlignment="1" applyProtection="1">
      <alignment horizontal="center" vertical="center"/>
    </xf>
    <xf numFmtId="164" fontId="39" fillId="2" borderId="19" xfId="11" applyFont="1" applyFill="1" applyBorder="1" applyAlignment="1" applyProtection="1">
      <alignment horizontal="left" vertical="center"/>
    </xf>
    <xf numFmtId="164" fontId="39" fillId="2" borderId="0" xfId="11" applyFont="1" applyFill="1" applyBorder="1" applyAlignment="1" applyProtection="1">
      <alignment horizontal="left" vertical="center"/>
    </xf>
    <xf numFmtId="0" fontId="31" fillId="6" borderId="0" xfId="0" applyFont="1" applyFill="1" applyBorder="1" applyAlignment="1">
      <alignment vertical="center" wrapText="1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vertical="center"/>
    </xf>
    <xf numFmtId="0" fontId="32" fillId="6" borderId="0" xfId="4" applyFont="1" applyFill="1" applyAlignment="1" applyProtection="1">
      <alignment vertical="center"/>
    </xf>
    <xf numFmtId="0" fontId="49" fillId="7" borderId="6" xfId="0" applyFont="1" applyFill="1" applyBorder="1" applyAlignment="1">
      <alignment horizontal="center" vertical="center" wrapText="1"/>
    </xf>
    <xf numFmtId="0" fontId="49" fillId="7" borderId="4" xfId="0" applyFont="1" applyFill="1" applyBorder="1" applyAlignment="1">
      <alignment horizontal="center" vertical="center" wrapText="1"/>
    </xf>
    <xf numFmtId="0" fontId="49" fillId="7" borderId="75" xfId="0" applyFont="1" applyFill="1" applyBorder="1" applyAlignment="1">
      <alignment horizontal="center" vertical="center" wrapText="1"/>
    </xf>
    <xf numFmtId="0" fontId="49" fillId="7" borderId="7" xfId="0" applyFont="1" applyFill="1" applyBorder="1" applyAlignment="1">
      <alignment horizontal="center" vertical="center" wrapText="1"/>
    </xf>
    <xf numFmtId="0" fontId="49" fillId="7" borderId="5" xfId="0" applyFont="1" applyFill="1" applyBorder="1" applyAlignment="1">
      <alignment horizontal="center" vertical="center" wrapText="1"/>
    </xf>
    <xf numFmtId="0" fontId="49" fillId="7" borderId="13" xfId="0" applyFont="1" applyFill="1" applyBorder="1" applyAlignment="1">
      <alignment horizontal="center" vertical="center" wrapText="1"/>
    </xf>
    <xf numFmtId="0" fontId="33" fillId="6" borderId="0" xfId="4" applyFont="1" applyFill="1" applyBorder="1" applyAlignment="1" applyProtection="1">
      <alignment vertical="center" textRotation="255"/>
    </xf>
    <xf numFmtId="164" fontId="34" fillId="6" borderId="0" xfId="11" applyFont="1" applyFill="1" applyBorder="1" applyAlignment="1" applyProtection="1">
      <alignment vertical="center"/>
    </xf>
    <xf numFmtId="0" fontId="2" fillId="6" borderId="0" xfId="0" applyFont="1" applyFill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36" fillId="6" borderId="0" xfId="0" applyFont="1" applyFill="1" applyBorder="1" applyAlignment="1">
      <alignment horizontal="center" vertical="center"/>
    </xf>
    <xf numFmtId="0" fontId="49" fillId="7" borderId="0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/>
    </xf>
    <xf numFmtId="164" fontId="6" fillId="6" borderId="0" xfId="11" applyFont="1" applyFill="1" applyAlignment="1" applyProtection="1">
      <alignment horizontal="center" vertical="center"/>
    </xf>
    <xf numFmtId="164" fontId="13" fillId="6" borderId="0" xfId="11" applyFont="1" applyFill="1" applyAlignment="1" applyProtection="1">
      <alignment horizontal="center" vertical="center"/>
    </xf>
    <xf numFmtId="164" fontId="6" fillId="6" borderId="0" xfId="11" applyFont="1" applyFill="1" applyAlignment="1" applyProtection="1">
      <alignment vertical="center"/>
    </xf>
    <xf numFmtId="164" fontId="6" fillId="6" borderId="6" xfId="11" applyFont="1" applyFill="1" applyBorder="1" applyAlignment="1" applyProtection="1">
      <alignment vertical="center"/>
    </xf>
    <xf numFmtId="0" fontId="24" fillId="6" borderId="4" xfId="0" applyFont="1" applyFill="1" applyBorder="1" applyAlignment="1">
      <alignment vertical="center"/>
    </xf>
    <xf numFmtId="164" fontId="6" fillId="6" borderId="7" xfId="11" applyFont="1" applyFill="1" applyBorder="1" applyAlignment="1" applyProtection="1">
      <alignment vertical="center"/>
    </xf>
    <xf numFmtId="0" fontId="24" fillId="6" borderId="5" xfId="0" applyFont="1" applyFill="1" applyBorder="1" applyAlignment="1">
      <alignment vertical="center"/>
    </xf>
    <xf numFmtId="0" fontId="24" fillId="6" borderId="0" xfId="0" applyFont="1" applyFill="1" applyBorder="1" applyAlignment="1">
      <alignment vertical="center"/>
    </xf>
    <xf numFmtId="0" fontId="28" fillId="6" borderId="0" xfId="0" applyFont="1" applyFill="1" applyAlignment="1">
      <alignment vertical="center"/>
    </xf>
    <xf numFmtId="164" fontId="6" fillId="6" borderId="0" xfId="11" applyFont="1" applyFill="1" applyBorder="1" applyAlignment="1" applyProtection="1">
      <alignment horizontal="center" vertical="center"/>
    </xf>
    <xf numFmtId="164" fontId="29" fillId="6" borderId="0" xfId="11" applyFont="1" applyFill="1" applyAlignment="1" applyProtection="1">
      <alignment horizontal="center" vertical="center"/>
    </xf>
    <xf numFmtId="164" fontId="40" fillId="6" borderId="0" xfId="11" applyFont="1" applyFill="1" applyAlignment="1" applyProtection="1">
      <alignment horizontal="center" vertical="center"/>
    </xf>
    <xf numFmtId="164" fontId="4" fillId="6" borderId="0" xfId="11" applyFont="1" applyFill="1" applyAlignment="1" applyProtection="1">
      <alignment horizontal="center" vertical="center"/>
    </xf>
  </cellXfs>
  <cellStyles count="15">
    <cellStyle name="Euro" xfId="1"/>
    <cellStyle name="hh:mm:ss Hora" xfId="2"/>
    <cellStyle name="Hiperlink" xfId="4" builtinId="8"/>
    <cellStyle name="Hiperlink 2" xfId="3"/>
    <cellStyle name="Hyperlink 2" xfId="5"/>
    <cellStyle name="Hyperlink_Planilha de Vendas Mercado Livre" xfId="6"/>
    <cellStyle name="Hyperlink_Planilha de Vendas Mercado Livre 2" xfId="14"/>
    <cellStyle name="Normal" xfId="0" builtinId="0"/>
    <cellStyle name="Normal 2" xfId="7"/>
    <cellStyle name="Normal 3" xfId="8"/>
    <cellStyle name="Normal 4" xfId="13"/>
    <cellStyle name="Porcentagem" xfId="9" builtinId="5"/>
    <cellStyle name="Porcentagem 2" xfId="10"/>
    <cellStyle name="Separador de milhares 2" xfId="12"/>
    <cellStyle name="Vírgula" xfId="11" builtinId="3"/>
  </cellStyles>
  <dxfs count="0"/>
  <tableStyles count="0" defaultTableStyle="TableStyleMedium9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$F$82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Drop" dropLines="3" dropStyle="combo" dx="22" fmlaLink="$F$83" fmlaRange="$H$82:$H$84" val="0"/>
</file>

<file path=xl/ctrlProps/ctrlProp5.xml><?xml version="1.0" encoding="utf-8"?>
<formControlPr xmlns="http://schemas.microsoft.com/office/spreadsheetml/2009/9/main" objectType="Drop" dropLines="3" dropStyle="combo" dx="22" fmlaLink="$I$88" fmlaRange="$H$85:$H$87" sel="2" val="0"/>
</file>

<file path=xl/ctrlProps/ctrlProp6.xml><?xml version="1.0" encoding="utf-8"?>
<formControlPr xmlns="http://schemas.microsoft.com/office/spreadsheetml/2009/9/main" objectType="Drop" dropLines="2" dropStyle="combo" dx="22" fmlaLink="$AF$83" fmlaRange="$AG$81:$AG$8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sultainss.net/tabela-inss-2016/" TargetMode="External"/><Relationship Id="rId2" Type="http://schemas.openxmlformats.org/officeDocument/2006/relationships/hyperlink" Target="http://www.dpc.com.br/pt-br/show/tabela-progressiva-do-imposto-de-renda" TargetMode="External"/><Relationship Id="rId1" Type="http://schemas.openxmlformats.org/officeDocument/2006/relationships/hyperlink" Target="http://segurodesemprego2016.com/tabela-seguro-desemprego-2016-novos-valore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1647825</xdr:colOff>
      <xdr:row>0</xdr:row>
      <xdr:rowOff>104775</xdr:rowOff>
    </xdr:from>
    <xdr:to>
      <xdr:col>9</xdr:col>
      <xdr:colOff>47625</xdr:colOff>
      <xdr:row>16</xdr:row>
      <xdr:rowOff>0</xdr:rowOff>
    </xdr:to>
    <xdr:pic>
      <xdr:nvPicPr>
        <xdr:cNvPr id="2" name="Imagem 1" descr="branco_WEB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104775"/>
          <a:ext cx="5734050" cy="270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23</xdr:row>
      <xdr:rowOff>0</xdr:rowOff>
    </xdr:from>
    <xdr:to>
      <xdr:col>19</xdr:col>
      <xdr:colOff>180975</xdr:colOff>
      <xdr:row>34</xdr:row>
      <xdr:rowOff>9525</xdr:rowOff>
    </xdr:to>
    <xdr:sp macro="" textlink="">
      <xdr:nvSpPr>
        <xdr:cNvPr id="11352" name="AutoShape 51"/>
        <xdr:cNvSpPr>
          <a:spLocks noChangeArrowheads="1"/>
        </xdr:cNvSpPr>
      </xdr:nvSpPr>
      <xdr:spPr bwMode="auto">
        <a:xfrm>
          <a:off x="381000" y="4714875"/>
          <a:ext cx="3248025" cy="2733675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20</xdr:col>
      <xdr:colOff>19050</xdr:colOff>
      <xdr:row>23</xdr:row>
      <xdr:rowOff>0</xdr:rowOff>
    </xdr:from>
    <xdr:to>
      <xdr:col>38</xdr:col>
      <xdr:colOff>9525</xdr:colOff>
      <xdr:row>29</xdr:row>
      <xdr:rowOff>0</xdr:rowOff>
    </xdr:to>
    <xdr:sp macro="" textlink="">
      <xdr:nvSpPr>
        <xdr:cNvPr id="11353" name="AutoShape 53"/>
        <xdr:cNvSpPr>
          <a:spLocks noChangeArrowheads="1"/>
        </xdr:cNvSpPr>
      </xdr:nvSpPr>
      <xdr:spPr bwMode="auto">
        <a:xfrm>
          <a:off x="3648075" y="4714875"/>
          <a:ext cx="3295650" cy="1485900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23</xdr:col>
      <xdr:colOff>161925</xdr:colOff>
      <xdr:row>25</xdr:row>
      <xdr:rowOff>171450</xdr:rowOff>
    </xdr:from>
    <xdr:to>
      <xdr:col>34</xdr:col>
      <xdr:colOff>57150</xdr:colOff>
      <xdr:row>26</xdr:row>
      <xdr:rowOff>123825</xdr:rowOff>
    </xdr:to>
    <xdr:sp macro="" textlink="">
      <xdr:nvSpPr>
        <xdr:cNvPr id="1079" name="WordArt 55"/>
        <xdr:cNvSpPr>
          <a:spLocks noChangeArrowheads="1" noChangeShapeType="1" noTextEdit="1"/>
        </xdr:cNvSpPr>
      </xdr:nvSpPr>
      <xdr:spPr bwMode="auto">
        <a:xfrm rot="-585707">
          <a:off x="4829175" y="532447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5</xdr:col>
      <xdr:colOff>152400</xdr:colOff>
      <xdr:row>27</xdr:row>
      <xdr:rowOff>190500</xdr:rowOff>
    </xdr:from>
    <xdr:to>
      <xdr:col>16</xdr:col>
      <xdr:colOff>47625</xdr:colOff>
      <xdr:row>28</xdr:row>
      <xdr:rowOff>142875</xdr:rowOff>
    </xdr:to>
    <xdr:sp macro="" textlink="">
      <xdr:nvSpPr>
        <xdr:cNvPr id="1081" name="WordArt 57"/>
        <xdr:cNvSpPr>
          <a:spLocks noChangeArrowheads="1" noChangeShapeType="1" noTextEdit="1"/>
        </xdr:cNvSpPr>
      </xdr:nvSpPr>
      <xdr:spPr bwMode="auto">
        <a:xfrm rot="-585707">
          <a:off x="942975" y="610552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20</xdr:col>
      <xdr:colOff>9525</xdr:colOff>
      <xdr:row>40</xdr:row>
      <xdr:rowOff>9525</xdr:rowOff>
    </xdr:from>
    <xdr:to>
      <xdr:col>38</xdr:col>
      <xdr:colOff>0</xdr:colOff>
      <xdr:row>42</xdr:row>
      <xdr:rowOff>238125</xdr:rowOff>
    </xdr:to>
    <xdr:sp macro="" textlink="">
      <xdr:nvSpPr>
        <xdr:cNvPr id="11356" name="AutoShape 61"/>
        <xdr:cNvSpPr>
          <a:spLocks noChangeArrowheads="1"/>
        </xdr:cNvSpPr>
      </xdr:nvSpPr>
      <xdr:spPr bwMode="auto">
        <a:xfrm>
          <a:off x="3638550" y="8810625"/>
          <a:ext cx="3295650" cy="723900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24</xdr:col>
      <xdr:colOff>0</xdr:colOff>
      <xdr:row>41</xdr:row>
      <xdr:rowOff>0</xdr:rowOff>
    </xdr:from>
    <xdr:to>
      <xdr:col>34</xdr:col>
      <xdr:colOff>76200</xdr:colOff>
      <xdr:row>41</xdr:row>
      <xdr:rowOff>200025</xdr:rowOff>
    </xdr:to>
    <xdr:sp macro="" textlink="">
      <xdr:nvSpPr>
        <xdr:cNvPr id="1087" name="WordArt 63"/>
        <xdr:cNvSpPr>
          <a:spLocks noChangeArrowheads="1" noChangeShapeType="1" noTextEdit="1"/>
        </xdr:cNvSpPr>
      </xdr:nvSpPr>
      <xdr:spPr bwMode="auto">
        <a:xfrm rot="-585707">
          <a:off x="4229100" y="928687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2</xdr:col>
      <xdr:colOff>9525</xdr:colOff>
      <xdr:row>41</xdr:row>
      <xdr:rowOff>9525</xdr:rowOff>
    </xdr:from>
    <xdr:to>
      <xdr:col>20</xdr:col>
      <xdr:colOff>0</xdr:colOff>
      <xdr:row>44</xdr:row>
      <xdr:rowOff>238125</xdr:rowOff>
    </xdr:to>
    <xdr:sp macro="" textlink="">
      <xdr:nvSpPr>
        <xdr:cNvPr id="11358" name="AutoShape 64"/>
        <xdr:cNvSpPr>
          <a:spLocks noChangeArrowheads="1"/>
        </xdr:cNvSpPr>
      </xdr:nvSpPr>
      <xdr:spPr bwMode="auto">
        <a:xfrm>
          <a:off x="381000" y="9058275"/>
          <a:ext cx="3248025" cy="971550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</xdr:col>
      <xdr:colOff>161925</xdr:colOff>
      <xdr:row>42</xdr:row>
      <xdr:rowOff>133350</xdr:rowOff>
    </xdr:from>
    <xdr:to>
      <xdr:col>16</xdr:col>
      <xdr:colOff>57150</xdr:colOff>
      <xdr:row>43</xdr:row>
      <xdr:rowOff>85725</xdr:rowOff>
    </xdr:to>
    <xdr:sp macro="" textlink="">
      <xdr:nvSpPr>
        <xdr:cNvPr id="1089" name="WordArt 65"/>
        <xdr:cNvSpPr>
          <a:spLocks noChangeArrowheads="1" noChangeShapeType="1" noTextEdit="1"/>
        </xdr:cNvSpPr>
      </xdr:nvSpPr>
      <xdr:spPr bwMode="auto">
        <a:xfrm rot="-585707">
          <a:off x="952500" y="966787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18</xdr:col>
      <xdr:colOff>123825</xdr:colOff>
      <xdr:row>39</xdr:row>
      <xdr:rowOff>47625</xdr:rowOff>
    </xdr:from>
    <xdr:to>
      <xdr:col>20</xdr:col>
      <xdr:colOff>66675</xdr:colOff>
      <xdr:row>40</xdr:row>
      <xdr:rowOff>0</xdr:rowOff>
    </xdr:to>
    <xdr:sp macro="" textlink="">
      <xdr:nvSpPr>
        <xdr:cNvPr id="9416" name="AutoShape 66"/>
        <xdr:cNvSpPr>
          <a:spLocks noChangeArrowheads="1"/>
        </xdr:cNvSpPr>
      </xdr:nvSpPr>
      <xdr:spPr bwMode="auto">
        <a:xfrm rot="1353823">
          <a:off x="3390900" y="8601075"/>
          <a:ext cx="304800" cy="200025"/>
        </a:xfrm>
        <a:prstGeom prst="downArrow">
          <a:avLst>
            <a:gd name="adj1" fmla="val 40426"/>
            <a:gd name="adj2" fmla="val 47370"/>
          </a:avLst>
        </a:prstGeom>
        <a:ln>
          <a:headEnd/>
          <a:tailEnd/>
        </a:ln>
        <a:effectLst>
          <a:glow rad="101600">
            <a:schemeClr val="accent6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0</xdr:col>
      <xdr:colOff>147315</xdr:colOff>
      <xdr:row>40</xdr:row>
      <xdr:rowOff>91365</xdr:rowOff>
    </xdr:from>
    <xdr:to>
      <xdr:col>1</xdr:col>
      <xdr:colOff>35724</xdr:colOff>
      <xdr:row>41</xdr:row>
      <xdr:rowOff>148515</xdr:rowOff>
    </xdr:to>
    <xdr:sp macro="" textlink="">
      <xdr:nvSpPr>
        <xdr:cNvPr id="14" name="AutoShape 66"/>
        <xdr:cNvSpPr>
          <a:spLocks noChangeArrowheads="1"/>
        </xdr:cNvSpPr>
      </xdr:nvSpPr>
      <xdr:spPr bwMode="auto">
        <a:xfrm rot="18625584">
          <a:off x="96282" y="8943498"/>
          <a:ext cx="304800" cy="202734"/>
        </a:xfrm>
        <a:prstGeom prst="downArrow">
          <a:avLst>
            <a:gd name="adj1" fmla="val 40426"/>
            <a:gd name="adj2" fmla="val 47370"/>
          </a:avLst>
        </a:prstGeom>
        <a:ln>
          <a:headEnd/>
          <a:tailEnd/>
        </a:ln>
        <a:effectLst>
          <a:glow rad="101600">
            <a:schemeClr val="accent6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133350</xdr:colOff>
          <xdr:row>12</xdr:row>
          <xdr:rowOff>219075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133350</xdr:colOff>
          <xdr:row>13</xdr:row>
          <xdr:rowOff>219075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133350</xdr:colOff>
          <xdr:row>14</xdr:row>
          <xdr:rowOff>219075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152400</xdr:colOff>
          <xdr:row>17</xdr:row>
          <xdr:rowOff>0</xdr:rowOff>
        </xdr:from>
        <xdr:to>
          <xdr:col>37</xdr:col>
          <xdr:colOff>28575</xdr:colOff>
          <xdr:row>17</xdr:row>
          <xdr:rowOff>200025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8</xdr:col>
          <xdr:colOff>114300</xdr:colOff>
          <xdr:row>20</xdr:row>
          <xdr:rowOff>200025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19050</xdr:rowOff>
        </xdr:from>
        <xdr:to>
          <xdr:col>10</xdr:col>
          <xdr:colOff>152400</xdr:colOff>
          <xdr:row>41</xdr:row>
          <xdr:rowOff>238125</xdr:rowOff>
        </xdr:to>
        <xdr:sp macro="" textlink="">
          <xdr:nvSpPr>
            <xdr:cNvPr id="11324" name="Drop Down 1084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23</xdr:row>
      <xdr:rowOff>114300</xdr:rowOff>
    </xdr:from>
    <xdr:to>
      <xdr:col>8</xdr:col>
      <xdr:colOff>1009650</xdr:colOff>
      <xdr:row>24</xdr:row>
      <xdr:rowOff>200025</xdr:rowOff>
    </xdr:to>
    <xdr:sp macro="" textlink="">
      <xdr:nvSpPr>
        <xdr:cNvPr id="2054" name="AutoShape 6">
          <a:hlinkClick xmlns:r="http://schemas.openxmlformats.org/officeDocument/2006/relationships" r:id="rId1" tooltip="TABELAS ATUALIZADAS!"/>
        </xdr:cNvPr>
        <xdr:cNvSpPr>
          <a:spLocks noChangeArrowheads="1"/>
        </xdr:cNvSpPr>
      </xdr:nvSpPr>
      <xdr:spPr bwMode="auto">
        <a:xfrm>
          <a:off x="5800725" y="4953000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7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  <xdr:twoCellAnchor>
    <xdr:from>
      <xdr:col>8</xdr:col>
      <xdr:colOff>57150</xdr:colOff>
      <xdr:row>13</xdr:row>
      <xdr:rowOff>114300</xdr:rowOff>
    </xdr:from>
    <xdr:to>
      <xdr:col>8</xdr:col>
      <xdr:colOff>1000125</xdr:colOff>
      <xdr:row>14</xdr:row>
      <xdr:rowOff>200025</xdr:rowOff>
    </xdr:to>
    <xdr:sp macro="" textlink="">
      <xdr:nvSpPr>
        <xdr:cNvPr id="2055" name="AutoShape 7">
          <a:hlinkClick xmlns:r="http://schemas.openxmlformats.org/officeDocument/2006/relationships" r:id="rId2" tooltip="TABELAS ATUALIZADAS - IMPOSTO DE RENDA PF."/>
        </xdr:cNvPr>
        <xdr:cNvSpPr>
          <a:spLocks noChangeArrowheads="1"/>
        </xdr:cNvSpPr>
      </xdr:nvSpPr>
      <xdr:spPr bwMode="auto">
        <a:xfrm>
          <a:off x="5800725" y="2847975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8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  <xdr:twoCellAnchor>
    <xdr:from>
      <xdr:col>8</xdr:col>
      <xdr:colOff>76200</xdr:colOff>
      <xdr:row>4</xdr:row>
      <xdr:rowOff>114300</xdr:rowOff>
    </xdr:from>
    <xdr:to>
      <xdr:col>8</xdr:col>
      <xdr:colOff>1019175</xdr:colOff>
      <xdr:row>5</xdr:row>
      <xdr:rowOff>200025</xdr:rowOff>
    </xdr:to>
    <xdr:sp macro="" textlink="">
      <xdr:nvSpPr>
        <xdr:cNvPr id="6" name="AutoShape 7">
          <a:hlinkClick xmlns:r="http://schemas.openxmlformats.org/officeDocument/2006/relationships" r:id="rId3" tooltip="TABELAS ATUALIZADAS - CONTRIBUIÇÃO PREVIDENCIÁRIA."/>
        </xdr:cNvPr>
        <xdr:cNvSpPr>
          <a:spLocks noChangeArrowheads="1"/>
        </xdr:cNvSpPr>
      </xdr:nvSpPr>
      <xdr:spPr bwMode="auto">
        <a:xfrm>
          <a:off x="5800725" y="990600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8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RIANO/Documents/Pasta%20pessoal/Vendas%20Drino%20Planilhas/planilhas%20para%20venda/Projetos%20para%20planilhas%20ML/Controle%20Estoqu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RIANO/Documents/Pasta%20pessoal/Vendas%20Drino%20Planilhas/planilhas%20para%20venda/cart&#227;o%20de%20ponto%20avan&#231;ado%202.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Leia_me"/>
      <sheetName val="Menu_Principal"/>
      <sheetName val="Cadastro Produtos"/>
      <sheetName val="Matriz"/>
      <sheetName val="Filial1"/>
      <sheetName val="Filial2"/>
      <sheetName val="Relatorio"/>
      <sheetName val="Graficos"/>
      <sheetName val="Calendário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ão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rino Planilh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71"/>
  <sheetViews>
    <sheetView showGridLines="0" showRowColHeaders="0" tabSelected="1" workbookViewId="0">
      <selection activeCell="A25" sqref="A25"/>
    </sheetView>
  </sheetViews>
  <sheetFormatPr defaultRowHeight="12.75" x14ac:dyDescent="0.2"/>
  <cols>
    <col min="1" max="1" width="25.7109375" style="97" customWidth="1"/>
    <col min="2" max="2" width="2.28515625" style="97" customWidth="1"/>
    <col min="3" max="3" width="19" style="97" customWidth="1"/>
    <col min="4" max="4" width="8.7109375" style="97" customWidth="1"/>
    <col min="5" max="5" width="19" style="97" customWidth="1"/>
    <col min="6" max="6" width="8.7109375" style="97" customWidth="1"/>
    <col min="7" max="7" width="19" style="97" customWidth="1"/>
    <col min="8" max="8" width="5.28515625" style="97" customWidth="1"/>
    <col min="9" max="9" width="2.28515625" style="97" customWidth="1"/>
    <col min="10" max="10" width="8.7109375" style="97" customWidth="1"/>
    <col min="11" max="11" width="19" style="97" customWidth="1"/>
    <col min="12" max="12" width="25.7109375" style="97" customWidth="1"/>
    <col min="13" max="13" width="19" style="97" customWidth="1"/>
    <col min="14" max="14" width="5.7109375" style="97" customWidth="1"/>
    <col min="15" max="17" width="19" style="97" customWidth="1"/>
    <col min="18" max="21" width="14.7109375" style="97" customWidth="1"/>
    <col min="22" max="16384" width="9.140625" style="97"/>
  </cols>
  <sheetData>
    <row r="1" spans="1:106" ht="30" customHeight="1" x14ac:dyDescent="0.2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</row>
    <row r="2" spans="1:106" x14ac:dyDescent="0.2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</row>
    <row r="3" spans="1:106" x14ac:dyDescent="0.2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</row>
    <row r="4" spans="1:106" x14ac:dyDescent="0.2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6"/>
      <c r="AP4" s="96"/>
      <c r="AQ4" s="96"/>
      <c r="AR4" s="96"/>
      <c r="AS4" s="96"/>
      <c r="AT4" s="96"/>
      <c r="AU4" s="96"/>
      <c r="AV4" s="96"/>
      <c r="AW4" s="96"/>
      <c r="AX4" s="96"/>
      <c r="AY4" s="96"/>
      <c r="AZ4" s="96"/>
      <c r="BA4" s="96"/>
      <c r="BB4" s="96"/>
      <c r="BC4" s="96"/>
      <c r="BD4" s="96"/>
      <c r="BE4" s="96"/>
      <c r="BF4" s="96"/>
      <c r="BG4" s="96"/>
      <c r="BH4" s="96"/>
      <c r="BI4" s="96"/>
      <c r="BJ4" s="96"/>
      <c r="BK4" s="96"/>
      <c r="BL4" s="96"/>
      <c r="BM4" s="96"/>
      <c r="BN4" s="96"/>
      <c r="BO4" s="96"/>
      <c r="BP4" s="96"/>
      <c r="BQ4" s="96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96"/>
      <c r="CD4" s="96"/>
      <c r="CE4" s="96"/>
      <c r="CF4" s="96"/>
      <c r="CG4" s="96"/>
      <c r="CH4" s="96"/>
      <c r="CI4" s="96"/>
      <c r="CJ4" s="96"/>
      <c r="CK4" s="96"/>
      <c r="CL4" s="96"/>
      <c r="CM4" s="96"/>
      <c r="CN4" s="96"/>
      <c r="CO4" s="96"/>
      <c r="CP4" s="96"/>
      <c r="CQ4" s="96"/>
      <c r="CR4" s="96"/>
      <c r="CS4" s="96"/>
      <c r="CT4" s="96"/>
      <c r="CU4" s="96"/>
      <c r="CV4" s="96"/>
      <c r="CW4" s="96"/>
      <c r="CX4" s="96"/>
      <c r="CY4" s="96"/>
      <c r="CZ4" s="96"/>
      <c r="DA4" s="96"/>
      <c r="DB4" s="96"/>
    </row>
    <row r="5" spans="1:106" x14ac:dyDescent="0.2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6"/>
      <c r="AP5" s="96"/>
      <c r="AQ5" s="96"/>
      <c r="AR5" s="96"/>
      <c r="AS5" s="96"/>
      <c r="AT5" s="96"/>
      <c r="AU5" s="96"/>
      <c r="AV5" s="96"/>
      <c r="AW5" s="96"/>
      <c r="AX5" s="96"/>
      <c r="AY5" s="96"/>
      <c r="AZ5" s="96"/>
      <c r="BA5" s="96"/>
      <c r="BB5" s="96"/>
      <c r="BC5" s="96"/>
      <c r="BD5" s="96"/>
      <c r="BE5" s="96"/>
      <c r="BF5" s="96"/>
      <c r="BG5" s="96"/>
      <c r="BH5" s="96"/>
      <c r="BI5" s="96"/>
      <c r="BJ5" s="96"/>
      <c r="BK5" s="96"/>
      <c r="BL5" s="96"/>
      <c r="BM5" s="96"/>
      <c r="BN5" s="96"/>
      <c r="BO5" s="96"/>
      <c r="BP5" s="96"/>
      <c r="BQ5" s="96"/>
      <c r="BR5" s="96"/>
      <c r="BS5" s="96"/>
      <c r="BT5" s="96"/>
      <c r="BU5" s="96"/>
      <c r="BV5" s="96"/>
      <c r="BW5" s="96"/>
      <c r="BX5" s="96"/>
      <c r="BY5" s="96"/>
      <c r="BZ5" s="96"/>
      <c r="CA5" s="96"/>
      <c r="CB5" s="96"/>
      <c r="CC5" s="96"/>
      <c r="CD5" s="96"/>
      <c r="CE5" s="96"/>
      <c r="CF5" s="96"/>
      <c r="CG5" s="96"/>
      <c r="CH5" s="96"/>
      <c r="CI5" s="96"/>
      <c r="CJ5" s="96"/>
      <c r="CK5" s="96"/>
      <c r="CL5" s="96"/>
      <c r="CM5" s="96"/>
      <c r="CN5" s="96"/>
      <c r="CO5" s="96"/>
      <c r="CP5" s="96"/>
      <c r="CQ5" s="96"/>
      <c r="CR5" s="96"/>
      <c r="CS5" s="96"/>
      <c r="CT5" s="96"/>
      <c r="CU5" s="96"/>
      <c r="CV5" s="96"/>
      <c r="CW5" s="96"/>
      <c r="CX5" s="96"/>
      <c r="CY5" s="96"/>
      <c r="CZ5" s="96"/>
      <c r="DA5" s="96"/>
      <c r="DB5" s="96"/>
    </row>
    <row r="6" spans="1:106" x14ac:dyDescent="0.2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6"/>
      <c r="BH6" s="96"/>
      <c r="BI6" s="96"/>
      <c r="BJ6" s="96"/>
      <c r="BK6" s="96"/>
      <c r="BL6" s="96"/>
      <c r="BM6" s="96"/>
      <c r="BN6" s="96"/>
      <c r="BO6" s="96"/>
      <c r="BP6" s="96"/>
      <c r="BQ6" s="96"/>
      <c r="BR6" s="96"/>
      <c r="BS6" s="96"/>
      <c r="BT6" s="96"/>
      <c r="BU6" s="96"/>
      <c r="BV6" s="96"/>
      <c r="BW6" s="96"/>
      <c r="BX6" s="96"/>
      <c r="BY6" s="96"/>
      <c r="BZ6" s="96"/>
      <c r="CA6" s="96"/>
      <c r="CB6" s="96"/>
      <c r="CC6" s="96"/>
      <c r="CD6" s="96"/>
      <c r="CE6" s="96"/>
      <c r="CF6" s="96"/>
      <c r="CG6" s="96"/>
      <c r="CH6" s="96"/>
      <c r="CI6" s="96"/>
      <c r="CJ6" s="96"/>
      <c r="CK6" s="96"/>
      <c r="CL6" s="96"/>
      <c r="CM6" s="96"/>
      <c r="CN6" s="96"/>
      <c r="CO6" s="96"/>
      <c r="CP6" s="96"/>
      <c r="CQ6" s="96"/>
      <c r="CR6" s="96"/>
      <c r="CS6" s="96"/>
      <c r="CT6" s="96"/>
      <c r="CU6" s="96"/>
      <c r="CV6" s="96"/>
      <c r="CW6" s="96"/>
      <c r="CX6" s="96"/>
      <c r="CY6" s="96"/>
      <c r="CZ6" s="96"/>
      <c r="DA6" s="96"/>
      <c r="DB6" s="96"/>
    </row>
    <row r="7" spans="1:106" x14ac:dyDescent="0.2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6"/>
      <c r="AS7" s="96"/>
      <c r="AT7" s="96"/>
      <c r="AU7" s="96"/>
      <c r="AV7" s="96"/>
      <c r="AW7" s="96"/>
      <c r="AX7" s="96"/>
      <c r="AY7" s="96"/>
      <c r="AZ7" s="96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  <c r="BL7" s="96"/>
      <c r="BM7" s="96"/>
      <c r="BN7" s="96"/>
      <c r="BO7" s="96"/>
      <c r="BP7" s="96"/>
      <c r="BQ7" s="96"/>
      <c r="BR7" s="96"/>
      <c r="BS7" s="96"/>
      <c r="BT7" s="96"/>
      <c r="BU7" s="96"/>
      <c r="BV7" s="96"/>
      <c r="BW7" s="96"/>
      <c r="BX7" s="96"/>
      <c r="BY7" s="96"/>
      <c r="BZ7" s="96"/>
      <c r="CA7" s="96"/>
      <c r="CB7" s="96"/>
      <c r="CC7" s="96"/>
      <c r="CD7" s="96"/>
      <c r="CE7" s="96"/>
      <c r="CF7" s="96"/>
      <c r="CG7" s="96"/>
      <c r="CH7" s="96"/>
      <c r="CI7" s="96"/>
      <c r="CJ7" s="96"/>
      <c r="CK7" s="96"/>
      <c r="CL7" s="96"/>
      <c r="CM7" s="96"/>
      <c r="CN7" s="96"/>
      <c r="CO7" s="96"/>
      <c r="CP7" s="96"/>
      <c r="CQ7" s="96"/>
      <c r="CR7" s="96"/>
      <c r="CS7" s="96"/>
      <c r="CT7" s="96"/>
      <c r="CU7" s="96"/>
      <c r="CV7" s="96"/>
      <c r="CW7" s="96"/>
      <c r="CX7" s="96"/>
      <c r="CY7" s="96"/>
      <c r="CZ7" s="96"/>
      <c r="DA7" s="96"/>
      <c r="DB7" s="96"/>
    </row>
    <row r="8" spans="1:106" x14ac:dyDescent="0.2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</row>
    <row r="9" spans="1:106" x14ac:dyDescent="0.2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6"/>
      <c r="AQ9" s="96"/>
      <c r="AR9" s="96"/>
      <c r="AS9" s="96"/>
      <c r="AT9" s="96"/>
      <c r="AU9" s="96"/>
      <c r="AV9" s="96"/>
      <c r="AW9" s="96"/>
      <c r="AX9" s="96"/>
      <c r="AY9" s="96"/>
      <c r="AZ9" s="96"/>
      <c r="BA9" s="96"/>
      <c r="BB9" s="96"/>
      <c r="BC9" s="96"/>
      <c r="BD9" s="96"/>
      <c r="BE9" s="96"/>
      <c r="BF9" s="96"/>
      <c r="BG9" s="96"/>
      <c r="BH9" s="96"/>
      <c r="BI9" s="96"/>
      <c r="BJ9" s="96"/>
      <c r="BK9" s="96"/>
      <c r="BL9" s="96"/>
      <c r="BM9" s="96"/>
      <c r="BN9" s="96"/>
      <c r="BO9" s="96"/>
      <c r="BP9" s="96"/>
      <c r="BQ9" s="96"/>
      <c r="BR9" s="96"/>
      <c r="BS9" s="96"/>
      <c r="BT9" s="96"/>
      <c r="BU9" s="96"/>
      <c r="BV9" s="96"/>
      <c r="BW9" s="96"/>
      <c r="BX9" s="96"/>
      <c r="BY9" s="96"/>
      <c r="BZ9" s="96"/>
      <c r="CA9" s="96"/>
      <c r="CB9" s="96"/>
      <c r="CC9" s="96"/>
      <c r="CD9" s="96"/>
      <c r="CE9" s="96"/>
      <c r="CF9" s="96"/>
      <c r="CG9" s="96"/>
      <c r="CH9" s="96"/>
      <c r="CI9" s="96"/>
      <c r="CJ9" s="96"/>
      <c r="CK9" s="96"/>
      <c r="CL9" s="96"/>
      <c r="CM9" s="96"/>
      <c r="CN9" s="96"/>
      <c r="CO9" s="96"/>
      <c r="CP9" s="96"/>
      <c r="CQ9" s="96"/>
      <c r="CR9" s="96"/>
      <c r="CS9" s="96"/>
      <c r="CT9" s="96"/>
      <c r="CU9" s="96"/>
      <c r="CV9" s="96"/>
      <c r="CW9" s="96"/>
      <c r="CX9" s="96"/>
      <c r="CY9" s="96"/>
      <c r="CZ9" s="96"/>
      <c r="DA9" s="96"/>
      <c r="DB9" s="96"/>
    </row>
    <row r="10" spans="1:106" x14ac:dyDescent="0.2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6"/>
      <c r="BY10" s="96"/>
      <c r="BZ10" s="96"/>
      <c r="CA10" s="96"/>
      <c r="CB10" s="96"/>
      <c r="CC10" s="96"/>
      <c r="CD10" s="96"/>
      <c r="CE10" s="96"/>
      <c r="CF10" s="96"/>
      <c r="CG10" s="96"/>
      <c r="CH10" s="96"/>
      <c r="CI10" s="96"/>
      <c r="CJ10" s="96"/>
      <c r="CK10" s="96"/>
      <c r="CL10" s="96"/>
      <c r="CM10" s="96"/>
      <c r="CN10" s="96"/>
      <c r="CO10" s="96"/>
      <c r="CP10" s="96"/>
      <c r="CQ10" s="96"/>
      <c r="CR10" s="96"/>
      <c r="CS10" s="96"/>
      <c r="CT10" s="96"/>
      <c r="CU10" s="96"/>
      <c r="CV10" s="96"/>
      <c r="CW10" s="96"/>
      <c r="CX10" s="96"/>
      <c r="CY10" s="96"/>
      <c r="CZ10" s="96"/>
      <c r="DA10" s="96"/>
      <c r="DB10" s="96"/>
    </row>
    <row r="11" spans="1:106" x14ac:dyDescent="0.2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  <c r="BZ11" s="96"/>
      <c r="CA11" s="96"/>
      <c r="CB11" s="96"/>
      <c r="CC11" s="96"/>
      <c r="CD11" s="96"/>
      <c r="CE11" s="96"/>
      <c r="CF11" s="96"/>
      <c r="CG11" s="96"/>
      <c r="CH11" s="96"/>
      <c r="CI11" s="96"/>
      <c r="CJ11" s="96"/>
      <c r="CK11" s="96"/>
      <c r="CL11" s="96"/>
      <c r="CM11" s="96"/>
      <c r="CN11" s="96"/>
      <c r="CO11" s="96"/>
      <c r="CP11" s="96"/>
      <c r="CQ11" s="96"/>
      <c r="CR11" s="96"/>
      <c r="CS11" s="96"/>
      <c r="CT11" s="96"/>
      <c r="CU11" s="96"/>
      <c r="CV11" s="96"/>
      <c r="CW11" s="96"/>
      <c r="CX11" s="96"/>
      <c r="CY11" s="96"/>
      <c r="CZ11" s="96"/>
      <c r="DA11" s="96"/>
      <c r="DB11" s="96"/>
    </row>
    <row r="12" spans="1:106" x14ac:dyDescent="0.2">
      <c r="A12" s="96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  <c r="BY12" s="96"/>
      <c r="BZ12" s="96"/>
      <c r="CA12" s="96"/>
      <c r="CB12" s="96"/>
      <c r="CC12" s="96"/>
      <c r="CD12" s="96"/>
      <c r="CE12" s="96"/>
      <c r="CF12" s="96"/>
      <c r="CG12" s="96"/>
      <c r="CH12" s="96"/>
      <c r="CI12" s="96"/>
      <c r="CJ12" s="96"/>
      <c r="CK12" s="96"/>
      <c r="CL12" s="96"/>
      <c r="CM12" s="96"/>
      <c r="CN12" s="96"/>
      <c r="CO12" s="96"/>
      <c r="CP12" s="96"/>
      <c r="CQ12" s="96"/>
      <c r="CR12" s="96"/>
      <c r="CS12" s="96"/>
      <c r="CT12" s="96"/>
      <c r="CU12" s="96"/>
      <c r="CV12" s="96"/>
      <c r="CW12" s="96"/>
      <c r="CX12" s="96"/>
      <c r="CY12" s="96"/>
      <c r="CZ12" s="96"/>
      <c r="DA12" s="96"/>
      <c r="DB12" s="96"/>
    </row>
    <row r="13" spans="1:106" x14ac:dyDescent="0.2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96"/>
      <c r="CJ13" s="96"/>
      <c r="CK13" s="96"/>
      <c r="CL13" s="96"/>
      <c r="CM13" s="96"/>
      <c r="CN13" s="96"/>
      <c r="CO13" s="96"/>
      <c r="CP13" s="96"/>
      <c r="CQ13" s="96"/>
      <c r="CR13" s="96"/>
      <c r="CS13" s="96"/>
      <c r="CT13" s="96"/>
      <c r="CU13" s="96"/>
      <c r="CV13" s="96"/>
      <c r="CW13" s="96"/>
      <c r="CX13" s="96"/>
      <c r="CY13" s="96"/>
      <c r="CZ13" s="96"/>
      <c r="DA13" s="96"/>
      <c r="DB13" s="96"/>
    </row>
    <row r="14" spans="1:106" x14ac:dyDescent="0.2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6"/>
      <c r="CT14" s="96"/>
      <c r="CU14" s="96"/>
      <c r="CV14" s="96"/>
      <c r="CW14" s="96"/>
      <c r="CX14" s="96"/>
      <c r="CY14" s="96"/>
      <c r="CZ14" s="96"/>
      <c r="DA14" s="96"/>
      <c r="DB14" s="96"/>
    </row>
    <row r="15" spans="1:106" x14ac:dyDescent="0.2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6"/>
      <c r="BY15" s="96"/>
      <c r="BZ15" s="96"/>
      <c r="CA15" s="96"/>
      <c r="CB15" s="96"/>
      <c r="CC15" s="96"/>
      <c r="CD15" s="96"/>
      <c r="CE15" s="96"/>
      <c r="CF15" s="96"/>
      <c r="CG15" s="96"/>
      <c r="CH15" s="96"/>
      <c r="CI15" s="96"/>
      <c r="CJ15" s="96"/>
      <c r="CK15" s="96"/>
      <c r="CL15" s="96"/>
      <c r="CM15" s="96"/>
      <c r="CN15" s="96"/>
      <c r="CO15" s="96"/>
      <c r="CP15" s="96"/>
      <c r="CQ15" s="96"/>
      <c r="CR15" s="96"/>
      <c r="CS15" s="96"/>
      <c r="CT15" s="96"/>
      <c r="CU15" s="96"/>
      <c r="CV15" s="96"/>
      <c r="CW15" s="96"/>
      <c r="CX15" s="96"/>
      <c r="CY15" s="96"/>
      <c r="CZ15" s="96"/>
      <c r="DA15" s="96"/>
      <c r="DB15" s="96"/>
    </row>
    <row r="16" spans="1:106" x14ac:dyDescent="0.2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96"/>
      <c r="CC16" s="96"/>
      <c r="CD16" s="96"/>
      <c r="CE16" s="96"/>
      <c r="CF16" s="96"/>
      <c r="CG16" s="96"/>
      <c r="CH16" s="96"/>
      <c r="CI16" s="96"/>
      <c r="CJ16" s="96"/>
      <c r="CK16" s="96"/>
      <c r="CL16" s="96"/>
      <c r="CM16" s="96"/>
      <c r="CN16" s="96"/>
      <c r="CO16" s="96"/>
      <c r="CP16" s="96"/>
      <c r="CQ16" s="96"/>
      <c r="CR16" s="96"/>
      <c r="CS16" s="96"/>
      <c r="CT16" s="96"/>
      <c r="CU16" s="96"/>
      <c r="CV16" s="96"/>
      <c r="CW16" s="96"/>
      <c r="CX16" s="96"/>
      <c r="CY16" s="96"/>
      <c r="CZ16" s="96"/>
      <c r="DA16" s="96"/>
      <c r="DB16" s="96"/>
    </row>
    <row r="17" spans="1:106" ht="15.95" customHeight="1" thickBot="1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96"/>
      <c r="CW17" s="96"/>
      <c r="CX17" s="96"/>
      <c r="CY17" s="96"/>
      <c r="CZ17" s="96"/>
      <c r="DA17" s="96"/>
      <c r="DB17" s="96"/>
    </row>
    <row r="18" spans="1:106" ht="42.75" customHeight="1" x14ac:dyDescent="0.2">
      <c r="A18" s="96"/>
      <c r="B18" s="98"/>
      <c r="C18" s="107" t="s">
        <v>109</v>
      </c>
      <c r="D18" s="108"/>
      <c r="E18" s="108"/>
      <c r="F18" s="108"/>
      <c r="G18" s="108"/>
      <c r="H18" s="109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  <c r="BK18" s="96"/>
      <c r="BL18" s="96"/>
      <c r="BM18" s="96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96"/>
      <c r="CC18" s="96"/>
      <c r="CD18" s="96"/>
      <c r="CE18" s="96"/>
      <c r="CF18" s="96"/>
      <c r="CG18" s="96"/>
      <c r="CH18" s="96"/>
      <c r="CI18" s="96"/>
      <c r="CJ18" s="96"/>
      <c r="CK18" s="96"/>
      <c r="CL18" s="96"/>
      <c r="CM18" s="96"/>
      <c r="CN18" s="96"/>
      <c r="CO18" s="96"/>
      <c r="CP18" s="96"/>
      <c r="CQ18" s="96"/>
      <c r="CR18" s="96"/>
      <c r="CS18" s="96"/>
      <c r="CT18" s="96"/>
      <c r="CU18" s="96"/>
      <c r="CV18" s="96"/>
      <c r="CW18" s="96"/>
      <c r="CX18" s="96"/>
      <c r="CY18" s="96"/>
      <c r="CZ18" s="96"/>
      <c r="DA18" s="96"/>
      <c r="DB18" s="96"/>
    </row>
    <row r="19" spans="1:106" ht="16.5" customHeight="1" x14ac:dyDescent="0.2">
      <c r="A19" s="99"/>
      <c r="B19" s="100"/>
      <c r="C19" s="110" t="s">
        <v>107</v>
      </c>
      <c r="D19" s="110"/>
      <c r="E19" s="110"/>
      <c r="F19" s="110"/>
      <c r="G19" s="110"/>
      <c r="H19" s="111"/>
      <c r="I19" s="101"/>
      <c r="J19" s="102"/>
      <c r="K19" s="101"/>
      <c r="L19" s="99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  <c r="BI19" s="96"/>
      <c r="BJ19" s="96"/>
      <c r="BK19" s="96"/>
      <c r="BL19" s="96"/>
      <c r="BM19" s="96"/>
      <c r="BN19" s="96"/>
      <c r="BO19" s="96"/>
      <c r="BP19" s="96"/>
      <c r="BQ19" s="96"/>
      <c r="BR19" s="96"/>
      <c r="BS19" s="96"/>
      <c r="BT19" s="96"/>
      <c r="BU19" s="96"/>
      <c r="BV19" s="96"/>
      <c r="BW19" s="96"/>
      <c r="BX19" s="96"/>
      <c r="BY19" s="96"/>
      <c r="BZ19" s="96"/>
      <c r="CA19" s="96"/>
      <c r="CB19" s="96"/>
      <c r="CC19" s="96"/>
      <c r="CD19" s="96"/>
      <c r="CE19" s="96"/>
      <c r="CF19" s="96"/>
      <c r="CG19" s="96"/>
      <c r="CH19" s="96"/>
      <c r="CI19" s="96"/>
      <c r="CJ19" s="96"/>
      <c r="CK19" s="96"/>
      <c r="CL19" s="96"/>
      <c r="CM19" s="96"/>
      <c r="CN19" s="96"/>
      <c r="CO19" s="96"/>
      <c r="CP19" s="96"/>
      <c r="CQ19" s="96"/>
      <c r="CR19" s="96"/>
      <c r="CS19" s="96"/>
      <c r="CT19" s="96"/>
      <c r="CU19" s="96"/>
      <c r="CV19" s="96"/>
      <c r="CW19" s="96"/>
      <c r="CX19" s="96"/>
      <c r="CY19" s="96"/>
      <c r="CZ19" s="96"/>
      <c r="DA19" s="96"/>
      <c r="DB19" s="96"/>
    </row>
    <row r="20" spans="1:106" ht="30.75" customHeight="1" x14ac:dyDescent="0.2">
      <c r="A20" s="99"/>
      <c r="B20" s="100"/>
      <c r="C20" s="112" t="s">
        <v>110</v>
      </c>
      <c r="D20" s="113"/>
      <c r="E20" s="113"/>
      <c r="F20" s="113"/>
      <c r="G20" s="113"/>
      <c r="H20" s="114"/>
      <c r="I20" s="99"/>
      <c r="J20" s="99"/>
      <c r="K20" s="99"/>
      <c r="L20" s="99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  <c r="BI20" s="96"/>
      <c r="BJ20" s="96"/>
      <c r="BK20" s="96"/>
      <c r="BL20" s="96"/>
      <c r="BM20" s="96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6"/>
      <c r="CB20" s="96"/>
      <c r="CC20" s="96"/>
      <c r="CD20" s="96"/>
      <c r="CE20" s="96"/>
      <c r="CF20" s="96"/>
      <c r="CG20" s="96"/>
      <c r="CH20" s="96"/>
      <c r="CI20" s="96"/>
      <c r="CJ20" s="96"/>
      <c r="CK20" s="96"/>
      <c r="CL20" s="96"/>
      <c r="CM20" s="96"/>
      <c r="CN20" s="96"/>
      <c r="CO20" s="96"/>
      <c r="CP20" s="96"/>
      <c r="CQ20" s="96"/>
      <c r="CR20" s="96"/>
      <c r="CS20" s="96"/>
      <c r="CT20" s="96"/>
      <c r="CU20" s="96"/>
      <c r="CV20" s="96"/>
      <c r="CW20" s="96"/>
      <c r="CX20" s="96"/>
      <c r="CY20" s="96"/>
      <c r="CZ20" s="96"/>
      <c r="DA20" s="96"/>
      <c r="DB20" s="96"/>
    </row>
    <row r="21" spans="1:106" ht="20.25" customHeight="1" thickBot="1" x14ac:dyDescent="0.25">
      <c r="A21" s="99"/>
      <c r="B21" s="103"/>
      <c r="C21" s="104" t="s">
        <v>105</v>
      </c>
      <c r="D21" s="105"/>
      <c r="E21" s="105"/>
      <c r="F21" s="105"/>
      <c r="G21" s="105"/>
      <c r="H21" s="106"/>
      <c r="I21" s="99"/>
      <c r="J21" s="99"/>
      <c r="K21" s="99"/>
      <c r="L21" s="99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</row>
    <row r="22" spans="1:106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</row>
    <row r="23" spans="1:106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  <c r="BQ23" s="96"/>
      <c r="BR23" s="96"/>
      <c r="BS23" s="96"/>
      <c r="BT23" s="96"/>
      <c r="BU23" s="96"/>
      <c r="BV23" s="96"/>
      <c r="BW23" s="96"/>
      <c r="BX23" s="96"/>
      <c r="BY23" s="96"/>
      <c r="BZ23" s="96"/>
      <c r="CA23" s="96"/>
      <c r="CB23" s="96"/>
      <c r="CC23" s="96"/>
      <c r="CD23" s="96"/>
      <c r="CE23" s="96"/>
      <c r="CF23" s="96"/>
      <c r="CG23" s="96"/>
      <c r="CH23" s="96"/>
      <c r="CI23" s="96"/>
      <c r="CJ23" s="96"/>
      <c r="CK23" s="96"/>
      <c r="CL23" s="96"/>
      <c r="CM23" s="96"/>
      <c r="CN23" s="96"/>
      <c r="CO23" s="96"/>
      <c r="CP23" s="96"/>
      <c r="CQ23" s="96"/>
      <c r="CR23" s="96"/>
      <c r="CS23" s="96"/>
      <c r="CT23" s="96"/>
      <c r="CU23" s="96"/>
      <c r="CV23" s="96"/>
      <c r="CW23" s="96"/>
      <c r="CX23" s="96"/>
      <c r="CY23" s="96"/>
      <c r="CZ23" s="96"/>
      <c r="DA23" s="96"/>
      <c r="DB23" s="96"/>
    </row>
    <row r="24" spans="1:106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96"/>
      <c r="BO24" s="96"/>
      <c r="BP24" s="96"/>
      <c r="BQ24" s="96"/>
      <c r="BR24" s="96"/>
      <c r="BS24" s="96"/>
      <c r="BT24" s="96"/>
      <c r="BU24" s="96"/>
      <c r="BV24" s="96"/>
      <c r="BW24" s="96"/>
      <c r="BX24" s="96"/>
      <c r="BY24" s="96"/>
      <c r="BZ24" s="96"/>
      <c r="CA24" s="96"/>
      <c r="CB24" s="96"/>
      <c r="CC24" s="96"/>
      <c r="CD24" s="96"/>
      <c r="CE24" s="96"/>
      <c r="CF24" s="96"/>
      <c r="CG24" s="96"/>
      <c r="CH24" s="96"/>
      <c r="CI24" s="96"/>
      <c r="CJ24" s="96"/>
      <c r="CK24" s="96"/>
      <c r="CL24" s="96"/>
      <c r="CM24" s="96"/>
      <c r="CN24" s="96"/>
      <c r="CO24" s="96"/>
      <c r="CP24" s="96"/>
      <c r="CQ24" s="96"/>
      <c r="CR24" s="96"/>
      <c r="CS24" s="96"/>
      <c r="CT24" s="96"/>
      <c r="CU24" s="96"/>
      <c r="CV24" s="96"/>
      <c r="CW24" s="96"/>
      <c r="CX24" s="96"/>
      <c r="CY24" s="96"/>
      <c r="CZ24" s="96"/>
      <c r="DA24" s="96"/>
      <c r="DB24" s="96"/>
    </row>
    <row r="25" spans="1:106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  <c r="BI25" s="96"/>
      <c r="BJ25" s="96"/>
      <c r="BK25" s="96"/>
      <c r="BL25" s="96"/>
      <c r="BM25" s="96"/>
      <c r="BN25" s="96"/>
      <c r="BO25" s="96"/>
      <c r="BP25" s="96"/>
      <c r="BQ25" s="96"/>
      <c r="BR25" s="96"/>
      <c r="BS25" s="96"/>
      <c r="BT25" s="96"/>
      <c r="BU25" s="96"/>
      <c r="BV25" s="96"/>
      <c r="BW25" s="96"/>
      <c r="BX25" s="96"/>
      <c r="BY25" s="96"/>
      <c r="BZ25" s="96"/>
      <c r="CA25" s="96"/>
      <c r="CB25" s="96"/>
      <c r="CC25" s="96"/>
      <c r="CD25" s="96"/>
      <c r="CE25" s="96"/>
      <c r="CF25" s="96"/>
      <c r="CG25" s="96"/>
      <c r="CH25" s="96"/>
      <c r="CI25" s="96"/>
      <c r="CJ25" s="96"/>
      <c r="CK25" s="96"/>
      <c r="CL25" s="96"/>
      <c r="CM25" s="96"/>
      <c r="CN25" s="96"/>
      <c r="CO25" s="96"/>
      <c r="CP25" s="96"/>
      <c r="CQ25" s="96"/>
      <c r="CR25" s="96"/>
      <c r="CS25" s="96"/>
      <c r="CT25" s="96"/>
      <c r="CU25" s="96"/>
      <c r="CV25" s="96"/>
      <c r="CW25" s="96"/>
      <c r="CX25" s="96"/>
      <c r="CY25" s="96"/>
      <c r="CZ25" s="96"/>
      <c r="DA25" s="96"/>
      <c r="DB25" s="96"/>
    </row>
    <row r="26" spans="1:106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  <c r="BI26" s="96"/>
      <c r="BJ26" s="96"/>
      <c r="BK26" s="96"/>
      <c r="BL26" s="96"/>
      <c r="BM26" s="96"/>
      <c r="BN26" s="96"/>
      <c r="BO26" s="96"/>
      <c r="BP26" s="96"/>
      <c r="BQ26" s="96"/>
      <c r="BR26" s="96"/>
      <c r="BS26" s="96"/>
      <c r="BT26" s="96"/>
      <c r="BU26" s="96"/>
      <c r="BV26" s="96"/>
      <c r="BW26" s="96"/>
      <c r="BX26" s="96"/>
      <c r="BY26" s="96"/>
      <c r="BZ26" s="96"/>
      <c r="CA26" s="96"/>
      <c r="CB26" s="96"/>
      <c r="CC26" s="96"/>
      <c r="CD26" s="96"/>
      <c r="CE26" s="96"/>
      <c r="CF26" s="96"/>
      <c r="CG26" s="96"/>
      <c r="CH26" s="96"/>
      <c r="CI26" s="96"/>
      <c r="CJ26" s="96"/>
      <c r="CK26" s="96"/>
      <c r="CL26" s="96"/>
      <c r="CM26" s="96"/>
      <c r="CN26" s="96"/>
      <c r="CO26" s="96"/>
      <c r="CP26" s="96"/>
      <c r="CQ26" s="96"/>
      <c r="CR26" s="96"/>
      <c r="CS26" s="96"/>
      <c r="CT26" s="96"/>
      <c r="CU26" s="96"/>
      <c r="CV26" s="96"/>
      <c r="CW26" s="96"/>
      <c r="CX26" s="96"/>
      <c r="CY26" s="96"/>
      <c r="CZ26" s="96"/>
      <c r="DA26" s="96"/>
      <c r="DB26" s="96"/>
    </row>
    <row r="27" spans="1:106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  <c r="BI27" s="96"/>
      <c r="BJ27" s="96"/>
      <c r="BK27" s="96"/>
      <c r="BL27" s="96"/>
      <c r="BM27" s="96"/>
      <c r="BN27" s="96"/>
      <c r="BO27" s="96"/>
      <c r="BP27" s="96"/>
      <c r="BQ27" s="96"/>
      <c r="BR27" s="96"/>
      <c r="BS27" s="96"/>
      <c r="BT27" s="96"/>
      <c r="BU27" s="96"/>
      <c r="BV27" s="96"/>
      <c r="BW27" s="96"/>
      <c r="BX27" s="96"/>
      <c r="BY27" s="96"/>
      <c r="BZ27" s="96"/>
      <c r="CA27" s="96"/>
      <c r="CB27" s="96"/>
      <c r="CC27" s="96"/>
      <c r="CD27" s="96"/>
      <c r="CE27" s="96"/>
      <c r="CF27" s="96"/>
      <c r="CG27" s="96"/>
      <c r="CH27" s="96"/>
      <c r="CI27" s="96"/>
      <c r="CJ27" s="96"/>
      <c r="CK27" s="96"/>
      <c r="CL27" s="96"/>
      <c r="CM27" s="96"/>
      <c r="CN27" s="96"/>
      <c r="CO27" s="96"/>
      <c r="CP27" s="96"/>
      <c r="CQ27" s="96"/>
      <c r="CR27" s="96"/>
      <c r="CS27" s="96"/>
      <c r="CT27" s="96"/>
      <c r="CU27" s="96"/>
      <c r="CV27" s="96"/>
      <c r="CW27" s="96"/>
      <c r="CX27" s="96"/>
      <c r="CY27" s="96"/>
      <c r="CZ27" s="96"/>
      <c r="DA27" s="96"/>
      <c r="DB27" s="96"/>
    </row>
    <row r="28" spans="1:106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  <c r="BI28" s="96"/>
      <c r="BJ28" s="96"/>
      <c r="BK28" s="96"/>
      <c r="BL28" s="96"/>
      <c r="BM28" s="96"/>
      <c r="BN28" s="96"/>
      <c r="BO28" s="96"/>
      <c r="BP28" s="96"/>
      <c r="BQ28" s="96"/>
      <c r="BR28" s="96"/>
      <c r="BS28" s="96"/>
      <c r="BT28" s="96"/>
      <c r="BU28" s="96"/>
      <c r="BV28" s="96"/>
      <c r="BW28" s="96"/>
      <c r="BX28" s="96"/>
      <c r="BY28" s="96"/>
      <c r="BZ28" s="96"/>
      <c r="CA28" s="96"/>
      <c r="CB28" s="96"/>
      <c r="CC28" s="96"/>
      <c r="CD28" s="96"/>
      <c r="CE28" s="96"/>
      <c r="CF28" s="96"/>
      <c r="CG28" s="96"/>
      <c r="CH28" s="96"/>
      <c r="CI28" s="96"/>
      <c r="CJ28" s="96"/>
      <c r="CK28" s="96"/>
      <c r="CL28" s="96"/>
      <c r="CM28" s="96"/>
      <c r="CN28" s="96"/>
      <c r="CO28" s="96"/>
      <c r="CP28" s="96"/>
      <c r="CQ28" s="96"/>
      <c r="CR28" s="96"/>
      <c r="CS28" s="96"/>
      <c r="CT28" s="96"/>
      <c r="CU28" s="96"/>
      <c r="CV28" s="96"/>
      <c r="CW28" s="96"/>
      <c r="CX28" s="96"/>
      <c r="CY28" s="96"/>
      <c r="CZ28" s="96"/>
      <c r="DA28" s="96"/>
      <c r="DB28" s="96"/>
    </row>
    <row r="29" spans="1:106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  <c r="CZ29" s="96"/>
      <c r="DA29" s="96"/>
      <c r="DB29" s="96"/>
    </row>
    <row r="30" spans="1:106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96"/>
      <c r="BM30" s="96"/>
      <c r="BN30" s="96"/>
      <c r="BO30" s="96"/>
      <c r="BP30" s="96"/>
      <c r="BQ30" s="96"/>
      <c r="BR30" s="96"/>
      <c r="BS30" s="96"/>
      <c r="BT30" s="96"/>
      <c r="BU30" s="96"/>
      <c r="BV30" s="96"/>
      <c r="BW30" s="96"/>
      <c r="BX30" s="96"/>
      <c r="BY30" s="96"/>
      <c r="BZ30" s="96"/>
      <c r="CA30" s="96"/>
      <c r="CB30" s="96"/>
      <c r="CC30" s="96"/>
      <c r="CD30" s="96"/>
      <c r="CE30" s="96"/>
      <c r="CF30" s="96"/>
      <c r="CG30" s="96"/>
      <c r="CH30" s="96"/>
      <c r="CI30" s="96"/>
      <c r="CJ30" s="96"/>
      <c r="CK30" s="96"/>
      <c r="CL30" s="96"/>
      <c r="CM30" s="96"/>
      <c r="CN30" s="96"/>
      <c r="CO30" s="96"/>
      <c r="CP30" s="96"/>
      <c r="CQ30" s="96"/>
      <c r="CR30" s="96"/>
      <c r="CS30" s="96"/>
      <c r="CT30" s="96"/>
      <c r="CU30" s="96"/>
      <c r="CV30" s="96"/>
      <c r="CW30" s="96"/>
      <c r="CX30" s="96"/>
      <c r="CY30" s="96"/>
      <c r="CZ30" s="96"/>
      <c r="DA30" s="96"/>
      <c r="DB30" s="96"/>
    </row>
    <row r="31" spans="1:106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</row>
    <row r="32" spans="1:106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  <c r="CZ32" s="96"/>
      <c r="DA32" s="96"/>
      <c r="DB32" s="96"/>
    </row>
    <row r="33" spans="1:106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  <c r="CZ33" s="96"/>
      <c r="DA33" s="96"/>
      <c r="DB33" s="96"/>
    </row>
    <row r="34" spans="1:106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6"/>
      <c r="BK34" s="96"/>
      <c r="BL34" s="96"/>
      <c r="BM34" s="96"/>
      <c r="BN34" s="96"/>
      <c r="BO34" s="96"/>
      <c r="BP34" s="96"/>
      <c r="BQ34" s="96"/>
      <c r="BR34" s="96"/>
      <c r="BS34" s="96"/>
      <c r="BT34" s="96"/>
      <c r="BU34" s="96"/>
      <c r="BV34" s="96"/>
      <c r="BW34" s="96"/>
      <c r="BX34" s="96"/>
      <c r="BY34" s="96"/>
      <c r="BZ34" s="96"/>
      <c r="CA34" s="96"/>
      <c r="CB34" s="96"/>
      <c r="CC34" s="96"/>
      <c r="CD34" s="96"/>
      <c r="CE34" s="96"/>
      <c r="CF34" s="96"/>
      <c r="CG34" s="96"/>
      <c r="CH34" s="96"/>
      <c r="CI34" s="96"/>
      <c r="CJ34" s="96"/>
      <c r="CK34" s="96"/>
      <c r="CL34" s="96"/>
      <c r="CM34" s="96"/>
      <c r="CN34" s="96"/>
      <c r="CO34" s="96"/>
      <c r="CP34" s="96"/>
      <c r="CQ34" s="96"/>
      <c r="CR34" s="96"/>
      <c r="CS34" s="96"/>
      <c r="CT34" s="96"/>
      <c r="CU34" s="96"/>
      <c r="CV34" s="96"/>
      <c r="CW34" s="96"/>
      <c r="CX34" s="96"/>
      <c r="CY34" s="96"/>
      <c r="CZ34" s="96"/>
      <c r="DA34" s="96"/>
      <c r="DB34" s="96"/>
    </row>
    <row r="35" spans="1:106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96"/>
      <c r="AW35" s="96"/>
      <c r="AX35" s="96"/>
      <c r="AY35" s="96"/>
      <c r="AZ35" s="96"/>
      <c r="BA35" s="96"/>
      <c r="BB35" s="96"/>
      <c r="BC35" s="96"/>
      <c r="BD35" s="96"/>
      <c r="BE35" s="96"/>
      <c r="BF35" s="96"/>
      <c r="BG35" s="96"/>
      <c r="BH35" s="96"/>
      <c r="BI35" s="96"/>
      <c r="BJ35" s="96"/>
      <c r="BK35" s="96"/>
      <c r="BL35" s="96"/>
      <c r="BM35" s="96"/>
      <c r="BN35" s="96"/>
      <c r="BO35" s="96"/>
      <c r="BP35" s="96"/>
      <c r="BQ35" s="96"/>
      <c r="BR35" s="96"/>
      <c r="BS35" s="96"/>
      <c r="BT35" s="96"/>
      <c r="BU35" s="96"/>
      <c r="BV35" s="96"/>
      <c r="BW35" s="96"/>
      <c r="BX35" s="96"/>
      <c r="BY35" s="96"/>
      <c r="BZ35" s="96"/>
      <c r="CA35" s="96"/>
      <c r="CB35" s="96"/>
      <c r="CC35" s="96"/>
      <c r="CD35" s="96"/>
      <c r="CE35" s="96"/>
      <c r="CF35" s="96"/>
      <c r="CG35" s="96"/>
      <c r="CH35" s="96"/>
      <c r="CI35" s="96"/>
      <c r="CJ35" s="96"/>
      <c r="CK35" s="96"/>
      <c r="CL35" s="96"/>
      <c r="CM35" s="96"/>
      <c r="CN35" s="96"/>
      <c r="CO35" s="96"/>
      <c r="CP35" s="96"/>
      <c r="CQ35" s="96"/>
      <c r="CR35" s="96"/>
      <c r="CS35" s="96"/>
      <c r="CT35" s="96"/>
      <c r="CU35" s="96"/>
      <c r="CV35" s="96"/>
      <c r="CW35" s="96"/>
      <c r="CX35" s="96"/>
      <c r="CY35" s="96"/>
      <c r="CZ35" s="96"/>
      <c r="DA35" s="96"/>
      <c r="DB35" s="96"/>
    </row>
    <row r="36" spans="1:106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96"/>
      <c r="AW36" s="96"/>
      <c r="AX36" s="96"/>
      <c r="AY36" s="96"/>
      <c r="AZ36" s="96"/>
      <c r="BA36" s="96"/>
      <c r="BB36" s="96"/>
      <c r="BC36" s="96"/>
      <c r="BD36" s="96"/>
      <c r="BE36" s="96"/>
      <c r="BF36" s="96"/>
      <c r="BG36" s="96"/>
      <c r="BH36" s="96"/>
      <c r="BI36" s="96"/>
      <c r="BJ36" s="96"/>
      <c r="BK36" s="96"/>
      <c r="BL36" s="96"/>
      <c r="BM36" s="96"/>
      <c r="BN36" s="96"/>
      <c r="BO36" s="96"/>
      <c r="BP36" s="96"/>
      <c r="BQ36" s="96"/>
      <c r="BR36" s="96"/>
      <c r="BS36" s="96"/>
      <c r="BT36" s="96"/>
      <c r="BU36" s="96"/>
      <c r="BV36" s="96"/>
      <c r="BW36" s="96"/>
      <c r="BX36" s="96"/>
      <c r="BY36" s="96"/>
      <c r="BZ36" s="96"/>
      <c r="CA36" s="96"/>
      <c r="CB36" s="96"/>
      <c r="CC36" s="96"/>
      <c r="CD36" s="96"/>
      <c r="CE36" s="96"/>
      <c r="CF36" s="96"/>
      <c r="CG36" s="96"/>
      <c r="CH36" s="96"/>
      <c r="CI36" s="96"/>
      <c r="CJ36" s="96"/>
      <c r="CK36" s="96"/>
      <c r="CL36" s="96"/>
      <c r="CM36" s="96"/>
      <c r="CN36" s="96"/>
      <c r="CO36" s="96"/>
      <c r="CP36" s="96"/>
      <c r="CQ36" s="96"/>
      <c r="CR36" s="96"/>
      <c r="CS36" s="96"/>
      <c r="CT36" s="96"/>
      <c r="CU36" s="96"/>
      <c r="CV36" s="96"/>
      <c r="CW36" s="96"/>
      <c r="CX36" s="96"/>
      <c r="CY36" s="96"/>
      <c r="CZ36" s="96"/>
      <c r="DA36" s="96"/>
      <c r="DB36" s="96"/>
    </row>
    <row r="37" spans="1:106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96"/>
      <c r="BW37" s="96"/>
      <c r="BX37" s="96"/>
      <c r="BY37" s="96"/>
      <c r="BZ37" s="96"/>
      <c r="CA37" s="96"/>
      <c r="CB37" s="96"/>
      <c r="CC37" s="96"/>
      <c r="CD37" s="96"/>
      <c r="CE37" s="96"/>
      <c r="CF37" s="96"/>
      <c r="CG37" s="96"/>
      <c r="CH37" s="96"/>
      <c r="CI37" s="96"/>
      <c r="CJ37" s="96"/>
      <c r="CK37" s="96"/>
      <c r="CL37" s="96"/>
      <c r="CM37" s="96"/>
      <c r="CN37" s="96"/>
      <c r="CO37" s="96"/>
      <c r="CP37" s="96"/>
      <c r="CQ37" s="96"/>
      <c r="CR37" s="96"/>
      <c r="CS37" s="96"/>
      <c r="CT37" s="96"/>
      <c r="CU37" s="96"/>
      <c r="CV37" s="96"/>
      <c r="CW37" s="96"/>
      <c r="CX37" s="96"/>
      <c r="CY37" s="96"/>
      <c r="CZ37" s="96"/>
      <c r="DA37" s="96"/>
      <c r="DB37" s="96"/>
    </row>
    <row r="38" spans="1:106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  <c r="CZ38" s="96"/>
      <c r="DA38" s="96"/>
      <c r="DB38" s="96"/>
    </row>
    <row r="39" spans="1:106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6"/>
      <c r="BP39" s="96"/>
      <c r="BQ39" s="96"/>
      <c r="BR39" s="96"/>
      <c r="BS39" s="96"/>
      <c r="BT39" s="96"/>
      <c r="BU39" s="96"/>
      <c r="BV39" s="96"/>
      <c r="BW39" s="96"/>
      <c r="BX39" s="96"/>
      <c r="BY39" s="96"/>
      <c r="BZ39" s="96"/>
      <c r="CA39" s="96"/>
      <c r="CB39" s="96"/>
      <c r="CC39" s="96"/>
      <c r="CD39" s="96"/>
      <c r="CE39" s="96"/>
      <c r="CF39" s="96"/>
      <c r="CG39" s="96"/>
      <c r="CH39" s="96"/>
      <c r="CI39" s="96"/>
      <c r="CJ39" s="96"/>
      <c r="CK39" s="96"/>
      <c r="CL39" s="96"/>
      <c r="CM39" s="96"/>
      <c r="CN39" s="96"/>
      <c r="CO39" s="96"/>
      <c r="CP39" s="96"/>
      <c r="CQ39" s="96"/>
      <c r="CR39" s="96"/>
      <c r="CS39" s="96"/>
      <c r="CT39" s="96"/>
      <c r="CU39" s="96"/>
      <c r="CV39" s="96"/>
      <c r="CW39" s="96"/>
      <c r="CX39" s="96"/>
      <c r="CY39" s="96"/>
      <c r="CZ39" s="96"/>
      <c r="DA39" s="96"/>
      <c r="DB39" s="96"/>
    </row>
    <row r="40" spans="1:106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6"/>
      <c r="CB40" s="96"/>
      <c r="CC40" s="96"/>
      <c r="CD40" s="96"/>
      <c r="CE40" s="96"/>
      <c r="CF40" s="96"/>
      <c r="CG40" s="96"/>
      <c r="CH40" s="96"/>
      <c r="CI40" s="96"/>
      <c r="CJ40" s="96"/>
      <c r="CK40" s="96"/>
      <c r="CL40" s="96"/>
      <c r="CM40" s="96"/>
      <c r="CN40" s="96"/>
      <c r="CO40" s="96"/>
      <c r="CP40" s="96"/>
      <c r="CQ40" s="96"/>
      <c r="CR40" s="96"/>
      <c r="CS40" s="96"/>
      <c r="CT40" s="96"/>
      <c r="CU40" s="96"/>
      <c r="CV40" s="96"/>
      <c r="CW40" s="96"/>
      <c r="CX40" s="96"/>
      <c r="CY40" s="96"/>
      <c r="CZ40" s="96"/>
      <c r="DA40" s="96"/>
      <c r="DB40" s="96"/>
    </row>
    <row r="41" spans="1:106" x14ac:dyDescent="0.2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</row>
    <row r="42" spans="1:106" x14ac:dyDescent="0.2">
      <c r="A42" s="96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</row>
    <row r="43" spans="1:106" x14ac:dyDescent="0.2">
      <c r="A43" s="96"/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</row>
    <row r="44" spans="1:106" x14ac:dyDescent="0.2">
      <c r="A44" s="96"/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6"/>
      <c r="BH44" s="96"/>
      <c r="BI44" s="96"/>
      <c r="BJ44" s="96"/>
      <c r="BK44" s="96"/>
      <c r="BL44" s="96"/>
      <c r="BM44" s="96"/>
      <c r="BN44" s="96"/>
      <c r="BO44" s="96"/>
      <c r="BP44" s="96"/>
      <c r="BQ44" s="96"/>
      <c r="BR44" s="96"/>
      <c r="BS44" s="96"/>
      <c r="BT44" s="96"/>
      <c r="BU44" s="96"/>
      <c r="BV44" s="96"/>
      <c r="BW44" s="96"/>
      <c r="BX44" s="96"/>
      <c r="BY44" s="96"/>
      <c r="BZ44" s="96"/>
      <c r="CA44" s="96"/>
      <c r="CB44" s="96"/>
      <c r="CC44" s="96"/>
      <c r="CD44" s="96"/>
      <c r="CE44" s="96"/>
      <c r="CF44" s="96"/>
      <c r="CG44" s="96"/>
      <c r="CH44" s="96"/>
      <c r="CI44" s="96"/>
      <c r="CJ44" s="96"/>
      <c r="CK44" s="96"/>
      <c r="CL44" s="96"/>
      <c r="CM44" s="96"/>
      <c r="CN44" s="96"/>
      <c r="CO44" s="96"/>
      <c r="CP44" s="96"/>
      <c r="CQ44" s="96"/>
      <c r="CR44" s="96"/>
      <c r="CS44" s="96"/>
      <c r="CT44" s="96"/>
      <c r="CU44" s="96"/>
      <c r="CV44" s="96"/>
      <c r="CW44" s="96"/>
      <c r="CX44" s="96"/>
      <c r="CY44" s="96"/>
      <c r="CZ44" s="96"/>
      <c r="DA44" s="96"/>
      <c r="DB44" s="96"/>
    </row>
    <row r="45" spans="1:106" x14ac:dyDescent="0.2">
      <c r="A45" s="96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  <c r="AY45" s="96"/>
      <c r="AZ45" s="96"/>
      <c r="BA45" s="96"/>
      <c r="BB45" s="96"/>
      <c r="BC45" s="96"/>
      <c r="BD45" s="96"/>
      <c r="BE45" s="96"/>
      <c r="BF45" s="96"/>
      <c r="BG45" s="96"/>
      <c r="BH45" s="96"/>
      <c r="BI45" s="96"/>
      <c r="BJ45" s="96"/>
      <c r="BK45" s="96"/>
      <c r="BL45" s="96"/>
      <c r="BM45" s="96"/>
      <c r="BN45" s="96"/>
      <c r="BO45" s="96"/>
      <c r="BP45" s="96"/>
      <c r="BQ45" s="96"/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</row>
    <row r="46" spans="1:106" x14ac:dyDescent="0.2">
      <c r="A46" s="96"/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96"/>
      <c r="BC46" s="96"/>
      <c r="BD46" s="96"/>
      <c r="BE46" s="96"/>
      <c r="BF46" s="96"/>
      <c r="BG46" s="96"/>
      <c r="BH46" s="96"/>
      <c r="BI46" s="96"/>
      <c r="BJ46" s="96"/>
      <c r="BK46" s="96"/>
      <c r="BL46" s="96"/>
      <c r="BM46" s="96"/>
      <c r="BN46" s="96"/>
      <c r="BO46" s="96"/>
      <c r="BP46" s="96"/>
      <c r="BQ46" s="96"/>
      <c r="BR46" s="96"/>
      <c r="BS46" s="96"/>
      <c r="BT46" s="96"/>
      <c r="BU46" s="96"/>
      <c r="BV46" s="96"/>
      <c r="BW46" s="96"/>
      <c r="BX46" s="96"/>
      <c r="BY46" s="96"/>
      <c r="BZ46" s="96"/>
      <c r="CA46" s="96"/>
      <c r="CB46" s="96"/>
      <c r="CC46" s="96"/>
      <c r="CD46" s="96"/>
      <c r="CE46" s="96"/>
      <c r="CF46" s="96"/>
      <c r="CG46" s="96"/>
      <c r="CH46" s="96"/>
      <c r="CI46" s="96"/>
      <c r="CJ46" s="96"/>
      <c r="CK46" s="96"/>
      <c r="CL46" s="96"/>
      <c r="CM46" s="96"/>
      <c r="CN46" s="96"/>
      <c r="CO46" s="96"/>
      <c r="CP46" s="96"/>
      <c r="CQ46" s="96"/>
      <c r="CR46" s="96"/>
      <c r="CS46" s="96"/>
      <c r="CT46" s="96"/>
      <c r="CU46" s="96"/>
      <c r="CV46" s="96"/>
      <c r="CW46" s="96"/>
      <c r="CX46" s="96"/>
      <c r="CY46" s="96"/>
      <c r="CZ46" s="96"/>
      <c r="DA46" s="96"/>
      <c r="DB46" s="96"/>
    </row>
    <row r="47" spans="1:106" x14ac:dyDescent="0.2">
      <c r="A47" s="96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  <c r="AY47" s="96"/>
      <c r="AZ47" s="96"/>
      <c r="BA47" s="96"/>
      <c r="BB47" s="96"/>
      <c r="BC47" s="96"/>
      <c r="BD47" s="96"/>
      <c r="BE47" s="96"/>
      <c r="BF47" s="96"/>
      <c r="BG47" s="96"/>
      <c r="BH47" s="96"/>
      <c r="BI47" s="96"/>
      <c r="BJ47" s="96"/>
      <c r="BK47" s="96"/>
      <c r="BL47" s="96"/>
      <c r="BM47" s="96"/>
      <c r="BN47" s="96"/>
      <c r="BO47" s="96"/>
      <c r="BP47" s="96"/>
      <c r="BQ47" s="96"/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</row>
    <row r="48" spans="1:106" x14ac:dyDescent="0.2">
      <c r="A48" s="96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  <c r="BJ48" s="96"/>
      <c r="BK48" s="96"/>
      <c r="BL48" s="96"/>
      <c r="BM48" s="96"/>
      <c r="BN48" s="96"/>
      <c r="BO48" s="96"/>
      <c r="BP48" s="96"/>
      <c r="BQ48" s="96"/>
      <c r="BR48" s="96"/>
      <c r="BS48" s="96"/>
      <c r="BT48" s="96"/>
      <c r="BU48" s="96"/>
      <c r="BV48" s="96"/>
      <c r="BW48" s="96"/>
      <c r="BX48" s="96"/>
      <c r="BY48" s="96"/>
      <c r="BZ48" s="96"/>
      <c r="CA48" s="96"/>
      <c r="CB48" s="96"/>
      <c r="CC48" s="96"/>
      <c r="CD48" s="96"/>
      <c r="CE48" s="96"/>
      <c r="CF48" s="96"/>
      <c r="CG48" s="96"/>
      <c r="CH48" s="96"/>
      <c r="CI48" s="96"/>
      <c r="CJ48" s="96"/>
      <c r="CK48" s="96"/>
      <c r="CL48" s="96"/>
      <c r="CM48" s="96"/>
      <c r="CN48" s="96"/>
      <c r="CO48" s="96"/>
      <c r="CP48" s="96"/>
      <c r="CQ48" s="96"/>
      <c r="CR48" s="96"/>
      <c r="CS48" s="96"/>
      <c r="CT48" s="96"/>
      <c r="CU48" s="96"/>
      <c r="CV48" s="96"/>
      <c r="CW48" s="96"/>
      <c r="CX48" s="96"/>
      <c r="CY48" s="96"/>
      <c r="CZ48" s="96"/>
      <c r="DA48" s="96"/>
      <c r="DB48" s="96"/>
    </row>
    <row r="49" spans="1:106" x14ac:dyDescent="0.2">
      <c r="A49" s="96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  <c r="AY49" s="96"/>
      <c r="AZ49" s="96"/>
      <c r="BA49" s="96"/>
      <c r="BB49" s="96"/>
      <c r="BC49" s="96"/>
      <c r="BD49" s="96"/>
      <c r="BE49" s="96"/>
      <c r="BF49" s="96"/>
      <c r="BG49" s="96"/>
      <c r="BH49" s="96"/>
      <c r="BI49" s="96"/>
      <c r="BJ49" s="96"/>
      <c r="BK49" s="96"/>
      <c r="BL49" s="96"/>
      <c r="BM49" s="96"/>
      <c r="BN49" s="96"/>
      <c r="BO49" s="96"/>
      <c r="BP49" s="96"/>
      <c r="BQ49" s="96"/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</row>
    <row r="50" spans="1:106" x14ac:dyDescent="0.2">
      <c r="A50" s="96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  <c r="BI50" s="96"/>
      <c r="BJ50" s="96"/>
      <c r="BK50" s="96"/>
      <c r="BL50" s="96"/>
      <c r="BM50" s="96"/>
      <c r="BN50" s="96"/>
      <c r="BO50" s="96"/>
      <c r="BP50" s="96"/>
      <c r="BQ50" s="96"/>
      <c r="BR50" s="96"/>
      <c r="BS50" s="96"/>
      <c r="BT50" s="96"/>
      <c r="BU50" s="96"/>
      <c r="BV50" s="96"/>
      <c r="BW50" s="96"/>
      <c r="BX50" s="96"/>
      <c r="BY50" s="96"/>
      <c r="BZ50" s="96"/>
      <c r="CA50" s="96"/>
      <c r="CB50" s="96"/>
      <c r="CC50" s="96"/>
      <c r="CD50" s="96"/>
      <c r="CE50" s="96"/>
      <c r="CF50" s="96"/>
      <c r="CG50" s="96"/>
      <c r="CH50" s="96"/>
      <c r="CI50" s="96"/>
      <c r="CJ50" s="96"/>
      <c r="CK50" s="96"/>
      <c r="CL50" s="96"/>
      <c r="CM50" s="96"/>
      <c r="CN50" s="96"/>
      <c r="CO50" s="96"/>
      <c r="CP50" s="96"/>
      <c r="CQ50" s="96"/>
      <c r="CR50" s="96"/>
      <c r="CS50" s="96"/>
      <c r="CT50" s="96"/>
      <c r="CU50" s="96"/>
      <c r="CV50" s="96"/>
      <c r="CW50" s="96"/>
      <c r="CX50" s="96"/>
      <c r="CY50" s="96"/>
      <c r="CZ50" s="96"/>
      <c r="DA50" s="96"/>
      <c r="DB50" s="96"/>
    </row>
    <row r="51" spans="1:106" x14ac:dyDescent="0.2">
      <c r="A51" s="96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  <c r="BI51" s="96"/>
      <c r="BJ51" s="96"/>
      <c r="BK51" s="96"/>
      <c r="BL51" s="96"/>
      <c r="BM51" s="96"/>
      <c r="BN51" s="96"/>
      <c r="BO51" s="96"/>
      <c r="BP51" s="96"/>
      <c r="BQ51" s="96"/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</row>
    <row r="52" spans="1:106" x14ac:dyDescent="0.2">
      <c r="A52" s="96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  <c r="BI52" s="96"/>
      <c r="BJ52" s="96"/>
      <c r="BK52" s="96"/>
      <c r="BL52" s="96"/>
      <c r="BM52" s="96"/>
      <c r="BN52" s="96"/>
      <c r="BO52" s="96"/>
      <c r="BP52" s="96"/>
      <c r="BQ52" s="96"/>
      <c r="BR52" s="96"/>
      <c r="BS52" s="96"/>
      <c r="BT52" s="96"/>
      <c r="BU52" s="96"/>
      <c r="BV52" s="96"/>
      <c r="BW52" s="96"/>
      <c r="BX52" s="96"/>
      <c r="BY52" s="96"/>
      <c r="BZ52" s="96"/>
      <c r="CA52" s="96"/>
      <c r="CB52" s="96"/>
      <c r="CC52" s="96"/>
      <c r="CD52" s="96"/>
      <c r="CE52" s="96"/>
      <c r="CF52" s="96"/>
      <c r="CG52" s="96"/>
      <c r="CH52" s="96"/>
      <c r="CI52" s="96"/>
      <c r="CJ52" s="96"/>
      <c r="CK52" s="96"/>
      <c r="CL52" s="96"/>
      <c r="CM52" s="96"/>
      <c r="CN52" s="96"/>
      <c r="CO52" s="96"/>
      <c r="CP52" s="96"/>
      <c r="CQ52" s="96"/>
      <c r="CR52" s="96"/>
      <c r="CS52" s="96"/>
      <c r="CT52" s="96"/>
      <c r="CU52" s="96"/>
      <c r="CV52" s="96"/>
      <c r="CW52" s="96"/>
      <c r="CX52" s="96"/>
      <c r="CY52" s="96"/>
      <c r="CZ52" s="96"/>
      <c r="DA52" s="96"/>
      <c r="DB52" s="96"/>
    </row>
    <row r="53" spans="1:106" x14ac:dyDescent="0.2">
      <c r="A53" s="96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</row>
    <row r="54" spans="1:106" x14ac:dyDescent="0.2">
      <c r="A54" s="96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  <c r="BI54" s="96"/>
      <c r="BJ54" s="96"/>
      <c r="BK54" s="96"/>
      <c r="BL54" s="96"/>
      <c r="BM54" s="96"/>
      <c r="BN54" s="96"/>
      <c r="BO54" s="96"/>
      <c r="BP54" s="96"/>
      <c r="BQ54" s="96"/>
      <c r="BR54" s="96"/>
      <c r="BS54" s="96"/>
      <c r="BT54" s="96"/>
      <c r="BU54" s="96"/>
      <c r="BV54" s="96"/>
      <c r="BW54" s="96"/>
      <c r="BX54" s="96"/>
      <c r="BY54" s="96"/>
      <c r="BZ54" s="96"/>
      <c r="CA54" s="96"/>
      <c r="CB54" s="96"/>
      <c r="CC54" s="96"/>
      <c r="CD54" s="96"/>
      <c r="CE54" s="96"/>
      <c r="CF54" s="96"/>
      <c r="CG54" s="96"/>
      <c r="CH54" s="96"/>
      <c r="CI54" s="96"/>
      <c r="CJ54" s="96"/>
      <c r="CK54" s="96"/>
      <c r="CL54" s="96"/>
      <c r="CM54" s="96"/>
      <c r="CN54" s="96"/>
      <c r="CO54" s="96"/>
      <c r="CP54" s="96"/>
      <c r="CQ54" s="96"/>
      <c r="CR54" s="96"/>
      <c r="CS54" s="96"/>
      <c r="CT54" s="96"/>
      <c r="CU54" s="96"/>
      <c r="CV54" s="96"/>
      <c r="CW54" s="96"/>
      <c r="CX54" s="96"/>
      <c r="CY54" s="96"/>
      <c r="CZ54" s="96"/>
      <c r="DA54" s="96"/>
      <c r="DB54" s="96"/>
    </row>
    <row r="55" spans="1:106" x14ac:dyDescent="0.2">
      <c r="A55" s="96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  <c r="BI55" s="96"/>
      <c r="BJ55" s="96"/>
      <c r="BK55" s="96"/>
      <c r="BL55" s="96"/>
      <c r="BM55" s="96"/>
      <c r="BN55" s="96"/>
      <c r="BO55" s="96"/>
      <c r="BP55" s="96"/>
      <c r="BQ55" s="96"/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</row>
    <row r="56" spans="1:106" x14ac:dyDescent="0.2">
      <c r="A56" s="96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  <c r="BI56" s="96"/>
      <c r="BJ56" s="96"/>
      <c r="BK56" s="96"/>
      <c r="BL56" s="96"/>
      <c r="BM56" s="96"/>
      <c r="BN56" s="96"/>
      <c r="BO56" s="96"/>
      <c r="BP56" s="96"/>
      <c r="BQ56" s="96"/>
      <c r="BR56" s="96"/>
      <c r="BS56" s="96"/>
      <c r="BT56" s="96"/>
      <c r="BU56" s="96"/>
      <c r="BV56" s="96"/>
      <c r="BW56" s="96"/>
      <c r="BX56" s="96"/>
      <c r="BY56" s="96"/>
      <c r="BZ56" s="96"/>
      <c r="CA56" s="96"/>
      <c r="CB56" s="96"/>
      <c r="CC56" s="96"/>
      <c r="CD56" s="96"/>
      <c r="CE56" s="96"/>
      <c r="CF56" s="96"/>
      <c r="CG56" s="96"/>
      <c r="CH56" s="96"/>
      <c r="CI56" s="96"/>
      <c r="CJ56" s="96"/>
      <c r="CK56" s="96"/>
      <c r="CL56" s="96"/>
      <c r="CM56" s="96"/>
      <c r="CN56" s="96"/>
      <c r="CO56" s="96"/>
      <c r="CP56" s="96"/>
      <c r="CQ56" s="96"/>
      <c r="CR56" s="96"/>
      <c r="CS56" s="96"/>
      <c r="CT56" s="96"/>
      <c r="CU56" s="96"/>
      <c r="CV56" s="96"/>
      <c r="CW56" s="96"/>
      <c r="CX56" s="96"/>
      <c r="CY56" s="96"/>
      <c r="CZ56" s="96"/>
      <c r="DA56" s="96"/>
      <c r="DB56" s="96"/>
    </row>
    <row r="57" spans="1:106" x14ac:dyDescent="0.2">
      <c r="A57" s="96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96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  <c r="BI57" s="96"/>
      <c r="BJ57" s="96"/>
      <c r="BK57" s="96"/>
      <c r="BL57" s="96"/>
      <c r="BM57" s="96"/>
      <c r="BN57" s="96"/>
      <c r="BO57" s="96"/>
      <c r="BP57" s="96"/>
      <c r="BQ57" s="96"/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</row>
    <row r="58" spans="1:106" x14ac:dyDescent="0.2">
      <c r="A58" s="96"/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</row>
    <row r="59" spans="1:106" x14ac:dyDescent="0.2">
      <c r="A59" s="96"/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96"/>
      <c r="BN59" s="96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</row>
    <row r="60" spans="1:106" x14ac:dyDescent="0.2">
      <c r="A60" s="96"/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96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  <c r="BI60" s="96"/>
      <c r="BJ60" s="96"/>
      <c r="BK60" s="96"/>
      <c r="BL60" s="96"/>
      <c r="BM60" s="96"/>
      <c r="BN60" s="96"/>
      <c r="BO60" s="96"/>
      <c r="BP60" s="96"/>
      <c r="BQ60" s="96"/>
      <c r="BR60" s="96"/>
      <c r="BS60" s="96"/>
      <c r="BT60" s="96"/>
      <c r="BU60" s="96"/>
      <c r="BV60" s="96"/>
      <c r="BW60" s="96"/>
      <c r="BX60" s="96"/>
      <c r="BY60" s="96"/>
      <c r="BZ60" s="96"/>
      <c r="CA60" s="96"/>
      <c r="CB60" s="96"/>
      <c r="CC60" s="96"/>
      <c r="CD60" s="96"/>
      <c r="CE60" s="96"/>
      <c r="CF60" s="96"/>
      <c r="CG60" s="96"/>
      <c r="CH60" s="96"/>
      <c r="CI60" s="96"/>
      <c r="CJ60" s="96"/>
      <c r="CK60" s="96"/>
      <c r="CL60" s="96"/>
      <c r="CM60" s="96"/>
      <c r="CN60" s="96"/>
      <c r="CO60" s="96"/>
      <c r="CP60" s="96"/>
      <c r="CQ60" s="96"/>
      <c r="CR60" s="96"/>
      <c r="CS60" s="96"/>
      <c r="CT60" s="96"/>
      <c r="CU60" s="96"/>
      <c r="CV60" s="96"/>
      <c r="CW60" s="96"/>
      <c r="CX60" s="96"/>
      <c r="CY60" s="96"/>
      <c r="CZ60" s="96"/>
      <c r="DA60" s="96"/>
      <c r="DB60" s="96"/>
    </row>
    <row r="61" spans="1:106" x14ac:dyDescent="0.2">
      <c r="A61" s="96"/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96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  <c r="BI61" s="96"/>
      <c r="BJ61" s="96"/>
      <c r="BK61" s="96"/>
      <c r="BL61" s="96"/>
      <c r="BM61" s="96"/>
      <c r="BN61" s="96"/>
      <c r="BO61" s="96"/>
      <c r="BP61" s="96"/>
      <c r="BQ61" s="96"/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</row>
    <row r="62" spans="1:106" x14ac:dyDescent="0.2">
      <c r="A62" s="96"/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96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  <c r="BW62" s="96"/>
      <c r="BX62" s="96"/>
      <c r="BY62" s="96"/>
      <c r="BZ62" s="96"/>
      <c r="CA62" s="96"/>
      <c r="CB62" s="96"/>
      <c r="CC62" s="96"/>
      <c r="CD62" s="96"/>
      <c r="CE62" s="96"/>
      <c r="CF62" s="96"/>
      <c r="CG62" s="96"/>
      <c r="CH62" s="96"/>
      <c r="CI62" s="96"/>
      <c r="CJ62" s="96"/>
      <c r="CK62" s="96"/>
      <c r="CL62" s="96"/>
      <c r="CM62" s="96"/>
      <c r="CN62" s="96"/>
      <c r="CO62" s="96"/>
      <c r="CP62" s="96"/>
      <c r="CQ62" s="96"/>
      <c r="CR62" s="96"/>
      <c r="CS62" s="96"/>
      <c r="CT62" s="96"/>
      <c r="CU62" s="96"/>
      <c r="CV62" s="96"/>
      <c r="CW62" s="96"/>
      <c r="CX62" s="96"/>
      <c r="CY62" s="96"/>
      <c r="CZ62" s="96"/>
      <c r="DA62" s="96"/>
      <c r="DB62" s="96"/>
    </row>
    <row r="63" spans="1:106" x14ac:dyDescent="0.2">
      <c r="A63" s="96"/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</row>
    <row r="64" spans="1:106" x14ac:dyDescent="0.2">
      <c r="A64" s="96"/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  <c r="BW64" s="96"/>
      <c r="BX64" s="96"/>
      <c r="BY64" s="96"/>
      <c r="BZ64" s="96"/>
      <c r="CA64" s="96"/>
      <c r="CB64" s="96"/>
      <c r="CC64" s="96"/>
      <c r="CD64" s="96"/>
      <c r="CE64" s="96"/>
      <c r="CF64" s="96"/>
      <c r="CG64" s="96"/>
      <c r="CH64" s="96"/>
      <c r="CI64" s="96"/>
      <c r="CJ64" s="96"/>
      <c r="CK64" s="96"/>
      <c r="CL64" s="96"/>
      <c r="CM64" s="96"/>
      <c r="CN64" s="96"/>
      <c r="CO64" s="96"/>
      <c r="CP64" s="96"/>
      <c r="CQ64" s="96"/>
      <c r="CR64" s="96"/>
      <c r="CS64" s="96"/>
      <c r="CT64" s="96"/>
      <c r="CU64" s="96"/>
      <c r="CV64" s="96"/>
      <c r="CW64" s="96"/>
      <c r="CX64" s="96"/>
      <c r="CY64" s="96"/>
      <c r="CZ64" s="96"/>
      <c r="DA64" s="96"/>
      <c r="DB64" s="96"/>
    </row>
    <row r="65" spans="1:106" x14ac:dyDescent="0.2">
      <c r="A65" s="96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  <c r="BI65" s="96"/>
      <c r="BJ65" s="96"/>
      <c r="BK65" s="96"/>
      <c r="BL65" s="96"/>
      <c r="BM65" s="96"/>
      <c r="BN65" s="96"/>
      <c r="BO65" s="96"/>
      <c r="BP65" s="96"/>
      <c r="BQ65" s="96"/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</row>
    <row r="66" spans="1:106" x14ac:dyDescent="0.2">
      <c r="A66" s="96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  <c r="AH66" s="96"/>
      <c r="AI66" s="96"/>
      <c r="AJ66" s="96"/>
      <c r="AK66" s="96"/>
      <c r="AL66" s="96"/>
      <c r="AM66" s="96"/>
      <c r="AN66" s="96"/>
      <c r="AO66" s="96"/>
      <c r="AP66" s="96"/>
      <c r="AQ66" s="96"/>
      <c r="AR66" s="96"/>
      <c r="AS66" s="96"/>
      <c r="AT66" s="96"/>
      <c r="AU66" s="96"/>
      <c r="AV66" s="96"/>
      <c r="AW66" s="96"/>
      <c r="AX66" s="96"/>
      <c r="AY66" s="96"/>
      <c r="AZ66" s="96"/>
      <c r="BA66" s="96"/>
      <c r="BB66" s="96"/>
      <c r="BC66" s="96"/>
      <c r="BD66" s="96"/>
      <c r="BE66" s="96"/>
      <c r="BF66" s="96"/>
      <c r="BG66" s="96"/>
      <c r="BH66" s="96"/>
      <c r="BI66" s="96"/>
      <c r="BJ66" s="96"/>
      <c r="BK66" s="96"/>
      <c r="BL66" s="96"/>
      <c r="BM66" s="96"/>
      <c r="BN66" s="96"/>
      <c r="BO66" s="96"/>
      <c r="BP66" s="96"/>
      <c r="BQ66" s="96"/>
      <c r="BR66" s="96"/>
      <c r="BS66" s="96"/>
      <c r="BT66" s="96"/>
      <c r="BU66" s="96"/>
      <c r="BV66" s="96"/>
      <c r="BW66" s="96"/>
      <c r="BX66" s="96"/>
      <c r="BY66" s="96"/>
      <c r="BZ66" s="96"/>
      <c r="CA66" s="96"/>
      <c r="CB66" s="96"/>
      <c r="CC66" s="96"/>
      <c r="CD66" s="96"/>
      <c r="CE66" s="96"/>
      <c r="CF66" s="96"/>
      <c r="CG66" s="96"/>
      <c r="CH66" s="96"/>
      <c r="CI66" s="96"/>
      <c r="CJ66" s="96"/>
      <c r="CK66" s="96"/>
      <c r="CL66" s="96"/>
      <c r="CM66" s="96"/>
      <c r="CN66" s="96"/>
      <c r="CO66" s="96"/>
      <c r="CP66" s="96"/>
      <c r="CQ66" s="96"/>
      <c r="CR66" s="96"/>
      <c r="CS66" s="96"/>
      <c r="CT66" s="96"/>
      <c r="CU66" s="96"/>
      <c r="CV66" s="96"/>
      <c r="CW66" s="96"/>
      <c r="CX66" s="96"/>
      <c r="CY66" s="96"/>
      <c r="CZ66" s="96"/>
      <c r="DA66" s="96"/>
      <c r="DB66" s="96"/>
    </row>
    <row r="67" spans="1:106" x14ac:dyDescent="0.2">
      <c r="A67" s="96"/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/>
      <c r="S67" s="96"/>
      <c r="T67" s="96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96"/>
      <c r="AF67" s="96"/>
      <c r="AG67" s="96"/>
      <c r="AH67" s="96"/>
      <c r="AI67" s="96"/>
      <c r="AJ67" s="96"/>
      <c r="AK67" s="96"/>
      <c r="AL67" s="96"/>
      <c r="AM67" s="96"/>
      <c r="AN67" s="96"/>
      <c r="AO67" s="96"/>
      <c r="AP67" s="96"/>
      <c r="AQ67" s="96"/>
      <c r="AR67" s="96"/>
      <c r="AS67" s="96"/>
      <c r="AT67" s="96"/>
      <c r="AU67" s="96"/>
      <c r="AV67" s="96"/>
      <c r="AW67" s="96"/>
      <c r="AX67" s="96"/>
      <c r="AY67" s="96"/>
      <c r="AZ67" s="96"/>
      <c r="BA67" s="96"/>
      <c r="BB67" s="96"/>
      <c r="BC67" s="96"/>
      <c r="BD67" s="96"/>
      <c r="BE67" s="96"/>
      <c r="BF67" s="96"/>
      <c r="BG67" s="96"/>
      <c r="BH67" s="96"/>
      <c r="BI67" s="96"/>
      <c r="BJ67" s="96"/>
      <c r="BK67" s="96"/>
      <c r="BL67" s="96"/>
      <c r="BM67" s="96"/>
      <c r="BN67" s="96"/>
      <c r="BO67" s="96"/>
      <c r="BP67" s="96"/>
      <c r="BQ67" s="96"/>
      <c r="BR67" s="96"/>
      <c r="BS67" s="96"/>
      <c r="BT67" s="96"/>
      <c r="BU67" s="96"/>
      <c r="BV67" s="96"/>
      <c r="BW67" s="96"/>
      <c r="BX67" s="96"/>
      <c r="BY67" s="96"/>
      <c r="BZ67" s="96"/>
      <c r="CA67" s="96"/>
      <c r="CB67" s="96"/>
      <c r="CC67" s="96"/>
      <c r="CD67" s="96"/>
      <c r="CE67" s="96"/>
      <c r="CF67" s="96"/>
      <c r="CG67" s="96"/>
      <c r="CH67" s="96"/>
      <c r="CI67" s="96"/>
      <c r="CJ67" s="96"/>
      <c r="CK67" s="96"/>
      <c r="CL67" s="96"/>
      <c r="CM67" s="96"/>
      <c r="CN67" s="96"/>
      <c r="CO67" s="96"/>
      <c r="CP67" s="96"/>
      <c r="CQ67" s="96"/>
      <c r="CR67" s="96"/>
      <c r="CS67" s="96"/>
      <c r="CT67" s="96"/>
      <c r="CU67" s="96"/>
      <c r="CV67" s="96"/>
      <c r="CW67" s="96"/>
      <c r="CX67" s="96"/>
      <c r="CY67" s="96"/>
      <c r="CZ67" s="96"/>
      <c r="DA67" s="96"/>
      <c r="DB67" s="96"/>
    </row>
    <row r="68" spans="1:106" x14ac:dyDescent="0.2">
      <c r="A68" s="96"/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  <c r="T68" s="96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96"/>
      <c r="AF68" s="96"/>
      <c r="AG68" s="96"/>
      <c r="AH68" s="96"/>
      <c r="AI68" s="96"/>
      <c r="AJ68" s="96"/>
      <c r="AK68" s="96"/>
      <c r="AL68" s="96"/>
      <c r="AM68" s="96"/>
      <c r="AN68" s="96"/>
      <c r="AO68" s="96"/>
      <c r="AP68" s="96"/>
      <c r="AQ68" s="96"/>
      <c r="AR68" s="96"/>
      <c r="AS68" s="96"/>
      <c r="AT68" s="96"/>
      <c r="AU68" s="96"/>
      <c r="AV68" s="96"/>
      <c r="AW68" s="96"/>
      <c r="AX68" s="96"/>
      <c r="AY68" s="96"/>
      <c r="AZ68" s="96"/>
      <c r="BA68" s="96"/>
      <c r="BB68" s="96"/>
      <c r="BC68" s="96"/>
      <c r="BD68" s="96"/>
      <c r="BE68" s="96"/>
      <c r="BF68" s="96"/>
      <c r="BG68" s="96"/>
      <c r="BH68" s="96"/>
      <c r="BI68" s="96"/>
      <c r="BJ68" s="96"/>
      <c r="BK68" s="96"/>
      <c r="BL68" s="96"/>
      <c r="BM68" s="96"/>
      <c r="BN68" s="96"/>
      <c r="BO68" s="96"/>
      <c r="BP68" s="96"/>
      <c r="BQ68" s="96"/>
      <c r="BR68" s="96"/>
      <c r="BS68" s="96"/>
      <c r="BT68" s="96"/>
      <c r="BU68" s="96"/>
      <c r="BV68" s="96"/>
      <c r="BW68" s="96"/>
      <c r="BX68" s="96"/>
      <c r="BY68" s="96"/>
      <c r="BZ68" s="96"/>
      <c r="CA68" s="96"/>
      <c r="CB68" s="96"/>
      <c r="CC68" s="96"/>
      <c r="CD68" s="96"/>
      <c r="CE68" s="96"/>
      <c r="CF68" s="96"/>
      <c r="CG68" s="96"/>
      <c r="CH68" s="96"/>
      <c r="CI68" s="96"/>
      <c r="CJ68" s="96"/>
      <c r="CK68" s="96"/>
      <c r="CL68" s="96"/>
      <c r="CM68" s="96"/>
      <c r="CN68" s="96"/>
      <c r="CO68" s="96"/>
      <c r="CP68" s="96"/>
      <c r="CQ68" s="96"/>
      <c r="CR68" s="96"/>
      <c r="CS68" s="96"/>
      <c r="CT68" s="96"/>
      <c r="CU68" s="96"/>
      <c r="CV68" s="96"/>
      <c r="CW68" s="96"/>
      <c r="CX68" s="96"/>
      <c r="CY68" s="96"/>
      <c r="CZ68" s="96"/>
      <c r="DA68" s="96"/>
      <c r="DB68" s="96"/>
    </row>
    <row r="69" spans="1:106" x14ac:dyDescent="0.2">
      <c r="A69" s="96"/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  <c r="T69" s="96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96"/>
      <c r="AF69" s="96"/>
      <c r="AG69" s="96"/>
      <c r="AH69" s="96"/>
      <c r="AI69" s="96"/>
      <c r="AJ69" s="96"/>
      <c r="AK69" s="96"/>
      <c r="AL69" s="96"/>
      <c r="AM69" s="96"/>
      <c r="AN69" s="96"/>
      <c r="AO69" s="96"/>
      <c r="AP69" s="96"/>
      <c r="AQ69" s="96"/>
      <c r="AR69" s="96"/>
      <c r="AS69" s="96"/>
      <c r="AT69" s="96"/>
      <c r="AU69" s="96"/>
      <c r="AV69" s="96"/>
      <c r="AW69" s="96"/>
      <c r="AX69" s="96"/>
      <c r="AY69" s="96"/>
      <c r="AZ69" s="96"/>
      <c r="BA69" s="96"/>
      <c r="BB69" s="96"/>
      <c r="BC69" s="96"/>
      <c r="BD69" s="96"/>
      <c r="BE69" s="96"/>
      <c r="BF69" s="96"/>
      <c r="BG69" s="96"/>
      <c r="BH69" s="96"/>
      <c r="BI69" s="96"/>
      <c r="BJ69" s="96"/>
      <c r="BK69" s="96"/>
      <c r="BL69" s="96"/>
      <c r="BM69" s="96"/>
      <c r="BN69" s="96"/>
      <c r="BO69" s="96"/>
      <c r="BP69" s="96"/>
      <c r="BQ69" s="96"/>
      <c r="BR69" s="96"/>
      <c r="BS69" s="96"/>
      <c r="BT69" s="96"/>
      <c r="BU69" s="96"/>
      <c r="BV69" s="96"/>
      <c r="BW69" s="96"/>
      <c r="BX69" s="96"/>
      <c r="BY69" s="96"/>
      <c r="BZ69" s="96"/>
      <c r="CA69" s="96"/>
      <c r="CB69" s="96"/>
      <c r="CC69" s="96"/>
      <c r="CD69" s="96"/>
      <c r="CE69" s="96"/>
      <c r="CF69" s="96"/>
      <c r="CG69" s="96"/>
      <c r="CH69" s="96"/>
      <c r="CI69" s="96"/>
      <c r="CJ69" s="96"/>
      <c r="CK69" s="96"/>
      <c r="CL69" s="96"/>
      <c r="CM69" s="96"/>
      <c r="CN69" s="96"/>
      <c r="CO69" s="96"/>
      <c r="CP69" s="96"/>
      <c r="CQ69" s="96"/>
      <c r="CR69" s="96"/>
      <c r="CS69" s="96"/>
      <c r="CT69" s="96"/>
      <c r="CU69" s="96"/>
      <c r="CV69" s="96"/>
      <c r="CW69" s="96"/>
      <c r="CX69" s="96"/>
      <c r="CY69" s="96"/>
      <c r="CZ69" s="96"/>
      <c r="DA69" s="96"/>
      <c r="DB69" s="96"/>
    </row>
    <row r="70" spans="1:106" x14ac:dyDescent="0.2">
      <c r="A70" s="96"/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96"/>
      <c r="AF70" s="96"/>
      <c r="AG70" s="96"/>
      <c r="AH70" s="96"/>
      <c r="AI70" s="96"/>
      <c r="AJ70" s="96"/>
      <c r="AK70" s="96"/>
      <c r="AL70" s="96"/>
      <c r="AM70" s="96"/>
      <c r="AN70" s="96"/>
      <c r="AO70" s="96"/>
      <c r="AP70" s="96"/>
      <c r="AQ70" s="96"/>
      <c r="AR70" s="96"/>
      <c r="AS70" s="96"/>
      <c r="AT70" s="96"/>
      <c r="AU70" s="96"/>
      <c r="AV70" s="96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96"/>
      <c r="BS70" s="96"/>
      <c r="BT70" s="96"/>
      <c r="BU70" s="96"/>
      <c r="BV70" s="96"/>
      <c r="BW70" s="96"/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96"/>
      <c r="CI70" s="96"/>
      <c r="CJ70" s="96"/>
      <c r="CK70" s="96"/>
      <c r="CL70" s="96"/>
      <c r="CM70" s="96"/>
      <c r="CN70" s="96"/>
      <c r="CO70" s="96"/>
      <c r="CP70" s="96"/>
      <c r="CQ70" s="96"/>
      <c r="CR70" s="96"/>
      <c r="CS70" s="96"/>
      <c r="CT70" s="96"/>
      <c r="CU70" s="96"/>
      <c r="CV70" s="96"/>
      <c r="CW70" s="96"/>
      <c r="CX70" s="96"/>
      <c r="CY70" s="96"/>
      <c r="CZ70" s="96"/>
      <c r="DA70" s="96"/>
      <c r="DB70" s="96"/>
    </row>
    <row r="71" spans="1:106" x14ac:dyDescent="0.2">
      <c r="A71" s="96"/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  <c r="AH71" s="96"/>
      <c r="AI71" s="96"/>
      <c r="AJ71" s="96"/>
      <c r="AK71" s="96"/>
      <c r="AL71" s="96"/>
      <c r="AM71" s="96"/>
      <c r="AN71" s="96"/>
      <c r="AO71" s="96"/>
      <c r="AP71" s="96"/>
      <c r="AQ71" s="96"/>
      <c r="AR71" s="96"/>
      <c r="AS71" s="96"/>
      <c r="AT71" s="96"/>
      <c r="AU71" s="96"/>
      <c r="AV71" s="96"/>
      <c r="AW71" s="96"/>
      <c r="AX71" s="96"/>
      <c r="AY71" s="96"/>
      <c r="AZ71" s="96"/>
      <c r="BA71" s="96"/>
      <c r="BB71" s="96"/>
      <c r="BC71" s="96"/>
      <c r="BD71" s="96"/>
      <c r="BE71" s="96"/>
      <c r="BF71" s="96"/>
      <c r="BG71" s="96"/>
      <c r="BH71" s="96"/>
      <c r="BI71" s="96"/>
      <c r="BJ71" s="96"/>
      <c r="BK71" s="96"/>
      <c r="BL71" s="96"/>
      <c r="BM71" s="96"/>
      <c r="BN71" s="96"/>
      <c r="BO71" s="96"/>
      <c r="BP71" s="96"/>
      <c r="BQ71" s="96"/>
      <c r="BR71" s="96"/>
      <c r="BS71" s="96"/>
      <c r="BT71" s="96"/>
      <c r="BU71" s="96"/>
      <c r="BV71" s="96"/>
      <c r="BW71" s="96"/>
      <c r="BX71" s="96"/>
      <c r="BY71" s="96"/>
      <c r="BZ71" s="96"/>
      <c r="CA71" s="96"/>
      <c r="CB71" s="96"/>
      <c r="CC71" s="96"/>
      <c r="CD71" s="96"/>
      <c r="CE71" s="96"/>
      <c r="CF71" s="96"/>
      <c r="CG71" s="96"/>
      <c r="CH71" s="96"/>
      <c r="CI71" s="96"/>
      <c r="CJ71" s="96"/>
      <c r="CK71" s="96"/>
      <c r="CL71" s="96"/>
      <c r="CM71" s="96"/>
      <c r="CN71" s="96"/>
      <c r="CO71" s="96"/>
      <c r="CP71" s="96"/>
      <c r="CQ71" s="96"/>
      <c r="CR71" s="96"/>
      <c r="CS71" s="96"/>
      <c r="CT71" s="96"/>
      <c r="CU71" s="96"/>
      <c r="CV71" s="96"/>
      <c r="CW71" s="96"/>
      <c r="CX71" s="96"/>
      <c r="CY71" s="96"/>
      <c r="CZ71" s="96"/>
      <c r="DA71" s="96"/>
      <c r="DB71" s="96"/>
    </row>
    <row r="72" spans="1:106" x14ac:dyDescent="0.2">
      <c r="A72" s="96"/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96"/>
      <c r="AF72" s="96"/>
      <c r="AG72" s="96"/>
      <c r="AH72" s="96"/>
      <c r="AI72" s="96"/>
      <c r="AJ72" s="96"/>
      <c r="AK72" s="96"/>
      <c r="AL72" s="96"/>
      <c r="AM72" s="96"/>
      <c r="AN72" s="96"/>
      <c r="AO72" s="96"/>
      <c r="AP72" s="96"/>
      <c r="AQ72" s="96"/>
      <c r="AR72" s="96"/>
      <c r="AS72" s="96"/>
      <c r="AT72" s="96"/>
      <c r="AU72" s="96"/>
      <c r="AV72" s="96"/>
      <c r="AW72" s="96"/>
      <c r="AX72" s="96"/>
      <c r="AY72" s="96"/>
      <c r="AZ72" s="96"/>
      <c r="BA72" s="96"/>
      <c r="BB72" s="96"/>
      <c r="BC72" s="96"/>
      <c r="BD72" s="96"/>
      <c r="BE72" s="96"/>
      <c r="BF72" s="96"/>
      <c r="BG72" s="96"/>
      <c r="BH72" s="96"/>
      <c r="BI72" s="96"/>
      <c r="BJ72" s="96"/>
      <c r="BK72" s="96"/>
      <c r="BL72" s="96"/>
      <c r="BM72" s="96"/>
      <c r="BN72" s="96"/>
      <c r="BO72" s="96"/>
      <c r="BP72" s="96"/>
      <c r="BQ72" s="96"/>
      <c r="BR72" s="96"/>
      <c r="BS72" s="96"/>
      <c r="BT72" s="96"/>
      <c r="BU72" s="96"/>
      <c r="BV72" s="96"/>
      <c r="BW72" s="96"/>
      <c r="BX72" s="96"/>
      <c r="BY72" s="96"/>
      <c r="BZ72" s="96"/>
      <c r="CA72" s="96"/>
      <c r="CB72" s="96"/>
      <c r="CC72" s="96"/>
      <c r="CD72" s="96"/>
      <c r="CE72" s="96"/>
      <c r="CF72" s="96"/>
      <c r="CG72" s="96"/>
      <c r="CH72" s="96"/>
      <c r="CI72" s="96"/>
      <c r="CJ72" s="96"/>
      <c r="CK72" s="96"/>
      <c r="CL72" s="96"/>
      <c r="CM72" s="96"/>
      <c r="CN72" s="96"/>
      <c r="CO72" s="96"/>
      <c r="CP72" s="96"/>
      <c r="CQ72" s="96"/>
      <c r="CR72" s="96"/>
      <c r="CS72" s="96"/>
      <c r="CT72" s="96"/>
      <c r="CU72" s="96"/>
      <c r="CV72" s="96"/>
      <c r="CW72" s="96"/>
      <c r="CX72" s="96"/>
      <c r="CY72" s="96"/>
      <c r="CZ72" s="96"/>
      <c r="DA72" s="96"/>
      <c r="DB72" s="96"/>
    </row>
    <row r="73" spans="1:106" x14ac:dyDescent="0.2">
      <c r="A73" s="96"/>
      <c r="B73" s="96"/>
      <c r="C73" s="96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  <c r="AH73" s="96"/>
      <c r="AI73" s="96"/>
      <c r="AJ73" s="96"/>
      <c r="AK73" s="96"/>
      <c r="AL73" s="96"/>
      <c r="AM73" s="96"/>
      <c r="AN73" s="96"/>
      <c r="AO73" s="96"/>
      <c r="AP73" s="96"/>
      <c r="AQ73" s="96"/>
      <c r="AR73" s="96"/>
      <c r="AS73" s="96"/>
      <c r="AT73" s="96"/>
      <c r="AU73" s="96"/>
      <c r="AV73" s="96"/>
      <c r="AW73" s="96"/>
      <c r="AX73" s="96"/>
      <c r="AY73" s="96"/>
      <c r="AZ73" s="96"/>
      <c r="BA73" s="96"/>
      <c r="BB73" s="96"/>
      <c r="BC73" s="96"/>
      <c r="BD73" s="96"/>
      <c r="BE73" s="96"/>
      <c r="BF73" s="96"/>
      <c r="BG73" s="96"/>
      <c r="BH73" s="96"/>
      <c r="BI73" s="96"/>
      <c r="BJ73" s="96"/>
      <c r="BK73" s="96"/>
      <c r="BL73" s="96"/>
      <c r="BM73" s="96"/>
      <c r="BN73" s="96"/>
      <c r="BO73" s="96"/>
      <c r="BP73" s="96"/>
      <c r="BQ73" s="96"/>
      <c r="BR73" s="96"/>
      <c r="BS73" s="96"/>
      <c r="BT73" s="96"/>
      <c r="BU73" s="96"/>
      <c r="BV73" s="96"/>
      <c r="BW73" s="96"/>
      <c r="BX73" s="96"/>
      <c r="BY73" s="96"/>
      <c r="BZ73" s="96"/>
      <c r="CA73" s="96"/>
      <c r="CB73" s="96"/>
      <c r="CC73" s="96"/>
      <c r="CD73" s="96"/>
      <c r="CE73" s="96"/>
      <c r="CF73" s="96"/>
      <c r="CG73" s="96"/>
      <c r="CH73" s="96"/>
      <c r="CI73" s="96"/>
      <c r="CJ73" s="96"/>
      <c r="CK73" s="96"/>
      <c r="CL73" s="96"/>
      <c r="CM73" s="96"/>
      <c r="CN73" s="96"/>
      <c r="CO73" s="96"/>
      <c r="CP73" s="96"/>
      <c r="CQ73" s="96"/>
      <c r="CR73" s="96"/>
      <c r="CS73" s="96"/>
      <c r="CT73" s="96"/>
      <c r="CU73" s="96"/>
      <c r="CV73" s="96"/>
      <c r="CW73" s="96"/>
      <c r="CX73" s="96"/>
      <c r="CY73" s="96"/>
      <c r="CZ73" s="96"/>
      <c r="DA73" s="96"/>
      <c r="DB73" s="96"/>
    </row>
    <row r="74" spans="1:106" x14ac:dyDescent="0.2">
      <c r="A74" s="96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  <c r="AH74" s="96"/>
      <c r="AI74" s="96"/>
      <c r="AJ74" s="96"/>
      <c r="AK74" s="96"/>
      <c r="AL74" s="96"/>
      <c r="AM74" s="96"/>
      <c r="AN74" s="96"/>
      <c r="AO74" s="96"/>
      <c r="AP74" s="96"/>
      <c r="AQ74" s="96"/>
      <c r="AR74" s="96"/>
      <c r="AS74" s="96"/>
      <c r="AT74" s="96"/>
      <c r="AU74" s="96"/>
      <c r="AV74" s="96"/>
      <c r="AW74" s="96"/>
      <c r="AX74" s="96"/>
      <c r="AY74" s="96"/>
      <c r="AZ74" s="96"/>
      <c r="BA74" s="96"/>
      <c r="BB74" s="96"/>
      <c r="BC74" s="96"/>
      <c r="BD74" s="96"/>
      <c r="BE74" s="96"/>
      <c r="BF74" s="96"/>
      <c r="BG74" s="96"/>
      <c r="BH74" s="96"/>
      <c r="BI74" s="96"/>
      <c r="BJ74" s="96"/>
      <c r="BK74" s="96"/>
      <c r="BL74" s="96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96"/>
      <c r="CH74" s="96"/>
      <c r="CI74" s="96"/>
      <c r="CJ74" s="96"/>
      <c r="CK74" s="96"/>
      <c r="CL74" s="96"/>
      <c r="CM74" s="96"/>
      <c r="CN74" s="96"/>
      <c r="CO74" s="96"/>
      <c r="CP74" s="96"/>
      <c r="CQ74" s="96"/>
      <c r="CR74" s="96"/>
      <c r="CS74" s="96"/>
      <c r="CT74" s="96"/>
      <c r="CU74" s="96"/>
      <c r="CV74" s="96"/>
      <c r="CW74" s="96"/>
      <c r="CX74" s="96"/>
      <c r="CY74" s="96"/>
      <c r="CZ74" s="96"/>
      <c r="DA74" s="96"/>
      <c r="DB74" s="96"/>
    </row>
    <row r="75" spans="1:106" x14ac:dyDescent="0.2">
      <c r="A75" s="96"/>
      <c r="B75" s="96"/>
      <c r="C75" s="96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  <c r="AH75" s="96"/>
      <c r="AI75" s="96"/>
      <c r="AJ75" s="96"/>
      <c r="AK75" s="96"/>
      <c r="AL75" s="96"/>
      <c r="AM75" s="96"/>
      <c r="AN75" s="96"/>
      <c r="AO75" s="96"/>
      <c r="AP75" s="96"/>
      <c r="AQ75" s="96"/>
      <c r="AR75" s="96"/>
      <c r="AS75" s="96"/>
      <c r="AT75" s="96"/>
      <c r="AU75" s="96"/>
      <c r="AV75" s="96"/>
      <c r="AW75" s="96"/>
      <c r="AX75" s="96"/>
      <c r="AY75" s="96"/>
      <c r="AZ75" s="96"/>
      <c r="BA75" s="96"/>
      <c r="BB75" s="96"/>
      <c r="BC75" s="96"/>
      <c r="BD75" s="96"/>
      <c r="BE75" s="96"/>
      <c r="BF75" s="96"/>
      <c r="BG75" s="96"/>
      <c r="BH75" s="96"/>
      <c r="BI75" s="96"/>
      <c r="BJ75" s="96"/>
      <c r="BK75" s="96"/>
      <c r="BL75" s="96"/>
      <c r="BM75" s="96"/>
      <c r="BN75" s="96"/>
      <c r="BO75" s="96"/>
      <c r="BP75" s="96"/>
      <c r="BQ75" s="96"/>
      <c r="BR75" s="96"/>
      <c r="BS75" s="96"/>
      <c r="BT75" s="96"/>
      <c r="BU75" s="96"/>
      <c r="BV75" s="96"/>
      <c r="BW75" s="96"/>
      <c r="BX75" s="96"/>
      <c r="BY75" s="96"/>
      <c r="BZ75" s="96"/>
      <c r="CA75" s="96"/>
      <c r="CB75" s="96"/>
      <c r="CC75" s="96"/>
      <c r="CD75" s="96"/>
      <c r="CE75" s="96"/>
      <c r="CF75" s="96"/>
      <c r="CG75" s="96"/>
      <c r="CH75" s="96"/>
      <c r="CI75" s="96"/>
      <c r="CJ75" s="96"/>
      <c r="CK75" s="96"/>
      <c r="CL75" s="96"/>
      <c r="CM75" s="96"/>
      <c r="CN75" s="96"/>
      <c r="CO75" s="96"/>
      <c r="CP75" s="96"/>
      <c r="CQ75" s="96"/>
      <c r="CR75" s="96"/>
      <c r="CS75" s="96"/>
      <c r="CT75" s="96"/>
      <c r="CU75" s="96"/>
      <c r="CV75" s="96"/>
      <c r="CW75" s="96"/>
      <c r="CX75" s="96"/>
      <c r="CY75" s="96"/>
      <c r="CZ75" s="96"/>
      <c r="DA75" s="96"/>
      <c r="DB75" s="96"/>
    </row>
    <row r="76" spans="1:106" x14ac:dyDescent="0.2">
      <c r="A76" s="96"/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A76" s="96"/>
      <c r="CB76" s="96"/>
      <c r="CC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  <c r="CR76" s="96"/>
      <c r="CS76" s="96"/>
      <c r="CT76" s="96"/>
      <c r="CU76" s="96"/>
      <c r="CV76" s="96"/>
      <c r="CW76" s="96"/>
      <c r="CX76" s="96"/>
      <c r="CY76" s="96"/>
      <c r="CZ76" s="96"/>
      <c r="DA76" s="96"/>
      <c r="DB76" s="96"/>
    </row>
    <row r="77" spans="1:106" x14ac:dyDescent="0.2">
      <c r="A77" s="96"/>
      <c r="B77" s="96"/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  <c r="CD77" s="96"/>
      <c r="CE77" s="96"/>
      <c r="CF77" s="96"/>
      <c r="CG77" s="96"/>
      <c r="CH77" s="96"/>
      <c r="CI77" s="96"/>
      <c r="CJ77" s="96"/>
      <c r="CK77" s="96"/>
      <c r="CL77" s="96"/>
      <c r="CM77" s="96"/>
      <c r="CN77" s="96"/>
      <c r="CO77" s="96"/>
      <c r="CP77" s="96"/>
      <c r="CQ77" s="96"/>
      <c r="CR77" s="96"/>
      <c r="CS77" s="96"/>
      <c r="CT77" s="96"/>
      <c r="CU77" s="96"/>
      <c r="CV77" s="96"/>
      <c r="CW77" s="96"/>
      <c r="CX77" s="96"/>
      <c r="CY77" s="96"/>
      <c r="CZ77" s="96"/>
      <c r="DA77" s="96"/>
      <c r="DB77" s="96"/>
    </row>
    <row r="78" spans="1:106" x14ac:dyDescent="0.2">
      <c r="A78" s="96"/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96"/>
      <c r="AF78" s="96"/>
      <c r="AG78" s="96"/>
      <c r="AH78" s="96"/>
      <c r="AI78" s="96"/>
      <c r="AJ78" s="96"/>
      <c r="AK78" s="96"/>
      <c r="AL78" s="96"/>
      <c r="AM78" s="96"/>
      <c r="AN78" s="96"/>
      <c r="AO78" s="96"/>
      <c r="AP78" s="96"/>
      <c r="AQ78" s="96"/>
      <c r="AR78" s="96"/>
      <c r="AS78" s="96"/>
      <c r="AT78" s="96"/>
      <c r="AU78" s="96"/>
      <c r="AV78" s="96"/>
      <c r="AW78" s="96"/>
      <c r="AX78" s="96"/>
      <c r="AY78" s="96"/>
      <c r="AZ78" s="96"/>
      <c r="BA78" s="96"/>
      <c r="BB78" s="96"/>
      <c r="BC78" s="96"/>
      <c r="BD78" s="96"/>
      <c r="BE78" s="96"/>
      <c r="BF78" s="96"/>
      <c r="BG78" s="96"/>
      <c r="BH78" s="96"/>
      <c r="BI78" s="96"/>
      <c r="BJ78" s="96"/>
      <c r="BK78" s="96"/>
      <c r="BL78" s="96"/>
      <c r="BM78" s="96"/>
      <c r="BN78" s="96"/>
      <c r="BO78" s="96"/>
      <c r="BP78" s="96"/>
      <c r="BQ78" s="96"/>
      <c r="BR78" s="96"/>
      <c r="BS78" s="96"/>
      <c r="BT78" s="96"/>
      <c r="BU78" s="96"/>
      <c r="BV78" s="96"/>
      <c r="BW78" s="96"/>
      <c r="BX78" s="96"/>
      <c r="BY78" s="96"/>
      <c r="BZ78" s="96"/>
      <c r="CA78" s="96"/>
      <c r="CB78" s="96"/>
      <c r="CC78" s="96"/>
      <c r="CD78" s="96"/>
      <c r="CE78" s="96"/>
      <c r="CF78" s="96"/>
      <c r="CG78" s="96"/>
      <c r="CH78" s="96"/>
      <c r="CI78" s="96"/>
      <c r="CJ78" s="96"/>
      <c r="CK78" s="96"/>
      <c r="CL78" s="96"/>
      <c r="CM78" s="96"/>
      <c r="CN78" s="96"/>
      <c r="CO78" s="96"/>
      <c r="CP78" s="96"/>
      <c r="CQ78" s="96"/>
      <c r="CR78" s="96"/>
      <c r="CS78" s="96"/>
      <c r="CT78" s="96"/>
      <c r="CU78" s="96"/>
      <c r="CV78" s="96"/>
      <c r="CW78" s="96"/>
      <c r="CX78" s="96"/>
      <c r="CY78" s="96"/>
      <c r="CZ78" s="96"/>
      <c r="DA78" s="96"/>
      <c r="DB78" s="96"/>
    </row>
    <row r="79" spans="1:106" x14ac:dyDescent="0.2">
      <c r="A79" s="96"/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  <c r="T79" s="96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96"/>
      <c r="AF79" s="96"/>
      <c r="AG79" s="96"/>
      <c r="AH79" s="96"/>
      <c r="AI79" s="96"/>
      <c r="AJ79" s="96"/>
      <c r="AK79" s="96"/>
      <c r="AL79" s="96"/>
      <c r="AM79" s="96"/>
      <c r="AN79" s="96"/>
      <c r="AO79" s="96"/>
      <c r="AP79" s="96"/>
      <c r="AQ79" s="96"/>
      <c r="AR79" s="96"/>
      <c r="AS79" s="96"/>
      <c r="AT79" s="96"/>
      <c r="AU79" s="96"/>
      <c r="AV79" s="96"/>
      <c r="AW79" s="96"/>
      <c r="AX79" s="96"/>
      <c r="AY79" s="96"/>
      <c r="AZ79" s="96"/>
      <c r="BA79" s="96"/>
      <c r="BB79" s="96"/>
      <c r="BC79" s="96"/>
      <c r="BD79" s="96"/>
      <c r="BE79" s="96"/>
      <c r="BF79" s="96"/>
      <c r="BG79" s="96"/>
      <c r="BH79" s="96"/>
      <c r="BI79" s="96"/>
      <c r="BJ79" s="96"/>
      <c r="BK79" s="96"/>
      <c r="BL79" s="96"/>
      <c r="BM79" s="96"/>
      <c r="BN79" s="96"/>
      <c r="BO79" s="96"/>
      <c r="BP79" s="96"/>
      <c r="BQ79" s="96"/>
      <c r="BR79" s="96"/>
      <c r="BS79" s="96"/>
      <c r="BT79" s="96"/>
      <c r="BU79" s="96"/>
      <c r="BV79" s="96"/>
      <c r="BW79" s="96"/>
      <c r="BX79" s="96"/>
      <c r="BY79" s="96"/>
      <c r="BZ79" s="96"/>
      <c r="CA79" s="96"/>
      <c r="CB79" s="96"/>
      <c r="CC79" s="96"/>
      <c r="CD79" s="96"/>
      <c r="CE79" s="96"/>
      <c r="CF79" s="96"/>
      <c r="CG79" s="96"/>
      <c r="CH79" s="96"/>
      <c r="CI79" s="96"/>
      <c r="CJ79" s="96"/>
      <c r="CK79" s="96"/>
      <c r="CL79" s="96"/>
      <c r="CM79" s="96"/>
      <c r="CN79" s="96"/>
      <c r="CO79" s="96"/>
      <c r="CP79" s="96"/>
      <c r="CQ79" s="96"/>
      <c r="CR79" s="96"/>
      <c r="CS79" s="96"/>
      <c r="CT79" s="96"/>
      <c r="CU79" s="96"/>
      <c r="CV79" s="96"/>
      <c r="CW79" s="96"/>
      <c r="CX79" s="96"/>
      <c r="CY79" s="96"/>
      <c r="CZ79" s="96"/>
      <c r="DA79" s="96"/>
      <c r="DB79" s="96"/>
    </row>
    <row r="80" spans="1:106" x14ac:dyDescent="0.2">
      <c r="A80" s="96"/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  <c r="AH80" s="96"/>
      <c r="AI80" s="96"/>
      <c r="AJ80" s="96"/>
      <c r="AK80" s="96"/>
      <c r="AL80" s="96"/>
      <c r="AM80" s="96"/>
      <c r="AN80" s="96"/>
      <c r="AO80" s="96"/>
      <c r="AP80" s="96"/>
      <c r="AQ80" s="96"/>
      <c r="AR80" s="96"/>
      <c r="AS80" s="96"/>
      <c r="AT80" s="96"/>
      <c r="AU80" s="96"/>
      <c r="AV80" s="96"/>
      <c r="AW80" s="96"/>
      <c r="AX80" s="96"/>
      <c r="AY80" s="96"/>
      <c r="AZ80" s="96"/>
      <c r="BA80" s="96"/>
      <c r="BB80" s="96"/>
      <c r="BC80" s="96"/>
      <c r="BD80" s="96"/>
      <c r="BE80" s="96"/>
      <c r="BF80" s="96"/>
      <c r="BG80" s="96"/>
      <c r="BH80" s="96"/>
      <c r="BI80" s="96"/>
      <c r="BJ80" s="96"/>
      <c r="BK80" s="96"/>
      <c r="BL80" s="96"/>
      <c r="BM80" s="96"/>
      <c r="BN80" s="96"/>
      <c r="BO80" s="96"/>
      <c r="BP80" s="96"/>
      <c r="BQ80" s="96"/>
      <c r="BR80" s="96"/>
      <c r="BS80" s="96"/>
      <c r="BT80" s="96"/>
      <c r="BU80" s="96"/>
      <c r="BV80" s="96"/>
      <c r="BW80" s="96"/>
      <c r="BX80" s="96"/>
      <c r="BY80" s="96"/>
      <c r="BZ80" s="96"/>
      <c r="CA80" s="96"/>
      <c r="CB80" s="96"/>
      <c r="CC80" s="96"/>
      <c r="CD80" s="96"/>
      <c r="CE80" s="96"/>
      <c r="CF80" s="96"/>
      <c r="CG80" s="96"/>
      <c r="CH80" s="96"/>
      <c r="CI80" s="96"/>
      <c r="CJ80" s="96"/>
      <c r="CK80" s="96"/>
      <c r="CL80" s="96"/>
      <c r="CM80" s="96"/>
      <c r="CN80" s="96"/>
      <c r="CO80" s="96"/>
      <c r="CP80" s="96"/>
      <c r="CQ80" s="96"/>
      <c r="CR80" s="96"/>
      <c r="CS80" s="96"/>
      <c r="CT80" s="96"/>
      <c r="CU80" s="96"/>
      <c r="CV80" s="96"/>
      <c r="CW80" s="96"/>
      <c r="CX80" s="96"/>
      <c r="CY80" s="96"/>
      <c r="CZ80" s="96"/>
      <c r="DA80" s="96"/>
      <c r="DB80" s="96"/>
    </row>
    <row r="81" spans="1:106" x14ac:dyDescent="0.2">
      <c r="A81" s="96"/>
      <c r="B81" s="96"/>
      <c r="C81" s="96"/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  <c r="AH81" s="96"/>
      <c r="AI81" s="96"/>
      <c r="AJ81" s="96"/>
      <c r="AK81" s="96"/>
      <c r="AL81" s="96"/>
      <c r="AM81" s="96"/>
      <c r="AN81" s="96"/>
      <c r="AO81" s="96"/>
      <c r="AP81" s="96"/>
      <c r="AQ81" s="96"/>
      <c r="AR81" s="96"/>
      <c r="AS81" s="96"/>
      <c r="AT81" s="96"/>
      <c r="AU81" s="96"/>
      <c r="AV81" s="96"/>
      <c r="AW81" s="96"/>
      <c r="AX81" s="96"/>
      <c r="AY81" s="96"/>
      <c r="AZ81" s="96"/>
      <c r="BA81" s="96"/>
      <c r="BB81" s="96"/>
      <c r="BC81" s="96"/>
      <c r="BD81" s="96"/>
      <c r="BE81" s="96"/>
      <c r="BF81" s="96"/>
      <c r="BG81" s="96"/>
      <c r="BH81" s="96"/>
      <c r="BI81" s="96"/>
      <c r="BJ81" s="96"/>
      <c r="BK81" s="96"/>
      <c r="BL81" s="96"/>
      <c r="BM81" s="96"/>
      <c r="BN81" s="96"/>
      <c r="BO81" s="96"/>
      <c r="BP81" s="96"/>
      <c r="BQ81" s="96"/>
      <c r="BR81" s="96"/>
      <c r="BS81" s="96"/>
      <c r="BT81" s="96"/>
      <c r="BU81" s="96"/>
      <c r="BV81" s="96"/>
      <c r="BW81" s="96"/>
      <c r="BX81" s="96"/>
      <c r="BY81" s="96"/>
      <c r="BZ81" s="96"/>
      <c r="CA81" s="96"/>
      <c r="CB81" s="96"/>
      <c r="CC81" s="96"/>
      <c r="CD81" s="96"/>
      <c r="CE81" s="96"/>
      <c r="CF81" s="96"/>
      <c r="CG81" s="96"/>
      <c r="CH81" s="96"/>
      <c r="CI81" s="96"/>
      <c r="CJ81" s="96"/>
      <c r="CK81" s="96"/>
      <c r="CL81" s="96"/>
      <c r="CM81" s="96"/>
      <c r="CN81" s="96"/>
      <c r="CO81" s="96"/>
      <c r="CP81" s="96"/>
      <c r="CQ81" s="96"/>
      <c r="CR81" s="96"/>
      <c r="CS81" s="96"/>
      <c r="CT81" s="96"/>
      <c r="CU81" s="96"/>
      <c r="CV81" s="96"/>
      <c r="CW81" s="96"/>
      <c r="CX81" s="96"/>
      <c r="CY81" s="96"/>
      <c r="CZ81" s="96"/>
      <c r="DA81" s="96"/>
      <c r="DB81" s="96"/>
    </row>
    <row r="82" spans="1:106" x14ac:dyDescent="0.2">
      <c r="A82" s="96"/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  <c r="AH82" s="96"/>
      <c r="AI82" s="96"/>
      <c r="AJ82" s="96"/>
      <c r="AK82" s="96"/>
      <c r="AL82" s="96"/>
      <c r="AM82" s="96"/>
      <c r="AN82" s="96"/>
      <c r="AO82" s="96"/>
      <c r="AP82" s="96"/>
      <c r="AQ82" s="96"/>
      <c r="AR82" s="96"/>
      <c r="AS82" s="96"/>
      <c r="AT82" s="96"/>
      <c r="AU82" s="96"/>
      <c r="AV82" s="96"/>
      <c r="AW82" s="96"/>
      <c r="AX82" s="96"/>
      <c r="AY82" s="96"/>
      <c r="AZ82" s="96"/>
      <c r="BA82" s="96"/>
      <c r="BB82" s="96"/>
      <c r="BC82" s="96"/>
      <c r="BD82" s="96"/>
      <c r="BE82" s="96"/>
      <c r="BF82" s="96"/>
      <c r="BG82" s="96"/>
      <c r="BH82" s="96"/>
      <c r="BI82" s="96"/>
      <c r="BJ82" s="96"/>
      <c r="BK82" s="96"/>
      <c r="BL82" s="96"/>
      <c r="BM82" s="96"/>
      <c r="BN82" s="96"/>
      <c r="BO82" s="96"/>
      <c r="BP82" s="96"/>
      <c r="BQ82" s="96"/>
      <c r="BR82" s="96"/>
      <c r="BS82" s="96"/>
      <c r="BT82" s="96"/>
      <c r="BU82" s="96"/>
      <c r="BV82" s="96"/>
      <c r="BW82" s="96"/>
      <c r="BX82" s="96"/>
      <c r="BY82" s="96"/>
      <c r="BZ82" s="96"/>
      <c r="CA82" s="96"/>
      <c r="CB82" s="96"/>
      <c r="CC82" s="96"/>
      <c r="CD82" s="96"/>
      <c r="CE82" s="96"/>
      <c r="CF82" s="96"/>
      <c r="CG82" s="96"/>
      <c r="CH82" s="96"/>
      <c r="CI82" s="96"/>
      <c r="CJ82" s="96"/>
      <c r="CK82" s="96"/>
      <c r="CL82" s="96"/>
      <c r="CM82" s="96"/>
      <c r="CN82" s="96"/>
      <c r="CO82" s="96"/>
      <c r="CP82" s="96"/>
      <c r="CQ82" s="96"/>
      <c r="CR82" s="96"/>
      <c r="CS82" s="96"/>
      <c r="CT82" s="96"/>
      <c r="CU82" s="96"/>
      <c r="CV82" s="96"/>
      <c r="CW82" s="96"/>
      <c r="CX82" s="96"/>
      <c r="CY82" s="96"/>
      <c r="CZ82" s="96"/>
      <c r="DA82" s="96"/>
      <c r="DB82" s="96"/>
    </row>
    <row r="83" spans="1:106" x14ac:dyDescent="0.2">
      <c r="A83" s="96"/>
      <c r="B83" s="96"/>
      <c r="C83" s="96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  <c r="T83" s="96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96"/>
      <c r="AF83" s="96"/>
      <c r="AG83" s="96"/>
      <c r="AH83" s="96"/>
      <c r="AI83" s="96"/>
      <c r="AJ83" s="96"/>
      <c r="AK83" s="96"/>
      <c r="AL83" s="96"/>
      <c r="AM83" s="96"/>
      <c r="AN83" s="96"/>
      <c r="AO83" s="96"/>
      <c r="AP83" s="96"/>
      <c r="AQ83" s="96"/>
      <c r="AR83" s="96"/>
      <c r="AS83" s="96"/>
      <c r="AT83" s="96"/>
      <c r="AU83" s="96"/>
      <c r="AV83" s="96"/>
      <c r="AW83" s="96"/>
      <c r="AX83" s="96"/>
      <c r="AY83" s="96"/>
      <c r="AZ83" s="96"/>
      <c r="BA83" s="96"/>
      <c r="BB83" s="96"/>
      <c r="BC83" s="96"/>
      <c r="BD83" s="96"/>
      <c r="BE83" s="96"/>
      <c r="BF83" s="96"/>
      <c r="BG83" s="96"/>
      <c r="BH83" s="96"/>
      <c r="BI83" s="96"/>
      <c r="BJ83" s="96"/>
      <c r="BK83" s="96"/>
      <c r="BL83" s="96"/>
      <c r="BM83" s="96"/>
      <c r="BN83" s="96"/>
      <c r="BO83" s="96"/>
      <c r="BP83" s="96"/>
      <c r="BQ83" s="96"/>
      <c r="BR83" s="96"/>
      <c r="BS83" s="96"/>
      <c r="BT83" s="96"/>
      <c r="BU83" s="96"/>
      <c r="BV83" s="96"/>
      <c r="BW83" s="96"/>
      <c r="BX83" s="96"/>
      <c r="BY83" s="96"/>
      <c r="BZ83" s="96"/>
      <c r="CA83" s="96"/>
      <c r="CB83" s="96"/>
      <c r="CC83" s="96"/>
      <c r="CD83" s="96"/>
      <c r="CE83" s="96"/>
      <c r="CF83" s="96"/>
      <c r="CG83" s="96"/>
      <c r="CH83" s="96"/>
      <c r="CI83" s="96"/>
      <c r="CJ83" s="96"/>
      <c r="CK83" s="96"/>
      <c r="CL83" s="96"/>
      <c r="CM83" s="96"/>
      <c r="CN83" s="96"/>
      <c r="CO83" s="96"/>
      <c r="CP83" s="96"/>
      <c r="CQ83" s="96"/>
      <c r="CR83" s="96"/>
      <c r="CS83" s="96"/>
      <c r="CT83" s="96"/>
      <c r="CU83" s="96"/>
      <c r="CV83" s="96"/>
      <c r="CW83" s="96"/>
      <c r="CX83" s="96"/>
      <c r="CY83" s="96"/>
      <c r="CZ83" s="96"/>
      <c r="DA83" s="96"/>
      <c r="DB83" s="96"/>
    </row>
    <row r="84" spans="1:106" x14ac:dyDescent="0.2">
      <c r="A84" s="96"/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96"/>
      <c r="AF84" s="96"/>
      <c r="AG84" s="96"/>
      <c r="AH84" s="96"/>
      <c r="AI84" s="96"/>
      <c r="AJ84" s="96"/>
      <c r="AK84" s="96"/>
      <c r="AL84" s="96"/>
      <c r="AM84" s="96"/>
      <c r="AN84" s="96"/>
      <c r="AO84" s="96"/>
      <c r="AP84" s="96"/>
      <c r="AQ84" s="96"/>
      <c r="AR84" s="96"/>
      <c r="AS84" s="96"/>
      <c r="AT84" s="96"/>
      <c r="AU84" s="96"/>
      <c r="AV84" s="96"/>
      <c r="AW84" s="96"/>
      <c r="AX84" s="96"/>
      <c r="AY84" s="96"/>
      <c r="AZ84" s="96"/>
      <c r="BA84" s="96"/>
      <c r="BB84" s="96"/>
      <c r="BC84" s="96"/>
      <c r="BD84" s="96"/>
      <c r="BE84" s="96"/>
      <c r="BF84" s="96"/>
      <c r="BG84" s="96"/>
      <c r="BH84" s="96"/>
      <c r="BI84" s="96"/>
      <c r="BJ84" s="96"/>
      <c r="BK84" s="96"/>
      <c r="BL84" s="96"/>
      <c r="BM84" s="96"/>
      <c r="BN84" s="96"/>
      <c r="BO84" s="96"/>
      <c r="BP84" s="96"/>
      <c r="BQ84" s="96"/>
      <c r="BR84" s="96"/>
      <c r="BS84" s="96"/>
      <c r="BT84" s="96"/>
      <c r="BU84" s="96"/>
      <c r="BV84" s="96"/>
      <c r="BW84" s="96"/>
      <c r="BX84" s="96"/>
      <c r="BY84" s="96"/>
      <c r="BZ84" s="96"/>
      <c r="CA84" s="96"/>
      <c r="CB84" s="96"/>
      <c r="CC84" s="96"/>
      <c r="CD84" s="96"/>
      <c r="CE84" s="96"/>
      <c r="CF84" s="96"/>
      <c r="CG84" s="96"/>
      <c r="CH84" s="96"/>
      <c r="CI84" s="96"/>
      <c r="CJ84" s="96"/>
      <c r="CK84" s="96"/>
      <c r="CL84" s="96"/>
      <c r="CM84" s="96"/>
      <c r="CN84" s="96"/>
      <c r="CO84" s="96"/>
      <c r="CP84" s="96"/>
      <c r="CQ84" s="96"/>
      <c r="CR84" s="96"/>
      <c r="CS84" s="96"/>
      <c r="CT84" s="96"/>
      <c r="CU84" s="96"/>
      <c r="CV84" s="96"/>
      <c r="CW84" s="96"/>
      <c r="CX84" s="96"/>
      <c r="CY84" s="96"/>
      <c r="CZ84" s="96"/>
      <c r="DA84" s="96"/>
      <c r="DB84" s="96"/>
    </row>
    <row r="85" spans="1:106" x14ac:dyDescent="0.2">
      <c r="A85" s="96"/>
      <c r="B85" s="96"/>
      <c r="C85" s="96"/>
      <c r="D85" s="96"/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  <c r="AH85" s="96"/>
      <c r="AI85" s="96"/>
      <c r="AJ85" s="96"/>
      <c r="AK85" s="96"/>
      <c r="AL85" s="96"/>
      <c r="AM85" s="96"/>
      <c r="AN85" s="96"/>
      <c r="AO85" s="96"/>
      <c r="AP85" s="96"/>
      <c r="AQ85" s="96"/>
      <c r="AR85" s="96"/>
      <c r="AS85" s="96"/>
      <c r="AT85" s="96"/>
      <c r="AU85" s="96"/>
      <c r="AV85" s="96"/>
      <c r="AW85" s="96"/>
      <c r="AX85" s="96"/>
      <c r="AY85" s="96"/>
      <c r="AZ85" s="96"/>
      <c r="BA85" s="96"/>
      <c r="BB85" s="96"/>
      <c r="BC85" s="96"/>
      <c r="BD85" s="96"/>
      <c r="BE85" s="96"/>
      <c r="BF85" s="96"/>
      <c r="BG85" s="96"/>
      <c r="BH85" s="96"/>
      <c r="BI85" s="96"/>
      <c r="BJ85" s="96"/>
      <c r="BK85" s="96"/>
      <c r="BL85" s="96"/>
      <c r="BM85" s="96"/>
      <c r="BN85" s="96"/>
      <c r="BO85" s="96"/>
      <c r="BP85" s="96"/>
      <c r="BQ85" s="96"/>
      <c r="BR85" s="96"/>
      <c r="BS85" s="96"/>
      <c r="BT85" s="96"/>
      <c r="BU85" s="96"/>
      <c r="BV85" s="96"/>
      <c r="BW85" s="96"/>
      <c r="BX85" s="96"/>
      <c r="BY85" s="96"/>
      <c r="BZ85" s="96"/>
      <c r="CA85" s="96"/>
      <c r="CB85" s="96"/>
      <c r="CC85" s="96"/>
      <c r="CD85" s="96"/>
      <c r="CE85" s="96"/>
      <c r="CF85" s="96"/>
      <c r="CG85" s="96"/>
      <c r="CH85" s="96"/>
      <c r="CI85" s="96"/>
      <c r="CJ85" s="96"/>
      <c r="CK85" s="96"/>
      <c r="CL85" s="96"/>
      <c r="CM85" s="96"/>
      <c r="CN85" s="96"/>
      <c r="CO85" s="96"/>
      <c r="CP85" s="96"/>
      <c r="CQ85" s="96"/>
      <c r="CR85" s="96"/>
      <c r="CS85" s="96"/>
      <c r="CT85" s="96"/>
      <c r="CU85" s="96"/>
      <c r="CV85" s="96"/>
      <c r="CW85" s="96"/>
      <c r="CX85" s="96"/>
      <c r="CY85" s="96"/>
      <c r="CZ85" s="96"/>
      <c r="DA85" s="96"/>
      <c r="DB85" s="96"/>
    </row>
    <row r="86" spans="1:106" x14ac:dyDescent="0.2">
      <c r="A86" s="96"/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96"/>
      <c r="AF86" s="96"/>
      <c r="AG86" s="96"/>
      <c r="AH86" s="96"/>
      <c r="AI86" s="96"/>
      <c r="AJ86" s="96"/>
      <c r="AK86" s="96"/>
      <c r="AL86" s="96"/>
      <c r="AM86" s="96"/>
      <c r="AN86" s="96"/>
      <c r="AO86" s="96"/>
      <c r="AP86" s="96"/>
      <c r="AQ86" s="96"/>
      <c r="AR86" s="96"/>
      <c r="AS86" s="96"/>
      <c r="AT86" s="96"/>
      <c r="AU86" s="96"/>
      <c r="AV86" s="96"/>
      <c r="AW86" s="96"/>
      <c r="AX86" s="96"/>
      <c r="AY86" s="96"/>
      <c r="AZ86" s="96"/>
      <c r="BA86" s="96"/>
      <c r="BB86" s="96"/>
      <c r="BC86" s="96"/>
      <c r="BD86" s="96"/>
      <c r="BE86" s="96"/>
      <c r="BF86" s="96"/>
      <c r="BG86" s="96"/>
      <c r="BH86" s="96"/>
      <c r="BI86" s="96"/>
      <c r="BJ86" s="96"/>
      <c r="BK86" s="96"/>
      <c r="BL86" s="96"/>
      <c r="BM86" s="96"/>
      <c r="BN86" s="96"/>
      <c r="BO86" s="96"/>
      <c r="BP86" s="96"/>
      <c r="BQ86" s="96"/>
      <c r="BR86" s="96"/>
      <c r="BS86" s="96"/>
      <c r="BT86" s="96"/>
      <c r="BU86" s="96"/>
      <c r="BV86" s="96"/>
      <c r="BW86" s="96"/>
      <c r="BX86" s="96"/>
      <c r="BY86" s="96"/>
      <c r="BZ86" s="96"/>
      <c r="CA86" s="96"/>
      <c r="CB86" s="96"/>
      <c r="CC86" s="96"/>
      <c r="CD86" s="96"/>
      <c r="CE86" s="96"/>
      <c r="CF86" s="96"/>
      <c r="CG86" s="96"/>
      <c r="CH86" s="96"/>
      <c r="CI86" s="96"/>
      <c r="CJ86" s="96"/>
      <c r="CK86" s="96"/>
      <c r="CL86" s="96"/>
      <c r="CM86" s="96"/>
      <c r="CN86" s="96"/>
      <c r="CO86" s="96"/>
      <c r="CP86" s="96"/>
      <c r="CQ86" s="96"/>
      <c r="CR86" s="96"/>
      <c r="CS86" s="96"/>
      <c r="CT86" s="96"/>
      <c r="CU86" s="96"/>
      <c r="CV86" s="96"/>
      <c r="CW86" s="96"/>
      <c r="CX86" s="96"/>
      <c r="CY86" s="96"/>
      <c r="CZ86" s="96"/>
      <c r="DA86" s="96"/>
      <c r="DB86" s="96"/>
    </row>
    <row r="87" spans="1:106" x14ac:dyDescent="0.2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96"/>
      <c r="AF87" s="96"/>
      <c r="AG87" s="96"/>
      <c r="AH87" s="96"/>
      <c r="AI87" s="96"/>
      <c r="AJ87" s="96"/>
      <c r="AK87" s="96"/>
      <c r="AL87" s="96"/>
      <c r="AM87" s="96"/>
      <c r="AN87" s="96"/>
      <c r="AO87" s="96"/>
      <c r="AP87" s="96"/>
      <c r="AQ87" s="96"/>
      <c r="AR87" s="96"/>
      <c r="AS87" s="96"/>
      <c r="AT87" s="96"/>
      <c r="AU87" s="96"/>
      <c r="AV87" s="96"/>
      <c r="AW87" s="96"/>
      <c r="AX87" s="96"/>
      <c r="AY87" s="96"/>
      <c r="AZ87" s="96"/>
      <c r="BA87" s="96"/>
      <c r="BB87" s="96"/>
      <c r="BC87" s="96"/>
      <c r="BD87" s="96"/>
      <c r="BE87" s="96"/>
      <c r="BF87" s="96"/>
      <c r="BG87" s="96"/>
      <c r="BH87" s="96"/>
      <c r="BI87" s="96"/>
      <c r="BJ87" s="96"/>
      <c r="BK87" s="96"/>
      <c r="BL87" s="96"/>
      <c r="BM87" s="96"/>
      <c r="BN87" s="96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96"/>
      <c r="BZ87" s="96"/>
      <c r="CA87" s="96"/>
      <c r="CB87" s="96"/>
      <c r="CC87" s="96"/>
      <c r="CD87" s="96"/>
      <c r="CE87" s="96"/>
      <c r="CF87" s="96"/>
      <c r="CG87" s="96"/>
      <c r="CH87" s="96"/>
      <c r="CI87" s="96"/>
      <c r="CJ87" s="96"/>
      <c r="CK87" s="96"/>
      <c r="CL87" s="96"/>
      <c r="CM87" s="96"/>
      <c r="CN87" s="96"/>
      <c r="CO87" s="96"/>
      <c r="CP87" s="96"/>
      <c r="CQ87" s="96"/>
      <c r="CR87" s="96"/>
      <c r="CS87" s="96"/>
      <c r="CT87" s="96"/>
      <c r="CU87" s="96"/>
      <c r="CV87" s="96"/>
      <c r="CW87" s="96"/>
      <c r="CX87" s="96"/>
      <c r="CY87" s="96"/>
      <c r="CZ87" s="96"/>
      <c r="DA87" s="96"/>
      <c r="DB87" s="96"/>
    </row>
    <row r="88" spans="1:106" x14ac:dyDescent="0.2">
      <c r="A88" s="96"/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</row>
    <row r="89" spans="1:106" x14ac:dyDescent="0.2">
      <c r="A89" s="96"/>
      <c r="B89" s="96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</row>
    <row r="90" spans="1:106" x14ac:dyDescent="0.2">
      <c r="A90" s="96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</row>
    <row r="91" spans="1:106" x14ac:dyDescent="0.2">
      <c r="A91" s="96"/>
      <c r="B91" s="96"/>
      <c r="C91" s="96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  <c r="AH91" s="96"/>
      <c r="AI91" s="96"/>
      <c r="AJ91" s="96"/>
      <c r="AK91" s="96"/>
      <c r="AL91" s="96"/>
      <c r="AM91" s="96"/>
      <c r="AN91" s="96"/>
      <c r="AO91" s="96"/>
      <c r="AP91" s="96"/>
      <c r="AQ91" s="96"/>
      <c r="AR91" s="96"/>
      <c r="AS91" s="96"/>
      <c r="AT91" s="96"/>
      <c r="AU91" s="96"/>
      <c r="AV91" s="96"/>
      <c r="AW91" s="96"/>
      <c r="AX91" s="96"/>
      <c r="AY91" s="96"/>
      <c r="AZ91" s="96"/>
      <c r="BA91" s="96"/>
      <c r="BB91" s="96"/>
      <c r="BC91" s="96"/>
      <c r="BD91" s="96"/>
      <c r="BE91" s="96"/>
      <c r="BF91" s="96"/>
      <c r="BG91" s="96"/>
      <c r="BH91" s="96"/>
      <c r="BI91" s="96"/>
      <c r="BJ91" s="96"/>
      <c r="BK91" s="96"/>
      <c r="BL91" s="96"/>
      <c r="BM91" s="96"/>
      <c r="BN91" s="96"/>
      <c r="BO91" s="96"/>
      <c r="BP91" s="96"/>
      <c r="BQ91" s="96"/>
      <c r="BR91" s="96"/>
      <c r="BS91" s="96"/>
      <c r="BT91" s="96"/>
      <c r="BU91" s="96"/>
      <c r="BV91" s="96"/>
      <c r="BW91" s="96"/>
      <c r="BX91" s="96"/>
      <c r="BY91" s="96"/>
      <c r="BZ91" s="96"/>
      <c r="CA91" s="96"/>
      <c r="CB91" s="96"/>
      <c r="CC91" s="96"/>
      <c r="CD91" s="96"/>
      <c r="CE91" s="96"/>
      <c r="CF91" s="96"/>
      <c r="CG91" s="96"/>
      <c r="CH91" s="96"/>
      <c r="CI91" s="96"/>
      <c r="CJ91" s="96"/>
      <c r="CK91" s="96"/>
      <c r="CL91" s="96"/>
      <c r="CM91" s="96"/>
      <c r="CN91" s="96"/>
      <c r="CO91" s="96"/>
      <c r="CP91" s="96"/>
      <c r="CQ91" s="96"/>
      <c r="CR91" s="96"/>
      <c r="CS91" s="96"/>
      <c r="CT91" s="96"/>
      <c r="CU91" s="96"/>
      <c r="CV91" s="96"/>
      <c r="CW91" s="96"/>
      <c r="CX91" s="96"/>
      <c r="CY91" s="96"/>
      <c r="CZ91" s="96"/>
      <c r="DA91" s="96"/>
      <c r="DB91" s="96"/>
    </row>
    <row r="92" spans="1:106" x14ac:dyDescent="0.2">
      <c r="A92" s="96"/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6"/>
      <c r="AO92" s="96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  <c r="BB92" s="96"/>
      <c r="BC92" s="96"/>
      <c r="BD92" s="96"/>
      <c r="BE92" s="96"/>
      <c r="BF92" s="96"/>
      <c r="BG92" s="96"/>
      <c r="BH92" s="96"/>
      <c r="BI92" s="96"/>
      <c r="BJ92" s="96"/>
      <c r="BK92" s="96"/>
      <c r="BL92" s="96"/>
      <c r="BM92" s="96"/>
      <c r="BN92" s="96"/>
      <c r="BO92" s="96"/>
      <c r="BP92" s="96"/>
      <c r="BQ92" s="96"/>
      <c r="BR92" s="96"/>
      <c r="BS92" s="96"/>
      <c r="BT92" s="96"/>
      <c r="BU92" s="96"/>
      <c r="BV92" s="96"/>
      <c r="BW92" s="96"/>
      <c r="BX92" s="96"/>
      <c r="BY92" s="96"/>
      <c r="BZ92" s="96"/>
      <c r="CA92" s="96"/>
      <c r="CB92" s="96"/>
      <c r="CC92" s="96"/>
      <c r="CD92" s="96"/>
      <c r="CE92" s="96"/>
      <c r="CF92" s="96"/>
      <c r="CG92" s="96"/>
      <c r="CH92" s="96"/>
      <c r="CI92" s="96"/>
      <c r="CJ92" s="96"/>
      <c r="CK92" s="96"/>
      <c r="CL92" s="96"/>
      <c r="CM92" s="96"/>
      <c r="CN92" s="96"/>
      <c r="CO92" s="96"/>
      <c r="CP92" s="96"/>
      <c r="CQ92" s="96"/>
      <c r="CR92" s="96"/>
      <c r="CS92" s="96"/>
      <c r="CT92" s="96"/>
      <c r="CU92" s="96"/>
      <c r="CV92" s="96"/>
      <c r="CW92" s="96"/>
      <c r="CX92" s="96"/>
      <c r="CY92" s="96"/>
      <c r="CZ92" s="96"/>
      <c r="DA92" s="96"/>
      <c r="DB92" s="96"/>
    </row>
    <row r="93" spans="1:106" x14ac:dyDescent="0.2">
      <c r="A93" s="96"/>
      <c r="B93" s="96"/>
      <c r="C93" s="96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/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6"/>
      <c r="AO93" s="96"/>
      <c r="AP93" s="96"/>
      <c r="AQ93" s="96"/>
      <c r="AR93" s="96"/>
      <c r="AS93" s="96"/>
      <c r="AT93" s="96"/>
      <c r="AU93" s="96"/>
      <c r="AV93" s="96"/>
      <c r="AW93" s="96"/>
      <c r="AX93" s="96"/>
      <c r="AY93" s="96"/>
      <c r="AZ93" s="96"/>
      <c r="BA93" s="96"/>
      <c r="BB93" s="96"/>
      <c r="BC93" s="96"/>
      <c r="BD93" s="96"/>
      <c r="BE93" s="96"/>
      <c r="BF93" s="96"/>
      <c r="BG93" s="96"/>
      <c r="BH93" s="96"/>
      <c r="BI93" s="96"/>
      <c r="BJ93" s="96"/>
      <c r="BK93" s="96"/>
      <c r="BL93" s="96"/>
      <c r="BM93" s="96"/>
      <c r="BN93" s="96"/>
      <c r="BO93" s="96"/>
      <c r="BP93" s="96"/>
      <c r="BQ93" s="96"/>
      <c r="BR93" s="96"/>
      <c r="BS93" s="96"/>
      <c r="BT93" s="96"/>
      <c r="BU93" s="96"/>
      <c r="BV93" s="96"/>
      <c r="BW93" s="96"/>
      <c r="BX93" s="96"/>
      <c r="BY93" s="96"/>
      <c r="BZ93" s="96"/>
      <c r="CA93" s="96"/>
      <c r="CB93" s="96"/>
      <c r="CC93" s="96"/>
      <c r="CD93" s="96"/>
      <c r="CE93" s="96"/>
      <c r="CF93" s="96"/>
      <c r="CG93" s="96"/>
      <c r="CH93" s="96"/>
      <c r="CI93" s="96"/>
      <c r="CJ93" s="96"/>
      <c r="CK93" s="96"/>
      <c r="CL93" s="96"/>
      <c r="CM93" s="96"/>
      <c r="CN93" s="96"/>
      <c r="CO93" s="96"/>
      <c r="CP93" s="96"/>
      <c r="CQ93" s="96"/>
      <c r="CR93" s="96"/>
      <c r="CS93" s="96"/>
      <c r="CT93" s="96"/>
      <c r="CU93" s="96"/>
      <c r="CV93" s="96"/>
      <c r="CW93" s="96"/>
      <c r="CX93" s="96"/>
      <c r="CY93" s="96"/>
      <c r="CZ93" s="96"/>
      <c r="DA93" s="96"/>
      <c r="DB93" s="96"/>
    </row>
    <row r="94" spans="1:106" x14ac:dyDescent="0.2">
      <c r="A94" s="96"/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6"/>
      <c r="T94" s="96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96"/>
      <c r="AF94" s="96"/>
      <c r="AG94" s="96"/>
      <c r="AH94" s="96"/>
      <c r="AI94" s="96"/>
      <c r="AJ94" s="96"/>
      <c r="AK94" s="96"/>
      <c r="AL94" s="96"/>
      <c r="AM94" s="96"/>
      <c r="AN94" s="96"/>
      <c r="AO94" s="96"/>
      <c r="AP94" s="96"/>
      <c r="AQ94" s="96"/>
      <c r="AR94" s="96"/>
      <c r="AS94" s="96"/>
      <c r="AT94" s="96"/>
      <c r="AU94" s="96"/>
      <c r="AV94" s="96"/>
      <c r="AW94" s="96"/>
      <c r="AX94" s="96"/>
      <c r="AY94" s="96"/>
      <c r="AZ94" s="96"/>
      <c r="BA94" s="96"/>
      <c r="BB94" s="96"/>
      <c r="BC94" s="96"/>
      <c r="BD94" s="96"/>
      <c r="BE94" s="96"/>
      <c r="BF94" s="96"/>
      <c r="BG94" s="96"/>
      <c r="BH94" s="96"/>
      <c r="BI94" s="96"/>
      <c r="BJ94" s="96"/>
      <c r="BK94" s="96"/>
      <c r="BL94" s="96"/>
      <c r="BM94" s="96"/>
      <c r="BN94" s="96"/>
      <c r="BO94" s="96"/>
      <c r="BP94" s="96"/>
      <c r="BQ94" s="96"/>
      <c r="BR94" s="96"/>
      <c r="BS94" s="96"/>
      <c r="BT94" s="96"/>
      <c r="BU94" s="96"/>
      <c r="BV94" s="96"/>
      <c r="BW94" s="96"/>
      <c r="BX94" s="96"/>
      <c r="BY94" s="96"/>
      <c r="BZ94" s="96"/>
      <c r="CA94" s="96"/>
      <c r="CB94" s="96"/>
      <c r="CC94" s="96"/>
      <c r="CD94" s="96"/>
      <c r="CE94" s="96"/>
      <c r="CF94" s="96"/>
      <c r="CG94" s="96"/>
      <c r="CH94" s="96"/>
      <c r="CI94" s="96"/>
      <c r="CJ94" s="96"/>
      <c r="CK94" s="96"/>
      <c r="CL94" s="96"/>
      <c r="CM94" s="96"/>
      <c r="CN94" s="96"/>
      <c r="CO94" s="96"/>
      <c r="CP94" s="96"/>
      <c r="CQ94" s="96"/>
      <c r="CR94" s="96"/>
      <c r="CS94" s="96"/>
      <c r="CT94" s="96"/>
      <c r="CU94" s="96"/>
      <c r="CV94" s="96"/>
      <c r="CW94" s="96"/>
      <c r="CX94" s="96"/>
      <c r="CY94" s="96"/>
      <c r="CZ94" s="96"/>
      <c r="DA94" s="96"/>
      <c r="DB94" s="96"/>
    </row>
    <row r="95" spans="1:106" x14ac:dyDescent="0.2">
      <c r="A95" s="96"/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6"/>
      <c r="AL95" s="96"/>
      <c r="AM95" s="96"/>
      <c r="AN95" s="96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96"/>
      <c r="AZ95" s="96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6"/>
      <c r="BL95" s="96"/>
      <c r="BM95" s="96"/>
      <c r="BN95" s="96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96"/>
      <c r="BZ95" s="96"/>
      <c r="CA95" s="96"/>
      <c r="CB95" s="96"/>
      <c r="CC95" s="96"/>
      <c r="CD95" s="96"/>
      <c r="CE95" s="96"/>
      <c r="CF95" s="96"/>
      <c r="CG95" s="96"/>
      <c r="CH95" s="96"/>
      <c r="CI95" s="96"/>
      <c r="CJ95" s="96"/>
      <c r="CK95" s="96"/>
      <c r="CL95" s="96"/>
      <c r="CM95" s="96"/>
      <c r="CN95" s="96"/>
      <c r="CO95" s="96"/>
      <c r="CP95" s="96"/>
      <c r="CQ95" s="96"/>
      <c r="CR95" s="96"/>
      <c r="CS95" s="96"/>
      <c r="CT95" s="96"/>
      <c r="CU95" s="96"/>
      <c r="CV95" s="96"/>
      <c r="CW95" s="96"/>
      <c r="CX95" s="96"/>
      <c r="CY95" s="96"/>
      <c r="CZ95" s="96"/>
      <c r="DA95" s="96"/>
      <c r="DB95" s="96"/>
    </row>
    <row r="96" spans="1:106" x14ac:dyDescent="0.2">
      <c r="A96" s="96"/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  <c r="R96" s="96"/>
      <c r="S96" s="96"/>
      <c r="T96" s="96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96"/>
      <c r="AF96" s="96"/>
      <c r="AG96" s="96"/>
      <c r="AH96" s="96"/>
      <c r="AI96" s="96"/>
      <c r="AJ96" s="96"/>
      <c r="AK96" s="96"/>
      <c r="AL96" s="96"/>
      <c r="AM96" s="96"/>
      <c r="AN96" s="96"/>
      <c r="AO96" s="96"/>
      <c r="AP96" s="96"/>
      <c r="AQ96" s="96"/>
      <c r="AR96" s="96"/>
      <c r="AS96" s="96"/>
      <c r="AT96" s="96"/>
      <c r="AU96" s="96"/>
      <c r="AV96" s="96"/>
      <c r="AW96" s="96"/>
      <c r="AX96" s="96"/>
      <c r="AY96" s="96"/>
      <c r="AZ96" s="96"/>
      <c r="BA96" s="96"/>
      <c r="BB96" s="96"/>
      <c r="BC96" s="96"/>
      <c r="BD96" s="96"/>
      <c r="BE96" s="96"/>
      <c r="BF96" s="96"/>
      <c r="BG96" s="96"/>
      <c r="BH96" s="96"/>
      <c r="BI96" s="96"/>
      <c r="BJ96" s="96"/>
      <c r="BK96" s="96"/>
      <c r="BL96" s="96"/>
      <c r="BM96" s="96"/>
      <c r="BN96" s="96"/>
      <c r="BO96" s="96"/>
      <c r="BP96" s="96"/>
      <c r="BQ96" s="96"/>
      <c r="BR96" s="96"/>
      <c r="BS96" s="96"/>
      <c r="BT96" s="96"/>
      <c r="BU96" s="96"/>
      <c r="BV96" s="96"/>
      <c r="BW96" s="96"/>
      <c r="BX96" s="96"/>
      <c r="BY96" s="96"/>
      <c r="BZ96" s="96"/>
      <c r="CA96" s="96"/>
      <c r="CB96" s="96"/>
      <c r="CC96" s="96"/>
      <c r="CD96" s="96"/>
      <c r="CE96" s="96"/>
      <c r="CF96" s="96"/>
      <c r="CG96" s="96"/>
      <c r="CH96" s="96"/>
      <c r="CI96" s="96"/>
      <c r="CJ96" s="96"/>
      <c r="CK96" s="96"/>
      <c r="CL96" s="96"/>
      <c r="CM96" s="96"/>
      <c r="CN96" s="96"/>
      <c r="CO96" s="96"/>
      <c r="CP96" s="96"/>
      <c r="CQ96" s="96"/>
      <c r="CR96" s="96"/>
      <c r="CS96" s="96"/>
      <c r="CT96" s="96"/>
      <c r="CU96" s="96"/>
      <c r="CV96" s="96"/>
      <c r="CW96" s="96"/>
      <c r="CX96" s="96"/>
      <c r="CY96" s="96"/>
      <c r="CZ96" s="96"/>
      <c r="DA96" s="96"/>
      <c r="DB96" s="96"/>
    </row>
    <row r="97" spans="1:106" x14ac:dyDescent="0.2">
      <c r="A97" s="96"/>
      <c r="B97" s="96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  <c r="BC97" s="96"/>
      <c r="BD97" s="96"/>
      <c r="BE97" s="96"/>
      <c r="BF97" s="96"/>
      <c r="BG97" s="96"/>
      <c r="BH97" s="96"/>
      <c r="BI97" s="96"/>
      <c r="BJ97" s="96"/>
      <c r="BK97" s="96"/>
      <c r="BL97" s="96"/>
      <c r="BM97" s="96"/>
      <c r="BN97" s="96"/>
      <c r="BO97" s="96"/>
      <c r="BP97" s="96"/>
      <c r="BQ97" s="96"/>
      <c r="BR97" s="96"/>
      <c r="BS97" s="96"/>
      <c r="BT97" s="96"/>
      <c r="BU97" s="96"/>
      <c r="BV97" s="96"/>
      <c r="BW97" s="96"/>
      <c r="BX97" s="96"/>
      <c r="BY97" s="96"/>
      <c r="BZ97" s="96"/>
      <c r="CA97" s="96"/>
      <c r="CB97" s="96"/>
      <c r="CC97" s="96"/>
      <c r="CD97" s="96"/>
      <c r="CE97" s="96"/>
      <c r="CF97" s="96"/>
      <c r="CG97" s="96"/>
      <c r="CH97" s="96"/>
      <c r="CI97" s="96"/>
      <c r="CJ97" s="96"/>
      <c r="CK97" s="96"/>
      <c r="CL97" s="96"/>
      <c r="CM97" s="96"/>
      <c r="CN97" s="96"/>
      <c r="CO97" s="96"/>
      <c r="CP97" s="96"/>
      <c r="CQ97" s="96"/>
      <c r="CR97" s="96"/>
      <c r="CS97" s="96"/>
      <c r="CT97" s="96"/>
      <c r="CU97" s="96"/>
      <c r="CV97" s="96"/>
      <c r="CW97" s="96"/>
      <c r="CX97" s="96"/>
      <c r="CY97" s="96"/>
      <c r="CZ97" s="96"/>
      <c r="DA97" s="96"/>
      <c r="DB97" s="96"/>
    </row>
    <row r="98" spans="1:106" x14ac:dyDescent="0.2">
      <c r="A98" s="96"/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  <c r="AH98" s="96"/>
      <c r="AI98" s="96"/>
      <c r="AJ98" s="96"/>
      <c r="AK98" s="96"/>
      <c r="AL98" s="96"/>
      <c r="AM98" s="96"/>
      <c r="AN98" s="96"/>
      <c r="AO98" s="96"/>
      <c r="AP98" s="96"/>
      <c r="AQ98" s="96"/>
      <c r="AR98" s="96"/>
      <c r="AS98" s="96"/>
      <c r="AT98" s="96"/>
      <c r="AU98" s="96"/>
      <c r="AV98" s="96"/>
      <c r="AW98" s="96"/>
      <c r="AX98" s="96"/>
      <c r="AY98" s="96"/>
      <c r="AZ98" s="96"/>
      <c r="BA98" s="96"/>
      <c r="BB98" s="96"/>
      <c r="BC98" s="96"/>
      <c r="BD98" s="96"/>
      <c r="BE98" s="96"/>
      <c r="BF98" s="96"/>
      <c r="BG98" s="96"/>
      <c r="BH98" s="96"/>
      <c r="BI98" s="96"/>
      <c r="BJ98" s="96"/>
      <c r="BK98" s="96"/>
      <c r="BL98" s="96"/>
      <c r="BM98" s="96"/>
      <c r="BN98" s="96"/>
      <c r="BO98" s="96"/>
      <c r="BP98" s="96"/>
      <c r="BQ98" s="96"/>
      <c r="BR98" s="96"/>
      <c r="BS98" s="96"/>
      <c r="BT98" s="96"/>
      <c r="BU98" s="96"/>
      <c r="BV98" s="96"/>
      <c r="BW98" s="96"/>
      <c r="BX98" s="96"/>
      <c r="BY98" s="96"/>
      <c r="BZ98" s="96"/>
      <c r="CA98" s="96"/>
      <c r="CB98" s="96"/>
      <c r="CC98" s="96"/>
      <c r="CD98" s="96"/>
      <c r="CE98" s="96"/>
      <c r="CF98" s="96"/>
      <c r="CG98" s="96"/>
      <c r="CH98" s="96"/>
      <c r="CI98" s="96"/>
      <c r="CJ98" s="96"/>
      <c r="CK98" s="96"/>
      <c r="CL98" s="96"/>
      <c r="CM98" s="96"/>
      <c r="CN98" s="96"/>
      <c r="CO98" s="96"/>
      <c r="CP98" s="96"/>
      <c r="CQ98" s="96"/>
      <c r="CR98" s="96"/>
      <c r="CS98" s="96"/>
      <c r="CT98" s="96"/>
      <c r="CU98" s="96"/>
      <c r="CV98" s="96"/>
      <c r="CW98" s="96"/>
      <c r="CX98" s="96"/>
      <c r="CY98" s="96"/>
      <c r="CZ98" s="96"/>
      <c r="DA98" s="96"/>
      <c r="DB98" s="96"/>
    </row>
    <row r="99" spans="1:106" x14ac:dyDescent="0.2">
      <c r="A99" s="96"/>
      <c r="B99" s="96"/>
      <c r="C99" s="96"/>
      <c r="D99" s="96"/>
      <c r="E99" s="96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96"/>
      <c r="AF99" s="96"/>
      <c r="AG99" s="96"/>
      <c r="AH99" s="96"/>
      <c r="AI99" s="96"/>
      <c r="AJ99" s="96"/>
      <c r="AK99" s="96"/>
      <c r="AL99" s="96"/>
      <c r="AM99" s="96"/>
      <c r="AN99" s="96"/>
      <c r="AO99" s="96"/>
      <c r="AP99" s="96"/>
      <c r="AQ99" s="96"/>
      <c r="AR99" s="96"/>
      <c r="AS99" s="96"/>
      <c r="AT99" s="96"/>
      <c r="AU99" s="96"/>
      <c r="AV99" s="96"/>
      <c r="AW99" s="96"/>
      <c r="AX99" s="96"/>
      <c r="AY99" s="96"/>
      <c r="AZ99" s="96"/>
      <c r="BA99" s="96"/>
      <c r="BB99" s="96"/>
      <c r="BC99" s="96"/>
      <c r="BD99" s="96"/>
      <c r="BE99" s="96"/>
      <c r="BF99" s="96"/>
      <c r="BG99" s="96"/>
      <c r="BH99" s="96"/>
      <c r="BI99" s="96"/>
      <c r="BJ99" s="96"/>
      <c r="BK99" s="96"/>
      <c r="BL99" s="96"/>
      <c r="BM99" s="96"/>
      <c r="BN99" s="96"/>
      <c r="BO99" s="96"/>
      <c r="BP99" s="96"/>
      <c r="BQ99" s="96"/>
      <c r="BR99" s="96"/>
      <c r="BS99" s="96"/>
      <c r="BT99" s="96"/>
      <c r="BU99" s="96"/>
      <c r="BV99" s="96"/>
      <c r="BW99" s="96"/>
      <c r="BX99" s="96"/>
      <c r="BY99" s="96"/>
      <c r="BZ99" s="96"/>
      <c r="CA99" s="96"/>
      <c r="CB99" s="96"/>
      <c r="CC99" s="96"/>
      <c r="CD99" s="96"/>
      <c r="CE99" s="96"/>
      <c r="CF99" s="96"/>
      <c r="CG99" s="96"/>
      <c r="CH99" s="96"/>
      <c r="CI99" s="96"/>
      <c r="CJ99" s="96"/>
      <c r="CK99" s="96"/>
      <c r="CL99" s="96"/>
      <c r="CM99" s="96"/>
      <c r="CN99" s="96"/>
      <c r="CO99" s="96"/>
      <c r="CP99" s="96"/>
      <c r="CQ99" s="96"/>
      <c r="CR99" s="96"/>
      <c r="CS99" s="96"/>
      <c r="CT99" s="96"/>
      <c r="CU99" s="96"/>
      <c r="CV99" s="96"/>
      <c r="CW99" s="96"/>
      <c r="CX99" s="96"/>
      <c r="CY99" s="96"/>
      <c r="CZ99" s="96"/>
      <c r="DA99" s="96"/>
      <c r="DB99" s="96"/>
    </row>
    <row r="100" spans="1:106" x14ac:dyDescent="0.2">
      <c r="A100" s="96"/>
      <c r="B100" s="96"/>
      <c r="C100" s="96"/>
      <c r="D100" s="96"/>
      <c r="E100" s="96"/>
      <c r="F100" s="96"/>
      <c r="G100" s="96"/>
      <c r="H100" s="96"/>
      <c r="I100" s="96"/>
      <c r="J100" s="96"/>
      <c r="K100" s="96"/>
      <c r="L100" s="96"/>
      <c r="M100" s="96"/>
      <c r="N100" s="96"/>
      <c r="O100" s="96"/>
      <c r="P100" s="96"/>
      <c r="Q100" s="96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96"/>
      <c r="AF100" s="96"/>
      <c r="AG100" s="96"/>
      <c r="AH100" s="96"/>
      <c r="AI100" s="96"/>
      <c r="AJ100" s="96"/>
      <c r="AK100" s="96"/>
      <c r="AL100" s="96"/>
      <c r="AM100" s="96"/>
      <c r="AN100" s="96"/>
      <c r="AO100" s="96"/>
      <c r="AP100" s="96"/>
      <c r="AQ100" s="96"/>
      <c r="AR100" s="96"/>
      <c r="AS100" s="96"/>
      <c r="AT100" s="96"/>
      <c r="AU100" s="96"/>
      <c r="AV100" s="96"/>
      <c r="AW100" s="96"/>
      <c r="AX100" s="96"/>
      <c r="AY100" s="96"/>
      <c r="AZ100" s="96"/>
      <c r="BA100" s="96"/>
      <c r="BB100" s="96"/>
      <c r="BC100" s="96"/>
      <c r="BD100" s="96"/>
      <c r="BE100" s="96"/>
      <c r="BF100" s="96"/>
      <c r="BG100" s="96"/>
      <c r="BH100" s="96"/>
      <c r="BI100" s="96"/>
      <c r="BJ100" s="96"/>
      <c r="BK100" s="96"/>
      <c r="BL100" s="96"/>
      <c r="BM100" s="96"/>
      <c r="BN100" s="96"/>
      <c r="BO100" s="96"/>
      <c r="BP100" s="96"/>
      <c r="BQ100" s="96"/>
      <c r="BR100" s="96"/>
      <c r="BS100" s="96"/>
      <c r="BT100" s="96"/>
      <c r="BU100" s="96"/>
      <c r="BV100" s="96"/>
      <c r="BW100" s="96"/>
      <c r="BX100" s="96"/>
      <c r="BY100" s="96"/>
      <c r="BZ100" s="96"/>
      <c r="CA100" s="96"/>
      <c r="CB100" s="96"/>
      <c r="CC100" s="96"/>
      <c r="CD100" s="96"/>
      <c r="CE100" s="96"/>
      <c r="CF100" s="96"/>
      <c r="CG100" s="96"/>
      <c r="CH100" s="96"/>
      <c r="CI100" s="96"/>
      <c r="CJ100" s="96"/>
      <c r="CK100" s="96"/>
      <c r="CL100" s="96"/>
      <c r="CM100" s="96"/>
      <c r="CN100" s="96"/>
      <c r="CO100" s="96"/>
      <c r="CP100" s="96"/>
      <c r="CQ100" s="96"/>
      <c r="CR100" s="96"/>
      <c r="CS100" s="96"/>
      <c r="CT100" s="96"/>
      <c r="CU100" s="96"/>
      <c r="CV100" s="96"/>
      <c r="CW100" s="96"/>
      <c r="CX100" s="96"/>
      <c r="CY100" s="96"/>
      <c r="CZ100" s="96"/>
      <c r="DA100" s="96"/>
      <c r="DB100" s="96"/>
    </row>
    <row r="101" spans="1:106" x14ac:dyDescent="0.2">
      <c r="A101" s="96"/>
      <c r="B101" s="96"/>
      <c r="C101" s="96"/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96"/>
      <c r="W101" s="96"/>
      <c r="X101" s="96"/>
      <c r="Y101" s="96"/>
      <c r="Z101" s="96"/>
      <c r="AA101" s="96"/>
      <c r="AB101" s="96"/>
      <c r="AC101" s="96"/>
      <c r="AD101" s="96"/>
      <c r="AE101" s="96"/>
      <c r="AF101" s="96"/>
      <c r="AG101" s="96"/>
      <c r="AH101" s="96"/>
      <c r="AI101" s="96"/>
      <c r="AJ101" s="96"/>
      <c r="AK101" s="96"/>
      <c r="AL101" s="96"/>
      <c r="AM101" s="96"/>
      <c r="AN101" s="96"/>
      <c r="AO101" s="96"/>
      <c r="AP101" s="96"/>
      <c r="AQ101" s="96"/>
      <c r="AR101" s="96"/>
      <c r="AS101" s="96"/>
      <c r="AT101" s="96"/>
      <c r="AU101" s="96"/>
      <c r="AV101" s="96"/>
      <c r="AW101" s="96"/>
      <c r="AX101" s="96"/>
      <c r="AY101" s="96"/>
      <c r="AZ101" s="96"/>
      <c r="BA101" s="96"/>
      <c r="BB101" s="96"/>
      <c r="BC101" s="96"/>
      <c r="BD101" s="96"/>
      <c r="BE101" s="96"/>
      <c r="BF101" s="96"/>
      <c r="BG101" s="96"/>
      <c r="BH101" s="96"/>
      <c r="BI101" s="96"/>
      <c r="BJ101" s="96"/>
      <c r="BK101" s="96"/>
      <c r="BL101" s="96"/>
      <c r="BM101" s="96"/>
      <c r="BN101" s="96"/>
      <c r="BO101" s="96"/>
      <c r="BP101" s="96"/>
      <c r="BQ101" s="96"/>
      <c r="BR101" s="96"/>
      <c r="BS101" s="96"/>
      <c r="BT101" s="96"/>
      <c r="BU101" s="96"/>
      <c r="BV101" s="96"/>
      <c r="BW101" s="96"/>
      <c r="BX101" s="96"/>
      <c r="BY101" s="96"/>
      <c r="BZ101" s="96"/>
      <c r="CA101" s="96"/>
      <c r="CB101" s="96"/>
      <c r="CC101" s="96"/>
      <c r="CD101" s="96"/>
      <c r="CE101" s="96"/>
      <c r="CF101" s="96"/>
      <c r="CG101" s="96"/>
      <c r="CH101" s="96"/>
      <c r="CI101" s="96"/>
      <c r="CJ101" s="96"/>
      <c r="CK101" s="96"/>
      <c r="CL101" s="96"/>
      <c r="CM101" s="96"/>
      <c r="CN101" s="96"/>
      <c r="CO101" s="96"/>
      <c r="CP101" s="96"/>
      <c r="CQ101" s="96"/>
      <c r="CR101" s="96"/>
      <c r="CS101" s="96"/>
      <c r="CT101" s="96"/>
      <c r="CU101" s="96"/>
      <c r="CV101" s="96"/>
      <c r="CW101" s="96"/>
      <c r="CX101" s="96"/>
      <c r="CY101" s="96"/>
      <c r="CZ101" s="96"/>
      <c r="DA101" s="96"/>
      <c r="DB101" s="96"/>
    </row>
    <row r="102" spans="1:106" x14ac:dyDescent="0.2">
      <c r="A102" s="96"/>
      <c r="B102" s="96"/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/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  <c r="BE102" s="96"/>
      <c r="BF102" s="96"/>
      <c r="BG102" s="96"/>
      <c r="BH102" s="96"/>
      <c r="BI102" s="96"/>
      <c r="BJ102" s="96"/>
      <c r="BK102" s="96"/>
      <c r="BL102" s="96"/>
      <c r="BM102" s="96"/>
      <c r="BN102" s="96"/>
      <c r="BO102" s="96"/>
      <c r="BP102" s="96"/>
      <c r="BQ102" s="96"/>
      <c r="BR102" s="96"/>
      <c r="BS102" s="96"/>
      <c r="BT102" s="96"/>
      <c r="BU102" s="96"/>
      <c r="BV102" s="96"/>
      <c r="BW102" s="96"/>
      <c r="BX102" s="96"/>
      <c r="BY102" s="96"/>
      <c r="BZ102" s="96"/>
      <c r="CA102" s="96"/>
      <c r="CB102" s="96"/>
      <c r="CC102" s="96"/>
      <c r="CD102" s="96"/>
      <c r="CE102" s="96"/>
      <c r="CF102" s="96"/>
      <c r="CG102" s="96"/>
      <c r="CH102" s="96"/>
      <c r="CI102" s="96"/>
      <c r="CJ102" s="96"/>
      <c r="CK102" s="96"/>
      <c r="CL102" s="96"/>
      <c r="CM102" s="96"/>
      <c r="CN102" s="96"/>
      <c r="CO102" s="96"/>
      <c r="CP102" s="96"/>
      <c r="CQ102" s="96"/>
      <c r="CR102" s="96"/>
      <c r="CS102" s="96"/>
      <c r="CT102" s="96"/>
      <c r="CU102" s="96"/>
      <c r="CV102" s="96"/>
      <c r="CW102" s="96"/>
      <c r="CX102" s="96"/>
      <c r="CY102" s="96"/>
      <c r="CZ102" s="96"/>
      <c r="DA102" s="96"/>
      <c r="DB102" s="96"/>
    </row>
    <row r="103" spans="1:106" x14ac:dyDescent="0.2">
      <c r="A103" s="96"/>
      <c r="B103" s="96"/>
      <c r="C103" s="96"/>
      <c r="D103" s="96"/>
      <c r="E103" s="96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  <c r="R103" s="96"/>
      <c r="S103" s="96"/>
      <c r="T103" s="96"/>
      <c r="U103" s="96"/>
      <c r="V103" s="96"/>
      <c r="W103" s="96"/>
      <c r="X103" s="96"/>
      <c r="Y103" s="96"/>
      <c r="Z103" s="96"/>
      <c r="AA103" s="96"/>
      <c r="AB103" s="96"/>
      <c r="AC103" s="96"/>
      <c r="AD103" s="96"/>
      <c r="AE103" s="96"/>
      <c r="AF103" s="96"/>
      <c r="AG103" s="96"/>
      <c r="AH103" s="96"/>
      <c r="AI103" s="96"/>
      <c r="AJ103" s="96"/>
      <c r="AK103" s="96"/>
      <c r="AL103" s="96"/>
      <c r="AM103" s="96"/>
      <c r="AN103" s="96"/>
      <c r="AO103" s="96"/>
      <c r="AP103" s="96"/>
      <c r="AQ103" s="96"/>
      <c r="AR103" s="96"/>
      <c r="AS103" s="96"/>
      <c r="AT103" s="96"/>
      <c r="AU103" s="96"/>
      <c r="AV103" s="96"/>
      <c r="AW103" s="96"/>
      <c r="AX103" s="96"/>
      <c r="AY103" s="96"/>
      <c r="AZ103" s="96"/>
      <c r="BA103" s="96"/>
      <c r="BB103" s="96"/>
      <c r="BC103" s="96"/>
      <c r="BD103" s="96"/>
      <c r="BE103" s="96"/>
      <c r="BF103" s="96"/>
      <c r="BG103" s="96"/>
      <c r="BH103" s="96"/>
      <c r="BI103" s="96"/>
      <c r="BJ103" s="96"/>
      <c r="BK103" s="96"/>
      <c r="BL103" s="96"/>
      <c r="BM103" s="96"/>
      <c r="BN103" s="96"/>
      <c r="BO103" s="96"/>
      <c r="BP103" s="96"/>
      <c r="BQ103" s="96"/>
      <c r="BR103" s="96"/>
      <c r="BS103" s="96"/>
      <c r="BT103" s="96"/>
      <c r="BU103" s="96"/>
      <c r="BV103" s="96"/>
      <c r="BW103" s="96"/>
      <c r="BX103" s="96"/>
      <c r="BY103" s="96"/>
      <c r="BZ103" s="96"/>
      <c r="CA103" s="96"/>
      <c r="CB103" s="96"/>
      <c r="CC103" s="96"/>
      <c r="CD103" s="96"/>
      <c r="CE103" s="96"/>
      <c r="CF103" s="96"/>
      <c r="CG103" s="96"/>
      <c r="CH103" s="96"/>
      <c r="CI103" s="96"/>
      <c r="CJ103" s="96"/>
      <c r="CK103" s="96"/>
      <c r="CL103" s="96"/>
      <c r="CM103" s="96"/>
      <c r="CN103" s="96"/>
      <c r="CO103" s="96"/>
      <c r="CP103" s="96"/>
      <c r="CQ103" s="96"/>
      <c r="CR103" s="96"/>
      <c r="CS103" s="96"/>
      <c r="CT103" s="96"/>
      <c r="CU103" s="96"/>
      <c r="CV103" s="96"/>
      <c r="CW103" s="96"/>
      <c r="CX103" s="96"/>
      <c r="CY103" s="96"/>
      <c r="CZ103" s="96"/>
      <c r="DA103" s="96"/>
      <c r="DB103" s="96"/>
    </row>
    <row r="104" spans="1:106" x14ac:dyDescent="0.2">
      <c r="A104" s="96"/>
      <c r="B104" s="96"/>
      <c r="C104" s="96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  <c r="T104" s="96"/>
      <c r="U104" s="96"/>
      <c r="V104" s="96"/>
      <c r="W104" s="96"/>
      <c r="X104" s="96"/>
      <c r="Y104" s="96"/>
      <c r="Z104" s="96"/>
      <c r="AA104" s="96"/>
      <c r="AB104" s="96"/>
      <c r="AC104" s="96"/>
      <c r="AD104" s="96"/>
      <c r="AE104" s="96"/>
      <c r="AF104" s="96"/>
      <c r="AG104" s="96"/>
      <c r="AH104" s="96"/>
      <c r="AI104" s="96"/>
      <c r="AJ104" s="96"/>
      <c r="AK104" s="96"/>
      <c r="AL104" s="96"/>
      <c r="AM104" s="96"/>
      <c r="AN104" s="96"/>
      <c r="AO104" s="96"/>
      <c r="AP104" s="96"/>
      <c r="AQ104" s="96"/>
      <c r="AR104" s="96"/>
      <c r="AS104" s="96"/>
      <c r="AT104" s="96"/>
      <c r="AU104" s="96"/>
      <c r="AV104" s="96"/>
      <c r="AW104" s="96"/>
      <c r="AX104" s="96"/>
      <c r="AY104" s="96"/>
      <c r="AZ104" s="96"/>
      <c r="BA104" s="96"/>
      <c r="BB104" s="96"/>
      <c r="BC104" s="96"/>
      <c r="BD104" s="96"/>
      <c r="BE104" s="96"/>
      <c r="BF104" s="96"/>
      <c r="BG104" s="96"/>
      <c r="BH104" s="96"/>
      <c r="BI104" s="96"/>
      <c r="BJ104" s="96"/>
      <c r="BK104" s="96"/>
      <c r="BL104" s="96"/>
      <c r="BM104" s="96"/>
      <c r="BN104" s="96"/>
      <c r="BO104" s="96"/>
      <c r="BP104" s="96"/>
      <c r="BQ104" s="96"/>
      <c r="BR104" s="96"/>
      <c r="BS104" s="96"/>
      <c r="BT104" s="96"/>
      <c r="BU104" s="96"/>
      <c r="BV104" s="96"/>
      <c r="BW104" s="96"/>
      <c r="BX104" s="96"/>
      <c r="BY104" s="96"/>
      <c r="BZ104" s="96"/>
      <c r="CA104" s="96"/>
      <c r="CB104" s="96"/>
      <c r="CC104" s="96"/>
      <c r="CD104" s="96"/>
      <c r="CE104" s="96"/>
      <c r="CF104" s="96"/>
      <c r="CG104" s="96"/>
      <c r="CH104" s="96"/>
      <c r="CI104" s="96"/>
      <c r="CJ104" s="96"/>
      <c r="CK104" s="96"/>
      <c r="CL104" s="96"/>
      <c r="CM104" s="96"/>
      <c r="CN104" s="96"/>
      <c r="CO104" s="96"/>
      <c r="CP104" s="96"/>
      <c r="CQ104" s="96"/>
      <c r="CR104" s="96"/>
      <c r="CS104" s="96"/>
      <c r="CT104" s="96"/>
      <c r="CU104" s="96"/>
      <c r="CV104" s="96"/>
      <c r="CW104" s="96"/>
      <c r="CX104" s="96"/>
      <c r="CY104" s="96"/>
      <c r="CZ104" s="96"/>
      <c r="DA104" s="96"/>
      <c r="DB104" s="96"/>
    </row>
    <row r="105" spans="1:106" x14ac:dyDescent="0.2">
      <c r="A105" s="96"/>
      <c r="B105" s="96"/>
      <c r="C105" s="96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Z105" s="96"/>
      <c r="AA105" s="96"/>
      <c r="AB105" s="96"/>
      <c r="AC105" s="96"/>
      <c r="AD105" s="96"/>
      <c r="AE105" s="96"/>
      <c r="AF105" s="96"/>
      <c r="AG105" s="96"/>
      <c r="AH105" s="96"/>
      <c r="AI105" s="96"/>
      <c r="AJ105" s="96"/>
      <c r="AK105" s="96"/>
      <c r="AL105" s="96"/>
      <c r="AM105" s="96"/>
      <c r="AN105" s="96"/>
      <c r="AO105" s="96"/>
      <c r="AP105" s="96"/>
      <c r="AQ105" s="96"/>
      <c r="AR105" s="96"/>
      <c r="AS105" s="96"/>
      <c r="AT105" s="96"/>
      <c r="AU105" s="96"/>
      <c r="AV105" s="96"/>
      <c r="AW105" s="96"/>
      <c r="AX105" s="96"/>
      <c r="AY105" s="96"/>
      <c r="AZ105" s="96"/>
      <c r="BA105" s="96"/>
      <c r="BB105" s="96"/>
      <c r="BC105" s="96"/>
      <c r="BD105" s="96"/>
      <c r="BE105" s="96"/>
      <c r="BF105" s="96"/>
      <c r="BG105" s="96"/>
      <c r="BH105" s="96"/>
      <c r="BI105" s="96"/>
      <c r="BJ105" s="96"/>
      <c r="BK105" s="96"/>
      <c r="BL105" s="96"/>
      <c r="BM105" s="96"/>
      <c r="BN105" s="96"/>
      <c r="BO105" s="96"/>
      <c r="BP105" s="96"/>
      <c r="BQ105" s="96"/>
      <c r="BR105" s="96"/>
      <c r="BS105" s="96"/>
      <c r="BT105" s="96"/>
      <c r="BU105" s="96"/>
      <c r="BV105" s="96"/>
      <c r="BW105" s="96"/>
      <c r="BX105" s="96"/>
      <c r="BY105" s="96"/>
      <c r="BZ105" s="96"/>
      <c r="CA105" s="96"/>
      <c r="CB105" s="96"/>
      <c r="CC105" s="96"/>
      <c r="CD105" s="96"/>
      <c r="CE105" s="96"/>
      <c r="CF105" s="96"/>
      <c r="CG105" s="96"/>
      <c r="CH105" s="96"/>
      <c r="CI105" s="96"/>
      <c r="CJ105" s="96"/>
      <c r="CK105" s="96"/>
      <c r="CL105" s="96"/>
      <c r="CM105" s="96"/>
      <c r="CN105" s="96"/>
      <c r="CO105" s="96"/>
      <c r="CP105" s="96"/>
      <c r="CQ105" s="96"/>
      <c r="CR105" s="96"/>
      <c r="CS105" s="96"/>
      <c r="CT105" s="96"/>
      <c r="CU105" s="96"/>
      <c r="CV105" s="96"/>
      <c r="CW105" s="96"/>
      <c r="CX105" s="96"/>
      <c r="CY105" s="96"/>
      <c r="CZ105" s="96"/>
      <c r="DA105" s="96"/>
      <c r="DB105" s="96"/>
    </row>
    <row r="106" spans="1:106" x14ac:dyDescent="0.2">
      <c r="A106" s="96"/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6"/>
      <c r="T106" s="96"/>
      <c r="U106" s="96"/>
      <c r="V106" s="96"/>
      <c r="W106" s="96"/>
      <c r="X106" s="96"/>
      <c r="Y106" s="96"/>
      <c r="Z106" s="96"/>
      <c r="AA106" s="96"/>
      <c r="AB106" s="96"/>
      <c r="AC106" s="96"/>
      <c r="AD106" s="96"/>
      <c r="AE106" s="96"/>
      <c r="AF106" s="96"/>
      <c r="AG106" s="96"/>
      <c r="AH106" s="96"/>
      <c r="AI106" s="96"/>
      <c r="AJ106" s="96"/>
      <c r="AK106" s="96"/>
      <c r="AL106" s="96"/>
      <c r="AM106" s="96"/>
      <c r="AN106" s="96"/>
      <c r="AO106" s="96"/>
      <c r="AP106" s="96"/>
      <c r="AQ106" s="96"/>
      <c r="AR106" s="96"/>
      <c r="AS106" s="96"/>
      <c r="AT106" s="96"/>
      <c r="AU106" s="96"/>
      <c r="AV106" s="96"/>
      <c r="AW106" s="96"/>
      <c r="AX106" s="96"/>
      <c r="AY106" s="96"/>
      <c r="AZ106" s="96"/>
      <c r="BA106" s="96"/>
      <c r="BB106" s="96"/>
      <c r="BC106" s="96"/>
      <c r="BD106" s="96"/>
      <c r="BE106" s="96"/>
      <c r="BF106" s="96"/>
      <c r="BG106" s="96"/>
      <c r="BH106" s="96"/>
      <c r="BI106" s="96"/>
      <c r="BJ106" s="96"/>
      <c r="BK106" s="96"/>
      <c r="BL106" s="96"/>
      <c r="BM106" s="96"/>
      <c r="BN106" s="96"/>
      <c r="BO106" s="96"/>
      <c r="BP106" s="96"/>
      <c r="BQ106" s="96"/>
      <c r="BR106" s="96"/>
      <c r="BS106" s="96"/>
      <c r="BT106" s="96"/>
      <c r="BU106" s="96"/>
      <c r="BV106" s="96"/>
      <c r="BW106" s="96"/>
      <c r="BX106" s="96"/>
      <c r="BY106" s="96"/>
      <c r="BZ106" s="96"/>
      <c r="CA106" s="96"/>
      <c r="CB106" s="96"/>
      <c r="CC106" s="96"/>
      <c r="CD106" s="96"/>
      <c r="CE106" s="96"/>
      <c r="CF106" s="96"/>
      <c r="CG106" s="96"/>
      <c r="CH106" s="96"/>
      <c r="CI106" s="96"/>
      <c r="CJ106" s="96"/>
      <c r="CK106" s="96"/>
      <c r="CL106" s="96"/>
      <c r="CM106" s="96"/>
      <c r="CN106" s="96"/>
      <c r="CO106" s="96"/>
      <c r="CP106" s="96"/>
      <c r="CQ106" s="96"/>
      <c r="CR106" s="96"/>
      <c r="CS106" s="96"/>
      <c r="CT106" s="96"/>
      <c r="CU106" s="96"/>
      <c r="CV106" s="96"/>
      <c r="CW106" s="96"/>
      <c r="CX106" s="96"/>
      <c r="CY106" s="96"/>
      <c r="CZ106" s="96"/>
      <c r="DA106" s="96"/>
      <c r="DB106" s="96"/>
    </row>
    <row r="107" spans="1:106" x14ac:dyDescent="0.2">
      <c r="A107" s="96"/>
      <c r="B107" s="96"/>
      <c r="C107" s="96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  <c r="CH107" s="96"/>
      <c r="CI107" s="96"/>
      <c r="CJ107" s="96"/>
      <c r="CK107" s="96"/>
      <c r="CL107" s="96"/>
      <c r="CM107" s="96"/>
      <c r="CN107" s="96"/>
      <c r="CO107" s="96"/>
      <c r="CP107" s="96"/>
      <c r="CQ107" s="96"/>
      <c r="CR107" s="96"/>
      <c r="CS107" s="96"/>
      <c r="CT107" s="96"/>
      <c r="CU107" s="96"/>
      <c r="CV107" s="96"/>
      <c r="CW107" s="96"/>
      <c r="CX107" s="96"/>
      <c r="CY107" s="96"/>
      <c r="CZ107" s="96"/>
      <c r="DA107" s="96"/>
      <c r="DB107" s="96"/>
    </row>
    <row r="108" spans="1:106" x14ac:dyDescent="0.2">
      <c r="A108" s="96"/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  <c r="AH108" s="96"/>
      <c r="AI108" s="96"/>
      <c r="AJ108" s="96"/>
      <c r="AK108" s="96"/>
      <c r="AL108" s="96"/>
      <c r="AM108" s="96"/>
      <c r="AN108" s="96"/>
      <c r="AO108" s="96"/>
      <c r="AP108" s="96"/>
      <c r="AQ108" s="96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  <c r="BB108" s="96"/>
      <c r="BC108" s="96"/>
      <c r="BD108" s="96"/>
      <c r="BE108" s="96"/>
      <c r="BF108" s="96"/>
      <c r="BG108" s="96"/>
      <c r="BH108" s="96"/>
      <c r="BI108" s="96"/>
      <c r="BJ108" s="96"/>
      <c r="BK108" s="96"/>
      <c r="BL108" s="96"/>
      <c r="BM108" s="96"/>
      <c r="BN108" s="96"/>
      <c r="BO108" s="96"/>
      <c r="BP108" s="96"/>
      <c r="BQ108" s="96"/>
      <c r="BR108" s="96"/>
      <c r="BS108" s="96"/>
      <c r="BT108" s="96"/>
      <c r="BU108" s="96"/>
      <c r="BV108" s="96"/>
      <c r="BW108" s="96"/>
      <c r="BX108" s="96"/>
      <c r="BY108" s="96"/>
      <c r="BZ108" s="96"/>
      <c r="CA108" s="96"/>
      <c r="CB108" s="96"/>
      <c r="CC108" s="96"/>
      <c r="CD108" s="96"/>
      <c r="CE108" s="96"/>
      <c r="CF108" s="96"/>
      <c r="CG108" s="96"/>
      <c r="CH108" s="96"/>
      <c r="CI108" s="96"/>
      <c r="CJ108" s="96"/>
      <c r="CK108" s="96"/>
      <c r="CL108" s="96"/>
      <c r="CM108" s="96"/>
      <c r="CN108" s="96"/>
      <c r="CO108" s="96"/>
      <c r="CP108" s="96"/>
      <c r="CQ108" s="96"/>
      <c r="CR108" s="96"/>
      <c r="CS108" s="96"/>
      <c r="CT108" s="96"/>
      <c r="CU108" s="96"/>
      <c r="CV108" s="96"/>
      <c r="CW108" s="96"/>
      <c r="CX108" s="96"/>
      <c r="CY108" s="96"/>
      <c r="CZ108" s="96"/>
      <c r="DA108" s="96"/>
      <c r="DB108" s="96"/>
    </row>
    <row r="109" spans="1:106" x14ac:dyDescent="0.2">
      <c r="A109" s="96"/>
      <c r="B109" s="96"/>
      <c r="C109" s="96"/>
      <c r="D109" s="96"/>
      <c r="E109" s="96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  <c r="AH109" s="96"/>
      <c r="AI109" s="96"/>
      <c r="AJ109" s="96"/>
      <c r="AK109" s="96"/>
      <c r="AL109" s="96"/>
      <c r="AM109" s="96"/>
      <c r="AN109" s="96"/>
      <c r="AO109" s="96"/>
      <c r="AP109" s="96"/>
      <c r="AQ109" s="96"/>
      <c r="AR109" s="96"/>
      <c r="AS109" s="96"/>
      <c r="AT109" s="96"/>
      <c r="AU109" s="96"/>
      <c r="AV109" s="96"/>
      <c r="AW109" s="96"/>
      <c r="AX109" s="96"/>
      <c r="AY109" s="96"/>
      <c r="AZ109" s="96"/>
      <c r="BA109" s="96"/>
      <c r="BB109" s="96"/>
      <c r="BC109" s="96"/>
      <c r="BD109" s="96"/>
      <c r="BE109" s="96"/>
      <c r="BF109" s="96"/>
      <c r="BG109" s="96"/>
      <c r="BH109" s="96"/>
      <c r="BI109" s="96"/>
      <c r="BJ109" s="96"/>
      <c r="BK109" s="96"/>
      <c r="BL109" s="96"/>
      <c r="BM109" s="96"/>
      <c r="BN109" s="96"/>
      <c r="BO109" s="96"/>
      <c r="BP109" s="96"/>
      <c r="BQ109" s="96"/>
      <c r="BR109" s="96"/>
      <c r="BS109" s="96"/>
      <c r="BT109" s="96"/>
      <c r="BU109" s="96"/>
      <c r="BV109" s="96"/>
      <c r="BW109" s="96"/>
      <c r="BX109" s="96"/>
      <c r="BY109" s="96"/>
      <c r="BZ109" s="96"/>
      <c r="CA109" s="96"/>
      <c r="CB109" s="96"/>
      <c r="CC109" s="96"/>
      <c r="CD109" s="96"/>
      <c r="CE109" s="96"/>
      <c r="CF109" s="96"/>
      <c r="CG109" s="96"/>
      <c r="CH109" s="96"/>
      <c r="CI109" s="96"/>
      <c r="CJ109" s="96"/>
      <c r="CK109" s="96"/>
      <c r="CL109" s="96"/>
      <c r="CM109" s="96"/>
      <c r="CN109" s="96"/>
      <c r="CO109" s="96"/>
      <c r="CP109" s="96"/>
      <c r="CQ109" s="96"/>
      <c r="CR109" s="96"/>
      <c r="CS109" s="96"/>
      <c r="CT109" s="96"/>
      <c r="CU109" s="96"/>
      <c r="CV109" s="96"/>
      <c r="CW109" s="96"/>
      <c r="CX109" s="96"/>
      <c r="CY109" s="96"/>
      <c r="CZ109" s="96"/>
      <c r="DA109" s="96"/>
      <c r="DB109" s="96"/>
    </row>
    <row r="110" spans="1:106" x14ac:dyDescent="0.2">
      <c r="A110" s="96"/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  <c r="BS110" s="96"/>
      <c r="BT110" s="96"/>
      <c r="BU110" s="96"/>
      <c r="BV110" s="96"/>
      <c r="BW110" s="96"/>
      <c r="BX110" s="96"/>
      <c r="BY110" s="96"/>
      <c r="BZ110" s="96"/>
      <c r="CA110" s="96"/>
      <c r="CB110" s="96"/>
      <c r="CC110" s="96"/>
      <c r="CD110" s="96"/>
      <c r="CE110" s="96"/>
      <c r="CF110" s="96"/>
      <c r="CG110" s="96"/>
      <c r="CH110" s="96"/>
      <c r="CI110" s="96"/>
      <c r="CJ110" s="96"/>
      <c r="CK110" s="96"/>
      <c r="CL110" s="96"/>
      <c r="CM110" s="96"/>
      <c r="CN110" s="96"/>
      <c r="CO110" s="96"/>
      <c r="CP110" s="96"/>
      <c r="CQ110" s="96"/>
      <c r="CR110" s="96"/>
      <c r="CS110" s="96"/>
      <c r="CT110" s="96"/>
      <c r="CU110" s="96"/>
      <c r="CV110" s="96"/>
      <c r="CW110" s="96"/>
      <c r="CX110" s="96"/>
      <c r="CY110" s="96"/>
      <c r="CZ110" s="96"/>
      <c r="DA110" s="96"/>
      <c r="DB110" s="96"/>
    </row>
    <row r="111" spans="1:106" x14ac:dyDescent="0.2">
      <c r="A111" s="96"/>
      <c r="B111" s="96"/>
      <c r="C111" s="96"/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  <c r="BS111" s="96"/>
      <c r="BT111" s="96"/>
      <c r="BU111" s="96"/>
      <c r="BV111" s="96"/>
      <c r="BW111" s="96"/>
      <c r="BX111" s="96"/>
      <c r="BY111" s="96"/>
      <c r="BZ111" s="96"/>
      <c r="CA111" s="96"/>
      <c r="CB111" s="96"/>
      <c r="CC111" s="96"/>
      <c r="CD111" s="96"/>
      <c r="CE111" s="96"/>
      <c r="CF111" s="96"/>
      <c r="CG111" s="96"/>
      <c r="CH111" s="96"/>
      <c r="CI111" s="96"/>
      <c r="CJ111" s="96"/>
      <c r="CK111" s="96"/>
      <c r="CL111" s="96"/>
      <c r="CM111" s="96"/>
      <c r="CN111" s="96"/>
      <c r="CO111" s="96"/>
      <c r="CP111" s="96"/>
      <c r="CQ111" s="96"/>
      <c r="CR111" s="96"/>
      <c r="CS111" s="96"/>
      <c r="CT111" s="96"/>
      <c r="CU111" s="96"/>
      <c r="CV111" s="96"/>
      <c r="CW111" s="96"/>
      <c r="CX111" s="96"/>
      <c r="CY111" s="96"/>
      <c r="CZ111" s="96"/>
      <c r="DA111" s="96"/>
      <c r="DB111" s="96"/>
    </row>
    <row r="112" spans="1:106" x14ac:dyDescent="0.2">
      <c r="A112" s="96"/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6"/>
      <c r="AC112" s="96"/>
      <c r="AD112" s="96"/>
      <c r="AE112" s="96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  <c r="BI112" s="96"/>
      <c r="BJ112" s="96"/>
      <c r="BK112" s="96"/>
      <c r="BL112" s="96"/>
      <c r="BM112" s="96"/>
      <c r="BN112" s="96"/>
      <c r="BO112" s="96"/>
      <c r="BP112" s="96"/>
      <c r="BQ112" s="96"/>
      <c r="BR112" s="96"/>
      <c r="BS112" s="96"/>
      <c r="BT112" s="96"/>
      <c r="BU112" s="96"/>
      <c r="BV112" s="96"/>
      <c r="BW112" s="96"/>
      <c r="BX112" s="96"/>
      <c r="BY112" s="96"/>
      <c r="BZ112" s="96"/>
      <c r="CA112" s="96"/>
      <c r="CB112" s="96"/>
      <c r="CC112" s="96"/>
      <c r="CD112" s="96"/>
      <c r="CE112" s="96"/>
      <c r="CF112" s="96"/>
      <c r="CG112" s="96"/>
      <c r="CH112" s="96"/>
      <c r="CI112" s="96"/>
      <c r="CJ112" s="96"/>
      <c r="CK112" s="96"/>
      <c r="CL112" s="96"/>
      <c r="CM112" s="96"/>
      <c r="CN112" s="96"/>
      <c r="CO112" s="96"/>
      <c r="CP112" s="96"/>
      <c r="CQ112" s="96"/>
      <c r="CR112" s="96"/>
      <c r="CS112" s="96"/>
      <c r="CT112" s="96"/>
      <c r="CU112" s="96"/>
      <c r="CV112" s="96"/>
      <c r="CW112" s="96"/>
      <c r="CX112" s="96"/>
      <c r="CY112" s="96"/>
      <c r="CZ112" s="96"/>
      <c r="DA112" s="96"/>
      <c r="DB112" s="96"/>
    </row>
    <row r="113" spans="1:106" x14ac:dyDescent="0.2">
      <c r="A113" s="96"/>
      <c r="B113" s="96"/>
      <c r="C113" s="96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  <c r="BI113" s="96"/>
      <c r="BJ113" s="96"/>
      <c r="BK113" s="96"/>
      <c r="BL113" s="96"/>
      <c r="BM113" s="96"/>
      <c r="BN113" s="96"/>
      <c r="BO113" s="96"/>
      <c r="BP113" s="96"/>
      <c r="BQ113" s="96"/>
      <c r="BR113" s="96"/>
      <c r="BS113" s="96"/>
      <c r="BT113" s="96"/>
      <c r="BU113" s="96"/>
      <c r="BV113" s="96"/>
      <c r="BW113" s="96"/>
      <c r="BX113" s="96"/>
      <c r="BY113" s="96"/>
      <c r="BZ113" s="96"/>
      <c r="CA113" s="96"/>
      <c r="CB113" s="96"/>
      <c r="CC113" s="96"/>
      <c r="CD113" s="96"/>
      <c r="CE113" s="96"/>
      <c r="CF113" s="96"/>
      <c r="CG113" s="96"/>
      <c r="CH113" s="96"/>
      <c r="CI113" s="96"/>
      <c r="CJ113" s="96"/>
      <c r="CK113" s="96"/>
      <c r="CL113" s="96"/>
      <c r="CM113" s="96"/>
      <c r="CN113" s="96"/>
      <c r="CO113" s="96"/>
      <c r="CP113" s="96"/>
      <c r="CQ113" s="96"/>
      <c r="CR113" s="96"/>
      <c r="CS113" s="96"/>
      <c r="CT113" s="96"/>
      <c r="CU113" s="96"/>
      <c r="CV113" s="96"/>
      <c r="CW113" s="96"/>
      <c r="CX113" s="96"/>
      <c r="CY113" s="96"/>
      <c r="CZ113" s="96"/>
      <c r="DA113" s="96"/>
      <c r="DB113" s="96"/>
    </row>
    <row r="114" spans="1:106" x14ac:dyDescent="0.2">
      <c r="A114" s="96"/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  <c r="AB114" s="96"/>
      <c r="AC114" s="96"/>
      <c r="AD114" s="96"/>
      <c r="AE114" s="96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  <c r="BI114" s="96"/>
      <c r="BJ114" s="96"/>
      <c r="BK114" s="96"/>
      <c r="BL114" s="96"/>
      <c r="BM114" s="96"/>
      <c r="BN114" s="96"/>
      <c r="BO114" s="96"/>
      <c r="BP114" s="96"/>
      <c r="BQ114" s="96"/>
      <c r="BR114" s="96"/>
      <c r="BS114" s="96"/>
      <c r="BT114" s="96"/>
      <c r="BU114" s="96"/>
      <c r="BV114" s="96"/>
      <c r="BW114" s="96"/>
      <c r="BX114" s="96"/>
      <c r="BY114" s="96"/>
      <c r="BZ114" s="96"/>
      <c r="CA114" s="96"/>
      <c r="CB114" s="96"/>
      <c r="CC114" s="96"/>
      <c r="CD114" s="96"/>
      <c r="CE114" s="96"/>
      <c r="CF114" s="96"/>
      <c r="CG114" s="96"/>
      <c r="CH114" s="96"/>
      <c r="CI114" s="96"/>
      <c r="CJ114" s="96"/>
      <c r="CK114" s="96"/>
      <c r="CL114" s="96"/>
      <c r="CM114" s="96"/>
      <c r="CN114" s="96"/>
      <c r="CO114" s="96"/>
      <c r="CP114" s="96"/>
      <c r="CQ114" s="96"/>
      <c r="CR114" s="96"/>
      <c r="CS114" s="96"/>
      <c r="CT114" s="96"/>
      <c r="CU114" s="96"/>
      <c r="CV114" s="96"/>
      <c r="CW114" s="96"/>
      <c r="CX114" s="96"/>
      <c r="CY114" s="96"/>
      <c r="CZ114" s="96"/>
      <c r="DA114" s="96"/>
      <c r="DB114" s="96"/>
    </row>
    <row r="115" spans="1:106" x14ac:dyDescent="0.2">
      <c r="A115" s="96"/>
      <c r="B115" s="96"/>
      <c r="C115" s="96"/>
      <c r="D115" s="96"/>
      <c r="E115" s="96"/>
      <c r="F115" s="96"/>
      <c r="G115" s="96"/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  <c r="S115" s="96"/>
      <c r="T115" s="96"/>
      <c r="U115" s="96"/>
      <c r="V115" s="96"/>
      <c r="W115" s="96"/>
      <c r="X115" s="96"/>
      <c r="Y115" s="96"/>
      <c r="Z115" s="96"/>
      <c r="AA115" s="96"/>
      <c r="AB115" s="96"/>
      <c r="AC115" s="96"/>
      <c r="AD115" s="96"/>
      <c r="AE115" s="96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  <c r="BB115" s="96"/>
      <c r="BC115" s="96"/>
      <c r="BD115" s="96"/>
      <c r="BE115" s="96"/>
      <c r="BF115" s="96"/>
      <c r="BG115" s="96"/>
      <c r="BH115" s="96"/>
      <c r="BI115" s="96"/>
      <c r="BJ115" s="96"/>
      <c r="BK115" s="96"/>
      <c r="BL115" s="96"/>
      <c r="BM115" s="96"/>
      <c r="BN115" s="96"/>
      <c r="BO115" s="96"/>
      <c r="BP115" s="96"/>
      <c r="BQ115" s="96"/>
      <c r="BR115" s="96"/>
      <c r="BS115" s="96"/>
      <c r="BT115" s="96"/>
      <c r="BU115" s="96"/>
      <c r="BV115" s="96"/>
      <c r="BW115" s="96"/>
      <c r="BX115" s="96"/>
      <c r="BY115" s="96"/>
      <c r="BZ115" s="96"/>
      <c r="CA115" s="96"/>
      <c r="CB115" s="96"/>
      <c r="CC115" s="96"/>
      <c r="CD115" s="96"/>
      <c r="CE115" s="96"/>
      <c r="CF115" s="96"/>
      <c r="CG115" s="96"/>
      <c r="CH115" s="96"/>
      <c r="CI115" s="96"/>
      <c r="CJ115" s="96"/>
      <c r="CK115" s="96"/>
      <c r="CL115" s="96"/>
      <c r="CM115" s="96"/>
      <c r="CN115" s="96"/>
      <c r="CO115" s="96"/>
      <c r="CP115" s="96"/>
      <c r="CQ115" s="96"/>
      <c r="CR115" s="96"/>
      <c r="CS115" s="96"/>
      <c r="CT115" s="96"/>
      <c r="CU115" s="96"/>
      <c r="CV115" s="96"/>
      <c r="CW115" s="96"/>
      <c r="CX115" s="96"/>
      <c r="CY115" s="96"/>
      <c r="CZ115" s="96"/>
      <c r="DA115" s="96"/>
      <c r="DB115" s="96"/>
    </row>
    <row r="116" spans="1:106" x14ac:dyDescent="0.2">
      <c r="A116" s="96"/>
      <c r="B116" s="96"/>
      <c r="C116" s="96"/>
      <c r="D116" s="96"/>
      <c r="E116" s="96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6"/>
      <c r="AC116" s="96"/>
      <c r="AD116" s="96"/>
      <c r="AE116" s="96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  <c r="BI116" s="96"/>
      <c r="BJ116" s="96"/>
      <c r="BK116" s="96"/>
      <c r="BL116" s="96"/>
      <c r="BM116" s="96"/>
      <c r="BN116" s="96"/>
      <c r="BO116" s="96"/>
      <c r="BP116" s="96"/>
      <c r="BQ116" s="96"/>
      <c r="BR116" s="96"/>
      <c r="BS116" s="96"/>
      <c r="BT116" s="96"/>
      <c r="BU116" s="96"/>
      <c r="BV116" s="96"/>
      <c r="BW116" s="96"/>
      <c r="BX116" s="96"/>
      <c r="BY116" s="96"/>
      <c r="BZ116" s="96"/>
      <c r="CA116" s="96"/>
      <c r="CB116" s="96"/>
      <c r="CC116" s="96"/>
      <c r="CD116" s="96"/>
      <c r="CE116" s="96"/>
      <c r="CF116" s="96"/>
      <c r="CG116" s="96"/>
      <c r="CH116" s="96"/>
      <c r="CI116" s="96"/>
      <c r="CJ116" s="96"/>
      <c r="CK116" s="96"/>
      <c r="CL116" s="96"/>
      <c r="CM116" s="96"/>
      <c r="CN116" s="96"/>
      <c r="CO116" s="96"/>
      <c r="CP116" s="96"/>
      <c r="CQ116" s="96"/>
      <c r="CR116" s="96"/>
      <c r="CS116" s="96"/>
      <c r="CT116" s="96"/>
      <c r="CU116" s="96"/>
      <c r="CV116" s="96"/>
      <c r="CW116" s="96"/>
      <c r="CX116" s="96"/>
      <c r="CY116" s="96"/>
      <c r="CZ116" s="96"/>
      <c r="DA116" s="96"/>
      <c r="DB116" s="96"/>
    </row>
    <row r="117" spans="1:106" x14ac:dyDescent="0.2">
      <c r="A117" s="96"/>
      <c r="B117" s="96"/>
      <c r="C117" s="96"/>
      <c r="D117" s="96"/>
      <c r="E117" s="96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  <c r="T117" s="96"/>
      <c r="U117" s="96"/>
      <c r="V117" s="96"/>
      <c r="W117" s="96"/>
      <c r="X117" s="96"/>
      <c r="Y117" s="96"/>
      <c r="Z117" s="96"/>
      <c r="AA117" s="96"/>
      <c r="AB117" s="96"/>
      <c r="AC117" s="96"/>
      <c r="AD117" s="96"/>
      <c r="AE117" s="96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  <c r="BI117" s="96"/>
      <c r="BJ117" s="96"/>
      <c r="BK117" s="96"/>
      <c r="BL117" s="96"/>
      <c r="BM117" s="96"/>
      <c r="BN117" s="96"/>
      <c r="BO117" s="96"/>
      <c r="BP117" s="96"/>
      <c r="BQ117" s="96"/>
      <c r="BR117" s="96"/>
      <c r="BS117" s="96"/>
      <c r="BT117" s="96"/>
      <c r="BU117" s="96"/>
      <c r="BV117" s="96"/>
      <c r="BW117" s="96"/>
      <c r="BX117" s="96"/>
      <c r="BY117" s="96"/>
      <c r="BZ117" s="96"/>
      <c r="CA117" s="96"/>
      <c r="CB117" s="96"/>
      <c r="CC117" s="96"/>
      <c r="CD117" s="96"/>
      <c r="CE117" s="96"/>
      <c r="CF117" s="96"/>
      <c r="CG117" s="96"/>
      <c r="CH117" s="96"/>
      <c r="CI117" s="96"/>
      <c r="CJ117" s="96"/>
      <c r="CK117" s="96"/>
      <c r="CL117" s="96"/>
      <c r="CM117" s="96"/>
      <c r="CN117" s="96"/>
      <c r="CO117" s="96"/>
      <c r="CP117" s="96"/>
      <c r="CQ117" s="96"/>
      <c r="CR117" s="96"/>
      <c r="CS117" s="96"/>
      <c r="CT117" s="96"/>
      <c r="CU117" s="96"/>
      <c r="CV117" s="96"/>
      <c r="CW117" s="96"/>
      <c r="CX117" s="96"/>
      <c r="CY117" s="96"/>
      <c r="CZ117" s="96"/>
      <c r="DA117" s="96"/>
      <c r="DB117" s="96"/>
    </row>
    <row r="118" spans="1:106" x14ac:dyDescent="0.2">
      <c r="A118" s="96"/>
      <c r="B118" s="96"/>
      <c r="C118" s="96"/>
      <c r="D118" s="96"/>
      <c r="E118" s="96"/>
      <c r="F118" s="96"/>
      <c r="G118" s="96"/>
      <c r="H118" s="96"/>
      <c r="I118" s="96"/>
      <c r="J118" s="96"/>
      <c r="K118" s="96"/>
      <c r="L118" s="96"/>
      <c r="M118" s="96"/>
      <c r="N118" s="96"/>
      <c r="O118" s="96"/>
      <c r="P118" s="96"/>
      <c r="Q118" s="96"/>
      <c r="R118" s="96"/>
      <c r="S118" s="96"/>
      <c r="T118" s="96"/>
      <c r="U118" s="96"/>
      <c r="V118" s="96"/>
      <c r="W118" s="96"/>
      <c r="X118" s="96"/>
      <c r="Y118" s="96"/>
      <c r="Z118" s="96"/>
      <c r="AA118" s="96"/>
      <c r="AB118" s="96"/>
      <c r="AC118" s="96"/>
      <c r="AD118" s="96"/>
      <c r="AE118" s="96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  <c r="BI118" s="96"/>
      <c r="BJ118" s="96"/>
      <c r="BK118" s="96"/>
      <c r="BL118" s="96"/>
      <c r="BM118" s="96"/>
      <c r="BN118" s="96"/>
      <c r="BO118" s="96"/>
      <c r="BP118" s="96"/>
      <c r="BQ118" s="96"/>
      <c r="BR118" s="96"/>
      <c r="BS118" s="96"/>
      <c r="BT118" s="96"/>
      <c r="BU118" s="96"/>
      <c r="BV118" s="96"/>
      <c r="BW118" s="96"/>
      <c r="BX118" s="96"/>
      <c r="BY118" s="96"/>
      <c r="BZ118" s="96"/>
      <c r="CA118" s="96"/>
      <c r="CB118" s="96"/>
      <c r="CC118" s="96"/>
      <c r="CD118" s="96"/>
      <c r="CE118" s="96"/>
      <c r="CF118" s="96"/>
      <c r="CG118" s="96"/>
      <c r="CH118" s="96"/>
      <c r="CI118" s="96"/>
      <c r="CJ118" s="96"/>
      <c r="CK118" s="96"/>
      <c r="CL118" s="96"/>
      <c r="CM118" s="96"/>
      <c r="CN118" s="96"/>
      <c r="CO118" s="96"/>
      <c r="CP118" s="96"/>
      <c r="CQ118" s="96"/>
      <c r="CR118" s="96"/>
      <c r="CS118" s="96"/>
      <c r="CT118" s="96"/>
      <c r="CU118" s="96"/>
      <c r="CV118" s="96"/>
      <c r="CW118" s="96"/>
      <c r="CX118" s="96"/>
      <c r="CY118" s="96"/>
      <c r="CZ118" s="96"/>
      <c r="DA118" s="96"/>
      <c r="DB118" s="96"/>
    </row>
    <row r="119" spans="1:106" x14ac:dyDescent="0.2">
      <c r="A119" s="96"/>
      <c r="B119" s="96"/>
      <c r="C119" s="96"/>
      <c r="D119" s="96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/>
      <c r="AB119" s="96"/>
      <c r="AC119" s="96"/>
      <c r="AD119" s="96"/>
      <c r="AE119" s="96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  <c r="BI119" s="96"/>
      <c r="BJ119" s="96"/>
      <c r="BK119" s="96"/>
      <c r="BL119" s="96"/>
      <c r="BM119" s="96"/>
      <c r="BN119" s="96"/>
      <c r="BO119" s="96"/>
      <c r="BP119" s="96"/>
      <c r="BQ119" s="96"/>
      <c r="BR119" s="96"/>
      <c r="BS119" s="96"/>
      <c r="BT119" s="96"/>
      <c r="BU119" s="96"/>
      <c r="BV119" s="96"/>
      <c r="BW119" s="96"/>
      <c r="BX119" s="96"/>
      <c r="BY119" s="96"/>
      <c r="BZ119" s="96"/>
      <c r="CA119" s="96"/>
      <c r="CB119" s="96"/>
      <c r="CC119" s="96"/>
      <c r="CD119" s="96"/>
      <c r="CE119" s="96"/>
      <c r="CF119" s="96"/>
      <c r="CG119" s="96"/>
      <c r="CH119" s="96"/>
      <c r="CI119" s="96"/>
      <c r="CJ119" s="96"/>
      <c r="CK119" s="96"/>
      <c r="CL119" s="96"/>
      <c r="CM119" s="96"/>
      <c r="CN119" s="96"/>
      <c r="CO119" s="96"/>
      <c r="CP119" s="96"/>
      <c r="CQ119" s="96"/>
      <c r="CR119" s="96"/>
      <c r="CS119" s="96"/>
      <c r="CT119" s="96"/>
      <c r="CU119" s="96"/>
      <c r="CV119" s="96"/>
      <c r="CW119" s="96"/>
      <c r="CX119" s="96"/>
      <c r="CY119" s="96"/>
      <c r="CZ119" s="96"/>
      <c r="DA119" s="96"/>
      <c r="DB119" s="96"/>
    </row>
    <row r="120" spans="1:106" x14ac:dyDescent="0.2">
      <c r="A120" s="96"/>
      <c r="B120" s="96"/>
      <c r="C120" s="96"/>
      <c r="D120" s="96"/>
      <c r="E120" s="96"/>
      <c r="F120" s="96"/>
      <c r="G120" s="96"/>
      <c r="H120" s="96"/>
      <c r="I120" s="96"/>
      <c r="J120" s="96"/>
      <c r="K120" s="96"/>
      <c r="L120" s="96"/>
      <c r="M120" s="96"/>
      <c r="N120" s="96"/>
      <c r="O120" s="96"/>
      <c r="P120" s="96"/>
      <c r="Q120" s="96"/>
      <c r="R120" s="96"/>
      <c r="S120" s="96"/>
      <c r="T120" s="96"/>
      <c r="U120" s="96"/>
      <c r="V120" s="96"/>
      <c r="W120" s="96"/>
      <c r="X120" s="96"/>
      <c r="Y120" s="96"/>
      <c r="Z120" s="96"/>
      <c r="AA120" s="96"/>
      <c r="AB120" s="96"/>
      <c r="AC120" s="96"/>
      <c r="AD120" s="96"/>
      <c r="AE120" s="96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  <c r="BI120" s="96"/>
      <c r="BJ120" s="96"/>
      <c r="BK120" s="96"/>
      <c r="BL120" s="96"/>
      <c r="BM120" s="96"/>
      <c r="BN120" s="96"/>
      <c r="BO120" s="96"/>
      <c r="BP120" s="96"/>
      <c r="BQ120" s="96"/>
      <c r="BR120" s="96"/>
      <c r="BS120" s="96"/>
      <c r="BT120" s="96"/>
      <c r="BU120" s="96"/>
      <c r="BV120" s="96"/>
      <c r="BW120" s="96"/>
      <c r="BX120" s="96"/>
      <c r="BY120" s="96"/>
      <c r="BZ120" s="96"/>
      <c r="CA120" s="96"/>
      <c r="CB120" s="96"/>
      <c r="CC120" s="96"/>
      <c r="CD120" s="96"/>
      <c r="CE120" s="96"/>
      <c r="CF120" s="96"/>
      <c r="CG120" s="96"/>
      <c r="CH120" s="96"/>
      <c r="CI120" s="96"/>
      <c r="CJ120" s="96"/>
      <c r="CK120" s="96"/>
      <c r="CL120" s="96"/>
      <c r="CM120" s="96"/>
      <c r="CN120" s="96"/>
      <c r="CO120" s="96"/>
      <c r="CP120" s="96"/>
      <c r="CQ120" s="96"/>
      <c r="CR120" s="96"/>
      <c r="CS120" s="96"/>
      <c r="CT120" s="96"/>
      <c r="CU120" s="96"/>
      <c r="CV120" s="96"/>
      <c r="CW120" s="96"/>
      <c r="CX120" s="96"/>
      <c r="CY120" s="96"/>
      <c r="CZ120" s="96"/>
      <c r="DA120" s="96"/>
      <c r="DB120" s="96"/>
    </row>
    <row r="121" spans="1:106" x14ac:dyDescent="0.2">
      <c r="A121" s="96"/>
      <c r="B121" s="96"/>
      <c r="C121" s="96"/>
      <c r="D121" s="96"/>
      <c r="E121" s="96"/>
      <c r="F121" s="96"/>
      <c r="G121" s="96"/>
      <c r="H121" s="96"/>
      <c r="I121" s="96"/>
      <c r="J121" s="96"/>
      <c r="K121" s="96"/>
      <c r="L121" s="96"/>
      <c r="M121" s="96"/>
      <c r="N121" s="96"/>
      <c r="O121" s="96"/>
      <c r="P121" s="96"/>
      <c r="Q121" s="96"/>
      <c r="R121" s="96"/>
      <c r="S121" s="96"/>
      <c r="T121" s="96"/>
      <c r="U121" s="96"/>
      <c r="V121" s="96"/>
      <c r="W121" s="96"/>
      <c r="X121" s="96"/>
      <c r="Y121" s="96"/>
      <c r="Z121" s="96"/>
      <c r="AA121" s="96"/>
      <c r="AB121" s="96"/>
      <c r="AC121" s="96"/>
      <c r="AD121" s="96"/>
      <c r="AE121" s="96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  <c r="BI121" s="96"/>
      <c r="BJ121" s="96"/>
      <c r="BK121" s="96"/>
      <c r="BL121" s="96"/>
      <c r="BM121" s="96"/>
      <c r="BN121" s="96"/>
      <c r="BO121" s="96"/>
      <c r="BP121" s="96"/>
      <c r="BQ121" s="96"/>
      <c r="BR121" s="96"/>
      <c r="BS121" s="96"/>
      <c r="BT121" s="96"/>
      <c r="BU121" s="96"/>
      <c r="BV121" s="96"/>
      <c r="BW121" s="96"/>
      <c r="BX121" s="96"/>
      <c r="BY121" s="96"/>
      <c r="BZ121" s="96"/>
      <c r="CA121" s="96"/>
      <c r="CB121" s="96"/>
      <c r="CC121" s="96"/>
      <c r="CD121" s="96"/>
      <c r="CE121" s="96"/>
      <c r="CF121" s="96"/>
      <c r="CG121" s="96"/>
      <c r="CH121" s="96"/>
      <c r="CI121" s="96"/>
      <c r="CJ121" s="96"/>
      <c r="CK121" s="96"/>
      <c r="CL121" s="96"/>
      <c r="CM121" s="96"/>
      <c r="CN121" s="96"/>
      <c r="CO121" s="96"/>
      <c r="CP121" s="96"/>
      <c r="CQ121" s="96"/>
      <c r="CR121" s="96"/>
      <c r="CS121" s="96"/>
      <c r="CT121" s="96"/>
      <c r="CU121" s="96"/>
      <c r="CV121" s="96"/>
      <c r="CW121" s="96"/>
      <c r="CX121" s="96"/>
      <c r="CY121" s="96"/>
      <c r="CZ121" s="96"/>
      <c r="DA121" s="96"/>
      <c r="DB121" s="96"/>
    </row>
    <row r="122" spans="1:106" x14ac:dyDescent="0.2">
      <c r="A122" s="96"/>
      <c r="B122" s="96"/>
      <c r="C122" s="96"/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  <c r="BI122" s="96"/>
      <c r="BJ122" s="96"/>
      <c r="BK122" s="96"/>
      <c r="BL122" s="96"/>
      <c r="BM122" s="96"/>
      <c r="BN122" s="96"/>
      <c r="BO122" s="96"/>
      <c r="BP122" s="96"/>
      <c r="BQ122" s="96"/>
      <c r="BR122" s="96"/>
      <c r="BS122" s="96"/>
      <c r="BT122" s="96"/>
      <c r="BU122" s="96"/>
      <c r="BV122" s="96"/>
      <c r="BW122" s="96"/>
      <c r="BX122" s="96"/>
      <c r="BY122" s="96"/>
      <c r="BZ122" s="96"/>
      <c r="CA122" s="96"/>
      <c r="CB122" s="96"/>
      <c r="CC122" s="96"/>
      <c r="CD122" s="96"/>
      <c r="CE122" s="96"/>
      <c r="CF122" s="96"/>
      <c r="CG122" s="96"/>
      <c r="CH122" s="96"/>
      <c r="CI122" s="96"/>
      <c r="CJ122" s="96"/>
      <c r="CK122" s="96"/>
      <c r="CL122" s="96"/>
      <c r="CM122" s="96"/>
      <c r="CN122" s="96"/>
      <c r="CO122" s="96"/>
      <c r="CP122" s="96"/>
      <c r="CQ122" s="96"/>
      <c r="CR122" s="96"/>
      <c r="CS122" s="96"/>
      <c r="CT122" s="96"/>
      <c r="CU122" s="96"/>
      <c r="CV122" s="96"/>
      <c r="CW122" s="96"/>
      <c r="CX122" s="96"/>
      <c r="CY122" s="96"/>
      <c r="CZ122" s="96"/>
      <c r="DA122" s="96"/>
      <c r="DB122" s="96"/>
    </row>
    <row r="123" spans="1:106" x14ac:dyDescent="0.2">
      <c r="A123" s="96"/>
      <c r="B123" s="96"/>
      <c r="C123" s="96"/>
      <c r="D123" s="96"/>
      <c r="E123" s="96"/>
      <c r="F123" s="96"/>
      <c r="G123" s="96"/>
      <c r="H123" s="96"/>
      <c r="I123" s="96"/>
      <c r="J123" s="96"/>
      <c r="K123" s="96"/>
      <c r="L123" s="96"/>
      <c r="M123" s="96"/>
      <c r="N123" s="96"/>
      <c r="O123" s="96"/>
      <c r="P123" s="96"/>
      <c r="Q123" s="96"/>
      <c r="R123" s="96"/>
      <c r="S123" s="96"/>
      <c r="T123" s="96"/>
      <c r="U123" s="96"/>
      <c r="V123" s="96"/>
      <c r="W123" s="96"/>
      <c r="X123" s="96"/>
      <c r="Y123" s="96"/>
      <c r="Z123" s="96"/>
      <c r="AA123" s="96"/>
      <c r="AB123" s="96"/>
      <c r="AC123" s="96"/>
      <c r="AD123" s="96"/>
      <c r="AE123" s="96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  <c r="BI123" s="96"/>
      <c r="BJ123" s="96"/>
      <c r="BK123" s="96"/>
      <c r="BL123" s="96"/>
      <c r="BM123" s="96"/>
      <c r="BN123" s="96"/>
      <c r="BO123" s="96"/>
      <c r="BP123" s="96"/>
      <c r="BQ123" s="96"/>
      <c r="BR123" s="96"/>
      <c r="BS123" s="96"/>
      <c r="BT123" s="96"/>
      <c r="BU123" s="96"/>
      <c r="BV123" s="96"/>
      <c r="BW123" s="96"/>
      <c r="BX123" s="96"/>
      <c r="BY123" s="96"/>
      <c r="BZ123" s="96"/>
      <c r="CA123" s="96"/>
      <c r="CB123" s="96"/>
      <c r="CC123" s="96"/>
      <c r="CD123" s="96"/>
      <c r="CE123" s="96"/>
      <c r="CF123" s="96"/>
      <c r="CG123" s="96"/>
      <c r="CH123" s="96"/>
      <c r="CI123" s="96"/>
      <c r="CJ123" s="96"/>
      <c r="CK123" s="96"/>
      <c r="CL123" s="96"/>
      <c r="CM123" s="96"/>
      <c r="CN123" s="96"/>
      <c r="CO123" s="96"/>
      <c r="CP123" s="96"/>
      <c r="CQ123" s="96"/>
      <c r="CR123" s="96"/>
      <c r="CS123" s="96"/>
      <c r="CT123" s="96"/>
      <c r="CU123" s="96"/>
      <c r="CV123" s="96"/>
      <c r="CW123" s="96"/>
      <c r="CX123" s="96"/>
      <c r="CY123" s="96"/>
      <c r="CZ123" s="96"/>
      <c r="DA123" s="96"/>
      <c r="DB123" s="96"/>
    </row>
    <row r="124" spans="1:106" x14ac:dyDescent="0.2">
      <c r="A124" s="96"/>
      <c r="B124" s="96"/>
      <c r="C124" s="96"/>
      <c r="D124" s="96"/>
      <c r="E124" s="96"/>
      <c r="F124" s="96"/>
      <c r="G124" s="96"/>
      <c r="H124" s="96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  <c r="T124" s="96"/>
      <c r="U124" s="96"/>
      <c r="V124" s="96"/>
      <c r="W124" s="96"/>
      <c r="X124" s="96"/>
      <c r="Y124" s="96"/>
      <c r="Z124" s="96"/>
      <c r="AA124" s="96"/>
      <c r="AB124" s="96"/>
      <c r="AC124" s="96"/>
      <c r="AD124" s="96"/>
      <c r="AE124" s="96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  <c r="BI124" s="96"/>
      <c r="BJ124" s="96"/>
      <c r="BK124" s="96"/>
      <c r="BL124" s="96"/>
      <c r="BM124" s="96"/>
      <c r="BN124" s="96"/>
      <c r="BO124" s="96"/>
      <c r="BP124" s="96"/>
      <c r="BQ124" s="96"/>
      <c r="BR124" s="96"/>
      <c r="BS124" s="96"/>
      <c r="BT124" s="96"/>
      <c r="BU124" s="96"/>
      <c r="BV124" s="96"/>
      <c r="BW124" s="96"/>
      <c r="BX124" s="96"/>
      <c r="BY124" s="96"/>
      <c r="BZ124" s="96"/>
      <c r="CA124" s="96"/>
      <c r="CB124" s="96"/>
      <c r="CC124" s="96"/>
      <c r="CD124" s="96"/>
      <c r="CE124" s="96"/>
      <c r="CF124" s="96"/>
      <c r="CG124" s="96"/>
      <c r="CH124" s="96"/>
      <c r="CI124" s="96"/>
      <c r="CJ124" s="96"/>
      <c r="CK124" s="96"/>
      <c r="CL124" s="96"/>
      <c r="CM124" s="96"/>
      <c r="CN124" s="96"/>
      <c r="CO124" s="96"/>
      <c r="CP124" s="96"/>
      <c r="CQ124" s="96"/>
      <c r="CR124" s="96"/>
      <c r="CS124" s="96"/>
      <c r="CT124" s="96"/>
      <c r="CU124" s="96"/>
      <c r="CV124" s="96"/>
      <c r="CW124" s="96"/>
      <c r="CX124" s="96"/>
      <c r="CY124" s="96"/>
      <c r="CZ124" s="96"/>
      <c r="DA124" s="96"/>
      <c r="DB124" s="96"/>
    </row>
    <row r="125" spans="1:106" x14ac:dyDescent="0.2">
      <c r="A125" s="96"/>
      <c r="B125" s="96"/>
      <c r="C125" s="96"/>
      <c r="D125" s="96"/>
      <c r="E125" s="96"/>
      <c r="F125" s="96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  <c r="BI125" s="96"/>
      <c r="BJ125" s="96"/>
      <c r="BK125" s="96"/>
      <c r="BL125" s="96"/>
      <c r="BM125" s="96"/>
      <c r="BN125" s="96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96"/>
      <c r="BZ125" s="96"/>
      <c r="CA125" s="96"/>
      <c r="CB125" s="96"/>
      <c r="CC125" s="96"/>
      <c r="CD125" s="96"/>
      <c r="CE125" s="96"/>
      <c r="CF125" s="96"/>
      <c r="CG125" s="96"/>
      <c r="CH125" s="96"/>
      <c r="CI125" s="96"/>
      <c r="CJ125" s="96"/>
      <c r="CK125" s="96"/>
      <c r="CL125" s="96"/>
      <c r="CM125" s="96"/>
      <c r="CN125" s="96"/>
      <c r="CO125" s="96"/>
      <c r="CP125" s="96"/>
      <c r="CQ125" s="96"/>
      <c r="CR125" s="96"/>
      <c r="CS125" s="96"/>
      <c r="CT125" s="96"/>
      <c r="CU125" s="96"/>
      <c r="CV125" s="96"/>
      <c r="CW125" s="96"/>
      <c r="CX125" s="96"/>
      <c r="CY125" s="96"/>
      <c r="CZ125" s="96"/>
      <c r="DA125" s="96"/>
      <c r="DB125" s="96"/>
    </row>
    <row r="126" spans="1:106" x14ac:dyDescent="0.2">
      <c r="A126" s="96"/>
      <c r="B126" s="96"/>
      <c r="C126" s="96"/>
      <c r="D126" s="96"/>
      <c r="E126" s="96"/>
      <c r="F126" s="96"/>
      <c r="G126" s="96"/>
      <c r="H126" s="96"/>
      <c r="I126" s="96"/>
      <c r="J126" s="96"/>
      <c r="K126" s="96"/>
      <c r="L126" s="96"/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  <c r="AA126" s="96"/>
      <c r="AB126" s="96"/>
      <c r="AC126" s="96"/>
      <c r="AD126" s="96"/>
      <c r="AE126" s="96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  <c r="BI126" s="96"/>
      <c r="BJ126" s="96"/>
      <c r="BK126" s="96"/>
      <c r="BL126" s="96"/>
      <c r="BM126" s="96"/>
      <c r="BN126" s="96"/>
      <c r="BO126" s="96"/>
      <c r="BP126" s="96"/>
      <c r="BQ126" s="96"/>
      <c r="BR126" s="96"/>
      <c r="BS126" s="96"/>
      <c r="BT126" s="96"/>
      <c r="BU126" s="96"/>
      <c r="BV126" s="96"/>
      <c r="BW126" s="96"/>
      <c r="BX126" s="96"/>
      <c r="BY126" s="96"/>
      <c r="BZ126" s="96"/>
      <c r="CA126" s="96"/>
      <c r="CB126" s="96"/>
      <c r="CC126" s="96"/>
      <c r="CD126" s="96"/>
      <c r="CE126" s="96"/>
      <c r="CF126" s="96"/>
      <c r="CG126" s="96"/>
      <c r="CH126" s="96"/>
      <c r="CI126" s="96"/>
      <c r="CJ126" s="96"/>
      <c r="CK126" s="96"/>
      <c r="CL126" s="96"/>
      <c r="CM126" s="96"/>
      <c r="CN126" s="96"/>
      <c r="CO126" s="96"/>
      <c r="CP126" s="96"/>
      <c r="CQ126" s="96"/>
      <c r="CR126" s="96"/>
      <c r="CS126" s="96"/>
      <c r="CT126" s="96"/>
      <c r="CU126" s="96"/>
      <c r="CV126" s="96"/>
      <c r="CW126" s="96"/>
      <c r="CX126" s="96"/>
      <c r="CY126" s="96"/>
      <c r="CZ126" s="96"/>
      <c r="DA126" s="96"/>
      <c r="DB126" s="96"/>
    </row>
    <row r="127" spans="1:106" x14ac:dyDescent="0.2">
      <c r="A127" s="96"/>
      <c r="B127" s="96"/>
      <c r="C127" s="96"/>
      <c r="D127" s="96"/>
      <c r="E127" s="96"/>
      <c r="F127" s="96"/>
      <c r="G127" s="96"/>
      <c r="H127" s="96"/>
      <c r="I127" s="96"/>
      <c r="J127" s="96"/>
      <c r="K127" s="96"/>
      <c r="L127" s="96"/>
      <c r="M127" s="96"/>
      <c r="N127" s="96"/>
      <c r="O127" s="96"/>
      <c r="P127" s="96"/>
      <c r="Q127" s="96"/>
      <c r="R127" s="96"/>
      <c r="S127" s="96"/>
      <c r="T127" s="96"/>
      <c r="U127" s="96"/>
      <c r="V127" s="96"/>
      <c r="W127" s="96"/>
      <c r="X127" s="96"/>
      <c r="Y127" s="96"/>
      <c r="Z127" s="96"/>
      <c r="AA127" s="96"/>
      <c r="AB127" s="96"/>
      <c r="AC127" s="96"/>
      <c r="AD127" s="96"/>
      <c r="AE127" s="96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  <c r="BI127" s="96"/>
      <c r="BJ127" s="96"/>
      <c r="BK127" s="96"/>
      <c r="BL127" s="96"/>
      <c r="BM127" s="96"/>
      <c r="BN127" s="96"/>
      <c r="BO127" s="96"/>
      <c r="BP127" s="96"/>
      <c r="BQ127" s="96"/>
      <c r="BR127" s="96"/>
      <c r="BS127" s="96"/>
      <c r="BT127" s="96"/>
      <c r="BU127" s="96"/>
      <c r="BV127" s="96"/>
      <c r="BW127" s="96"/>
      <c r="BX127" s="96"/>
      <c r="BY127" s="96"/>
      <c r="BZ127" s="96"/>
      <c r="CA127" s="96"/>
      <c r="CB127" s="96"/>
      <c r="CC127" s="96"/>
      <c r="CD127" s="96"/>
      <c r="CE127" s="96"/>
      <c r="CF127" s="96"/>
      <c r="CG127" s="96"/>
      <c r="CH127" s="96"/>
      <c r="CI127" s="96"/>
      <c r="CJ127" s="96"/>
      <c r="CK127" s="96"/>
      <c r="CL127" s="96"/>
      <c r="CM127" s="96"/>
      <c r="CN127" s="96"/>
      <c r="CO127" s="96"/>
      <c r="CP127" s="96"/>
      <c r="CQ127" s="96"/>
      <c r="CR127" s="96"/>
      <c r="CS127" s="96"/>
      <c r="CT127" s="96"/>
      <c r="CU127" s="96"/>
      <c r="CV127" s="96"/>
      <c r="CW127" s="96"/>
      <c r="CX127" s="96"/>
      <c r="CY127" s="96"/>
      <c r="CZ127" s="96"/>
      <c r="DA127" s="96"/>
      <c r="DB127" s="96"/>
    </row>
    <row r="128" spans="1:106" x14ac:dyDescent="0.2">
      <c r="A128" s="96"/>
      <c r="B128" s="96"/>
      <c r="C128" s="96"/>
      <c r="D128" s="96"/>
      <c r="E128" s="96"/>
      <c r="F128" s="96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  <c r="AA128" s="96"/>
      <c r="AB128" s="96"/>
      <c r="AC128" s="96"/>
      <c r="AD128" s="96"/>
      <c r="AE128" s="96"/>
      <c r="AF128" s="96"/>
      <c r="AG128" s="96"/>
      <c r="AH128" s="96"/>
      <c r="AI128" s="96"/>
      <c r="AJ128" s="96"/>
      <c r="AK128" s="96"/>
      <c r="AL128" s="96"/>
      <c r="AM128" s="96"/>
      <c r="AN128" s="96"/>
      <c r="AO128" s="96"/>
      <c r="AP128" s="96"/>
      <c r="AQ128" s="96"/>
      <c r="AR128" s="96"/>
      <c r="AS128" s="96"/>
      <c r="AT128" s="96"/>
      <c r="AU128" s="96"/>
      <c r="AV128" s="96"/>
      <c r="AW128" s="96"/>
      <c r="AX128" s="96"/>
      <c r="AY128" s="96"/>
      <c r="AZ128" s="96"/>
      <c r="BA128" s="96"/>
      <c r="BB128" s="96"/>
      <c r="BC128" s="96"/>
      <c r="BD128" s="96"/>
      <c r="BE128" s="96"/>
      <c r="BF128" s="96"/>
      <c r="BG128" s="96"/>
      <c r="BH128" s="96"/>
      <c r="BI128" s="96"/>
      <c r="BJ128" s="96"/>
      <c r="BK128" s="96"/>
      <c r="BL128" s="96"/>
      <c r="BM128" s="96"/>
      <c r="BN128" s="96"/>
      <c r="BO128" s="96"/>
      <c r="BP128" s="96"/>
      <c r="BQ128" s="96"/>
      <c r="BR128" s="96"/>
      <c r="BS128" s="96"/>
      <c r="BT128" s="96"/>
      <c r="BU128" s="96"/>
      <c r="BV128" s="96"/>
      <c r="BW128" s="96"/>
      <c r="BX128" s="96"/>
      <c r="BY128" s="96"/>
      <c r="BZ128" s="96"/>
      <c r="CA128" s="96"/>
      <c r="CB128" s="96"/>
      <c r="CC128" s="96"/>
      <c r="CD128" s="96"/>
      <c r="CE128" s="96"/>
      <c r="CF128" s="96"/>
      <c r="CG128" s="96"/>
      <c r="CH128" s="96"/>
      <c r="CI128" s="96"/>
      <c r="CJ128" s="96"/>
      <c r="CK128" s="96"/>
      <c r="CL128" s="96"/>
      <c r="CM128" s="96"/>
      <c r="CN128" s="96"/>
      <c r="CO128" s="96"/>
      <c r="CP128" s="96"/>
      <c r="CQ128" s="96"/>
      <c r="CR128" s="96"/>
      <c r="CS128" s="96"/>
      <c r="CT128" s="96"/>
      <c r="CU128" s="96"/>
      <c r="CV128" s="96"/>
      <c r="CW128" s="96"/>
      <c r="CX128" s="96"/>
      <c r="CY128" s="96"/>
      <c r="CZ128" s="96"/>
      <c r="DA128" s="96"/>
      <c r="DB128" s="96"/>
    </row>
    <row r="129" spans="1:106" x14ac:dyDescent="0.2">
      <c r="A129" s="96"/>
      <c r="B129" s="96"/>
      <c r="C129" s="96"/>
      <c r="D129" s="96"/>
      <c r="E129" s="96"/>
      <c r="F129" s="96"/>
      <c r="G129" s="96"/>
      <c r="H129" s="96"/>
      <c r="I129" s="96"/>
      <c r="J129" s="96"/>
      <c r="K129" s="96"/>
      <c r="L129" s="96"/>
      <c r="M129" s="96"/>
      <c r="N129" s="96"/>
      <c r="O129" s="96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Z129" s="96"/>
      <c r="AA129" s="96"/>
      <c r="AB129" s="96"/>
      <c r="AC129" s="96"/>
      <c r="AD129" s="96"/>
      <c r="AE129" s="96"/>
      <c r="AF129" s="96"/>
      <c r="AG129" s="96"/>
      <c r="AH129" s="96"/>
      <c r="AI129" s="96"/>
      <c r="AJ129" s="96"/>
      <c r="AK129" s="96"/>
      <c r="AL129" s="96"/>
      <c r="AM129" s="96"/>
      <c r="AN129" s="96"/>
      <c r="AO129" s="96"/>
      <c r="AP129" s="96"/>
      <c r="AQ129" s="96"/>
      <c r="AR129" s="96"/>
      <c r="AS129" s="96"/>
      <c r="AT129" s="96"/>
      <c r="AU129" s="96"/>
      <c r="AV129" s="96"/>
      <c r="AW129" s="96"/>
      <c r="AX129" s="96"/>
      <c r="AY129" s="96"/>
      <c r="AZ129" s="96"/>
      <c r="BA129" s="96"/>
      <c r="BB129" s="96"/>
      <c r="BC129" s="96"/>
      <c r="BD129" s="96"/>
      <c r="BE129" s="96"/>
      <c r="BF129" s="96"/>
      <c r="BG129" s="96"/>
      <c r="BH129" s="96"/>
      <c r="BI129" s="96"/>
      <c r="BJ129" s="96"/>
      <c r="BK129" s="96"/>
      <c r="BL129" s="96"/>
      <c r="BM129" s="96"/>
      <c r="BN129" s="96"/>
      <c r="BO129" s="96"/>
      <c r="BP129" s="96"/>
      <c r="BQ129" s="96"/>
      <c r="BR129" s="96"/>
      <c r="BS129" s="96"/>
      <c r="BT129" s="96"/>
      <c r="BU129" s="96"/>
      <c r="BV129" s="96"/>
      <c r="BW129" s="96"/>
      <c r="BX129" s="96"/>
      <c r="BY129" s="96"/>
      <c r="BZ129" s="96"/>
      <c r="CA129" s="96"/>
      <c r="CB129" s="96"/>
      <c r="CC129" s="96"/>
      <c r="CD129" s="96"/>
      <c r="CE129" s="96"/>
      <c r="CF129" s="96"/>
      <c r="CG129" s="96"/>
      <c r="CH129" s="96"/>
      <c r="CI129" s="96"/>
      <c r="CJ129" s="96"/>
      <c r="CK129" s="96"/>
      <c r="CL129" s="96"/>
      <c r="CM129" s="96"/>
      <c r="CN129" s="96"/>
      <c r="CO129" s="96"/>
      <c r="CP129" s="96"/>
      <c r="CQ129" s="96"/>
      <c r="CR129" s="96"/>
      <c r="CS129" s="96"/>
      <c r="CT129" s="96"/>
      <c r="CU129" s="96"/>
      <c r="CV129" s="96"/>
      <c r="CW129" s="96"/>
      <c r="CX129" s="96"/>
      <c r="CY129" s="96"/>
      <c r="CZ129" s="96"/>
      <c r="DA129" s="96"/>
      <c r="DB129" s="96"/>
    </row>
    <row r="130" spans="1:106" x14ac:dyDescent="0.2">
      <c r="A130" s="96"/>
      <c r="B130" s="96"/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96"/>
      <c r="N130" s="96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6"/>
      <c r="Z130" s="96"/>
      <c r="AA130" s="96"/>
      <c r="AB130" s="96"/>
      <c r="AC130" s="96"/>
      <c r="AD130" s="96"/>
      <c r="AE130" s="96"/>
      <c r="AF130" s="96"/>
      <c r="AG130" s="96"/>
      <c r="AH130" s="96"/>
      <c r="AI130" s="96"/>
      <c r="AJ130" s="96"/>
      <c r="AK130" s="96"/>
      <c r="AL130" s="96"/>
      <c r="AM130" s="96"/>
      <c r="AN130" s="96"/>
      <c r="AO130" s="96"/>
      <c r="AP130" s="96"/>
      <c r="AQ130" s="96"/>
      <c r="AR130" s="96"/>
      <c r="AS130" s="96"/>
      <c r="AT130" s="96"/>
      <c r="AU130" s="96"/>
      <c r="AV130" s="96"/>
      <c r="AW130" s="96"/>
      <c r="AX130" s="96"/>
      <c r="AY130" s="96"/>
      <c r="AZ130" s="96"/>
      <c r="BA130" s="96"/>
      <c r="BB130" s="96"/>
      <c r="BC130" s="96"/>
      <c r="BD130" s="96"/>
      <c r="BE130" s="96"/>
      <c r="BF130" s="96"/>
      <c r="BG130" s="96"/>
      <c r="BH130" s="96"/>
      <c r="BI130" s="96"/>
      <c r="BJ130" s="96"/>
      <c r="BK130" s="96"/>
      <c r="BL130" s="96"/>
      <c r="BM130" s="96"/>
      <c r="BN130" s="96"/>
      <c r="BO130" s="96"/>
      <c r="BP130" s="96"/>
      <c r="BQ130" s="96"/>
      <c r="BR130" s="96"/>
      <c r="BS130" s="96"/>
      <c r="BT130" s="96"/>
      <c r="BU130" s="96"/>
      <c r="BV130" s="96"/>
      <c r="BW130" s="96"/>
      <c r="BX130" s="96"/>
      <c r="BY130" s="96"/>
      <c r="BZ130" s="96"/>
      <c r="CA130" s="96"/>
      <c r="CB130" s="96"/>
      <c r="CC130" s="96"/>
      <c r="CD130" s="96"/>
      <c r="CE130" s="96"/>
      <c r="CF130" s="96"/>
      <c r="CG130" s="96"/>
      <c r="CH130" s="96"/>
      <c r="CI130" s="96"/>
      <c r="CJ130" s="96"/>
      <c r="CK130" s="96"/>
      <c r="CL130" s="96"/>
      <c r="CM130" s="96"/>
      <c r="CN130" s="96"/>
      <c r="CO130" s="96"/>
      <c r="CP130" s="96"/>
      <c r="CQ130" s="96"/>
      <c r="CR130" s="96"/>
      <c r="CS130" s="96"/>
      <c r="CT130" s="96"/>
      <c r="CU130" s="96"/>
      <c r="CV130" s="96"/>
      <c r="CW130" s="96"/>
      <c r="CX130" s="96"/>
      <c r="CY130" s="96"/>
      <c r="CZ130" s="96"/>
      <c r="DA130" s="96"/>
      <c r="DB130" s="96"/>
    </row>
    <row r="131" spans="1:106" x14ac:dyDescent="0.2">
      <c r="A131" s="96"/>
      <c r="B131" s="96"/>
      <c r="C131" s="96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  <c r="T131" s="96"/>
      <c r="U131" s="96"/>
      <c r="V131" s="96"/>
      <c r="W131" s="96"/>
      <c r="X131" s="96"/>
      <c r="Y131" s="96"/>
      <c r="Z131" s="96"/>
      <c r="AA131" s="96"/>
      <c r="AB131" s="96"/>
      <c r="AC131" s="96"/>
      <c r="AD131" s="96"/>
      <c r="AE131" s="96"/>
      <c r="AF131" s="96"/>
      <c r="AG131" s="96"/>
      <c r="AH131" s="96"/>
      <c r="AI131" s="96"/>
      <c r="AJ131" s="96"/>
      <c r="AK131" s="96"/>
      <c r="AL131" s="96"/>
      <c r="AM131" s="96"/>
      <c r="AN131" s="96"/>
      <c r="AO131" s="96"/>
      <c r="AP131" s="96"/>
      <c r="AQ131" s="96"/>
      <c r="AR131" s="96"/>
      <c r="AS131" s="96"/>
      <c r="AT131" s="96"/>
      <c r="AU131" s="96"/>
      <c r="AV131" s="96"/>
      <c r="AW131" s="96"/>
      <c r="AX131" s="96"/>
      <c r="AY131" s="96"/>
      <c r="AZ131" s="96"/>
      <c r="BA131" s="96"/>
      <c r="BB131" s="96"/>
      <c r="BC131" s="96"/>
      <c r="BD131" s="96"/>
      <c r="BE131" s="96"/>
      <c r="BF131" s="96"/>
      <c r="BG131" s="96"/>
      <c r="BH131" s="96"/>
      <c r="BI131" s="96"/>
      <c r="BJ131" s="96"/>
      <c r="BK131" s="96"/>
      <c r="BL131" s="96"/>
      <c r="BM131" s="96"/>
      <c r="BN131" s="96"/>
      <c r="BO131" s="96"/>
      <c r="BP131" s="96"/>
      <c r="BQ131" s="96"/>
      <c r="BR131" s="96"/>
      <c r="BS131" s="96"/>
      <c r="BT131" s="96"/>
      <c r="BU131" s="96"/>
      <c r="BV131" s="96"/>
      <c r="BW131" s="96"/>
      <c r="BX131" s="96"/>
      <c r="BY131" s="96"/>
      <c r="BZ131" s="96"/>
      <c r="CA131" s="96"/>
      <c r="CB131" s="96"/>
      <c r="CC131" s="96"/>
      <c r="CD131" s="96"/>
      <c r="CE131" s="96"/>
      <c r="CF131" s="96"/>
      <c r="CG131" s="96"/>
      <c r="CH131" s="96"/>
      <c r="CI131" s="96"/>
      <c r="CJ131" s="96"/>
      <c r="CK131" s="96"/>
      <c r="CL131" s="96"/>
      <c r="CM131" s="96"/>
      <c r="CN131" s="96"/>
      <c r="CO131" s="96"/>
      <c r="CP131" s="96"/>
      <c r="CQ131" s="96"/>
      <c r="CR131" s="96"/>
      <c r="CS131" s="96"/>
      <c r="CT131" s="96"/>
      <c r="CU131" s="96"/>
      <c r="CV131" s="96"/>
      <c r="CW131" s="96"/>
      <c r="CX131" s="96"/>
      <c r="CY131" s="96"/>
      <c r="CZ131" s="96"/>
      <c r="DA131" s="96"/>
      <c r="DB131" s="96"/>
    </row>
    <row r="132" spans="1:106" x14ac:dyDescent="0.2">
      <c r="A132" s="96"/>
      <c r="B132" s="96"/>
      <c r="C132" s="96"/>
      <c r="D132" s="96"/>
      <c r="E132" s="96"/>
      <c r="F132" s="96"/>
      <c r="G132" s="96"/>
      <c r="H132" s="96"/>
      <c r="I132" s="96"/>
      <c r="J132" s="96"/>
      <c r="K132" s="96"/>
      <c r="L132" s="96"/>
      <c r="M132" s="96"/>
      <c r="N132" s="96"/>
      <c r="O132" s="96"/>
      <c r="P132" s="96"/>
      <c r="Q132" s="96"/>
      <c r="R132" s="96"/>
      <c r="S132" s="96"/>
      <c r="T132" s="96"/>
      <c r="U132" s="96"/>
      <c r="V132" s="96"/>
      <c r="W132" s="96"/>
      <c r="X132" s="96"/>
      <c r="Y132" s="96"/>
      <c r="Z132" s="96"/>
      <c r="AA132" s="96"/>
      <c r="AB132" s="96"/>
      <c r="AC132" s="96"/>
      <c r="AD132" s="96"/>
      <c r="AE132" s="96"/>
      <c r="AF132" s="96"/>
      <c r="AG132" s="96"/>
      <c r="AH132" s="96"/>
      <c r="AI132" s="96"/>
      <c r="AJ132" s="96"/>
      <c r="AK132" s="96"/>
      <c r="AL132" s="96"/>
      <c r="AM132" s="96"/>
      <c r="AN132" s="96"/>
      <c r="AO132" s="96"/>
      <c r="AP132" s="96"/>
      <c r="AQ132" s="96"/>
      <c r="AR132" s="96"/>
      <c r="AS132" s="96"/>
      <c r="AT132" s="96"/>
      <c r="AU132" s="96"/>
      <c r="AV132" s="96"/>
      <c r="AW132" s="96"/>
      <c r="AX132" s="96"/>
      <c r="AY132" s="96"/>
      <c r="AZ132" s="96"/>
      <c r="BA132" s="96"/>
      <c r="BB132" s="96"/>
      <c r="BC132" s="96"/>
      <c r="BD132" s="96"/>
      <c r="BE132" s="96"/>
      <c r="BF132" s="96"/>
      <c r="BG132" s="96"/>
      <c r="BH132" s="96"/>
      <c r="BI132" s="96"/>
      <c r="BJ132" s="96"/>
      <c r="BK132" s="96"/>
      <c r="BL132" s="96"/>
      <c r="BM132" s="96"/>
      <c r="BN132" s="96"/>
      <c r="BO132" s="96"/>
      <c r="BP132" s="96"/>
      <c r="BQ132" s="96"/>
      <c r="BR132" s="96"/>
      <c r="BS132" s="96"/>
      <c r="BT132" s="96"/>
      <c r="BU132" s="96"/>
      <c r="BV132" s="96"/>
      <c r="BW132" s="96"/>
      <c r="BX132" s="96"/>
      <c r="BY132" s="96"/>
      <c r="BZ132" s="96"/>
      <c r="CA132" s="96"/>
      <c r="CB132" s="96"/>
      <c r="CC132" s="96"/>
      <c r="CD132" s="96"/>
      <c r="CE132" s="96"/>
      <c r="CF132" s="96"/>
      <c r="CG132" s="96"/>
      <c r="CH132" s="96"/>
      <c r="CI132" s="96"/>
      <c r="CJ132" s="96"/>
      <c r="CK132" s="96"/>
      <c r="CL132" s="96"/>
      <c r="CM132" s="96"/>
      <c r="CN132" s="96"/>
      <c r="CO132" s="96"/>
      <c r="CP132" s="96"/>
      <c r="CQ132" s="96"/>
      <c r="CR132" s="96"/>
      <c r="CS132" s="96"/>
      <c r="CT132" s="96"/>
      <c r="CU132" s="96"/>
      <c r="CV132" s="96"/>
      <c r="CW132" s="96"/>
      <c r="CX132" s="96"/>
      <c r="CY132" s="96"/>
      <c r="CZ132" s="96"/>
      <c r="DA132" s="96"/>
      <c r="DB132" s="96"/>
    </row>
    <row r="133" spans="1:106" x14ac:dyDescent="0.2">
      <c r="A133" s="96"/>
      <c r="B133" s="96"/>
      <c r="C133" s="96"/>
      <c r="D133" s="96"/>
      <c r="E133" s="96"/>
      <c r="F133" s="96"/>
      <c r="G133" s="96"/>
      <c r="H133" s="96"/>
      <c r="I133" s="96"/>
      <c r="J133" s="96"/>
      <c r="K133" s="96"/>
      <c r="L133" s="96"/>
      <c r="M133" s="96"/>
      <c r="N133" s="96"/>
      <c r="O133" s="96"/>
      <c r="P133" s="96"/>
      <c r="Q133" s="96"/>
      <c r="R133" s="96"/>
      <c r="S133" s="96"/>
      <c r="T133" s="96"/>
      <c r="U133" s="96"/>
      <c r="V133" s="96"/>
      <c r="W133" s="96"/>
      <c r="X133" s="96"/>
      <c r="Y133" s="96"/>
      <c r="Z133" s="96"/>
      <c r="AA133" s="96"/>
      <c r="AB133" s="96"/>
      <c r="AC133" s="96"/>
      <c r="AD133" s="96"/>
      <c r="AE133" s="96"/>
      <c r="AF133" s="96"/>
      <c r="AG133" s="96"/>
      <c r="AH133" s="96"/>
      <c r="AI133" s="96"/>
      <c r="AJ133" s="96"/>
      <c r="AK133" s="96"/>
      <c r="AL133" s="96"/>
      <c r="AM133" s="96"/>
      <c r="AN133" s="96"/>
      <c r="AO133" s="96"/>
      <c r="AP133" s="96"/>
      <c r="AQ133" s="96"/>
      <c r="AR133" s="96"/>
      <c r="AS133" s="96"/>
      <c r="AT133" s="96"/>
      <c r="AU133" s="96"/>
      <c r="AV133" s="96"/>
      <c r="AW133" s="96"/>
      <c r="AX133" s="96"/>
      <c r="AY133" s="96"/>
      <c r="AZ133" s="96"/>
      <c r="BA133" s="96"/>
      <c r="BB133" s="96"/>
      <c r="BC133" s="96"/>
      <c r="BD133" s="96"/>
      <c r="BE133" s="96"/>
      <c r="BF133" s="96"/>
      <c r="BG133" s="96"/>
      <c r="BH133" s="96"/>
      <c r="BI133" s="96"/>
      <c r="BJ133" s="96"/>
      <c r="BK133" s="96"/>
      <c r="BL133" s="96"/>
      <c r="BM133" s="96"/>
      <c r="BN133" s="96"/>
      <c r="BO133" s="96"/>
      <c r="BP133" s="96"/>
      <c r="BQ133" s="96"/>
      <c r="BR133" s="96"/>
      <c r="BS133" s="96"/>
      <c r="BT133" s="96"/>
      <c r="BU133" s="96"/>
      <c r="BV133" s="96"/>
      <c r="BW133" s="96"/>
      <c r="BX133" s="96"/>
      <c r="BY133" s="96"/>
      <c r="BZ133" s="96"/>
      <c r="CA133" s="96"/>
      <c r="CB133" s="96"/>
      <c r="CC133" s="96"/>
      <c r="CD133" s="96"/>
      <c r="CE133" s="96"/>
      <c r="CF133" s="96"/>
      <c r="CG133" s="96"/>
      <c r="CH133" s="96"/>
      <c r="CI133" s="96"/>
      <c r="CJ133" s="96"/>
      <c r="CK133" s="96"/>
      <c r="CL133" s="96"/>
      <c r="CM133" s="96"/>
      <c r="CN133" s="96"/>
      <c r="CO133" s="96"/>
      <c r="CP133" s="96"/>
      <c r="CQ133" s="96"/>
      <c r="CR133" s="96"/>
      <c r="CS133" s="96"/>
      <c r="CT133" s="96"/>
      <c r="CU133" s="96"/>
      <c r="CV133" s="96"/>
      <c r="CW133" s="96"/>
      <c r="CX133" s="96"/>
      <c r="CY133" s="96"/>
      <c r="CZ133" s="96"/>
      <c r="DA133" s="96"/>
      <c r="DB133" s="96"/>
    </row>
    <row r="134" spans="1:106" x14ac:dyDescent="0.2">
      <c r="A134" s="96"/>
      <c r="B134" s="96"/>
      <c r="C134" s="96"/>
      <c r="D134" s="96"/>
      <c r="E134" s="96"/>
      <c r="F134" s="96"/>
      <c r="G134" s="96"/>
      <c r="H134" s="96"/>
      <c r="I134" s="96"/>
      <c r="J134" s="96"/>
      <c r="K134" s="96"/>
      <c r="L134" s="96"/>
      <c r="M134" s="96"/>
      <c r="N134" s="96"/>
      <c r="O134" s="96"/>
      <c r="P134" s="96"/>
      <c r="Q134" s="96"/>
      <c r="R134" s="96"/>
      <c r="S134" s="96"/>
      <c r="T134" s="96"/>
      <c r="U134" s="96"/>
      <c r="V134" s="96"/>
      <c r="W134" s="96"/>
      <c r="X134" s="96"/>
      <c r="Y134" s="96"/>
      <c r="Z134" s="96"/>
      <c r="AA134" s="96"/>
      <c r="AB134" s="96"/>
      <c r="AC134" s="96"/>
      <c r="AD134" s="96"/>
      <c r="AE134" s="96"/>
      <c r="AF134" s="96"/>
      <c r="AG134" s="96"/>
      <c r="AH134" s="96"/>
      <c r="AI134" s="96"/>
      <c r="AJ134" s="96"/>
      <c r="AK134" s="96"/>
      <c r="AL134" s="96"/>
      <c r="AM134" s="96"/>
      <c r="AN134" s="96"/>
      <c r="AO134" s="96"/>
      <c r="AP134" s="96"/>
      <c r="AQ134" s="96"/>
      <c r="AR134" s="96"/>
      <c r="AS134" s="96"/>
      <c r="AT134" s="96"/>
      <c r="AU134" s="96"/>
      <c r="AV134" s="96"/>
      <c r="AW134" s="96"/>
      <c r="AX134" s="96"/>
      <c r="AY134" s="96"/>
      <c r="AZ134" s="96"/>
      <c r="BA134" s="96"/>
      <c r="BB134" s="96"/>
      <c r="BC134" s="96"/>
      <c r="BD134" s="96"/>
      <c r="BE134" s="96"/>
      <c r="BF134" s="96"/>
      <c r="BG134" s="96"/>
      <c r="BH134" s="96"/>
      <c r="BI134" s="96"/>
      <c r="BJ134" s="96"/>
      <c r="BK134" s="96"/>
      <c r="BL134" s="96"/>
      <c r="BM134" s="96"/>
      <c r="BN134" s="96"/>
      <c r="BO134" s="96"/>
      <c r="BP134" s="96"/>
      <c r="BQ134" s="96"/>
      <c r="BR134" s="96"/>
      <c r="BS134" s="96"/>
      <c r="BT134" s="96"/>
      <c r="BU134" s="96"/>
      <c r="BV134" s="96"/>
      <c r="BW134" s="96"/>
      <c r="BX134" s="96"/>
      <c r="BY134" s="96"/>
      <c r="BZ134" s="96"/>
      <c r="CA134" s="96"/>
      <c r="CB134" s="96"/>
      <c r="CC134" s="96"/>
      <c r="CD134" s="96"/>
      <c r="CE134" s="96"/>
      <c r="CF134" s="96"/>
      <c r="CG134" s="96"/>
      <c r="CH134" s="96"/>
      <c r="CI134" s="96"/>
      <c r="CJ134" s="96"/>
      <c r="CK134" s="96"/>
      <c r="CL134" s="96"/>
      <c r="CM134" s="96"/>
      <c r="CN134" s="96"/>
      <c r="CO134" s="96"/>
      <c r="CP134" s="96"/>
      <c r="CQ134" s="96"/>
      <c r="CR134" s="96"/>
      <c r="CS134" s="96"/>
      <c r="CT134" s="96"/>
      <c r="CU134" s="96"/>
      <c r="CV134" s="96"/>
      <c r="CW134" s="96"/>
      <c r="CX134" s="96"/>
      <c r="CY134" s="96"/>
      <c r="CZ134" s="96"/>
      <c r="DA134" s="96"/>
      <c r="DB134" s="96"/>
    </row>
    <row r="135" spans="1:106" x14ac:dyDescent="0.2">
      <c r="A135" s="96"/>
      <c r="B135" s="96"/>
      <c r="C135" s="96"/>
      <c r="D135" s="96"/>
      <c r="E135" s="96"/>
      <c r="F135" s="96"/>
      <c r="G135" s="96"/>
      <c r="H135" s="96"/>
      <c r="I135" s="96"/>
      <c r="J135" s="96"/>
      <c r="K135" s="96"/>
      <c r="L135" s="96"/>
      <c r="M135" s="96"/>
      <c r="N135" s="96"/>
      <c r="O135" s="96"/>
      <c r="P135" s="96"/>
      <c r="Q135" s="96"/>
      <c r="R135" s="96"/>
      <c r="S135" s="96"/>
      <c r="T135" s="96"/>
      <c r="U135" s="96"/>
      <c r="V135" s="96"/>
      <c r="W135" s="96"/>
      <c r="X135" s="96"/>
      <c r="Y135" s="96"/>
      <c r="Z135" s="96"/>
      <c r="AA135" s="96"/>
      <c r="AB135" s="96"/>
      <c r="AC135" s="96"/>
      <c r="AD135" s="96"/>
      <c r="AE135" s="96"/>
      <c r="AF135" s="96"/>
      <c r="AG135" s="96"/>
      <c r="AH135" s="96"/>
      <c r="AI135" s="96"/>
      <c r="AJ135" s="96"/>
      <c r="AK135" s="96"/>
      <c r="AL135" s="96"/>
      <c r="AM135" s="96"/>
      <c r="AN135" s="96"/>
      <c r="AO135" s="96"/>
      <c r="AP135" s="96"/>
      <c r="AQ135" s="96"/>
      <c r="AR135" s="96"/>
      <c r="AS135" s="96"/>
      <c r="AT135" s="96"/>
      <c r="AU135" s="96"/>
      <c r="AV135" s="96"/>
      <c r="AW135" s="96"/>
      <c r="AX135" s="96"/>
      <c r="AY135" s="96"/>
      <c r="AZ135" s="96"/>
      <c r="BA135" s="96"/>
      <c r="BB135" s="96"/>
      <c r="BC135" s="96"/>
      <c r="BD135" s="96"/>
      <c r="BE135" s="96"/>
      <c r="BF135" s="96"/>
      <c r="BG135" s="96"/>
      <c r="BH135" s="96"/>
      <c r="BI135" s="96"/>
      <c r="BJ135" s="96"/>
      <c r="BK135" s="96"/>
      <c r="BL135" s="96"/>
      <c r="BM135" s="96"/>
      <c r="BN135" s="96"/>
      <c r="BO135" s="96"/>
      <c r="BP135" s="96"/>
      <c r="BQ135" s="96"/>
      <c r="BR135" s="96"/>
      <c r="BS135" s="96"/>
      <c r="BT135" s="96"/>
      <c r="BU135" s="96"/>
      <c r="BV135" s="96"/>
      <c r="BW135" s="96"/>
      <c r="BX135" s="96"/>
      <c r="BY135" s="96"/>
      <c r="BZ135" s="96"/>
      <c r="CA135" s="96"/>
      <c r="CB135" s="96"/>
      <c r="CC135" s="96"/>
      <c r="CD135" s="96"/>
      <c r="CE135" s="96"/>
      <c r="CF135" s="96"/>
      <c r="CG135" s="96"/>
      <c r="CH135" s="96"/>
      <c r="CI135" s="96"/>
      <c r="CJ135" s="96"/>
      <c r="CK135" s="96"/>
      <c r="CL135" s="96"/>
      <c r="CM135" s="96"/>
      <c r="CN135" s="96"/>
      <c r="CO135" s="96"/>
      <c r="CP135" s="96"/>
      <c r="CQ135" s="96"/>
      <c r="CR135" s="96"/>
      <c r="CS135" s="96"/>
      <c r="CT135" s="96"/>
      <c r="CU135" s="96"/>
      <c r="CV135" s="96"/>
      <c r="CW135" s="96"/>
      <c r="CX135" s="96"/>
      <c r="CY135" s="96"/>
      <c r="CZ135" s="96"/>
      <c r="DA135" s="96"/>
      <c r="DB135" s="96"/>
    </row>
    <row r="136" spans="1:106" x14ac:dyDescent="0.2">
      <c r="A136" s="96"/>
      <c r="B136" s="96"/>
      <c r="C136" s="96"/>
      <c r="D136" s="96"/>
      <c r="E136" s="96"/>
      <c r="F136" s="96"/>
      <c r="G136" s="96"/>
      <c r="H136" s="96"/>
      <c r="I136" s="96"/>
      <c r="J136" s="96"/>
      <c r="K136" s="96"/>
      <c r="L136" s="96"/>
      <c r="M136" s="96"/>
      <c r="N136" s="96"/>
      <c r="O136" s="96"/>
      <c r="P136" s="96"/>
      <c r="Q136" s="96"/>
      <c r="R136" s="96"/>
      <c r="S136" s="96"/>
      <c r="T136" s="96"/>
      <c r="U136" s="96"/>
      <c r="V136" s="96"/>
      <c r="W136" s="96"/>
      <c r="X136" s="96"/>
      <c r="Y136" s="96"/>
      <c r="Z136" s="96"/>
      <c r="AA136" s="96"/>
      <c r="AB136" s="96"/>
      <c r="AC136" s="96"/>
      <c r="AD136" s="96"/>
      <c r="AE136" s="96"/>
      <c r="AF136" s="96"/>
      <c r="AG136" s="96"/>
      <c r="AH136" s="96"/>
      <c r="AI136" s="96"/>
      <c r="AJ136" s="96"/>
      <c r="AK136" s="96"/>
      <c r="AL136" s="96"/>
      <c r="AM136" s="96"/>
      <c r="AN136" s="96"/>
      <c r="AO136" s="96"/>
      <c r="AP136" s="96"/>
      <c r="AQ136" s="96"/>
      <c r="AR136" s="96"/>
      <c r="AS136" s="96"/>
      <c r="AT136" s="96"/>
      <c r="AU136" s="96"/>
      <c r="AV136" s="96"/>
      <c r="AW136" s="96"/>
      <c r="AX136" s="96"/>
      <c r="AY136" s="96"/>
      <c r="AZ136" s="96"/>
      <c r="BA136" s="96"/>
      <c r="BB136" s="96"/>
      <c r="BC136" s="96"/>
      <c r="BD136" s="96"/>
      <c r="BE136" s="96"/>
      <c r="BF136" s="96"/>
      <c r="BG136" s="96"/>
      <c r="BH136" s="96"/>
      <c r="BI136" s="96"/>
      <c r="BJ136" s="96"/>
      <c r="BK136" s="96"/>
      <c r="BL136" s="96"/>
      <c r="BM136" s="96"/>
      <c r="BN136" s="96"/>
      <c r="BO136" s="96"/>
      <c r="BP136" s="96"/>
      <c r="BQ136" s="96"/>
      <c r="BR136" s="96"/>
      <c r="BS136" s="96"/>
      <c r="BT136" s="96"/>
      <c r="BU136" s="96"/>
      <c r="BV136" s="96"/>
      <c r="BW136" s="96"/>
      <c r="BX136" s="96"/>
      <c r="BY136" s="96"/>
      <c r="BZ136" s="96"/>
      <c r="CA136" s="96"/>
      <c r="CB136" s="96"/>
      <c r="CC136" s="96"/>
      <c r="CD136" s="96"/>
      <c r="CE136" s="96"/>
      <c r="CF136" s="96"/>
      <c r="CG136" s="96"/>
      <c r="CH136" s="96"/>
      <c r="CI136" s="96"/>
      <c r="CJ136" s="96"/>
      <c r="CK136" s="96"/>
      <c r="CL136" s="96"/>
      <c r="CM136" s="96"/>
      <c r="CN136" s="96"/>
      <c r="CO136" s="96"/>
      <c r="CP136" s="96"/>
      <c r="CQ136" s="96"/>
      <c r="CR136" s="96"/>
      <c r="CS136" s="96"/>
      <c r="CT136" s="96"/>
      <c r="CU136" s="96"/>
      <c r="CV136" s="96"/>
      <c r="CW136" s="96"/>
      <c r="CX136" s="96"/>
      <c r="CY136" s="96"/>
      <c r="CZ136" s="96"/>
      <c r="DA136" s="96"/>
      <c r="DB136" s="96"/>
    </row>
    <row r="137" spans="1:106" x14ac:dyDescent="0.2">
      <c r="A137" s="96"/>
      <c r="B137" s="96"/>
      <c r="C137" s="96"/>
      <c r="D137" s="96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6"/>
      <c r="Q137" s="96"/>
      <c r="R137" s="96"/>
      <c r="S137" s="96"/>
      <c r="T137" s="96"/>
      <c r="U137" s="96"/>
      <c r="V137" s="96"/>
      <c r="W137" s="96"/>
      <c r="X137" s="96"/>
      <c r="Y137" s="96"/>
      <c r="Z137" s="96"/>
      <c r="AA137" s="96"/>
      <c r="AB137" s="96"/>
      <c r="AC137" s="96"/>
      <c r="AD137" s="96"/>
      <c r="AE137" s="96"/>
      <c r="AF137" s="96"/>
      <c r="AG137" s="96"/>
      <c r="AH137" s="96"/>
      <c r="AI137" s="96"/>
      <c r="AJ137" s="96"/>
      <c r="AK137" s="96"/>
      <c r="AL137" s="96"/>
      <c r="AM137" s="96"/>
      <c r="AN137" s="96"/>
      <c r="AO137" s="96"/>
      <c r="AP137" s="96"/>
      <c r="AQ137" s="96"/>
      <c r="AR137" s="96"/>
      <c r="AS137" s="96"/>
      <c r="AT137" s="96"/>
      <c r="AU137" s="96"/>
      <c r="AV137" s="96"/>
      <c r="AW137" s="96"/>
      <c r="AX137" s="96"/>
      <c r="AY137" s="96"/>
      <c r="AZ137" s="96"/>
      <c r="BA137" s="96"/>
      <c r="BB137" s="96"/>
      <c r="BC137" s="96"/>
      <c r="BD137" s="96"/>
      <c r="BE137" s="96"/>
      <c r="BF137" s="96"/>
      <c r="BG137" s="96"/>
      <c r="BH137" s="96"/>
      <c r="BI137" s="96"/>
      <c r="BJ137" s="96"/>
      <c r="BK137" s="96"/>
      <c r="BL137" s="96"/>
      <c r="BM137" s="96"/>
      <c r="BN137" s="96"/>
      <c r="BO137" s="96"/>
      <c r="BP137" s="96"/>
      <c r="BQ137" s="96"/>
      <c r="BR137" s="96"/>
      <c r="BS137" s="96"/>
      <c r="BT137" s="96"/>
      <c r="BU137" s="96"/>
      <c r="BV137" s="96"/>
      <c r="BW137" s="96"/>
      <c r="BX137" s="96"/>
      <c r="BY137" s="96"/>
      <c r="BZ137" s="96"/>
      <c r="CA137" s="96"/>
      <c r="CB137" s="96"/>
      <c r="CC137" s="96"/>
      <c r="CD137" s="96"/>
      <c r="CE137" s="96"/>
      <c r="CF137" s="96"/>
      <c r="CG137" s="96"/>
      <c r="CH137" s="96"/>
      <c r="CI137" s="96"/>
      <c r="CJ137" s="96"/>
      <c r="CK137" s="96"/>
      <c r="CL137" s="96"/>
      <c r="CM137" s="96"/>
      <c r="CN137" s="96"/>
      <c r="CO137" s="96"/>
      <c r="CP137" s="96"/>
      <c r="CQ137" s="96"/>
      <c r="CR137" s="96"/>
      <c r="CS137" s="96"/>
      <c r="CT137" s="96"/>
      <c r="CU137" s="96"/>
      <c r="CV137" s="96"/>
      <c r="CW137" s="96"/>
      <c r="CX137" s="96"/>
      <c r="CY137" s="96"/>
      <c r="CZ137" s="96"/>
      <c r="DA137" s="96"/>
      <c r="DB137" s="96"/>
    </row>
    <row r="138" spans="1:106" x14ac:dyDescent="0.2">
      <c r="A138" s="96"/>
      <c r="B138" s="96"/>
      <c r="C138" s="96"/>
      <c r="D138" s="96"/>
      <c r="E138" s="96"/>
      <c r="F138" s="96"/>
      <c r="G138" s="96"/>
      <c r="H138" s="96"/>
      <c r="I138" s="96"/>
      <c r="J138" s="96"/>
      <c r="K138" s="96"/>
      <c r="L138" s="96"/>
      <c r="M138" s="96"/>
      <c r="N138" s="96"/>
      <c r="O138" s="96"/>
      <c r="P138" s="96"/>
      <c r="Q138" s="96"/>
      <c r="R138" s="96"/>
      <c r="S138" s="96"/>
      <c r="T138" s="96"/>
      <c r="U138" s="96"/>
      <c r="V138" s="96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  <c r="AH138" s="96"/>
      <c r="AI138" s="96"/>
      <c r="AJ138" s="96"/>
      <c r="AK138" s="96"/>
      <c r="AL138" s="96"/>
      <c r="AM138" s="96"/>
      <c r="AN138" s="96"/>
      <c r="AO138" s="96"/>
      <c r="AP138" s="96"/>
      <c r="AQ138" s="96"/>
      <c r="AR138" s="96"/>
      <c r="AS138" s="96"/>
      <c r="AT138" s="96"/>
      <c r="AU138" s="96"/>
      <c r="AV138" s="96"/>
      <c r="AW138" s="96"/>
      <c r="AX138" s="96"/>
      <c r="AY138" s="96"/>
      <c r="AZ138" s="96"/>
      <c r="BA138" s="96"/>
      <c r="BB138" s="96"/>
      <c r="BC138" s="96"/>
      <c r="BD138" s="96"/>
      <c r="BE138" s="96"/>
      <c r="BF138" s="96"/>
      <c r="BG138" s="96"/>
      <c r="BH138" s="96"/>
      <c r="BI138" s="96"/>
      <c r="BJ138" s="96"/>
      <c r="BK138" s="96"/>
      <c r="BL138" s="96"/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96"/>
      <c r="CO138" s="96"/>
      <c r="CP138" s="96"/>
      <c r="CQ138" s="96"/>
      <c r="CR138" s="96"/>
      <c r="CS138" s="96"/>
      <c r="CT138" s="96"/>
      <c r="CU138" s="96"/>
      <c r="CV138" s="96"/>
      <c r="CW138" s="96"/>
      <c r="CX138" s="96"/>
      <c r="CY138" s="96"/>
      <c r="CZ138" s="96"/>
      <c r="DA138" s="96"/>
      <c r="DB138" s="96"/>
    </row>
    <row r="139" spans="1:106" x14ac:dyDescent="0.2">
      <c r="A139" s="96"/>
      <c r="B139" s="96"/>
      <c r="C139" s="96"/>
      <c r="D139" s="96"/>
      <c r="E139" s="96"/>
      <c r="F139" s="96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6"/>
      <c r="AS139" s="96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  <c r="BH139" s="96"/>
      <c r="BI139" s="96"/>
      <c r="BJ139" s="96"/>
      <c r="BK139" s="96"/>
      <c r="BL139" s="96"/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96"/>
      <c r="CO139" s="96"/>
      <c r="CP139" s="96"/>
      <c r="CQ139" s="96"/>
      <c r="CR139" s="96"/>
      <c r="CS139" s="96"/>
      <c r="CT139" s="96"/>
      <c r="CU139" s="96"/>
      <c r="CV139" s="96"/>
      <c r="CW139" s="96"/>
      <c r="CX139" s="96"/>
      <c r="CY139" s="96"/>
      <c r="CZ139" s="96"/>
      <c r="DA139" s="96"/>
      <c r="DB139" s="96"/>
    </row>
    <row r="140" spans="1:106" x14ac:dyDescent="0.2">
      <c r="A140" s="96"/>
      <c r="B140" s="96"/>
      <c r="C140" s="96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6"/>
      <c r="AS140" s="96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96"/>
      <c r="CO140" s="96"/>
      <c r="CP140" s="96"/>
      <c r="CQ140" s="96"/>
      <c r="CR140" s="96"/>
      <c r="CS140" s="96"/>
      <c r="CT140" s="96"/>
      <c r="CU140" s="96"/>
      <c r="CV140" s="96"/>
      <c r="CW140" s="96"/>
      <c r="CX140" s="96"/>
      <c r="CY140" s="96"/>
      <c r="CZ140" s="96"/>
      <c r="DA140" s="96"/>
      <c r="DB140" s="96"/>
    </row>
    <row r="141" spans="1:106" x14ac:dyDescent="0.2">
      <c r="A141" s="96"/>
      <c r="B141" s="96"/>
      <c r="C141" s="96"/>
      <c r="D141" s="96"/>
      <c r="E141" s="96"/>
      <c r="F141" s="96"/>
      <c r="G141" s="96"/>
      <c r="H141" s="96"/>
      <c r="I141" s="96"/>
      <c r="J141" s="96"/>
      <c r="K141" s="96"/>
      <c r="L141" s="96"/>
      <c r="M141" s="96"/>
      <c r="N141" s="96"/>
      <c r="O141" s="96"/>
      <c r="P141" s="96"/>
      <c r="Q141" s="96"/>
      <c r="R141" s="96"/>
      <c r="S141" s="96"/>
      <c r="T141" s="96"/>
      <c r="U141" s="96"/>
      <c r="V141" s="96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6"/>
      <c r="AS141" s="96"/>
      <c r="AT141" s="96"/>
      <c r="AU141" s="96"/>
      <c r="AV141" s="96"/>
      <c r="AW141" s="96"/>
      <c r="AX141" s="96"/>
      <c r="AY141" s="96"/>
      <c r="AZ141" s="96"/>
      <c r="BA141" s="96"/>
      <c r="BB141" s="96"/>
      <c r="BC141" s="96"/>
      <c r="BD141" s="96"/>
      <c r="BE141" s="96"/>
      <c r="BF141" s="96"/>
      <c r="BG141" s="96"/>
      <c r="BH141" s="96"/>
      <c r="BI141" s="96"/>
      <c r="BJ141" s="96"/>
      <c r="BK141" s="96"/>
      <c r="BL141" s="96"/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96"/>
      <c r="CO141" s="96"/>
      <c r="CP141" s="96"/>
      <c r="CQ141" s="96"/>
      <c r="CR141" s="96"/>
      <c r="CS141" s="96"/>
      <c r="CT141" s="96"/>
      <c r="CU141" s="96"/>
      <c r="CV141" s="96"/>
      <c r="CW141" s="96"/>
      <c r="CX141" s="96"/>
      <c r="CY141" s="96"/>
      <c r="CZ141" s="96"/>
      <c r="DA141" s="96"/>
      <c r="DB141" s="96"/>
    </row>
    <row r="142" spans="1:106" x14ac:dyDescent="0.2">
      <c r="A142" s="96"/>
      <c r="B142" s="96"/>
      <c r="C142" s="96"/>
      <c r="D142" s="96"/>
      <c r="E142" s="96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6"/>
      <c r="AS142" s="96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96"/>
      <c r="CO142" s="96"/>
      <c r="CP142" s="96"/>
      <c r="CQ142" s="96"/>
      <c r="CR142" s="96"/>
      <c r="CS142" s="96"/>
      <c r="CT142" s="96"/>
      <c r="CU142" s="96"/>
      <c r="CV142" s="96"/>
      <c r="CW142" s="96"/>
      <c r="CX142" s="96"/>
      <c r="CY142" s="96"/>
      <c r="CZ142" s="96"/>
      <c r="DA142" s="96"/>
      <c r="DB142" s="96"/>
    </row>
    <row r="143" spans="1:106" x14ac:dyDescent="0.2">
      <c r="A143" s="96"/>
      <c r="B143" s="96"/>
      <c r="C143" s="96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6"/>
      <c r="AS143" s="96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96"/>
      <c r="CO143" s="96"/>
      <c r="CP143" s="96"/>
      <c r="CQ143" s="96"/>
      <c r="CR143" s="96"/>
      <c r="CS143" s="96"/>
      <c r="CT143" s="96"/>
      <c r="CU143" s="96"/>
      <c r="CV143" s="96"/>
      <c r="CW143" s="96"/>
      <c r="CX143" s="96"/>
      <c r="CY143" s="96"/>
      <c r="CZ143" s="96"/>
      <c r="DA143" s="96"/>
      <c r="DB143" s="96"/>
    </row>
    <row r="144" spans="1:106" x14ac:dyDescent="0.2">
      <c r="A144" s="96"/>
      <c r="B144" s="96"/>
      <c r="C144" s="96"/>
      <c r="D144" s="96"/>
      <c r="E144" s="96"/>
      <c r="F144" s="96"/>
      <c r="G144" s="96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6"/>
      <c r="AS144" s="96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96"/>
      <c r="CO144" s="96"/>
      <c r="CP144" s="96"/>
      <c r="CQ144" s="96"/>
      <c r="CR144" s="96"/>
      <c r="CS144" s="96"/>
      <c r="CT144" s="96"/>
      <c r="CU144" s="96"/>
      <c r="CV144" s="96"/>
      <c r="CW144" s="96"/>
      <c r="CX144" s="96"/>
      <c r="CY144" s="96"/>
      <c r="CZ144" s="96"/>
      <c r="DA144" s="96"/>
      <c r="DB144" s="96"/>
    </row>
    <row r="145" spans="1:106" x14ac:dyDescent="0.2">
      <c r="A145" s="96"/>
      <c r="B145" s="96"/>
      <c r="C145" s="96"/>
      <c r="D145" s="96"/>
      <c r="E145" s="96"/>
      <c r="F145" s="96"/>
      <c r="G145" s="96"/>
      <c r="H145" s="96"/>
      <c r="I145" s="96"/>
      <c r="J145" s="96"/>
      <c r="K145" s="96"/>
      <c r="L145" s="96"/>
      <c r="M145" s="96"/>
      <c r="N145" s="96"/>
      <c r="O145" s="96"/>
      <c r="P145" s="96"/>
      <c r="Q145" s="96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6"/>
      <c r="AS145" s="96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96"/>
      <c r="CO145" s="96"/>
      <c r="CP145" s="96"/>
      <c r="CQ145" s="96"/>
      <c r="CR145" s="96"/>
      <c r="CS145" s="96"/>
      <c r="CT145" s="96"/>
      <c r="CU145" s="96"/>
      <c r="CV145" s="96"/>
      <c r="CW145" s="96"/>
      <c r="CX145" s="96"/>
      <c r="CY145" s="96"/>
      <c r="CZ145" s="96"/>
      <c r="DA145" s="96"/>
      <c r="DB145" s="96"/>
    </row>
    <row r="146" spans="1:106" x14ac:dyDescent="0.2">
      <c r="A146" s="96"/>
      <c r="B146" s="96"/>
      <c r="C146" s="96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6"/>
      <c r="AS146" s="96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96"/>
      <c r="CO146" s="96"/>
      <c r="CP146" s="96"/>
      <c r="CQ146" s="96"/>
      <c r="CR146" s="96"/>
      <c r="CS146" s="96"/>
      <c r="CT146" s="96"/>
      <c r="CU146" s="96"/>
      <c r="CV146" s="96"/>
      <c r="CW146" s="96"/>
      <c r="CX146" s="96"/>
      <c r="CY146" s="96"/>
      <c r="CZ146" s="96"/>
      <c r="DA146" s="96"/>
      <c r="DB146" s="96"/>
    </row>
    <row r="147" spans="1:106" x14ac:dyDescent="0.2">
      <c r="A147" s="96"/>
      <c r="B147" s="96"/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  <c r="BE147" s="96"/>
      <c r="BF147" s="96"/>
      <c r="BG147" s="96"/>
      <c r="BH147" s="96"/>
      <c r="BI147" s="96"/>
      <c r="BJ147" s="96"/>
      <c r="BK147" s="96"/>
      <c r="BL147" s="96"/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96"/>
      <c r="CO147" s="96"/>
      <c r="CP147" s="96"/>
      <c r="CQ147" s="96"/>
      <c r="CR147" s="96"/>
      <c r="CS147" s="96"/>
      <c r="CT147" s="96"/>
      <c r="CU147" s="96"/>
      <c r="CV147" s="96"/>
      <c r="CW147" s="96"/>
      <c r="CX147" s="96"/>
      <c r="CY147" s="96"/>
      <c r="CZ147" s="96"/>
      <c r="DA147" s="96"/>
      <c r="DB147" s="96"/>
    </row>
    <row r="148" spans="1:106" x14ac:dyDescent="0.2">
      <c r="A148" s="96"/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6"/>
      <c r="M148" s="96"/>
      <c r="N148" s="96"/>
      <c r="O148" s="96"/>
      <c r="P148" s="96"/>
      <c r="Q148" s="96"/>
      <c r="R148" s="96"/>
      <c r="S148" s="96"/>
      <c r="T148" s="96"/>
      <c r="U148" s="96"/>
      <c r="V148" s="96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6"/>
      <c r="AS148" s="96"/>
      <c r="AT148" s="96"/>
      <c r="AU148" s="96"/>
      <c r="AV148" s="96"/>
      <c r="AW148" s="96"/>
      <c r="AX148" s="96"/>
      <c r="AY148" s="96"/>
      <c r="AZ148" s="96"/>
      <c r="BA148" s="96"/>
      <c r="BB148" s="96"/>
      <c r="BC148" s="96"/>
      <c r="BD148" s="96"/>
      <c r="BE148" s="96"/>
      <c r="BF148" s="96"/>
      <c r="BG148" s="96"/>
      <c r="BH148" s="96"/>
      <c r="BI148" s="96"/>
      <c r="BJ148" s="96"/>
      <c r="BK148" s="96"/>
      <c r="BL148" s="96"/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96"/>
      <c r="CO148" s="96"/>
      <c r="CP148" s="96"/>
      <c r="CQ148" s="96"/>
      <c r="CR148" s="96"/>
      <c r="CS148" s="96"/>
      <c r="CT148" s="96"/>
      <c r="CU148" s="96"/>
      <c r="CV148" s="96"/>
      <c r="CW148" s="96"/>
      <c r="CX148" s="96"/>
      <c r="CY148" s="96"/>
      <c r="CZ148" s="96"/>
      <c r="DA148" s="96"/>
      <c r="DB148" s="96"/>
    </row>
    <row r="149" spans="1:106" x14ac:dyDescent="0.2">
      <c r="A149" s="96"/>
      <c r="B149" s="96"/>
      <c r="C149" s="96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6"/>
      <c r="AS149" s="96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96"/>
      <c r="CO149" s="96"/>
      <c r="CP149" s="96"/>
      <c r="CQ149" s="96"/>
      <c r="CR149" s="96"/>
      <c r="CS149" s="96"/>
      <c r="CT149" s="96"/>
      <c r="CU149" s="96"/>
      <c r="CV149" s="96"/>
      <c r="CW149" s="96"/>
      <c r="CX149" s="96"/>
      <c r="CY149" s="96"/>
      <c r="CZ149" s="96"/>
      <c r="DA149" s="96"/>
      <c r="DB149" s="96"/>
    </row>
    <row r="150" spans="1:106" x14ac:dyDescent="0.2">
      <c r="A150" s="96"/>
      <c r="B150" s="96"/>
      <c r="C150" s="96"/>
      <c r="D150" s="96"/>
      <c r="E150" s="96"/>
      <c r="F150" s="96"/>
      <c r="G150" s="96"/>
      <c r="H150" s="96"/>
      <c r="I150" s="96"/>
      <c r="J150" s="96"/>
      <c r="K150" s="96"/>
      <c r="L150" s="96"/>
      <c r="M150" s="96"/>
      <c r="N150" s="96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6"/>
      <c r="AS150" s="96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96"/>
      <c r="CO150" s="96"/>
      <c r="CP150" s="96"/>
      <c r="CQ150" s="96"/>
      <c r="CR150" s="96"/>
      <c r="CS150" s="96"/>
      <c r="CT150" s="96"/>
      <c r="CU150" s="96"/>
      <c r="CV150" s="96"/>
      <c r="CW150" s="96"/>
      <c r="CX150" s="96"/>
      <c r="CY150" s="96"/>
      <c r="CZ150" s="96"/>
      <c r="DA150" s="96"/>
      <c r="DB150" s="96"/>
    </row>
    <row r="151" spans="1:106" x14ac:dyDescent="0.2">
      <c r="A151" s="96"/>
      <c r="B151" s="96"/>
      <c r="C151" s="96"/>
      <c r="D151" s="96"/>
      <c r="E151" s="96"/>
      <c r="F151" s="96"/>
      <c r="G151" s="96"/>
      <c r="H151" s="96"/>
      <c r="I151" s="96"/>
      <c r="J151" s="96"/>
      <c r="K151" s="96"/>
      <c r="L151" s="96"/>
      <c r="M151" s="96"/>
      <c r="N151" s="96"/>
      <c r="O151" s="96"/>
      <c r="P151" s="96"/>
      <c r="Q151" s="96"/>
      <c r="R151" s="96"/>
      <c r="S151" s="96"/>
      <c r="T151" s="96"/>
      <c r="U151" s="96"/>
      <c r="V151" s="96"/>
      <c r="W151" s="96"/>
      <c r="X151" s="96"/>
      <c r="Y151" s="96"/>
      <c r="Z151" s="96"/>
      <c r="AA151" s="96"/>
      <c r="AB151" s="96"/>
      <c r="AC151" s="96"/>
      <c r="AD151" s="96"/>
      <c r="AE151" s="96"/>
      <c r="AF151" s="96"/>
      <c r="AG151" s="96"/>
      <c r="AH151" s="96"/>
      <c r="AI151" s="96"/>
      <c r="AJ151" s="96"/>
      <c r="AK151" s="96"/>
      <c r="AL151" s="96"/>
      <c r="AM151" s="96"/>
      <c r="AN151" s="96"/>
      <c r="AO151" s="96"/>
      <c r="AP151" s="96"/>
      <c r="AQ151" s="96"/>
      <c r="AR151" s="96"/>
      <c r="AS151" s="96"/>
      <c r="AT151" s="96"/>
      <c r="AU151" s="96"/>
      <c r="AV151" s="96"/>
      <c r="AW151" s="96"/>
      <c r="AX151" s="96"/>
      <c r="AY151" s="96"/>
      <c r="AZ151" s="96"/>
      <c r="BA151" s="96"/>
      <c r="BB151" s="96"/>
      <c r="BC151" s="96"/>
      <c r="BD151" s="96"/>
      <c r="BE151" s="96"/>
      <c r="BF151" s="96"/>
      <c r="BG151" s="96"/>
      <c r="BH151" s="96"/>
      <c r="BI151" s="96"/>
      <c r="BJ151" s="96"/>
      <c r="BK151" s="96"/>
      <c r="BL151" s="96"/>
      <c r="BM151" s="96"/>
      <c r="BN151" s="96"/>
      <c r="BO151" s="96"/>
      <c r="BP151" s="96"/>
      <c r="BQ151" s="96"/>
      <c r="BR151" s="96"/>
      <c r="BS151" s="96"/>
      <c r="BT151" s="96"/>
      <c r="BU151" s="96"/>
      <c r="BV151" s="96"/>
      <c r="BW151" s="96"/>
      <c r="BX151" s="96"/>
      <c r="BY151" s="96"/>
      <c r="BZ151" s="96"/>
      <c r="CA151" s="96"/>
      <c r="CB151" s="96"/>
      <c r="CC151" s="96"/>
      <c r="CD151" s="96"/>
      <c r="CE151" s="96"/>
      <c r="CF151" s="96"/>
      <c r="CG151" s="96"/>
      <c r="CH151" s="96"/>
      <c r="CI151" s="96"/>
      <c r="CJ151" s="96"/>
      <c r="CK151" s="96"/>
      <c r="CL151" s="96"/>
      <c r="CM151" s="96"/>
      <c r="CN151" s="96"/>
      <c r="CO151" s="96"/>
      <c r="CP151" s="96"/>
      <c r="CQ151" s="96"/>
      <c r="CR151" s="96"/>
      <c r="CS151" s="96"/>
      <c r="CT151" s="96"/>
      <c r="CU151" s="96"/>
      <c r="CV151" s="96"/>
      <c r="CW151" s="96"/>
      <c r="CX151" s="96"/>
      <c r="CY151" s="96"/>
      <c r="CZ151" s="96"/>
      <c r="DA151" s="96"/>
      <c r="DB151" s="96"/>
    </row>
    <row r="152" spans="1:106" x14ac:dyDescent="0.2">
      <c r="A152" s="96"/>
      <c r="B152" s="96"/>
      <c r="C152" s="96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6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  <c r="AA152" s="96"/>
      <c r="AB152" s="96"/>
      <c r="AC152" s="96"/>
      <c r="AD152" s="96"/>
      <c r="AE152" s="96"/>
      <c r="AF152" s="96"/>
      <c r="AG152" s="96"/>
      <c r="AH152" s="96"/>
      <c r="AI152" s="96"/>
      <c r="AJ152" s="96"/>
      <c r="AK152" s="96"/>
      <c r="AL152" s="96"/>
      <c r="AM152" s="96"/>
      <c r="AN152" s="96"/>
      <c r="AO152" s="96"/>
      <c r="AP152" s="96"/>
      <c r="AQ152" s="96"/>
      <c r="AR152" s="96"/>
      <c r="AS152" s="96"/>
      <c r="AT152" s="96"/>
      <c r="AU152" s="96"/>
      <c r="AV152" s="96"/>
      <c r="AW152" s="96"/>
      <c r="AX152" s="96"/>
      <c r="AY152" s="96"/>
      <c r="AZ152" s="96"/>
      <c r="BA152" s="96"/>
      <c r="BB152" s="96"/>
      <c r="BC152" s="96"/>
      <c r="BD152" s="96"/>
      <c r="BE152" s="96"/>
      <c r="BF152" s="96"/>
      <c r="BG152" s="96"/>
      <c r="BH152" s="96"/>
      <c r="BI152" s="96"/>
      <c r="BJ152" s="96"/>
      <c r="BK152" s="96"/>
      <c r="BL152" s="96"/>
      <c r="BM152" s="96"/>
      <c r="BN152" s="96"/>
      <c r="BO152" s="96"/>
      <c r="BP152" s="96"/>
      <c r="BQ152" s="96"/>
      <c r="BR152" s="96"/>
      <c r="BS152" s="96"/>
      <c r="BT152" s="96"/>
      <c r="BU152" s="96"/>
      <c r="BV152" s="96"/>
      <c r="BW152" s="96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</row>
    <row r="153" spans="1:106" x14ac:dyDescent="0.2">
      <c r="A153" s="96"/>
      <c r="B153" s="96"/>
      <c r="C153" s="96"/>
      <c r="D153" s="96"/>
      <c r="E153" s="96"/>
      <c r="F153" s="96"/>
      <c r="G153" s="96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6"/>
      <c r="AB153" s="96"/>
      <c r="AC153" s="96"/>
      <c r="AD153" s="96"/>
      <c r="AE153" s="96"/>
      <c r="AF153" s="96"/>
      <c r="AG153" s="96"/>
      <c r="AH153" s="96"/>
      <c r="AI153" s="96"/>
      <c r="AJ153" s="96"/>
      <c r="AK153" s="96"/>
      <c r="AL153" s="96"/>
      <c r="AM153" s="96"/>
      <c r="AN153" s="96"/>
      <c r="AO153" s="96"/>
      <c r="AP153" s="96"/>
      <c r="AQ153" s="96"/>
      <c r="AR153" s="96"/>
      <c r="AS153" s="96"/>
      <c r="AT153" s="96"/>
      <c r="AU153" s="96"/>
      <c r="AV153" s="96"/>
      <c r="AW153" s="96"/>
      <c r="AX153" s="96"/>
      <c r="AY153" s="96"/>
      <c r="AZ153" s="96"/>
      <c r="BA153" s="96"/>
      <c r="BB153" s="96"/>
      <c r="BC153" s="96"/>
      <c r="BD153" s="96"/>
      <c r="BE153" s="96"/>
      <c r="BF153" s="96"/>
      <c r="BG153" s="96"/>
      <c r="BH153" s="96"/>
      <c r="BI153" s="96"/>
      <c r="BJ153" s="96"/>
      <c r="BK153" s="96"/>
      <c r="BL153" s="96"/>
      <c r="BM153" s="96"/>
      <c r="BN153" s="96"/>
      <c r="BO153" s="96"/>
      <c r="BP153" s="96"/>
      <c r="BQ153" s="96"/>
      <c r="BR153" s="96"/>
      <c r="BS153" s="96"/>
      <c r="BT153" s="96"/>
      <c r="BU153" s="96"/>
      <c r="BV153" s="96"/>
      <c r="BW153" s="96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</row>
    <row r="154" spans="1:106" x14ac:dyDescent="0.2">
      <c r="A154" s="96"/>
      <c r="B154" s="96"/>
      <c r="C154" s="96"/>
      <c r="D154" s="96"/>
      <c r="E154" s="96"/>
      <c r="F154" s="96"/>
      <c r="G154" s="96"/>
      <c r="H154" s="96"/>
      <c r="I154" s="96"/>
      <c r="J154" s="96"/>
      <c r="K154" s="96"/>
      <c r="L154" s="96"/>
      <c r="M154" s="96"/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  <c r="AA154" s="96"/>
      <c r="AB154" s="96"/>
      <c r="AC154" s="96"/>
      <c r="AD154" s="96"/>
      <c r="AE154" s="96"/>
      <c r="AF154" s="96"/>
      <c r="AG154" s="96"/>
      <c r="AH154" s="96"/>
      <c r="AI154" s="96"/>
      <c r="AJ154" s="96"/>
      <c r="AK154" s="96"/>
      <c r="AL154" s="96"/>
      <c r="AM154" s="96"/>
      <c r="AN154" s="96"/>
      <c r="AO154" s="96"/>
      <c r="AP154" s="96"/>
      <c r="AQ154" s="96"/>
      <c r="AR154" s="96"/>
      <c r="AS154" s="96"/>
      <c r="AT154" s="96"/>
      <c r="AU154" s="96"/>
      <c r="AV154" s="96"/>
      <c r="AW154" s="96"/>
      <c r="AX154" s="96"/>
      <c r="AY154" s="96"/>
      <c r="AZ154" s="96"/>
      <c r="BA154" s="96"/>
      <c r="BB154" s="96"/>
      <c r="BC154" s="96"/>
      <c r="BD154" s="96"/>
      <c r="BE154" s="96"/>
      <c r="BF154" s="96"/>
      <c r="BG154" s="96"/>
      <c r="BH154" s="96"/>
      <c r="BI154" s="96"/>
      <c r="BJ154" s="96"/>
      <c r="BK154" s="96"/>
      <c r="BL154" s="96"/>
      <c r="BM154" s="96"/>
      <c r="BN154" s="96"/>
      <c r="BO154" s="96"/>
      <c r="BP154" s="96"/>
      <c r="BQ154" s="96"/>
      <c r="BR154" s="96"/>
      <c r="BS154" s="96"/>
      <c r="BT154" s="96"/>
      <c r="BU154" s="96"/>
      <c r="BV154" s="96"/>
      <c r="BW154" s="96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</row>
    <row r="155" spans="1:106" x14ac:dyDescent="0.2">
      <c r="A155" s="96"/>
      <c r="B155" s="96"/>
      <c r="C155" s="96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6"/>
      <c r="AL155" s="96"/>
      <c r="AM155" s="96"/>
      <c r="AN155" s="96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  <c r="CR155" s="96"/>
      <c r="CS155" s="96"/>
      <c r="CT155" s="96"/>
      <c r="CU155" s="96"/>
      <c r="CV155" s="96"/>
      <c r="CW155" s="96"/>
      <c r="CX155" s="96"/>
      <c r="CY155" s="96"/>
      <c r="CZ155" s="96"/>
      <c r="DA155" s="96"/>
      <c r="DB155" s="96"/>
    </row>
    <row r="156" spans="1:106" x14ac:dyDescent="0.2">
      <c r="A156" s="96"/>
      <c r="B156" s="96"/>
      <c r="C156" s="96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6"/>
      <c r="AS156" s="96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96"/>
      <c r="CO156" s="96"/>
      <c r="CP156" s="96"/>
      <c r="CQ156" s="96"/>
      <c r="CR156" s="96"/>
      <c r="CS156" s="96"/>
      <c r="CT156" s="96"/>
      <c r="CU156" s="96"/>
      <c r="CV156" s="96"/>
      <c r="CW156" s="96"/>
      <c r="CX156" s="96"/>
      <c r="CY156" s="96"/>
      <c r="CZ156" s="96"/>
      <c r="DA156" s="96"/>
      <c r="DB156" s="96"/>
    </row>
    <row r="157" spans="1:106" x14ac:dyDescent="0.2">
      <c r="A157" s="96"/>
      <c r="B157" s="96"/>
      <c r="C157" s="96"/>
      <c r="D157" s="96"/>
      <c r="E157" s="96"/>
      <c r="F157" s="96"/>
      <c r="G157" s="96"/>
      <c r="H157" s="96"/>
      <c r="I157" s="96"/>
      <c r="J157" s="96"/>
      <c r="K157" s="96"/>
      <c r="L157" s="96"/>
      <c r="M157" s="96"/>
      <c r="N157" s="96"/>
      <c r="O157" s="96"/>
      <c r="P157" s="96"/>
      <c r="Q157" s="96"/>
      <c r="R157" s="96"/>
      <c r="S157" s="96"/>
      <c r="T157" s="96"/>
      <c r="U157" s="96"/>
      <c r="V157" s="96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6"/>
      <c r="AS157" s="96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96"/>
      <c r="CO157" s="96"/>
      <c r="CP157" s="96"/>
      <c r="CQ157" s="96"/>
      <c r="CR157" s="96"/>
      <c r="CS157" s="96"/>
      <c r="CT157" s="96"/>
      <c r="CU157" s="96"/>
      <c r="CV157" s="96"/>
      <c r="CW157" s="96"/>
      <c r="CX157" s="96"/>
      <c r="CY157" s="96"/>
      <c r="CZ157" s="96"/>
      <c r="DA157" s="96"/>
      <c r="DB157" s="96"/>
    </row>
    <row r="158" spans="1:106" x14ac:dyDescent="0.2">
      <c r="A158" s="96"/>
      <c r="B158" s="96"/>
      <c r="C158" s="96"/>
      <c r="D158" s="96"/>
      <c r="E158" s="96"/>
      <c r="F158" s="96"/>
      <c r="G158" s="96"/>
      <c r="H158" s="96"/>
      <c r="I158" s="96"/>
      <c r="J158" s="96"/>
      <c r="K158" s="96"/>
      <c r="L158" s="96"/>
      <c r="M158" s="96"/>
      <c r="N158" s="96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6"/>
      <c r="AS158" s="96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96"/>
      <c r="CO158" s="96"/>
      <c r="CP158" s="96"/>
      <c r="CQ158" s="96"/>
      <c r="CR158" s="96"/>
      <c r="CS158" s="96"/>
      <c r="CT158" s="96"/>
      <c r="CU158" s="96"/>
      <c r="CV158" s="96"/>
      <c r="CW158" s="96"/>
      <c r="CX158" s="96"/>
      <c r="CY158" s="96"/>
      <c r="CZ158" s="96"/>
      <c r="DA158" s="96"/>
      <c r="DB158" s="96"/>
    </row>
    <row r="159" spans="1:106" x14ac:dyDescent="0.2">
      <c r="A159" s="96"/>
      <c r="B159" s="96"/>
      <c r="C159" s="96"/>
      <c r="D159" s="96"/>
      <c r="E159" s="96"/>
      <c r="F159" s="96"/>
      <c r="G159" s="96"/>
      <c r="H159" s="96"/>
      <c r="I159" s="96"/>
      <c r="J159" s="96"/>
      <c r="K159" s="96"/>
      <c r="L159" s="96"/>
      <c r="M159" s="96"/>
      <c r="N159" s="96"/>
      <c r="O159" s="96"/>
      <c r="P159" s="96"/>
      <c r="Q159" s="96"/>
      <c r="R159" s="96"/>
      <c r="S159" s="96"/>
      <c r="T159" s="96"/>
      <c r="U159" s="96"/>
      <c r="V159" s="96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6"/>
      <c r="AS159" s="96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96"/>
      <c r="CO159" s="96"/>
      <c r="CP159" s="96"/>
      <c r="CQ159" s="96"/>
      <c r="CR159" s="96"/>
      <c r="CS159" s="96"/>
      <c r="CT159" s="96"/>
      <c r="CU159" s="96"/>
      <c r="CV159" s="96"/>
      <c r="CW159" s="96"/>
      <c r="CX159" s="96"/>
      <c r="CY159" s="96"/>
      <c r="CZ159" s="96"/>
      <c r="DA159" s="96"/>
      <c r="DB159" s="96"/>
    </row>
    <row r="160" spans="1:106" x14ac:dyDescent="0.2">
      <c r="A160" s="96"/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6"/>
      <c r="Z160" s="96"/>
      <c r="AA160" s="96"/>
      <c r="AB160" s="96"/>
      <c r="AC160" s="96"/>
      <c r="AD160" s="96"/>
      <c r="AE160" s="96"/>
      <c r="AF160" s="96"/>
      <c r="AG160" s="96"/>
      <c r="AH160" s="96"/>
      <c r="AI160" s="96"/>
      <c r="AJ160" s="96"/>
      <c r="AK160" s="96"/>
      <c r="AL160" s="96"/>
      <c r="AM160" s="96"/>
      <c r="AN160" s="96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6"/>
      <c r="AZ160" s="96"/>
      <c r="BA160" s="96"/>
      <c r="BB160" s="96"/>
      <c r="BC160" s="96"/>
      <c r="BD160" s="96"/>
      <c r="BE160" s="96"/>
      <c r="BF160" s="96"/>
      <c r="BG160" s="96"/>
      <c r="BH160" s="96"/>
      <c r="BI160" s="96"/>
      <c r="BJ160" s="96"/>
      <c r="BK160" s="96"/>
      <c r="BL160" s="96"/>
      <c r="BM160" s="96"/>
      <c r="BN160" s="96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6"/>
      <c r="BZ160" s="96"/>
      <c r="CA160" s="96"/>
      <c r="CB160" s="96"/>
      <c r="CC160" s="96"/>
      <c r="CD160" s="96"/>
      <c r="CE160" s="96"/>
      <c r="CF160" s="96"/>
      <c r="CG160" s="96"/>
      <c r="CH160" s="96"/>
      <c r="CI160" s="96"/>
      <c r="CJ160" s="96"/>
      <c r="CK160" s="96"/>
      <c r="CL160" s="96"/>
      <c r="CM160" s="96"/>
      <c r="CN160" s="96"/>
      <c r="CO160" s="96"/>
      <c r="CP160" s="96"/>
      <c r="CQ160" s="96"/>
      <c r="CR160" s="96"/>
      <c r="CS160" s="96"/>
      <c r="CT160" s="96"/>
      <c r="CU160" s="96"/>
      <c r="CV160" s="96"/>
      <c r="CW160" s="96"/>
      <c r="CX160" s="96"/>
      <c r="CY160" s="96"/>
      <c r="CZ160" s="96"/>
      <c r="DA160" s="96"/>
      <c r="DB160" s="96"/>
    </row>
    <row r="161" spans="1:106" x14ac:dyDescent="0.2">
      <c r="A161" s="96"/>
      <c r="B161" s="96"/>
      <c r="C161" s="96"/>
      <c r="D161" s="96"/>
      <c r="E161" s="96"/>
      <c r="F161" s="96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  <c r="AH161" s="96"/>
      <c r="AI161" s="96"/>
      <c r="AJ161" s="96"/>
      <c r="AK161" s="96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6"/>
      <c r="AY161" s="96"/>
      <c r="AZ161" s="96"/>
      <c r="BA161" s="96"/>
      <c r="BB161" s="96"/>
      <c r="BC161" s="96"/>
      <c r="BD161" s="96"/>
      <c r="BE161" s="96"/>
      <c r="BF161" s="96"/>
      <c r="BG161" s="96"/>
      <c r="BH161" s="96"/>
      <c r="BI161" s="96"/>
      <c r="BJ161" s="96"/>
      <c r="BK161" s="96"/>
      <c r="BL161" s="96"/>
      <c r="BM161" s="96"/>
      <c r="BN161" s="96"/>
      <c r="BO161" s="96"/>
      <c r="BP161" s="96"/>
      <c r="BQ161" s="96"/>
      <c r="BR161" s="96"/>
      <c r="BS161" s="96"/>
      <c r="BT161" s="96"/>
      <c r="BU161" s="96"/>
      <c r="BV161" s="96"/>
      <c r="BW161" s="96"/>
      <c r="BX161" s="96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6"/>
      <c r="CL161" s="96"/>
      <c r="CM161" s="96"/>
      <c r="CN161" s="96"/>
      <c r="CO161" s="96"/>
      <c r="CP161" s="96"/>
      <c r="CQ161" s="96"/>
      <c r="CR161" s="96"/>
      <c r="CS161" s="96"/>
      <c r="CT161" s="96"/>
      <c r="CU161" s="96"/>
      <c r="CV161" s="96"/>
      <c r="CW161" s="96"/>
      <c r="CX161" s="96"/>
      <c r="CY161" s="96"/>
      <c r="CZ161" s="96"/>
      <c r="DA161" s="96"/>
      <c r="DB161" s="96"/>
    </row>
    <row r="162" spans="1:106" x14ac:dyDescent="0.2">
      <c r="A162" s="96"/>
      <c r="B162" s="96"/>
      <c r="C162" s="96"/>
      <c r="D162" s="96"/>
      <c r="E162" s="96"/>
      <c r="F162" s="96"/>
      <c r="G162" s="96"/>
      <c r="H162" s="96"/>
      <c r="I162" s="96"/>
      <c r="J162" s="96"/>
      <c r="K162" s="96"/>
      <c r="L162" s="96"/>
      <c r="M162" s="96"/>
      <c r="N162" s="96"/>
      <c r="O162" s="96"/>
      <c r="P162" s="96"/>
      <c r="Q162" s="96"/>
      <c r="R162" s="96"/>
      <c r="S162" s="96"/>
      <c r="T162" s="96"/>
      <c r="U162" s="96"/>
      <c r="V162" s="96"/>
      <c r="W162" s="96"/>
      <c r="X162" s="96"/>
      <c r="Y162" s="96"/>
      <c r="Z162" s="96"/>
      <c r="AA162" s="96"/>
      <c r="AB162" s="96"/>
      <c r="AC162" s="96"/>
      <c r="AD162" s="96"/>
      <c r="AE162" s="96"/>
      <c r="AF162" s="96"/>
      <c r="AG162" s="96"/>
      <c r="AH162" s="96"/>
      <c r="AI162" s="96"/>
      <c r="AJ162" s="96"/>
      <c r="AK162" s="96"/>
      <c r="AL162" s="96"/>
      <c r="AM162" s="96"/>
      <c r="AN162" s="96"/>
      <c r="AO162" s="96"/>
      <c r="AP162" s="96"/>
      <c r="AQ162" s="96"/>
      <c r="AR162" s="96"/>
      <c r="AS162" s="96"/>
      <c r="AT162" s="96"/>
      <c r="AU162" s="96"/>
      <c r="AV162" s="96"/>
      <c r="AW162" s="96"/>
      <c r="AX162" s="96"/>
      <c r="AY162" s="96"/>
      <c r="AZ162" s="96"/>
      <c r="BA162" s="96"/>
      <c r="BB162" s="96"/>
      <c r="BC162" s="96"/>
      <c r="BD162" s="96"/>
      <c r="BE162" s="96"/>
      <c r="BF162" s="96"/>
      <c r="BG162" s="96"/>
      <c r="BH162" s="96"/>
      <c r="BI162" s="96"/>
      <c r="BJ162" s="96"/>
      <c r="BK162" s="96"/>
      <c r="BL162" s="96"/>
      <c r="BM162" s="96"/>
      <c r="BN162" s="96"/>
      <c r="BO162" s="96"/>
      <c r="BP162" s="96"/>
      <c r="BQ162" s="96"/>
      <c r="BR162" s="96"/>
      <c r="BS162" s="96"/>
      <c r="BT162" s="96"/>
      <c r="BU162" s="96"/>
      <c r="BV162" s="96"/>
      <c r="BW162" s="96"/>
      <c r="BX162" s="96"/>
      <c r="BY162" s="96"/>
      <c r="BZ162" s="96"/>
      <c r="CA162" s="96"/>
      <c r="CB162" s="96"/>
      <c r="CC162" s="96"/>
      <c r="CD162" s="96"/>
      <c r="CE162" s="96"/>
      <c r="CF162" s="96"/>
      <c r="CG162" s="96"/>
      <c r="CH162" s="96"/>
      <c r="CI162" s="96"/>
      <c r="CJ162" s="96"/>
      <c r="CK162" s="96"/>
      <c r="CL162" s="96"/>
      <c r="CM162" s="96"/>
      <c r="CN162" s="96"/>
      <c r="CO162" s="96"/>
      <c r="CP162" s="96"/>
      <c r="CQ162" s="96"/>
      <c r="CR162" s="96"/>
      <c r="CS162" s="96"/>
      <c r="CT162" s="96"/>
      <c r="CU162" s="96"/>
      <c r="CV162" s="96"/>
      <c r="CW162" s="96"/>
      <c r="CX162" s="96"/>
      <c r="CY162" s="96"/>
      <c r="CZ162" s="96"/>
      <c r="DA162" s="96"/>
      <c r="DB162" s="96"/>
    </row>
    <row r="163" spans="1:106" x14ac:dyDescent="0.2">
      <c r="A163" s="96"/>
      <c r="B163" s="96"/>
      <c r="C163" s="96"/>
      <c r="D163" s="96"/>
      <c r="E163" s="96"/>
      <c r="F163" s="96"/>
      <c r="G163" s="96"/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  <c r="T163" s="96"/>
      <c r="U163" s="96"/>
      <c r="V163" s="96"/>
      <c r="W163" s="96"/>
      <c r="X163" s="96"/>
      <c r="Y163" s="96"/>
      <c r="Z163" s="96"/>
      <c r="AA163" s="96"/>
      <c r="AB163" s="96"/>
      <c r="AC163" s="96"/>
      <c r="AD163" s="96"/>
      <c r="AE163" s="96"/>
      <c r="AF163" s="96"/>
      <c r="AG163" s="96"/>
      <c r="AH163" s="96"/>
      <c r="AI163" s="96"/>
      <c r="AJ163" s="96"/>
      <c r="AK163" s="96"/>
      <c r="AL163" s="96"/>
      <c r="AM163" s="96"/>
      <c r="AN163" s="96"/>
      <c r="AO163" s="96"/>
      <c r="AP163" s="96"/>
      <c r="AQ163" s="96"/>
      <c r="AR163" s="96"/>
      <c r="AS163" s="96"/>
      <c r="AT163" s="96"/>
      <c r="AU163" s="96"/>
      <c r="AV163" s="96"/>
      <c r="AW163" s="96"/>
      <c r="AX163" s="96"/>
      <c r="AY163" s="96"/>
      <c r="AZ163" s="96"/>
      <c r="BA163" s="96"/>
      <c r="BB163" s="96"/>
      <c r="BC163" s="96"/>
      <c r="BD163" s="96"/>
      <c r="BE163" s="96"/>
      <c r="BF163" s="96"/>
      <c r="BG163" s="96"/>
      <c r="BH163" s="96"/>
      <c r="BI163" s="96"/>
      <c r="BJ163" s="96"/>
      <c r="BK163" s="96"/>
      <c r="BL163" s="96"/>
      <c r="BM163" s="96"/>
      <c r="BN163" s="96"/>
      <c r="BO163" s="96"/>
      <c r="BP163" s="96"/>
      <c r="BQ163" s="96"/>
      <c r="BR163" s="96"/>
      <c r="BS163" s="96"/>
      <c r="BT163" s="96"/>
      <c r="BU163" s="96"/>
      <c r="BV163" s="96"/>
      <c r="BW163" s="96"/>
      <c r="BX163" s="96"/>
      <c r="BY163" s="96"/>
      <c r="BZ163" s="96"/>
      <c r="CA163" s="96"/>
      <c r="CB163" s="96"/>
      <c r="CC163" s="96"/>
      <c r="CD163" s="96"/>
      <c r="CE163" s="96"/>
      <c r="CF163" s="96"/>
      <c r="CG163" s="96"/>
      <c r="CH163" s="96"/>
      <c r="CI163" s="96"/>
      <c r="CJ163" s="96"/>
      <c r="CK163" s="96"/>
      <c r="CL163" s="96"/>
      <c r="CM163" s="96"/>
      <c r="CN163" s="96"/>
      <c r="CO163" s="96"/>
      <c r="CP163" s="96"/>
      <c r="CQ163" s="96"/>
      <c r="CR163" s="96"/>
      <c r="CS163" s="96"/>
      <c r="CT163" s="96"/>
      <c r="CU163" s="96"/>
      <c r="CV163" s="96"/>
      <c r="CW163" s="96"/>
      <c r="CX163" s="96"/>
      <c r="CY163" s="96"/>
      <c r="CZ163" s="96"/>
      <c r="DA163" s="96"/>
      <c r="DB163" s="96"/>
    </row>
    <row r="164" spans="1:106" x14ac:dyDescent="0.2">
      <c r="A164" s="96"/>
      <c r="B164" s="96"/>
      <c r="C164" s="96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  <c r="AH164" s="96"/>
      <c r="AI164" s="96"/>
      <c r="AJ164" s="96"/>
      <c r="AK164" s="96"/>
      <c r="AL164" s="96"/>
      <c r="AM164" s="96"/>
      <c r="AN164" s="96"/>
      <c r="AO164" s="96"/>
      <c r="AP164" s="96"/>
      <c r="AQ164" s="96"/>
      <c r="AR164" s="96"/>
      <c r="AS164" s="96"/>
      <c r="AT164" s="96"/>
      <c r="AU164" s="96"/>
      <c r="AV164" s="96"/>
      <c r="AW164" s="96"/>
      <c r="AX164" s="96"/>
      <c r="AY164" s="96"/>
      <c r="AZ164" s="96"/>
      <c r="BA164" s="96"/>
      <c r="BB164" s="96"/>
      <c r="BC164" s="96"/>
      <c r="BD164" s="96"/>
      <c r="BE164" s="96"/>
      <c r="BF164" s="96"/>
      <c r="BG164" s="96"/>
      <c r="BH164" s="96"/>
      <c r="BI164" s="96"/>
      <c r="BJ164" s="96"/>
      <c r="BK164" s="96"/>
      <c r="BL164" s="96"/>
      <c r="BM164" s="96"/>
      <c r="BN164" s="96"/>
      <c r="BO164" s="96"/>
      <c r="BP164" s="96"/>
      <c r="BQ164" s="96"/>
      <c r="BR164" s="96"/>
      <c r="BS164" s="96"/>
      <c r="BT164" s="96"/>
      <c r="BU164" s="96"/>
      <c r="BV164" s="96"/>
      <c r="BW164" s="96"/>
      <c r="BX164" s="96"/>
      <c r="BY164" s="96"/>
      <c r="BZ164" s="96"/>
      <c r="CA164" s="96"/>
      <c r="CB164" s="96"/>
      <c r="CC164" s="96"/>
      <c r="CD164" s="96"/>
      <c r="CE164" s="96"/>
      <c r="CF164" s="96"/>
      <c r="CG164" s="96"/>
      <c r="CH164" s="96"/>
      <c r="CI164" s="96"/>
      <c r="CJ164" s="96"/>
      <c r="CK164" s="96"/>
      <c r="CL164" s="96"/>
      <c r="CM164" s="96"/>
      <c r="CN164" s="96"/>
      <c r="CO164" s="96"/>
      <c r="CP164" s="96"/>
      <c r="CQ164" s="96"/>
      <c r="CR164" s="96"/>
      <c r="CS164" s="96"/>
      <c r="CT164" s="96"/>
      <c r="CU164" s="96"/>
      <c r="CV164" s="96"/>
      <c r="CW164" s="96"/>
      <c r="CX164" s="96"/>
      <c r="CY164" s="96"/>
      <c r="CZ164" s="96"/>
      <c r="DA164" s="96"/>
      <c r="DB164" s="96"/>
    </row>
    <row r="165" spans="1:106" x14ac:dyDescent="0.2">
      <c r="A165" s="96"/>
      <c r="B165" s="96"/>
      <c r="C165" s="96"/>
      <c r="D165" s="96"/>
      <c r="E165" s="96"/>
      <c r="F165" s="96"/>
      <c r="G165" s="96"/>
      <c r="H165" s="96"/>
      <c r="I165" s="96"/>
      <c r="J165" s="96"/>
      <c r="K165" s="96"/>
      <c r="L165" s="96"/>
      <c r="M165" s="96"/>
      <c r="N165" s="96"/>
      <c r="O165" s="96"/>
      <c r="P165" s="96"/>
      <c r="Q165" s="96"/>
      <c r="R165" s="96"/>
      <c r="S165" s="96"/>
      <c r="T165" s="96"/>
      <c r="U165" s="96"/>
      <c r="V165" s="96"/>
      <c r="W165" s="96"/>
      <c r="X165" s="96"/>
      <c r="Y165" s="96"/>
      <c r="Z165" s="96"/>
      <c r="AA165" s="96"/>
      <c r="AB165" s="96"/>
      <c r="AC165" s="96"/>
      <c r="AD165" s="96"/>
      <c r="AE165" s="96"/>
      <c r="AF165" s="96"/>
      <c r="AG165" s="96"/>
      <c r="AH165" s="96"/>
      <c r="AI165" s="96"/>
      <c r="AJ165" s="96"/>
      <c r="AK165" s="96"/>
      <c r="AL165" s="96"/>
      <c r="AM165" s="96"/>
      <c r="AN165" s="96"/>
      <c r="AO165" s="96"/>
      <c r="AP165" s="96"/>
      <c r="AQ165" s="96"/>
      <c r="AR165" s="96"/>
      <c r="AS165" s="96"/>
      <c r="AT165" s="96"/>
      <c r="AU165" s="96"/>
      <c r="AV165" s="96"/>
      <c r="AW165" s="96"/>
      <c r="AX165" s="96"/>
      <c r="AY165" s="96"/>
      <c r="AZ165" s="96"/>
      <c r="BA165" s="96"/>
      <c r="BB165" s="96"/>
      <c r="BC165" s="96"/>
      <c r="BD165" s="96"/>
      <c r="BE165" s="96"/>
      <c r="BF165" s="96"/>
      <c r="BG165" s="96"/>
      <c r="BH165" s="96"/>
      <c r="BI165" s="96"/>
      <c r="BJ165" s="96"/>
      <c r="BK165" s="96"/>
      <c r="BL165" s="96"/>
      <c r="BM165" s="96"/>
      <c r="BN165" s="96"/>
      <c r="BO165" s="96"/>
      <c r="BP165" s="96"/>
      <c r="BQ165" s="96"/>
      <c r="BR165" s="96"/>
      <c r="BS165" s="96"/>
      <c r="BT165" s="96"/>
      <c r="BU165" s="96"/>
      <c r="BV165" s="96"/>
      <c r="BW165" s="96"/>
      <c r="BX165" s="96"/>
      <c r="BY165" s="96"/>
      <c r="BZ165" s="96"/>
      <c r="CA165" s="96"/>
      <c r="CB165" s="96"/>
      <c r="CC165" s="96"/>
      <c r="CD165" s="96"/>
      <c r="CE165" s="96"/>
      <c r="CF165" s="96"/>
      <c r="CG165" s="96"/>
      <c r="CH165" s="96"/>
      <c r="CI165" s="96"/>
      <c r="CJ165" s="96"/>
      <c r="CK165" s="96"/>
      <c r="CL165" s="96"/>
      <c r="CM165" s="96"/>
      <c r="CN165" s="96"/>
      <c r="CO165" s="96"/>
      <c r="CP165" s="96"/>
      <c r="CQ165" s="96"/>
      <c r="CR165" s="96"/>
      <c r="CS165" s="96"/>
      <c r="CT165" s="96"/>
      <c r="CU165" s="96"/>
      <c r="CV165" s="96"/>
      <c r="CW165" s="96"/>
      <c r="CX165" s="96"/>
      <c r="CY165" s="96"/>
      <c r="CZ165" s="96"/>
      <c r="DA165" s="96"/>
      <c r="DB165" s="96"/>
    </row>
    <row r="166" spans="1:106" x14ac:dyDescent="0.2">
      <c r="A166" s="96"/>
      <c r="B166" s="96"/>
      <c r="C166" s="96"/>
      <c r="D166" s="96"/>
      <c r="E166" s="96"/>
      <c r="F166" s="96"/>
      <c r="G166" s="96"/>
      <c r="H166" s="96"/>
      <c r="I166" s="96"/>
      <c r="J166" s="96"/>
      <c r="K166" s="96"/>
      <c r="L166" s="96"/>
      <c r="M166" s="96"/>
      <c r="N166" s="96"/>
      <c r="O166" s="96"/>
      <c r="P166" s="96"/>
      <c r="Q166" s="96"/>
      <c r="R166" s="96"/>
      <c r="S166" s="96"/>
      <c r="T166" s="96"/>
      <c r="U166" s="96"/>
      <c r="V166" s="96"/>
      <c r="W166" s="96"/>
      <c r="X166" s="96"/>
      <c r="Y166" s="96"/>
      <c r="Z166" s="96"/>
      <c r="AA166" s="96"/>
      <c r="AB166" s="96"/>
      <c r="AC166" s="96"/>
      <c r="AD166" s="96"/>
      <c r="AE166" s="96"/>
      <c r="AF166" s="96"/>
      <c r="AG166" s="96"/>
      <c r="AH166" s="96"/>
      <c r="AI166" s="96"/>
      <c r="AJ166" s="96"/>
      <c r="AK166" s="96"/>
      <c r="AL166" s="96"/>
      <c r="AM166" s="96"/>
      <c r="AN166" s="96"/>
      <c r="AO166" s="96"/>
      <c r="AP166" s="96"/>
      <c r="AQ166" s="96"/>
      <c r="AR166" s="96"/>
      <c r="AS166" s="96"/>
      <c r="AT166" s="96"/>
      <c r="AU166" s="96"/>
      <c r="AV166" s="96"/>
      <c r="AW166" s="96"/>
      <c r="AX166" s="96"/>
      <c r="AY166" s="96"/>
      <c r="AZ166" s="96"/>
      <c r="BA166" s="96"/>
      <c r="BB166" s="96"/>
      <c r="BC166" s="96"/>
      <c r="BD166" s="96"/>
      <c r="BE166" s="96"/>
      <c r="BF166" s="96"/>
      <c r="BG166" s="96"/>
      <c r="BH166" s="96"/>
      <c r="BI166" s="96"/>
      <c r="BJ166" s="96"/>
      <c r="BK166" s="96"/>
      <c r="BL166" s="96"/>
      <c r="BM166" s="96"/>
      <c r="BN166" s="96"/>
      <c r="BO166" s="96"/>
      <c r="BP166" s="96"/>
      <c r="BQ166" s="96"/>
      <c r="BR166" s="96"/>
      <c r="BS166" s="96"/>
      <c r="BT166" s="96"/>
      <c r="BU166" s="96"/>
      <c r="BV166" s="96"/>
      <c r="BW166" s="96"/>
      <c r="BX166" s="96"/>
      <c r="BY166" s="96"/>
      <c r="BZ166" s="96"/>
      <c r="CA166" s="96"/>
      <c r="CB166" s="96"/>
      <c r="CC166" s="96"/>
      <c r="CD166" s="96"/>
      <c r="CE166" s="96"/>
      <c r="CF166" s="96"/>
      <c r="CG166" s="96"/>
      <c r="CH166" s="96"/>
      <c r="CI166" s="96"/>
      <c r="CJ166" s="96"/>
      <c r="CK166" s="96"/>
      <c r="CL166" s="96"/>
      <c r="CM166" s="96"/>
      <c r="CN166" s="96"/>
      <c r="CO166" s="96"/>
      <c r="CP166" s="96"/>
      <c r="CQ166" s="96"/>
      <c r="CR166" s="96"/>
      <c r="CS166" s="96"/>
      <c r="CT166" s="96"/>
      <c r="CU166" s="96"/>
      <c r="CV166" s="96"/>
      <c r="CW166" s="96"/>
      <c r="CX166" s="96"/>
      <c r="CY166" s="96"/>
      <c r="CZ166" s="96"/>
      <c r="DA166" s="96"/>
      <c r="DB166" s="96"/>
    </row>
    <row r="167" spans="1:106" x14ac:dyDescent="0.2">
      <c r="A167" s="96"/>
      <c r="B167" s="96"/>
      <c r="C167" s="96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  <c r="AH167" s="96"/>
      <c r="AI167" s="96"/>
      <c r="AJ167" s="96"/>
      <c r="AK167" s="96"/>
      <c r="AL167" s="96"/>
      <c r="AM167" s="96"/>
      <c r="AN167" s="96"/>
      <c r="AO167" s="96"/>
      <c r="AP167" s="96"/>
      <c r="AQ167" s="96"/>
      <c r="AR167" s="96"/>
      <c r="AS167" s="96"/>
      <c r="AT167" s="96"/>
      <c r="AU167" s="96"/>
      <c r="AV167" s="96"/>
      <c r="AW167" s="96"/>
      <c r="AX167" s="96"/>
      <c r="AY167" s="96"/>
      <c r="AZ167" s="96"/>
      <c r="BA167" s="96"/>
      <c r="BB167" s="96"/>
      <c r="BC167" s="96"/>
      <c r="BD167" s="96"/>
      <c r="BE167" s="96"/>
      <c r="BF167" s="96"/>
      <c r="BG167" s="96"/>
      <c r="BH167" s="96"/>
      <c r="BI167" s="96"/>
      <c r="BJ167" s="96"/>
      <c r="BK167" s="96"/>
      <c r="BL167" s="96"/>
      <c r="BM167" s="96"/>
      <c r="BN167" s="96"/>
      <c r="BO167" s="96"/>
      <c r="BP167" s="96"/>
      <c r="BQ167" s="96"/>
      <c r="BR167" s="96"/>
      <c r="BS167" s="96"/>
      <c r="BT167" s="96"/>
      <c r="BU167" s="96"/>
      <c r="BV167" s="96"/>
      <c r="BW167" s="96"/>
      <c r="BX167" s="96"/>
      <c r="BY167" s="96"/>
      <c r="BZ167" s="96"/>
      <c r="CA167" s="96"/>
      <c r="CB167" s="96"/>
      <c r="CC167" s="96"/>
      <c r="CD167" s="96"/>
      <c r="CE167" s="96"/>
      <c r="CF167" s="96"/>
      <c r="CG167" s="96"/>
      <c r="CH167" s="96"/>
      <c r="CI167" s="96"/>
      <c r="CJ167" s="96"/>
      <c r="CK167" s="96"/>
      <c r="CL167" s="96"/>
      <c r="CM167" s="96"/>
      <c r="CN167" s="96"/>
      <c r="CO167" s="96"/>
      <c r="CP167" s="96"/>
      <c r="CQ167" s="96"/>
      <c r="CR167" s="96"/>
      <c r="CS167" s="96"/>
      <c r="CT167" s="96"/>
      <c r="CU167" s="96"/>
      <c r="CV167" s="96"/>
      <c r="CW167" s="96"/>
      <c r="CX167" s="96"/>
      <c r="CY167" s="96"/>
      <c r="CZ167" s="96"/>
      <c r="DA167" s="96"/>
      <c r="DB167" s="96"/>
    </row>
    <row r="168" spans="1:106" x14ac:dyDescent="0.2">
      <c r="A168" s="96"/>
      <c r="B168" s="96"/>
      <c r="C168" s="96"/>
      <c r="D168" s="96"/>
      <c r="E168" s="96"/>
      <c r="F168" s="96"/>
      <c r="G168" s="96"/>
      <c r="H168" s="96"/>
      <c r="I168" s="96"/>
      <c r="J168" s="96"/>
      <c r="K168" s="96"/>
      <c r="L168" s="96"/>
      <c r="M168" s="96"/>
      <c r="N168" s="96"/>
      <c r="O168" s="96"/>
      <c r="P168" s="96"/>
      <c r="Q168" s="96"/>
      <c r="R168" s="96"/>
      <c r="S168" s="96"/>
      <c r="T168" s="96"/>
      <c r="U168" s="96"/>
      <c r="V168" s="96"/>
      <c r="W168" s="96"/>
      <c r="X168" s="96"/>
      <c r="Y168" s="96"/>
      <c r="Z168" s="96"/>
      <c r="AA168" s="96"/>
      <c r="AB168" s="96"/>
      <c r="AC168" s="96"/>
      <c r="AD168" s="96"/>
      <c r="AE168" s="96"/>
      <c r="AF168" s="96"/>
      <c r="AG168" s="96"/>
      <c r="AH168" s="96"/>
      <c r="AI168" s="96"/>
      <c r="AJ168" s="96"/>
      <c r="AK168" s="96"/>
      <c r="AL168" s="96"/>
      <c r="AM168" s="96"/>
      <c r="AN168" s="96"/>
      <c r="AO168" s="96"/>
      <c r="AP168" s="96"/>
      <c r="AQ168" s="96"/>
      <c r="AR168" s="96"/>
      <c r="AS168" s="96"/>
      <c r="AT168" s="96"/>
      <c r="AU168" s="96"/>
      <c r="AV168" s="96"/>
      <c r="AW168" s="96"/>
      <c r="AX168" s="96"/>
      <c r="AY168" s="96"/>
      <c r="AZ168" s="96"/>
      <c r="BA168" s="96"/>
      <c r="BB168" s="96"/>
      <c r="BC168" s="96"/>
      <c r="BD168" s="96"/>
      <c r="BE168" s="96"/>
      <c r="BF168" s="96"/>
      <c r="BG168" s="96"/>
      <c r="BH168" s="96"/>
      <c r="BI168" s="96"/>
      <c r="BJ168" s="96"/>
      <c r="BK168" s="96"/>
      <c r="BL168" s="96"/>
      <c r="BM168" s="96"/>
      <c r="BN168" s="96"/>
      <c r="BO168" s="96"/>
      <c r="BP168" s="96"/>
      <c r="BQ168" s="96"/>
      <c r="BR168" s="96"/>
      <c r="BS168" s="96"/>
      <c r="BT168" s="96"/>
      <c r="BU168" s="96"/>
      <c r="BV168" s="96"/>
      <c r="BW168" s="96"/>
      <c r="BX168" s="96"/>
      <c r="BY168" s="96"/>
      <c r="BZ168" s="96"/>
      <c r="CA168" s="96"/>
      <c r="CB168" s="96"/>
      <c r="CC168" s="96"/>
      <c r="CD168" s="96"/>
      <c r="CE168" s="96"/>
      <c r="CF168" s="96"/>
      <c r="CG168" s="96"/>
      <c r="CH168" s="96"/>
      <c r="CI168" s="96"/>
      <c r="CJ168" s="96"/>
      <c r="CK168" s="96"/>
      <c r="CL168" s="96"/>
      <c r="CM168" s="96"/>
      <c r="CN168" s="96"/>
      <c r="CO168" s="96"/>
      <c r="CP168" s="96"/>
      <c r="CQ168" s="96"/>
      <c r="CR168" s="96"/>
      <c r="CS168" s="96"/>
      <c r="CT168" s="96"/>
      <c r="CU168" s="96"/>
      <c r="CV168" s="96"/>
      <c r="CW168" s="96"/>
      <c r="CX168" s="96"/>
      <c r="CY168" s="96"/>
      <c r="CZ168" s="96"/>
      <c r="DA168" s="96"/>
      <c r="DB168" s="96"/>
    </row>
    <row r="169" spans="1:106" x14ac:dyDescent="0.2">
      <c r="A169" s="96"/>
      <c r="B169" s="96"/>
      <c r="C169" s="96"/>
      <c r="D169" s="96"/>
      <c r="E169" s="96"/>
      <c r="F169" s="96"/>
      <c r="G169" s="96"/>
      <c r="H169" s="96"/>
      <c r="I169" s="96"/>
      <c r="J169" s="96"/>
      <c r="K169" s="96"/>
      <c r="L169" s="96"/>
      <c r="M169" s="96"/>
      <c r="N169" s="96"/>
      <c r="O169" s="96"/>
      <c r="P169" s="96"/>
      <c r="Q169" s="96"/>
      <c r="R169" s="96"/>
      <c r="S169" s="96"/>
      <c r="T169" s="96"/>
      <c r="U169" s="96"/>
      <c r="V169" s="96"/>
      <c r="W169" s="96"/>
      <c r="X169" s="96"/>
      <c r="Y169" s="96"/>
      <c r="Z169" s="96"/>
      <c r="AA169" s="96"/>
      <c r="AB169" s="96"/>
      <c r="AC169" s="96"/>
      <c r="AD169" s="96"/>
      <c r="AE169" s="96"/>
      <c r="AF169" s="96"/>
      <c r="AG169" s="96"/>
      <c r="AH169" s="96"/>
      <c r="AI169" s="96"/>
      <c r="AJ169" s="96"/>
      <c r="AK169" s="96"/>
      <c r="AL169" s="96"/>
      <c r="AM169" s="96"/>
      <c r="AN169" s="96"/>
      <c r="AO169" s="96"/>
      <c r="AP169" s="96"/>
      <c r="AQ169" s="96"/>
      <c r="AR169" s="96"/>
      <c r="AS169" s="96"/>
      <c r="AT169" s="96"/>
      <c r="AU169" s="96"/>
      <c r="AV169" s="96"/>
      <c r="AW169" s="96"/>
      <c r="AX169" s="96"/>
      <c r="AY169" s="96"/>
      <c r="AZ169" s="96"/>
      <c r="BA169" s="96"/>
      <c r="BB169" s="96"/>
      <c r="BC169" s="96"/>
      <c r="BD169" s="96"/>
      <c r="BE169" s="96"/>
      <c r="BF169" s="96"/>
      <c r="BG169" s="96"/>
      <c r="BH169" s="96"/>
      <c r="BI169" s="96"/>
      <c r="BJ169" s="96"/>
      <c r="BK169" s="96"/>
      <c r="BL169" s="96"/>
      <c r="BM169" s="96"/>
      <c r="BN169" s="96"/>
      <c r="BO169" s="96"/>
      <c r="BP169" s="96"/>
      <c r="BQ169" s="96"/>
      <c r="BR169" s="96"/>
      <c r="BS169" s="96"/>
      <c r="BT169" s="96"/>
      <c r="BU169" s="96"/>
      <c r="BV169" s="96"/>
      <c r="BW169" s="96"/>
      <c r="BX169" s="96"/>
      <c r="BY169" s="96"/>
      <c r="BZ169" s="96"/>
      <c r="CA169" s="96"/>
      <c r="CB169" s="96"/>
      <c r="CC169" s="96"/>
      <c r="CD169" s="96"/>
      <c r="CE169" s="96"/>
      <c r="CF169" s="96"/>
      <c r="CG169" s="96"/>
      <c r="CH169" s="96"/>
      <c r="CI169" s="96"/>
      <c r="CJ169" s="96"/>
      <c r="CK169" s="96"/>
      <c r="CL169" s="96"/>
      <c r="CM169" s="96"/>
      <c r="CN169" s="96"/>
      <c r="CO169" s="96"/>
      <c r="CP169" s="96"/>
      <c r="CQ169" s="96"/>
      <c r="CR169" s="96"/>
      <c r="CS169" s="96"/>
      <c r="CT169" s="96"/>
      <c r="CU169" s="96"/>
      <c r="CV169" s="96"/>
      <c r="CW169" s="96"/>
      <c r="CX169" s="96"/>
      <c r="CY169" s="96"/>
      <c r="CZ169" s="96"/>
      <c r="DA169" s="96"/>
      <c r="DB169" s="96"/>
    </row>
    <row r="170" spans="1:106" x14ac:dyDescent="0.2">
      <c r="A170" s="96"/>
      <c r="B170" s="96"/>
      <c r="C170" s="96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96"/>
      <c r="O170" s="96"/>
      <c r="P170" s="96"/>
      <c r="Q170" s="96"/>
      <c r="R170" s="96"/>
      <c r="S170" s="96"/>
      <c r="T170" s="96"/>
      <c r="U170" s="96"/>
      <c r="V170" s="96"/>
      <c r="W170" s="96"/>
      <c r="X170" s="96"/>
      <c r="Y170" s="96"/>
      <c r="Z170" s="96"/>
      <c r="AA170" s="96"/>
      <c r="AB170" s="96"/>
      <c r="AC170" s="96"/>
      <c r="AD170" s="96"/>
      <c r="AE170" s="96"/>
      <c r="AF170" s="96"/>
      <c r="AG170" s="96"/>
      <c r="AH170" s="96"/>
      <c r="AI170" s="96"/>
      <c r="AJ170" s="96"/>
      <c r="AK170" s="96"/>
      <c r="AL170" s="96"/>
      <c r="AM170" s="96"/>
      <c r="AN170" s="96"/>
      <c r="AO170" s="96"/>
      <c r="AP170" s="96"/>
      <c r="AQ170" s="96"/>
      <c r="AR170" s="96"/>
      <c r="AS170" s="96"/>
      <c r="AT170" s="96"/>
      <c r="AU170" s="96"/>
      <c r="AV170" s="96"/>
      <c r="AW170" s="96"/>
      <c r="AX170" s="96"/>
      <c r="AY170" s="96"/>
      <c r="AZ170" s="96"/>
      <c r="BA170" s="96"/>
      <c r="BB170" s="96"/>
      <c r="BC170" s="96"/>
      <c r="BD170" s="96"/>
      <c r="BE170" s="96"/>
      <c r="BF170" s="96"/>
      <c r="BG170" s="96"/>
      <c r="BH170" s="96"/>
      <c r="BI170" s="96"/>
      <c r="BJ170" s="96"/>
      <c r="BK170" s="96"/>
      <c r="BL170" s="96"/>
      <c r="BM170" s="96"/>
      <c r="BN170" s="96"/>
      <c r="BO170" s="96"/>
      <c r="BP170" s="96"/>
      <c r="BQ170" s="96"/>
      <c r="BR170" s="96"/>
      <c r="BS170" s="96"/>
      <c r="BT170" s="96"/>
      <c r="BU170" s="96"/>
      <c r="BV170" s="96"/>
      <c r="BW170" s="96"/>
      <c r="BX170" s="96"/>
      <c r="BY170" s="96"/>
      <c r="BZ170" s="96"/>
      <c r="CA170" s="96"/>
      <c r="CB170" s="96"/>
      <c r="CC170" s="96"/>
      <c r="CD170" s="96"/>
      <c r="CE170" s="96"/>
      <c r="CF170" s="96"/>
      <c r="CG170" s="96"/>
      <c r="CH170" s="96"/>
      <c r="CI170" s="96"/>
      <c r="CJ170" s="96"/>
      <c r="CK170" s="96"/>
      <c r="CL170" s="96"/>
      <c r="CM170" s="96"/>
      <c r="CN170" s="96"/>
      <c r="CO170" s="96"/>
      <c r="CP170" s="96"/>
      <c r="CQ170" s="96"/>
      <c r="CR170" s="96"/>
      <c r="CS170" s="96"/>
      <c r="CT170" s="96"/>
      <c r="CU170" s="96"/>
      <c r="CV170" s="96"/>
      <c r="CW170" s="96"/>
      <c r="CX170" s="96"/>
      <c r="CY170" s="96"/>
      <c r="CZ170" s="96"/>
      <c r="DA170" s="96"/>
      <c r="DB170" s="96"/>
    </row>
    <row r="171" spans="1:106" x14ac:dyDescent="0.2">
      <c r="A171" s="96"/>
      <c r="B171" s="96"/>
      <c r="C171" s="96"/>
      <c r="D171" s="96"/>
      <c r="E171" s="96"/>
      <c r="F171" s="96"/>
      <c r="G171" s="96"/>
      <c r="H171" s="96"/>
      <c r="I171" s="96"/>
      <c r="J171" s="96"/>
      <c r="K171" s="96"/>
      <c r="L171" s="96"/>
      <c r="M171" s="96"/>
      <c r="N171" s="96"/>
      <c r="O171" s="96"/>
      <c r="P171" s="96"/>
      <c r="Q171" s="96"/>
      <c r="R171" s="96"/>
      <c r="S171" s="96"/>
      <c r="T171" s="96"/>
      <c r="U171" s="96"/>
      <c r="V171" s="96"/>
      <c r="W171" s="96"/>
      <c r="X171" s="96"/>
      <c r="Y171" s="96"/>
      <c r="Z171" s="96"/>
      <c r="AA171" s="96"/>
      <c r="AB171" s="96"/>
      <c r="AC171" s="96"/>
      <c r="AD171" s="96"/>
      <c r="AE171" s="96"/>
      <c r="AF171" s="96"/>
      <c r="AG171" s="96"/>
      <c r="AH171" s="96"/>
      <c r="AI171" s="96"/>
      <c r="AJ171" s="96"/>
      <c r="AK171" s="96"/>
      <c r="AL171" s="96"/>
      <c r="AM171" s="96"/>
      <c r="AN171" s="96"/>
      <c r="AO171" s="96"/>
      <c r="AP171" s="96"/>
      <c r="AQ171" s="96"/>
      <c r="AR171" s="96"/>
      <c r="AS171" s="96"/>
      <c r="AT171" s="96"/>
      <c r="AU171" s="96"/>
      <c r="AV171" s="96"/>
      <c r="AW171" s="96"/>
      <c r="AX171" s="96"/>
      <c r="AY171" s="96"/>
      <c r="AZ171" s="96"/>
      <c r="BA171" s="96"/>
      <c r="BB171" s="96"/>
      <c r="BC171" s="96"/>
      <c r="BD171" s="96"/>
      <c r="BE171" s="96"/>
      <c r="BF171" s="96"/>
      <c r="BG171" s="96"/>
      <c r="BH171" s="96"/>
      <c r="BI171" s="96"/>
      <c r="BJ171" s="96"/>
      <c r="BK171" s="96"/>
      <c r="BL171" s="96"/>
      <c r="BM171" s="96"/>
      <c r="BN171" s="96"/>
      <c r="BO171" s="96"/>
      <c r="BP171" s="96"/>
      <c r="BQ171" s="96"/>
      <c r="BR171" s="96"/>
      <c r="BS171" s="96"/>
      <c r="BT171" s="96"/>
      <c r="BU171" s="96"/>
      <c r="BV171" s="96"/>
      <c r="BW171" s="96"/>
      <c r="BX171" s="96"/>
      <c r="BY171" s="96"/>
      <c r="BZ171" s="96"/>
      <c r="CA171" s="96"/>
      <c r="CB171" s="96"/>
      <c r="CC171" s="96"/>
      <c r="CD171" s="96"/>
      <c r="CE171" s="96"/>
      <c r="CF171" s="96"/>
      <c r="CG171" s="96"/>
      <c r="CH171" s="96"/>
      <c r="CI171" s="96"/>
      <c r="CJ171" s="96"/>
      <c r="CK171" s="96"/>
      <c r="CL171" s="96"/>
      <c r="CM171" s="96"/>
      <c r="CN171" s="96"/>
      <c r="CO171" s="96"/>
      <c r="CP171" s="96"/>
      <c r="CQ171" s="96"/>
      <c r="CR171" s="96"/>
      <c r="CS171" s="96"/>
      <c r="CT171" s="96"/>
      <c r="CU171" s="96"/>
      <c r="CV171" s="96"/>
      <c r="CW171" s="96"/>
      <c r="CX171" s="96"/>
      <c r="CY171" s="96"/>
      <c r="CZ171" s="96"/>
      <c r="DA171" s="96"/>
      <c r="DB171" s="96"/>
    </row>
  </sheetData>
  <sheetProtection selectLockedCells="1" selectUnlockedCells="1"/>
  <mergeCells count="3">
    <mergeCell ref="C18:H18"/>
    <mergeCell ref="C19:H19"/>
    <mergeCell ref="C20:H20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39997558519241921"/>
  </sheetPr>
  <dimension ref="A1:BEX65536"/>
  <sheetViews>
    <sheetView showGridLines="0" showRowColHeaders="0" zoomScaleNormal="100" workbookViewId="0">
      <selection activeCell="JD9" sqref="JD9"/>
    </sheetView>
  </sheetViews>
  <sheetFormatPr defaultColWidth="0.85546875" defaultRowHeight="9.9499999999999993" customHeight="1" zeroHeight="1" x14ac:dyDescent="0.2"/>
  <cols>
    <col min="1" max="1" width="4.7109375" style="6" customWidth="1"/>
    <col min="2" max="2" width="0.85546875" style="2" customWidth="1"/>
    <col min="3" max="29" width="2.7109375" style="2" customWidth="1"/>
    <col min="30" max="30" width="3.42578125" style="2" customWidth="1"/>
    <col min="31" max="38" width="2.7109375" style="2" customWidth="1"/>
    <col min="39" max="39" width="1.7109375" style="2" customWidth="1"/>
    <col min="40" max="40" width="2.7109375" style="6" hidden="1" customWidth="1"/>
    <col min="41" max="248" width="0.85546875" style="6" hidden="1" customWidth="1"/>
    <col min="249" max="16384" width="0.85546875" style="6"/>
  </cols>
  <sheetData>
    <row r="1" spans="1:1399" s="55" customFormat="1" ht="9.9499999999999993" customHeight="1" x14ac:dyDescent="0.2">
      <c r="A1" s="290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  <c r="AI1" s="291"/>
      <c r="AJ1" s="291"/>
      <c r="AK1" s="291"/>
      <c r="AL1" s="291"/>
      <c r="AM1" s="291"/>
      <c r="AN1" s="292"/>
      <c r="AO1" s="292"/>
      <c r="AP1" s="292"/>
      <c r="AQ1" s="292"/>
      <c r="AR1" s="292"/>
      <c r="AS1" s="292"/>
      <c r="AT1" s="292"/>
      <c r="AU1" s="292"/>
      <c r="AV1" s="292"/>
      <c r="AW1" s="292"/>
      <c r="AX1" s="292"/>
      <c r="AY1" s="292"/>
      <c r="AZ1" s="292"/>
      <c r="BA1" s="292"/>
      <c r="BB1" s="292"/>
      <c r="BC1" s="292"/>
      <c r="BD1" s="292"/>
      <c r="BE1" s="292"/>
      <c r="BF1" s="292"/>
      <c r="BG1" s="292"/>
      <c r="BH1" s="292"/>
      <c r="BI1" s="292"/>
      <c r="BJ1" s="292"/>
      <c r="BK1" s="292"/>
      <c r="BL1" s="292"/>
      <c r="BM1" s="292"/>
      <c r="BN1" s="292"/>
      <c r="BO1" s="292"/>
      <c r="BP1" s="292"/>
      <c r="BQ1" s="292"/>
      <c r="BR1" s="292"/>
      <c r="BS1" s="292"/>
      <c r="BT1" s="292"/>
      <c r="BU1" s="292"/>
      <c r="BV1" s="292"/>
      <c r="BW1" s="292"/>
      <c r="BX1" s="292"/>
      <c r="BY1" s="292"/>
      <c r="BZ1" s="292"/>
      <c r="CA1" s="292"/>
      <c r="CB1" s="292"/>
      <c r="CC1" s="292"/>
      <c r="CD1" s="292"/>
      <c r="CE1" s="292"/>
      <c r="CF1" s="292"/>
      <c r="CG1" s="292"/>
      <c r="CH1" s="292"/>
      <c r="CI1" s="292"/>
      <c r="CJ1" s="292"/>
      <c r="CK1" s="292"/>
      <c r="CL1" s="292"/>
      <c r="CM1" s="292"/>
      <c r="CN1" s="292"/>
      <c r="CO1" s="292"/>
      <c r="CP1" s="292"/>
      <c r="CQ1" s="292"/>
      <c r="CR1" s="292"/>
      <c r="CS1" s="292"/>
      <c r="CT1" s="292"/>
      <c r="CU1" s="292"/>
      <c r="CV1" s="292"/>
      <c r="CW1" s="292"/>
      <c r="CX1" s="292"/>
      <c r="CY1" s="292"/>
      <c r="CZ1" s="292"/>
      <c r="DA1" s="292"/>
      <c r="DB1" s="292"/>
      <c r="DC1" s="292"/>
      <c r="DD1" s="292"/>
      <c r="DE1" s="292"/>
      <c r="DF1" s="292"/>
      <c r="DG1" s="292"/>
      <c r="DH1" s="292"/>
      <c r="DI1" s="292"/>
      <c r="DJ1" s="292"/>
      <c r="DK1" s="292"/>
      <c r="DL1" s="292"/>
      <c r="DM1" s="292"/>
      <c r="DN1" s="292"/>
      <c r="DO1" s="292"/>
      <c r="DP1" s="292"/>
      <c r="DQ1" s="292"/>
      <c r="DR1" s="292"/>
      <c r="DS1" s="292"/>
      <c r="DT1" s="292"/>
      <c r="DU1" s="292"/>
      <c r="DV1" s="292"/>
      <c r="DW1" s="292"/>
      <c r="DX1" s="292"/>
      <c r="DY1" s="292"/>
      <c r="DZ1" s="292"/>
      <c r="EA1" s="292"/>
      <c r="EB1" s="292"/>
      <c r="EC1" s="292"/>
      <c r="ED1" s="292"/>
      <c r="EE1" s="292"/>
      <c r="EF1" s="292"/>
      <c r="EG1" s="292"/>
      <c r="EH1" s="292"/>
      <c r="EI1" s="292"/>
      <c r="EJ1" s="292"/>
      <c r="EK1" s="292"/>
      <c r="EL1" s="292"/>
      <c r="EM1" s="292"/>
      <c r="EN1" s="292"/>
      <c r="EO1" s="292"/>
      <c r="EP1" s="292"/>
      <c r="EQ1" s="292"/>
      <c r="ER1" s="292"/>
      <c r="ES1" s="292"/>
      <c r="ET1" s="292"/>
      <c r="EU1" s="292"/>
      <c r="EV1" s="292"/>
      <c r="EW1" s="292"/>
      <c r="EX1" s="292"/>
      <c r="EY1" s="292"/>
      <c r="EZ1" s="292"/>
      <c r="FA1" s="292"/>
      <c r="FB1" s="292"/>
      <c r="FC1" s="292"/>
      <c r="FD1" s="292"/>
      <c r="FE1" s="292"/>
      <c r="FF1" s="292"/>
      <c r="FG1" s="292"/>
      <c r="FH1" s="292"/>
      <c r="FI1" s="292"/>
      <c r="FJ1" s="292"/>
      <c r="FK1" s="292"/>
      <c r="FL1" s="292"/>
      <c r="FM1" s="292"/>
      <c r="FN1" s="292"/>
      <c r="FO1" s="292"/>
      <c r="FP1" s="292"/>
      <c r="FQ1" s="292"/>
      <c r="FR1" s="292"/>
      <c r="FS1" s="292"/>
      <c r="FT1" s="292"/>
      <c r="FU1" s="292"/>
      <c r="FV1" s="293"/>
      <c r="FW1" s="293"/>
      <c r="FX1" s="293"/>
      <c r="FY1" s="293"/>
      <c r="FZ1" s="293"/>
      <c r="GA1" s="293"/>
      <c r="GB1" s="293"/>
      <c r="GC1" s="293"/>
      <c r="GD1" s="293"/>
      <c r="GE1" s="293"/>
      <c r="GF1" s="293"/>
      <c r="GG1" s="293"/>
      <c r="GH1" s="293"/>
      <c r="GI1" s="293"/>
      <c r="GJ1" s="293"/>
      <c r="GK1" s="293"/>
      <c r="GL1" s="293"/>
      <c r="GM1" s="293"/>
      <c r="GN1" s="293"/>
      <c r="GO1" s="293"/>
      <c r="GP1" s="293"/>
      <c r="GQ1" s="293"/>
      <c r="GR1" s="293"/>
      <c r="GS1" s="293"/>
      <c r="GT1" s="293"/>
      <c r="GU1" s="293"/>
      <c r="GV1" s="293"/>
      <c r="GW1" s="293"/>
      <c r="GX1" s="293"/>
      <c r="GY1" s="293"/>
      <c r="GZ1" s="293"/>
      <c r="HA1" s="293"/>
      <c r="HB1" s="293"/>
      <c r="HC1" s="293"/>
      <c r="HD1" s="293"/>
      <c r="HE1" s="293"/>
      <c r="HF1" s="293"/>
      <c r="HG1" s="293"/>
      <c r="HH1" s="293"/>
      <c r="HI1" s="293"/>
      <c r="HJ1" s="293"/>
      <c r="HK1" s="293"/>
      <c r="HL1" s="293"/>
      <c r="HM1" s="293"/>
      <c r="HN1" s="293"/>
      <c r="HO1" s="293"/>
      <c r="HP1" s="293"/>
      <c r="HQ1" s="293"/>
      <c r="HR1" s="293"/>
      <c r="HS1" s="293"/>
      <c r="HT1" s="293"/>
      <c r="HU1" s="293"/>
      <c r="HV1" s="293"/>
      <c r="HW1" s="293"/>
      <c r="HX1" s="293"/>
      <c r="HY1" s="293"/>
      <c r="HZ1" s="293"/>
      <c r="IA1" s="293"/>
      <c r="IB1" s="293"/>
      <c r="IC1" s="293"/>
      <c r="ID1" s="293"/>
      <c r="IE1" s="293"/>
      <c r="IF1" s="293"/>
      <c r="IG1" s="293"/>
      <c r="IH1" s="293"/>
      <c r="II1" s="293"/>
      <c r="IJ1" s="293"/>
      <c r="IK1" s="293"/>
      <c r="IL1" s="293"/>
      <c r="IM1" s="293"/>
      <c r="IN1" s="293"/>
      <c r="IO1" s="292"/>
      <c r="IP1" s="292"/>
      <c r="IQ1" s="292"/>
      <c r="IR1" s="292"/>
      <c r="IS1" s="292"/>
      <c r="IT1" s="292"/>
      <c r="IU1" s="292"/>
      <c r="IV1" s="292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</row>
    <row r="2" spans="1:1399" s="56" customFormat="1" ht="30" customHeight="1" x14ac:dyDescent="0.2">
      <c r="A2" s="305"/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6" t="s">
        <v>103</v>
      </c>
      <c r="AC2" s="306"/>
      <c r="AD2" s="306"/>
      <c r="AE2" s="306"/>
      <c r="AF2" s="306"/>
      <c r="AG2" s="306"/>
      <c r="AH2" s="306"/>
      <c r="AI2" s="306"/>
      <c r="AJ2" s="306"/>
      <c r="AK2" s="306"/>
      <c r="AL2" s="306"/>
      <c r="AM2" s="306"/>
      <c r="AN2" s="292"/>
      <c r="AO2" s="292"/>
      <c r="AP2" s="292"/>
      <c r="AQ2" s="292"/>
      <c r="AR2" s="292"/>
      <c r="AS2" s="292"/>
      <c r="AT2" s="292"/>
      <c r="AU2" s="292"/>
      <c r="AV2" s="292"/>
      <c r="AW2" s="292"/>
      <c r="AX2" s="292"/>
      <c r="AY2" s="292"/>
      <c r="AZ2" s="292"/>
      <c r="BA2" s="292"/>
      <c r="BB2" s="292"/>
      <c r="BC2" s="292"/>
      <c r="BD2" s="292"/>
      <c r="BE2" s="292"/>
      <c r="BF2" s="292"/>
      <c r="BG2" s="292"/>
      <c r="BH2" s="292"/>
      <c r="BI2" s="292"/>
      <c r="BJ2" s="292"/>
      <c r="BK2" s="292"/>
      <c r="BL2" s="292"/>
      <c r="BM2" s="292"/>
      <c r="BN2" s="292"/>
      <c r="BO2" s="292"/>
      <c r="BP2" s="292"/>
      <c r="BQ2" s="292"/>
      <c r="BR2" s="292"/>
      <c r="BS2" s="292"/>
      <c r="BT2" s="292"/>
      <c r="BU2" s="292"/>
      <c r="BV2" s="292"/>
      <c r="BW2" s="292"/>
      <c r="BX2" s="292"/>
      <c r="BY2" s="292"/>
      <c r="BZ2" s="292"/>
      <c r="CA2" s="292"/>
      <c r="CB2" s="292"/>
      <c r="CC2" s="292"/>
      <c r="CD2" s="292"/>
      <c r="CE2" s="292"/>
      <c r="CF2" s="292"/>
      <c r="CG2" s="292"/>
      <c r="CH2" s="292"/>
      <c r="CI2" s="292"/>
      <c r="CJ2" s="292"/>
      <c r="CK2" s="292"/>
      <c r="CL2" s="292"/>
      <c r="CM2" s="292"/>
      <c r="CN2" s="292"/>
      <c r="CO2" s="292"/>
      <c r="CP2" s="292"/>
      <c r="CQ2" s="292"/>
      <c r="CR2" s="292"/>
      <c r="CS2" s="292"/>
      <c r="CT2" s="292"/>
      <c r="CU2" s="292"/>
      <c r="CV2" s="292"/>
      <c r="CW2" s="292"/>
      <c r="CX2" s="292"/>
      <c r="CY2" s="292"/>
      <c r="CZ2" s="292"/>
      <c r="DA2" s="292"/>
      <c r="DB2" s="292"/>
      <c r="DC2" s="292"/>
      <c r="DD2" s="292"/>
      <c r="DE2" s="292"/>
      <c r="DF2" s="292"/>
      <c r="DG2" s="292"/>
      <c r="DH2" s="292"/>
      <c r="DI2" s="292"/>
      <c r="DJ2" s="292"/>
      <c r="DK2" s="292"/>
      <c r="DL2" s="292"/>
      <c r="DM2" s="292"/>
      <c r="DN2" s="292"/>
      <c r="DO2" s="292"/>
      <c r="DP2" s="292"/>
      <c r="DQ2" s="292"/>
      <c r="DR2" s="292"/>
      <c r="DS2" s="292"/>
      <c r="DT2" s="292"/>
      <c r="DU2" s="292"/>
      <c r="DV2" s="292"/>
      <c r="DW2" s="292"/>
      <c r="DX2" s="292"/>
      <c r="DY2" s="292"/>
      <c r="DZ2" s="292"/>
      <c r="EA2" s="292"/>
      <c r="EB2" s="292"/>
      <c r="EC2" s="292"/>
      <c r="ED2" s="292"/>
      <c r="EE2" s="292"/>
      <c r="EF2" s="292"/>
      <c r="EG2" s="292"/>
      <c r="EH2" s="292"/>
      <c r="EI2" s="292"/>
      <c r="EJ2" s="292"/>
      <c r="EK2" s="292"/>
      <c r="EL2" s="292"/>
      <c r="EM2" s="292"/>
      <c r="EN2" s="292"/>
      <c r="EO2" s="292"/>
      <c r="EP2" s="292"/>
      <c r="EQ2" s="292"/>
      <c r="ER2" s="292"/>
      <c r="ES2" s="292"/>
      <c r="ET2" s="292"/>
      <c r="EU2" s="292"/>
      <c r="EV2" s="292"/>
      <c r="EW2" s="292"/>
      <c r="EX2" s="292"/>
      <c r="EY2" s="292"/>
      <c r="EZ2" s="292"/>
      <c r="FA2" s="292"/>
      <c r="FB2" s="292"/>
      <c r="FC2" s="292"/>
      <c r="FD2" s="292"/>
      <c r="FE2" s="292"/>
      <c r="FF2" s="292"/>
      <c r="FG2" s="292"/>
      <c r="FH2" s="292"/>
      <c r="FI2" s="292"/>
      <c r="FJ2" s="292"/>
      <c r="FK2" s="292"/>
      <c r="FL2" s="292"/>
      <c r="FM2" s="292"/>
      <c r="FN2" s="292"/>
      <c r="FO2" s="292"/>
      <c r="FP2" s="292"/>
      <c r="FQ2" s="292"/>
      <c r="FR2" s="292"/>
      <c r="FS2" s="292"/>
      <c r="FT2" s="292"/>
      <c r="FU2" s="292"/>
      <c r="FV2" s="293"/>
      <c r="FW2" s="293"/>
      <c r="FX2" s="293"/>
      <c r="FY2" s="293"/>
      <c r="FZ2" s="293"/>
      <c r="GA2" s="293"/>
      <c r="GB2" s="293"/>
      <c r="GC2" s="293"/>
      <c r="GD2" s="293"/>
      <c r="GE2" s="293"/>
      <c r="GF2" s="293"/>
      <c r="GG2" s="293"/>
      <c r="GH2" s="293"/>
      <c r="GI2" s="293"/>
      <c r="GJ2" s="293"/>
      <c r="GK2" s="293"/>
      <c r="GL2" s="293"/>
      <c r="GM2" s="293"/>
      <c r="GN2" s="293"/>
      <c r="GO2" s="293"/>
      <c r="GP2" s="293"/>
      <c r="GQ2" s="293"/>
      <c r="GR2" s="293"/>
      <c r="GS2" s="293"/>
      <c r="GT2" s="293"/>
      <c r="GU2" s="293"/>
      <c r="GV2" s="293"/>
      <c r="GW2" s="293"/>
      <c r="GX2" s="293"/>
      <c r="GY2" s="293"/>
      <c r="GZ2" s="293"/>
      <c r="HA2" s="293"/>
      <c r="HB2" s="293"/>
      <c r="HC2" s="293"/>
      <c r="HD2" s="293"/>
      <c r="HE2" s="293"/>
      <c r="HF2" s="293"/>
      <c r="HG2" s="293"/>
      <c r="HH2" s="293"/>
      <c r="HI2" s="293"/>
      <c r="HJ2" s="293"/>
      <c r="HK2" s="293"/>
      <c r="HL2" s="293"/>
      <c r="HM2" s="293"/>
      <c r="HN2" s="293"/>
      <c r="HO2" s="293"/>
      <c r="HP2" s="293"/>
      <c r="HQ2" s="293"/>
      <c r="HR2" s="293"/>
      <c r="HS2" s="293"/>
      <c r="HT2" s="293"/>
      <c r="HU2" s="293"/>
      <c r="HV2" s="293"/>
      <c r="HW2" s="293"/>
      <c r="HX2" s="293"/>
      <c r="HY2" s="293"/>
      <c r="HZ2" s="293"/>
      <c r="IA2" s="293"/>
      <c r="IB2" s="293"/>
      <c r="IC2" s="293"/>
      <c r="ID2" s="293"/>
      <c r="IE2" s="293"/>
      <c r="IF2" s="293"/>
      <c r="IG2" s="293"/>
      <c r="IH2" s="293"/>
      <c r="II2" s="293"/>
      <c r="IJ2" s="293"/>
      <c r="IK2" s="293"/>
      <c r="IL2" s="293"/>
      <c r="IM2" s="293"/>
      <c r="IN2" s="293"/>
      <c r="IO2" s="307"/>
      <c r="IP2" s="307"/>
      <c r="IQ2" s="307"/>
      <c r="IR2" s="307"/>
      <c r="IS2" s="307"/>
      <c r="IT2" s="307"/>
      <c r="IU2" s="307"/>
      <c r="IV2" s="307"/>
    </row>
    <row r="3" spans="1:1399" s="57" customFormat="1" ht="20.100000000000001" customHeight="1" x14ac:dyDescent="0.2">
      <c r="A3" s="305"/>
      <c r="B3" s="305"/>
      <c r="C3" s="305"/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  <c r="R3" s="305"/>
      <c r="S3" s="305"/>
      <c r="T3" s="305"/>
      <c r="U3" s="305"/>
      <c r="V3" s="305"/>
      <c r="W3" s="305"/>
      <c r="X3" s="305"/>
      <c r="Y3" s="305"/>
      <c r="Z3" s="305"/>
      <c r="AA3" s="305"/>
      <c r="AB3" s="306"/>
      <c r="AC3" s="306"/>
      <c r="AD3" s="306"/>
      <c r="AE3" s="306"/>
      <c r="AF3" s="306"/>
      <c r="AG3" s="306"/>
      <c r="AH3" s="306"/>
      <c r="AI3" s="306"/>
      <c r="AJ3" s="306"/>
      <c r="AK3" s="306"/>
      <c r="AL3" s="306"/>
      <c r="AM3" s="306"/>
      <c r="AN3" s="292"/>
      <c r="AO3" s="292"/>
      <c r="AP3" s="292"/>
      <c r="AQ3" s="292"/>
      <c r="AR3" s="292"/>
      <c r="AS3" s="292"/>
      <c r="AT3" s="292"/>
      <c r="AU3" s="292"/>
      <c r="AV3" s="292"/>
      <c r="AW3" s="292"/>
      <c r="AX3" s="292"/>
      <c r="AY3" s="292"/>
      <c r="AZ3" s="292"/>
      <c r="BA3" s="292"/>
      <c r="BB3" s="292"/>
      <c r="BC3" s="292"/>
      <c r="BD3" s="292"/>
      <c r="BE3" s="292"/>
      <c r="BF3" s="292"/>
      <c r="BG3" s="292"/>
      <c r="BH3" s="292"/>
      <c r="BI3" s="292"/>
      <c r="BJ3" s="292"/>
      <c r="BK3" s="292"/>
      <c r="BL3" s="292"/>
      <c r="BM3" s="292"/>
      <c r="BN3" s="292"/>
      <c r="BO3" s="292"/>
      <c r="BP3" s="292"/>
      <c r="BQ3" s="292"/>
      <c r="BR3" s="292"/>
      <c r="BS3" s="292"/>
      <c r="BT3" s="292"/>
      <c r="BU3" s="292"/>
      <c r="BV3" s="292"/>
      <c r="BW3" s="292"/>
      <c r="BX3" s="292"/>
      <c r="BY3" s="292"/>
      <c r="BZ3" s="292"/>
      <c r="CA3" s="292"/>
      <c r="CB3" s="292"/>
      <c r="CC3" s="292"/>
      <c r="CD3" s="292"/>
      <c r="CE3" s="292"/>
      <c r="CF3" s="292"/>
      <c r="CG3" s="292"/>
      <c r="CH3" s="292"/>
      <c r="CI3" s="292"/>
      <c r="CJ3" s="292"/>
      <c r="CK3" s="292"/>
      <c r="CL3" s="292"/>
      <c r="CM3" s="292"/>
      <c r="CN3" s="292"/>
      <c r="CO3" s="292"/>
      <c r="CP3" s="292"/>
      <c r="CQ3" s="292"/>
      <c r="CR3" s="292"/>
      <c r="CS3" s="292"/>
      <c r="CT3" s="292"/>
      <c r="CU3" s="292"/>
      <c r="CV3" s="292"/>
      <c r="CW3" s="292"/>
      <c r="CX3" s="292"/>
      <c r="CY3" s="292"/>
      <c r="CZ3" s="292"/>
      <c r="DA3" s="292"/>
      <c r="DB3" s="292"/>
      <c r="DC3" s="292"/>
      <c r="DD3" s="292"/>
      <c r="DE3" s="292"/>
      <c r="DF3" s="292"/>
      <c r="DG3" s="292"/>
      <c r="DH3" s="292"/>
      <c r="DI3" s="292"/>
      <c r="DJ3" s="292"/>
      <c r="DK3" s="292"/>
      <c r="DL3" s="292"/>
      <c r="DM3" s="292"/>
      <c r="DN3" s="292"/>
      <c r="DO3" s="292"/>
      <c r="DP3" s="292"/>
      <c r="DQ3" s="292"/>
      <c r="DR3" s="292"/>
      <c r="DS3" s="292"/>
      <c r="DT3" s="292"/>
      <c r="DU3" s="292"/>
      <c r="DV3" s="292"/>
      <c r="DW3" s="292"/>
      <c r="DX3" s="292"/>
      <c r="DY3" s="292"/>
      <c r="DZ3" s="292"/>
      <c r="EA3" s="292"/>
      <c r="EB3" s="292"/>
      <c r="EC3" s="292"/>
      <c r="ED3" s="292"/>
      <c r="EE3" s="292"/>
      <c r="EF3" s="292"/>
      <c r="EG3" s="292"/>
      <c r="EH3" s="292"/>
      <c r="EI3" s="292"/>
      <c r="EJ3" s="292"/>
      <c r="EK3" s="292"/>
      <c r="EL3" s="292"/>
      <c r="EM3" s="292"/>
      <c r="EN3" s="292"/>
      <c r="EO3" s="292"/>
      <c r="EP3" s="292"/>
      <c r="EQ3" s="292"/>
      <c r="ER3" s="292"/>
      <c r="ES3" s="292"/>
      <c r="ET3" s="292"/>
      <c r="EU3" s="292"/>
      <c r="EV3" s="292"/>
      <c r="EW3" s="292"/>
      <c r="EX3" s="292"/>
      <c r="EY3" s="292"/>
      <c r="EZ3" s="292"/>
      <c r="FA3" s="292"/>
      <c r="FB3" s="292"/>
      <c r="FC3" s="292"/>
      <c r="FD3" s="292"/>
      <c r="FE3" s="292"/>
      <c r="FF3" s="292"/>
      <c r="FG3" s="292"/>
      <c r="FH3" s="292"/>
      <c r="FI3" s="292"/>
      <c r="FJ3" s="292"/>
      <c r="FK3" s="292"/>
      <c r="FL3" s="292"/>
      <c r="FM3" s="292"/>
      <c r="FN3" s="292"/>
      <c r="FO3" s="292"/>
      <c r="FP3" s="292"/>
      <c r="FQ3" s="292"/>
      <c r="FR3" s="292"/>
      <c r="FS3" s="292"/>
      <c r="FT3" s="292"/>
      <c r="FU3" s="292"/>
      <c r="FV3" s="293"/>
      <c r="FW3" s="293"/>
      <c r="FX3" s="293"/>
      <c r="FY3" s="293"/>
      <c r="FZ3" s="293"/>
      <c r="GA3" s="293"/>
      <c r="GB3" s="293"/>
      <c r="GC3" s="293"/>
      <c r="GD3" s="293"/>
      <c r="GE3" s="293"/>
      <c r="GF3" s="293"/>
      <c r="GG3" s="293"/>
      <c r="GH3" s="293"/>
      <c r="GI3" s="293"/>
      <c r="GJ3" s="293"/>
      <c r="GK3" s="293"/>
      <c r="GL3" s="293"/>
      <c r="GM3" s="293"/>
      <c r="GN3" s="293"/>
      <c r="GO3" s="293"/>
      <c r="GP3" s="293"/>
      <c r="GQ3" s="293"/>
      <c r="GR3" s="293"/>
      <c r="GS3" s="293"/>
      <c r="GT3" s="293"/>
      <c r="GU3" s="293"/>
      <c r="GV3" s="293"/>
      <c r="GW3" s="293"/>
      <c r="GX3" s="293"/>
      <c r="GY3" s="293"/>
      <c r="GZ3" s="293"/>
      <c r="HA3" s="293"/>
      <c r="HB3" s="293"/>
      <c r="HC3" s="293"/>
      <c r="HD3" s="293"/>
      <c r="HE3" s="293"/>
      <c r="HF3" s="293"/>
      <c r="HG3" s="293"/>
      <c r="HH3" s="293"/>
      <c r="HI3" s="293"/>
      <c r="HJ3" s="293"/>
      <c r="HK3" s="293"/>
      <c r="HL3" s="293"/>
      <c r="HM3" s="293"/>
      <c r="HN3" s="293"/>
      <c r="HO3" s="293"/>
      <c r="HP3" s="293"/>
      <c r="HQ3" s="293"/>
      <c r="HR3" s="293"/>
      <c r="HS3" s="293"/>
      <c r="HT3" s="293"/>
      <c r="HU3" s="293"/>
      <c r="HV3" s="293"/>
      <c r="HW3" s="293"/>
      <c r="HX3" s="293"/>
      <c r="HY3" s="293"/>
      <c r="HZ3" s="293"/>
      <c r="IA3" s="293"/>
      <c r="IB3" s="293"/>
      <c r="IC3" s="293"/>
      <c r="ID3" s="293"/>
      <c r="IE3" s="293"/>
      <c r="IF3" s="293"/>
      <c r="IG3" s="293"/>
      <c r="IH3" s="293"/>
      <c r="II3" s="293"/>
      <c r="IJ3" s="293"/>
      <c r="IK3" s="293"/>
      <c r="IL3" s="293"/>
      <c r="IM3" s="293"/>
      <c r="IN3" s="293"/>
      <c r="IO3" s="307"/>
      <c r="IP3" s="307"/>
      <c r="IQ3" s="307"/>
      <c r="IR3" s="307"/>
      <c r="IS3" s="307"/>
      <c r="IT3" s="307"/>
      <c r="IU3" s="307"/>
      <c r="IV3" s="307"/>
    </row>
    <row r="4" spans="1:1399" ht="9.9499999999999993" customHeight="1" x14ac:dyDescent="0.2">
      <c r="A4" s="290"/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4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4"/>
      <c r="AG4" s="294"/>
      <c r="AH4" s="294"/>
      <c r="AI4" s="294"/>
      <c r="AJ4" s="294"/>
      <c r="AK4" s="294"/>
      <c r="AL4" s="294"/>
      <c r="AM4" s="294"/>
      <c r="AN4" s="292"/>
      <c r="AO4" s="292"/>
      <c r="AP4" s="292"/>
      <c r="AQ4" s="292"/>
      <c r="AR4" s="292"/>
      <c r="AS4" s="292"/>
      <c r="AT4" s="292"/>
      <c r="AU4" s="292"/>
      <c r="AV4" s="292"/>
      <c r="AW4" s="292"/>
      <c r="AX4" s="292"/>
      <c r="AY4" s="292"/>
      <c r="AZ4" s="292"/>
      <c r="BA4" s="292"/>
      <c r="BB4" s="292"/>
      <c r="BC4" s="292"/>
      <c r="BD4" s="292"/>
      <c r="BE4" s="292"/>
      <c r="BF4" s="292"/>
      <c r="BG4" s="292"/>
      <c r="BH4" s="292"/>
      <c r="BI4" s="292"/>
      <c r="BJ4" s="292"/>
      <c r="BK4" s="292"/>
      <c r="BL4" s="292"/>
      <c r="BM4" s="292"/>
      <c r="BN4" s="292"/>
      <c r="BO4" s="292"/>
      <c r="BP4" s="292"/>
      <c r="BQ4" s="292"/>
      <c r="BR4" s="292"/>
      <c r="BS4" s="292"/>
      <c r="BT4" s="292"/>
      <c r="BU4" s="292"/>
      <c r="BV4" s="292"/>
      <c r="BW4" s="292"/>
      <c r="BX4" s="292"/>
      <c r="BY4" s="292"/>
      <c r="BZ4" s="292"/>
      <c r="CA4" s="292"/>
      <c r="CB4" s="292"/>
      <c r="CC4" s="292"/>
      <c r="CD4" s="292"/>
      <c r="CE4" s="292"/>
      <c r="CF4" s="292"/>
      <c r="CG4" s="292"/>
      <c r="CH4" s="292"/>
      <c r="CI4" s="292"/>
      <c r="CJ4" s="292"/>
      <c r="CK4" s="292"/>
      <c r="CL4" s="292"/>
      <c r="CM4" s="292"/>
      <c r="CN4" s="292"/>
      <c r="CO4" s="292"/>
      <c r="CP4" s="292"/>
      <c r="CQ4" s="292"/>
      <c r="CR4" s="292"/>
      <c r="CS4" s="292"/>
      <c r="CT4" s="292"/>
      <c r="CU4" s="292"/>
      <c r="CV4" s="292"/>
      <c r="CW4" s="292"/>
      <c r="CX4" s="292"/>
      <c r="CY4" s="292"/>
      <c r="CZ4" s="292"/>
      <c r="DA4" s="292"/>
      <c r="DB4" s="292"/>
      <c r="DC4" s="292"/>
      <c r="DD4" s="292"/>
      <c r="DE4" s="292"/>
      <c r="DF4" s="292"/>
      <c r="DG4" s="292"/>
      <c r="DH4" s="292"/>
      <c r="DI4" s="292"/>
      <c r="DJ4" s="292"/>
      <c r="DK4" s="292"/>
      <c r="DL4" s="292"/>
      <c r="DM4" s="292"/>
      <c r="DN4" s="292"/>
      <c r="DO4" s="292"/>
      <c r="DP4" s="292"/>
      <c r="DQ4" s="292"/>
      <c r="DR4" s="292"/>
      <c r="DS4" s="292"/>
      <c r="DT4" s="292"/>
      <c r="DU4" s="292"/>
      <c r="DV4" s="292"/>
      <c r="DW4" s="292"/>
      <c r="DX4" s="292"/>
      <c r="DY4" s="292"/>
      <c r="DZ4" s="292"/>
      <c r="EA4" s="292"/>
      <c r="EB4" s="292"/>
      <c r="EC4" s="292"/>
      <c r="ED4" s="292"/>
      <c r="EE4" s="292"/>
      <c r="EF4" s="292"/>
      <c r="EG4" s="292"/>
      <c r="EH4" s="292"/>
      <c r="EI4" s="292"/>
      <c r="EJ4" s="292"/>
      <c r="EK4" s="292"/>
      <c r="EL4" s="292"/>
      <c r="EM4" s="292"/>
      <c r="EN4" s="292"/>
      <c r="EO4" s="292"/>
      <c r="EP4" s="292"/>
      <c r="EQ4" s="292"/>
      <c r="ER4" s="292"/>
      <c r="ES4" s="292"/>
      <c r="ET4" s="292"/>
      <c r="EU4" s="292"/>
      <c r="EV4" s="292"/>
      <c r="EW4" s="292"/>
      <c r="EX4" s="292"/>
      <c r="EY4" s="292"/>
      <c r="EZ4" s="292"/>
      <c r="FA4" s="292"/>
      <c r="FB4" s="292"/>
      <c r="FC4" s="292"/>
      <c r="FD4" s="292"/>
      <c r="FE4" s="292"/>
      <c r="FF4" s="292"/>
      <c r="FG4" s="292"/>
      <c r="FH4" s="292"/>
      <c r="FI4" s="292"/>
      <c r="FJ4" s="292"/>
      <c r="FK4" s="292"/>
      <c r="FL4" s="292"/>
      <c r="FM4" s="292"/>
      <c r="FN4" s="292"/>
      <c r="FO4" s="292"/>
      <c r="FP4" s="292"/>
      <c r="FQ4" s="292"/>
      <c r="FR4" s="292"/>
      <c r="FS4" s="292"/>
      <c r="FT4" s="292"/>
      <c r="FU4" s="292"/>
      <c r="FV4" s="293"/>
      <c r="FW4" s="293"/>
      <c r="FX4" s="293"/>
      <c r="FY4" s="293"/>
      <c r="FZ4" s="293"/>
      <c r="GA4" s="293"/>
      <c r="GB4" s="293"/>
      <c r="GC4" s="293"/>
      <c r="GD4" s="293"/>
      <c r="GE4" s="293"/>
      <c r="GF4" s="293"/>
      <c r="GG4" s="293"/>
      <c r="GH4" s="293"/>
      <c r="GI4" s="293"/>
      <c r="GJ4" s="293"/>
      <c r="GK4" s="293"/>
      <c r="GL4" s="293"/>
      <c r="GM4" s="293"/>
      <c r="GN4" s="293"/>
      <c r="GO4" s="293"/>
      <c r="GP4" s="293"/>
      <c r="GQ4" s="293"/>
      <c r="GR4" s="293"/>
      <c r="GS4" s="293"/>
      <c r="GT4" s="293"/>
      <c r="GU4" s="293"/>
      <c r="GV4" s="293"/>
      <c r="GW4" s="293"/>
      <c r="GX4" s="293"/>
      <c r="GY4" s="293"/>
      <c r="GZ4" s="293"/>
      <c r="HA4" s="293"/>
      <c r="HB4" s="293"/>
      <c r="HC4" s="293"/>
      <c r="HD4" s="293"/>
      <c r="HE4" s="293"/>
      <c r="HF4" s="293"/>
      <c r="HG4" s="293"/>
      <c r="HH4" s="293"/>
      <c r="HI4" s="293"/>
      <c r="HJ4" s="293"/>
      <c r="HK4" s="293"/>
      <c r="HL4" s="293"/>
      <c r="HM4" s="293"/>
      <c r="HN4" s="293"/>
      <c r="HO4" s="293"/>
      <c r="HP4" s="293"/>
      <c r="HQ4" s="293"/>
      <c r="HR4" s="293"/>
      <c r="HS4" s="293"/>
      <c r="HT4" s="293"/>
      <c r="HU4" s="293"/>
      <c r="HV4" s="293"/>
      <c r="HW4" s="293"/>
      <c r="HX4" s="293"/>
      <c r="HY4" s="293"/>
      <c r="HZ4" s="293"/>
      <c r="IA4" s="293"/>
      <c r="IB4" s="293"/>
      <c r="IC4" s="293"/>
      <c r="ID4" s="293"/>
      <c r="IE4" s="293"/>
      <c r="IF4" s="293"/>
      <c r="IG4" s="293"/>
      <c r="IH4" s="293"/>
      <c r="II4" s="293"/>
      <c r="IJ4" s="293"/>
      <c r="IK4" s="293"/>
      <c r="IL4" s="293"/>
      <c r="IM4" s="293"/>
      <c r="IN4" s="293"/>
      <c r="IO4" s="292"/>
      <c r="IP4" s="292"/>
      <c r="IQ4" s="292"/>
      <c r="IR4" s="292"/>
      <c r="IS4" s="292"/>
      <c r="IT4" s="292"/>
      <c r="IU4" s="292"/>
      <c r="IV4" s="292"/>
    </row>
    <row r="5" spans="1:1399" ht="9.9499999999999993" customHeight="1" x14ac:dyDescent="0.2">
      <c r="A5" s="290"/>
      <c r="B5" s="304" t="s">
        <v>115</v>
      </c>
      <c r="C5" s="304"/>
      <c r="D5" s="304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304"/>
      <c r="Z5" s="304"/>
      <c r="AA5" s="304"/>
      <c r="AB5" s="304"/>
      <c r="AC5" s="304"/>
      <c r="AD5" s="304"/>
      <c r="AE5" s="304"/>
      <c r="AF5" s="304"/>
      <c r="AG5" s="304"/>
      <c r="AH5" s="304"/>
      <c r="AI5" s="304"/>
      <c r="AJ5" s="304"/>
      <c r="AK5" s="304"/>
      <c r="AL5" s="304"/>
      <c r="AM5" s="304"/>
      <c r="FV5" s="52"/>
      <c r="FW5" s="52"/>
      <c r="FX5" s="52"/>
      <c r="FY5" s="52"/>
      <c r="FZ5" s="52"/>
      <c r="GA5" s="52"/>
      <c r="GB5" s="52"/>
      <c r="GC5" s="52"/>
      <c r="GD5" s="52"/>
      <c r="GE5" s="52"/>
      <c r="GF5" s="52"/>
      <c r="GG5" s="52"/>
      <c r="GH5" s="52"/>
      <c r="GI5" s="52"/>
      <c r="GJ5" s="52"/>
      <c r="GK5" s="52"/>
      <c r="GL5" s="52"/>
      <c r="GM5" s="52"/>
      <c r="GN5" s="52"/>
      <c r="GO5" s="52"/>
      <c r="GP5" s="52"/>
      <c r="GQ5" s="52"/>
      <c r="GR5" s="52"/>
      <c r="GS5" s="52"/>
      <c r="GT5" s="52"/>
      <c r="GU5" s="52"/>
      <c r="GV5" s="52"/>
      <c r="GW5" s="52"/>
      <c r="GX5" s="52"/>
      <c r="GY5" s="52"/>
      <c r="GZ5" s="52"/>
      <c r="HA5" s="52"/>
      <c r="HB5" s="52"/>
      <c r="HC5" s="52"/>
      <c r="HD5" s="52"/>
      <c r="HE5" s="52"/>
      <c r="HF5" s="52"/>
      <c r="HG5" s="52"/>
      <c r="HH5" s="52"/>
      <c r="HI5" s="52"/>
      <c r="HJ5" s="52"/>
      <c r="HK5" s="52"/>
      <c r="HL5" s="52"/>
      <c r="HM5" s="52"/>
      <c r="HN5" s="52"/>
      <c r="HO5" s="52"/>
      <c r="HP5" s="52"/>
      <c r="HQ5" s="52"/>
      <c r="HR5" s="52"/>
      <c r="HS5" s="52"/>
      <c r="HT5" s="52"/>
      <c r="HU5" s="52"/>
      <c r="HV5" s="52"/>
      <c r="HW5" s="52"/>
      <c r="HX5" s="52"/>
      <c r="HY5" s="52"/>
      <c r="HZ5" s="52"/>
      <c r="IA5" s="52"/>
      <c r="IB5" s="52"/>
      <c r="IC5" s="52"/>
      <c r="ID5" s="52"/>
      <c r="IE5" s="52"/>
      <c r="IF5" s="52"/>
      <c r="IG5" s="52"/>
      <c r="IH5" s="52"/>
      <c r="II5" s="52"/>
      <c r="IJ5" s="52"/>
      <c r="IK5" s="52"/>
      <c r="IL5" s="52"/>
      <c r="IM5" s="52"/>
      <c r="IN5" s="52"/>
      <c r="IO5" s="292"/>
      <c r="IP5" s="292"/>
      <c r="IQ5" s="292"/>
      <c r="IR5" s="292"/>
      <c r="IS5" s="292"/>
      <c r="IT5" s="292"/>
      <c r="IU5" s="292"/>
      <c r="IV5" s="292"/>
    </row>
    <row r="6" spans="1:1399" ht="20.100000000000001" customHeight="1" x14ac:dyDescent="0.2">
      <c r="A6" s="290"/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304"/>
      <c r="Z6" s="304"/>
      <c r="AA6" s="304"/>
      <c r="AB6" s="304"/>
      <c r="AC6" s="304"/>
      <c r="AD6" s="304"/>
      <c r="AE6" s="304"/>
      <c r="AF6" s="304"/>
      <c r="AG6" s="304"/>
      <c r="AH6" s="304"/>
      <c r="AI6" s="304"/>
      <c r="AJ6" s="304"/>
      <c r="AK6" s="304"/>
      <c r="AL6" s="304"/>
      <c r="AM6" s="304"/>
      <c r="FV6" s="52"/>
      <c r="FW6" s="52"/>
      <c r="FX6" s="52"/>
      <c r="FY6" s="52"/>
      <c r="FZ6" s="52"/>
      <c r="GA6" s="52"/>
      <c r="GB6" s="52"/>
      <c r="GC6" s="52"/>
      <c r="GD6" s="52"/>
      <c r="GE6" s="52"/>
      <c r="GF6" s="52"/>
      <c r="GG6" s="52"/>
      <c r="GH6" s="52"/>
      <c r="GI6" s="52"/>
      <c r="GJ6" s="52"/>
      <c r="GK6" s="52"/>
      <c r="GL6" s="52"/>
      <c r="GM6" s="52"/>
      <c r="GN6" s="52"/>
      <c r="GO6" s="52"/>
      <c r="GP6" s="52"/>
      <c r="GQ6" s="52"/>
      <c r="GR6" s="52"/>
      <c r="GS6" s="52"/>
      <c r="GT6" s="52"/>
      <c r="GU6" s="52"/>
      <c r="GV6" s="52"/>
      <c r="GW6" s="52"/>
      <c r="GX6" s="52"/>
      <c r="GY6" s="52"/>
      <c r="GZ6" s="52"/>
      <c r="HA6" s="52"/>
      <c r="HB6" s="52"/>
      <c r="HC6" s="52"/>
      <c r="HD6" s="52"/>
      <c r="HE6" s="52"/>
      <c r="HF6" s="52"/>
      <c r="HG6" s="52"/>
      <c r="HH6" s="52"/>
      <c r="HI6" s="52"/>
      <c r="HJ6" s="52"/>
      <c r="HK6" s="52"/>
      <c r="HL6" s="52"/>
      <c r="HM6" s="52"/>
      <c r="HN6" s="52"/>
      <c r="HO6" s="52"/>
      <c r="HP6" s="52"/>
      <c r="HQ6" s="52"/>
      <c r="HR6" s="52"/>
      <c r="HS6" s="52"/>
      <c r="HT6" s="52"/>
      <c r="HU6" s="52"/>
      <c r="HV6" s="52"/>
      <c r="HW6" s="52"/>
      <c r="HX6" s="52"/>
      <c r="HY6" s="52"/>
      <c r="HZ6" s="52"/>
      <c r="IA6" s="52"/>
      <c r="IB6" s="52"/>
      <c r="IC6" s="52"/>
      <c r="ID6" s="52"/>
      <c r="IE6" s="52"/>
      <c r="IF6" s="52"/>
      <c r="IG6" s="52"/>
      <c r="IH6" s="52"/>
      <c r="II6" s="52"/>
      <c r="IJ6" s="52"/>
      <c r="IK6" s="52"/>
      <c r="IL6" s="52"/>
      <c r="IM6" s="52"/>
      <c r="IN6" s="52"/>
      <c r="IO6" s="292"/>
      <c r="IP6" s="292"/>
      <c r="IQ6" s="292"/>
      <c r="IR6" s="292"/>
      <c r="IS6" s="292"/>
      <c r="IT6" s="292"/>
      <c r="IU6" s="292"/>
      <c r="IV6" s="292"/>
    </row>
    <row r="7" spans="1:1399" ht="20.100000000000001" customHeight="1" x14ac:dyDescent="0.2">
      <c r="A7" s="301"/>
      <c r="B7" s="304"/>
      <c r="C7" s="304"/>
      <c r="D7" s="304"/>
      <c r="E7" s="304"/>
      <c r="F7" s="304"/>
      <c r="G7" s="304"/>
      <c r="H7" s="304"/>
      <c r="I7" s="304"/>
      <c r="J7" s="304"/>
      <c r="K7" s="304"/>
      <c r="L7" s="304"/>
      <c r="M7" s="304"/>
      <c r="N7" s="304"/>
      <c r="O7" s="304"/>
      <c r="P7" s="304"/>
      <c r="Q7" s="304"/>
      <c r="R7" s="304"/>
      <c r="S7" s="304"/>
      <c r="T7" s="304"/>
      <c r="U7" s="304"/>
      <c r="V7" s="304"/>
      <c r="W7" s="304"/>
      <c r="X7" s="304"/>
      <c r="Y7" s="304"/>
      <c r="Z7" s="304"/>
      <c r="AA7" s="304"/>
      <c r="AB7" s="304"/>
      <c r="AC7" s="304"/>
      <c r="AD7" s="304"/>
      <c r="AE7" s="304"/>
      <c r="AF7" s="304"/>
      <c r="AG7" s="304"/>
      <c r="AH7" s="304"/>
      <c r="AI7" s="304"/>
      <c r="AJ7" s="304"/>
      <c r="AK7" s="304"/>
      <c r="AL7" s="304"/>
      <c r="AM7" s="304"/>
      <c r="FV7" s="52"/>
      <c r="FW7" s="52"/>
      <c r="FX7" s="52"/>
      <c r="FY7" s="52"/>
      <c r="FZ7" s="52"/>
      <c r="GA7" s="52"/>
      <c r="GB7" s="52"/>
      <c r="GC7" s="52"/>
      <c r="GD7" s="52"/>
      <c r="GE7" s="52"/>
      <c r="GF7" s="52"/>
      <c r="GG7" s="52"/>
      <c r="GH7" s="52"/>
      <c r="GI7" s="52"/>
      <c r="GJ7" s="52"/>
      <c r="GK7" s="52"/>
      <c r="GL7" s="52"/>
      <c r="GM7" s="52"/>
      <c r="GN7" s="52"/>
      <c r="GO7" s="52"/>
      <c r="GP7" s="52"/>
      <c r="GQ7" s="52"/>
      <c r="GR7" s="52"/>
      <c r="GS7" s="52"/>
      <c r="GT7" s="52"/>
      <c r="GU7" s="52"/>
      <c r="GV7" s="52"/>
      <c r="GW7" s="52"/>
      <c r="GX7" s="52"/>
      <c r="GY7" s="52"/>
      <c r="GZ7" s="52"/>
      <c r="HA7" s="52"/>
      <c r="HB7" s="52"/>
      <c r="HC7" s="52"/>
      <c r="HD7" s="52"/>
      <c r="HE7" s="52"/>
      <c r="HF7" s="52"/>
      <c r="HG7" s="52"/>
      <c r="HH7" s="52"/>
      <c r="HI7" s="52"/>
      <c r="HJ7" s="52"/>
      <c r="HK7" s="52"/>
      <c r="HL7" s="52"/>
      <c r="HM7" s="52"/>
      <c r="HN7" s="52"/>
      <c r="HO7" s="52"/>
      <c r="HP7" s="52"/>
      <c r="HQ7" s="52"/>
      <c r="HR7" s="52"/>
      <c r="HS7" s="52"/>
      <c r="HT7" s="52"/>
      <c r="HU7" s="52"/>
      <c r="HV7" s="52"/>
      <c r="HW7" s="52"/>
      <c r="HX7" s="52"/>
      <c r="HY7" s="52"/>
      <c r="HZ7" s="52"/>
      <c r="IA7" s="52"/>
      <c r="IB7" s="52"/>
      <c r="IC7" s="52"/>
      <c r="ID7" s="52"/>
      <c r="IE7" s="52"/>
      <c r="IF7" s="52"/>
      <c r="IG7" s="52"/>
      <c r="IH7" s="52"/>
      <c r="II7" s="52"/>
      <c r="IJ7" s="52"/>
      <c r="IK7" s="52"/>
      <c r="IL7" s="52"/>
      <c r="IM7" s="52"/>
      <c r="IN7" s="52"/>
      <c r="IO7" s="292"/>
      <c r="IP7" s="292"/>
      <c r="IQ7" s="292"/>
      <c r="IR7" s="292"/>
      <c r="IS7" s="292"/>
      <c r="IT7" s="292"/>
      <c r="IU7" s="292"/>
      <c r="IV7" s="292"/>
    </row>
    <row r="8" spans="1:1399" ht="9.9499999999999993" customHeight="1" x14ac:dyDescent="0.2">
      <c r="A8" s="301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304"/>
      <c r="V8" s="304"/>
      <c r="W8" s="304"/>
      <c r="X8" s="304"/>
      <c r="Y8" s="304"/>
      <c r="Z8" s="304"/>
      <c r="AA8" s="304"/>
      <c r="AB8" s="304"/>
      <c r="AC8" s="304"/>
      <c r="AD8" s="304"/>
      <c r="AE8" s="304"/>
      <c r="AF8" s="304"/>
      <c r="AG8" s="304"/>
      <c r="AH8" s="304"/>
      <c r="AI8" s="304"/>
      <c r="AJ8" s="304"/>
      <c r="AK8" s="304"/>
      <c r="AL8" s="304"/>
      <c r="AM8" s="304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292"/>
      <c r="IP8" s="292"/>
      <c r="IQ8" s="292"/>
      <c r="IR8" s="292"/>
      <c r="IS8" s="292"/>
      <c r="IT8" s="292"/>
      <c r="IU8" s="292"/>
      <c r="IV8" s="292"/>
    </row>
    <row r="9" spans="1:1399" ht="20.100000000000001" customHeight="1" x14ac:dyDescent="0.2">
      <c r="A9" s="301"/>
      <c r="C9" s="235" t="s">
        <v>50</v>
      </c>
      <c r="D9" s="235"/>
      <c r="E9" s="235"/>
      <c r="F9" s="235"/>
      <c r="G9" s="235"/>
      <c r="H9" s="235"/>
      <c r="I9" s="235"/>
      <c r="J9" s="246" t="s">
        <v>27</v>
      </c>
      <c r="K9" s="246"/>
      <c r="L9" s="246"/>
      <c r="M9" s="246"/>
      <c r="N9" s="246"/>
      <c r="O9" s="246"/>
      <c r="P9" s="246"/>
      <c r="Q9" s="246"/>
      <c r="R9" s="246"/>
      <c r="S9" s="246"/>
      <c r="T9" s="246"/>
      <c r="U9" s="246"/>
      <c r="V9" s="246"/>
      <c r="W9" s="246"/>
      <c r="X9" s="246"/>
      <c r="Y9" s="246"/>
      <c r="Z9" s="246"/>
      <c r="AA9" s="246"/>
      <c r="AB9" s="246"/>
      <c r="AC9" s="246"/>
      <c r="AD9" s="246"/>
      <c r="AE9" s="246"/>
      <c r="AF9" s="246"/>
      <c r="AG9" s="246"/>
      <c r="AH9" s="246"/>
      <c r="AI9" s="246"/>
      <c r="AJ9" s="246"/>
      <c r="AK9" s="246"/>
      <c r="AL9" s="246"/>
      <c r="AM9" s="247" t="s">
        <v>80</v>
      </c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292"/>
      <c r="IP9" s="292"/>
      <c r="IQ9" s="292"/>
      <c r="IR9" s="292"/>
      <c r="IS9" s="292"/>
      <c r="IT9" s="292"/>
      <c r="IU9" s="292"/>
      <c r="IV9" s="292"/>
    </row>
    <row r="10" spans="1:1399" ht="9.9499999999999993" customHeight="1" x14ac:dyDescent="0.2">
      <c r="A10" s="301"/>
      <c r="C10" s="13"/>
      <c r="D10" s="13"/>
      <c r="E10" s="13"/>
      <c r="F10" s="13"/>
      <c r="G10" s="13"/>
      <c r="H10" s="13"/>
      <c r="I10" s="13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40"/>
      <c r="AM10" s="247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292"/>
      <c r="IP10" s="292"/>
      <c r="IQ10" s="292"/>
      <c r="IR10" s="292"/>
      <c r="IS10" s="292"/>
      <c r="IT10" s="292"/>
      <c r="IU10" s="292"/>
      <c r="IV10" s="292"/>
    </row>
    <row r="11" spans="1:1399" ht="20.100000000000001" customHeight="1" x14ac:dyDescent="0.2">
      <c r="A11" s="301"/>
      <c r="C11" s="235" t="s">
        <v>49</v>
      </c>
      <c r="D11" s="235"/>
      <c r="E11" s="235"/>
      <c r="F11" s="235"/>
      <c r="G11" s="235"/>
      <c r="H11" s="235"/>
      <c r="I11" s="235"/>
      <c r="J11" s="246" t="s">
        <v>27</v>
      </c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6"/>
      <c r="AF11" s="246"/>
      <c r="AG11" s="246"/>
      <c r="AH11" s="246"/>
      <c r="AI11" s="246"/>
      <c r="AJ11" s="246"/>
      <c r="AK11" s="246"/>
      <c r="AL11" s="246"/>
      <c r="AM11" s="247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292"/>
      <c r="IP11" s="292"/>
      <c r="IQ11" s="292"/>
      <c r="IR11" s="292"/>
      <c r="IS11" s="292"/>
      <c r="IT11" s="292"/>
      <c r="IU11" s="292"/>
      <c r="IV11" s="292"/>
    </row>
    <row r="12" spans="1:1399" ht="9.9499999999999993" customHeight="1" x14ac:dyDescent="0.2">
      <c r="A12" s="301"/>
      <c r="C12" s="13"/>
      <c r="D12" s="13"/>
      <c r="E12" s="13"/>
      <c r="F12" s="13"/>
      <c r="G12" s="13"/>
      <c r="H12" s="13"/>
      <c r="I12" s="13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39"/>
      <c r="AM12" s="247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292"/>
      <c r="IP12" s="292"/>
      <c r="IQ12" s="292"/>
      <c r="IR12" s="292"/>
      <c r="IS12" s="292"/>
      <c r="IT12" s="292"/>
      <c r="IU12" s="292"/>
      <c r="IV12" s="292"/>
    </row>
    <row r="13" spans="1:1399" ht="20.100000000000001" customHeight="1" x14ac:dyDescent="0.2">
      <c r="A13" s="301"/>
      <c r="C13" s="234" t="s">
        <v>53</v>
      </c>
      <c r="D13" s="234"/>
      <c r="E13" s="234"/>
      <c r="F13" s="234"/>
      <c r="G13" s="234"/>
      <c r="H13" s="234"/>
      <c r="I13" s="234"/>
      <c r="J13" s="14"/>
      <c r="K13" s="236" t="s">
        <v>4</v>
      </c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14"/>
      <c r="AF13" s="14"/>
      <c r="AG13" s="14"/>
      <c r="AH13" s="14"/>
      <c r="AI13" s="14"/>
      <c r="AJ13" s="14"/>
      <c r="AK13" s="14"/>
      <c r="AL13" s="39"/>
      <c r="AM13" s="247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292"/>
      <c r="IP13" s="292"/>
      <c r="IQ13" s="292"/>
      <c r="IR13" s="292"/>
      <c r="IS13" s="292"/>
      <c r="IT13" s="292"/>
      <c r="IU13" s="292"/>
      <c r="IV13" s="292"/>
    </row>
    <row r="14" spans="1:1399" ht="20.100000000000001" customHeight="1" x14ac:dyDescent="0.2">
      <c r="A14" s="301"/>
      <c r="J14" s="14"/>
      <c r="K14" s="236" t="s">
        <v>66</v>
      </c>
      <c r="L14" s="236"/>
      <c r="M14" s="236"/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14"/>
      <c r="AF14" s="14"/>
      <c r="AG14" s="14"/>
      <c r="AH14" s="14"/>
      <c r="AI14" s="14"/>
      <c r="AJ14" s="14"/>
      <c r="AK14" s="14"/>
      <c r="AL14" s="39"/>
      <c r="AM14" s="247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292"/>
      <c r="IP14" s="292"/>
      <c r="IQ14" s="292"/>
      <c r="IR14" s="292"/>
      <c r="IS14" s="292"/>
      <c r="IT14" s="292"/>
      <c r="IU14" s="292"/>
      <c r="IV14" s="292"/>
    </row>
    <row r="15" spans="1:1399" ht="20.100000000000001" customHeight="1" x14ac:dyDescent="0.2">
      <c r="A15" s="301"/>
      <c r="J15" s="14"/>
      <c r="K15" s="236" t="s">
        <v>6</v>
      </c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14"/>
      <c r="AF15" s="14"/>
      <c r="AG15" s="14"/>
      <c r="AH15" s="14"/>
      <c r="AI15" s="14"/>
      <c r="AJ15" s="14"/>
      <c r="AK15" s="14"/>
      <c r="AL15" s="39"/>
      <c r="AM15" s="247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292"/>
      <c r="IP15" s="292"/>
      <c r="IQ15" s="292"/>
      <c r="IR15" s="292"/>
      <c r="IS15" s="292"/>
      <c r="IT15" s="292"/>
      <c r="IU15" s="292"/>
      <c r="IV15" s="292"/>
    </row>
    <row r="16" spans="1:1399" ht="9.9499999999999993" customHeight="1" x14ac:dyDescent="0.2">
      <c r="A16" s="301"/>
      <c r="AL16" s="39"/>
      <c r="AM16" s="247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292"/>
      <c r="IP16" s="292"/>
      <c r="IQ16" s="292"/>
      <c r="IR16" s="292"/>
      <c r="IS16" s="292"/>
      <c r="IT16" s="292"/>
      <c r="IU16" s="292"/>
      <c r="IV16" s="292"/>
    </row>
    <row r="17" spans="1:256" ht="20.100000000000001" customHeight="1" x14ac:dyDescent="0.2">
      <c r="A17" s="301"/>
      <c r="C17" s="215" t="s">
        <v>0</v>
      </c>
      <c r="D17" s="216"/>
      <c r="E17" s="216"/>
      <c r="F17" s="216"/>
      <c r="G17" s="216"/>
      <c r="H17" s="216"/>
      <c r="I17" s="217"/>
      <c r="J17" s="215" t="s">
        <v>1</v>
      </c>
      <c r="K17" s="216"/>
      <c r="L17" s="216"/>
      <c r="M17" s="216"/>
      <c r="N17" s="216"/>
      <c r="O17" s="216"/>
      <c r="P17" s="217"/>
      <c r="Q17" s="215" t="s">
        <v>2</v>
      </c>
      <c r="R17" s="216"/>
      <c r="S17" s="216"/>
      <c r="T17" s="216"/>
      <c r="U17" s="216"/>
      <c r="V17" s="216"/>
      <c r="W17" s="217"/>
      <c r="X17" s="215" t="s">
        <v>52</v>
      </c>
      <c r="Y17" s="216"/>
      <c r="Z17" s="216"/>
      <c r="AA17" s="216"/>
      <c r="AB17" s="216"/>
      <c r="AC17" s="216"/>
      <c r="AD17" s="217"/>
      <c r="AE17" s="215" t="s">
        <v>3</v>
      </c>
      <c r="AF17" s="216"/>
      <c r="AG17" s="216"/>
      <c r="AH17" s="216"/>
      <c r="AI17" s="216"/>
      <c r="AJ17" s="216"/>
      <c r="AK17" s="216"/>
      <c r="AL17" s="217"/>
      <c r="AM17" s="247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292"/>
      <c r="IP17" s="292"/>
      <c r="IQ17" s="292"/>
      <c r="IR17" s="292"/>
      <c r="IS17" s="292"/>
      <c r="IT17" s="292"/>
      <c r="IU17" s="292"/>
      <c r="IV17" s="292"/>
    </row>
    <row r="18" spans="1:256" ht="20.100000000000001" customHeight="1" x14ac:dyDescent="0.2">
      <c r="A18" s="301"/>
      <c r="C18" s="240">
        <v>43466</v>
      </c>
      <c r="D18" s="241"/>
      <c r="E18" s="241"/>
      <c r="F18" s="241"/>
      <c r="G18" s="241"/>
      <c r="H18" s="241"/>
      <c r="I18" s="242"/>
      <c r="J18" s="240">
        <v>43951</v>
      </c>
      <c r="K18" s="241"/>
      <c r="L18" s="241"/>
      <c r="M18" s="241"/>
      <c r="N18" s="241"/>
      <c r="O18" s="241"/>
      <c r="P18" s="242"/>
      <c r="Q18" s="237">
        <v>2500</v>
      </c>
      <c r="R18" s="238"/>
      <c r="S18" s="238"/>
      <c r="T18" s="238"/>
      <c r="U18" s="238"/>
      <c r="V18" s="238"/>
      <c r="W18" s="239"/>
      <c r="X18" s="237">
        <v>0</v>
      </c>
      <c r="Y18" s="238"/>
      <c r="Z18" s="238"/>
      <c r="AA18" s="238"/>
      <c r="AB18" s="238"/>
      <c r="AC18" s="238"/>
      <c r="AD18" s="239"/>
      <c r="AE18" s="223" t="str">
        <f>VLOOKUP(F83,G82:H84,2,FALSE)</f>
        <v>INDENIZADO</v>
      </c>
      <c r="AF18" s="224"/>
      <c r="AG18" s="224"/>
      <c r="AH18" s="224"/>
      <c r="AI18" s="224"/>
      <c r="AJ18" s="224"/>
      <c r="AK18" s="224"/>
      <c r="AL18" s="225"/>
      <c r="AM18" s="247"/>
      <c r="FV18" s="52"/>
      <c r="FW18" s="52"/>
      <c r="FX18" s="52"/>
      <c r="FY18" s="52"/>
      <c r="FZ18" s="52"/>
      <c r="GA18" s="52"/>
      <c r="GB18" s="52"/>
      <c r="GC18" s="52"/>
      <c r="GD18" s="52"/>
      <c r="GE18" s="52"/>
      <c r="GF18" s="52"/>
      <c r="GG18" s="52"/>
      <c r="GH18" s="52"/>
      <c r="GI18" s="52"/>
      <c r="GJ18" s="52"/>
      <c r="GK18" s="52"/>
      <c r="GL18" s="52"/>
      <c r="GM18" s="52"/>
      <c r="GN18" s="52"/>
      <c r="GO18" s="52"/>
      <c r="GP18" s="52"/>
      <c r="GQ18" s="52"/>
      <c r="GR18" s="52"/>
      <c r="GS18" s="52"/>
      <c r="GT18" s="52"/>
      <c r="GU18" s="52"/>
      <c r="GV18" s="52"/>
      <c r="GW18" s="52"/>
      <c r="GX18" s="52"/>
      <c r="GY18" s="52"/>
      <c r="GZ18" s="52"/>
      <c r="HA18" s="52"/>
      <c r="HB18" s="52"/>
      <c r="HC18" s="52"/>
      <c r="HD18" s="52"/>
      <c r="HE18" s="52"/>
      <c r="HF18" s="52"/>
      <c r="HG18" s="52"/>
      <c r="HH18" s="52"/>
      <c r="HI18" s="52"/>
      <c r="HJ18" s="52"/>
      <c r="HK18" s="52"/>
      <c r="HL18" s="52"/>
      <c r="HM18" s="52"/>
      <c r="HN18" s="52"/>
      <c r="HO18" s="52"/>
      <c r="HP18" s="52"/>
      <c r="HQ18" s="52"/>
      <c r="HR18" s="52"/>
      <c r="HS18" s="52"/>
      <c r="HT18" s="52"/>
      <c r="HU18" s="52"/>
      <c r="HV18" s="52"/>
      <c r="HW18" s="52"/>
      <c r="HX18" s="52"/>
      <c r="HY18" s="52"/>
      <c r="HZ18" s="52"/>
      <c r="IA18" s="52"/>
      <c r="IB18" s="52"/>
      <c r="IC18" s="52"/>
      <c r="ID18" s="52"/>
      <c r="IE18" s="52"/>
      <c r="IF18" s="52"/>
      <c r="IG18" s="52"/>
      <c r="IH18" s="52"/>
      <c r="II18" s="52"/>
      <c r="IJ18" s="52"/>
      <c r="IK18" s="52"/>
      <c r="IL18" s="52"/>
      <c r="IM18" s="52"/>
      <c r="IN18" s="52"/>
      <c r="IO18" s="292"/>
      <c r="IP18" s="292"/>
      <c r="IQ18" s="292"/>
      <c r="IR18" s="292"/>
      <c r="IS18" s="292"/>
      <c r="IT18" s="292"/>
      <c r="IU18" s="292"/>
      <c r="IV18" s="292"/>
    </row>
    <row r="19" spans="1:256" ht="9.9499999999999993" customHeight="1" x14ac:dyDescent="0.2">
      <c r="A19" s="301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M19" s="247"/>
      <c r="FV19" s="52"/>
      <c r="FW19" s="52"/>
      <c r="FX19" s="52"/>
      <c r="FY19" s="52"/>
      <c r="FZ19" s="52"/>
      <c r="GA19" s="52"/>
      <c r="GB19" s="52"/>
      <c r="GC19" s="52"/>
      <c r="GD19" s="52"/>
      <c r="GE19" s="52"/>
      <c r="GF19" s="52"/>
      <c r="GG19" s="52"/>
      <c r="GH19" s="52"/>
      <c r="GI19" s="52"/>
      <c r="GJ19" s="52"/>
      <c r="GK19" s="52"/>
      <c r="GL19" s="52"/>
      <c r="GM19" s="52"/>
      <c r="GN19" s="52"/>
      <c r="GO19" s="52"/>
      <c r="GP19" s="52"/>
      <c r="GQ19" s="52"/>
      <c r="GR19" s="52"/>
      <c r="GS19" s="52"/>
      <c r="GT19" s="52"/>
      <c r="GU19" s="52"/>
      <c r="GV19" s="52"/>
      <c r="GW19" s="52"/>
      <c r="GX19" s="52"/>
      <c r="GY19" s="52"/>
      <c r="GZ19" s="52"/>
      <c r="HA19" s="52"/>
      <c r="HB19" s="52"/>
      <c r="HC19" s="52"/>
      <c r="HD19" s="52"/>
      <c r="HE19" s="52"/>
      <c r="HF19" s="52"/>
      <c r="HG19" s="52"/>
      <c r="HH19" s="52"/>
      <c r="HI19" s="52"/>
      <c r="HJ19" s="52"/>
      <c r="HK19" s="52"/>
      <c r="HL19" s="52"/>
      <c r="HM19" s="52"/>
      <c r="HN19" s="52"/>
      <c r="HO19" s="52"/>
      <c r="HP19" s="52"/>
      <c r="HQ19" s="52"/>
      <c r="HR19" s="52"/>
      <c r="HS19" s="52"/>
      <c r="HT19" s="52"/>
      <c r="HU19" s="52"/>
      <c r="HV19" s="52"/>
      <c r="HW19" s="52"/>
      <c r="HX19" s="52"/>
      <c r="HY19" s="52"/>
      <c r="HZ19" s="52"/>
      <c r="IA19" s="52"/>
      <c r="IB19" s="52"/>
      <c r="IC19" s="52"/>
      <c r="ID19" s="52"/>
      <c r="IE19" s="52"/>
      <c r="IF19" s="52"/>
      <c r="IG19" s="52"/>
      <c r="IH19" s="52"/>
      <c r="II19" s="52"/>
      <c r="IJ19" s="52"/>
      <c r="IK19" s="52"/>
      <c r="IL19" s="52"/>
      <c r="IM19" s="52"/>
      <c r="IN19" s="52"/>
      <c r="IO19" s="292"/>
      <c r="IP19" s="292"/>
      <c r="IQ19" s="292"/>
      <c r="IR19" s="292"/>
      <c r="IS19" s="292"/>
      <c r="IT19" s="292"/>
      <c r="IU19" s="292"/>
      <c r="IV19" s="292"/>
    </row>
    <row r="20" spans="1:256" ht="20.100000000000001" customHeight="1" x14ac:dyDescent="0.2">
      <c r="A20" s="301"/>
      <c r="C20" s="215" t="s">
        <v>54</v>
      </c>
      <c r="D20" s="216"/>
      <c r="E20" s="216"/>
      <c r="F20" s="216"/>
      <c r="G20" s="216"/>
      <c r="H20" s="216"/>
      <c r="I20" s="217"/>
      <c r="J20" s="215" t="s">
        <v>47</v>
      </c>
      <c r="K20" s="216"/>
      <c r="L20" s="216"/>
      <c r="M20" s="217"/>
      <c r="N20" s="215" t="s">
        <v>28</v>
      </c>
      <c r="O20" s="216"/>
      <c r="P20" s="216"/>
      <c r="Q20" s="216"/>
      <c r="R20" s="216"/>
      <c r="S20" s="216"/>
      <c r="T20" s="217"/>
      <c r="U20" s="215" t="s">
        <v>12</v>
      </c>
      <c r="V20" s="216"/>
      <c r="W20" s="216"/>
      <c r="X20" s="216"/>
      <c r="Y20" s="216"/>
      <c r="Z20" s="216"/>
      <c r="AA20" s="217"/>
      <c r="AB20" s="215" t="s">
        <v>55</v>
      </c>
      <c r="AC20" s="216"/>
      <c r="AD20" s="216"/>
      <c r="AE20" s="216"/>
      <c r="AF20" s="216"/>
      <c r="AG20" s="216"/>
      <c r="AH20" s="217"/>
      <c r="AI20" s="215" t="s">
        <v>46</v>
      </c>
      <c r="AJ20" s="216"/>
      <c r="AK20" s="216"/>
      <c r="AL20" s="217"/>
      <c r="AM20" s="247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292"/>
      <c r="IP20" s="292"/>
      <c r="IQ20" s="292"/>
      <c r="IR20" s="292"/>
      <c r="IS20" s="292"/>
      <c r="IT20" s="292"/>
      <c r="IU20" s="292"/>
      <c r="IV20" s="292"/>
    </row>
    <row r="21" spans="1:256" ht="20.100000000000001" customHeight="1" x14ac:dyDescent="0.2">
      <c r="A21" s="301"/>
      <c r="C21" s="223" t="str">
        <f>VLOOKUP(I88,G85:H86,2,FALSE)</f>
        <v>SIM</v>
      </c>
      <c r="D21" s="224"/>
      <c r="E21" s="224"/>
      <c r="F21" s="224"/>
      <c r="G21" s="224"/>
      <c r="H21" s="224"/>
      <c r="I21" s="225"/>
      <c r="J21" s="220">
        <v>0.5</v>
      </c>
      <c r="K21" s="221"/>
      <c r="L21" s="221"/>
      <c r="M21" s="222"/>
      <c r="N21" s="116">
        <v>0</v>
      </c>
      <c r="O21" s="117"/>
      <c r="P21" s="117"/>
      <c r="Q21" s="117"/>
      <c r="R21" s="117"/>
      <c r="S21" s="117"/>
      <c r="T21" s="118"/>
      <c r="U21" s="116">
        <v>0</v>
      </c>
      <c r="V21" s="117"/>
      <c r="W21" s="117"/>
      <c r="X21" s="117"/>
      <c r="Y21" s="117"/>
      <c r="Z21" s="117"/>
      <c r="AA21" s="118"/>
      <c r="AB21" s="116">
        <v>0</v>
      </c>
      <c r="AC21" s="117"/>
      <c r="AD21" s="117"/>
      <c r="AE21" s="117"/>
      <c r="AF21" s="117"/>
      <c r="AG21" s="117"/>
      <c r="AH21" s="118"/>
      <c r="AI21" s="206">
        <v>0</v>
      </c>
      <c r="AJ21" s="207"/>
      <c r="AK21" s="207"/>
      <c r="AL21" s="208"/>
      <c r="AM21" s="247"/>
      <c r="FV21" s="52"/>
      <c r="FW21" s="52"/>
      <c r="FX21" s="52"/>
      <c r="FY21" s="52"/>
      <c r="FZ21" s="52"/>
      <c r="GA21" s="52"/>
      <c r="GB21" s="52"/>
      <c r="GC21" s="52"/>
      <c r="GD21" s="52"/>
      <c r="GE21" s="52"/>
      <c r="GF21" s="52"/>
      <c r="GG21" s="52"/>
      <c r="GH21" s="52"/>
      <c r="GI21" s="52"/>
      <c r="GJ21" s="52"/>
      <c r="GK21" s="52"/>
      <c r="GL21" s="52"/>
      <c r="GM21" s="52"/>
      <c r="GN21" s="52"/>
      <c r="GO21" s="52"/>
      <c r="GP21" s="52"/>
      <c r="GQ21" s="52"/>
      <c r="GR21" s="52"/>
      <c r="GS21" s="52"/>
      <c r="GT21" s="52"/>
      <c r="GU21" s="52"/>
      <c r="GV21" s="52"/>
      <c r="GW21" s="52"/>
      <c r="GX21" s="52"/>
      <c r="GY21" s="52"/>
      <c r="GZ21" s="52"/>
      <c r="HA21" s="52"/>
      <c r="HB21" s="52"/>
      <c r="HC21" s="52"/>
      <c r="HD21" s="52"/>
      <c r="HE21" s="52"/>
      <c r="HF21" s="52"/>
      <c r="HG21" s="52"/>
      <c r="HH21" s="52"/>
      <c r="HI21" s="52"/>
      <c r="HJ21" s="52"/>
      <c r="HK21" s="52"/>
      <c r="HL21" s="52"/>
      <c r="HM21" s="52"/>
      <c r="HN21" s="52"/>
      <c r="HO21" s="52"/>
      <c r="HP21" s="52"/>
      <c r="HQ21" s="52"/>
      <c r="HR21" s="52"/>
      <c r="HS21" s="52"/>
      <c r="HT21" s="52"/>
      <c r="HU21" s="52"/>
      <c r="HV21" s="52"/>
      <c r="HW21" s="52"/>
      <c r="HX21" s="52"/>
      <c r="HY21" s="52"/>
      <c r="HZ21" s="52"/>
      <c r="IA21" s="52"/>
      <c r="IB21" s="52"/>
      <c r="IC21" s="52"/>
      <c r="ID21" s="52"/>
      <c r="IE21" s="52"/>
      <c r="IF21" s="52"/>
      <c r="IG21" s="52"/>
      <c r="IH21" s="52"/>
      <c r="II21" s="52"/>
      <c r="IJ21" s="52"/>
      <c r="IK21" s="52"/>
      <c r="IL21" s="52"/>
      <c r="IM21" s="52"/>
      <c r="IN21" s="52"/>
      <c r="IO21" s="292"/>
      <c r="IP21" s="292"/>
      <c r="IQ21" s="292"/>
      <c r="IR21" s="292"/>
      <c r="IS21" s="292"/>
      <c r="IT21" s="292"/>
      <c r="IU21" s="292"/>
      <c r="IV21" s="292"/>
    </row>
    <row r="22" spans="1:256" ht="9.9499999999999993" customHeight="1" x14ac:dyDescent="0.2">
      <c r="A22" s="301"/>
      <c r="C22" s="15"/>
      <c r="D22" s="15"/>
      <c r="E22" s="15"/>
      <c r="F22" s="15"/>
      <c r="G22" s="15"/>
      <c r="H22" s="15"/>
      <c r="I22" s="15"/>
      <c r="J22" s="18"/>
      <c r="K22" s="19"/>
      <c r="L22" s="19"/>
      <c r="M22" s="19"/>
      <c r="N22" s="19"/>
      <c r="O22" s="19"/>
      <c r="P22" s="19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M22" s="247"/>
      <c r="FV22" s="52"/>
      <c r="FW22" s="52"/>
      <c r="FX22" s="52"/>
      <c r="FY22" s="52"/>
      <c r="FZ22" s="52"/>
      <c r="GA22" s="52"/>
      <c r="GB22" s="52"/>
      <c r="GC22" s="52"/>
      <c r="GD22" s="52"/>
      <c r="GE22" s="52"/>
      <c r="GF22" s="52"/>
      <c r="GG22" s="52"/>
      <c r="GH22" s="52"/>
      <c r="GI22" s="52"/>
      <c r="GJ22" s="52"/>
      <c r="GK22" s="52"/>
      <c r="GL22" s="52"/>
      <c r="GM22" s="52"/>
      <c r="GN22" s="52"/>
      <c r="GO22" s="52"/>
      <c r="GP22" s="52"/>
      <c r="GQ22" s="52"/>
      <c r="GR22" s="52"/>
      <c r="GS22" s="52"/>
      <c r="GT22" s="52"/>
      <c r="GU22" s="52"/>
      <c r="GV22" s="52"/>
      <c r="GW22" s="52"/>
      <c r="GX22" s="52"/>
      <c r="GY22" s="52"/>
      <c r="GZ22" s="52"/>
      <c r="HA22" s="52"/>
      <c r="HB22" s="52"/>
      <c r="HC22" s="52"/>
      <c r="HD22" s="52"/>
      <c r="HE22" s="52"/>
      <c r="HF22" s="52"/>
      <c r="HG22" s="52"/>
      <c r="HH22" s="52"/>
      <c r="HI22" s="52"/>
      <c r="HJ22" s="52"/>
      <c r="HK22" s="52"/>
      <c r="HL22" s="52"/>
      <c r="HM22" s="52"/>
      <c r="HN22" s="52"/>
      <c r="HO22" s="52"/>
      <c r="HP22" s="52"/>
      <c r="HQ22" s="52"/>
      <c r="HR22" s="52"/>
      <c r="HS22" s="52"/>
      <c r="HT22" s="52"/>
      <c r="HU22" s="52"/>
      <c r="HV22" s="52"/>
      <c r="HW22" s="52"/>
      <c r="HX22" s="52"/>
      <c r="HY22" s="52"/>
      <c r="HZ22" s="52"/>
      <c r="IA22" s="52"/>
      <c r="IB22" s="52"/>
      <c r="IC22" s="52"/>
      <c r="ID22" s="52"/>
      <c r="IE22" s="52"/>
      <c r="IF22" s="52"/>
      <c r="IG22" s="52"/>
      <c r="IH22" s="52"/>
      <c r="II22" s="52"/>
      <c r="IJ22" s="52"/>
      <c r="IK22" s="52"/>
      <c r="IL22" s="52"/>
      <c r="IM22" s="52"/>
      <c r="IN22" s="52"/>
      <c r="IO22" s="292"/>
      <c r="IP22" s="292"/>
      <c r="IQ22" s="292"/>
      <c r="IR22" s="292"/>
      <c r="IS22" s="292"/>
      <c r="IT22" s="292"/>
      <c r="IU22" s="292"/>
      <c r="IV22" s="292"/>
    </row>
    <row r="23" spans="1:256" ht="20.100000000000001" customHeight="1" x14ac:dyDescent="0.2">
      <c r="A23" s="301"/>
      <c r="C23" s="122" t="s">
        <v>16</v>
      </c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4"/>
      <c r="U23" s="122" t="s">
        <v>19</v>
      </c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4"/>
      <c r="AM23" s="247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  <c r="GT23" s="52"/>
      <c r="GU23" s="52"/>
      <c r="GV23" s="52"/>
      <c r="GW23" s="52"/>
      <c r="GX23" s="52"/>
      <c r="GY23" s="52"/>
      <c r="GZ23" s="52"/>
      <c r="HA23" s="52"/>
      <c r="HB23" s="52"/>
      <c r="HC23" s="52"/>
      <c r="HD23" s="52"/>
      <c r="HE23" s="52"/>
      <c r="HF23" s="52"/>
      <c r="HG23" s="52"/>
      <c r="HH23" s="52"/>
      <c r="HI23" s="52"/>
      <c r="HJ23" s="52"/>
      <c r="HK23" s="52"/>
      <c r="HL23" s="52"/>
      <c r="HM23" s="52"/>
      <c r="HN23" s="52"/>
      <c r="HO23" s="52"/>
      <c r="HP23" s="52"/>
      <c r="HQ23" s="52"/>
      <c r="HR23" s="52"/>
      <c r="HS23" s="52"/>
      <c r="HT23" s="52"/>
      <c r="HU23" s="52"/>
      <c r="HV23" s="52"/>
      <c r="HW23" s="52"/>
      <c r="HX23" s="52"/>
      <c r="HY23" s="52"/>
      <c r="HZ23" s="52"/>
      <c r="IA23" s="52"/>
      <c r="IB23" s="52"/>
      <c r="IC23" s="52"/>
      <c r="ID23" s="52"/>
      <c r="IE23" s="52"/>
      <c r="IF23" s="52"/>
      <c r="IG23" s="52"/>
      <c r="IH23" s="52"/>
      <c r="II23" s="52"/>
      <c r="IJ23" s="52"/>
      <c r="IK23" s="52"/>
      <c r="IL23" s="52"/>
      <c r="IM23" s="52"/>
      <c r="IN23" s="52"/>
      <c r="IO23" s="292"/>
      <c r="IP23" s="292"/>
      <c r="IQ23" s="292"/>
      <c r="IR23" s="292"/>
      <c r="IS23" s="292"/>
      <c r="IT23" s="292"/>
      <c r="IU23" s="292"/>
      <c r="IV23" s="292"/>
    </row>
    <row r="24" spans="1:256" ht="20.100000000000001" customHeight="1" x14ac:dyDescent="0.2">
      <c r="A24" s="302"/>
      <c r="C24" s="209" t="s">
        <v>7</v>
      </c>
      <c r="D24" s="210"/>
      <c r="E24" s="210"/>
      <c r="F24" s="210"/>
      <c r="G24" s="210"/>
      <c r="H24" s="210"/>
      <c r="I24" s="210"/>
      <c r="J24" s="210"/>
      <c r="K24" s="210"/>
      <c r="L24" s="210"/>
      <c r="M24" s="119">
        <f>G100</f>
        <v>30</v>
      </c>
      <c r="N24" s="119"/>
      <c r="O24" s="119"/>
      <c r="P24" s="127">
        <f>(Q18/J98*G100)</f>
        <v>2500</v>
      </c>
      <c r="Q24" s="127"/>
      <c r="R24" s="127"/>
      <c r="S24" s="127"/>
      <c r="T24" s="128"/>
      <c r="U24" s="209" t="s">
        <v>108</v>
      </c>
      <c r="V24" s="210"/>
      <c r="W24" s="210"/>
      <c r="X24" s="210"/>
      <c r="Y24" s="210"/>
      <c r="Z24" s="210"/>
      <c r="AA24" s="210"/>
      <c r="AB24" s="210"/>
      <c r="AC24" s="210"/>
      <c r="AD24" s="210"/>
      <c r="AE24" s="133">
        <f>(Q106)</f>
        <v>0.09</v>
      </c>
      <c r="AF24" s="133"/>
      <c r="AG24" s="133"/>
      <c r="AH24" s="127">
        <f>(F100)</f>
        <v>225</v>
      </c>
      <c r="AI24" s="127"/>
      <c r="AJ24" s="127"/>
      <c r="AK24" s="127"/>
      <c r="AL24" s="128"/>
      <c r="AM24" s="247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V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292"/>
      <c r="IP24" s="292"/>
      <c r="IQ24" s="292"/>
      <c r="IR24" s="292"/>
      <c r="IS24" s="292"/>
      <c r="IT24" s="292"/>
      <c r="IU24" s="292"/>
      <c r="IV24" s="292"/>
    </row>
    <row r="25" spans="1:256" ht="20.100000000000001" customHeight="1" x14ac:dyDescent="0.2">
      <c r="A25" s="301"/>
      <c r="C25" s="138" t="s">
        <v>8</v>
      </c>
      <c r="D25" s="139"/>
      <c r="E25" s="139"/>
      <c r="F25" s="139"/>
      <c r="G25" s="139"/>
      <c r="H25" s="139"/>
      <c r="I25" s="139"/>
      <c r="J25" s="139"/>
      <c r="K25" s="139"/>
      <c r="L25" s="139"/>
      <c r="M25" s="218" t="str">
        <f>CONCATENATE(G103,"/12")</f>
        <v>4/12</v>
      </c>
      <c r="N25" s="218"/>
      <c r="O25" s="218"/>
      <c r="P25" s="131">
        <f>(Q18/12*G103)</f>
        <v>833.33333333333337</v>
      </c>
      <c r="Q25" s="131"/>
      <c r="R25" s="131"/>
      <c r="S25" s="131"/>
      <c r="T25" s="132"/>
      <c r="U25" s="138" t="s">
        <v>96</v>
      </c>
      <c r="V25" s="139"/>
      <c r="W25" s="139"/>
      <c r="X25" s="139"/>
      <c r="Y25" s="139"/>
      <c r="Z25" s="139"/>
      <c r="AA25" s="139"/>
      <c r="AB25" s="139"/>
      <c r="AC25" s="139"/>
      <c r="AD25" s="139"/>
      <c r="AE25" s="135">
        <f>(Q107)</f>
        <v>7.4999999999999997E-2</v>
      </c>
      <c r="AF25" s="135"/>
      <c r="AG25" s="135"/>
      <c r="AH25" s="131">
        <f>(F101)</f>
        <v>62.5</v>
      </c>
      <c r="AI25" s="131"/>
      <c r="AJ25" s="131"/>
      <c r="AK25" s="131"/>
      <c r="AL25" s="132"/>
      <c r="AM25" s="247"/>
      <c r="FV25" s="52"/>
      <c r="FW25" s="52"/>
      <c r="FX25" s="52"/>
      <c r="FY25" s="52"/>
      <c r="FZ25" s="52"/>
      <c r="GA25" s="52"/>
      <c r="GB25" s="52"/>
      <c r="GC25" s="52"/>
      <c r="GD25" s="52"/>
      <c r="GE25" s="52"/>
      <c r="GF25" s="52"/>
      <c r="GG25" s="52"/>
      <c r="GH25" s="52"/>
      <c r="GI25" s="52"/>
      <c r="GJ25" s="52"/>
      <c r="GK25" s="52"/>
      <c r="GL25" s="52"/>
      <c r="GM25" s="52"/>
      <c r="GN25" s="52"/>
      <c r="GO25" s="52"/>
      <c r="GP25" s="52"/>
      <c r="GQ25" s="52"/>
      <c r="GR25" s="52"/>
      <c r="GS25" s="52"/>
      <c r="GT25" s="52"/>
      <c r="GU25" s="52"/>
      <c r="GV25" s="52"/>
      <c r="GW25" s="52"/>
      <c r="GX25" s="52"/>
      <c r="GY25" s="52"/>
      <c r="GZ25" s="52"/>
      <c r="HA25" s="52"/>
      <c r="HB25" s="52"/>
      <c r="HC25" s="52"/>
      <c r="HD25" s="52"/>
      <c r="HE25" s="52"/>
      <c r="HF25" s="52"/>
      <c r="HG25" s="52"/>
      <c r="HH25" s="52"/>
      <c r="HI25" s="52"/>
      <c r="HJ25" s="52"/>
      <c r="HK25" s="52"/>
      <c r="HL25" s="52"/>
      <c r="HM25" s="52"/>
      <c r="HN25" s="52"/>
      <c r="HO25" s="52"/>
      <c r="HP25" s="52"/>
      <c r="HQ25" s="52"/>
      <c r="HR25" s="52"/>
      <c r="HS25" s="52"/>
      <c r="HT25" s="52"/>
      <c r="HU25" s="52"/>
      <c r="HV25" s="52"/>
      <c r="HW25" s="52"/>
      <c r="HX25" s="52"/>
      <c r="HY25" s="52"/>
      <c r="HZ25" s="52"/>
      <c r="IA25" s="52"/>
      <c r="IB25" s="52"/>
      <c r="IC25" s="52"/>
      <c r="ID25" s="52"/>
      <c r="IE25" s="52"/>
      <c r="IF25" s="52"/>
      <c r="IG25" s="52"/>
      <c r="IH25" s="52"/>
      <c r="II25" s="52"/>
      <c r="IJ25" s="52"/>
      <c r="IK25" s="52"/>
      <c r="IL25" s="52"/>
      <c r="IM25" s="52"/>
      <c r="IN25" s="52"/>
      <c r="IO25" s="292"/>
      <c r="IP25" s="292"/>
      <c r="IQ25" s="292"/>
      <c r="IR25" s="292"/>
      <c r="IS25" s="292"/>
      <c r="IT25" s="292"/>
      <c r="IU25" s="292"/>
      <c r="IV25" s="292"/>
    </row>
    <row r="26" spans="1:256" ht="20.100000000000001" customHeight="1" x14ac:dyDescent="0.2">
      <c r="A26" s="301"/>
      <c r="C26" s="138" t="s">
        <v>9</v>
      </c>
      <c r="D26" s="139"/>
      <c r="E26" s="139"/>
      <c r="F26" s="139"/>
      <c r="G26" s="139"/>
      <c r="H26" s="139"/>
      <c r="I26" s="139"/>
      <c r="J26" s="139"/>
      <c r="K26" s="139"/>
      <c r="L26" s="139"/>
      <c r="M26" s="218" t="str">
        <f>CONCATENATE(G103,"/12")</f>
        <v>4/12</v>
      </c>
      <c r="N26" s="218"/>
      <c r="O26" s="218"/>
      <c r="P26" s="131">
        <f>(X18/12*G103)</f>
        <v>0</v>
      </c>
      <c r="Q26" s="131"/>
      <c r="R26" s="131"/>
      <c r="S26" s="131"/>
      <c r="T26" s="132"/>
      <c r="U26" s="138" t="s">
        <v>97</v>
      </c>
      <c r="V26" s="139"/>
      <c r="W26" s="139"/>
      <c r="X26" s="139"/>
      <c r="Y26" s="139"/>
      <c r="Z26" s="139"/>
      <c r="AA26" s="139"/>
      <c r="AB26" s="139"/>
      <c r="AC26" s="139"/>
      <c r="AD26" s="139"/>
      <c r="AE26" s="150">
        <f>T125</f>
        <v>0.27500000000000002</v>
      </c>
      <c r="AF26" s="150"/>
      <c r="AG26" s="150"/>
      <c r="AH26" s="131">
        <f>Z125</f>
        <v>496.91349999999989</v>
      </c>
      <c r="AI26" s="131"/>
      <c r="AJ26" s="131"/>
      <c r="AK26" s="131"/>
      <c r="AL26" s="132"/>
      <c r="AM26" s="247"/>
      <c r="FV26" s="52"/>
      <c r="FW26" s="52"/>
      <c r="FX26" s="52"/>
      <c r="FY26" s="52"/>
      <c r="FZ26" s="52"/>
      <c r="GA26" s="52"/>
      <c r="GB26" s="52"/>
      <c r="GC26" s="52"/>
      <c r="GD26" s="52"/>
      <c r="GE26" s="52"/>
      <c r="GF26" s="52"/>
      <c r="GG26" s="52"/>
      <c r="GH26" s="52"/>
      <c r="GI26" s="52"/>
      <c r="GJ26" s="52"/>
      <c r="GK26" s="52"/>
      <c r="GL26" s="52"/>
      <c r="GM26" s="52"/>
      <c r="GN26" s="52"/>
      <c r="GO26" s="52"/>
      <c r="GP26" s="52"/>
      <c r="GQ26" s="52"/>
      <c r="GR26" s="52"/>
      <c r="GS26" s="52"/>
      <c r="GT26" s="52"/>
      <c r="GU26" s="52"/>
      <c r="GV26" s="52"/>
      <c r="GW26" s="52"/>
      <c r="GX26" s="52"/>
      <c r="GY26" s="52"/>
      <c r="GZ26" s="52"/>
      <c r="HA26" s="52"/>
      <c r="HB26" s="52"/>
      <c r="HC26" s="52"/>
      <c r="HD26" s="52"/>
      <c r="HE26" s="52"/>
      <c r="HF26" s="52"/>
      <c r="HG26" s="52"/>
      <c r="HH26" s="52"/>
      <c r="HI26" s="52"/>
      <c r="HJ26" s="52"/>
      <c r="HK26" s="52"/>
      <c r="HL26" s="52"/>
      <c r="HM26" s="52"/>
      <c r="HN26" s="52"/>
      <c r="HO26" s="52"/>
      <c r="HP26" s="52"/>
      <c r="HQ26" s="52"/>
      <c r="HR26" s="52"/>
      <c r="HS26" s="52"/>
      <c r="HT26" s="52"/>
      <c r="HU26" s="52"/>
      <c r="HV26" s="52"/>
      <c r="HW26" s="52"/>
      <c r="HX26" s="52"/>
      <c r="HY26" s="52"/>
      <c r="HZ26" s="52"/>
      <c r="IA26" s="52"/>
      <c r="IB26" s="52"/>
      <c r="IC26" s="52"/>
      <c r="ID26" s="52"/>
      <c r="IE26" s="52"/>
      <c r="IF26" s="52"/>
      <c r="IG26" s="52"/>
      <c r="IH26" s="52"/>
      <c r="II26" s="52"/>
      <c r="IJ26" s="52"/>
      <c r="IK26" s="52"/>
      <c r="IL26" s="52"/>
      <c r="IM26" s="52"/>
      <c r="IN26" s="52"/>
      <c r="IO26" s="292"/>
      <c r="IP26" s="292"/>
      <c r="IQ26" s="292"/>
      <c r="IR26" s="292"/>
      <c r="IS26" s="292"/>
      <c r="IT26" s="292"/>
      <c r="IU26" s="292"/>
      <c r="IV26" s="292"/>
    </row>
    <row r="27" spans="1:256" ht="20.100000000000001" customHeight="1" x14ac:dyDescent="0.2">
      <c r="A27" s="301"/>
      <c r="C27" s="138" t="s">
        <v>14</v>
      </c>
      <c r="D27" s="139"/>
      <c r="E27" s="139"/>
      <c r="F27" s="139"/>
      <c r="G27" s="139"/>
      <c r="H27" s="139"/>
      <c r="I27" s="139"/>
      <c r="J27" s="139"/>
      <c r="K27" s="139"/>
      <c r="L27" s="139"/>
      <c r="M27" s="219" t="str">
        <f>IF(F90=2,("01/12"),("-"))</f>
        <v>01/12</v>
      </c>
      <c r="N27" s="211"/>
      <c r="O27" s="211"/>
      <c r="P27" s="131">
        <f>IF(F90=2,(G94/12),(0))</f>
        <v>208.33333333333334</v>
      </c>
      <c r="Q27" s="131"/>
      <c r="R27" s="131"/>
      <c r="S27" s="131"/>
      <c r="T27" s="132"/>
      <c r="U27" s="138" t="s">
        <v>98</v>
      </c>
      <c r="V27" s="139"/>
      <c r="W27" s="139"/>
      <c r="X27" s="139"/>
      <c r="Y27" s="139"/>
      <c r="Z27" s="139"/>
      <c r="AA27" s="139"/>
      <c r="AB27" s="139"/>
      <c r="AC27" s="139"/>
      <c r="AD27" s="139"/>
      <c r="AE27" s="150">
        <f>U125</f>
        <v>0</v>
      </c>
      <c r="AF27" s="150"/>
      <c r="AG27" s="150"/>
      <c r="AH27" s="131">
        <f>U128</f>
        <v>0</v>
      </c>
      <c r="AI27" s="131"/>
      <c r="AJ27" s="131"/>
      <c r="AK27" s="131"/>
      <c r="AL27" s="132"/>
      <c r="AM27" s="247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V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292"/>
      <c r="IP27" s="292"/>
      <c r="IQ27" s="292"/>
      <c r="IR27" s="292"/>
      <c r="IS27" s="292"/>
      <c r="IT27" s="292"/>
      <c r="IU27" s="292"/>
      <c r="IV27" s="292"/>
    </row>
    <row r="28" spans="1:256" ht="20.100000000000001" customHeight="1" x14ac:dyDescent="0.2">
      <c r="A28" s="301"/>
      <c r="C28" s="138" t="s">
        <v>10</v>
      </c>
      <c r="D28" s="139"/>
      <c r="E28" s="139"/>
      <c r="F28" s="139"/>
      <c r="G28" s="139"/>
      <c r="H28" s="139"/>
      <c r="I28" s="139"/>
      <c r="J28" s="139"/>
      <c r="K28" s="139"/>
      <c r="L28" s="139"/>
      <c r="M28" s="211">
        <f>IF(I88=2,(1),(IF(I88=3,("DOB+3ª"),("-"))))</f>
        <v>1</v>
      </c>
      <c r="N28" s="211"/>
      <c r="O28" s="211"/>
      <c r="P28" s="131">
        <f>IF(I88=2,(G94),(IF(I88=3,(G94*3),(0))))</f>
        <v>2500</v>
      </c>
      <c r="Q28" s="131"/>
      <c r="R28" s="131"/>
      <c r="S28" s="131"/>
      <c r="T28" s="132"/>
      <c r="U28" s="138" t="s">
        <v>3</v>
      </c>
      <c r="V28" s="139"/>
      <c r="W28" s="139"/>
      <c r="X28" s="139"/>
      <c r="Y28" s="139"/>
      <c r="Z28" s="139"/>
      <c r="AA28" s="139"/>
      <c r="AB28" s="139"/>
      <c r="AC28" s="139"/>
      <c r="AD28" s="139"/>
      <c r="AE28" s="211" t="str">
        <f>IF(F80=2,(1),("-"))</f>
        <v>-</v>
      </c>
      <c r="AF28" s="211"/>
      <c r="AG28" s="211"/>
      <c r="AH28" s="131">
        <f>IF(F80=2,(G80),(0))</f>
        <v>0</v>
      </c>
      <c r="AI28" s="131"/>
      <c r="AJ28" s="131"/>
      <c r="AK28" s="131"/>
      <c r="AL28" s="132"/>
      <c r="AM28" s="247"/>
      <c r="FV28" s="52"/>
      <c r="FW28" s="52"/>
      <c r="FX28" s="52"/>
      <c r="FY28" s="52"/>
      <c r="FZ28" s="52"/>
      <c r="GA28" s="52"/>
      <c r="GB28" s="52"/>
      <c r="GC28" s="52"/>
      <c r="GD28" s="52"/>
      <c r="GE28" s="52"/>
      <c r="GF28" s="52"/>
      <c r="GG28" s="52"/>
      <c r="GH28" s="52"/>
      <c r="GI28" s="52"/>
      <c r="GJ28" s="52"/>
      <c r="GK28" s="52"/>
      <c r="GL28" s="52"/>
      <c r="GM28" s="52"/>
      <c r="GN28" s="52"/>
      <c r="GO28" s="52"/>
      <c r="GP28" s="52"/>
      <c r="GQ28" s="52"/>
      <c r="GR28" s="52"/>
      <c r="GS28" s="52"/>
      <c r="GT28" s="52"/>
      <c r="GU28" s="52"/>
      <c r="GV28" s="52"/>
      <c r="GW28" s="52"/>
      <c r="GX28" s="52"/>
      <c r="GY28" s="52"/>
      <c r="GZ28" s="52"/>
      <c r="HA28" s="52"/>
      <c r="HB28" s="52"/>
      <c r="HC28" s="52"/>
      <c r="HD28" s="52"/>
      <c r="HE28" s="52"/>
      <c r="HF28" s="52"/>
      <c r="HG28" s="52"/>
      <c r="HH28" s="52"/>
      <c r="HI28" s="52"/>
      <c r="HJ28" s="52"/>
      <c r="HK28" s="52"/>
      <c r="HL28" s="52"/>
      <c r="HM28" s="52"/>
      <c r="HN28" s="52"/>
      <c r="HO28" s="52"/>
      <c r="HP28" s="52"/>
      <c r="HQ28" s="52"/>
      <c r="HR28" s="52"/>
      <c r="HS28" s="52"/>
      <c r="HT28" s="52"/>
      <c r="HU28" s="52"/>
      <c r="HV28" s="52"/>
      <c r="HW28" s="52"/>
      <c r="HX28" s="52"/>
      <c r="HY28" s="52"/>
      <c r="HZ28" s="52"/>
      <c r="IA28" s="52"/>
      <c r="IB28" s="52"/>
      <c r="IC28" s="52"/>
      <c r="ID28" s="52"/>
      <c r="IE28" s="52"/>
      <c r="IF28" s="52"/>
      <c r="IG28" s="52"/>
      <c r="IH28" s="52"/>
      <c r="II28" s="52"/>
      <c r="IJ28" s="52"/>
      <c r="IK28" s="52"/>
      <c r="IL28" s="52"/>
      <c r="IM28" s="52"/>
      <c r="IN28" s="52"/>
      <c r="IO28" s="292"/>
      <c r="IP28" s="292"/>
      <c r="IQ28" s="292"/>
      <c r="IR28" s="292"/>
      <c r="IS28" s="292"/>
      <c r="IT28" s="292"/>
      <c r="IU28" s="292"/>
      <c r="IV28" s="292"/>
    </row>
    <row r="29" spans="1:256" ht="20.100000000000001" customHeight="1" x14ac:dyDescent="0.2">
      <c r="A29" s="292"/>
      <c r="C29" s="138" t="s">
        <v>11</v>
      </c>
      <c r="D29" s="139"/>
      <c r="E29" s="139"/>
      <c r="F29" s="139"/>
      <c r="G29" s="139"/>
      <c r="H29" s="139"/>
      <c r="I29" s="139"/>
      <c r="J29" s="139"/>
      <c r="K29" s="139"/>
      <c r="L29" s="139"/>
      <c r="M29" s="211" t="str">
        <f>CONCATENATE(E127,"/12")</f>
        <v>4/12</v>
      </c>
      <c r="N29" s="211"/>
      <c r="O29" s="211"/>
      <c r="P29" s="131">
        <f>(G94/12)*E127</f>
        <v>833.33333333333337</v>
      </c>
      <c r="Q29" s="131"/>
      <c r="R29" s="131"/>
      <c r="S29" s="131"/>
      <c r="T29" s="132"/>
      <c r="U29" s="212" t="s">
        <v>48</v>
      </c>
      <c r="V29" s="213"/>
      <c r="W29" s="213"/>
      <c r="X29" s="213"/>
      <c r="Y29" s="213"/>
      <c r="Z29" s="213"/>
      <c r="AA29" s="213"/>
      <c r="AB29" s="213"/>
      <c r="AC29" s="213"/>
      <c r="AD29" s="213"/>
      <c r="AE29" s="233">
        <f>(AB21)</f>
        <v>0</v>
      </c>
      <c r="AF29" s="233"/>
      <c r="AG29" s="233"/>
      <c r="AH29" s="248">
        <f>(G122)</f>
        <v>0</v>
      </c>
      <c r="AI29" s="248"/>
      <c r="AJ29" s="248"/>
      <c r="AK29" s="248"/>
      <c r="AL29" s="249"/>
      <c r="AM29" s="247"/>
      <c r="FV29" s="52"/>
      <c r="FW29" s="52"/>
      <c r="FX29" s="52"/>
      <c r="FY29" s="52"/>
      <c r="FZ29" s="52"/>
      <c r="GA29" s="52"/>
      <c r="GB29" s="52"/>
      <c r="GC29" s="52"/>
      <c r="GD29" s="52"/>
      <c r="GE29" s="52"/>
      <c r="GF29" s="52"/>
      <c r="GG29" s="52"/>
      <c r="GH29" s="52"/>
      <c r="GI29" s="52"/>
      <c r="GJ29" s="52"/>
      <c r="GK29" s="52"/>
      <c r="GL29" s="52"/>
      <c r="GM29" s="52"/>
      <c r="GN29" s="52"/>
      <c r="GO29" s="52"/>
      <c r="GP29" s="52"/>
      <c r="GQ29" s="52"/>
      <c r="GR29" s="52"/>
      <c r="GS29" s="52"/>
      <c r="GT29" s="52"/>
      <c r="GU29" s="52"/>
      <c r="GV29" s="52"/>
      <c r="GW29" s="52"/>
      <c r="GX29" s="52"/>
      <c r="GY29" s="52"/>
      <c r="GZ29" s="52"/>
      <c r="HA29" s="52"/>
      <c r="HB29" s="52"/>
      <c r="HC29" s="52"/>
      <c r="HD29" s="52"/>
      <c r="HE29" s="52"/>
      <c r="HF29" s="52"/>
      <c r="HG29" s="52"/>
      <c r="HH29" s="52"/>
      <c r="HI29" s="52"/>
      <c r="HJ29" s="52"/>
      <c r="HK29" s="52"/>
      <c r="HL29" s="52"/>
      <c r="HM29" s="52"/>
      <c r="HN29" s="52"/>
      <c r="HO29" s="52"/>
      <c r="HP29" s="52"/>
      <c r="HQ29" s="52"/>
      <c r="HR29" s="52"/>
      <c r="HS29" s="52"/>
      <c r="HT29" s="52"/>
      <c r="HU29" s="52"/>
      <c r="HV29" s="52"/>
      <c r="HW29" s="52"/>
      <c r="HX29" s="52"/>
      <c r="HY29" s="52"/>
      <c r="HZ29" s="52"/>
      <c r="IA29" s="52"/>
      <c r="IB29" s="52"/>
      <c r="IC29" s="52"/>
      <c r="ID29" s="52"/>
      <c r="IE29" s="52"/>
      <c r="IF29" s="52"/>
      <c r="IG29" s="52"/>
      <c r="IH29" s="52"/>
      <c r="II29" s="52"/>
      <c r="IJ29" s="52"/>
      <c r="IK29" s="52"/>
      <c r="IL29" s="52"/>
      <c r="IM29" s="52"/>
      <c r="IN29" s="52"/>
      <c r="IO29" s="292"/>
      <c r="IP29" s="292"/>
      <c r="IQ29" s="292"/>
      <c r="IR29" s="292"/>
      <c r="IS29" s="292"/>
      <c r="IT29" s="292"/>
      <c r="IU29" s="292"/>
      <c r="IV29" s="292"/>
    </row>
    <row r="30" spans="1:256" ht="20.100000000000001" customHeight="1" x14ac:dyDescent="0.2">
      <c r="A30" s="292"/>
      <c r="C30" s="138" t="s">
        <v>15</v>
      </c>
      <c r="D30" s="139"/>
      <c r="E30" s="139"/>
      <c r="F30" s="139"/>
      <c r="G30" s="139"/>
      <c r="H30" s="139"/>
      <c r="I30" s="139"/>
      <c r="J30" s="139"/>
      <c r="K30" s="139"/>
      <c r="L30" s="139"/>
      <c r="M30" s="211" t="str">
        <f>IF(F90=2,("01/12"),("-"))</f>
        <v>01/12</v>
      </c>
      <c r="N30" s="211"/>
      <c r="O30" s="211"/>
      <c r="P30" s="131">
        <f>IF(F90=2,(G94/12),(0))</f>
        <v>208.33333333333334</v>
      </c>
      <c r="Q30" s="131"/>
      <c r="R30" s="131"/>
      <c r="S30" s="131"/>
      <c r="T30" s="132"/>
      <c r="U30" s="138" t="s">
        <v>18</v>
      </c>
      <c r="V30" s="139"/>
      <c r="W30" s="139"/>
      <c r="X30" s="139"/>
      <c r="Y30" s="139"/>
      <c r="Z30" s="139"/>
      <c r="AA30" s="139"/>
      <c r="AB30" s="139"/>
      <c r="AC30" s="139"/>
      <c r="AD30" s="139"/>
      <c r="AE30" s="134" t="s">
        <v>27</v>
      </c>
      <c r="AF30" s="134"/>
      <c r="AG30" s="134"/>
      <c r="AH30" s="154">
        <v>0</v>
      </c>
      <c r="AI30" s="154"/>
      <c r="AJ30" s="154"/>
      <c r="AK30" s="154"/>
      <c r="AL30" s="155"/>
      <c r="AM30" s="247"/>
      <c r="FV30" s="52"/>
      <c r="FW30" s="52"/>
      <c r="FX30" s="52"/>
      <c r="FY30" s="52"/>
      <c r="FZ30" s="52"/>
      <c r="GA30" s="52"/>
      <c r="GB30" s="52"/>
      <c r="GC30" s="52"/>
      <c r="GD30" s="52"/>
      <c r="GE30" s="52"/>
      <c r="GF30" s="52"/>
      <c r="GG30" s="52"/>
      <c r="GH30" s="52"/>
      <c r="GI30" s="52"/>
      <c r="GJ30" s="52"/>
      <c r="GK30" s="52"/>
      <c r="GL30" s="52"/>
      <c r="GM30" s="52"/>
      <c r="GN30" s="52"/>
      <c r="GO30" s="52"/>
      <c r="GP30" s="52"/>
      <c r="GQ30" s="52"/>
      <c r="GR30" s="52"/>
      <c r="GS30" s="52"/>
      <c r="GT30" s="52"/>
      <c r="GU30" s="52"/>
      <c r="GV30" s="52"/>
      <c r="GW30" s="52"/>
      <c r="GX30" s="52"/>
      <c r="GY30" s="52"/>
      <c r="GZ30" s="52"/>
      <c r="HA30" s="52"/>
      <c r="HB30" s="52"/>
      <c r="HC30" s="52"/>
      <c r="HD30" s="52"/>
      <c r="HE30" s="52"/>
      <c r="HF30" s="52"/>
      <c r="HG30" s="52"/>
      <c r="HH30" s="52"/>
      <c r="HI30" s="52"/>
      <c r="HJ30" s="52"/>
      <c r="HK30" s="52"/>
      <c r="HL30" s="52"/>
      <c r="HM30" s="52"/>
      <c r="HN30" s="52"/>
      <c r="HO30" s="52"/>
      <c r="HP30" s="52"/>
      <c r="HQ30" s="52"/>
      <c r="HR30" s="52"/>
      <c r="HS30" s="52"/>
      <c r="HT30" s="52"/>
      <c r="HU30" s="52"/>
      <c r="HV30" s="52"/>
      <c r="HW30" s="52"/>
      <c r="HX30" s="52"/>
      <c r="HY30" s="52"/>
      <c r="HZ30" s="52"/>
      <c r="IA30" s="52"/>
      <c r="IB30" s="52"/>
      <c r="IC30" s="52"/>
      <c r="ID30" s="52"/>
      <c r="IE30" s="52"/>
      <c r="IF30" s="52"/>
      <c r="IG30" s="52"/>
      <c r="IH30" s="52"/>
      <c r="II30" s="52"/>
      <c r="IJ30" s="52"/>
      <c r="IK30" s="52"/>
      <c r="IL30" s="52"/>
      <c r="IM30" s="52"/>
      <c r="IN30" s="52"/>
      <c r="IO30" s="292"/>
      <c r="IP30" s="292"/>
      <c r="IQ30" s="292"/>
      <c r="IR30" s="292"/>
      <c r="IS30" s="292"/>
      <c r="IT30" s="292"/>
      <c r="IU30" s="292"/>
      <c r="IV30" s="292"/>
    </row>
    <row r="31" spans="1:256" ht="20.100000000000001" customHeight="1" x14ac:dyDescent="0.2">
      <c r="A31" s="292"/>
      <c r="C31" s="138" t="s">
        <v>95</v>
      </c>
      <c r="D31" s="139"/>
      <c r="E31" s="139"/>
      <c r="F31" s="139"/>
      <c r="G31" s="139"/>
      <c r="H31" s="139"/>
      <c r="I31" s="139"/>
      <c r="J31" s="139"/>
      <c r="K31" s="139"/>
      <c r="L31" s="139"/>
      <c r="M31" s="250" t="s">
        <v>26</v>
      </c>
      <c r="N31" s="211"/>
      <c r="O31" s="211"/>
      <c r="P31" s="131">
        <f>SUM(P28:T30)/3</f>
        <v>1180.5555555555557</v>
      </c>
      <c r="Q31" s="131"/>
      <c r="R31" s="131"/>
      <c r="S31" s="131"/>
      <c r="T31" s="132"/>
      <c r="U31" s="212" t="s">
        <v>27</v>
      </c>
      <c r="V31" s="213"/>
      <c r="W31" s="213"/>
      <c r="X31" s="213"/>
      <c r="Y31" s="213"/>
      <c r="Z31" s="213"/>
      <c r="AA31" s="213"/>
      <c r="AB31" s="213"/>
      <c r="AC31" s="213"/>
      <c r="AD31" s="213"/>
      <c r="AE31" s="134" t="s">
        <v>27</v>
      </c>
      <c r="AF31" s="134"/>
      <c r="AG31" s="134"/>
      <c r="AH31" s="154">
        <v>0</v>
      </c>
      <c r="AI31" s="154"/>
      <c r="AJ31" s="154"/>
      <c r="AK31" s="154"/>
      <c r="AL31" s="155"/>
      <c r="AM31" s="247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U31" s="52"/>
      <c r="HV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292"/>
      <c r="IP31" s="292"/>
      <c r="IQ31" s="292"/>
      <c r="IR31" s="292"/>
      <c r="IS31" s="292"/>
      <c r="IT31" s="292"/>
      <c r="IU31" s="292"/>
      <c r="IV31" s="292"/>
    </row>
    <row r="32" spans="1:256" ht="20.100000000000001" customHeight="1" x14ac:dyDescent="0.2">
      <c r="A32" s="292"/>
      <c r="C32" s="174" t="s">
        <v>13</v>
      </c>
      <c r="D32" s="175"/>
      <c r="E32" s="175"/>
      <c r="F32" s="175"/>
      <c r="G32" s="175"/>
      <c r="H32" s="176"/>
      <c r="I32" s="177">
        <f>(J21)</f>
        <v>0.5</v>
      </c>
      <c r="J32" s="178"/>
      <c r="K32" s="178"/>
      <c r="L32" s="178"/>
      <c r="M32" s="214">
        <f>(N21)</f>
        <v>0</v>
      </c>
      <c r="N32" s="214"/>
      <c r="O32" s="214"/>
      <c r="P32" s="131">
        <f>(G120)</f>
        <v>0</v>
      </c>
      <c r="Q32" s="131"/>
      <c r="R32" s="131"/>
      <c r="S32" s="131"/>
      <c r="T32" s="132"/>
      <c r="U32" s="152" t="s">
        <v>27</v>
      </c>
      <c r="V32" s="153"/>
      <c r="W32" s="153"/>
      <c r="X32" s="153"/>
      <c r="Y32" s="153"/>
      <c r="Z32" s="153"/>
      <c r="AA32" s="153"/>
      <c r="AB32" s="153"/>
      <c r="AC32" s="153"/>
      <c r="AD32" s="153"/>
      <c r="AE32" s="134" t="s">
        <v>27</v>
      </c>
      <c r="AF32" s="134"/>
      <c r="AG32" s="134"/>
      <c r="AH32" s="154">
        <v>0</v>
      </c>
      <c r="AI32" s="154"/>
      <c r="AJ32" s="154"/>
      <c r="AK32" s="154"/>
      <c r="AL32" s="155"/>
      <c r="AM32" s="247"/>
      <c r="FV32" s="52"/>
      <c r="FW32" s="52"/>
      <c r="FX32" s="52"/>
      <c r="FY32" s="52"/>
      <c r="FZ32" s="52"/>
      <c r="GA32" s="52"/>
      <c r="GB32" s="52"/>
      <c r="GC32" s="52"/>
      <c r="GD32" s="52"/>
      <c r="GE32" s="52"/>
      <c r="GF32" s="52"/>
      <c r="GG32" s="52"/>
      <c r="GH32" s="52"/>
      <c r="GI32" s="52"/>
      <c r="GJ32" s="52"/>
      <c r="GK32" s="52"/>
      <c r="GL32" s="52"/>
      <c r="GM32" s="52"/>
      <c r="GN32" s="52"/>
      <c r="GO32" s="52"/>
      <c r="GP32" s="52"/>
      <c r="GQ32" s="52"/>
      <c r="GR32" s="52"/>
      <c r="GS32" s="52"/>
      <c r="GT32" s="52"/>
      <c r="GU32" s="52"/>
      <c r="GV32" s="52"/>
      <c r="GW32" s="52"/>
      <c r="GX32" s="52"/>
      <c r="GY32" s="52"/>
      <c r="GZ32" s="52"/>
      <c r="HA32" s="52"/>
      <c r="HB32" s="52"/>
      <c r="HC32" s="52"/>
      <c r="HD32" s="52"/>
      <c r="HE32" s="52"/>
      <c r="HF32" s="52"/>
      <c r="HG32" s="52"/>
      <c r="HH32" s="52"/>
      <c r="HI32" s="52"/>
      <c r="HJ32" s="52"/>
      <c r="HK32" s="52"/>
      <c r="HL32" s="52"/>
      <c r="HM32" s="52"/>
      <c r="HN32" s="52"/>
      <c r="HO32" s="52"/>
      <c r="HP32" s="52"/>
      <c r="HQ32" s="52"/>
      <c r="HR32" s="52"/>
      <c r="HS32" s="52"/>
      <c r="HT32" s="52"/>
      <c r="HU32" s="52"/>
      <c r="HV32" s="52"/>
      <c r="HW32" s="52"/>
      <c r="HX32" s="52"/>
      <c r="HY32" s="52"/>
      <c r="HZ32" s="52"/>
      <c r="IA32" s="52"/>
      <c r="IB32" s="52"/>
      <c r="IC32" s="52"/>
      <c r="ID32" s="52"/>
      <c r="IE32" s="52"/>
      <c r="IF32" s="52"/>
      <c r="IG32" s="52"/>
      <c r="IH32" s="52"/>
      <c r="II32" s="52"/>
      <c r="IJ32" s="52"/>
      <c r="IK32" s="52"/>
      <c r="IL32" s="52"/>
      <c r="IM32" s="52"/>
      <c r="IN32" s="52"/>
      <c r="IO32" s="292"/>
      <c r="IP32" s="292"/>
      <c r="IQ32" s="292"/>
      <c r="IR32" s="292"/>
      <c r="IS32" s="292"/>
      <c r="IT32" s="292"/>
      <c r="IU32" s="292"/>
      <c r="IV32" s="292"/>
    </row>
    <row r="33" spans="1:256" ht="20.100000000000001" customHeight="1" x14ac:dyDescent="0.2">
      <c r="A33" s="292"/>
      <c r="C33" s="174" t="str">
        <f>CONCATENATE("HORA EXTRA ",J23)</f>
        <v xml:space="preserve">HORA EXTRA </v>
      </c>
      <c r="D33" s="175"/>
      <c r="E33" s="175"/>
      <c r="F33" s="175"/>
      <c r="G33" s="175"/>
      <c r="H33" s="176"/>
      <c r="I33" s="177">
        <v>1</v>
      </c>
      <c r="J33" s="178"/>
      <c r="K33" s="178"/>
      <c r="L33" s="178"/>
      <c r="M33" s="214">
        <f>(U21)</f>
        <v>0</v>
      </c>
      <c r="N33" s="214"/>
      <c r="O33" s="214"/>
      <c r="P33" s="131">
        <f>(G121)</f>
        <v>0</v>
      </c>
      <c r="Q33" s="131"/>
      <c r="R33" s="131"/>
      <c r="S33" s="131"/>
      <c r="T33" s="132"/>
      <c r="U33" s="152" t="s">
        <v>27</v>
      </c>
      <c r="V33" s="153"/>
      <c r="W33" s="153"/>
      <c r="X33" s="153"/>
      <c r="Y33" s="153"/>
      <c r="Z33" s="153"/>
      <c r="AA33" s="153"/>
      <c r="AB33" s="153"/>
      <c r="AC33" s="153"/>
      <c r="AD33" s="153"/>
      <c r="AE33" s="134" t="s">
        <v>27</v>
      </c>
      <c r="AF33" s="134"/>
      <c r="AG33" s="134"/>
      <c r="AH33" s="154">
        <v>0</v>
      </c>
      <c r="AI33" s="154"/>
      <c r="AJ33" s="154"/>
      <c r="AK33" s="154"/>
      <c r="AL33" s="155"/>
      <c r="AM33" s="247"/>
      <c r="FV33" s="52"/>
      <c r="FW33" s="52"/>
      <c r="FX33" s="52"/>
      <c r="FY33" s="52"/>
      <c r="FZ33" s="52"/>
      <c r="GA33" s="52"/>
      <c r="GB33" s="52"/>
      <c r="GC33" s="52"/>
      <c r="GD33" s="52"/>
      <c r="GE33" s="52"/>
      <c r="GF33" s="52"/>
      <c r="GG33" s="52"/>
      <c r="GH33" s="52"/>
      <c r="GI33" s="52"/>
      <c r="GJ33" s="52"/>
      <c r="GK33" s="52"/>
      <c r="GL33" s="52"/>
      <c r="GM33" s="52"/>
      <c r="GN33" s="52"/>
      <c r="GO33" s="52"/>
      <c r="GP33" s="52"/>
      <c r="GQ33" s="52"/>
      <c r="GR33" s="52"/>
      <c r="GS33" s="52"/>
      <c r="GT33" s="52"/>
      <c r="GU33" s="52"/>
      <c r="GV33" s="52"/>
      <c r="GW33" s="52"/>
      <c r="GX33" s="52"/>
      <c r="GY33" s="52"/>
      <c r="GZ33" s="52"/>
      <c r="HA33" s="52"/>
      <c r="HB33" s="52"/>
      <c r="HC33" s="52"/>
      <c r="HD33" s="52"/>
      <c r="HE33" s="52"/>
      <c r="HF33" s="52"/>
      <c r="HG33" s="52"/>
      <c r="HH33" s="52"/>
      <c r="HI33" s="52"/>
      <c r="HJ33" s="52"/>
      <c r="HK33" s="52"/>
      <c r="HL33" s="52"/>
      <c r="HM33" s="52"/>
      <c r="HN33" s="52"/>
      <c r="HO33" s="52"/>
      <c r="HP33" s="52"/>
      <c r="HQ33" s="52"/>
      <c r="HR33" s="52"/>
      <c r="HS33" s="52"/>
      <c r="HT33" s="52"/>
      <c r="HU33" s="52"/>
      <c r="HV33" s="52"/>
      <c r="HW33" s="52"/>
      <c r="HX33" s="52"/>
      <c r="HY33" s="52"/>
      <c r="HZ33" s="52"/>
      <c r="IA33" s="52"/>
      <c r="IB33" s="52"/>
      <c r="IC33" s="52"/>
      <c r="ID33" s="52"/>
      <c r="IE33" s="52"/>
      <c r="IF33" s="52"/>
      <c r="IG33" s="52"/>
      <c r="IH33" s="52"/>
      <c r="II33" s="52"/>
      <c r="IJ33" s="52"/>
      <c r="IK33" s="52"/>
      <c r="IL33" s="52"/>
      <c r="IM33" s="52"/>
      <c r="IN33" s="52"/>
      <c r="IO33" s="292"/>
      <c r="IP33" s="292"/>
      <c r="IQ33" s="292"/>
      <c r="IR33" s="292"/>
      <c r="IS33" s="292"/>
      <c r="IT33" s="292"/>
      <c r="IU33" s="292"/>
      <c r="IV33" s="292"/>
    </row>
    <row r="34" spans="1:256" ht="20.100000000000001" customHeight="1" x14ac:dyDescent="0.2">
      <c r="A34" s="292"/>
      <c r="C34" s="138" t="s">
        <v>17</v>
      </c>
      <c r="D34" s="139"/>
      <c r="E34" s="139"/>
      <c r="F34" s="139"/>
      <c r="G34" s="139"/>
      <c r="H34" s="139"/>
      <c r="I34" s="139"/>
      <c r="J34" s="139"/>
      <c r="K34" s="139"/>
      <c r="L34" s="139"/>
      <c r="M34" s="211">
        <f>IF(F83=1,(1),("-"))</f>
        <v>1</v>
      </c>
      <c r="N34" s="211"/>
      <c r="O34" s="211"/>
      <c r="P34" s="131">
        <f>G79+X88</f>
        <v>2750</v>
      </c>
      <c r="Q34" s="131"/>
      <c r="R34" s="131"/>
      <c r="S34" s="131"/>
      <c r="T34" s="132"/>
      <c r="U34" s="152" t="s">
        <v>27</v>
      </c>
      <c r="V34" s="153"/>
      <c r="W34" s="153"/>
      <c r="X34" s="153"/>
      <c r="Y34" s="153"/>
      <c r="Z34" s="153"/>
      <c r="AA34" s="153"/>
      <c r="AB34" s="153"/>
      <c r="AC34" s="153"/>
      <c r="AD34" s="153"/>
      <c r="AE34" s="134" t="s">
        <v>27</v>
      </c>
      <c r="AF34" s="134"/>
      <c r="AG34" s="134"/>
      <c r="AH34" s="154">
        <v>0</v>
      </c>
      <c r="AI34" s="154"/>
      <c r="AJ34" s="154"/>
      <c r="AK34" s="154"/>
      <c r="AL34" s="155"/>
      <c r="AM34" s="247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U34" s="52"/>
      <c r="HV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292"/>
      <c r="IP34" s="292"/>
      <c r="IQ34" s="292"/>
      <c r="IR34" s="292"/>
      <c r="IS34" s="292"/>
      <c r="IT34" s="292"/>
      <c r="IU34" s="292"/>
      <c r="IV34" s="292"/>
    </row>
    <row r="35" spans="1:256" ht="20.100000000000001" customHeight="1" x14ac:dyDescent="0.2">
      <c r="A35" s="292"/>
      <c r="C35" s="152" t="s">
        <v>27</v>
      </c>
      <c r="D35" s="153"/>
      <c r="E35" s="153"/>
      <c r="F35" s="153"/>
      <c r="G35" s="153"/>
      <c r="H35" s="153"/>
      <c r="I35" s="153"/>
      <c r="J35" s="153"/>
      <c r="K35" s="153"/>
      <c r="L35" s="153"/>
      <c r="M35" s="134" t="s">
        <v>27</v>
      </c>
      <c r="N35" s="134"/>
      <c r="O35" s="134"/>
      <c r="P35" s="154">
        <v>0</v>
      </c>
      <c r="Q35" s="154"/>
      <c r="R35" s="154"/>
      <c r="S35" s="154"/>
      <c r="T35" s="155"/>
      <c r="U35" s="152" t="s">
        <v>27</v>
      </c>
      <c r="V35" s="153"/>
      <c r="W35" s="153"/>
      <c r="X35" s="153"/>
      <c r="Y35" s="153"/>
      <c r="Z35" s="153"/>
      <c r="AA35" s="153"/>
      <c r="AB35" s="153"/>
      <c r="AC35" s="153"/>
      <c r="AD35" s="153"/>
      <c r="AE35" s="134" t="s">
        <v>27</v>
      </c>
      <c r="AF35" s="134"/>
      <c r="AG35" s="134"/>
      <c r="AH35" s="154">
        <v>0</v>
      </c>
      <c r="AI35" s="154"/>
      <c r="AJ35" s="154"/>
      <c r="AK35" s="154"/>
      <c r="AL35" s="155"/>
      <c r="AM35" s="247"/>
      <c r="FV35" s="52"/>
      <c r="FW35" s="52"/>
      <c r="FX35" s="52"/>
      <c r="FY35" s="52"/>
      <c r="FZ35" s="52"/>
      <c r="GA35" s="52"/>
      <c r="GB35" s="52"/>
      <c r="GC35" s="52"/>
      <c r="GD35" s="52"/>
      <c r="GE35" s="52"/>
      <c r="GF35" s="52"/>
      <c r="GG35" s="52"/>
      <c r="GH35" s="52"/>
      <c r="GI35" s="52"/>
      <c r="GJ35" s="52"/>
      <c r="GK35" s="52"/>
      <c r="GL35" s="52"/>
      <c r="GM35" s="52"/>
      <c r="GN35" s="52"/>
      <c r="GO35" s="52"/>
      <c r="GP35" s="52"/>
      <c r="GQ35" s="52"/>
      <c r="GR35" s="52"/>
      <c r="GS35" s="52"/>
      <c r="GT35" s="52"/>
      <c r="GU35" s="52"/>
      <c r="GV35" s="52"/>
      <c r="GW35" s="52"/>
      <c r="GX35" s="52"/>
      <c r="GY35" s="52"/>
      <c r="GZ35" s="52"/>
      <c r="HA35" s="52"/>
      <c r="HB35" s="52"/>
      <c r="HC35" s="52"/>
      <c r="HD35" s="52"/>
      <c r="HE35" s="52"/>
      <c r="HF35" s="52"/>
      <c r="HG35" s="52"/>
      <c r="HH35" s="52"/>
      <c r="HI35" s="52"/>
      <c r="HJ35" s="52"/>
      <c r="HK35" s="52"/>
      <c r="HL35" s="52"/>
      <c r="HM35" s="52"/>
      <c r="HN35" s="52"/>
      <c r="HO35" s="52"/>
      <c r="HP35" s="52"/>
      <c r="HQ35" s="52"/>
      <c r="HR35" s="52"/>
      <c r="HS35" s="52"/>
      <c r="HT35" s="52"/>
      <c r="HU35" s="52"/>
      <c r="HV35" s="52"/>
      <c r="HW35" s="52"/>
      <c r="HX35" s="52"/>
      <c r="HY35" s="52"/>
      <c r="HZ35" s="52"/>
      <c r="IA35" s="52"/>
      <c r="IB35" s="52"/>
      <c r="IC35" s="52"/>
      <c r="ID35" s="52"/>
      <c r="IE35" s="52"/>
      <c r="IF35" s="52"/>
      <c r="IG35" s="52"/>
      <c r="IH35" s="52"/>
      <c r="II35" s="52"/>
      <c r="IJ35" s="52"/>
      <c r="IK35" s="52"/>
      <c r="IL35" s="52"/>
      <c r="IM35" s="52"/>
      <c r="IN35" s="52"/>
      <c r="IO35" s="292"/>
      <c r="IP35" s="292"/>
      <c r="IQ35" s="292"/>
      <c r="IR35" s="292"/>
      <c r="IS35" s="292"/>
      <c r="IT35" s="292"/>
      <c r="IU35" s="292"/>
      <c r="IV35" s="292"/>
    </row>
    <row r="36" spans="1:256" ht="20.100000000000001" customHeight="1" x14ac:dyDescent="0.2">
      <c r="A36" s="292"/>
      <c r="C36" s="156" t="s">
        <v>27</v>
      </c>
      <c r="D36" s="157"/>
      <c r="E36" s="157"/>
      <c r="F36" s="157"/>
      <c r="G36" s="157"/>
      <c r="H36" s="157"/>
      <c r="I36" s="157"/>
      <c r="J36" s="157"/>
      <c r="K36" s="157"/>
      <c r="L36" s="157"/>
      <c r="M36" s="243" t="s">
        <v>27</v>
      </c>
      <c r="N36" s="243"/>
      <c r="O36" s="243"/>
      <c r="P36" s="244">
        <v>0</v>
      </c>
      <c r="Q36" s="244"/>
      <c r="R36" s="244"/>
      <c r="S36" s="244"/>
      <c r="T36" s="245"/>
      <c r="U36" s="156" t="s">
        <v>27</v>
      </c>
      <c r="V36" s="157"/>
      <c r="W36" s="157"/>
      <c r="X36" s="157"/>
      <c r="Y36" s="157"/>
      <c r="Z36" s="157"/>
      <c r="AA36" s="157"/>
      <c r="AB36" s="157"/>
      <c r="AC36" s="157"/>
      <c r="AD36" s="157"/>
      <c r="AE36" s="243" t="s">
        <v>27</v>
      </c>
      <c r="AF36" s="243"/>
      <c r="AG36" s="243"/>
      <c r="AH36" s="244">
        <v>0</v>
      </c>
      <c r="AI36" s="244"/>
      <c r="AJ36" s="244"/>
      <c r="AK36" s="244"/>
      <c r="AL36" s="245"/>
      <c r="AM36" s="247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U36" s="52"/>
      <c r="HV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292"/>
      <c r="IP36" s="292"/>
      <c r="IQ36" s="292"/>
      <c r="IR36" s="292"/>
      <c r="IS36" s="292"/>
      <c r="IT36" s="292"/>
      <c r="IU36" s="292"/>
      <c r="IV36" s="292"/>
    </row>
    <row r="37" spans="1:256" ht="20.100000000000001" customHeight="1" thickBot="1" x14ac:dyDescent="0.25">
      <c r="A37" s="292"/>
      <c r="C37" s="204" t="s">
        <v>20</v>
      </c>
      <c r="D37" s="205"/>
      <c r="E37" s="205"/>
      <c r="F37" s="205"/>
      <c r="G37" s="205"/>
      <c r="H37" s="205"/>
      <c r="I37" s="205"/>
      <c r="J37" s="205"/>
      <c r="K37" s="205"/>
      <c r="L37" s="205"/>
      <c r="M37" s="198">
        <f>SUM(P24:T36)</f>
        <v>11013.888888888889</v>
      </c>
      <c r="N37" s="199"/>
      <c r="O37" s="199"/>
      <c r="P37" s="199"/>
      <c r="Q37" s="199"/>
      <c r="R37" s="199"/>
      <c r="S37" s="199"/>
      <c r="T37" s="200"/>
      <c r="U37" s="129" t="s">
        <v>21</v>
      </c>
      <c r="V37" s="130"/>
      <c r="W37" s="130"/>
      <c r="X37" s="130"/>
      <c r="Y37" s="130"/>
      <c r="Z37" s="130"/>
      <c r="AA37" s="130"/>
      <c r="AB37" s="130"/>
      <c r="AC37" s="130"/>
      <c r="AD37" s="130"/>
      <c r="AE37" s="188">
        <f>SUM(AH24:AL36)</f>
        <v>784.41349999999989</v>
      </c>
      <c r="AF37" s="189"/>
      <c r="AG37" s="189"/>
      <c r="AH37" s="189"/>
      <c r="AI37" s="189"/>
      <c r="AJ37" s="189"/>
      <c r="AK37" s="189"/>
      <c r="AL37" s="190"/>
      <c r="AM37" s="247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U37" s="52"/>
      <c r="HV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292"/>
      <c r="IP37" s="292"/>
      <c r="IQ37" s="292"/>
      <c r="IR37" s="292"/>
      <c r="IS37" s="292"/>
      <c r="IT37" s="292"/>
      <c r="IU37" s="292"/>
      <c r="IV37" s="292"/>
    </row>
    <row r="38" spans="1:256" ht="20.100000000000001" customHeight="1" thickBot="1" x14ac:dyDescent="0.25">
      <c r="A38" s="292"/>
      <c r="C38" s="172" t="s">
        <v>65</v>
      </c>
      <c r="D38" s="173"/>
      <c r="E38" s="173"/>
      <c r="F38" s="173"/>
      <c r="G38" s="173"/>
      <c r="H38" s="173"/>
      <c r="I38" s="173"/>
      <c r="J38" s="173"/>
      <c r="K38" s="173"/>
      <c r="L38" s="173"/>
      <c r="M38" s="201">
        <f>(M37-AE37)</f>
        <v>10229.475388888888</v>
      </c>
      <c r="N38" s="202"/>
      <c r="O38" s="202"/>
      <c r="P38" s="202"/>
      <c r="Q38" s="202"/>
      <c r="R38" s="202"/>
      <c r="S38" s="202"/>
      <c r="T38" s="203"/>
      <c r="U38" s="30" t="s">
        <v>51</v>
      </c>
      <c r="V38" s="191" t="str">
        <f>CONCATENATE("PAGAMENTO ATÉ: ",P89,"/",P90,"/",O91," ",Q88)</f>
        <v>PAGAMENTO ATÉ: 08/05/2020 (SEX.)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247"/>
      <c r="FV38" s="52"/>
      <c r="FW38" s="52"/>
      <c r="FX38" s="52"/>
      <c r="FY38" s="52"/>
      <c r="FZ38" s="52"/>
      <c r="GA38" s="52"/>
      <c r="GB38" s="52"/>
      <c r="GC38" s="52"/>
      <c r="GD38" s="52"/>
      <c r="GE38" s="52"/>
      <c r="GF38" s="52"/>
      <c r="GG38" s="52"/>
      <c r="GH38" s="52"/>
      <c r="GI38" s="52"/>
      <c r="GJ38" s="52"/>
      <c r="GK38" s="52"/>
      <c r="GL38" s="52"/>
      <c r="GM38" s="52"/>
      <c r="GN38" s="52"/>
      <c r="GO38" s="52"/>
      <c r="GP38" s="52"/>
      <c r="GQ38" s="52"/>
      <c r="GR38" s="52"/>
      <c r="GS38" s="52"/>
      <c r="GT38" s="52"/>
      <c r="GU38" s="52"/>
      <c r="GV38" s="52"/>
      <c r="GW38" s="52"/>
      <c r="GX38" s="52"/>
      <c r="GY38" s="52"/>
      <c r="GZ38" s="52"/>
      <c r="HA38" s="52"/>
      <c r="HB38" s="52"/>
      <c r="HC38" s="52"/>
      <c r="HD38" s="52"/>
      <c r="HE38" s="52"/>
      <c r="HF38" s="52"/>
      <c r="HG38" s="52"/>
      <c r="HH38" s="52"/>
      <c r="HI38" s="52"/>
      <c r="HJ38" s="52"/>
      <c r="HK38" s="52"/>
      <c r="HL38" s="52"/>
      <c r="HM38" s="52"/>
      <c r="HN38" s="52"/>
      <c r="HO38" s="52"/>
      <c r="HP38" s="52"/>
      <c r="HQ38" s="52"/>
      <c r="HR38" s="52"/>
      <c r="HS38" s="52"/>
      <c r="HT38" s="52"/>
      <c r="HU38" s="52"/>
      <c r="HV38" s="52"/>
      <c r="HW38" s="52"/>
      <c r="HX38" s="52"/>
      <c r="HY38" s="52"/>
      <c r="HZ38" s="52"/>
      <c r="IA38" s="52"/>
      <c r="IB38" s="52"/>
      <c r="IC38" s="52"/>
      <c r="ID38" s="52"/>
      <c r="IE38" s="52"/>
      <c r="IF38" s="52"/>
      <c r="IG38" s="52"/>
      <c r="IH38" s="52"/>
      <c r="II38" s="52"/>
      <c r="IJ38" s="52"/>
      <c r="IK38" s="52"/>
      <c r="IL38" s="52"/>
      <c r="IM38" s="52"/>
      <c r="IN38" s="52"/>
      <c r="IO38" s="292"/>
      <c r="IP38" s="292"/>
      <c r="IQ38" s="292"/>
      <c r="IR38" s="292"/>
      <c r="IS38" s="292"/>
      <c r="IT38" s="292"/>
      <c r="IU38" s="292"/>
      <c r="IV38" s="292"/>
    </row>
    <row r="39" spans="1:256" ht="9.9499999999999993" customHeight="1" x14ac:dyDescent="0.2">
      <c r="A39" s="292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247"/>
      <c r="FV39" s="52"/>
      <c r="FW39" s="52"/>
      <c r="FX39" s="52"/>
      <c r="FY39" s="52"/>
      <c r="FZ39" s="52"/>
      <c r="GA39" s="52"/>
      <c r="GB39" s="52"/>
      <c r="GC39" s="52"/>
      <c r="GD39" s="52"/>
      <c r="GE39" s="52"/>
      <c r="GF39" s="52"/>
      <c r="GG39" s="52"/>
      <c r="GH39" s="52"/>
      <c r="GI39" s="52"/>
      <c r="GJ39" s="52"/>
      <c r="GK39" s="52"/>
      <c r="GL39" s="52"/>
      <c r="GM39" s="52"/>
      <c r="GN39" s="52"/>
      <c r="GO39" s="52"/>
      <c r="GP39" s="52"/>
      <c r="GQ39" s="52"/>
      <c r="GR39" s="52"/>
      <c r="GS39" s="52"/>
      <c r="GT39" s="52"/>
      <c r="GU39" s="52"/>
      <c r="GV39" s="52"/>
      <c r="GW39" s="52"/>
      <c r="GX39" s="52"/>
      <c r="GY39" s="52"/>
      <c r="GZ39" s="52"/>
      <c r="HA39" s="52"/>
      <c r="HB39" s="52"/>
      <c r="HC39" s="52"/>
      <c r="HD39" s="52"/>
      <c r="HE39" s="52"/>
      <c r="HF39" s="52"/>
      <c r="HG39" s="52"/>
      <c r="HH39" s="52"/>
      <c r="HI39" s="52"/>
      <c r="HJ39" s="52"/>
      <c r="HK39" s="52"/>
      <c r="HL39" s="52"/>
      <c r="HM39" s="52"/>
      <c r="HN39" s="52"/>
      <c r="HO39" s="52"/>
      <c r="HP39" s="52"/>
      <c r="HQ39" s="52"/>
      <c r="HR39" s="52"/>
      <c r="HS39" s="52"/>
      <c r="HT39" s="52"/>
      <c r="HU39" s="52"/>
      <c r="HV39" s="52"/>
      <c r="HW39" s="52"/>
      <c r="HX39" s="52"/>
      <c r="HY39" s="52"/>
      <c r="HZ39" s="52"/>
      <c r="IA39" s="52"/>
      <c r="IB39" s="52"/>
      <c r="IC39" s="52"/>
      <c r="ID39" s="52"/>
      <c r="IE39" s="52"/>
      <c r="IF39" s="52"/>
      <c r="IG39" s="52"/>
      <c r="IH39" s="52"/>
      <c r="II39" s="52"/>
      <c r="IJ39" s="52"/>
      <c r="IK39" s="52"/>
      <c r="IL39" s="52"/>
      <c r="IM39" s="52"/>
      <c r="IN39" s="52"/>
      <c r="IO39" s="292"/>
      <c r="IP39" s="292"/>
      <c r="IQ39" s="292"/>
      <c r="IR39" s="292"/>
      <c r="IS39" s="292"/>
      <c r="IT39" s="292"/>
      <c r="IU39" s="292"/>
      <c r="IV39" s="292"/>
    </row>
    <row r="40" spans="1:256" ht="20.100000000000001" customHeight="1" x14ac:dyDescent="0.2">
      <c r="A40" s="292"/>
      <c r="C40" s="122" t="s">
        <v>45</v>
      </c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4"/>
      <c r="U40" s="122" t="s">
        <v>42</v>
      </c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4"/>
      <c r="AM40" s="247"/>
      <c r="FV40" s="52"/>
      <c r="FW40" s="52"/>
      <c r="FX40" s="52"/>
      <c r="FY40" s="52"/>
      <c r="FZ40" s="52"/>
      <c r="GA40" s="52"/>
      <c r="GB40" s="52"/>
      <c r="GC40" s="52"/>
      <c r="GD40" s="52"/>
      <c r="GE40" s="52"/>
      <c r="GF40" s="52"/>
      <c r="GG40" s="52"/>
      <c r="GH40" s="52"/>
      <c r="GI40" s="52"/>
      <c r="GJ40" s="52"/>
      <c r="GK40" s="52"/>
      <c r="GL40" s="52"/>
      <c r="GM40" s="52"/>
      <c r="GN40" s="52"/>
      <c r="GO40" s="52"/>
      <c r="GP40" s="52"/>
      <c r="GQ40" s="52"/>
      <c r="GR40" s="52"/>
      <c r="GS40" s="52"/>
      <c r="GT40" s="52"/>
      <c r="GU40" s="52"/>
      <c r="GV40" s="52"/>
      <c r="GW40" s="52"/>
      <c r="GX40" s="52"/>
      <c r="GY40" s="52"/>
      <c r="GZ40" s="52"/>
      <c r="HA40" s="52"/>
      <c r="HB40" s="52"/>
      <c r="HC40" s="52"/>
      <c r="HD40" s="52"/>
      <c r="HE40" s="52"/>
      <c r="HF40" s="52"/>
      <c r="HG40" s="52"/>
      <c r="HH40" s="52"/>
      <c r="HI40" s="52"/>
      <c r="HJ40" s="52"/>
      <c r="HK40" s="52"/>
      <c r="HL40" s="52"/>
      <c r="HM40" s="52"/>
      <c r="HN40" s="52"/>
      <c r="HO40" s="52"/>
      <c r="HP40" s="52"/>
      <c r="HQ40" s="52"/>
      <c r="HR40" s="52"/>
      <c r="HS40" s="52"/>
      <c r="HT40" s="52"/>
      <c r="HU40" s="52"/>
      <c r="HV40" s="52"/>
      <c r="HW40" s="52"/>
      <c r="HX40" s="52"/>
      <c r="HY40" s="52"/>
      <c r="HZ40" s="52"/>
      <c r="IA40" s="52"/>
      <c r="IB40" s="52"/>
      <c r="IC40" s="52"/>
      <c r="ID40" s="52"/>
      <c r="IE40" s="52"/>
      <c r="IF40" s="52"/>
      <c r="IG40" s="52"/>
      <c r="IH40" s="52"/>
      <c r="II40" s="52"/>
      <c r="IJ40" s="52"/>
      <c r="IK40" s="52"/>
      <c r="IL40" s="52"/>
      <c r="IM40" s="52"/>
      <c r="IN40" s="52"/>
      <c r="IO40" s="292"/>
      <c r="IP40" s="292"/>
      <c r="IQ40" s="292"/>
      <c r="IR40" s="292"/>
      <c r="IS40" s="292"/>
      <c r="IT40" s="292"/>
      <c r="IU40" s="292"/>
      <c r="IV40" s="292"/>
    </row>
    <row r="41" spans="1:256" ht="20.100000000000001" customHeight="1" x14ac:dyDescent="0.2">
      <c r="A41" s="292"/>
      <c r="C41" s="136" t="s">
        <v>37</v>
      </c>
      <c r="D41" s="137"/>
      <c r="E41" s="137"/>
      <c r="F41" s="137"/>
      <c r="G41" s="137"/>
      <c r="H41" s="137"/>
      <c r="I41" s="137"/>
      <c r="J41" s="137"/>
      <c r="K41" s="137"/>
      <c r="L41" s="196">
        <v>0</v>
      </c>
      <c r="M41" s="196"/>
      <c r="N41" s="196"/>
      <c r="O41" s="196"/>
      <c r="P41" s="196"/>
      <c r="Q41" s="196"/>
      <c r="R41" s="196"/>
      <c r="S41" s="196"/>
      <c r="T41" s="197"/>
      <c r="U41" s="143" t="s">
        <v>44</v>
      </c>
      <c r="V41" s="144"/>
      <c r="W41" s="144"/>
      <c r="X41" s="144"/>
      <c r="Y41" s="144"/>
      <c r="Z41" s="144"/>
      <c r="AA41" s="144"/>
      <c r="AB41" s="144"/>
      <c r="AC41" s="144"/>
      <c r="AD41" s="145"/>
      <c r="AE41" s="192">
        <f>IF(F82=1,(G94),(0))</f>
        <v>2500</v>
      </c>
      <c r="AF41" s="193"/>
      <c r="AG41" s="193"/>
      <c r="AH41" s="193"/>
      <c r="AI41" s="193"/>
      <c r="AJ41" s="193"/>
      <c r="AK41" s="193"/>
      <c r="AL41" s="194"/>
      <c r="AM41" s="247"/>
      <c r="FV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  <c r="GI41" s="52"/>
      <c r="GJ41" s="52"/>
      <c r="GK41" s="52"/>
      <c r="GL41" s="52"/>
      <c r="GM41" s="52"/>
      <c r="GN41" s="52"/>
      <c r="GO41" s="52"/>
      <c r="GP41" s="52"/>
      <c r="GQ41" s="52"/>
      <c r="GR41" s="52"/>
      <c r="GS41" s="52"/>
      <c r="GT41" s="52"/>
      <c r="GU41" s="52"/>
      <c r="GV41" s="52"/>
      <c r="GW41" s="52"/>
      <c r="GX41" s="52"/>
      <c r="GY41" s="52"/>
      <c r="GZ41" s="52"/>
      <c r="HA41" s="52"/>
      <c r="HB41" s="52"/>
      <c r="HC41" s="52"/>
      <c r="HD41" s="52"/>
      <c r="HE41" s="52"/>
      <c r="HF41" s="52"/>
      <c r="HG41" s="52"/>
      <c r="HH41" s="52"/>
      <c r="HI41" s="52"/>
      <c r="HJ41" s="52"/>
      <c r="HK41" s="52"/>
      <c r="HL41" s="52"/>
      <c r="HM41" s="52"/>
      <c r="HN41" s="52"/>
      <c r="HO41" s="52"/>
      <c r="HP41" s="52"/>
      <c r="HQ41" s="52"/>
      <c r="HR41" s="52"/>
      <c r="HS41" s="52"/>
      <c r="HT41" s="52"/>
      <c r="HU41" s="52"/>
      <c r="HV41" s="52"/>
      <c r="HW41" s="52"/>
      <c r="HX41" s="52"/>
      <c r="HY41" s="52"/>
      <c r="HZ41" s="52"/>
      <c r="IA41" s="52"/>
      <c r="IB41" s="52"/>
      <c r="IC41" s="52"/>
      <c r="ID41" s="52"/>
      <c r="IE41" s="52"/>
      <c r="IF41" s="52"/>
      <c r="IG41" s="52"/>
      <c r="IH41" s="52"/>
      <c r="II41" s="52"/>
      <c r="IJ41" s="52"/>
      <c r="IK41" s="52"/>
      <c r="IL41" s="52"/>
      <c r="IM41" s="52"/>
      <c r="IN41" s="52"/>
      <c r="IO41" s="292"/>
      <c r="IP41" s="292"/>
      <c r="IQ41" s="292"/>
      <c r="IR41" s="292"/>
      <c r="IS41" s="292"/>
      <c r="IT41" s="292"/>
      <c r="IU41" s="292"/>
      <c r="IV41" s="292"/>
    </row>
    <row r="42" spans="1:256" ht="20.100000000000001" customHeight="1" x14ac:dyDescent="0.2">
      <c r="A42" s="292"/>
      <c r="C42" s="138" t="s">
        <v>40</v>
      </c>
      <c r="D42" s="139"/>
      <c r="E42" s="139"/>
      <c r="F42" s="139"/>
      <c r="G42" s="139"/>
      <c r="H42" s="139"/>
      <c r="I42" s="139"/>
      <c r="J42" s="139"/>
      <c r="K42" s="139"/>
      <c r="L42" s="131">
        <f>IF(F82=1,(L41*AG83),(0))</f>
        <v>0</v>
      </c>
      <c r="M42" s="131"/>
      <c r="N42" s="131"/>
      <c r="O42" s="131"/>
      <c r="P42" s="131"/>
      <c r="Q42" s="131"/>
      <c r="R42" s="131"/>
      <c r="S42" s="131"/>
      <c r="T42" s="132"/>
      <c r="U42" s="146" t="s">
        <v>43</v>
      </c>
      <c r="V42" s="147"/>
      <c r="W42" s="147"/>
      <c r="X42" s="147"/>
      <c r="Y42" s="147"/>
      <c r="Z42" s="147"/>
      <c r="AA42" s="147"/>
      <c r="AB42" s="147"/>
      <c r="AC42" s="147"/>
      <c r="AD42" s="148"/>
      <c r="AE42" s="182">
        <f>IF(F82=1,(VLOOKUP(H93,R81:S106,2,FALSE)),(0))</f>
        <v>4</v>
      </c>
      <c r="AF42" s="183"/>
      <c r="AG42" s="183"/>
      <c r="AH42" s="183"/>
      <c r="AI42" s="183"/>
      <c r="AJ42" s="183"/>
      <c r="AK42" s="183"/>
      <c r="AL42" s="184"/>
      <c r="AM42" s="247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V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292"/>
      <c r="IP42" s="292"/>
      <c r="IQ42" s="292"/>
      <c r="IR42" s="292"/>
      <c r="IS42" s="292"/>
      <c r="IT42" s="292"/>
      <c r="IU42" s="292"/>
      <c r="IV42" s="292"/>
    </row>
    <row r="43" spans="1:256" ht="20.100000000000001" customHeight="1" thickBot="1" x14ac:dyDescent="0.25">
      <c r="A43" s="292"/>
      <c r="C43" s="138" t="s">
        <v>39</v>
      </c>
      <c r="D43" s="139"/>
      <c r="E43" s="139"/>
      <c r="F43" s="139"/>
      <c r="G43" s="139"/>
      <c r="H43" s="139"/>
      <c r="I43" s="139"/>
      <c r="J43" s="139"/>
      <c r="K43" s="139"/>
      <c r="L43" s="131">
        <f>SUM(P24,P25,P26,P32,P33,P35,P36)*8%</f>
        <v>266.66666666666669</v>
      </c>
      <c r="M43" s="131"/>
      <c r="N43" s="131"/>
      <c r="O43" s="131"/>
      <c r="P43" s="131"/>
      <c r="Q43" s="131"/>
      <c r="R43" s="131"/>
      <c r="S43" s="131"/>
      <c r="T43" s="132"/>
      <c r="U43" s="185" t="s">
        <v>99</v>
      </c>
      <c r="V43" s="186"/>
      <c r="W43" s="186"/>
      <c r="X43" s="186"/>
      <c r="Y43" s="186"/>
      <c r="Z43" s="186"/>
      <c r="AA43" s="186"/>
      <c r="AB43" s="186"/>
      <c r="AC43" s="186"/>
      <c r="AD43" s="187"/>
      <c r="AE43" s="162">
        <f>IF(F82=1,(U136),(0))</f>
        <v>1840.511</v>
      </c>
      <c r="AF43" s="163"/>
      <c r="AG43" s="163"/>
      <c r="AH43" s="163"/>
      <c r="AI43" s="163"/>
      <c r="AJ43" s="163"/>
      <c r="AK43" s="163"/>
      <c r="AL43" s="164"/>
      <c r="AM43" s="247"/>
      <c r="FV43" s="52"/>
      <c r="FW43" s="52"/>
      <c r="FX43" s="52"/>
      <c r="FY43" s="52"/>
      <c r="FZ43" s="52"/>
      <c r="GA43" s="52"/>
      <c r="GB43" s="52"/>
      <c r="GC43" s="52"/>
      <c r="GD43" s="52"/>
      <c r="GE43" s="52"/>
      <c r="GF43" s="52"/>
      <c r="GG43" s="52"/>
      <c r="GH43" s="52"/>
      <c r="GI43" s="52"/>
      <c r="GJ43" s="52"/>
      <c r="GK43" s="52"/>
      <c r="GL43" s="52"/>
      <c r="GM43" s="52"/>
      <c r="GN43" s="52"/>
      <c r="GO43" s="52"/>
      <c r="GP43" s="52"/>
      <c r="GQ43" s="52"/>
      <c r="GR43" s="52"/>
      <c r="GS43" s="52"/>
      <c r="GT43" s="52"/>
      <c r="GU43" s="52"/>
      <c r="GV43" s="52"/>
      <c r="GW43" s="52"/>
      <c r="GX43" s="52"/>
      <c r="GY43" s="52"/>
      <c r="GZ43" s="52"/>
      <c r="HA43" s="52"/>
      <c r="HB43" s="52"/>
      <c r="HC43" s="52"/>
      <c r="HD43" s="52"/>
      <c r="HE43" s="52"/>
      <c r="HF43" s="52"/>
      <c r="HG43" s="52"/>
      <c r="HH43" s="52"/>
      <c r="HI43" s="52"/>
      <c r="HJ43" s="52"/>
      <c r="HK43" s="52"/>
      <c r="HL43" s="52"/>
      <c r="HM43" s="52"/>
      <c r="HN43" s="52"/>
      <c r="HO43" s="52"/>
      <c r="HP43" s="52"/>
      <c r="HQ43" s="52"/>
      <c r="HR43" s="52"/>
      <c r="HS43" s="52"/>
      <c r="HT43" s="52"/>
      <c r="HU43" s="52"/>
      <c r="HV43" s="52"/>
      <c r="HW43" s="52"/>
      <c r="HX43" s="52"/>
      <c r="HY43" s="52"/>
      <c r="HZ43" s="52"/>
      <c r="IA43" s="52"/>
      <c r="IB43" s="52"/>
      <c r="IC43" s="52"/>
      <c r="ID43" s="52"/>
      <c r="IE43" s="52"/>
      <c r="IF43" s="52"/>
      <c r="IG43" s="52"/>
      <c r="IH43" s="52"/>
      <c r="II43" s="52"/>
      <c r="IJ43" s="52"/>
      <c r="IK43" s="52"/>
      <c r="IL43" s="52"/>
      <c r="IM43" s="52"/>
      <c r="IN43" s="52"/>
      <c r="IO43" s="292"/>
      <c r="IP43" s="292"/>
      <c r="IQ43" s="292"/>
      <c r="IR43" s="292"/>
      <c r="IS43" s="292"/>
      <c r="IT43" s="292"/>
      <c r="IU43" s="292"/>
      <c r="IV43" s="292"/>
    </row>
    <row r="44" spans="1:256" ht="20.100000000000001" customHeight="1" thickBot="1" x14ac:dyDescent="0.25">
      <c r="A44" s="292"/>
      <c r="C44" s="138" t="s">
        <v>38</v>
      </c>
      <c r="D44" s="139"/>
      <c r="E44" s="139"/>
      <c r="F44" s="139"/>
      <c r="G44" s="139"/>
      <c r="H44" s="139"/>
      <c r="I44" s="139"/>
      <c r="J44" s="139"/>
      <c r="K44" s="139"/>
      <c r="L44" s="131">
        <f>SUM(P34,P27)*8%</f>
        <v>236.66666666666669</v>
      </c>
      <c r="M44" s="131"/>
      <c r="N44" s="131"/>
      <c r="O44" s="131"/>
      <c r="P44" s="131"/>
      <c r="Q44" s="131"/>
      <c r="R44" s="131"/>
      <c r="S44" s="131"/>
      <c r="T44" s="195"/>
      <c r="U44" s="172" t="s">
        <v>100</v>
      </c>
      <c r="V44" s="173"/>
      <c r="W44" s="173"/>
      <c r="X44" s="173"/>
      <c r="Y44" s="173"/>
      <c r="Z44" s="173"/>
      <c r="AA44" s="173"/>
      <c r="AB44" s="173"/>
      <c r="AC44" s="173"/>
      <c r="AD44" s="173"/>
      <c r="AE44" s="120">
        <f>(AE43*AE42)</f>
        <v>7362.0439999999999</v>
      </c>
      <c r="AF44" s="120"/>
      <c r="AG44" s="120"/>
      <c r="AH44" s="120"/>
      <c r="AI44" s="120"/>
      <c r="AJ44" s="120"/>
      <c r="AK44" s="120"/>
      <c r="AL44" s="121"/>
      <c r="AM44" s="247"/>
      <c r="FV44" s="52"/>
      <c r="FW44" s="52"/>
      <c r="FX44" s="52"/>
      <c r="FY44" s="52"/>
      <c r="FZ44" s="52"/>
      <c r="GA44" s="52"/>
      <c r="GB44" s="52"/>
      <c r="GC44" s="52"/>
      <c r="GD44" s="52"/>
      <c r="GE44" s="52"/>
      <c r="GF44" s="52"/>
      <c r="GG44" s="52"/>
      <c r="GH44" s="52"/>
      <c r="GI44" s="52"/>
      <c r="GJ44" s="52"/>
      <c r="GK44" s="52"/>
      <c r="GL44" s="52"/>
      <c r="GM44" s="52"/>
      <c r="GN44" s="52"/>
      <c r="GO44" s="52"/>
      <c r="GP44" s="52"/>
      <c r="GQ44" s="52"/>
      <c r="GR44" s="52"/>
      <c r="GS44" s="52"/>
      <c r="GT44" s="52"/>
      <c r="GU44" s="52"/>
      <c r="GV44" s="52"/>
      <c r="GW44" s="52"/>
      <c r="GX44" s="52"/>
      <c r="GY44" s="52"/>
      <c r="GZ44" s="52"/>
      <c r="HA44" s="52"/>
      <c r="HB44" s="52"/>
      <c r="HC44" s="52"/>
      <c r="HD44" s="52"/>
      <c r="HE44" s="52"/>
      <c r="HF44" s="52"/>
      <c r="HG44" s="52"/>
      <c r="HH44" s="52"/>
      <c r="HI44" s="52"/>
      <c r="HJ44" s="52"/>
      <c r="HK44" s="52"/>
      <c r="HL44" s="52"/>
      <c r="HM44" s="52"/>
      <c r="HN44" s="52"/>
      <c r="HO44" s="52"/>
      <c r="HP44" s="52"/>
      <c r="HQ44" s="52"/>
      <c r="HR44" s="52"/>
      <c r="HS44" s="52"/>
      <c r="HT44" s="52"/>
      <c r="HU44" s="52"/>
      <c r="HV44" s="52"/>
      <c r="HW44" s="52"/>
      <c r="HX44" s="52"/>
      <c r="HY44" s="52"/>
      <c r="HZ44" s="52"/>
      <c r="IA44" s="52"/>
      <c r="IB44" s="52"/>
      <c r="IC44" s="52"/>
      <c r="ID44" s="52"/>
      <c r="IE44" s="52"/>
      <c r="IF44" s="52"/>
      <c r="IG44" s="52"/>
      <c r="IH44" s="52"/>
      <c r="II44" s="52"/>
      <c r="IJ44" s="52"/>
      <c r="IK44" s="52"/>
      <c r="IL44" s="52"/>
      <c r="IM44" s="52"/>
      <c r="IN44" s="52"/>
      <c r="IO44" s="292"/>
      <c r="IP44" s="292"/>
      <c r="IQ44" s="292"/>
      <c r="IR44" s="292"/>
      <c r="IS44" s="292"/>
      <c r="IT44" s="292"/>
      <c r="IU44" s="292"/>
      <c r="IV44" s="292"/>
    </row>
    <row r="45" spans="1:256" ht="20.100000000000001" customHeight="1" thickBot="1" x14ac:dyDescent="0.25">
      <c r="A45" s="292"/>
      <c r="C45" s="169" t="s">
        <v>41</v>
      </c>
      <c r="D45" s="170"/>
      <c r="E45" s="170"/>
      <c r="F45" s="170"/>
      <c r="G45" s="170"/>
      <c r="H45" s="170"/>
      <c r="I45" s="170"/>
      <c r="J45" s="170"/>
      <c r="K45" s="171"/>
      <c r="L45" s="179">
        <f>SUM(L41,E119,L43,L44)</f>
        <v>503.33333333333337</v>
      </c>
      <c r="M45" s="180"/>
      <c r="N45" s="180"/>
      <c r="O45" s="180"/>
      <c r="P45" s="180"/>
      <c r="Q45" s="180"/>
      <c r="R45" s="180"/>
      <c r="S45" s="180"/>
      <c r="T45" s="181"/>
      <c r="U45" s="231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232"/>
      <c r="AG45" s="232"/>
      <c r="AH45" s="232"/>
      <c r="AI45" s="232"/>
      <c r="AJ45" s="232"/>
      <c r="AK45" s="232"/>
      <c r="AL45" s="232"/>
      <c r="AM45" s="247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Q45" s="52"/>
      <c r="HR45" s="52"/>
      <c r="HS45" s="52"/>
      <c r="HT45" s="52"/>
      <c r="HU45" s="52"/>
      <c r="HV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292"/>
      <c r="IP45" s="292"/>
      <c r="IQ45" s="292"/>
      <c r="IR45" s="292"/>
      <c r="IS45" s="292"/>
      <c r="IT45" s="292"/>
      <c r="IU45" s="292"/>
      <c r="IV45" s="292"/>
    </row>
    <row r="46" spans="1:256" ht="20.100000000000001" customHeight="1" thickBot="1" x14ac:dyDescent="0.25">
      <c r="A46" s="292"/>
      <c r="C46" s="166" t="s">
        <v>101</v>
      </c>
      <c r="D46" s="167"/>
      <c r="E46" s="167"/>
      <c r="F46" s="167"/>
      <c r="G46" s="167"/>
      <c r="H46" s="167"/>
      <c r="I46" s="167"/>
      <c r="J46" s="167"/>
      <c r="K46" s="168"/>
      <c r="L46" s="140">
        <f>SUM(L42:T44)</f>
        <v>503.33333333333337</v>
      </c>
      <c r="M46" s="141"/>
      <c r="N46" s="141"/>
      <c r="O46" s="141"/>
      <c r="P46" s="141"/>
      <c r="Q46" s="141"/>
      <c r="R46" s="141"/>
      <c r="S46" s="141"/>
      <c r="T46" s="142"/>
      <c r="U46" s="30" t="s">
        <v>51</v>
      </c>
      <c r="V46" s="151" t="str">
        <f>CONCATENATE("PAGAMENTO ATÉ: ",P89,"/",P90,"/",O91," ",Q88)</f>
        <v>PAGAMENTO ATÉ: 08/05/2020 (SEX.)</v>
      </c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247"/>
      <c r="FV46" s="52"/>
      <c r="FW46" s="52"/>
      <c r="FX46" s="52"/>
      <c r="FY46" s="52"/>
      <c r="FZ46" s="52"/>
      <c r="GA46" s="52"/>
      <c r="GB46" s="52"/>
      <c r="GC46" s="52"/>
      <c r="GD46" s="52"/>
      <c r="GE46" s="52"/>
      <c r="GF46" s="52"/>
      <c r="GG46" s="52"/>
      <c r="GH46" s="52"/>
      <c r="GI46" s="52"/>
      <c r="GJ46" s="52"/>
      <c r="GK46" s="52"/>
      <c r="GL46" s="52"/>
      <c r="GM46" s="52"/>
      <c r="GN46" s="52"/>
      <c r="GO46" s="52"/>
      <c r="GP46" s="52"/>
      <c r="GQ46" s="52"/>
      <c r="GR46" s="52"/>
      <c r="GS46" s="52"/>
      <c r="GT46" s="52"/>
      <c r="GU46" s="52"/>
      <c r="GV46" s="52"/>
      <c r="GW46" s="52"/>
      <c r="GX46" s="52"/>
      <c r="GY46" s="52"/>
      <c r="GZ46" s="52"/>
      <c r="HA46" s="52"/>
      <c r="HB46" s="52"/>
      <c r="HC46" s="52"/>
      <c r="HD46" s="52"/>
      <c r="HE46" s="52"/>
      <c r="HF46" s="52"/>
      <c r="HG46" s="52"/>
      <c r="HH46" s="52"/>
      <c r="HI46" s="52"/>
      <c r="HJ46" s="52"/>
      <c r="HK46" s="52"/>
      <c r="HL46" s="52"/>
      <c r="HM46" s="52"/>
      <c r="HN46" s="52"/>
      <c r="HO46" s="52"/>
      <c r="HP46" s="52"/>
      <c r="HQ46" s="52"/>
      <c r="HR46" s="52"/>
      <c r="HS46" s="52"/>
      <c r="HT46" s="52"/>
      <c r="HU46" s="52"/>
      <c r="HV46" s="52"/>
      <c r="HW46" s="52"/>
      <c r="HX46" s="52"/>
      <c r="HY46" s="52"/>
      <c r="HZ46" s="52"/>
      <c r="IA46" s="52"/>
      <c r="IB46" s="52"/>
      <c r="IC46" s="52"/>
      <c r="ID46" s="52"/>
      <c r="IE46" s="52"/>
      <c r="IF46" s="52"/>
      <c r="IG46" s="52"/>
      <c r="IH46" s="52"/>
      <c r="II46" s="52"/>
      <c r="IJ46" s="52"/>
      <c r="IK46" s="52"/>
      <c r="IL46" s="52"/>
      <c r="IM46" s="52"/>
      <c r="IN46" s="52"/>
      <c r="IO46" s="292"/>
      <c r="IP46" s="292"/>
      <c r="IQ46" s="292"/>
      <c r="IR46" s="292"/>
      <c r="IS46" s="292"/>
      <c r="IT46" s="292"/>
      <c r="IU46" s="292"/>
      <c r="IV46" s="292"/>
    </row>
    <row r="47" spans="1:256" ht="9.9499999999999993" customHeight="1" thickBot="1" x14ac:dyDescent="0.25">
      <c r="A47" s="292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247"/>
      <c r="FV47" s="52"/>
      <c r="FW47" s="52"/>
      <c r="FX47" s="52"/>
      <c r="FY47" s="52"/>
      <c r="FZ47" s="52"/>
      <c r="GA47" s="52"/>
      <c r="GB47" s="52"/>
      <c r="GC47" s="52"/>
      <c r="GD47" s="52"/>
      <c r="GE47" s="52"/>
      <c r="GF47" s="52"/>
      <c r="GG47" s="52"/>
      <c r="GH47" s="52"/>
      <c r="GI47" s="52"/>
      <c r="GJ47" s="52"/>
      <c r="GK47" s="52"/>
      <c r="GL47" s="52"/>
      <c r="GM47" s="52"/>
      <c r="GN47" s="52"/>
      <c r="GO47" s="52"/>
      <c r="GP47" s="52"/>
      <c r="GQ47" s="52"/>
      <c r="GR47" s="52"/>
      <c r="GS47" s="52"/>
      <c r="GT47" s="52"/>
      <c r="GU47" s="52"/>
      <c r="GV47" s="52"/>
      <c r="GW47" s="52"/>
      <c r="GX47" s="52"/>
      <c r="GY47" s="52"/>
      <c r="GZ47" s="52"/>
      <c r="HA47" s="52"/>
      <c r="HB47" s="52"/>
      <c r="HC47" s="52"/>
      <c r="HD47" s="52"/>
      <c r="HE47" s="52"/>
      <c r="HF47" s="52"/>
      <c r="HG47" s="52"/>
      <c r="HH47" s="52"/>
      <c r="HI47" s="52"/>
      <c r="HJ47" s="52"/>
      <c r="HK47" s="52"/>
      <c r="HL47" s="52"/>
      <c r="HM47" s="52"/>
      <c r="HN47" s="52"/>
      <c r="HO47" s="52"/>
      <c r="HP47" s="52"/>
      <c r="HQ47" s="52"/>
      <c r="HR47" s="52"/>
      <c r="HS47" s="52"/>
      <c r="HT47" s="52"/>
      <c r="HU47" s="52"/>
      <c r="HV47" s="52"/>
      <c r="HW47" s="52"/>
      <c r="HX47" s="52"/>
      <c r="HY47" s="52"/>
      <c r="HZ47" s="52"/>
      <c r="IA47" s="52"/>
      <c r="IB47" s="52"/>
      <c r="IC47" s="52"/>
      <c r="ID47" s="52"/>
      <c r="IE47" s="52"/>
      <c r="IF47" s="52"/>
      <c r="IG47" s="52"/>
      <c r="IH47" s="52"/>
      <c r="II47" s="52"/>
      <c r="IJ47" s="52"/>
      <c r="IK47" s="52"/>
      <c r="IL47" s="52"/>
      <c r="IM47" s="52"/>
      <c r="IN47" s="52"/>
      <c r="IO47" s="292"/>
      <c r="IP47" s="292"/>
      <c r="IQ47" s="292"/>
      <c r="IR47" s="292"/>
      <c r="IS47" s="292"/>
      <c r="IT47" s="292"/>
      <c r="IU47" s="292"/>
      <c r="IV47" s="292"/>
    </row>
    <row r="48" spans="1:256" ht="20.100000000000001" customHeight="1" thickBot="1" x14ac:dyDescent="0.25">
      <c r="A48" s="292"/>
      <c r="C48" s="125" t="s">
        <v>64</v>
      </c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60">
        <f>M38+L46+AE44</f>
        <v>18094.852722222222</v>
      </c>
      <c r="AD48" s="160"/>
      <c r="AE48" s="160"/>
      <c r="AF48" s="160"/>
      <c r="AG48" s="160"/>
      <c r="AH48" s="160"/>
      <c r="AI48" s="160"/>
      <c r="AJ48" s="160"/>
      <c r="AK48" s="160"/>
      <c r="AL48" s="161"/>
      <c r="AM48" s="247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Q48" s="52"/>
      <c r="HR48" s="52"/>
      <c r="HS48" s="52"/>
      <c r="HT48" s="52"/>
      <c r="HU48" s="52"/>
      <c r="HV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292"/>
      <c r="IP48" s="292"/>
      <c r="IQ48" s="292"/>
      <c r="IR48" s="292"/>
      <c r="IS48" s="292"/>
      <c r="IT48" s="292"/>
      <c r="IU48" s="292"/>
      <c r="IV48" s="292"/>
    </row>
    <row r="49" spans="1:256" ht="20.100000000000001" customHeight="1" x14ac:dyDescent="0.2">
      <c r="A49" s="292"/>
      <c r="C49" s="9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3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V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292"/>
      <c r="IP49" s="292"/>
      <c r="IQ49" s="292"/>
      <c r="IR49" s="292"/>
      <c r="IS49" s="292"/>
      <c r="IT49" s="292"/>
      <c r="IU49" s="292"/>
      <c r="IV49" s="292"/>
    </row>
    <row r="50" spans="1:256" ht="9.9499999999999993" customHeight="1" x14ac:dyDescent="0.2">
      <c r="A50" s="292"/>
      <c r="C50" s="9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31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V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292"/>
      <c r="IP50" s="292"/>
      <c r="IQ50" s="292"/>
      <c r="IR50" s="292"/>
      <c r="IS50" s="292"/>
      <c r="IT50" s="292"/>
      <c r="IU50" s="292"/>
      <c r="IV50" s="292"/>
    </row>
    <row r="51" spans="1:256" ht="9.9499999999999993" customHeight="1" x14ac:dyDescent="0.2">
      <c r="A51" s="292"/>
      <c r="B51" s="304" t="s">
        <v>116</v>
      </c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304"/>
      <c r="X51" s="304"/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V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292"/>
      <c r="IP51" s="292"/>
      <c r="IQ51" s="292"/>
      <c r="IR51" s="292"/>
      <c r="IS51" s="292"/>
      <c r="IT51" s="292"/>
      <c r="IU51" s="292"/>
      <c r="IV51" s="292"/>
    </row>
    <row r="52" spans="1:256" ht="20.100000000000001" customHeight="1" x14ac:dyDescent="0.2">
      <c r="A52" s="292"/>
      <c r="B52" s="304"/>
      <c r="C52" s="304"/>
      <c r="D52" s="304"/>
      <c r="E52" s="304"/>
      <c r="F52" s="304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304"/>
      <c r="R52" s="304"/>
      <c r="S52" s="304"/>
      <c r="T52" s="304"/>
      <c r="U52" s="304"/>
      <c r="V52" s="304"/>
      <c r="W52" s="304"/>
      <c r="X52" s="304"/>
      <c r="Y52" s="304"/>
      <c r="Z52" s="304"/>
      <c r="AA52" s="304"/>
      <c r="AB52" s="304"/>
      <c r="AC52" s="304"/>
      <c r="AD52" s="304"/>
      <c r="AE52" s="304"/>
      <c r="AF52" s="304"/>
      <c r="AG52" s="304"/>
      <c r="AH52" s="304"/>
      <c r="AI52" s="304"/>
      <c r="AJ52" s="304"/>
      <c r="AK52" s="304"/>
      <c r="AL52" s="304"/>
      <c r="AM52" s="304"/>
      <c r="FV52" s="52"/>
      <c r="FW52" s="52"/>
      <c r="FX52" s="52"/>
      <c r="FY52" s="52"/>
      <c r="FZ52" s="52"/>
      <c r="GA52" s="52"/>
      <c r="GB52" s="52"/>
      <c r="GC52" s="52"/>
      <c r="GD52" s="52"/>
      <c r="GE52" s="52"/>
      <c r="GF52" s="52"/>
      <c r="GG52" s="52"/>
      <c r="GH52" s="52"/>
      <c r="GI52" s="52"/>
      <c r="GJ52" s="52"/>
      <c r="GK52" s="52"/>
      <c r="GL52" s="52"/>
      <c r="GM52" s="52"/>
      <c r="GN52" s="52"/>
      <c r="GO52" s="52"/>
      <c r="GP52" s="52"/>
      <c r="GQ52" s="52"/>
      <c r="GR52" s="52"/>
      <c r="GS52" s="52"/>
      <c r="GT52" s="52"/>
      <c r="GU52" s="52"/>
      <c r="GV52" s="52"/>
      <c r="GW52" s="52"/>
      <c r="GX52" s="52"/>
      <c r="GY52" s="52"/>
      <c r="GZ52" s="52"/>
      <c r="HA52" s="52"/>
      <c r="HB52" s="52"/>
      <c r="HC52" s="52"/>
      <c r="HD52" s="52"/>
      <c r="HE52" s="52"/>
      <c r="HF52" s="52"/>
      <c r="HG52" s="52"/>
      <c r="HH52" s="52"/>
      <c r="HI52" s="52"/>
      <c r="HJ52" s="52"/>
      <c r="HK52" s="52"/>
      <c r="HL52" s="52"/>
      <c r="HM52" s="52"/>
      <c r="HN52" s="52"/>
      <c r="HO52" s="52"/>
      <c r="HP52" s="52"/>
      <c r="HQ52" s="52"/>
      <c r="HR52" s="52"/>
      <c r="HS52" s="52"/>
      <c r="HT52" s="52"/>
      <c r="HU52" s="52"/>
      <c r="HV52" s="52"/>
      <c r="HW52" s="52"/>
      <c r="HX52" s="52"/>
      <c r="HY52" s="52"/>
      <c r="HZ52" s="52"/>
      <c r="IA52" s="52"/>
      <c r="IB52" s="52"/>
      <c r="IC52" s="52"/>
      <c r="ID52" s="52"/>
      <c r="IE52" s="52"/>
      <c r="IF52" s="52"/>
      <c r="IG52" s="52"/>
      <c r="IH52" s="52"/>
      <c r="II52" s="52"/>
      <c r="IJ52" s="52"/>
      <c r="IK52" s="52"/>
      <c r="IL52" s="52"/>
      <c r="IM52" s="52"/>
      <c r="IN52" s="52"/>
      <c r="IO52" s="292"/>
      <c r="IP52" s="292"/>
      <c r="IQ52" s="292"/>
      <c r="IR52" s="292"/>
      <c r="IS52" s="292"/>
      <c r="IT52" s="292"/>
      <c r="IU52" s="292"/>
      <c r="IV52" s="292"/>
    </row>
    <row r="53" spans="1:256" ht="20.100000000000001" customHeight="1" x14ac:dyDescent="0.2">
      <c r="A53" s="292"/>
      <c r="B53" s="304"/>
      <c r="C53" s="304"/>
      <c r="D53" s="304"/>
      <c r="E53" s="304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4"/>
      <c r="V53" s="304"/>
      <c r="W53" s="304"/>
      <c r="X53" s="304"/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FV53" s="52"/>
      <c r="FW53" s="52"/>
      <c r="FX53" s="52"/>
      <c r="FY53" s="52"/>
      <c r="FZ53" s="52"/>
      <c r="GA53" s="52"/>
      <c r="GB53" s="52"/>
      <c r="GC53" s="52"/>
      <c r="GD53" s="52"/>
      <c r="GE53" s="52"/>
      <c r="GF53" s="52"/>
      <c r="GG53" s="52"/>
      <c r="GH53" s="52"/>
      <c r="GI53" s="52"/>
      <c r="GJ53" s="52"/>
      <c r="GK53" s="52"/>
      <c r="GL53" s="52"/>
      <c r="GM53" s="52"/>
      <c r="GN53" s="52"/>
      <c r="GO53" s="52"/>
      <c r="GP53" s="52"/>
      <c r="GQ53" s="52"/>
      <c r="GR53" s="52"/>
      <c r="GS53" s="52"/>
      <c r="GT53" s="52"/>
      <c r="GU53" s="52"/>
      <c r="GV53" s="52"/>
      <c r="GW53" s="52"/>
      <c r="GX53" s="52"/>
      <c r="GY53" s="52"/>
      <c r="GZ53" s="52"/>
      <c r="HA53" s="52"/>
      <c r="HB53" s="52"/>
      <c r="HC53" s="52"/>
      <c r="HD53" s="52"/>
      <c r="HE53" s="52"/>
      <c r="HF53" s="52"/>
      <c r="HG53" s="52"/>
      <c r="HH53" s="52"/>
      <c r="HI53" s="52"/>
      <c r="HJ53" s="52"/>
      <c r="HK53" s="52"/>
      <c r="HL53" s="52"/>
      <c r="HM53" s="52"/>
      <c r="HN53" s="52"/>
      <c r="HO53" s="52"/>
      <c r="HP53" s="52"/>
      <c r="HQ53" s="52"/>
      <c r="HR53" s="52"/>
      <c r="HS53" s="52"/>
      <c r="HT53" s="52"/>
      <c r="HU53" s="52"/>
      <c r="HV53" s="52"/>
      <c r="HW53" s="52"/>
      <c r="HX53" s="52"/>
      <c r="HY53" s="52"/>
      <c r="HZ53" s="52"/>
      <c r="IA53" s="52"/>
      <c r="IB53" s="52"/>
      <c r="IC53" s="52"/>
      <c r="ID53" s="52"/>
      <c r="IE53" s="52"/>
      <c r="IF53" s="52"/>
      <c r="IG53" s="52"/>
      <c r="IH53" s="52"/>
      <c r="II53" s="52"/>
      <c r="IJ53" s="52"/>
      <c r="IK53" s="52"/>
      <c r="IL53" s="52"/>
      <c r="IM53" s="52"/>
      <c r="IN53" s="52"/>
      <c r="IO53" s="292"/>
      <c r="IP53" s="292"/>
      <c r="IQ53" s="292"/>
      <c r="IR53" s="292"/>
      <c r="IS53" s="292"/>
      <c r="IT53" s="292"/>
      <c r="IU53" s="292"/>
      <c r="IV53" s="292"/>
    </row>
    <row r="54" spans="1:256" ht="9.9499999999999993" customHeight="1" x14ac:dyDescent="0.2">
      <c r="A54" s="292"/>
      <c r="B54" s="304"/>
      <c r="C54" s="304"/>
      <c r="D54" s="304"/>
      <c r="E54" s="304"/>
      <c r="F54" s="304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304"/>
      <c r="R54" s="304"/>
      <c r="S54" s="304"/>
      <c r="T54" s="304"/>
      <c r="U54" s="304"/>
      <c r="V54" s="304"/>
      <c r="W54" s="304"/>
      <c r="X54" s="304"/>
      <c r="Y54" s="304"/>
      <c r="Z54" s="304"/>
      <c r="AA54" s="304"/>
      <c r="AB54" s="304"/>
      <c r="AC54" s="304"/>
      <c r="AD54" s="304"/>
      <c r="AE54" s="304"/>
      <c r="AF54" s="304"/>
      <c r="AG54" s="304"/>
      <c r="AH54" s="304"/>
      <c r="AI54" s="304"/>
      <c r="AJ54" s="304"/>
      <c r="AK54" s="304"/>
      <c r="AL54" s="304"/>
      <c r="AM54" s="304"/>
      <c r="FV54" s="52"/>
      <c r="FW54" s="52"/>
      <c r="FX54" s="52"/>
      <c r="FY54" s="52"/>
      <c r="FZ54" s="52"/>
      <c r="GA54" s="52"/>
      <c r="GB54" s="52"/>
      <c r="GC54" s="52"/>
      <c r="GD54" s="52"/>
      <c r="GE54" s="52"/>
      <c r="GF54" s="52"/>
      <c r="GG54" s="52"/>
      <c r="GH54" s="52"/>
      <c r="GI54" s="52"/>
      <c r="GJ54" s="52"/>
      <c r="GK54" s="52"/>
      <c r="GL54" s="52"/>
      <c r="GM54" s="52"/>
      <c r="GN54" s="52"/>
      <c r="GO54" s="52"/>
      <c r="GP54" s="52"/>
      <c r="GQ54" s="52"/>
      <c r="GR54" s="52"/>
      <c r="GS54" s="52"/>
      <c r="GT54" s="52"/>
      <c r="GU54" s="52"/>
      <c r="GV54" s="52"/>
      <c r="GW54" s="52"/>
      <c r="GX54" s="52"/>
      <c r="GY54" s="52"/>
      <c r="GZ54" s="52"/>
      <c r="HA54" s="52"/>
      <c r="HB54" s="52"/>
      <c r="HC54" s="52"/>
      <c r="HD54" s="52"/>
      <c r="HE54" s="52"/>
      <c r="HF54" s="52"/>
      <c r="HG54" s="52"/>
      <c r="HH54" s="52"/>
      <c r="HI54" s="52"/>
      <c r="HJ54" s="52"/>
      <c r="HK54" s="52"/>
      <c r="HL54" s="52"/>
      <c r="HM54" s="52"/>
      <c r="HN54" s="52"/>
      <c r="HO54" s="52"/>
      <c r="HP54" s="52"/>
      <c r="HQ54" s="52"/>
      <c r="HR54" s="52"/>
      <c r="HS54" s="52"/>
      <c r="HT54" s="52"/>
      <c r="HU54" s="52"/>
      <c r="HV54" s="52"/>
      <c r="HW54" s="52"/>
      <c r="HX54" s="52"/>
      <c r="HY54" s="52"/>
      <c r="HZ54" s="52"/>
      <c r="IA54" s="52"/>
      <c r="IB54" s="52"/>
      <c r="IC54" s="52"/>
      <c r="ID54" s="52"/>
      <c r="IE54" s="52"/>
      <c r="IF54" s="52"/>
      <c r="IG54" s="52"/>
      <c r="IH54" s="52"/>
      <c r="II54" s="52"/>
      <c r="IJ54" s="52"/>
      <c r="IK54" s="52"/>
      <c r="IL54" s="52"/>
      <c r="IM54" s="52"/>
      <c r="IN54" s="52"/>
      <c r="IO54" s="292"/>
      <c r="IP54" s="292"/>
      <c r="IQ54" s="292"/>
      <c r="IR54" s="292"/>
      <c r="IS54" s="292"/>
      <c r="IT54" s="292"/>
      <c r="IU54" s="292"/>
      <c r="IV54" s="292"/>
    </row>
    <row r="55" spans="1:256" ht="20.100000000000001" customHeight="1" x14ac:dyDescent="0.2">
      <c r="A55" s="292"/>
      <c r="B55" s="33"/>
      <c r="C55" s="115" t="s">
        <v>67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V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292"/>
      <c r="IP55" s="292"/>
      <c r="IQ55" s="292"/>
      <c r="IR55" s="292"/>
      <c r="IS55" s="292"/>
      <c r="IT55" s="292"/>
      <c r="IU55" s="292"/>
      <c r="IV55" s="292"/>
    </row>
    <row r="56" spans="1:256" ht="20.100000000000001" customHeight="1" x14ac:dyDescent="0.2">
      <c r="A56" s="292"/>
      <c r="B56" s="33"/>
      <c r="C56" s="228" t="s">
        <v>68</v>
      </c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30"/>
      <c r="V56" s="251" t="str">
        <f>RESCISÃO!V38</f>
        <v>PAGAMENTO ATÉ: 08/05/2020 (SEX.)</v>
      </c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3"/>
      <c r="AM56" s="36"/>
      <c r="FV56" s="52"/>
      <c r="FW56" s="52"/>
      <c r="FX56" s="52"/>
      <c r="FY56" s="52"/>
      <c r="FZ56" s="52"/>
      <c r="GA56" s="52"/>
      <c r="GB56" s="52"/>
      <c r="GC56" s="52"/>
      <c r="GD56" s="52"/>
      <c r="GE56" s="52"/>
      <c r="GF56" s="52"/>
      <c r="GG56" s="52"/>
      <c r="GH56" s="52"/>
      <c r="GI56" s="52"/>
      <c r="GJ56" s="52"/>
      <c r="GK56" s="52"/>
      <c r="GL56" s="52"/>
      <c r="GM56" s="52"/>
      <c r="GN56" s="52"/>
      <c r="GO56" s="52"/>
      <c r="GP56" s="52"/>
      <c r="GQ56" s="52"/>
      <c r="GR56" s="52"/>
      <c r="GS56" s="52"/>
      <c r="GT56" s="52"/>
      <c r="GU56" s="52"/>
      <c r="GV56" s="52"/>
      <c r="GW56" s="52"/>
      <c r="GX56" s="52"/>
      <c r="GY56" s="52"/>
      <c r="GZ56" s="52"/>
      <c r="HA56" s="52"/>
      <c r="HB56" s="52"/>
      <c r="HC56" s="52"/>
      <c r="HD56" s="52"/>
      <c r="HE56" s="52"/>
      <c r="HF56" s="52"/>
      <c r="HG56" s="52"/>
      <c r="HH56" s="52"/>
      <c r="HI56" s="52"/>
      <c r="HJ56" s="52"/>
      <c r="HK56" s="52"/>
      <c r="HL56" s="52"/>
      <c r="HM56" s="52"/>
      <c r="HN56" s="52"/>
      <c r="HO56" s="52"/>
      <c r="HP56" s="52"/>
      <c r="HQ56" s="52"/>
      <c r="HR56" s="52"/>
      <c r="HS56" s="52"/>
      <c r="HT56" s="52"/>
      <c r="HU56" s="52"/>
      <c r="HV56" s="52"/>
      <c r="HW56" s="52"/>
      <c r="HX56" s="52"/>
      <c r="HY56" s="52"/>
      <c r="HZ56" s="52"/>
      <c r="IA56" s="52"/>
      <c r="IB56" s="52"/>
      <c r="IC56" s="52"/>
      <c r="ID56" s="52"/>
      <c r="IE56" s="52"/>
      <c r="IF56" s="52"/>
      <c r="IG56" s="52"/>
      <c r="IH56" s="52"/>
      <c r="II56" s="52"/>
      <c r="IJ56" s="52"/>
      <c r="IK56" s="52"/>
      <c r="IL56" s="52"/>
      <c r="IM56" s="52"/>
      <c r="IN56" s="52"/>
      <c r="IO56" s="292"/>
      <c r="IP56" s="292"/>
      <c r="IQ56" s="292"/>
      <c r="IR56" s="292"/>
      <c r="IS56" s="292"/>
      <c r="IT56" s="292"/>
      <c r="IU56" s="292"/>
      <c r="IV56" s="292"/>
    </row>
    <row r="57" spans="1:256" ht="20.100000000000001" customHeight="1" x14ac:dyDescent="0.2">
      <c r="A57" s="292"/>
      <c r="B57" s="33"/>
      <c r="C57" s="257">
        <f>M38</f>
        <v>10229.475388888888</v>
      </c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  <c r="O57" s="258"/>
      <c r="P57" s="258"/>
      <c r="Q57" s="258"/>
      <c r="R57" s="258"/>
      <c r="S57" s="258"/>
      <c r="T57" s="258"/>
      <c r="U57" s="259"/>
      <c r="V57" s="254"/>
      <c r="W57" s="255"/>
      <c r="X57" s="255"/>
      <c r="Y57" s="255"/>
      <c r="Z57" s="255"/>
      <c r="AA57" s="255"/>
      <c r="AB57" s="255"/>
      <c r="AC57" s="255"/>
      <c r="AD57" s="255"/>
      <c r="AE57" s="255"/>
      <c r="AF57" s="255"/>
      <c r="AG57" s="255"/>
      <c r="AH57" s="255"/>
      <c r="AI57" s="255"/>
      <c r="AJ57" s="255"/>
      <c r="AK57" s="255"/>
      <c r="AL57" s="256"/>
      <c r="AM57" s="36"/>
      <c r="FV57" s="52"/>
      <c r="FW57" s="52"/>
      <c r="FX57" s="52"/>
      <c r="FY57" s="52"/>
      <c r="FZ57" s="52"/>
      <c r="GA57" s="52"/>
      <c r="GB57" s="52"/>
      <c r="GC57" s="52"/>
      <c r="GD57" s="52"/>
      <c r="GE57" s="52"/>
      <c r="GF57" s="52"/>
      <c r="GG57" s="52"/>
      <c r="GH57" s="52"/>
      <c r="GI57" s="52"/>
      <c r="GJ57" s="52"/>
      <c r="GK57" s="52"/>
      <c r="GL57" s="52"/>
      <c r="GM57" s="52"/>
      <c r="GN57" s="52"/>
      <c r="GO57" s="52"/>
      <c r="GP57" s="52"/>
      <c r="GQ57" s="52"/>
      <c r="GR57" s="52"/>
      <c r="GS57" s="52"/>
      <c r="GT57" s="52"/>
      <c r="GU57" s="52"/>
      <c r="GV57" s="52"/>
      <c r="GW57" s="52"/>
      <c r="GX57" s="52"/>
      <c r="GY57" s="52"/>
      <c r="GZ57" s="52"/>
      <c r="HA57" s="52"/>
      <c r="HB57" s="52"/>
      <c r="HC57" s="52"/>
      <c r="HD57" s="52"/>
      <c r="HE57" s="52"/>
      <c r="HF57" s="52"/>
      <c r="HG57" s="52"/>
      <c r="HH57" s="52"/>
      <c r="HI57" s="52"/>
      <c r="HJ57" s="52"/>
      <c r="HK57" s="52"/>
      <c r="HL57" s="52"/>
      <c r="HM57" s="52"/>
      <c r="HN57" s="52"/>
      <c r="HO57" s="52"/>
      <c r="HP57" s="52"/>
      <c r="HQ57" s="52"/>
      <c r="HR57" s="52"/>
      <c r="HS57" s="52"/>
      <c r="HT57" s="52"/>
      <c r="HU57" s="52"/>
      <c r="HV57" s="52"/>
      <c r="HW57" s="52"/>
      <c r="HX57" s="52"/>
      <c r="HY57" s="52"/>
      <c r="HZ57" s="52"/>
      <c r="IA57" s="52"/>
      <c r="IB57" s="52"/>
      <c r="IC57" s="52"/>
      <c r="ID57" s="52"/>
      <c r="IE57" s="52"/>
      <c r="IF57" s="52"/>
      <c r="IG57" s="52"/>
      <c r="IH57" s="52"/>
      <c r="II57" s="52"/>
      <c r="IJ57" s="52"/>
      <c r="IK57" s="52"/>
      <c r="IL57" s="52"/>
      <c r="IM57" s="52"/>
      <c r="IN57" s="52"/>
      <c r="IO57" s="292"/>
      <c r="IP57" s="292"/>
      <c r="IQ57" s="292"/>
      <c r="IR57" s="292"/>
      <c r="IS57" s="292"/>
      <c r="IT57" s="292"/>
      <c r="IU57" s="292"/>
      <c r="IV57" s="292"/>
    </row>
    <row r="58" spans="1:256" ht="9.9499999999999993" customHeight="1" x14ac:dyDescent="0.2">
      <c r="A58" s="292"/>
      <c r="B58" s="33"/>
      <c r="C58" s="33"/>
      <c r="D58" s="33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FV58" s="52"/>
      <c r="FW58" s="52"/>
      <c r="FX58" s="52"/>
      <c r="FY58" s="52"/>
      <c r="FZ58" s="52"/>
      <c r="GA58" s="52"/>
      <c r="GB58" s="52"/>
      <c r="GC58" s="52"/>
      <c r="GD58" s="52"/>
      <c r="GE58" s="52"/>
      <c r="GF58" s="52"/>
      <c r="GG58" s="52"/>
      <c r="GH58" s="52"/>
      <c r="GI58" s="52"/>
      <c r="GJ58" s="52"/>
      <c r="GK58" s="52"/>
      <c r="GL58" s="52"/>
      <c r="GM58" s="52"/>
      <c r="GN58" s="52"/>
      <c r="GO58" s="52"/>
      <c r="GP58" s="52"/>
      <c r="GQ58" s="52"/>
      <c r="GR58" s="52"/>
      <c r="GS58" s="52"/>
      <c r="GT58" s="52"/>
      <c r="GU58" s="52"/>
      <c r="GV58" s="52"/>
      <c r="GW58" s="52"/>
      <c r="GX58" s="52"/>
      <c r="GY58" s="52"/>
      <c r="GZ58" s="52"/>
      <c r="HA58" s="52"/>
      <c r="HB58" s="52"/>
      <c r="HC58" s="52"/>
      <c r="HD58" s="52"/>
      <c r="HE58" s="52"/>
      <c r="HF58" s="52"/>
      <c r="HG58" s="52"/>
      <c r="HH58" s="52"/>
      <c r="HI58" s="52"/>
      <c r="HJ58" s="52"/>
      <c r="HK58" s="52"/>
      <c r="HL58" s="52"/>
      <c r="HM58" s="52"/>
      <c r="HN58" s="52"/>
      <c r="HO58" s="52"/>
      <c r="HP58" s="52"/>
      <c r="HQ58" s="52"/>
      <c r="HR58" s="52"/>
      <c r="HS58" s="52"/>
      <c r="HT58" s="52"/>
      <c r="HU58" s="52"/>
      <c r="HV58" s="52"/>
      <c r="HW58" s="52"/>
      <c r="HX58" s="52"/>
      <c r="HY58" s="52"/>
      <c r="HZ58" s="52"/>
      <c r="IA58" s="52"/>
      <c r="IB58" s="52"/>
      <c r="IC58" s="52"/>
      <c r="ID58" s="52"/>
      <c r="IE58" s="52"/>
      <c r="IF58" s="52"/>
      <c r="IG58" s="52"/>
      <c r="IH58" s="52"/>
      <c r="II58" s="52"/>
      <c r="IJ58" s="52"/>
      <c r="IK58" s="52"/>
      <c r="IL58" s="52"/>
      <c r="IM58" s="52"/>
      <c r="IN58" s="52"/>
      <c r="IO58" s="292"/>
      <c r="IP58" s="292"/>
      <c r="IQ58" s="292"/>
      <c r="IR58" s="292"/>
      <c r="IS58" s="292"/>
      <c r="IT58" s="292"/>
      <c r="IU58" s="292"/>
      <c r="IV58" s="292"/>
    </row>
    <row r="59" spans="1:256" ht="20.100000000000001" customHeight="1" x14ac:dyDescent="0.2">
      <c r="A59" s="292"/>
      <c r="B59" s="33"/>
      <c r="C59" s="115" t="s">
        <v>69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U59" s="52"/>
      <c r="HV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292"/>
      <c r="IP59" s="292"/>
      <c r="IQ59" s="292"/>
      <c r="IR59" s="292"/>
      <c r="IS59" s="292"/>
      <c r="IT59" s="292"/>
      <c r="IU59" s="292"/>
      <c r="IV59" s="292"/>
    </row>
    <row r="60" spans="1:256" ht="20.100000000000001" customHeight="1" x14ac:dyDescent="0.2">
      <c r="A60" s="292"/>
      <c r="B60" s="33"/>
      <c r="C60" s="228" t="s">
        <v>102</v>
      </c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30"/>
      <c r="V60" s="251" t="str">
        <f>V56</f>
        <v>PAGAMENTO ATÉ: 08/05/2020 (SEX.)</v>
      </c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3"/>
      <c r="AM60" s="36"/>
      <c r="FV60" s="52"/>
      <c r="FW60" s="52"/>
      <c r="FX60" s="52"/>
      <c r="FY60" s="52"/>
      <c r="FZ60" s="52"/>
      <c r="GA60" s="52"/>
      <c r="GB60" s="52"/>
      <c r="GC60" s="52"/>
      <c r="GD60" s="52"/>
      <c r="GE60" s="52"/>
      <c r="GF60" s="52"/>
      <c r="GG60" s="52"/>
      <c r="GH60" s="52"/>
      <c r="GI60" s="52"/>
      <c r="GJ60" s="52"/>
      <c r="GK60" s="52"/>
      <c r="GL60" s="52"/>
      <c r="GM60" s="52"/>
      <c r="GN60" s="52"/>
      <c r="GO60" s="52"/>
      <c r="GP60" s="52"/>
      <c r="GQ60" s="52"/>
      <c r="GR60" s="52"/>
      <c r="GS60" s="52"/>
      <c r="GT60" s="52"/>
      <c r="GU60" s="52"/>
      <c r="GV60" s="52"/>
      <c r="GW60" s="52"/>
      <c r="GX60" s="52"/>
      <c r="GY60" s="52"/>
      <c r="GZ60" s="52"/>
      <c r="HA60" s="52"/>
      <c r="HB60" s="52"/>
      <c r="HC60" s="52"/>
      <c r="HD60" s="52"/>
      <c r="HE60" s="52"/>
      <c r="HF60" s="52"/>
      <c r="HG60" s="52"/>
      <c r="HH60" s="52"/>
      <c r="HI60" s="52"/>
      <c r="HJ60" s="52"/>
      <c r="HK60" s="52"/>
      <c r="HL60" s="52"/>
      <c r="HM60" s="52"/>
      <c r="HN60" s="52"/>
      <c r="HO60" s="52"/>
      <c r="HP60" s="52"/>
      <c r="HQ60" s="52"/>
      <c r="HR60" s="52"/>
      <c r="HS60" s="52"/>
      <c r="HT60" s="52"/>
      <c r="HU60" s="52"/>
      <c r="HV60" s="52"/>
      <c r="HW60" s="52"/>
      <c r="HX60" s="52"/>
      <c r="HY60" s="52"/>
      <c r="HZ60" s="52"/>
      <c r="IA60" s="52"/>
      <c r="IB60" s="52"/>
      <c r="IC60" s="52"/>
      <c r="ID60" s="52"/>
      <c r="IE60" s="52"/>
      <c r="IF60" s="52"/>
      <c r="IG60" s="52"/>
      <c r="IH60" s="52"/>
      <c r="II60" s="52"/>
      <c r="IJ60" s="52"/>
      <c r="IK60" s="52"/>
      <c r="IL60" s="52"/>
      <c r="IM60" s="52"/>
      <c r="IN60" s="52"/>
      <c r="IO60" s="292"/>
      <c r="IP60" s="292"/>
      <c r="IQ60" s="292"/>
      <c r="IR60" s="292"/>
      <c r="IS60" s="292"/>
      <c r="IT60" s="292"/>
      <c r="IU60" s="292"/>
      <c r="IV60" s="292"/>
    </row>
    <row r="61" spans="1:256" ht="20.100000000000001" customHeight="1" x14ac:dyDescent="0.2">
      <c r="A61" s="292"/>
      <c r="B61" s="33"/>
      <c r="C61" s="257">
        <f>RESCISÃO!L43+L44+(RESCISÃO!L42*80%)</f>
        <v>503.33333333333337</v>
      </c>
      <c r="D61" s="258"/>
      <c r="E61" s="258"/>
      <c r="F61" s="258"/>
      <c r="G61" s="258"/>
      <c r="H61" s="258"/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  <c r="T61" s="258"/>
      <c r="U61" s="259"/>
      <c r="V61" s="254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6"/>
      <c r="AM61" s="36"/>
      <c r="FV61" s="52"/>
      <c r="FW61" s="52"/>
      <c r="FX61" s="52"/>
      <c r="FY61" s="52"/>
      <c r="FZ61" s="52"/>
      <c r="GA61" s="52"/>
      <c r="GB61" s="52"/>
      <c r="GC61" s="52"/>
      <c r="GD61" s="52"/>
      <c r="GE61" s="52"/>
      <c r="GF61" s="52"/>
      <c r="GG61" s="52"/>
      <c r="GH61" s="52"/>
      <c r="GI61" s="52"/>
      <c r="GJ61" s="52"/>
      <c r="GK61" s="52"/>
      <c r="GL61" s="52"/>
      <c r="GM61" s="52"/>
      <c r="GN61" s="52"/>
      <c r="GO61" s="52"/>
      <c r="GP61" s="52"/>
      <c r="GQ61" s="52"/>
      <c r="GR61" s="52"/>
      <c r="GS61" s="52"/>
      <c r="GT61" s="52"/>
      <c r="GU61" s="52"/>
      <c r="GV61" s="52"/>
      <c r="GW61" s="52"/>
      <c r="GX61" s="52"/>
      <c r="GY61" s="52"/>
      <c r="GZ61" s="52"/>
      <c r="HA61" s="52"/>
      <c r="HB61" s="52"/>
      <c r="HC61" s="52"/>
      <c r="HD61" s="52"/>
      <c r="HE61" s="52"/>
      <c r="HF61" s="52"/>
      <c r="HG61" s="52"/>
      <c r="HH61" s="52"/>
      <c r="HI61" s="52"/>
      <c r="HJ61" s="52"/>
      <c r="HK61" s="52"/>
      <c r="HL61" s="52"/>
      <c r="HM61" s="52"/>
      <c r="HN61" s="52"/>
      <c r="HO61" s="52"/>
      <c r="HP61" s="52"/>
      <c r="HQ61" s="52"/>
      <c r="HR61" s="52"/>
      <c r="HS61" s="52"/>
      <c r="HT61" s="52"/>
      <c r="HU61" s="52"/>
      <c r="HV61" s="52"/>
      <c r="HW61" s="52"/>
      <c r="HX61" s="52"/>
      <c r="HY61" s="52"/>
      <c r="HZ61" s="52"/>
      <c r="IA61" s="52"/>
      <c r="IB61" s="52"/>
      <c r="IC61" s="52"/>
      <c r="ID61" s="52"/>
      <c r="IE61" s="52"/>
      <c r="IF61" s="52"/>
      <c r="IG61" s="52"/>
      <c r="IH61" s="52"/>
      <c r="II61" s="52"/>
      <c r="IJ61" s="52"/>
      <c r="IK61" s="52"/>
      <c r="IL61" s="52"/>
      <c r="IM61" s="52"/>
      <c r="IN61" s="52"/>
      <c r="IO61" s="292"/>
      <c r="IP61" s="292"/>
      <c r="IQ61" s="292"/>
      <c r="IR61" s="292"/>
      <c r="IS61" s="292"/>
      <c r="IT61" s="292"/>
      <c r="IU61" s="292"/>
      <c r="IV61" s="292"/>
    </row>
    <row r="62" spans="1:256" ht="20.100000000000001" customHeight="1" x14ac:dyDescent="0.2">
      <c r="A62" s="292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228" t="s">
        <v>87</v>
      </c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29"/>
      <c r="AL62" s="230"/>
      <c r="AM62" s="37"/>
      <c r="FV62" s="52"/>
      <c r="FW62" s="52"/>
      <c r="FX62" s="52"/>
      <c r="FY62" s="52"/>
      <c r="FZ62" s="52"/>
      <c r="GA62" s="52"/>
      <c r="GB62" s="52"/>
      <c r="GC62" s="52"/>
      <c r="GD62" s="52"/>
      <c r="GE62" s="52"/>
      <c r="GF62" s="52"/>
      <c r="GG62" s="52"/>
      <c r="GH62" s="52"/>
      <c r="GI62" s="52"/>
      <c r="GJ62" s="52"/>
      <c r="GK62" s="52"/>
      <c r="GL62" s="52"/>
      <c r="GM62" s="52"/>
      <c r="GN62" s="52"/>
      <c r="GO62" s="52"/>
      <c r="GP62" s="52"/>
      <c r="GQ62" s="52"/>
      <c r="GR62" s="52"/>
      <c r="GS62" s="52"/>
      <c r="GT62" s="52"/>
      <c r="GU62" s="52"/>
      <c r="GV62" s="52"/>
      <c r="GW62" s="52"/>
      <c r="GX62" s="52"/>
      <c r="GY62" s="52"/>
      <c r="GZ62" s="52"/>
      <c r="HA62" s="52"/>
      <c r="HB62" s="52"/>
      <c r="HC62" s="52"/>
      <c r="HD62" s="52"/>
      <c r="HE62" s="52"/>
      <c r="HF62" s="52"/>
      <c r="HG62" s="52"/>
      <c r="HH62" s="52"/>
      <c r="HI62" s="52"/>
      <c r="HJ62" s="52"/>
      <c r="HK62" s="52"/>
      <c r="HL62" s="52"/>
      <c r="HM62" s="52"/>
      <c r="HN62" s="52"/>
      <c r="HO62" s="52"/>
      <c r="HP62" s="52"/>
      <c r="HQ62" s="52"/>
      <c r="HR62" s="52"/>
      <c r="HS62" s="52"/>
      <c r="HT62" s="52"/>
      <c r="HU62" s="52"/>
      <c r="HV62" s="52"/>
      <c r="HW62" s="52"/>
      <c r="HX62" s="52"/>
      <c r="HY62" s="52"/>
      <c r="HZ62" s="52"/>
      <c r="IA62" s="52"/>
      <c r="IB62" s="52"/>
      <c r="IC62" s="52"/>
      <c r="ID62" s="52"/>
      <c r="IE62" s="52"/>
      <c r="IF62" s="52"/>
      <c r="IG62" s="52"/>
      <c r="IH62" s="52"/>
      <c r="II62" s="52"/>
      <c r="IJ62" s="52"/>
      <c r="IK62" s="52"/>
      <c r="IL62" s="52"/>
      <c r="IM62" s="52"/>
      <c r="IN62" s="52"/>
      <c r="IO62" s="292"/>
      <c r="IP62" s="292"/>
      <c r="IQ62" s="292"/>
      <c r="IR62" s="292"/>
      <c r="IS62" s="292"/>
      <c r="IT62" s="292"/>
      <c r="IU62" s="292"/>
      <c r="IV62" s="292"/>
    </row>
    <row r="63" spans="1:256" ht="20.100000000000001" customHeight="1" x14ac:dyDescent="0.2">
      <c r="A63" s="292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257">
        <f>C61+L41</f>
        <v>503.33333333333337</v>
      </c>
      <c r="W63" s="258"/>
      <c r="X63" s="258"/>
      <c r="Y63" s="258"/>
      <c r="Z63" s="258"/>
      <c r="AA63" s="258"/>
      <c r="AB63" s="258"/>
      <c r="AC63" s="258"/>
      <c r="AD63" s="258"/>
      <c r="AE63" s="258"/>
      <c r="AF63" s="258"/>
      <c r="AG63" s="258"/>
      <c r="AH63" s="258"/>
      <c r="AI63" s="258"/>
      <c r="AJ63" s="258"/>
      <c r="AK63" s="258"/>
      <c r="AL63" s="259"/>
      <c r="AM63" s="38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292"/>
      <c r="IP63" s="292"/>
      <c r="IQ63" s="292"/>
      <c r="IR63" s="292"/>
      <c r="IS63" s="292"/>
      <c r="IT63" s="292"/>
      <c r="IU63" s="292"/>
      <c r="IV63" s="292"/>
    </row>
    <row r="64" spans="1:256" ht="9.9499999999999993" customHeight="1" x14ac:dyDescent="0.2">
      <c r="A64" s="292"/>
      <c r="B64" s="33"/>
      <c r="C64" s="33"/>
      <c r="D64" s="33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52"/>
      <c r="HG64" s="52"/>
      <c r="HH64" s="52"/>
      <c r="HI64" s="52"/>
      <c r="HJ64" s="52"/>
      <c r="HK64" s="52"/>
      <c r="HL64" s="52"/>
      <c r="HM64" s="52"/>
      <c r="HN64" s="52"/>
      <c r="HO64" s="52"/>
      <c r="HP64" s="52"/>
      <c r="HQ64" s="52"/>
      <c r="HR64" s="52"/>
      <c r="HS64" s="52"/>
      <c r="HT64" s="52"/>
      <c r="HU64" s="52"/>
      <c r="HV64" s="52"/>
      <c r="HW64" s="52"/>
      <c r="HX64" s="52"/>
      <c r="HY64" s="52"/>
      <c r="HZ64" s="52"/>
      <c r="IA64" s="52"/>
      <c r="IB64" s="52"/>
      <c r="IC64" s="52"/>
      <c r="ID64" s="52"/>
      <c r="IE64" s="52"/>
      <c r="IF64" s="52"/>
      <c r="IG64" s="52"/>
      <c r="IH64" s="52"/>
      <c r="II64" s="52"/>
      <c r="IJ64" s="52"/>
      <c r="IK64" s="52"/>
      <c r="IL64" s="52"/>
      <c r="IM64" s="52"/>
      <c r="IN64" s="52"/>
      <c r="IO64" s="292"/>
      <c r="IP64" s="292"/>
      <c r="IQ64" s="292"/>
      <c r="IR64" s="292"/>
      <c r="IS64" s="292"/>
      <c r="IT64" s="292"/>
      <c r="IU64" s="292"/>
      <c r="IV64" s="292"/>
    </row>
    <row r="65" spans="1:1506" ht="20.100000000000001" customHeight="1" x14ac:dyDescent="0.2">
      <c r="A65" s="292"/>
      <c r="B65" s="33"/>
      <c r="C65" s="115" t="s">
        <v>70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FV65" s="52"/>
      <c r="FW65" s="52"/>
      <c r="FX65" s="52"/>
      <c r="FY65" s="52"/>
      <c r="FZ65" s="52"/>
      <c r="GA65" s="52"/>
      <c r="GB65" s="52"/>
      <c r="GC65" s="52"/>
      <c r="GD65" s="52"/>
      <c r="GE65" s="52"/>
      <c r="GF65" s="52"/>
      <c r="GG65" s="52"/>
      <c r="GH65" s="52"/>
      <c r="GI65" s="52"/>
      <c r="GJ65" s="52"/>
      <c r="GK65" s="52"/>
      <c r="GL65" s="52"/>
      <c r="GM65" s="52"/>
      <c r="GN65" s="52"/>
      <c r="GO65" s="52"/>
      <c r="GP65" s="52"/>
      <c r="GQ65" s="52"/>
      <c r="GR65" s="52"/>
      <c r="GS65" s="52"/>
      <c r="GT65" s="52"/>
      <c r="GU65" s="52"/>
      <c r="GV65" s="52"/>
      <c r="GW65" s="52"/>
      <c r="GX65" s="52"/>
      <c r="GY65" s="52"/>
      <c r="GZ65" s="52"/>
      <c r="HA65" s="52"/>
      <c r="HB65" s="52"/>
      <c r="HC65" s="52"/>
      <c r="HD65" s="52"/>
      <c r="HE65" s="52"/>
      <c r="HF65" s="52"/>
      <c r="HG65" s="52"/>
      <c r="HH65" s="52"/>
      <c r="HI65" s="52"/>
      <c r="HJ65" s="52"/>
      <c r="HK65" s="52"/>
      <c r="HL65" s="52"/>
      <c r="HM65" s="52"/>
      <c r="HN65" s="52"/>
      <c r="HO65" s="52"/>
      <c r="HP65" s="52"/>
      <c r="HQ65" s="52"/>
      <c r="HR65" s="52"/>
      <c r="HS65" s="52"/>
      <c r="HT65" s="52"/>
      <c r="HU65" s="52"/>
      <c r="HV65" s="52"/>
      <c r="HW65" s="52"/>
      <c r="HX65" s="52"/>
      <c r="HY65" s="52"/>
      <c r="HZ65" s="52"/>
      <c r="IA65" s="52"/>
      <c r="IB65" s="52"/>
      <c r="IC65" s="52"/>
      <c r="ID65" s="52"/>
      <c r="IE65" s="52"/>
      <c r="IF65" s="52"/>
      <c r="IG65" s="52"/>
      <c r="IH65" s="52"/>
      <c r="II65" s="52"/>
      <c r="IJ65" s="52"/>
      <c r="IK65" s="52"/>
      <c r="IL65" s="52"/>
      <c r="IM65" s="52"/>
      <c r="IN65" s="52"/>
      <c r="IO65" s="292"/>
      <c r="IP65" s="292"/>
      <c r="IQ65" s="292"/>
      <c r="IR65" s="292"/>
      <c r="IS65" s="292"/>
      <c r="IT65" s="292"/>
      <c r="IU65" s="292"/>
      <c r="IV65" s="292"/>
    </row>
    <row r="66" spans="1:1506" ht="20.100000000000001" customHeight="1" x14ac:dyDescent="0.2">
      <c r="A66" s="292"/>
      <c r="B66" s="33"/>
      <c r="C66" s="228" t="s">
        <v>71</v>
      </c>
      <c r="D66" s="229"/>
      <c r="E66" s="229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29"/>
      <c r="Q66" s="229"/>
      <c r="R66" s="229"/>
      <c r="S66" s="229"/>
      <c r="T66" s="229"/>
      <c r="U66" s="230"/>
      <c r="V66" s="228" t="s">
        <v>86</v>
      </c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29"/>
      <c r="AL66" s="230"/>
      <c r="AM66" s="37"/>
      <c r="FV66" s="52"/>
      <c r="FW66" s="52"/>
      <c r="FX66" s="52"/>
      <c r="FY66" s="52"/>
      <c r="FZ66" s="52"/>
      <c r="GA66" s="52"/>
      <c r="GB66" s="52"/>
      <c r="GC66" s="52"/>
      <c r="GD66" s="52"/>
      <c r="GE66" s="52"/>
      <c r="GF66" s="52"/>
      <c r="GG66" s="52"/>
      <c r="GH66" s="52"/>
      <c r="GI66" s="52"/>
      <c r="GJ66" s="52"/>
      <c r="GK66" s="52"/>
      <c r="GL66" s="52"/>
      <c r="GM66" s="52"/>
      <c r="GN66" s="52"/>
      <c r="GO66" s="52"/>
      <c r="GP66" s="52"/>
      <c r="GQ66" s="52"/>
      <c r="GR66" s="52"/>
      <c r="GS66" s="52"/>
      <c r="GT66" s="52"/>
      <c r="GU66" s="52"/>
      <c r="GV66" s="52"/>
      <c r="GW66" s="52"/>
      <c r="GX66" s="52"/>
      <c r="GY66" s="52"/>
      <c r="GZ66" s="52"/>
      <c r="HA66" s="52"/>
      <c r="HB66" s="52"/>
      <c r="HC66" s="52"/>
      <c r="HD66" s="52"/>
      <c r="HE66" s="52"/>
      <c r="HF66" s="52"/>
      <c r="HG66" s="52"/>
      <c r="HH66" s="52"/>
      <c r="HI66" s="52"/>
      <c r="HJ66" s="52"/>
      <c r="HK66" s="52"/>
      <c r="HL66" s="52"/>
      <c r="HM66" s="52"/>
      <c r="HN66" s="52"/>
      <c r="HO66" s="52"/>
      <c r="HP66" s="52"/>
      <c r="HQ66" s="52"/>
      <c r="HR66" s="52"/>
      <c r="HS66" s="52"/>
      <c r="HT66" s="52"/>
      <c r="HU66" s="52"/>
      <c r="HV66" s="52"/>
      <c r="HW66" s="52"/>
      <c r="HX66" s="52"/>
      <c r="HY66" s="52"/>
      <c r="HZ66" s="52"/>
      <c r="IA66" s="52"/>
      <c r="IB66" s="52"/>
      <c r="IC66" s="52"/>
      <c r="ID66" s="52"/>
      <c r="IE66" s="52"/>
      <c r="IF66" s="52"/>
      <c r="IG66" s="52"/>
      <c r="IH66" s="52"/>
      <c r="II66" s="52"/>
      <c r="IJ66" s="52"/>
      <c r="IK66" s="52"/>
      <c r="IL66" s="52"/>
      <c r="IM66" s="52"/>
      <c r="IN66" s="52"/>
      <c r="IO66" s="292"/>
      <c r="IP66" s="292"/>
      <c r="IQ66" s="292"/>
      <c r="IR66" s="292"/>
      <c r="IS66" s="292"/>
      <c r="IT66" s="292"/>
      <c r="IU66" s="292"/>
      <c r="IV66" s="292"/>
    </row>
    <row r="67" spans="1:1506" ht="20.100000000000001" customHeight="1" x14ac:dyDescent="0.2">
      <c r="A67" s="292"/>
      <c r="B67" s="33"/>
      <c r="C67" s="260">
        <f>AE42</f>
        <v>4</v>
      </c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1"/>
      <c r="P67" s="261"/>
      <c r="Q67" s="261"/>
      <c r="R67" s="261"/>
      <c r="S67" s="261"/>
      <c r="T67" s="261"/>
      <c r="U67" s="262"/>
      <c r="V67" s="257">
        <f>RESCISÃO!AE43</f>
        <v>1840.511</v>
      </c>
      <c r="W67" s="258"/>
      <c r="X67" s="258"/>
      <c r="Y67" s="258"/>
      <c r="Z67" s="258"/>
      <c r="AA67" s="258"/>
      <c r="AB67" s="258"/>
      <c r="AC67" s="258"/>
      <c r="AD67" s="258"/>
      <c r="AE67" s="258"/>
      <c r="AF67" s="258"/>
      <c r="AG67" s="258"/>
      <c r="AH67" s="258"/>
      <c r="AI67" s="258"/>
      <c r="AJ67" s="258"/>
      <c r="AK67" s="258"/>
      <c r="AL67" s="259"/>
      <c r="AM67" s="38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U67" s="52"/>
      <c r="HV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292"/>
      <c r="IP67" s="292"/>
      <c r="IQ67" s="292"/>
      <c r="IR67" s="292"/>
      <c r="IS67" s="292"/>
      <c r="IT67" s="292"/>
      <c r="IU67" s="292"/>
      <c r="IV67" s="292"/>
    </row>
    <row r="68" spans="1:1506" ht="20.100000000000001" customHeight="1" x14ac:dyDescent="0.2">
      <c r="A68" s="292"/>
      <c r="B68" s="33"/>
      <c r="C68" s="33"/>
      <c r="D68" s="33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228" t="s">
        <v>85</v>
      </c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29"/>
      <c r="AL68" s="230"/>
      <c r="AM68" s="37"/>
      <c r="FV68" s="52"/>
      <c r="FW68" s="52"/>
      <c r="FX68" s="52"/>
      <c r="FY68" s="52"/>
      <c r="FZ68" s="52"/>
      <c r="GA68" s="52"/>
      <c r="GB68" s="52"/>
      <c r="GC68" s="52"/>
      <c r="GD68" s="52"/>
      <c r="GE68" s="52"/>
      <c r="GF68" s="52"/>
      <c r="GG68" s="52"/>
      <c r="GH68" s="52"/>
      <c r="GI68" s="52"/>
      <c r="GJ68" s="52"/>
      <c r="GK68" s="52"/>
      <c r="GL68" s="52"/>
      <c r="GM68" s="52"/>
      <c r="GN68" s="52"/>
      <c r="GO68" s="52"/>
      <c r="GP68" s="52"/>
      <c r="GQ68" s="52"/>
      <c r="GR68" s="52"/>
      <c r="GS68" s="52"/>
      <c r="GT68" s="52"/>
      <c r="GU68" s="52"/>
      <c r="GV68" s="52"/>
      <c r="GW68" s="52"/>
      <c r="GX68" s="52"/>
      <c r="GY68" s="52"/>
      <c r="GZ68" s="52"/>
      <c r="HA68" s="52"/>
      <c r="HB68" s="52"/>
      <c r="HC68" s="52"/>
      <c r="HD68" s="52"/>
      <c r="HE68" s="52"/>
      <c r="HF68" s="52"/>
      <c r="HG68" s="52"/>
      <c r="HH68" s="52"/>
      <c r="HI68" s="52"/>
      <c r="HJ68" s="52"/>
      <c r="HK68" s="52"/>
      <c r="HL68" s="52"/>
      <c r="HM68" s="52"/>
      <c r="HN68" s="52"/>
      <c r="HO68" s="52"/>
      <c r="HP68" s="52"/>
      <c r="HQ68" s="52"/>
      <c r="HR68" s="52"/>
      <c r="HS68" s="52"/>
      <c r="HT68" s="52"/>
      <c r="HU68" s="52"/>
      <c r="HV68" s="52"/>
      <c r="HW68" s="52"/>
      <c r="HX68" s="52"/>
      <c r="HY68" s="52"/>
      <c r="HZ68" s="52"/>
      <c r="IA68" s="52"/>
      <c r="IB68" s="52"/>
      <c r="IC68" s="52"/>
      <c r="ID68" s="52"/>
      <c r="IE68" s="52"/>
      <c r="IF68" s="52"/>
      <c r="IG68" s="52"/>
      <c r="IH68" s="52"/>
      <c r="II68" s="52"/>
      <c r="IJ68" s="52"/>
      <c r="IK68" s="52"/>
      <c r="IL68" s="52"/>
      <c r="IM68" s="52"/>
      <c r="IN68" s="52"/>
      <c r="IO68" s="292"/>
      <c r="IP68" s="292"/>
      <c r="IQ68" s="292"/>
      <c r="IR68" s="292"/>
      <c r="IS68" s="292"/>
      <c r="IT68" s="292"/>
      <c r="IU68" s="292"/>
      <c r="IV68" s="292"/>
    </row>
    <row r="69" spans="1:1506" ht="20.100000000000001" customHeight="1" x14ac:dyDescent="0.2">
      <c r="A69" s="292"/>
      <c r="B69" s="33"/>
      <c r="C69" s="33"/>
      <c r="D69" s="33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257">
        <f>V67*C67</f>
        <v>7362.0439999999999</v>
      </c>
      <c r="W69" s="258"/>
      <c r="X69" s="258"/>
      <c r="Y69" s="258"/>
      <c r="Z69" s="258"/>
      <c r="AA69" s="258"/>
      <c r="AB69" s="258"/>
      <c r="AC69" s="258"/>
      <c r="AD69" s="258"/>
      <c r="AE69" s="258"/>
      <c r="AF69" s="258"/>
      <c r="AG69" s="258"/>
      <c r="AH69" s="258"/>
      <c r="AI69" s="258"/>
      <c r="AJ69" s="258"/>
      <c r="AK69" s="258"/>
      <c r="AL69" s="259"/>
      <c r="AM69" s="38"/>
      <c r="FV69" s="52"/>
      <c r="FW69" s="52"/>
      <c r="FX69" s="52"/>
      <c r="FY69" s="52"/>
      <c r="FZ69" s="52"/>
      <c r="GA69" s="52"/>
      <c r="GB69" s="52"/>
      <c r="GC69" s="52"/>
      <c r="GD69" s="52"/>
      <c r="GE69" s="52"/>
      <c r="GF69" s="52"/>
      <c r="GG69" s="52"/>
      <c r="GH69" s="52"/>
      <c r="GI69" s="52"/>
      <c r="GJ69" s="52"/>
      <c r="GK69" s="52"/>
      <c r="GL69" s="52"/>
      <c r="GM69" s="52"/>
      <c r="GN69" s="52"/>
      <c r="GO69" s="52"/>
      <c r="GP69" s="52"/>
      <c r="GQ69" s="52"/>
      <c r="GR69" s="52"/>
      <c r="GS69" s="52"/>
      <c r="GT69" s="52"/>
      <c r="GU69" s="52"/>
      <c r="GV69" s="52"/>
      <c r="GW69" s="52"/>
      <c r="GX69" s="52"/>
      <c r="GY69" s="52"/>
      <c r="GZ69" s="52"/>
      <c r="HA69" s="52"/>
      <c r="HB69" s="52"/>
      <c r="HC69" s="52"/>
      <c r="HD69" s="52"/>
      <c r="HE69" s="52"/>
      <c r="HF69" s="52"/>
      <c r="HG69" s="52"/>
      <c r="HH69" s="52"/>
      <c r="HI69" s="52"/>
      <c r="HJ69" s="52"/>
      <c r="HK69" s="52"/>
      <c r="HL69" s="52"/>
      <c r="HM69" s="52"/>
      <c r="HN69" s="52"/>
      <c r="HO69" s="52"/>
      <c r="HP69" s="52"/>
      <c r="HQ69" s="52"/>
      <c r="HR69" s="52"/>
      <c r="HS69" s="52"/>
      <c r="HT69" s="52"/>
      <c r="HU69" s="52"/>
      <c r="HV69" s="52"/>
      <c r="HW69" s="52"/>
      <c r="HX69" s="52"/>
      <c r="HY69" s="52"/>
      <c r="HZ69" s="52"/>
      <c r="IA69" s="52"/>
      <c r="IB69" s="52"/>
      <c r="IC69" s="52"/>
      <c r="ID69" s="52"/>
      <c r="IE69" s="52"/>
      <c r="IF69" s="52"/>
      <c r="IG69" s="52"/>
      <c r="IH69" s="52"/>
      <c r="II69" s="52"/>
      <c r="IJ69" s="52"/>
      <c r="IK69" s="52"/>
      <c r="IL69" s="52"/>
      <c r="IM69" s="52"/>
      <c r="IN69" s="52"/>
      <c r="IO69" s="292"/>
      <c r="IP69" s="292"/>
      <c r="IQ69" s="292"/>
      <c r="IR69" s="292"/>
      <c r="IS69" s="292"/>
      <c r="IT69" s="292"/>
      <c r="IU69" s="292"/>
      <c r="IV69" s="292"/>
    </row>
    <row r="70" spans="1:1506" ht="9.9499999999999993" customHeight="1" x14ac:dyDescent="0.2">
      <c r="A70" s="292"/>
      <c r="B70" s="33"/>
      <c r="C70" s="33"/>
      <c r="D70" s="33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FV70" s="52"/>
      <c r="FW70" s="52"/>
      <c r="FX70" s="52"/>
      <c r="FY70" s="52"/>
      <c r="FZ70" s="52"/>
      <c r="GA70" s="52"/>
      <c r="GB70" s="52"/>
      <c r="GC70" s="52"/>
      <c r="GD70" s="52"/>
      <c r="GE70" s="52"/>
      <c r="GF70" s="52"/>
      <c r="GG70" s="52"/>
      <c r="GH70" s="52"/>
      <c r="GI70" s="52"/>
      <c r="GJ70" s="52"/>
      <c r="GK70" s="52"/>
      <c r="GL70" s="52"/>
      <c r="GM70" s="52"/>
      <c r="GN70" s="52"/>
      <c r="GO70" s="52"/>
      <c r="GP70" s="52"/>
      <c r="GQ70" s="52"/>
      <c r="GR70" s="52"/>
      <c r="GS70" s="52"/>
      <c r="GT70" s="52"/>
      <c r="GU70" s="52"/>
      <c r="GV70" s="52"/>
      <c r="GW70" s="52"/>
      <c r="GX70" s="52"/>
      <c r="GY70" s="52"/>
      <c r="GZ70" s="52"/>
      <c r="HA70" s="52"/>
      <c r="HB70" s="52"/>
      <c r="HC70" s="52"/>
      <c r="HD70" s="52"/>
      <c r="HE70" s="52"/>
      <c r="HF70" s="52"/>
      <c r="HG70" s="52"/>
      <c r="HH70" s="52"/>
      <c r="HI70" s="52"/>
      <c r="HJ70" s="52"/>
      <c r="HK70" s="52"/>
      <c r="HL70" s="52"/>
      <c r="HM70" s="52"/>
      <c r="HN70" s="52"/>
      <c r="HO70" s="52"/>
      <c r="HP70" s="52"/>
      <c r="HQ70" s="52"/>
      <c r="HR70" s="52"/>
      <c r="HS70" s="52"/>
      <c r="HT70" s="52"/>
      <c r="HU70" s="52"/>
      <c r="HV70" s="52"/>
      <c r="HW70" s="52"/>
      <c r="HX70" s="52"/>
      <c r="HY70" s="52"/>
      <c r="HZ70" s="52"/>
      <c r="IA70" s="52"/>
      <c r="IB70" s="52"/>
      <c r="IC70" s="52"/>
      <c r="ID70" s="52"/>
      <c r="IE70" s="52"/>
      <c r="IF70" s="52"/>
      <c r="IG70" s="52"/>
      <c r="IH70" s="52"/>
      <c r="II70" s="52"/>
      <c r="IJ70" s="52"/>
      <c r="IK70" s="52"/>
      <c r="IL70" s="52"/>
      <c r="IM70" s="52"/>
      <c r="IN70" s="52"/>
      <c r="IO70" s="292"/>
      <c r="IP70" s="292"/>
      <c r="IQ70" s="292"/>
      <c r="IR70" s="292"/>
      <c r="IS70" s="292"/>
      <c r="IT70" s="292"/>
      <c r="IU70" s="292"/>
      <c r="IV70" s="292"/>
    </row>
    <row r="71" spans="1:1506" ht="20.100000000000001" customHeight="1" x14ac:dyDescent="0.2">
      <c r="A71" s="292"/>
      <c r="B71" s="33"/>
      <c r="C71" s="267" t="s">
        <v>72</v>
      </c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U71" s="52"/>
      <c r="HV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292"/>
      <c r="IP71" s="292"/>
      <c r="IQ71" s="292"/>
      <c r="IR71" s="292"/>
      <c r="IS71" s="292"/>
      <c r="IT71" s="292"/>
      <c r="IU71" s="292"/>
      <c r="IV71" s="292"/>
    </row>
    <row r="72" spans="1:1506" ht="20.100000000000001" customHeight="1" x14ac:dyDescent="0.2">
      <c r="A72" s="292"/>
      <c r="B72" s="33"/>
      <c r="C72" s="268" t="s">
        <v>73</v>
      </c>
      <c r="D72" s="269"/>
      <c r="E72" s="269"/>
      <c r="F72" s="269"/>
      <c r="G72" s="269"/>
      <c r="H72" s="269"/>
      <c r="I72" s="269"/>
      <c r="J72" s="269"/>
      <c r="K72" s="269"/>
      <c r="L72" s="269"/>
      <c r="M72" s="269"/>
      <c r="N72" s="269"/>
      <c r="O72" s="269"/>
      <c r="P72" s="269"/>
      <c r="Q72" s="269"/>
      <c r="R72" s="269"/>
      <c r="S72" s="269"/>
      <c r="T72" s="269"/>
      <c r="U72" s="269"/>
      <c r="V72" s="263">
        <f>C57</f>
        <v>10229.475388888888</v>
      </c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4"/>
      <c r="AM72" s="38"/>
      <c r="FV72" s="52"/>
      <c r="FW72" s="52"/>
      <c r="FX72" s="52"/>
      <c r="FY72" s="52"/>
      <c r="FZ72" s="52"/>
      <c r="GA72" s="52"/>
      <c r="GB72" s="52"/>
      <c r="GC72" s="52"/>
      <c r="GD72" s="52"/>
      <c r="GE72" s="52"/>
      <c r="GF72" s="52"/>
      <c r="GG72" s="52"/>
      <c r="GH72" s="52"/>
      <c r="GI72" s="52"/>
      <c r="GJ72" s="52"/>
      <c r="GK72" s="52"/>
      <c r="GL72" s="52"/>
      <c r="GM72" s="52"/>
      <c r="GN72" s="52"/>
      <c r="GO72" s="52"/>
      <c r="GP72" s="52"/>
      <c r="GQ72" s="52"/>
      <c r="GR72" s="52"/>
      <c r="GS72" s="52"/>
      <c r="GT72" s="52"/>
      <c r="GU72" s="52"/>
      <c r="GV72" s="52"/>
      <c r="GW72" s="52"/>
      <c r="GX72" s="52"/>
      <c r="GY72" s="52"/>
      <c r="GZ72" s="52"/>
      <c r="HA72" s="52"/>
      <c r="HB72" s="52"/>
      <c r="HC72" s="52"/>
      <c r="HD72" s="52"/>
      <c r="HE72" s="52"/>
      <c r="HF72" s="52"/>
      <c r="HG72" s="52"/>
      <c r="HH72" s="52"/>
      <c r="HI72" s="52"/>
      <c r="HJ72" s="52"/>
      <c r="HK72" s="52"/>
      <c r="HL72" s="52"/>
      <c r="HM72" s="52"/>
      <c r="HN72" s="52"/>
      <c r="HO72" s="52"/>
      <c r="HP72" s="52"/>
      <c r="HQ72" s="52"/>
      <c r="HR72" s="52"/>
      <c r="HS72" s="52"/>
      <c r="HT72" s="52"/>
      <c r="HU72" s="52"/>
      <c r="HV72" s="52"/>
      <c r="HW72" s="52"/>
      <c r="HX72" s="52"/>
      <c r="HY72" s="52"/>
      <c r="HZ72" s="52"/>
      <c r="IA72" s="52"/>
      <c r="IB72" s="52"/>
      <c r="IC72" s="52"/>
      <c r="ID72" s="52"/>
      <c r="IE72" s="52"/>
      <c r="IF72" s="52"/>
      <c r="IG72" s="52"/>
      <c r="IH72" s="52"/>
      <c r="II72" s="52"/>
      <c r="IJ72" s="52"/>
      <c r="IK72" s="52"/>
      <c r="IL72" s="52"/>
      <c r="IM72" s="52"/>
      <c r="IN72" s="52"/>
      <c r="IO72" s="292"/>
      <c r="IP72" s="292"/>
      <c r="IQ72" s="292"/>
      <c r="IR72" s="292"/>
      <c r="IS72" s="292"/>
      <c r="IT72" s="292"/>
      <c r="IU72" s="292"/>
      <c r="IV72" s="292"/>
    </row>
    <row r="73" spans="1:1506" ht="20.100000000000001" customHeight="1" x14ac:dyDescent="0.2">
      <c r="A73" s="292"/>
      <c r="B73" s="33"/>
      <c r="C73" s="274" t="s">
        <v>74</v>
      </c>
      <c r="D73" s="275"/>
      <c r="E73" s="275"/>
      <c r="F73" s="275"/>
      <c r="G73" s="275"/>
      <c r="H73" s="275"/>
      <c r="I73" s="275"/>
      <c r="J73" s="275"/>
      <c r="K73" s="275"/>
      <c r="L73" s="275"/>
      <c r="M73" s="275"/>
      <c r="N73" s="275"/>
      <c r="O73" s="275"/>
      <c r="P73" s="275"/>
      <c r="Q73" s="275"/>
      <c r="R73" s="275"/>
      <c r="S73" s="275"/>
      <c r="T73" s="275"/>
      <c r="U73" s="275"/>
      <c r="V73" s="276">
        <f>C61</f>
        <v>503.33333333333337</v>
      </c>
      <c r="W73" s="276"/>
      <c r="X73" s="276"/>
      <c r="Y73" s="276"/>
      <c r="Z73" s="276"/>
      <c r="AA73" s="276"/>
      <c r="AB73" s="276"/>
      <c r="AC73" s="276"/>
      <c r="AD73" s="276"/>
      <c r="AE73" s="276"/>
      <c r="AF73" s="276"/>
      <c r="AG73" s="276"/>
      <c r="AH73" s="276"/>
      <c r="AI73" s="276"/>
      <c r="AJ73" s="276"/>
      <c r="AK73" s="276"/>
      <c r="AL73" s="277"/>
      <c r="AM73" s="38"/>
      <c r="FV73" s="52"/>
      <c r="FW73" s="52"/>
      <c r="FX73" s="52"/>
      <c r="FY73" s="52"/>
      <c r="FZ73" s="52"/>
      <c r="GA73" s="52"/>
      <c r="GB73" s="52"/>
      <c r="GC73" s="52"/>
      <c r="GD73" s="52"/>
      <c r="GE73" s="52"/>
      <c r="GF73" s="52"/>
      <c r="GG73" s="52"/>
      <c r="GH73" s="52"/>
      <c r="GI73" s="52"/>
      <c r="GJ73" s="52"/>
      <c r="GK73" s="52"/>
      <c r="GL73" s="52"/>
      <c r="GM73" s="52"/>
      <c r="GN73" s="52"/>
      <c r="GO73" s="52"/>
      <c r="GP73" s="52"/>
      <c r="GQ73" s="52"/>
      <c r="GR73" s="52"/>
      <c r="GS73" s="52"/>
      <c r="GT73" s="52"/>
      <c r="GU73" s="52"/>
      <c r="GV73" s="52"/>
      <c r="GW73" s="52"/>
      <c r="GX73" s="52"/>
      <c r="GY73" s="52"/>
      <c r="GZ73" s="52"/>
      <c r="HA73" s="52"/>
      <c r="HB73" s="52"/>
      <c r="HC73" s="52"/>
      <c r="HD73" s="52"/>
      <c r="HE73" s="52"/>
      <c r="HF73" s="52"/>
      <c r="HG73" s="52"/>
      <c r="HH73" s="52"/>
      <c r="HI73" s="52"/>
      <c r="HJ73" s="52"/>
      <c r="HK73" s="52"/>
      <c r="HL73" s="52"/>
      <c r="HM73" s="52"/>
      <c r="HN73" s="52"/>
      <c r="HO73" s="52"/>
      <c r="HP73" s="52"/>
      <c r="HQ73" s="52"/>
      <c r="HR73" s="52"/>
      <c r="HS73" s="52"/>
      <c r="HT73" s="52"/>
      <c r="HU73" s="52"/>
      <c r="HV73" s="52"/>
      <c r="HW73" s="52"/>
      <c r="HX73" s="52"/>
      <c r="HY73" s="52"/>
      <c r="HZ73" s="52"/>
      <c r="IA73" s="52"/>
      <c r="IB73" s="52"/>
      <c r="IC73" s="52"/>
      <c r="ID73" s="52"/>
      <c r="IE73" s="52"/>
      <c r="IF73" s="52"/>
      <c r="IG73" s="52"/>
      <c r="IH73" s="52"/>
      <c r="II73" s="52"/>
      <c r="IJ73" s="52"/>
      <c r="IK73" s="52"/>
      <c r="IL73" s="52"/>
      <c r="IM73" s="52"/>
      <c r="IN73" s="52"/>
      <c r="IO73" s="292"/>
      <c r="IP73" s="292"/>
      <c r="IQ73" s="292"/>
      <c r="IR73" s="292"/>
      <c r="IS73" s="292"/>
      <c r="IT73" s="292"/>
      <c r="IU73" s="292"/>
      <c r="IV73" s="292"/>
    </row>
    <row r="74" spans="1:1506" ht="20.100000000000001" customHeight="1" x14ac:dyDescent="0.2">
      <c r="A74" s="292"/>
      <c r="B74" s="33"/>
      <c r="C74" s="278" t="s">
        <v>75</v>
      </c>
      <c r="D74" s="279"/>
      <c r="E74" s="279"/>
      <c r="F74" s="279"/>
      <c r="G74" s="279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R74" s="279"/>
      <c r="S74" s="279"/>
      <c r="T74" s="279"/>
      <c r="U74" s="279"/>
      <c r="V74" s="280">
        <f>RESCISÃO!L41</f>
        <v>0</v>
      </c>
      <c r="W74" s="280"/>
      <c r="X74" s="280"/>
      <c r="Y74" s="280"/>
      <c r="Z74" s="280"/>
      <c r="AA74" s="280"/>
      <c r="AB74" s="280"/>
      <c r="AC74" s="280"/>
      <c r="AD74" s="280"/>
      <c r="AE74" s="280"/>
      <c r="AF74" s="280"/>
      <c r="AG74" s="280"/>
      <c r="AH74" s="280"/>
      <c r="AI74" s="280"/>
      <c r="AJ74" s="280"/>
      <c r="AK74" s="280"/>
      <c r="AL74" s="281"/>
      <c r="AM74" s="38"/>
      <c r="FV74" s="52"/>
      <c r="FW74" s="52"/>
      <c r="FX74" s="52"/>
      <c r="FY74" s="52"/>
      <c r="FZ74" s="52"/>
      <c r="GA74" s="52"/>
      <c r="GB74" s="52"/>
      <c r="GC74" s="52"/>
      <c r="GD74" s="52"/>
      <c r="GE74" s="52"/>
      <c r="GF74" s="52"/>
      <c r="GG74" s="52"/>
      <c r="GH74" s="52"/>
      <c r="GI74" s="52"/>
      <c r="GJ74" s="52"/>
      <c r="GK74" s="52"/>
      <c r="GL74" s="52"/>
      <c r="GM74" s="52"/>
      <c r="GN74" s="52"/>
      <c r="GO74" s="52"/>
      <c r="GP74" s="52"/>
      <c r="GQ74" s="52"/>
      <c r="GR74" s="52"/>
      <c r="GS74" s="52"/>
      <c r="GT74" s="52"/>
      <c r="GU74" s="52"/>
      <c r="GV74" s="52"/>
      <c r="GW74" s="52"/>
      <c r="GX74" s="52"/>
      <c r="GY74" s="52"/>
      <c r="GZ74" s="52"/>
      <c r="HA74" s="52"/>
      <c r="HB74" s="52"/>
      <c r="HC74" s="52"/>
      <c r="HD74" s="52"/>
      <c r="HE74" s="52"/>
      <c r="HF74" s="52"/>
      <c r="HG74" s="52"/>
      <c r="HH74" s="52"/>
      <c r="HI74" s="52"/>
      <c r="HJ74" s="52"/>
      <c r="HK74" s="52"/>
      <c r="HL74" s="52"/>
      <c r="HM74" s="52"/>
      <c r="HN74" s="52"/>
      <c r="HO74" s="52"/>
      <c r="HP74" s="52"/>
      <c r="HQ74" s="52"/>
      <c r="HR74" s="52"/>
      <c r="HS74" s="52"/>
      <c r="HT74" s="52"/>
      <c r="HU74" s="52"/>
      <c r="HV74" s="52"/>
      <c r="HW74" s="52"/>
      <c r="HX74" s="52"/>
      <c r="HY74" s="52"/>
      <c r="HZ74" s="52"/>
      <c r="IA74" s="52"/>
      <c r="IB74" s="52"/>
      <c r="IC74" s="52"/>
      <c r="ID74" s="52"/>
      <c r="IE74" s="52"/>
      <c r="IF74" s="52"/>
      <c r="IG74" s="52"/>
      <c r="IH74" s="52"/>
      <c r="II74" s="52"/>
      <c r="IJ74" s="52"/>
      <c r="IK74" s="52"/>
      <c r="IL74" s="52"/>
      <c r="IM74" s="52"/>
      <c r="IN74" s="52"/>
      <c r="IO74" s="292"/>
      <c r="IP74" s="292"/>
      <c r="IQ74" s="292"/>
      <c r="IR74" s="292"/>
      <c r="IS74" s="292"/>
      <c r="IT74" s="292"/>
      <c r="IU74" s="292"/>
      <c r="IV74" s="292"/>
    </row>
    <row r="75" spans="1:1506" ht="20.100000000000001" customHeight="1" x14ac:dyDescent="0.2">
      <c r="A75" s="292"/>
      <c r="B75" s="33"/>
      <c r="C75" s="270" t="s">
        <v>76</v>
      </c>
      <c r="D75" s="271"/>
      <c r="E75" s="271"/>
      <c r="F75" s="271"/>
      <c r="G75" s="271"/>
      <c r="H75" s="271"/>
      <c r="I75" s="271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2">
        <f>V69</f>
        <v>7362.0439999999999</v>
      </c>
      <c r="W75" s="272"/>
      <c r="X75" s="272"/>
      <c r="Y75" s="272"/>
      <c r="Z75" s="272"/>
      <c r="AA75" s="272"/>
      <c r="AB75" s="272"/>
      <c r="AC75" s="272"/>
      <c r="AD75" s="272"/>
      <c r="AE75" s="272"/>
      <c r="AF75" s="272"/>
      <c r="AG75" s="272"/>
      <c r="AH75" s="272"/>
      <c r="AI75" s="272"/>
      <c r="AJ75" s="272"/>
      <c r="AK75" s="272"/>
      <c r="AL75" s="273"/>
      <c r="AM75" s="38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U75" s="52"/>
      <c r="HV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292"/>
      <c r="IP75" s="292"/>
      <c r="IQ75" s="292"/>
      <c r="IR75" s="292"/>
      <c r="IS75" s="292"/>
      <c r="IT75" s="292"/>
      <c r="IU75" s="292"/>
      <c r="IV75" s="292"/>
    </row>
    <row r="76" spans="1:1506" ht="20.100000000000001" customHeight="1" x14ac:dyDescent="0.2">
      <c r="A76" s="292"/>
      <c r="B76" s="33"/>
      <c r="C76" s="282" t="s">
        <v>77</v>
      </c>
      <c r="D76" s="283"/>
      <c r="E76" s="283"/>
      <c r="F76" s="283"/>
      <c r="G76" s="283"/>
      <c r="H76" s="283"/>
      <c r="I76" s="283"/>
      <c r="J76" s="283"/>
      <c r="K76" s="283"/>
      <c r="L76" s="283"/>
      <c r="M76" s="283"/>
      <c r="N76" s="283"/>
      <c r="O76" s="283"/>
      <c r="P76" s="283"/>
      <c r="Q76" s="283"/>
      <c r="R76" s="283"/>
      <c r="S76" s="283"/>
      <c r="T76" s="283"/>
      <c r="U76" s="283"/>
      <c r="V76" s="265">
        <f>SUM(V72:AL75)</f>
        <v>18094.852722222222</v>
      </c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  <c r="AG76" s="265"/>
      <c r="AH76" s="265"/>
      <c r="AI76" s="265"/>
      <c r="AJ76" s="265"/>
      <c r="AK76" s="265"/>
      <c r="AL76" s="266"/>
      <c r="AM76" s="50"/>
      <c r="FV76" s="52"/>
      <c r="FW76" s="52"/>
      <c r="FX76" s="52"/>
      <c r="FY76" s="52"/>
      <c r="FZ76" s="52"/>
      <c r="GA76" s="52"/>
      <c r="GB76" s="52"/>
      <c r="GC76" s="52"/>
      <c r="GD76" s="52"/>
      <c r="GE76" s="52"/>
      <c r="GF76" s="52"/>
      <c r="GG76" s="52"/>
      <c r="GH76" s="52"/>
      <c r="GI76" s="52"/>
      <c r="GJ76" s="52"/>
      <c r="GK76" s="52"/>
      <c r="GL76" s="52"/>
      <c r="GM76" s="52"/>
      <c r="GN76" s="52"/>
      <c r="GO76" s="52"/>
      <c r="GP76" s="52"/>
      <c r="GQ76" s="52"/>
      <c r="GR76" s="52"/>
      <c r="GS76" s="52"/>
      <c r="GT76" s="52"/>
      <c r="GU76" s="52"/>
      <c r="GV76" s="52"/>
      <c r="GW76" s="52"/>
      <c r="GX76" s="52"/>
      <c r="GY76" s="52"/>
      <c r="GZ76" s="52"/>
      <c r="HA76" s="52"/>
      <c r="HB76" s="52"/>
      <c r="HC76" s="52"/>
      <c r="HD76" s="52"/>
      <c r="HE76" s="52"/>
      <c r="HF76" s="52"/>
      <c r="HG76" s="52"/>
      <c r="HH76" s="52"/>
      <c r="HI76" s="52"/>
      <c r="HJ76" s="52"/>
      <c r="HK76" s="52"/>
      <c r="HL76" s="52"/>
      <c r="HM76" s="52"/>
      <c r="HN76" s="52"/>
      <c r="HO76" s="52"/>
      <c r="HP76" s="52"/>
      <c r="HQ76" s="52"/>
      <c r="HR76" s="52"/>
      <c r="HS76" s="52"/>
      <c r="HT76" s="52"/>
      <c r="HU76" s="52"/>
      <c r="HV76" s="52"/>
      <c r="HW76" s="52"/>
      <c r="HX76" s="52"/>
      <c r="HY76" s="52"/>
      <c r="HZ76" s="52"/>
      <c r="IA76" s="52"/>
      <c r="IB76" s="52"/>
      <c r="IC76" s="52"/>
      <c r="ID76" s="52"/>
      <c r="IE76" s="52"/>
      <c r="IF76" s="52"/>
      <c r="IG76" s="52"/>
      <c r="IH76" s="52"/>
      <c r="II76" s="52"/>
      <c r="IJ76" s="52"/>
      <c r="IK76" s="52"/>
      <c r="IL76" s="52"/>
      <c r="IM76" s="52"/>
      <c r="IN76" s="52"/>
      <c r="IO76" s="292"/>
      <c r="IP76" s="292"/>
      <c r="IQ76" s="292"/>
      <c r="IR76" s="292"/>
      <c r="IS76" s="292"/>
      <c r="IT76" s="292"/>
      <c r="IU76" s="292"/>
      <c r="IV76" s="292"/>
    </row>
    <row r="77" spans="1:1506" ht="9.9499999999999993" customHeight="1" x14ac:dyDescent="0.2">
      <c r="A77" s="292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51"/>
      <c r="FV77" s="52"/>
      <c r="FW77" s="52"/>
      <c r="FX77" s="52"/>
      <c r="FY77" s="52"/>
      <c r="FZ77" s="52"/>
      <c r="GA77" s="52"/>
      <c r="GB77" s="52"/>
      <c r="GC77" s="52"/>
      <c r="GD77" s="52"/>
      <c r="GE77" s="52"/>
      <c r="GF77" s="52"/>
      <c r="GG77" s="52"/>
      <c r="GH77" s="52"/>
      <c r="GI77" s="52"/>
      <c r="GJ77" s="52"/>
      <c r="GK77" s="52"/>
      <c r="GL77" s="52"/>
      <c r="GM77" s="52"/>
      <c r="GN77" s="52"/>
      <c r="GO77" s="52"/>
      <c r="GP77" s="52"/>
      <c r="GQ77" s="52"/>
      <c r="GR77" s="52"/>
      <c r="GS77" s="52"/>
      <c r="GT77" s="52"/>
      <c r="GU77" s="52"/>
      <c r="GV77" s="52"/>
      <c r="GW77" s="52"/>
      <c r="GX77" s="52"/>
      <c r="GY77" s="52"/>
      <c r="GZ77" s="52"/>
      <c r="HA77" s="52"/>
      <c r="HB77" s="52"/>
      <c r="HC77" s="52"/>
      <c r="HD77" s="52"/>
      <c r="HE77" s="52"/>
      <c r="HF77" s="52"/>
      <c r="HG77" s="52"/>
      <c r="HH77" s="52"/>
      <c r="HI77" s="52"/>
      <c r="HJ77" s="52"/>
      <c r="HK77" s="52"/>
      <c r="HL77" s="52"/>
      <c r="HM77" s="52"/>
      <c r="HN77" s="52"/>
      <c r="HO77" s="52"/>
      <c r="HP77" s="52"/>
      <c r="HQ77" s="52"/>
      <c r="HR77" s="52"/>
      <c r="HS77" s="52"/>
      <c r="HT77" s="52"/>
      <c r="HU77" s="52"/>
      <c r="HV77" s="52"/>
      <c r="HW77" s="52"/>
      <c r="HX77" s="52"/>
      <c r="HY77" s="52"/>
      <c r="HZ77" s="52"/>
      <c r="IA77" s="52"/>
      <c r="IB77" s="52"/>
      <c r="IC77" s="52"/>
      <c r="ID77" s="52"/>
      <c r="IE77" s="52"/>
      <c r="IF77" s="52"/>
      <c r="IG77" s="52"/>
      <c r="IH77" s="52"/>
      <c r="II77" s="52"/>
      <c r="IJ77" s="52"/>
      <c r="IK77" s="52"/>
      <c r="IL77" s="52"/>
      <c r="IM77" s="52"/>
      <c r="IN77" s="52"/>
      <c r="IO77" s="292"/>
      <c r="IP77" s="292"/>
      <c r="IQ77" s="292"/>
      <c r="IR77" s="292"/>
      <c r="IS77" s="292"/>
      <c r="IT77" s="292"/>
      <c r="IU77" s="292"/>
      <c r="IV77" s="292"/>
    </row>
    <row r="78" spans="1:1506" s="55" customFormat="1" ht="9.9499999999999993" customHeight="1" x14ac:dyDescent="0.2">
      <c r="A78" s="292"/>
      <c r="B78" s="303"/>
      <c r="C78" s="303"/>
      <c r="D78" s="303"/>
      <c r="E78" s="303"/>
      <c r="F78" s="303"/>
      <c r="G78" s="303"/>
      <c r="H78" s="303"/>
      <c r="I78" s="303"/>
      <c r="J78" s="303"/>
      <c r="K78" s="303"/>
      <c r="L78" s="303"/>
      <c r="M78" s="303"/>
      <c r="N78" s="303"/>
      <c r="O78" s="303"/>
      <c r="P78" s="303"/>
      <c r="Q78" s="303"/>
      <c r="R78" s="303"/>
      <c r="S78" s="303"/>
      <c r="T78" s="303"/>
      <c r="U78" s="303"/>
      <c r="V78" s="303"/>
      <c r="W78" s="303"/>
      <c r="X78" s="303"/>
      <c r="Y78" s="303"/>
      <c r="Z78" s="303"/>
      <c r="AA78" s="303"/>
      <c r="AB78" s="303"/>
      <c r="AC78" s="303"/>
      <c r="AD78" s="303"/>
      <c r="AE78" s="303"/>
      <c r="AF78" s="303"/>
      <c r="AG78" s="303"/>
      <c r="AH78" s="303"/>
      <c r="AI78" s="303"/>
      <c r="AJ78" s="303"/>
      <c r="AK78" s="303"/>
      <c r="AL78" s="303"/>
      <c r="AM78" s="303"/>
      <c r="AN78" s="292"/>
      <c r="AO78" s="292"/>
      <c r="AP78" s="292"/>
      <c r="AQ78" s="292"/>
      <c r="AR78" s="292"/>
      <c r="AS78" s="292"/>
      <c r="AT78" s="292"/>
      <c r="AU78" s="292"/>
      <c r="AV78" s="292"/>
      <c r="AW78" s="292"/>
      <c r="AX78" s="292"/>
      <c r="AY78" s="292"/>
      <c r="AZ78" s="292"/>
      <c r="BA78" s="292"/>
      <c r="BB78" s="292"/>
      <c r="BC78" s="292"/>
      <c r="BD78" s="292"/>
      <c r="BE78" s="292"/>
      <c r="BF78" s="292"/>
      <c r="BG78" s="292"/>
      <c r="BH78" s="292"/>
      <c r="BI78" s="292"/>
      <c r="BJ78" s="292"/>
      <c r="BK78" s="292"/>
      <c r="BL78" s="292"/>
      <c r="BM78" s="292"/>
      <c r="BN78" s="292"/>
      <c r="BO78" s="292"/>
      <c r="BP78" s="292"/>
      <c r="BQ78" s="292"/>
      <c r="BR78" s="292"/>
      <c r="BS78" s="292"/>
      <c r="BT78" s="292"/>
      <c r="BU78" s="292"/>
      <c r="BV78" s="292"/>
      <c r="BW78" s="292"/>
      <c r="BX78" s="292"/>
      <c r="BY78" s="292"/>
      <c r="BZ78" s="292"/>
      <c r="CA78" s="292"/>
      <c r="CB78" s="292"/>
      <c r="CC78" s="292"/>
      <c r="CD78" s="292"/>
      <c r="CE78" s="292"/>
      <c r="CF78" s="292"/>
      <c r="CG78" s="292"/>
      <c r="CH78" s="292"/>
      <c r="CI78" s="292"/>
      <c r="CJ78" s="292"/>
      <c r="CK78" s="292"/>
      <c r="CL78" s="292"/>
      <c r="CM78" s="292"/>
      <c r="CN78" s="292"/>
      <c r="CO78" s="292"/>
      <c r="CP78" s="292"/>
      <c r="CQ78" s="292"/>
      <c r="CR78" s="292"/>
      <c r="CS78" s="292"/>
      <c r="CT78" s="292"/>
      <c r="CU78" s="292"/>
      <c r="CV78" s="292"/>
      <c r="CW78" s="292"/>
      <c r="CX78" s="292"/>
      <c r="CY78" s="292"/>
      <c r="CZ78" s="292"/>
      <c r="DA78" s="292"/>
      <c r="DB78" s="292"/>
      <c r="DC78" s="292"/>
      <c r="DD78" s="292"/>
      <c r="DE78" s="292"/>
      <c r="DF78" s="292"/>
      <c r="DG78" s="292"/>
      <c r="DH78" s="292"/>
      <c r="DI78" s="292"/>
      <c r="DJ78" s="292"/>
      <c r="DK78" s="292"/>
      <c r="DL78" s="292"/>
      <c r="DM78" s="292"/>
      <c r="DN78" s="292"/>
      <c r="DO78" s="292"/>
      <c r="DP78" s="292"/>
      <c r="DQ78" s="292"/>
      <c r="DR78" s="292"/>
      <c r="DS78" s="292"/>
      <c r="DT78" s="292"/>
      <c r="DU78" s="292"/>
      <c r="DV78" s="292"/>
      <c r="DW78" s="292"/>
      <c r="DX78" s="292"/>
      <c r="DY78" s="292"/>
      <c r="DZ78" s="292"/>
      <c r="EA78" s="292"/>
      <c r="EB78" s="292"/>
      <c r="EC78" s="292"/>
      <c r="ED78" s="292"/>
      <c r="EE78" s="292"/>
      <c r="EF78" s="292"/>
      <c r="EG78" s="292"/>
      <c r="EH78" s="292"/>
      <c r="EI78" s="292"/>
      <c r="EJ78" s="292"/>
      <c r="EK78" s="292"/>
      <c r="EL78" s="292"/>
      <c r="EM78" s="292"/>
      <c r="EN78" s="292"/>
      <c r="EO78" s="292"/>
      <c r="EP78" s="292"/>
      <c r="EQ78" s="292"/>
      <c r="ER78" s="292"/>
      <c r="ES78" s="292"/>
      <c r="ET78" s="292"/>
      <c r="EU78" s="292"/>
      <c r="EV78" s="292"/>
      <c r="EW78" s="292"/>
      <c r="EX78" s="292"/>
      <c r="EY78" s="292"/>
      <c r="EZ78" s="292"/>
      <c r="FA78" s="292"/>
      <c r="FB78" s="292"/>
      <c r="FC78" s="292"/>
      <c r="FD78" s="292"/>
      <c r="FE78" s="292"/>
      <c r="FF78" s="292"/>
      <c r="FG78" s="292"/>
      <c r="FH78" s="292"/>
      <c r="FI78" s="292"/>
      <c r="FJ78" s="292"/>
      <c r="FK78" s="292"/>
      <c r="FL78" s="292"/>
      <c r="FM78" s="292"/>
      <c r="FN78" s="292"/>
      <c r="FO78" s="292"/>
      <c r="FP78" s="292"/>
      <c r="FQ78" s="292"/>
      <c r="FR78" s="292"/>
      <c r="FS78" s="292"/>
      <c r="FT78" s="292"/>
      <c r="FU78" s="292"/>
      <c r="FV78" s="292"/>
      <c r="FW78" s="292"/>
      <c r="FX78" s="292"/>
      <c r="FY78" s="292"/>
      <c r="FZ78" s="292"/>
      <c r="GA78" s="292"/>
      <c r="GB78" s="292"/>
      <c r="GC78" s="292"/>
      <c r="GD78" s="292"/>
      <c r="GE78" s="292"/>
      <c r="GF78" s="292"/>
      <c r="GG78" s="292"/>
      <c r="GH78" s="292"/>
      <c r="GI78" s="292"/>
      <c r="GJ78" s="292"/>
      <c r="GK78" s="292"/>
      <c r="GL78" s="292"/>
      <c r="GM78" s="292"/>
      <c r="GN78" s="292"/>
      <c r="GO78" s="292"/>
      <c r="GP78" s="292"/>
      <c r="GQ78" s="292"/>
      <c r="GR78" s="292"/>
      <c r="GS78" s="292"/>
      <c r="GT78" s="292"/>
      <c r="GU78" s="292"/>
      <c r="GV78" s="292"/>
      <c r="GW78" s="292"/>
      <c r="GX78" s="292"/>
      <c r="GY78" s="292"/>
      <c r="GZ78" s="292"/>
      <c r="HA78" s="292"/>
      <c r="HB78" s="292"/>
      <c r="HC78" s="292"/>
      <c r="HD78" s="292"/>
      <c r="HE78" s="292"/>
      <c r="HF78" s="292"/>
      <c r="HG78" s="292"/>
      <c r="HH78" s="292"/>
      <c r="HI78" s="292"/>
      <c r="HJ78" s="292"/>
      <c r="HK78" s="292"/>
      <c r="HL78" s="292"/>
      <c r="HM78" s="292"/>
      <c r="HN78" s="292"/>
      <c r="HO78" s="292"/>
      <c r="HP78" s="292"/>
      <c r="HQ78" s="292"/>
      <c r="HR78" s="292"/>
      <c r="HS78" s="292"/>
      <c r="HT78" s="292"/>
      <c r="HU78" s="292"/>
      <c r="HV78" s="292"/>
      <c r="HW78" s="292"/>
      <c r="HX78" s="292"/>
      <c r="HY78" s="292"/>
      <c r="HZ78" s="292"/>
      <c r="IA78" s="292"/>
      <c r="IB78" s="292"/>
      <c r="IC78" s="292"/>
      <c r="ID78" s="292"/>
      <c r="IE78" s="292"/>
      <c r="IF78" s="292"/>
      <c r="IG78" s="292"/>
      <c r="IH78" s="292"/>
      <c r="II78" s="292"/>
      <c r="IJ78" s="292"/>
      <c r="IK78" s="292"/>
      <c r="IL78" s="292"/>
      <c r="IM78" s="292"/>
      <c r="IN78" s="292"/>
      <c r="IO78" s="292"/>
      <c r="IP78" s="292"/>
      <c r="IQ78" s="292"/>
      <c r="IR78" s="292"/>
      <c r="IS78" s="292"/>
      <c r="IT78" s="292"/>
      <c r="IU78" s="292"/>
      <c r="IV78" s="292"/>
      <c r="IW78" s="6"/>
      <c r="IX78" s="6"/>
      <c r="IY78" s="6"/>
      <c r="IZ78" s="6"/>
      <c r="JA78" s="6"/>
      <c r="JB78" s="6"/>
      <c r="JC78" s="6"/>
      <c r="JD78" s="6"/>
      <c r="JE78" s="6"/>
      <c r="JF78" s="6"/>
      <c r="JG78" s="6"/>
      <c r="JH78" s="6"/>
      <c r="JI78" s="6"/>
      <c r="JJ78" s="6"/>
      <c r="JK78" s="6"/>
      <c r="JL78" s="6"/>
      <c r="JM78" s="6"/>
      <c r="JN78" s="6"/>
      <c r="JO78" s="6"/>
      <c r="JP78" s="6"/>
      <c r="JQ78" s="6"/>
      <c r="JR78" s="6"/>
      <c r="JS78" s="6"/>
      <c r="JT78" s="6"/>
      <c r="JU78" s="6"/>
      <c r="JV78" s="6"/>
      <c r="JW78" s="6"/>
      <c r="JX78" s="6"/>
      <c r="JY78" s="6"/>
      <c r="JZ78" s="6"/>
      <c r="KA78" s="6"/>
      <c r="KB78" s="6"/>
      <c r="KC78" s="6"/>
      <c r="KD78" s="6"/>
      <c r="KE78" s="6"/>
      <c r="KF78" s="6"/>
      <c r="KG78" s="6"/>
      <c r="KH78" s="6"/>
      <c r="KI78" s="6"/>
      <c r="KJ78" s="6"/>
      <c r="KK78" s="6"/>
      <c r="KL78" s="6"/>
      <c r="KM78" s="6"/>
      <c r="KN78" s="6"/>
      <c r="KO78" s="6"/>
      <c r="KP78" s="6"/>
      <c r="KQ78" s="6"/>
      <c r="KR78" s="6"/>
      <c r="KS78" s="6"/>
      <c r="KT78" s="6"/>
      <c r="KU78" s="6"/>
      <c r="KV78" s="6"/>
      <c r="KW78" s="6"/>
      <c r="KX78" s="6"/>
      <c r="KY78" s="6"/>
      <c r="KZ78" s="6"/>
      <c r="LA78" s="6"/>
      <c r="LB78" s="6"/>
      <c r="LC78" s="6"/>
      <c r="LD78" s="6"/>
      <c r="LE78" s="6"/>
      <c r="LF78" s="6"/>
      <c r="LG78" s="6"/>
      <c r="LH78" s="6"/>
      <c r="LI78" s="6"/>
      <c r="LJ78" s="6"/>
      <c r="LK78" s="6"/>
      <c r="LL78" s="6"/>
      <c r="LM78" s="6"/>
      <c r="LN78" s="6"/>
      <c r="LO78" s="6"/>
      <c r="LP78" s="6"/>
      <c r="LQ78" s="6"/>
      <c r="LR78" s="6"/>
      <c r="LS78" s="6"/>
      <c r="LT78" s="6"/>
      <c r="LU78" s="6"/>
      <c r="LV78" s="6"/>
      <c r="LW78" s="6"/>
      <c r="LX78" s="6"/>
      <c r="LY78" s="6"/>
      <c r="LZ78" s="6"/>
      <c r="MA78" s="6"/>
      <c r="MB78" s="6"/>
      <c r="MC78" s="6"/>
      <c r="MD78" s="6"/>
      <c r="ME78" s="6"/>
      <c r="MF78" s="6"/>
      <c r="MG78" s="6"/>
      <c r="MH78" s="6"/>
      <c r="MI78" s="6"/>
      <c r="MJ78" s="6"/>
      <c r="MK78" s="6"/>
      <c r="ML78" s="6"/>
      <c r="MM78" s="6"/>
      <c r="MN78" s="6"/>
      <c r="MO78" s="6"/>
      <c r="MP78" s="6"/>
      <c r="MQ78" s="6"/>
      <c r="MR78" s="6"/>
      <c r="MS78" s="6"/>
      <c r="MT78" s="6"/>
      <c r="MU78" s="6"/>
      <c r="MV78" s="6"/>
      <c r="MW78" s="6"/>
      <c r="MX78" s="6"/>
      <c r="MY78" s="6"/>
      <c r="MZ78" s="6"/>
      <c r="NA78" s="6"/>
      <c r="NB78" s="6"/>
      <c r="NC78" s="6"/>
      <c r="ND78" s="6"/>
      <c r="NE78" s="6"/>
      <c r="NF78" s="6"/>
      <c r="NG78" s="6"/>
      <c r="NH78" s="6"/>
      <c r="NI78" s="6"/>
      <c r="NJ78" s="6"/>
      <c r="NK78" s="6"/>
      <c r="NL78" s="6"/>
      <c r="NM78" s="6"/>
      <c r="NN78" s="6"/>
      <c r="NO78" s="6"/>
      <c r="NP78" s="6"/>
      <c r="NQ78" s="6"/>
      <c r="NR78" s="6"/>
      <c r="NS78" s="6"/>
      <c r="NT78" s="6"/>
      <c r="NU78" s="6"/>
      <c r="NV78" s="6"/>
      <c r="NW78" s="6"/>
      <c r="NX78" s="6"/>
      <c r="NY78" s="6"/>
      <c r="NZ78" s="6"/>
      <c r="OA78" s="6"/>
      <c r="OB78" s="6"/>
      <c r="OC78" s="6"/>
      <c r="OD78" s="6"/>
      <c r="OE78" s="6"/>
      <c r="OF78" s="6"/>
      <c r="OG78" s="6"/>
      <c r="OH78" s="6"/>
      <c r="OI78" s="6"/>
      <c r="OJ78" s="6"/>
      <c r="OK78" s="6"/>
      <c r="OL78" s="6"/>
      <c r="OM78" s="6"/>
      <c r="ON78" s="6"/>
      <c r="OO78" s="6"/>
      <c r="OP78" s="6"/>
      <c r="OQ78" s="6"/>
      <c r="OR78" s="6"/>
      <c r="OS78" s="6"/>
      <c r="OT78" s="6"/>
      <c r="OU78" s="6"/>
      <c r="OV78" s="6"/>
      <c r="OW78" s="6"/>
      <c r="OX78" s="6"/>
      <c r="OY78" s="6"/>
      <c r="OZ78" s="6"/>
      <c r="PA78" s="6"/>
      <c r="PB78" s="6"/>
      <c r="PC78" s="6"/>
      <c r="PD78" s="6"/>
      <c r="PE78" s="6"/>
      <c r="PF78" s="6"/>
      <c r="PG78" s="6"/>
      <c r="PH78" s="6"/>
      <c r="PI78" s="6"/>
      <c r="PJ78" s="6"/>
      <c r="PK78" s="6"/>
      <c r="PL78" s="6"/>
      <c r="PM78" s="6"/>
      <c r="PN78" s="6"/>
      <c r="PO78" s="6"/>
      <c r="PP78" s="6"/>
      <c r="PQ78" s="6"/>
      <c r="PR78" s="6"/>
      <c r="PS78" s="6"/>
      <c r="PT78" s="6"/>
      <c r="PU78" s="6"/>
      <c r="PV78" s="6"/>
      <c r="PW78" s="6"/>
      <c r="PX78" s="6"/>
      <c r="PY78" s="6"/>
      <c r="PZ78" s="6"/>
      <c r="QA78" s="6"/>
      <c r="QB78" s="6"/>
      <c r="QC78" s="6"/>
      <c r="QD78" s="6"/>
      <c r="QE78" s="6"/>
      <c r="QF78" s="6"/>
      <c r="QG78" s="6"/>
      <c r="QH78" s="6"/>
      <c r="QI78" s="6"/>
      <c r="QJ78" s="6"/>
      <c r="QK78" s="6"/>
      <c r="QL78" s="6"/>
      <c r="QM78" s="6"/>
      <c r="QN78" s="6"/>
      <c r="QO78" s="6"/>
      <c r="QP78" s="6"/>
      <c r="QQ78" s="6"/>
      <c r="QR78" s="6"/>
      <c r="QS78" s="6"/>
      <c r="QT78" s="6"/>
      <c r="QU78" s="6"/>
      <c r="QV78" s="6"/>
      <c r="QW78" s="6"/>
      <c r="QX78" s="6"/>
      <c r="QY78" s="6"/>
      <c r="QZ78" s="6"/>
      <c r="RA78" s="6"/>
      <c r="RB78" s="6"/>
      <c r="RC78" s="6"/>
      <c r="RD78" s="6"/>
      <c r="RE78" s="6"/>
      <c r="RF78" s="6"/>
      <c r="RG78" s="6"/>
      <c r="RH78" s="6"/>
      <c r="RI78" s="6"/>
      <c r="RJ78" s="6"/>
      <c r="RK78" s="6"/>
      <c r="RL78" s="6"/>
      <c r="RM78" s="6"/>
      <c r="RN78" s="6"/>
      <c r="RO78" s="6"/>
      <c r="RP78" s="6"/>
      <c r="RQ78" s="6"/>
      <c r="RR78" s="6"/>
      <c r="RS78" s="6"/>
      <c r="RT78" s="6"/>
      <c r="RU78" s="6"/>
      <c r="RV78" s="6"/>
      <c r="RW78" s="6"/>
      <c r="RX78" s="6"/>
      <c r="RY78" s="6"/>
      <c r="RZ78" s="6"/>
      <c r="SA78" s="6"/>
      <c r="SB78" s="6"/>
      <c r="SC78" s="6"/>
      <c r="SD78" s="6"/>
      <c r="SE78" s="6"/>
      <c r="SF78" s="6"/>
      <c r="SG78" s="6"/>
      <c r="SH78" s="6"/>
      <c r="SI78" s="6"/>
      <c r="SJ78" s="6"/>
      <c r="SK78" s="6"/>
      <c r="SL78" s="6"/>
      <c r="SM78" s="6"/>
      <c r="SN78" s="6"/>
      <c r="SO78" s="6"/>
      <c r="SP78" s="6"/>
      <c r="SQ78" s="6"/>
      <c r="SR78" s="6"/>
      <c r="SS78" s="6"/>
      <c r="ST78" s="6"/>
      <c r="SU78" s="6"/>
      <c r="SV78" s="6"/>
      <c r="SW78" s="6"/>
      <c r="SX78" s="6"/>
      <c r="SY78" s="6"/>
      <c r="SZ78" s="6"/>
      <c r="TA78" s="6"/>
      <c r="TB78" s="6"/>
      <c r="TC78" s="6"/>
      <c r="TD78" s="6"/>
      <c r="TE78" s="6"/>
      <c r="TF78" s="6"/>
      <c r="TG78" s="6"/>
      <c r="TH78" s="6"/>
      <c r="TI78" s="6"/>
      <c r="TJ78" s="6"/>
      <c r="TK78" s="6"/>
      <c r="TL78" s="6"/>
      <c r="TM78" s="6"/>
      <c r="TN78" s="6"/>
      <c r="TO78" s="6"/>
      <c r="TP78" s="6"/>
      <c r="TQ78" s="6"/>
      <c r="TR78" s="6"/>
      <c r="TS78" s="6"/>
      <c r="TT78" s="6"/>
      <c r="TU78" s="6"/>
      <c r="TV78" s="6"/>
      <c r="TW78" s="6"/>
      <c r="TX78" s="6"/>
      <c r="TY78" s="6"/>
      <c r="TZ78" s="6"/>
      <c r="UA78" s="6"/>
      <c r="UB78" s="6"/>
      <c r="UC78" s="6"/>
      <c r="UD78" s="6"/>
      <c r="UE78" s="6"/>
      <c r="UF78" s="6"/>
      <c r="UG78" s="6"/>
      <c r="UH78" s="6"/>
      <c r="UI78" s="6"/>
      <c r="UJ78" s="6"/>
      <c r="UK78" s="6"/>
      <c r="UL78" s="6"/>
      <c r="UM78" s="6"/>
      <c r="UN78" s="6"/>
      <c r="UO78" s="6"/>
      <c r="UP78" s="6"/>
      <c r="UQ78" s="6"/>
      <c r="UR78" s="6"/>
      <c r="US78" s="6"/>
      <c r="UT78" s="6"/>
      <c r="UU78" s="6"/>
      <c r="UV78" s="6"/>
      <c r="UW78" s="6"/>
      <c r="UX78" s="6"/>
      <c r="UY78" s="6"/>
      <c r="UZ78" s="6"/>
      <c r="VA78" s="6"/>
      <c r="VB78" s="6"/>
      <c r="VC78" s="6"/>
      <c r="VD78" s="6"/>
      <c r="VE78" s="6"/>
      <c r="VF78" s="6"/>
      <c r="VG78" s="6"/>
      <c r="VH78" s="6"/>
      <c r="VI78" s="6"/>
      <c r="VJ78" s="6"/>
      <c r="VK78" s="6"/>
      <c r="VL78" s="6"/>
      <c r="VM78" s="6"/>
      <c r="VN78" s="6"/>
      <c r="VO78" s="6"/>
      <c r="VP78" s="6"/>
      <c r="VQ78" s="6"/>
      <c r="VR78" s="6"/>
      <c r="VS78" s="6"/>
      <c r="VT78" s="6"/>
      <c r="VU78" s="6"/>
      <c r="VV78" s="6"/>
      <c r="VW78" s="6"/>
      <c r="VX78" s="6"/>
      <c r="VY78" s="6"/>
      <c r="VZ78" s="6"/>
      <c r="WA78" s="6"/>
      <c r="WB78" s="6"/>
      <c r="WC78" s="6"/>
      <c r="WD78" s="6"/>
      <c r="WE78" s="6"/>
      <c r="WF78" s="6"/>
      <c r="WG78" s="6"/>
      <c r="WH78" s="6"/>
      <c r="WI78" s="6"/>
      <c r="WJ78" s="6"/>
      <c r="WK78" s="6"/>
      <c r="WL78" s="6"/>
      <c r="WM78" s="6"/>
      <c r="WN78" s="6"/>
      <c r="WO78" s="6"/>
      <c r="WP78" s="6"/>
      <c r="WQ78" s="6"/>
      <c r="WR78" s="6"/>
      <c r="WS78" s="6"/>
      <c r="WT78" s="6"/>
      <c r="WU78" s="6"/>
      <c r="WV78" s="6"/>
      <c r="WW78" s="6"/>
      <c r="WX78" s="6"/>
      <c r="WY78" s="6"/>
      <c r="WZ78" s="6"/>
      <c r="XA78" s="6"/>
      <c r="XB78" s="6"/>
      <c r="XC78" s="6"/>
      <c r="XD78" s="6"/>
      <c r="XE78" s="6"/>
      <c r="XF78" s="6"/>
      <c r="XG78" s="6"/>
      <c r="XH78" s="6"/>
      <c r="XI78" s="6"/>
      <c r="XJ78" s="6"/>
      <c r="XK78" s="6"/>
      <c r="XL78" s="6"/>
      <c r="XM78" s="6"/>
      <c r="XN78" s="6"/>
      <c r="XO78" s="6"/>
      <c r="XP78" s="6"/>
      <c r="XQ78" s="6"/>
      <c r="XR78" s="6"/>
      <c r="XS78" s="6"/>
      <c r="XT78" s="6"/>
      <c r="XU78" s="6"/>
      <c r="XV78" s="6"/>
      <c r="XW78" s="6"/>
      <c r="XX78" s="6"/>
      <c r="XY78" s="6"/>
      <c r="XZ78" s="6"/>
      <c r="YA78" s="6"/>
      <c r="YB78" s="6"/>
      <c r="YC78" s="6"/>
      <c r="YD78" s="6"/>
      <c r="YE78" s="6"/>
      <c r="YF78" s="6"/>
      <c r="YG78" s="6"/>
      <c r="YH78" s="6"/>
      <c r="YI78" s="6"/>
      <c r="YJ78" s="6"/>
      <c r="YK78" s="6"/>
      <c r="YL78" s="6"/>
      <c r="YM78" s="6"/>
      <c r="YN78" s="6"/>
      <c r="YO78" s="6"/>
      <c r="YP78" s="6"/>
      <c r="YQ78" s="6"/>
      <c r="YR78" s="6"/>
      <c r="YS78" s="6"/>
      <c r="YT78" s="6"/>
      <c r="YU78" s="6"/>
      <c r="YV78" s="6"/>
      <c r="YW78" s="6"/>
      <c r="YX78" s="6"/>
      <c r="YY78" s="6"/>
      <c r="YZ78" s="6"/>
      <c r="ZA78" s="6"/>
      <c r="ZB78" s="6"/>
      <c r="ZC78" s="6"/>
      <c r="ZD78" s="6"/>
      <c r="ZE78" s="6"/>
      <c r="ZF78" s="6"/>
      <c r="ZG78" s="6"/>
      <c r="ZH78" s="6"/>
      <c r="ZI78" s="6"/>
      <c r="ZJ78" s="6"/>
      <c r="ZK78" s="6"/>
      <c r="ZL78" s="6"/>
      <c r="ZM78" s="6"/>
      <c r="ZN78" s="6"/>
      <c r="ZO78" s="6"/>
      <c r="ZP78" s="6"/>
      <c r="ZQ78" s="6"/>
      <c r="ZR78" s="6"/>
      <c r="ZS78" s="6"/>
      <c r="ZT78" s="6"/>
      <c r="ZU78" s="6"/>
      <c r="ZV78" s="6"/>
      <c r="ZW78" s="6"/>
      <c r="ZX78" s="6"/>
      <c r="ZY78" s="6"/>
      <c r="ZZ78" s="6"/>
      <c r="AAA78" s="6"/>
      <c r="AAB78" s="6"/>
      <c r="AAC78" s="6"/>
      <c r="AAD78" s="6"/>
      <c r="AAE78" s="6"/>
      <c r="AAF78" s="6"/>
      <c r="AAG78" s="6"/>
      <c r="AAH78" s="6"/>
      <c r="AAI78" s="6"/>
      <c r="AAJ78" s="6"/>
      <c r="AAK78" s="6"/>
      <c r="AAL78" s="6"/>
      <c r="AAM78" s="6"/>
      <c r="AAN78" s="6"/>
      <c r="AAO78" s="6"/>
      <c r="AAP78" s="6"/>
      <c r="AAQ78" s="6"/>
      <c r="AAR78" s="6"/>
      <c r="AAS78" s="6"/>
      <c r="AAT78" s="6"/>
      <c r="AAU78" s="6"/>
      <c r="AAV78" s="6"/>
      <c r="AAW78" s="6"/>
      <c r="AAX78" s="6"/>
      <c r="AAY78" s="6"/>
      <c r="AAZ78" s="6"/>
      <c r="ABA78" s="6"/>
      <c r="ABB78" s="6"/>
      <c r="ABC78" s="6"/>
      <c r="ABD78" s="6"/>
      <c r="ABE78" s="6"/>
      <c r="ABF78" s="6"/>
      <c r="ABG78" s="6"/>
      <c r="ABH78" s="6"/>
      <c r="ABI78" s="6"/>
      <c r="ABJ78" s="6"/>
      <c r="ABK78" s="6"/>
      <c r="ABL78" s="6"/>
      <c r="ABM78" s="6"/>
      <c r="ABN78" s="6"/>
      <c r="ABO78" s="6"/>
      <c r="ABP78" s="6"/>
      <c r="ABQ78" s="6"/>
      <c r="ABR78" s="6"/>
      <c r="ABS78" s="6"/>
      <c r="ABT78" s="6"/>
      <c r="ABU78" s="6"/>
      <c r="ABV78" s="6"/>
      <c r="ABW78" s="6"/>
      <c r="ABX78" s="6"/>
      <c r="ABY78" s="6"/>
      <c r="ABZ78" s="6"/>
      <c r="ACA78" s="6"/>
      <c r="ACB78" s="6"/>
      <c r="ACC78" s="6"/>
      <c r="ACD78" s="6"/>
      <c r="ACE78" s="6"/>
      <c r="ACF78" s="6"/>
      <c r="ACG78" s="6"/>
      <c r="ACH78" s="6"/>
      <c r="ACI78" s="6"/>
      <c r="ACJ78" s="6"/>
      <c r="ACK78" s="6"/>
      <c r="ACL78" s="6"/>
      <c r="ACM78" s="6"/>
      <c r="ACN78" s="6"/>
      <c r="ACO78" s="6"/>
      <c r="ACP78" s="6"/>
      <c r="ACQ78" s="6"/>
      <c r="ACR78" s="6"/>
      <c r="ACS78" s="6"/>
      <c r="ACT78" s="6"/>
      <c r="ACU78" s="6"/>
      <c r="ACV78" s="6"/>
      <c r="ACW78" s="6"/>
      <c r="ACX78" s="6"/>
      <c r="ACY78" s="6"/>
      <c r="ACZ78" s="6"/>
      <c r="ADA78" s="6"/>
      <c r="ADB78" s="6"/>
      <c r="ADC78" s="6"/>
      <c r="ADD78" s="6"/>
      <c r="ADE78" s="6"/>
      <c r="ADF78" s="6"/>
      <c r="ADG78" s="6"/>
      <c r="ADH78" s="6"/>
      <c r="ADI78" s="6"/>
      <c r="ADJ78" s="6"/>
      <c r="ADK78" s="6"/>
      <c r="ADL78" s="6"/>
      <c r="ADM78" s="6"/>
      <c r="ADN78" s="6"/>
      <c r="ADO78" s="6"/>
      <c r="ADP78" s="6"/>
      <c r="ADQ78" s="6"/>
      <c r="ADR78" s="6"/>
      <c r="ADS78" s="6"/>
      <c r="ADT78" s="6"/>
      <c r="ADU78" s="6"/>
      <c r="ADV78" s="6"/>
      <c r="ADW78" s="6"/>
      <c r="ADX78" s="6"/>
      <c r="ADY78" s="6"/>
      <c r="ADZ78" s="6"/>
      <c r="AEA78" s="6"/>
      <c r="AEB78" s="6"/>
      <c r="AEC78" s="6"/>
      <c r="AED78" s="6"/>
      <c r="AEE78" s="6"/>
      <c r="AEF78" s="6"/>
      <c r="AEG78" s="6"/>
      <c r="AEH78" s="6"/>
      <c r="AEI78" s="6"/>
      <c r="AEJ78" s="6"/>
      <c r="AEK78" s="6"/>
      <c r="AEL78" s="6"/>
      <c r="AEM78" s="6"/>
      <c r="AEN78" s="6"/>
      <c r="AEO78" s="6"/>
      <c r="AEP78" s="6"/>
      <c r="AEQ78" s="6"/>
      <c r="AER78" s="6"/>
      <c r="AES78" s="6"/>
      <c r="AET78" s="6"/>
      <c r="AEU78" s="6"/>
      <c r="AEV78" s="6"/>
      <c r="AEW78" s="6"/>
      <c r="AEX78" s="6"/>
      <c r="AEY78" s="6"/>
      <c r="AEZ78" s="6"/>
      <c r="AFA78" s="6"/>
      <c r="AFB78" s="6"/>
      <c r="AFC78" s="6"/>
      <c r="AFD78" s="6"/>
      <c r="AFE78" s="6"/>
      <c r="AFF78" s="6"/>
      <c r="AFG78" s="6"/>
      <c r="AFH78" s="6"/>
      <c r="AFI78" s="6"/>
      <c r="AFJ78" s="6"/>
      <c r="AFK78" s="6"/>
      <c r="AFL78" s="6"/>
      <c r="AFM78" s="6"/>
      <c r="AFN78" s="6"/>
      <c r="AFO78" s="6"/>
      <c r="AFP78" s="6"/>
      <c r="AFQ78" s="6"/>
      <c r="AFR78" s="6"/>
      <c r="AFS78" s="6"/>
      <c r="AFT78" s="6"/>
      <c r="AFU78" s="6"/>
      <c r="AFV78" s="6"/>
      <c r="AFW78" s="6"/>
      <c r="AFX78" s="6"/>
      <c r="AFY78" s="6"/>
      <c r="AFZ78" s="6"/>
      <c r="AGA78" s="6"/>
      <c r="AGB78" s="6"/>
      <c r="AGC78" s="6"/>
      <c r="AGD78" s="6"/>
      <c r="AGE78" s="6"/>
      <c r="AGF78" s="6"/>
      <c r="AGG78" s="6"/>
      <c r="AGH78" s="6"/>
      <c r="AGI78" s="6"/>
      <c r="AGJ78" s="6"/>
      <c r="AGK78" s="6"/>
      <c r="AGL78" s="6"/>
      <c r="AGM78" s="6"/>
      <c r="AGN78" s="6"/>
      <c r="AGO78" s="6"/>
      <c r="AGP78" s="6"/>
      <c r="AGQ78" s="6"/>
      <c r="AGR78" s="6"/>
      <c r="AGS78" s="6"/>
      <c r="AGT78" s="6"/>
      <c r="AGU78" s="6"/>
      <c r="AGV78" s="6"/>
      <c r="AGW78" s="6"/>
      <c r="AGX78" s="6"/>
      <c r="AGY78" s="6"/>
      <c r="AGZ78" s="6"/>
      <c r="AHA78" s="6"/>
      <c r="AHB78" s="6"/>
      <c r="AHC78" s="6"/>
      <c r="AHD78" s="6"/>
      <c r="AHE78" s="6"/>
      <c r="AHF78" s="6"/>
      <c r="AHG78" s="6"/>
      <c r="AHH78" s="6"/>
      <c r="AHI78" s="6"/>
      <c r="AHJ78" s="6"/>
      <c r="AHK78" s="6"/>
      <c r="AHL78" s="6"/>
      <c r="AHM78" s="6"/>
      <c r="AHN78" s="6"/>
      <c r="AHO78" s="6"/>
      <c r="AHP78" s="6"/>
      <c r="AHQ78" s="6"/>
      <c r="AHR78" s="6"/>
      <c r="AHS78" s="6"/>
      <c r="AHT78" s="6"/>
      <c r="AHU78" s="6"/>
      <c r="AHV78" s="6"/>
      <c r="AHW78" s="6"/>
      <c r="AHX78" s="6"/>
      <c r="AHY78" s="6"/>
      <c r="AHZ78" s="6"/>
      <c r="AIA78" s="6"/>
      <c r="AIB78" s="6"/>
      <c r="AIC78" s="6"/>
      <c r="AID78" s="6"/>
      <c r="AIE78" s="6"/>
      <c r="AIF78" s="6"/>
      <c r="AIG78" s="6"/>
      <c r="AIH78" s="6"/>
      <c r="AII78" s="6"/>
      <c r="AIJ78" s="6"/>
      <c r="AIK78" s="6"/>
      <c r="AIL78" s="6"/>
      <c r="AIM78" s="6"/>
      <c r="AIN78" s="6"/>
      <c r="AIO78" s="6"/>
      <c r="AIP78" s="6"/>
      <c r="AIQ78" s="6"/>
      <c r="AIR78" s="6"/>
      <c r="AIS78" s="6"/>
      <c r="AIT78" s="6"/>
      <c r="AIU78" s="6"/>
      <c r="AIV78" s="6"/>
      <c r="AIW78" s="6"/>
      <c r="AIX78" s="6"/>
      <c r="AIY78" s="6"/>
      <c r="AIZ78" s="6"/>
      <c r="AJA78" s="6"/>
      <c r="AJB78" s="6"/>
      <c r="AJC78" s="6"/>
      <c r="AJD78" s="6"/>
      <c r="AJE78" s="6"/>
      <c r="AJF78" s="6"/>
      <c r="AJG78" s="6"/>
      <c r="AJH78" s="6"/>
      <c r="AJI78" s="6"/>
      <c r="AJJ78" s="6"/>
      <c r="AJK78" s="6"/>
      <c r="AJL78" s="6"/>
      <c r="AJM78" s="6"/>
      <c r="AJN78" s="6"/>
      <c r="AJO78" s="6"/>
      <c r="AJP78" s="6"/>
      <c r="AJQ78" s="6"/>
      <c r="AJR78" s="6"/>
      <c r="AJS78" s="6"/>
      <c r="AJT78" s="6"/>
      <c r="AJU78" s="6"/>
      <c r="AJV78" s="6"/>
      <c r="AJW78" s="6"/>
      <c r="AJX78" s="6"/>
      <c r="AJY78" s="6"/>
      <c r="AJZ78" s="6"/>
      <c r="AKA78" s="6"/>
      <c r="AKB78" s="6"/>
      <c r="AKC78" s="6"/>
      <c r="AKD78" s="6"/>
      <c r="AKE78" s="6"/>
      <c r="AKF78" s="6"/>
      <c r="AKG78" s="6"/>
      <c r="AKH78" s="6"/>
      <c r="AKI78" s="6"/>
      <c r="AKJ78" s="6"/>
      <c r="AKK78" s="6"/>
      <c r="AKL78" s="6"/>
      <c r="AKM78" s="6"/>
      <c r="AKN78" s="6"/>
      <c r="AKO78" s="6"/>
      <c r="AKP78" s="6"/>
      <c r="AKQ78" s="6"/>
      <c r="AKR78" s="6"/>
      <c r="AKS78" s="6"/>
      <c r="AKT78" s="6"/>
      <c r="AKU78" s="6"/>
      <c r="AKV78" s="6"/>
      <c r="AKW78" s="6"/>
      <c r="AKX78" s="6"/>
      <c r="AKY78" s="6"/>
      <c r="AKZ78" s="6"/>
      <c r="ALA78" s="6"/>
      <c r="ALB78" s="6"/>
      <c r="ALC78" s="6"/>
      <c r="ALD78" s="6"/>
      <c r="ALE78" s="6"/>
      <c r="ALF78" s="6"/>
      <c r="ALG78" s="6"/>
      <c r="ALH78" s="6"/>
      <c r="ALI78" s="6"/>
      <c r="ALJ78" s="6"/>
      <c r="ALK78" s="6"/>
      <c r="ALL78" s="6"/>
      <c r="ALM78" s="6"/>
      <c r="ALN78" s="6"/>
      <c r="ALO78" s="6"/>
      <c r="ALP78" s="6"/>
      <c r="ALQ78" s="6"/>
      <c r="ALR78" s="6"/>
      <c r="ALS78" s="6"/>
      <c r="ALT78" s="6"/>
      <c r="ALU78" s="6"/>
      <c r="ALV78" s="6"/>
      <c r="ALW78" s="6"/>
      <c r="ALX78" s="6"/>
      <c r="ALY78" s="6"/>
      <c r="ALZ78" s="6"/>
      <c r="AMA78" s="6"/>
      <c r="AMB78" s="6"/>
      <c r="AMC78" s="6"/>
      <c r="AMD78" s="6"/>
      <c r="AME78" s="6"/>
      <c r="AMF78" s="6"/>
      <c r="AMG78" s="6"/>
      <c r="AMH78" s="6"/>
      <c r="AMI78" s="6"/>
      <c r="AMJ78" s="6"/>
      <c r="AMK78" s="6"/>
      <c r="AML78" s="6"/>
      <c r="AMM78" s="6"/>
      <c r="AMN78" s="6"/>
      <c r="AMO78" s="6"/>
      <c r="AMP78" s="6"/>
      <c r="AMQ78" s="6"/>
      <c r="AMR78" s="6"/>
      <c r="AMS78" s="6"/>
      <c r="AMT78" s="6"/>
      <c r="AMU78" s="6"/>
      <c r="AMV78" s="6"/>
      <c r="AMW78" s="6"/>
      <c r="AMX78" s="6"/>
      <c r="AMY78" s="6"/>
      <c r="AMZ78" s="6"/>
      <c r="ANA78" s="6"/>
      <c r="ANB78" s="6"/>
      <c r="ANC78" s="6"/>
      <c r="AND78" s="6"/>
      <c r="ANE78" s="6"/>
      <c r="ANF78" s="6"/>
      <c r="ANG78" s="6"/>
      <c r="ANH78" s="6"/>
      <c r="ANI78" s="6"/>
      <c r="ANJ78" s="6"/>
      <c r="ANK78" s="6"/>
      <c r="ANL78" s="6"/>
      <c r="ANM78" s="6"/>
      <c r="ANN78" s="6"/>
      <c r="ANO78" s="6"/>
      <c r="ANP78" s="6"/>
      <c r="ANQ78" s="6"/>
      <c r="ANR78" s="6"/>
      <c r="ANS78" s="6"/>
      <c r="ANT78" s="6"/>
      <c r="ANU78" s="6"/>
      <c r="ANV78" s="6"/>
      <c r="ANW78" s="6"/>
      <c r="ANX78" s="6"/>
      <c r="ANY78" s="6"/>
      <c r="ANZ78" s="6"/>
      <c r="AOA78" s="6"/>
      <c r="AOB78" s="6"/>
      <c r="AOC78" s="6"/>
      <c r="AOD78" s="6"/>
      <c r="AOE78" s="6"/>
      <c r="AOF78" s="6"/>
      <c r="AOG78" s="6"/>
      <c r="AOH78" s="6"/>
      <c r="AOI78" s="6"/>
      <c r="AOJ78" s="6"/>
      <c r="AOK78" s="6"/>
      <c r="AOL78" s="6"/>
      <c r="AOM78" s="6"/>
      <c r="AON78" s="6"/>
      <c r="AOO78" s="6"/>
      <c r="AOP78" s="6"/>
      <c r="AOQ78" s="6"/>
      <c r="AOR78" s="6"/>
      <c r="AOS78" s="6"/>
      <c r="AOT78" s="6"/>
      <c r="AOU78" s="6"/>
      <c r="AOV78" s="6"/>
      <c r="AOW78" s="6"/>
      <c r="AOX78" s="6"/>
      <c r="AOY78" s="6"/>
      <c r="AOZ78" s="6"/>
      <c r="APA78" s="6"/>
      <c r="APB78" s="6"/>
      <c r="APC78" s="6"/>
      <c r="APD78" s="6"/>
      <c r="APE78" s="6"/>
      <c r="APF78" s="6"/>
      <c r="APG78" s="6"/>
      <c r="APH78" s="6"/>
      <c r="API78" s="6"/>
      <c r="APJ78" s="6"/>
      <c r="APK78" s="6"/>
      <c r="APL78" s="6"/>
      <c r="APM78" s="6"/>
      <c r="APN78" s="6"/>
      <c r="APO78" s="6"/>
      <c r="APP78" s="6"/>
      <c r="APQ78" s="6"/>
      <c r="APR78" s="6"/>
      <c r="APS78" s="6"/>
      <c r="APT78" s="6"/>
      <c r="APU78" s="6"/>
      <c r="APV78" s="6"/>
      <c r="APW78" s="6"/>
      <c r="APX78" s="6"/>
      <c r="APY78" s="6"/>
      <c r="APZ78" s="6"/>
      <c r="AQA78" s="6"/>
      <c r="AQB78" s="6"/>
      <c r="AQC78" s="6"/>
      <c r="AQD78" s="6"/>
      <c r="AQE78" s="6"/>
      <c r="AQF78" s="6"/>
      <c r="AQG78" s="6"/>
      <c r="AQH78" s="6"/>
      <c r="AQI78" s="6"/>
      <c r="AQJ78" s="6"/>
      <c r="AQK78" s="6"/>
      <c r="AQL78" s="6"/>
      <c r="AQM78" s="6"/>
      <c r="AQN78" s="6"/>
      <c r="AQO78" s="6"/>
      <c r="AQP78" s="6"/>
      <c r="AQQ78" s="6"/>
      <c r="AQR78" s="6"/>
      <c r="AQS78" s="6"/>
      <c r="AQT78" s="6"/>
      <c r="AQU78" s="6"/>
      <c r="AQV78" s="6"/>
      <c r="AQW78" s="6"/>
      <c r="AQX78" s="6"/>
      <c r="AQY78" s="6"/>
      <c r="AQZ78" s="6"/>
      <c r="ARA78" s="6"/>
      <c r="ARB78" s="6"/>
      <c r="ARC78" s="6"/>
      <c r="ARD78" s="6"/>
      <c r="ARE78" s="6"/>
      <c r="ARF78" s="6"/>
      <c r="ARG78" s="6"/>
      <c r="ARH78" s="6"/>
      <c r="ARI78" s="6"/>
      <c r="ARJ78" s="6"/>
      <c r="ARK78" s="6"/>
      <c r="ARL78" s="6"/>
      <c r="ARM78" s="6"/>
      <c r="ARN78" s="6"/>
      <c r="ARO78" s="6"/>
      <c r="ARP78" s="6"/>
      <c r="ARQ78" s="6"/>
      <c r="ARR78" s="6"/>
      <c r="ARS78" s="6"/>
      <c r="ART78" s="6"/>
      <c r="ARU78" s="6"/>
      <c r="ARV78" s="6"/>
      <c r="ARW78" s="6"/>
      <c r="ARX78" s="6"/>
      <c r="ARY78" s="6"/>
      <c r="ARZ78" s="6"/>
      <c r="ASA78" s="6"/>
      <c r="ASB78" s="6"/>
      <c r="ASC78" s="6"/>
      <c r="ASD78" s="6"/>
      <c r="ASE78" s="6"/>
      <c r="ASF78" s="6"/>
      <c r="ASG78" s="6"/>
      <c r="ASH78" s="6"/>
      <c r="ASI78" s="6"/>
      <c r="ASJ78" s="6"/>
      <c r="ASK78" s="6"/>
      <c r="ASL78" s="6"/>
      <c r="ASM78" s="6"/>
      <c r="ASN78" s="6"/>
      <c r="ASO78" s="6"/>
      <c r="ASP78" s="6"/>
      <c r="ASQ78" s="6"/>
      <c r="ASR78" s="6"/>
      <c r="ASS78" s="6"/>
      <c r="AST78" s="6"/>
      <c r="ASU78" s="6"/>
      <c r="ASV78" s="6"/>
      <c r="ASW78" s="6"/>
      <c r="ASX78" s="6"/>
      <c r="ASY78" s="6"/>
      <c r="ASZ78" s="6"/>
      <c r="ATA78" s="6"/>
      <c r="ATB78" s="6"/>
      <c r="ATC78" s="6"/>
      <c r="ATD78" s="6"/>
      <c r="ATE78" s="6"/>
      <c r="ATF78" s="6"/>
      <c r="ATG78" s="6"/>
      <c r="ATH78" s="6"/>
      <c r="ATI78" s="6"/>
      <c r="ATJ78" s="6"/>
      <c r="ATK78" s="6"/>
      <c r="ATL78" s="6"/>
      <c r="ATM78" s="6"/>
      <c r="ATN78" s="6"/>
      <c r="ATO78" s="6"/>
      <c r="ATP78" s="6"/>
      <c r="ATQ78" s="6"/>
      <c r="ATR78" s="6"/>
      <c r="ATS78" s="6"/>
      <c r="ATT78" s="6"/>
      <c r="ATU78" s="6"/>
      <c r="ATV78" s="6"/>
      <c r="ATW78" s="6"/>
      <c r="ATX78" s="6"/>
      <c r="ATY78" s="6"/>
      <c r="ATZ78" s="6"/>
      <c r="AUA78" s="6"/>
      <c r="AUB78" s="6"/>
      <c r="AUC78" s="6"/>
      <c r="AUD78" s="6"/>
      <c r="AUE78" s="6"/>
      <c r="AUF78" s="6"/>
      <c r="AUG78" s="6"/>
      <c r="AUH78" s="6"/>
      <c r="AUI78" s="6"/>
      <c r="AUJ78" s="6"/>
      <c r="AUK78" s="6"/>
      <c r="AUL78" s="6"/>
      <c r="AUM78" s="6"/>
      <c r="AUN78" s="6"/>
      <c r="AUO78" s="6"/>
      <c r="AUP78" s="6"/>
      <c r="AUQ78" s="6"/>
      <c r="AUR78" s="6"/>
      <c r="AUS78" s="6"/>
      <c r="AUT78" s="6"/>
      <c r="AUU78" s="6"/>
      <c r="AUV78" s="6"/>
      <c r="AUW78" s="6"/>
      <c r="AUX78" s="6"/>
      <c r="AUY78" s="6"/>
      <c r="AUZ78" s="6"/>
      <c r="AVA78" s="6"/>
      <c r="AVB78" s="6"/>
      <c r="AVC78" s="6"/>
      <c r="AVD78" s="6"/>
      <c r="AVE78" s="6"/>
      <c r="AVF78" s="6"/>
      <c r="AVG78" s="6"/>
      <c r="AVH78" s="6"/>
      <c r="AVI78" s="6"/>
      <c r="AVJ78" s="6"/>
      <c r="AVK78" s="6"/>
      <c r="AVL78" s="6"/>
      <c r="AVM78" s="6"/>
      <c r="AVN78" s="6"/>
      <c r="AVO78" s="6"/>
      <c r="AVP78" s="6"/>
      <c r="AVQ78" s="6"/>
      <c r="AVR78" s="6"/>
      <c r="AVS78" s="6"/>
      <c r="AVT78" s="6"/>
      <c r="AVU78" s="6"/>
      <c r="AVV78" s="6"/>
      <c r="AVW78" s="6"/>
      <c r="AVX78" s="6"/>
      <c r="AVY78" s="6"/>
      <c r="AVZ78" s="6"/>
      <c r="AWA78" s="6"/>
      <c r="AWB78" s="6"/>
      <c r="AWC78" s="6"/>
      <c r="AWD78" s="6"/>
      <c r="AWE78" s="6"/>
      <c r="AWF78" s="6"/>
      <c r="AWG78" s="6"/>
      <c r="AWH78" s="6"/>
      <c r="AWI78" s="6"/>
      <c r="AWJ78" s="6"/>
      <c r="AWK78" s="6"/>
      <c r="AWL78" s="6"/>
      <c r="AWM78" s="6"/>
      <c r="AWN78" s="6"/>
      <c r="AWO78" s="6"/>
      <c r="AWP78" s="6"/>
      <c r="AWQ78" s="6"/>
      <c r="AWR78" s="6"/>
      <c r="AWS78" s="6"/>
      <c r="AWT78" s="6"/>
      <c r="AWU78" s="6"/>
      <c r="AWV78" s="6"/>
      <c r="AWW78" s="6"/>
      <c r="AWX78" s="6"/>
      <c r="AWY78" s="6"/>
      <c r="AWZ78" s="6"/>
      <c r="AXA78" s="6"/>
      <c r="AXB78" s="6"/>
      <c r="AXC78" s="6"/>
      <c r="AXD78" s="6"/>
      <c r="AXE78" s="6"/>
      <c r="AXF78" s="6"/>
      <c r="AXG78" s="6"/>
      <c r="AXH78" s="6"/>
      <c r="AXI78" s="6"/>
      <c r="AXJ78" s="6"/>
      <c r="AXK78" s="6"/>
      <c r="AXL78" s="6"/>
      <c r="AXM78" s="6"/>
      <c r="AXN78" s="6"/>
      <c r="AXO78" s="6"/>
      <c r="AXP78" s="6"/>
      <c r="AXQ78" s="6"/>
      <c r="AXR78" s="6"/>
      <c r="AXS78" s="6"/>
      <c r="AXT78" s="6"/>
      <c r="AXU78" s="6"/>
      <c r="AXV78" s="6"/>
      <c r="AXW78" s="6"/>
      <c r="AXX78" s="6"/>
      <c r="AXY78" s="6"/>
      <c r="AXZ78" s="6"/>
      <c r="AYA78" s="6"/>
      <c r="AYB78" s="6"/>
      <c r="AYC78" s="6"/>
      <c r="AYD78" s="6"/>
      <c r="AYE78" s="6"/>
      <c r="AYF78" s="6"/>
      <c r="AYG78" s="6"/>
      <c r="AYH78" s="6"/>
      <c r="AYI78" s="6"/>
      <c r="AYJ78" s="6"/>
      <c r="AYK78" s="6"/>
      <c r="AYL78" s="6"/>
      <c r="AYM78" s="6"/>
      <c r="AYN78" s="6"/>
      <c r="AYO78" s="6"/>
      <c r="AYP78" s="6"/>
      <c r="AYQ78" s="6"/>
      <c r="AYR78" s="6"/>
      <c r="AYS78" s="6"/>
      <c r="AYT78" s="6"/>
      <c r="AYU78" s="6"/>
      <c r="AYV78" s="6"/>
      <c r="AYW78" s="6"/>
      <c r="AYX78" s="6"/>
      <c r="AYY78" s="6"/>
      <c r="AYZ78" s="6"/>
      <c r="AZA78" s="6"/>
      <c r="AZB78" s="6"/>
      <c r="AZC78" s="6"/>
      <c r="AZD78" s="6"/>
      <c r="AZE78" s="6"/>
      <c r="AZF78" s="6"/>
      <c r="AZG78" s="6"/>
      <c r="AZH78" s="6"/>
      <c r="AZI78" s="6"/>
      <c r="AZJ78" s="6"/>
      <c r="AZK78" s="6"/>
      <c r="AZL78" s="6"/>
      <c r="AZM78" s="6"/>
      <c r="AZN78" s="6"/>
      <c r="AZO78" s="6"/>
      <c r="AZP78" s="6"/>
      <c r="AZQ78" s="6"/>
      <c r="AZR78" s="6"/>
      <c r="AZS78" s="6"/>
      <c r="AZT78" s="6"/>
      <c r="AZU78" s="6"/>
      <c r="AZV78" s="6"/>
      <c r="AZW78" s="6"/>
      <c r="AZX78" s="6"/>
      <c r="AZY78" s="6"/>
      <c r="AZZ78" s="6"/>
      <c r="BAA78" s="6"/>
      <c r="BAB78" s="6"/>
      <c r="BAC78" s="6"/>
      <c r="BAD78" s="6"/>
      <c r="BAE78" s="6"/>
      <c r="BAF78" s="6"/>
      <c r="BAG78" s="6"/>
      <c r="BAH78" s="6"/>
      <c r="BAI78" s="6"/>
      <c r="BAJ78" s="6"/>
      <c r="BAK78" s="6"/>
      <c r="BAL78" s="6"/>
      <c r="BAM78" s="6"/>
      <c r="BAN78" s="6"/>
      <c r="BAO78" s="6"/>
      <c r="BAP78" s="6"/>
      <c r="BAQ78" s="6"/>
      <c r="BAR78" s="6"/>
      <c r="BAS78" s="6"/>
      <c r="BAT78" s="6"/>
      <c r="BAU78" s="6"/>
      <c r="BAV78" s="6"/>
      <c r="BAW78" s="6"/>
      <c r="BAX78" s="6"/>
      <c r="BAY78" s="6"/>
      <c r="BAZ78" s="6"/>
      <c r="BBA78" s="6"/>
      <c r="BBB78" s="6"/>
      <c r="BBC78" s="6"/>
      <c r="BBD78" s="6"/>
      <c r="BBE78" s="6"/>
      <c r="BBF78" s="6"/>
      <c r="BBG78" s="6"/>
      <c r="BBH78" s="6"/>
      <c r="BBI78" s="6"/>
      <c r="BBJ78" s="6"/>
      <c r="BBK78" s="6"/>
      <c r="BBL78" s="6"/>
      <c r="BBM78" s="6"/>
      <c r="BBN78" s="6"/>
      <c r="BBO78" s="6"/>
      <c r="BBP78" s="6"/>
      <c r="BBQ78" s="6"/>
      <c r="BBR78" s="6"/>
      <c r="BBS78" s="6"/>
      <c r="BBT78" s="6"/>
      <c r="BBU78" s="6"/>
      <c r="BBV78" s="6"/>
      <c r="BBW78" s="6"/>
      <c r="BBX78" s="6"/>
      <c r="BBY78" s="6"/>
      <c r="BBZ78" s="6"/>
      <c r="BCA78" s="6"/>
      <c r="BCB78" s="6"/>
      <c r="BCC78" s="6"/>
      <c r="BCD78" s="6"/>
      <c r="BCE78" s="6"/>
      <c r="BCF78" s="6"/>
      <c r="BCG78" s="6"/>
      <c r="BCH78" s="6"/>
      <c r="BCI78" s="6"/>
      <c r="BCJ78" s="6"/>
      <c r="BCK78" s="6"/>
      <c r="BCL78" s="6"/>
      <c r="BCM78" s="6"/>
      <c r="BCN78" s="6"/>
      <c r="BCO78" s="6"/>
      <c r="BCP78" s="6"/>
      <c r="BCQ78" s="6"/>
      <c r="BCR78" s="6"/>
      <c r="BCS78" s="6"/>
      <c r="BCT78" s="6"/>
      <c r="BCU78" s="6"/>
      <c r="BCV78" s="6"/>
      <c r="BCW78" s="6"/>
      <c r="BCX78" s="6"/>
      <c r="BCY78" s="6"/>
      <c r="BCZ78" s="6"/>
      <c r="BDA78" s="6"/>
      <c r="BDB78" s="6"/>
      <c r="BDC78" s="6"/>
      <c r="BDD78" s="6"/>
      <c r="BDE78" s="6"/>
      <c r="BDF78" s="6"/>
      <c r="BDG78" s="6"/>
      <c r="BDH78" s="6"/>
      <c r="BDI78" s="6"/>
      <c r="BDJ78" s="6"/>
      <c r="BDK78" s="6"/>
      <c r="BDL78" s="6"/>
      <c r="BDM78" s="6"/>
      <c r="BDN78" s="6"/>
      <c r="BDO78" s="6"/>
      <c r="BDP78" s="6"/>
      <c r="BDQ78" s="6"/>
      <c r="BDR78" s="6"/>
      <c r="BDS78" s="6"/>
      <c r="BDT78" s="6"/>
      <c r="BDU78" s="6"/>
      <c r="BDV78" s="6"/>
      <c r="BDW78" s="6"/>
      <c r="BDX78" s="6"/>
      <c r="BDY78" s="6"/>
      <c r="BDZ78" s="6"/>
      <c r="BEA78" s="6"/>
      <c r="BEB78" s="6"/>
      <c r="BEC78" s="6"/>
      <c r="BED78" s="6"/>
      <c r="BEE78" s="6"/>
      <c r="BEF78" s="6"/>
      <c r="BEG78" s="6"/>
      <c r="BEH78" s="6"/>
      <c r="BEI78" s="6"/>
      <c r="BEJ78" s="6"/>
      <c r="BEK78" s="6"/>
      <c r="BEL78" s="6"/>
      <c r="BEM78" s="6"/>
      <c r="BEN78" s="6"/>
      <c r="BEO78" s="6"/>
      <c r="BEP78" s="6"/>
      <c r="BEQ78" s="6"/>
      <c r="BER78" s="6"/>
      <c r="BES78" s="6"/>
      <c r="BET78" s="6"/>
      <c r="BEU78" s="6"/>
      <c r="BEV78" s="6"/>
      <c r="BEW78" s="6"/>
      <c r="BEX78" s="6"/>
    </row>
    <row r="79" spans="1:1506" ht="9.9499999999999993" hidden="1" customHeight="1" x14ac:dyDescent="0.2">
      <c r="G79" s="2">
        <f>IF(F83=1,(G94),(0))</f>
        <v>2500</v>
      </c>
    </row>
    <row r="80" spans="1:1506" ht="20.100000000000001" hidden="1" customHeight="1" x14ac:dyDescent="0.2">
      <c r="F80" s="2">
        <f>IF(F82=1,(1),IF(F82=2,(2),(IF(F82=3,(1)))))</f>
        <v>1</v>
      </c>
      <c r="G80" s="2">
        <f>IF(F83=3,(G94),(0))</f>
        <v>0</v>
      </c>
    </row>
    <row r="81" spans="5:37" ht="20.100000000000001" hidden="1" customHeight="1" x14ac:dyDescent="0.2">
      <c r="P81" s="2">
        <v>1</v>
      </c>
      <c r="Q81" s="2" t="s">
        <v>88</v>
      </c>
      <c r="R81" s="2">
        <v>1</v>
      </c>
      <c r="S81" s="2">
        <v>0</v>
      </c>
      <c r="AF81" s="2">
        <v>1</v>
      </c>
      <c r="AG81" s="2" t="s">
        <v>83</v>
      </c>
    </row>
    <row r="82" spans="5:37" ht="20.100000000000001" hidden="1" customHeight="1" x14ac:dyDescent="0.2">
      <c r="E82" s="2" t="s">
        <v>23</v>
      </c>
      <c r="F82" s="10">
        <v>1</v>
      </c>
      <c r="G82" s="2">
        <v>1</v>
      </c>
      <c r="H82" s="8" t="s">
        <v>29</v>
      </c>
      <c r="P82" s="2">
        <v>2</v>
      </c>
      <c r="Q82" s="2" t="s">
        <v>89</v>
      </c>
      <c r="R82" s="2">
        <v>2</v>
      </c>
      <c r="S82" s="2">
        <v>0</v>
      </c>
      <c r="X82" s="158">
        <f>J18-C18</f>
        <v>485</v>
      </c>
      <c r="Y82" s="158"/>
      <c r="Z82" s="158"/>
      <c r="AF82" s="2">
        <v>2</v>
      </c>
      <c r="AG82" s="2" t="s">
        <v>84</v>
      </c>
    </row>
    <row r="83" spans="5:37" ht="20.100000000000001" hidden="1" customHeight="1" x14ac:dyDescent="0.2">
      <c r="E83" s="2" t="s">
        <v>22</v>
      </c>
      <c r="F83" s="10">
        <v>1</v>
      </c>
      <c r="G83" s="2">
        <v>2</v>
      </c>
      <c r="H83" s="8" t="s">
        <v>59</v>
      </c>
      <c r="P83" s="2">
        <v>3</v>
      </c>
      <c r="Q83" s="2" t="s">
        <v>90</v>
      </c>
      <c r="R83" s="2">
        <v>3</v>
      </c>
      <c r="S83" s="2">
        <v>0</v>
      </c>
      <c r="X83" s="158">
        <f>X82/365</f>
        <v>1.3287671232876712</v>
      </c>
      <c r="Y83" s="158"/>
      <c r="Z83" s="158"/>
      <c r="AF83" s="10">
        <v>1</v>
      </c>
      <c r="AG83" s="159">
        <f>IF(AF83=1,(50%),(40%))</f>
        <v>0.5</v>
      </c>
      <c r="AH83" s="159"/>
      <c r="AI83" s="159"/>
      <c r="AJ83" s="159"/>
      <c r="AK83" s="159"/>
    </row>
    <row r="84" spans="5:37" ht="20.100000000000001" hidden="1" customHeight="1" x14ac:dyDescent="0.2">
      <c r="G84" s="2">
        <v>3</v>
      </c>
      <c r="H84" s="8" t="s">
        <v>58</v>
      </c>
      <c r="P84" s="2">
        <v>4</v>
      </c>
      <c r="Q84" s="2" t="s">
        <v>91</v>
      </c>
      <c r="R84" s="2">
        <v>4</v>
      </c>
      <c r="S84" s="2">
        <v>0</v>
      </c>
      <c r="X84" s="158">
        <f>ROUNDDOWN(X83,0)</f>
        <v>1</v>
      </c>
      <c r="Y84" s="158"/>
      <c r="Z84" s="158"/>
    </row>
    <row r="85" spans="5:37" ht="20.100000000000001" hidden="1" customHeight="1" x14ac:dyDescent="0.2">
      <c r="F85" s="17">
        <f>IF(F83=2,(J18-30),(J18))</f>
        <v>43951</v>
      </c>
      <c r="G85" s="2">
        <v>1</v>
      </c>
      <c r="H85" s="2" t="s">
        <v>24</v>
      </c>
      <c r="P85" s="2">
        <v>5</v>
      </c>
      <c r="Q85" s="2" t="s">
        <v>92</v>
      </c>
      <c r="R85" s="2">
        <v>5</v>
      </c>
      <c r="S85" s="2">
        <v>0</v>
      </c>
      <c r="X85" s="158">
        <f>VALUE(X84)</f>
        <v>1</v>
      </c>
      <c r="Y85" s="158"/>
      <c r="Z85" s="158"/>
    </row>
    <row r="86" spans="5:37" ht="20.100000000000001" hidden="1" customHeight="1" x14ac:dyDescent="0.2">
      <c r="G86" s="2">
        <v>2</v>
      </c>
      <c r="H86" s="2" t="s">
        <v>25</v>
      </c>
      <c r="P86" s="2">
        <v>6</v>
      </c>
      <c r="Q86" s="2" t="s">
        <v>93</v>
      </c>
      <c r="R86" s="2">
        <v>6</v>
      </c>
      <c r="S86" s="2">
        <v>3</v>
      </c>
      <c r="X86" s="158">
        <f>X85*3</f>
        <v>3</v>
      </c>
      <c r="Y86" s="158"/>
      <c r="Z86" s="158"/>
    </row>
    <row r="87" spans="5:37" ht="20.100000000000001" hidden="1" customHeight="1" x14ac:dyDescent="0.2">
      <c r="G87" s="2">
        <v>3</v>
      </c>
      <c r="H87" s="2" t="s">
        <v>79</v>
      </c>
      <c r="P87" s="2">
        <v>7</v>
      </c>
      <c r="Q87" s="2" t="s">
        <v>94</v>
      </c>
      <c r="R87" s="2">
        <v>7</v>
      </c>
      <c r="S87" s="2">
        <v>3</v>
      </c>
      <c r="X87" s="158">
        <f>(Q18/J98)</f>
        <v>83.333333333333329</v>
      </c>
      <c r="Y87" s="158"/>
      <c r="Z87" s="158"/>
    </row>
    <row r="88" spans="5:37" ht="20.100000000000001" hidden="1" customHeight="1" x14ac:dyDescent="0.2">
      <c r="F88" s="2">
        <f>IF(F82=1,(1),(0))</f>
        <v>1</v>
      </c>
      <c r="H88" s="2">
        <f>IF(H89=1,(-1),(IF(H89=7,(-1),(0))))</f>
        <v>-1</v>
      </c>
      <c r="I88" s="10">
        <v>2</v>
      </c>
      <c r="O88" s="2">
        <f>WEEKDAY(G90)</f>
        <v>6</v>
      </c>
      <c r="P88" s="2">
        <f>(O88)</f>
        <v>6</v>
      </c>
      <c r="Q88" s="2" t="str">
        <f>VLOOKUP(P88,P81:Q87,2,FALSE)</f>
        <v>(SEX.)</v>
      </c>
      <c r="R88" s="2">
        <v>8</v>
      </c>
      <c r="S88" s="2">
        <v>3</v>
      </c>
      <c r="X88" s="158">
        <f>IF(G79&gt;0,(X87*X86),(0))</f>
        <v>250</v>
      </c>
      <c r="Y88" s="158"/>
      <c r="Z88" s="158"/>
    </row>
    <row r="89" spans="5:37" ht="20.100000000000001" hidden="1" customHeight="1" x14ac:dyDescent="0.2">
      <c r="F89" s="2">
        <f>IF(F83=1,(1),(0))</f>
        <v>1</v>
      </c>
      <c r="G89" s="15">
        <f>(J18)</f>
        <v>43951</v>
      </c>
      <c r="H89" s="2">
        <f>WEEKDAY(F91)</f>
        <v>7</v>
      </c>
      <c r="O89" s="2">
        <f>DAY(G90)</f>
        <v>8</v>
      </c>
      <c r="P89" s="2" t="str">
        <f>IF(O89&lt;10,(CONCATENATE("0",O89)),(O89))</f>
        <v>08</v>
      </c>
      <c r="R89" s="2">
        <v>9</v>
      </c>
      <c r="S89" s="2">
        <v>3</v>
      </c>
    </row>
    <row r="90" spans="5:37" ht="20.100000000000001" hidden="1" customHeight="1" x14ac:dyDescent="0.2">
      <c r="F90" s="2">
        <f>SUM(F88:F89)</f>
        <v>2</v>
      </c>
      <c r="G90" s="15">
        <f>(F91+H88)</f>
        <v>43959</v>
      </c>
      <c r="H90" s="2">
        <f>(J18-C18)</f>
        <v>485</v>
      </c>
      <c r="O90" s="2">
        <f>MONTH(G90)</f>
        <v>5</v>
      </c>
      <c r="P90" s="2" t="str">
        <f>IF(O90&lt;10,(CONCATENATE("0",O90)),(O90))</f>
        <v>05</v>
      </c>
      <c r="R90" s="2">
        <v>10</v>
      </c>
      <c r="S90" s="2">
        <v>3</v>
      </c>
    </row>
    <row r="91" spans="5:37" ht="20.100000000000001" hidden="1" customHeight="1" x14ac:dyDescent="0.2">
      <c r="F91" s="17">
        <f>IF(F83=2,(G89+1),(G89+9))</f>
        <v>43960</v>
      </c>
      <c r="G91" s="2">
        <f>IF(H91&gt;99,(3),(2))</f>
        <v>2</v>
      </c>
      <c r="H91" s="2">
        <f>(H90/30)</f>
        <v>16.166666666666668</v>
      </c>
      <c r="O91" s="2">
        <f>YEAR(G90)</f>
        <v>2020</v>
      </c>
      <c r="R91" s="2">
        <v>11</v>
      </c>
      <c r="S91" s="2">
        <v>3</v>
      </c>
    </row>
    <row r="92" spans="5:37" ht="20.100000000000001" hidden="1" customHeight="1" x14ac:dyDescent="0.2">
      <c r="G92" s="2" t="str">
        <f>MID(H91,1,G91)</f>
        <v>16</v>
      </c>
      <c r="H92" s="2">
        <f>VALUE(G92)</f>
        <v>16</v>
      </c>
      <c r="O92" s="17">
        <f>DATE(O91,P90,P89)</f>
        <v>43959</v>
      </c>
      <c r="R92" s="2">
        <v>12</v>
      </c>
      <c r="S92" s="2">
        <v>4</v>
      </c>
    </row>
    <row r="93" spans="5:37" ht="20.100000000000001" hidden="1" customHeight="1" x14ac:dyDescent="0.2">
      <c r="H93" s="2">
        <f>IF(H92&gt;25,(25),(H92))</f>
        <v>16</v>
      </c>
      <c r="O93" s="2">
        <f>MONTH(C18)</f>
        <v>1</v>
      </c>
      <c r="P93" s="2">
        <f>MONTH(J18)</f>
        <v>4</v>
      </c>
      <c r="R93" s="2">
        <v>13</v>
      </c>
      <c r="S93" s="2">
        <v>4</v>
      </c>
    </row>
    <row r="94" spans="5:37" ht="20.100000000000001" hidden="1" customHeight="1" x14ac:dyDescent="0.2">
      <c r="G94" s="16">
        <f>SUM(Q18:AD18)</f>
        <v>2500</v>
      </c>
      <c r="O94" s="2">
        <f>YEAR(C18)</f>
        <v>2019</v>
      </c>
      <c r="P94" s="2">
        <f>YEAR(J18)</f>
        <v>2020</v>
      </c>
      <c r="R94" s="2">
        <v>14</v>
      </c>
      <c r="S94" s="2">
        <v>4</v>
      </c>
    </row>
    <row r="95" spans="5:37" ht="20.100000000000001" hidden="1" customHeight="1" x14ac:dyDescent="0.2">
      <c r="O95" s="2" t="str">
        <f>CONCATENATE(O93,O94)</f>
        <v>12019</v>
      </c>
      <c r="P95" s="2" t="str">
        <f>CONCATENATE(P93,P94)</f>
        <v>42020</v>
      </c>
      <c r="R95" s="2">
        <v>15</v>
      </c>
      <c r="S95" s="2">
        <v>4</v>
      </c>
    </row>
    <row r="96" spans="5:37" ht="20.100000000000001" hidden="1" customHeight="1" x14ac:dyDescent="0.2">
      <c r="F96" s="2">
        <v>1</v>
      </c>
      <c r="G96" s="15">
        <f>(C18)</f>
        <v>43466</v>
      </c>
      <c r="N96" s="2">
        <f>(P97-O97)</f>
        <v>29</v>
      </c>
      <c r="O96" s="2">
        <f>IF(O95=P95,(2),(1))</f>
        <v>1</v>
      </c>
      <c r="R96" s="2">
        <v>16</v>
      </c>
      <c r="S96" s="2">
        <v>4</v>
      </c>
    </row>
    <row r="97" spans="5:24" ht="20.100000000000001" hidden="1" customHeight="1" x14ac:dyDescent="0.2">
      <c r="F97" s="2">
        <v>2</v>
      </c>
      <c r="G97" s="17">
        <f>DATE(G98,1,1)</f>
        <v>43831</v>
      </c>
      <c r="O97" s="2">
        <f>DAY(C18)</f>
        <v>1</v>
      </c>
      <c r="P97" s="2">
        <f>DAY(J18)</f>
        <v>30</v>
      </c>
      <c r="R97" s="2">
        <v>17</v>
      </c>
      <c r="S97" s="2">
        <v>4</v>
      </c>
    </row>
    <row r="98" spans="5:24" ht="20.100000000000001" hidden="1" customHeight="1" x14ac:dyDescent="0.2">
      <c r="F98" s="2">
        <f>YEAR(C18)</f>
        <v>2019</v>
      </c>
      <c r="G98" s="2">
        <f>YEAR(J18)</f>
        <v>2020</v>
      </c>
      <c r="I98" s="2">
        <f>MONTH(J18)</f>
        <v>4</v>
      </c>
      <c r="J98" s="2">
        <v>30</v>
      </c>
      <c r="R98" s="2">
        <v>18</v>
      </c>
      <c r="S98" s="2">
        <v>4</v>
      </c>
    </row>
    <row r="99" spans="5:24" ht="20.100000000000001" hidden="1" customHeight="1" x14ac:dyDescent="0.2">
      <c r="F99" s="2">
        <f>IF(F98=G98,(1),(2))</f>
        <v>2</v>
      </c>
      <c r="G99" s="15">
        <f>VLOOKUP(F99,F96:G97,2,FALSE)</f>
        <v>43831</v>
      </c>
      <c r="I99" s="2">
        <v>1</v>
      </c>
      <c r="J99" s="2">
        <v>31</v>
      </c>
      <c r="P99" s="2">
        <f>IF(E100&lt;O100,(1),IF(E100&lt;O101,(2),(IF(E100&lt;O102,(3),(IF(E100&lt;O103,(4),(IF(E100&gt;O104,(5)))))))))</f>
        <v>2</v>
      </c>
      <c r="Q99" s="2">
        <f>IF(E101&lt;O100,(1),IF(E101&lt;O101,(2),(IF(E101&lt;O102,(3),(IF(E101&lt;O103,(4),(IF(E101&gt;O104,(5)))))))))</f>
        <v>1</v>
      </c>
      <c r="R99" s="2">
        <v>19</v>
      </c>
      <c r="S99" s="2">
        <v>4</v>
      </c>
      <c r="T99" s="2" t="s">
        <v>60</v>
      </c>
      <c r="U99" s="2" t="s">
        <v>61</v>
      </c>
      <c r="V99" s="2" t="s">
        <v>62</v>
      </c>
    </row>
    <row r="100" spans="5:24" ht="20.100000000000001" hidden="1" customHeight="1" x14ac:dyDescent="0.2">
      <c r="E100" s="20">
        <f>SUM(P24,P32,P33,P35,P36)</f>
        <v>2500</v>
      </c>
      <c r="F100" s="7">
        <f>IF(E100&gt;O104,((O104*Q106)-TABELAS!I10),(E100*Q106))</f>
        <v>225</v>
      </c>
      <c r="G100" s="2">
        <f>IF(O96=2,(N96),(DAY(J18)))</f>
        <v>30</v>
      </c>
      <c r="I100" s="2">
        <v>2</v>
      </c>
      <c r="J100" s="2">
        <v>28</v>
      </c>
      <c r="N100" s="21">
        <v>1</v>
      </c>
      <c r="O100" s="1">
        <f>(TABELAS!D8)</f>
        <v>1320.01</v>
      </c>
      <c r="Q100" s="22">
        <f>(TABELAS!H7)</f>
        <v>7.4999999999999997E-2</v>
      </c>
      <c r="R100" s="2">
        <v>20</v>
      </c>
      <c r="S100" s="2">
        <v>4</v>
      </c>
      <c r="T100" s="20">
        <f>P24</f>
        <v>2500</v>
      </c>
      <c r="V100" s="44"/>
    </row>
    <row r="101" spans="5:24" ht="20.100000000000001" hidden="1" customHeight="1" x14ac:dyDescent="0.2">
      <c r="E101" s="20">
        <f>SUM(P25+P26)</f>
        <v>833.33333333333337</v>
      </c>
      <c r="F101" s="7">
        <f>IF(E101&gt;O104,((O104*Q107)-TABELAS!I10),(E101*Q107))</f>
        <v>62.5</v>
      </c>
      <c r="G101" s="2">
        <f>IF(G100&lt;15,(1),(0))</f>
        <v>0</v>
      </c>
      <c r="I101" s="2">
        <v>3</v>
      </c>
      <c r="J101" s="2">
        <v>31</v>
      </c>
      <c r="N101" s="21">
        <v>2</v>
      </c>
      <c r="O101" s="1">
        <f>(TABELAS!D9)</f>
        <v>2571.3000000000002</v>
      </c>
      <c r="Q101" s="22">
        <f>(TABELAS!H8)</f>
        <v>0.09</v>
      </c>
      <c r="R101" s="2">
        <v>21</v>
      </c>
      <c r="S101" s="2">
        <v>4</v>
      </c>
      <c r="U101" s="20">
        <f>P25</f>
        <v>833.33333333333337</v>
      </c>
      <c r="V101" s="44"/>
    </row>
    <row r="102" spans="5:24" ht="20.100000000000001" hidden="1" customHeight="1" x14ac:dyDescent="0.2">
      <c r="E102" s="20">
        <f>E103-AH29</f>
        <v>8263.8888888888887</v>
      </c>
      <c r="F102" s="2">
        <f>MONTH(G99)</f>
        <v>1</v>
      </c>
      <c r="G102" s="2">
        <f>(I98-G101)</f>
        <v>4</v>
      </c>
      <c r="I102" s="2">
        <v>4</v>
      </c>
      <c r="J102" s="2">
        <v>30</v>
      </c>
      <c r="N102" s="21">
        <v>3</v>
      </c>
      <c r="O102" s="1">
        <f>(TABELAS!D10)</f>
        <v>3856.9500000000003</v>
      </c>
      <c r="Q102" s="22">
        <f>(TABELAS!H9)</f>
        <v>0.12</v>
      </c>
      <c r="R102" s="2">
        <v>22</v>
      </c>
      <c r="S102" s="2">
        <v>4</v>
      </c>
      <c r="U102" s="20">
        <f>P26</f>
        <v>0</v>
      </c>
      <c r="V102" s="44"/>
    </row>
    <row r="103" spans="5:24" ht="20.100000000000001" hidden="1" customHeight="1" x14ac:dyDescent="0.2">
      <c r="E103" s="20">
        <f>SUM(P24,P25,P26,P27,P28,P29,P30,P31,P33,P32,P35,P36)</f>
        <v>8263.8888888888887</v>
      </c>
      <c r="G103" s="2">
        <f>(G102-F102)+1</f>
        <v>4</v>
      </c>
      <c r="I103" s="2">
        <v>5</v>
      </c>
      <c r="J103" s="2">
        <v>31</v>
      </c>
      <c r="N103" s="21">
        <v>4</v>
      </c>
      <c r="O103" s="1">
        <f>(TABELAS!D11)</f>
        <v>7507.5</v>
      </c>
      <c r="Q103" s="22">
        <f>(TABELAS!H10)</f>
        <v>0.14000000000000001</v>
      </c>
      <c r="R103" s="2">
        <v>23</v>
      </c>
      <c r="S103" s="2">
        <v>4</v>
      </c>
      <c r="U103" s="20">
        <f>P27</f>
        <v>208.33333333333334</v>
      </c>
      <c r="V103" s="44"/>
    </row>
    <row r="104" spans="5:24" ht="20.100000000000001" hidden="1" customHeight="1" x14ac:dyDescent="0.2">
      <c r="E104" s="2">
        <f>IF(E105&lt;=15,(1),(VLOOKUP(E106,I99:J110,2,FALSE)))</f>
        <v>1</v>
      </c>
      <c r="F104" s="17">
        <f>DATE(E107,E106,E104)</f>
        <v>43831</v>
      </c>
      <c r="G104" s="17">
        <f>DATE(E110-1,E111,E112)</f>
        <v>43466</v>
      </c>
      <c r="H104" s="2">
        <f>IF(G104&lt;365,(0),(1))</f>
        <v>1</v>
      </c>
      <c r="I104" s="2">
        <v>6</v>
      </c>
      <c r="J104" s="2">
        <v>30</v>
      </c>
      <c r="N104" s="21">
        <v>5</v>
      </c>
      <c r="O104" s="1">
        <f>(TABELAS!D11)-0.01</f>
        <v>7507.49</v>
      </c>
      <c r="Q104" s="22">
        <f>(TABELAS!H10)</f>
        <v>0.14000000000000001</v>
      </c>
      <c r="R104" s="2">
        <v>24</v>
      </c>
      <c r="S104" s="2">
        <v>5</v>
      </c>
      <c r="V104" s="149">
        <f>P28</f>
        <v>2500</v>
      </c>
      <c r="W104" s="149"/>
      <c r="X104" s="149"/>
    </row>
    <row r="105" spans="5:24" ht="20.100000000000001" hidden="1" customHeight="1" x14ac:dyDescent="0.2">
      <c r="E105" s="2">
        <f>DAY(F105)</f>
        <v>1</v>
      </c>
      <c r="F105" s="15">
        <f>IF(J18-C18&gt;365,(F109),(C18))</f>
        <v>43831</v>
      </c>
      <c r="G105" s="17">
        <f>DATE(G107,F107,G106)</f>
        <v>43951</v>
      </c>
      <c r="H105" s="2">
        <f>IF(G105&gt;F105,(1),(0))</f>
        <v>1</v>
      </c>
      <c r="I105" s="2">
        <v>7</v>
      </c>
      <c r="J105" s="2">
        <v>31</v>
      </c>
      <c r="Q105" s="23"/>
      <c r="R105" s="2">
        <v>25</v>
      </c>
      <c r="S105" s="2">
        <v>5</v>
      </c>
      <c r="V105" s="149">
        <f>P29</f>
        <v>833.33333333333337</v>
      </c>
      <c r="W105" s="149"/>
      <c r="X105" s="149"/>
    </row>
    <row r="106" spans="5:24" ht="9.9499999999999993" hidden="1" customHeight="1" x14ac:dyDescent="0.2">
      <c r="E106" s="2">
        <f>MONTH(F105)</f>
        <v>1</v>
      </c>
      <c r="F106" s="2">
        <f>DAY(J18)</f>
        <v>30</v>
      </c>
      <c r="G106" s="2">
        <f>IF(F106&gt;=15,(VLOOKUP(F107,I99:J110,2,FALSE)),(1))</f>
        <v>30</v>
      </c>
      <c r="I106" s="2">
        <v>8</v>
      </c>
      <c r="J106" s="2">
        <v>31</v>
      </c>
      <c r="Q106" s="22">
        <f>VLOOKUP(P99,N100:Q104,4,FALSE)</f>
        <v>0.09</v>
      </c>
      <c r="R106" s="2">
        <v>0</v>
      </c>
      <c r="S106" s="2">
        <v>0</v>
      </c>
      <c r="V106" s="149">
        <f>P30</f>
        <v>208.33333333333334</v>
      </c>
      <c r="W106" s="149"/>
      <c r="X106" s="149"/>
    </row>
    <row r="107" spans="5:24" ht="9.9499999999999993" hidden="1" customHeight="1" x14ac:dyDescent="0.2">
      <c r="E107" s="2">
        <f>YEAR(F105)</f>
        <v>2020</v>
      </c>
      <c r="F107" s="2">
        <f>MONTH(J18)</f>
        <v>4</v>
      </c>
      <c r="G107" s="24">
        <f>YEAR(J18)</f>
        <v>2020</v>
      </c>
      <c r="I107" s="2">
        <v>9</v>
      </c>
      <c r="J107" s="2">
        <v>30</v>
      </c>
      <c r="Q107" s="22">
        <f>VLOOKUP(Q99,N100:Q104,4,FALSE)</f>
        <v>7.4999999999999997E-2</v>
      </c>
      <c r="V107" s="149">
        <f>P31</f>
        <v>1180.5555555555557</v>
      </c>
      <c r="W107" s="149"/>
      <c r="X107" s="149"/>
    </row>
    <row r="108" spans="5:24" ht="9.9499999999999993" hidden="1" customHeight="1" x14ac:dyDescent="0.2">
      <c r="F108" s="2">
        <f>IF(F109&gt;G105,(1),(0))</f>
        <v>0</v>
      </c>
      <c r="G108" s="2">
        <f>(G105-F105)</f>
        <v>120</v>
      </c>
      <c r="I108" s="2">
        <v>10</v>
      </c>
      <c r="J108" s="2">
        <v>31</v>
      </c>
      <c r="N108" s="2">
        <v>0</v>
      </c>
      <c r="O108" s="48"/>
      <c r="P108" s="46"/>
      <c r="Q108" s="46"/>
      <c r="R108" s="46">
        <v>0</v>
      </c>
      <c r="T108" s="20">
        <f>P32</f>
        <v>0</v>
      </c>
      <c r="V108" s="44"/>
    </row>
    <row r="109" spans="5:24" ht="9.9499999999999993" hidden="1" customHeight="1" x14ac:dyDescent="0.2">
      <c r="E109" s="2">
        <f>YEAR(J18)</f>
        <v>2020</v>
      </c>
      <c r="F109" s="17">
        <f>DATE(E110,E111,E112)</f>
        <v>43831</v>
      </c>
      <c r="I109" s="2">
        <v>11</v>
      </c>
      <c r="J109" s="2">
        <v>30</v>
      </c>
      <c r="N109" s="2">
        <v>1</v>
      </c>
      <c r="O109" s="49">
        <f>(TABELAS!E16)</f>
        <v>2112</v>
      </c>
      <c r="P109" s="46"/>
      <c r="Q109" s="47">
        <f>(TABELAS!G16)</f>
        <v>0</v>
      </c>
      <c r="R109" s="46">
        <v>0</v>
      </c>
      <c r="T109" s="20">
        <f>P33</f>
        <v>0</v>
      </c>
      <c r="V109" s="44"/>
    </row>
    <row r="110" spans="5:24" ht="9.9499999999999993" hidden="1" customHeight="1" x14ac:dyDescent="0.2">
      <c r="E110" s="2">
        <f>(E109)</f>
        <v>2020</v>
      </c>
      <c r="F110" s="2">
        <f>IF(G110&lt;=14,(0),(IF(G110&lt;=30,(30),(G110))))</f>
        <v>120</v>
      </c>
      <c r="G110" s="2">
        <f>IF(F108=1,(G105-G104),(G105-F105))</f>
        <v>120</v>
      </c>
      <c r="H110" s="2">
        <f>(H111-1)</f>
        <v>1</v>
      </c>
      <c r="I110" s="2">
        <v>12</v>
      </c>
      <c r="J110" s="2">
        <v>31</v>
      </c>
      <c r="N110" s="2">
        <v>2</v>
      </c>
      <c r="O110" s="49">
        <f>(TABELAS!E17)</f>
        <v>2826.65</v>
      </c>
      <c r="P110" s="46"/>
      <c r="Q110" s="47">
        <f>(TABELAS!G17)</f>
        <v>7.4999999999999997E-2</v>
      </c>
      <c r="R110" s="46">
        <f>(TABELAS!H17)</f>
        <v>158.4</v>
      </c>
      <c r="T110" s="20">
        <f>P34</f>
        <v>2750</v>
      </c>
      <c r="V110" s="44"/>
    </row>
    <row r="111" spans="5:24" ht="9.9499999999999993" hidden="1" customHeight="1" x14ac:dyDescent="0.2">
      <c r="E111" s="2">
        <f>MONTH(C18)</f>
        <v>1</v>
      </c>
      <c r="F111" s="7">
        <f>(F110/30)</f>
        <v>4</v>
      </c>
      <c r="G111" s="2">
        <f>IF(F111&lt;=1,(1.01),(F111))</f>
        <v>4</v>
      </c>
      <c r="H111" s="2">
        <f>SEARCH(",",E113,1)</f>
        <v>2</v>
      </c>
      <c r="N111" s="2">
        <v>3</v>
      </c>
      <c r="O111" s="49">
        <f>(TABELAS!E18)</f>
        <v>3751.05</v>
      </c>
      <c r="P111" s="46"/>
      <c r="Q111" s="47">
        <f>(TABELAS!G18)</f>
        <v>0.15</v>
      </c>
      <c r="R111" s="46">
        <f>(TABELAS!H18)</f>
        <v>370.39875000000001</v>
      </c>
      <c r="T111" s="20">
        <f>P35</f>
        <v>0</v>
      </c>
      <c r="V111" s="44"/>
    </row>
    <row r="112" spans="5:24" ht="9.9499999999999993" hidden="1" customHeight="1" x14ac:dyDescent="0.2">
      <c r="E112" s="2">
        <f>DAY(C18)</f>
        <v>1</v>
      </c>
      <c r="F112" s="2" t="str">
        <f>MID(F111,1,2)</f>
        <v>4</v>
      </c>
      <c r="G112" s="2" t="str">
        <f>MID(F111,1,H110)</f>
        <v>4</v>
      </c>
      <c r="H112" s="2">
        <f>VALUE(G112)</f>
        <v>4</v>
      </c>
      <c r="N112" s="2">
        <v>4</v>
      </c>
      <c r="O112" s="49">
        <f>(TABELAS!E19)</f>
        <v>4664.68</v>
      </c>
      <c r="P112" s="46"/>
      <c r="Q112" s="47">
        <f>(TABELAS!G19)</f>
        <v>0.22500000000000001</v>
      </c>
      <c r="R112" s="46">
        <f>(TABELAS!H19)</f>
        <v>651.72750000000008</v>
      </c>
      <c r="T112" s="20">
        <f>P36</f>
        <v>0</v>
      </c>
      <c r="V112" s="44"/>
    </row>
    <row r="113" spans="5:30" ht="9.9499999999999993" hidden="1" customHeight="1" x14ac:dyDescent="0.2">
      <c r="E113" s="7">
        <f>(F111+0.000001)</f>
        <v>4.0000010000000001</v>
      </c>
      <c r="F113" s="24"/>
      <c r="G113" s="24">
        <f>(G112+G114)</f>
        <v>5</v>
      </c>
      <c r="H113" s="2">
        <f>(H111)+1</f>
        <v>3</v>
      </c>
      <c r="N113" s="2">
        <v>5</v>
      </c>
      <c r="O113" s="49">
        <f>(TABELAS!E20)</f>
        <v>4664.6900000000005</v>
      </c>
      <c r="P113" s="46"/>
      <c r="Q113" s="47">
        <f>(TABELAS!G20)</f>
        <v>0.27500000000000002</v>
      </c>
      <c r="R113" s="46">
        <f>(TABELAS!H20)</f>
        <v>884.96150000000011</v>
      </c>
      <c r="T113" s="20">
        <f>P35</f>
        <v>0</v>
      </c>
      <c r="V113" s="44"/>
    </row>
    <row r="114" spans="5:30" ht="9.9499999999999993" hidden="1" customHeight="1" x14ac:dyDescent="0.2">
      <c r="F114" s="27">
        <f>(J21)</f>
        <v>0.5</v>
      </c>
      <c r="G114" s="2">
        <f>IF(H114&gt;50,(1),(0))</f>
        <v>1</v>
      </c>
      <c r="H114" s="2" t="str">
        <f>MID(F111,H113,2)</f>
        <v/>
      </c>
      <c r="P114" s="46"/>
      <c r="Q114" s="46"/>
      <c r="R114" s="46"/>
      <c r="V114" s="44"/>
    </row>
    <row r="115" spans="5:30" ht="9.9499999999999993" hidden="1" customHeight="1" x14ac:dyDescent="0.2">
      <c r="F115" s="25">
        <f>(Q18/220)</f>
        <v>11.363636363636363</v>
      </c>
      <c r="P115" s="46"/>
      <c r="Q115" s="46"/>
      <c r="R115" s="46"/>
      <c r="V115" s="44"/>
    </row>
    <row r="116" spans="5:30" ht="9.9499999999999993" hidden="1" customHeight="1" x14ac:dyDescent="0.2">
      <c r="F116" s="2">
        <f>(F115*F114)</f>
        <v>5.6818181818181817</v>
      </c>
      <c r="Q116" s="2" t="s">
        <v>35</v>
      </c>
      <c r="R116" s="25">
        <f>(TABELAS!F21*RESCISÃO!AI21)</f>
        <v>0</v>
      </c>
      <c r="T116" s="20" t="e">
        <f>#REF!</f>
        <v>#REF!</v>
      </c>
    </row>
    <row r="117" spans="5:30" ht="9.9499999999999993" hidden="1" customHeight="1" x14ac:dyDescent="0.2">
      <c r="H117" s="29">
        <v>4.1666666666666664E-2</v>
      </c>
      <c r="Q117" s="2" t="s">
        <v>36</v>
      </c>
      <c r="R117" s="25">
        <f>SUM(AH24:AL25)</f>
        <v>287.5</v>
      </c>
      <c r="T117" s="20">
        <f>AH28</f>
        <v>0</v>
      </c>
    </row>
    <row r="118" spans="5:30" ht="9.9499999999999993" hidden="1" customHeight="1" x14ac:dyDescent="0.2">
      <c r="F118" s="20">
        <f>SUM(F115+F116)</f>
        <v>17.045454545454547</v>
      </c>
      <c r="G118" s="2">
        <f>(F115*2)</f>
        <v>22.727272727272727</v>
      </c>
      <c r="H118" s="2">
        <f>VALUE(H117)</f>
        <v>4.1666666666666664E-2</v>
      </c>
      <c r="R118" s="25">
        <f>(R133-R116-R117)</f>
        <v>7976.3888888888887</v>
      </c>
      <c r="T118" s="20">
        <f>AH29</f>
        <v>0</v>
      </c>
    </row>
    <row r="119" spans="5:30" ht="9.9499999999999993" hidden="1" customHeight="1" x14ac:dyDescent="0.2">
      <c r="E119" s="2">
        <f>(L42*80%)</f>
        <v>0</v>
      </c>
      <c r="R119" s="25">
        <f>(R118*Q131)</f>
        <v>1196.4583333333333</v>
      </c>
    </row>
    <row r="120" spans="5:30" ht="9.9499999999999993" hidden="1" customHeight="1" x14ac:dyDescent="0.2">
      <c r="E120" s="24">
        <f>VALUE(N21)</f>
        <v>0</v>
      </c>
      <c r="F120" s="25">
        <f>(E120/H118)</f>
        <v>0</v>
      </c>
      <c r="G120" s="2">
        <f>(F118*F120)</f>
        <v>0</v>
      </c>
      <c r="M120" s="158">
        <f>IF(AE41&lt;TABELAS!E26,(AE41),(TABELAS!E26))</f>
        <v>1968.37</v>
      </c>
      <c r="N120" s="158"/>
      <c r="O120" s="158"/>
      <c r="P120" s="2">
        <f>(M120*TABELAS!G26)</f>
        <v>1574.6959999999999</v>
      </c>
      <c r="Q120" s="227">
        <f>SUM(P120:P121)</f>
        <v>1840.511</v>
      </c>
      <c r="R120" s="227"/>
      <c r="S120" s="284">
        <f>SUM(T100:T112)</f>
        <v>5250</v>
      </c>
      <c r="T120" s="284"/>
      <c r="U120" s="284"/>
      <c r="V120" s="285">
        <f>SUM(V100:V112)</f>
        <v>4722.2222222222226</v>
      </c>
      <c r="W120" s="285"/>
      <c r="X120" s="285"/>
      <c r="Y120" s="285"/>
      <c r="Z120" s="285"/>
      <c r="AB120" s="149">
        <f>SUM(U100:U112)</f>
        <v>1041.6666666666667</v>
      </c>
      <c r="AC120" s="149"/>
      <c r="AD120" s="149"/>
    </row>
    <row r="121" spans="5:30" ht="9.9499999999999993" hidden="1" customHeight="1" x14ac:dyDescent="0.2">
      <c r="E121" s="24">
        <f>VALUE(U21)</f>
        <v>0</v>
      </c>
      <c r="F121" s="25">
        <f>(E121/H118)</f>
        <v>0</v>
      </c>
      <c r="G121" s="2">
        <f>(F121*G118)</f>
        <v>0</v>
      </c>
      <c r="M121" s="158">
        <f>IF(M120=TABELAS!E26,(AE41-TABELAS!E26))</f>
        <v>531.63000000000011</v>
      </c>
      <c r="N121" s="158"/>
      <c r="O121" s="158"/>
      <c r="P121" s="2">
        <f>(M121*TABELAS!G27)</f>
        <v>265.81500000000005</v>
      </c>
      <c r="Q121" s="226">
        <f>TABELAS!G29</f>
        <v>1320</v>
      </c>
      <c r="R121" s="227"/>
      <c r="S121" s="158"/>
      <c r="T121" s="158"/>
      <c r="U121" s="158"/>
      <c r="V121" s="285">
        <f>SUM(V114:V118)+N133</f>
        <v>0</v>
      </c>
      <c r="W121" s="285"/>
      <c r="X121" s="285"/>
      <c r="Y121" s="285"/>
      <c r="Z121" s="285"/>
      <c r="AB121" s="149">
        <f>SUM(U114:U118)+N133</f>
        <v>0</v>
      </c>
      <c r="AC121" s="149"/>
      <c r="AD121" s="149"/>
    </row>
    <row r="122" spans="5:30" ht="9.9499999999999993" hidden="1" customHeight="1" x14ac:dyDescent="0.2">
      <c r="E122" s="2">
        <f>VALUE(AB21)</f>
        <v>0</v>
      </c>
      <c r="F122" s="2">
        <f>(E122/H118)</f>
        <v>0</v>
      </c>
      <c r="G122" s="2">
        <f>(F122*F115)</f>
        <v>0</v>
      </c>
      <c r="O122" s="2">
        <f>IF(AE41&gt;=TABELAS!E28,(2),(1))</f>
        <v>1</v>
      </c>
      <c r="P122" s="158">
        <f>IF(O122=1,(U135),(TABELAS!G28))</f>
        <v>1840.511</v>
      </c>
      <c r="Q122" s="158"/>
      <c r="S122" s="284">
        <f>S120-AH24-AH29</f>
        <v>5025</v>
      </c>
      <c r="T122" s="286"/>
      <c r="U122" s="286"/>
      <c r="V122" s="285">
        <f>V120-V121</f>
        <v>4722.2222222222226</v>
      </c>
      <c r="W122" s="285"/>
      <c r="X122" s="285"/>
      <c r="Y122" s="285"/>
      <c r="Z122" s="285"/>
      <c r="AB122" s="149">
        <f>AB120-AB121</f>
        <v>1041.6666666666667</v>
      </c>
      <c r="AC122" s="149"/>
      <c r="AD122" s="149"/>
    </row>
    <row r="123" spans="5:30" ht="9.9499999999999993" hidden="1" customHeight="1" x14ac:dyDescent="0.2"/>
    <row r="124" spans="5:30" ht="9.9499999999999993" hidden="1" customHeight="1" x14ac:dyDescent="0.2">
      <c r="O124" s="2">
        <v>1</v>
      </c>
      <c r="P124" s="11" t="s">
        <v>4</v>
      </c>
      <c r="T124" s="2">
        <f>IF(S122&lt;O109,(1),(IF(S122&lt;O110,(2),(IF(S122&lt;O111,(3),(IF(S122&lt;O112,(4),(IF(S122&gt;=O113,(5),(0))))))))))</f>
        <v>5</v>
      </c>
      <c r="U124" s="2">
        <f>IF(AB122&lt;O109,(1),(IF(AB122&lt;O110,(2),(IF(AB122&lt;O111,(3),(IF(AB122&lt;O112,(4),(IF(AB122&gt;=O113,(5),(0))))))))))</f>
        <v>1</v>
      </c>
      <c r="V124" s="2">
        <f>IF(V122&lt;O109,(1),(IF(V122&lt;O110,(2),(IF(V122&lt;O111,(3),(IF(V122&lt;O112,(4),(IF(V122&gt;=O113,(5),(0))))))))))</f>
        <v>5</v>
      </c>
    </row>
    <row r="125" spans="5:30" ht="9.9499999999999993" hidden="1" customHeight="1" x14ac:dyDescent="0.2">
      <c r="E125" s="7">
        <f>ROUNDUP(E113,0)</f>
        <v>5</v>
      </c>
      <c r="F125" s="7">
        <f>ROUNDDOWN(E113,0)</f>
        <v>4</v>
      </c>
      <c r="O125" s="2">
        <v>2</v>
      </c>
      <c r="P125" s="11" t="s">
        <v>5</v>
      </c>
      <c r="T125" s="45">
        <f>VLOOKUP(T124,N108:R113,4,FALSE)</f>
        <v>0.27500000000000002</v>
      </c>
      <c r="U125" s="45">
        <f>VLOOKUP(U124,N108:R113,4,FALSE)</f>
        <v>0</v>
      </c>
      <c r="V125" s="45">
        <f>VLOOKUP(V124,N108:R113,4,FALSE)</f>
        <v>0.27500000000000002</v>
      </c>
      <c r="Z125" s="285">
        <f>Z126-Q127</f>
        <v>496.91349999999989</v>
      </c>
      <c r="AA125" s="158"/>
      <c r="AB125" s="158"/>
      <c r="AC125" s="158"/>
    </row>
    <row r="126" spans="5:30" ht="9.9499999999999993" hidden="1" customHeight="1" x14ac:dyDescent="0.2">
      <c r="E126" s="7">
        <f>(E125-E113)</f>
        <v>0.99999899999999986</v>
      </c>
      <c r="F126" s="7">
        <f>(E113-F125)</f>
        <v>1.000000000139778E-6</v>
      </c>
      <c r="O126" s="2">
        <v>3</v>
      </c>
      <c r="P126" s="11" t="s">
        <v>6</v>
      </c>
      <c r="U126" s="20">
        <f>AB122*U125</f>
        <v>0</v>
      </c>
      <c r="V126" s="20">
        <f>V122*V125</f>
        <v>1298.6111111111113</v>
      </c>
      <c r="Z126" s="285">
        <f>S122*T125</f>
        <v>1381.875</v>
      </c>
      <c r="AA126" s="158"/>
      <c r="AB126" s="158"/>
      <c r="AC126" s="158"/>
    </row>
    <row r="127" spans="5:30" ht="9.9499999999999993" hidden="1" customHeight="1" x14ac:dyDescent="0.2">
      <c r="E127" s="2">
        <f>IF(E126&lt;F126,(E125),(F125))</f>
        <v>4</v>
      </c>
      <c r="Q127" s="158">
        <f>VLOOKUP(T124,N108:R113,5,FALSE)</f>
        <v>884.96150000000011</v>
      </c>
      <c r="R127" s="158"/>
      <c r="S127" s="158"/>
      <c r="T127" s="158"/>
      <c r="Z127" s="158">
        <f>VLOOKUP(U124,N108:R113,5,FALSE)</f>
        <v>0</v>
      </c>
      <c r="AA127" s="158"/>
      <c r="AB127" s="158"/>
      <c r="AC127" s="158"/>
    </row>
    <row r="128" spans="5:30" ht="9.9499999999999993" hidden="1" customHeight="1" x14ac:dyDescent="0.2">
      <c r="Q128" s="20">
        <f>T122*T125</f>
        <v>0</v>
      </c>
      <c r="U128" s="20">
        <f>U126-Z127</f>
        <v>0</v>
      </c>
      <c r="V128" s="20">
        <f>V126-Z128</f>
        <v>413.6496111111112</v>
      </c>
      <c r="Z128" s="158">
        <f>VLOOKUP(V124,N108:R113,5,FALSE)</f>
        <v>884.96150000000011</v>
      </c>
      <c r="AA128" s="158"/>
      <c r="AB128" s="158"/>
      <c r="AC128" s="158"/>
    </row>
    <row r="129" spans="2:22" ht="9.9499999999999993" hidden="1" customHeight="1" x14ac:dyDescent="0.2">
      <c r="P129" s="284">
        <f>Q128-Q127</f>
        <v>-884.96150000000011</v>
      </c>
      <c r="Q129" s="284"/>
      <c r="R129" s="284"/>
      <c r="S129" s="284"/>
    </row>
    <row r="130" spans="2:22" ht="9.9499999999999993" hidden="1" customHeight="1" x14ac:dyDescent="0.2"/>
    <row r="131" spans="2:22" ht="9.9499999999999993" hidden="1" customHeight="1" x14ac:dyDescent="0.2">
      <c r="N131" s="20">
        <f>TABELAS!F21</f>
        <v>189.59</v>
      </c>
      <c r="O131" s="2">
        <f>IF(R118&lt;O109,(1),(IF(R118&lt;O110,(2),IF(R118&gt;=O113,(3),(0)))))</f>
        <v>3</v>
      </c>
      <c r="Q131" s="26">
        <f>VLOOKUP(O131,N108:Q113,4,FALSE)</f>
        <v>0.15</v>
      </c>
      <c r="R131" s="2">
        <f>VLOOKUP(O131,N108:R113,5,FALSE)</f>
        <v>370.39875000000001</v>
      </c>
      <c r="T131" s="2" t="s">
        <v>63</v>
      </c>
      <c r="U131" s="2" t="s">
        <v>63</v>
      </c>
      <c r="V131" s="2" t="s">
        <v>63</v>
      </c>
    </row>
    <row r="132" spans="2:22" ht="9.9499999999999993" hidden="1" customHeight="1" x14ac:dyDescent="0.2">
      <c r="N132" s="2">
        <f>IF(AI21&gt;5,(5),(AI21))</f>
        <v>0</v>
      </c>
      <c r="T132" s="20">
        <f>AH24</f>
        <v>225</v>
      </c>
    </row>
    <row r="133" spans="2:22" ht="9.9499999999999993" hidden="1" customHeight="1" x14ac:dyDescent="0.2">
      <c r="N133" s="20">
        <f>N131*N132</f>
        <v>0</v>
      </c>
      <c r="O133" s="28" t="s">
        <v>56</v>
      </c>
      <c r="P133" s="28"/>
      <c r="R133" s="25">
        <f>(E102)</f>
        <v>8263.8888888888887</v>
      </c>
      <c r="U133" s="20">
        <f>AH25</f>
        <v>62.5</v>
      </c>
    </row>
    <row r="134" spans="2:22" ht="9.9499999999999993" hidden="1" customHeight="1" x14ac:dyDescent="0.2"/>
    <row r="135" spans="2:22" ht="9.9499999999999993" hidden="1" customHeight="1" x14ac:dyDescent="0.2">
      <c r="U135" s="158">
        <f>IF(Q121&gt;Q120,(Q121),Q120)</f>
        <v>1840.511</v>
      </c>
      <c r="V135" s="158"/>
    </row>
    <row r="136" spans="2:22" ht="9.9499999999999993" hidden="1" customHeight="1" x14ac:dyDescent="0.2">
      <c r="C136" s="2" t="s">
        <v>81</v>
      </c>
      <c r="U136" s="158">
        <f>IF(AE42=0,(0),(P122))</f>
        <v>1840.511</v>
      </c>
      <c r="V136" s="158"/>
    </row>
    <row r="137" spans="2:22" ht="9.9499999999999993" hidden="1" customHeight="1" x14ac:dyDescent="0.2">
      <c r="B137" s="158">
        <v>13</v>
      </c>
      <c r="C137" s="158"/>
      <c r="D137" s="158"/>
      <c r="E137" s="158"/>
      <c r="F137" s="158"/>
      <c r="G137" s="158" t="s">
        <v>82</v>
      </c>
      <c r="H137" s="158"/>
      <c r="I137" s="158"/>
      <c r="J137" s="158"/>
      <c r="K137" s="158"/>
    </row>
    <row r="138" spans="2:22" ht="9.9499999999999993" hidden="1" customHeight="1" x14ac:dyDescent="0.2"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</row>
    <row r="139" spans="2:22" ht="9.9499999999999993" hidden="1" customHeight="1" x14ac:dyDescent="0.2"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</row>
    <row r="140" spans="2:22" ht="9.9499999999999993" hidden="1" customHeight="1" x14ac:dyDescent="0.2"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</row>
    <row r="141" spans="2:22" ht="9.9499999999999993" hidden="1" customHeight="1" x14ac:dyDescent="0.2"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</row>
    <row r="142" spans="2:22" ht="9.9499999999999993" hidden="1" customHeight="1" x14ac:dyDescent="0.2"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</row>
    <row r="143" spans="2:22" ht="9.9499999999999993" hidden="1" customHeight="1" x14ac:dyDescent="0.2">
      <c r="B143" s="158"/>
      <c r="C143" s="158"/>
      <c r="D143" s="158"/>
      <c r="E143" s="158"/>
      <c r="F143" s="158"/>
      <c r="G143" s="158"/>
      <c r="H143" s="158"/>
      <c r="I143" s="158"/>
      <c r="J143" s="158"/>
      <c r="K143" s="158"/>
    </row>
    <row r="144" spans="2:22" ht="9.9499999999999993" hidden="1" customHeight="1" x14ac:dyDescent="0.2">
      <c r="B144" s="158"/>
      <c r="C144" s="158"/>
      <c r="D144" s="158"/>
      <c r="E144" s="158"/>
      <c r="F144" s="158"/>
      <c r="G144" s="158"/>
      <c r="H144" s="158"/>
      <c r="I144" s="158"/>
      <c r="J144" s="158"/>
      <c r="K144" s="158"/>
    </row>
    <row r="145" spans="2:11" ht="9.9499999999999993" hidden="1" customHeight="1" x14ac:dyDescent="0.2">
      <c r="B145" s="158"/>
      <c r="C145" s="158"/>
      <c r="D145" s="158"/>
      <c r="E145" s="158"/>
      <c r="F145" s="158"/>
      <c r="G145" s="158"/>
      <c r="H145" s="158"/>
      <c r="I145" s="158"/>
      <c r="J145" s="158"/>
      <c r="K145" s="158"/>
    </row>
    <row r="146" spans="2:11" ht="9.9499999999999993" hidden="1" customHeight="1" x14ac:dyDescent="0.2">
      <c r="B146" s="158"/>
      <c r="C146" s="158"/>
      <c r="D146" s="158"/>
      <c r="E146" s="158"/>
      <c r="F146" s="158"/>
      <c r="G146" s="158"/>
      <c r="H146" s="158"/>
      <c r="I146" s="158"/>
      <c r="J146" s="158"/>
      <c r="K146" s="158"/>
    </row>
    <row r="147" spans="2:11" ht="9.9499999999999993" hidden="1" customHeight="1" x14ac:dyDescent="0.2">
      <c r="B147" s="158"/>
      <c r="C147" s="158"/>
      <c r="D147" s="158"/>
      <c r="E147" s="158"/>
      <c r="F147" s="158"/>
      <c r="G147" s="158"/>
      <c r="H147" s="158"/>
      <c r="I147" s="158"/>
      <c r="J147" s="158"/>
      <c r="K147" s="158"/>
    </row>
    <row r="148" spans="2:11" ht="9.9499999999999993" hidden="1" customHeight="1" x14ac:dyDescent="0.2"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</row>
    <row r="149" spans="2:11" ht="9.9499999999999993" hidden="1" customHeight="1" x14ac:dyDescent="0.2">
      <c r="B149" s="158"/>
      <c r="C149" s="158"/>
      <c r="D149" s="158"/>
      <c r="E149" s="158"/>
      <c r="F149" s="158"/>
      <c r="G149" s="158"/>
      <c r="H149" s="158"/>
      <c r="I149" s="158"/>
      <c r="J149" s="158"/>
      <c r="K149" s="158"/>
    </row>
    <row r="150" spans="2:11" ht="9.9499999999999993" hidden="1" customHeight="1" x14ac:dyDescent="0.2">
      <c r="B150" s="158"/>
      <c r="C150" s="158"/>
      <c r="D150" s="158"/>
      <c r="E150" s="158"/>
      <c r="F150" s="158"/>
      <c r="G150" s="158"/>
      <c r="H150" s="158"/>
      <c r="I150" s="158"/>
      <c r="J150" s="158"/>
      <c r="K150" s="158"/>
    </row>
    <row r="151" spans="2:11" ht="9.9499999999999993" hidden="1" customHeight="1" x14ac:dyDescent="0.2">
      <c r="B151" s="158"/>
      <c r="C151" s="158"/>
      <c r="D151" s="158"/>
      <c r="E151" s="158"/>
      <c r="F151" s="158"/>
      <c r="G151" s="158"/>
      <c r="H151" s="158"/>
      <c r="I151" s="158"/>
      <c r="J151" s="158"/>
      <c r="K151" s="158"/>
    </row>
    <row r="152" spans="2:11" ht="9.9499999999999993" hidden="1" customHeight="1" x14ac:dyDescent="0.2">
      <c r="B152" s="158"/>
      <c r="C152" s="158"/>
      <c r="D152" s="158"/>
      <c r="E152" s="158"/>
      <c r="F152" s="158"/>
      <c r="G152" s="158"/>
      <c r="H152" s="158"/>
      <c r="I152" s="158"/>
      <c r="J152" s="158"/>
      <c r="K152" s="158"/>
    </row>
    <row r="153" spans="2:11" ht="9.9499999999999993" hidden="1" customHeight="1" x14ac:dyDescent="0.2">
      <c r="B153" s="158"/>
      <c r="C153" s="158"/>
      <c r="D153" s="158"/>
      <c r="E153" s="158"/>
      <c r="F153" s="158"/>
      <c r="G153" s="158"/>
      <c r="H153" s="158"/>
      <c r="I153" s="158"/>
      <c r="J153" s="158"/>
      <c r="K153" s="158"/>
    </row>
    <row r="154" spans="2:11" ht="9.9499999999999993" hidden="1" customHeight="1" x14ac:dyDescent="0.2">
      <c r="B154" s="158"/>
      <c r="C154" s="158"/>
      <c r="D154" s="158"/>
      <c r="E154" s="158"/>
      <c r="F154" s="158"/>
      <c r="G154" s="158"/>
      <c r="H154" s="158"/>
      <c r="I154" s="158"/>
      <c r="J154" s="158"/>
      <c r="K154" s="158"/>
    </row>
    <row r="155" spans="2:11" ht="9.9499999999999993" hidden="1" customHeight="1" x14ac:dyDescent="0.2">
      <c r="B155" s="158"/>
      <c r="C155" s="158"/>
      <c r="D155" s="158"/>
      <c r="E155" s="158"/>
      <c r="F155" s="158"/>
      <c r="G155" s="158"/>
      <c r="H155" s="158"/>
      <c r="I155" s="158"/>
      <c r="J155" s="158"/>
      <c r="K155" s="158"/>
    </row>
    <row r="156" spans="2:11" ht="9.9499999999999993" hidden="1" customHeight="1" x14ac:dyDescent="0.2">
      <c r="B156" s="158"/>
      <c r="C156" s="158"/>
      <c r="D156" s="158"/>
      <c r="E156" s="158"/>
      <c r="F156" s="158"/>
      <c r="G156" s="158"/>
      <c r="H156" s="158"/>
      <c r="I156" s="158"/>
      <c r="J156" s="158"/>
      <c r="K156" s="158"/>
    </row>
    <row r="157" spans="2:11" ht="9.9499999999999993" hidden="1" customHeight="1" x14ac:dyDescent="0.2">
      <c r="B157" s="158"/>
      <c r="C157" s="158"/>
      <c r="D157" s="158"/>
      <c r="E157" s="158"/>
      <c r="F157" s="158"/>
      <c r="G157" s="158"/>
      <c r="H157" s="158"/>
      <c r="I157" s="158"/>
      <c r="J157" s="158"/>
      <c r="K157" s="158"/>
    </row>
    <row r="158" spans="2:11" ht="9.9499999999999993" hidden="1" customHeight="1" x14ac:dyDescent="0.2"/>
    <row r="159" spans="2:11" ht="9.9499999999999993" hidden="1" customHeight="1" x14ac:dyDescent="0.2"/>
    <row r="160" spans="2:11" ht="9.9499999999999993" hidden="1" customHeight="1" x14ac:dyDescent="0.2"/>
    <row r="161" ht="9.9499999999999993" hidden="1" customHeight="1" x14ac:dyDescent="0.2"/>
    <row r="162" ht="9.9499999999999993" hidden="1" customHeight="1" x14ac:dyDescent="0.2"/>
    <row r="163" ht="9.9499999999999993" hidden="1" customHeight="1" x14ac:dyDescent="0.2"/>
    <row r="164" ht="9.9499999999999993" hidden="1" customHeight="1" x14ac:dyDescent="0.2"/>
    <row r="165" ht="9.9499999999999993" hidden="1" customHeight="1" x14ac:dyDescent="0.2"/>
    <row r="166" ht="9.9499999999999993" hidden="1" customHeight="1" x14ac:dyDescent="0.2"/>
    <row r="167" ht="9.9499999999999993" hidden="1" customHeight="1" x14ac:dyDescent="0.2"/>
    <row r="168" ht="9.9499999999999993" hidden="1" customHeight="1" x14ac:dyDescent="0.2"/>
    <row r="169" ht="9.9499999999999993" hidden="1" customHeight="1" x14ac:dyDescent="0.2"/>
    <row r="170" ht="9.9499999999999993" hidden="1" customHeight="1" x14ac:dyDescent="0.2"/>
    <row r="171" ht="9.9499999999999993" hidden="1" customHeight="1" x14ac:dyDescent="0.2"/>
    <row r="172" ht="9.9499999999999993" hidden="1" customHeight="1" x14ac:dyDescent="0.2"/>
    <row r="173" ht="9.9499999999999993" hidden="1" customHeight="1" x14ac:dyDescent="0.2"/>
    <row r="174" ht="9.9499999999999993" hidden="1" customHeight="1" x14ac:dyDescent="0.2"/>
    <row r="175" ht="9.9499999999999993" hidden="1" customHeight="1" x14ac:dyDescent="0.2"/>
    <row r="176" ht="9.9499999999999993" hidden="1" customHeight="1" x14ac:dyDescent="0.2"/>
    <row r="177" ht="9.9499999999999993" hidden="1" customHeight="1" x14ac:dyDescent="0.2"/>
    <row r="178" ht="9.9499999999999993" hidden="1" customHeight="1" x14ac:dyDescent="0.2"/>
    <row r="179" ht="9.9499999999999993" hidden="1" customHeight="1" x14ac:dyDescent="0.2"/>
    <row r="180" ht="9.9499999999999993" hidden="1" customHeight="1" x14ac:dyDescent="0.2"/>
    <row r="181" ht="9.9499999999999993" hidden="1" customHeight="1" x14ac:dyDescent="0.2"/>
    <row r="182" ht="9.9499999999999993" hidden="1" customHeight="1" x14ac:dyDescent="0.2"/>
    <row r="183" ht="9.9499999999999993" hidden="1" customHeight="1" x14ac:dyDescent="0.2"/>
    <row r="184" ht="9.9499999999999993" hidden="1" customHeight="1" x14ac:dyDescent="0.2"/>
    <row r="185" ht="9.9499999999999993" hidden="1" customHeight="1" x14ac:dyDescent="0.2"/>
    <row r="186" ht="9.9499999999999993" hidden="1" customHeight="1" x14ac:dyDescent="0.2"/>
    <row r="187" ht="9.9499999999999993" hidden="1" customHeight="1" x14ac:dyDescent="0.2"/>
    <row r="188" ht="9.9499999999999993" hidden="1" customHeight="1" x14ac:dyDescent="0.2"/>
    <row r="189" ht="9.9499999999999993" hidden="1" customHeight="1" x14ac:dyDescent="0.2"/>
    <row r="190" ht="9.9499999999999993" hidden="1" customHeight="1" x14ac:dyDescent="0.2"/>
    <row r="191" ht="9.9499999999999993" hidden="1" customHeight="1" x14ac:dyDescent="0.2"/>
    <row r="192" ht="9.9499999999999993" hidden="1" customHeight="1" x14ac:dyDescent="0.2"/>
    <row r="193" ht="9.9499999999999993" hidden="1" customHeight="1" x14ac:dyDescent="0.2"/>
    <row r="194" ht="9.9499999999999993" hidden="1" customHeight="1" x14ac:dyDescent="0.2"/>
    <row r="195" ht="9.9499999999999993" hidden="1" customHeight="1" x14ac:dyDescent="0.2"/>
    <row r="196" ht="9.9499999999999993" hidden="1" customHeight="1" x14ac:dyDescent="0.2"/>
    <row r="197" ht="9.9499999999999993" hidden="1" customHeight="1" x14ac:dyDescent="0.2"/>
    <row r="198" ht="9.9499999999999993" hidden="1" customHeight="1" x14ac:dyDescent="0.2"/>
    <row r="199" ht="9.9499999999999993" hidden="1" customHeight="1" x14ac:dyDescent="0.2"/>
    <row r="200" ht="9.9499999999999993" hidden="1" customHeight="1" x14ac:dyDescent="0.2"/>
    <row r="201" ht="9.9499999999999993" hidden="1" customHeight="1" x14ac:dyDescent="0.2"/>
    <row r="202" ht="9.9499999999999993" hidden="1" customHeight="1" x14ac:dyDescent="0.2"/>
    <row r="203" ht="9.9499999999999993" hidden="1" customHeight="1" x14ac:dyDescent="0.2"/>
    <row r="204" ht="9.9499999999999993" hidden="1" customHeight="1" x14ac:dyDescent="0.2"/>
    <row r="205" ht="9.9499999999999993" hidden="1" customHeight="1" x14ac:dyDescent="0.2"/>
    <row r="206" ht="9.9499999999999993" hidden="1" customHeight="1" x14ac:dyDescent="0.2"/>
    <row r="207" ht="9.9499999999999993" hidden="1" customHeight="1" x14ac:dyDescent="0.2"/>
    <row r="208" ht="9.9499999999999993" hidden="1" customHeight="1" x14ac:dyDescent="0.2"/>
    <row r="209" ht="9.9499999999999993" hidden="1" customHeight="1" x14ac:dyDescent="0.2"/>
    <row r="210" ht="9.9499999999999993" hidden="1" customHeight="1" x14ac:dyDescent="0.2"/>
    <row r="211" ht="9.9499999999999993" hidden="1" customHeight="1" x14ac:dyDescent="0.2"/>
    <row r="212" ht="9.9499999999999993" hidden="1" customHeight="1" x14ac:dyDescent="0.2"/>
    <row r="213" ht="9.9499999999999993" hidden="1" customHeight="1" x14ac:dyDescent="0.2"/>
    <row r="214" ht="9.9499999999999993" hidden="1" customHeight="1" x14ac:dyDescent="0.2"/>
    <row r="215" ht="9.9499999999999993" hidden="1" customHeight="1" x14ac:dyDescent="0.2"/>
    <row r="216" ht="9.9499999999999993" hidden="1" customHeight="1" x14ac:dyDescent="0.2"/>
    <row r="217" ht="9.9499999999999993" hidden="1" customHeight="1" x14ac:dyDescent="0.2"/>
    <row r="218" ht="9.9499999999999993" hidden="1" customHeight="1" x14ac:dyDescent="0.2"/>
    <row r="219" ht="9.9499999999999993" hidden="1" customHeight="1" x14ac:dyDescent="0.2"/>
    <row r="220" ht="9.9499999999999993" hidden="1" customHeight="1" x14ac:dyDescent="0.2"/>
    <row r="221" ht="9.9499999999999993" hidden="1" customHeight="1" x14ac:dyDescent="0.2"/>
    <row r="222" ht="9.9499999999999993" hidden="1" customHeight="1" x14ac:dyDescent="0.2"/>
    <row r="223" ht="9.9499999999999993" hidden="1" customHeight="1" x14ac:dyDescent="0.2"/>
    <row r="224" ht="9.9499999999999993" hidden="1" customHeight="1" x14ac:dyDescent="0.2"/>
    <row r="225" ht="9.9499999999999993" hidden="1" customHeight="1" x14ac:dyDescent="0.2"/>
    <row r="226" ht="9.9499999999999993" hidden="1" customHeight="1" x14ac:dyDescent="0.2"/>
    <row r="227" ht="9.9499999999999993" hidden="1" customHeight="1" x14ac:dyDescent="0.2"/>
    <row r="228" ht="9.9499999999999993" hidden="1" customHeight="1" x14ac:dyDescent="0.2"/>
    <row r="229" ht="9.9499999999999993" hidden="1" customHeight="1" x14ac:dyDescent="0.2"/>
    <row r="230" ht="9.9499999999999993" hidden="1" customHeight="1" x14ac:dyDescent="0.2"/>
    <row r="231" ht="9.9499999999999993" hidden="1" customHeight="1" x14ac:dyDescent="0.2"/>
    <row r="232" ht="9.9499999999999993" hidden="1" customHeight="1" x14ac:dyDescent="0.2"/>
    <row r="233" ht="9.9499999999999993" hidden="1" customHeight="1" x14ac:dyDescent="0.2"/>
    <row r="234" ht="9.9499999999999993" hidden="1" customHeight="1" x14ac:dyDescent="0.2"/>
    <row r="235" ht="9.9499999999999993" hidden="1" customHeight="1" x14ac:dyDescent="0.2"/>
    <row r="236" ht="9.9499999999999993" hidden="1" customHeight="1" x14ac:dyDescent="0.2"/>
    <row r="237" ht="9.9499999999999993" hidden="1" customHeight="1" x14ac:dyDescent="0.2"/>
    <row r="238" ht="9.9499999999999993" hidden="1" customHeight="1" x14ac:dyDescent="0.2"/>
    <row r="239" ht="9.9499999999999993" hidden="1" customHeight="1" x14ac:dyDescent="0.2"/>
    <row r="240" ht="9.9499999999999993" hidden="1" customHeight="1" x14ac:dyDescent="0.2"/>
    <row r="241" ht="9.9499999999999993" hidden="1" customHeight="1" x14ac:dyDescent="0.2"/>
    <row r="242" ht="9.9499999999999993" hidden="1" customHeight="1" x14ac:dyDescent="0.2"/>
    <row r="243" ht="9.9499999999999993" hidden="1" customHeight="1" x14ac:dyDescent="0.2"/>
    <row r="244" ht="9.9499999999999993" hidden="1" customHeight="1" x14ac:dyDescent="0.2"/>
    <row r="245" ht="9.9499999999999993" hidden="1" customHeight="1" x14ac:dyDescent="0.2"/>
    <row r="246" ht="9.9499999999999993" hidden="1" customHeight="1" x14ac:dyDescent="0.2"/>
    <row r="247" ht="9.9499999999999993" hidden="1" customHeight="1" x14ac:dyDescent="0.2"/>
    <row r="248" ht="9.9499999999999993" hidden="1" customHeight="1" x14ac:dyDescent="0.2"/>
    <row r="249" ht="9.9499999999999993" hidden="1" customHeight="1" x14ac:dyDescent="0.2"/>
    <row r="250" ht="9.9499999999999993" hidden="1" customHeight="1" x14ac:dyDescent="0.2"/>
    <row r="251" ht="9.9499999999999993" hidden="1" customHeight="1" x14ac:dyDescent="0.2"/>
    <row r="252" ht="9.9499999999999993" hidden="1" customHeight="1" x14ac:dyDescent="0.2"/>
    <row r="253" ht="9.9499999999999993" hidden="1" customHeight="1" x14ac:dyDescent="0.2"/>
    <row r="254" ht="9.9499999999999993" hidden="1" customHeight="1" x14ac:dyDescent="0.2"/>
    <row r="255" ht="9.9499999999999993" hidden="1" customHeight="1" x14ac:dyDescent="0.2"/>
    <row r="256" ht="9.9499999999999993" hidden="1" customHeight="1" x14ac:dyDescent="0.2"/>
    <row r="257" ht="9.9499999999999993" hidden="1" customHeight="1" x14ac:dyDescent="0.2"/>
    <row r="258" ht="9.9499999999999993" hidden="1" customHeight="1" x14ac:dyDescent="0.2"/>
    <row r="259" ht="9.9499999999999993" hidden="1" customHeight="1" x14ac:dyDescent="0.2"/>
    <row r="260" ht="9.9499999999999993" hidden="1" customHeight="1" x14ac:dyDescent="0.2"/>
    <row r="261" ht="9.9499999999999993" hidden="1" customHeight="1" x14ac:dyDescent="0.2"/>
    <row r="262" ht="9.9499999999999993" hidden="1" customHeight="1" x14ac:dyDescent="0.2"/>
    <row r="263" ht="9.9499999999999993" hidden="1" customHeight="1" x14ac:dyDescent="0.2"/>
    <row r="264" ht="9.9499999999999993" hidden="1" customHeight="1" x14ac:dyDescent="0.2"/>
    <row r="265" ht="9.9499999999999993" hidden="1" customHeight="1" x14ac:dyDescent="0.2"/>
    <row r="266" ht="9.9499999999999993" hidden="1" customHeight="1" x14ac:dyDescent="0.2"/>
    <row r="267" ht="9.9499999999999993" hidden="1" customHeight="1" x14ac:dyDescent="0.2"/>
    <row r="268" ht="9.9499999999999993" hidden="1" customHeight="1" x14ac:dyDescent="0.2"/>
    <row r="269" ht="9.9499999999999993" hidden="1" customHeight="1" x14ac:dyDescent="0.2"/>
    <row r="270" ht="9.9499999999999993" hidden="1" customHeight="1" x14ac:dyDescent="0.2"/>
    <row r="271" ht="9.9499999999999993" hidden="1" customHeight="1" x14ac:dyDescent="0.2"/>
    <row r="272" ht="9.9499999999999993" hidden="1" customHeight="1" x14ac:dyDescent="0.2"/>
    <row r="273" ht="9.9499999999999993" hidden="1" customHeight="1" x14ac:dyDescent="0.2"/>
    <row r="274" ht="9.9499999999999993" hidden="1" customHeight="1" x14ac:dyDescent="0.2"/>
    <row r="275" ht="9.9499999999999993" hidden="1" customHeight="1" x14ac:dyDescent="0.2"/>
    <row r="276" ht="9.9499999999999993" hidden="1" customHeight="1" x14ac:dyDescent="0.2"/>
    <row r="277" ht="9.9499999999999993" hidden="1" customHeight="1" x14ac:dyDescent="0.2"/>
    <row r="278" ht="9.9499999999999993" hidden="1" customHeight="1" x14ac:dyDescent="0.2"/>
    <row r="279" ht="9.9499999999999993" hidden="1" customHeight="1" x14ac:dyDescent="0.2"/>
    <row r="280" ht="9.9499999999999993" hidden="1" customHeight="1" x14ac:dyDescent="0.2"/>
    <row r="281" ht="9.9499999999999993" hidden="1" customHeight="1" x14ac:dyDescent="0.2"/>
    <row r="282" ht="9.9499999999999993" hidden="1" customHeight="1" x14ac:dyDescent="0.2"/>
    <row r="283" ht="9.9499999999999993" hidden="1" customHeight="1" x14ac:dyDescent="0.2"/>
    <row r="284" ht="9.9499999999999993" hidden="1" customHeight="1" x14ac:dyDescent="0.2"/>
    <row r="285" ht="9.9499999999999993" hidden="1" customHeight="1" x14ac:dyDescent="0.2"/>
    <row r="286" ht="9.9499999999999993" hidden="1" customHeight="1" x14ac:dyDescent="0.2"/>
    <row r="287" ht="9.9499999999999993" hidden="1" customHeight="1" x14ac:dyDescent="0.2"/>
    <row r="288" ht="9.9499999999999993" hidden="1" customHeight="1" x14ac:dyDescent="0.2"/>
    <row r="289" ht="9.9499999999999993" hidden="1" customHeight="1" x14ac:dyDescent="0.2"/>
    <row r="290" ht="9.9499999999999993" hidden="1" customHeight="1" x14ac:dyDescent="0.2"/>
    <row r="291" ht="9.9499999999999993" hidden="1" customHeight="1" x14ac:dyDescent="0.2"/>
    <row r="292" ht="9.9499999999999993" hidden="1" customHeight="1" x14ac:dyDescent="0.2"/>
    <row r="293" ht="9.9499999999999993" hidden="1" customHeight="1" x14ac:dyDescent="0.2"/>
    <row r="294" ht="9.9499999999999993" hidden="1" customHeight="1" x14ac:dyDescent="0.2"/>
    <row r="295" ht="9.9499999999999993" hidden="1" customHeight="1" x14ac:dyDescent="0.2"/>
    <row r="296" ht="9.9499999999999993" hidden="1" customHeight="1" x14ac:dyDescent="0.2"/>
    <row r="297" ht="9.9499999999999993" hidden="1" customHeight="1" x14ac:dyDescent="0.2"/>
    <row r="298" ht="9.9499999999999993" hidden="1" customHeight="1" x14ac:dyDescent="0.2"/>
    <row r="299" ht="9.9499999999999993" hidden="1" customHeight="1" x14ac:dyDescent="0.2"/>
    <row r="300" ht="9.9499999999999993" hidden="1" customHeight="1" x14ac:dyDescent="0.2"/>
    <row r="301" ht="9.9499999999999993" hidden="1" customHeight="1" x14ac:dyDescent="0.2"/>
    <row r="302" ht="9.9499999999999993" hidden="1" customHeight="1" x14ac:dyDescent="0.2"/>
    <row r="303" ht="9.9499999999999993" hidden="1" customHeight="1" x14ac:dyDescent="0.2"/>
    <row r="304" ht="9.9499999999999993" hidden="1" customHeight="1" x14ac:dyDescent="0.2"/>
    <row r="305" ht="9.9499999999999993" hidden="1" customHeight="1" x14ac:dyDescent="0.2"/>
    <row r="306" ht="9.9499999999999993" hidden="1" customHeight="1" x14ac:dyDescent="0.2"/>
    <row r="307" ht="9.9499999999999993" hidden="1" customHeight="1" x14ac:dyDescent="0.2"/>
    <row r="308" ht="9.9499999999999993" hidden="1" customHeight="1" x14ac:dyDescent="0.2"/>
    <row r="309" ht="9.9499999999999993" hidden="1" customHeight="1" x14ac:dyDescent="0.2"/>
    <row r="310" ht="9.9499999999999993" hidden="1" customHeight="1" x14ac:dyDescent="0.2"/>
    <row r="311" ht="9.9499999999999993" hidden="1" customHeight="1" x14ac:dyDescent="0.2"/>
    <row r="312" ht="9.9499999999999993" hidden="1" customHeight="1" x14ac:dyDescent="0.2"/>
    <row r="313" ht="9.9499999999999993" hidden="1" customHeight="1" x14ac:dyDescent="0.2"/>
    <row r="314" ht="9.9499999999999993" hidden="1" customHeight="1" x14ac:dyDescent="0.2"/>
    <row r="315" ht="9.9499999999999993" hidden="1" customHeight="1" x14ac:dyDescent="0.2"/>
    <row r="316" ht="9.9499999999999993" hidden="1" customHeight="1" x14ac:dyDescent="0.2"/>
    <row r="317" ht="9.9499999999999993" hidden="1" customHeight="1" x14ac:dyDescent="0.2"/>
    <row r="318" ht="9.9499999999999993" hidden="1" customHeight="1" x14ac:dyDescent="0.2"/>
    <row r="319" ht="9.9499999999999993" hidden="1" customHeight="1" x14ac:dyDescent="0.2"/>
    <row r="320" ht="9.9499999999999993" hidden="1" customHeight="1" x14ac:dyDescent="0.2"/>
    <row r="321" ht="9.9499999999999993" hidden="1" customHeight="1" x14ac:dyDescent="0.2"/>
    <row r="322" ht="9.9499999999999993" hidden="1" customHeight="1" x14ac:dyDescent="0.2"/>
    <row r="323" ht="9.9499999999999993" hidden="1" customHeight="1" x14ac:dyDescent="0.2"/>
    <row r="324" ht="9.9499999999999993" hidden="1" customHeight="1" x14ac:dyDescent="0.2"/>
    <row r="325" ht="9.9499999999999993" hidden="1" customHeight="1" x14ac:dyDescent="0.2"/>
    <row r="326" ht="9.9499999999999993" hidden="1" customHeight="1" x14ac:dyDescent="0.2"/>
    <row r="327" ht="9.9499999999999993" hidden="1" customHeight="1" x14ac:dyDescent="0.2"/>
    <row r="328" ht="9.9499999999999993" hidden="1" customHeight="1" x14ac:dyDescent="0.2"/>
    <row r="329" ht="9.9499999999999993" hidden="1" customHeight="1" x14ac:dyDescent="0.2"/>
    <row r="330" ht="9.9499999999999993" hidden="1" customHeight="1" x14ac:dyDescent="0.2"/>
    <row r="331" ht="9.9499999999999993" hidden="1" customHeight="1" x14ac:dyDescent="0.2"/>
    <row r="332" ht="9.9499999999999993" hidden="1" customHeight="1" x14ac:dyDescent="0.2"/>
    <row r="333" ht="9.9499999999999993" hidden="1" customHeight="1" x14ac:dyDescent="0.2"/>
    <row r="334" ht="9.9499999999999993" hidden="1" customHeight="1" x14ac:dyDescent="0.2"/>
    <row r="335" ht="9.9499999999999993" hidden="1" customHeight="1" x14ac:dyDescent="0.2"/>
    <row r="336" ht="9.9499999999999993" hidden="1" customHeight="1" x14ac:dyDescent="0.2"/>
    <row r="337" ht="9.9499999999999993" hidden="1" customHeight="1" x14ac:dyDescent="0.2"/>
    <row r="338" ht="9.9499999999999993" hidden="1" customHeight="1" x14ac:dyDescent="0.2"/>
    <row r="339" ht="9.9499999999999993" hidden="1" customHeight="1" x14ac:dyDescent="0.2"/>
    <row r="340" ht="9.9499999999999993" hidden="1" customHeight="1" x14ac:dyDescent="0.2"/>
    <row r="341" ht="9.9499999999999993" hidden="1" customHeight="1" x14ac:dyDescent="0.2"/>
    <row r="342" ht="9.9499999999999993" hidden="1" customHeight="1" x14ac:dyDescent="0.2"/>
    <row r="343" ht="9.9499999999999993" hidden="1" customHeight="1" x14ac:dyDescent="0.2"/>
    <row r="344" ht="9.9499999999999993" hidden="1" customHeight="1" x14ac:dyDescent="0.2"/>
    <row r="345" ht="9.9499999999999993" hidden="1" customHeight="1" x14ac:dyDescent="0.2"/>
    <row r="346" ht="9.9499999999999993" hidden="1" customHeight="1" x14ac:dyDescent="0.2"/>
    <row r="347" ht="9.9499999999999993" hidden="1" customHeight="1" x14ac:dyDescent="0.2"/>
    <row r="348" ht="9.9499999999999993" hidden="1" customHeight="1" x14ac:dyDescent="0.2"/>
    <row r="349" ht="9.9499999999999993" hidden="1" customHeight="1" x14ac:dyDescent="0.2"/>
    <row r="350" ht="9.9499999999999993" hidden="1" customHeight="1" x14ac:dyDescent="0.2"/>
    <row r="351" ht="9.9499999999999993" hidden="1" customHeight="1" x14ac:dyDescent="0.2"/>
    <row r="352" ht="9.9499999999999993" hidden="1" customHeight="1" x14ac:dyDescent="0.2"/>
    <row r="353" ht="9.9499999999999993" hidden="1" customHeight="1" x14ac:dyDescent="0.2"/>
    <row r="354" ht="9.9499999999999993" hidden="1" customHeight="1" x14ac:dyDescent="0.2"/>
    <row r="355" ht="9.9499999999999993" hidden="1" customHeight="1" x14ac:dyDescent="0.2"/>
    <row r="356" ht="9.9499999999999993" hidden="1" customHeight="1" x14ac:dyDescent="0.2"/>
    <row r="357" ht="9.9499999999999993" hidden="1" customHeight="1" x14ac:dyDescent="0.2"/>
    <row r="358" ht="9.9499999999999993" hidden="1" customHeight="1" x14ac:dyDescent="0.2"/>
    <row r="359" ht="9.9499999999999993" hidden="1" customHeight="1" x14ac:dyDescent="0.2"/>
    <row r="360" ht="9.9499999999999993" hidden="1" customHeight="1" x14ac:dyDescent="0.2"/>
    <row r="361" ht="9.9499999999999993" hidden="1" customHeight="1" x14ac:dyDescent="0.2"/>
    <row r="362" ht="9.9499999999999993" hidden="1" customHeight="1" x14ac:dyDescent="0.2"/>
    <row r="363" ht="9.9499999999999993" hidden="1" customHeight="1" x14ac:dyDescent="0.2"/>
    <row r="364" ht="9.9499999999999993" hidden="1" customHeight="1" x14ac:dyDescent="0.2"/>
    <row r="365" ht="9.9499999999999993" hidden="1" customHeight="1" x14ac:dyDescent="0.2"/>
    <row r="366" ht="9.9499999999999993" hidden="1" customHeight="1" x14ac:dyDescent="0.2"/>
    <row r="367" ht="9.9499999999999993" hidden="1" customHeight="1" x14ac:dyDescent="0.2"/>
    <row r="368" ht="9.9499999999999993" hidden="1" customHeight="1" x14ac:dyDescent="0.2"/>
    <row r="369" ht="9.9499999999999993" hidden="1" customHeight="1" x14ac:dyDescent="0.2"/>
    <row r="370" ht="9.9499999999999993" hidden="1" customHeight="1" x14ac:dyDescent="0.2"/>
    <row r="371" ht="9.9499999999999993" hidden="1" customHeight="1" x14ac:dyDescent="0.2"/>
    <row r="372" ht="9.9499999999999993" hidden="1" customHeight="1" x14ac:dyDescent="0.2"/>
    <row r="373" ht="9.9499999999999993" hidden="1" customHeight="1" x14ac:dyDescent="0.2"/>
    <row r="374" ht="9.9499999999999993" hidden="1" customHeight="1" x14ac:dyDescent="0.2"/>
    <row r="375" ht="9.9499999999999993" hidden="1" customHeight="1" x14ac:dyDescent="0.2"/>
    <row r="376" ht="9.9499999999999993" hidden="1" customHeight="1" x14ac:dyDescent="0.2"/>
    <row r="377" ht="9.9499999999999993" hidden="1" customHeight="1" x14ac:dyDescent="0.2"/>
    <row r="378" ht="9.9499999999999993" hidden="1" customHeight="1" x14ac:dyDescent="0.2"/>
    <row r="379" ht="9.9499999999999993" hidden="1" customHeight="1" x14ac:dyDescent="0.2"/>
    <row r="380" ht="9.9499999999999993" hidden="1" customHeight="1" x14ac:dyDescent="0.2"/>
    <row r="381" ht="9.9499999999999993" hidden="1" customHeight="1" x14ac:dyDescent="0.2"/>
    <row r="382" ht="9.9499999999999993" hidden="1" customHeight="1" x14ac:dyDescent="0.2"/>
    <row r="383" ht="9.9499999999999993" hidden="1" customHeight="1" x14ac:dyDescent="0.2"/>
    <row r="384" ht="9.9499999999999993" hidden="1" customHeight="1" x14ac:dyDescent="0.2"/>
    <row r="385" ht="9.9499999999999993" hidden="1" customHeight="1" x14ac:dyDescent="0.2"/>
    <row r="386" ht="9.9499999999999993" hidden="1" customHeight="1" x14ac:dyDescent="0.2"/>
    <row r="387" ht="9.9499999999999993" hidden="1" customHeight="1" x14ac:dyDescent="0.2"/>
    <row r="388" ht="9.9499999999999993" hidden="1" customHeight="1" x14ac:dyDescent="0.2"/>
    <row r="389" ht="9.9499999999999993" hidden="1" customHeight="1" x14ac:dyDescent="0.2"/>
    <row r="390" ht="9.9499999999999993" hidden="1" customHeight="1" x14ac:dyDescent="0.2"/>
    <row r="391" ht="9.9499999999999993" hidden="1" customHeight="1" x14ac:dyDescent="0.2"/>
    <row r="392" ht="9.9499999999999993" hidden="1" customHeight="1" x14ac:dyDescent="0.2"/>
    <row r="393" ht="9.9499999999999993" hidden="1" customHeight="1" x14ac:dyDescent="0.2"/>
    <row r="394" ht="9.9499999999999993" hidden="1" customHeight="1" x14ac:dyDescent="0.2"/>
    <row r="395" ht="9.9499999999999993" hidden="1" customHeight="1" x14ac:dyDescent="0.2"/>
    <row r="396" ht="9.9499999999999993" hidden="1" customHeight="1" x14ac:dyDescent="0.2"/>
    <row r="397" ht="9.9499999999999993" hidden="1" customHeight="1" x14ac:dyDescent="0.2"/>
    <row r="398" ht="9.9499999999999993" hidden="1" customHeight="1" x14ac:dyDescent="0.2"/>
    <row r="399" ht="9.9499999999999993" hidden="1" customHeight="1" x14ac:dyDescent="0.2"/>
    <row r="400" ht="9.9499999999999993" hidden="1" customHeight="1" x14ac:dyDescent="0.2"/>
    <row r="401" ht="9.9499999999999993" hidden="1" customHeight="1" x14ac:dyDescent="0.2"/>
    <row r="402" ht="9.9499999999999993" hidden="1" customHeight="1" x14ac:dyDescent="0.2"/>
    <row r="403" ht="9.9499999999999993" hidden="1" customHeight="1" x14ac:dyDescent="0.2"/>
    <row r="404" ht="9.9499999999999993" hidden="1" customHeight="1" x14ac:dyDescent="0.2"/>
    <row r="405" ht="9.9499999999999993" hidden="1" customHeight="1" x14ac:dyDescent="0.2"/>
    <row r="406" ht="9.9499999999999993" hidden="1" customHeight="1" x14ac:dyDescent="0.2"/>
    <row r="407" ht="9.9499999999999993" hidden="1" customHeight="1" x14ac:dyDescent="0.2"/>
    <row r="408" ht="9.9499999999999993" hidden="1" customHeight="1" x14ac:dyDescent="0.2"/>
    <row r="409" ht="9.9499999999999993" hidden="1" customHeight="1" x14ac:dyDescent="0.2"/>
    <row r="410" ht="9.9499999999999993" hidden="1" customHeight="1" x14ac:dyDescent="0.2"/>
    <row r="411" ht="9.9499999999999993" hidden="1" customHeight="1" x14ac:dyDescent="0.2"/>
    <row r="412" ht="9.9499999999999993" hidden="1" customHeight="1" x14ac:dyDescent="0.2"/>
    <row r="413" ht="9.9499999999999993" hidden="1" customHeight="1" x14ac:dyDescent="0.2"/>
    <row r="414" ht="9.9499999999999993" hidden="1" customHeight="1" x14ac:dyDescent="0.2"/>
    <row r="415" ht="9.9499999999999993" hidden="1" customHeight="1" x14ac:dyDescent="0.2"/>
    <row r="416" ht="9.9499999999999993" hidden="1" customHeight="1" x14ac:dyDescent="0.2"/>
    <row r="417" ht="9.9499999999999993" hidden="1" customHeight="1" x14ac:dyDescent="0.2"/>
    <row r="418" ht="9.9499999999999993" hidden="1" customHeight="1" x14ac:dyDescent="0.2"/>
    <row r="419" ht="9.9499999999999993" hidden="1" customHeight="1" x14ac:dyDescent="0.2"/>
    <row r="420" ht="9.9499999999999993" hidden="1" customHeight="1" x14ac:dyDescent="0.2"/>
    <row r="421" ht="9.9499999999999993" hidden="1" customHeight="1" x14ac:dyDescent="0.2"/>
    <row r="422" ht="9.9499999999999993" hidden="1" customHeight="1" x14ac:dyDescent="0.2"/>
    <row r="423" ht="9.9499999999999993" hidden="1" customHeight="1" x14ac:dyDescent="0.2"/>
    <row r="424" ht="9.9499999999999993" hidden="1" customHeight="1" x14ac:dyDescent="0.2"/>
    <row r="425" ht="9.9499999999999993" hidden="1" customHeight="1" x14ac:dyDescent="0.2"/>
    <row r="426" ht="9.9499999999999993" hidden="1" customHeight="1" x14ac:dyDescent="0.2"/>
    <row r="427" ht="9.9499999999999993" hidden="1" customHeight="1" x14ac:dyDescent="0.2"/>
    <row r="428" ht="9.9499999999999993" hidden="1" customHeight="1" x14ac:dyDescent="0.2"/>
    <row r="429" ht="9.9499999999999993" hidden="1" customHeight="1" x14ac:dyDescent="0.2"/>
    <row r="430" ht="9.9499999999999993" hidden="1" customHeight="1" x14ac:dyDescent="0.2"/>
    <row r="431" ht="9.9499999999999993" hidden="1" customHeight="1" x14ac:dyDescent="0.2"/>
    <row r="432" ht="9.9499999999999993" hidden="1" customHeight="1" x14ac:dyDescent="0.2"/>
    <row r="433" ht="9.9499999999999993" hidden="1" customHeight="1" x14ac:dyDescent="0.2"/>
    <row r="434" ht="9.9499999999999993" hidden="1" customHeight="1" x14ac:dyDescent="0.2"/>
    <row r="435" ht="9.9499999999999993" hidden="1" customHeight="1" x14ac:dyDescent="0.2"/>
    <row r="436" ht="9.9499999999999993" hidden="1" customHeight="1" x14ac:dyDescent="0.2"/>
    <row r="437" ht="9.9499999999999993" hidden="1" customHeight="1" x14ac:dyDescent="0.2"/>
    <row r="438" ht="9.9499999999999993" hidden="1" customHeight="1" x14ac:dyDescent="0.2"/>
    <row r="439" ht="9.9499999999999993" hidden="1" customHeight="1" x14ac:dyDescent="0.2"/>
    <row r="440" ht="9.9499999999999993" hidden="1" customHeight="1" x14ac:dyDescent="0.2"/>
    <row r="441" ht="9.9499999999999993" hidden="1" customHeight="1" x14ac:dyDescent="0.2"/>
    <row r="442" ht="9.9499999999999993" hidden="1" customHeight="1" x14ac:dyDescent="0.2"/>
    <row r="443" ht="9.9499999999999993" hidden="1" customHeight="1" x14ac:dyDescent="0.2"/>
    <row r="444" ht="9.9499999999999993" hidden="1" customHeight="1" x14ac:dyDescent="0.2"/>
    <row r="445" ht="9.9499999999999993" hidden="1" customHeight="1" x14ac:dyDescent="0.2"/>
    <row r="446" ht="9.9499999999999993" hidden="1" customHeight="1" x14ac:dyDescent="0.2"/>
    <row r="447" ht="9.9499999999999993" hidden="1" customHeight="1" x14ac:dyDescent="0.2"/>
    <row r="448" ht="9.9499999999999993" hidden="1" customHeight="1" x14ac:dyDescent="0.2"/>
    <row r="449" ht="9.9499999999999993" hidden="1" customHeight="1" x14ac:dyDescent="0.2"/>
    <row r="450" ht="9.9499999999999993" hidden="1" customHeight="1" x14ac:dyDescent="0.2"/>
    <row r="451" ht="9.9499999999999993" hidden="1" customHeight="1" x14ac:dyDescent="0.2"/>
    <row r="452" ht="9.9499999999999993" hidden="1" customHeight="1" x14ac:dyDescent="0.2"/>
    <row r="453" ht="9.9499999999999993" hidden="1" customHeight="1" x14ac:dyDescent="0.2"/>
    <row r="454" ht="9.9499999999999993" hidden="1" customHeight="1" x14ac:dyDescent="0.2"/>
    <row r="455" ht="9.9499999999999993" hidden="1" customHeight="1" x14ac:dyDescent="0.2"/>
    <row r="456" ht="9.9499999999999993" hidden="1" customHeight="1" x14ac:dyDescent="0.2"/>
    <row r="457" ht="9.9499999999999993" hidden="1" customHeight="1" x14ac:dyDescent="0.2"/>
    <row r="458" ht="9.9499999999999993" hidden="1" customHeight="1" x14ac:dyDescent="0.2"/>
    <row r="459" ht="9.9499999999999993" hidden="1" customHeight="1" x14ac:dyDescent="0.2"/>
    <row r="460" ht="9.9499999999999993" hidden="1" customHeight="1" x14ac:dyDescent="0.2"/>
    <row r="461" ht="9.9499999999999993" hidden="1" customHeight="1" x14ac:dyDescent="0.2"/>
    <row r="462" ht="9.9499999999999993" hidden="1" customHeight="1" x14ac:dyDescent="0.2"/>
    <row r="463" ht="9.9499999999999993" hidden="1" customHeight="1" x14ac:dyDescent="0.2"/>
    <row r="464" ht="9.9499999999999993" hidden="1" customHeight="1" x14ac:dyDescent="0.2"/>
    <row r="465" ht="9.9499999999999993" hidden="1" customHeight="1" x14ac:dyDescent="0.2"/>
    <row r="466" ht="9.9499999999999993" hidden="1" customHeight="1" x14ac:dyDescent="0.2"/>
    <row r="467" ht="9.9499999999999993" hidden="1" customHeight="1" x14ac:dyDescent="0.2"/>
    <row r="468" ht="9.9499999999999993" hidden="1" customHeight="1" x14ac:dyDescent="0.2"/>
    <row r="469" ht="9.9499999999999993" hidden="1" customHeight="1" x14ac:dyDescent="0.2"/>
    <row r="470" ht="9.9499999999999993" hidden="1" customHeight="1" x14ac:dyDescent="0.2"/>
    <row r="471" ht="9.9499999999999993" hidden="1" customHeight="1" x14ac:dyDescent="0.2"/>
    <row r="472" ht="9.9499999999999993" hidden="1" customHeight="1" x14ac:dyDescent="0.2"/>
    <row r="473" ht="9.9499999999999993" hidden="1" customHeight="1" x14ac:dyDescent="0.2"/>
    <row r="474" ht="9.9499999999999993" hidden="1" customHeight="1" x14ac:dyDescent="0.2"/>
    <row r="475" ht="9.9499999999999993" hidden="1" customHeight="1" x14ac:dyDescent="0.2"/>
    <row r="476" ht="9.9499999999999993" hidden="1" customHeight="1" x14ac:dyDescent="0.2"/>
    <row r="477" ht="9.9499999999999993" hidden="1" customHeight="1" x14ac:dyDescent="0.2"/>
    <row r="478" ht="9.9499999999999993" hidden="1" customHeight="1" x14ac:dyDescent="0.2"/>
    <row r="479" ht="9.9499999999999993" hidden="1" customHeight="1" x14ac:dyDescent="0.2"/>
    <row r="480" ht="9.9499999999999993" hidden="1" customHeight="1" x14ac:dyDescent="0.2"/>
    <row r="481" ht="9.9499999999999993" hidden="1" customHeight="1" x14ac:dyDescent="0.2"/>
    <row r="482" ht="9.9499999999999993" hidden="1" customHeight="1" x14ac:dyDescent="0.2"/>
    <row r="483" ht="9.9499999999999993" hidden="1" customHeight="1" x14ac:dyDescent="0.2"/>
    <row r="484" ht="9.9499999999999993" hidden="1" customHeight="1" x14ac:dyDescent="0.2"/>
    <row r="485" ht="9.9499999999999993" hidden="1" customHeight="1" x14ac:dyDescent="0.2"/>
    <row r="486" ht="9.9499999999999993" hidden="1" customHeight="1" x14ac:dyDescent="0.2"/>
    <row r="487" ht="9.9499999999999993" hidden="1" customHeight="1" x14ac:dyDescent="0.2"/>
    <row r="488" ht="9.9499999999999993" hidden="1" customHeight="1" x14ac:dyDescent="0.2"/>
    <row r="489" ht="9.9499999999999993" hidden="1" customHeight="1" x14ac:dyDescent="0.2"/>
    <row r="490" ht="9.9499999999999993" hidden="1" customHeight="1" x14ac:dyDescent="0.2"/>
    <row r="491" ht="9.9499999999999993" hidden="1" customHeight="1" x14ac:dyDescent="0.2"/>
    <row r="492" ht="9.9499999999999993" hidden="1" customHeight="1" x14ac:dyDescent="0.2"/>
    <row r="493" ht="9.9499999999999993" hidden="1" customHeight="1" x14ac:dyDescent="0.2"/>
    <row r="494" ht="9.9499999999999993" hidden="1" customHeight="1" x14ac:dyDescent="0.2"/>
    <row r="495" ht="9.9499999999999993" hidden="1" customHeight="1" x14ac:dyDescent="0.2"/>
    <row r="496" ht="9.9499999999999993" hidden="1" customHeight="1" x14ac:dyDescent="0.2"/>
    <row r="497" ht="9.9499999999999993" hidden="1" customHeight="1" x14ac:dyDescent="0.2"/>
    <row r="498" ht="9.9499999999999993" hidden="1" customHeight="1" x14ac:dyDescent="0.2"/>
    <row r="499" ht="9.9499999999999993" hidden="1" customHeight="1" x14ac:dyDescent="0.2"/>
    <row r="500" ht="9.9499999999999993" hidden="1" customHeight="1" x14ac:dyDescent="0.2"/>
    <row r="501" ht="9.9499999999999993" hidden="1" customHeight="1" x14ac:dyDescent="0.2"/>
    <row r="502" ht="9.9499999999999993" hidden="1" customHeight="1" x14ac:dyDescent="0.2"/>
    <row r="503" ht="9.9499999999999993" hidden="1" customHeight="1" x14ac:dyDescent="0.2"/>
    <row r="504" ht="9.9499999999999993" hidden="1" customHeight="1" x14ac:dyDescent="0.2"/>
    <row r="505" ht="9.9499999999999993" hidden="1" customHeight="1" x14ac:dyDescent="0.2"/>
    <row r="506" ht="9.9499999999999993" hidden="1" customHeight="1" x14ac:dyDescent="0.2"/>
    <row r="507" ht="9.9499999999999993" hidden="1" customHeight="1" x14ac:dyDescent="0.2"/>
    <row r="508" ht="9.9499999999999993" hidden="1" customHeight="1" x14ac:dyDescent="0.2"/>
    <row r="509" ht="9.9499999999999993" hidden="1" customHeight="1" x14ac:dyDescent="0.2"/>
    <row r="510" ht="9.9499999999999993" hidden="1" customHeight="1" x14ac:dyDescent="0.2"/>
    <row r="511" ht="9.9499999999999993" hidden="1" customHeight="1" x14ac:dyDescent="0.2"/>
    <row r="512" ht="9.9499999999999993" hidden="1" customHeight="1" x14ac:dyDescent="0.2"/>
    <row r="513" ht="9.9499999999999993" hidden="1" customHeight="1" x14ac:dyDescent="0.2"/>
    <row r="514" ht="9.9499999999999993" hidden="1" customHeight="1" x14ac:dyDescent="0.2"/>
    <row r="515" ht="9.9499999999999993" hidden="1" customHeight="1" x14ac:dyDescent="0.2"/>
    <row r="516" ht="9.9499999999999993" hidden="1" customHeight="1" x14ac:dyDescent="0.2"/>
    <row r="517" ht="9.9499999999999993" hidden="1" customHeight="1" x14ac:dyDescent="0.2"/>
    <row r="518" ht="9.9499999999999993" hidden="1" customHeight="1" x14ac:dyDescent="0.2"/>
    <row r="519" ht="9.9499999999999993" hidden="1" customHeight="1" x14ac:dyDescent="0.2"/>
    <row r="520" ht="9.9499999999999993" hidden="1" customHeight="1" x14ac:dyDescent="0.2"/>
    <row r="521" ht="9.9499999999999993" hidden="1" customHeight="1" x14ac:dyDescent="0.2"/>
    <row r="522" ht="9.9499999999999993" hidden="1" customHeight="1" x14ac:dyDescent="0.2"/>
    <row r="523" ht="9.9499999999999993" hidden="1" customHeight="1" x14ac:dyDescent="0.2"/>
    <row r="524" ht="9.9499999999999993" hidden="1" customHeight="1" x14ac:dyDescent="0.2"/>
    <row r="525" ht="9.9499999999999993" hidden="1" customHeight="1" x14ac:dyDescent="0.2"/>
    <row r="526" ht="9.9499999999999993" hidden="1" customHeight="1" x14ac:dyDescent="0.2"/>
    <row r="527" ht="9.9499999999999993" hidden="1" customHeight="1" x14ac:dyDescent="0.2"/>
    <row r="528" ht="9.9499999999999993" hidden="1" customHeight="1" x14ac:dyDescent="0.2"/>
    <row r="529" ht="9.9499999999999993" hidden="1" customHeight="1" x14ac:dyDescent="0.2"/>
    <row r="530" ht="9.9499999999999993" hidden="1" customHeight="1" x14ac:dyDescent="0.2"/>
    <row r="531" ht="9.9499999999999993" hidden="1" customHeight="1" x14ac:dyDescent="0.2"/>
    <row r="532" ht="9.9499999999999993" hidden="1" customHeight="1" x14ac:dyDescent="0.2"/>
    <row r="533" ht="9.9499999999999993" hidden="1" customHeight="1" x14ac:dyDescent="0.2"/>
    <row r="534" ht="9.9499999999999993" hidden="1" customHeight="1" x14ac:dyDescent="0.2"/>
    <row r="535" ht="9.9499999999999993" hidden="1" customHeight="1" x14ac:dyDescent="0.2"/>
    <row r="536" ht="9.9499999999999993" hidden="1" customHeight="1" x14ac:dyDescent="0.2"/>
    <row r="537" ht="9.9499999999999993" hidden="1" customHeight="1" x14ac:dyDescent="0.2"/>
    <row r="538" ht="9.9499999999999993" hidden="1" customHeight="1" x14ac:dyDescent="0.2"/>
    <row r="539" ht="9.9499999999999993" hidden="1" customHeight="1" x14ac:dyDescent="0.2"/>
    <row r="540" ht="9.9499999999999993" hidden="1" customHeight="1" x14ac:dyDescent="0.2"/>
    <row r="541" ht="9.9499999999999993" hidden="1" customHeight="1" x14ac:dyDescent="0.2"/>
    <row r="542" ht="9.9499999999999993" hidden="1" customHeight="1" x14ac:dyDescent="0.2"/>
    <row r="543" ht="9.9499999999999993" hidden="1" customHeight="1" x14ac:dyDescent="0.2"/>
    <row r="544" ht="9.9499999999999993" hidden="1" customHeight="1" x14ac:dyDescent="0.2"/>
    <row r="545" ht="9.9499999999999993" hidden="1" customHeight="1" x14ac:dyDescent="0.2"/>
    <row r="546" ht="9.9499999999999993" hidden="1" customHeight="1" x14ac:dyDescent="0.2"/>
    <row r="547" ht="9.9499999999999993" hidden="1" customHeight="1" x14ac:dyDescent="0.2"/>
    <row r="548" ht="9.9499999999999993" hidden="1" customHeight="1" x14ac:dyDescent="0.2"/>
    <row r="549" ht="9.9499999999999993" hidden="1" customHeight="1" x14ac:dyDescent="0.2"/>
    <row r="550" ht="9.9499999999999993" hidden="1" customHeight="1" x14ac:dyDescent="0.2"/>
    <row r="551" ht="9.9499999999999993" hidden="1" customHeight="1" x14ac:dyDescent="0.2"/>
    <row r="552" ht="9.9499999999999993" hidden="1" customHeight="1" x14ac:dyDescent="0.2"/>
    <row r="553" ht="9.9499999999999993" hidden="1" customHeight="1" x14ac:dyDescent="0.2"/>
    <row r="554" ht="9.9499999999999993" hidden="1" customHeight="1" x14ac:dyDescent="0.2"/>
    <row r="555" ht="9.9499999999999993" hidden="1" customHeight="1" x14ac:dyDescent="0.2"/>
    <row r="556" ht="9.9499999999999993" hidden="1" customHeight="1" x14ac:dyDescent="0.2"/>
    <row r="557" ht="9.9499999999999993" hidden="1" customHeight="1" x14ac:dyDescent="0.2"/>
    <row r="558" ht="9.9499999999999993" hidden="1" customHeight="1" x14ac:dyDescent="0.2"/>
    <row r="559" ht="9.9499999999999993" hidden="1" customHeight="1" x14ac:dyDescent="0.2"/>
    <row r="560" ht="9.9499999999999993" hidden="1" customHeight="1" x14ac:dyDescent="0.2"/>
    <row r="561" ht="9.9499999999999993" hidden="1" customHeight="1" x14ac:dyDescent="0.2"/>
    <row r="562" ht="9.9499999999999993" hidden="1" customHeight="1" x14ac:dyDescent="0.2"/>
    <row r="563" ht="9.9499999999999993" hidden="1" customHeight="1" x14ac:dyDescent="0.2"/>
    <row r="564" ht="9.9499999999999993" hidden="1" customHeight="1" x14ac:dyDescent="0.2"/>
    <row r="565" ht="9.9499999999999993" hidden="1" customHeight="1" x14ac:dyDescent="0.2"/>
    <row r="566" ht="9.9499999999999993" hidden="1" customHeight="1" x14ac:dyDescent="0.2"/>
    <row r="567" ht="9.9499999999999993" hidden="1" customHeight="1" x14ac:dyDescent="0.2"/>
    <row r="568" ht="9.9499999999999993" hidden="1" customHeight="1" x14ac:dyDescent="0.2"/>
    <row r="569" ht="9.9499999999999993" hidden="1" customHeight="1" x14ac:dyDescent="0.2"/>
    <row r="570" ht="9.9499999999999993" hidden="1" customHeight="1" x14ac:dyDescent="0.2"/>
    <row r="571" ht="9.9499999999999993" hidden="1" customHeight="1" x14ac:dyDescent="0.2"/>
    <row r="572" ht="9.9499999999999993" hidden="1" customHeight="1" x14ac:dyDescent="0.2"/>
    <row r="573" ht="9.9499999999999993" hidden="1" customHeight="1" x14ac:dyDescent="0.2"/>
    <row r="574" ht="9.9499999999999993" hidden="1" customHeight="1" x14ac:dyDescent="0.2"/>
    <row r="575" ht="9.9499999999999993" hidden="1" customHeight="1" x14ac:dyDescent="0.2"/>
    <row r="576" ht="9.9499999999999993" hidden="1" customHeight="1" x14ac:dyDescent="0.2"/>
    <row r="577" ht="9.9499999999999993" hidden="1" customHeight="1" x14ac:dyDescent="0.2"/>
    <row r="578" ht="9.9499999999999993" hidden="1" customHeight="1" x14ac:dyDescent="0.2"/>
    <row r="579" ht="9.9499999999999993" hidden="1" customHeight="1" x14ac:dyDescent="0.2"/>
    <row r="580" ht="9.9499999999999993" hidden="1" customHeight="1" x14ac:dyDescent="0.2"/>
    <row r="581" ht="9.9499999999999993" hidden="1" customHeight="1" x14ac:dyDescent="0.2"/>
    <row r="582" ht="9.9499999999999993" hidden="1" customHeight="1" x14ac:dyDescent="0.2"/>
    <row r="583" ht="9.9499999999999993" hidden="1" customHeight="1" x14ac:dyDescent="0.2"/>
    <row r="584" ht="9.9499999999999993" hidden="1" customHeight="1" x14ac:dyDescent="0.2"/>
    <row r="585" ht="9.9499999999999993" hidden="1" customHeight="1" x14ac:dyDescent="0.2"/>
    <row r="586" ht="9.9499999999999993" hidden="1" customHeight="1" x14ac:dyDescent="0.2"/>
    <row r="587" ht="9.9499999999999993" hidden="1" customHeight="1" x14ac:dyDescent="0.2"/>
    <row r="588" ht="9.9499999999999993" hidden="1" customHeight="1" x14ac:dyDescent="0.2"/>
    <row r="589" ht="9.9499999999999993" hidden="1" customHeight="1" x14ac:dyDescent="0.2"/>
    <row r="590" ht="9.9499999999999993" hidden="1" customHeight="1" x14ac:dyDescent="0.2"/>
    <row r="591" ht="9.9499999999999993" hidden="1" customHeight="1" x14ac:dyDescent="0.2"/>
    <row r="592" ht="9.9499999999999993" hidden="1" customHeight="1" x14ac:dyDescent="0.2"/>
    <row r="593" ht="9.9499999999999993" hidden="1" customHeight="1" x14ac:dyDescent="0.2"/>
    <row r="594" ht="9.9499999999999993" hidden="1" customHeight="1" x14ac:dyDescent="0.2"/>
    <row r="595" ht="9.9499999999999993" hidden="1" customHeight="1" x14ac:dyDescent="0.2"/>
    <row r="596" ht="9.9499999999999993" hidden="1" customHeight="1" x14ac:dyDescent="0.2"/>
    <row r="597" ht="9.9499999999999993" hidden="1" customHeight="1" x14ac:dyDescent="0.2"/>
    <row r="598" ht="9.9499999999999993" hidden="1" customHeight="1" x14ac:dyDescent="0.2"/>
    <row r="599" ht="9.9499999999999993" hidden="1" customHeight="1" x14ac:dyDescent="0.2"/>
    <row r="600" ht="9.9499999999999993" hidden="1" customHeight="1" x14ac:dyDescent="0.2"/>
    <row r="601" ht="9.9499999999999993" hidden="1" customHeight="1" x14ac:dyDescent="0.2"/>
    <row r="602" ht="9.9499999999999993" hidden="1" customHeight="1" x14ac:dyDescent="0.2"/>
    <row r="603" ht="9.9499999999999993" hidden="1" customHeight="1" x14ac:dyDescent="0.2"/>
    <row r="604" ht="9.9499999999999993" hidden="1" customHeight="1" x14ac:dyDescent="0.2"/>
    <row r="605" ht="9.9499999999999993" hidden="1" customHeight="1" x14ac:dyDescent="0.2"/>
    <row r="606" ht="9.9499999999999993" hidden="1" customHeight="1" x14ac:dyDescent="0.2"/>
    <row r="607" ht="9.9499999999999993" hidden="1" customHeight="1" x14ac:dyDescent="0.2"/>
    <row r="608" ht="9.9499999999999993" hidden="1" customHeight="1" x14ac:dyDescent="0.2"/>
    <row r="609" ht="9.9499999999999993" hidden="1" customHeight="1" x14ac:dyDescent="0.2"/>
    <row r="610" ht="9.9499999999999993" hidden="1" customHeight="1" x14ac:dyDescent="0.2"/>
    <row r="611" ht="9.9499999999999993" hidden="1" customHeight="1" x14ac:dyDescent="0.2"/>
    <row r="612" ht="9.9499999999999993" hidden="1" customHeight="1" x14ac:dyDescent="0.2"/>
    <row r="613" ht="9.9499999999999993" hidden="1" customHeight="1" x14ac:dyDescent="0.2"/>
    <row r="614" ht="9.9499999999999993" hidden="1" customHeight="1" x14ac:dyDescent="0.2"/>
    <row r="615" ht="9.9499999999999993" hidden="1" customHeight="1" x14ac:dyDescent="0.2"/>
    <row r="616" ht="9.9499999999999993" hidden="1" customHeight="1" x14ac:dyDescent="0.2"/>
    <row r="617" ht="9.9499999999999993" hidden="1" customHeight="1" x14ac:dyDescent="0.2"/>
    <row r="618" ht="9.9499999999999993" hidden="1" customHeight="1" x14ac:dyDescent="0.2"/>
    <row r="619" ht="9.9499999999999993" hidden="1" customHeight="1" x14ac:dyDescent="0.2"/>
    <row r="620" ht="9.9499999999999993" hidden="1" customHeight="1" x14ac:dyDescent="0.2"/>
    <row r="621" ht="9.9499999999999993" hidden="1" customHeight="1" x14ac:dyDescent="0.2"/>
    <row r="622" ht="9.9499999999999993" hidden="1" customHeight="1" x14ac:dyDescent="0.2"/>
    <row r="623" ht="9.9499999999999993" hidden="1" customHeight="1" x14ac:dyDescent="0.2"/>
    <row r="624" ht="9.9499999999999993" hidden="1" customHeight="1" x14ac:dyDescent="0.2"/>
    <row r="625" ht="9.9499999999999993" hidden="1" customHeight="1" x14ac:dyDescent="0.2"/>
    <row r="626" ht="9.9499999999999993" hidden="1" customHeight="1" x14ac:dyDescent="0.2"/>
    <row r="627" ht="9.9499999999999993" hidden="1" customHeight="1" x14ac:dyDescent="0.2"/>
    <row r="628" ht="9.9499999999999993" hidden="1" customHeight="1" x14ac:dyDescent="0.2"/>
    <row r="629" ht="9.9499999999999993" hidden="1" customHeight="1" x14ac:dyDescent="0.2"/>
    <row r="630" ht="9.9499999999999993" hidden="1" customHeight="1" x14ac:dyDescent="0.2"/>
    <row r="631" ht="9.9499999999999993" hidden="1" customHeight="1" x14ac:dyDescent="0.2"/>
    <row r="632" ht="9.9499999999999993" hidden="1" customHeight="1" x14ac:dyDescent="0.2"/>
    <row r="633" ht="9.9499999999999993" hidden="1" customHeight="1" x14ac:dyDescent="0.2"/>
    <row r="634" ht="9.9499999999999993" hidden="1" customHeight="1" x14ac:dyDescent="0.2"/>
    <row r="635" ht="9.9499999999999993" hidden="1" customHeight="1" x14ac:dyDescent="0.2"/>
    <row r="636" ht="9.9499999999999993" hidden="1" customHeight="1" x14ac:dyDescent="0.2"/>
    <row r="637" ht="9.9499999999999993" hidden="1" customHeight="1" x14ac:dyDescent="0.2"/>
    <row r="638" ht="9.9499999999999993" hidden="1" customHeight="1" x14ac:dyDescent="0.2"/>
    <row r="639" ht="9.9499999999999993" hidden="1" customHeight="1" x14ac:dyDescent="0.2"/>
    <row r="640" ht="9.9499999999999993" hidden="1" customHeight="1" x14ac:dyDescent="0.2"/>
    <row r="641" ht="9.9499999999999993" hidden="1" customHeight="1" x14ac:dyDescent="0.2"/>
    <row r="642" ht="9.9499999999999993" hidden="1" customHeight="1" x14ac:dyDescent="0.2"/>
    <row r="643" ht="9.9499999999999993" hidden="1" customHeight="1" x14ac:dyDescent="0.2"/>
    <row r="644" ht="9.9499999999999993" hidden="1" customHeight="1" x14ac:dyDescent="0.2"/>
    <row r="645" ht="9.9499999999999993" hidden="1" customHeight="1" x14ac:dyDescent="0.2"/>
    <row r="646" ht="9.9499999999999993" hidden="1" customHeight="1" x14ac:dyDescent="0.2"/>
    <row r="647" ht="9.9499999999999993" hidden="1" customHeight="1" x14ac:dyDescent="0.2"/>
    <row r="648" ht="9.9499999999999993" hidden="1" customHeight="1" x14ac:dyDescent="0.2"/>
    <row r="649" ht="9.9499999999999993" hidden="1" customHeight="1" x14ac:dyDescent="0.2"/>
    <row r="650" ht="9.9499999999999993" hidden="1" customHeight="1" x14ac:dyDescent="0.2"/>
    <row r="651" ht="9.9499999999999993" hidden="1" customHeight="1" x14ac:dyDescent="0.2"/>
    <row r="652" ht="9.9499999999999993" hidden="1" customHeight="1" x14ac:dyDescent="0.2"/>
    <row r="653" ht="9.9499999999999993" hidden="1" customHeight="1" x14ac:dyDescent="0.2"/>
    <row r="654" ht="9.9499999999999993" hidden="1" customHeight="1" x14ac:dyDescent="0.2"/>
    <row r="655" ht="9.9499999999999993" hidden="1" customHeight="1" x14ac:dyDescent="0.2"/>
    <row r="656" ht="9.9499999999999993" hidden="1" customHeight="1" x14ac:dyDescent="0.2"/>
    <row r="657" ht="9.9499999999999993" hidden="1" customHeight="1" x14ac:dyDescent="0.2"/>
    <row r="658" ht="9.9499999999999993" hidden="1" customHeight="1" x14ac:dyDescent="0.2"/>
    <row r="659" ht="9.9499999999999993" hidden="1" customHeight="1" x14ac:dyDescent="0.2"/>
    <row r="660" ht="9.9499999999999993" hidden="1" customHeight="1" x14ac:dyDescent="0.2"/>
    <row r="661" ht="9.9499999999999993" hidden="1" customHeight="1" x14ac:dyDescent="0.2"/>
    <row r="662" ht="9.9499999999999993" hidden="1" customHeight="1" x14ac:dyDescent="0.2"/>
    <row r="663" ht="9.9499999999999993" hidden="1" customHeight="1" x14ac:dyDescent="0.2"/>
    <row r="664" ht="9.9499999999999993" hidden="1" customHeight="1" x14ac:dyDescent="0.2"/>
    <row r="665" ht="9.9499999999999993" hidden="1" customHeight="1" x14ac:dyDescent="0.2"/>
    <row r="666" ht="9.9499999999999993" hidden="1" customHeight="1" x14ac:dyDescent="0.2"/>
    <row r="667" ht="9.9499999999999993" hidden="1" customHeight="1" x14ac:dyDescent="0.2"/>
    <row r="668" ht="9.9499999999999993" hidden="1" customHeight="1" x14ac:dyDescent="0.2"/>
    <row r="669" ht="9.9499999999999993" hidden="1" customHeight="1" x14ac:dyDescent="0.2"/>
    <row r="670" ht="9.9499999999999993" hidden="1" customHeight="1" x14ac:dyDescent="0.2"/>
    <row r="671" ht="9.9499999999999993" hidden="1" customHeight="1" x14ac:dyDescent="0.2"/>
    <row r="672" ht="9.9499999999999993" hidden="1" customHeight="1" x14ac:dyDescent="0.2"/>
    <row r="673" ht="9.9499999999999993" hidden="1" customHeight="1" x14ac:dyDescent="0.2"/>
    <row r="674" ht="9.9499999999999993" hidden="1" customHeight="1" x14ac:dyDescent="0.2"/>
    <row r="675" ht="9.9499999999999993" hidden="1" customHeight="1" x14ac:dyDescent="0.2"/>
    <row r="676" ht="9.9499999999999993" hidden="1" customHeight="1" x14ac:dyDescent="0.2"/>
    <row r="677" ht="9.9499999999999993" hidden="1" customHeight="1" x14ac:dyDescent="0.2"/>
    <row r="678" ht="9.9499999999999993" hidden="1" customHeight="1" x14ac:dyDescent="0.2"/>
    <row r="679" ht="9.9499999999999993" hidden="1" customHeight="1" x14ac:dyDescent="0.2"/>
    <row r="680" ht="9.9499999999999993" hidden="1" customHeight="1" x14ac:dyDescent="0.2"/>
    <row r="681" ht="9.9499999999999993" hidden="1" customHeight="1" x14ac:dyDescent="0.2"/>
    <row r="682" ht="9.9499999999999993" hidden="1" customHeight="1" x14ac:dyDescent="0.2"/>
    <row r="683" ht="9.9499999999999993" hidden="1" customHeight="1" x14ac:dyDescent="0.2"/>
    <row r="684" ht="9.9499999999999993" hidden="1" customHeight="1" x14ac:dyDescent="0.2"/>
    <row r="685" ht="9.9499999999999993" hidden="1" customHeight="1" x14ac:dyDescent="0.2"/>
    <row r="686" ht="9.9499999999999993" hidden="1" customHeight="1" x14ac:dyDescent="0.2"/>
    <row r="687" ht="9.9499999999999993" hidden="1" customHeight="1" x14ac:dyDescent="0.2"/>
    <row r="688" ht="9.9499999999999993" hidden="1" customHeight="1" x14ac:dyDescent="0.2"/>
    <row r="689" ht="9.9499999999999993" hidden="1" customHeight="1" x14ac:dyDescent="0.2"/>
    <row r="690" ht="9.9499999999999993" hidden="1" customHeight="1" x14ac:dyDescent="0.2"/>
    <row r="691" ht="9.9499999999999993" hidden="1" customHeight="1" x14ac:dyDescent="0.2"/>
    <row r="692" ht="9.9499999999999993" hidden="1" customHeight="1" x14ac:dyDescent="0.2"/>
    <row r="693" ht="9.9499999999999993" hidden="1" customHeight="1" x14ac:dyDescent="0.2"/>
    <row r="694" ht="9.9499999999999993" hidden="1" customHeight="1" x14ac:dyDescent="0.2"/>
    <row r="695" ht="9.9499999999999993" hidden="1" customHeight="1" x14ac:dyDescent="0.2"/>
    <row r="696" ht="9.9499999999999993" hidden="1" customHeight="1" x14ac:dyDescent="0.2"/>
    <row r="697" ht="9.9499999999999993" hidden="1" customHeight="1" x14ac:dyDescent="0.2"/>
    <row r="698" ht="9.9499999999999993" hidden="1" customHeight="1" x14ac:dyDescent="0.2"/>
    <row r="699" ht="9.9499999999999993" hidden="1" customHeight="1" x14ac:dyDescent="0.2"/>
    <row r="700" ht="9.9499999999999993" hidden="1" customHeight="1" x14ac:dyDescent="0.2"/>
    <row r="701" ht="9.9499999999999993" hidden="1" customHeight="1" x14ac:dyDescent="0.2"/>
    <row r="702" ht="9.9499999999999993" hidden="1" customHeight="1" x14ac:dyDescent="0.2"/>
    <row r="703" ht="9.9499999999999993" hidden="1" customHeight="1" x14ac:dyDescent="0.2"/>
    <row r="704" ht="9.9499999999999993" hidden="1" customHeight="1" x14ac:dyDescent="0.2"/>
    <row r="705" ht="9.9499999999999993" hidden="1" customHeight="1" x14ac:dyDescent="0.2"/>
    <row r="706" ht="9.9499999999999993" hidden="1" customHeight="1" x14ac:dyDescent="0.2"/>
    <row r="707" ht="9.9499999999999993" hidden="1" customHeight="1" x14ac:dyDescent="0.2"/>
    <row r="708" ht="9.9499999999999993" hidden="1" customHeight="1" x14ac:dyDescent="0.2"/>
    <row r="709" ht="9.9499999999999993" hidden="1" customHeight="1" x14ac:dyDescent="0.2"/>
    <row r="710" ht="9.9499999999999993" hidden="1" customHeight="1" x14ac:dyDescent="0.2"/>
    <row r="711" ht="9.9499999999999993" hidden="1" customHeight="1" x14ac:dyDescent="0.2"/>
    <row r="712" ht="9.9499999999999993" hidden="1" customHeight="1" x14ac:dyDescent="0.2"/>
    <row r="713" ht="9.9499999999999993" hidden="1" customHeight="1" x14ac:dyDescent="0.2"/>
    <row r="714" ht="9.9499999999999993" hidden="1" customHeight="1" x14ac:dyDescent="0.2"/>
    <row r="715" ht="9.9499999999999993" hidden="1" customHeight="1" x14ac:dyDescent="0.2"/>
    <row r="716" ht="9.9499999999999993" hidden="1" customHeight="1" x14ac:dyDescent="0.2"/>
    <row r="717" ht="9.9499999999999993" hidden="1" customHeight="1" x14ac:dyDescent="0.2"/>
    <row r="718" ht="9.9499999999999993" hidden="1" customHeight="1" x14ac:dyDescent="0.2"/>
    <row r="719" ht="9.9499999999999993" hidden="1" customHeight="1" x14ac:dyDescent="0.2"/>
    <row r="720" ht="9.9499999999999993" hidden="1" customHeight="1" x14ac:dyDescent="0.2"/>
    <row r="721" ht="9.9499999999999993" hidden="1" customHeight="1" x14ac:dyDescent="0.2"/>
    <row r="722" ht="9.9499999999999993" hidden="1" customHeight="1" x14ac:dyDescent="0.2"/>
    <row r="723" ht="9.9499999999999993" hidden="1" customHeight="1" x14ac:dyDescent="0.2"/>
    <row r="724" ht="9.9499999999999993" hidden="1" customHeight="1" x14ac:dyDescent="0.2"/>
    <row r="725" ht="9.9499999999999993" hidden="1" customHeight="1" x14ac:dyDescent="0.2"/>
    <row r="726" ht="9.9499999999999993" hidden="1" customHeight="1" x14ac:dyDescent="0.2"/>
    <row r="727" ht="9.9499999999999993" hidden="1" customHeight="1" x14ac:dyDescent="0.2"/>
    <row r="728" ht="9.9499999999999993" hidden="1" customHeight="1" x14ac:dyDescent="0.2"/>
    <row r="729" ht="9.9499999999999993" hidden="1" customHeight="1" x14ac:dyDescent="0.2"/>
    <row r="730" ht="9.9499999999999993" hidden="1" customHeight="1" x14ac:dyDescent="0.2"/>
    <row r="731" ht="9.9499999999999993" hidden="1" customHeight="1" x14ac:dyDescent="0.2"/>
    <row r="732" ht="9.9499999999999993" hidden="1" customHeight="1" x14ac:dyDescent="0.2"/>
    <row r="733" ht="9.9499999999999993" hidden="1" customHeight="1" x14ac:dyDescent="0.2"/>
    <row r="734" ht="9.9499999999999993" hidden="1" customHeight="1" x14ac:dyDescent="0.2"/>
    <row r="735" ht="9.9499999999999993" hidden="1" customHeight="1" x14ac:dyDescent="0.2"/>
    <row r="736" ht="9.9499999999999993" hidden="1" customHeight="1" x14ac:dyDescent="0.2"/>
    <row r="737" ht="9.9499999999999993" hidden="1" customHeight="1" x14ac:dyDescent="0.2"/>
    <row r="738" ht="9.9499999999999993" hidden="1" customHeight="1" x14ac:dyDescent="0.2"/>
    <row r="739" ht="9.9499999999999993" hidden="1" customHeight="1" x14ac:dyDescent="0.2"/>
    <row r="740" ht="9.9499999999999993" hidden="1" customHeight="1" x14ac:dyDescent="0.2"/>
    <row r="741" ht="9.9499999999999993" hidden="1" customHeight="1" x14ac:dyDescent="0.2"/>
    <row r="742" ht="9.9499999999999993" hidden="1" customHeight="1" x14ac:dyDescent="0.2"/>
    <row r="743" ht="9.9499999999999993" hidden="1" customHeight="1" x14ac:dyDescent="0.2"/>
    <row r="744" ht="9.9499999999999993" hidden="1" customHeight="1" x14ac:dyDescent="0.2"/>
    <row r="745" ht="9.9499999999999993" hidden="1" customHeight="1" x14ac:dyDescent="0.2"/>
    <row r="746" ht="9.9499999999999993" hidden="1" customHeight="1" x14ac:dyDescent="0.2"/>
    <row r="747" ht="9.9499999999999993" hidden="1" customHeight="1" x14ac:dyDescent="0.2"/>
    <row r="748" ht="9.9499999999999993" hidden="1" customHeight="1" x14ac:dyDescent="0.2"/>
    <row r="749" ht="9.9499999999999993" hidden="1" customHeight="1" x14ac:dyDescent="0.2"/>
    <row r="750" ht="9.9499999999999993" hidden="1" customHeight="1" x14ac:dyDescent="0.2"/>
    <row r="751" ht="9.9499999999999993" hidden="1" customHeight="1" x14ac:dyDescent="0.2"/>
    <row r="752" ht="9.9499999999999993" hidden="1" customHeight="1" x14ac:dyDescent="0.2"/>
    <row r="753" ht="9.9499999999999993" hidden="1" customHeight="1" x14ac:dyDescent="0.2"/>
    <row r="754" ht="9.9499999999999993" hidden="1" customHeight="1" x14ac:dyDescent="0.2"/>
    <row r="755" ht="9.9499999999999993" hidden="1" customHeight="1" x14ac:dyDescent="0.2"/>
    <row r="756" ht="9.9499999999999993" hidden="1" customHeight="1" x14ac:dyDescent="0.2"/>
    <row r="757" ht="9.9499999999999993" hidden="1" customHeight="1" x14ac:dyDescent="0.2"/>
    <row r="758" ht="9.9499999999999993" hidden="1" customHeight="1" x14ac:dyDescent="0.2"/>
    <row r="759" ht="9.9499999999999993" hidden="1" customHeight="1" x14ac:dyDescent="0.2"/>
    <row r="760" ht="9.9499999999999993" hidden="1" customHeight="1" x14ac:dyDescent="0.2"/>
    <row r="761" ht="9.9499999999999993" hidden="1" customHeight="1" x14ac:dyDescent="0.2"/>
    <row r="762" ht="9.9499999999999993" hidden="1" customHeight="1" x14ac:dyDescent="0.2"/>
    <row r="763" ht="9.9499999999999993" hidden="1" customHeight="1" x14ac:dyDescent="0.2"/>
    <row r="764" ht="9.9499999999999993" hidden="1" customHeight="1" x14ac:dyDescent="0.2"/>
    <row r="765" ht="9.9499999999999993" hidden="1" customHeight="1" x14ac:dyDescent="0.2"/>
    <row r="766" ht="9.9499999999999993" hidden="1" customHeight="1" x14ac:dyDescent="0.2"/>
    <row r="767" ht="9.9499999999999993" hidden="1" customHeight="1" x14ac:dyDescent="0.2"/>
    <row r="768" ht="9.9499999999999993" hidden="1" customHeight="1" x14ac:dyDescent="0.2"/>
    <row r="769" ht="9.9499999999999993" hidden="1" customHeight="1" x14ac:dyDescent="0.2"/>
    <row r="770" ht="9.9499999999999993" hidden="1" customHeight="1" x14ac:dyDescent="0.2"/>
    <row r="771" ht="9.9499999999999993" hidden="1" customHeight="1" x14ac:dyDescent="0.2"/>
    <row r="772" ht="9.9499999999999993" hidden="1" customHeight="1" x14ac:dyDescent="0.2"/>
    <row r="773" ht="9.9499999999999993" hidden="1" customHeight="1" x14ac:dyDescent="0.2"/>
    <row r="774" ht="9.9499999999999993" hidden="1" customHeight="1" x14ac:dyDescent="0.2"/>
    <row r="775" ht="9.9499999999999993" hidden="1" customHeight="1" x14ac:dyDescent="0.2"/>
    <row r="776" ht="9.9499999999999993" hidden="1" customHeight="1" x14ac:dyDescent="0.2"/>
    <row r="777" ht="9.9499999999999993" hidden="1" customHeight="1" x14ac:dyDescent="0.2"/>
    <row r="778" ht="9.9499999999999993" hidden="1" customHeight="1" x14ac:dyDescent="0.2"/>
    <row r="779" ht="9.9499999999999993" hidden="1" customHeight="1" x14ac:dyDescent="0.2"/>
    <row r="780" ht="9.9499999999999993" hidden="1" customHeight="1" x14ac:dyDescent="0.2"/>
    <row r="781" ht="9.9499999999999993" hidden="1" customHeight="1" x14ac:dyDescent="0.2"/>
    <row r="782" ht="9.9499999999999993" hidden="1" customHeight="1" x14ac:dyDescent="0.2"/>
    <row r="783" ht="9.9499999999999993" hidden="1" customHeight="1" x14ac:dyDescent="0.2"/>
    <row r="784" ht="9.9499999999999993" hidden="1" customHeight="1" x14ac:dyDescent="0.2"/>
    <row r="785" ht="9.9499999999999993" hidden="1" customHeight="1" x14ac:dyDescent="0.2"/>
    <row r="786" ht="9.9499999999999993" hidden="1" customHeight="1" x14ac:dyDescent="0.2"/>
    <row r="787" ht="9.9499999999999993" hidden="1" customHeight="1" x14ac:dyDescent="0.2"/>
    <row r="788" ht="9.9499999999999993" hidden="1" customHeight="1" x14ac:dyDescent="0.2"/>
    <row r="789" ht="9.9499999999999993" hidden="1" customHeight="1" x14ac:dyDescent="0.2"/>
    <row r="790" ht="9.9499999999999993" hidden="1" customHeight="1" x14ac:dyDescent="0.2"/>
    <row r="791" ht="9.9499999999999993" hidden="1" customHeight="1" x14ac:dyDescent="0.2"/>
    <row r="792" ht="9.9499999999999993" hidden="1" customHeight="1" x14ac:dyDescent="0.2"/>
    <row r="793" ht="9.9499999999999993" hidden="1" customHeight="1" x14ac:dyDescent="0.2"/>
    <row r="794" ht="9.9499999999999993" hidden="1" customHeight="1" x14ac:dyDescent="0.2"/>
    <row r="795" ht="9.9499999999999993" hidden="1" customHeight="1" x14ac:dyDescent="0.2"/>
    <row r="796" ht="9.9499999999999993" hidden="1" customHeight="1" x14ac:dyDescent="0.2"/>
    <row r="797" ht="9.9499999999999993" hidden="1" customHeight="1" x14ac:dyDescent="0.2"/>
    <row r="798" ht="9.9499999999999993" hidden="1" customHeight="1" x14ac:dyDescent="0.2"/>
    <row r="799" ht="9.9499999999999993" hidden="1" customHeight="1" x14ac:dyDescent="0.2"/>
    <row r="800" ht="9.9499999999999993" hidden="1" customHeight="1" x14ac:dyDescent="0.2"/>
    <row r="801" ht="9.9499999999999993" hidden="1" customHeight="1" x14ac:dyDescent="0.2"/>
    <row r="802" ht="9.9499999999999993" hidden="1" customHeight="1" x14ac:dyDescent="0.2"/>
    <row r="803" ht="9.9499999999999993" hidden="1" customHeight="1" x14ac:dyDescent="0.2"/>
    <row r="804" ht="9.9499999999999993" hidden="1" customHeight="1" x14ac:dyDescent="0.2"/>
    <row r="805" ht="9.9499999999999993" hidden="1" customHeight="1" x14ac:dyDescent="0.2"/>
    <row r="806" ht="9.9499999999999993" hidden="1" customHeight="1" x14ac:dyDescent="0.2"/>
    <row r="807" ht="9.9499999999999993" hidden="1" customHeight="1" x14ac:dyDescent="0.2"/>
    <row r="808" ht="9.9499999999999993" hidden="1" customHeight="1" x14ac:dyDescent="0.2"/>
    <row r="809" ht="9.9499999999999993" hidden="1" customHeight="1" x14ac:dyDescent="0.2"/>
    <row r="810" ht="9.9499999999999993" hidden="1" customHeight="1" x14ac:dyDescent="0.2"/>
    <row r="811" ht="9.9499999999999993" hidden="1" customHeight="1" x14ac:dyDescent="0.2"/>
    <row r="812" ht="9.9499999999999993" hidden="1" customHeight="1" x14ac:dyDescent="0.2"/>
    <row r="813" ht="9.9499999999999993" hidden="1" customHeight="1" x14ac:dyDescent="0.2"/>
    <row r="814" ht="9.9499999999999993" hidden="1" customHeight="1" x14ac:dyDescent="0.2"/>
    <row r="815" ht="9.9499999999999993" hidden="1" customHeight="1" x14ac:dyDescent="0.2"/>
    <row r="816" ht="9.9499999999999993" hidden="1" customHeight="1" x14ac:dyDescent="0.2"/>
    <row r="817" ht="9.9499999999999993" hidden="1" customHeight="1" x14ac:dyDescent="0.2"/>
    <row r="818" ht="9.9499999999999993" hidden="1" customHeight="1" x14ac:dyDescent="0.2"/>
    <row r="819" ht="9.9499999999999993" hidden="1" customHeight="1" x14ac:dyDescent="0.2"/>
    <row r="820" ht="9.9499999999999993" hidden="1" customHeight="1" x14ac:dyDescent="0.2"/>
    <row r="821" ht="9.9499999999999993" hidden="1" customHeight="1" x14ac:dyDescent="0.2"/>
    <row r="822" ht="9.9499999999999993" hidden="1" customHeight="1" x14ac:dyDescent="0.2"/>
    <row r="823" ht="9.9499999999999993" hidden="1" customHeight="1" x14ac:dyDescent="0.2"/>
    <row r="824" ht="9.9499999999999993" hidden="1" customHeight="1" x14ac:dyDescent="0.2"/>
    <row r="825" ht="9.9499999999999993" hidden="1" customHeight="1" x14ac:dyDescent="0.2"/>
    <row r="826" ht="9.9499999999999993" hidden="1" customHeight="1" x14ac:dyDescent="0.2"/>
    <row r="827" ht="9.9499999999999993" hidden="1" customHeight="1" x14ac:dyDescent="0.2"/>
    <row r="828" ht="9.9499999999999993" hidden="1" customHeight="1" x14ac:dyDescent="0.2"/>
    <row r="829" ht="9.9499999999999993" hidden="1" customHeight="1" x14ac:dyDescent="0.2"/>
    <row r="830" ht="9.9499999999999993" hidden="1" customHeight="1" x14ac:dyDescent="0.2"/>
    <row r="831" ht="9.9499999999999993" hidden="1" customHeight="1" x14ac:dyDescent="0.2"/>
    <row r="832" ht="9.9499999999999993" hidden="1" customHeight="1" x14ac:dyDescent="0.2"/>
    <row r="833" ht="9.9499999999999993" hidden="1" customHeight="1" x14ac:dyDescent="0.2"/>
    <row r="834" ht="9.9499999999999993" hidden="1" customHeight="1" x14ac:dyDescent="0.2"/>
    <row r="835" ht="9.9499999999999993" hidden="1" customHeight="1" x14ac:dyDescent="0.2"/>
    <row r="836" ht="9.9499999999999993" hidden="1" customHeight="1" x14ac:dyDescent="0.2"/>
    <row r="837" ht="9.9499999999999993" hidden="1" customHeight="1" x14ac:dyDescent="0.2"/>
    <row r="838" ht="9.9499999999999993" hidden="1" customHeight="1" x14ac:dyDescent="0.2"/>
    <row r="839" ht="9.9499999999999993" hidden="1" customHeight="1" x14ac:dyDescent="0.2"/>
    <row r="840" ht="9.9499999999999993" hidden="1" customHeight="1" x14ac:dyDescent="0.2"/>
    <row r="841" ht="9.9499999999999993" hidden="1" customHeight="1" x14ac:dyDescent="0.2"/>
    <row r="842" ht="9.9499999999999993" hidden="1" customHeight="1" x14ac:dyDescent="0.2"/>
    <row r="843" ht="9.9499999999999993" hidden="1" customHeight="1" x14ac:dyDescent="0.2"/>
    <row r="844" ht="9.9499999999999993" hidden="1" customHeight="1" x14ac:dyDescent="0.2"/>
    <row r="845" ht="9.9499999999999993" hidden="1" customHeight="1" x14ac:dyDescent="0.2"/>
    <row r="846" ht="9.9499999999999993" hidden="1" customHeight="1" x14ac:dyDescent="0.2"/>
    <row r="847" ht="9.9499999999999993" hidden="1" customHeight="1" x14ac:dyDescent="0.2"/>
    <row r="848" ht="9.9499999999999993" hidden="1" customHeight="1" x14ac:dyDescent="0.2"/>
    <row r="849" ht="9.9499999999999993" hidden="1" customHeight="1" x14ac:dyDescent="0.2"/>
    <row r="850" ht="9.9499999999999993" hidden="1" customHeight="1" x14ac:dyDescent="0.2"/>
    <row r="851" ht="9.9499999999999993" hidden="1" customHeight="1" x14ac:dyDescent="0.2"/>
    <row r="852" ht="9.9499999999999993" hidden="1" customHeight="1" x14ac:dyDescent="0.2"/>
    <row r="853" ht="9.9499999999999993" hidden="1" customHeight="1" x14ac:dyDescent="0.2"/>
    <row r="854" ht="9.9499999999999993" hidden="1" customHeight="1" x14ac:dyDescent="0.2"/>
    <row r="855" ht="9.9499999999999993" hidden="1" customHeight="1" x14ac:dyDescent="0.2"/>
    <row r="856" ht="9.9499999999999993" hidden="1" customHeight="1" x14ac:dyDescent="0.2"/>
    <row r="857" ht="9.9499999999999993" hidden="1" customHeight="1" x14ac:dyDescent="0.2"/>
    <row r="858" ht="9.9499999999999993" hidden="1" customHeight="1" x14ac:dyDescent="0.2"/>
    <row r="859" ht="9.9499999999999993" hidden="1" customHeight="1" x14ac:dyDescent="0.2"/>
    <row r="860" ht="9.9499999999999993" hidden="1" customHeight="1" x14ac:dyDescent="0.2"/>
    <row r="861" ht="9.9499999999999993" hidden="1" customHeight="1" x14ac:dyDescent="0.2"/>
    <row r="862" ht="9.9499999999999993" hidden="1" customHeight="1" x14ac:dyDescent="0.2"/>
    <row r="863" ht="9.9499999999999993" hidden="1" customHeight="1" x14ac:dyDescent="0.2"/>
    <row r="864" ht="9.9499999999999993" hidden="1" customHeight="1" x14ac:dyDescent="0.2"/>
    <row r="865" ht="9.9499999999999993" hidden="1" customHeight="1" x14ac:dyDescent="0.2"/>
    <row r="866" ht="9.9499999999999993" hidden="1" customHeight="1" x14ac:dyDescent="0.2"/>
    <row r="867" ht="9.9499999999999993" hidden="1" customHeight="1" x14ac:dyDescent="0.2"/>
    <row r="868" ht="9.9499999999999993" hidden="1" customHeight="1" x14ac:dyDescent="0.2"/>
    <row r="869" ht="9.9499999999999993" hidden="1" customHeight="1" x14ac:dyDescent="0.2"/>
    <row r="870" ht="9.9499999999999993" hidden="1" customHeight="1" x14ac:dyDescent="0.2"/>
    <row r="871" ht="9.9499999999999993" hidden="1" customHeight="1" x14ac:dyDescent="0.2"/>
    <row r="872" ht="9.9499999999999993" hidden="1" customHeight="1" x14ac:dyDescent="0.2"/>
    <row r="873" ht="9.9499999999999993" hidden="1" customHeight="1" x14ac:dyDescent="0.2"/>
    <row r="874" ht="9.9499999999999993" hidden="1" customHeight="1" x14ac:dyDescent="0.2"/>
    <row r="875" ht="9.9499999999999993" hidden="1" customHeight="1" x14ac:dyDescent="0.2"/>
    <row r="876" ht="9.9499999999999993" hidden="1" customHeight="1" x14ac:dyDescent="0.2"/>
    <row r="877" ht="9.9499999999999993" hidden="1" customHeight="1" x14ac:dyDescent="0.2"/>
    <row r="878" ht="9.9499999999999993" hidden="1" customHeight="1" x14ac:dyDescent="0.2"/>
    <row r="879" ht="9.9499999999999993" hidden="1" customHeight="1" x14ac:dyDescent="0.2"/>
    <row r="880" ht="9.9499999999999993" hidden="1" customHeight="1" x14ac:dyDescent="0.2"/>
    <row r="881" ht="9.9499999999999993" hidden="1" customHeight="1" x14ac:dyDescent="0.2"/>
    <row r="882" ht="9.9499999999999993" hidden="1" customHeight="1" x14ac:dyDescent="0.2"/>
    <row r="883" ht="9.9499999999999993" hidden="1" customHeight="1" x14ac:dyDescent="0.2"/>
    <row r="884" ht="9.9499999999999993" hidden="1" customHeight="1" x14ac:dyDescent="0.2"/>
    <row r="885" ht="9.9499999999999993" hidden="1" customHeight="1" x14ac:dyDescent="0.2"/>
    <row r="886" ht="9.9499999999999993" hidden="1" customHeight="1" x14ac:dyDescent="0.2"/>
    <row r="887" ht="9.9499999999999993" hidden="1" customHeight="1" x14ac:dyDescent="0.2"/>
    <row r="888" ht="9.9499999999999993" hidden="1" customHeight="1" x14ac:dyDescent="0.2"/>
    <row r="889" ht="9.9499999999999993" hidden="1" customHeight="1" x14ac:dyDescent="0.2"/>
    <row r="890" ht="9.9499999999999993" hidden="1" customHeight="1" x14ac:dyDescent="0.2"/>
    <row r="891" ht="9.9499999999999993" hidden="1" customHeight="1" x14ac:dyDescent="0.2"/>
    <row r="892" ht="9.9499999999999993" hidden="1" customHeight="1" x14ac:dyDescent="0.2"/>
    <row r="893" ht="9.9499999999999993" hidden="1" customHeight="1" x14ac:dyDescent="0.2"/>
    <row r="894" ht="9.9499999999999993" hidden="1" customHeight="1" x14ac:dyDescent="0.2"/>
    <row r="895" ht="9.9499999999999993" hidden="1" customHeight="1" x14ac:dyDescent="0.2"/>
    <row r="896" ht="9.9499999999999993" hidden="1" customHeight="1" x14ac:dyDescent="0.2"/>
    <row r="897" ht="9.9499999999999993" hidden="1" customHeight="1" x14ac:dyDescent="0.2"/>
    <row r="898" ht="9.9499999999999993" hidden="1" customHeight="1" x14ac:dyDescent="0.2"/>
    <row r="899" ht="9.9499999999999993" hidden="1" customHeight="1" x14ac:dyDescent="0.2"/>
    <row r="900" ht="9.9499999999999993" hidden="1" customHeight="1" x14ac:dyDescent="0.2"/>
    <row r="901" ht="9.9499999999999993" hidden="1" customHeight="1" x14ac:dyDescent="0.2"/>
    <row r="902" ht="9.9499999999999993" hidden="1" customHeight="1" x14ac:dyDescent="0.2"/>
    <row r="903" ht="9.9499999999999993" hidden="1" customHeight="1" x14ac:dyDescent="0.2"/>
    <row r="904" ht="9.9499999999999993" hidden="1" customHeight="1" x14ac:dyDescent="0.2"/>
    <row r="905" ht="9.9499999999999993" hidden="1" customHeight="1" x14ac:dyDescent="0.2"/>
    <row r="906" ht="9.9499999999999993" hidden="1" customHeight="1" x14ac:dyDescent="0.2"/>
    <row r="907" ht="9.9499999999999993" hidden="1" customHeight="1" x14ac:dyDescent="0.2"/>
    <row r="908" ht="9.9499999999999993" hidden="1" customHeight="1" x14ac:dyDescent="0.2"/>
    <row r="909" ht="9.9499999999999993" hidden="1" customHeight="1" x14ac:dyDescent="0.2"/>
    <row r="910" ht="9.9499999999999993" hidden="1" customHeight="1" x14ac:dyDescent="0.2"/>
    <row r="911" ht="9.9499999999999993" hidden="1" customHeight="1" x14ac:dyDescent="0.2"/>
    <row r="912" ht="9.9499999999999993" hidden="1" customHeight="1" x14ac:dyDescent="0.2"/>
    <row r="913" ht="9.9499999999999993" hidden="1" customHeight="1" x14ac:dyDescent="0.2"/>
    <row r="914" ht="9.9499999999999993" hidden="1" customHeight="1" x14ac:dyDescent="0.2"/>
    <row r="915" ht="9.9499999999999993" hidden="1" customHeight="1" x14ac:dyDescent="0.2"/>
    <row r="916" ht="9.9499999999999993" hidden="1" customHeight="1" x14ac:dyDescent="0.2"/>
    <row r="917" ht="9.9499999999999993" hidden="1" customHeight="1" x14ac:dyDescent="0.2"/>
    <row r="918" ht="9.9499999999999993" hidden="1" customHeight="1" x14ac:dyDescent="0.2"/>
    <row r="919" ht="9.9499999999999993" hidden="1" customHeight="1" x14ac:dyDescent="0.2"/>
    <row r="920" ht="9.9499999999999993" hidden="1" customHeight="1" x14ac:dyDescent="0.2"/>
    <row r="921" ht="9.9499999999999993" hidden="1" customHeight="1" x14ac:dyDescent="0.2"/>
    <row r="922" ht="9.9499999999999993" hidden="1" customHeight="1" x14ac:dyDescent="0.2"/>
    <row r="923" ht="9.9499999999999993" hidden="1" customHeight="1" x14ac:dyDescent="0.2"/>
    <row r="924" ht="9.9499999999999993" hidden="1" customHeight="1" x14ac:dyDescent="0.2"/>
    <row r="925" ht="9.9499999999999993" hidden="1" customHeight="1" x14ac:dyDescent="0.2"/>
    <row r="926" ht="9.9499999999999993" hidden="1" customHeight="1" x14ac:dyDescent="0.2"/>
    <row r="927" ht="9.9499999999999993" hidden="1" customHeight="1" x14ac:dyDescent="0.2"/>
    <row r="928" ht="9.9499999999999993" hidden="1" customHeight="1" x14ac:dyDescent="0.2"/>
    <row r="929" ht="9.9499999999999993" hidden="1" customHeight="1" x14ac:dyDescent="0.2"/>
    <row r="930" ht="9.9499999999999993" hidden="1" customHeight="1" x14ac:dyDescent="0.2"/>
    <row r="931" ht="9.9499999999999993" hidden="1" customHeight="1" x14ac:dyDescent="0.2"/>
    <row r="932" ht="9.9499999999999993" hidden="1" customHeight="1" x14ac:dyDescent="0.2"/>
    <row r="933" ht="9.9499999999999993" hidden="1" customHeight="1" x14ac:dyDescent="0.2"/>
    <row r="934" ht="9.9499999999999993" hidden="1" customHeight="1" x14ac:dyDescent="0.2"/>
    <row r="935" ht="9.9499999999999993" hidden="1" customHeight="1" x14ac:dyDescent="0.2"/>
    <row r="936" ht="9.9499999999999993" hidden="1" customHeight="1" x14ac:dyDescent="0.2"/>
    <row r="937" ht="9.9499999999999993" hidden="1" customHeight="1" x14ac:dyDescent="0.2"/>
    <row r="938" ht="9.9499999999999993" hidden="1" customHeight="1" x14ac:dyDescent="0.2"/>
    <row r="939" ht="9.9499999999999993" hidden="1" customHeight="1" x14ac:dyDescent="0.2"/>
    <row r="940" ht="9.9499999999999993" hidden="1" customHeight="1" x14ac:dyDescent="0.2"/>
    <row r="941" ht="9.9499999999999993" hidden="1" customHeight="1" x14ac:dyDescent="0.2"/>
    <row r="942" ht="9.9499999999999993" hidden="1" customHeight="1" x14ac:dyDescent="0.2"/>
    <row r="943" ht="9.9499999999999993" hidden="1" customHeight="1" x14ac:dyDescent="0.2"/>
    <row r="944" ht="9.9499999999999993" hidden="1" customHeight="1" x14ac:dyDescent="0.2"/>
    <row r="945" ht="9.9499999999999993" hidden="1" customHeight="1" x14ac:dyDescent="0.2"/>
    <row r="946" ht="9.9499999999999993" hidden="1" customHeight="1" x14ac:dyDescent="0.2"/>
    <row r="947" ht="9.9499999999999993" hidden="1" customHeight="1" x14ac:dyDescent="0.2"/>
    <row r="948" ht="9.9499999999999993" hidden="1" customHeight="1" x14ac:dyDescent="0.2"/>
    <row r="949" ht="9.9499999999999993" hidden="1" customHeight="1" x14ac:dyDescent="0.2"/>
    <row r="950" ht="9.9499999999999993" hidden="1" customHeight="1" x14ac:dyDescent="0.2"/>
    <row r="951" ht="9.9499999999999993" hidden="1" customHeight="1" x14ac:dyDescent="0.2"/>
    <row r="952" ht="9.9499999999999993" hidden="1" customHeight="1" x14ac:dyDescent="0.2"/>
    <row r="953" ht="9.9499999999999993" hidden="1" customHeight="1" x14ac:dyDescent="0.2"/>
    <row r="954" ht="9.9499999999999993" hidden="1" customHeight="1" x14ac:dyDescent="0.2"/>
    <row r="955" ht="9.9499999999999993" hidden="1" customHeight="1" x14ac:dyDescent="0.2"/>
    <row r="956" ht="9.9499999999999993" hidden="1" customHeight="1" x14ac:dyDescent="0.2"/>
    <row r="957" ht="9.9499999999999993" hidden="1" customHeight="1" x14ac:dyDescent="0.2"/>
    <row r="958" ht="9.9499999999999993" hidden="1" customHeight="1" x14ac:dyDescent="0.2"/>
    <row r="959" ht="9.9499999999999993" hidden="1" customHeight="1" x14ac:dyDescent="0.2"/>
    <row r="960" ht="9.9499999999999993" hidden="1" customHeight="1" x14ac:dyDescent="0.2"/>
    <row r="961" ht="9.9499999999999993" hidden="1" customHeight="1" x14ac:dyDescent="0.2"/>
    <row r="962" ht="9.9499999999999993" hidden="1" customHeight="1" x14ac:dyDescent="0.2"/>
    <row r="963" ht="9.9499999999999993" hidden="1" customHeight="1" x14ac:dyDescent="0.2"/>
    <row r="964" ht="9.9499999999999993" hidden="1" customHeight="1" x14ac:dyDescent="0.2"/>
    <row r="965" ht="9.9499999999999993" hidden="1" customHeight="1" x14ac:dyDescent="0.2"/>
    <row r="966" ht="9.9499999999999993" hidden="1" customHeight="1" x14ac:dyDescent="0.2"/>
    <row r="967" ht="9.9499999999999993" hidden="1" customHeight="1" x14ac:dyDescent="0.2"/>
    <row r="968" ht="9.9499999999999993" hidden="1" customHeight="1" x14ac:dyDescent="0.2"/>
    <row r="969" ht="9.9499999999999993" hidden="1" customHeight="1" x14ac:dyDescent="0.2"/>
    <row r="970" ht="9.9499999999999993" hidden="1" customHeight="1" x14ac:dyDescent="0.2"/>
    <row r="971" ht="9.9499999999999993" hidden="1" customHeight="1" x14ac:dyDescent="0.2"/>
    <row r="972" ht="9.9499999999999993" hidden="1" customHeight="1" x14ac:dyDescent="0.2"/>
    <row r="973" ht="9.9499999999999993" hidden="1" customHeight="1" x14ac:dyDescent="0.2"/>
    <row r="974" ht="9.9499999999999993" hidden="1" customHeight="1" x14ac:dyDescent="0.2"/>
    <row r="975" ht="9.9499999999999993" hidden="1" customHeight="1" x14ac:dyDescent="0.2"/>
    <row r="976" ht="9.9499999999999993" hidden="1" customHeight="1" x14ac:dyDescent="0.2"/>
    <row r="977" ht="9.9499999999999993" hidden="1" customHeight="1" x14ac:dyDescent="0.2"/>
    <row r="978" ht="9.9499999999999993" hidden="1" customHeight="1" x14ac:dyDescent="0.2"/>
    <row r="979" ht="9.9499999999999993" hidden="1" customHeight="1" x14ac:dyDescent="0.2"/>
    <row r="980" ht="9.9499999999999993" hidden="1" customHeight="1" x14ac:dyDescent="0.2"/>
    <row r="981" ht="9.9499999999999993" hidden="1" customHeight="1" x14ac:dyDescent="0.2"/>
    <row r="982" ht="9.9499999999999993" hidden="1" customHeight="1" x14ac:dyDescent="0.2"/>
    <row r="983" ht="9.9499999999999993" hidden="1" customHeight="1" x14ac:dyDescent="0.2"/>
    <row r="984" ht="9.9499999999999993" hidden="1" customHeight="1" x14ac:dyDescent="0.2"/>
    <row r="985" ht="9.9499999999999993" hidden="1" customHeight="1" x14ac:dyDescent="0.2"/>
    <row r="986" ht="9.9499999999999993" hidden="1" customHeight="1" x14ac:dyDescent="0.2"/>
    <row r="987" ht="9.9499999999999993" hidden="1" customHeight="1" x14ac:dyDescent="0.2"/>
    <row r="988" ht="9.9499999999999993" hidden="1" customHeight="1" x14ac:dyDescent="0.2"/>
    <row r="989" ht="9.9499999999999993" hidden="1" customHeight="1" x14ac:dyDescent="0.2"/>
    <row r="990" ht="9.9499999999999993" hidden="1" customHeight="1" x14ac:dyDescent="0.2"/>
    <row r="991" ht="9.9499999999999993" hidden="1" customHeight="1" x14ac:dyDescent="0.2"/>
    <row r="992" ht="9.9499999999999993" hidden="1" customHeight="1" x14ac:dyDescent="0.2"/>
    <row r="993" ht="9.9499999999999993" hidden="1" customHeight="1" x14ac:dyDescent="0.2"/>
    <row r="994" ht="9.9499999999999993" hidden="1" customHeight="1" x14ac:dyDescent="0.2"/>
    <row r="995" ht="9.9499999999999993" hidden="1" customHeight="1" x14ac:dyDescent="0.2"/>
    <row r="996" ht="9.9499999999999993" hidden="1" customHeight="1" x14ac:dyDescent="0.2"/>
    <row r="997" ht="9.9499999999999993" hidden="1" customHeight="1" x14ac:dyDescent="0.2"/>
    <row r="998" ht="9.9499999999999993" hidden="1" customHeight="1" x14ac:dyDescent="0.2"/>
    <row r="999" ht="9.9499999999999993" hidden="1" customHeight="1" x14ac:dyDescent="0.2"/>
    <row r="1000" ht="9.9499999999999993" hidden="1" customHeight="1" x14ac:dyDescent="0.2"/>
    <row r="1001" ht="9.9499999999999993" hidden="1" customHeight="1" x14ac:dyDescent="0.2"/>
    <row r="1002" ht="9.9499999999999993" hidden="1" customHeight="1" x14ac:dyDescent="0.2"/>
    <row r="1003" ht="9.9499999999999993" hidden="1" customHeight="1" x14ac:dyDescent="0.2"/>
    <row r="1004" ht="9.9499999999999993" hidden="1" customHeight="1" x14ac:dyDescent="0.2"/>
    <row r="1005" ht="9.9499999999999993" hidden="1" customHeight="1" x14ac:dyDescent="0.2"/>
    <row r="1006" ht="9.9499999999999993" hidden="1" customHeight="1" x14ac:dyDescent="0.2"/>
    <row r="1007" ht="9.9499999999999993" hidden="1" customHeight="1" x14ac:dyDescent="0.2"/>
    <row r="1008" ht="9.9499999999999993" hidden="1" customHeight="1" x14ac:dyDescent="0.2"/>
    <row r="1009" ht="9.9499999999999993" hidden="1" customHeight="1" x14ac:dyDescent="0.2"/>
    <row r="1010" ht="9.9499999999999993" hidden="1" customHeight="1" x14ac:dyDescent="0.2"/>
    <row r="1011" ht="9.9499999999999993" hidden="1" customHeight="1" x14ac:dyDescent="0.2"/>
    <row r="1012" ht="9.9499999999999993" hidden="1" customHeight="1" x14ac:dyDescent="0.2"/>
    <row r="1013" ht="9.9499999999999993" hidden="1" customHeight="1" x14ac:dyDescent="0.2"/>
    <row r="1014" ht="9.9499999999999993" hidden="1" customHeight="1" x14ac:dyDescent="0.2"/>
    <row r="1015" ht="9.9499999999999993" hidden="1" customHeight="1" x14ac:dyDescent="0.2"/>
    <row r="1016" ht="9.9499999999999993" hidden="1" customHeight="1" x14ac:dyDescent="0.2"/>
    <row r="1017" ht="9.9499999999999993" hidden="1" customHeight="1" x14ac:dyDescent="0.2"/>
    <row r="1018" ht="9.9499999999999993" hidden="1" customHeight="1" x14ac:dyDescent="0.2"/>
    <row r="1019" ht="9.9499999999999993" hidden="1" customHeight="1" x14ac:dyDescent="0.2"/>
    <row r="1020" ht="9.9499999999999993" hidden="1" customHeight="1" x14ac:dyDescent="0.2"/>
    <row r="1021" ht="9.9499999999999993" hidden="1" customHeight="1" x14ac:dyDescent="0.2"/>
    <row r="1022" ht="9.9499999999999993" hidden="1" customHeight="1" x14ac:dyDescent="0.2"/>
    <row r="1023" ht="9.9499999999999993" hidden="1" customHeight="1" x14ac:dyDescent="0.2"/>
    <row r="1024" ht="9.9499999999999993" hidden="1" customHeight="1" x14ac:dyDescent="0.2"/>
    <row r="1025" ht="9.9499999999999993" hidden="1" customHeight="1" x14ac:dyDescent="0.2"/>
    <row r="1026" ht="9.9499999999999993" hidden="1" customHeight="1" x14ac:dyDescent="0.2"/>
    <row r="1027" ht="9.9499999999999993" hidden="1" customHeight="1" x14ac:dyDescent="0.2"/>
    <row r="1028" ht="9.9499999999999993" hidden="1" customHeight="1" x14ac:dyDescent="0.2"/>
    <row r="1029" ht="9.9499999999999993" hidden="1" customHeight="1" x14ac:dyDescent="0.2"/>
    <row r="1030" ht="9.9499999999999993" hidden="1" customHeight="1" x14ac:dyDescent="0.2"/>
    <row r="1031" ht="9.9499999999999993" hidden="1" customHeight="1" x14ac:dyDescent="0.2"/>
    <row r="1032" ht="9.9499999999999993" hidden="1" customHeight="1" x14ac:dyDescent="0.2"/>
    <row r="1033" ht="9.9499999999999993" hidden="1" customHeight="1" x14ac:dyDescent="0.2"/>
    <row r="1034" ht="9.9499999999999993" hidden="1" customHeight="1" x14ac:dyDescent="0.2"/>
    <row r="1035" ht="9.9499999999999993" hidden="1" customHeight="1" x14ac:dyDescent="0.2"/>
    <row r="1036" ht="9.9499999999999993" hidden="1" customHeight="1" x14ac:dyDescent="0.2"/>
    <row r="1037" ht="9.9499999999999993" hidden="1" customHeight="1" x14ac:dyDescent="0.2"/>
    <row r="1038" ht="9.9499999999999993" hidden="1" customHeight="1" x14ac:dyDescent="0.2"/>
    <row r="1039" ht="9.9499999999999993" hidden="1" customHeight="1" x14ac:dyDescent="0.2"/>
    <row r="1040" ht="9.9499999999999993" hidden="1" customHeight="1" x14ac:dyDescent="0.2"/>
    <row r="1041" ht="9.9499999999999993" hidden="1" customHeight="1" x14ac:dyDescent="0.2"/>
    <row r="1042" ht="9.9499999999999993" hidden="1" customHeight="1" x14ac:dyDescent="0.2"/>
    <row r="1043" ht="9.9499999999999993" hidden="1" customHeight="1" x14ac:dyDescent="0.2"/>
    <row r="1044" ht="9.9499999999999993" hidden="1" customHeight="1" x14ac:dyDescent="0.2"/>
    <row r="1045" ht="9.9499999999999993" hidden="1" customHeight="1" x14ac:dyDescent="0.2"/>
    <row r="1046" ht="9.9499999999999993" hidden="1" customHeight="1" x14ac:dyDescent="0.2"/>
    <row r="1047" ht="9.9499999999999993" hidden="1" customHeight="1" x14ac:dyDescent="0.2"/>
    <row r="1048" ht="9.9499999999999993" hidden="1" customHeight="1" x14ac:dyDescent="0.2"/>
    <row r="1049" ht="9.9499999999999993" hidden="1" customHeight="1" x14ac:dyDescent="0.2"/>
    <row r="1050" ht="9.9499999999999993" hidden="1" customHeight="1" x14ac:dyDescent="0.2"/>
    <row r="1051" ht="9.9499999999999993" hidden="1" customHeight="1" x14ac:dyDescent="0.2"/>
    <row r="1052" ht="9.9499999999999993" hidden="1" customHeight="1" x14ac:dyDescent="0.2"/>
    <row r="1053" ht="9.9499999999999993" hidden="1" customHeight="1" x14ac:dyDescent="0.2"/>
    <row r="1054" ht="9.9499999999999993" hidden="1" customHeight="1" x14ac:dyDescent="0.2"/>
    <row r="1055" ht="9.9499999999999993" hidden="1" customHeight="1" x14ac:dyDescent="0.2"/>
    <row r="1056" ht="9.9499999999999993" hidden="1" customHeight="1" x14ac:dyDescent="0.2"/>
    <row r="1057" ht="9.9499999999999993" hidden="1" customHeight="1" x14ac:dyDescent="0.2"/>
    <row r="1058" ht="9.9499999999999993" hidden="1" customHeight="1" x14ac:dyDescent="0.2"/>
    <row r="1059" ht="9.9499999999999993" hidden="1" customHeight="1" x14ac:dyDescent="0.2"/>
    <row r="1060" ht="9.9499999999999993" hidden="1" customHeight="1" x14ac:dyDescent="0.2"/>
    <row r="1061" ht="9.9499999999999993" hidden="1" customHeight="1" x14ac:dyDescent="0.2"/>
    <row r="1062" ht="9.9499999999999993" hidden="1" customHeight="1" x14ac:dyDescent="0.2"/>
    <row r="1063" ht="9.9499999999999993" hidden="1" customHeight="1" x14ac:dyDescent="0.2"/>
    <row r="1064" ht="9.9499999999999993" hidden="1" customHeight="1" x14ac:dyDescent="0.2"/>
    <row r="1065" ht="9.9499999999999993" hidden="1" customHeight="1" x14ac:dyDescent="0.2"/>
    <row r="1066" ht="9.9499999999999993" hidden="1" customHeight="1" x14ac:dyDescent="0.2"/>
    <row r="1067" ht="9.9499999999999993" hidden="1" customHeight="1" x14ac:dyDescent="0.2"/>
    <row r="1068" ht="9.9499999999999993" hidden="1" customHeight="1" x14ac:dyDescent="0.2"/>
    <row r="1069" ht="9.9499999999999993" hidden="1" customHeight="1" x14ac:dyDescent="0.2"/>
    <row r="1070" ht="9.9499999999999993" hidden="1" customHeight="1" x14ac:dyDescent="0.2"/>
    <row r="1071" ht="9.9499999999999993" hidden="1" customHeight="1" x14ac:dyDescent="0.2"/>
    <row r="1072" ht="9.9499999999999993" hidden="1" customHeight="1" x14ac:dyDescent="0.2"/>
    <row r="1073" ht="9.9499999999999993" hidden="1" customHeight="1" x14ac:dyDescent="0.2"/>
    <row r="1074" ht="9.9499999999999993" hidden="1" customHeight="1" x14ac:dyDescent="0.2"/>
    <row r="1075" ht="9.9499999999999993" hidden="1" customHeight="1" x14ac:dyDescent="0.2"/>
    <row r="1076" ht="9.9499999999999993" hidden="1" customHeight="1" x14ac:dyDescent="0.2"/>
    <row r="1077" ht="9.9499999999999993" hidden="1" customHeight="1" x14ac:dyDescent="0.2"/>
    <row r="1078" ht="9.9499999999999993" hidden="1" customHeight="1" x14ac:dyDescent="0.2"/>
    <row r="1079" ht="9.9499999999999993" hidden="1" customHeight="1" x14ac:dyDescent="0.2"/>
    <row r="1080" ht="9.9499999999999993" hidden="1" customHeight="1" x14ac:dyDescent="0.2"/>
    <row r="1081" ht="9.9499999999999993" hidden="1" customHeight="1" x14ac:dyDescent="0.2"/>
    <row r="1082" ht="9.9499999999999993" hidden="1" customHeight="1" x14ac:dyDescent="0.2"/>
    <row r="1083" ht="9.9499999999999993" hidden="1" customHeight="1" x14ac:dyDescent="0.2"/>
    <row r="1084" ht="9.9499999999999993" hidden="1" customHeight="1" x14ac:dyDescent="0.2"/>
    <row r="1085" ht="9.9499999999999993" hidden="1" customHeight="1" x14ac:dyDescent="0.2"/>
    <row r="1086" ht="9.9499999999999993" hidden="1" customHeight="1" x14ac:dyDescent="0.2"/>
    <row r="1087" ht="9.9499999999999993" hidden="1" customHeight="1" x14ac:dyDescent="0.2"/>
    <row r="1088" ht="9.9499999999999993" hidden="1" customHeight="1" x14ac:dyDescent="0.2"/>
    <row r="1089" ht="9.9499999999999993" hidden="1" customHeight="1" x14ac:dyDescent="0.2"/>
    <row r="1090" ht="9.9499999999999993" hidden="1" customHeight="1" x14ac:dyDescent="0.2"/>
    <row r="1091" ht="9.9499999999999993" hidden="1" customHeight="1" x14ac:dyDescent="0.2"/>
    <row r="1092" ht="9.9499999999999993" hidden="1" customHeight="1" x14ac:dyDescent="0.2"/>
    <row r="1093" ht="9.9499999999999993" hidden="1" customHeight="1" x14ac:dyDescent="0.2"/>
    <row r="1094" ht="9.9499999999999993" hidden="1" customHeight="1" x14ac:dyDescent="0.2"/>
    <row r="1095" ht="9.9499999999999993" hidden="1" customHeight="1" x14ac:dyDescent="0.2"/>
    <row r="1096" ht="9.9499999999999993" hidden="1" customHeight="1" x14ac:dyDescent="0.2"/>
    <row r="1097" ht="9.9499999999999993" hidden="1" customHeight="1" x14ac:dyDescent="0.2"/>
    <row r="1098" ht="9.9499999999999993" hidden="1" customHeight="1" x14ac:dyDescent="0.2"/>
    <row r="1099" ht="9.9499999999999993" hidden="1" customHeight="1" x14ac:dyDescent="0.2"/>
    <row r="1100" ht="9.9499999999999993" hidden="1" customHeight="1" x14ac:dyDescent="0.2"/>
    <row r="1101" ht="9.9499999999999993" hidden="1" customHeight="1" x14ac:dyDescent="0.2"/>
    <row r="1102" ht="9.9499999999999993" hidden="1" customHeight="1" x14ac:dyDescent="0.2"/>
    <row r="1103" ht="9.9499999999999993" hidden="1" customHeight="1" x14ac:dyDescent="0.2"/>
    <row r="1104" ht="9.9499999999999993" hidden="1" customHeight="1" x14ac:dyDescent="0.2"/>
    <row r="1105" ht="9.9499999999999993" hidden="1" customHeight="1" x14ac:dyDescent="0.2"/>
    <row r="1106" ht="9.9499999999999993" hidden="1" customHeight="1" x14ac:dyDescent="0.2"/>
    <row r="1107" ht="9.9499999999999993" hidden="1" customHeight="1" x14ac:dyDescent="0.2"/>
    <row r="1108" ht="9.9499999999999993" hidden="1" customHeight="1" x14ac:dyDescent="0.2"/>
    <row r="1109" ht="9.9499999999999993" hidden="1" customHeight="1" x14ac:dyDescent="0.2"/>
    <row r="1110" ht="9.9499999999999993" hidden="1" customHeight="1" x14ac:dyDescent="0.2"/>
    <row r="1111" ht="9.9499999999999993" hidden="1" customHeight="1" x14ac:dyDescent="0.2"/>
    <row r="1112" ht="9.9499999999999993" hidden="1" customHeight="1" x14ac:dyDescent="0.2"/>
    <row r="1113" ht="9.9499999999999993" hidden="1" customHeight="1" x14ac:dyDescent="0.2"/>
    <row r="1114" ht="9.9499999999999993" hidden="1" customHeight="1" x14ac:dyDescent="0.2"/>
    <row r="1115" ht="9.9499999999999993" hidden="1" customHeight="1" x14ac:dyDescent="0.2"/>
    <row r="1116" ht="9.9499999999999993" hidden="1" customHeight="1" x14ac:dyDescent="0.2"/>
    <row r="1117" ht="9.9499999999999993" hidden="1" customHeight="1" x14ac:dyDescent="0.2"/>
    <row r="1118" ht="9.9499999999999993" hidden="1" customHeight="1" x14ac:dyDescent="0.2"/>
    <row r="1119" ht="9.9499999999999993" hidden="1" customHeight="1" x14ac:dyDescent="0.2"/>
    <row r="1120" ht="9.9499999999999993" hidden="1" customHeight="1" x14ac:dyDescent="0.2"/>
    <row r="1121" ht="9.9499999999999993" hidden="1" customHeight="1" x14ac:dyDescent="0.2"/>
    <row r="1122" ht="9.9499999999999993" hidden="1" customHeight="1" x14ac:dyDescent="0.2"/>
    <row r="1123" ht="9.9499999999999993" hidden="1" customHeight="1" x14ac:dyDescent="0.2"/>
    <row r="1124" ht="9.9499999999999993" hidden="1" customHeight="1" x14ac:dyDescent="0.2"/>
    <row r="1125" ht="9.9499999999999993" hidden="1" customHeight="1" x14ac:dyDescent="0.2"/>
    <row r="1126" ht="9.9499999999999993" hidden="1" customHeight="1" x14ac:dyDescent="0.2"/>
    <row r="1127" ht="9.9499999999999993" hidden="1" customHeight="1" x14ac:dyDescent="0.2"/>
    <row r="1128" ht="9.9499999999999993" hidden="1" customHeight="1" x14ac:dyDescent="0.2"/>
    <row r="1129" ht="9.9499999999999993" hidden="1" customHeight="1" x14ac:dyDescent="0.2"/>
    <row r="1130" ht="9.9499999999999993" hidden="1" customHeight="1" x14ac:dyDescent="0.2"/>
    <row r="1131" ht="9.9499999999999993" hidden="1" customHeight="1" x14ac:dyDescent="0.2"/>
    <row r="1132" ht="9.9499999999999993" hidden="1" customHeight="1" x14ac:dyDescent="0.2"/>
    <row r="1133" ht="9.9499999999999993" hidden="1" customHeight="1" x14ac:dyDescent="0.2"/>
    <row r="1134" ht="9.9499999999999993" hidden="1" customHeight="1" x14ac:dyDescent="0.2"/>
    <row r="1135" ht="9.9499999999999993" hidden="1" customHeight="1" x14ac:dyDescent="0.2"/>
    <row r="1136" ht="9.9499999999999993" hidden="1" customHeight="1" x14ac:dyDescent="0.2"/>
    <row r="1137" ht="9.9499999999999993" hidden="1" customHeight="1" x14ac:dyDescent="0.2"/>
    <row r="1138" ht="9.9499999999999993" hidden="1" customHeight="1" x14ac:dyDescent="0.2"/>
    <row r="1139" ht="9.9499999999999993" hidden="1" customHeight="1" x14ac:dyDescent="0.2"/>
    <row r="1140" ht="9.9499999999999993" hidden="1" customHeight="1" x14ac:dyDescent="0.2"/>
    <row r="1141" ht="9.9499999999999993" hidden="1" customHeight="1" x14ac:dyDescent="0.2"/>
    <row r="1142" ht="9.9499999999999993" hidden="1" customHeight="1" x14ac:dyDescent="0.2"/>
    <row r="1143" ht="9.9499999999999993" hidden="1" customHeight="1" x14ac:dyDescent="0.2"/>
    <row r="1144" ht="9.9499999999999993" hidden="1" customHeight="1" x14ac:dyDescent="0.2"/>
    <row r="1145" ht="9.9499999999999993" hidden="1" customHeight="1" x14ac:dyDescent="0.2"/>
    <row r="1146" ht="9.9499999999999993" hidden="1" customHeight="1" x14ac:dyDescent="0.2"/>
    <row r="1147" ht="9.9499999999999993" hidden="1" customHeight="1" x14ac:dyDescent="0.2"/>
    <row r="1148" ht="9.9499999999999993" hidden="1" customHeight="1" x14ac:dyDescent="0.2"/>
    <row r="1149" ht="9.9499999999999993" hidden="1" customHeight="1" x14ac:dyDescent="0.2"/>
    <row r="1150" ht="9.9499999999999993" hidden="1" customHeight="1" x14ac:dyDescent="0.2"/>
    <row r="1151" ht="9.9499999999999993" hidden="1" customHeight="1" x14ac:dyDescent="0.2"/>
    <row r="1152" ht="9.9499999999999993" hidden="1" customHeight="1" x14ac:dyDescent="0.2"/>
    <row r="1153" ht="9.9499999999999993" hidden="1" customHeight="1" x14ac:dyDescent="0.2"/>
    <row r="1154" ht="9.9499999999999993" hidden="1" customHeight="1" x14ac:dyDescent="0.2"/>
    <row r="1155" ht="9.9499999999999993" hidden="1" customHeight="1" x14ac:dyDescent="0.2"/>
    <row r="1156" ht="9.9499999999999993" hidden="1" customHeight="1" x14ac:dyDescent="0.2"/>
    <row r="1157" ht="9.9499999999999993" hidden="1" customHeight="1" x14ac:dyDescent="0.2"/>
    <row r="1158" ht="9.9499999999999993" hidden="1" customHeight="1" x14ac:dyDescent="0.2"/>
    <row r="1159" ht="9.9499999999999993" hidden="1" customHeight="1" x14ac:dyDescent="0.2"/>
    <row r="1160" ht="9.9499999999999993" hidden="1" customHeight="1" x14ac:dyDescent="0.2"/>
    <row r="1161" ht="9.9499999999999993" hidden="1" customHeight="1" x14ac:dyDescent="0.2"/>
    <row r="1162" ht="9.9499999999999993" hidden="1" customHeight="1" x14ac:dyDescent="0.2"/>
    <row r="1163" ht="9.9499999999999993" hidden="1" customHeight="1" x14ac:dyDescent="0.2"/>
    <row r="1164" ht="9.9499999999999993" hidden="1" customHeight="1" x14ac:dyDescent="0.2"/>
    <row r="1165" ht="9.9499999999999993" hidden="1" customHeight="1" x14ac:dyDescent="0.2"/>
    <row r="1166" ht="9.9499999999999993" hidden="1" customHeight="1" x14ac:dyDescent="0.2"/>
    <row r="1167" ht="9.9499999999999993" hidden="1" customHeight="1" x14ac:dyDescent="0.2"/>
    <row r="1168" ht="9.9499999999999993" hidden="1" customHeight="1" x14ac:dyDescent="0.2"/>
    <row r="1169" ht="9.9499999999999993" hidden="1" customHeight="1" x14ac:dyDescent="0.2"/>
    <row r="1170" ht="9.9499999999999993" hidden="1" customHeight="1" x14ac:dyDescent="0.2"/>
    <row r="1171" ht="9.9499999999999993" hidden="1" customHeight="1" x14ac:dyDescent="0.2"/>
    <row r="1172" ht="9.9499999999999993" hidden="1" customHeight="1" x14ac:dyDescent="0.2"/>
    <row r="1173" ht="9.9499999999999993" hidden="1" customHeight="1" x14ac:dyDescent="0.2"/>
    <row r="1174" ht="9.9499999999999993" hidden="1" customHeight="1" x14ac:dyDescent="0.2"/>
    <row r="1175" ht="9.9499999999999993" hidden="1" customHeight="1" x14ac:dyDescent="0.2"/>
    <row r="1176" ht="9.9499999999999993" hidden="1" customHeight="1" x14ac:dyDescent="0.2"/>
    <row r="1177" ht="9.9499999999999993" hidden="1" customHeight="1" x14ac:dyDescent="0.2"/>
    <row r="1178" ht="9.9499999999999993" hidden="1" customHeight="1" x14ac:dyDescent="0.2"/>
    <row r="1179" ht="9.9499999999999993" hidden="1" customHeight="1" x14ac:dyDescent="0.2"/>
    <row r="1180" ht="9.9499999999999993" hidden="1" customHeight="1" x14ac:dyDescent="0.2"/>
    <row r="1181" ht="9.9499999999999993" hidden="1" customHeight="1" x14ac:dyDescent="0.2"/>
    <row r="1182" ht="9.9499999999999993" hidden="1" customHeight="1" x14ac:dyDescent="0.2"/>
    <row r="1183" ht="9.9499999999999993" hidden="1" customHeight="1" x14ac:dyDescent="0.2"/>
    <row r="1184" ht="9.9499999999999993" hidden="1" customHeight="1" x14ac:dyDescent="0.2"/>
    <row r="1185" ht="9.9499999999999993" hidden="1" customHeight="1" x14ac:dyDescent="0.2"/>
    <row r="1186" ht="9.9499999999999993" hidden="1" customHeight="1" x14ac:dyDescent="0.2"/>
    <row r="1187" ht="9.9499999999999993" hidden="1" customHeight="1" x14ac:dyDescent="0.2"/>
    <row r="1188" ht="9.9499999999999993" hidden="1" customHeight="1" x14ac:dyDescent="0.2"/>
    <row r="1189" ht="9.9499999999999993" hidden="1" customHeight="1" x14ac:dyDescent="0.2"/>
    <row r="1190" ht="9.9499999999999993" hidden="1" customHeight="1" x14ac:dyDescent="0.2"/>
    <row r="1191" ht="9.9499999999999993" hidden="1" customHeight="1" x14ac:dyDescent="0.2"/>
    <row r="1192" ht="9.9499999999999993" hidden="1" customHeight="1" x14ac:dyDescent="0.2"/>
    <row r="1193" ht="9.9499999999999993" hidden="1" customHeight="1" x14ac:dyDescent="0.2"/>
    <row r="1194" ht="9.9499999999999993" hidden="1" customHeight="1" x14ac:dyDescent="0.2"/>
    <row r="1195" ht="9.9499999999999993" hidden="1" customHeight="1" x14ac:dyDescent="0.2"/>
    <row r="1196" ht="9.9499999999999993" hidden="1" customHeight="1" x14ac:dyDescent="0.2"/>
    <row r="1197" ht="9.9499999999999993" hidden="1" customHeight="1" x14ac:dyDescent="0.2"/>
    <row r="1198" ht="9.9499999999999993" hidden="1" customHeight="1" x14ac:dyDescent="0.2"/>
    <row r="1199" ht="9.9499999999999993" hidden="1" customHeight="1" x14ac:dyDescent="0.2"/>
    <row r="1200" ht="9.9499999999999993" hidden="1" customHeight="1" x14ac:dyDescent="0.2"/>
    <row r="1201" ht="9.9499999999999993" hidden="1" customHeight="1" x14ac:dyDescent="0.2"/>
    <row r="1202" ht="9.9499999999999993" hidden="1" customHeight="1" x14ac:dyDescent="0.2"/>
    <row r="1203" ht="9.9499999999999993" hidden="1" customHeight="1" x14ac:dyDescent="0.2"/>
    <row r="1204" ht="9.9499999999999993" hidden="1" customHeight="1" x14ac:dyDescent="0.2"/>
    <row r="1205" ht="9.9499999999999993" hidden="1" customHeight="1" x14ac:dyDescent="0.2"/>
    <row r="1206" ht="9.9499999999999993" hidden="1" customHeight="1" x14ac:dyDescent="0.2"/>
    <row r="1207" ht="9.9499999999999993" hidden="1" customHeight="1" x14ac:dyDescent="0.2"/>
    <row r="1208" ht="9.9499999999999993" hidden="1" customHeight="1" x14ac:dyDescent="0.2"/>
    <row r="1209" ht="9.9499999999999993" hidden="1" customHeight="1" x14ac:dyDescent="0.2"/>
    <row r="1210" ht="9.9499999999999993" hidden="1" customHeight="1" x14ac:dyDescent="0.2"/>
    <row r="1211" ht="9.9499999999999993" hidden="1" customHeight="1" x14ac:dyDescent="0.2"/>
    <row r="1212" ht="9.9499999999999993" hidden="1" customHeight="1" x14ac:dyDescent="0.2"/>
    <row r="1213" ht="9.9499999999999993" hidden="1" customHeight="1" x14ac:dyDescent="0.2"/>
    <row r="1214" ht="9.9499999999999993" hidden="1" customHeight="1" x14ac:dyDescent="0.2"/>
    <row r="1215" ht="9.9499999999999993" hidden="1" customHeight="1" x14ac:dyDescent="0.2"/>
    <row r="1216" ht="9.9499999999999993" hidden="1" customHeight="1" x14ac:dyDescent="0.2"/>
    <row r="1217" ht="9.9499999999999993" hidden="1" customHeight="1" x14ac:dyDescent="0.2"/>
    <row r="1218" ht="9.9499999999999993" hidden="1" customHeight="1" x14ac:dyDescent="0.2"/>
    <row r="1219" ht="9.9499999999999993" hidden="1" customHeight="1" x14ac:dyDescent="0.2"/>
    <row r="1220" ht="9.9499999999999993" hidden="1" customHeight="1" x14ac:dyDescent="0.2"/>
    <row r="1221" ht="9.9499999999999993" hidden="1" customHeight="1" x14ac:dyDescent="0.2"/>
    <row r="1222" ht="9.9499999999999993" hidden="1" customHeight="1" x14ac:dyDescent="0.2"/>
    <row r="1223" ht="9.9499999999999993" hidden="1" customHeight="1" x14ac:dyDescent="0.2"/>
    <row r="1224" ht="9.9499999999999993" hidden="1" customHeight="1" x14ac:dyDescent="0.2"/>
    <row r="1225" ht="9.9499999999999993" hidden="1" customHeight="1" x14ac:dyDescent="0.2"/>
    <row r="1226" ht="9.9499999999999993" hidden="1" customHeight="1" x14ac:dyDescent="0.2"/>
    <row r="1227" ht="9.9499999999999993" hidden="1" customHeight="1" x14ac:dyDescent="0.2"/>
    <row r="1228" ht="9.9499999999999993" hidden="1" customHeight="1" x14ac:dyDescent="0.2"/>
    <row r="1229" ht="9.9499999999999993" hidden="1" customHeight="1" x14ac:dyDescent="0.2"/>
    <row r="1230" ht="9.9499999999999993" hidden="1" customHeight="1" x14ac:dyDescent="0.2"/>
    <row r="1231" ht="9.9499999999999993" hidden="1" customHeight="1" x14ac:dyDescent="0.2"/>
    <row r="1232" ht="9.9499999999999993" hidden="1" customHeight="1" x14ac:dyDescent="0.2"/>
    <row r="1233" ht="9.9499999999999993" hidden="1" customHeight="1" x14ac:dyDescent="0.2"/>
    <row r="1234" ht="9.9499999999999993" hidden="1" customHeight="1" x14ac:dyDescent="0.2"/>
    <row r="1235" ht="9.9499999999999993" hidden="1" customHeight="1" x14ac:dyDescent="0.2"/>
    <row r="1236" ht="9.9499999999999993" hidden="1" customHeight="1" x14ac:dyDescent="0.2"/>
    <row r="1237" ht="9.9499999999999993" hidden="1" customHeight="1" x14ac:dyDescent="0.2"/>
    <row r="1238" ht="9.9499999999999993" hidden="1" customHeight="1" x14ac:dyDescent="0.2"/>
    <row r="1239" ht="9.9499999999999993" hidden="1" customHeight="1" x14ac:dyDescent="0.2"/>
    <row r="1240" ht="9.9499999999999993" hidden="1" customHeight="1" x14ac:dyDescent="0.2"/>
    <row r="1241" ht="9.9499999999999993" hidden="1" customHeight="1" x14ac:dyDescent="0.2"/>
    <row r="1242" ht="9.9499999999999993" hidden="1" customHeight="1" x14ac:dyDescent="0.2"/>
    <row r="1243" ht="9.9499999999999993" hidden="1" customHeight="1" x14ac:dyDescent="0.2"/>
    <row r="1244" ht="9.9499999999999993" hidden="1" customHeight="1" x14ac:dyDescent="0.2"/>
    <row r="1245" ht="9.9499999999999993" hidden="1" customHeight="1" x14ac:dyDescent="0.2"/>
    <row r="1246" ht="9.9499999999999993" hidden="1" customHeight="1" x14ac:dyDescent="0.2"/>
    <row r="1247" ht="9.9499999999999993" hidden="1" customHeight="1" x14ac:dyDescent="0.2"/>
    <row r="1248" ht="9.9499999999999993" hidden="1" customHeight="1" x14ac:dyDescent="0.2"/>
    <row r="1249" ht="9.9499999999999993" hidden="1" customHeight="1" x14ac:dyDescent="0.2"/>
    <row r="1250" ht="9.9499999999999993" hidden="1" customHeight="1" x14ac:dyDescent="0.2"/>
    <row r="1251" ht="9.9499999999999993" hidden="1" customHeight="1" x14ac:dyDescent="0.2"/>
    <row r="1252" ht="9.9499999999999993" hidden="1" customHeight="1" x14ac:dyDescent="0.2"/>
    <row r="1253" ht="9.9499999999999993" hidden="1" customHeight="1" x14ac:dyDescent="0.2"/>
    <row r="1254" ht="9.9499999999999993" hidden="1" customHeight="1" x14ac:dyDescent="0.2"/>
    <row r="1255" ht="9.9499999999999993" hidden="1" customHeight="1" x14ac:dyDescent="0.2"/>
    <row r="1256" ht="9.9499999999999993" hidden="1" customHeight="1" x14ac:dyDescent="0.2"/>
    <row r="1257" ht="9.9499999999999993" hidden="1" customHeight="1" x14ac:dyDescent="0.2"/>
    <row r="1258" ht="9.9499999999999993" hidden="1" customHeight="1" x14ac:dyDescent="0.2"/>
    <row r="1259" ht="9.9499999999999993" hidden="1" customHeight="1" x14ac:dyDescent="0.2"/>
    <row r="1260" ht="9.9499999999999993" hidden="1" customHeight="1" x14ac:dyDescent="0.2"/>
    <row r="1261" ht="9.9499999999999993" hidden="1" customHeight="1" x14ac:dyDescent="0.2"/>
    <row r="1262" ht="9.9499999999999993" hidden="1" customHeight="1" x14ac:dyDescent="0.2"/>
    <row r="1263" ht="9.9499999999999993" hidden="1" customHeight="1" x14ac:dyDescent="0.2"/>
    <row r="1264" ht="9.9499999999999993" hidden="1" customHeight="1" x14ac:dyDescent="0.2"/>
    <row r="1265" ht="9.9499999999999993" hidden="1" customHeight="1" x14ac:dyDescent="0.2"/>
    <row r="1266" ht="9.9499999999999993" hidden="1" customHeight="1" x14ac:dyDescent="0.2"/>
    <row r="1267" ht="9.9499999999999993" hidden="1" customHeight="1" x14ac:dyDescent="0.2"/>
    <row r="1268" ht="9.9499999999999993" hidden="1" customHeight="1" x14ac:dyDescent="0.2"/>
    <row r="1269" ht="9.9499999999999993" hidden="1" customHeight="1" x14ac:dyDescent="0.2"/>
    <row r="1270" ht="9.9499999999999993" hidden="1" customHeight="1" x14ac:dyDescent="0.2"/>
    <row r="1271" ht="9.9499999999999993" hidden="1" customHeight="1" x14ac:dyDescent="0.2"/>
    <row r="1272" ht="9.9499999999999993" hidden="1" customHeight="1" x14ac:dyDescent="0.2"/>
    <row r="1273" ht="9.9499999999999993" hidden="1" customHeight="1" x14ac:dyDescent="0.2"/>
    <row r="1274" ht="9.9499999999999993" hidden="1" customHeight="1" x14ac:dyDescent="0.2"/>
    <row r="1275" ht="9.9499999999999993" hidden="1" customHeight="1" x14ac:dyDescent="0.2"/>
    <row r="1276" ht="9.9499999999999993" hidden="1" customHeight="1" x14ac:dyDescent="0.2"/>
    <row r="1277" ht="9.9499999999999993" hidden="1" customHeight="1" x14ac:dyDescent="0.2"/>
    <row r="1278" ht="9.9499999999999993" hidden="1" customHeight="1" x14ac:dyDescent="0.2"/>
    <row r="1279" ht="9.9499999999999993" hidden="1" customHeight="1" x14ac:dyDescent="0.2"/>
    <row r="1280" ht="9.9499999999999993" hidden="1" customHeight="1" x14ac:dyDescent="0.2"/>
    <row r="1281" ht="9.9499999999999993" hidden="1" customHeight="1" x14ac:dyDescent="0.2"/>
    <row r="1282" ht="9.9499999999999993" hidden="1" customHeight="1" x14ac:dyDescent="0.2"/>
    <row r="1283" ht="9.9499999999999993" hidden="1" customHeight="1" x14ac:dyDescent="0.2"/>
    <row r="1284" ht="9.9499999999999993" hidden="1" customHeight="1" x14ac:dyDescent="0.2"/>
    <row r="1285" ht="9.9499999999999993" hidden="1" customHeight="1" x14ac:dyDescent="0.2"/>
    <row r="1286" ht="9.9499999999999993" hidden="1" customHeight="1" x14ac:dyDescent="0.2"/>
    <row r="1287" ht="9.9499999999999993" hidden="1" customHeight="1" x14ac:dyDescent="0.2"/>
    <row r="1288" ht="9.9499999999999993" hidden="1" customHeight="1" x14ac:dyDescent="0.2"/>
    <row r="1289" ht="9.9499999999999993" hidden="1" customHeight="1" x14ac:dyDescent="0.2"/>
    <row r="1290" ht="9.9499999999999993" hidden="1" customHeight="1" x14ac:dyDescent="0.2"/>
    <row r="1291" ht="9.9499999999999993" hidden="1" customHeight="1" x14ac:dyDescent="0.2"/>
    <row r="1292" ht="9.9499999999999993" hidden="1" customHeight="1" x14ac:dyDescent="0.2"/>
    <row r="1293" ht="9.9499999999999993" hidden="1" customHeight="1" x14ac:dyDescent="0.2"/>
    <row r="1294" ht="9.9499999999999993" hidden="1" customHeight="1" x14ac:dyDescent="0.2"/>
    <row r="1295" ht="9.9499999999999993" hidden="1" customHeight="1" x14ac:dyDescent="0.2"/>
    <row r="1296" ht="9.9499999999999993" hidden="1" customHeight="1" x14ac:dyDescent="0.2"/>
    <row r="1297" ht="9.9499999999999993" hidden="1" customHeight="1" x14ac:dyDescent="0.2"/>
    <row r="1298" ht="9.9499999999999993" hidden="1" customHeight="1" x14ac:dyDescent="0.2"/>
    <row r="1299" ht="9.9499999999999993" hidden="1" customHeight="1" x14ac:dyDescent="0.2"/>
    <row r="1300" ht="9.9499999999999993" hidden="1" customHeight="1" x14ac:dyDescent="0.2"/>
    <row r="1301" ht="9.9499999999999993" hidden="1" customHeight="1" x14ac:dyDescent="0.2"/>
    <row r="1302" ht="9.9499999999999993" hidden="1" customHeight="1" x14ac:dyDescent="0.2"/>
    <row r="1303" ht="9.9499999999999993" hidden="1" customHeight="1" x14ac:dyDescent="0.2"/>
    <row r="1304" ht="9.9499999999999993" hidden="1" customHeight="1" x14ac:dyDescent="0.2"/>
    <row r="1305" ht="9.9499999999999993" hidden="1" customHeight="1" x14ac:dyDescent="0.2"/>
    <row r="1306" ht="9.9499999999999993" hidden="1" customHeight="1" x14ac:dyDescent="0.2"/>
    <row r="1307" ht="9.9499999999999993" hidden="1" customHeight="1" x14ac:dyDescent="0.2"/>
    <row r="1308" ht="9.9499999999999993" hidden="1" customHeight="1" x14ac:dyDescent="0.2"/>
    <row r="1309" ht="9.9499999999999993" hidden="1" customHeight="1" x14ac:dyDescent="0.2"/>
    <row r="1310" ht="9.9499999999999993" hidden="1" customHeight="1" x14ac:dyDescent="0.2"/>
    <row r="1311" ht="9.9499999999999993" hidden="1" customHeight="1" x14ac:dyDescent="0.2"/>
    <row r="1312" ht="9.9499999999999993" hidden="1" customHeight="1" x14ac:dyDescent="0.2"/>
    <row r="1313" ht="9.9499999999999993" hidden="1" customHeight="1" x14ac:dyDescent="0.2"/>
    <row r="1314" ht="9.9499999999999993" hidden="1" customHeight="1" x14ac:dyDescent="0.2"/>
    <row r="1315" ht="9.9499999999999993" hidden="1" customHeight="1" x14ac:dyDescent="0.2"/>
    <row r="1316" ht="9.9499999999999993" hidden="1" customHeight="1" x14ac:dyDescent="0.2"/>
    <row r="1317" ht="9.9499999999999993" hidden="1" customHeight="1" x14ac:dyDescent="0.2"/>
    <row r="1318" ht="9.9499999999999993" hidden="1" customHeight="1" x14ac:dyDescent="0.2"/>
    <row r="1319" ht="9.9499999999999993" hidden="1" customHeight="1" x14ac:dyDescent="0.2"/>
    <row r="1320" ht="9.9499999999999993" hidden="1" customHeight="1" x14ac:dyDescent="0.2"/>
    <row r="1321" ht="9.9499999999999993" hidden="1" customHeight="1" x14ac:dyDescent="0.2"/>
    <row r="1322" ht="9.9499999999999993" hidden="1" customHeight="1" x14ac:dyDescent="0.2"/>
    <row r="1323" ht="9.9499999999999993" hidden="1" customHeight="1" x14ac:dyDescent="0.2"/>
    <row r="1324" ht="9.9499999999999993" hidden="1" customHeight="1" x14ac:dyDescent="0.2"/>
    <row r="1325" ht="9.9499999999999993" hidden="1" customHeight="1" x14ac:dyDescent="0.2"/>
    <row r="1326" ht="9.9499999999999993" hidden="1" customHeight="1" x14ac:dyDescent="0.2"/>
    <row r="1327" ht="9.9499999999999993" hidden="1" customHeight="1" x14ac:dyDescent="0.2"/>
    <row r="1328" ht="9.9499999999999993" hidden="1" customHeight="1" x14ac:dyDescent="0.2"/>
    <row r="1329" ht="9.9499999999999993" hidden="1" customHeight="1" x14ac:dyDescent="0.2"/>
    <row r="1330" ht="9.9499999999999993" hidden="1" customHeight="1" x14ac:dyDescent="0.2"/>
    <row r="1331" ht="9.9499999999999993" hidden="1" customHeight="1" x14ac:dyDescent="0.2"/>
    <row r="1332" ht="9.9499999999999993" hidden="1" customHeight="1" x14ac:dyDescent="0.2"/>
    <row r="1333" ht="9.9499999999999993" hidden="1" customHeight="1" x14ac:dyDescent="0.2"/>
    <row r="1334" ht="9.9499999999999993" hidden="1" customHeight="1" x14ac:dyDescent="0.2"/>
    <row r="1335" ht="9.9499999999999993" hidden="1" customHeight="1" x14ac:dyDescent="0.2"/>
    <row r="1336" ht="9.9499999999999993" hidden="1" customHeight="1" x14ac:dyDescent="0.2"/>
    <row r="1337" ht="9.9499999999999993" hidden="1" customHeight="1" x14ac:dyDescent="0.2"/>
    <row r="1338" ht="9.9499999999999993" hidden="1" customHeight="1" x14ac:dyDescent="0.2"/>
    <row r="1339" ht="9.9499999999999993" hidden="1" customHeight="1" x14ac:dyDescent="0.2"/>
    <row r="1340" ht="9.9499999999999993" hidden="1" customHeight="1" x14ac:dyDescent="0.2"/>
    <row r="1341" ht="9.9499999999999993" hidden="1" customHeight="1" x14ac:dyDescent="0.2"/>
    <row r="1342" ht="9.9499999999999993" hidden="1" customHeight="1" x14ac:dyDescent="0.2"/>
    <row r="1343" ht="9.9499999999999993" hidden="1" customHeight="1" x14ac:dyDescent="0.2"/>
    <row r="1344" ht="9.9499999999999993" hidden="1" customHeight="1" x14ac:dyDescent="0.2"/>
    <row r="1345" ht="9.9499999999999993" hidden="1" customHeight="1" x14ac:dyDescent="0.2"/>
    <row r="1346" ht="9.9499999999999993" hidden="1" customHeight="1" x14ac:dyDescent="0.2"/>
    <row r="1347" ht="9.9499999999999993" hidden="1" customHeight="1" x14ac:dyDescent="0.2"/>
    <row r="1348" ht="9.9499999999999993" hidden="1" customHeight="1" x14ac:dyDescent="0.2"/>
    <row r="1349" ht="9.9499999999999993" hidden="1" customHeight="1" x14ac:dyDescent="0.2"/>
    <row r="1350" ht="9.9499999999999993" hidden="1" customHeight="1" x14ac:dyDescent="0.2"/>
    <row r="1351" ht="9.9499999999999993" hidden="1" customHeight="1" x14ac:dyDescent="0.2"/>
    <row r="1352" ht="9.9499999999999993" hidden="1" customHeight="1" x14ac:dyDescent="0.2"/>
    <row r="1353" ht="9.9499999999999993" hidden="1" customHeight="1" x14ac:dyDescent="0.2"/>
    <row r="1354" ht="9.9499999999999993" hidden="1" customHeight="1" x14ac:dyDescent="0.2"/>
    <row r="1355" ht="9.9499999999999993" hidden="1" customHeight="1" x14ac:dyDescent="0.2"/>
    <row r="1356" ht="9.9499999999999993" hidden="1" customHeight="1" x14ac:dyDescent="0.2"/>
    <row r="1357" ht="9.9499999999999993" hidden="1" customHeight="1" x14ac:dyDescent="0.2"/>
    <row r="1358" ht="9.9499999999999993" hidden="1" customHeight="1" x14ac:dyDescent="0.2"/>
    <row r="1359" ht="9.9499999999999993" hidden="1" customHeight="1" x14ac:dyDescent="0.2"/>
    <row r="1360" ht="9.9499999999999993" hidden="1" customHeight="1" x14ac:dyDescent="0.2"/>
    <row r="1361" ht="9.9499999999999993" hidden="1" customHeight="1" x14ac:dyDescent="0.2"/>
    <row r="1362" ht="9.9499999999999993" hidden="1" customHeight="1" x14ac:dyDescent="0.2"/>
    <row r="1363" ht="9.9499999999999993" hidden="1" customHeight="1" x14ac:dyDescent="0.2"/>
    <row r="1364" ht="9.9499999999999993" hidden="1" customHeight="1" x14ac:dyDescent="0.2"/>
    <row r="1365" ht="9.9499999999999993" hidden="1" customHeight="1" x14ac:dyDescent="0.2"/>
    <row r="1366" ht="9.9499999999999993" hidden="1" customHeight="1" x14ac:dyDescent="0.2"/>
    <row r="1367" ht="9.9499999999999993" hidden="1" customHeight="1" x14ac:dyDescent="0.2"/>
    <row r="1368" ht="9.9499999999999993" hidden="1" customHeight="1" x14ac:dyDescent="0.2"/>
    <row r="1369" ht="9.9499999999999993" hidden="1" customHeight="1" x14ac:dyDescent="0.2"/>
    <row r="1370" ht="9.9499999999999993" hidden="1" customHeight="1" x14ac:dyDescent="0.2"/>
    <row r="1371" ht="9.9499999999999993" hidden="1" customHeight="1" x14ac:dyDescent="0.2"/>
    <row r="1372" ht="9.9499999999999993" hidden="1" customHeight="1" x14ac:dyDescent="0.2"/>
    <row r="1373" ht="9.9499999999999993" hidden="1" customHeight="1" x14ac:dyDescent="0.2"/>
    <row r="1374" ht="9.9499999999999993" hidden="1" customHeight="1" x14ac:dyDescent="0.2"/>
    <row r="1375" ht="9.9499999999999993" hidden="1" customHeight="1" x14ac:dyDescent="0.2"/>
    <row r="1376" ht="9.9499999999999993" hidden="1" customHeight="1" x14ac:dyDescent="0.2"/>
    <row r="1377" ht="9.9499999999999993" hidden="1" customHeight="1" x14ac:dyDescent="0.2"/>
    <row r="1378" ht="9.9499999999999993" hidden="1" customHeight="1" x14ac:dyDescent="0.2"/>
    <row r="1379" ht="9.9499999999999993" hidden="1" customHeight="1" x14ac:dyDescent="0.2"/>
    <row r="1380" ht="9.9499999999999993" hidden="1" customHeight="1" x14ac:dyDescent="0.2"/>
    <row r="1381" ht="9.9499999999999993" hidden="1" customHeight="1" x14ac:dyDescent="0.2"/>
    <row r="1382" ht="9.9499999999999993" hidden="1" customHeight="1" x14ac:dyDescent="0.2"/>
    <row r="1383" ht="9.9499999999999993" hidden="1" customHeight="1" x14ac:dyDescent="0.2"/>
    <row r="1384" ht="9.9499999999999993" hidden="1" customHeight="1" x14ac:dyDescent="0.2"/>
    <row r="1385" ht="9.9499999999999993" hidden="1" customHeight="1" x14ac:dyDescent="0.2"/>
    <row r="1386" ht="9.9499999999999993" hidden="1" customHeight="1" x14ac:dyDescent="0.2"/>
    <row r="1387" ht="9.9499999999999993" hidden="1" customHeight="1" x14ac:dyDescent="0.2"/>
    <row r="1388" ht="9.9499999999999993" hidden="1" customHeight="1" x14ac:dyDescent="0.2"/>
    <row r="1389" ht="9.9499999999999993" hidden="1" customHeight="1" x14ac:dyDescent="0.2"/>
    <row r="1390" ht="9.9499999999999993" hidden="1" customHeight="1" x14ac:dyDescent="0.2"/>
    <row r="1391" ht="9.9499999999999993" hidden="1" customHeight="1" x14ac:dyDescent="0.2"/>
    <row r="1392" ht="9.9499999999999993" hidden="1" customHeight="1" x14ac:dyDescent="0.2"/>
    <row r="1393" ht="9.9499999999999993" hidden="1" customHeight="1" x14ac:dyDescent="0.2"/>
    <row r="1394" ht="9.9499999999999993" hidden="1" customHeight="1" x14ac:dyDescent="0.2"/>
    <row r="1395" ht="9.9499999999999993" hidden="1" customHeight="1" x14ac:dyDescent="0.2"/>
    <row r="1396" ht="9.9499999999999993" hidden="1" customHeight="1" x14ac:dyDescent="0.2"/>
    <row r="1397" ht="9.9499999999999993" hidden="1" customHeight="1" x14ac:dyDescent="0.2"/>
    <row r="1398" ht="9.9499999999999993" hidden="1" customHeight="1" x14ac:dyDescent="0.2"/>
    <row r="1399" ht="9.9499999999999993" hidden="1" customHeight="1" x14ac:dyDescent="0.2"/>
    <row r="1400" ht="9.9499999999999993" hidden="1" customHeight="1" x14ac:dyDescent="0.2"/>
    <row r="1401" ht="9.9499999999999993" hidden="1" customHeight="1" x14ac:dyDescent="0.2"/>
    <row r="1402" ht="9.9499999999999993" hidden="1" customHeight="1" x14ac:dyDescent="0.2"/>
    <row r="1403" ht="9.9499999999999993" hidden="1" customHeight="1" x14ac:dyDescent="0.2"/>
    <row r="1404" ht="9.9499999999999993" hidden="1" customHeight="1" x14ac:dyDescent="0.2"/>
    <row r="1405" ht="9.9499999999999993" hidden="1" customHeight="1" x14ac:dyDescent="0.2"/>
    <row r="1406" ht="9.9499999999999993" hidden="1" customHeight="1" x14ac:dyDescent="0.2"/>
    <row r="1407" ht="9.9499999999999993" hidden="1" customHeight="1" x14ac:dyDescent="0.2"/>
    <row r="1408" ht="9.9499999999999993" hidden="1" customHeight="1" x14ac:dyDescent="0.2"/>
    <row r="1409" ht="9.9499999999999993" hidden="1" customHeight="1" x14ac:dyDescent="0.2"/>
    <row r="1410" ht="9.9499999999999993" hidden="1" customHeight="1" x14ac:dyDescent="0.2"/>
    <row r="1411" ht="9.9499999999999993" hidden="1" customHeight="1" x14ac:dyDescent="0.2"/>
    <row r="1412" ht="9.9499999999999993" hidden="1" customHeight="1" x14ac:dyDescent="0.2"/>
    <row r="1413" ht="9.9499999999999993" hidden="1" customHeight="1" x14ac:dyDescent="0.2"/>
    <row r="1414" ht="9.9499999999999993" hidden="1" customHeight="1" x14ac:dyDescent="0.2"/>
    <row r="1415" ht="9.9499999999999993" hidden="1" customHeight="1" x14ac:dyDescent="0.2"/>
    <row r="1416" ht="9.9499999999999993" hidden="1" customHeight="1" x14ac:dyDescent="0.2"/>
    <row r="1417" ht="9.9499999999999993" hidden="1" customHeight="1" x14ac:dyDescent="0.2"/>
    <row r="1418" ht="9.9499999999999993" hidden="1" customHeight="1" x14ac:dyDescent="0.2"/>
    <row r="1419" ht="9.9499999999999993" hidden="1" customHeight="1" x14ac:dyDescent="0.2"/>
    <row r="1420" ht="9.9499999999999993" hidden="1" customHeight="1" x14ac:dyDescent="0.2"/>
    <row r="1421" ht="9.9499999999999993" hidden="1" customHeight="1" x14ac:dyDescent="0.2"/>
    <row r="1422" ht="9.9499999999999993" hidden="1" customHeight="1" x14ac:dyDescent="0.2"/>
    <row r="1423" ht="9.9499999999999993" hidden="1" customHeight="1" x14ac:dyDescent="0.2"/>
    <row r="1424" ht="9.9499999999999993" hidden="1" customHeight="1" x14ac:dyDescent="0.2"/>
    <row r="1425" ht="9.9499999999999993" hidden="1" customHeight="1" x14ac:dyDescent="0.2"/>
    <row r="1426" ht="9.9499999999999993" hidden="1" customHeight="1" x14ac:dyDescent="0.2"/>
    <row r="1427" ht="9.9499999999999993" hidden="1" customHeight="1" x14ac:dyDescent="0.2"/>
    <row r="1428" ht="9.9499999999999993" hidden="1" customHeight="1" x14ac:dyDescent="0.2"/>
    <row r="1429" ht="9.9499999999999993" hidden="1" customHeight="1" x14ac:dyDescent="0.2"/>
    <row r="1430" ht="9.9499999999999993" hidden="1" customHeight="1" x14ac:dyDescent="0.2"/>
    <row r="1431" ht="9.9499999999999993" hidden="1" customHeight="1" x14ac:dyDescent="0.2"/>
    <row r="1432" ht="9.9499999999999993" hidden="1" customHeight="1" x14ac:dyDescent="0.2"/>
    <row r="1433" ht="9.9499999999999993" hidden="1" customHeight="1" x14ac:dyDescent="0.2"/>
    <row r="1434" ht="9.9499999999999993" hidden="1" customHeight="1" x14ac:dyDescent="0.2"/>
    <row r="1435" ht="9.9499999999999993" hidden="1" customHeight="1" x14ac:dyDescent="0.2"/>
    <row r="1436" ht="9.9499999999999993" hidden="1" customHeight="1" x14ac:dyDescent="0.2"/>
    <row r="1437" ht="9.9499999999999993" hidden="1" customHeight="1" x14ac:dyDescent="0.2"/>
    <row r="1438" ht="9.9499999999999993" hidden="1" customHeight="1" x14ac:dyDescent="0.2"/>
    <row r="1439" ht="9.9499999999999993" hidden="1" customHeight="1" x14ac:dyDescent="0.2"/>
    <row r="1440" ht="9.9499999999999993" hidden="1" customHeight="1" x14ac:dyDescent="0.2"/>
    <row r="1441" ht="9.9499999999999993" hidden="1" customHeight="1" x14ac:dyDescent="0.2"/>
    <row r="1442" ht="9.9499999999999993" hidden="1" customHeight="1" x14ac:dyDescent="0.2"/>
    <row r="1443" ht="9.9499999999999993" hidden="1" customHeight="1" x14ac:dyDescent="0.2"/>
    <row r="1444" ht="9.9499999999999993" hidden="1" customHeight="1" x14ac:dyDescent="0.2"/>
    <row r="1445" ht="9.9499999999999993" hidden="1" customHeight="1" x14ac:dyDescent="0.2"/>
    <row r="1446" ht="9.9499999999999993" hidden="1" customHeight="1" x14ac:dyDescent="0.2"/>
    <row r="1447" ht="9.9499999999999993" hidden="1" customHeight="1" x14ac:dyDescent="0.2"/>
    <row r="1448" ht="9.9499999999999993" hidden="1" customHeight="1" x14ac:dyDescent="0.2"/>
    <row r="1449" ht="9.9499999999999993" hidden="1" customHeight="1" x14ac:dyDescent="0.2"/>
    <row r="1450" ht="9.9499999999999993" hidden="1" customHeight="1" x14ac:dyDescent="0.2"/>
    <row r="1451" ht="9.9499999999999993" hidden="1" customHeight="1" x14ac:dyDescent="0.2"/>
    <row r="1452" ht="9.9499999999999993" hidden="1" customHeight="1" x14ac:dyDescent="0.2"/>
    <row r="1453" ht="9.9499999999999993" hidden="1" customHeight="1" x14ac:dyDescent="0.2"/>
    <row r="1454" ht="9.9499999999999993" hidden="1" customHeight="1" x14ac:dyDescent="0.2"/>
    <row r="1455" ht="9.9499999999999993" hidden="1" customHeight="1" x14ac:dyDescent="0.2"/>
    <row r="1456" ht="9.9499999999999993" hidden="1" customHeight="1" x14ac:dyDescent="0.2"/>
    <row r="1457" ht="9.9499999999999993" hidden="1" customHeight="1" x14ac:dyDescent="0.2"/>
    <row r="1458" ht="9.9499999999999993" hidden="1" customHeight="1" x14ac:dyDescent="0.2"/>
    <row r="1459" ht="9.9499999999999993" hidden="1" customHeight="1" x14ac:dyDescent="0.2"/>
    <row r="1460" ht="9.9499999999999993" hidden="1" customHeight="1" x14ac:dyDescent="0.2"/>
    <row r="1461" ht="9.9499999999999993" hidden="1" customHeight="1" x14ac:dyDescent="0.2"/>
    <row r="1462" ht="9.9499999999999993" hidden="1" customHeight="1" x14ac:dyDescent="0.2"/>
    <row r="1463" ht="9.9499999999999993" hidden="1" customHeight="1" x14ac:dyDescent="0.2"/>
    <row r="1464" ht="9.9499999999999993" hidden="1" customHeight="1" x14ac:dyDescent="0.2"/>
    <row r="1465" ht="9.9499999999999993" hidden="1" customHeight="1" x14ac:dyDescent="0.2"/>
    <row r="1466" ht="9.9499999999999993" hidden="1" customHeight="1" x14ac:dyDescent="0.2"/>
    <row r="1467" ht="9.9499999999999993" hidden="1" customHeight="1" x14ac:dyDescent="0.2"/>
    <row r="1468" ht="9.9499999999999993" hidden="1" customHeight="1" x14ac:dyDescent="0.2"/>
    <row r="1469" ht="9.9499999999999993" hidden="1" customHeight="1" x14ac:dyDescent="0.2"/>
    <row r="1470" ht="9.9499999999999993" hidden="1" customHeight="1" x14ac:dyDescent="0.2"/>
    <row r="1471" ht="9.9499999999999993" hidden="1" customHeight="1" x14ac:dyDescent="0.2"/>
    <row r="1472" ht="9.9499999999999993" hidden="1" customHeight="1" x14ac:dyDescent="0.2"/>
    <row r="1473" ht="9.9499999999999993" hidden="1" customHeight="1" x14ac:dyDescent="0.2"/>
    <row r="1474" ht="9.9499999999999993" hidden="1" customHeight="1" x14ac:dyDescent="0.2"/>
    <row r="1475" ht="9.9499999999999993" hidden="1" customHeight="1" x14ac:dyDescent="0.2"/>
    <row r="1476" ht="9.9499999999999993" hidden="1" customHeight="1" x14ac:dyDescent="0.2"/>
    <row r="1477" ht="9.9499999999999993" hidden="1" customHeight="1" x14ac:dyDescent="0.2"/>
    <row r="1478" ht="9.9499999999999993" hidden="1" customHeight="1" x14ac:dyDescent="0.2"/>
    <row r="1479" ht="9.9499999999999993" hidden="1" customHeight="1" x14ac:dyDescent="0.2"/>
    <row r="1480" ht="9.9499999999999993" hidden="1" customHeight="1" x14ac:dyDescent="0.2"/>
    <row r="1481" ht="9.9499999999999993" hidden="1" customHeight="1" x14ac:dyDescent="0.2"/>
    <row r="1482" ht="9.9499999999999993" hidden="1" customHeight="1" x14ac:dyDescent="0.2"/>
    <row r="1483" ht="9.9499999999999993" hidden="1" customHeight="1" x14ac:dyDescent="0.2"/>
    <row r="1484" ht="9.9499999999999993" hidden="1" customHeight="1" x14ac:dyDescent="0.2"/>
    <row r="1485" ht="9.9499999999999993" hidden="1" customHeight="1" x14ac:dyDescent="0.2"/>
    <row r="1486" ht="9.9499999999999993" hidden="1" customHeight="1" x14ac:dyDescent="0.2"/>
    <row r="1487" ht="9.9499999999999993" hidden="1" customHeight="1" x14ac:dyDescent="0.2"/>
    <row r="1488" ht="9.9499999999999993" hidden="1" customHeight="1" x14ac:dyDescent="0.2"/>
    <row r="1489" ht="9.9499999999999993" hidden="1" customHeight="1" x14ac:dyDescent="0.2"/>
    <row r="1490" ht="9.9499999999999993" hidden="1" customHeight="1" x14ac:dyDescent="0.2"/>
    <row r="1491" ht="9.9499999999999993" hidden="1" customHeight="1" x14ac:dyDescent="0.2"/>
    <row r="1492" ht="9.9499999999999993" hidden="1" customHeight="1" x14ac:dyDescent="0.2"/>
    <row r="1493" ht="9.9499999999999993" hidden="1" customHeight="1" x14ac:dyDescent="0.2"/>
    <row r="1494" ht="9.9499999999999993" hidden="1" customHeight="1" x14ac:dyDescent="0.2"/>
    <row r="1495" ht="9.9499999999999993" hidden="1" customHeight="1" x14ac:dyDescent="0.2"/>
    <row r="1496" ht="9.9499999999999993" hidden="1" customHeight="1" x14ac:dyDescent="0.2"/>
    <row r="1497" ht="9.9499999999999993" hidden="1" customHeight="1" x14ac:dyDescent="0.2"/>
    <row r="1498" ht="9.9499999999999993" hidden="1" customHeight="1" x14ac:dyDescent="0.2"/>
    <row r="1499" ht="9.9499999999999993" hidden="1" customHeight="1" x14ac:dyDescent="0.2"/>
    <row r="1500" ht="9.9499999999999993" hidden="1" customHeight="1" x14ac:dyDescent="0.2"/>
    <row r="1501" ht="9.9499999999999993" hidden="1" customHeight="1" x14ac:dyDescent="0.2"/>
    <row r="1502" ht="9.9499999999999993" hidden="1" customHeight="1" x14ac:dyDescent="0.2"/>
    <row r="1503" ht="9.9499999999999993" hidden="1" customHeight="1" x14ac:dyDescent="0.2"/>
    <row r="1504" ht="9.9499999999999993" hidden="1" customHeight="1" x14ac:dyDescent="0.2"/>
    <row r="1505" ht="9.9499999999999993" hidden="1" customHeight="1" x14ac:dyDescent="0.2"/>
    <row r="1506" ht="9.9499999999999993" hidden="1" customHeight="1" x14ac:dyDescent="0.2"/>
    <row r="1507" ht="9.9499999999999993" hidden="1" customHeight="1" x14ac:dyDescent="0.2"/>
    <row r="1508" ht="9.9499999999999993" hidden="1" customHeight="1" x14ac:dyDescent="0.2"/>
    <row r="1509" ht="9.9499999999999993" hidden="1" customHeight="1" x14ac:dyDescent="0.2"/>
    <row r="1510" ht="9.9499999999999993" hidden="1" customHeight="1" x14ac:dyDescent="0.2"/>
    <row r="1511" ht="9.9499999999999993" hidden="1" customHeight="1" x14ac:dyDescent="0.2"/>
    <row r="1512" ht="9.9499999999999993" hidden="1" customHeight="1" x14ac:dyDescent="0.2"/>
    <row r="1513" ht="9.9499999999999993" hidden="1" customHeight="1" x14ac:dyDescent="0.2"/>
    <row r="1514" ht="9.9499999999999993" hidden="1" customHeight="1" x14ac:dyDescent="0.2"/>
    <row r="1515" ht="9.9499999999999993" hidden="1" customHeight="1" x14ac:dyDescent="0.2"/>
    <row r="1516" ht="9.9499999999999993" hidden="1" customHeight="1" x14ac:dyDescent="0.2"/>
    <row r="1517" ht="9.9499999999999993" hidden="1" customHeight="1" x14ac:dyDescent="0.2"/>
    <row r="1518" ht="9.9499999999999993" hidden="1" customHeight="1" x14ac:dyDescent="0.2"/>
    <row r="1519" ht="9.9499999999999993" hidden="1" customHeight="1" x14ac:dyDescent="0.2"/>
    <row r="1520" ht="9.9499999999999993" hidden="1" customHeight="1" x14ac:dyDescent="0.2"/>
    <row r="1521" ht="9.9499999999999993" hidden="1" customHeight="1" x14ac:dyDescent="0.2"/>
    <row r="1522" ht="9.9499999999999993" hidden="1" customHeight="1" x14ac:dyDescent="0.2"/>
    <row r="1523" ht="9.9499999999999993" hidden="1" customHeight="1" x14ac:dyDescent="0.2"/>
    <row r="1524" ht="9.9499999999999993" hidden="1" customHeight="1" x14ac:dyDescent="0.2"/>
    <row r="1525" ht="9.9499999999999993" hidden="1" customHeight="1" x14ac:dyDescent="0.2"/>
    <row r="1526" ht="9.9499999999999993" hidden="1" customHeight="1" x14ac:dyDescent="0.2"/>
    <row r="1527" ht="9.9499999999999993" hidden="1" customHeight="1" x14ac:dyDescent="0.2"/>
    <row r="1528" ht="9.9499999999999993" hidden="1" customHeight="1" x14ac:dyDescent="0.2"/>
    <row r="1529" ht="9.9499999999999993" hidden="1" customHeight="1" x14ac:dyDescent="0.2"/>
    <row r="1530" ht="9.9499999999999993" hidden="1" customHeight="1" x14ac:dyDescent="0.2"/>
    <row r="1531" ht="9.9499999999999993" hidden="1" customHeight="1" x14ac:dyDescent="0.2"/>
    <row r="1532" ht="9.9499999999999993" hidden="1" customHeight="1" x14ac:dyDescent="0.2"/>
    <row r="1533" ht="9.9499999999999993" hidden="1" customHeight="1" x14ac:dyDescent="0.2"/>
    <row r="1534" ht="9.9499999999999993" hidden="1" customHeight="1" x14ac:dyDescent="0.2"/>
    <row r="1535" ht="9.9499999999999993" hidden="1" customHeight="1" x14ac:dyDescent="0.2"/>
    <row r="1536" ht="9.9499999999999993" hidden="1" customHeight="1" x14ac:dyDescent="0.2"/>
    <row r="1537" ht="9.9499999999999993" hidden="1" customHeight="1" x14ac:dyDescent="0.2"/>
    <row r="1538" ht="9.9499999999999993" hidden="1" customHeight="1" x14ac:dyDescent="0.2"/>
    <row r="1539" ht="9.9499999999999993" hidden="1" customHeight="1" x14ac:dyDescent="0.2"/>
    <row r="1540" ht="9.9499999999999993" hidden="1" customHeight="1" x14ac:dyDescent="0.2"/>
    <row r="1541" ht="9.9499999999999993" hidden="1" customHeight="1" x14ac:dyDescent="0.2"/>
    <row r="1542" ht="9.9499999999999993" hidden="1" customHeight="1" x14ac:dyDescent="0.2"/>
    <row r="1543" ht="9.9499999999999993" hidden="1" customHeight="1" x14ac:dyDescent="0.2"/>
    <row r="1544" ht="9.9499999999999993" hidden="1" customHeight="1" x14ac:dyDescent="0.2"/>
    <row r="1545" ht="9.9499999999999993" hidden="1" customHeight="1" x14ac:dyDescent="0.2"/>
    <row r="1546" ht="9.9499999999999993" hidden="1" customHeight="1" x14ac:dyDescent="0.2"/>
    <row r="1547" ht="9.9499999999999993" hidden="1" customHeight="1" x14ac:dyDescent="0.2"/>
    <row r="1548" ht="9.9499999999999993" hidden="1" customHeight="1" x14ac:dyDescent="0.2"/>
    <row r="1549" ht="9.9499999999999993" hidden="1" customHeight="1" x14ac:dyDescent="0.2"/>
    <row r="1550" ht="9.9499999999999993" hidden="1" customHeight="1" x14ac:dyDescent="0.2"/>
    <row r="1551" ht="9.9499999999999993" hidden="1" customHeight="1" x14ac:dyDescent="0.2"/>
    <row r="1552" ht="9.9499999999999993" hidden="1" customHeight="1" x14ac:dyDescent="0.2"/>
    <row r="1553" ht="9.9499999999999993" hidden="1" customHeight="1" x14ac:dyDescent="0.2"/>
    <row r="1554" ht="9.9499999999999993" hidden="1" customHeight="1" x14ac:dyDescent="0.2"/>
    <row r="1555" ht="9.9499999999999993" hidden="1" customHeight="1" x14ac:dyDescent="0.2"/>
    <row r="1556" ht="9.9499999999999993" hidden="1" customHeight="1" x14ac:dyDescent="0.2"/>
    <row r="1557" ht="9.9499999999999993" hidden="1" customHeight="1" x14ac:dyDescent="0.2"/>
    <row r="1558" ht="9.9499999999999993" hidden="1" customHeight="1" x14ac:dyDescent="0.2"/>
    <row r="1559" ht="9.9499999999999993" hidden="1" customHeight="1" x14ac:dyDescent="0.2"/>
    <row r="1560" ht="9.9499999999999993" hidden="1" customHeight="1" x14ac:dyDescent="0.2"/>
    <row r="1561" ht="9.9499999999999993" hidden="1" customHeight="1" x14ac:dyDescent="0.2"/>
    <row r="1562" ht="9.9499999999999993" hidden="1" customHeight="1" x14ac:dyDescent="0.2"/>
    <row r="1563" ht="9.9499999999999993" hidden="1" customHeight="1" x14ac:dyDescent="0.2"/>
    <row r="1564" ht="9.9499999999999993" hidden="1" customHeight="1" x14ac:dyDescent="0.2"/>
    <row r="1565" ht="9.9499999999999993" hidden="1" customHeight="1" x14ac:dyDescent="0.2"/>
    <row r="1566" ht="9.9499999999999993" hidden="1" customHeight="1" x14ac:dyDescent="0.2"/>
    <row r="1567" ht="9.9499999999999993" hidden="1" customHeight="1" x14ac:dyDescent="0.2"/>
    <row r="1568" ht="9.9499999999999993" hidden="1" customHeight="1" x14ac:dyDescent="0.2"/>
    <row r="1569" ht="9.9499999999999993" hidden="1" customHeight="1" x14ac:dyDescent="0.2"/>
    <row r="1570" ht="9.9499999999999993" hidden="1" customHeight="1" x14ac:dyDescent="0.2"/>
    <row r="1571" ht="9.9499999999999993" hidden="1" customHeight="1" x14ac:dyDescent="0.2"/>
    <row r="1572" ht="9.9499999999999993" hidden="1" customHeight="1" x14ac:dyDescent="0.2"/>
    <row r="1573" ht="9.9499999999999993" hidden="1" customHeight="1" x14ac:dyDescent="0.2"/>
    <row r="1574" ht="9.9499999999999993" hidden="1" customHeight="1" x14ac:dyDescent="0.2"/>
    <row r="1575" ht="9.9499999999999993" hidden="1" customHeight="1" x14ac:dyDescent="0.2"/>
    <row r="1576" ht="9.9499999999999993" hidden="1" customHeight="1" x14ac:dyDescent="0.2"/>
    <row r="1577" ht="9.9499999999999993" hidden="1" customHeight="1" x14ac:dyDescent="0.2"/>
    <row r="1578" ht="9.9499999999999993" hidden="1" customHeight="1" x14ac:dyDescent="0.2"/>
    <row r="1579" ht="9.9499999999999993" hidden="1" customHeight="1" x14ac:dyDescent="0.2"/>
    <row r="1580" ht="9.9499999999999993" hidden="1" customHeight="1" x14ac:dyDescent="0.2"/>
    <row r="1581" ht="9.9499999999999993" hidden="1" customHeight="1" x14ac:dyDescent="0.2"/>
    <row r="1582" ht="9.9499999999999993" hidden="1" customHeight="1" x14ac:dyDescent="0.2"/>
    <row r="1583" ht="9.9499999999999993" hidden="1" customHeight="1" x14ac:dyDescent="0.2"/>
    <row r="1584" ht="9.9499999999999993" hidden="1" customHeight="1" x14ac:dyDescent="0.2"/>
    <row r="1585" ht="9.9499999999999993" hidden="1" customHeight="1" x14ac:dyDescent="0.2"/>
    <row r="1586" ht="9.9499999999999993" hidden="1" customHeight="1" x14ac:dyDescent="0.2"/>
    <row r="1587" ht="9.9499999999999993" hidden="1" customHeight="1" x14ac:dyDescent="0.2"/>
    <row r="1588" ht="9.9499999999999993" hidden="1" customHeight="1" x14ac:dyDescent="0.2"/>
    <row r="1589" ht="9.9499999999999993" hidden="1" customHeight="1" x14ac:dyDescent="0.2"/>
    <row r="1590" ht="9.9499999999999993" hidden="1" customHeight="1" x14ac:dyDescent="0.2"/>
    <row r="1591" ht="9.9499999999999993" hidden="1" customHeight="1" x14ac:dyDescent="0.2"/>
    <row r="1592" ht="9.9499999999999993" hidden="1" customHeight="1" x14ac:dyDescent="0.2"/>
    <row r="1593" ht="9.9499999999999993" hidden="1" customHeight="1" x14ac:dyDescent="0.2"/>
    <row r="1594" ht="9.9499999999999993" hidden="1" customHeight="1" x14ac:dyDescent="0.2"/>
    <row r="1595" ht="9.9499999999999993" hidden="1" customHeight="1" x14ac:dyDescent="0.2"/>
    <row r="1596" ht="9.9499999999999993" hidden="1" customHeight="1" x14ac:dyDescent="0.2"/>
    <row r="1597" ht="9.9499999999999993" hidden="1" customHeight="1" x14ac:dyDescent="0.2"/>
    <row r="1598" ht="9.9499999999999993" hidden="1" customHeight="1" x14ac:dyDescent="0.2"/>
    <row r="1599" ht="9.9499999999999993" hidden="1" customHeight="1" x14ac:dyDescent="0.2"/>
    <row r="1600" ht="9.9499999999999993" hidden="1" customHeight="1" x14ac:dyDescent="0.2"/>
    <row r="1601" ht="9.9499999999999993" hidden="1" customHeight="1" x14ac:dyDescent="0.2"/>
    <row r="1602" ht="9.9499999999999993" hidden="1" customHeight="1" x14ac:dyDescent="0.2"/>
    <row r="1603" ht="9.9499999999999993" hidden="1" customHeight="1" x14ac:dyDescent="0.2"/>
    <row r="1604" ht="9.9499999999999993" hidden="1" customHeight="1" x14ac:dyDescent="0.2"/>
    <row r="1605" ht="9.9499999999999993" hidden="1" customHeight="1" x14ac:dyDescent="0.2"/>
    <row r="1606" ht="9.9499999999999993" hidden="1" customHeight="1" x14ac:dyDescent="0.2"/>
    <row r="1607" ht="9.9499999999999993" hidden="1" customHeight="1" x14ac:dyDescent="0.2"/>
    <row r="1608" ht="9.9499999999999993" hidden="1" customHeight="1" x14ac:dyDescent="0.2"/>
    <row r="1609" ht="9.9499999999999993" hidden="1" customHeight="1" x14ac:dyDescent="0.2"/>
    <row r="1610" ht="9.9499999999999993" hidden="1" customHeight="1" x14ac:dyDescent="0.2"/>
    <row r="1611" ht="9.9499999999999993" hidden="1" customHeight="1" x14ac:dyDescent="0.2"/>
    <row r="1612" ht="9.9499999999999993" hidden="1" customHeight="1" x14ac:dyDescent="0.2"/>
    <row r="1613" ht="9.9499999999999993" hidden="1" customHeight="1" x14ac:dyDescent="0.2"/>
    <row r="1614" ht="9.9499999999999993" hidden="1" customHeight="1" x14ac:dyDescent="0.2"/>
    <row r="1615" ht="9.9499999999999993" hidden="1" customHeight="1" x14ac:dyDescent="0.2"/>
    <row r="1616" ht="9.9499999999999993" hidden="1" customHeight="1" x14ac:dyDescent="0.2"/>
    <row r="1617" ht="9.9499999999999993" hidden="1" customHeight="1" x14ac:dyDescent="0.2"/>
    <row r="1618" ht="9.9499999999999993" hidden="1" customHeight="1" x14ac:dyDescent="0.2"/>
    <row r="1619" ht="9.9499999999999993" hidden="1" customHeight="1" x14ac:dyDescent="0.2"/>
    <row r="1620" ht="9.9499999999999993" hidden="1" customHeight="1" x14ac:dyDescent="0.2"/>
    <row r="1621" ht="9.9499999999999993" hidden="1" customHeight="1" x14ac:dyDescent="0.2"/>
    <row r="1622" ht="9.9499999999999993" hidden="1" customHeight="1" x14ac:dyDescent="0.2"/>
    <row r="1623" ht="9.9499999999999993" hidden="1" customHeight="1" x14ac:dyDescent="0.2"/>
    <row r="1624" ht="9.9499999999999993" hidden="1" customHeight="1" x14ac:dyDescent="0.2"/>
    <row r="1625" ht="9.9499999999999993" hidden="1" customHeight="1" x14ac:dyDescent="0.2"/>
    <row r="1626" ht="9.9499999999999993" hidden="1" customHeight="1" x14ac:dyDescent="0.2"/>
    <row r="1627" ht="9.9499999999999993" hidden="1" customHeight="1" x14ac:dyDescent="0.2"/>
    <row r="1628" ht="9.9499999999999993" hidden="1" customHeight="1" x14ac:dyDescent="0.2"/>
    <row r="1629" ht="9.9499999999999993" hidden="1" customHeight="1" x14ac:dyDescent="0.2"/>
    <row r="1630" ht="9.9499999999999993" hidden="1" customHeight="1" x14ac:dyDescent="0.2"/>
    <row r="1631" ht="9.9499999999999993" hidden="1" customHeight="1" x14ac:dyDescent="0.2"/>
    <row r="1632" ht="9.9499999999999993" hidden="1" customHeight="1" x14ac:dyDescent="0.2"/>
    <row r="1633" ht="9.9499999999999993" hidden="1" customHeight="1" x14ac:dyDescent="0.2"/>
    <row r="1634" ht="9.9499999999999993" hidden="1" customHeight="1" x14ac:dyDescent="0.2"/>
    <row r="1635" ht="9.9499999999999993" hidden="1" customHeight="1" x14ac:dyDescent="0.2"/>
    <row r="1636" ht="9.9499999999999993" hidden="1" customHeight="1" x14ac:dyDescent="0.2"/>
    <row r="1637" ht="9.9499999999999993" hidden="1" customHeight="1" x14ac:dyDescent="0.2"/>
    <row r="1638" ht="9.9499999999999993" hidden="1" customHeight="1" x14ac:dyDescent="0.2"/>
    <row r="1639" ht="9.9499999999999993" hidden="1" customHeight="1" x14ac:dyDescent="0.2"/>
    <row r="1640" ht="9.9499999999999993" hidden="1" customHeight="1" x14ac:dyDescent="0.2"/>
    <row r="1641" ht="9.9499999999999993" hidden="1" customHeight="1" x14ac:dyDescent="0.2"/>
    <row r="1642" ht="9.9499999999999993" hidden="1" customHeight="1" x14ac:dyDescent="0.2"/>
    <row r="1643" ht="9.9499999999999993" hidden="1" customHeight="1" x14ac:dyDescent="0.2"/>
    <row r="1644" ht="9.9499999999999993" hidden="1" customHeight="1" x14ac:dyDescent="0.2"/>
    <row r="1645" ht="9.9499999999999993" hidden="1" customHeight="1" x14ac:dyDescent="0.2"/>
    <row r="1646" ht="9.9499999999999993" hidden="1" customHeight="1" x14ac:dyDescent="0.2"/>
    <row r="1647" ht="9.9499999999999993" hidden="1" customHeight="1" x14ac:dyDescent="0.2"/>
    <row r="1648" ht="9.9499999999999993" hidden="1" customHeight="1" x14ac:dyDescent="0.2"/>
    <row r="1649" ht="9.9499999999999993" hidden="1" customHeight="1" x14ac:dyDescent="0.2"/>
    <row r="1650" ht="9.9499999999999993" hidden="1" customHeight="1" x14ac:dyDescent="0.2"/>
    <row r="1651" ht="9.9499999999999993" hidden="1" customHeight="1" x14ac:dyDescent="0.2"/>
    <row r="1652" ht="9.9499999999999993" hidden="1" customHeight="1" x14ac:dyDescent="0.2"/>
    <row r="1653" ht="9.9499999999999993" hidden="1" customHeight="1" x14ac:dyDescent="0.2"/>
    <row r="1654" ht="9.9499999999999993" hidden="1" customHeight="1" x14ac:dyDescent="0.2"/>
    <row r="1655" ht="9.9499999999999993" hidden="1" customHeight="1" x14ac:dyDescent="0.2"/>
    <row r="1656" ht="9.9499999999999993" hidden="1" customHeight="1" x14ac:dyDescent="0.2"/>
    <row r="1657" ht="9.9499999999999993" hidden="1" customHeight="1" x14ac:dyDescent="0.2"/>
    <row r="1658" ht="9.9499999999999993" hidden="1" customHeight="1" x14ac:dyDescent="0.2"/>
    <row r="1659" ht="9.9499999999999993" hidden="1" customHeight="1" x14ac:dyDescent="0.2"/>
    <row r="1660" ht="9.9499999999999993" hidden="1" customHeight="1" x14ac:dyDescent="0.2"/>
    <row r="1661" ht="9.9499999999999993" hidden="1" customHeight="1" x14ac:dyDescent="0.2"/>
    <row r="1662" ht="9.9499999999999993" hidden="1" customHeight="1" x14ac:dyDescent="0.2"/>
    <row r="1663" ht="9.9499999999999993" hidden="1" customHeight="1" x14ac:dyDescent="0.2"/>
    <row r="1664" ht="9.9499999999999993" hidden="1" customHeight="1" x14ac:dyDescent="0.2"/>
    <row r="1665" ht="9.9499999999999993" hidden="1" customHeight="1" x14ac:dyDescent="0.2"/>
    <row r="1666" ht="9.9499999999999993" hidden="1" customHeight="1" x14ac:dyDescent="0.2"/>
    <row r="1667" ht="9.9499999999999993" hidden="1" customHeight="1" x14ac:dyDescent="0.2"/>
    <row r="1668" ht="9.9499999999999993" hidden="1" customHeight="1" x14ac:dyDescent="0.2"/>
    <row r="1669" ht="9.9499999999999993" hidden="1" customHeight="1" x14ac:dyDescent="0.2"/>
    <row r="1670" ht="9.9499999999999993" hidden="1" customHeight="1" x14ac:dyDescent="0.2"/>
    <row r="1671" ht="9.9499999999999993" hidden="1" customHeight="1" x14ac:dyDescent="0.2"/>
    <row r="1672" ht="9.9499999999999993" hidden="1" customHeight="1" x14ac:dyDescent="0.2"/>
    <row r="1673" ht="9.9499999999999993" hidden="1" customHeight="1" x14ac:dyDescent="0.2"/>
    <row r="1674" ht="9.9499999999999993" hidden="1" customHeight="1" x14ac:dyDescent="0.2"/>
    <row r="1675" ht="9.9499999999999993" hidden="1" customHeight="1" x14ac:dyDescent="0.2"/>
    <row r="1676" ht="9.9499999999999993" hidden="1" customHeight="1" x14ac:dyDescent="0.2"/>
    <row r="1677" ht="9.9499999999999993" hidden="1" customHeight="1" x14ac:dyDescent="0.2"/>
    <row r="1678" ht="9.9499999999999993" hidden="1" customHeight="1" x14ac:dyDescent="0.2"/>
    <row r="1679" ht="9.9499999999999993" hidden="1" customHeight="1" x14ac:dyDescent="0.2"/>
    <row r="1680" ht="9.9499999999999993" hidden="1" customHeight="1" x14ac:dyDescent="0.2"/>
    <row r="1681" ht="9.9499999999999993" hidden="1" customHeight="1" x14ac:dyDescent="0.2"/>
    <row r="1682" ht="9.9499999999999993" hidden="1" customHeight="1" x14ac:dyDescent="0.2"/>
    <row r="1683" ht="9.9499999999999993" hidden="1" customHeight="1" x14ac:dyDescent="0.2"/>
    <row r="1684" ht="9.9499999999999993" hidden="1" customHeight="1" x14ac:dyDescent="0.2"/>
    <row r="1685" ht="9.9499999999999993" hidden="1" customHeight="1" x14ac:dyDescent="0.2"/>
    <row r="1686" ht="9.9499999999999993" hidden="1" customHeight="1" x14ac:dyDescent="0.2"/>
    <row r="1687" ht="9.9499999999999993" hidden="1" customHeight="1" x14ac:dyDescent="0.2"/>
    <row r="1688" ht="9.9499999999999993" hidden="1" customHeight="1" x14ac:dyDescent="0.2"/>
    <row r="1689" ht="9.9499999999999993" hidden="1" customHeight="1" x14ac:dyDescent="0.2"/>
    <row r="1690" ht="9.9499999999999993" hidden="1" customHeight="1" x14ac:dyDescent="0.2"/>
    <row r="1691" ht="9.9499999999999993" hidden="1" customHeight="1" x14ac:dyDescent="0.2"/>
    <row r="1692" ht="9.9499999999999993" hidden="1" customHeight="1" x14ac:dyDescent="0.2"/>
    <row r="1693" ht="9.9499999999999993" hidden="1" customHeight="1" x14ac:dyDescent="0.2"/>
    <row r="1694" ht="9.9499999999999993" hidden="1" customHeight="1" x14ac:dyDescent="0.2"/>
    <row r="1695" ht="9.9499999999999993" hidden="1" customHeight="1" x14ac:dyDescent="0.2"/>
    <row r="1696" ht="9.9499999999999993" hidden="1" customHeight="1" x14ac:dyDescent="0.2"/>
    <row r="1697" ht="9.9499999999999993" hidden="1" customHeight="1" x14ac:dyDescent="0.2"/>
    <row r="1698" ht="9.9499999999999993" hidden="1" customHeight="1" x14ac:dyDescent="0.2"/>
    <row r="1699" ht="9.9499999999999993" hidden="1" customHeight="1" x14ac:dyDescent="0.2"/>
    <row r="1700" ht="9.9499999999999993" hidden="1" customHeight="1" x14ac:dyDescent="0.2"/>
    <row r="1701" ht="9.9499999999999993" hidden="1" customHeight="1" x14ac:dyDescent="0.2"/>
    <row r="1702" ht="9.9499999999999993" hidden="1" customHeight="1" x14ac:dyDescent="0.2"/>
    <row r="1703" ht="9.9499999999999993" hidden="1" customHeight="1" x14ac:dyDescent="0.2"/>
    <row r="1704" ht="9.9499999999999993" hidden="1" customHeight="1" x14ac:dyDescent="0.2"/>
    <row r="1705" ht="9.9499999999999993" hidden="1" customHeight="1" x14ac:dyDescent="0.2"/>
    <row r="1706" ht="9.9499999999999993" hidden="1" customHeight="1" x14ac:dyDescent="0.2"/>
    <row r="1707" ht="9.9499999999999993" hidden="1" customHeight="1" x14ac:dyDescent="0.2"/>
    <row r="1708" ht="9.9499999999999993" hidden="1" customHeight="1" x14ac:dyDescent="0.2"/>
    <row r="1709" ht="9.9499999999999993" hidden="1" customHeight="1" x14ac:dyDescent="0.2"/>
    <row r="1710" ht="9.9499999999999993" hidden="1" customHeight="1" x14ac:dyDescent="0.2"/>
    <row r="1711" ht="9.9499999999999993" hidden="1" customHeight="1" x14ac:dyDescent="0.2"/>
    <row r="1712" ht="9.9499999999999993" hidden="1" customHeight="1" x14ac:dyDescent="0.2"/>
    <row r="1713" ht="9.9499999999999993" hidden="1" customHeight="1" x14ac:dyDescent="0.2"/>
    <row r="1714" ht="9.9499999999999993" hidden="1" customHeight="1" x14ac:dyDescent="0.2"/>
    <row r="1715" ht="9.9499999999999993" hidden="1" customHeight="1" x14ac:dyDescent="0.2"/>
    <row r="1716" ht="9.9499999999999993" hidden="1" customHeight="1" x14ac:dyDescent="0.2"/>
    <row r="1717" ht="9.9499999999999993" hidden="1" customHeight="1" x14ac:dyDescent="0.2"/>
    <row r="1718" ht="9.9499999999999993" hidden="1" customHeight="1" x14ac:dyDescent="0.2"/>
    <row r="1719" ht="9.9499999999999993" hidden="1" customHeight="1" x14ac:dyDescent="0.2"/>
    <row r="1720" ht="9.9499999999999993" hidden="1" customHeight="1" x14ac:dyDescent="0.2"/>
    <row r="1721" ht="9.9499999999999993" hidden="1" customHeight="1" x14ac:dyDescent="0.2"/>
    <row r="1722" ht="9.9499999999999993" hidden="1" customHeight="1" x14ac:dyDescent="0.2"/>
    <row r="1723" ht="9.9499999999999993" hidden="1" customHeight="1" x14ac:dyDescent="0.2"/>
    <row r="1724" ht="9.9499999999999993" hidden="1" customHeight="1" x14ac:dyDescent="0.2"/>
    <row r="1725" ht="9.9499999999999993" hidden="1" customHeight="1" x14ac:dyDescent="0.2"/>
    <row r="1726" ht="9.9499999999999993" hidden="1" customHeight="1" x14ac:dyDescent="0.2"/>
    <row r="1727" ht="9.9499999999999993" hidden="1" customHeight="1" x14ac:dyDescent="0.2"/>
    <row r="1728" ht="9.9499999999999993" hidden="1" customHeight="1" x14ac:dyDescent="0.2"/>
    <row r="1729" ht="9.9499999999999993" hidden="1" customHeight="1" x14ac:dyDescent="0.2"/>
    <row r="1730" ht="9.9499999999999993" hidden="1" customHeight="1" x14ac:dyDescent="0.2"/>
    <row r="1731" ht="9.9499999999999993" hidden="1" customHeight="1" x14ac:dyDescent="0.2"/>
    <row r="1732" ht="9.9499999999999993" hidden="1" customHeight="1" x14ac:dyDescent="0.2"/>
    <row r="1733" ht="9.9499999999999993" hidden="1" customHeight="1" x14ac:dyDescent="0.2"/>
    <row r="1734" ht="9.9499999999999993" hidden="1" customHeight="1" x14ac:dyDescent="0.2"/>
    <row r="1735" ht="9.9499999999999993" hidden="1" customHeight="1" x14ac:dyDescent="0.2"/>
    <row r="1736" ht="9.9499999999999993" hidden="1" customHeight="1" x14ac:dyDescent="0.2"/>
    <row r="1737" ht="9.9499999999999993" hidden="1" customHeight="1" x14ac:dyDescent="0.2"/>
    <row r="1738" ht="9.9499999999999993" hidden="1" customHeight="1" x14ac:dyDescent="0.2"/>
    <row r="1739" ht="9.9499999999999993" hidden="1" customHeight="1" x14ac:dyDescent="0.2"/>
    <row r="1740" ht="9.9499999999999993" hidden="1" customHeight="1" x14ac:dyDescent="0.2"/>
    <row r="1741" ht="9.9499999999999993" hidden="1" customHeight="1" x14ac:dyDescent="0.2"/>
    <row r="1742" ht="9.9499999999999993" hidden="1" customHeight="1" x14ac:dyDescent="0.2"/>
    <row r="1743" ht="9.9499999999999993" hidden="1" customHeight="1" x14ac:dyDescent="0.2"/>
    <row r="1744" ht="9.9499999999999993" hidden="1" customHeight="1" x14ac:dyDescent="0.2"/>
    <row r="1745" ht="9.9499999999999993" hidden="1" customHeight="1" x14ac:dyDescent="0.2"/>
    <row r="1746" ht="9.9499999999999993" hidden="1" customHeight="1" x14ac:dyDescent="0.2"/>
    <row r="1747" ht="9.9499999999999993" hidden="1" customHeight="1" x14ac:dyDescent="0.2"/>
    <row r="1748" ht="9.9499999999999993" hidden="1" customHeight="1" x14ac:dyDescent="0.2"/>
    <row r="1749" ht="9.9499999999999993" hidden="1" customHeight="1" x14ac:dyDescent="0.2"/>
    <row r="1750" ht="9.9499999999999993" hidden="1" customHeight="1" x14ac:dyDescent="0.2"/>
    <row r="1751" ht="9.9499999999999993" hidden="1" customHeight="1" x14ac:dyDescent="0.2"/>
    <row r="1752" ht="9.9499999999999993" hidden="1" customHeight="1" x14ac:dyDescent="0.2"/>
    <row r="1753" ht="9.9499999999999993" hidden="1" customHeight="1" x14ac:dyDescent="0.2"/>
    <row r="1754" ht="9.9499999999999993" hidden="1" customHeight="1" x14ac:dyDescent="0.2"/>
    <row r="1755" ht="9.9499999999999993" hidden="1" customHeight="1" x14ac:dyDescent="0.2"/>
    <row r="1756" ht="9.9499999999999993" hidden="1" customHeight="1" x14ac:dyDescent="0.2"/>
    <row r="1757" ht="9.9499999999999993" hidden="1" customHeight="1" x14ac:dyDescent="0.2"/>
    <row r="1758" ht="9.9499999999999993" hidden="1" customHeight="1" x14ac:dyDescent="0.2"/>
    <row r="1759" ht="9.9499999999999993" hidden="1" customHeight="1" x14ac:dyDescent="0.2"/>
    <row r="1760" ht="9.9499999999999993" hidden="1" customHeight="1" x14ac:dyDescent="0.2"/>
    <row r="1761" ht="9.9499999999999993" hidden="1" customHeight="1" x14ac:dyDescent="0.2"/>
    <row r="1762" ht="9.9499999999999993" hidden="1" customHeight="1" x14ac:dyDescent="0.2"/>
    <row r="1763" ht="9.9499999999999993" hidden="1" customHeight="1" x14ac:dyDescent="0.2"/>
    <row r="1764" ht="9.9499999999999993" hidden="1" customHeight="1" x14ac:dyDescent="0.2"/>
    <row r="1765" ht="9.9499999999999993" hidden="1" customHeight="1" x14ac:dyDescent="0.2"/>
    <row r="1766" ht="9.9499999999999993" hidden="1" customHeight="1" x14ac:dyDescent="0.2"/>
    <row r="1767" ht="9.9499999999999993" hidden="1" customHeight="1" x14ac:dyDescent="0.2"/>
    <row r="1768" ht="9.9499999999999993" hidden="1" customHeight="1" x14ac:dyDescent="0.2"/>
    <row r="1769" ht="9.9499999999999993" hidden="1" customHeight="1" x14ac:dyDescent="0.2"/>
    <row r="1770" ht="9.9499999999999993" hidden="1" customHeight="1" x14ac:dyDescent="0.2"/>
    <row r="1771" ht="9.9499999999999993" hidden="1" customHeight="1" x14ac:dyDescent="0.2"/>
    <row r="1772" ht="9.9499999999999993" hidden="1" customHeight="1" x14ac:dyDescent="0.2"/>
    <row r="1773" ht="9.9499999999999993" hidden="1" customHeight="1" x14ac:dyDescent="0.2"/>
    <row r="1774" ht="9.9499999999999993" hidden="1" customHeight="1" x14ac:dyDescent="0.2"/>
    <row r="1775" ht="9.9499999999999993" hidden="1" customHeight="1" x14ac:dyDescent="0.2"/>
    <row r="1776" ht="9.9499999999999993" hidden="1" customHeight="1" x14ac:dyDescent="0.2"/>
    <row r="1777" ht="9.9499999999999993" hidden="1" customHeight="1" x14ac:dyDescent="0.2"/>
    <row r="1778" ht="9.9499999999999993" hidden="1" customHeight="1" x14ac:dyDescent="0.2"/>
    <row r="1779" ht="9.9499999999999993" hidden="1" customHeight="1" x14ac:dyDescent="0.2"/>
    <row r="1780" ht="9.9499999999999993" hidden="1" customHeight="1" x14ac:dyDescent="0.2"/>
    <row r="1781" ht="9.9499999999999993" hidden="1" customHeight="1" x14ac:dyDescent="0.2"/>
    <row r="1782" ht="9.9499999999999993" hidden="1" customHeight="1" x14ac:dyDescent="0.2"/>
    <row r="1783" ht="9.9499999999999993" hidden="1" customHeight="1" x14ac:dyDescent="0.2"/>
    <row r="1784" ht="9.9499999999999993" hidden="1" customHeight="1" x14ac:dyDescent="0.2"/>
    <row r="1785" ht="9.9499999999999993" hidden="1" customHeight="1" x14ac:dyDescent="0.2"/>
    <row r="1786" ht="9.9499999999999993" hidden="1" customHeight="1" x14ac:dyDescent="0.2"/>
    <row r="1787" ht="9.9499999999999993" hidden="1" customHeight="1" x14ac:dyDescent="0.2"/>
    <row r="1788" ht="9.9499999999999993" hidden="1" customHeight="1" x14ac:dyDescent="0.2"/>
    <row r="1789" ht="9.9499999999999993" hidden="1" customHeight="1" x14ac:dyDescent="0.2"/>
    <row r="1790" ht="9.9499999999999993" hidden="1" customHeight="1" x14ac:dyDescent="0.2"/>
    <row r="1791" ht="9.9499999999999993" hidden="1" customHeight="1" x14ac:dyDescent="0.2"/>
    <row r="1792" ht="9.9499999999999993" hidden="1" customHeight="1" x14ac:dyDescent="0.2"/>
    <row r="1793" ht="9.9499999999999993" hidden="1" customHeight="1" x14ac:dyDescent="0.2"/>
    <row r="1794" ht="9.9499999999999993" hidden="1" customHeight="1" x14ac:dyDescent="0.2"/>
    <row r="1795" ht="9.9499999999999993" hidden="1" customHeight="1" x14ac:dyDescent="0.2"/>
    <row r="1796" ht="9.9499999999999993" hidden="1" customHeight="1" x14ac:dyDescent="0.2"/>
    <row r="1797" ht="9.9499999999999993" hidden="1" customHeight="1" x14ac:dyDescent="0.2"/>
    <row r="1798" ht="9.9499999999999993" hidden="1" customHeight="1" x14ac:dyDescent="0.2"/>
    <row r="1799" ht="9.9499999999999993" hidden="1" customHeight="1" x14ac:dyDescent="0.2"/>
    <row r="1800" ht="9.9499999999999993" hidden="1" customHeight="1" x14ac:dyDescent="0.2"/>
    <row r="1801" ht="9.9499999999999993" hidden="1" customHeight="1" x14ac:dyDescent="0.2"/>
    <row r="1802" ht="9.9499999999999993" hidden="1" customHeight="1" x14ac:dyDescent="0.2"/>
    <row r="1803" ht="9.9499999999999993" hidden="1" customHeight="1" x14ac:dyDescent="0.2"/>
    <row r="1804" ht="9.9499999999999993" hidden="1" customHeight="1" x14ac:dyDescent="0.2"/>
    <row r="1805" ht="9.9499999999999993" hidden="1" customHeight="1" x14ac:dyDescent="0.2"/>
    <row r="1806" ht="9.9499999999999993" hidden="1" customHeight="1" x14ac:dyDescent="0.2"/>
    <row r="1807" ht="9.9499999999999993" hidden="1" customHeight="1" x14ac:dyDescent="0.2"/>
    <row r="1808" ht="9.9499999999999993" hidden="1" customHeight="1" x14ac:dyDescent="0.2"/>
    <row r="1809" ht="9.9499999999999993" hidden="1" customHeight="1" x14ac:dyDescent="0.2"/>
    <row r="1810" ht="9.9499999999999993" hidden="1" customHeight="1" x14ac:dyDescent="0.2"/>
    <row r="1811" ht="9.9499999999999993" hidden="1" customHeight="1" x14ac:dyDescent="0.2"/>
    <row r="1812" ht="9.9499999999999993" hidden="1" customHeight="1" x14ac:dyDescent="0.2"/>
    <row r="1813" ht="9.9499999999999993" hidden="1" customHeight="1" x14ac:dyDescent="0.2"/>
    <row r="1814" ht="9.9499999999999993" hidden="1" customHeight="1" x14ac:dyDescent="0.2"/>
    <row r="1815" ht="9.9499999999999993" hidden="1" customHeight="1" x14ac:dyDescent="0.2"/>
    <row r="1816" ht="9.9499999999999993" hidden="1" customHeight="1" x14ac:dyDescent="0.2"/>
    <row r="1817" ht="9.9499999999999993" hidden="1" customHeight="1" x14ac:dyDescent="0.2"/>
    <row r="1818" ht="9.9499999999999993" hidden="1" customHeight="1" x14ac:dyDescent="0.2"/>
    <row r="1819" ht="9.9499999999999993" hidden="1" customHeight="1" x14ac:dyDescent="0.2"/>
    <row r="1820" ht="9.9499999999999993" hidden="1" customHeight="1" x14ac:dyDescent="0.2"/>
    <row r="1821" ht="9.9499999999999993" hidden="1" customHeight="1" x14ac:dyDescent="0.2"/>
    <row r="1822" ht="9.9499999999999993" hidden="1" customHeight="1" x14ac:dyDescent="0.2"/>
    <row r="1823" ht="9.9499999999999993" hidden="1" customHeight="1" x14ac:dyDescent="0.2"/>
    <row r="1824" ht="9.9499999999999993" hidden="1" customHeight="1" x14ac:dyDescent="0.2"/>
    <row r="1825" ht="9.9499999999999993" hidden="1" customHeight="1" x14ac:dyDescent="0.2"/>
    <row r="1826" ht="9.9499999999999993" hidden="1" customHeight="1" x14ac:dyDescent="0.2"/>
    <row r="1827" ht="9.9499999999999993" hidden="1" customHeight="1" x14ac:dyDescent="0.2"/>
    <row r="1828" ht="9.9499999999999993" hidden="1" customHeight="1" x14ac:dyDescent="0.2"/>
    <row r="1829" ht="9.9499999999999993" hidden="1" customHeight="1" x14ac:dyDescent="0.2"/>
    <row r="1830" ht="9.9499999999999993" hidden="1" customHeight="1" x14ac:dyDescent="0.2"/>
    <row r="1831" ht="9.9499999999999993" hidden="1" customHeight="1" x14ac:dyDescent="0.2"/>
    <row r="1832" ht="9.9499999999999993" hidden="1" customHeight="1" x14ac:dyDescent="0.2"/>
    <row r="1833" ht="9.9499999999999993" hidden="1" customHeight="1" x14ac:dyDescent="0.2"/>
    <row r="1834" ht="9.9499999999999993" hidden="1" customHeight="1" x14ac:dyDescent="0.2"/>
    <row r="1835" ht="9.9499999999999993" hidden="1" customHeight="1" x14ac:dyDescent="0.2"/>
    <row r="1836" ht="9.9499999999999993" hidden="1" customHeight="1" x14ac:dyDescent="0.2"/>
    <row r="1837" ht="9.9499999999999993" hidden="1" customHeight="1" x14ac:dyDescent="0.2"/>
    <row r="1838" ht="9.9499999999999993" hidden="1" customHeight="1" x14ac:dyDescent="0.2"/>
    <row r="1839" ht="9.9499999999999993" hidden="1" customHeight="1" x14ac:dyDescent="0.2"/>
    <row r="1840" ht="9.9499999999999993" hidden="1" customHeight="1" x14ac:dyDescent="0.2"/>
    <row r="1841" ht="9.9499999999999993" hidden="1" customHeight="1" x14ac:dyDescent="0.2"/>
    <row r="1842" ht="9.9499999999999993" hidden="1" customHeight="1" x14ac:dyDescent="0.2"/>
    <row r="1843" ht="9.9499999999999993" hidden="1" customHeight="1" x14ac:dyDescent="0.2"/>
    <row r="1844" ht="9.9499999999999993" hidden="1" customHeight="1" x14ac:dyDescent="0.2"/>
    <row r="1845" ht="9.9499999999999993" hidden="1" customHeight="1" x14ac:dyDescent="0.2"/>
    <row r="1846" ht="9.9499999999999993" hidden="1" customHeight="1" x14ac:dyDescent="0.2"/>
    <row r="1847" ht="9.9499999999999993" hidden="1" customHeight="1" x14ac:dyDescent="0.2"/>
    <row r="1848" ht="9.9499999999999993" hidden="1" customHeight="1" x14ac:dyDescent="0.2"/>
    <row r="1849" ht="9.9499999999999993" hidden="1" customHeight="1" x14ac:dyDescent="0.2"/>
    <row r="1850" ht="9.9499999999999993" hidden="1" customHeight="1" x14ac:dyDescent="0.2"/>
    <row r="1851" ht="9.9499999999999993" hidden="1" customHeight="1" x14ac:dyDescent="0.2"/>
    <row r="1852" ht="9.9499999999999993" hidden="1" customHeight="1" x14ac:dyDescent="0.2"/>
    <row r="1853" ht="9.9499999999999993" hidden="1" customHeight="1" x14ac:dyDescent="0.2"/>
    <row r="1854" ht="9.9499999999999993" hidden="1" customHeight="1" x14ac:dyDescent="0.2"/>
    <row r="1855" ht="9.9499999999999993" hidden="1" customHeight="1" x14ac:dyDescent="0.2"/>
    <row r="1856" ht="9.9499999999999993" hidden="1" customHeight="1" x14ac:dyDescent="0.2"/>
    <row r="1857" ht="9.9499999999999993" hidden="1" customHeight="1" x14ac:dyDescent="0.2"/>
    <row r="1858" ht="9.9499999999999993" hidden="1" customHeight="1" x14ac:dyDescent="0.2"/>
    <row r="1859" ht="9.9499999999999993" hidden="1" customHeight="1" x14ac:dyDescent="0.2"/>
    <row r="1860" ht="9.9499999999999993" hidden="1" customHeight="1" x14ac:dyDescent="0.2"/>
    <row r="1861" ht="9.9499999999999993" hidden="1" customHeight="1" x14ac:dyDescent="0.2"/>
    <row r="1862" ht="9.9499999999999993" hidden="1" customHeight="1" x14ac:dyDescent="0.2"/>
    <row r="1863" ht="9.9499999999999993" hidden="1" customHeight="1" x14ac:dyDescent="0.2"/>
    <row r="1864" ht="9.9499999999999993" hidden="1" customHeight="1" x14ac:dyDescent="0.2"/>
    <row r="1865" ht="9.9499999999999993" hidden="1" customHeight="1" x14ac:dyDescent="0.2"/>
    <row r="1866" ht="9.9499999999999993" hidden="1" customHeight="1" x14ac:dyDescent="0.2"/>
    <row r="1867" ht="9.9499999999999993" hidden="1" customHeight="1" x14ac:dyDescent="0.2"/>
    <row r="1868" ht="9.9499999999999993" hidden="1" customHeight="1" x14ac:dyDescent="0.2"/>
    <row r="1869" ht="9.9499999999999993" hidden="1" customHeight="1" x14ac:dyDescent="0.2"/>
    <row r="1870" ht="9.9499999999999993" hidden="1" customHeight="1" x14ac:dyDescent="0.2"/>
    <row r="1871" ht="9.9499999999999993" hidden="1" customHeight="1" x14ac:dyDescent="0.2"/>
    <row r="1872" ht="9.9499999999999993" hidden="1" customHeight="1" x14ac:dyDescent="0.2"/>
    <row r="1873" ht="9.9499999999999993" hidden="1" customHeight="1" x14ac:dyDescent="0.2"/>
    <row r="1874" ht="9.9499999999999993" hidden="1" customHeight="1" x14ac:dyDescent="0.2"/>
    <row r="1875" ht="9.9499999999999993" hidden="1" customHeight="1" x14ac:dyDescent="0.2"/>
    <row r="1876" ht="9.9499999999999993" hidden="1" customHeight="1" x14ac:dyDescent="0.2"/>
    <row r="1877" ht="9.9499999999999993" hidden="1" customHeight="1" x14ac:dyDescent="0.2"/>
    <row r="1878" ht="9.9499999999999993" hidden="1" customHeight="1" x14ac:dyDescent="0.2"/>
    <row r="1879" ht="9.9499999999999993" hidden="1" customHeight="1" x14ac:dyDescent="0.2"/>
    <row r="1880" ht="9.9499999999999993" hidden="1" customHeight="1" x14ac:dyDescent="0.2"/>
    <row r="1881" ht="9.9499999999999993" hidden="1" customHeight="1" x14ac:dyDescent="0.2"/>
    <row r="1882" ht="9.9499999999999993" hidden="1" customHeight="1" x14ac:dyDescent="0.2"/>
    <row r="1883" ht="9.9499999999999993" hidden="1" customHeight="1" x14ac:dyDescent="0.2"/>
    <row r="1884" ht="9.9499999999999993" hidden="1" customHeight="1" x14ac:dyDescent="0.2"/>
    <row r="1885" ht="9.9499999999999993" hidden="1" customHeight="1" x14ac:dyDescent="0.2"/>
    <row r="1886" ht="9.9499999999999993" hidden="1" customHeight="1" x14ac:dyDescent="0.2"/>
    <row r="1887" ht="9.9499999999999993" hidden="1" customHeight="1" x14ac:dyDescent="0.2"/>
    <row r="1888" ht="9.9499999999999993" hidden="1" customHeight="1" x14ac:dyDescent="0.2"/>
    <row r="1889" ht="9.9499999999999993" hidden="1" customHeight="1" x14ac:dyDescent="0.2"/>
    <row r="1890" ht="9.9499999999999993" hidden="1" customHeight="1" x14ac:dyDescent="0.2"/>
    <row r="1891" ht="9.9499999999999993" hidden="1" customHeight="1" x14ac:dyDescent="0.2"/>
    <row r="1892" ht="9.9499999999999993" hidden="1" customHeight="1" x14ac:dyDescent="0.2"/>
    <row r="1893" ht="9.9499999999999993" hidden="1" customHeight="1" x14ac:dyDescent="0.2"/>
    <row r="1894" ht="9.9499999999999993" hidden="1" customHeight="1" x14ac:dyDescent="0.2"/>
    <row r="1895" ht="9.9499999999999993" hidden="1" customHeight="1" x14ac:dyDescent="0.2"/>
    <row r="1896" ht="9.9499999999999993" hidden="1" customHeight="1" x14ac:dyDescent="0.2"/>
    <row r="1897" ht="9.9499999999999993" hidden="1" customHeight="1" x14ac:dyDescent="0.2"/>
    <row r="1898" ht="9.9499999999999993" hidden="1" customHeight="1" x14ac:dyDescent="0.2"/>
    <row r="1899" ht="9.9499999999999993" hidden="1" customHeight="1" x14ac:dyDescent="0.2"/>
    <row r="1900" ht="9.9499999999999993" hidden="1" customHeight="1" x14ac:dyDescent="0.2"/>
    <row r="1901" ht="9.9499999999999993" hidden="1" customHeight="1" x14ac:dyDescent="0.2"/>
    <row r="1902" ht="9.9499999999999993" hidden="1" customHeight="1" x14ac:dyDescent="0.2"/>
    <row r="1903" ht="9.9499999999999993" hidden="1" customHeight="1" x14ac:dyDescent="0.2"/>
    <row r="1904" ht="9.9499999999999993" hidden="1" customHeight="1" x14ac:dyDescent="0.2"/>
    <row r="1905" ht="9.9499999999999993" hidden="1" customHeight="1" x14ac:dyDescent="0.2"/>
    <row r="1906" ht="9.9499999999999993" hidden="1" customHeight="1" x14ac:dyDescent="0.2"/>
    <row r="1907" ht="9.9499999999999993" hidden="1" customHeight="1" x14ac:dyDescent="0.2"/>
    <row r="1908" ht="9.9499999999999993" hidden="1" customHeight="1" x14ac:dyDescent="0.2"/>
    <row r="1909" ht="9.9499999999999993" hidden="1" customHeight="1" x14ac:dyDescent="0.2"/>
    <row r="1910" ht="9.9499999999999993" hidden="1" customHeight="1" x14ac:dyDescent="0.2"/>
    <row r="1911" ht="9.9499999999999993" hidden="1" customHeight="1" x14ac:dyDescent="0.2"/>
    <row r="1912" ht="9.9499999999999993" hidden="1" customHeight="1" x14ac:dyDescent="0.2"/>
    <row r="1913" ht="9.9499999999999993" hidden="1" customHeight="1" x14ac:dyDescent="0.2"/>
    <row r="1914" ht="9.9499999999999993" hidden="1" customHeight="1" x14ac:dyDescent="0.2"/>
    <row r="1915" ht="9.9499999999999993" hidden="1" customHeight="1" x14ac:dyDescent="0.2"/>
    <row r="1916" ht="9.9499999999999993" hidden="1" customHeight="1" x14ac:dyDescent="0.2"/>
    <row r="1917" ht="9.9499999999999993" hidden="1" customHeight="1" x14ac:dyDescent="0.2"/>
    <row r="1918" ht="9.9499999999999993" hidden="1" customHeight="1" x14ac:dyDescent="0.2"/>
    <row r="1919" ht="9.9499999999999993" hidden="1" customHeight="1" x14ac:dyDescent="0.2"/>
    <row r="1920" ht="9.9499999999999993" hidden="1" customHeight="1" x14ac:dyDescent="0.2"/>
    <row r="1921" ht="9.9499999999999993" hidden="1" customHeight="1" x14ac:dyDescent="0.2"/>
    <row r="1922" ht="9.9499999999999993" hidden="1" customHeight="1" x14ac:dyDescent="0.2"/>
    <row r="1923" ht="9.9499999999999993" hidden="1" customHeight="1" x14ac:dyDescent="0.2"/>
    <row r="1924" ht="9.9499999999999993" hidden="1" customHeight="1" x14ac:dyDescent="0.2"/>
    <row r="1925" ht="9.9499999999999993" hidden="1" customHeight="1" x14ac:dyDescent="0.2"/>
    <row r="1926" ht="9.9499999999999993" hidden="1" customHeight="1" x14ac:dyDescent="0.2"/>
    <row r="1927" ht="9.9499999999999993" hidden="1" customHeight="1" x14ac:dyDescent="0.2"/>
    <row r="1928" ht="9.9499999999999993" hidden="1" customHeight="1" x14ac:dyDescent="0.2"/>
    <row r="1929" ht="9.9499999999999993" hidden="1" customHeight="1" x14ac:dyDescent="0.2"/>
    <row r="1930" ht="9.9499999999999993" hidden="1" customHeight="1" x14ac:dyDescent="0.2"/>
    <row r="1931" ht="9.9499999999999993" hidden="1" customHeight="1" x14ac:dyDescent="0.2"/>
    <row r="1932" ht="9.9499999999999993" hidden="1" customHeight="1" x14ac:dyDescent="0.2"/>
    <row r="1933" ht="9.9499999999999993" hidden="1" customHeight="1" x14ac:dyDescent="0.2"/>
    <row r="1934" ht="9.9499999999999993" hidden="1" customHeight="1" x14ac:dyDescent="0.2"/>
    <row r="1935" ht="9.9499999999999993" hidden="1" customHeight="1" x14ac:dyDescent="0.2"/>
    <row r="1936" ht="9.9499999999999993" hidden="1" customHeight="1" x14ac:dyDescent="0.2"/>
    <row r="1937" ht="9.9499999999999993" hidden="1" customHeight="1" x14ac:dyDescent="0.2"/>
    <row r="1938" ht="9.9499999999999993" hidden="1" customHeight="1" x14ac:dyDescent="0.2"/>
    <row r="1939" ht="9.9499999999999993" hidden="1" customHeight="1" x14ac:dyDescent="0.2"/>
    <row r="1940" ht="9.9499999999999993" hidden="1" customHeight="1" x14ac:dyDescent="0.2"/>
    <row r="1941" ht="9.9499999999999993" hidden="1" customHeight="1" x14ac:dyDescent="0.2"/>
    <row r="1942" ht="9.9499999999999993" hidden="1" customHeight="1" x14ac:dyDescent="0.2"/>
    <row r="1943" ht="9.9499999999999993" hidden="1" customHeight="1" x14ac:dyDescent="0.2"/>
    <row r="1944" ht="9.9499999999999993" hidden="1" customHeight="1" x14ac:dyDescent="0.2"/>
    <row r="1945" ht="9.9499999999999993" hidden="1" customHeight="1" x14ac:dyDescent="0.2"/>
    <row r="1946" ht="9.9499999999999993" hidden="1" customHeight="1" x14ac:dyDescent="0.2"/>
    <row r="1947" ht="9.9499999999999993" hidden="1" customHeight="1" x14ac:dyDescent="0.2"/>
    <row r="1948" ht="9.9499999999999993" hidden="1" customHeight="1" x14ac:dyDescent="0.2"/>
    <row r="1949" ht="9.9499999999999993" hidden="1" customHeight="1" x14ac:dyDescent="0.2"/>
    <row r="1950" ht="9.9499999999999993" hidden="1" customHeight="1" x14ac:dyDescent="0.2"/>
    <row r="1951" ht="9.9499999999999993" hidden="1" customHeight="1" x14ac:dyDescent="0.2"/>
    <row r="1952" ht="9.9499999999999993" hidden="1" customHeight="1" x14ac:dyDescent="0.2"/>
    <row r="1953" ht="9.9499999999999993" hidden="1" customHeight="1" x14ac:dyDescent="0.2"/>
    <row r="1954" ht="9.9499999999999993" hidden="1" customHeight="1" x14ac:dyDescent="0.2"/>
    <row r="1955" ht="9.9499999999999993" hidden="1" customHeight="1" x14ac:dyDescent="0.2"/>
    <row r="1956" ht="9.9499999999999993" hidden="1" customHeight="1" x14ac:dyDescent="0.2"/>
    <row r="1957" ht="9.9499999999999993" hidden="1" customHeight="1" x14ac:dyDescent="0.2"/>
    <row r="1958" ht="9.9499999999999993" hidden="1" customHeight="1" x14ac:dyDescent="0.2"/>
    <row r="1959" ht="9.9499999999999993" hidden="1" customHeight="1" x14ac:dyDescent="0.2"/>
    <row r="1960" ht="9.9499999999999993" hidden="1" customHeight="1" x14ac:dyDescent="0.2"/>
    <row r="1961" ht="9.9499999999999993" hidden="1" customHeight="1" x14ac:dyDescent="0.2"/>
    <row r="1962" ht="9.9499999999999993" hidden="1" customHeight="1" x14ac:dyDescent="0.2"/>
    <row r="1963" ht="9.9499999999999993" hidden="1" customHeight="1" x14ac:dyDescent="0.2"/>
    <row r="1964" ht="9.9499999999999993" hidden="1" customHeight="1" x14ac:dyDescent="0.2"/>
    <row r="1965" ht="9.9499999999999993" hidden="1" customHeight="1" x14ac:dyDescent="0.2"/>
    <row r="1966" ht="9.9499999999999993" hidden="1" customHeight="1" x14ac:dyDescent="0.2"/>
    <row r="1967" ht="9.9499999999999993" hidden="1" customHeight="1" x14ac:dyDescent="0.2"/>
    <row r="1968" ht="9.9499999999999993" hidden="1" customHeight="1" x14ac:dyDescent="0.2"/>
    <row r="1969" ht="9.9499999999999993" hidden="1" customHeight="1" x14ac:dyDescent="0.2"/>
    <row r="1970" ht="9.9499999999999993" hidden="1" customHeight="1" x14ac:dyDescent="0.2"/>
    <row r="1971" ht="9.9499999999999993" hidden="1" customHeight="1" x14ac:dyDescent="0.2"/>
    <row r="1972" ht="9.9499999999999993" hidden="1" customHeight="1" x14ac:dyDescent="0.2"/>
    <row r="1973" ht="9.9499999999999993" hidden="1" customHeight="1" x14ac:dyDescent="0.2"/>
    <row r="1974" ht="9.9499999999999993" hidden="1" customHeight="1" x14ac:dyDescent="0.2"/>
    <row r="1975" ht="9.9499999999999993" hidden="1" customHeight="1" x14ac:dyDescent="0.2"/>
    <row r="1976" ht="9.9499999999999993" hidden="1" customHeight="1" x14ac:dyDescent="0.2"/>
    <row r="1977" ht="9.9499999999999993" hidden="1" customHeight="1" x14ac:dyDescent="0.2"/>
    <row r="1978" ht="9.9499999999999993" hidden="1" customHeight="1" x14ac:dyDescent="0.2"/>
    <row r="1979" ht="9.9499999999999993" hidden="1" customHeight="1" x14ac:dyDescent="0.2"/>
    <row r="1980" ht="9.9499999999999993" hidden="1" customHeight="1" x14ac:dyDescent="0.2"/>
    <row r="1981" ht="9.9499999999999993" hidden="1" customHeight="1" x14ac:dyDescent="0.2"/>
    <row r="1982" ht="9.9499999999999993" hidden="1" customHeight="1" x14ac:dyDescent="0.2"/>
    <row r="1983" ht="9.9499999999999993" hidden="1" customHeight="1" x14ac:dyDescent="0.2"/>
    <row r="1984" ht="9.9499999999999993" hidden="1" customHeight="1" x14ac:dyDescent="0.2"/>
    <row r="1985" ht="9.9499999999999993" hidden="1" customHeight="1" x14ac:dyDescent="0.2"/>
    <row r="1986" ht="9.9499999999999993" hidden="1" customHeight="1" x14ac:dyDescent="0.2"/>
    <row r="1987" ht="9.9499999999999993" hidden="1" customHeight="1" x14ac:dyDescent="0.2"/>
    <row r="1988" ht="9.9499999999999993" hidden="1" customHeight="1" x14ac:dyDescent="0.2"/>
    <row r="1989" ht="9.9499999999999993" hidden="1" customHeight="1" x14ac:dyDescent="0.2"/>
    <row r="1990" ht="9.9499999999999993" hidden="1" customHeight="1" x14ac:dyDescent="0.2"/>
    <row r="1991" ht="9.9499999999999993" hidden="1" customHeight="1" x14ac:dyDescent="0.2"/>
    <row r="1992" ht="9.9499999999999993" hidden="1" customHeight="1" x14ac:dyDescent="0.2"/>
    <row r="1993" ht="9.9499999999999993" hidden="1" customHeight="1" x14ac:dyDescent="0.2"/>
    <row r="1994" ht="9.9499999999999993" hidden="1" customHeight="1" x14ac:dyDescent="0.2"/>
    <row r="1995" ht="9.9499999999999993" hidden="1" customHeight="1" x14ac:dyDescent="0.2"/>
    <row r="1996" ht="9.9499999999999993" hidden="1" customHeight="1" x14ac:dyDescent="0.2"/>
    <row r="1997" ht="9.9499999999999993" hidden="1" customHeight="1" x14ac:dyDescent="0.2"/>
    <row r="1998" ht="9.9499999999999993" hidden="1" customHeight="1" x14ac:dyDescent="0.2"/>
    <row r="1999" ht="9.9499999999999993" hidden="1" customHeight="1" x14ac:dyDescent="0.2"/>
    <row r="2000" ht="9.9499999999999993" hidden="1" customHeight="1" x14ac:dyDescent="0.2"/>
    <row r="2001" ht="9.9499999999999993" hidden="1" customHeight="1" x14ac:dyDescent="0.2"/>
    <row r="2002" ht="9.9499999999999993" hidden="1" customHeight="1" x14ac:dyDescent="0.2"/>
    <row r="2003" ht="9.9499999999999993" hidden="1" customHeight="1" x14ac:dyDescent="0.2"/>
    <row r="2004" ht="9.9499999999999993" hidden="1" customHeight="1" x14ac:dyDescent="0.2"/>
    <row r="2005" ht="9.9499999999999993" hidden="1" customHeight="1" x14ac:dyDescent="0.2"/>
    <row r="2006" ht="9.9499999999999993" hidden="1" customHeight="1" x14ac:dyDescent="0.2"/>
    <row r="2007" ht="9.9499999999999993" hidden="1" customHeight="1" x14ac:dyDescent="0.2"/>
    <row r="2008" ht="9.9499999999999993" hidden="1" customHeight="1" x14ac:dyDescent="0.2"/>
    <row r="2009" ht="9.9499999999999993" hidden="1" customHeight="1" x14ac:dyDescent="0.2"/>
    <row r="2010" ht="9.9499999999999993" hidden="1" customHeight="1" x14ac:dyDescent="0.2"/>
    <row r="2011" ht="9.9499999999999993" hidden="1" customHeight="1" x14ac:dyDescent="0.2"/>
    <row r="2012" ht="9.9499999999999993" hidden="1" customHeight="1" x14ac:dyDescent="0.2"/>
    <row r="2013" ht="9.9499999999999993" hidden="1" customHeight="1" x14ac:dyDescent="0.2"/>
    <row r="2014" ht="9.9499999999999993" hidden="1" customHeight="1" x14ac:dyDescent="0.2"/>
    <row r="2015" ht="9.9499999999999993" hidden="1" customHeight="1" x14ac:dyDescent="0.2"/>
    <row r="2016" ht="9.9499999999999993" hidden="1" customHeight="1" x14ac:dyDescent="0.2"/>
    <row r="2017" ht="9.9499999999999993" hidden="1" customHeight="1" x14ac:dyDescent="0.2"/>
    <row r="2018" ht="9.9499999999999993" hidden="1" customHeight="1" x14ac:dyDescent="0.2"/>
    <row r="2019" ht="9.9499999999999993" hidden="1" customHeight="1" x14ac:dyDescent="0.2"/>
    <row r="2020" ht="9.9499999999999993" hidden="1" customHeight="1" x14ac:dyDescent="0.2"/>
    <row r="2021" ht="9.9499999999999993" hidden="1" customHeight="1" x14ac:dyDescent="0.2"/>
    <row r="2022" ht="9.9499999999999993" hidden="1" customHeight="1" x14ac:dyDescent="0.2"/>
    <row r="2023" ht="9.9499999999999993" hidden="1" customHeight="1" x14ac:dyDescent="0.2"/>
    <row r="2024" ht="9.9499999999999993" hidden="1" customHeight="1" x14ac:dyDescent="0.2"/>
    <row r="2025" ht="9.9499999999999993" hidden="1" customHeight="1" x14ac:dyDescent="0.2"/>
    <row r="2026" ht="9.9499999999999993" hidden="1" customHeight="1" x14ac:dyDescent="0.2"/>
    <row r="2027" ht="9.9499999999999993" hidden="1" customHeight="1" x14ac:dyDescent="0.2"/>
    <row r="2028" ht="9.9499999999999993" hidden="1" customHeight="1" x14ac:dyDescent="0.2"/>
    <row r="2029" ht="9.9499999999999993" hidden="1" customHeight="1" x14ac:dyDescent="0.2"/>
    <row r="2030" ht="9.9499999999999993" hidden="1" customHeight="1" x14ac:dyDescent="0.2"/>
    <row r="2031" ht="9.9499999999999993" hidden="1" customHeight="1" x14ac:dyDescent="0.2"/>
    <row r="2032" ht="9.9499999999999993" hidden="1" customHeight="1" x14ac:dyDescent="0.2"/>
    <row r="2033" ht="9.9499999999999993" hidden="1" customHeight="1" x14ac:dyDescent="0.2"/>
    <row r="2034" ht="9.9499999999999993" hidden="1" customHeight="1" x14ac:dyDescent="0.2"/>
    <row r="2035" ht="9.9499999999999993" hidden="1" customHeight="1" x14ac:dyDescent="0.2"/>
    <row r="2036" ht="9.9499999999999993" hidden="1" customHeight="1" x14ac:dyDescent="0.2"/>
    <row r="2037" ht="9.9499999999999993" hidden="1" customHeight="1" x14ac:dyDescent="0.2"/>
    <row r="2038" ht="9.9499999999999993" hidden="1" customHeight="1" x14ac:dyDescent="0.2"/>
    <row r="2039" ht="9.9499999999999993" hidden="1" customHeight="1" x14ac:dyDescent="0.2"/>
    <row r="2040" ht="9.9499999999999993" hidden="1" customHeight="1" x14ac:dyDescent="0.2"/>
    <row r="2041" ht="9.9499999999999993" hidden="1" customHeight="1" x14ac:dyDescent="0.2"/>
    <row r="2042" ht="9.9499999999999993" hidden="1" customHeight="1" x14ac:dyDescent="0.2"/>
    <row r="2043" ht="9.9499999999999993" hidden="1" customHeight="1" x14ac:dyDescent="0.2"/>
    <row r="2044" ht="9.9499999999999993" hidden="1" customHeight="1" x14ac:dyDescent="0.2"/>
    <row r="2045" ht="9.9499999999999993" hidden="1" customHeight="1" x14ac:dyDescent="0.2"/>
    <row r="2046" ht="9.9499999999999993" hidden="1" customHeight="1" x14ac:dyDescent="0.2"/>
    <row r="2047" ht="9.9499999999999993" hidden="1" customHeight="1" x14ac:dyDescent="0.2"/>
    <row r="2048" ht="9.9499999999999993" hidden="1" customHeight="1" x14ac:dyDescent="0.2"/>
    <row r="2049" ht="9.9499999999999993" hidden="1" customHeight="1" x14ac:dyDescent="0.2"/>
    <row r="2050" ht="9.9499999999999993" hidden="1" customHeight="1" x14ac:dyDescent="0.2"/>
    <row r="2051" ht="9.9499999999999993" hidden="1" customHeight="1" x14ac:dyDescent="0.2"/>
    <row r="2052" ht="9.9499999999999993" hidden="1" customHeight="1" x14ac:dyDescent="0.2"/>
    <row r="2053" ht="9.9499999999999993" hidden="1" customHeight="1" x14ac:dyDescent="0.2"/>
    <row r="2054" ht="9.9499999999999993" hidden="1" customHeight="1" x14ac:dyDescent="0.2"/>
    <row r="2055" ht="9.9499999999999993" hidden="1" customHeight="1" x14ac:dyDescent="0.2"/>
    <row r="2056" ht="9.9499999999999993" hidden="1" customHeight="1" x14ac:dyDescent="0.2"/>
    <row r="2057" ht="9.9499999999999993" hidden="1" customHeight="1" x14ac:dyDescent="0.2"/>
    <row r="2058" ht="9.9499999999999993" hidden="1" customHeight="1" x14ac:dyDescent="0.2"/>
    <row r="2059" ht="9.9499999999999993" hidden="1" customHeight="1" x14ac:dyDescent="0.2"/>
    <row r="2060" ht="9.9499999999999993" hidden="1" customHeight="1" x14ac:dyDescent="0.2"/>
    <row r="2061" ht="9.9499999999999993" hidden="1" customHeight="1" x14ac:dyDescent="0.2"/>
    <row r="2062" ht="9.9499999999999993" hidden="1" customHeight="1" x14ac:dyDescent="0.2"/>
    <row r="2063" ht="9.9499999999999993" hidden="1" customHeight="1" x14ac:dyDescent="0.2"/>
    <row r="2064" ht="9.9499999999999993" hidden="1" customHeight="1" x14ac:dyDescent="0.2"/>
    <row r="2065" ht="9.9499999999999993" hidden="1" customHeight="1" x14ac:dyDescent="0.2"/>
    <row r="2066" ht="9.9499999999999993" hidden="1" customHeight="1" x14ac:dyDescent="0.2"/>
    <row r="2067" ht="9.9499999999999993" hidden="1" customHeight="1" x14ac:dyDescent="0.2"/>
    <row r="2068" ht="9.9499999999999993" hidden="1" customHeight="1" x14ac:dyDescent="0.2"/>
    <row r="2069" ht="9.9499999999999993" hidden="1" customHeight="1" x14ac:dyDescent="0.2"/>
    <row r="2070" ht="9.9499999999999993" hidden="1" customHeight="1" x14ac:dyDescent="0.2"/>
    <row r="2071" ht="9.9499999999999993" hidden="1" customHeight="1" x14ac:dyDescent="0.2"/>
    <row r="2072" ht="9.9499999999999993" hidden="1" customHeight="1" x14ac:dyDescent="0.2"/>
    <row r="2073" ht="9.9499999999999993" hidden="1" customHeight="1" x14ac:dyDescent="0.2"/>
    <row r="2074" ht="9.9499999999999993" hidden="1" customHeight="1" x14ac:dyDescent="0.2"/>
    <row r="2075" ht="9.9499999999999993" hidden="1" customHeight="1" x14ac:dyDescent="0.2"/>
    <row r="2076" ht="9.9499999999999993" hidden="1" customHeight="1" x14ac:dyDescent="0.2"/>
    <row r="2077" ht="9.9499999999999993" hidden="1" customHeight="1" x14ac:dyDescent="0.2"/>
    <row r="2078" ht="9.9499999999999993" hidden="1" customHeight="1" x14ac:dyDescent="0.2"/>
    <row r="2079" ht="9.9499999999999993" hidden="1" customHeight="1" x14ac:dyDescent="0.2"/>
    <row r="2080" ht="9.9499999999999993" hidden="1" customHeight="1" x14ac:dyDescent="0.2"/>
    <row r="2081" ht="9.9499999999999993" hidden="1" customHeight="1" x14ac:dyDescent="0.2"/>
    <row r="2082" ht="9.9499999999999993" hidden="1" customHeight="1" x14ac:dyDescent="0.2"/>
    <row r="2083" ht="9.9499999999999993" hidden="1" customHeight="1" x14ac:dyDescent="0.2"/>
    <row r="2084" ht="9.9499999999999993" hidden="1" customHeight="1" x14ac:dyDescent="0.2"/>
    <row r="2085" ht="9.9499999999999993" hidden="1" customHeight="1" x14ac:dyDescent="0.2"/>
    <row r="2086" ht="9.9499999999999993" hidden="1" customHeight="1" x14ac:dyDescent="0.2"/>
    <row r="2087" ht="9.9499999999999993" hidden="1" customHeight="1" x14ac:dyDescent="0.2"/>
    <row r="2088" ht="9.9499999999999993" hidden="1" customHeight="1" x14ac:dyDescent="0.2"/>
    <row r="2089" ht="9.9499999999999993" hidden="1" customHeight="1" x14ac:dyDescent="0.2"/>
    <row r="2090" ht="9.9499999999999993" hidden="1" customHeight="1" x14ac:dyDescent="0.2"/>
    <row r="2091" ht="9.9499999999999993" hidden="1" customHeight="1" x14ac:dyDescent="0.2"/>
    <row r="2092" ht="9.9499999999999993" hidden="1" customHeight="1" x14ac:dyDescent="0.2"/>
    <row r="2093" ht="9.9499999999999993" hidden="1" customHeight="1" x14ac:dyDescent="0.2"/>
    <row r="2094" ht="9.9499999999999993" hidden="1" customHeight="1" x14ac:dyDescent="0.2"/>
    <row r="2095" ht="9.9499999999999993" hidden="1" customHeight="1" x14ac:dyDescent="0.2"/>
    <row r="2096" ht="9.9499999999999993" hidden="1" customHeight="1" x14ac:dyDescent="0.2"/>
    <row r="2097" ht="9.9499999999999993" hidden="1" customHeight="1" x14ac:dyDescent="0.2"/>
    <row r="2098" ht="9.9499999999999993" hidden="1" customHeight="1" x14ac:dyDescent="0.2"/>
    <row r="2099" ht="9.9499999999999993" hidden="1" customHeight="1" x14ac:dyDescent="0.2"/>
    <row r="2100" ht="9.9499999999999993" hidden="1" customHeight="1" x14ac:dyDescent="0.2"/>
    <row r="2101" ht="9.9499999999999993" hidden="1" customHeight="1" x14ac:dyDescent="0.2"/>
    <row r="2102" ht="9.9499999999999993" hidden="1" customHeight="1" x14ac:dyDescent="0.2"/>
    <row r="2103" ht="9.9499999999999993" hidden="1" customHeight="1" x14ac:dyDescent="0.2"/>
    <row r="2104" ht="9.9499999999999993" hidden="1" customHeight="1" x14ac:dyDescent="0.2"/>
    <row r="2105" ht="9.9499999999999993" hidden="1" customHeight="1" x14ac:dyDescent="0.2"/>
    <row r="2106" ht="9.9499999999999993" hidden="1" customHeight="1" x14ac:dyDescent="0.2"/>
    <row r="2107" ht="9.9499999999999993" hidden="1" customHeight="1" x14ac:dyDescent="0.2"/>
    <row r="2108" ht="9.9499999999999993" hidden="1" customHeight="1" x14ac:dyDescent="0.2"/>
    <row r="2109" ht="9.9499999999999993" hidden="1" customHeight="1" x14ac:dyDescent="0.2"/>
    <row r="2110" ht="9.9499999999999993" hidden="1" customHeight="1" x14ac:dyDescent="0.2"/>
    <row r="2111" ht="9.9499999999999993" hidden="1" customHeight="1" x14ac:dyDescent="0.2"/>
    <row r="2112" ht="9.9499999999999993" hidden="1" customHeight="1" x14ac:dyDescent="0.2"/>
    <row r="2113" ht="9.9499999999999993" hidden="1" customHeight="1" x14ac:dyDescent="0.2"/>
    <row r="2114" ht="9.9499999999999993" hidden="1" customHeight="1" x14ac:dyDescent="0.2"/>
    <row r="2115" ht="9.9499999999999993" hidden="1" customHeight="1" x14ac:dyDescent="0.2"/>
    <row r="2116" ht="9.9499999999999993" hidden="1" customHeight="1" x14ac:dyDescent="0.2"/>
    <row r="2117" ht="9.9499999999999993" hidden="1" customHeight="1" x14ac:dyDescent="0.2"/>
    <row r="2118" ht="9.9499999999999993" hidden="1" customHeight="1" x14ac:dyDescent="0.2"/>
    <row r="2119" ht="9.9499999999999993" hidden="1" customHeight="1" x14ac:dyDescent="0.2"/>
    <row r="2120" ht="9.9499999999999993" hidden="1" customHeight="1" x14ac:dyDescent="0.2"/>
    <row r="2121" ht="9.9499999999999993" hidden="1" customHeight="1" x14ac:dyDescent="0.2"/>
    <row r="2122" ht="9.9499999999999993" hidden="1" customHeight="1" x14ac:dyDescent="0.2"/>
    <row r="2123" ht="9.9499999999999993" hidden="1" customHeight="1" x14ac:dyDescent="0.2"/>
    <row r="2124" ht="9.9499999999999993" hidden="1" customHeight="1" x14ac:dyDescent="0.2"/>
    <row r="2125" ht="9.9499999999999993" hidden="1" customHeight="1" x14ac:dyDescent="0.2"/>
    <row r="2126" ht="9.9499999999999993" hidden="1" customHeight="1" x14ac:dyDescent="0.2"/>
    <row r="2127" ht="9.9499999999999993" hidden="1" customHeight="1" x14ac:dyDescent="0.2"/>
    <row r="2128" ht="9.9499999999999993" hidden="1" customHeight="1" x14ac:dyDescent="0.2"/>
    <row r="2129" ht="9.9499999999999993" hidden="1" customHeight="1" x14ac:dyDescent="0.2"/>
    <row r="2130" ht="9.9499999999999993" hidden="1" customHeight="1" x14ac:dyDescent="0.2"/>
    <row r="2131" ht="9.9499999999999993" hidden="1" customHeight="1" x14ac:dyDescent="0.2"/>
    <row r="2132" ht="9.9499999999999993" hidden="1" customHeight="1" x14ac:dyDescent="0.2"/>
    <row r="2133" ht="9.9499999999999993" hidden="1" customHeight="1" x14ac:dyDescent="0.2"/>
    <row r="2134" ht="9.9499999999999993" hidden="1" customHeight="1" x14ac:dyDescent="0.2"/>
    <row r="2135" ht="9.9499999999999993" hidden="1" customHeight="1" x14ac:dyDescent="0.2"/>
    <row r="2136" ht="9.9499999999999993" hidden="1" customHeight="1" x14ac:dyDescent="0.2"/>
    <row r="2137" ht="9.9499999999999993" hidden="1" customHeight="1" x14ac:dyDescent="0.2"/>
    <row r="2138" ht="9.9499999999999993" hidden="1" customHeight="1" x14ac:dyDescent="0.2"/>
    <row r="2139" ht="9.9499999999999993" hidden="1" customHeight="1" x14ac:dyDescent="0.2"/>
    <row r="2140" ht="9.9499999999999993" hidden="1" customHeight="1" x14ac:dyDescent="0.2"/>
    <row r="2141" ht="9.9499999999999993" hidden="1" customHeight="1" x14ac:dyDescent="0.2"/>
    <row r="2142" ht="9.9499999999999993" hidden="1" customHeight="1" x14ac:dyDescent="0.2"/>
    <row r="2143" ht="9.9499999999999993" hidden="1" customHeight="1" x14ac:dyDescent="0.2"/>
    <row r="2144" ht="9.9499999999999993" hidden="1" customHeight="1" x14ac:dyDescent="0.2"/>
    <row r="2145" ht="9.9499999999999993" hidden="1" customHeight="1" x14ac:dyDescent="0.2"/>
    <row r="2146" ht="9.9499999999999993" hidden="1" customHeight="1" x14ac:dyDescent="0.2"/>
    <row r="2147" ht="9.9499999999999993" hidden="1" customHeight="1" x14ac:dyDescent="0.2"/>
    <row r="2148" ht="9.9499999999999993" hidden="1" customHeight="1" x14ac:dyDescent="0.2"/>
    <row r="2149" ht="9.9499999999999993" hidden="1" customHeight="1" x14ac:dyDescent="0.2"/>
    <row r="2150" ht="9.9499999999999993" hidden="1" customHeight="1" x14ac:dyDescent="0.2"/>
    <row r="2151" ht="9.9499999999999993" hidden="1" customHeight="1" x14ac:dyDescent="0.2"/>
    <row r="2152" ht="9.9499999999999993" hidden="1" customHeight="1" x14ac:dyDescent="0.2"/>
    <row r="2153" ht="9.9499999999999993" hidden="1" customHeight="1" x14ac:dyDescent="0.2"/>
    <row r="2154" ht="9.9499999999999993" hidden="1" customHeight="1" x14ac:dyDescent="0.2"/>
    <row r="2155" ht="9.9499999999999993" hidden="1" customHeight="1" x14ac:dyDescent="0.2"/>
    <row r="2156" ht="9.9499999999999993" hidden="1" customHeight="1" x14ac:dyDescent="0.2"/>
    <row r="2157" ht="9.9499999999999993" hidden="1" customHeight="1" x14ac:dyDescent="0.2"/>
    <row r="2158" ht="9.9499999999999993" hidden="1" customHeight="1" x14ac:dyDescent="0.2"/>
    <row r="2159" ht="9.9499999999999993" hidden="1" customHeight="1" x14ac:dyDescent="0.2"/>
    <row r="2160" ht="9.9499999999999993" hidden="1" customHeight="1" x14ac:dyDescent="0.2"/>
    <row r="2161" ht="9.9499999999999993" hidden="1" customHeight="1" x14ac:dyDescent="0.2"/>
    <row r="2162" ht="9.9499999999999993" hidden="1" customHeight="1" x14ac:dyDescent="0.2"/>
    <row r="2163" ht="9.9499999999999993" hidden="1" customHeight="1" x14ac:dyDescent="0.2"/>
    <row r="2164" ht="9.9499999999999993" hidden="1" customHeight="1" x14ac:dyDescent="0.2"/>
    <row r="2165" ht="9.9499999999999993" hidden="1" customHeight="1" x14ac:dyDescent="0.2"/>
    <row r="2166" ht="9.9499999999999993" hidden="1" customHeight="1" x14ac:dyDescent="0.2"/>
    <row r="2167" ht="9.9499999999999993" hidden="1" customHeight="1" x14ac:dyDescent="0.2"/>
    <row r="2168" ht="9.9499999999999993" hidden="1" customHeight="1" x14ac:dyDescent="0.2"/>
    <row r="2169" ht="9.9499999999999993" hidden="1" customHeight="1" x14ac:dyDescent="0.2"/>
    <row r="2170" ht="9.9499999999999993" hidden="1" customHeight="1" x14ac:dyDescent="0.2"/>
    <row r="2171" ht="9.9499999999999993" hidden="1" customHeight="1" x14ac:dyDescent="0.2"/>
    <row r="2172" ht="9.9499999999999993" hidden="1" customHeight="1" x14ac:dyDescent="0.2"/>
    <row r="2173" ht="9.9499999999999993" hidden="1" customHeight="1" x14ac:dyDescent="0.2"/>
    <row r="2174" ht="9.9499999999999993" hidden="1" customHeight="1" x14ac:dyDescent="0.2"/>
    <row r="2175" ht="9.9499999999999993" hidden="1" customHeight="1" x14ac:dyDescent="0.2"/>
    <row r="2176" ht="9.9499999999999993" hidden="1" customHeight="1" x14ac:dyDescent="0.2"/>
    <row r="2177" ht="9.9499999999999993" hidden="1" customHeight="1" x14ac:dyDescent="0.2"/>
    <row r="2178" ht="9.9499999999999993" hidden="1" customHeight="1" x14ac:dyDescent="0.2"/>
    <row r="2179" ht="9.9499999999999993" hidden="1" customHeight="1" x14ac:dyDescent="0.2"/>
    <row r="2180" ht="9.9499999999999993" hidden="1" customHeight="1" x14ac:dyDescent="0.2"/>
    <row r="2181" ht="9.9499999999999993" hidden="1" customHeight="1" x14ac:dyDescent="0.2"/>
    <row r="2182" ht="9.9499999999999993" hidden="1" customHeight="1" x14ac:dyDescent="0.2"/>
    <row r="2183" ht="9.9499999999999993" hidden="1" customHeight="1" x14ac:dyDescent="0.2"/>
    <row r="2184" ht="9.9499999999999993" hidden="1" customHeight="1" x14ac:dyDescent="0.2"/>
    <row r="2185" ht="9.9499999999999993" hidden="1" customHeight="1" x14ac:dyDescent="0.2"/>
    <row r="2186" ht="9.9499999999999993" hidden="1" customHeight="1" x14ac:dyDescent="0.2"/>
    <row r="2187" ht="9.9499999999999993" hidden="1" customHeight="1" x14ac:dyDescent="0.2"/>
    <row r="2188" ht="9.9499999999999993" hidden="1" customHeight="1" x14ac:dyDescent="0.2"/>
    <row r="2189" ht="9.9499999999999993" hidden="1" customHeight="1" x14ac:dyDescent="0.2"/>
    <row r="2190" ht="9.9499999999999993" hidden="1" customHeight="1" x14ac:dyDescent="0.2"/>
    <row r="2191" ht="9.9499999999999993" hidden="1" customHeight="1" x14ac:dyDescent="0.2"/>
    <row r="2192" ht="9.9499999999999993" hidden="1" customHeight="1" x14ac:dyDescent="0.2"/>
    <row r="2193" ht="9.9499999999999993" hidden="1" customHeight="1" x14ac:dyDescent="0.2"/>
    <row r="2194" ht="9.9499999999999993" hidden="1" customHeight="1" x14ac:dyDescent="0.2"/>
    <row r="2195" ht="9.9499999999999993" hidden="1" customHeight="1" x14ac:dyDescent="0.2"/>
    <row r="2196" ht="9.9499999999999993" hidden="1" customHeight="1" x14ac:dyDescent="0.2"/>
    <row r="2197" ht="9.9499999999999993" hidden="1" customHeight="1" x14ac:dyDescent="0.2"/>
    <row r="2198" ht="9.9499999999999993" hidden="1" customHeight="1" x14ac:dyDescent="0.2"/>
    <row r="2199" ht="9.9499999999999993" hidden="1" customHeight="1" x14ac:dyDescent="0.2"/>
    <row r="2200" ht="9.9499999999999993" hidden="1" customHeight="1" x14ac:dyDescent="0.2"/>
    <row r="2201" ht="9.9499999999999993" hidden="1" customHeight="1" x14ac:dyDescent="0.2"/>
    <row r="2202" ht="9.9499999999999993" hidden="1" customHeight="1" x14ac:dyDescent="0.2"/>
    <row r="2203" ht="9.9499999999999993" hidden="1" customHeight="1" x14ac:dyDescent="0.2"/>
    <row r="2204" ht="9.9499999999999993" hidden="1" customHeight="1" x14ac:dyDescent="0.2"/>
    <row r="2205" ht="9.9499999999999993" hidden="1" customHeight="1" x14ac:dyDescent="0.2"/>
    <row r="2206" ht="9.9499999999999993" hidden="1" customHeight="1" x14ac:dyDescent="0.2"/>
    <row r="2207" ht="9.9499999999999993" hidden="1" customHeight="1" x14ac:dyDescent="0.2"/>
    <row r="2208" ht="9.9499999999999993" hidden="1" customHeight="1" x14ac:dyDescent="0.2"/>
    <row r="2209" ht="9.9499999999999993" hidden="1" customHeight="1" x14ac:dyDescent="0.2"/>
    <row r="2210" ht="9.9499999999999993" hidden="1" customHeight="1" x14ac:dyDescent="0.2"/>
    <row r="2211" ht="9.9499999999999993" hidden="1" customHeight="1" x14ac:dyDescent="0.2"/>
    <row r="2212" ht="9.9499999999999993" hidden="1" customHeight="1" x14ac:dyDescent="0.2"/>
    <row r="2213" ht="9.9499999999999993" hidden="1" customHeight="1" x14ac:dyDescent="0.2"/>
    <row r="2214" ht="9.9499999999999993" hidden="1" customHeight="1" x14ac:dyDescent="0.2"/>
    <row r="2215" ht="9.9499999999999993" hidden="1" customHeight="1" x14ac:dyDescent="0.2"/>
    <row r="2216" ht="9.9499999999999993" hidden="1" customHeight="1" x14ac:dyDescent="0.2"/>
    <row r="2217" ht="9.9499999999999993" hidden="1" customHeight="1" x14ac:dyDescent="0.2"/>
    <row r="2218" ht="9.9499999999999993" hidden="1" customHeight="1" x14ac:dyDescent="0.2"/>
    <row r="2219" ht="9.9499999999999993" hidden="1" customHeight="1" x14ac:dyDescent="0.2"/>
    <row r="2220" ht="9.9499999999999993" hidden="1" customHeight="1" x14ac:dyDescent="0.2"/>
    <row r="2221" ht="9.9499999999999993" hidden="1" customHeight="1" x14ac:dyDescent="0.2"/>
    <row r="2222" ht="9.9499999999999993" hidden="1" customHeight="1" x14ac:dyDescent="0.2"/>
    <row r="2223" ht="9.9499999999999993" hidden="1" customHeight="1" x14ac:dyDescent="0.2"/>
    <row r="2224" ht="9.9499999999999993" hidden="1" customHeight="1" x14ac:dyDescent="0.2"/>
    <row r="2225" ht="9.9499999999999993" hidden="1" customHeight="1" x14ac:dyDescent="0.2"/>
    <row r="2226" ht="9.9499999999999993" hidden="1" customHeight="1" x14ac:dyDescent="0.2"/>
    <row r="2227" ht="9.9499999999999993" hidden="1" customHeight="1" x14ac:dyDescent="0.2"/>
    <row r="2228" ht="9.9499999999999993" hidden="1" customHeight="1" x14ac:dyDescent="0.2"/>
    <row r="2229" ht="9.9499999999999993" hidden="1" customHeight="1" x14ac:dyDescent="0.2"/>
    <row r="2230" ht="9.9499999999999993" hidden="1" customHeight="1" x14ac:dyDescent="0.2"/>
    <row r="2231" ht="9.9499999999999993" hidden="1" customHeight="1" x14ac:dyDescent="0.2"/>
    <row r="2232" ht="9.9499999999999993" hidden="1" customHeight="1" x14ac:dyDescent="0.2"/>
    <row r="2233" ht="9.9499999999999993" hidden="1" customHeight="1" x14ac:dyDescent="0.2"/>
    <row r="2234" ht="9.9499999999999993" hidden="1" customHeight="1" x14ac:dyDescent="0.2"/>
    <row r="2235" ht="9.9499999999999993" hidden="1" customHeight="1" x14ac:dyDescent="0.2"/>
    <row r="2236" ht="9.9499999999999993" hidden="1" customHeight="1" x14ac:dyDescent="0.2"/>
    <row r="2237" ht="9.9499999999999993" hidden="1" customHeight="1" x14ac:dyDescent="0.2"/>
    <row r="2238" ht="9.9499999999999993" hidden="1" customHeight="1" x14ac:dyDescent="0.2"/>
    <row r="2239" ht="9.9499999999999993" hidden="1" customHeight="1" x14ac:dyDescent="0.2"/>
    <row r="2240" ht="9.9499999999999993" hidden="1" customHeight="1" x14ac:dyDescent="0.2"/>
    <row r="2241" ht="9.9499999999999993" hidden="1" customHeight="1" x14ac:dyDescent="0.2"/>
    <row r="2242" ht="9.9499999999999993" hidden="1" customHeight="1" x14ac:dyDescent="0.2"/>
    <row r="2243" ht="9.9499999999999993" hidden="1" customHeight="1" x14ac:dyDescent="0.2"/>
    <row r="2244" ht="9.9499999999999993" hidden="1" customHeight="1" x14ac:dyDescent="0.2"/>
    <row r="2245" ht="9.9499999999999993" hidden="1" customHeight="1" x14ac:dyDescent="0.2"/>
    <row r="2246" ht="9.9499999999999993" hidden="1" customHeight="1" x14ac:dyDescent="0.2"/>
    <row r="2247" ht="9.9499999999999993" hidden="1" customHeight="1" x14ac:dyDescent="0.2"/>
    <row r="2248" ht="9.9499999999999993" hidden="1" customHeight="1" x14ac:dyDescent="0.2"/>
    <row r="2249" ht="9.9499999999999993" hidden="1" customHeight="1" x14ac:dyDescent="0.2"/>
    <row r="2250" ht="9.9499999999999993" hidden="1" customHeight="1" x14ac:dyDescent="0.2"/>
    <row r="2251" ht="9.9499999999999993" hidden="1" customHeight="1" x14ac:dyDescent="0.2"/>
    <row r="2252" ht="9.9499999999999993" hidden="1" customHeight="1" x14ac:dyDescent="0.2"/>
    <row r="2253" ht="9.9499999999999993" hidden="1" customHeight="1" x14ac:dyDescent="0.2"/>
    <row r="2254" ht="9.9499999999999993" hidden="1" customHeight="1" x14ac:dyDescent="0.2"/>
    <row r="2255" ht="9.9499999999999993" hidden="1" customHeight="1" x14ac:dyDescent="0.2"/>
    <row r="2256" ht="9.9499999999999993" hidden="1" customHeight="1" x14ac:dyDescent="0.2"/>
    <row r="2257" ht="9.9499999999999993" hidden="1" customHeight="1" x14ac:dyDescent="0.2"/>
    <row r="2258" ht="9.9499999999999993" hidden="1" customHeight="1" x14ac:dyDescent="0.2"/>
    <row r="2259" ht="9.9499999999999993" hidden="1" customHeight="1" x14ac:dyDescent="0.2"/>
    <row r="2260" ht="9.9499999999999993" hidden="1" customHeight="1" x14ac:dyDescent="0.2"/>
    <row r="2261" ht="9.9499999999999993" hidden="1" customHeight="1" x14ac:dyDescent="0.2"/>
    <row r="2262" ht="9.9499999999999993" hidden="1" customHeight="1" x14ac:dyDescent="0.2"/>
    <row r="2263" ht="9.9499999999999993" hidden="1" customHeight="1" x14ac:dyDescent="0.2"/>
    <row r="2264" ht="9.9499999999999993" hidden="1" customHeight="1" x14ac:dyDescent="0.2"/>
    <row r="2265" ht="9.9499999999999993" hidden="1" customHeight="1" x14ac:dyDescent="0.2"/>
    <row r="2266" ht="9.9499999999999993" hidden="1" customHeight="1" x14ac:dyDescent="0.2"/>
    <row r="2267" ht="9.9499999999999993" hidden="1" customHeight="1" x14ac:dyDescent="0.2"/>
    <row r="2268" ht="9.9499999999999993" hidden="1" customHeight="1" x14ac:dyDescent="0.2"/>
    <row r="2269" ht="9.9499999999999993" hidden="1" customHeight="1" x14ac:dyDescent="0.2"/>
    <row r="2270" ht="9.9499999999999993" hidden="1" customHeight="1" x14ac:dyDescent="0.2"/>
    <row r="2271" ht="9.9499999999999993" hidden="1" customHeight="1" x14ac:dyDescent="0.2"/>
    <row r="2272" ht="9.9499999999999993" hidden="1" customHeight="1" x14ac:dyDescent="0.2"/>
    <row r="2273" ht="9.9499999999999993" hidden="1" customHeight="1" x14ac:dyDescent="0.2"/>
    <row r="2274" ht="9.9499999999999993" hidden="1" customHeight="1" x14ac:dyDescent="0.2"/>
    <row r="2275" ht="9.9499999999999993" hidden="1" customHeight="1" x14ac:dyDescent="0.2"/>
    <row r="2276" ht="9.9499999999999993" hidden="1" customHeight="1" x14ac:dyDescent="0.2"/>
    <row r="2277" ht="9.9499999999999993" hidden="1" customHeight="1" x14ac:dyDescent="0.2"/>
    <row r="2278" ht="9.9499999999999993" hidden="1" customHeight="1" x14ac:dyDescent="0.2"/>
    <row r="2279" ht="9.9499999999999993" hidden="1" customHeight="1" x14ac:dyDescent="0.2"/>
    <row r="2280" ht="9.9499999999999993" hidden="1" customHeight="1" x14ac:dyDescent="0.2"/>
    <row r="2281" ht="9.9499999999999993" hidden="1" customHeight="1" x14ac:dyDescent="0.2"/>
    <row r="2282" ht="9.9499999999999993" hidden="1" customHeight="1" x14ac:dyDescent="0.2"/>
    <row r="2283" ht="9.9499999999999993" hidden="1" customHeight="1" x14ac:dyDescent="0.2"/>
    <row r="2284" ht="9.9499999999999993" hidden="1" customHeight="1" x14ac:dyDescent="0.2"/>
    <row r="2285" ht="9.9499999999999993" hidden="1" customHeight="1" x14ac:dyDescent="0.2"/>
    <row r="2286" ht="9.9499999999999993" hidden="1" customHeight="1" x14ac:dyDescent="0.2"/>
    <row r="2287" ht="9.9499999999999993" hidden="1" customHeight="1" x14ac:dyDescent="0.2"/>
    <row r="2288" ht="9.9499999999999993" hidden="1" customHeight="1" x14ac:dyDescent="0.2"/>
    <row r="2289" ht="9.9499999999999993" hidden="1" customHeight="1" x14ac:dyDescent="0.2"/>
    <row r="2290" ht="9.9499999999999993" hidden="1" customHeight="1" x14ac:dyDescent="0.2"/>
    <row r="2291" ht="9.9499999999999993" hidden="1" customHeight="1" x14ac:dyDescent="0.2"/>
    <row r="2292" ht="9.9499999999999993" hidden="1" customHeight="1" x14ac:dyDescent="0.2"/>
    <row r="2293" ht="9.9499999999999993" hidden="1" customHeight="1" x14ac:dyDescent="0.2"/>
    <row r="2294" ht="9.9499999999999993" hidden="1" customHeight="1" x14ac:dyDescent="0.2"/>
    <row r="2295" ht="9.9499999999999993" hidden="1" customHeight="1" x14ac:dyDescent="0.2"/>
    <row r="2296" ht="9.9499999999999993" hidden="1" customHeight="1" x14ac:dyDescent="0.2"/>
    <row r="2297" ht="9.9499999999999993" hidden="1" customHeight="1" x14ac:dyDescent="0.2"/>
    <row r="2298" ht="9.9499999999999993" hidden="1" customHeight="1" x14ac:dyDescent="0.2"/>
    <row r="2299" ht="9.9499999999999993" hidden="1" customHeight="1" x14ac:dyDescent="0.2"/>
    <row r="2300" ht="9.9499999999999993" hidden="1" customHeight="1" x14ac:dyDescent="0.2"/>
    <row r="2301" ht="9.9499999999999993" hidden="1" customHeight="1" x14ac:dyDescent="0.2"/>
    <row r="2302" ht="9.9499999999999993" hidden="1" customHeight="1" x14ac:dyDescent="0.2"/>
    <row r="2303" ht="9.9499999999999993" hidden="1" customHeight="1" x14ac:dyDescent="0.2"/>
    <row r="2304" ht="9.9499999999999993" hidden="1" customHeight="1" x14ac:dyDescent="0.2"/>
    <row r="2305" ht="9.9499999999999993" hidden="1" customHeight="1" x14ac:dyDescent="0.2"/>
    <row r="2306" ht="9.9499999999999993" hidden="1" customHeight="1" x14ac:dyDescent="0.2"/>
    <row r="2307" ht="9.9499999999999993" hidden="1" customHeight="1" x14ac:dyDescent="0.2"/>
    <row r="2308" ht="9.9499999999999993" hidden="1" customHeight="1" x14ac:dyDescent="0.2"/>
    <row r="2309" ht="9.9499999999999993" hidden="1" customHeight="1" x14ac:dyDescent="0.2"/>
    <row r="2310" ht="9.9499999999999993" hidden="1" customHeight="1" x14ac:dyDescent="0.2"/>
    <row r="2311" ht="9.9499999999999993" hidden="1" customHeight="1" x14ac:dyDescent="0.2"/>
    <row r="2312" ht="9.9499999999999993" hidden="1" customHeight="1" x14ac:dyDescent="0.2"/>
    <row r="2313" ht="9.9499999999999993" hidden="1" customHeight="1" x14ac:dyDescent="0.2"/>
    <row r="2314" ht="9.9499999999999993" hidden="1" customHeight="1" x14ac:dyDescent="0.2"/>
    <row r="2315" ht="9.9499999999999993" hidden="1" customHeight="1" x14ac:dyDescent="0.2"/>
    <row r="2316" ht="9.9499999999999993" hidden="1" customHeight="1" x14ac:dyDescent="0.2"/>
    <row r="2317" ht="9.9499999999999993" hidden="1" customHeight="1" x14ac:dyDescent="0.2"/>
    <row r="2318" ht="9.9499999999999993" hidden="1" customHeight="1" x14ac:dyDescent="0.2"/>
    <row r="2319" ht="9.9499999999999993" hidden="1" customHeight="1" x14ac:dyDescent="0.2"/>
    <row r="2320" ht="9.9499999999999993" hidden="1" customHeight="1" x14ac:dyDescent="0.2"/>
    <row r="2321" ht="9.9499999999999993" hidden="1" customHeight="1" x14ac:dyDescent="0.2"/>
    <row r="2322" ht="9.9499999999999993" hidden="1" customHeight="1" x14ac:dyDescent="0.2"/>
    <row r="2323" ht="9.9499999999999993" hidden="1" customHeight="1" x14ac:dyDescent="0.2"/>
    <row r="2324" ht="9.9499999999999993" hidden="1" customHeight="1" x14ac:dyDescent="0.2"/>
    <row r="2325" ht="9.9499999999999993" hidden="1" customHeight="1" x14ac:dyDescent="0.2"/>
    <row r="2326" ht="9.9499999999999993" hidden="1" customHeight="1" x14ac:dyDescent="0.2"/>
    <row r="2327" ht="9.9499999999999993" hidden="1" customHeight="1" x14ac:dyDescent="0.2"/>
    <row r="2328" ht="9.9499999999999993" hidden="1" customHeight="1" x14ac:dyDescent="0.2"/>
    <row r="2329" ht="9.9499999999999993" hidden="1" customHeight="1" x14ac:dyDescent="0.2"/>
    <row r="2330" ht="9.9499999999999993" hidden="1" customHeight="1" x14ac:dyDescent="0.2"/>
    <row r="2331" ht="9.9499999999999993" hidden="1" customHeight="1" x14ac:dyDescent="0.2"/>
    <row r="2332" ht="9.9499999999999993" hidden="1" customHeight="1" x14ac:dyDescent="0.2"/>
    <row r="2333" ht="9.9499999999999993" hidden="1" customHeight="1" x14ac:dyDescent="0.2"/>
    <row r="2334" ht="9.9499999999999993" hidden="1" customHeight="1" x14ac:dyDescent="0.2"/>
    <row r="2335" ht="9.9499999999999993" hidden="1" customHeight="1" x14ac:dyDescent="0.2"/>
    <row r="2336" ht="9.9499999999999993" hidden="1" customHeight="1" x14ac:dyDescent="0.2"/>
    <row r="2337" ht="9.9499999999999993" hidden="1" customHeight="1" x14ac:dyDescent="0.2"/>
    <row r="2338" ht="9.9499999999999993" hidden="1" customHeight="1" x14ac:dyDescent="0.2"/>
    <row r="2339" ht="9.9499999999999993" hidden="1" customHeight="1" x14ac:dyDescent="0.2"/>
    <row r="2340" ht="9.9499999999999993" hidden="1" customHeight="1" x14ac:dyDescent="0.2"/>
    <row r="2341" ht="9.9499999999999993" hidden="1" customHeight="1" x14ac:dyDescent="0.2"/>
    <row r="2342" ht="9.9499999999999993" hidden="1" customHeight="1" x14ac:dyDescent="0.2"/>
    <row r="2343" ht="9.9499999999999993" hidden="1" customHeight="1" x14ac:dyDescent="0.2"/>
    <row r="2344" ht="9.9499999999999993" hidden="1" customHeight="1" x14ac:dyDescent="0.2"/>
    <row r="2345" ht="9.9499999999999993" hidden="1" customHeight="1" x14ac:dyDescent="0.2"/>
    <row r="2346" ht="9.9499999999999993" hidden="1" customHeight="1" x14ac:dyDescent="0.2"/>
    <row r="2347" ht="9.9499999999999993" hidden="1" customHeight="1" x14ac:dyDescent="0.2"/>
    <row r="2348" ht="9.9499999999999993" hidden="1" customHeight="1" x14ac:dyDescent="0.2"/>
    <row r="2349" ht="9.9499999999999993" hidden="1" customHeight="1" x14ac:dyDescent="0.2"/>
    <row r="2350" ht="9.9499999999999993" hidden="1" customHeight="1" x14ac:dyDescent="0.2"/>
    <row r="2351" ht="9.9499999999999993" hidden="1" customHeight="1" x14ac:dyDescent="0.2"/>
    <row r="2352" ht="9.9499999999999993" hidden="1" customHeight="1" x14ac:dyDescent="0.2"/>
    <row r="2353" ht="9.9499999999999993" hidden="1" customHeight="1" x14ac:dyDescent="0.2"/>
    <row r="2354" ht="9.9499999999999993" hidden="1" customHeight="1" x14ac:dyDescent="0.2"/>
    <row r="2355" ht="9.9499999999999993" hidden="1" customHeight="1" x14ac:dyDescent="0.2"/>
    <row r="2356" ht="9.9499999999999993" hidden="1" customHeight="1" x14ac:dyDescent="0.2"/>
    <row r="2357" ht="9.9499999999999993" hidden="1" customHeight="1" x14ac:dyDescent="0.2"/>
    <row r="2358" ht="9.9499999999999993" hidden="1" customHeight="1" x14ac:dyDescent="0.2"/>
    <row r="2359" ht="9.9499999999999993" hidden="1" customHeight="1" x14ac:dyDescent="0.2"/>
    <row r="2360" ht="9.9499999999999993" hidden="1" customHeight="1" x14ac:dyDescent="0.2"/>
    <row r="2361" ht="9.9499999999999993" hidden="1" customHeight="1" x14ac:dyDescent="0.2"/>
    <row r="2362" ht="9.9499999999999993" hidden="1" customHeight="1" x14ac:dyDescent="0.2"/>
    <row r="2363" ht="9.9499999999999993" hidden="1" customHeight="1" x14ac:dyDescent="0.2"/>
    <row r="2364" ht="9.9499999999999993" hidden="1" customHeight="1" x14ac:dyDescent="0.2"/>
    <row r="2365" ht="9.9499999999999993" hidden="1" customHeight="1" x14ac:dyDescent="0.2"/>
    <row r="2366" ht="9.9499999999999993" hidden="1" customHeight="1" x14ac:dyDescent="0.2"/>
    <row r="2367" ht="9.9499999999999993" hidden="1" customHeight="1" x14ac:dyDescent="0.2"/>
    <row r="2368" ht="9.9499999999999993" hidden="1" customHeight="1" x14ac:dyDescent="0.2"/>
    <row r="2369" ht="9.9499999999999993" hidden="1" customHeight="1" x14ac:dyDescent="0.2"/>
    <row r="2370" ht="9.9499999999999993" hidden="1" customHeight="1" x14ac:dyDescent="0.2"/>
    <row r="2371" ht="9.9499999999999993" hidden="1" customHeight="1" x14ac:dyDescent="0.2"/>
    <row r="2372" ht="9.9499999999999993" hidden="1" customHeight="1" x14ac:dyDescent="0.2"/>
    <row r="2373" ht="9.9499999999999993" hidden="1" customHeight="1" x14ac:dyDescent="0.2"/>
    <row r="2374" ht="9.9499999999999993" hidden="1" customHeight="1" x14ac:dyDescent="0.2"/>
    <row r="2375" ht="9.9499999999999993" hidden="1" customHeight="1" x14ac:dyDescent="0.2"/>
    <row r="2376" ht="9.9499999999999993" hidden="1" customHeight="1" x14ac:dyDescent="0.2"/>
    <row r="2377" ht="9.9499999999999993" hidden="1" customHeight="1" x14ac:dyDescent="0.2"/>
    <row r="2378" ht="9.9499999999999993" hidden="1" customHeight="1" x14ac:dyDescent="0.2"/>
    <row r="2379" ht="9.9499999999999993" hidden="1" customHeight="1" x14ac:dyDescent="0.2"/>
    <row r="2380" ht="9.9499999999999993" hidden="1" customHeight="1" x14ac:dyDescent="0.2"/>
    <row r="2381" ht="9.9499999999999993" hidden="1" customHeight="1" x14ac:dyDescent="0.2"/>
    <row r="2382" ht="9.9499999999999993" hidden="1" customHeight="1" x14ac:dyDescent="0.2"/>
    <row r="2383" ht="9.9499999999999993" hidden="1" customHeight="1" x14ac:dyDescent="0.2"/>
    <row r="2384" ht="9.9499999999999993" hidden="1" customHeight="1" x14ac:dyDescent="0.2"/>
    <row r="2385" ht="9.9499999999999993" hidden="1" customHeight="1" x14ac:dyDescent="0.2"/>
    <row r="2386" ht="9.9499999999999993" hidden="1" customHeight="1" x14ac:dyDescent="0.2"/>
    <row r="2387" ht="9.9499999999999993" hidden="1" customHeight="1" x14ac:dyDescent="0.2"/>
    <row r="2388" ht="9.9499999999999993" hidden="1" customHeight="1" x14ac:dyDescent="0.2"/>
    <row r="2389" ht="9.9499999999999993" hidden="1" customHeight="1" x14ac:dyDescent="0.2"/>
    <row r="2390" ht="9.9499999999999993" hidden="1" customHeight="1" x14ac:dyDescent="0.2"/>
    <row r="2391" ht="9.9499999999999993" hidden="1" customHeight="1" x14ac:dyDescent="0.2"/>
    <row r="2392" ht="9.9499999999999993" hidden="1" customHeight="1" x14ac:dyDescent="0.2"/>
    <row r="2393" ht="9.9499999999999993" hidden="1" customHeight="1" x14ac:dyDescent="0.2"/>
    <row r="2394" ht="9.9499999999999993" hidden="1" customHeight="1" x14ac:dyDescent="0.2"/>
    <row r="2395" ht="9.9499999999999993" hidden="1" customHeight="1" x14ac:dyDescent="0.2"/>
    <row r="2396" ht="9.9499999999999993" hidden="1" customHeight="1" x14ac:dyDescent="0.2"/>
    <row r="2397" ht="9.9499999999999993" hidden="1" customHeight="1" x14ac:dyDescent="0.2"/>
    <row r="2398" ht="9.9499999999999993" hidden="1" customHeight="1" x14ac:dyDescent="0.2"/>
    <row r="2399" ht="9.9499999999999993" hidden="1" customHeight="1" x14ac:dyDescent="0.2"/>
    <row r="2400" ht="9.9499999999999993" hidden="1" customHeight="1" x14ac:dyDescent="0.2"/>
    <row r="2401" ht="9.9499999999999993" hidden="1" customHeight="1" x14ac:dyDescent="0.2"/>
    <row r="2402" ht="9.9499999999999993" hidden="1" customHeight="1" x14ac:dyDescent="0.2"/>
    <row r="2403" ht="9.9499999999999993" hidden="1" customHeight="1" x14ac:dyDescent="0.2"/>
    <row r="2404" ht="9.9499999999999993" hidden="1" customHeight="1" x14ac:dyDescent="0.2"/>
    <row r="2405" ht="9.9499999999999993" hidden="1" customHeight="1" x14ac:dyDescent="0.2"/>
    <row r="2406" ht="9.9499999999999993" hidden="1" customHeight="1" x14ac:dyDescent="0.2"/>
    <row r="2407" ht="9.9499999999999993" hidden="1" customHeight="1" x14ac:dyDescent="0.2"/>
    <row r="2408" ht="9.9499999999999993" hidden="1" customHeight="1" x14ac:dyDescent="0.2"/>
    <row r="2409" ht="9.9499999999999993" hidden="1" customHeight="1" x14ac:dyDescent="0.2"/>
    <row r="2410" ht="9.9499999999999993" hidden="1" customHeight="1" x14ac:dyDescent="0.2"/>
    <row r="2411" ht="9.9499999999999993" hidden="1" customHeight="1" x14ac:dyDescent="0.2"/>
    <row r="2412" ht="9.9499999999999993" hidden="1" customHeight="1" x14ac:dyDescent="0.2"/>
    <row r="2413" ht="9.9499999999999993" hidden="1" customHeight="1" x14ac:dyDescent="0.2"/>
    <row r="2414" ht="9.9499999999999993" hidden="1" customHeight="1" x14ac:dyDescent="0.2"/>
    <row r="2415" ht="9.9499999999999993" hidden="1" customHeight="1" x14ac:dyDescent="0.2"/>
    <row r="2416" ht="9.9499999999999993" hidden="1" customHeight="1" x14ac:dyDescent="0.2"/>
    <row r="2417" ht="9.9499999999999993" hidden="1" customHeight="1" x14ac:dyDescent="0.2"/>
    <row r="2418" ht="9.9499999999999993" hidden="1" customHeight="1" x14ac:dyDescent="0.2"/>
    <row r="2419" ht="9.9499999999999993" hidden="1" customHeight="1" x14ac:dyDescent="0.2"/>
    <row r="2420" ht="9.9499999999999993" hidden="1" customHeight="1" x14ac:dyDescent="0.2"/>
    <row r="2421" ht="9.9499999999999993" hidden="1" customHeight="1" x14ac:dyDescent="0.2"/>
    <row r="2422" ht="9.9499999999999993" hidden="1" customHeight="1" x14ac:dyDescent="0.2"/>
    <row r="2423" ht="9.9499999999999993" hidden="1" customHeight="1" x14ac:dyDescent="0.2"/>
    <row r="2424" ht="9.9499999999999993" hidden="1" customHeight="1" x14ac:dyDescent="0.2"/>
    <row r="2425" ht="9.9499999999999993" hidden="1" customHeight="1" x14ac:dyDescent="0.2"/>
    <row r="2426" ht="9.9499999999999993" hidden="1" customHeight="1" x14ac:dyDescent="0.2"/>
    <row r="2427" ht="9.9499999999999993" hidden="1" customHeight="1" x14ac:dyDescent="0.2"/>
    <row r="2428" ht="9.9499999999999993" hidden="1" customHeight="1" x14ac:dyDescent="0.2"/>
    <row r="2429" ht="9.9499999999999993" hidden="1" customHeight="1" x14ac:dyDescent="0.2"/>
    <row r="2430" ht="9.9499999999999993" hidden="1" customHeight="1" x14ac:dyDescent="0.2"/>
    <row r="2431" ht="9.9499999999999993" hidden="1" customHeight="1" x14ac:dyDescent="0.2"/>
    <row r="2432" ht="9.9499999999999993" hidden="1" customHeight="1" x14ac:dyDescent="0.2"/>
    <row r="2433" ht="9.9499999999999993" hidden="1" customHeight="1" x14ac:dyDescent="0.2"/>
    <row r="2434" ht="9.9499999999999993" hidden="1" customHeight="1" x14ac:dyDescent="0.2"/>
    <row r="2435" ht="9.9499999999999993" hidden="1" customHeight="1" x14ac:dyDescent="0.2"/>
    <row r="2436" ht="9.9499999999999993" hidden="1" customHeight="1" x14ac:dyDescent="0.2"/>
    <row r="2437" ht="9.9499999999999993" hidden="1" customHeight="1" x14ac:dyDescent="0.2"/>
    <row r="2438" ht="9.9499999999999993" hidden="1" customHeight="1" x14ac:dyDescent="0.2"/>
    <row r="2439" ht="9.9499999999999993" hidden="1" customHeight="1" x14ac:dyDescent="0.2"/>
    <row r="2440" ht="9.9499999999999993" hidden="1" customHeight="1" x14ac:dyDescent="0.2"/>
    <row r="2441" ht="9.9499999999999993" hidden="1" customHeight="1" x14ac:dyDescent="0.2"/>
    <row r="2442" ht="9.9499999999999993" hidden="1" customHeight="1" x14ac:dyDescent="0.2"/>
    <row r="2443" ht="9.9499999999999993" hidden="1" customHeight="1" x14ac:dyDescent="0.2"/>
    <row r="2444" ht="9.9499999999999993" hidden="1" customHeight="1" x14ac:dyDescent="0.2"/>
    <row r="2445" ht="9.9499999999999993" hidden="1" customHeight="1" x14ac:dyDescent="0.2"/>
    <row r="2446" ht="9.9499999999999993" hidden="1" customHeight="1" x14ac:dyDescent="0.2"/>
    <row r="2447" ht="9.9499999999999993" hidden="1" customHeight="1" x14ac:dyDescent="0.2"/>
    <row r="2448" ht="9.9499999999999993" hidden="1" customHeight="1" x14ac:dyDescent="0.2"/>
    <row r="2449" ht="9.9499999999999993" hidden="1" customHeight="1" x14ac:dyDescent="0.2"/>
    <row r="2450" ht="9.9499999999999993" hidden="1" customHeight="1" x14ac:dyDescent="0.2"/>
    <row r="2451" ht="9.9499999999999993" hidden="1" customHeight="1" x14ac:dyDescent="0.2"/>
    <row r="2452" ht="9.9499999999999993" hidden="1" customHeight="1" x14ac:dyDescent="0.2"/>
    <row r="2453" ht="9.9499999999999993" hidden="1" customHeight="1" x14ac:dyDescent="0.2"/>
    <row r="2454" ht="9.9499999999999993" hidden="1" customHeight="1" x14ac:dyDescent="0.2"/>
    <row r="2455" ht="9.9499999999999993" hidden="1" customHeight="1" x14ac:dyDescent="0.2"/>
    <row r="2456" ht="9.9499999999999993" hidden="1" customHeight="1" x14ac:dyDescent="0.2"/>
    <row r="2457" ht="9.9499999999999993" hidden="1" customHeight="1" x14ac:dyDescent="0.2"/>
    <row r="2458" ht="9.9499999999999993" hidden="1" customHeight="1" x14ac:dyDescent="0.2"/>
    <row r="2459" ht="9.9499999999999993" hidden="1" customHeight="1" x14ac:dyDescent="0.2"/>
    <row r="2460" ht="9.9499999999999993" hidden="1" customHeight="1" x14ac:dyDescent="0.2"/>
    <row r="2461" ht="9.9499999999999993" hidden="1" customHeight="1" x14ac:dyDescent="0.2"/>
    <row r="2462" ht="9.9499999999999993" hidden="1" customHeight="1" x14ac:dyDescent="0.2"/>
    <row r="2463" ht="9.9499999999999993" hidden="1" customHeight="1" x14ac:dyDescent="0.2"/>
    <row r="2464" ht="9.9499999999999993" hidden="1" customHeight="1" x14ac:dyDescent="0.2"/>
    <row r="2465" ht="9.9499999999999993" hidden="1" customHeight="1" x14ac:dyDescent="0.2"/>
    <row r="2466" ht="9.9499999999999993" hidden="1" customHeight="1" x14ac:dyDescent="0.2"/>
    <row r="2467" ht="9.9499999999999993" hidden="1" customHeight="1" x14ac:dyDescent="0.2"/>
    <row r="2468" ht="9.9499999999999993" hidden="1" customHeight="1" x14ac:dyDescent="0.2"/>
    <row r="2469" ht="9.9499999999999993" hidden="1" customHeight="1" x14ac:dyDescent="0.2"/>
    <row r="2470" ht="9.9499999999999993" hidden="1" customHeight="1" x14ac:dyDescent="0.2"/>
    <row r="2471" ht="9.9499999999999993" hidden="1" customHeight="1" x14ac:dyDescent="0.2"/>
    <row r="2472" ht="9.9499999999999993" hidden="1" customHeight="1" x14ac:dyDescent="0.2"/>
    <row r="2473" ht="9.9499999999999993" hidden="1" customHeight="1" x14ac:dyDescent="0.2"/>
    <row r="2474" ht="9.9499999999999993" hidden="1" customHeight="1" x14ac:dyDescent="0.2"/>
    <row r="2475" ht="9.9499999999999993" hidden="1" customHeight="1" x14ac:dyDescent="0.2"/>
    <row r="2476" ht="9.9499999999999993" hidden="1" customHeight="1" x14ac:dyDescent="0.2"/>
    <row r="2477" ht="9.9499999999999993" hidden="1" customHeight="1" x14ac:dyDescent="0.2"/>
    <row r="2478" ht="9.9499999999999993" hidden="1" customHeight="1" x14ac:dyDescent="0.2"/>
    <row r="2479" ht="9.9499999999999993" hidden="1" customHeight="1" x14ac:dyDescent="0.2"/>
    <row r="2480" ht="9.9499999999999993" hidden="1" customHeight="1" x14ac:dyDescent="0.2"/>
    <row r="2481" ht="9.9499999999999993" hidden="1" customHeight="1" x14ac:dyDescent="0.2"/>
    <row r="2482" ht="9.9499999999999993" hidden="1" customHeight="1" x14ac:dyDescent="0.2"/>
    <row r="2483" ht="9.9499999999999993" hidden="1" customHeight="1" x14ac:dyDescent="0.2"/>
    <row r="2484" ht="9.9499999999999993" hidden="1" customHeight="1" x14ac:dyDescent="0.2"/>
    <row r="2485" ht="9.9499999999999993" hidden="1" customHeight="1" x14ac:dyDescent="0.2"/>
    <row r="2486" ht="9.9499999999999993" hidden="1" customHeight="1" x14ac:dyDescent="0.2"/>
    <row r="2487" ht="9.9499999999999993" hidden="1" customHeight="1" x14ac:dyDescent="0.2"/>
    <row r="2488" ht="9.9499999999999993" hidden="1" customHeight="1" x14ac:dyDescent="0.2"/>
    <row r="2489" ht="9.9499999999999993" hidden="1" customHeight="1" x14ac:dyDescent="0.2"/>
    <row r="2490" ht="9.9499999999999993" hidden="1" customHeight="1" x14ac:dyDescent="0.2"/>
    <row r="2491" ht="9.9499999999999993" hidden="1" customHeight="1" x14ac:dyDescent="0.2"/>
    <row r="2492" ht="9.9499999999999993" hidden="1" customHeight="1" x14ac:dyDescent="0.2"/>
    <row r="2493" ht="9.9499999999999993" hidden="1" customHeight="1" x14ac:dyDescent="0.2"/>
    <row r="2494" ht="9.9499999999999993" hidden="1" customHeight="1" x14ac:dyDescent="0.2"/>
    <row r="2495" ht="9.9499999999999993" hidden="1" customHeight="1" x14ac:dyDescent="0.2"/>
    <row r="2496" ht="9.9499999999999993" hidden="1" customHeight="1" x14ac:dyDescent="0.2"/>
    <row r="2497" ht="9.9499999999999993" hidden="1" customHeight="1" x14ac:dyDescent="0.2"/>
    <row r="2498" ht="9.9499999999999993" hidden="1" customHeight="1" x14ac:dyDescent="0.2"/>
    <row r="2499" ht="9.9499999999999993" hidden="1" customHeight="1" x14ac:dyDescent="0.2"/>
    <row r="2500" ht="9.9499999999999993" hidden="1" customHeight="1" x14ac:dyDescent="0.2"/>
    <row r="2501" ht="9.9499999999999993" hidden="1" customHeight="1" x14ac:dyDescent="0.2"/>
    <row r="2502" ht="9.9499999999999993" hidden="1" customHeight="1" x14ac:dyDescent="0.2"/>
    <row r="2503" ht="9.9499999999999993" hidden="1" customHeight="1" x14ac:dyDescent="0.2"/>
    <row r="2504" ht="9.9499999999999993" hidden="1" customHeight="1" x14ac:dyDescent="0.2"/>
    <row r="2505" ht="9.9499999999999993" hidden="1" customHeight="1" x14ac:dyDescent="0.2"/>
    <row r="2506" ht="9.9499999999999993" hidden="1" customHeight="1" x14ac:dyDescent="0.2"/>
    <row r="2507" ht="9.9499999999999993" hidden="1" customHeight="1" x14ac:dyDescent="0.2"/>
    <row r="2508" ht="9.9499999999999993" hidden="1" customHeight="1" x14ac:dyDescent="0.2"/>
    <row r="2509" ht="9.9499999999999993" hidden="1" customHeight="1" x14ac:dyDescent="0.2"/>
    <row r="2510" ht="9.9499999999999993" hidden="1" customHeight="1" x14ac:dyDescent="0.2"/>
    <row r="2511" ht="9.9499999999999993" hidden="1" customHeight="1" x14ac:dyDescent="0.2"/>
    <row r="2512" ht="9.9499999999999993" hidden="1" customHeight="1" x14ac:dyDescent="0.2"/>
    <row r="2513" ht="9.9499999999999993" hidden="1" customHeight="1" x14ac:dyDescent="0.2"/>
    <row r="2514" ht="9.9499999999999993" hidden="1" customHeight="1" x14ac:dyDescent="0.2"/>
    <row r="2515" ht="9.9499999999999993" hidden="1" customHeight="1" x14ac:dyDescent="0.2"/>
    <row r="2516" ht="9.9499999999999993" hidden="1" customHeight="1" x14ac:dyDescent="0.2"/>
    <row r="2517" ht="9.9499999999999993" hidden="1" customHeight="1" x14ac:dyDescent="0.2"/>
    <row r="2518" ht="9.9499999999999993" hidden="1" customHeight="1" x14ac:dyDescent="0.2"/>
    <row r="2519" ht="9.9499999999999993" hidden="1" customHeight="1" x14ac:dyDescent="0.2"/>
    <row r="2520" ht="9.9499999999999993" hidden="1" customHeight="1" x14ac:dyDescent="0.2"/>
    <row r="2521" ht="9.9499999999999993" hidden="1" customHeight="1" x14ac:dyDescent="0.2"/>
    <row r="2522" ht="9.9499999999999993" hidden="1" customHeight="1" x14ac:dyDescent="0.2"/>
    <row r="2523" ht="9.9499999999999993" hidden="1" customHeight="1" x14ac:dyDescent="0.2"/>
    <row r="2524" ht="9.9499999999999993" hidden="1" customHeight="1" x14ac:dyDescent="0.2"/>
    <row r="2525" ht="9.9499999999999993" hidden="1" customHeight="1" x14ac:dyDescent="0.2"/>
    <row r="2526" ht="9.9499999999999993" hidden="1" customHeight="1" x14ac:dyDescent="0.2"/>
    <row r="2527" ht="9.9499999999999993" hidden="1" customHeight="1" x14ac:dyDescent="0.2"/>
    <row r="2528" ht="9.9499999999999993" hidden="1" customHeight="1" x14ac:dyDescent="0.2"/>
    <row r="2529" ht="9.9499999999999993" hidden="1" customHeight="1" x14ac:dyDescent="0.2"/>
    <row r="2530" ht="9.9499999999999993" hidden="1" customHeight="1" x14ac:dyDescent="0.2"/>
    <row r="2531" ht="9.9499999999999993" hidden="1" customHeight="1" x14ac:dyDescent="0.2"/>
    <row r="2532" ht="9.9499999999999993" hidden="1" customHeight="1" x14ac:dyDescent="0.2"/>
    <row r="2533" ht="9.9499999999999993" hidden="1" customHeight="1" x14ac:dyDescent="0.2"/>
    <row r="2534" ht="9.9499999999999993" hidden="1" customHeight="1" x14ac:dyDescent="0.2"/>
    <row r="2535" ht="9.9499999999999993" hidden="1" customHeight="1" x14ac:dyDescent="0.2"/>
    <row r="2536" ht="9.9499999999999993" hidden="1" customHeight="1" x14ac:dyDescent="0.2"/>
    <row r="2537" ht="9.9499999999999993" hidden="1" customHeight="1" x14ac:dyDescent="0.2"/>
    <row r="2538" ht="9.9499999999999993" hidden="1" customHeight="1" x14ac:dyDescent="0.2"/>
    <row r="2539" ht="9.9499999999999993" hidden="1" customHeight="1" x14ac:dyDescent="0.2"/>
    <row r="2540" ht="9.9499999999999993" hidden="1" customHeight="1" x14ac:dyDescent="0.2"/>
    <row r="2541" ht="9.9499999999999993" hidden="1" customHeight="1" x14ac:dyDescent="0.2"/>
    <row r="2542" ht="9.9499999999999993" hidden="1" customHeight="1" x14ac:dyDescent="0.2"/>
    <row r="2543" ht="9.9499999999999993" hidden="1" customHeight="1" x14ac:dyDescent="0.2"/>
    <row r="2544" ht="9.9499999999999993" hidden="1" customHeight="1" x14ac:dyDescent="0.2"/>
    <row r="2545" ht="9.9499999999999993" hidden="1" customHeight="1" x14ac:dyDescent="0.2"/>
    <row r="2546" ht="9.9499999999999993" hidden="1" customHeight="1" x14ac:dyDescent="0.2"/>
    <row r="2547" ht="9.9499999999999993" hidden="1" customHeight="1" x14ac:dyDescent="0.2"/>
    <row r="2548" ht="9.9499999999999993" hidden="1" customHeight="1" x14ac:dyDescent="0.2"/>
    <row r="2549" ht="9.9499999999999993" hidden="1" customHeight="1" x14ac:dyDescent="0.2"/>
    <row r="2550" ht="9.9499999999999993" hidden="1" customHeight="1" x14ac:dyDescent="0.2"/>
    <row r="2551" ht="9.9499999999999993" hidden="1" customHeight="1" x14ac:dyDescent="0.2"/>
    <row r="2552" ht="9.9499999999999993" hidden="1" customHeight="1" x14ac:dyDescent="0.2"/>
    <row r="2553" ht="9.9499999999999993" hidden="1" customHeight="1" x14ac:dyDescent="0.2"/>
    <row r="2554" ht="9.9499999999999993" hidden="1" customHeight="1" x14ac:dyDescent="0.2"/>
    <row r="2555" ht="9.9499999999999993" hidden="1" customHeight="1" x14ac:dyDescent="0.2"/>
    <row r="2556" ht="9.9499999999999993" hidden="1" customHeight="1" x14ac:dyDescent="0.2"/>
    <row r="2557" ht="9.9499999999999993" hidden="1" customHeight="1" x14ac:dyDescent="0.2"/>
    <row r="2558" ht="9.9499999999999993" hidden="1" customHeight="1" x14ac:dyDescent="0.2"/>
    <row r="2559" ht="9.9499999999999993" hidden="1" customHeight="1" x14ac:dyDescent="0.2"/>
    <row r="2560" ht="9.9499999999999993" hidden="1" customHeight="1" x14ac:dyDescent="0.2"/>
    <row r="2561" ht="9.9499999999999993" hidden="1" customHeight="1" x14ac:dyDescent="0.2"/>
    <row r="2562" ht="9.9499999999999993" hidden="1" customHeight="1" x14ac:dyDescent="0.2"/>
    <row r="2563" ht="9.9499999999999993" hidden="1" customHeight="1" x14ac:dyDescent="0.2"/>
    <row r="2564" ht="9.9499999999999993" hidden="1" customHeight="1" x14ac:dyDescent="0.2"/>
    <row r="2565" ht="9.9499999999999993" hidden="1" customHeight="1" x14ac:dyDescent="0.2"/>
    <row r="2566" ht="9.9499999999999993" hidden="1" customHeight="1" x14ac:dyDescent="0.2"/>
    <row r="2567" ht="9.9499999999999993" hidden="1" customHeight="1" x14ac:dyDescent="0.2"/>
    <row r="2568" ht="9.9499999999999993" hidden="1" customHeight="1" x14ac:dyDescent="0.2"/>
    <row r="2569" ht="9.9499999999999993" hidden="1" customHeight="1" x14ac:dyDescent="0.2"/>
    <row r="2570" ht="9.9499999999999993" hidden="1" customHeight="1" x14ac:dyDescent="0.2"/>
    <row r="2571" ht="9.9499999999999993" hidden="1" customHeight="1" x14ac:dyDescent="0.2"/>
    <row r="2572" ht="9.9499999999999993" hidden="1" customHeight="1" x14ac:dyDescent="0.2"/>
    <row r="2573" ht="9.9499999999999993" hidden="1" customHeight="1" x14ac:dyDescent="0.2"/>
    <row r="2574" ht="9.9499999999999993" hidden="1" customHeight="1" x14ac:dyDescent="0.2"/>
    <row r="2575" ht="9.9499999999999993" hidden="1" customHeight="1" x14ac:dyDescent="0.2"/>
    <row r="2576" ht="9.9499999999999993" hidden="1" customHeight="1" x14ac:dyDescent="0.2"/>
    <row r="2577" ht="9.9499999999999993" hidden="1" customHeight="1" x14ac:dyDescent="0.2"/>
    <row r="2578" ht="9.9499999999999993" hidden="1" customHeight="1" x14ac:dyDescent="0.2"/>
    <row r="2579" ht="9.9499999999999993" hidden="1" customHeight="1" x14ac:dyDescent="0.2"/>
    <row r="2580" ht="9.9499999999999993" hidden="1" customHeight="1" x14ac:dyDescent="0.2"/>
    <row r="2581" ht="9.9499999999999993" hidden="1" customHeight="1" x14ac:dyDescent="0.2"/>
    <row r="2582" ht="9.9499999999999993" hidden="1" customHeight="1" x14ac:dyDescent="0.2"/>
    <row r="2583" ht="9.9499999999999993" hidden="1" customHeight="1" x14ac:dyDescent="0.2"/>
    <row r="2584" ht="9.9499999999999993" hidden="1" customHeight="1" x14ac:dyDescent="0.2"/>
    <row r="2585" ht="9.9499999999999993" hidden="1" customHeight="1" x14ac:dyDescent="0.2"/>
    <row r="2586" ht="9.9499999999999993" hidden="1" customHeight="1" x14ac:dyDescent="0.2"/>
    <row r="2587" ht="9.9499999999999993" hidden="1" customHeight="1" x14ac:dyDescent="0.2"/>
    <row r="2588" ht="9.9499999999999993" hidden="1" customHeight="1" x14ac:dyDescent="0.2"/>
    <row r="2589" ht="9.9499999999999993" hidden="1" customHeight="1" x14ac:dyDescent="0.2"/>
    <row r="2590" ht="9.9499999999999993" hidden="1" customHeight="1" x14ac:dyDescent="0.2"/>
    <row r="2591" ht="9.9499999999999993" hidden="1" customHeight="1" x14ac:dyDescent="0.2"/>
    <row r="2592" ht="9.9499999999999993" hidden="1" customHeight="1" x14ac:dyDescent="0.2"/>
    <row r="2593" ht="9.9499999999999993" hidden="1" customHeight="1" x14ac:dyDescent="0.2"/>
    <row r="2594" ht="9.9499999999999993" hidden="1" customHeight="1" x14ac:dyDescent="0.2"/>
    <row r="2595" ht="9.9499999999999993" hidden="1" customHeight="1" x14ac:dyDescent="0.2"/>
    <row r="2596" ht="9.9499999999999993" hidden="1" customHeight="1" x14ac:dyDescent="0.2"/>
    <row r="2597" ht="9.9499999999999993" hidden="1" customHeight="1" x14ac:dyDescent="0.2"/>
    <row r="2598" ht="9.9499999999999993" hidden="1" customHeight="1" x14ac:dyDescent="0.2"/>
    <row r="2599" ht="9.9499999999999993" hidden="1" customHeight="1" x14ac:dyDescent="0.2"/>
    <row r="2600" ht="9.9499999999999993" hidden="1" customHeight="1" x14ac:dyDescent="0.2"/>
    <row r="2601" ht="9.9499999999999993" hidden="1" customHeight="1" x14ac:dyDescent="0.2"/>
    <row r="2602" ht="9.9499999999999993" hidden="1" customHeight="1" x14ac:dyDescent="0.2"/>
    <row r="2603" ht="9.9499999999999993" hidden="1" customHeight="1" x14ac:dyDescent="0.2"/>
    <row r="2604" ht="9.9499999999999993" hidden="1" customHeight="1" x14ac:dyDescent="0.2"/>
    <row r="2605" ht="9.9499999999999993" hidden="1" customHeight="1" x14ac:dyDescent="0.2"/>
    <row r="2606" ht="9.9499999999999993" hidden="1" customHeight="1" x14ac:dyDescent="0.2"/>
    <row r="2607" ht="9.9499999999999993" hidden="1" customHeight="1" x14ac:dyDescent="0.2"/>
    <row r="2608" ht="9.9499999999999993" hidden="1" customHeight="1" x14ac:dyDescent="0.2"/>
    <row r="2609" ht="9.9499999999999993" hidden="1" customHeight="1" x14ac:dyDescent="0.2"/>
    <row r="2610" ht="9.9499999999999993" hidden="1" customHeight="1" x14ac:dyDescent="0.2"/>
    <row r="2611" ht="9.9499999999999993" hidden="1" customHeight="1" x14ac:dyDescent="0.2"/>
    <row r="2612" ht="9.9499999999999993" hidden="1" customHeight="1" x14ac:dyDescent="0.2"/>
    <row r="2613" ht="9.9499999999999993" hidden="1" customHeight="1" x14ac:dyDescent="0.2"/>
    <row r="2614" ht="9.9499999999999993" hidden="1" customHeight="1" x14ac:dyDescent="0.2"/>
    <row r="2615" ht="9.9499999999999993" hidden="1" customHeight="1" x14ac:dyDescent="0.2"/>
    <row r="2616" ht="9.9499999999999993" hidden="1" customHeight="1" x14ac:dyDescent="0.2"/>
    <row r="2617" ht="9.9499999999999993" hidden="1" customHeight="1" x14ac:dyDescent="0.2"/>
    <row r="2618" ht="9.9499999999999993" hidden="1" customHeight="1" x14ac:dyDescent="0.2"/>
    <row r="2619" ht="9.9499999999999993" hidden="1" customHeight="1" x14ac:dyDescent="0.2"/>
    <row r="2620" ht="9.9499999999999993" hidden="1" customHeight="1" x14ac:dyDescent="0.2"/>
    <row r="2621" ht="9.9499999999999993" hidden="1" customHeight="1" x14ac:dyDescent="0.2"/>
    <row r="2622" ht="9.9499999999999993" hidden="1" customHeight="1" x14ac:dyDescent="0.2"/>
    <row r="2623" ht="9.9499999999999993" hidden="1" customHeight="1" x14ac:dyDescent="0.2"/>
    <row r="2624" ht="9.9499999999999993" hidden="1" customHeight="1" x14ac:dyDescent="0.2"/>
    <row r="2625" ht="9.9499999999999993" hidden="1" customHeight="1" x14ac:dyDescent="0.2"/>
    <row r="2626" ht="9.9499999999999993" hidden="1" customHeight="1" x14ac:dyDescent="0.2"/>
    <row r="2627" ht="9.9499999999999993" hidden="1" customHeight="1" x14ac:dyDescent="0.2"/>
    <row r="2628" ht="9.9499999999999993" hidden="1" customHeight="1" x14ac:dyDescent="0.2"/>
    <row r="2629" ht="9.9499999999999993" hidden="1" customHeight="1" x14ac:dyDescent="0.2"/>
    <row r="2630" ht="9.9499999999999993" hidden="1" customHeight="1" x14ac:dyDescent="0.2"/>
    <row r="2631" ht="9.9499999999999993" hidden="1" customHeight="1" x14ac:dyDescent="0.2"/>
    <row r="2632" ht="9.9499999999999993" hidden="1" customHeight="1" x14ac:dyDescent="0.2"/>
    <row r="2633" ht="9.9499999999999993" hidden="1" customHeight="1" x14ac:dyDescent="0.2"/>
    <row r="2634" ht="9.9499999999999993" hidden="1" customHeight="1" x14ac:dyDescent="0.2"/>
    <row r="2635" ht="9.9499999999999993" hidden="1" customHeight="1" x14ac:dyDescent="0.2"/>
    <row r="2636" ht="9.9499999999999993" hidden="1" customHeight="1" x14ac:dyDescent="0.2"/>
    <row r="2637" ht="9.9499999999999993" hidden="1" customHeight="1" x14ac:dyDescent="0.2"/>
    <row r="2638" ht="9.9499999999999993" hidden="1" customHeight="1" x14ac:dyDescent="0.2"/>
    <row r="2639" ht="9.9499999999999993" hidden="1" customHeight="1" x14ac:dyDescent="0.2"/>
    <row r="2640" ht="9.9499999999999993" hidden="1" customHeight="1" x14ac:dyDescent="0.2"/>
    <row r="2641" ht="9.9499999999999993" hidden="1" customHeight="1" x14ac:dyDescent="0.2"/>
    <row r="2642" ht="9.9499999999999993" hidden="1" customHeight="1" x14ac:dyDescent="0.2"/>
    <row r="2643" ht="9.9499999999999993" hidden="1" customHeight="1" x14ac:dyDescent="0.2"/>
    <row r="2644" ht="9.9499999999999993" hidden="1" customHeight="1" x14ac:dyDescent="0.2"/>
    <row r="2645" ht="9.9499999999999993" hidden="1" customHeight="1" x14ac:dyDescent="0.2"/>
    <row r="2646" ht="9.9499999999999993" hidden="1" customHeight="1" x14ac:dyDescent="0.2"/>
    <row r="2647" ht="9.9499999999999993" hidden="1" customHeight="1" x14ac:dyDescent="0.2"/>
    <row r="2648" ht="9.9499999999999993" hidden="1" customHeight="1" x14ac:dyDescent="0.2"/>
    <row r="2649" ht="9.9499999999999993" hidden="1" customHeight="1" x14ac:dyDescent="0.2"/>
    <row r="2650" ht="9.9499999999999993" hidden="1" customHeight="1" x14ac:dyDescent="0.2"/>
    <row r="2651" ht="9.9499999999999993" hidden="1" customHeight="1" x14ac:dyDescent="0.2"/>
    <row r="2652" ht="9.9499999999999993" hidden="1" customHeight="1" x14ac:dyDescent="0.2"/>
    <row r="2653" ht="9.9499999999999993" hidden="1" customHeight="1" x14ac:dyDescent="0.2"/>
    <row r="2654" ht="9.9499999999999993" hidden="1" customHeight="1" x14ac:dyDescent="0.2"/>
    <row r="2655" ht="9.9499999999999993" hidden="1" customHeight="1" x14ac:dyDescent="0.2"/>
    <row r="2656" ht="9.9499999999999993" hidden="1" customHeight="1" x14ac:dyDescent="0.2"/>
    <row r="2657" ht="9.9499999999999993" hidden="1" customHeight="1" x14ac:dyDescent="0.2"/>
    <row r="2658" ht="9.9499999999999993" hidden="1" customHeight="1" x14ac:dyDescent="0.2"/>
    <row r="2659" ht="9.9499999999999993" hidden="1" customHeight="1" x14ac:dyDescent="0.2"/>
    <row r="2660" ht="9.9499999999999993" hidden="1" customHeight="1" x14ac:dyDescent="0.2"/>
    <row r="2661" ht="9.9499999999999993" hidden="1" customHeight="1" x14ac:dyDescent="0.2"/>
    <row r="2662" ht="9.9499999999999993" hidden="1" customHeight="1" x14ac:dyDescent="0.2"/>
    <row r="2663" ht="9.9499999999999993" hidden="1" customHeight="1" x14ac:dyDescent="0.2"/>
    <row r="2664" ht="9.9499999999999993" hidden="1" customHeight="1" x14ac:dyDescent="0.2"/>
    <row r="2665" ht="9.9499999999999993" hidden="1" customHeight="1" x14ac:dyDescent="0.2"/>
    <row r="2666" ht="9.9499999999999993" hidden="1" customHeight="1" x14ac:dyDescent="0.2"/>
    <row r="2667" ht="9.9499999999999993" hidden="1" customHeight="1" x14ac:dyDescent="0.2"/>
    <row r="2668" ht="9.9499999999999993" hidden="1" customHeight="1" x14ac:dyDescent="0.2"/>
    <row r="2669" ht="9.9499999999999993" hidden="1" customHeight="1" x14ac:dyDescent="0.2"/>
    <row r="2670" ht="9.9499999999999993" hidden="1" customHeight="1" x14ac:dyDescent="0.2"/>
    <row r="2671" ht="9.9499999999999993" hidden="1" customHeight="1" x14ac:dyDescent="0.2"/>
    <row r="2672" ht="9.9499999999999993" hidden="1" customHeight="1" x14ac:dyDescent="0.2"/>
    <row r="2673" ht="9.9499999999999993" hidden="1" customHeight="1" x14ac:dyDescent="0.2"/>
    <row r="2674" ht="9.9499999999999993" hidden="1" customHeight="1" x14ac:dyDescent="0.2"/>
    <row r="2675" ht="9.9499999999999993" hidden="1" customHeight="1" x14ac:dyDescent="0.2"/>
    <row r="2676" ht="9.9499999999999993" hidden="1" customHeight="1" x14ac:dyDescent="0.2"/>
    <row r="2677" ht="9.9499999999999993" hidden="1" customHeight="1" x14ac:dyDescent="0.2"/>
    <row r="2678" ht="9.9499999999999993" hidden="1" customHeight="1" x14ac:dyDescent="0.2"/>
    <row r="2679" ht="9.9499999999999993" hidden="1" customHeight="1" x14ac:dyDescent="0.2"/>
    <row r="2680" ht="9.9499999999999993" hidden="1" customHeight="1" x14ac:dyDescent="0.2"/>
    <row r="2681" ht="9.9499999999999993" hidden="1" customHeight="1" x14ac:dyDescent="0.2"/>
    <row r="2682" ht="9.9499999999999993" hidden="1" customHeight="1" x14ac:dyDescent="0.2"/>
    <row r="2683" ht="9.9499999999999993" hidden="1" customHeight="1" x14ac:dyDescent="0.2"/>
    <row r="2684" ht="9.9499999999999993" hidden="1" customHeight="1" x14ac:dyDescent="0.2"/>
    <row r="2685" ht="9.9499999999999993" hidden="1" customHeight="1" x14ac:dyDescent="0.2"/>
    <row r="2686" ht="9.9499999999999993" hidden="1" customHeight="1" x14ac:dyDescent="0.2"/>
    <row r="2687" ht="9.9499999999999993" hidden="1" customHeight="1" x14ac:dyDescent="0.2"/>
    <row r="2688" ht="9.9499999999999993" hidden="1" customHeight="1" x14ac:dyDescent="0.2"/>
    <row r="2689" ht="9.9499999999999993" hidden="1" customHeight="1" x14ac:dyDescent="0.2"/>
    <row r="2690" ht="9.9499999999999993" hidden="1" customHeight="1" x14ac:dyDescent="0.2"/>
    <row r="2691" ht="9.9499999999999993" hidden="1" customHeight="1" x14ac:dyDescent="0.2"/>
    <row r="2692" ht="9.9499999999999993" hidden="1" customHeight="1" x14ac:dyDescent="0.2"/>
    <row r="2693" ht="9.9499999999999993" hidden="1" customHeight="1" x14ac:dyDescent="0.2"/>
    <row r="2694" ht="9.9499999999999993" hidden="1" customHeight="1" x14ac:dyDescent="0.2"/>
    <row r="2695" ht="9.9499999999999993" hidden="1" customHeight="1" x14ac:dyDescent="0.2"/>
    <row r="2696" ht="9.9499999999999993" hidden="1" customHeight="1" x14ac:dyDescent="0.2"/>
    <row r="2697" ht="9.9499999999999993" hidden="1" customHeight="1" x14ac:dyDescent="0.2"/>
    <row r="2698" ht="9.9499999999999993" hidden="1" customHeight="1" x14ac:dyDescent="0.2"/>
    <row r="2699" ht="9.9499999999999993" hidden="1" customHeight="1" x14ac:dyDescent="0.2"/>
    <row r="2700" ht="9.9499999999999993" hidden="1" customHeight="1" x14ac:dyDescent="0.2"/>
    <row r="2701" ht="9.9499999999999993" hidden="1" customHeight="1" x14ac:dyDescent="0.2"/>
    <row r="2702" ht="9.9499999999999993" hidden="1" customHeight="1" x14ac:dyDescent="0.2"/>
    <row r="2703" ht="9.9499999999999993" hidden="1" customHeight="1" x14ac:dyDescent="0.2"/>
    <row r="2704" ht="9.9499999999999993" hidden="1" customHeight="1" x14ac:dyDescent="0.2"/>
    <row r="2705" ht="9.9499999999999993" hidden="1" customHeight="1" x14ac:dyDescent="0.2"/>
    <row r="2706" ht="9.9499999999999993" hidden="1" customHeight="1" x14ac:dyDescent="0.2"/>
    <row r="2707" ht="9.9499999999999993" hidden="1" customHeight="1" x14ac:dyDescent="0.2"/>
    <row r="2708" ht="9.9499999999999993" hidden="1" customHeight="1" x14ac:dyDescent="0.2"/>
    <row r="2709" ht="9.9499999999999993" hidden="1" customHeight="1" x14ac:dyDescent="0.2"/>
    <row r="2710" ht="9.9499999999999993" hidden="1" customHeight="1" x14ac:dyDescent="0.2"/>
    <row r="2711" ht="9.9499999999999993" hidden="1" customHeight="1" x14ac:dyDescent="0.2"/>
    <row r="2712" ht="9.9499999999999993" hidden="1" customHeight="1" x14ac:dyDescent="0.2"/>
    <row r="2713" ht="9.9499999999999993" hidden="1" customHeight="1" x14ac:dyDescent="0.2"/>
    <row r="2714" ht="9.9499999999999993" hidden="1" customHeight="1" x14ac:dyDescent="0.2"/>
    <row r="2715" ht="9.9499999999999993" hidden="1" customHeight="1" x14ac:dyDescent="0.2"/>
    <row r="2716" ht="9.9499999999999993" hidden="1" customHeight="1" x14ac:dyDescent="0.2"/>
    <row r="2717" ht="9.9499999999999993" hidden="1" customHeight="1" x14ac:dyDescent="0.2"/>
    <row r="2718" ht="9.9499999999999993" hidden="1" customHeight="1" x14ac:dyDescent="0.2"/>
    <row r="2719" ht="9.9499999999999993" hidden="1" customHeight="1" x14ac:dyDescent="0.2"/>
    <row r="2720" ht="9.9499999999999993" hidden="1" customHeight="1" x14ac:dyDescent="0.2"/>
    <row r="2721" ht="9.9499999999999993" hidden="1" customHeight="1" x14ac:dyDescent="0.2"/>
    <row r="2722" ht="9.9499999999999993" hidden="1" customHeight="1" x14ac:dyDescent="0.2"/>
    <row r="2723" ht="9.9499999999999993" hidden="1" customHeight="1" x14ac:dyDescent="0.2"/>
    <row r="2724" ht="9.9499999999999993" hidden="1" customHeight="1" x14ac:dyDescent="0.2"/>
    <row r="2725" ht="9.9499999999999993" hidden="1" customHeight="1" x14ac:dyDescent="0.2"/>
    <row r="2726" ht="9.9499999999999993" hidden="1" customHeight="1" x14ac:dyDescent="0.2"/>
    <row r="2727" ht="9.9499999999999993" hidden="1" customHeight="1" x14ac:dyDescent="0.2"/>
    <row r="2728" ht="9.9499999999999993" hidden="1" customHeight="1" x14ac:dyDescent="0.2"/>
    <row r="2729" ht="9.9499999999999993" hidden="1" customHeight="1" x14ac:dyDescent="0.2"/>
    <row r="2730" ht="9.9499999999999993" hidden="1" customHeight="1" x14ac:dyDescent="0.2"/>
    <row r="2731" ht="9.9499999999999993" hidden="1" customHeight="1" x14ac:dyDescent="0.2"/>
    <row r="2732" ht="9.9499999999999993" hidden="1" customHeight="1" x14ac:dyDescent="0.2"/>
    <row r="2733" ht="9.9499999999999993" hidden="1" customHeight="1" x14ac:dyDescent="0.2"/>
    <row r="2734" ht="9.9499999999999993" hidden="1" customHeight="1" x14ac:dyDescent="0.2"/>
    <row r="2735" ht="9.9499999999999993" hidden="1" customHeight="1" x14ac:dyDescent="0.2"/>
    <row r="2736" ht="9.9499999999999993" hidden="1" customHeight="1" x14ac:dyDescent="0.2"/>
    <row r="2737" ht="9.9499999999999993" hidden="1" customHeight="1" x14ac:dyDescent="0.2"/>
    <row r="2738" ht="9.9499999999999993" hidden="1" customHeight="1" x14ac:dyDescent="0.2"/>
    <row r="2739" ht="9.9499999999999993" hidden="1" customHeight="1" x14ac:dyDescent="0.2"/>
    <row r="2740" ht="9.9499999999999993" hidden="1" customHeight="1" x14ac:dyDescent="0.2"/>
    <row r="2741" ht="9.9499999999999993" hidden="1" customHeight="1" x14ac:dyDescent="0.2"/>
    <row r="2742" ht="9.9499999999999993" hidden="1" customHeight="1" x14ac:dyDescent="0.2"/>
    <row r="2743" ht="9.9499999999999993" hidden="1" customHeight="1" x14ac:dyDescent="0.2"/>
    <row r="2744" ht="9.9499999999999993" hidden="1" customHeight="1" x14ac:dyDescent="0.2"/>
    <row r="2745" ht="9.9499999999999993" hidden="1" customHeight="1" x14ac:dyDescent="0.2"/>
    <row r="2746" ht="9.9499999999999993" hidden="1" customHeight="1" x14ac:dyDescent="0.2"/>
    <row r="2747" ht="9.9499999999999993" hidden="1" customHeight="1" x14ac:dyDescent="0.2"/>
    <row r="2748" ht="9.9499999999999993" hidden="1" customHeight="1" x14ac:dyDescent="0.2"/>
    <row r="2749" ht="9.9499999999999993" hidden="1" customHeight="1" x14ac:dyDescent="0.2"/>
    <row r="2750" ht="9.9499999999999993" hidden="1" customHeight="1" x14ac:dyDescent="0.2"/>
    <row r="2751" ht="9.9499999999999993" hidden="1" customHeight="1" x14ac:dyDescent="0.2"/>
    <row r="2752" ht="9.9499999999999993" hidden="1" customHeight="1" x14ac:dyDescent="0.2"/>
    <row r="2753" ht="9.9499999999999993" hidden="1" customHeight="1" x14ac:dyDescent="0.2"/>
    <row r="2754" ht="9.9499999999999993" hidden="1" customHeight="1" x14ac:dyDescent="0.2"/>
    <row r="2755" ht="9.9499999999999993" hidden="1" customHeight="1" x14ac:dyDescent="0.2"/>
    <row r="2756" ht="9.9499999999999993" hidden="1" customHeight="1" x14ac:dyDescent="0.2"/>
    <row r="2757" ht="9.9499999999999993" hidden="1" customHeight="1" x14ac:dyDescent="0.2"/>
    <row r="2758" ht="9.9499999999999993" hidden="1" customHeight="1" x14ac:dyDescent="0.2"/>
    <row r="2759" ht="9.9499999999999993" hidden="1" customHeight="1" x14ac:dyDescent="0.2"/>
    <row r="2760" ht="9.9499999999999993" hidden="1" customHeight="1" x14ac:dyDescent="0.2"/>
    <row r="2761" ht="9.9499999999999993" hidden="1" customHeight="1" x14ac:dyDescent="0.2"/>
    <row r="2762" ht="9.9499999999999993" hidden="1" customHeight="1" x14ac:dyDescent="0.2"/>
    <row r="2763" ht="9.9499999999999993" hidden="1" customHeight="1" x14ac:dyDescent="0.2"/>
    <row r="2764" ht="9.9499999999999993" hidden="1" customHeight="1" x14ac:dyDescent="0.2"/>
    <row r="2765" ht="9.9499999999999993" hidden="1" customHeight="1" x14ac:dyDescent="0.2"/>
    <row r="2766" ht="9.9499999999999993" hidden="1" customHeight="1" x14ac:dyDescent="0.2"/>
    <row r="2767" ht="9.9499999999999993" hidden="1" customHeight="1" x14ac:dyDescent="0.2"/>
    <row r="2768" ht="9.9499999999999993" hidden="1" customHeight="1" x14ac:dyDescent="0.2"/>
    <row r="2769" ht="9.9499999999999993" hidden="1" customHeight="1" x14ac:dyDescent="0.2"/>
    <row r="2770" ht="9.9499999999999993" hidden="1" customHeight="1" x14ac:dyDescent="0.2"/>
    <row r="2771" ht="9.9499999999999993" hidden="1" customHeight="1" x14ac:dyDescent="0.2"/>
    <row r="2772" ht="9.9499999999999993" hidden="1" customHeight="1" x14ac:dyDescent="0.2"/>
    <row r="2773" ht="9.9499999999999993" hidden="1" customHeight="1" x14ac:dyDescent="0.2"/>
    <row r="2774" ht="9.9499999999999993" hidden="1" customHeight="1" x14ac:dyDescent="0.2"/>
    <row r="2775" ht="9.9499999999999993" hidden="1" customHeight="1" x14ac:dyDescent="0.2"/>
    <row r="2776" ht="9.9499999999999993" hidden="1" customHeight="1" x14ac:dyDescent="0.2"/>
    <row r="2777" ht="9.9499999999999993" hidden="1" customHeight="1" x14ac:dyDescent="0.2"/>
    <row r="2778" ht="9.9499999999999993" hidden="1" customHeight="1" x14ac:dyDescent="0.2"/>
    <row r="2779" ht="9.9499999999999993" hidden="1" customHeight="1" x14ac:dyDescent="0.2"/>
    <row r="2780" ht="9.9499999999999993" hidden="1" customHeight="1" x14ac:dyDescent="0.2"/>
    <row r="2781" ht="9.9499999999999993" hidden="1" customHeight="1" x14ac:dyDescent="0.2"/>
    <row r="2782" ht="9.9499999999999993" hidden="1" customHeight="1" x14ac:dyDescent="0.2"/>
    <row r="2783" ht="9.9499999999999993" hidden="1" customHeight="1" x14ac:dyDescent="0.2"/>
    <row r="2784" ht="9.9499999999999993" hidden="1" customHeight="1" x14ac:dyDescent="0.2"/>
    <row r="2785" ht="9.9499999999999993" hidden="1" customHeight="1" x14ac:dyDescent="0.2"/>
    <row r="2786" ht="9.9499999999999993" hidden="1" customHeight="1" x14ac:dyDescent="0.2"/>
    <row r="2787" ht="9.9499999999999993" hidden="1" customHeight="1" x14ac:dyDescent="0.2"/>
    <row r="2788" ht="9.9499999999999993" hidden="1" customHeight="1" x14ac:dyDescent="0.2"/>
    <row r="2789" ht="9.9499999999999993" hidden="1" customHeight="1" x14ac:dyDescent="0.2"/>
    <row r="2790" ht="9.9499999999999993" hidden="1" customHeight="1" x14ac:dyDescent="0.2"/>
    <row r="2791" ht="9.9499999999999993" hidden="1" customHeight="1" x14ac:dyDescent="0.2"/>
    <row r="2792" ht="9.9499999999999993" hidden="1" customHeight="1" x14ac:dyDescent="0.2"/>
    <row r="2793" ht="9.9499999999999993" hidden="1" customHeight="1" x14ac:dyDescent="0.2"/>
    <row r="2794" ht="9.9499999999999993" hidden="1" customHeight="1" x14ac:dyDescent="0.2"/>
    <row r="2795" ht="9.9499999999999993" hidden="1" customHeight="1" x14ac:dyDescent="0.2"/>
    <row r="2796" ht="9.9499999999999993" hidden="1" customHeight="1" x14ac:dyDescent="0.2"/>
    <row r="2797" ht="9.9499999999999993" hidden="1" customHeight="1" x14ac:dyDescent="0.2"/>
    <row r="2798" ht="9.9499999999999993" hidden="1" customHeight="1" x14ac:dyDescent="0.2"/>
    <row r="2799" ht="9.9499999999999993" hidden="1" customHeight="1" x14ac:dyDescent="0.2"/>
    <row r="2800" ht="9.9499999999999993" hidden="1" customHeight="1" x14ac:dyDescent="0.2"/>
    <row r="2801" ht="9.9499999999999993" hidden="1" customHeight="1" x14ac:dyDescent="0.2"/>
    <row r="2802" ht="9.9499999999999993" hidden="1" customHeight="1" x14ac:dyDescent="0.2"/>
    <row r="2803" ht="9.9499999999999993" hidden="1" customHeight="1" x14ac:dyDescent="0.2"/>
    <row r="2804" ht="9.9499999999999993" hidden="1" customHeight="1" x14ac:dyDescent="0.2"/>
    <row r="2805" ht="9.9499999999999993" hidden="1" customHeight="1" x14ac:dyDescent="0.2"/>
    <row r="2806" ht="9.9499999999999993" hidden="1" customHeight="1" x14ac:dyDescent="0.2"/>
    <row r="2807" ht="9.9499999999999993" hidden="1" customHeight="1" x14ac:dyDescent="0.2"/>
    <row r="2808" ht="9.9499999999999993" hidden="1" customHeight="1" x14ac:dyDescent="0.2"/>
    <row r="2809" ht="9.9499999999999993" hidden="1" customHeight="1" x14ac:dyDescent="0.2"/>
    <row r="2810" ht="9.9499999999999993" hidden="1" customHeight="1" x14ac:dyDescent="0.2"/>
    <row r="2811" ht="9.9499999999999993" hidden="1" customHeight="1" x14ac:dyDescent="0.2"/>
    <row r="2812" ht="9.9499999999999993" hidden="1" customHeight="1" x14ac:dyDescent="0.2"/>
    <row r="2813" ht="9.9499999999999993" hidden="1" customHeight="1" x14ac:dyDescent="0.2"/>
    <row r="2814" ht="9.9499999999999993" hidden="1" customHeight="1" x14ac:dyDescent="0.2"/>
    <row r="2815" ht="9.9499999999999993" hidden="1" customHeight="1" x14ac:dyDescent="0.2"/>
    <row r="2816" ht="9.9499999999999993" hidden="1" customHeight="1" x14ac:dyDescent="0.2"/>
    <row r="2817" ht="9.9499999999999993" hidden="1" customHeight="1" x14ac:dyDescent="0.2"/>
    <row r="2818" ht="9.9499999999999993" hidden="1" customHeight="1" x14ac:dyDescent="0.2"/>
    <row r="2819" ht="9.9499999999999993" hidden="1" customHeight="1" x14ac:dyDescent="0.2"/>
    <row r="2820" ht="9.9499999999999993" hidden="1" customHeight="1" x14ac:dyDescent="0.2"/>
    <row r="2821" ht="9.9499999999999993" hidden="1" customHeight="1" x14ac:dyDescent="0.2"/>
    <row r="2822" ht="9.9499999999999993" hidden="1" customHeight="1" x14ac:dyDescent="0.2"/>
    <row r="2823" ht="9.9499999999999993" hidden="1" customHeight="1" x14ac:dyDescent="0.2"/>
    <row r="2824" ht="9.9499999999999993" hidden="1" customHeight="1" x14ac:dyDescent="0.2"/>
    <row r="2825" ht="9.9499999999999993" hidden="1" customHeight="1" x14ac:dyDescent="0.2"/>
    <row r="2826" ht="9.9499999999999993" hidden="1" customHeight="1" x14ac:dyDescent="0.2"/>
    <row r="2827" ht="9.9499999999999993" hidden="1" customHeight="1" x14ac:dyDescent="0.2"/>
    <row r="2828" ht="9.9499999999999993" hidden="1" customHeight="1" x14ac:dyDescent="0.2"/>
    <row r="2829" ht="9.9499999999999993" hidden="1" customHeight="1" x14ac:dyDescent="0.2"/>
    <row r="2830" ht="9.9499999999999993" hidden="1" customHeight="1" x14ac:dyDescent="0.2"/>
    <row r="2831" ht="9.9499999999999993" hidden="1" customHeight="1" x14ac:dyDescent="0.2"/>
    <row r="2832" ht="9.9499999999999993" hidden="1" customHeight="1" x14ac:dyDescent="0.2"/>
    <row r="2833" ht="9.9499999999999993" hidden="1" customHeight="1" x14ac:dyDescent="0.2"/>
    <row r="2834" ht="9.9499999999999993" hidden="1" customHeight="1" x14ac:dyDescent="0.2"/>
    <row r="2835" ht="9.9499999999999993" hidden="1" customHeight="1" x14ac:dyDescent="0.2"/>
    <row r="2836" ht="9.9499999999999993" hidden="1" customHeight="1" x14ac:dyDescent="0.2"/>
    <row r="2837" ht="9.9499999999999993" hidden="1" customHeight="1" x14ac:dyDescent="0.2"/>
    <row r="2838" ht="9.9499999999999993" hidden="1" customHeight="1" x14ac:dyDescent="0.2"/>
    <row r="2839" ht="9.9499999999999993" hidden="1" customHeight="1" x14ac:dyDescent="0.2"/>
    <row r="2840" ht="9.9499999999999993" hidden="1" customHeight="1" x14ac:dyDescent="0.2"/>
    <row r="2841" ht="9.9499999999999993" hidden="1" customHeight="1" x14ac:dyDescent="0.2"/>
    <row r="2842" ht="9.9499999999999993" hidden="1" customHeight="1" x14ac:dyDescent="0.2"/>
    <row r="2843" ht="9.9499999999999993" hidden="1" customHeight="1" x14ac:dyDescent="0.2"/>
    <row r="2844" ht="9.9499999999999993" hidden="1" customHeight="1" x14ac:dyDescent="0.2"/>
    <row r="2845" ht="9.9499999999999993" hidden="1" customHeight="1" x14ac:dyDescent="0.2"/>
    <row r="2846" ht="9.9499999999999993" hidden="1" customHeight="1" x14ac:dyDescent="0.2"/>
    <row r="2847" ht="9.9499999999999993" hidden="1" customHeight="1" x14ac:dyDescent="0.2"/>
    <row r="2848" ht="9.9499999999999993" hidden="1" customHeight="1" x14ac:dyDescent="0.2"/>
    <row r="2849" ht="9.9499999999999993" hidden="1" customHeight="1" x14ac:dyDescent="0.2"/>
    <row r="2850" ht="9.9499999999999993" hidden="1" customHeight="1" x14ac:dyDescent="0.2"/>
    <row r="2851" ht="9.9499999999999993" hidden="1" customHeight="1" x14ac:dyDescent="0.2"/>
    <row r="2852" ht="9.9499999999999993" hidden="1" customHeight="1" x14ac:dyDescent="0.2"/>
    <row r="2853" ht="9.9499999999999993" hidden="1" customHeight="1" x14ac:dyDescent="0.2"/>
    <row r="2854" ht="9.9499999999999993" hidden="1" customHeight="1" x14ac:dyDescent="0.2"/>
    <row r="2855" ht="9.9499999999999993" hidden="1" customHeight="1" x14ac:dyDescent="0.2"/>
    <row r="2856" ht="9.9499999999999993" hidden="1" customHeight="1" x14ac:dyDescent="0.2"/>
    <row r="2857" ht="9.9499999999999993" hidden="1" customHeight="1" x14ac:dyDescent="0.2"/>
    <row r="2858" ht="9.9499999999999993" hidden="1" customHeight="1" x14ac:dyDescent="0.2"/>
    <row r="2859" ht="9.9499999999999993" hidden="1" customHeight="1" x14ac:dyDescent="0.2"/>
    <row r="2860" ht="9.9499999999999993" hidden="1" customHeight="1" x14ac:dyDescent="0.2"/>
    <row r="2861" ht="9.9499999999999993" hidden="1" customHeight="1" x14ac:dyDescent="0.2"/>
    <row r="2862" ht="9.9499999999999993" hidden="1" customHeight="1" x14ac:dyDescent="0.2"/>
    <row r="2863" ht="9.9499999999999993" hidden="1" customHeight="1" x14ac:dyDescent="0.2"/>
    <row r="2864" ht="9.9499999999999993" hidden="1" customHeight="1" x14ac:dyDescent="0.2"/>
    <row r="2865" ht="9.9499999999999993" hidden="1" customHeight="1" x14ac:dyDescent="0.2"/>
    <row r="2866" ht="9.9499999999999993" hidden="1" customHeight="1" x14ac:dyDescent="0.2"/>
    <row r="2867" ht="9.9499999999999993" hidden="1" customHeight="1" x14ac:dyDescent="0.2"/>
    <row r="2868" ht="9.9499999999999993" hidden="1" customHeight="1" x14ac:dyDescent="0.2"/>
    <row r="2869" ht="9.9499999999999993" hidden="1" customHeight="1" x14ac:dyDescent="0.2"/>
    <row r="2870" ht="9.9499999999999993" hidden="1" customHeight="1" x14ac:dyDescent="0.2"/>
    <row r="2871" ht="9.9499999999999993" hidden="1" customHeight="1" x14ac:dyDescent="0.2"/>
    <row r="2872" ht="9.9499999999999993" hidden="1" customHeight="1" x14ac:dyDescent="0.2"/>
    <row r="2873" ht="9.9499999999999993" hidden="1" customHeight="1" x14ac:dyDescent="0.2"/>
    <row r="2874" ht="9.9499999999999993" hidden="1" customHeight="1" x14ac:dyDescent="0.2"/>
    <row r="2875" ht="9.9499999999999993" hidden="1" customHeight="1" x14ac:dyDescent="0.2"/>
    <row r="2876" ht="9.9499999999999993" hidden="1" customHeight="1" x14ac:dyDescent="0.2"/>
    <row r="2877" ht="9.9499999999999993" hidden="1" customHeight="1" x14ac:dyDescent="0.2"/>
    <row r="2878" ht="9.9499999999999993" hidden="1" customHeight="1" x14ac:dyDescent="0.2"/>
    <row r="2879" ht="9.9499999999999993" hidden="1" customHeight="1" x14ac:dyDescent="0.2"/>
    <row r="2880" ht="9.9499999999999993" hidden="1" customHeight="1" x14ac:dyDescent="0.2"/>
    <row r="2881" ht="9.9499999999999993" hidden="1" customHeight="1" x14ac:dyDescent="0.2"/>
    <row r="2882" ht="9.9499999999999993" hidden="1" customHeight="1" x14ac:dyDescent="0.2"/>
    <row r="2883" ht="9.9499999999999993" hidden="1" customHeight="1" x14ac:dyDescent="0.2"/>
    <row r="2884" ht="9.9499999999999993" hidden="1" customHeight="1" x14ac:dyDescent="0.2"/>
    <row r="2885" ht="9.9499999999999993" hidden="1" customHeight="1" x14ac:dyDescent="0.2"/>
    <row r="2886" ht="9.9499999999999993" hidden="1" customHeight="1" x14ac:dyDescent="0.2"/>
    <row r="2887" ht="9.9499999999999993" hidden="1" customHeight="1" x14ac:dyDescent="0.2"/>
    <row r="2888" ht="9.9499999999999993" hidden="1" customHeight="1" x14ac:dyDescent="0.2"/>
    <row r="2889" ht="9.9499999999999993" hidden="1" customHeight="1" x14ac:dyDescent="0.2"/>
    <row r="2890" ht="9.9499999999999993" hidden="1" customHeight="1" x14ac:dyDescent="0.2"/>
    <row r="2891" ht="9.9499999999999993" hidden="1" customHeight="1" x14ac:dyDescent="0.2"/>
    <row r="2892" ht="9.9499999999999993" hidden="1" customHeight="1" x14ac:dyDescent="0.2"/>
    <row r="2893" ht="9.9499999999999993" hidden="1" customHeight="1" x14ac:dyDescent="0.2"/>
    <row r="2894" ht="9.9499999999999993" hidden="1" customHeight="1" x14ac:dyDescent="0.2"/>
    <row r="2895" ht="9.9499999999999993" hidden="1" customHeight="1" x14ac:dyDescent="0.2"/>
    <row r="2896" ht="9.9499999999999993" hidden="1" customHeight="1" x14ac:dyDescent="0.2"/>
    <row r="2897" ht="9.9499999999999993" hidden="1" customHeight="1" x14ac:dyDescent="0.2"/>
    <row r="2898" ht="9.9499999999999993" hidden="1" customHeight="1" x14ac:dyDescent="0.2"/>
    <row r="2899" ht="9.9499999999999993" hidden="1" customHeight="1" x14ac:dyDescent="0.2"/>
    <row r="2900" ht="9.9499999999999993" hidden="1" customHeight="1" x14ac:dyDescent="0.2"/>
    <row r="2901" ht="9.9499999999999993" hidden="1" customHeight="1" x14ac:dyDescent="0.2"/>
    <row r="2902" ht="9.9499999999999993" hidden="1" customHeight="1" x14ac:dyDescent="0.2"/>
    <row r="2903" ht="9.9499999999999993" hidden="1" customHeight="1" x14ac:dyDescent="0.2"/>
    <row r="2904" ht="9.9499999999999993" hidden="1" customHeight="1" x14ac:dyDescent="0.2"/>
    <row r="2905" ht="9.9499999999999993" hidden="1" customHeight="1" x14ac:dyDescent="0.2"/>
    <row r="2906" ht="9.9499999999999993" hidden="1" customHeight="1" x14ac:dyDescent="0.2"/>
    <row r="2907" ht="9.9499999999999993" hidden="1" customHeight="1" x14ac:dyDescent="0.2"/>
    <row r="2908" ht="9.9499999999999993" hidden="1" customHeight="1" x14ac:dyDescent="0.2"/>
    <row r="2909" ht="9.9499999999999993" hidden="1" customHeight="1" x14ac:dyDescent="0.2"/>
    <row r="2910" ht="9.9499999999999993" hidden="1" customHeight="1" x14ac:dyDescent="0.2"/>
    <row r="2911" ht="9.9499999999999993" hidden="1" customHeight="1" x14ac:dyDescent="0.2"/>
    <row r="2912" ht="9.9499999999999993" hidden="1" customHeight="1" x14ac:dyDescent="0.2"/>
    <row r="2913" ht="9.9499999999999993" hidden="1" customHeight="1" x14ac:dyDescent="0.2"/>
    <row r="2914" ht="9.9499999999999993" hidden="1" customHeight="1" x14ac:dyDescent="0.2"/>
    <row r="2915" ht="9.9499999999999993" hidden="1" customHeight="1" x14ac:dyDescent="0.2"/>
    <row r="2916" ht="9.9499999999999993" hidden="1" customHeight="1" x14ac:dyDescent="0.2"/>
    <row r="2917" ht="9.9499999999999993" hidden="1" customHeight="1" x14ac:dyDescent="0.2"/>
    <row r="2918" ht="9.9499999999999993" hidden="1" customHeight="1" x14ac:dyDescent="0.2"/>
    <row r="2919" ht="9.9499999999999993" hidden="1" customHeight="1" x14ac:dyDescent="0.2"/>
    <row r="2920" ht="9.9499999999999993" hidden="1" customHeight="1" x14ac:dyDescent="0.2"/>
    <row r="2921" ht="9.9499999999999993" hidden="1" customHeight="1" x14ac:dyDescent="0.2"/>
    <row r="2922" ht="9.9499999999999993" hidden="1" customHeight="1" x14ac:dyDescent="0.2"/>
    <row r="2923" ht="9.9499999999999993" hidden="1" customHeight="1" x14ac:dyDescent="0.2"/>
    <row r="2924" ht="9.9499999999999993" hidden="1" customHeight="1" x14ac:dyDescent="0.2"/>
    <row r="2925" ht="9.9499999999999993" hidden="1" customHeight="1" x14ac:dyDescent="0.2"/>
    <row r="2926" ht="9.9499999999999993" hidden="1" customHeight="1" x14ac:dyDescent="0.2"/>
    <row r="2927" ht="9.9499999999999993" hidden="1" customHeight="1" x14ac:dyDescent="0.2"/>
    <row r="2928" ht="9.9499999999999993" hidden="1" customHeight="1" x14ac:dyDescent="0.2"/>
    <row r="2929" ht="9.9499999999999993" hidden="1" customHeight="1" x14ac:dyDescent="0.2"/>
    <row r="2930" ht="9.9499999999999993" hidden="1" customHeight="1" x14ac:dyDescent="0.2"/>
    <row r="2931" ht="9.9499999999999993" hidden="1" customHeight="1" x14ac:dyDescent="0.2"/>
    <row r="2932" ht="9.9499999999999993" hidden="1" customHeight="1" x14ac:dyDescent="0.2"/>
    <row r="2933" ht="9.9499999999999993" hidden="1" customHeight="1" x14ac:dyDescent="0.2"/>
    <row r="2934" ht="9.9499999999999993" hidden="1" customHeight="1" x14ac:dyDescent="0.2"/>
    <row r="2935" ht="9.9499999999999993" hidden="1" customHeight="1" x14ac:dyDescent="0.2"/>
    <row r="2936" ht="9.9499999999999993" hidden="1" customHeight="1" x14ac:dyDescent="0.2"/>
    <row r="2937" ht="9.9499999999999993" hidden="1" customHeight="1" x14ac:dyDescent="0.2"/>
    <row r="2938" ht="9.9499999999999993" hidden="1" customHeight="1" x14ac:dyDescent="0.2"/>
    <row r="2939" ht="9.9499999999999993" hidden="1" customHeight="1" x14ac:dyDescent="0.2"/>
    <row r="2940" ht="9.9499999999999993" hidden="1" customHeight="1" x14ac:dyDescent="0.2"/>
    <row r="2941" ht="9.9499999999999993" hidden="1" customHeight="1" x14ac:dyDescent="0.2"/>
    <row r="2942" ht="9.9499999999999993" hidden="1" customHeight="1" x14ac:dyDescent="0.2"/>
    <row r="2943" ht="9.9499999999999993" hidden="1" customHeight="1" x14ac:dyDescent="0.2"/>
    <row r="2944" ht="9.9499999999999993" hidden="1" customHeight="1" x14ac:dyDescent="0.2"/>
    <row r="2945" ht="9.9499999999999993" hidden="1" customHeight="1" x14ac:dyDescent="0.2"/>
    <row r="2946" ht="9.9499999999999993" hidden="1" customHeight="1" x14ac:dyDescent="0.2"/>
    <row r="2947" ht="9.9499999999999993" hidden="1" customHeight="1" x14ac:dyDescent="0.2"/>
    <row r="2948" ht="9.9499999999999993" hidden="1" customHeight="1" x14ac:dyDescent="0.2"/>
    <row r="2949" ht="9.9499999999999993" hidden="1" customHeight="1" x14ac:dyDescent="0.2"/>
    <row r="2950" ht="9.9499999999999993" hidden="1" customHeight="1" x14ac:dyDescent="0.2"/>
    <row r="2951" ht="9.9499999999999993" hidden="1" customHeight="1" x14ac:dyDescent="0.2"/>
    <row r="2952" ht="9.9499999999999993" hidden="1" customHeight="1" x14ac:dyDescent="0.2"/>
    <row r="2953" ht="9.9499999999999993" hidden="1" customHeight="1" x14ac:dyDescent="0.2"/>
    <row r="2954" ht="9.9499999999999993" hidden="1" customHeight="1" x14ac:dyDescent="0.2"/>
    <row r="2955" ht="9.9499999999999993" hidden="1" customHeight="1" x14ac:dyDescent="0.2"/>
    <row r="2956" ht="9.9499999999999993" hidden="1" customHeight="1" x14ac:dyDescent="0.2"/>
    <row r="2957" ht="9.9499999999999993" hidden="1" customHeight="1" x14ac:dyDescent="0.2"/>
    <row r="2958" ht="9.9499999999999993" hidden="1" customHeight="1" x14ac:dyDescent="0.2"/>
    <row r="2959" ht="9.9499999999999993" hidden="1" customHeight="1" x14ac:dyDescent="0.2"/>
    <row r="2960" ht="9.9499999999999993" hidden="1" customHeight="1" x14ac:dyDescent="0.2"/>
    <row r="2961" ht="9.9499999999999993" hidden="1" customHeight="1" x14ac:dyDescent="0.2"/>
    <row r="2962" ht="9.9499999999999993" hidden="1" customHeight="1" x14ac:dyDescent="0.2"/>
    <row r="2963" ht="9.9499999999999993" hidden="1" customHeight="1" x14ac:dyDescent="0.2"/>
    <row r="2964" ht="9.9499999999999993" hidden="1" customHeight="1" x14ac:dyDescent="0.2"/>
    <row r="2965" ht="9.9499999999999993" hidden="1" customHeight="1" x14ac:dyDescent="0.2"/>
    <row r="2966" ht="9.9499999999999993" hidden="1" customHeight="1" x14ac:dyDescent="0.2"/>
    <row r="2967" ht="9.9499999999999993" hidden="1" customHeight="1" x14ac:dyDescent="0.2"/>
    <row r="2968" ht="9.9499999999999993" hidden="1" customHeight="1" x14ac:dyDescent="0.2"/>
    <row r="2969" ht="9.9499999999999993" hidden="1" customHeight="1" x14ac:dyDescent="0.2"/>
    <row r="2970" ht="9.9499999999999993" hidden="1" customHeight="1" x14ac:dyDescent="0.2"/>
    <row r="2971" ht="9.9499999999999993" hidden="1" customHeight="1" x14ac:dyDescent="0.2"/>
    <row r="2972" ht="9.9499999999999993" hidden="1" customHeight="1" x14ac:dyDescent="0.2"/>
    <row r="2973" ht="9.9499999999999993" hidden="1" customHeight="1" x14ac:dyDescent="0.2"/>
    <row r="2974" ht="9.9499999999999993" hidden="1" customHeight="1" x14ac:dyDescent="0.2"/>
    <row r="2975" ht="9.9499999999999993" hidden="1" customHeight="1" x14ac:dyDescent="0.2"/>
    <row r="2976" ht="9.9499999999999993" hidden="1" customHeight="1" x14ac:dyDescent="0.2"/>
    <row r="2977" ht="9.9499999999999993" hidden="1" customHeight="1" x14ac:dyDescent="0.2"/>
    <row r="2978" ht="9.9499999999999993" hidden="1" customHeight="1" x14ac:dyDescent="0.2"/>
    <row r="2979" ht="9.9499999999999993" hidden="1" customHeight="1" x14ac:dyDescent="0.2"/>
    <row r="2980" ht="9.9499999999999993" hidden="1" customHeight="1" x14ac:dyDescent="0.2"/>
    <row r="2981" ht="9.9499999999999993" hidden="1" customHeight="1" x14ac:dyDescent="0.2"/>
    <row r="2982" ht="9.9499999999999993" hidden="1" customHeight="1" x14ac:dyDescent="0.2"/>
    <row r="2983" ht="9.9499999999999993" hidden="1" customHeight="1" x14ac:dyDescent="0.2"/>
    <row r="2984" ht="9.9499999999999993" hidden="1" customHeight="1" x14ac:dyDescent="0.2"/>
    <row r="2985" ht="9.9499999999999993" hidden="1" customHeight="1" x14ac:dyDescent="0.2"/>
    <row r="2986" ht="9.9499999999999993" hidden="1" customHeight="1" x14ac:dyDescent="0.2"/>
    <row r="2987" ht="9.9499999999999993" hidden="1" customHeight="1" x14ac:dyDescent="0.2"/>
    <row r="2988" ht="9.9499999999999993" hidden="1" customHeight="1" x14ac:dyDescent="0.2"/>
    <row r="2989" ht="9.9499999999999993" hidden="1" customHeight="1" x14ac:dyDescent="0.2"/>
    <row r="2990" ht="9.9499999999999993" hidden="1" customHeight="1" x14ac:dyDescent="0.2"/>
    <row r="2991" ht="9.9499999999999993" hidden="1" customHeight="1" x14ac:dyDescent="0.2"/>
    <row r="2992" ht="9.9499999999999993" hidden="1" customHeight="1" x14ac:dyDescent="0.2"/>
    <row r="2993" ht="9.9499999999999993" hidden="1" customHeight="1" x14ac:dyDescent="0.2"/>
    <row r="2994" ht="9.9499999999999993" hidden="1" customHeight="1" x14ac:dyDescent="0.2"/>
    <row r="2995" ht="9.9499999999999993" hidden="1" customHeight="1" x14ac:dyDescent="0.2"/>
    <row r="2996" ht="9.9499999999999993" hidden="1" customHeight="1" x14ac:dyDescent="0.2"/>
    <row r="2997" ht="9.9499999999999993" hidden="1" customHeight="1" x14ac:dyDescent="0.2"/>
    <row r="2998" ht="9.9499999999999993" hidden="1" customHeight="1" x14ac:dyDescent="0.2"/>
    <row r="2999" ht="9.9499999999999993" hidden="1" customHeight="1" x14ac:dyDescent="0.2"/>
    <row r="3000" ht="9.9499999999999993" hidden="1" customHeight="1" x14ac:dyDescent="0.2"/>
    <row r="3001" ht="9.9499999999999993" hidden="1" customHeight="1" x14ac:dyDescent="0.2"/>
    <row r="3002" ht="9.9499999999999993" hidden="1" customHeight="1" x14ac:dyDescent="0.2"/>
    <row r="3003" ht="9.9499999999999993" hidden="1" customHeight="1" x14ac:dyDescent="0.2"/>
    <row r="3004" ht="9.9499999999999993" hidden="1" customHeight="1" x14ac:dyDescent="0.2"/>
    <row r="3005" ht="9.9499999999999993" hidden="1" customHeight="1" x14ac:dyDescent="0.2"/>
    <row r="3006" ht="9.9499999999999993" hidden="1" customHeight="1" x14ac:dyDescent="0.2"/>
    <row r="3007" ht="9.9499999999999993" hidden="1" customHeight="1" x14ac:dyDescent="0.2"/>
    <row r="3008" ht="9.9499999999999993" hidden="1" customHeight="1" x14ac:dyDescent="0.2"/>
    <row r="3009" ht="9.9499999999999993" hidden="1" customHeight="1" x14ac:dyDescent="0.2"/>
    <row r="3010" ht="9.9499999999999993" hidden="1" customHeight="1" x14ac:dyDescent="0.2"/>
    <row r="3011" ht="9.9499999999999993" hidden="1" customHeight="1" x14ac:dyDescent="0.2"/>
    <row r="3012" ht="9.9499999999999993" hidden="1" customHeight="1" x14ac:dyDescent="0.2"/>
    <row r="3013" ht="9.9499999999999993" hidden="1" customHeight="1" x14ac:dyDescent="0.2"/>
    <row r="3014" ht="9.9499999999999993" hidden="1" customHeight="1" x14ac:dyDescent="0.2"/>
    <row r="3015" ht="9.9499999999999993" hidden="1" customHeight="1" x14ac:dyDescent="0.2"/>
    <row r="3016" ht="9.9499999999999993" hidden="1" customHeight="1" x14ac:dyDescent="0.2"/>
    <row r="3017" ht="9.9499999999999993" hidden="1" customHeight="1" x14ac:dyDescent="0.2"/>
    <row r="3018" ht="9.9499999999999993" hidden="1" customHeight="1" x14ac:dyDescent="0.2"/>
    <row r="3019" ht="9.9499999999999993" hidden="1" customHeight="1" x14ac:dyDescent="0.2"/>
    <row r="3020" ht="9.9499999999999993" hidden="1" customHeight="1" x14ac:dyDescent="0.2"/>
    <row r="3021" ht="9.9499999999999993" hidden="1" customHeight="1" x14ac:dyDescent="0.2"/>
    <row r="3022" ht="9.9499999999999993" hidden="1" customHeight="1" x14ac:dyDescent="0.2"/>
    <row r="3023" ht="9.9499999999999993" hidden="1" customHeight="1" x14ac:dyDescent="0.2"/>
    <row r="3024" ht="9.9499999999999993" hidden="1" customHeight="1" x14ac:dyDescent="0.2"/>
    <row r="3025" ht="9.9499999999999993" hidden="1" customHeight="1" x14ac:dyDescent="0.2"/>
    <row r="3026" ht="9.9499999999999993" hidden="1" customHeight="1" x14ac:dyDescent="0.2"/>
    <row r="3027" ht="9.9499999999999993" hidden="1" customHeight="1" x14ac:dyDescent="0.2"/>
    <row r="3028" ht="9.9499999999999993" hidden="1" customHeight="1" x14ac:dyDescent="0.2"/>
    <row r="3029" ht="9.9499999999999993" hidden="1" customHeight="1" x14ac:dyDescent="0.2"/>
    <row r="3030" ht="9.9499999999999993" hidden="1" customHeight="1" x14ac:dyDescent="0.2"/>
    <row r="3031" ht="9.9499999999999993" hidden="1" customHeight="1" x14ac:dyDescent="0.2"/>
    <row r="3032" ht="9.9499999999999993" hidden="1" customHeight="1" x14ac:dyDescent="0.2"/>
    <row r="3033" ht="9.9499999999999993" hidden="1" customHeight="1" x14ac:dyDescent="0.2"/>
    <row r="3034" ht="9.9499999999999993" hidden="1" customHeight="1" x14ac:dyDescent="0.2"/>
    <row r="3035" ht="9.9499999999999993" hidden="1" customHeight="1" x14ac:dyDescent="0.2"/>
    <row r="3036" ht="9.9499999999999993" hidden="1" customHeight="1" x14ac:dyDescent="0.2"/>
    <row r="3037" ht="9.9499999999999993" hidden="1" customHeight="1" x14ac:dyDescent="0.2"/>
    <row r="3038" ht="9.9499999999999993" hidden="1" customHeight="1" x14ac:dyDescent="0.2"/>
    <row r="3039" ht="9.9499999999999993" hidden="1" customHeight="1" x14ac:dyDescent="0.2"/>
    <row r="3040" ht="9.9499999999999993" hidden="1" customHeight="1" x14ac:dyDescent="0.2"/>
    <row r="3041" ht="9.9499999999999993" hidden="1" customHeight="1" x14ac:dyDescent="0.2"/>
    <row r="3042" ht="9.9499999999999993" hidden="1" customHeight="1" x14ac:dyDescent="0.2"/>
    <row r="3043" ht="9.9499999999999993" hidden="1" customHeight="1" x14ac:dyDescent="0.2"/>
    <row r="3044" ht="9.9499999999999993" hidden="1" customHeight="1" x14ac:dyDescent="0.2"/>
    <row r="3045" ht="9.9499999999999993" hidden="1" customHeight="1" x14ac:dyDescent="0.2"/>
    <row r="3046" ht="9.9499999999999993" hidden="1" customHeight="1" x14ac:dyDescent="0.2"/>
    <row r="3047" ht="9.9499999999999993" hidden="1" customHeight="1" x14ac:dyDescent="0.2"/>
    <row r="3048" ht="9.9499999999999993" hidden="1" customHeight="1" x14ac:dyDescent="0.2"/>
    <row r="3049" ht="9.9499999999999993" hidden="1" customHeight="1" x14ac:dyDescent="0.2"/>
    <row r="3050" ht="9.9499999999999993" hidden="1" customHeight="1" x14ac:dyDescent="0.2"/>
    <row r="3051" ht="9.9499999999999993" hidden="1" customHeight="1" x14ac:dyDescent="0.2"/>
    <row r="3052" ht="9.9499999999999993" hidden="1" customHeight="1" x14ac:dyDescent="0.2"/>
    <row r="3053" ht="9.9499999999999993" hidden="1" customHeight="1" x14ac:dyDescent="0.2"/>
    <row r="3054" ht="9.9499999999999993" hidden="1" customHeight="1" x14ac:dyDescent="0.2"/>
    <row r="3055" ht="9.9499999999999993" hidden="1" customHeight="1" x14ac:dyDescent="0.2"/>
    <row r="3056" ht="9.9499999999999993" hidden="1" customHeight="1" x14ac:dyDescent="0.2"/>
    <row r="3057" ht="9.9499999999999993" hidden="1" customHeight="1" x14ac:dyDescent="0.2"/>
    <row r="3058" ht="9.9499999999999993" hidden="1" customHeight="1" x14ac:dyDescent="0.2"/>
    <row r="3059" ht="9.9499999999999993" hidden="1" customHeight="1" x14ac:dyDescent="0.2"/>
    <row r="3060" ht="9.9499999999999993" hidden="1" customHeight="1" x14ac:dyDescent="0.2"/>
    <row r="3061" ht="9.9499999999999993" hidden="1" customHeight="1" x14ac:dyDescent="0.2"/>
    <row r="3062" ht="9.9499999999999993" hidden="1" customHeight="1" x14ac:dyDescent="0.2"/>
    <row r="3063" ht="9.9499999999999993" hidden="1" customHeight="1" x14ac:dyDescent="0.2"/>
    <row r="3064" ht="9.9499999999999993" hidden="1" customHeight="1" x14ac:dyDescent="0.2"/>
    <row r="3065" ht="9.9499999999999993" hidden="1" customHeight="1" x14ac:dyDescent="0.2"/>
    <row r="3066" ht="9.9499999999999993" hidden="1" customHeight="1" x14ac:dyDescent="0.2"/>
    <row r="3067" ht="9.9499999999999993" hidden="1" customHeight="1" x14ac:dyDescent="0.2"/>
    <row r="3068" ht="9.9499999999999993" hidden="1" customHeight="1" x14ac:dyDescent="0.2"/>
    <row r="3069" ht="9.9499999999999993" hidden="1" customHeight="1" x14ac:dyDescent="0.2"/>
    <row r="3070" ht="9.9499999999999993" hidden="1" customHeight="1" x14ac:dyDescent="0.2"/>
    <row r="3071" ht="9.9499999999999993" hidden="1" customHeight="1" x14ac:dyDescent="0.2"/>
    <row r="3072" ht="9.9499999999999993" hidden="1" customHeight="1" x14ac:dyDescent="0.2"/>
    <row r="3073" ht="9.9499999999999993" hidden="1" customHeight="1" x14ac:dyDescent="0.2"/>
    <row r="3074" ht="9.9499999999999993" hidden="1" customHeight="1" x14ac:dyDescent="0.2"/>
    <row r="3075" ht="9.9499999999999993" hidden="1" customHeight="1" x14ac:dyDescent="0.2"/>
    <row r="3076" ht="9.9499999999999993" hidden="1" customHeight="1" x14ac:dyDescent="0.2"/>
    <row r="3077" ht="9.9499999999999993" hidden="1" customHeight="1" x14ac:dyDescent="0.2"/>
    <row r="3078" ht="9.9499999999999993" hidden="1" customHeight="1" x14ac:dyDescent="0.2"/>
    <row r="3079" ht="9.9499999999999993" hidden="1" customHeight="1" x14ac:dyDescent="0.2"/>
    <row r="3080" ht="9.9499999999999993" hidden="1" customHeight="1" x14ac:dyDescent="0.2"/>
    <row r="3081" ht="9.9499999999999993" hidden="1" customHeight="1" x14ac:dyDescent="0.2"/>
    <row r="3082" ht="9.9499999999999993" hidden="1" customHeight="1" x14ac:dyDescent="0.2"/>
    <row r="3083" ht="9.9499999999999993" hidden="1" customHeight="1" x14ac:dyDescent="0.2"/>
    <row r="3084" ht="9.9499999999999993" hidden="1" customHeight="1" x14ac:dyDescent="0.2"/>
    <row r="3085" ht="9.9499999999999993" hidden="1" customHeight="1" x14ac:dyDescent="0.2"/>
    <row r="3086" ht="9.9499999999999993" hidden="1" customHeight="1" x14ac:dyDescent="0.2"/>
    <row r="3087" ht="9.9499999999999993" hidden="1" customHeight="1" x14ac:dyDescent="0.2"/>
    <row r="3088" ht="9.9499999999999993" hidden="1" customHeight="1" x14ac:dyDescent="0.2"/>
    <row r="3089" ht="9.9499999999999993" hidden="1" customHeight="1" x14ac:dyDescent="0.2"/>
    <row r="3090" ht="9.9499999999999993" hidden="1" customHeight="1" x14ac:dyDescent="0.2"/>
    <row r="3091" ht="9.9499999999999993" hidden="1" customHeight="1" x14ac:dyDescent="0.2"/>
    <row r="3092" ht="9.9499999999999993" hidden="1" customHeight="1" x14ac:dyDescent="0.2"/>
    <row r="3093" ht="9.9499999999999993" hidden="1" customHeight="1" x14ac:dyDescent="0.2"/>
    <row r="3094" ht="9.9499999999999993" hidden="1" customHeight="1" x14ac:dyDescent="0.2"/>
    <row r="3095" ht="9.9499999999999993" hidden="1" customHeight="1" x14ac:dyDescent="0.2"/>
    <row r="3096" ht="9.9499999999999993" hidden="1" customHeight="1" x14ac:dyDescent="0.2"/>
    <row r="3097" ht="9.9499999999999993" hidden="1" customHeight="1" x14ac:dyDescent="0.2"/>
    <row r="3098" ht="9.9499999999999993" hidden="1" customHeight="1" x14ac:dyDescent="0.2"/>
    <row r="3099" ht="9.9499999999999993" hidden="1" customHeight="1" x14ac:dyDescent="0.2"/>
    <row r="3100" ht="9.9499999999999993" hidden="1" customHeight="1" x14ac:dyDescent="0.2"/>
    <row r="3101" ht="9.9499999999999993" hidden="1" customHeight="1" x14ac:dyDescent="0.2"/>
    <row r="3102" ht="9.9499999999999993" hidden="1" customHeight="1" x14ac:dyDescent="0.2"/>
    <row r="3103" ht="9.9499999999999993" hidden="1" customHeight="1" x14ac:dyDescent="0.2"/>
    <row r="3104" ht="9.9499999999999993" hidden="1" customHeight="1" x14ac:dyDescent="0.2"/>
    <row r="3105" ht="9.9499999999999993" hidden="1" customHeight="1" x14ac:dyDescent="0.2"/>
    <row r="3106" ht="9.9499999999999993" hidden="1" customHeight="1" x14ac:dyDescent="0.2"/>
    <row r="3107" ht="9.9499999999999993" hidden="1" customHeight="1" x14ac:dyDescent="0.2"/>
    <row r="3108" ht="9.9499999999999993" hidden="1" customHeight="1" x14ac:dyDescent="0.2"/>
    <row r="3109" ht="9.9499999999999993" hidden="1" customHeight="1" x14ac:dyDescent="0.2"/>
    <row r="3110" ht="9.9499999999999993" hidden="1" customHeight="1" x14ac:dyDescent="0.2"/>
    <row r="3111" ht="9.9499999999999993" hidden="1" customHeight="1" x14ac:dyDescent="0.2"/>
    <row r="3112" ht="9.9499999999999993" hidden="1" customHeight="1" x14ac:dyDescent="0.2"/>
    <row r="3113" ht="9.9499999999999993" hidden="1" customHeight="1" x14ac:dyDescent="0.2"/>
    <row r="3114" ht="9.9499999999999993" hidden="1" customHeight="1" x14ac:dyDescent="0.2"/>
    <row r="3115" ht="9.9499999999999993" hidden="1" customHeight="1" x14ac:dyDescent="0.2"/>
    <row r="3116" ht="9.9499999999999993" hidden="1" customHeight="1" x14ac:dyDescent="0.2"/>
    <row r="3117" ht="9.9499999999999993" hidden="1" customHeight="1" x14ac:dyDescent="0.2"/>
    <row r="3118" ht="9.9499999999999993" hidden="1" customHeight="1" x14ac:dyDescent="0.2"/>
    <row r="3119" ht="9.9499999999999993" hidden="1" customHeight="1" x14ac:dyDescent="0.2"/>
    <row r="3120" ht="9.9499999999999993" hidden="1" customHeight="1" x14ac:dyDescent="0.2"/>
    <row r="3121" ht="9.9499999999999993" hidden="1" customHeight="1" x14ac:dyDescent="0.2"/>
    <row r="3122" ht="9.9499999999999993" hidden="1" customHeight="1" x14ac:dyDescent="0.2"/>
    <row r="3123" ht="9.9499999999999993" hidden="1" customHeight="1" x14ac:dyDescent="0.2"/>
    <row r="3124" ht="9.9499999999999993" hidden="1" customHeight="1" x14ac:dyDescent="0.2"/>
    <row r="3125" ht="9.9499999999999993" hidden="1" customHeight="1" x14ac:dyDescent="0.2"/>
    <row r="3126" ht="9.9499999999999993" hidden="1" customHeight="1" x14ac:dyDescent="0.2"/>
    <row r="3127" ht="9.9499999999999993" hidden="1" customHeight="1" x14ac:dyDescent="0.2"/>
    <row r="3128" ht="9.9499999999999993" hidden="1" customHeight="1" x14ac:dyDescent="0.2"/>
    <row r="3129" ht="9.9499999999999993" hidden="1" customHeight="1" x14ac:dyDescent="0.2"/>
    <row r="3130" ht="9.9499999999999993" hidden="1" customHeight="1" x14ac:dyDescent="0.2"/>
    <row r="3131" ht="9.9499999999999993" hidden="1" customHeight="1" x14ac:dyDescent="0.2"/>
    <row r="3132" ht="9.9499999999999993" hidden="1" customHeight="1" x14ac:dyDescent="0.2"/>
    <row r="3133" ht="9.9499999999999993" hidden="1" customHeight="1" x14ac:dyDescent="0.2"/>
    <row r="3134" ht="9.9499999999999993" hidden="1" customHeight="1" x14ac:dyDescent="0.2"/>
    <row r="3135" ht="9.9499999999999993" hidden="1" customHeight="1" x14ac:dyDescent="0.2"/>
    <row r="3136" ht="9.9499999999999993" hidden="1" customHeight="1" x14ac:dyDescent="0.2"/>
    <row r="3137" ht="9.9499999999999993" hidden="1" customHeight="1" x14ac:dyDescent="0.2"/>
    <row r="3138" ht="9.9499999999999993" hidden="1" customHeight="1" x14ac:dyDescent="0.2"/>
    <row r="3139" ht="9.9499999999999993" hidden="1" customHeight="1" x14ac:dyDescent="0.2"/>
    <row r="3140" ht="9.9499999999999993" hidden="1" customHeight="1" x14ac:dyDescent="0.2"/>
    <row r="3141" ht="9.9499999999999993" hidden="1" customHeight="1" x14ac:dyDescent="0.2"/>
    <row r="3142" ht="9.9499999999999993" hidden="1" customHeight="1" x14ac:dyDescent="0.2"/>
    <row r="3143" ht="9.9499999999999993" hidden="1" customHeight="1" x14ac:dyDescent="0.2"/>
    <row r="3144" ht="9.9499999999999993" hidden="1" customHeight="1" x14ac:dyDescent="0.2"/>
    <row r="3145" ht="9.9499999999999993" hidden="1" customHeight="1" x14ac:dyDescent="0.2"/>
    <row r="3146" ht="9.9499999999999993" hidden="1" customHeight="1" x14ac:dyDescent="0.2"/>
    <row r="3147" ht="9.9499999999999993" hidden="1" customHeight="1" x14ac:dyDescent="0.2"/>
    <row r="3148" ht="9.9499999999999993" hidden="1" customHeight="1" x14ac:dyDescent="0.2"/>
    <row r="3149" ht="9.9499999999999993" hidden="1" customHeight="1" x14ac:dyDescent="0.2"/>
    <row r="3150" ht="9.9499999999999993" hidden="1" customHeight="1" x14ac:dyDescent="0.2"/>
    <row r="3151" ht="9.9499999999999993" hidden="1" customHeight="1" x14ac:dyDescent="0.2"/>
    <row r="3152" ht="9.9499999999999993" hidden="1" customHeight="1" x14ac:dyDescent="0.2"/>
    <row r="3153" ht="9.9499999999999993" hidden="1" customHeight="1" x14ac:dyDescent="0.2"/>
    <row r="3154" ht="9.9499999999999993" hidden="1" customHeight="1" x14ac:dyDescent="0.2"/>
    <row r="3155" ht="9.9499999999999993" hidden="1" customHeight="1" x14ac:dyDescent="0.2"/>
    <row r="3156" ht="9.9499999999999993" hidden="1" customHeight="1" x14ac:dyDescent="0.2"/>
    <row r="3157" ht="9.9499999999999993" hidden="1" customHeight="1" x14ac:dyDescent="0.2"/>
    <row r="3158" ht="9.9499999999999993" hidden="1" customHeight="1" x14ac:dyDescent="0.2"/>
    <row r="3159" ht="9.9499999999999993" hidden="1" customHeight="1" x14ac:dyDescent="0.2"/>
    <row r="3160" ht="9.9499999999999993" hidden="1" customHeight="1" x14ac:dyDescent="0.2"/>
    <row r="3161" ht="9.9499999999999993" hidden="1" customHeight="1" x14ac:dyDescent="0.2"/>
    <row r="3162" ht="9.9499999999999993" hidden="1" customHeight="1" x14ac:dyDescent="0.2"/>
    <row r="3163" ht="9.9499999999999993" hidden="1" customHeight="1" x14ac:dyDescent="0.2"/>
    <row r="3164" ht="9.9499999999999993" hidden="1" customHeight="1" x14ac:dyDescent="0.2"/>
    <row r="3165" ht="9.9499999999999993" hidden="1" customHeight="1" x14ac:dyDescent="0.2"/>
    <row r="3166" ht="9.9499999999999993" hidden="1" customHeight="1" x14ac:dyDescent="0.2"/>
    <row r="3167" ht="9.9499999999999993" hidden="1" customHeight="1" x14ac:dyDescent="0.2"/>
    <row r="3168" ht="9.9499999999999993" hidden="1" customHeight="1" x14ac:dyDescent="0.2"/>
    <row r="3169" ht="9.9499999999999993" hidden="1" customHeight="1" x14ac:dyDescent="0.2"/>
    <row r="3170" ht="9.9499999999999993" hidden="1" customHeight="1" x14ac:dyDescent="0.2"/>
    <row r="3171" ht="9.9499999999999993" hidden="1" customHeight="1" x14ac:dyDescent="0.2"/>
    <row r="3172" ht="9.9499999999999993" hidden="1" customHeight="1" x14ac:dyDescent="0.2"/>
    <row r="3173" ht="9.9499999999999993" hidden="1" customHeight="1" x14ac:dyDescent="0.2"/>
    <row r="3174" ht="9.9499999999999993" hidden="1" customHeight="1" x14ac:dyDescent="0.2"/>
    <row r="3175" ht="9.9499999999999993" hidden="1" customHeight="1" x14ac:dyDescent="0.2"/>
    <row r="3176" ht="9.9499999999999993" hidden="1" customHeight="1" x14ac:dyDescent="0.2"/>
    <row r="3177" ht="9.9499999999999993" hidden="1" customHeight="1" x14ac:dyDescent="0.2"/>
    <row r="3178" ht="9.9499999999999993" hidden="1" customHeight="1" x14ac:dyDescent="0.2"/>
    <row r="3179" ht="9.9499999999999993" hidden="1" customHeight="1" x14ac:dyDescent="0.2"/>
    <row r="3180" ht="9.9499999999999993" hidden="1" customHeight="1" x14ac:dyDescent="0.2"/>
    <row r="3181" ht="9.9499999999999993" hidden="1" customHeight="1" x14ac:dyDescent="0.2"/>
    <row r="3182" ht="9.9499999999999993" hidden="1" customHeight="1" x14ac:dyDescent="0.2"/>
    <row r="3183" ht="9.9499999999999993" hidden="1" customHeight="1" x14ac:dyDescent="0.2"/>
    <row r="3184" ht="9.9499999999999993" hidden="1" customHeight="1" x14ac:dyDescent="0.2"/>
    <row r="3185" ht="9.9499999999999993" hidden="1" customHeight="1" x14ac:dyDescent="0.2"/>
    <row r="3186" ht="9.9499999999999993" hidden="1" customHeight="1" x14ac:dyDescent="0.2"/>
    <row r="3187" ht="9.9499999999999993" hidden="1" customHeight="1" x14ac:dyDescent="0.2"/>
    <row r="3188" ht="9.9499999999999993" hidden="1" customHeight="1" x14ac:dyDescent="0.2"/>
    <row r="3189" ht="9.9499999999999993" hidden="1" customHeight="1" x14ac:dyDescent="0.2"/>
    <row r="3190" ht="9.9499999999999993" hidden="1" customHeight="1" x14ac:dyDescent="0.2"/>
    <row r="3191" ht="9.9499999999999993" hidden="1" customHeight="1" x14ac:dyDescent="0.2"/>
    <row r="3192" ht="9.9499999999999993" hidden="1" customHeight="1" x14ac:dyDescent="0.2"/>
    <row r="3193" ht="9.9499999999999993" hidden="1" customHeight="1" x14ac:dyDescent="0.2"/>
    <row r="3194" ht="9.9499999999999993" hidden="1" customHeight="1" x14ac:dyDescent="0.2"/>
    <row r="3195" ht="9.9499999999999993" hidden="1" customHeight="1" x14ac:dyDescent="0.2"/>
    <row r="3196" ht="9.9499999999999993" hidden="1" customHeight="1" x14ac:dyDescent="0.2"/>
    <row r="3197" ht="9.9499999999999993" hidden="1" customHeight="1" x14ac:dyDescent="0.2"/>
    <row r="3198" ht="9.9499999999999993" hidden="1" customHeight="1" x14ac:dyDescent="0.2"/>
    <row r="3199" ht="9.9499999999999993" hidden="1" customHeight="1" x14ac:dyDescent="0.2"/>
    <row r="3200" ht="9.9499999999999993" hidden="1" customHeight="1" x14ac:dyDescent="0.2"/>
    <row r="3201" ht="9.9499999999999993" hidden="1" customHeight="1" x14ac:dyDescent="0.2"/>
    <row r="3202" ht="9.9499999999999993" hidden="1" customHeight="1" x14ac:dyDescent="0.2"/>
    <row r="3203" ht="9.9499999999999993" hidden="1" customHeight="1" x14ac:dyDescent="0.2"/>
    <row r="3204" ht="9.9499999999999993" hidden="1" customHeight="1" x14ac:dyDescent="0.2"/>
    <row r="3205" ht="9.9499999999999993" hidden="1" customHeight="1" x14ac:dyDescent="0.2"/>
    <row r="3206" ht="9.9499999999999993" hidden="1" customHeight="1" x14ac:dyDescent="0.2"/>
    <row r="3207" ht="9.9499999999999993" hidden="1" customHeight="1" x14ac:dyDescent="0.2"/>
    <row r="3208" ht="9.9499999999999993" hidden="1" customHeight="1" x14ac:dyDescent="0.2"/>
    <row r="3209" ht="9.9499999999999993" hidden="1" customHeight="1" x14ac:dyDescent="0.2"/>
    <row r="3210" ht="9.9499999999999993" hidden="1" customHeight="1" x14ac:dyDescent="0.2"/>
    <row r="3211" ht="9.9499999999999993" hidden="1" customHeight="1" x14ac:dyDescent="0.2"/>
    <row r="3212" ht="9.9499999999999993" hidden="1" customHeight="1" x14ac:dyDescent="0.2"/>
    <row r="3213" ht="9.9499999999999993" hidden="1" customHeight="1" x14ac:dyDescent="0.2"/>
    <row r="3214" ht="9.9499999999999993" hidden="1" customHeight="1" x14ac:dyDescent="0.2"/>
    <row r="3215" ht="9.9499999999999993" hidden="1" customHeight="1" x14ac:dyDescent="0.2"/>
    <row r="3216" ht="9.9499999999999993" hidden="1" customHeight="1" x14ac:dyDescent="0.2"/>
    <row r="3217" ht="9.9499999999999993" hidden="1" customHeight="1" x14ac:dyDescent="0.2"/>
    <row r="3218" ht="9.9499999999999993" hidden="1" customHeight="1" x14ac:dyDescent="0.2"/>
    <row r="3219" ht="9.9499999999999993" hidden="1" customHeight="1" x14ac:dyDescent="0.2"/>
    <row r="3220" ht="9.9499999999999993" hidden="1" customHeight="1" x14ac:dyDescent="0.2"/>
    <row r="3221" ht="9.9499999999999993" hidden="1" customHeight="1" x14ac:dyDescent="0.2"/>
    <row r="3222" ht="9.9499999999999993" hidden="1" customHeight="1" x14ac:dyDescent="0.2"/>
    <row r="3223" ht="9.9499999999999993" hidden="1" customHeight="1" x14ac:dyDescent="0.2"/>
    <row r="3224" ht="9.9499999999999993" hidden="1" customHeight="1" x14ac:dyDescent="0.2"/>
    <row r="3225" ht="9.9499999999999993" hidden="1" customHeight="1" x14ac:dyDescent="0.2"/>
    <row r="3226" ht="9.9499999999999993" hidden="1" customHeight="1" x14ac:dyDescent="0.2"/>
    <row r="3227" ht="9.9499999999999993" hidden="1" customHeight="1" x14ac:dyDescent="0.2"/>
    <row r="3228" ht="9.9499999999999993" hidden="1" customHeight="1" x14ac:dyDescent="0.2"/>
    <row r="3229" ht="9.9499999999999993" hidden="1" customHeight="1" x14ac:dyDescent="0.2"/>
    <row r="3230" ht="9.9499999999999993" hidden="1" customHeight="1" x14ac:dyDescent="0.2"/>
    <row r="3231" ht="9.9499999999999993" hidden="1" customHeight="1" x14ac:dyDescent="0.2"/>
    <row r="3232" ht="9.9499999999999993" hidden="1" customHeight="1" x14ac:dyDescent="0.2"/>
    <row r="3233" ht="9.9499999999999993" hidden="1" customHeight="1" x14ac:dyDescent="0.2"/>
    <row r="3234" ht="9.9499999999999993" hidden="1" customHeight="1" x14ac:dyDescent="0.2"/>
    <row r="3235" ht="9.9499999999999993" hidden="1" customHeight="1" x14ac:dyDescent="0.2"/>
    <row r="3236" ht="9.9499999999999993" hidden="1" customHeight="1" x14ac:dyDescent="0.2"/>
    <row r="3237" ht="9.9499999999999993" hidden="1" customHeight="1" x14ac:dyDescent="0.2"/>
    <row r="3238" ht="9.9499999999999993" hidden="1" customHeight="1" x14ac:dyDescent="0.2"/>
    <row r="3239" ht="9.9499999999999993" hidden="1" customHeight="1" x14ac:dyDescent="0.2"/>
    <row r="3240" ht="9.9499999999999993" hidden="1" customHeight="1" x14ac:dyDescent="0.2"/>
    <row r="3241" ht="9.9499999999999993" hidden="1" customHeight="1" x14ac:dyDescent="0.2"/>
    <row r="3242" ht="9.9499999999999993" hidden="1" customHeight="1" x14ac:dyDescent="0.2"/>
    <row r="3243" ht="9.9499999999999993" hidden="1" customHeight="1" x14ac:dyDescent="0.2"/>
    <row r="3244" ht="9.9499999999999993" hidden="1" customHeight="1" x14ac:dyDescent="0.2"/>
    <row r="3245" ht="9.9499999999999993" hidden="1" customHeight="1" x14ac:dyDescent="0.2"/>
    <row r="3246" ht="9.9499999999999993" hidden="1" customHeight="1" x14ac:dyDescent="0.2"/>
    <row r="3247" ht="9.9499999999999993" hidden="1" customHeight="1" x14ac:dyDescent="0.2"/>
    <row r="3248" ht="9.9499999999999993" hidden="1" customHeight="1" x14ac:dyDescent="0.2"/>
    <row r="3249" ht="9.9499999999999993" hidden="1" customHeight="1" x14ac:dyDescent="0.2"/>
    <row r="3250" ht="9.9499999999999993" hidden="1" customHeight="1" x14ac:dyDescent="0.2"/>
    <row r="3251" ht="9.9499999999999993" hidden="1" customHeight="1" x14ac:dyDescent="0.2"/>
    <row r="3252" ht="9.9499999999999993" hidden="1" customHeight="1" x14ac:dyDescent="0.2"/>
    <row r="3253" ht="9.9499999999999993" hidden="1" customHeight="1" x14ac:dyDescent="0.2"/>
    <row r="3254" ht="9.9499999999999993" hidden="1" customHeight="1" x14ac:dyDescent="0.2"/>
    <row r="3255" ht="9.9499999999999993" hidden="1" customHeight="1" x14ac:dyDescent="0.2"/>
    <row r="3256" ht="9.9499999999999993" hidden="1" customHeight="1" x14ac:dyDescent="0.2"/>
    <row r="3257" ht="9.9499999999999993" hidden="1" customHeight="1" x14ac:dyDescent="0.2"/>
    <row r="3258" ht="9.9499999999999993" hidden="1" customHeight="1" x14ac:dyDescent="0.2"/>
    <row r="3259" ht="9.9499999999999993" hidden="1" customHeight="1" x14ac:dyDescent="0.2"/>
    <row r="3260" ht="9.9499999999999993" hidden="1" customHeight="1" x14ac:dyDescent="0.2"/>
    <row r="3261" ht="9.9499999999999993" hidden="1" customHeight="1" x14ac:dyDescent="0.2"/>
    <row r="3262" ht="9.9499999999999993" hidden="1" customHeight="1" x14ac:dyDescent="0.2"/>
    <row r="3263" ht="9.9499999999999993" hidden="1" customHeight="1" x14ac:dyDescent="0.2"/>
    <row r="3264" ht="9.9499999999999993" hidden="1" customHeight="1" x14ac:dyDescent="0.2"/>
    <row r="3265" ht="9.9499999999999993" hidden="1" customHeight="1" x14ac:dyDescent="0.2"/>
    <row r="3266" ht="9.9499999999999993" hidden="1" customHeight="1" x14ac:dyDescent="0.2"/>
    <row r="3267" ht="9.9499999999999993" hidden="1" customHeight="1" x14ac:dyDescent="0.2"/>
    <row r="3268" ht="9.9499999999999993" hidden="1" customHeight="1" x14ac:dyDescent="0.2"/>
    <row r="3269" ht="9.9499999999999993" hidden="1" customHeight="1" x14ac:dyDescent="0.2"/>
    <row r="3270" ht="9.9499999999999993" hidden="1" customHeight="1" x14ac:dyDescent="0.2"/>
    <row r="3271" ht="9.9499999999999993" hidden="1" customHeight="1" x14ac:dyDescent="0.2"/>
    <row r="3272" ht="9.9499999999999993" hidden="1" customHeight="1" x14ac:dyDescent="0.2"/>
    <row r="3273" ht="9.9499999999999993" hidden="1" customHeight="1" x14ac:dyDescent="0.2"/>
    <row r="3274" ht="9.9499999999999993" hidden="1" customHeight="1" x14ac:dyDescent="0.2"/>
    <row r="3275" ht="9.9499999999999993" hidden="1" customHeight="1" x14ac:dyDescent="0.2"/>
    <row r="3276" ht="9.9499999999999993" hidden="1" customHeight="1" x14ac:dyDescent="0.2"/>
    <row r="3277" ht="9.9499999999999993" hidden="1" customHeight="1" x14ac:dyDescent="0.2"/>
    <row r="3278" ht="9.9499999999999993" hidden="1" customHeight="1" x14ac:dyDescent="0.2"/>
    <row r="3279" ht="9.9499999999999993" hidden="1" customHeight="1" x14ac:dyDescent="0.2"/>
    <row r="3280" ht="9.9499999999999993" hidden="1" customHeight="1" x14ac:dyDescent="0.2"/>
    <row r="3281" ht="9.9499999999999993" hidden="1" customHeight="1" x14ac:dyDescent="0.2"/>
    <row r="3282" ht="9.9499999999999993" hidden="1" customHeight="1" x14ac:dyDescent="0.2"/>
    <row r="3283" ht="9.9499999999999993" hidden="1" customHeight="1" x14ac:dyDescent="0.2"/>
    <row r="3284" ht="9.9499999999999993" hidden="1" customHeight="1" x14ac:dyDescent="0.2"/>
    <row r="3285" ht="9.9499999999999993" hidden="1" customHeight="1" x14ac:dyDescent="0.2"/>
    <row r="3286" ht="9.9499999999999993" hidden="1" customHeight="1" x14ac:dyDescent="0.2"/>
    <row r="3287" ht="9.9499999999999993" hidden="1" customHeight="1" x14ac:dyDescent="0.2"/>
    <row r="3288" ht="9.9499999999999993" hidden="1" customHeight="1" x14ac:dyDescent="0.2"/>
    <row r="3289" ht="9.9499999999999993" hidden="1" customHeight="1" x14ac:dyDescent="0.2"/>
    <row r="3290" ht="9.9499999999999993" hidden="1" customHeight="1" x14ac:dyDescent="0.2"/>
    <row r="3291" ht="9.9499999999999993" hidden="1" customHeight="1" x14ac:dyDescent="0.2"/>
    <row r="3292" ht="9.9499999999999993" hidden="1" customHeight="1" x14ac:dyDescent="0.2"/>
    <row r="3293" ht="9.9499999999999993" hidden="1" customHeight="1" x14ac:dyDescent="0.2"/>
    <row r="3294" ht="9.9499999999999993" hidden="1" customHeight="1" x14ac:dyDescent="0.2"/>
    <row r="3295" ht="9.9499999999999993" hidden="1" customHeight="1" x14ac:dyDescent="0.2"/>
    <row r="3296" ht="9.9499999999999993" hidden="1" customHeight="1" x14ac:dyDescent="0.2"/>
    <row r="3297" ht="9.9499999999999993" hidden="1" customHeight="1" x14ac:dyDescent="0.2"/>
    <row r="3298" ht="9.9499999999999993" hidden="1" customHeight="1" x14ac:dyDescent="0.2"/>
    <row r="3299" ht="9.9499999999999993" hidden="1" customHeight="1" x14ac:dyDescent="0.2"/>
    <row r="3300" ht="9.9499999999999993" hidden="1" customHeight="1" x14ac:dyDescent="0.2"/>
    <row r="3301" ht="9.9499999999999993" hidden="1" customHeight="1" x14ac:dyDescent="0.2"/>
    <row r="3302" ht="9.9499999999999993" hidden="1" customHeight="1" x14ac:dyDescent="0.2"/>
    <row r="3303" ht="9.9499999999999993" hidden="1" customHeight="1" x14ac:dyDescent="0.2"/>
    <row r="3304" ht="9.9499999999999993" hidden="1" customHeight="1" x14ac:dyDescent="0.2"/>
    <row r="3305" ht="9.9499999999999993" hidden="1" customHeight="1" x14ac:dyDescent="0.2"/>
    <row r="3306" ht="9.9499999999999993" hidden="1" customHeight="1" x14ac:dyDescent="0.2"/>
    <row r="3307" ht="9.9499999999999993" hidden="1" customHeight="1" x14ac:dyDescent="0.2"/>
    <row r="3308" ht="9.9499999999999993" hidden="1" customHeight="1" x14ac:dyDescent="0.2"/>
    <row r="3309" ht="9.9499999999999993" hidden="1" customHeight="1" x14ac:dyDescent="0.2"/>
    <row r="3310" ht="9.9499999999999993" hidden="1" customHeight="1" x14ac:dyDescent="0.2"/>
    <row r="3311" ht="9.9499999999999993" hidden="1" customHeight="1" x14ac:dyDescent="0.2"/>
    <row r="3312" ht="9.9499999999999993" hidden="1" customHeight="1" x14ac:dyDescent="0.2"/>
    <row r="3313" ht="9.9499999999999993" hidden="1" customHeight="1" x14ac:dyDescent="0.2"/>
    <row r="3314" ht="9.9499999999999993" hidden="1" customHeight="1" x14ac:dyDescent="0.2"/>
    <row r="3315" ht="9.9499999999999993" hidden="1" customHeight="1" x14ac:dyDescent="0.2"/>
    <row r="3316" ht="9.9499999999999993" hidden="1" customHeight="1" x14ac:dyDescent="0.2"/>
    <row r="3317" ht="9.9499999999999993" hidden="1" customHeight="1" x14ac:dyDescent="0.2"/>
    <row r="3318" ht="9.9499999999999993" hidden="1" customHeight="1" x14ac:dyDescent="0.2"/>
    <row r="3319" ht="9.9499999999999993" hidden="1" customHeight="1" x14ac:dyDescent="0.2"/>
    <row r="3320" ht="9.9499999999999993" hidden="1" customHeight="1" x14ac:dyDescent="0.2"/>
    <row r="3321" ht="9.9499999999999993" hidden="1" customHeight="1" x14ac:dyDescent="0.2"/>
    <row r="3322" ht="9.9499999999999993" hidden="1" customHeight="1" x14ac:dyDescent="0.2"/>
    <row r="3323" ht="9.9499999999999993" hidden="1" customHeight="1" x14ac:dyDescent="0.2"/>
    <row r="3324" ht="9.9499999999999993" hidden="1" customHeight="1" x14ac:dyDescent="0.2"/>
    <row r="3325" ht="9.9499999999999993" hidden="1" customHeight="1" x14ac:dyDescent="0.2"/>
    <row r="3326" ht="9.9499999999999993" hidden="1" customHeight="1" x14ac:dyDescent="0.2"/>
    <row r="3327" ht="9.9499999999999993" hidden="1" customHeight="1" x14ac:dyDescent="0.2"/>
    <row r="3328" ht="9.9499999999999993" hidden="1" customHeight="1" x14ac:dyDescent="0.2"/>
    <row r="3329" ht="9.9499999999999993" hidden="1" customHeight="1" x14ac:dyDescent="0.2"/>
    <row r="3330" ht="9.9499999999999993" hidden="1" customHeight="1" x14ac:dyDescent="0.2"/>
    <row r="3331" ht="9.9499999999999993" hidden="1" customHeight="1" x14ac:dyDescent="0.2"/>
    <row r="3332" ht="9.9499999999999993" hidden="1" customHeight="1" x14ac:dyDescent="0.2"/>
    <row r="3333" ht="9.9499999999999993" hidden="1" customHeight="1" x14ac:dyDescent="0.2"/>
    <row r="3334" ht="9.9499999999999993" hidden="1" customHeight="1" x14ac:dyDescent="0.2"/>
    <row r="3335" ht="9.9499999999999993" hidden="1" customHeight="1" x14ac:dyDescent="0.2"/>
    <row r="3336" ht="9.9499999999999993" hidden="1" customHeight="1" x14ac:dyDescent="0.2"/>
    <row r="3337" ht="9.9499999999999993" hidden="1" customHeight="1" x14ac:dyDescent="0.2"/>
    <row r="3338" ht="9.9499999999999993" hidden="1" customHeight="1" x14ac:dyDescent="0.2"/>
    <row r="3339" ht="9.9499999999999993" hidden="1" customHeight="1" x14ac:dyDescent="0.2"/>
    <row r="3340" ht="9.9499999999999993" hidden="1" customHeight="1" x14ac:dyDescent="0.2"/>
    <row r="3341" ht="9.9499999999999993" hidden="1" customHeight="1" x14ac:dyDescent="0.2"/>
    <row r="3342" ht="9.9499999999999993" hidden="1" customHeight="1" x14ac:dyDescent="0.2"/>
    <row r="3343" ht="9.9499999999999993" hidden="1" customHeight="1" x14ac:dyDescent="0.2"/>
    <row r="3344" ht="9.9499999999999993" hidden="1" customHeight="1" x14ac:dyDescent="0.2"/>
    <row r="3345" ht="9.9499999999999993" hidden="1" customHeight="1" x14ac:dyDescent="0.2"/>
    <row r="3346" ht="9.9499999999999993" hidden="1" customHeight="1" x14ac:dyDescent="0.2"/>
    <row r="3347" ht="9.9499999999999993" hidden="1" customHeight="1" x14ac:dyDescent="0.2"/>
    <row r="3348" ht="9.9499999999999993" hidden="1" customHeight="1" x14ac:dyDescent="0.2"/>
    <row r="3349" ht="9.9499999999999993" hidden="1" customHeight="1" x14ac:dyDescent="0.2"/>
    <row r="3350" ht="9.9499999999999993" hidden="1" customHeight="1" x14ac:dyDescent="0.2"/>
    <row r="3351" ht="9.9499999999999993" hidden="1" customHeight="1" x14ac:dyDescent="0.2"/>
    <row r="3352" ht="9.9499999999999993" hidden="1" customHeight="1" x14ac:dyDescent="0.2"/>
    <row r="3353" ht="9.9499999999999993" hidden="1" customHeight="1" x14ac:dyDescent="0.2"/>
    <row r="3354" ht="9.9499999999999993" hidden="1" customHeight="1" x14ac:dyDescent="0.2"/>
    <row r="3355" ht="9.9499999999999993" hidden="1" customHeight="1" x14ac:dyDescent="0.2"/>
    <row r="3356" ht="9.9499999999999993" hidden="1" customHeight="1" x14ac:dyDescent="0.2"/>
    <row r="3357" ht="9.9499999999999993" hidden="1" customHeight="1" x14ac:dyDescent="0.2"/>
    <row r="3358" ht="9.9499999999999993" hidden="1" customHeight="1" x14ac:dyDescent="0.2"/>
    <row r="3359" ht="9.9499999999999993" hidden="1" customHeight="1" x14ac:dyDescent="0.2"/>
    <row r="3360" ht="9.9499999999999993" hidden="1" customHeight="1" x14ac:dyDescent="0.2"/>
    <row r="3361" ht="9.9499999999999993" hidden="1" customHeight="1" x14ac:dyDescent="0.2"/>
    <row r="3362" ht="9.9499999999999993" hidden="1" customHeight="1" x14ac:dyDescent="0.2"/>
    <row r="3363" ht="9.9499999999999993" hidden="1" customHeight="1" x14ac:dyDescent="0.2"/>
    <row r="3364" ht="9.9499999999999993" hidden="1" customHeight="1" x14ac:dyDescent="0.2"/>
    <row r="3365" ht="9.9499999999999993" hidden="1" customHeight="1" x14ac:dyDescent="0.2"/>
    <row r="3366" ht="9.9499999999999993" hidden="1" customHeight="1" x14ac:dyDescent="0.2"/>
    <row r="3367" ht="9.9499999999999993" hidden="1" customHeight="1" x14ac:dyDescent="0.2"/>
    <row r="3368" ht="9.9499999999999993" hidden="1" customHeight="1" x14ac:dyDescent="0.2"/>
    <row r="3369" ht="9.9499999999999993" hidden="1" customHeight="1" x14ac:dyDescent="0.2"/>
    <row r="3370" ht="9.9499999999999993" hidden="1" customHeight="1" x14ac:dyDescent="0.2"/>
    <row r="3371" ht="9.9499999999999993" hidden="1" customHeight="1" x14ac:dyDescent="0.2"/>
    <row r="3372" ht="9.9499999999999993" hidden="1" customHeight="1" x14ac:dyDescent="0.2"/>
    <row r="3373" ht="9.9499999999999993" hidden="1" customHeight="1" x14ac:dyDescent="0.2"/>
    <row r="3374" ht="9.9499999999999993" hidden="1" customHeight="1" x14ac:dyDescent="0.2"/>
    <row r="3375" ht="9.9499999999999993" hidden="1" customHeight="1" x14ac:dyDescent="0.2"/>
    <row r="3376" ht="9.9499999999999993" hidden="1" customHeight="1" x14ac:dyDescent="0.2"/>
    <row r="3377" ht="9.9499999999999993" hidden="1" customHeight="1" x14ac:dyDescent="0.2"/>
    <row r="3378" ht="9.9499999999999993" hidden="1" customHeight="1" x14ac:dyDescent="0.2"/>
    <row r="3379" ht="9.9499999999999993" hidden="1" customHeight="1" x14ac:dyDescent="0.2"/>
    <row r="3380" ht="9.9499999999999993" hidden="1" customHeight="1" x14ac:dyDescent="0.2"/>
    <row r="3381" ht="9.9499999999999993" hidden="1" customHeight="1" x14ac:dyDescent="0.2"/>
    <row r="3382" ht="9.9499999999999993" hidden="1" customHeight="1" x14ac:dyDescent="0.2"/>
    <row r="3383" ht="9.9499999999999993" hidden="1" customHeight="1" x14ac:dyDescent="0.2"/>
    <row r="3384" ht="9.9499999999999993" hidden="1" customHeight="1" x14ac:dyDescent="0.2"/>
    <row r="3385" ht="9.9499999999999993" hidden="1" customHeight="1" x14ac:dyDescent="0.2"/>
    <row r="3386" ht="9.9499999999999993" hidden="1" customHeight="1" x14ac:dyDescent="0.2"/>
    <row r="3387" ht="9.9499999999999993" hidden="1" customHeight="1" x14ac:dyDescent="0.2"/>
    <row r="3388" ht="9.9499999999999993" hidden="1" customHeight="1" x14ac:dyDescent="0.2"/>
    <row r="3389" ht="9.9499999999999993" hidden="1" customHeight="1" x14ac:dyDescent="0.2"/>
    <row r="3390" ht="9.9499999999999993" hidden="1" customHeight="1" x14ac:dyDescent="0.2"/>
    <row r="3391" ht="9.9499999999999993" hidden="1" customHeight="1" x14ac:dyDescent="0.2"/>
    <row r="3392" ht="9.9499999999999993" hidden="1" customHeight="1" x14ac:dyDescent="0.2"/>
    <row r="3393" ht="9.9499999999999993" hidden="1" customHeight="1" x14ac:dyDescent="0.2"/>
    <row r="3394" ht="9.9499999999999993" hidden="1" customHeight="1" x14ac:dyDescent="0.2"/>
    <row r="3395" ht="9.9499999999999993" hidden="1" customHeight="1" x14ac:dyDescent="0.2"/>
    <row r="3396" ht="9.9499999999999993" hidden="1" customHeight="1" x14ac:dyDescent="0.2"/>
    <row r="3397" ht="9.9499999999999993" hidden="1" customHeight="1" x14ac:dyDescent="0.2"/>
    <row r="3398" ht="9.9499999999999993" hidden="1" customHeight="1" x14ac:dyDescent="0.2"/>
    <row r="3399" ht="9.9499999999999993" hidden="1" customHeight="1" x14ac:dyDescent="0.2"/>
    <row r="3400" ht="9.9499999999999993" hidden="1" customHeight="1" x14ac:dyDescent="0.2"/>
    <row r="3401" ht="9.9499999999999993" hidden="1" customHeight="1" x14ac:dyDescent="0.2"/>
    <row r="3402" ht="9.9499999999999993" hidden="1" customHeight="1" x14ac:dyDescent="0.2"/>
    <row r="3403" ht="9.9499999999999993" hidden="1" customHeight="1" x14ac:dyDescent="0.2"/>
    <row r="3404" ht="9.9499999999999993" hidden="1" customHeight="1" x14ac:dyDescent="0.2"/>
    <row r="3405" ht="9.9499999999999993" hidden="1" customHeight="1" x14ac:dyDescent="0.2"/>
    <row r="3406" ht="9.9499999999999993" hidden="1" customHeight="1" x14ac:dyDescent="0.2"/>
    <row r="3407" ht="9.9499999999999993" hidden="1" customHeight="1" x14ac:dyDescent="0.2"/>
    <row r="3408" ht="9.9499999999999993" hidden="1" customHeight="1" x14ac:dyDescent="0.2"/>
    <row r="3409" ht="9.9499999999999993" hidden="1" customHeight="1" x14ac:dyDescent="0.2"/>
    <row r="3410" ht="9.9499999999999993" hidden="1" customHeight="1" x14ac:dyDescent="0.2"/>
    <row r="3411" ht="9.9499999999999993" hidden="1" customHeight="1" x14ac:dyDescent="0.2"/>
    <row r="3412" ht="9.9499999999999993" hidden="1" customHeight="1" x14ac:dyDescent="0.2"/>
    <row r="3413" ht="9.9499999999999993" hidden="1" customHeight="1" x14ac:dyDescent="0.2"/>
    <row r="3414" ht="9.9499999999999993" hidden="1" customHeight="1" x14ac:dyDescent="0.2"/>
    <row r="3415" ht="9.9499999999999993" hidden="1" customHeight="1" x14ac:dyDescent="0.2"/>
    <row r="3416" ht="9.9499999999999993" hidden="1" customHeight="1" x14ac:dyDescent="0.2"/>
    <row r="3417" ht="9.9499999999999993" hidden="1" customHeight="1" x14ac:dyDescent="0.2"/>
    <row r="3418" ht="9.9499999999999993" hidden="1" customHeight="1" x14ac:dyDescent="0.2"/>
    <row r="3419" ht="9.9499999999999993" hidden="1" customHeight="1" x14ac:dyDescent="0.2"/>
    <row r="3420" ht="9.9499999999999993" hidden="1" customHeight="1" x14ac:dyDescent="0.2"/>
    <row r="3421" ht="9.9499999999999993" hidden="1" customHeight="1" x14ac:dyDescent="0.2"/>
    <row r="3422" ht="9.9499999999999993" hidden="1" customHeight="1" x14ac:dyDescent="0.2"/>
    <row r="3423" ht="9.9499999999999993" hidden="1" customHeight="1" x14ac:dyDescent="0.2"/>
    <row r="3424" ht="9.9499999999999993" hidden="1" customHeight="1" x14ac:dyDescent="0.2"/>
    <row r="3425" ht="9.9499999999999993" hidden="1" customHeight="1" x14ac:dyDescent="0.2"/>
    <row r="3426" ht="9.9499999999999993" hidden="1" customHeight="1" x14ac:dyDescent="0.2"/>
    <row r="3427" ht="9.9499999999999993" hidden="1" customHeight="1" x14ac:dyDescent="0.2"/>
    <row r="3428" ht="9.9499999999999993" hidden="1" customHeight="1" x14ac:dyDescent="0.2"/>
    <row r="3429" ht="9.9499999999999993" hidden="1" customHeight="1" x14ac:dyDescent="0.2"/>
    <row r="3430" ht="9.9499999999999993" hidden="1" customHeight="1" x14ac:dyDescent="0.2"/>
    <row r="3431" ht="9.9499999999999993" hidden="1" customHeight="1" x14ac:dyDescent="0.2"/>
    <row r="3432" ht="9.9499999999999993" hidden="1" customHeight="1" x14ac:dyDescent="0.2"/>
    <row r="3433" ht="9.9499999999999993" hidden="1" customHeight="1" x14ac:dyDescent="0.2"/>
    <row r="3434" ht="9.9499999999999993" hidden="1" customHeight="1" x14ac:dyDescent="0.2"/>
    <row r="3435" ht="9.9499999999999993" hidden="1" customHeight="1" x14ac:dyDescent="0.2"/>
    <row r="3436" ht="9.9499999999999993" hidden="1" customHeight="1" x14ac:dyDescent="0.2"/>
    <row r="3437" ht="9.9499999999999993" hidden="1" customHeight="1" x14ac:dyDescent="0.2"/>
    <row r="3438" ht="9.9499999999999993" hidden="1" customHeight="1" x14ac:dyDescent="0.2"/>
    <row r="3439" ht="9.9499999999999993" hidden="1" customHeight="1" x14ac:dyDescent="0.2"/>
    <row r="3440" ht="9.9499999999999993" hidden="1" customHeight="1" x14ac:dyDescent="0.2"/>
    <row r="3441" ht="9.9499999999999993" hidden="1" customHeight="1" x14ac:dyDescent="0.2"/>
    <row r="3442" ht="9.9499999999999993" hidden="1" customHeight="1" x14ac:dyDescent="0.2"/>
    <row r="3443" ht="9.9499999999999993" hidden="1" customHeight="1" x14ac:dyDescent="0.2"/>
    <row r="3444" ht="9.9499999999999993" hidden="1" customHeight="1" x14ac:dyDescent="0.2"/>
    <row r="3445" ht="9.9499999999999993" hidden="1" customHeight="1" x14ac:dyDescent="0.2"/>
    <row r="3446" ht="9.9499999999999993" hidden="1" customHeight="1" x14ac:dyDescent="0.2"/>
    <row r="3447" ht="9.9499999999999993" hidden="1" customHeight="1" x14ac:dyDescent="0.2"/>
    <row r="3448" ht="9.9499999999999993" hidden="1" customHeight="1" x14ac:dyDescent="0.2"/>
    <row r="3449" ht="9.9499999999999993" hidden="1" customHeight="1" x14ac:dyDescent="0.2"/>
    <row r="3450" ht="9.9499999999999993" hidden="1" customHeight="1" x14ac:dyDescent="0.2"/>
    <row r="3451" ht="9.9499999999999993" hidden="1" customHeight="1" x14ac:dyDescent="0.2"/>
    <row r="3452" ht="9.9499999999999993" hidden="1" customHeight="1" x14ac:dyDescent="0.2"/>
    <row r="3453" ht="9.9499999999999993" hidden="1" customHeight="1" x14ac:dyDescent="0.2"/>
    <row r="3454" ht="9.9499999999999993" hidden="1" customHeight="1" x14ac:dyDescent="0.2"/>
    <row r="3455" ht="9.9499999999999993" hidden="1" customHeight="1" x14ac:dyDescent="0.2"/>
    <row r="3456" ht="9.9499999999999993" hidden="1" customHeight="1" x14ac:dyDescent="0.2"/>
    <row r="3457" ht="9.9499999999999993" hidden="1" customHeight="1" x14ac:dyDescent="0.2"/>
    <row r="3458" ht="9.9499999999999993" hidden="1" customHeight="1" x14ac:dyDescent="0.2"/>
    <row r="3459" ht="9.9499999999999993" hidden="1" customHeight="1" x14ac:dyDescent="0.2"/>
    <row r="3460" ht="9.9499999999999993" hidden="1" customHeight="1" x14ac:dyDescent="0.2"/>
    <row r="3461" ht="9.9499999999999993" hidden="1" customHeight="1" x14ac:dyDescent="0.2"/>
    <row r="3462" ht="9.9499999999999993" hidden="1" customHeight="1" x14ac:dyDescent="0.2"/>
    <row r="3463" ht="9.9499999999999993" hidden="1" customHeight="1" x14ac:dyDescent="0.2"/>
    <row r="3464" ht="9.9499999999999993" hidden="1" customHeight="1" x14ac:dyDescent="0.2"/>
    <row r="3465" ht="9.9499999999999993" hidden="1" customHeight="1" x14ac:dyDescent="0.2"/>
    <row r="3466" ht="9.9499999999999993" hidden="1" customHeight="1" x14ac:dyDescent="0.2"/>
    <row r="3467" ht="9.9499999999999993" hidden="1" customHeight="1" x14ac:dyDescent="0.2"/>
    <row r="3468" ht="9.9499999999999993" hidden="1" customHeight="1" x14ac:dyDescent="0.2"/>
    <row r="3469" ht="9.9499999999999993" hidden="1" customHeight="1" x14ac:dyDescent="0.2"/>
    <row r="3470" ht="9.9499999999999993" hidden="1" customHeight="1" x14ac:dyDescent="0.2"/>
    <row r="3471" ht="9.9499999999999993" hidden="1" customHeight="1" x14ac:dyDescent="0.2"/>
    <row r="3472" ht="9.9499999999999993" hidden="1" customHeight="1" x14ac:dyDescent="0.2"/>
    <row r="3473" ht="9.9499999999999993" hidden="1" customHeight="1" x14ac:dyDescent="0.2"/>
    <row r="3474" ht="9.9499999999999993" hidden="1" customHeight="1" x14ac:dyDescent="0.2"/>
    <row r="3475" ht="9.9499999999999993" hidden="1" customHeight="1" x14ac:dyDescent="0.2"/>
    <row r="3476" ht="9.9499999999999993" hidden="1" customHeight="1" x14ac:dyDescent="0.2"/>
    <row r="3477" ht="9.9499999999999993" hidden="1" customHeight="1" x14ac:dyDescent="0.2"/>
    <row r="3478" ht="9.9499999999999993" hidden="1" customHeight="1" x14ac:dyDescent="0.2"/>
    <row r="3479" ht="9.9499999999999993" hidden="1" customHeight="1" x14ac:dyDescent="0.2"/>
    <row r="3480" ht="9.9499999999999993" hidden="1" customHeight="1" x14ac:dyDescent="0.2"/>
    <row r="3481" ht="9.9499999999999993" hidden="1" customHeight="1" x14ac:dyDescent="0.2"/>
    <row r="3482" ht="9.9499999999999993" hidden="1" customHeight="1" x14ac:dyDescent="0.2"/>
    <row r="3483" ht="9.9499999999999993" hidden="1" customHeight="1" x14ac:dyDescent="0.2"/>
    <row r="3484" ht="9.9499999999999993" hidden="1" customHeight="1" x14ac:dyDescent="0.2"/>
    <row r="3485" ht="9.9499999999999993" hidden="1" customHeight="1" x14ac:dyDescent="0.2"/>
    <row r="3486" ht="9.9499999999999993" hidden="1" customHeight="1" x14ac:dyDescent="0.2"/>
    <row r="3487" ht="9.9499999999999993" hidden="1" customHeight="1" x14ac:dyDescent="0.2"/>
    <row r="3488" ht="9.9499999999999993" hidden="1" customHeight="1" x14ac:dyDescent="0.2"/>
    <row r="3489" ht="9.9499999999999993" hidden="1" customHeight="1" x14ac:dyDescent="0.2"/>
    <row r="3490" ht="9.9499999999999993" hidden="1" customHeight="1" x14ac:dyDescent="0.2"/>
    <row r="3491" ht="9.9499999999999993" hidden="1" customHeight="1" x14ac:dyDescent="0.2"/>
    <row r="3492" ht="9.9499999999999993" hidden="1" customHeight="1" x14ac:dyDescent="0.2"/>
    <row r="3493" ht="9.9499999999999993" hidden="1" customHeight="1" x14ac:dyDescent="0.2"/>
    <row r="3494" ht="9.9499999999999993" hidden="1" customHeight="1" x14ac:dyDescent="0.2"/>
    <row r="3495" ht="9.9499999999999993" hidden="1" customHeight="1" x14ac:dyDescent="0.2"/>
    <row r="3496" ht="9.9499999999999993" hidden="1" customHeight="1" x14ac:dyDescent="0.2"/>
    <row r="3497" ht="9.9499999999999993" hidden="1" customHeight="1" x14ac:dyDescent="0.2"/>
    <row r="3498" ht="9.9499999999999993" hidden="1" customHeight="1" x14ac:dyDescent="0.2"/>
    <row r="3499" ht="9.9499999999999993" hidden="1" customHeight="1" x14ac:dyDescent="0.2"/>
    <row r="3500" ht="9.9499999999999993" hidden="1" customHeight="1" x14ac:dyDescent="0.2"/>
    <row r="3501" ht="9.9499999999999993" hidden="1" customHeight="1" x14ac:dyDescent="0.2"/>
    <row r="3502" ht="9.9499999999999993" hidden="1" customHeight="1" x14ac:dyDescent="0.2"/>
    <row r="3503" ht="9.9499999999999993" hidden="1" customHeight="1" x14ac:dyDescent="0.2"/>
    <row r="3504" ht="9.9499999999999993" hidden="1" customHeight="1" x14ac:dyDescent="0.2"/>
    <row r="3505" ht="9.9499999999999993" hidden="1" customHeight="1" x14ac:dyDescent="0.2"/>
    <row r="3506" ht="9.9499999999999993" hidden="1" customHeight="1" x14ac:dyDescent="0.2"/>
    <row r="3507" ht="9.9499999999999993" hidden="1" customHeight="1" x14ac:dyDescent="0.2"/>
    <row r="3508" ht="9.9499999999999993" hidden="1" customHeight="1" x14ac:dyDescent="0.2"/>
    <row r="3509" ht="9.9499999999999993" hidden="1" customHeight="1" x14ac:dyDescent="0.2"/>
    <row r="3510" ht="9.9499999999999993" hidden="1" customHeight="1" x14ac:dyDescent="0.2"/>
    <row r="3511" ht="9.9499999999999993" hidden="1" customHeight="1" x14ac:dyDescent="0.2"/>
    <row r="3512" ht="9.9499999999999993" hidden="1" customHeight="1" x14ac:dyDescent="0.2"/>
    <row r="3513" ht="9.9499999999999993" hidden="1" customHeight="1" x14ac:dyDescent="0.2"/>
    <row r="3514" ht="9.9499999999999993" hidden="1" customHeight="1" x14ac:dyDescent="0.2"/>
    <row r="3515" ht="9.9499999999999993" hidden="1" customHeight="1" x14ac:dyDescent="0.2"/>
    <row r="3516" ht="9.9499999999999993" hidden="1" customHeight="1" x14ac:dyDescent="0.2"/>
    <row r="3517" ht="9.9499999999999993" hidden="1" customHeight="1" x14ac:dyDescent="0.2"/>
    <row r="3518" ht="9.9499999999999993" hidden="1" customHeight="1" x14ac:dyDescent="0.2"/>
    <row r="3519" ht="9.9499999999999993" hidden="1" customHeight="1" x14ac:dyDescent="0.2"/>
    <row r="3520" ht="9.9499999999999993" hidden="1" customHeight="1" x14ac:dyDescent="0.2"/>
    <row r="3521" ht="9.9499999999999993" hidden="1" customHeight="1" x14ac:dyDescent="0.2"/>
    <row r="3522" ht="9.9499999999999993" hidden="1" customHeight="1" x14ac:dyDescent="0.2"/>
    <row r="3523" ht="9.9499999999999993" hidden="1" customHeight="1" x14ac:dyDescent="0.2"/>
    <row r="3524" ht="9.9499999999999993" hidden="1" customHeight="1" x14ac:dyDescent="0.2"/>
    <row r="3525" ht="9.9499999999999993" hidden="1" customHeight="1" x14ac:dyDescent="0.2"/>
    <row r="3526" ht="9.9499999999999993" hidden="1" customHeight="1" x14ac:dyDescent="0.2"/>
    <row r="3527" ht="9.9499999999999993" hidden="1" customHeight="1" x14ac:dyDescent="0.2"/>
    <row r="3528" ht="9.9499999999999993" hidden="1" customHeight="1" x14ac:dyDescent="0.2"/>
    <row r="3529" ht="9.9499999999999993" hidden="1" customHeight="1" x14ac:dyDescent="0.2"/>
    <row r="3530" ht="9.9499999999999993" hidden="1" customHeight="1" x14ac:dyDescent="0.2"/>
    <row r="3531" ht="9.9499999999999993" hidden="1" customHeight="1" x14ac:dyDescent="0.2"/>
    <row r="3532" ht="9.9499999999999993" hidden="1" customHeight="1" x14ac:dyDescent="0.2"/>
    <row r="3533" ht="9.9499999999999993" hidden="1" customHeight="1" x14ac:dyDescent="0.2"/>
    <row r="3534" ht="9.9499999999999993" hidden="1" customHeight="1" x14ac:dyDescent="0.2"/>
    <row r="3535" ht="9.9499999999999993" hidden="1" customHeight="1" x14ac:dyDescent="0.2"/>
    <row r="3536" ht="9.9499999999999993" hidden="1" customHeight="1" x14ac:dyDescent="0.2"/>
    <row r="3537" ht="9.9499999999999993" hidden="1" customHeight="1" x14ac:dyDescent="0.2"/>
    <row r="3538" ht="9.9499999999999993" hidden="1" customHeight="1" x14ac:dyDescent="0.2"/>
    <row r="3539" ht="9.9499999999999993" hidden="1" customHeight="1" x14ac:dyDescent="0.2"/>
    <row r="3540" ht="9.9499999999999993" hidden="1" customHeight="1" x14ac:dyDescent="0.2"/>
    <row r="3541" ht="9.9499999999999993" hidden="1" customHeight="1" x14ac:dyDescent="0.2"/>
    <row r="3542" ht="9.9499999999999993" hidden="1" customHeight="1" x14ac:dyDescent="0.2"/>
    <row r="3543" ht="9.9499999999999993" hidden="1" customHeight="1" x14ac:dyDescent="0.2"/>
    <row r="3544" ht="9.9499999999999993" hidden="1" customHeight="1" x14ac:dyDescent="0.2"/>
    <row r="3545" ht="9.9499999999999993" hidden="1" customHeight="1" x14ac:dyDescent="0.2"/>
    <row r="3546" ht="9.9499999999999993" hidden="1" customHeight="1" x14ac:dyDescent="0.2"/>
    <row r="3547" ht="9.9499999999999993" hidden="1" customHeight="1" x14ac:dyDescent="0.2"/>
    <row r="3548" ht="9.9499999999999993" hidden="1" customHeight="1" x14ac:dyDescent="0.2"/>
    <row r="3549" ht="9.9499999999999993" hidden="1" customHeight="1" x14ac:dyDescent="0.2"/>
    <row r="3550" ht="9.9499999999999993" hidden="1" customHeight="1" x14ac:dyDescent="0.2"/>
    <row r="3551" ht="9.9499999999999993" hidden="1" customHeight="1" x14ac:dyDescent="0.2"/>
    <row r="3552" ht="9.9499999999999993" hidden="1" customHeight="1" x14ac:dyDescent="0.2"/>
    <row r="3553" ht="9.9499999999999993" hidden="1" customHeight="1" x14ac:dyDescent="0.2"/>
    <row r="3554" ht="9.9499999999999993" hidden="1" customHeight="1" x14ac:dyDescent="0.2"/>
    <row r="3555" ht="9.9499999999999993" hidden="1" customHeight="1" x14ac:dyDescent="0.2"/>
    <row r="3556" ht="9.9499999999999993" hidden="1" customHeight="1" x14ac:dyDescent="0.2"/>
    <row r="3557" ht="9.9499999999999993" hidden="1" customHeight="1" x14ac:dyDescent="0.2"/>
    <row r="3558" ht="9.9499999999999993" hidden="1" customHeight="1" x14ac:dyDescent="0.2"/>
    <row r="3559" ht="9.9499999999999993" hidden="1" customHeight="1" x14ac:dyDescent="0.2"/>
    <row r="3560" ht="9.9499999999999993" hidden="1" customHeight="1" x14ac:dyDescent="0.2"/>
    <row r="3561" ht="9.9499999999999993" hidden="1" customHeight="1" x14ac:dyDescent="0.2"/>
    <row r="3562" ht="9.9499999999999993" hidden="1" customHeight="1" x14ac:dyDescent="0.2"/>
    <row r="3563" ht="9.9499999999999993" hidden="1" customHeight="1" x14ac:dyDescent="0.2"/>
    <row r="3564" ht="9.9499999999999993" hidden="1" customHeight="1" x14ac:dyDescent="0.2"/>
    <row r="3565" ht="9.9499999999999993" hidden="1" customHeight="1" x14ac:dyDescent="0.2"/>
    <row r="3566" ht="9.9499999999999993" hidden="1" customHeight="1" x14ac:dyDescent="0.2"/>
    <row r="3567" ht="9.9499999999999993" hidden="1" customHeight="1" x14ac:dyDescent="0.2"/>
    <row r="3568" ht="9.9499999999999993" hidden="1" customHeight="1" x14ac:dyDescent="0.2"/>
    <row r="3569" ht="9.9499999999999993" hidden="1" customHeight="1" x14ac:dyDescent="0.2"/>
    <row r="3570" ht="9.9499999999999993" hidden="1" customHeight="1" x14ac:dyDescent="0.2"/>
    <row r="3571" ht="9.9499999999999993" hidden="1" customHeight="1" x14ac:dyDescent="0.2"/>
    <row r="3572" ht="9.9499999999999993" hidden="1" customHeight="1" x14ac:dyDescent="0.2"/>
    <row r="3573" ht="9.9499999999999993" hidden="1" customHeight="1" x14ac:dyDescent="0.2"/>
    <row r="3574" ht="9.9499999999999993" hidden="1" customHeight="1" x14ac:dyDescent="0.2"/>
    <row r="3575" ht="9.9499999999999993" hidden="1" customHeight="1" x14ac:dyDescent="0.2"/>
    <row r="3576" ht="9.9499999999999993" hidden="1" customHeight="1" x14ac:dyDescent="0.2"/>
    <row r="3577" ht="9.9499999999999993" hidden="1" customHeight="1" x14ac:dyDescent="0.2"/>
    <row r="3578" ht="9.9499999999999993" hidden="1" customHeight="1" x14ac:dyDescent="0.2"/>
    <row r="3579" ht="9.9499999999999993" hidden="1" customHeight="1" x14ac:dyDescent="0.2"/>
    <row r="3580" ht="9.9499999999999993" hidden="1" customHeight="1" x14ac:dyDescent="0.2"/>
    <row r="3581" ht="9.9499999999999993" hidden="1" customHeight="1" x14ac:dyDescent="0.2"/>
    <row r="3582" ht="9.9499999999999993" hidden="1" customHeight="1" x14ac:dyDescent="0.2"/>
    <row r="3583" ht="9.9499999999999993" hidden="1" customHeight="1" x14ac:dyDescent="0.2"/>
    <row r="3584" ht="9.9499999999999993" hidden="1" customHeight="1" x14ac:dyDescent="0.2"/>
    <row r="3585" ht="9.9499999999999993" hidden="1" customHeight="1" x14ac:dyDescent="0.2"/>
    <row r="3586" ht="9.9499999999999993" hidden="1" customHeight="1" x14ac:dyDescent="0.2"/>
    <row r="3587" ht="9.9499999999999993" hidden="1" customHeight="1" x14ac:dyDescent="0.2"/>
    <row r="3588" ht="9.9499999999999993" hidden="1" customHeight="1" x14ac:dyDescent="0.2"/>
    <row r="3589" ht="9.9499999999999993" hidden="1" customHeight="1" x14ac:dyDescent="0.2"/>
    <row r="3590" ht="9.9499999999999993" hidden="1" customHeight="1" x14ac:dyDescent="0.2"/>
    <row r="3591" ht="9.9499999999999993" hidden="1" customHeight="1" x14ac:dyDescent="0.2"/>
    <row r="3592" ht="9.9499999999999993" hidden="1" customHeight="1" x14ac:dyDescent="0.2"/>
    <row r="3593" ht="9.9499999999999993" hidden="1" customHeight="1" x14ac:dyDescent="0.2"/>
    <row r="3594" ht="9.9499999999999993" hidden="1" customHeight="1" x14ac:dyDescent="0.2"/>
    <row r="3595" ht="9.9499999999999993" hidden="1" customHeight="1" x14ac:dyDescent="0.2"/>
    <row r="3596" ht="9.9499999999999993" hidden="1" customHeight="1" x14ac:dyDescent="0.2"/>
    <row r="3597" ht="9.9499999999999993" hidden="1" customHeight="1" x14ac:dyDescent="0.2"/>
    <row r="3598" ht="9.9499999999999993" hidden="1" customHeight="1" x14ac:dyDescent="0.2"/>
    <row r="3599" ht="9.9499999999999993" hidden="1" customHeight="1" x14ac:dyDescent="0.2"/>
    <row r="3600" ht="9.9499999999999993" hidden="1" customHeight="1" x14ac:dyDescent="0.2"/>
    <row r="3601" ht="9.9499999999999993" hidden="1" customHeight="1" x14ac:dyDescent="0.2"/>
    <row r="3602" ht="9.9499999999999993" hidden="1" customHeight="1" x14ac:dyDescent="0.2"/>
    <row r="3603" ht="9.9499999999999993" hidden="1" customHeight="1" x14ac:dyDescent="0.2"/>
    <row r="3604" ht="9.9499999999999993" hidden="1" customHeight="1" x14ac:dyDescent="0.2"/>
    <row r="3605" ht="9.9499999999999993" hidden="1" customHeight="1" x14ac:dyDescent="0.2"/>
    <row r="3606" ht="9.9499999999999993" hidden="1" customHeight="1" x14ac:dyDescent="0.2"/>
    <row r="3607" ht="9.9499999999999993" hidden="1" customHeight="1" x14ac:dyDescent="0.2"/>
    <row r="3608" ht="9.9499999999999993" hidden="1" customHeight="1" x14ac:dyDescent="0.2"/>
    <row r="3609" ht="9.9499999999999993" hidden="1" customHeight="1" x14ac:dyDescent="0.2"/>
    <row r="3610" ht="9.9499999999999993" hidden="1" customHeight="1" x14ac:dyDescent="0.2"/>
    <row r="3611" ht="9.9499999999999993" hidden="1" customHeight="1" x14ac:dyDescent="0.2"/>
    <row r="3612" ht="9.9499999999999993" hidden="1" customHeight="1" x14ac:dyDescent="0.2"/>
    <row r="3613" ht="9.9499999999999993" hidden="1" customHeight="1" x14ac:dyDescent="0.2"/>
    <row r="3614" ht="9.9499999999999993" hidden="1" customHeight="1" x14ac:dyDescent="0.2"/>
    <row r="3615" ht="9.9499999999999993" hidden="1" customHeight="1" x14ac:dyDescent="0.2"/>
    <row r="3616" ht="9.9499999999999993" hidden="1" customHeight="1" x14ac:dyDescent="0.2"/>
    <row r="3617" ht="9.9499999999999993" hidden="1" customHeight="1" x14ac:dyDescent="0.2"/>
    <row r="3618" ht="9.9499999999999993" hidden="1" customHeight="1" x14ac:dyDescent="0.2"/>
    <row r="3619" ht="9.9499999999999993" hidden="1" customHeight="1" x14ac:dyDescent="0.2"/>
    <row r="3620" ht="9.9499999999999993" hidden="1" customHeight="1" x14ac:dyDescent="0.2"/>
    <row r="3621" ht="9.9499999999999993" hidden="1" customHeight="1" x14ac:dyDescent="0.2"/>
    <row r="3622" ht="9.9499999999999993" hidden="1" customHeight="1" x14ac:dyDescent="0.2"/>
    <row r="3623" ht="9.9499999999999993" hidden="1" customHeight="1" x14ac:dyDescent="0.2"/>
    <row r="3624" ht="9.9499999999999993" hidden="1" customHeight="1" x14ac:dyDescent="0.2"/>
    <row r="3625" ht="9.9499999999999993" hidden="1" customHeight="1" x14ac:dyDescent="0.2"/>
    <row r="3626" ht="9.9499999999999993" hidden="1" customHeight="1" x14ac:dyDescent="0.2"/>
    <row r="3627" ht="9.9499999999999993" hidden="1" customHeight="1" x14ac:dyDescent="0.2"/>
    <row r="3628" ht="9.9499999999999993" hidden="1" customHeight="1" x14ac:dyDescent="0.2"/>
    <row r="3629" ht="9.9499999999999993" hidden="1" customHeight="1" x14ac:dyDescent="0.2"/>
    <row r="3630" ht="9.9499999999999993" hidden="1" customHeight="1" x14ac:dyDescent="0.2"/>
    <row r="3631" ht="9.9499999999999993" hidden="1" customHeight="1" x14ac:dyDescent="0.2"/>
    <row r="3632" ht="9.9499999999999993" hidden="1" customHeight="1" x14ac:dyDescent="0.2"/>
    <row r="3633" ht="9.9499999999999993" hidden="1" customHeight="1" x14ac:dyDescent="0.2"/>
    <row r="3634" ht="9.9499999999999993" hidden="1" customHeight="1" x14ac:dyDescent="0.2"/>
    <row r="3635" ht="9.9499999999999993" hidden="1" customHeight="1" x14ac:dyDescent="0.2"/>
    <row r="3636" ht="9.9499999999999993" hidden="1" customHeight="1" x14ac:dyDescent="0.2"/>
    <row r="3637" ht="9.9499999999999993" hidden="1" customHeight="1" x14ac:dyDescent="0.2"/>
    <row r="3638" ht="9.9499999999999993" hidden="1" customHeight="1" x14ac:dyDescent="0.2"/>
    <row r="3639" ht="9.9499999999999993" hidden="1" customHeight="1" x14ac:dyDescent="0.2"/>
    <row r="3640" ht="9.9499999999999993" hidden="1" customHeight="1" x14ac:dyDescent="0.2"/>
    <row r="3641" ht="9.9499999999999993" hidden="1" customHeight="1" x14ac:dyDescent="0.2"/>
    <row r="3642" ht="9.9499999999999993" hidden="1" customHeight="1" x14ac:dyDescent="0.2"/>
    <row r="3643" ht="9.9499999999999993" hidden="1" customHeight="1" x14ac:dyDescent="0.2"/>
    <row r="3644" ht="9.9499999999999993" hidden="1" customHeight="1" x14ac:dyDescent="0.2"/>
    <row r="3645" ht="9.9499999999999993" hidden="1" customHeight="1" x14ac:dyDescent="0.2"/>
    <row r="3646" ht="9.9499999999999993" hidden="1" customHeight="1" x14ac:dyDescent="0.2"/>
    <row r="3647" ht="9.9499999999999993" hidden="1" customHeight="1" x14ac:dyDescent="0.2"/>
    <row r="3648" ht="9.9499999999999993" hidden="1" customHeight="1" x14ac:dyDescent="0.2"/>
    <row r="3649" ht="9.9499999999999993" hidden="1" customHeight="1" x14ac:dyDescent="0.2"/>
    <row r="3650" ht="9.9499999999999993" hidden="1" customHeight="1" x14ac:dyDescent="0.2"/>
    <row r="3651" ht="9.9499999999999993" hidden="1" customHeight="1" x14ac:dyDescent="0.2"/>
    <row r="3652" ht="9.9499999999999993" hidden="1" customHeight="1" x14ac:dyDescent="0.2"/>
    <row r="3653" ht="9.9499999999999993" hidden="1" customHeight="1" x14ac:dyDescent="0.2"/>
    <row r="3654" ht="9.9499999999999993" hidden="1" customHeight="1" x14ac:dyDescent="0.2"/>
    <row r="3655" ht="9.9499999999999993" hidden="1" customHeight="1" x14ac:dyDescent="0.2"/>
    <row r="3656" ht="9.9499999999999993" hidden="1" customHeight="1" x14ac:dyDescent="0.2"/>
    <row r="3657" ht="9.9499999999999993" hidden="1" customHeight="1" x14ac:dyDescent="0.2"/>
    <row r="3658" ht="9.9499999999999993" hidden="1" customHeight="1" x14ac:dyDescent="0.2"/>
    <row r="3659" ht="9.9499999999999993" hidden="1" customHeight="1" x14ac:dyDescent="0.2"/>
    <row r="3660" ht="9.9499999999999993" hidden="1" customHeight="1" x14ac:dyDescent="0.2"/>
    <row r="3661" ht="9.9499999999999993" hidden="1" customHeight="1" x14ac:dyDescent="0.2"/>
    <row r="3662" ht="9.9499999999999993" hidden="1" customHeight="1" x14ac:dyDescent="0.2"/>
    <row r="3663" ht="9.9499999999999993" hidden="1" customHeight="1" x14ac:dyDescent="0.2"/>
    <row r="3664" ht="9.9499999999999993" hidden="1" customHeight="1" x14ac:dyDescent="0.2"/>
    <row r="3665" ht="9.9499999999999993" hidden="1" customHeight="1" x14ac:dyDescent="0.2"/>
    <row r="3666" ht="9.9499999999999993" hidden="1" customHeight="1" x14ac:dyDescent="0.2"/>
    <row r="3667" ht="9.9499999999999993" hidden="1" customHeight="1" x14ac:dyDescent="0.2"/>
    <row r="3668" ht="9.9499999999999993" hidden="1" customHeight="1" x14ac:dyDescent="0.2"/>
    <row r="3669" ht="9.9499999999999993" hidden="1" customHeight="1" x14ac:dyDescent="0.2"/>
    <row r="3670" ht="9.9499999999999993" hidden="1" customHeight="1" x14ac:dyDescent="0.2"/>
    <row r="3671" ht="9.9499999999999993" hidden="1" customHeight="1" x14ac:dyDescent="0.2"/>
    <row r="3672" ht="9.9499999999999993" hidden="1" customHeight="1" x14ac:dyDescent="0.2"/>
    <row r="3673" ht="9.9499999999999993" hidden="1" customHeight="1" x14ac:dyDescent="0.2"/>
    <row r="3674" ht="9.9499999999999993" hidden="1" customHeight="1" x14ac:dyDescent="0.2"/>
    <row r="3675" ht="9.9499999999999993" hidden="1" customHeight="1" x14ac:dyDescent="0.2"/>
    <row r="3676" ht="9.9499999999999993" hidden="1" customHeight="1" x14ac:dyDescent="0.2"/>
    <row r="3677" ht="9.9499999999999993" hidden="1" customHeight="1" x14ac:dyDescent="0.2"/>
    <row r="3678" ht="9.9499999999999993" hidden="1" customHeight="1" x14ac:dyDescent="0.2"/>
    <row r="3679" ht="9.9499999999999993" hidden="1" customHeight="1" x14ac:dyDescent="0.2"/>
    <row r="3680" ht="9.9499999999999993" hidden="1" customHeight="1" x14ac:dyDescent="0.2"/>
    <row r="3681" ht="9.9499999999999993" hidden="1" customHeight="1" x14ac:dyDescent="0.2"/>
    <row r="3682" ht="9.9499999999999993" hidden="1" customHeight="1" x14ac:dyDescent="0.2"/>
    <row r="3683" ht="9.9499999999999993" hidden="1" customHeight="1" x14ac:dyDescent="0.2"/>
    <row r="3684" ht="9.9499999999999993" hidden="1" customHeight="1" x14ac:dyDescent="0.2"/>
    <row r="3685" ht="9.9499999999999993" hidden="1" customHeight="1" x14ac:dyDescent="0.2"/>
    <row r="3686" ht="9.9499999999999993" hidden="1" customHeight="1" x14ac:dyDescent="0.2"/>
    <row r="3687" ht="9.9499999999999993" hidden="1" customHeight="1" x14ac:dyDescent="0.2"/>
    <row r="3688" ht="9.9499999999999993" hidden="1" customHeight="1" x14ac:dyDescent="0.2"/>
    <row r="3689" ht="9.9499999999999993" hidden="1" customHeight="1" x14ac:dyDescent="0.2"/>
    <row r="3690" ht="9.9499999999999993" hidden="1" customHeight="1" x14ac:dyDescent="0.2"/>
    <row r="3691" ht="9.9499999999999993" hidden="1" customHeight="1" x14ac:dyDescent="0.2"/>
    <row r="3692" ht="9.9499999999999993" hidden="1" customHeight="1" x14ac:dyDescent="0.2"/>
    <row r="3693" ht="9.9499999999999993" hidden="1" customHeight="1" x14ac:dyDescent="0.2"/>
    <row r="3694" ht="9.9499999999999993" hidden="1" customHeight="1" x14ac:dyDescent="0.2"/>
    <row r="3695" ht="9.9499999999999993" hidden="1" customHeight="1" x14ac:dyDescent="0.2"/>
    <row r="3696" ht="9.9499999999999993" hidden="1" customHeight="1" x14ac:dyDescent="0.2"/>
    <row r="3697" ht="9.9499999999999993" hidden="1" customHeight="1" x14ac:dyDescent="0.2"/>
    <row r="3698" ht="9.9499999999999993" hidden="1" customHeight="1" x14ac:dyDescent="0.2"/>
    <row r="3699" ht="9.9499999999999993" hidden="1" customHeight="1" x14ac:dyDescent="0.2"/>
    <row r="3700" ht="9.9499999999999993" hidden="1" customHeight="1" x14ac:dyDescent="0.2"/>
    <row r="3701" ht="9.9499999999999993" hidden="1" customHeight="1" x14ac:dyDescent="0.2"/>
    <row r="3702" ht="9.9499999999999993" hidden="1" customHeight="1" x14ac:dyDescent="0.2"/>
    <row r="3703" ht="9.9499999999999993" hidden="1" customHeight="1" x14ac:dyDescent="0.2"/>
    <row r="3704" ht="9.9499999999999993" hidden="1" customHeight="1" x14ac:dyDescent="0.2"/>
    <row r="3705" ht="9.9499999999999993" hidden="1" customHeight="1" x14ac:dyDescent="0.2"/>
    <row r="3706" ht="9.9499999999999993" hidden="1" customHeight="1" x14ac:dyDescent="0.2"/>
    <row r="3707" ht="9.9499999999999993" hidden="1" customHeight="1" x14ac:dyDescent="0.2"/>
    <row r="3708" ht="9.9499999999999993" hidden="1" customHeight="1" x14ac:dyDescent="0.2"/>
    <row r="3709" ht="9.9499999999999993" hidden="1" customHeight="1" x14ac:dyDescent="0.2"/>
    <row r="3710" ht="9.9499999999999993" hidden="1" customHeight="1" x14ac:dyDescent="0.2"/>
    <row r="3711" ht="9.9499999999999993" hidden="1" customHeight="1" x14ac:dyDescent="0.2"/>
    <row r="3712" ht="9.9499999999999993" hidden="1" customHeight="1" x14ac:dyDescent="0.2"/>
    <row r="3713" ht="9.9499999999999993" hidden="1" customHeight="1" x14ac:dyDescent="0.2"/>
    <row r="3714" ht="9.9499999999999993" hidden="1" customHeight="1" x14ac:dyDescent="0.2"/>
    <row r="3715" ht="9.9499999999999993" hidden="1" customHeight="1" x14ac:dyDescent="0.2"/>
    <row r="3716" ht="9.9499999999999993" hidden="1" customHeight="1" x14ac:dyDescent="0.2"/>
    <row r="3717" ht="9.9499999999999993" hidden="1" customHeight="1" x14ac:dyDescent="0.2"/>
    <row r="3718" ht="9.9499999999999993" hidden="1" customHeight="1" x14ac:dyDescent="0.2"/>
    <row r="3719" ht="9.9499999999999993" hidden="1" customHeight="1" x14ac:dyDescent="0.2"/>
    <row r="3720" ht="9.9499999999999993" hidden="1" customHeight="1" x14ac:dyDescent="0.2"/>
    <row r="3721" ht="9.9499999999999993" hidden="1" customHeight="1" x14ac:dyDescent="0.2"/>
    <row r="3722" ht="9.9499999999999993" hidden="1" customHeight="1" x14ac:dyDescent="0.2"/>
    <row r="3723" ht="9.9499999999999993" hidden="1" customHeight="1" x14ac:dyDescent="0.2"/>
    <row r="3724" ht="9.9499999999999993" hidden="1" customHeight="1" x14ac:dyDescent="0.2"/>
    <row r="3725" ht="9.9499999999999993" hidden="1" customHeight="1" x14ac:dyDescent="0.2"/>
    <row r="3726" ht="9.9499999999999993" hidden="1" customHeight="1" x14ac:dyDescent="0.2"/>
    <row r="3727" ht="9.9499999999999993" hidden="1" customHeight="1" x14ac:dyDescent="0.2"/>
    <row r="3728" ht="9.9499999999999993" hidden="1" customHeight="1" x14ac:dyDescent="0.2"/>
    <row r="3729" ht="9.9499999999999993" hidden="1" customHeight="1" x14ac:dyDescent="0.2"/>
    <row r="3730" ht="9.9499999999999993" hidden="1" customHeight="1" x14ac:dyDescent="0.2"/>
    <row r="3731" ht="9.9499999999999993" hidden="1" customHeight="1" x14ac:dyDescent="0.2"/>
    <row r="3732" ht="9.9499999999999993" hidden="1" customHeight="1" x14ac:dyDescent="0.2"/>
    <row r="3733" ht="9.9499999999999993" hidden="1" customHeight="1" x14ac:dyDescent="0.2"/>
    <row r="3734" ht="9.9499999999999993" hidden="1" customHeight="1" x14ac:dyDescent="0.2"/>
    <row r="3735" ht="9.9499999999999993" hidden="1" customHeight="1" x14ac:dyDescent="0.2"/>
    <row r="3736" ht="9.9499999999999993" hidden="1" customHeight="1" x14ac:dyDescent="0.2"/>
    <row r="3737" ht="9.9499999999999993" hidden="1" customHeight="1" x14ac:dyDescent="0.2"/>
    <row r="3738" ht="9.9499999999999993" hidden="1" customHeight="1" x14ac:dyDescent="0.2"/>
    <row r="3739" ht="9.9499999999999993" hidden="1" customHeight="1" x14ac:dyDescent="0.2"/>
    <row r="3740" ht="9.9499999999999993" hidden="1" customHeight="1" x14ac:dyDescent="0.2"/>
    <row r="3741" ht="9.9499999999999993" hidden="1" customHeight="1" x14ac:dyDescent="0.2"/>
    <row r="3742" ht="9.9499999999999993" hidden="1" customHeight="1" x14ac:dyDescent="0.2"/>
    <row r="3743" ht="9.9499999999999993" hidden="1" customHeight="1" x14ac:dyDescent="0.2"/>
    <row r="3744" ht="9.9499999999999993" hidden="1" customHeight="1" x14ac:dyDescent="0.2"/>
    <row r="3745" ht="9.9499999999999993" hidden="1" customHeight="1" x14ac:dyDescent="0.2"/>
    <row r="3746" ht="9.9499999999999993" hidden="1" customHeight="1" x14ac:dyDescent="0.2"/>
    <row r="3747" ht="9.9499999999999993" hidden="1" customHeight="1" x14ac:dyDescent="0.2"/>
    <row r="3748" ht="9.9499999999999993" hidden="1" customHeight="1" x14ac:dyDescent="0.2"/>
    <row r="3749" ht="9.9499999999999993" hidden="1" customHeight="1" x14ac:dyDescent="0.2"/>
    <row r="3750" ht="9.9499999999999993" hidden="1" customHeight="1" x14ac:dyDescent="0.2"/>
    <row r="3751" ht="9.9499999999999993" hidden="1" customHeight="1" x14ac:dyDescent="0.2"/>
    <row r="3752" ht="9.9499999999999993" hidden="1" customHeight="1" x14ac:dyDescent="0.2"/>
    <row r="3753" ht="9.9499999999999993" hidden="1" customHeight="1" x14ac:dyDescent="0.2"/>
    <row r="3754" ht="9.9499999999999993" hidden="1" customHeight="1" x14ac:dyDescent="0.2"/>
    <row r="3755" ht="9.9499999999999993" hidden="1" customHeight="1" x14ac:dyDescent="0.2"/>
    <row r="3756" ht="9.9499999999999993" hidden="1" customHeight="1" x14ac:dyDescent="0.2"/>
    <row r="3757" ht="9.9499999999999993" hidden="1" customHeight="1" x14ac:dyDescent="0.2"/>
    <row r="3758" ht="9.9499999999999993" hidden="1" customHeight="1" x14ac:dyDescent="0.2"/>
    <row r="3759" ht="9.9499999999999993" hidden="1" customHeight="1" x14ac:dyDescent="0.2"/>
    <row r="3760" ht="9.9499999999999993" hidden="1" customHeight="1" x14ac:dyDescent="0.2"/>
    <row r="3761" ht="9.9499999999999993" hidden="1" customHeight="1" x14ac:dyDescent="0.2"/>
    <row r="3762" ht="9.9499999999999993" hidden="1" customHeight="1" x14ac:dyDescent="0.2"/>
    <row r="3763" ht="9.9499999999999993" hidden="1" customHeight="1" x14ac:dyDescent="0.2"/>
    <row r="3764" ht="9.9499999999999993" hidden="1" customHeight="1" x14ac:dyDescent="0.2"/>
    <row r="3765" ht="9.9499999999999993" hidden="1" customHeight="1" x14ac:dyDescent="0.2"/>
    <row r="3766" ht="9.9499999999999993" hidden="1" customHeight="1" x14ac:dyDescent="0.2"/>
    <row r="3767" ht="9.9499999999999993" hidden="1" customHeight="1" x14ac:dyDescent="0.2"/>
    <row r="3768" ht="9.9499999999999993" hidden="1" customHeight="1" x14ac:dyDescent="0.2"/>
    <row r="3769" ht="9.9499999999999993" hidden="1" customHeight="1" x14ac:dyDescent="0.2"/>
    <row r="3770" ht="9.9499999999999993" hidden="1" customHeight="1" x14ac:dyDescent="0.2"/>
    <row r="3771" ht="9.9499999999999993" hidden="1" customHeight="1" x14ac:dyDescent="0.2"/>
    <row r="3772" ht="9.9499999999999993" hidden="1" customHeight="1" x14ac:dyDescent="0.2"/>
    <row r="3773" ht="9.9499999999999993" hidden="1" customHeight="1" x14ac:dyDescent="0.2"/>
    <row r="3774" ht="9.9499999999999993" hidden="1" customHeight="1" x14ac:dyDescent="0.2"/>
    <row r="3775" ht="9.9499999999999993" hidden="1" customHeight="1" x14ac:dyDescent="0.2"/>
    <row r="3776" ht="9.9499999999999993" hidden="1" customHeight="1" x14ac:dyDescent="0.2"/>
    <row r="3777" ht="9.9499999999999993" hidden="1" customHeight="1" x14ac:dyDescent="0.2"/>
    <row r="3778" ht="9.9499999999999993" hidden="1" customHeight="1" x14ac:dyDescent="0.2"/>
    <row r="3779" ht="9.9499999999999993" hidden="1" customHeight="1" x14ac:dyDescent="0.2"/>
    <row r="3780" ht="9.9499999999999993" hidden="1" customHeight="1" x14ac:dyDescent="0.2"/>
    <row r="3781" ht="9.9499999999999993" hidden="1" customHeight="1" x14ac:dyDescent="0.2"/>
    <row r="3782" ht="9.9499999999999993" hidden="1" customHeight="1" x14ac:dyDescent="0.2"/>
    <row r="3783" ht="9.9499999999999993" hidden="1" customHeight="1" x14ac:dyDescent="0.2"/>
    <row r="3784" ht="9.9499999999999993" hidden="1" customHeight="1" x14ac:dyDescent="0.2"/>
    <row r="3785" ht="9.9499999999999993" hidden="1" customHeight="1" x14ac:dyDescent="0.2"/>
    <row r="3786" ht="9.9499999999999993" hidden="1" customHeight="1" x14ac:dyDescent="0.2"/>
    <row r="3787" ht="9.9499999999999993" hidden="1" customHeight="1" x14ac:dyDescent="0.2"/>
    <row r="3788" ht="9.9499999999999993" hidden="1" customHeight="1" x14ac:dyDescent="0.2"/>
    <row r="3789" ht="9.9499999999999993" hidden="1" customHeight="1" x14ac:dyDescent="0.2"/>
    <row r="3790" ht="9.9499999999999993" hidden="1" customHeight="1" x14ac:dyDescent="0.2"/>
    <row r="3791" ht="9.9499999999999993" hidden="1" customHeight="1" x14ac:dyDescent="0.2"/>
    <row r="3792" ht="9.9499999999999993" hidden="1" customHeight="1" x14ac:dyDescent="0.2"/>
    <row r="3793" ht="9.9499999999999993" hidden="1" customHeight="1" x14ac:dyDescent="0.2"/>
    <row r="3794" ht="9.9499999999999993" hidden="1" customHeight="1" x14ac:dyDescent="0.2"/>
    <row r="3795" ht="9.9499999999999993" hidden="1" customHeight="1" x14ac:dyDescent="0.2"/>
    <row r="3796" ht="9.9499999999999993" hidden="1" customHeight="1" x14ac:dyDescent="0.2"/>
    <row r="3797" ht="9.9499999999999993" hidden="1" customHeight="1" x14ac:dyDescent="0.2"/>
    <row r="3798" ht="9.9499999999999993" hidden="1" customHeight="1" x14ac:dyDescent="0.2"/>
    <row r="3799" ht="9.9499999999999993" hidden="1" customHeight="1" x14ac:dyDescent="0.2"/>
    <row r="3800" ht="9.9499999999999993" hidden="1" customHeight="1" x14ac:dyDescent="0.2"/>
    <row r="3801" ht="9.9499999999999993" hidden="1" customHeight="1" x14ac:dyDescent="0.2"/>
    <row r="3802" ht="9.9499999999999993" hidden="1" customHeight="1" x14ac:dyDescent="0.2"/>
    <row r="3803" ht="9.9499999999999993" hidden="1" customHeight="1" x14ac:dyDescent="0.2"/>
    <row r="3804" ht="9.9499999999999993" hidden="1" customHeight="1" x14ac:dyDescent="0.2"/>
    <row r="3805" ht="9.9499999999999993" hidden="1" customHeight="1" x14ac:dyDescent="0.2"/>
    <row r="3806" ht="9.9499999999999993" hidden="1" customHeight="1" x14ac:dyDescent="0.2"/>
    <row r="3807" ht="9.9499999999999993" hidden="1" customHeight="1" x14ac:dyDescent="0.2"/>
    <row r="3808" ht="9.9499999999999993" hidden="1" customHeight="1" x14ac:dyDescent="0.2"/>
    <row r="3809" ht="9.9499999999999993" hidden="1" customHeight="1" x14ac:dyDescent="0.2"/>
    <row r="3810" ht="9.9499999999999993" hidden="1" customHeight="1" x14ac:dyDescent="0.2"/>
    <row r="3811" ht="9.9499999999999993" hidden="1" customHeight="1" x14ac:dyDescent="0.2"/>
    <row r="3812" ht="9.9499999999999993" hidden="1" customHeight="1" x14ac:dyDescent="0.2"/>
    <row r="3813" ht="9.9499999999999993" hidden="1" customHeight="1" x14ac:dyDescent="0.2"/>
    <row r="3814" ht="9.9499999999999993" hidden="1" customHeight="1" x14ac:dyDescent="0.2"/>
    <row r="3815" ht="9.9499999999999993" hidden="1" customHeight="1" x14ac:dyDescent="0.2"/>
    <row r="3816" ht="9.9499999999999993" hidden="1" customHeight="1" x14ac:dyDescent="0.2"/>
    <row r="3817" ht="9.9499999999999993" hidden="1" customHeight="1" x14ac:dyDescent="0.2"/>
    <row r="3818" ht="9.9499999999999993" hidden="1" customHeight="1" x14ac:dyDescent="0.2"/>
    <row r="3819" ht="9.9499999999999993" hidden="1" customHeight="1" x14ac:dyDescent="0.2"/>
    <row r="3820" ht="9.9499999999999993" hidden="1" customHeight="1" x14ac:dyDescent="0.2"/>
    <row r="3821" ht="9.9499999999999993" hidden="1" customHeight="1" x14ac:dyDescent="0.2"/>
    <row r="3822" ht="9.9499999999999993" hidden="1" customHeight="1" x14ac:dyDescent="0.2"/>
    <row r="3823" ht="9.9499999999999993" hidden="1" customHeight="1" x14ac:dyDescent="0.2"/>
    <row r="3824" ht="9.9499999999999993" hidden="1" customHeight="1" x14ac:dyDescent="0.2"/>
    <row r="3825" ht="9.9499999999999993" hidden="1" customHeight="1" x14ac:dyDescent="0.2"/>
    <row r="3826" ht="9.9499999999999993" hidden="1" customHeight="1" x14ac:dyDescent="0.2"/>
    <row r="3827" ht="9.9499999999999993" hidden="1" customHeight="1" x14ac:dyDescent="0.2"/>
    <row r="3828" ht="9.9499999999999993" hidden="1" customHeight="1" x14ac:dyDescent="0.2"/>
    <row r="3829" ht="9.9499999999999993" hidden="1" customHeight="1" x14ac:dyDescent="0.2"/>
    <row r="3830" ht="9.9499999999999993" hidden="1" customHeight="1" x14ac:dyDescent="0.2"/>
    <row r="3831" ht="9.9499999999999993" hidden="1" customHeight="1" x14ac:dyDescent="0.2"/>
    <row r="3832" ht="9.9499999999999993" hidden="1" customHeight="1" x14ac:dyDescent="0.2"/>
    <row r="3833" ht="9.9499999999999993" hidden="1" customHeight="1" x14ac:dyDescent="0.2"/>
    <row r="3834" ht="9.9499999999999993" hidden="1" customHeight="1" x14ac:dyDescent="0.2"/>
    <row r="3835" ht="9.9499999999999993" hidden="1" customHeight="1" x14ac:dyDescent="0.2"/>
    <row r="3836" ht="9.9499999999999993" hidden="1" customHeight="1" x14ac:dyDescent="0.2"/>
    <row r="3837" ht="9.9499999999999993" hidden="1" customHeight="1" x14ac:dyDescent="0.2"/>
    <row r="3838" ht="9.9499999999999993" hidden="1" customHeight="1" x14ac:dyDescent="0.2"/>
    <row r="3839" ht="9.9499999999999993" hidden="1" customHeight="1" x14ac:dyDescent="0.2"/>
    <row r="3840" ht="9.9499999999999993" hidden="1" customHeight="1" x14ac:dyDescent="0.2"/>
    <row r="3841" ht="9.9499999999999993" hidden="1" customHeight="1" x14ac:dyDescent="0.2"/>
    <row r="3842" ht="9.9499999999999993" hidden="1" customHeight="1" x14ac:dyDescent="0.2"/>
    <row r="3843" ht="9.9499999999999993" hidden="1" customHeight="1" x14ac:dyDescent="0.2"/>
    <row r="3844" ht="9.9499999999999993" hidden="1" customHeight="1" x14ac:dyDescent="0.2"/>
    <row r="3845" ht="9.9499999999999993" hidden="1" customHeight="1" x14ac:dyDescent="0.2"/>
    <row r="3846" ht="9.9499999999999993" hidden="1" customHeight="1" x14ac:dyDescent="0.2"/>
    <row r="3847" ht="9.9499999999999993" hidden="1" customHeight="1" x14ac:dyDescent="0.2"/>
    <row r="3848" ht="9.9499999999999993" hidden="1" customHeight="1" x14ac:dyDescent="0.2"/>
    <row r="3849" ht="9.9499999999999993" hidden="1" customHeight="1" x14ac:dyDescent="0.2"/>
    <row r="3850" ht="9.9499999999999993" hidden="1" customHeight="1" x14ac:dyDescent="0.2"/>
    <row r="3851" ht="9.9499999999999993" hidden="1" customHeight="1" x14ac:dyDescent="0.2"/>
    <row r="3852" ht="9.9499999999999993" hidden="1" customHeight="1" x14ac:dyDescent="0.2"/>
    <row r="3853" ht="9.9499999999999993" hidden="1" customHeight="1" x14ac:dyDescent="0.2"/>
    <row r="3854" ht="9.9499999999999993" hidden="1" customHeight="1" x14ac:dyDescent="0.2"/>
    <row r="3855" ht="9.9499999999999993" hidden="1" customHeight="1" x14ac:dyDescent="0.2"/>
    <row r="3856" ht="9.9499999999999993" hidden="1" customHeight="1" x14ac:dyDescent="0.2"/>
    <row r="3857" ht="9.9499999999999993" hidden="1" customHeight="1" x14ac:dyDescent="0.2"/>
    <row r="3858" ht="9.9499999999999993" hidden="1" customHeight="1" x14ac:dyDescent="0.2"/>
    <row r="3859" ht="9.9499999999999993" hidden="1" customHeight="1" x14ac:dyDescent="0.2"/>
    <row r="3860" ht="9.9499999999999993" hidden="1" customHeight="1" x14ac:dyDescent="0.2"/>
    <row r="3861" ht="9.9499999999999993" hidden="1" customHeight="1" x14ac:dyDescent="0.2"/>
    <row r="3862" ht="9.9499999999999993" hidden="1" customHeight="1" x14ac:dyDescent="0.2"/>
    <row r="3863" ht="9.9499999999999993" hidden="1" customHeight="1" x14ac:dyDescent="0.2"/>
    <row r="3864" ht="9.9499999999999993" hidden="1" customHeight="1" x14ac:dyDescent="0.2"/>
    <row r="3865" ht="9.9499999999999993" hidden="1" customHeight="1" x14ac:dyDescent="0.2"/>
    <row r="3866" ht="9.9499999999999993" hidden="1" customHeight="1" x14ac:dyDescent="0.2"/>
    <row r="3867" ht="9.9499999999999993" hidden="1" customHeight="1" x14ac:dyDescent="0.2"/>
    <row r="3868" ht="9.9499999999999993" hidden="1" customHeight="1" x14ac:dyDescent="0.2"/>
    <row r="3869" ht="9.9499999999999993" hidden="1" customHeight="1" x14ac:dyDescent="0.2"/>
    <row r="3870" ht="9.9499999999999993" hidden="1" customHeight="1" x14ac:dyDescent="0.2"/>
    <row r="3871" ht="9.9499999999999993" hidden="1" customHeight="1" x14ac:dyDescent="0.2"/>
    <row r="3872" ht="9.9499999999999993" hidden="1" customHeight="1" x14ac:dyDescent="0.2"/>
    <row r="3873" ht="9.9499999999999993" hidden="1" customHeight="1" x14ac:dyDescent="0.2"/>
    <row r="3874" ht="9.9499999999999993" hidden="1" customHeight="1" x14ac:dyDescent="0.2"/>
    <row r="3875" ht="9.9499999999999993" hidden="1" customHeight="1" x14ac:dyDescent="0.2"/>
    <row r="3876" ht="9.9499999999999993" hidden="1" customHeight="1" x14ac:dyDescent="0.2"/>
    <row r="3877" ht="9.9499999999999993" hidden="1" customHeight="1" x14ac:dyDescent="0.2"/>
    <row r="3878" ht="9.9499999999999993" hidden="1" customHeight="1" x14ac:dyDescent="0.2"/>
    <row r="3879" ht="9.9499999999999993" hidden="1" customHeight="1" x14ac:dyDescent="0.2"/>
    <row r="3880" ht="9.9499999999999993" hidden="1" customHeight="1" x14ac:dyDescent="0.2"/>
    <row r="3881" ht="9.9499999999999993" hidden="1" customHeight="1" x14ac:dyDescent="0.2"/>
    <row r="3882" ht="9.9499999999999993" hidden="1" customHeight="1" x14ac:dyDescent="0.2"/>
    <row r="3883" ht="9.9499999999999993" hidden="1" customHeight="1" x14ac:dyDescent="0.2"/>
    <row r="3884" ht="9.9499999999999993" hidden="1" customHeight="1" x14ac:dyDescent="0.2"/>
    <row r="3885" ht="9.9499999999999993" hidden="1" customHeight="1" x14ac:dyDescent="0.2"/>
    <row r="3886" ht="9.9499999999999993" hidden="1" customHeight="1" x14ac:dyDescent="0.2"/>
    <row r="3887" ht="9.9499999999999993" hidden="1" customHeight="1" x14ac:dyDescent="0.2"/>
    <row r="3888" ht="9.9499999999999993" hidden="1" customHeight="1" x14ac:dyDescent="0.2"/>
    <row r="3889" ht="9.9499999999999993" hidden="1" customHeight="1" x14ac:dyDescent="0.2"/>
    <row r="3890" ht="9.9499999999999993" hidden="1" customHeight="1" x14ac:dyDescent="0.2"/>
    <row r="3891" ht="9.9499999999999993" hidden="1" customHeight="1" x14ac:dyDescent="0.2"/>
    <row r="3892" ht="9.9499999999999993" hidden="1" customHeight="1" x14ac:dyDescent="0.2"/>
    <row r="3893" ht="9.9499999999999993" hidden="1" customHeight="1" x14ac:dyDescent="0.2"/>
    <row r="3894" ht="9.9499999999999993" hidden="1" customHeight="1" x14ac:dyDescent="0.2"/>
    <row r="3895" ht="9.9499999999999993" hidden="1" customHeight="1" x14ac:dyDescent="0.2"/>
    <row r="3896" ht="9.9499999999999993" hidden="1" customHeight="1" x14ac:dyDescent="0.2"/>
    <row r="3897" ht="9.9499999999999993" hidden="1" customHeight="1" x14ac:dyDescent="0.2"/>
    <row r="3898" ht="9.9499999999999993" hidden="1" customHeight="1" x14ac:dyDescent="0.2"/>
    <row r="3899" ht="9.9499999999999993" hidden="1" customHeight="1" x14ac:dyDescent="0.2"/>
    <row r="3900" ht="9.9499999999999993" hidden="1" customHeight="1" x14ac:dyDescent="0.2"/>
    <row r="3901" ht="9.9499999999999993" hidden="1" customHeight="1" x14ac:dyDescent="0.2"/>
    <row r="3902" ht="9.9499999999999993" hidden="1" customHeight="1" x14ac:dyDescent="0.2"/>
    <row r="3903" ht="9.9499999999999993" hidden="1" customHeight="1" x14ac:dyDescent="0.2"/>
    <row r="3904" ht="9.9499999999999993" hidden="1" customHeight="1" x14ac:dyDescent="0.2"/>
    <row r="3905" ht="9.9499999999999993" hidden="1" customHeight="1" x14ac:dyDescent="0.2"/>
    <row r="3906" ht="9.9499999999999993" hidden="1" customHeight="1" x14ac:dyDescent="0.2"/>
    <row r="3907" ht="9.9499999999999993" hidden="1" customHeight="1" x14ac:dyDescent="0.2"/>
    <row r="3908" ht="9.9499999999999993" hidden="1" customHeight="1" x14ac:dyDescent="0.2"/>
    <row r="3909" ht="9.9499999999999993" hidden="1" customHeight="1" x14ac:dyDescent="0.2"/>
    <row r="3910" ht="9.9499999999999993" hidden="1" customHeight="1" x14ac:dyDescent="0.2"/>
    <row r="3911" ht="9.9499999999999993" hidden="1" customHeight="1" x14ac:dyDescent="0.2"/>
    <row r="3912" ht="9.9499999999999993" hidden="1" customHeight="1" x14ac:dyDescent="0.2"/>
    <row r="3913" ht="9.9499999999999993" hidden="1" customHeight="1" x14ac:dyDescent="0.2"/>
    <row r="3914" ht="9.9499999999999993" hidden="1" customHeight="1" x14ac:dyDescent="0.2"/>
    <row r="3915" ht="9.9499999999999993" hidden="1" customHeight="1" x14ac:dyDescent="0.2"/>
    <row r="3916" ht="9.9499999999999993" hidden="1" customHeight="1" x14ac:dyDescent="0.2"/>
    <row r="3917" ht="9.9499999999999993" hidden="1" customHeight="1" x14ac:dyDescent="0.2"/>
    <row r="3918" ht="9.9499999999999993" hidden="1" customHeight="1" x14ac:dyDescent="0.2"/>
    <row r="3919" ht="9.9499999999999993" hidden="1" customHeight="1" x14ac:dyDescent="0.2"/>
    <row r="3920" ht="9.9499999999999993" hidden="1" customHeight="1" x14ac:dyDescent="0.2"/>
    <row r="3921" ht="9.9499999999999993" hidden="1" customHeight="1" x14ac:dyDescent="0.2"/>
    <row r="3922" ht="9.9499999999999993" hidden="1" customHeight="1" x14ac:dyDescent="0.2"/>
    <row r="3923" ht="9.9499999999999993" hidden="1" customHeight="1" x14ac:dyDescent="0.2"/>
    <row r="3924" ht="9.9499999999999993" hidden="1" customHeight="1" x14ac:dyDescent="0.2"/>
    <row r="3925" ht="9.9499999999999993" hidden="1" customHeight="1" x14ac:dyDescent="0.2"/>
    <row r="3926" ht="9.9499999999999993" hidden="1" customHeight="1" x14ac:dyDescent="0.2"/>
    <row r="3927" ht="9.9499999999999993" hidden="1" customHeight="1" x14ac:dyDescent="0.2"/>
    <row r="3928" ht="9.9499999999999993" hidden="1" customHeight="1" x14ac:dyDescent="0.2"/>
    <row r="3929" ht="9.9499999999999993" hidden="1" customHeight="1" x14ac:dyDescent="0.2"/>
    <row r="3930" ht="9.9499999999999993" hidden="1" customHeight="1" x14ac:dyDescent="0.2"/>
    <row r="3931" ht="9.9499999999999993" hidden="1" customHeight="1" x14ac:dyDescent="0.2"/>
    <row r="3932" ht="9.9499999999999993" hidden="1" customHeight="1" x14ac:dyDescent="0.2"/>
    <row r="3933" ht="9.9499999999999993" hidden="1" customHeight="1" x14ac:dyDescent="0.2"/>
    <row r="3934" ht="9.9499999999999993" hidden="1" customHeight="1" x14ac:dyDescent="0.2"/>
    <row r="3935" ht="9.9499999999999993" hidden="1" customHeight="1" x14ac:dyDescent="0.2"/>
    <row r="3936" ht="9.9499999999999993" hidden="1" customHeight="1" x14ac:dyDescent="0.2"/>
    <row r="3937" ht="9.9499999999999993" hidden="1" customHeight="1" x14ac:dyDescent="0.2"/>
    <row r="3938" ht="9.9499999999999993" hidden="1" customHeight="1" x14ac:dyDescent="0.2"/>
    <row r="3939" ht="9.9499999999999993" hidden="1" customHeight="1" x14ac:dyDescent="0.2"/>
    <row r="3940" ht="9.9499999999999993" hidden="1" customHeight="1" x14ac:dyDescent="0.2"/>
    <row r="3941" ht="9.9499999999999993" hidden="1" customHeight="1" x14ac:dyDescent="0.2"/>
    <row r="3942" ht="9.9499999999999993" hidden="1" customHeight="1" x14ac:dyDescent="0.2"/>
    <row r="3943" ht="9.9499999999999993" hidden="1" customHeight="1" x14ac:dyDescent="0.2"/>
    <row r="3944" ht="9.9499999999999993" hidden="1" customHeight="1" x14ac:dyDescent="0.2"/>
    <row r="3945" ht="9.9499999999999993" hidden="1" customHeight="1" x14ac:dyDescent="0.2"/>
    <row r="3946" ht="9.9499999999999993" hidden="1" customHeight="1" x14ac:dyDescent="0.2"/>
    <row r="3947" ht="9.9499999999999993" hidden="1" customHeight="1" x14ac:dyDescent="0.2"/>
    <row r="3948" ht="9.9499999999999993" hidden="1" customHeight="1" x14ac:dyDescent="0.2"/>
    <row r="3949" ht="9.9499999999999993" hidden="1" customHeight="1" x14ac:dyDescent="0.2"/>
    <row r="3950" ht="9.9499999999999993" hidden="1" customHeight="1" x14ac:dyDescent="0.2"/>
    <row r="3951" ht="9.9499999999999993" hidden="1" customHeight="1" x14ac:dyDescent="0.2"/>
    <row r="3952" ht="9.9499999999999993" hidden="1" customHeight="1" x14ac:dyDescent="0.2"/>
    <row r="3953" ht="9.9499999999999993" hidden="1" customHeight="1" x14ac:dyDescent="0.2"/>
    <row r="3954" ht="9.9499999999999993" hidden="1" customHeight="1" x14ac:dyDescent="0.2"/>
    <row r="3955" ht="9.9499999999999993" hidden="1" customHeight="1" x14ac:dyDescent="0.2"/>
    <row r="3956" ht="9.9499999999999993" hidden="1" customHeight="1" x14ac:dyDescent="0.2"/>
    <row r="3957" ht="9.9499999999999993" hidden="1" customHeight="1" x14ac:dyDescent="0.2"/>
    <row r="3958" ht="9.9499999999999993" hidden="1" customHeight="1" x14ac:dyDescent="0.2"/>
    <row r="3959" ht="9.9499999999999993" hidden="1" customHeight="1" x14ac:dyDescent="0.2"/>
    <row r="3960" ht="9.9499999999999993" hidden="1" customHeight="1" x14ac:dyDescent="0.2"/>
    <row r="3961" ht="9.9499999999999993" hidden="1" customHeight="1" x14ac:dyDescent="0.2"/>
    <row r="3962" ht="9.9499999999999993" hidden="1" customHeight="1" x14ac:dyDescent="0.2"/>
    <row r="3963" ht="9.9499999999999993" hidden="1" customHeight="1" x14ac:dyDescent="0.2"/>
    <row r="3964" ht="9.9499999999999993" hidden="1" customHeight="1" x14ac:dyDescent="0.2"/>
    <row r="3965" ht="9.9499999999999993" hidden="1" customHeight="1" x14ac:dyDescent="0.2"/>
    <row r="3966" ht="9.9499999999999993" hidden="1" customHeight="1" x14ac:dyDescent="0.2"/>
    <row r="3967" ht="9.9499999999999993" hidden="1" customHeight="1" x14ac:dyDescent="0.2"/>
    <row r="3968" ht="9.9499999999999993" hidden="1" customHeight="1" x14ac:dyDescent="0.2"/>
    <row r="3969" ht="9.9499999999999993" hidden="1" customHeight="1" x14ac:dyDescent="0.2"/>
    <row r="3970" ht="9.9499999999999993" hidden="1" customHeight="1" x14ac:dyDescent="0.2"/>
    <row r="3971" ht="9.9499999999999993" hidden="1" customHeight="1" x14ac:dyDescent="0.2"/>
    <row r="3972" ht="9.9499999999999993" hidden="1" customHeight="1" x14ac:dyDescent="0.2"/>
    <row r="3973" ht="9.9499999999999993" hidden="1" customHeight="1" x14ac:dyDescent="0.2"/>
    <row r="3974" ht="9.9499999999999993" hidden="1" customHeight="1" x14ac:dyDescent="0.2"/>
    <row r="3975" ht="9.9499999999999993" hidden="1" customHeight="1" x14ac:dyDescent="0.2"/>
    <row r="3976" ht="9.9499999999999993" hidden="1" customHeight="1" x14ac:dyDescent="0.2"/>
    <row r="3977" ht="9.9499999999999993" hidden="1" customHeight="1" x14ac:dyDescent="0.2"/>
    <row r="3978" ht="9.9499999999999993" hidden="1" customHeight="1" x14ac:dyDescent="0.2"/>
    <row r="3979" ht="9.9499999999999993" hidden="1" customHeight="1" x14ac:dyDescent="0.2"/>
    <row r="3980" ht="9.9499999999999993" hidden="1" customHeight="1" x14ac:dyDescent="0.2"/>
    <row r="3981" ht="9.9499999999999993" hidden="1" customHeight="1" x14ac:dyDescent="0.2"/>
    <row r="3982" ht="9.9499999999999993" hidden="1" customHeight="1" x14ac:dyDescent="0.2"/>
    <row r="3983" ht="9.9499999999999993" hidden="1" customHeight="1" x14ac:dyDescent="0.2"/>
    <row r="3984" ht="9.9499999999999993" hidden="1" customHeight="1" x14ac:dyDescent="0.2"/>
    <row r="3985" ht="9.9499999999999993" hidden="1" customHeight="1" x14ac:dyDescent="0.2"/>
    <row r="3986" ht="9.9499999999999993" hidden="1" customHeight="1" x14ac:dyDescent="0.2"/>
    <row r="3987" ht="9.9499999999999993" hidden="1" customHeight="1" x14ac:dyDescent="0.2"/>
    <row r="3988" ht="9.9499999999999993" hidden="1" customHeight="1" x14ac:dyDescent="0.2"/>
    <row r="3989" ht="9.9499999999999993" hidden="1" customHeight="1" x14ac:dyDescent="0.2"/>
    <row r="3990" ht="9.9499999999999993" hidden="1" customHeight="1" x14ac:dyDescent="0.2"/>
    <row r="3991" ht="9.9499999999999993" hidden="1" customHeight="1" x14ac:dyDescent="0.2"/>
    <row r="3992" ht="9.9499999999999993" hidden="1" customHeight="1" x14ac:dyDescent="0.2"/>
    <row r="3993" ht="9.9499999999999993" hidden="1" customHeight="1" x14ac:dyDescent="0.2"/>
    <row r="3994" ht="9.9499999999999993" hidden="1" customHeight="1" x14ac:dyDescent="0.2"/>
    <row r="3995" ht="9.9499999999999993" hidden="1" customHeight="1" x14ac:dyDescent="0.2"/>
    <row r="3996" ht="9.9499999999999993" hidden="1" customHeight="1" x14ac:dyDescent="0.2"/>
    <row r="3997" ht="9.9499999999999993" hidden="1" customHeight="1" x14ac:dyDescent="0.2"/>
    <row r="3998" ht="9.9499999999999993" hidden="1" customHeight="1" x14ac:dyDescent="0.2"/>
    <row r="3999" ht="9.9499999999999993" hidden="1" customHeight="1" x14ac:dyDescent="0.2"/>
    <row r="4000" ht="9.9499999999999993" hidden="1" customHeight="1" x14ac:dyDescent="0.2"/>
    <row r="4001" ht="9.9499999999999993" hidden="1" customHeight="1" x14ac:dyDescent="0.2"/>
    <row r="4002" ht="9.9499999999999993" hidden="1" customHeight="1" x14ac:dyDescent="0.2"/>
    <row r="4003" ht="9.9499999999999993" hidden="1" customHeight="1" x14ac:dyDescent="0.2"/>
    <row r="4004" ht="9.9499999999999993" hidden="1" customHeight="1" x14ac:dyDescent="0.2"/>
    <row r="4005" ht="9.9499999999999993" hidden="1" customHeight="1" x14ac:dyDescent="0.2"/>
    <row r="4006" ht="9.9499999999999993" hidden="1" customHeight="1" x14ac:dyDescent="0.2"/>
    <row r="4007" ht="9.9499999999999993" hidden="1" customHeight="1" x14ac:dyDescent="0.2"/>
    <row r="4008" ht="9.9499999999999993" hidden="1" customHeight="1" x14ac:dyDescent="0.2"/>
    <row r="4009" ht="9.9499999999999993" hidden="1" customHeight="1" x14ac:dyDescent="0.2"/>
    <row r="4010" ht="9.9499999999999993" hidden="1" customHeight="1" x14ac:dyDescent="0.2"/>
    <row r="4011" ht="9.9499999999999993" hidden="1" customHeight="1" x14ac:dyDescent="0.2"/>
    <row r="4012" ht="9.9499999999999993" hidden="1" customHeight="1" x14ac:dyDescent="0.2"/>
    <row r="4013" ht="9.9499999999999993" hidden="1" customHeight="1" x14ac:dyDescent="0.2"/>
    <row r="4014" ht="9.9499999999999993" hidden="1" customHeight="1" x14ac:dyDescent="0.2"/>
    <row r="4015" ht="9.9499999999999993" hidden="1" customHeight="1" x14ac:dyDescent="0.2"/>
    <row r="4016" ht="9.9499999999999993" hidden="1" customHeight="1" x14ac:dyDescent="0.2"/>
    <row r="4017" ht="9.9499999999999993" hidden="1" customHeight="1" x14ac:dyDescent="0.2"/>
    <row r="4018" ht="9.9499999999999993" hidden="1" customHeight="1" x14ac:dyDescent="0.2"/>
    <row r="4019" ht="9.9499999999999993" hidden="1" customHeight="1" x14ac:dyDescent="0.2"/>
    <row r="4020" ht="9.9499999999999993" hidden="1" customHeight="1" x14ac:dyDescent="0.2"/>
    <row r="4021" ht="9.9499999999999993" hidden="1" customHeight="1" x14ac:dyDescent="0.2"/>
    <row r="4022" ht="9.9499999999999993" hidden="1" customHeight="1" x14ac:dyDescent="0.2"/>
    <row r="4023" ht="9.9499999999999993" hidden="1" customHeight="1" x14ac:dyDescent="0.2"/>
    <row r="4024" ht="9.9499999999999993" hidden="1" customHeight="1" x14ac:dyDescent="0.2"/>
    <row r="4025" ht="9.9499999999999993" hidden="1" customHeight="1" x14ac:dyDescent="0.2"/>
    <row r="4026" ht="9.9499999999999993" hidden="1" customHeight="1" x14ac:dyDescent="0.2"/>
    <row r="4027" ht="9.9499999999999993" hidden="1" customHeight="1" x14ac:dyDescent="0.2"/>
    <row r="4028" ht="9.9499999999999993" hidden="1" customHeight="1" x14ac:dyDescent="0.2"/>
    <row r="4029" ht="9.9499999999999993" hidden="1" customHeight="1" x14ac:dyDescent="0.2"/>
    <row r="4030" ht="9.9499999999999993" hidden="1" customHeight="1" x14ac:dyDescent="0.2"/>
    <row r="4031" ht="9.9499999999999993" hidden="1" customHeight="1" x14ac:dyDescent="0.2"/>
    <row r="4032" ht="9.9499999999999993" hidden="1" customHeight="1" x14ac:dyDescent="0.2"/>
    <row r="4033" ht="9.9499999999999993" hidden="1" customHeight="1" x14ac:dyDescent="0.2"/>
    <row r="4034" ht="9.9499999999999993" hidden="1" customHeight="1" x14ac:dyDescent="0.2"/>
    <row r="4035" ht="9.9499999999999993" hidden="1" customHeight="1" x14ac:dyDescent="0.2"/>
    <row r="4036" ht="9.9499999999999993" hidden="1" customHeight="1" x14ac:dyDescent="0.2"/>
    <row r="4037" ht="9.9499999999999993" hidden="1" customHeight="1" x14ac:dyDescent="0.2"/>
    <row r="4038" ht="9.9499999999999993" hidden="1" customHeight="1" x14ac:dyDescent="0.2"/>
    <row r="4039" ht="9.9499999999999993" hidden="1" customHeight="1" x14ac:dyDescent="0.2"/>
    <row r="4040" ht="9.9499999999999993" hidden="1" customHeight="1" x14ac:dyDescent="0.2"/>
    <row r="4041" ht="9.9499999999999993" hidden="1" customHeight="1" x14ac:dyDescent="0.2"/>
    <row r="4042" ht="9.9499999999999993" hidden="1" customHeight="1" x14ac:dyDescent="0.2"/>
    <row r="4043" ht="9.9499999999999993" hidden="1" customHeight="1" x14ac:dyDescent="0.2"/>
    <row r="4044" ht="9.9499999999999993" hidden="1" customHeight="1" x14ac:dyDescent="0.2"/>
    <row r="4045" ht="9.9499999999999993" hidden="1" customHeight="1" x14ac:dyDescent="0.2"/>
    <row r="4046" ht="9.9499999999999993" hidden="1" customHeight="1" x14ac:dyDescent="0.2"/>
    <row r="4047" ht="9.9499999999999993" hidden="1" customHeight="1" x14ac:dyDescent="0.2"/>
    <row r="4048" ht="9.9499999999999993" hidden="1" customHeight="1" x14ac:dyDescent="0.2"/>
    <row r="4049" ht="9.9499999999999993" hidden="1" customHeight="1" x14ac:dyDescent="0.2"/>
    <row r="4050" ht="9.9499999999999993" hidden="1" customHeight="1" x14ac:dyDescent="0.2"/>
    <row r="4051" ht="9.9499999999999993" hidden="1" customHeight="1" x14ac:dyDescent="0.2"/>
    <row r="4052" ht="9.9499999999999993" hidden="1" customHeight="1" x14ac:dyDescent="0.2"/>
    <row r="4053" ht="9.9499999999999993" hidden="1" customHeight="1" x14ac:dyDescent="0.2"/>
    <row r="4054" ht="9.9499999999999993" hidden="1" customHeight="1" x14ac:dyDescent="0.2"/>
    <row r="4055" ht="9.9499999999999993" hidden="1" customHeight="1" x14ac:dyDescent="0.2"/>
    <row r="4056" ht="9.9499999999999993" hidden="1" customHeight="1" x14ac:dyDescent="0.2"/>
    <row r="4057" ht="9.9499999999999993" hidden="1" customHeight="1" x14ac:dyDescent="0.2"/>
    <row r="4058" ht="9.9499999999999993" hidden="1" customHeight="1" x14ac:dyDescent="0.2"/>
    <row r="4059" ht="9.9499999999999993" hidden="1" customHeight="1" x14ac:dyDescent="0.2"/>
    <row r="4060" ht="9.9499999999999993" hidden="1" customHeight="1" x14ac:dyDescent="0.2"/>
    <row r="4061" ht="9.9499999999999993" hidden="1" customHeight="1" x14ac:dyDescent="0.2"/>
    <row r="4062" ht="9.9499999999999993" hidden="1" customHeight="1" x14ac:dyDescent="0.2"/>
    <row r="4063" ht="9.9499999999999993" hidden="1" customHeight="1" x14ac:dyDescent="0.2"/>
    <row r="4064" ht="9.9499999999999993" hidden="1" customHeight="1" x14ac:dyDescent="0.2"/>
    <row r="4065" ht="9.9499999999999993" hidden="1" customHeight="1" x14ac:dyDescent="0.2"/>
    <row r="4066" ht="9.9499999999999993" hidden="1" customHeight="1" x14ac:dyDescent="0.2"/>
    <row r="4067" ht="9.9499999999999993" hidden="1" customHeight="1" x14ac:dyDescent="0.2"/>
    <row r="4068" ht="9.9499999999999993" hidden="1" customHeight="1" x14ac:dyDescent="0.2"/>
    <row r="4069" ht="9.9499999999999993" hidden="1" customHeight="1" x14ac:dyDescent="0.2"/>
    <row r="4070" ht="9.9499999999999993" hidden="1" customHeight="1" x14ac:dyDescent="0.2"/>
    <row r="4071" ht="9.9499999999999993" hidden="1" customHeight="1" x14ac:dyDescent="0.2"/>
    <row r="4072" ht="9.9499999999999993" hidden="1" customHeight="1" x14ac:dyDescent="0.2"/>
    <row r="4073" ht="9.9499999999999993" hidden="1" customHeight="1" x14ac:dyDescent="0.2"/>
    <row r="4074" ht="9.9499999999999993" hidden="1" customHeight="1" x14ac:dyDescent="0.2"/>
    <row r="4075" ht="9.9499999999999993" hidden="1" customHeight="1" x14ac:dyDescent="0.2"/>
    <row r="4076" ht="9.9499999999999993" hidden="1" customHeight="1" x14ac:dyDescent="0.2"/>
    <row r="4077" ht="9.9499999999999993" hidden="1" customHeight="1" x14ac:dyDescent="0.2"/>
    <row r="4078" ht="9.9499999999999993" hidden="1" customHeight="1" x14ac:dyDescent="0.2"/>
    <row r="4079" ht="9.9499999999999993" hidden="1" customHeight="1" x14ac:dyDescent="0.2"/>
    <row r="4080" ht="9.9499999999999993" hidden="1" customHeight="1" x14ac:dyDescent="0.2"/>
    <row r="4081" ht="9.9499999999999993" hidden="1" customHeight="1" x14ac:dyDescent="0.2"/>
    <row r="4082" ht="9.9499999999999993" hidden="1" customHeight="1" x14ac:dyDescent="0.2"/>
    <row r="4083" ht="9.9499999999999993" hidden="1" customHeight="1" x14ac:dyDescent="0.2"/>
    <row r="4084" ht="9.9499999999999993" hidden="1" customHeight="1" x14ac:dyDescent="0.2"/>
    <row r="4085" ht="9.9499999999999993" hidden="1" customHeight="1" x14ac:dyDescent="0.2"/>
    <row r="4086" ht="9.9499999999999993" hidden="1" customHeight="1" x14ac:dyDescent="0.2"/>
    <row r="4087" ht="9.9499999999999993" hidden="1" customHeight="1" x14ac:dyDescent="0.2"/>
    <row r="4088" ht="9.9499999999999993" hidden="1" customHeight="1" x14ac:dyDescent="0.2"/>
    <row r="4089" ht="9.9499999999999993" hidden="1" customHeight="1" x14ac:dyDescent="0.2"/>
    <row r="4090" ht="9.9499999999999993" hidden="1" customHeight="1" x14ac:dyDescent="0.2"/>
    <row r="4091" ht="9.9499999999999993" hidden="1" customHeight="1" x14ac:dyDescent="0.2"/>
    <row r="4092" ht="9.9499999999999993" hidden="1" customHeight="1" x14ac:dyDescent="0.2"/>
    <row r="4093" ht="9.9499999999999993" hidden="1" customHeight="1" x14ac:dyDescent="0.2"/>
    <row r="4094" ht="9.9499999999999993" hidden="1" customHeight="1" x14ac:dyDescent="0.2"/>
    <row r="4095" ht="9.9499999999999993" hidden="1" customHeight="1" x14ac:dyDescent="0.2"/>
    <row r="4096" ht="9.9499999999999993" hidden="1" customHeight="1" x14ac:dyDescent="0.2"/>
    <row r="4097" ht="9.9499999999999993" hidden="1" customHeight="1" x14ac:dyDescent="0.2"/>
    <row r="4098" ht="9.9499999999999993" hidden="1" customHeight="1" x14ac:dyDescent="0.2"/>
    <row r="4099" ht="9.9499999999999993" hidden="1" customHeight="1" x14ac:dyDescent="0.2"/>
    <row r="4100" ht="9.9499999999999993" hidden="1" customHeight="1" x14ac:dyDescent="0.2"/>
    <row r="4101" ht="9.9499999999999993" hidden="1" customHeight="1" x14ac:dyDescent="0.2"/>
    <row r="4102" ht="9.9499999999999993" hidden="1" customHeight="1" x14ac:dyDescent="0.2"/>
    <row r="4103" ht="9.9499999999999993" hidden="1" customHeight="1" x14ac:dyDescent="0.2"/>
    <row r="4104" ht="9.9499999999999993" hidden="1" customHeight="1" x14ac:dyDescent="0.2"/>
    <row r="4105" ht="9.9499999999999993" hidden="1" customHeight="1" x14ac:dyDescent="0.2"/>
    <row r="4106" ht="9.9499999999999993" hidden="1" customHeight="1" x14ac:dyDescent="0.2"/>
    <row r="4107" ht="9.9499999999999993" hidden="1" customHeight="1" x14ac:dyDescent="0.2"/>
    <row r="4108" ht="9.9499999999999993" hidden="1" customHeight="1" x14ac:dyDescent="0.2"/>
    <row r="4109" ht="9.9499999999999993" hidden="1" customHeight="1" x14ac:dyDescent="0.2"/>
    <row r="4110" ht="9.9499999999999993" hidden="1" customHeight="1" x14ac:dyDescent="0.2"/>
    <row r="4111" ht="9.9499999999999993" hidden="1" customHeight="1" x14ac:dyDescent="0.2"/>
    <row r="4112" ht="9.9499999999999993" hidden="1" customHeight="1" x14ac:dyDescent="0.2"/>
    <row r="4113" ht="9.9499999999999993" hidden="1" customHeight="1" x14ac:dyDescent="0.2"/>
    <row r="4114" ht="9.9499999999999993" hidden="1" customHeight="1" x14ac:dyDescent="0.2"/>
    <row r="4115" ht="9.9499999999999993" hidden="1" customHeight="1" x14ac:dyDescent="0.2"/>
    <row r="4116" ht="9.9499999999999993" hidden="1" customHeight="1" x14ac:dyDescent="0.2"/>
    <row r="4117" ht="9.9499999999999993" hidden="1" customHeight="1" x14ac:dyDescent="0.2"/>
    <row r="4118" ht="9.9499999999999993" hidden="1" customHeight="1" x14ac:dyDescent="0.2"/>
    <row r="4119" ht="9.9499999999999993" hidden="1" customHeight="1" x14ac:dyDescent="0.2"/>
    <row r="4120" ht="9.9499999999999993" hidden="1" customHeight="1" x14ac:dyDescent="0.2"/>
    <row r="4121" ht="9.9499999999999993" hidden="1" customHeight="1" x14ac:dyDescent="0.2"/>
    <row r="4122" ht="9.9499999999999993" hidden="1" customHeight="1" x14ac:dyDescent="0.2"/>
    <row r="4123" ht="9.9499999999999993" hidden="1" customHeight="1" x14ac:dyDescent="0.2"/>
    <row r="4124" ht="9.9499999999999993" hidden="1" customHeight="1" x14ac:dyDescent="0.2"/>
    <row r="4125" ht="9.9499999999999993" hidden="1" customHeight="1" x14ac:dyDescent="0.2"/>
    <row r="4126" ht="9.9499999999999993" hidden="1" customHeight="1" x14ac:dyDescent="0.2"/>
    <row r="4127" ht="9.9499999999999993" hidden="1" customHeight="1" x14ac:dyDescent="0.2"/>
    <row r="4128" ht="9.9499999999999993" hidden="1" customHeight="1" x14ac:dyDescent="0.2"/>
    <row r="4129" ht="9.9499999999999993" hidden="1" customHeight="1" x14ac:dyDescent="0.2"/>
    <row r="4130" ht="9.9499999999999993" hidden="1" customHeight="1" x14ac:dyDescent="0.2"/>
    <row r="4131" ht="9.9499999999999993" hidden="1" customHeight="1" x14ac:dyDescent="0.2"/>
    <row r="4132" ht="9.9499999999999993" hidden="1" customHeight="1" x14ac:dyDescent="0.2"/>
    <row r="4133" ht="9.9499999999999993" hidden="1" customHeight="1" x14ac:dyDescent="0.2"/>
    <row r="4134" ht="9.9499999999999993" hidden="1" customHeight="1" x14ac:dyDescent="0.2"/>
    <row r="4135" ht="9.9499999999999993" hidden="1" customHeight="1" x14ac:dyDescent="0.2"/>
    <row r="4136" ht="9.9499999999999993" hidden="1" customHeight="1" x14ac:dyDescent="0.2"/>
    <row r="4137" ht="9.9499999999999993" hidden="1" customHeight="1" x14ac:dyDescent="0.2"/>
    <row r="4138" ht="9.9499999999999993" hidden="1" customHeight="1" x14ac:dyDescent="0.2"/>
    <row r="4139" ht="9.9499999999999993" hidden="1" customHeight="1" x14ac:dyDescent="0.2"/>
    <row r="4140" ht="9.9499999999999993" hidden="1" customHeight="1" x14ac:dyDescent="0.2"/>
    <row r="4141" ht="9.9499999999999993" hidden="1" customHeight="1" x14ac:dyDescent="0.2"/>
    <row r="4142" ht="9.9499999999999993" hidden="1" customHeight="1" x14ac:dyDescent="0.2"/>
    <row r="4143" ht="9.9499999999999993" hidden="1" customHeight="1" x14ac:dyDescent="0.2"/>
    <row r="4144" ht="9.9499999999999993" hidden="1" customHeight="1" x14ac:dyDescent="0.2"/>
    <row r="4145" ht="9.9499999999999993" hidden="1" customHeight="1" x14ac:dyDescent="0.2"/>
    <row r="4146" ht="9.9499999999999993" hidden="1" customHeight="1" x14ac:dyDescent="0.2"/>
    <row r="4147" ht="9.9499999999999993" hidden="1" customHeight="1" x14ac:dyDescent="0.2"/>
    <row r="4148" ht="9.9499999999999993" hidden="1" customHeight="1" x14ac:dyDescent="0.2"/>
    <row r="4149" ht="9.9499999999999993" hidden="1" customHeight="1" x14ac:dyDescent="0.2"/>
    <row r="4150" ht="9.9499999999999993" hidden="1" customHeight="1" x14ac:dyDescent="0.2"/>
    <row r="4151" ht="9.9499999999999993" hidden="1" customHeight="1" x14ac:dyDescent="0.2"/>
    <row r="4152" ht="9.9499999999999993" hidden="1" customHeight="1" x14ac:dyDescent="0.2"/>
    <row r="4153" ht="9.9499999999999993" hidden="1" customHeight="1" x14ac:dyDescent="0.2"/>
    <row r="4154" ht="9.9499999999999993" hidden="1" customHeight="1" x14ac:dyDescent="0.2"/>
    <row r="4155" ht="9.9499999999999993" hidden="1" customHeight="1" x14ac:dyDescent="0.2"/>
    <row r="4156" ht="9.9499999999999993" hidden="1" customHeight="1" x14ac:dyDescent="0.2"/>
    <row r="4157" ht="9.9499999999999993" hidden="1" customHeight="1" x14ac:dyDescent="0.2"/>
    <row r="4158" ht="9.9499999999999993" hidden="1" customHeight="1" x14ac:dyDescent="0.2"/>
    <row r="4159" ht="9.9499999999999993" hidden="1" customHeight="1" x14ac:dyDescent="0.2"/>
    <row r="4160" ht="9.9499999999999993" hidden="1" customHeight="1" x14ac:dyDescent="0.2"/>
    <row r="4161" ht="9.9499999999999993" hidden="1" customHeight="1" x14ac:dyDescent="0.2"/>
    <row r="4162" ht="9.9499999999999993" hidden="1" customHeight="1" x14ac:dyDescent="0.2"/>
    <row r="4163" ht="9.9499999999999993" hidden="1" customHeight="1" x14ac:dyDescent="0.2"/>
    <row r="4164" ht="9.9499999999999993" hidden="1" customHeight="1" x14ac:dyDescent="0.2"/>
    <row r="4165" ht="9.9499999999999993" hidden="1" customHeight="1" x14ac:dyDescent="0.2"/>
    <row r="4166" ht="9.9499999999999993" hidden="1" customHeight="1" x14ac:dyDescent="0.2"/>
    <row r="4167" ht="9.9499999999999993" hidden="1" customHeight="1" x14ac:dyDescent="0.2"/>
    <row r="4168" ht="9.9499999999999993" hidden="1" customHeight="1" x14ac:dyDescent="0.2"/>
    <row r="4169" ht="9.9499999999999993" hidden="1" customHeight="1" x14ac:dyDescent="0.2"/>
    <row r="4170" ht="9.9499999999999993" hidden="1" customHeight="1" x14ac:dyDescent="0.2"/>
    <row r="4171" ht="9.9499999999999993" hidden="1" customHeight="1" x14ac:dyDescent="0.2"/>
    <row r="4172" ht="9.9499999999999993" hidden="1" customHeight="1" x14ac:dyDescent="0.2"/>
    <row r="4173" ht="9.9499999999999993" hidden="1" customHeight="1" x14ac:dyDescent="0.2"/>
    <row r="4174" ht="9.9499999999999993" hidden="1" customHeight="1" x14ac:dyDescent="0.2"/>
    <row r="4175" ht="9.9499999999999993" hidden="1" customHeight="1" x14ac:dyDescent="0.2"/>
    <row r="4176" ht="9.9499999999999993" hidden="1" customHeight="1" x14ac:dyDescent="0.2"/>
    <row r="4177" ht="9.9499999999999993" hidden="1" customHeight="1" x14ac:dyDescent="0.2"/>
    <row r="4178" ht="9.9499999999999993" hidden="1" customHeight="1" x14ac:dyDescent="0.2"/>
    <row r="4179" ht="9.9499999999999993" hidden="1" customHeight="1" x14ac:dyDescent="0.2"/>
    <row r="4180" ht="9.9499999999999993" hidden="1" customHeight="1" x14ac:dyDescent="0.2"/>
    <row r="4181" ht="9.9499999999999993" hidden="1" customHeight="1" x14ac:dyDescent="0.2"/>
    <row r="4182" ht="9.9499999999999993" hidden="1" customHeight="1" x14ac:dyDescent="0.2"/>
    <row r="4183" ht="9.9499999999999993" hidden="1" customHeight="1" x14ac:dyDescent="0.2"/>
    <row r="4184" ht="9.9499999999999993" hidden="1" customHeight="1" x14ac:dyDescent="0.2"/>
    <row r="4185" ht="9.9499999999999993" hidden="1" customHeight="1" x14ac:dyDescent="0.2"/>
    <row r="4186" ht="9.9499999999999993" hidden="1" customHeight="1" x14ac:dyDescent="0.2"/>
    <row r="4187" ht="9.9499999999999993" hidden="1" customHeight="1" x14ac:dyDescent="0.2"/>
    <row r="4188" ht="9.9499999999999993" hidden="1" customHeight="1" x14ac:dyDescent="0.2"/>
    <row r="4189" ht="9.9499999999999993" hidden="1" customHeight="1" x14ac:dyDescent="0.2"/>
    <row r="4190" ht="9.9499999999999993" hidden="1" customHeight="1" x14ac:dyDescent="0.2"/>
    <row r="4191" ht="9.9499999999999993" hidden="1" customHeight="1" x14ac:dyDescent="0.2"/>
    <row r="4192" ht="9.9499999999999993" hidden="1" customHeight="1" x14ac:dyDescent="0.2"/>
    <row r="4193" ht="9.9499999999999993" hidden="1" customHeight="1" x14ac:dyDescent="0.2"/>
    <row r="4194" ht="9.9499999999999993" hidden="1" customHeight="1" x14ac:dyDescent="0.2"/>
    <row r="4195" ht="9.9499999999999993" hidden="1" customHeight="1" x14ac:dyDescent="0.2"/>
    <row r="4196" ht="9.9499999999999993" hidden="1" customHeight="1" x14ac:dyDescent="0.2"/>
    <row r="4197" ht="9.9499999999999993" hidden="1" customHeight="1" x14ac:dyDescent="0.2"/>
    <row r="4198" ht="9.9499999999999993" hidden="1" customHeight="1" x14ac:dyDescent="0.2"/>
    <row r="4199" ht="9.9499999999999993" hidden="1" customHeight="1" x14ac:dyDescent="0.2"/>
    <row r="4200" ht="9.9499999999999993" hidden="1" customHeight="1" x14ac:dyDescent="0.2"/>
    <row r="4201" ht="9.9499999999999993" hidden="1" customHeight="1" x14ac:dyDescent="0.2"/>
    <row r="4202" ht="9.9499999999999993" hidden="1" customHeight="1" x14ac:dyDescent="0.2"/>
    <row r="4203" ht="9.9499999999999993" hidden="1" customHeight="1" x14ac:dyDescent="0.2"/>
    <row r="4204" ht="9.9499999999999993" hidden="1" customHeight="1" x14ac:dyDescent="0.2"/>
    <row r="4205" ht="9.9499999999999993" hidden="1" customHeight="1" x14ac:dyDescent="0.2"/>
    <row r="4206" ht="9.9499999999999993" hidden="1" customHeight="1" x14ac:dyDescent="0.2"/>
    <row r="4207" ht="9.9499999999999993" hidden="1" customHeight="1" x14ac:dyDescent="0.2"/>
    <row r="4208" ht="9.9499999999999993" hidden="1" customHeight="1" x14ac:dyDescent="0.2"/>
    <row r="4209" ht="9.9499999999999993" hidden="1" customHeight="1" x14ac:dyDescent="0.2"/>
    <row r="4210" ht="9.9499999999999993" hidden="1" customHeight="1" x14ac:dyDescent="0.2"/>
    <row r="4211" ht="9.9499999999999993" hidden="1" customHeight="1" x14ac:dyDescent="0.2"/>
    <row r="4212" ht="9.9499999999999993" hidden="1" customHeight="1" x14ac:dyDescent="0.2"/>
    <row r="4213" ht="9.9499999999999993" hidden="1" customHeight="1" x14ac:dyDescent="0.2"/>
    <row r="4214" ht="9.9499999999999993" hidden="1" customHeight="1" x14ac:dyDescent="0.2"/>
    <row r="4215" ht="9.9499999999999993" hidden="1" customHeight="1" x14ac:dyDescent="0.2"/>
    <row r="4216" ht="9.9499999999999993" hidden="1" customHeight="1" x14ac:dyDescent="0.2"/>
    <row r="4217" ht="9.9499999999999993" hidden="1" customHeight="1" x14ac:dyDescent="0.2"/>
    <row r="4218" ht="9.9499999999999993" hidden="1" customHeight="1" x14ac:dyDescent="0.2"/>
    <row r="4219" ht="9.9499999999999993" hidden="1" customHeight="1" x14ac:dyDescent="0.2"/>
    <row r="4220" ht="9.9499999999999993" hidden="1" customHeight="1" x14ac:dyDescent="0.2"/>
    <row r="4221" ht="9.9499999999999993" hidden="1" customHeight="1" x14ac:dyDescent="0.2"/>
    <row r="4222" ht="9.9499999999999993" hidden="1" customHeight="1" x14ac:dyDescent="0.2"/>
    <row r="4223" ht="9.9499999999999993" hidden="1" customHeight="1" x14ac:dyDescent="0.2"/>
    <row r="4224" ht="9.9499999999999993" hidden="1" customHeight="1" x14ac:dyDescent="0.2"/>
    <row r="4225" ht="9.9499999999999993" hidden="1" customHeight="1" x14ac:dyDescent="0.2"/>
    <row r="4226" ht="9.9499999999999993" hidden="1" customHeight="1" x14ac:dyDescent="0.2"/>
    <row r="4227" ht="9.9499999999999993" hidden="1" customHeight="1" x14ac:dyDescent="0.2"/>
    <row r="4228" ht="9.9499999999999993" hidden="1" customHeight="1" x14ac:dyDescent="0.2"/>
    <row r="4229" ht="9.9499999999999993" hidden="1" customHeight="1" x14ac:dyDescent="0.2"/>
    <row r="4230" ht="9.9499999999999993" hidden="1" customHeight="1" x14ac:dyDescent="0.2"/>
    <row r="4231" ht="9.9499999999999993" hidden="1" customHeight="1" x14ac:dyDescent="0.2"/>
    <row r="4232" ht="9.9499999999999993" hidden="1" customHeight="1" x14ac:dyDescent="0.2"/>
    <row r="4233" ht="9.9499999999999993" hidden="1" customHeight="1" x14ac:dyDescent="0.2"/>
    <row r="4234" ht="9.9499999999999993" hidden="1" customHeight="1" x14ac:dyDescent="0.2"/>
    <row r="4235" ht="9.9499999999999993" hidden="1" customHeight="1" x14ac:dyDescent="0.2"/>
    <row r="4236" ht="9.9499999999999993" hidden="1" customHeight="1" x14ac:dyDescent="0.2"/>
    <row r="4237" ht="9.9499999999999993" hidden="1" customHeight="1" x14ac:dyDescent="0.2"/>
    <row r="4238" ht="9.9499999999999993" hidden="1" customHeight="1" x14ac:dyDescent="0.2"/>
    <row r="4239" ht="9.9499999999999993" hidden="1" customHeight="1" x14ac:dyDescent="0.2"/>
    <row r="4240" ht="9.9499999999999993" hidden="1" customHeight="1" x14ac:dyDescent="0.2"/>
    <row r="4241" ht="9.9499999999999993" hidden="1" customHeight="1" x14ac:dyDescent="0.2"/>
    <row r="4242" ht="9.9499999999999993" hidden="1" customHeight="1" x14ac:dyDescent="0.2"/>
    <row r="4243" ht="9.9499999999999993" hidden="1" customHeight="1" x14ac:dyDescent="0.2"/>
    <row r="4244" ht="9.9499999999999993" hidden="1" customHeight="1" x14ac:dyDescent="0.2"/>
    <row r="4245" ht="9.9499999999999993" hidden="1" customHeight="1" x14ac:dyDescent="0.2"/>
    <row r="4246" ht="9.9499999999999993" hidden="1" customHeight="1" x14ac:dyDescent="0.2"/>
    <row r="4247" ht="9.9499999999999993" hidden="1" customHeight="1" x14ac:dyDescent="0.2"/>
    <row r="4248" ht="9.9499999999999993" hidden="1" customHeight="1" x14ac:dyDescent="0.2"/>
    <row r="4249" ht="9.9499999999999993" hidden="1" customHeight="1" x14ac:dyDescent="0.2"/>
    <row r="4250" ht="9.9499999999999993" hidden="1" customHeight="1" x14ac:dyDescent="0.2"/>
    <row r="4251" ht="9.9499999999999993" hidden="1" customHeight="1" x14ac:dyDescent="0.2"/>
    <row r="4252" ht="9.9499999999999993" hidden="1" customHeight="1" x14ac:dyDescent="0.2"/>
    <row r="4253" ht="9.9499999999999993" hidden="1" customHeight="1" x14ac:dyDescent="0.2"/>
    <row r="4254" ht="9.9499999999999993" hidden="1" customHeight="1" x14ac:dyDescent="0.2"/>
    <row r="4255" ht="9.9499999999999993" hidden="1" customHeight="1" x14ac:dyDescent="0.2"/>
    <row r="4256" ht="9.9499999999999993" hidden="1" customHeight="1" x14ac:dyDescent="0.2"/>
    <row r="4257" ht="9.9499999999999993" hidden="1" customHeight="1" x14ac:dyDescent="0.2"/>
    <row r="4258" ht="9.9499999999999993" hidden="1" customHeight="1" x14ac:dyDescent="0.2"/>
    <row r="4259" ht="9.9499999999999993" hidden="1" customHeight="1" x14ac:dyDescent="0.2"/>
    <row r="4260" ht="9.9499999999999993" hidden="1" customHeight="1" x14ac:dyDescent="0.2"/>
    <row r="4261" ht="9.9499999999999993" hidden="1" customHeight="1" x14ac:dyDescent="0.2"/>
    <row r="4262" ht="9.9499999999999993" hidden="1" customHeight="1" x14ac:dyDescent="0.2"/>
    <row r="4263" ht="9.9499999999999993" hidden="1" customHeight="1" x14ac:dyDescent="0.2"/>
    <row r="4264" ht="9.9499999999999993" hidden="1" customHeight="1" x14ac:dyDescent="0.2"/>
    <row r="4265" ht="9.9499999999999993" hidden="1" customHeight="1" x14ac:dyDescent="0.2"/>
    <row r="4266" ht="9.9499999999999993" hidden="1" customHeight="1" x14ac:dyDescent="0.2"/>
    <row r="4267" ht="9.9499999999999993" hidden="1" customHeight="1" x14ac:dyDescent="0.2"/>
    <row r="4268" ht="9.9499999999999993" hidden="1" customHeight="1" x14ac:dyDescent="0.2"/>
    <row r="4269" ht="9.9499999999999993" hidden="1" customHeight="1" x14ac:dyDescent="0.2"/>
    <row r="4270" ht="9.9499999999999993" hidden="1" customHeight="1" x14ac:dyDescent="0.2"/>
    <row r="4271" ht="9.9499999999999993" hidden="1" customHeight="1" x14ac:dyDescent="0.2"/>
    <row r="4272" ht="9.9499999999999993" hidden="1" customHeight="1" x14ac:dyDescent="0.2"/>
    <row r="4273" ht="9.9499999999999993" hidden="1" customHeight="1" x14ac:dyDescent="0.2"/>
    <row r="4274" ht="9.9499999999999993" hidden="1" customHeight="1" x14ac:dyDescent="0.2"/>
    <row r="4275" ht="9.9499999999999993" hidden="1" customHeight="1" x14ac:dyDescent="0.2"/>
    <row r="4276" ht="9.9499999999999993" hidden="1" customHeight="1" x14ac:dyDescent="0.2"/>
    <row r="4277" ht="9.9499999999999993" hidden="1" customHeight="1" x14ac:dyDescent="0.2"/>
    <row r="4278" ht="9.9499999999999993" hidden="1" customHeight="1" x14ac:dyDescent="0.2"/>
    <row r="4279" ht="9.9499999999999993" hidden="1" customHeight="1" x14ac:dyDescent="0.2"/>
    <row r="4280" ht="9.9499999999999993" hidden="1" customHeight="1" x14ac:dyDescent="0.2"/>
    <row r="4281" ht="9.9499999999999993" hidden="1" customHeight="1" x14ac:dyDescent="0.2"/>
    <row r="4282" ht="9.9499999999999993" hidden="1" customHeight="1" x14ac:dyDescent="0.2"/>
    <row r="4283" ht="9.9499999999999993" hidden="1" customHeight="1" x14ac:dyDescent="0.2"/>
    <row r="4284" ht="9.9499999999999993" hidden="1" customHeight="1" x14ac:dyDescent="0.2"/>
    <row r="4285" ht="9.9499999999999993" hidden="1" customHeight="1" x14ac:dyDescent="0.2"/>
    <row r="4286" ht="9.9499999999999993" hidden="1" customHeight="1" x14ac:dyDescent="0.2"/>
    <row r="4287" ht="9.9499999999999993" hidden="1" customHeight="1" x14ac:dyDescent="0.2"/>
    <row r="4288" ht="9.9499999999999993" hidden="1" customHeight="1" x14ac:dyDescent="0.2"/>
    <row r="4289" ht="9.9499999999999993" hidden="1" customHeight="1" x14ac:dyDescent="0.2"/>
    <row r="4290" ht="9.9499999999999993" hidden="1" customHeight="1" x14ac:dyDescent="0.2"/>
    <row r="4291" ht="9.9499999999999993" hidden="1" customHeight="1" x14ac:dyDescent="0.2"/>
    <row r="4292" ht="9.9499999999999993" hidden="1" customHeight="1" x14ac:dyDescent="0.2"/>
    <row r="4293" ht="9.9499999999999993" hidden="1" customHeight="1" x14ac:dyDescent="0.2"/>
    <row r="4294" ht="9.9499999999999993" hidden="1" customHeight="1" x14ac:dyDescent="0.2"/>
    <row r="4295" ht="9.9499999999999993" hidden="1" customHeight="1" x14ac:dyDescent="0.2"/>
    <row r="4296" ht="9.9499999999999993" hidden="1" customHeight="1" x14ac:dyDescent="0.2"/>
    <row r="4297" ht="9.9499999999999993" hidden="1" customHeight="1" x14ac:dyDescent="0.2"/>
    <row r="4298" ht="9.9499999999999993" hidden="1" customHeight="1" x14ac:dyDescent="0.2"/>
    <row r="4299" ht="9.9499999999999993" hidden="1" customHeight="1" x14ac:dyDescent="0.2"/>
    <row r="4300" ht="9.9499999999999993" hidden="1" customHeight="1" x14ac:dyDescent="0.2"/>
    <row r="4301" ht="9.9499999999999993" hidden="1" customHeight="1" x14ac:dyDescent="0.2"/>
    <row r="4302" ht="9.9499999999999993" hidden="1" customHeight="1" x14ac:dyDescent="0.2"/>
    <row r="4303" ht="9.9499999999999993" hidden="1" customHeight="1" x14ac:dyDescent="0.2"/>
    <row r="4304" ht="9.9499999999999993" hidden="1" customHeight="1" x14ac:dyDescent="0.2"/>
    <row r="4305" ht="9.9499999999999993" hidden="1" customHeight="1" x14ac:dyDescent="0.2"/>
    <row r="4306" ht="9.9499999999999993" hidden="1" customHeight="1" x14ac:dyDescent="0.2"/>
    <row r="4307" ht="9.9499999999999993" hidden="1" customHeight="1" x14ac:dyDescent="0.2"/>
    <row r="4308" ht="9.9499999999999993" hidden="1" customHeight="1" x14ac:dyDescent="0.2"/>
    <row r="4309" ht="9.9499999999999993" hidden="1" customHeight="1" x14ac:dyDescent="0.2"/>
    <row r="4310" ht="9.9499999999999993" hidden="1" customHeight="1" x14ac:dyDescent="0.2"/>
    <row r="4311" ht="9.9499999999999993" hidden="1" customHeight="1" x14ac:dyDescent="0.2"/>
    <row r="4312" ht="9.9499999999999993" hidden="1" customHeight="1" x14ac:dyDescent="0.2"/>
    <row r="4313" ht="9.9499999999999993" hidden="1" customHeight="1" x14ac:dyDescent="0.2"/>
    <row r="4314" ht="9.9499999999999993" hidden="1" customHeight="1" x14ac:dyDescent="0.2"/>
    <row r="4315" ht="9.9499999999999993" hidden="1" customHeight="1" x14ac:dyDescent="0.2"/>
    <row r="4316" ht="9.9499999999999993" hidden="1" customHeight="1" x14ac:dyDescent="0.2"/>
    <row r="4317" ht="9.9499999999999993" hidden="1" customHeight="1" x14ac:dyDescent="0.2"/>
    <row r="4318" ht="9.9499999999999993" hidden="1" customHeight="1" x14ac:dyDescent="0.2"/>
    <row r="4319" ht="9.9499999999999993" hidden="1" customHeight="1" x14ac:dyDescent="0.2"/>
    <row r="4320" ht="9.9499999999999993" hidden="1" customHeight="1" x14ac:dyDescent="0.2"/>
    <row r="4321" ht="9.9499999999999993" hidden="1" customHeight="1" x14ac:dyDescent="0.2"/>
    <row r="4322" ht="9.9499999999999993" hidden="1" customHeight="1" x14ac:dyDescent="0.2"/>
    <row r="4323" ht="9.9499999999999993" hidden="1" customHeight="1" x14ac:dyDescent="0.2"/>
    <row r="4324" ht="9.9499999999999993" hidden="1" customHeight="1" x14ac:dyDescent="0.2"/>
    <row r="4325" ht="9.9499999999999993" hidden="1" customHeight="1" x14ac:dyDescent="0.2"/>
    <row r="4326" ht="9.9499999999999993" hidden="1" customHeight="1" x14ac:dyDescent="0.2"/>
    <row r="4327" ht="9.9499999999999993" hidden="1" customHeight="1" x14ac:dyDescent="0.2"/>
    <row r="4328" ht="9.9499999999999993" hidden="1" customHeight="1" x14ac:dyDescent="0.2"/>
    <row r="4329" ht="9.9499999999999993" hidden="1" customHeight="1" x14ac:dyDescent="0.2"/>
    <row r="4330" ht="9.9499999999999993" hidden="1" customHeight="1" x14ac:dyDescent="0.2"/>
    <row r="4331" ht="9.9499999999999993" hidden="1" customHeight="1" x14ac:dyDescent="0.2"/>
    <row r="4332" ht="9.9499999999999993" hidden="1" customHeight="1" x14ac:dyDescent="0.2"/>
    <row r="4333" ht="9.9499999999999993" hidden="1" customHeight="1" x14ac:dyDescent="0.2"/>
    <row r="4334" ht="9.9499999999999993" hidden="1" customHeight="1" x14ac:dyDescent="0.2"/>
    <row r="4335" ht="9.9499999999999993" hidden="1" customHeight="1" x14ac:dyDescent="0.2"/>
    <row r="4336" ht="9.9499999999999993" hidden="1" customHeight="1" x14ac:dyDescent="0.2"/>
    <row r="4337" ht="9.9499999999999993" hidden="1" customHeight="1" x14ac:dyDescent="0.2"/>
    <row r="4338" ht="9.9499999999999993" hidden="1" customHeight="1" x14ac:dyDescent="0.2"/>
    <row r="4339" ht="9.9499999999999993" hidden="1" customHeight="1" x14ac:dyDescent="0.2"/>
    <row r="4340" ht="9.9499999999999993" hidden="1" customHeight="1" x14ac:dyDescent="0.2"/>
    <row r="4341" ht="9.9499999999999993" hidden="1" customHeight="1" x14ac:dyDescent="0.2"/>
    <row r="4342" ht="9.9499999999999993" hidden="1" customHeight="1" x14ac:dyDescent="0.2"/>
    <row r="4343" ht="9.9499999999999993" hidden="1" customHeight="1" x14ac:dyDescent="0.2"/>
    <row r="4344" ht="9.9499999999999993" hidden="1" customHeight="1" x14ac:dyDescent="0.2"/>
    <row r="4345" ht="9.9499999999999993" hidden="1" customHeight="1" x14ac:dyDescent="0.2"/>
    <row r="4346" ht="9.9499999999999993" hidden="1" customHeight="1" x14ac:dyDescent="0.2"/>
    <row r="4347" ht="9.9499999999999993" hidden="1" customHeight="1" x14ac:dyDescent="0.2"/>
    <row r="4348" ht="9.9499999999999993" hidden="1" customHeight="1" x14ac:dyDescent="0.2"/>
    <row r="4349" ht="9.9499999999999993" hidden="1" customHeight="1" x14ac:dyDescent="0.2"/>
    <row r="4350" ht="9.9499999999999993" hidden="1" customHeight="1" x14ac:dyDescent="0.2"/>
    <row r="4351" ht="9.9499999999999993" hidden="1" customHeight="1" x14ac:dyDescent="0.2"/>
    <row r="4352" ht="9.9499999999999993" hidden="1" customHeight="1" x14ac:dyDescent="0.2"/>
    <row r="4353" ht="9.9499999999999993" hidden="1" customHeight="1" x14ac:dyDescent="0.2"/>
    <row r="4354" ht="9.9499999999999993" hidden="1" customHeight="1" x14ac:dyDescent="0.2"/>
    <row r="4355" ht="9.9499999999999993" hidden="1" customHeight="1" x14ac:dyDescent="0.2"/>
    <row r="4356" ht="9.9499999999999993" hidden="1" customHeight="1" x14ac:dyDescent="0.2"/>
    <row r="4357" ht="9.9499999999999993" hidden="1" customHeight="1" x14ac:dyDescent="0.2"/>
    <row r="4358" ht="9.9499999999999993" hidden="1" customHeight="1" x14ac:dyDescent="0.2"/>
    <row r="4359" ht="9.9499999999999993" hidden="1" customHeight="1" x14ac:dyDescent="0.2"/>
    <row r="4360" ht="9.9499999999999993" hidden="1" customHeight="1" x14ac:dyDescent="0.2"/>
    <row r="4361" ht="9.9499999999999993" hidden="1" customHeight="1" x14ac:dyDescent="0.2"/>
    <row r="4362" ht="9.9499999999999993" hidden="1" customHeight="1" x14ac:dyDescent="0.2"/>
    <row r="4363" ht="9.9499999999999993" hidden="1" customHeight="1" x14ac:dyDescent="0.2"/>
    <row r="4364" ht="9.9499999999999993" hidden="1" customHeight="1" x14ac:dyDescent="0.2"/>
    <row r="4365" ht="9.9499999999999993" hidden="1" customHeight="1" x14ac:dyDescent="0.2"/>
    <row r="4366" ht="9.9499999999999993" hidden="1" customHeight="1" x14ac:dyDescent="0.2"/>
    <row r="4367" ht="9.9499999999999993" hidden="1" customHeight="1" x14ac:dyDescent="0.2"/>
    <row r="4368" ht="9.9499999999999993" hidden="1" customHeight="1" x14ac:dyDescent="0.2"/>
    <row r="4369" ht="9.9499999999999993" hidden="1" customHeight="1" x14ac:dyDescent="0.2"/>
    <row r="4370" ht="9.9499999999999993" hidden="1" customHeight="1" x14ac:dyDescent="0.2"/>
    <row r="4371" ht="9.9499999999999993" hidden="1" customHeight="1" x14ac:dyDescent="0.2"/>
    <row r="4372" ht="9.9499999999999993" hidden="1" customHeight="1" x14ac:dyDescent="0.2"/>
    <row r="4373" ht="9.9499999999999993" hidden="1" customHeight="1" x14ac:dyDescent="0.2"/>
    <row r="4374" ht="9.9499999999999993" hidden="1" customHeight="1" x14ac:dyDescent="0.2"/>
    <row r="4375" ht="9.9499999999999993" hidden="1" customHeight="1" x14ac:dyDescent="0.2"/>
    <row r="4376" ht="9.9499999999999993" hidden="1" customHeight="1" x14ac:dyDescent="0.2"/>
    <row r="4377" ht="9.9499999999999993" hidden="1" customHeight="1" x14ac:dyDescent="0.2"/>
    <row r="4378" ht="9.9499999999999993" hidden="1" customHeight="1" x14ac:dyDescent="0.2"/>
    <row r="4379" ht="9.9499999999999993" hidden="1" customHeight="1" x14ac:dyDescent="0.2"/>
    <row r="4380" ht="9.9499999999999993" hidden="1" customHeight="1" x14ac:dyDescent="0.2"/>
    <row r="4381" ht="9.9499999999999993" hidden="1" customHeight="1" x14ac:dyDescent="0.2"/>
    <row r="4382" ht="9.9499999999999993" hidden="1" customHeight="1" x14ac:dyDescent="0.2"/>
    <row r="4383" ht="9.9499999999999993" hidden="1" customHeight="1" x14ac:dyDescent="0.2"/>
    <row r="4384" ht="9.9499999999999993" hidden="1" customHeight="1" x14ac:dyDescent="0.2"/>
    <row r="4385" ht="9.9499999999999993" hidden="1" customHeight="1" x14ac:dyDescent="0.2"/>
    <row r="4386" ht="9.9499999999999993" hidden="1" customHeight="1" x14ac:dyDescent="0.2"/>
    <row r="4387" ht="9.9499999999999993" hidden="1" customHeight="1" x14ac:dyDescent="0.2"/>
    <row r="4388" ht="9.9499999999999993" hidden="1" customHeight="1" x14ac:dyDescent="0.2"/>
    <row r="4389" ht="9.9499999999999993" hidden="1" customHeight="1" x14ac:dyDescent="0.2"/>
    <row r="4390" ht="9.9499999999999993" hidden="1" customHeight="1" x14ac:dyDescent="0.2"/>
    <row r="4391" ht="9.9499999999999993" hidden="1" customHeight="1" x14ac:dyDescent="0.2"/>
    <row r="4392" ht="9.9499999999999993" hidden="1" customHeight="1" x14ac:dyDescent="0.2"/>
    <row r="4393" ht="9.9499999999999993" hidden="1" customHeight="1" x14ac:dyDescent="0.2"/>
    <row r="4394" ht="9.9499999999999993" hidden="1" customHeight="1" x14ac:dyDescent="0.2"/>
    <row r="4395" ht="9.9499999999999993" hidden="1" customHeight="1" x14ac:dyDescent="0.2"/>
    <row r="4396" ht="9.9499999999999993" hidden="1" customHeight="1" x14ac:dyDescent="0.2"/>
    <row r="4397" ht="9.9499999999999993" hidden="1" customHeight="1" x14ac:dyDescent="0.2"/>
    <row r="4398" ht="9.9499999999999993" hidden="1" customHeight="1" x14ac:dyDescent="0.2"/>
    <row r="4399" ht="9.9499999999999993" hidden="1" customHeight="1" x14ac:dyDescent="0.2"/>
    <row r="4400" ht="9.9499999999999993" hidden="1" customHeight="1" x14ac:dyDescent="0.2"/>
    <row r="4401" ht="9.9499999999999993" hidden="1" customHeight="1" x14ac:dyDescent="0.2"/>
    <row r="4402" ht="9.9499999999999993" hidden="1" customHeight="1" x14ac:dyDescent="0.2"/>
    <row r="4403" ht="9.9499999999999993" hidden="1" customHeight="1" x14ac:dyDescent="0.2"/>
    <row r="4404" ht="9.9499999999999993" hidden="1" customHeight="1" x14ac:dyDescent="0.2"/>
    <row r="4405" ht="9.9499999999999993" hidden="1" customHeight="1" x14ac:dyDescent="0.2"/>
    <row r="4406" ht="9.9499999999999993" hidden="1" customHeight="1" x14ac:dyDescent="0.2"/>
    <row r="4407" ht="9.9499999999999993" hidden="1" customHeight="1" x14ac:dyDescent="0.2"/>
    <row r="4408" ht="9.9499999999999993" hidden="1" customHeight="1" x14ac:dyDescent="0.2"/>
    <row r="4409" ht="9.9499999999999993" hidden="1" customHeight="1" x14ac:dyDescent="0.2"/>
    <row r="4410" ht="9.9499999999999993" hidden="1" customHeight="1" x14ac:dyDescent="0.2"/>
    <row r="4411" ht="9.9499999999999993" hidden="1" customHeight="1" x14ac:dyDescent="0.2"/>
    <row r="4412" ht="9.9499999999999993" hidden="1" customHeight="1" x14ac:dyDescent="0.2"/>
    <row r="4413" ht="9.9499999999999993" hidden="1" customHeight="1" x14ac:dyDescent="0.2"/>
    <row r="4414" ht="9.9499999999999993" hidden="1" customHeight="1" x14ac:dyDescent="0.2"/>
    <row r="4415" ht="9.9499999999999993" hidden="1" customHeight="1" x14ac:dyDescent="0.2"/>
    <row r="4416" ht="9.9499999999999993" hidden="1" customHeight="1" x14ac:dyDescent="0.2"/>
    <row r="4417" ht="9.9499999999999993" hidden="1" customHeight="1" x14ac:dyDescent="0.2"/>
    <row r="4418" ht="9.9499999999999993" hidden="1" customHeight="1" x14ac:dyDescent="0.2"/>
    <row r="4419" ht="9.9499999999999993" hidden="1" customHeight="1" x14ac:dyDescent="0.2"/>
    <row r="4420" ht="9.9499999999999993" hidden="1" customHeight="1" x14ac:dyDescent="0.2"/>
    <row r="4421" ht="9.9499999999999993" hidden="1" customHeight="1" x14ac:dyDescent="0.2"/>
    <row r="4422" ht="9.9499999999999993" hidden="1" customHeight="1" x14ac:dyDescent="0.2"/>
    <row r="4423" ht="9.9499999999999993" hidden="1" customHeight="1" x14ac:dyDescent="0.2"/>
    <row r="4424" ht="9.9499999999999993" hidden="1" customHeight="1" x14ac:dyDescent="0.2"/>
    <row r="4425" ht="9.9499999999999993" hidden="1" customHeight="1" x14ac:dyDescent="0.2"/>
    <row r="4426" ht="9.9499999999999993" hidden="1" customHeight="1" x14ac:dyDescent="0.2"/>
    <row r="4427" ht="9.9499999999999993" hidden="1" customHeight="1" x14ac:dyDescent="0.2"/>
    <row r="4428" ht="9.9499999999999993" hidden="1" customHeight="1" x14ac:dyDescent="0.2"/>
    <row r="4429" ht="9.9499999999999993" hidden="1" customHeight="1" x14ac:dyDescent="0.2"/>
    <row r="4430" ht="9.9499999999999993" hidden="1" customHeight="1" x14ac:dyDescent="0.2"/>
    <row r="4431" ht="9.9499999999999993" hidden="1" customHeight="1" x14ac:dyDescent="0.2"/>
    <row r="4432" ht="9.9499999999999993" hidden="1" customHeight="1" x14ac:dyDescent="0.2"/>
    <row r="4433" ht="9.9499999999999993" hidden="1" customHeight="1" x14ac:dyDescent="0.2"/>
    <row r="4434" ht="9.9499999999999993" hidden="1" customHeight="1" x14ac:dyDescent="0.2"/>
    <row r="4435" ht="9.9499999999999993" hidden="1" customHeight="1" x14ac:dyDescent="0.2"/>
    <row r="4436" ht="9.9499999999999993" hidden="1" customHeight="1" x14ac:dyDescent="0.2"/>
    <row r="4437" ht="9.9499999999999993" hidden="1" customHeight="1" x14ac:dyDescent="0.2"/>
    <row r="4438" ht="9.9499999999999993" hidden="1" customHeight="1" x14ac:dyDescent="0.2"/>
    <row r="4439" ht="9.9499999999999993" hidden="1" customHeight="1" x14ac:dyDescent="0.2"/>
    <row r="4440" ht="9.9499999999999993" hidden="1" customHeight="1" x14ac:dyDescent="0.2"/>
    <row r="4441" ht="9.9499999999999993" hidden="1" customHeight="1" x14ac:dyDescent="0.2"/>
    <row r="4442" ht="9.9499999999999993" hidden="1" customHeight="1" x14ac:dyDescent="0.2"/>
    <row r="4443" ht="9.9499999999999993" hidden="1" customHeight="1" x14ac:dyDescent="0.2"/>
    <row r="4444" ht="9.9499999999999993" hidden="1" customHeight="1" x14ac:dyDescent="0.2"/>
    <row r="4445" ht="9.9499999999999993" hidden="1" customHeight="1" x14ac:dyDescent="0.2"/>
    <row r="4446" ht="9.9499999999999993" hidden="1" customHeight="1" x14ac:dyDescent="0.2"/>
    <row r="4447" ht="9.9499999999999993" hidden="1" customHeight="1" x14ac:dyDescent="0.2"/>
    <row r="4448" ht="9.9499999999999993" hidden="1" customHeight="1" x14ac:dyDescent="0.2"/>
    <row r="4449" ht="9.9499999999999993" hidden="1" customHeight="1" x14ac:dyDescent="0.2"/>
    <row r="4450" ht="9.9499999999999993" hidden="1" customHeight="1" x14ac:dyDescent="0.2"/>
    <row r="4451" ht="9.9499999999999993" hidden="1" customHeight="1" x14ac:dyDescent="0.2"/>
    <row r="4452" ht="9.9499999999999993" hidden="1" customHeight="1" x14ac:dyDescent="0.2"/>
    <row r="4453" ht="9.9499999999999993" hidden="1" customHeight="1" x14ac:dyDescent="0.2"/>
    <row r="4454" ht="9.9499999999999993" hidden="1" customHeight="1" x14ac:dyDescent="0.2"/>
    <row r="4455" ht="9.9499999999999993" hidden="1" customHeight="1" x14ac:dyDescent="0.2"/>
    <row r="4456" ht="9.9499999999999993" hidden="1" customHeight="1" x14ac:dyDescent="0.2"/>
    <row r="4457" ht="9.9499999999999993" hidden="1" customHeight="1" x14ac:dyDescent="0.2"/>
    <row r="4458" ht="9.9499999999999993" hidden="1" customHeight="1" x14ac:dyDescent="0.2"/>
    <row r="4459" ht="9.9499999999999993" hidden="1" customHeight="1" x14ac:dyDescent="0.2"/>
    <row r="4460" ht="9.9499999999999993" hidden="1" customHeight="1" x14ac:dyDescent="0.2"/>
    <row r="4461" ht="9.9499999999999993" hidden="1" customHeight="1" x14ac:dyDescent="0.2"/>
    <row r="4462" ht="9.9499999999999993" hidden="1" customHeight="1" x14ac:dyDescent="0.2"/>
    <row r="4463" ht="9.9499999999999993" hidden="1" customHeight="1" x14ac:dyDescent="0.2"/>
    <row r="4464" ht="9.9499999999999993" hidden="1" customHeight="1" x14ac:dyDescent="0.2"/>
    <row r="4465" ht="9.9499999999999993" hidden="1" customHeight="1" x14ac:dyDescent="0.2"/>
    <row r="4466" ht="9.9499999999999993" hidden="1" customHeight="1" x14ac:dyDescent="0.2"/>
    <row r="4467" ht="9.9499999999999993" hidden="1" customHeight="1" x14ac:dyDescent="0.2"/>
    <row r="4468" ht="9.9499999999999993" hidden="1" customHeight="1" x14ac:dyDescent="0.2"/>
    <row r="4469" ht="9.9499999999999993" hidden="1" customHeight="1" x14ac:dyDescent="0.2"/>
    <row r="4470" ht="9.9499999999999993" hidden="1" customHeight="1" x14ac:dyDescent="0.2"/>
    <row r="4471" ht="9.9499999999999993" hidden="1" customHeight="1" x14ac:dyDescent="0.2"/>
    <row r="4472" ht="9.9499999999999993" hidden="1" customHeight="1" x14ac:dyDescent="0.2"/>
    <row r="4473" ht="9.9499999999999993" hidden="1" customHeight="1" x14ac:dyDescent="0.2"/>
    <row r="4474" ht="9.9499999999999993" hidden="1" customHeight="1" x14ac:dyDescent="0.2"/>
    <row r="4475" ht="9.9499999999999993" hidden="1" customHeight="1" x14ac:dyDescent="0.2"/>
    <row r="4476" ht="9.9499999999999993" hidden="1" customHeight="1" x14ac:dyDescent="0.2"/>
    <row r="4477" ht="9.9499999999999993" hidden="1" customHeight="1" x14ac:dyDescent="0.2"/>
    <row r="4478" ht="9.9499999999999993" hidden="1" customHeight="1" x14ac:dyDescent="0.2"/>
    <row r="4479" ht="9.9499999999999993" hidden="1" customHeight="1" x14ac:dyDescent="0.2"/>
    <row r="4480" ht="9.9499999999999993" hidden="1" customHeight="1" x14ac:dyDescent="0.2"/>
    <row r="4481" ht="9.9499999999999993" hidden="1" customHeight="1" x14ac:dyDescent="0.2"/>
    <row r="4482" ht="9.9499999999999993" hidden="1" customHeight="1" x14ac:dyDescent="0.2"/>
    <row r="4483" ht="9.9499999999999993" hidden="1" customHeight="1" x14ac:dyDescent="0.2"/>
    <row r="4484" ht="9.9499999999999993" hidden="1" customHeight="1" x14ac:dyDescent="0.2"/>
    <row r="4485" ht="9.9499999999999993" hidden="1" customHeight="1" x14ac:dyDescent="0.2"/>
    <row r="4486" ht="9.9499999999999993" hidden="1" customHeight="1" x14ac:dyDescent="0.2"/>
    <row r="4487" ht="9.9499999999999993" hidden="1" customHeight="1" x14ac:dyDescent="0.2"/>
    <row r="4488" ht="9.9499999999999993" hidden="1" customHeight="1" x14ac:dyDescent="0.2"/>
    <row r="4489" ht="9.9499999999999993" hidden="1" customHeight="1" x14ac:dyDescent="0.2"/>
    <row r="4490" ht="9.9499999999999993" hidden="1" customHeight="1" x14ac:dyDescent="0.2"/>
    <row r="4491" ht="9.9499999999999993" hidden="1" customHeight="1" x14ac:dyDescent="0.2"/>
    <row r="4492" ht="9.9499999999999993" hidden="1" customHeight="1" x14ac:dyDescent="0.2"/>
    <row r="4493" ht="9.9499999999999993" hidden="1" customHeight="1" x14ac:dyDescent="0.2"/>
    <row r="4494" ht="9.9499999999999993" hidden="1" customHeight="1" x14ac:dyDescent="0.2"/>
    <row r="4495" ht="9.9499999999999993" hidden="1" customHeight="1" x14ac:dyDescent="0.2"/>
    <row r="4496" ht="9.9499999999999993" hidden="1" customHeight="1" x14ac:dyDescent="0.2"/>
    <row r="4497" ht="9.9499999999999993" hidden="1" customHeight="1" x14ac:dyDescent="0.2"/>
    <row r="4498" ht="9.9499999999999993" hidden="1" customHeight="1" x14ac:dyDescent="0.2"/>
    <row r="4499" ht="9.9499999999999993" hidden="1" customHeight="1" x14ac:dyDescent="0.2"/>
    <row r="4500" ht="9.9499999999999993" hidden="1" customHeight="1" x14ac:dyDescent="0.2"/>
    <row r="4501" ht="9.9499999999999993" hidden="1" customHeight="1" x14ac:dyDescent="0.2"/>
    <row r="4502" ht="9.9499999999999993" hidden="1" customHeight="1" x14ac:dyDescent="0.2"/>
    <row r="4503" ht="9.9499999999999993" hidden="1" customHeight="1" x14ac:dyDescent="0.2"/>
    <row r="4504" ht="9.9499999999999993" hidden="1" customHeight="1" x14ac:dyDescent="0.2"/>
    <row r="4505" ht="9.9499999999999993" hidden="1" customHeight="1" x14ac:dyDescent="0.2"/>
    <row r="4506" ht="9.9499999999999993" hidden="1" customHeight="1" x14ac:dyDescent="0.2"/>
    <row r="4507" ht="9.9499999999999993" hidden="1" customHeight="1" x14ac:dyDescent="0.2"/>
    <row r="4508" ht="9.9499999999999993" hidden="1" customHeight="1" x14ac:dyDescent="0.2"/>
    <row r="4509" ht="9.9499999999999993" hidden="1" customHeight="1" x14ac:dyDescent="0.2"/>
    <row r="4510" ht="9.9499999999999993" hidden="1" customHeight="1" x14ac:dyDescent="0.2"/>
    <row r="4511" ht="9.9499999999999993" hidden="1" customHeight="1" x14ac:dyDescent="0.2"/>
    <row r="4512" ht="9.9499999999999993" hidden="1" customHeight="1" x14ac:dyDescent="0.2"/>
    <row r="4513" ht="9.9499999999999993" hidden="1" customHeight="1" x14ac:dyDescent="0.2"/>
    <row r="4514" ht="9.9499999999999993" hidden="1" customHeight="1" x14ac:dyDescent="0.2"/>
    <row r="4515" ht="9.9499999999999993" hidden="1" customHeight="1" x14ac:dyDescent="0.2"/>
    <row r="4516" ht="9.9499999999999993" hidden="1" customHeight="1" x14ac:dyDescent="0.2"/>
    <row r="4517" ht="9.9499999999999993" hidden="1" customHeight="1" x14ac:dyDescent="0.2"/>
    <row r="4518" ht="9.9499999999999993" hidden="1" customHeight="1" x14ac:dyDescent="0.2"/>
    <row r="4519" ht="9.9499999999999993" hidden="1" customHeight="1" x14ac:dyDescent="0.2"/>
    <row r="4520" ht="9.9499999999999993" hidden="1" customHeight="1" x14ac:dyDescent="0.2"/>
    <row r="4521" ht="9.9499999999999993" hidden="1" customHeight="1" x14ac:dyDescent="0.2"/>
    <row r="4522" ht="9.9499999999999993" hidden="1" customHeight="1" x14ac:dyDescent="0.2"/>
    <row r="4523" ht="9.9499999999999993" hidden="1" customHeight="1" x14ac:dyDescent="0.2"/>
    <row r="4524" ht="9.9499999999999993" hidden="1" customHeight="1" x14ac:dyDescent="0.2"/>
    <row r="4525" ht="9.9499999999999993" hidden="1" customHeight="1" x14ac:dyDescent="0.2"/>
    <row r="4526" ht="9.9499999999999993" hidden="1" customHeight="1" x14ac:dyDescent="0.2"/>
    <row r="4527" ht="9.9499999999999993" hidden="1" customHeight="1" x14ac:dyDescent="0.2"/>
    <row r="4528" ht="9.9499999999999993" hidden="1" customHeight="1" x14ac:dyDescent="0.2"/>
    <row r="4529" ht="9.9499999999999993" hidden="1" customHeight="1" x14ac:dyDescent="0.2"/>
    <row r="4530" ht="9.9499999999999993" hidden="1" customHeight="1" x14ac:dyDescent="0.2"/>
    <row r="4531" ht="9.9499999999999993" hidden="1" customHeight="1" x14ac:dyDescent="0.2"/>
    <row r="4532" ht="9.9499999999999993" hidden="1" customHeight="1" x14ac:dyDescent="0.2"/>
    <row r="4533" ht="9.9499999999999993" hidden="1" customHeight="1" x14ac:dyDescent="0.2"/>
    <row r="4534" ht="9.9499999999999993" hidden="1" customHeight="1" x14ac:dyDescent="0.2"/>
    <row r="4535" ht="9.9499999999999993" hidden="1" customHeight="1" x14ac:dyDescent="0.2"/>
    <row r="4536" ht="9.9499999999999993" hidden="1" customHeight="1" x14ac:dyDescent="0.2"/>
    <row r="4537" ht="9.9499999999999993" hidden="1" customHeight="1" x14ac:dyDescent="0.2"/>
    <row r="4538" ht="9.9499999999999993" hidden="1" customHeight="1" x14ac:dyDescent="0.2"/>
    <row r="4539" ht="9.9499999999999993" hidden="1" customHeight="1" x14ac:dyDescent="0.2"/>
    <row r="4540" ht="9.9499999999999993" hidden="1" customHeight="1" x14ac:dyDescent="0.2"/>
    <row r="4541" ht="9.9499999999999993" hidden="1" customHeight="1" x14ac:dyDescent="0.2"/>
    <row r="4542" ht="9.9499999999999993" hidden="1" customHeight="1" x14ac:dyDescent="0.2"/>
    <row r="4543" ht="9.9499999999999993" hidden="1" customHeight="1" x14ac:dyDescent="0.2"/>
    <row r="4544" ht="9.9499999999999993" hidden="1" customHeight="1" x14ac:dyDescent="0.2"/>
    <row r="4545" ht="9.9499999999999993" hidden="1" customHeight="1" x14ac:dyDescent="0.2"/>
    <row r="4546" ht="9.9499999999999993" hidden="1" customHeight="1" x14ac:dyDescent="0.2"/>
    <row r="4547" ht="9.9499999999999993" hidden="1" customHeight="1" x14ac:dyDescent="0.2"/>
    <row r="4548" ht="9.9499999999999993" hidden="1" customHeight="1" x14ac:dyDescent="0.2"/>
    <row r="4549" ht="9.9499999999999993" hidden="1" customHeight="1" x14ac:dyDescent="0.2"/>
    <row r="4550" ht="9.9499999999999993" hidden="1" customHeight="1" x14ac:dyDescent="0.2"/>
    <row r="4551" ht="9.9499999999999993" hidden="1" customHeight="1" x14ac:dyDescent="0.2"/>
    <row r="4552" ht="9.9499999999999993" hidden="1" customHeight="1" x14ac:dyDescent="0.2"/>
    <row r="4553" ht="9.9499999999999993" hidden="1" customHeight="1" x14ac:dyDescent="0.2"/>
    <row r="4554" ht="9.9499999999999993" hidden="1" customHeight="1" x14ac:dyDescent="0.2"/>
    <row r="4555" ht="9.9499999999999993" hidden="1" customHeight="1" x14ac:dyDescent="0.2"/>
    <row r="4556" ht="9.9499999999999993" hidden="1" customHeight="1" x14ac:dyDescent="0.2"/>
    <row r="4557" ht="9.9499999999999993" hidden="1" customHeight="1" x14ac:dyDescent="0.2"/>
    <row r="4558" ht="9.9499999999999993" hidden="1" customHeight="1" x14ac:dyDescent="0.2"/>
    <row r="4559" ht="9.9499999999999993" hidden="1" customHeight="1" x14ac:dyDescent="0.2"/>
    <row r="4560" ht="9.9499999999999993" hidden="1" customHeight="1" x14ac:dyDescent="0.2"/>
    <row r="4561" ht="9.9499999999999993" hidden="1" customHeight="1" x14ac:dyDescent="0.2"/>
    <row r="4562" ht="9.9499999999999993" hidden="1" customHeight="1" x14ac:dyDescent="0.2"/>
    <row r="4563" ht="9.9499999999999993" hidden="1" customHeight="1" x14ac:dyDescent="0.2"/>
    <row r="4564" ht="9.9499999999999993" hidden="1" customHeight="1" x14ac:dyDescent="0.2"/>
    <row r="4565" ht="9.9499999999999993" hidden="1" customHeight="1" x14ac:dyDescent="0.2"/>
    <row r="4566" ht="9.9499999999999993" hidden="1" customHeight="1" x14ac:dyDescent="0.2"/>
    <row r="4567" ht="9.9499999999999993" hidden="1" customHeight="1" x14ac:dyDescent="0.2"/>
    <row r="4568" ht="9.9499999999999993" hidden="1" customHeight="1" x14ac:dyDescent="0.2"/>
    <row r="4569" ht="9.9499999999999993" hidden="1" customHeight="1" x14ac:dyDescent="0.2"/>
    <row r="4570" ht="9.9499999999999993" hidden="1" customHeight="1" x14ac:dyDescent="0.2"/>
    <row r="4571" ht="9.9499999999999993" hidden="1" customHeight="1" x14ac:dyDescent="0.2"/>
    <row r="4572" ht="9.9499999999999993" hidden="1" customHeight="1" x14ac:dyDescent="0.2"/>
    <row r="4573" ht="9.9499999999999993" hidden="1" customHeight="1" x14ac:dyDescent="0.2"/>
    <row r="4574" ht="9.9499999999999993" hidden="1" customHeight="1" x14ac:dyDescent="0.2"/>
    <row r="4575" ht="9.9499999999999993" hidden="1" customHeight="1" x14ac:dyDescent="0.2"/>
    <row r="4576" ht="9.9499999999999993" hidden="1" customHeight="1" x14ac:dyDescent="0.2"/>
    <row r="4577" ht="9.9499999999999993" hidden="1" customHeight="1" x14ac:dyDescent="0.2"/>
    <row r="4578" ht="9.9499999999999993" hidden="1" customHeight="1" x14ac:dyDescent="0.2"/>
    <row r="4579" ht="9.9499999999999993" hidden="1" customHeight="1" x14ac:dyDescent="0.2"/>
    <row r="4580" ht="9.9499999999999993" hidden="1" customHeight="1" x14ac:dyDescent="0.2"/>
    <row r="4581" ht="9.9499999999999993" hidden="1" customHeight="1" x14ac:dyDescent="0.2"/>
    <row r="4582" ht="9.9499999999999993" hidden="1" customHeight="1" x14ac:dyDescent="0.2"/>
    <row r="4583" ht="9.9499999999999993" hidden="1" customHeight="1" x14ac:dyDescent="0.2"/>
    <row r="4584" ht="9.9499999999999993" hidden="1" customHeight="1" x14ac:dyDescent="0.2"/>
    <row r="4585" ht="9.9499999999999993" hidden="1" customHeight="1" x14ac:dyDescent="0.2"/>
    <row r="4586" ht="9.9499999999999993" hidden="1" customHeight="1" x14ac:dyDescent="0.2"/>
    <row r="4587" ht="9.9499999999999993" hidden="1" customHeight="1" x14ac:dyDescent="0.2"/>
    <row r="4588" ht="9.9499999999999993" hidden="1" customHeight="1" x14ac:dyDescent="0.2"/>
    <row r="4589" ht="9.9499999999999993" hidden="1" customHeight="1" x14ac:dyDescent="0.2"/>
    <row r="4590" ht="9.9499999999999993" hidden="1" customHeight="1" x14ac:dyDescent="0.2"/>
    <row r="4591" ht="9.9499999999999993" hidden="1" customHeight="1" x14ac:dyDescent="0.2"/>
    <row r="4592" ht="9.9499999999999993" hidden="1" customHeight="1" x14ac:dyDescent="0.2"/>
    <row r="4593" ht="9.9499999999999993" hidden="1" customHeight="1" x14ac:dyDescent="0.2"/>
    <row r="4594" ht="9.9499999999999993" hidden="1" customHeight="1" x14ac:dyDescent="0.2"/>
    <row r="4595" ht="9.9499999999999993" hidden="1" customHeight="1" x14ac:dyDescent="0.2"/>
    <row r="4596" ht="9.9499999999999993" hidden="1" customHeight="1" x14ac:dyDescent="0.2"/>
    <row r="4597" ht="9.9499999999999993" hidden="1" customHeight="1" x14ac:dyDescent="0.2"/>
    <row r="4598" ht="9.9499999999999993" hidden="1" customHeight="1" x14ac:dyDescent="0.2"/>
    <row r="4599" ht="9.9499999999999993" hidden="1" customHeight="1" x14ac:dyDescent="0.2"/>
    <row r="4600" ht="9.9499999999999993" hidden="1" customHeight="1" x14ac:dyDescent="0.2"/>
    <row r="4601" ht="9.9499999999999993" hidden="1" customHeight="1" x14ac:dyDescent="0.2"/>
    <row r="4602" ht="9.9499999999999993" hidden="1" customHeight="1" x14ac:dyDescent="0.2"/>
    <row r="4603" ht="9.9499999999999993" hidden="1" customHeight="1" x14ac:dyDescent="0.2"/>
    <row r="4604" ht="9.9499999999999993" hidden="1" customHeight="1" x14ac:dyDescent="0.2"/>
    <row r="4605" ht="9.9499999999999993" hidden="1" customHeight="1" x14ac:dyDescent="0.2"/>
    <row r="4606" ht="9.9499999999999993" hidden="1" customHeight="1" x14ac:dyDescent="0.2"/>
    <row r="4607" ht="9.9499999999999993" hidden="1" customHeight="1" x14ac:dyDescent="0.2"/>
    <row r="4608" ht="9.9499999999999993" hidden="1" customHeight="1" x14ac:dyDescent="0.2"/>
    <row r="4609" ht="9.9499999999999993" hidden="1" customHeight="1" x14ac:dyDescent="0.2"/>
    <row r="4610" ht="9.9499999999999993" hidden="1" customHeight="1" x14ac:dyDescent="0.2"/>
    <row r="4611" ht="9.9499999999999993" hidden="1" customHeight="1" x14ac:dyDescent="0.2"/>
    <row r="4612" ht="9.9499999999999993" hidden="1" customHeight="1" x14ac:dyDescent="0.2"/>
    <row r="4613" ht="9.9499999999999993" hidden="1" customHeight="1" x14ac:dyDescent="0.2"/>
    <row r="4614" ht="9.9499999999999993" hidden="1" customHeight="1" x14ac:dyDescent="0.2"/>
    <row r="4615" ht="9.9499999999999993" hidden="1" customHeight="1" x14ac:dyDescent="0.2"/>
    <row r="4616" ht="9.9499999999999993" hidden="1" customHeight="1" x14ac:dyDescent="0.2"/>
    <row r="4617" ht="9.9499999999999993" hidden="1" customHeight="1" x14ac:dyDescent="0.2"/>
    <row r="4618" ht="9.9499999999999993" hidden="1" customHeight="1" x14ac:dyDescent="0.2"/>
    <row r="4619" ht="9.9499999999999993" hidden="1" customHeight="1" x14ac:dyDescent="0.2"/>
    <row r="4620" ht="9.9499999999999993" hidden="1" customHeight="1" x14ac:dyDescent="0.2"/>
    <row r="4621" ht="9.9499999999999993" hidden="1" customHeight="1" x14ac:dyDescent="0.2"/>
    <row r="4622" ht="9.9499999999999993" hidden="1" customHeight="1" x14ac:dyDescent="0.2"/>
    <row r="4623" ht="9.9499999999999993" hidden="1" customHeight="1" x14ac:dyDescent="0.2"/>
    <row r="4624" ht="9.9499999999999993" hidden="1" customHeight="1" x14ac:dyDescent="0.2"/>
    <row r="4625" ht="9.9499999999999993" hidden="1" customHeight="1" x14ac:dyDescent="0.2"/>
    <row r="4626" ht="9.9499999999999993" hidden="1" customHeight="1" x14ac:dyDescent="0.2"/>
    <row r="4627" ht="9.9499999999999993" hidden="1" customHeight="1" x14ac:dyDescent="0.2"/>
    <row r="4628" ht="9.9499999999999993" hidden="1" customHeight="1" x14ac:dyDescent="0.2"/>
    <row r="4629" ht="9.9499999999999993" hidden="1" customHeight="1" x14ac:dyDescent="0.2"/>
    <row r="4630" ht="9.9499999999999993" hidden="1" customHeight="1" x14ac:dyDescent="0.2"/>
    <row r="4631" ht="9.9499999999999993" hidden="1" customHeight="1" x14ac:dyDescent="0.2"/>
    <row r="4632" ht="9.9499999999999993" hidden="1" customHeight="1" x14ac:dyDescent="0.2"/>
    <row r="4633" ht="9.9499999999999993" hidden="1" customHeight="1" x14ac:dyDescent="0.2"/>
    <row r="4634" ht="9.9499999999999993" hidden="1" customHeight="1" x14ac:dyDescent="0.2"/>
    <row r="4635" ht="9.9499999999999993" hidden="1" customHeight="1" x14ac:dyDescent="0.2"/>
    <row r="4636" ht="9.9499999999999993" hidden="1" customHeight="1" x14ac:dyDescent="0.2"/>
    <row r="4637" ht="9.9499999999999993" hidden="1" customHeight="1" x14ac:dyDescent="0.2"/>
    <row r="4638" ht="9.9499999999999993" hidden="1" customHeight="1" x14ac:dyDescent="0.2"/>
    <row r="4639" ht="9.9499999999999993" hidden="1" customHeight="1" x14ac:dyDescent="0.2"/>
    <row r="4640" ht="9.9499999999999993" hidden="1" customHeight="1" x14ac:dyDescent="0.2"/>
    <row r="4641" ht="9.9499999999999993" hidden="1" customHeight="1" x14ac:dyDescent="0.2"/>
    <row r="4642" ht="9.9499999999999993" hidden="1" customHeight="1" x14ac:dyDescent="0.2"/>
    <row r="4643" ht="9.9499999999999993" hidden="1" customHeight="1" x14ac:dyDescent="0.2"/>
    <row r="4644" ht="9.9499999999999993" hidden="1" customHeight="1" x14ac:dyDescent="0.2"/>
    <row r="4645" ht="9.9499999999999993" hidden="1" customHeight="1" x14ac:dyDescent="0.2"/>
    <row r="4646" ht="9.9499999999999993" hidden="1" customHeight="1" x14ac:dyDescent="0.2"/>
    <row r="4647" ht="9.9499999999999993" hidden="1" customHeight="1" x14ac:dyDescent="0.2"/>
    <row r="4648" ht="9.9499999999999993" hidden="1" customHeight="1" x14ac:dyDescent="0.2"/>
    <row r="4649" ht="9.9499999999999993" hidden="1" customHeight="1" x14ac:dyDescent="0.2"/>
    <row r="4650" ht="9.9499999999999993" hidden="1" customHeight="1" x14ac:dyDescent="0.2"/>
    <row r="4651" ht="9.9499999999999993" hidden="1" customHeight="1" x14ac:dyDescent="0.2"/>
    <row r="4652" ht="9.9499999999999993" hidden="1" customHeight="1" x14ac:dyDescent="0.2"/>
    <row r="4653" ht="9.9499999999999993" hidden="1" customHeight="1" x14ac:dyDescent="0.2"/>
    <row r="4654" ht="9.9499999999999993" hidden="1" customHeight="1" x14ac:dyDescent="0.2"/>
    <row r="4655" ht="9.9499999999999993" hidden="1" customHeight="1" x14ac:dyDescent="0.2"/>
    <row r="4656" ht="9.9499999999999993" hidden="1" customHeight="1" x14ac:dyDescent="0.2"/>
    <row r="4657" ht="9.9499999999999993" hidden="1" customHeight="1" x14ac:dyDescent="0.2"/>
    <row r="4658" ht="9.9499999999999993" hidden="1" customHeight="1" x14ac:dyDescent="0.2"/>
    <row r="4659" ht="9.9499999999999993" hidden="1" customHeight="1" x14ac:dyDescent="0.2"/>
    <row r="4660" ht="9.9499999999999993" hidden="1" customHeight="1" x14ac:dyDescent="0.2"/>
    <row r="4661" ht="9.9499999999999993" hidden="1" customHeight="1" x14ac:dyDescent="0.2"/>
    <row r="4662" ht="9.9499999999999993" hidden="1" customHeight="1" x14ac:dyDescent="0.2"/>
    <row r="4663" ht="9.9499999999999993" hidden="1" customHeight="1" x14ac:dyDescent="0.2"/>
    <row r="4664" ht="9.9499999999999993" hidden="1" customHeight="1" x14ac:dyDescent="0.2"/>
    <row r="4665" ht="9.9499999999999993" hidden="1" customHeight="1" x14ac:dyDescent="0.2"/>
    <row r="4666" ht="9.9499999999999993" hidden="1" customHeight="1" x14ac:dyDescent="0.2"/>
    <row r="4667" ht="9.9499999999999993" hidden="1" customHeight="1" x14ac:dyDescent="0.2"/>
    <row r="4668" ht="9.9499999999999993" hidden="1" customHeight="1" x14ac:dyDescent="0.2"/>
    <row r="4669" ht="9.9499999999999993" hidden="1" customHeight="1" x14ac:dyDescent="0.2"/>
    <row r="4670" ht="9.9499999999999993" hidden="1" customHeight="1" x14ac:dyDescent="0.2"/>
    <row r="4671" ht="9.9499999999999993" hidden="1" customHeight="1" x14ac:dyDescent="0.2"/>
    <row r="4672" ht="9.9499999999999993" hidden="1" customHeight="1" x14ac:dyDescent="0.2"/>
    <row r="4673" ht="9.9499999999999993" hidden="1" customHeight="1" x14ac:dyDescent="0.2"/>
    <row r="4674" ht="9.9499999999999993" hidden="1" customHeight="1" x14ac:dyDescent="0.2"/>
    <row r="4675" ht="9.9499999999999993" hidden="1" customHeight="1" x14ac:dyDescent="0.2"/>
    <row r="4676" ht="9.9499999999999993" hidden="1" customHeight="1" x14ac:dyDescent="0.2"/>
    <row r="4677" ht="9.9499999999999993" hidden="1" customHeight="1" x14ac:dyDescent="0.2"/>
    <row r="4678" ht="9.9499999999999993" hidden="1" customHeight="1" x14ac:dyDescent="0.2"/>
    <row r="4679" ht="9.9499999999999993" hidden="1" customHeight="1" x14ac:dyDescent="0.2"/>
    <row r="4680" ht="9.9499999999999993" hidden="1" customHeight="1" x14ac:dyDescent="0.2"/>
    <row r="4681" ht="9.9499999999999993" hidden="1" customHeight="1" x14ac:dyDescent="0.2"/>
    <row r="4682" ht="9.9499999999999993" hidden="1" customHeight="1" x14ac:dyDescent="0.2"/>
    <row r="4683" ht="9.9499999999999993" hidden="1" customHeight="1" x14ac:dyDescent="0.2"/>
    <row r="4684" ht="9.9499999999999993" hidden="1" customHeight="1" x14ac:dyDescent="0.2"/>
    <row r="4685" ht="9.9499999999999993" hidden="1" customHeight="1" x14ac:dyDescent="0.2"/>
    <row r="4686" ht="9.9499999999999993" hidden="1" customHeight="1" x14ac:dyDescent="0.2"/>
    <row r="4687" ht="9.9499999999999993" hidden="1" customHeight="1" x14ac:dyDescent="0.2"/>
    <row r="4688" ht="9.9499999999999993" hidden="1" customHeight="1" x14ac:dyDescent="0.2"/>
    <row r="4689" ht="9.9499999999999993" hidden="1" customHeight="1" x14ac:dyDescent="0.2"/>
    <row r="4690" ht="9.9499999999999993" hidden="1" customHeight="1" x14ac:dyDescent="0.2"/>
    <row r="4691" ht="9.9499999999999993" hidden="1" customHeight="1" x14ac:dyDescent="0.2"/>
    <row r="4692" ht="9.9499999999999993" hidden="1" customHeight="1" x14ac:dyDescent="0.2"/>
    <row r="4693" ht="9.9499999999999993" hidden="1" customHeight="1" x14ac:dyDescent="0.2"/>
    <row r="4694" ht="9.9499999999999993" hidden="1" customHeight="1" x14ac:dyDescent="0.2"/>
    <row r="4695" ht="9.9499999999999993" hidden="1" customHeight="1" x14ac:dyDescent="0.2"/>
    <row r="4696" ht="9.9499999999999993" hidden="1" customHeight="1" x14ac:dyDescent="0.2"/>
    <row r="4697" ht="9.9499999999999993" hidden="1" customHeight="1" x14ac:dyDescent="0.2"/>
    <row r="4698" ht="9.9499999999999993" hidden="1" customHeight="1" x14ac:dyDescent="0.2"/>
    <row r="4699" ht="9.9499999999999993" hidden="1" customHeight="1" x14ac:dyDescent="0.2"/>
    <row r="4700" ht="9.9499999999999993" hidden="1" customHeight="1" x14ac:dyDescent="0.2"/>
    <row r="4701" ht="9.9499999999999993" hidden="1" customHeight="1" x14ac:dyDescent="0.2"/>
    <row r="4702" ht="9.9499999999999993" hidden="1" customHeight="1" x14ac:dyDescent="0.2"/>
    <row r="4703" ht="9.9499999999999993" hidden="1" customHeight="1" x14ac:dyDescent="0.2"/>
    <row r="4704" ht="9.9499999999999993" hidden="1" customHeight="1" x14ac:dyDescent="0.2"/>
    <row r="4705" ht="9.9499999999999993" hidden="1" customHeight="1" x14ac:dyDescent="0.2"/>
    <row r="4706" ht="9.9499999999999993" hidden="1" customHeight="1" x14ac:dyDescent="0.2"/>
    <row r="4707" ht="9.9499999999999993" hidden="1" customHeight="1" x14ac:dyDescent="0.2"/>
    <row r="4708" ht="9.9499999999999993" hidden="1" customHeight="1" x14ac:dyDescent="0.2"/>
    <row r="4709" ht="9.9499999999999993" hidden="1" customHeight="1" x14ac:dyDescent="0.2"/>
    <row r="4710" ht="9.9499999999999993" hidden="1" customHeight="1" x14ac:dyDescent="0.2"/>
    <row r="4711" ht="9.9499999999999993" hidden="1" customHeight="1" x14ac:dyDescent="0.2"/>
    <row r="4712" ht="9.9499999999999993" hidden="1" customHeight="1" x14ac:dyDescent="0.2"/>
    <row r="4713" ht="9.9499999999999993" hidden="1" customHeight="1" x14ac:dyDescent="0.2"/>
    <row r="4714" ht="9.9499999999999993" hidden="1" customHeight="1" x14ac:dyDescent="0.2"/>
    <row r="4715" ht="9.9499999999999993" hidden="1" customHeight="1" x14ac:dyDescent="0.2"/>
    <row r="4716" ht="9.9499999999999993" hidden="1" customHeight="1" x14ac:dyDescent="0.2"/>
    <row r="4717" ht="9.9499999999999993" hidden="1" customHeight="1" x14ac:dyDescent="0.2"/>
    <row r="4718" ht="9.9499999999999993" hidden="1" customHeight="1" x14ac:dyDescent="0.2"/>
    <row r="4719" ht="9.9499999999999993" hidden="1" customHeight="1" x14ac:dyDescent="0.2"/>
    <row r="4720" ht="9.9499999999999993" hidden="1" customHeight="1" x14ac:dyDescent="0.2"/>
    <row r="4721" ht="9.9499999999999993" hidden="1" customHeight="1" x14ac:dyDescent="0.2"/>
    <row r="4722" ht="9.9499999999999993" hidden="1" customHeight="1" x14ac:dyDescent="0.2"/>
    <row r="4723" ht="9.9499999999999993" hidden="1" customHeight="1" x14ac:dyDescent="0.2"/>
    <row r="4724" ht="9.9499999999999993" hidden="1" customHeight="1" x14ac:dyDescent="0.2"/>
    <row r="4725" ht="9.9499999999999993" hidden="1" customHeight="1" x14ac:dyDescent="0.2"/>
    <row r="4726" ht="9.9499999999999993" hidden="1" customHeight="1" x14ac:dyDescent="0.2"/>
    <row r="4727" ht="9.9499999999999993" hidden="1" customHeight="1" x14ac:dyDescent="0.2"/>
    <row r="4728" ht="9.9499999999999993" hidden="1" customHeight="1" x14ac:dyDescent="0.2"/>
    <row r="4729" ht="9.9499999999999993" hidden="1" customHeight="1" x14ac:dyDescent="0.2"/>
    <row r="4730" ht="9.9499999999999993" hidden="1" customHeight="1" x14ac:dyDescent="0.2"/>
    <row r="4731" ht="9.9499999999999993" hidden="1" customHeight="1" x14ac:dyDescent="0.2"/>
    <row r="4732" ht="9.9499999999999993" hidden="1" customHeight="1" x14ac:dyDescent="0.2"/>
    <row r="4733" ht="9.9499999999999993" hidden="1" customHeight="1" x14ac:dyDescent="0.2"/>
    <row r="4734" ht="9.9499999999999993" hidden="1" customHeight="1" x14ac:dyDescent="0.2"/>
    <row r="4735" ht="9.9499999999999993" hidden="1" customHeight="1" x14ac:dyDescent="0.2"/>
    <row r="4736" ht="9.9499999999999993" hidden="1" customHeight="1" x14ac:dyDescent="0.2"/>
    <row r="4737" ht="9.9499999999999993" hidden="1" customHeight="1" x14ac:dyDescent="0.2"/>
    <row r="4738" ht="9.9499999999999993" hidden="1" customHeight="1" x14ac:dyDescent="0.2"/>
    <row r="4739" ht="9.9499999999999993" hidden="1" customHeight="1" x14ac:dyDescent="0.2"/>
    <row r="4740" ht="9.9499999999999993" hidden="1" customHeight="1" x14ac:dyDescent="0.2"/>
    <row r="4741" ht="9.9499999999999993" hidden="1" customHeight="1" x14ac:dyDescent="0.2"/>
    <row r="4742" ht="9.9499999999999993" hidden="1" customHeight="1" x14ac:dyDescent="0.2"/>
    <row r="4743" ht="9.9499999999999993" hidden="1" customHeight="1" x14ac:dyDescent="0.2"/>
    <row r="4744" ht="9.9499999999999993" hidden="1" customHeight="1" x14ac:dyDescent="0.2"/>
    <row r="4745" ht="9.9499999999999993" hidden="1" customHeight="1" x14ac:dyDescent="0.2"/>
    <row r="4746" ht="9.9499999999999993" hidden="1" customHeight="1" x14ac:dyDescent="0.2"/>
    <row r="4747" ht="9.9499999999999993" hidden="1" customHeight="1" x14ac:dyDescent="0.2"/>
    <row r="4748" ht="9.9499999999999993" hidden="1" customHeight="1" x14ac:dyDescent="0.2"/>
    <row r="4749" ht="9.9499999999999993" hidden="1" customHeight="1" x14ac:dyDescent="0.2"/>
    <row r="4750" ht="9.9499999999999993" hidden="1" customHeight="1" x14ac:dyDescent="0.2"/>
    <row r="4751" ht="9.9499999999999993" hidden="1" customHeight="1" x14ac:dyDescent="0.2"/>
    <row r="4752" ht="9.9499999999999993" hidden="1" customHeight="1" x14ac:dyDescent="0.2"/>
    <row r="4753" ht="9.9499999999999993" hidden="1" customHeight="1" x14ac:dyDescent="0.2"/>
    <row r="4754" ht="9.9499999999999993" hidden="1" customHeight="1" x14ac:dyDescent="0.2"/>
    <row r="4755" ht="9.9499999999999993" hidden="1" customHeight="1" x14ac:dyDescent="0.2"/>
    <row r="4756" ht="9.9499999999999993" hidden="1" customHeight="1" x14ac:dyDescent="0.2"/>
    <row r="4757" ht="9.9499999999999993" hidden="1" customHeight="1" x14ac:dyDescent="0.2"/>
    <row r="4758" ht="9.9499999999999993" hidden="1" customHeight="1" x14ac:dyDescent="0.2"/>
    <row r="4759" ht="9.9499999999999993" hidden="1" customHeight="1" x14ac:dyDescent="0.2"/>
    <row r="4760" ht="9.9499999999999993" hidden="1" customHeight="1" x14ac:dyDescent="0.2"/>
    <row r="4761" ht="9.9499999999999993" hidden="1" customHeight="1" x14ac:dyDescent="0.2"/>
    <row r="4762" ht="9.9499999999999993" hidden="1" customHeight="1" x14ac:dyDescent="0.2"/>
    <row r="4763" ht="9.9499999999999993" hidden="1" customHeight="1" x14ac:dyDescent="0.2"/>
    <row r="4764" ht="9.9499999999999993" hidden="1" customHeight="1" x14ac:dyDescent="0.2"/>
    <row r="4765" ht="9.9499999999999993" hidden="1" customHeight="1" x14ac:dyDescent="0.2"/>
    <row r="4766" ht="9.9499999999999993" hidden="1" customHeight="1" x14ac:dyDescent="0.2"/>
    <row r="4767" ht="9.9499999999999993" hidden="1" customHeight="1" x14ac:dyDescent="0.2"/>
    <row r="4768" ht="9.9499999999999993" hidden="1" customHeight="1" x14ac:dyDescent="0.2"/>
    <row r="4769" ht="9.9499999999999993" hidden="1" customHeight="1" x14ac:dyDescent="0.2"/>
    <row r="4770" ht="9.9499999999999993" hidden="1" customHeight="1" x14ac:dyDescent="0.2"/>
    <row r="4771" ht="9.9499999999999993" hidden="1" customHeight="1" x14ac:dyDescent="0.2"/>
    <row r="4772" ht="9.9499999999999993" hidden="1" customHeight="1" x14ac:dyDescent="0.2"/>
    <row r="4773" ht="9.9499999999999993" hidden="1" customHeight="1" x14ac:dyDescent="0.2"/>
    <row r="4774" ht="9.9499999999999993" hidden="1" customHeight="1" x14ac:dyDescent="0.2"/>
    <row r="4775" ht="9.9499999999999993" hidden="1" customHeight="1" x14ac:dyDescent="0.2"/>
    <row r="4776" ht="9.9499999999999993" hidden="1" customHeight="1" x14ac:dyDescent="0.2"/>
    <row r="4777" ht="9.9499999999999993" hidden="1" customHeight="1" x14ac:dyDescent="0.2"/>
    <row r="4778" ht="9.9499999999999993" hidden="1" customHeight="1" x14ac:dyDescent="0.2"/>
    <row r="4779" ht="9.9499999999999993" hidden="1" customHeight="1" x14ac:dyDescent="0.2"/>
    <row r="4780" ht="9.9499999999999993" hidden="1" customHeight="1" x14ac:dyDescent="0.2"/>
    <row r="4781" ht="9.9499999999999993" hidden="1" customHeight="1" x14ac:dyDescent="0.2"/>
    <row r="4782" ht="9.9499999999999993" hidden="1" customHeight="1" x14ac:dyDescent="0.2"/>
    <row r="4783" ht="9.9499999999999993" hidden="1" customHeight="1" x14ac:dyDescent="0.2"/>
    <row r="4784" ht="9.9499999999999993" hidden="1" customHeight="1" x14ac:dyDescent="0.2"/>
    <row r="4785" ht="9.9499999999999993" hidden="1" customHeight="1" x14ac:dyDescent="0.2"/>
    <row r="4786" ht="9.9499999999999993" hidden="1" customHeight="1" x14ac:dyDescent="0.2"/>
    <row r="4787" ht="9.9499999999999993" hidden="1" customHeight="1" x14ac:dyDescent="0.2"/>
    <row r="4788" ht="9.9499999999999993" hidden="1" customHeight="1" x14ac:dyDescent="0.2"/>
    <row r="4789" ht="9.9499999999999993" hidden="1" customHeight="1" x14ac:dyDescent="0.2"/>
    <row r="4790" ht="9.9499999999999993" hidden="1" customHeight="1" x14ac:dyDescent="0.2"/>
    <row r="4791" ht="9.9499999999999993" hidden="1" customHeight="1" x14ac:dyDescent="0.2"/>
    <row r="4792" ht="9.9499999999999993" hidden="1" customHeight="1" x14ac:dyDescent="0.2"/>
    <row r="4793" ht="9.9499999999999993" hidden="1" customHeight="1" x14ac:dyDescent="0.2"/>
    <row r="4794" ht="9.9499999999999993" hidden="1" customHeight="1" x14ac:dyDescent="0.2"/>
    <row r="4795" ht="9.9499999999999993" hidden="1" customHeight="1" x14ac:dyDescent="0.2"/>
    <row r="4796" ht="9.9499999999999993" hidden="1" customHeight="1" x14ac:dyDescent="0.2"/>
    <row r="4797" ht="9.9499999999999993" hidden="1" customHeight="1" x14ac:dyDescent="0.2"/>
    <row r="4798" ht="9.9499999999999993" hidden="1" customHeight="1" x14ac:dyDescent="0.2"/>
    <row r="4799" ht="9.9499999999999993" hidden="1" customHeight="1" x14ac:dyDescent="0.2"/>
    <row r="4800" ht="9.9499999999999993" hidden="1" customHeight="1" x14ac:dyDescent="0.2"/>
    <row r="4801" ht="9.9499999999999993" hidden="1" customHeight="1" x14ac:dyDescent="0.2"/>
    <row r="4802" ht="9.9499999999999993" hidden="1" customHeight="1" x14ac:dyDescent="0.2"/>
    <row r="4803" ht="9.9499999999999993" hidden="1" customHeight="1" x14ac:dyDescent="0.2"/>
    <row r="4804" ht="9.9499999999999993" hidden="1" customHeight="1" x14ac:dyDescent="0.2"/>
    <row r="4805" ht="9.9499999999999993" hidden="1" customHeight="1" x14ac:dyDescent="0.2"/>
    <row r="4806" ht="9.9499999999999993" hidden="1" customHeight="1" x14ac:dyDescent="0.2"/>
    <row r="4807" ht="9.9499999999999993" hidden="1" customHeight="1" x14ac:dyDescent="0.2"/>
    <row r="4808" ht="9.9499999999999993" hidden="1" customHeight="1" x14ac:dyDescent="0.2"/>
    <row r="4809" ht="9.9499999999999993" hidden="1" customHeight="1" x14ac:dyDescent="0.2"/>
    <row r="4810" ht="9.9499999999999993" hidden="1" customHeight="1" x14ac:dyDescent="0.2"/>
    <row r="4811" ht="9.9499999999999993" hidden="1" customHeight="1" x14ac:dyDescent="0.2"/>
    <row r="4812" ht="9.9499999999999993" hidden="1" customHeight="1" x14ac:dyDescent="0.2"/>
    <row r="4813" ht="9.9499999999999993" hidden="1" customHeight="1" x14ac:dyDescent="0.2"/>
    <row r="4814" ht="9.9499999999999993" hidden="1" customHeight="1" x14ac:dyDescent="0.2"/>
    <row r="4815" ht="9.9499999999999993" hidden="1" customHeight="1" x14ac:dyDescent="0.2"/>
    <row r="4816" ht="9.9499999999999993" hidden="1" customHeight="1" x14ac:dyDescent="0.2"/>
    <row r="4817" ht="9.9499999999999993" hidden="1" customHeight="1" x14ac:dyDescent="0.2"/>
    <row r="4818" ht="9.9499999999999993" hidden="1" customHeight="1" x14ac:dyDescent="0.2"/>
    <row r="4819" ht="9.9499999999999993" hidden="1" customHeight="1" x14ac:dyDescent="0.2"/>
    <row r="4820" ht="9.9499999999999993" hidden="1" customHeight="1" x14ac:dyDescent="0.2"/>
    <row r="4821" ht="9.9499999999999993" hidden="1" customHeight="1" x14ac:dyDescent="0.2"/>
    <row r="4822" ht="9.9499999999999993" hidden="1" customHeight="1" x14ac:dyDescent="0.2"/>
    <row r="4823" ht="9.9499999999999993" hidden="1" customHeight="1" x14ac:dyDescent="0.2"/>
    <row r="4824" ht="9.9499999999999993" hidden="1" customHeight="1" x14ac:dyDescent="0.2"/>
    <row r="4825" ht="9.9499999999999993" hidden="1" customHeight="1" x14ac:dyDescent="0.2"/>
    <row r="4826" ht="9.9499999999999993" hidden="1" customHeight="1" x14ac:dyDescent="0.2"/>
    <row r="4827" ht="9.9499999999999993" hidden="1" customHeight="1" x14ac:dyDescent="0.2"/>
    <row r="4828" ht="9.9499999999999993" hidden="1" customHeight="1" x14ac:dyDescent="0.2"/>
    <row r="4829" ht="9.9499999999999993" hidden="1" customHeight="1" x14ac:dyDescent="0.2"/>
    <row r="4830" ht="9.9499999999999993" hidden="1" customHeight="1" x14ac:dyDescent="0.2"/>
    <row r="4831" ht="9.9499999999999993" hidden="1" customHeight="1" x14ac:dyDescent="0.2"/>
    <row r="4832" ht="9.9499999999999993" hidden="1" customHeight="1" x14ac:dyDescent="0.2"/>
    <row r="4833" ht="9.9499999999999993" hidden="1" customHeight="1" x14ac:dyDescent="0.2"/>
    <row r="4834" ht="9.9499999999999993" hidden="1" customHeight="1" x14ac:dyDescent="0.2"/>
    <row r="4835" ht="9.9499999999999993" hidden="1" customHeight="1" x14ac:dyDescent="0.2"/>
    <row r="4836" ht="9.9499999999999993" hidden="1" customHeight="1" x14ac:dyDescent="0.2"/>
    <row r="4837" ht="9.9499999999999993" hidden="1" customHeight="1" x14ac:dyDescent="0.2"/>
    <row r="4838" ht="9.9499999999999993" hidden="1" customHeight="1" x14ac:dyDescent="0.2"/>
    <row r="4839" ht="9.9499999999999993" hidden="1" customHeight="1" x14ac:dyDescent="0.2"/>
    <row r="4840" ht="9.9499999999999993" hidden="1" customHeight="1" x14ac:dyDescent="0.2"/>
    <row r="4841" ht="9.9499999999999993" hidden="1" customHeight="1" x14ac:dyDescent="0.2"/>
    <row r="4842" ht="9.9499999999999993" hidden="1" customHeight="1" x14ac:dyDescent="0.2"/>
    <row r="4843" ht="9.9499999999999993" hidden="1" customHeight="1" x14ac:dyDescent="0.2"/>
    <row r="4844" ht="9.9499999999999993" hidden="1" customHeight="1" x14ac:dyDescent="0.2"/>
    <row r="4845" ht="9.9499999999999993" hidden="1" customHeight="1" x14ac:dyDescent="0.2"/>
    <row r="4846" ht="9.9499999999999993" hidden="1" customHeight="1" x14ac:dyDescent="0.2"/>
    <row r="4847" ht="9.9499999999999993" hidden="1" customHeight="1" x14ac:dyDescent="0.2"/>
    <row r="4848" ht="9.9499999999999993" hidden="1" customHeight="1" x14ac:dyDescent="0.2"/>
    <row r="4849" ht="9.9499999999999993" hidden="1" customHeight="1" x14ac:dyDescent="0.2"/>
    <row r="4850" ht="9.9499999999999993" hidden="1" customHeight="1" x14ac:dyDescent="0.2"/>
    <row r="4851" ht="9.9499999999999993" hidden="1" customHeight="1" x14ac:dyDescent="0.2"/>
    <row r="4852" ht="9.9499999999999993" hidden="1" customHeight="1" x14ac:dyDescent="0.2"/>
    <row r="4853" ht="9.9499999999999993" hidden="1" customHeight="1" x14ac:dyDescent="0.2"/>
    <row r="4854" ht="9.9499999999999993" hidden="1" customHeight="1" x14ac:dyDescent="0.2"/>
    <row r="4855" ht="9.9499999999999993" hidden="1" customHeight="1" x14ac:dyDescent="0.2"/>
    <row r="4856" ht="9.9499999999999993" hidden="1" customHeight="1" x14ac:dyDescent="0.2"/>
    <row r="4857" ht="9.9499999999999993" hidden="1" customHeight="1" x14ac:dyDescent="0.2"/>
    <row r="4858" ht="9.9499999999999993" hidden="1" customHeight="1" x14ac:dyDescent="0.2"/>
    <row r="4859" ht="9.9499999999999993" hidden="1" customHeight="1" x14ac:dyDescent="0.2"/>
    <row r="4860" ht="9.9499999999999993" hidden="1" customHeight="1" x14ac:dyDescent="0.2"/>
    <row r="4861" ht="9.9499999999999993" hidden="1" customHeight="1" x14ac:dyDescent="0.2"/>
    <row r="4862" ht="9.9499999999999993" hidden="1" customHeight="1" x14ac:dyDescent="0.2"/>
    <row r="4863" ht="9.9499999999999993" hidden="1" customHeight="1" x14ac:dyDescent="0.2"/>
    <row r="4864" ht="9.9499999999999993" hidden="1" customHeight="1" x14ac:dyDescent="0.2"/>
    <row r="4865" ht="9.9499999999999993" hidden="1" customHeight="1" x14ac:dyDescent="0.2"/>
    <row r="4866" ht="9.9499999999999993" hidden="1" customHeight="1" x14ac:dyDescent="0.2"/>
    <row r="4867" ht="9.9499999999999993" hidden="1" customHeight="1" x14ac:dyDescent="0.2"/>
    <row r="4868" ht="9.9499999999999993" hidden="1" customHeight="1" x14ac:dyDescent="0.2"/>
    <row r="4869" ht="9.9499999999999993" hidden="1" customHeight="1" x14ac:dyDescent="0.2"/>
    <row r="4870" ht="9.9499999999999993" hidden="1" customHeight="1" x14ac:dyDescent="0.2"/>
    <row r="4871" ht="9.9499999999999993" hidden="1" customHeight="1" x14ac:dyDescent="0.2"/>
    <row r="4872" ht="9.9499999999999993" hidden="1" customHeight="1" x14ac:dyDescent="0.2"/>
    <row r="4873" ht="9.9499999999999993" hidden="1" customHeight="1" x14ac:dyDescent="0.2"/>
    <row r="4874" ht="9.9499999999999993" hidden="1" customHeight="1" x14ac:dyDescent="0.2"/>
    <row r="4875" ht="9.9499999999999993" hidden="1" customHeight="1" x14ac:dyDescent="0.2"/>
    <row r="4876" ht="9.9499999999999993" hidden="1" customHeight="1" x14ac:dyDescent="0.2"/>
    <row r="4877" ht="9.9499999999999993" hidden="1" customHeight="1" x14ac:dyDescent="0.2"/>
    <row r="4878" ht="9.9499999999999993" hidden="1" customHeight="1" x14ac:dyDescent="0.2"/>
    <row r="4879" ht="9.9499999999999993" hidden="1" customHeight="1" x14ac:dyDescent="0.2"/>
    <row r="4880" ht="9.9499999999999993" hidden="1" customHeight="1" x14ac:dyDescent="0.2"/>
    <row r="4881" ht="9.9499999999999993" hidden="1" customHeight="1" x14ac:dyDescent="0.2"/>
    <row r="4882" ht="9.9499999999999993" hidden="1" customHeight="1" x14ac:dyDescent="0.2"/>
    <row r="4883" ht="9.9499999999999993" hidden="1" customHeight="1" x14ac:dyDescent="0.2"/>
    <row r="4884" ht="9.9499999999999993" hidden="1" customHeight="1" x14ac:dyDescent="0.2"/>
    <row r="4885" ht="9.9499999999999993" hidden="1" customHeight="1" x14ac:dyDescent="0.2"/>
    <row r="4886" ht="9.9499999999999993" hidden="1" customHeight="1" x14ac:dyDescent="0.2"/>
    <row r="4887" ht="9.9499999999999993" hidden="1" customHeight="1" x14ac:dyDescent="0.2"/>
    <row r="4888" ht="9.9499999999999993" hidden="1" customHeight="1" x14ac:dyDescent="0.2"/>
    <row r="4889" ht="9.9499999999999993" hidden="1" customHeight="1" x14ac:dyDescent="0.2"/>
    <row r="4890" ht="9.9499999999999993" hidden="1" customHeight="1" x14ac:dyDescent="0.2"/>
    <row r="4891" ht="9.9499999999999993" hidden="1" customHeight="1" x14ac:dyDescent="0.2"/>
    <row r="4892" ht="9.9499999999999993" hidden="1" customHeight="1" x14ac:dyDescent="0.2"/>
    <row r="4893" ht="9.9499999999999993" hidden="1" customHeight="1" x14ac:dyDescent="0.2"/>
    <row r="4894" ht="9.9499999999999993" hidden="1" customHeight="1" x14ac:dyDescent="0.2"/>
    <row r="4895" ht="9.9499999999999993" hidden="1" customHeight="1" x14ac:dyDescent="0.2"/>
    <row r="4896" ht="9.9499999999999993" hidden="1" customHeight="1" x14ac:dyDescent="0.2"/>
    <row r="4897" ht="9.9499999999999993" hidden="1" customHeight="1" x14ac:dyDescent="0.2"/>
    <row r="4898" ht="9.9499999999999993" hidden="1" customHeight="1" x14ac:dyDescent="0.2"/>
    <row r="4899" ht="9.9499999999999993" hidden="1" customHeight="1" x14ac:dyDescent="0.2"/>
    <row r="4900" ht="9.9499999999999993" hidden="1" customHeight="1" x14ac:dyDescent="0.2"/>
    <row r="4901" ht="9.9499999999999993" hidden="1" customHeight="1" x14ac:dyDescent="0.2"/>
    <row r="4902" ht="9.9499999999999993" hidden="1" customHeight="1" x14ac:dyDescent="0.2"/>
    <row r="4903" ht="9.9499999999999993" hidden="1" customHeight="1" x14ac:dyDescent="0.2"/>
    <row r="4904" ht="9.9499999999999993" hidden="1" customHeight="1" x14ac:dyDescent="0.2"/>
    <row r="4905" ht="9.9499999999999993" hidden="1" customHeight="1" x14ac:dyDescent="0.2"/>
    <row r="4906" ht="9.9499999999999993" hidden="1" customHeight="1" x14ac:dyDescent="0.2"/>
    <row r="4907" ht="9.9499999999999993" hidden="1" customHeight="1" x14ac:dyDescent="0.2"/>
    <row r="4908" ht="9.9499999999999993" hidden="1" customHeight="1" x14ac:dyDescent="0.2"/>
    <row r="4909" ht="9.9499999999999993" hidden="1" customHeight="1" x14ac:dyDescent="0.2"/>
    <row r="4910" ht="9.9499999999999993" hidden="1" customHeight="1" x14ac:dyDescent="0.2"/>
    <row r="4911" ht="9.9499999999999993" hidden="1" customHeight="1" x14ac:dyDescent="0.2"/>
    <row r="4912" ht="9.9499999999999993" hidden="1" customHeight="1" x14ac:dyDescent="0.2"/>
    <row r="4913" ht="9.9499999999999993" hidden="1" customHeight="1" x14ac:dyDescent="0.2"/>
    <row r="4914" ht="9.9499999999999993" hidden="1" customHeight="1" x14ac:dyDescent="0.2"/>
    <row r="4915" ht="9.9499999999999993" hidden="1" customHeight="1" x14ac:dyDescent="0.2"/>
    <row r="4916" ht="9.9499999999999993" hidden="1" customHeight="1" x14ac:dyDescent="0.2"/>
    <row r="4917" ht="9.9499999999999993" hidden="1" customHeight="1" x14ac:dyDescent="0.2"/>
    <row r="4918" ht="9.9499999999999993" hidden="1" customHeight="1" x14ac:dyDescent="0.2"/>
    <row r="4919" ht="9.9499999999999993" hidden="1" customHeight="1" x14ac:dyDescent="0.2"/>
    <row r="4920" ht="9.9499999999999993" hidden="1" customHeight="1" x14ac:dyDescent="0.2"/>
    <row r="4921" ht="9.9499999999999993" hidden="1" customHeight="1" x14ac:dyDescent="0.2"/>
    <row r="4922" ht="9.9499999999999993" hidden="1" customHeight="1" x14ac:dyDescent="0.2"/>
    <row r="4923" ht="9.9499999999999993" hidden="1" customHeight="1" x14ac:dyDescent="0.2"/>
    <row r="4924" ht="9.9499999999999993" hidden="1" customHeight="1" x14ac:dyDescent="0.2"/>
    <row r="4925" ht="9.9499999999999993" hidden="1" customHeight="1" x14ac:dyDescent="0.2"/>
    <row r="4926" ht="9.9499999999999993" hidden="1" customHeight="1" x14ac:dyDescent="0.2"/>
    <row r="4927" ht="9.9499999999999993" hidden="1" customHeight="1" x14ac:dyDescent="0.2"/>
    <row r="4928" ht="9.9499999999999993" hidden="1" customHeight="1" x14ac:dyDescent="0.2"/>
    <row r="4929" ht="9.9499999999999993" hidden="1" customHeight="1" x14ac:dyDescent="0.2"/>
    <row r="4930" ht="9.9499999999999993" hidden="1" customHeight="1" x14ac:dyDescent="0.2"/>
    <row r="4931" ht="9.9499999999999993" hidden="1" customHeight="1" x14ac:dyDescent="0.2"/>
    <row r="4932" ht="9.9499999999999993" hidden="1" customHeight="1" x14ac:dyDescent="0.2"/>
    <row r="4933" ht="9.9499999999999993" hidden="1" customHeight="1" x14ac:dyDescent="0.2"/>
    <row r="4934" ht="9.9499999999999993" hidden="1" customHeight="1" x14ac:dyDescent="0.2"/>
    <row r="4935" ht="9.9499999999999993" hidden="1" customHeight="1" x14ac:dyDescent="0.2"/>
    <row r="4936" ht="9.9499999999999993" hidden="1" customHeight="1" x14ac:dyDescent="0.2"/>
    <row r="4937" ht="9.9499999999999993" hidden="1" customHeight="1" x14ac:dyDescent="0.2"/>
    <row r="4938" ht="9.9499999999999993" hidden="1" customHeight="1" x14ac:dyDescent="0.2"/>
    <row r="4939" ht="9.9499999999999993" hidden="1" customHeight="1" x14ac:dyDescent="0.2"/>
    <row r="4940" ht="9.9499999999999993" hidden="1" customHeight="1" x14ac:dyDescent="0.2"/>
    <row r="4941" ht="9.9499999999999993" hidden="1" customHeight="1" x14ac:dyDescent="0.2"/>
    <row r="4942" ht="9.9499999999999993" hidden="1" customHeight="1" x14ac:dyDescent="0.2"/>
    <row r="4943" ht="9.9499999999999993" hidden="1" customHeight="1" x14ac:dyDescent="0.2"/>
    <row r="4944" ht="9.9499999999999993" hidden="1" customHeight="1" x14ac:dyDescent="0.2"/>
    <row r="4945" ht="9.9499999999999993" hidden="1" customHeight="1" x14ac:dyDescent="0.2"/>
    <row r="4946" ht="9.9499999999999993" hidden="1" customHeight="1" x14ac:dyDescent="0.2"/>
    <row r="4947" ht="9.9499999999999993" hidden="1" customHeight="1" x14ac:dyDescent="0.2"/>
    <row r="4948" ht="9.9499999999999993" hidden="1" customHeight="1" x14ac:dyDescent="0.2"/>
    <row r="4949" ht="9.9499999999999993" hidden="1" customHeight="1" x14ac:dyDescent="0.2"/>
    <row r="4950" ht="9.9499999999999993" hidden="1" customHeight="1" x14ac:dyDescent="0.2"/>
    <row r="4951" ht="9.9499999999999993" hidden="1" customHeight="1" x14ac:dyDescent="0.2"/>
    <row r="4952" ht="9.9499999999999993" hidden="1" customHeight="1" x14ac:dyDescent="0.2"/>
    <row r="4953" ht="9.9499999999999993" hidden="1" customHeight="1" x14ac:dyDescent="0.2"/>
    <row r="4954" ht="9.9499999999999993" hidden="1" customHeight="1" x14ac:dyDescent="0.2"/>
    <row r="4955" ht="9.9499999999999993" hidden="1" customHeight="1" x14ac:dyDescent="0.2"/>
    <row r="4956" ht="9.9499999999999993" hidden="1" customHeight="1" x14ac:dyDescent="0.2"/>
    <row r="4957" ht="9.9499999999999993" hidden="1" customHeight="1" x14ac:dyDescent="0.2"/>
    <row r="4958" ht="9.9499999999999993" hidden="1" customHeight="1" x14ac:dyDescent="0.2"/>
    <row r="4959" ht="9.9499999999999993" hidden="1" customHeight="1" x14ac:dyDescent="0.2"/>
    <row r="4960" ht="9.9499999999999993" hidden="1" customHeight="1" x14ac:dyDescent="0.2"/>
    <row r="4961" ht="9.9499999999999993" hidden="1" customHeight="1" x14ac:dyDescent="0.2"/>
    <row r="4962" ht="9.9499999999999993" hidden="1" customHeight="1" x14ac:dyDescent="0.2"/>
    <row r="4963" ht="9.9499999999999993" hidden="1" customHeight="1" x14ac:dyDescent="0.2"/>
    <row r="4964" ht="9.9499999999999993" hidden="1" customHeight="1" x14ac:dyDescent="0.2"/>
    <row r="4965" ht="9.9499999999999993" hidden="1" customHeight="1" x14ac:dyDescent="0.2"/>
    <row r="4966" ht="9.9499999999999993" hidden="1" customHeight="1" x14ac:dyDescent="0.2"/>
    <row r="4967" ht="9.9499999999999993" hidden="1" customHeight="1" x14ac:dyDescent="0.2"/>
    <row r="4968" ht="9.9499999999999993" hidden="1" customHeight="1" x14ac:dyDescent="0.2"/>
    <row r="4969" ht="9.9499999999999993" hidden="1" customHeight="1" x14ac:dyDescent="0.2"/>
    <row r="4970" ht="9.9499999999999993" hidden="1" customHeight="1" x14ac:dyDescent="0.2"/>
    <row r="4971" ht="9.9499999999999993" hidden="1" customHeight="1" x14ac:dyDescent="0.2"/>
    <row r="4972" ht="9.9499999999999993" hidden="1" customHeight="1" x14ac:dyDescent="0.2"/>
    <row r="4973" ht="9.9499999999999993" hidden="1" customHeight="1" x14ac:dyDescent="0.2"/>
    <row r="4974" ht="9.9499999999999993" hidden="1" customHeight="1" x14ac:dyDescent="0.2"/>
    <row r="4975" ht="9.9499999999999993" hidden="1" customHeight="1" x14ac:dyDescent="0.2"/>
    <row r="4976" ht="9.9499999999999993" hidden="1" customHeight="1" x14ac:dyDescent="0.2"/>
    <row r="4977" ht="9.9499999999999993" hidden="1" customHeight="1" x14ac:dyDescent="0.2"/>
    <row r="4978" ht="9.9499999999999993" hidden="1" customHeight="1" x14ac:dyDescent="0.2"/>
    <row r="4979" ht="9.9499999999999993" hidden="1" customHeight="1" x14ac:dyDescent="0.2"/>
    <row r="4980" ht="9.9499999999999993" hidden="1" customHeight="1" x14ac:dyDescent="0.2"/>
    <row r="4981" ht="9.9499999999999993" hidden="1" customHeight="1" x14ac:dyDescent="0.2"/>
    <row r="4982" ht="9.9499999999999993" hidden="1" customHeight="1" x14ac:dyDescent="0.2"/>
    <row r="4983" ht="9.9499999999999993" hidden="1" customHeight="1" x14ac:dyDescent="0.2"/>
    <row r="4984" ht="9.9499999999999993" hidden="1" customHeight="1" x14ac:dyDescent="0.2"/>
    <row r="4985" ht="9.9499999999999993" hidden="1" customHeight="1" x14ac:dyDescent="0.2"/>
    <row r="4986" ht="9.9499999999999993" hidden="1" customHeight="1" x14ac:dyDescent="0.2"/>
    <row r="4987" ht="9.9499999999999993" hidden="1" customHeight="1" x14ac:dyDescent="0.2"/>
    <row r="4988" ht="9.9499999999999993" hidden="1" customHeight="1" x14ac:dyDescent="0.2"/>
    <row r="4989" ht="9.9499999999999993" hidden="1" customHeight="1" x14ac:dyDescent="0.2"/>
    <row r="4990" ht="9.9499999999999993" hidden="1" customHeight="1" x14ac:dyDescent="0.2"/>
    <row r="4991" ht="9.9499999999999993" hidden="1" customHeight="1" x14ac:dyDescent="0.2"/>
    <row r="4992" ht="9.9499999999999993" hidden="1" customHeight="1" x14ac:dyDescent="0.2"/>
    <row r="4993" ht="9.9499999999999993" hidden="1" customHeight="1" x14ac:dyDescent="0.2"/>
    <row r="4994" ht="9.9499999999999993" hidden="1" customHeight="1" x14ac:dyDescent="0.2"/>
    <row r="4995" ht="9.9499999999999993" hidden="1" customHeight="1" x14ac:dyDescent="0.2"/>
    <row r="4996" ht="9.9499999999999993" hidden="1" customHeight="1" x14ac:dyDescent="0.2"/>
    <row r="4997" ht="9.9499999999999993" hidden="1" customHeight="1" x14ac:dyDescent="0.2"/>
    <row r="4998" ht="9.9499999999999993" hidden="1" customHeight="1" x14ac:dyDescent="0.2"/>
    <row r="4999" ht="9.9499999999999993" hidden="1" customHeight="1" x14ac:dyDescent="0.2"/>
    <row r="5000" ht="9.9499999999999993" hidden="1" customHeight="1" x14ac:dyDescent="0.2"/>
    <row r="5001" ht="9.9499999999999993" hidden="1" customHeight="1" x14ac:dyDescent="0.2"/>
    <row r="5002" ht="9.9499999999999993" hidden="1" customHeight="1" x14ac:dyDescent="0.2"/>
    <row r="5003" ht="9.9499999999999993" hidden="1" customHeight="1" x14ac:dyDescent="0.2"/>
    <row r="5004" ht="9.9499999999999993" hidden="1" customHeight="1" x14ac:dyDescent="0.2"/>
    <row r="5005" ht="9.9499999999999993" hidden="1" customHeight="1" x14ac:dyDescent="0.2"/>
    <row r="5006" ht="9.9499999999999993" hidden="1" customHeight="1" x14ac:dyDescent="0.2"/>
    <row r="5007" ht="9.9499999999999993" hidden="1" customHeight="1" x14ac:dyDescent="0.2"/>
    <row r="5008" ht="9.9499999999999993" hidden="1" customHeight="1" x14ac:dyDescent="0.2"/>
    <row r="5009" ht="9.9499999999999993" hidden="1" customHeight="1" x14ac:dyDescent="0.2"/>
    <row r="5010" ht="9.9499999999999993" hidden="1" customHeight="1" x14ac:dyDescent="0.2"/>
    <row r="5011" ht="9.9499999999999993" hidden="1" customHeight="1" x14ac:dyDescent="0.2"/>
    <row r="5012" ht="9.9499999999999993" hidden="1" customHeight="1" x14ac:dyDescent="0.2"/>
    <row r="5013" ht="9.9499999999999993" hidden="1" customHeight="1" x14ac:dyDescent="0.2"/>
    <row r="5014" ht="9.9499999999999993" hidden="1" customHeight="1" x14ac:dyDescent="0.2"/>
    <row r="5015" ht="9.9499999999999993" hidden="1" customHeight="1" x14ac:dyDescent="0.2"/>
    <row r="5016" ht="9.9499999999999993" hidden="1" customHeight="1" x14ac:dyDescent="0.2"/>
    <row r="5017" ht="9.9499999999999993" hidden="1" customHeight="1" x14ac:dyDescent="0.2"/>
    <row r="5018" ht="9.9499999999999993" hidden="1" customHeight="1" x14ac:dyDescent="0.2"/>
    <row r="5019" ht="9.9499999999999993" hidden="1" customHeight="1" x14ac:dyDescent="0.2"/>
    <row r="5020" ht="9.9499999999999993" hidden="1" customHeight="1" x14ac:dyDescent="0.2"/>
    <row r="5021" ht="9.9499999999999993" hidden="1" customHeight="1" x14ac:dyDescent="0.2"/>
    <row r="5022" ht="9.9499999999999993" hidden="1" customHeight="1" x14ac:dyDescent="0.2"/>
    <row r="5023" ht="9.9499999999999993" hidden="1" customHeight="1" x14ac:dyDescent="0.2"/>
    <row r="5024" ht="9.9499999999999993" hidden="1" customHeight="1" x14ac:dyDescent="0.2"/>
    <row r="5025" ht="9.9499999999999993" hidden="1" customHeight="1" x14ac:dyDescent="0.2"/>
    <row r="5026" ht="9.9499999999999993" hidden="1" customHeight="1" x14ac:dyDescent="0.2"/>
    <row r="5027" ht="9.9499999999999993" hidden="1" customHeight="1" x14ac:dyDescent="0.2"/>
    <row r="5028" ht="9.9499999999999993" hidden="1" customHeight="1" x14ac:dyDescent="0.2"/>
    <row r="5029" ht="9.9499999999999993" hidden="1" customHeight="1" x14ac:dyDescent="0.2"/>
    <row r="5030" ht="9.9499999999999993" hidden="1" customHeight="1" x14ac:dyDescent="0.2"/>
    <row r="5031" ht="9.9499999999999993" hidden="1" customHeight="1" x14ac:dyDescent="0.2"/>
    <row r="5032" ht="9.9499999999999993" hidden="1" customHeight="1" x14ac:dyDescent="0.2"/>
    <row r="5033" ht="9.9499999999999993" hidden="1" customHeight="1" x14ac:dyDescent="0.2"/>
    <row r="5034" ht="9.9499999999999993" hidden="1" customHeight="1" x14ac:dyDescent="0.2"/>
    <row r="5035" ht="9.9499999999999993" hidden="1" customHeight="1" x14ac:dyDescent="0.2"/>
    <row r="5036" ht="9.9499999999999993" hidden="1" customHeight="1" x14ac:dyDescent="0.2"/>
    <row r="5037" ht="9.9499999999999993" hidden="1" customHeight="1" x14ac:dyDescent="0.2"/>
    <row r="5038" ht="9.9499999999999993" hidden="1" customHeight="1" x14ac:dyDescent="0.2"/>
    <row r="5039" ht="9.9499999999999993" hidden="1" customHeight="1" x14ac:dyDescent="0.2"/>
    <row r="5040" ht="9.9499999999999993" hidden="1" customHeight="1" x14ac:dyDescent="0.2"/>
    <row r="5041" ht="9.9499999999999993" hidden="1" customHeight="1" x14ac:dyDescent="0.2"/>
    <row r="5042" ht="9.9499999999999993" hidden="1" customHeight="1" x14ac:dyDescent="0.2"/>
    <row r="5043" ht="9.9499999999999993" hidden="1" customHeight="1" x14ac:dyDescent="0.2"/>
    <row r="5044" ht="9.9499999999999993" hidden="1" customHeight="1" x14ac:dyDescent="0.2"/>
    <row r="5045" ht="9.9499999999999993" hidden="1" customHeight="1" x14ac:dyDescent="0.2"/>
    <row r="5046" ht="9.9499999999999993" hidden="1" customHeight="1" x14ac:dyDescent="0.2"/>
    <row r="5047" ht="9.9499999999999993" hidden="1" customHeight="1" x14ac:dyDescent="0.2"/>
    <row r="5048" ht="9.9499999999999993" hidden="1" customHeight="1" x14ac:dyDescent="0.2"/>
    <row r="5049" ht="9.9499999999999993" hidden="1" customHeight="1" x14ac:dyDescent="0.2"/>
    <row r="5050" ht="9.9499999999999993" hidden="1" customHeight="1" x14ac:dyDescent="0.2"/>
    <row r="5051" ht="9.9499999999999993" hidden="1" customHeight="1" x14ac:dyDescent="0.2"/>
    <row r="5052" ht="9.9499999999999993" hidden="1" customHeight="1" x14ac:dyDescent="0.2"/>
    <row r="5053" ht="9.9499999999999993" hidden="1" customHeight="1" x14ac:dyDescent="0.2"/>
    <row r="5054" ht="9.9499999999999993" hidden="1" customHeight="1" x14ac:dyDescent="0.2"/>
    <row r="5055" ht="9.9499999999999993" hidden="1" customHeight="1" x14ac:dyDescent="0.2"/>
    <row r="5056" ht="9.9499999999999993" hidden="1" customHeight="1" x14ac:dyDescent="0.2"/>
    <row r="5057" ht="9.9499999999999993" hidden="1" customHeight="1" x14ac:dyDescent="0.2"/>
    <row r="5058" ht="9.9499999999999993" hidden="1" customHeight="1" x14ac:dyDescent="0.2"/>
    <row r="5059" ht="9.9499999999999993" hidden="1" customHeight="1" x14ac:dyDescent="0.2"/>
    <row r="5060" ht="9.9499999999999993" hidden="1" customHeight="1" x14ac:dyDescent="0.2"/>
    <row r="5061" ht="9.9499999999999993" hidden="1" customHeight="1" x14ac:dyDescent="0.2"/>
    <row r="5062" ht="9.9499999999999993" hidden="1" customHeight="1" x14ac:dyDescent="0.2"/>
    <row r="5063" ht="9.9499999999999993" hidden="1" customHeight="1" x14ac:dyDescent="0.2"/>
    <row r="5064" ht="9.9499999999999993" hidden="1" customHeight="1" x14ac:dyDescent="0.2"/>
    <row r="5065" ht="9.9499999999999993" hidden="1" customHeight="1" x14ac:dyDescent="0.2"/>
    <row r="5066" ht="9.9499999999999993" hidden="1" customHeight="1" x14ac:dyDescent="0.2"/>
    <row r="5067" ht="9.9499999999999993" hidden="1" customHeight="1" x14ac:dyDescent="0.2"/>
    <row r="5068" ht="9.9499999999999993" hidden="1" customHeight="1" x14ac:dyDescent="0.2"/>
    <row r="5069" ht="9.9499999999999993" hidden="1" customHeight="1" x14ac:dyDescent="0.2"/>
    <row r="5070" ht="9.9499999999999993" hidden="1" customHeight="1" x14ac:dyDescent="0.2"/>
    <row r="5071" ht="9.9499999999999993" hidden="1" customHeight="1" x14ac:dyDescent="0.2"/>
    <row r="5072" ht="9.9499999999999993" hidden="1" customHeight="1" x14ac:dyDescent="0.2"/>
    <row r="5073" ht="9.9499999999999993" hidden="1" customHeight="1" x14ac:dyDescent="0.2"/>
    <row r="5074" ht="9.9499999999999993" hidden="1" customHeight="1" x14ac:dyDescent="0.2"/>
    <row r="5075" ht="9.9499999999999993" hidden="1" customHeight="1" x14ac:dyDescent="0.2"/>
    <row r="5076" ht="9.9499999999999993" hidden="1" customHeight="1" x14ac:dyDescent="0.2"/>
    <row r="5077" ht="9.9499999999999993" hidden="1" customHeight="1" x14ac:dyDescent="0.2"/>
    <row r="5078" ht="9.9499999999999993" hidden="1" customHeight="1" x14ac:dyDescent="0.2"/>
    <row r="5079" ht="9.9499999999999993" hidden="1" customHeight="1" x14ac:dyDescent="0.2"/>
    <row r="5080" ht="9.9499999999999993" hidden="1" customHeight="1" x14ac:dyDescent="0.2"/>
    <row r="5081" ht="9.9499999999999993" hidden="1" customHeight="1" x14ac:dyDescent="0.2"/>
    <row r="5082" ht="9.9499999999999993" hidden="1" customHeight="1" x14ac:dyDescent="0.2"/>
    <row r="5083" ht="9.9499999999999993" hidden="1" customHeight="1" x14ac:dyDescent="0.2"/>
    <row r="5084" ht="9.9499999999999993" hidden="1" customHeight="1" x14ac:dyDescent="0.2"/>
    <row r="5085" ht="9.9499999999999993" hidden="1" customHeight="1" x14ac:dyDescent="0.2"/>
    <row r="5086" ht="9.9499999999999993" hidden="1" customHeight="1" x14ac:dyDescent="0.2"/>
    <row r="5087" ht="9.9499999999999993" hidden="1" customHeight="1" x14ac:dyDescent="0.2"/>
    <row r="5088" ht="9.9499999999999993" hidden="1" customHeight="1" x14ac:dyDescent="0.2"/>
    <row r="5089" ht="9.9499999999999993" hidden="1" customHeight="1" x14ac:dyDescent="0.2"/>
    <row r="5090" ht="9.9499999999999993" hidden="1" customHeight="1" x14ac:dyDescent="0.2"/>
    <row r="5091" ht="9.9499999999999993" hidden="1" customHeight="1" x14ac:dyDescent="0.2"/>
    <row r="5092" ht="9.9499999999999993" hidden="1" customHeight="1" x14ac:dyDescent="0.2"/>
    <row r="5093" ht="9.9499999999999993" hidden="1" customHeight="1" x14ac:dyDescent="0.2"/>
    <row r="5094" ht="9.9499999999999993" hidden="1" customHeight="1" x14ac:dyDescent="0.2"/>
    <row r="5095" ht="9.9499999999999993" hidden="1" customHeight="1" x14ac:dyDescent="0.2"/>
    <row r="5096" ht="9.9499999999999993" hidden="1" customHeight="1" x14ac:dyDescent="0.2"/>
    <row r="5097" ht="9.9499999999999993" hidden="1" customHeight="1" x14ac:dyDescent="0.2"/>
    <row r="5098" ht="9.9499999999999993" hidden="1" customHeight="1" x14ac:dyDescent="0.2"/>
    <row r="5099" ht="9.9499999999999993" hidden="1" customHeight="1" x14ac:dyDescent="0.2"/>
    <row r="5100" ht="9.9499999999999993" hidden="1" customHeight="1" x14ac:dyDescent="0.2"/>
    <row r="5101" ht="9.9499999999999993" hidden="1" customHeight="1" x14ac:dyDescent="0.2"/>
    <row r="5102" ht="9.9499999999999993" hidden="1" customHeight="1" x14ac:dyDescent="0.2"/>
    <row r="5103" ht="9.9499999999999993" hidden="1" customHeight="1" x14ac:dyDescent="0.2"/>
    <row r="5104" ht="9.9499999999999993" hidden="1" customHeight="1" x14ac:dyDescent="0.2"/>
    <row r="5105" ht="9.9499999999999993" hidden="1" customHeight="1" x14ac:dyDescent="0.2"/>
    <row r="5106" ht="9.9499999999999993" hidden="1" customHeight="1" x14ac:dyDescent="0.2"/>
    <row r="5107" ht="9.9499999999999993" hidden="1" customHeight="1" x14ac:dyDescent="0.2"/>
    <row r="5108" ht="9.9499999999999993" hidden="1" customHeight="1" x14ac:dyDescent="0.2"/>
    <row r="5109" ht="9.9499999999999993" hidden="1" customHeight="1" x14ac:dyDescent="0.2"/>
    <row r="5110" ht="9.9499999999999993" hidden="1" customHeight="1" x14ac:dyDescent="0.2"/>
    <row r="5111" ht="9.9499999999999993" hidden="1" customHeight="1" x14ac:dyDescent="0.2"/>
    <row r="5112" ht="9.9499999999999993" hidden="1" customHeight="1" x14ac:dyDescent="0.2"/>
    <row r="5113" ht="9.9499999999999993" hidden="1" customHeight="1" x14ac:dyDescent="0.2"/>
    <row r="5114" ht="9.9499999999999993" hidden="1" customHeight="1" x14ac:dyDescent="0.2"/>
    <row r="5115" ht="9.9499999999999993" hidden="1" customHeight="1" x14ac:dyDescent="0.2"/>
    <row r="5116" ht="9.9499999999999993" hidden="1" customHeight="1" x14ac:dyDescent="0.2"/>
    <row r="5117" ht="9.9499999999999993" hidden="1" customHeight="1" x14ac:dyDescent="0.2"/>
    <row r="5118" ht="9.9499999999999993" hidden="1" customHeight="1" x14ac:dyDescent="0.2"/>
    <row r="5119" ht="9.9499999999999993" hidden="1" customHeight="1" x14ac:dyDescent="0.2"/>
    <row r="5120" ht="9.9499999999999993" hidden="1" customHeight="1" x14ac:dyDescent="0.2"/>
    <row r="5121" ht="9.9499999999999993" hidden="1" customHeight="1" x14ac:dyDescent="0.2"/>
    <row r="5122" ht="9.9499999999999993" hidden="1" customHeight="1" x14ac:dyDescent="0.2"/>
    <row r="5123" ht="9.9499999999999993" hidden="1" customHeight="1" x14ac:dyDescent="0.2"/>
    <row r="5124" ht="9.9499999999999993" hidden="1" customHeight="1" x14ac:dyDescent="0.2"/>
    <row r="5125" ht="9.9499999999999993" hidden="1" customHeight="1" x14ac:dyDescent="0.2"/>
    <row r="5126" ht="9.9499999999999993" hidden="1" customHeight="1" x14ac:dyDescent="0.2"/>
    <row r="5127" ht="9.9499999999999993" hidden="1" customHeight="1" x14ac:dyDescent="0.2"/>
    <row r="5128" ht="9.9499999999999993" hidden="1" customHeight="1" x14ac:dyDescent="0.2"/>
    <row r="5129" ht="9.9499999999999993" hidden="1" customHeight="1" x14ac:dyDescent="0.2"/>
    <row r="5130" ht="9.9499999999999993" hidden="1" customHeight="1" x14ac:dyDescent="0.2"/>
    <row r="5131" ht="9.9499999999999993" hidden="1" customHeight="1" x14ac:dyDescent="0.2"/>
    <row r="5132" ht="9.9499999999999993" hidden="1" customHeight="1" x14ac:dyDescent="0.2"/>
    <row r="5133" ht="9.9499999999999993" hidden="1" customHeight="1" x14ac:dyDescent="0.2"/>
    <row r="5134" ht="9.9499999999999993" hidden="1" customHeight="1" x14ac:dyDescent="0.2"/>
    <row r="5135" ht="9.9499999999999993" hidden="1" customHeight="1" x14ac:dyDescent="0.2"/>
    <row r="5136" ht="9.9499999999999993" hidden="1" customHeight="1" x14ac:dyDescent="0.2"/>
    <row r="5137" ht="9.9499999999999993" hidden="1" customHeight="1" x14ac:dyDescent="0.2"/>
    <row r="5138" ht="9.9499999999999993" hidden="1" customHeight="1" x14ac:dyDescent="0.2"/>
    <row r="5139" ht="9.9499999999999993" hidden="1" customHeight="1" x14ac:dyDescent="0.2"/>
    <row r="5140" ht="9.9499999999999993" hidden="1" customHeight="1" x14ac:dyDescent="0.2"/>
    <row r="5141" ht="9.9499999999999993" hidden="1" customHeight="1" x14ac:dyDescent="0.2"/>
    <row r="5142" ht="9.9499999999999993" hidden="1" customHeight="1" x14ac:dyDescent="0.2"/>
    <row r="5143" ht="9.9499999999999993" hidden="1" customHeight="1" x14ac:dyDescent="0.2"/>
    <row r="5144" ht="9.9499999999999993" hidden="1" customHeight="1" x14ac:dyDescent="0.2"/>
    <row r="5145" ht="9.9499999999999993" hidden="1" customHeight="1" x14ac:dyDescent="0.2"/>
    <row r="5146" ht="9.9499999999999993" hidden="1" customHeight="1" x14ac:dyDescent="0.2"/>
    <row r="5147" ht="9.9499999999999993" hidden="1" customHeight="1" x14ac:dyDescent="0.2"/>
    <row r="5148" ht="9.9499999999999993" hidden="1" customHeight="1" x14ac:dyDescent="0.2"/>
    <row r="5149" ht="9.9499999999999993" hidden="1" customHeight="1" x14ac:dyDescent="0.2"/>
    <row r="5150" ht="9.9499999999999993" hidden="1" customHeight="1" x14ac:dyDescent="0.2"/>
    <row r="5151" ht="9.9499999999999993" hidden="1" customHeight="1" x14ac:dyDescent="0.2"/>
    <row r="5152" ht="9.9499999999999993" hidden="1" customHeight="1" x14ac:dyDescent="0.2"/>
    <row r="5153" ht="9.9499999999999993" hidden="1" customHeight="1" x14ac:dyDescent="0.2"/>
    <row r="5154" ht="9.9499999999999993" hidden="1" customHeight="1" x14ac:dyDescent="0.2"/>
    <row r="5155" ht="9.9499999999999993" hidden="1" customHeight="1" x14ac:dyDescent="0.2"/>
    <row r="5156" ht="9.9499999999999993" hidden="1" customHeight="1" x14ac:dyDescent="0.2"/>
    <row r="5157" ht="9.9499999999999993" hidden="1" customHeight="1" x14ac:dyDescent="0.2"/>
    <row r="5158" ht="9.9499999999999993" hidden="1" customHeight="1" x14ac:dyDescent="0.2"/>
    <row r="5159" ht="9.9499999999999993" hidden="1" customHeight="1" x14ac:dyDescent="0.2"/>
    <row r="5160" ht="9.9499999999999993" hidden="1" customHeight="1" x14ac:dyDescent="0.2"/>
    <row r="5161" ht="9.9499999999999993" hidden="1" customHeight="1" x14ac:dyDescent="0.2"/>
    <row r="5162" ht="9.9499999999999993" hidden="1" customHeight="1" x14ac:dyDescent="0.2"/>
    <row r="5163" ht="9.9499999999999993" hidden="1" customHeight="1" x14ac:dyDescent="0.2"/>
    <row r="5164" ht="9.9499999999999993" hidden="1" customHeight="1" x14ac:dyDescent="0.2"/>
    <row r="5165" ht="9.9499999999999993" hidden="1" customHeight="1" x14ac:dyDescent="0.2"/>
    <row r="5166" ht="9.9499999999999993" hidden="1" customHeight="1" x14ac:dyDescent="0.2"/>
    <row r="5167" ht="9.9499999999999993" hidden="1" customHeight="1" x14ac:dyDescent="0.2"/>
    <row r="5168" ht="9.9499999999999993" hidden="1" customHeight="1" x14ac:dyDescent="0.2"/>
    <row r="5169" ht="9.9499999999999993" hidden="1" customHeight="1" x14ac:dyDescent="0.2"/>
    <row r="5170" ht="9.9499999999999993" hidden="1" customHeight="1" x14ac:dyDescent="0.2"/>
    <row r="5171" ht="9.9499999999999993" hidden="1" customHeight="1" x14ac:dyDescent="0.2"/>
    <row r="5172" ht="9.9499999999999993" hidden="1" customHeight="1" x14ac:dyDescent="0.2"/>
    <row r="5173" ht="9.9499999999999993" hidden="1" customHeight="1" x14ac:dyDescent="0.2"/>
    <row r="5174" ht="9.9499999999999993" hidden="1" customHeight="1" x14ac:dyDescent="0.2"/>
    <row r="5175" ht="9.9499999999999993" hidden="1" customHeight="1" x14ac:dyDescent="0.2"/>
    <row r="5176" ht="9.9499999999999993" hidden="1" customHeight="1" x14ac:dyDescent="0.2"/>
    <row r="5177" ht="9.9499999999999993" hidden="1" customHeight="1" x14ac:dyDescent="0.2"/>
    <row r="5178" ht="9.9499999999999993" hidden="1" customHeight="1" x14ac:dyDescent="0.2"/>
    <row r="5179" ht="9.9499999999999993" hidden="1" customHeight="1" x14ac:dyDescent="0.2"/>
    <row r="5180" ht="9.9499999999999993" hidden="1" customHeight="1" x14ac:dyDescent="0.2"/>
    <row r="5181" ht="9.9499999999999993" hidden="1" customHeight="1" x14ac:dyDescent="0.2"/>
    <row r="5182" ht="9.9499999999999993" hidden="1" customHeight="1" x14ac:dyDescent="0.2"/>
    <row r="5183" ht="9.9499999999999993" hidden="1" customHeight="1" x14ac:dyDescent="0.2"/>
    <row r="5184" ht="9.9499999999999993" hidden="1" customHeight="1" x14ac:dyDescent="0.2"/>
    <row r="5185" ht="9.9499999999999993" hidden="1" customHeight="1" x14ac:dyDescent="0.2"/>
    <row r="5186" ht="9.9499999999999993" hidden="1" customHeight="1" x14ac:dyDescent="0.2"/>
    <row r="5187" ht="9.9499999999999993" hidden="1" customHeight="1" x14ac:dyDescent="0.2"/>
    <row r="5188" ht="9.9499999999999993" hidden="1" customHeight="1" x14ac:dyDescent="0.2"/>
    <row r="5189" ht="9.9499999999999993" hidden="1" customHeight="1" x14ac:dyDescent="0.2"/>
    <row r="5190" ht="9.9499999999999993" hidden="1" customHeight="1" x14ac:dyDescent="0.2"/>
    <row r="5191" ht="9.9499999999999993" hidden="1" customHeight="1" x14ac:dyDescent="0.2"/>
    <row r="5192" ht="9.9499999999999993" hidden="1" customHeight="1" x14ac:dyDescent="0.2"/>
    <row r="5193" ht="9.9499999999999993" hidden="1" customHeight="1" x14ac:dyDescent="0.2"/>
    <row r="5194" ht="9.9499999999999993" hidden="1" customHeight="1" x14ac:dyDescent="0.2"/>
    <row r="5195" ht="9.9499999999999993" hidden="1" customHeight="1" x14ac:dyDescent="0.2"/>
    <row r="5196" ht="9.9499999999999993" hidden="1" customHeight="1" x14ac:dyDescent="0.2"/>
    <row r="5197" ht="9.9499999999999993" hidden="1" customHeight="1" x14ac:dyDescent="0.2"/>
    <row r="5198" ht="9.9499999999999993" hidden="1" customHeight="1" x14ac:dyDescent="0.2"/>
    <row r="5199" ht="9.9499999999999993" hidden="1" customHeight="1" x14ac:dyDescent="0.2"/>
    <row r="5200" ht="9.9499999999999993" hidden="1" customHeight="1" x14ac:dyDescent="0.2"/>
    <row r="5201" ht="9.9499999999999993" hidden="1" customHeight="1" x14ac:dyDescent="0.2"/>
    <row r="5202" ht="9.9499999999999993" hidden="1" customHeight="1" x14ac:dyDescent="0.2"/>
    <row r="5203" ht="9.9499999999999993" hidden="1" customHeight="1" x14ac:dyDescent="0.2"/>
    <row r="5204" ht="9.9499999999999993" hidden="1" customHeight="1" x14ac:dyDescent="0.2"/>
    <row r="5205" ht="9.9499999999999993" hidden="1" customHeight="1" x14ac:dyDescent="0.2"/>
    <row r="5206" ht="9.9499999999999993" hidden="1" customHeight="1" x14ac:dyDescent="0.2"/>
    <row r="5207" ht="9.9499999999999993" hidden="1" customHeight="1" x14ac:dyDescent="0.2"/>
    <row r="5208" ht="9.9499999999999993" hidden="1" customHeight="1" x14ac:dyDescent="0.2"/>
    <row r="5209" ht="9.9499999999999993" hidden="1" customHeight="1" x14ac:dyDescent="0.2"/>
    <row r="5210" ht="9.9499999999999993" hidden="1" customHeight="1" x14ac:dyDescent="0.2"/>
    <row r="5211" ht="9.9499999999999993" hidden="1" customHeight="1" x14ac:dyDescent="0.2"/>
    <row r="5212" ht="9.9499999999999993" hidden="1" customHeight="1" x14ac:dyDescent="0.2"/>
    <row r="5213" ht="9.9499999999999993" hidden="1" customHeight="1" x14ac:dyDescent="0.2"/>
    <row r="5214" ht="9.9499999999999993" hidden="1" customHeight="1" x14ac:dyDescent="0.2"/>
    <row r="5215" ht="9.9499999999999993" hidden="1" customHeight="1" x14ac:dyDescent="0.2"/>
    <row r="5216" ht="9.9499999999999993" hidden="1" customHeight="1" x14ac:dyDescent="0.2"/>
    <row r="5217" ht="9.9499999999999993" hidden="1" customHeight="1" x14ac:dyDescent="0.2"/>
    <row r="5218" ht="9.9499999999999993" hidden="1" customHeight="1" x14ac:dyDescent="0.2"/>
    <row r="5219" ht="9.9499999999999993" hidden="1" customHeight="1" x14ac:dyDescent="0.2"/>
    <row r="5220" ht="9.9499999999999993" hidden="1" customHeight="1" x14ac:dyDescent="0.2"/>
    <row r="5221" ht="9.9499999999999993" hidden="1" customHeight="1" x14ac:dyDescent="0.2"/>
    <row r="5222" ht="9.9499999999999993" hidden="1" customHeight="1" x14ac:dyDescent="0.2"/>
    <row r="5223" ht="9.9499999999999993" hidden="1" customHeight="1" x14ac:dyDescent="0.2"/>
    <row r="5224" ht="9.9499999999999993" hidden="1" customHeight="1" x14ac:dyDescent="0.2"/>
    <row r="5225" ht="9.9499999999999993" hidden="1" customHeight="1" x14ac:dyDescent="0.2"/>
    <row r="5226" ht="9.9499999999999993" hidden="1" customHeight="1" x14ac:dyDescent="0.2"/>
    <row r="5227" ht="9.9499999999999993" hidden="1" customHeight="1" x14ac:dyDescent="0.2"/>
    <row r="5228" ht="9.9499999999999993" hidden="1" customHeight="1" x14ac:dyDescent="0.2"/>
    <row r="5229" ht="9.9499999999999993" hidden="1" customHeight="1" x14ac:dyDescent="0.2"/>
    <row r="5230" ht="9.9499999999999993" hidden="1" customHeight="1" x14ac:dyDescent="0.2"/>
    <row r="5231" ht="9.9499999999999993" hidden="1" customHeight="1" x14ac:dyDescent="0.2"/>
    <row r="5232" ht="9.9499999999999993" hidden="1" customHeight="1" x14ac:dyDescent="0.2"/>
    <row r="5233" ht="9.9499999999999993" hidden="1" customHeight="1" x14ac:dyDescent="0.2"/>
    <row r="5234" ht="9.9499999999999993" hidden="1" customHeight="1" x14ac:dyDescent="0.2"/>
    <row r="5235" ht="9.9499999999999993" hidden="1" customHeight="1" x14ac:dyDescent="0.2"/>
    <row r="5236" ht="9.9499999999999993" hidden="1" customHeight="1" x14ac:dyDescent="0.2"/>
    <row r="5237" ht="9.9499999999999993" hidden="1" customHeight="1" x14ac:dyDescent="0.2"/>
    <row r="5238" ht="9.9499999999999993" hidden="1" customHeight="1" x14ac:dyDescent="0.2"/>
    <row r="5239" ht="9.9499999999999993" hidden="1" customHeight="1" x14ac:dyDescent="0.2"/>
    <row r="5240" ht="9.9499999999999993" hidden="1" customHeight="1" x14ac:dyDescent="0.2"/>
    <row r="5241" ht="9.9499999999999993" hidden="1" customHeight="1" x14ac:dyDescent="0.2"/>
    <row r="5242" ht="9.9499999999999993" hidden="1" customHeight="1" x14ac:dyDescent="0.2"/>
    <row r="5243" ht="9.9499999999999993" hidden="1" customHeight="1" x14ac:dyDescent="0.2"/>
    <row r="5244" ht="9.9499999999999993" hidden="1" customHeight="1" x14ac:dyDescent="0.2"/>
    <row r="5245" ht="9.9499999999999993" hidden="1" customHeight="1" x14ac:dyDescent="0.2"/>
    <row r="5246" ht="9.9499999999999993" hidden="1" customHeight="1" x14ac:dyDescent="0.2"/>
    <row r="5247" ht="9.9499999999999993" hidden="1" customHeight="1" x14ac:dyDescent="0.2"/>
    <row r="5248" ht="9.9499999999999993" hidden="1" customHeight="1" x14ac:dyDescent="0.2"/>
    <row r="5249" ht="9.9499999999999993" hidden="1" customHeight="1" x14ac:dyDescent="0.2"/>
    <row r="5250" ht="9.9499999999999993" hidden="1" customHeight="1" x14ac:dyDescent="0.2"/>
    <row r="5251" ht="9.9499999999999993" hidden="1" customHeight="1" x14ac:dyDescent="0.2"/>
    <row r="5252" ht="9.9499999999999993" hidden="1" customHeight="1" x14ac:dyDescent="0.2"/>
    <row r="5253" ht="9.9499999999999993" hidden="1" customHeight="1" x14ac:dyDescent="0.2"/>
    <row r="5254" ht="9.9499999999999993" hidden="1" customHeight="1" x14ac:dyDescent="0.2"/>
    <row r="5255" ht="9.9499999999999993" hidden="1" customHeight="1" x14ac:dyDescent="0.2"/>
    <row r="5256" ht="9.9499999999999993" hidden="1" customHeight="1" x14ac:dyDescent="0.2"/>
    <row r="5257" ht="9.9499999999999993" hidden="1" customHeight="1" x14ac:dyDescent="0.2"/>
    <row r="5258" ht="9.9499999999999993" hidden="1" customHeight="1" x14ac:dyDescent="0.2"/>
    <row r="5259" ht="9.9499999999999993" hidden="1" customHeight="1" x14ac:dyDescent="0.2"/>
    <row r="5260" ht="9.9499999999999993" hidden="1" customHeight="1" x14ac:dyDescent="0.2"/>
    <row r="5261" ht="9.9499999999999993" hidden="1" customHeight="1" x14ac:dyDescent="0.2"/>
    <row r="5262" ht="9.9499999999999993" hidden="1" customHeight="1" x14ac:dyDescent="0.2"/>
    <row r="5263" ht="9.9499999999999993" hidden="1" customHeight="1" x14ac:dyDescent="0.2"/>
    <row r="5264" ht="9.9499999999999993" hidden="1" customHeight="1" x14ac:dyDescent="0.2"/>
    <row r="5265" ht="9.9499999999999993" hidden="1" customHeight="1" x14ac:dyDescent="0.2"/>
    <row r="5266" ht="9.9499999999999993" hidden="1" customHeight="1" x14ac:dyDescent="0.2"/>
    <row r="5267" ht="9.9499999999999993" hidden="1" customHeight="1" x14ac:dyDescent="0.2"/>
    <row r="5268" ht="9.9499999999999993" hidden="1" customHeight="1" x14ac:dyDescent="0.2"/>
    <row r="5269" ht="9.9499999999999993" hidden="1" customHeight="1" x14ac:dyDescent="0.2"/>
    <row r="5270" ht="9.9499999999999993" hidden="1" customHeight="1" x14ac:dyDescent="0.2"/>
    <row r="5271" ht="9.9499999999999993" hidden="1" customHeight="1" x14ac:dyDescent="0.2"/>
    <row r="5272" ht="9.9499999999999993" hidden="1" customHeight="1" x14ac:dyDescent="0.2"/>
    <row r="5273" ht="9.9499999999999993" hidden="1" customHeight="1" x14ac:dyDescent="0.2"/>
    <row r="5274" ht="9.9499999999999993" hidden="1" customHeight="1" x14ac:dyDescent="0.2"/>
    <row r="5275" ht="9.9499999999999993" hidden="1" customHeight="1" x14ac:dyDescent="0.2"/>
    <row r="5276" ht="9.9499999999999993" hidden="1" customHeight="1" x14ac:dyDescent="0.2"/>
    <row r="5277" ht="9.9499999999999993" hidden="1" customHeight="1" x14ac:dyDescent="0.2"/>
    <row r="5278" ht="9.9499999999999993" hidden="1" customHeight="1" x14ac:dyDescent="0.2"/>
    <row r="5279" ht="9.9499999999999993" hidden="1" customHeight="1" x14ac:dyDescent="0.2"/>
    <row r="5280" ht="9.9499999999999993" hidden="1" customHeight="1" x14ac:dyDescent="0.2"/>
    <row r="5281" ht="9.9499999999999993" hidden="1" customHeight="1" x14ac:dyDescent="0.2"/>
    <row r="5282" ht="9.9499999999999993" hidden="1" customHeight="1" x14ac:dyDescent="0.2"/>
    <row r="5283" ht="9.9499999999999993" hidden="1" customHeight="1" x14ac:dyDescent="0.2"/>
    <row r="5284" ht="9.9499999999999993" hidden="1" customHeight="1" x14ac:dyDescent="0.2"/>
    <row r="5285" ht="9.9499999999999993" hidden="1" customHeight="1" x14ac:dyDescent="0.2"/>
    <row r="5286" ht="9.9499999999999993" hidden="1" customHeight="1" x14ac:dyDescent="0.2"/>
    <row r="5287" ht="9.9499999999999993" hidden="1" customHeight="1" x14ac:dyDescent="0.2"/>
    <row r="5288" ht="9.9499999999999993" hidden="1" customHeight="1" x14ac:dyDescent="0.2"/>
    <row r="5289" ht="9.9499999999999993" hidden="1" customHeight="1" x14ac:dyDescent="0.2"/>
    <row r="5290" ht="9.9499999999999993" hidden="1" customHeight="1" x14ac:dyDescent="0.2"/>
    <row r="5291" ht="9.9499999999999993" hidden="1" customHeight="1" x14ac:dyDescent="0.2"/>
    <row r="5292" ht="9.9499999999999993" hidden="1" customHeight="1" x14ac:dyDescent="0.2"/>
    <row r="5293" ht="9.9499999999999993" hidden="1" customHeight="1" x14ac:dyDescent="0.2"/>
    <row r="5294" ht="9.9499999999999993" hidden="1" customHeight="1" x14ac:dyDescent="0.2"/>
    <row r="5295" ht="9.9499999999999993" hidden="1" customHeight="1" x14ac:dyDescent="0.2"/>
    <row r="5296" ht="9.9499999999999993" hidden="1" customHeight="1" x14ac:dyDescent="0.2"/>
    <row r="5297" ht="9.9499999999999993" hidden="1" customHeight="1" x14ac:dyDescent="0.2"/>
    <row r="5298" ht="9.9499999999999993" hidden="1" customHeight="1" x14ac:dyDescent="0.2"/>
    <row r="5299" ht="9.9499999999999993" hidden="1" customHeight="1" x14ac:dyDescent="0.2"/>
    <row r="5300" ht="9.9499999999999993" hidden="1" customHeight="1" x14ac:dyDescent="0.2"/>
    <row r="5301" ht="9.9499999999999993" hidden="1" customHeight="1" x14ac:dyDescent="0.2"/>
    <row r="5302" ht="9.9499999999999993" hidden="1" customHeight="1" x14ac:dyDescent="0.2"/>
    <row r="5303" ht="9.9499999999999993" hidden="1" customHeight="1" x14ac:dyDescent="0.2"/>
    <row r="5304" ht="9.9499999999999993" hidden="1" customHeight="1" x14ac:dyDescent="0.2"/>
    <row r="5305" ht="9.9499999999999993" hidden="1" customHeight="1" x14ac:dyDescent="0.2"/>
    <row r="5306" ht="9.9499999999999993" hidden="1" customHeight="1" x14ac:dyDescent="0.2"/>
    <row r="5307" ht="9.9499999999999993" hidden="1" customHeight="1" x14ac:dyDescent="0.2"/>
    <row r="5308" ht="9.9499999999999993" hidden="1" customHeight="1" x14ac:dyDescent="0.2"/>
    <row r="5309" ht="9.9499999999999993" hidden="1" customHeight="1" x14ac:dyDescent="0.2"/>
    <row r="5310" ht="9.9499999999999993" hidden="1" customHeight="1" x14ac:dyDescent="0.2"/>
    <row r="5311" ht="9.9499999999999993" hidden="1" customHeight="1" x14ac:dyDescent="0.2"/>
    <row r="5312" ht="9.9499999999999993" hidden="1" customHeight="1" x14ac:dyDescent="0.2"/>
    <row r="5313" ht="9.9499999999999993" hidden="1" customHeight="1" x14ac:dyDescent="0.2"/>
    <row r="5314" ht="9.9499999999999993" hidden="1" customHeight="1" x14ac:dyDescent="0.2"/>
    <row r="5315" ht="9.9499999999999993" hidden="1" customHeight="1" x14ac:dyDescent="0.2"/>
    <row r="5316" ht="9.9499999999999993" hidden="1" customHeight="1" x14ac:dyDescent="0.2"/>
    <row r="5317" ht="9.9499999999999993" hidden="1" customHeight="1" x14ac:dyDescent="0.2"/>
    <row r="5318" ht="9.9499999999999993" hidden="1" customHeight="1" x14ac:dyDescent="0.2"/>
    <row r="5319" ht="9.9499999999999993" hidden="1" customHeight="1" x14ac:dyDescent="0.2"/>
    <row r="5320" ht="9.9499999999999993" hidden="1" customHeight="1" x14ac:dyDescent="0.2"/>
    <row r="5321" ht="9.9499999999999993" hidden="1" customHeight="1" x14ac:dyDescent="0.2"/>
    <row r="5322" ht="9.9499999999999993" hidden="1" customHeight="1" x14ac:dyDescent="0.2"/>
    <row r="5323" ht="9.9499999999999993" hidden="1" customHeight="1" x14ac:dyDescent="0.2"/>
    <row r="5324" ht="9.9499999999999993" hidden="1" customHeight="1" x14ac:dyDescent="0.2"/>
    <row r="5325" ht="9.9499999999999993" hidden="1" customHeight="1" x14ac:dyDescent="0.2"/>
    <row r="5326" ht="9.9499999999999993" hidden="1" customHeight="1" x14ac:dyDescent="0.2"/>
    <row r="5327" ht="9.9499999999999993" hidden="1" customHeight="1" x14ac:dyDescent="0.2"/>
    <row r="5328" ht="9.9499999999999993" hidden="1" customHeight="1" x14ac:dyDescent="0.2"/>
    <row r="5329" ht="9.9499999999999993" hidden="1" customHeight="1" x14ac:dyDescent="0.2"/>
    <row r="5330" ht="9.9499999999999993" hidden="1" customHeight="1" x14ac:dyDescent="0.2"/>
    <row r="5331" ht="9.9499999999999993" hidden="1" customHeight="1" x14ac:dyDescent="0.2"/>
    <row r="5332" ht="9.9499999999999993" hidden="1" customHeight="1" x14ac:dyDescent="0.2"/>
    <row r="5333" ht="9.9499999999999993" hidden="1" customHeight="1" x14ac:dyDescent="0.2"/>
    <row r="5334" ht="9.9499999999999993" hidden="1" customHeight="1" x14ac:dyDescent="0.2"/>
    <row r="5335" ht="9.9499999999999993" hidden="1" customHeight="1" x14ac:dyDescent="0.2"/>
    <row r="5336" ht="9.9499999999999993" hidden="1" customHeight="1" x14ac:dyDescent="0.2"/>
    <row r="5337" ht="9.9499999999999993" hidden="1" customHeight="1" x14ac:dyDescent="0.2"/>
    <row r="5338" ht="9.9499999999999993" hidden="1" customHeight="1" x14ac:dyDescent="0.2"/>
    <row r="5339" ht="9.9499999999999993" hidden="1" customHeight="1" x14ac:dyDescent="0.2"/>
    <row r="5340" ht="9.9499999999999993" hidden="1" customHeight="1" x14ac:dyDescent="0.2"/>
    <row r="5341" ht="9.9499999999999993" hidden="1" customHeight="1" x14ac:dyDescent="0.2"/>
    <row r="5342" ht="9.9499999999999993" hidden="1" customHeight="1" x14ac:dyDescent="0.2"/>
    <row r="5343" ht="9.9499999999999993" hidden="1" customHeight="1" x14ac:dyDescent="0.2"/>
    <row r="5344" ht="9.9499999999999993" hidden="1" customHeight="1" x14ac:dyDescent="0.2"/>
    <row r="5345" ht="9.9499999999999993" hidden="1" customHeight="1" x14ac:dyDescent="0.2"/>
    <row r="5346" ht="9.9499999999999993" hidden="1" customHeight="1" x14ac:dyDescent="0.2"/>
    <row r="5347" ht="9.9499999999999993" hidden="1" customHeight="1" x14ac:dyDescent="0.2"/>
    <row r="5348" ht="9.9499999999999993" hidden="1" customHeight="1" x14ac:dyDescent="0.2"/>
    <row r="5349" ht="9.9499999999999993" hidden="1" customHeight="1" x14ac:dyDescent="0.2"/>
    <row r="5350" ht="9.9499999999999993" hidden="1" customHeight="1" x14ac:dyDescent="0.2"/>
    <row r="5351" ht="9.9499999999999993" hidden="1" customHeight="1" x14ac:dyDescent="0.2"/>
    <row r="5352" ht="9.9499999999999993" hidden="1" customHeight="1" x14ac:dyDescent="0.2"/>
    <row r="5353" ht="9.9499999999999993" hidden="1" customHeight="1" x14ac:dyDescent="0.2"/>
    <row r="5354" ht="9.9499999999999993" hidden="1" customHeight="1" x14ac:dyDescent="0.2"/>
    <row r="5355" ht="9.9499999999999993" hidden="1" customHeight="1" x14ac:dyDescent="0.2"/>
    <row r="5356" ht="9.9499999999999993" hidden="1" customHeight="1" x14ac:dyDescent="0.2"/>
    <row r="5357" ht="9.9499999999999993" hidden="1" customHeight="1" x14ac:dyDescent="0.2"/>
    <row r="5358" ht="9.9499999999999993" hidden="1" customHeight="1" x14ac:dyDescent="0.2"/>
    <row r="5359" ht="9.9499999999999993" hidden="1" customHeight="1" x14ac:dyDescent="0.2"/>
    <row r="5360" ht="9.9499999999999993" hidden="1" customHeight="1" x14ac:dyDescent="0.2"/>
    <row r="5361" ht="9.9499999999999993" hidden="1" customHeight="1" x14ac:dyDescent="0.2"/>
    <row r="5362" ht="9.9499999999999993" hidden="1" customHeight="1" x14ac:dyDescent="0.2"/>
    <row r="5363" ht="9.9499999999999993" hidden="1" customHeight="1" x14ac:dyDescent="0.2"/>
    <row r="5364" ht="9.9499999999999993" hidden="1" customHeight="1" x14ac:dyDescent="0.2"/>
    <row r="5365" ht="9.9499999999999993" hidden="1" customHeight="1" x14ac:dyDescent="0.2"/>
    <row r="5366" ht="9.9499999999999993" hidden="1" customHeight="1" x14ac:dyDescent="0.2"/>
    <row r="5367" ht="9.9499999999999993" hidden="1" customHeight="1" x14ac:dyDescent="0.2"/>
    <row r="5368" ht="9.9499999999999993" hidden="1" customHeight="1" x14ac:dyDescent="0.2"/>
    <row r="5369" ht="9.9499999999999993" hidden="1" customHeight="1" x14ac:dyDescent="0.2"/>
    <row r="5370" ht="9.9499999999999993" hidden="1" customHeight="1" x14ac:dyDescent="0.2"/>
    <row r="5371" ht="9.9499999999999993" hidden="1" customHeight="1" x14ac:dyDescent="0.2"/>
    <row r="5372" ht="9.9499999999999993" hidden="1" customHeight="1" x14ac:dyDescent="0.2"/>
    <row r="5373" ht="9.9499999999999993" hidden="1" customHeight="1" x14ac:dyDescent="0.2"/>
    <row r="5374" ht="9.9499999999999993" hidden="1" customHeight="1" x14ac:dyDescent="0.2"/>
    <row r="5375" ht="9.9499999999999993" hidden="1" customHeight="1" x14ac:dyDescent="0.2"/>
    <row r="5376" ht="9.9499999999999993" hidden="1" customHeight="1" x14ac:dyDescent="0.2"/>
    <row r="5377" ht="9.9499999999999993" hidden="1" customHeight="1" x14ac:dyDescent="0.2"/>
    <row r="5378" ht="9.9499999999999993" hidden="1" customHeight="1" x14ac:dyDescent="0.2"/>
    <row r="5379" ht="9.9499999999999993" hidden="1" customHeight="1" x14ac:dyDescent="0.2"/>
    <row r="5380" ht="9.9499999999999993" hidden="1" customHeight="1" x14ac:dyDescent="0.2"/>
    <row r="5381" ht="9.9499999999999993" hidden="1" customHeight="1" x14ac:dyDescent="0.2"/>
    <row r="5382" ht="9.9499999999999993" hidden="1" customHeight="1" x14ac:dyDescent="0.2"/>
    <row r="5383" ht="9.9499999999999993" hidden="1" customHeight="1" x14ac:dyDescent="0.2"/>
    <row r="5384" ht="9.9499999999999993" hidden="1" customHeight="1" x14ac:dyDescent="0.2"/>
    <row r="5385" ht="9.9499999999999993" hidden="1" customHeight="1" x14ac:dyDescent="0.2"/>
    <row r="5386" ht="9.9499999999999993" hidden="1" customHeight="1" x14ac:dyDescent="0.2"/>
    <row r="5387" ht="9.9499999999999993" hidden="1" customHeight="1" x14ac:dyDescent="0.2"/>
    <row r="5388" ht="9.9499999999999993" hidden="1" customHeight="1" x14ac:dyDescent="0.2"/>
    <row r="5389" ht="9.9499999999999993" hidden="1" customHeight="1" x14ac:dyDescent="0.2"/>
    <row r="5390" ht="9.9499999999999993" hidden="1" customHeight="1" x14ac:dyDescent="0.2"/>
    <row r="5391" ht="9.9499999999999993" hidden="1" customHeight="1" x14ac:dyDescent="0.2"/>
    <row r="5392" ht="9.9499999999999993" hidden="1" customHeight="1" x14ac:dyDescent="0.2"/>
    <row r="5393" ht="9.9499999999999993" hidden="1" customHeight="1" x14ac:dyDescent="0.2"/>
    <row r="5394" ht="9.9499999999999993" hidden="1" customHeight="1" x14ac:dyDescent="0.2"/>
    <row r="5395" ht="9.9499999999999993" hidden="1" customHeight="1" x14ac:dyDescent="0.2"/>
    <row r="5396" ht="9.9499999999999993" hidden="1" customHeight="1" x14ac:dyDescent="0.2"/>
    <row r="5397" ht="9.9499999999999993" hidden="1" customHeight="1" x14ac:dyDescent="0.2"/>
    <row r="5398" ht="9.9499999999999993" hidden="1" customHeight="1" x14ac:dyDescent="0.2"/>
    <row r="5399" ht="9.9499999999999993" hidden="1" customHeight="1" x14ac:dyDescent="0.2"/>
    <row r="5400" ht="9.9499999999999993" hidden="1" customHeight="1" x14ac:dyDescent="0.2"/>
    <row r="5401" ht="9.9499999999999993" hidden="1" customHeight="1" x14ac:dyDescent="0.2"/>
    <row r="5402" ht="9.9499999999999993" hidden="1" customHeight="1" x14ac:dyDescent="0.2"/>
    <row r="5403" ht="9.9499999999999993" hidden="1" customHeight="1" x14ac:dyDescent="0.2"/>
    <row r="5404" ht="9.9499999999999993" hidden="1" customHeight="1" x14ac:dyDescent="0.2"/>
    <row r="5405" ht="9.9499999999999993" hidden="1" customHeight="1" x14ac:dyDescent="0.2"/>
    <row r="5406" ht="9.9499999999999993" hidden="1" customHeight="1" x14ac:dyDescent="0.2"/>
    <row r="5407" ht="9.9499999999999993" hidden="1" customHeight="1" x14ac:dyDescent="0.2"/>
    <row r="5408" ht="9.9499999999999993" hidden="1" customHeight="1" x14ac:dyDescent="0.2"/>
    <row r="5409" ht="9.9499999999999993" hidden="1" customHeight="1" x14ac:dyDescent="0.2"/>
    <row r="5410" ht="9.9499999999999993" hidden="1" customHeight="1" x14ac:dyDescent="0.2"/>
    <row r="5411" ht="9.9499999999999993" hidden="1" customHeight="1" x14ac:dyDescent="0.2"/>
    <row r="5412" ht="9.9499999999999993" hidden="1" customHeight="1" x14ac:dyDescent="0.2"/>
    <row r="5413" ht="9.9499999999999993" hidden="1" customHeight="1" x14ac:dyDescent="0.2"/>
    <row r="5414" ht="9.9499999999999993" hidden="1" customHeight="1" x14ac:dyDescent="0.2"/>
    <row r="5415" ht="9.9499999999999993" hidden="1" customHeight="1" x14ac:dyDescent="0.2"/>
    <row r="5416" ht="9.9499999999999993" hidden="1" customHeight="1" x14ac:dyDescent="0.2"/>
    <row r="5417" ht="9.9499999999999993" hidden="1" customHeight="1" x14ac:dyDescent="0.2"/>
    <row r="5418" ht="9.9499999999999993" hidden="1" customHeight="1" x14ac:dyDescent="0.2"/>
    <row r="5419" ht="9.9499999999999993" hidden="1" customHeight="1" x14ac:dyDescent="0.2"/>
    <row r="5420" ht="9.9499999999999993" hidden="1" customHeight="1" x14ac:dyDescent="0.2"/>
    <row r="5421" ht="9.9499999999999993" hidden="1" customHeight="1" x14ac:dyDescent="0.2"/>
    <row r="5422" ht="9.9499999999999993" hidden="1" customHeight="1" x14ac:dyDescent="0.2"/>
    <row r="5423" ht="9.9499999999999993" hidden="1" customHeight="1" x14ac:dyDescent="0.2"/>
    <row r="5424" ht="9.9499999999999993" hidden="1" customHeight="1" x14ac:dyDescent="0.2"/>
    <row r="5425" ht="9.9499999999999993" hidden="1" customHeight="1" x14ac:dyDescent="0.2"/>
    <row r="5426" ht="9.9499999999999993" hidden="1" customHeight="1" x14ac:dyDescent="0.2"/>
    <row r="5427" ht="9.9499999999999993" hidden="1" customHeight="1" x14ac:dyDescent="0.2"/>
    <row r="5428" ht="9.9499999999999993" hidden="1" customHeight="1" x14ac:dyDescent="0.2"/>
    <row r="5429" ht="9.9499999999999993" hidden="1" customHeight="1" x14ac:dyDescent="0.2"/>
    <row r="5430" ht="9.9499999999999993" hidden="1" customHeight="1" x14ac:dyDescent="0.2"/>
    <row r="5431" ht="9.9499999999999993" hidden="1" customHeight="1" x14ac:dyDescent="0.2"/>
    <row r="5432" ht="9.9499999999999993" hidden="1" customHeight="1" x14ac:dyDescent="0.2"/>
    <row r="5433" ht="9.9499999999999993" hidden="1" customHeight="1" x14ac:dyDescent="0.2"/>
    <row r="5434" ht="9.9499999999999993" hidden="1" customHeight="1" x14ac:dyDescent="0.2"/>
    <row r="5435" ht="9.9499999999999993" hidden="1" customHeight="1" x14ac:dyDescent="0.2"/>
    <row r="5436" ht="9.9499999999999993" hidden="1" customHeight="1" x14ac:dyDescent="0.2"/>
    <row r="5437" ht="9.9499999999999993" hidden="1" customHeight="1" x14ac:dyDescent="0.2"/>
    <row r="5438" ht="9.9499999999999993" hidden="1" customHeight="1" x14ac:dyDescent="0.2"/>
    <row r="5439" ht="9.9499999999999993" hidden="1" customHeight="1" x14ac:dyDescent="0.2"/>
    <row r="5440" ht="9.9499999999999993" hidden="1" customHeight="1" x14ac:dyDescent="0.2"/>
    <row r="5441" ht="9.9499999999999993" hidden="1" customHeight="1" x14ac:dyDescent="0.2"/>
    <row r="5442" ht="9.9499999999999993" hidden="1" customHeight="1" x14ac:dyDescent="0.2"/>
    <row r="5443" ht="9.9499999999999993" hidden="1" customHeight="1" x14ac:dyDescent="0.2"/>
    <row r="5444" ht="9.9499999999999993" hidden="1" customHeight="1" x14ac:dyDescent="0.2"/>
    <row r="5445" ht="9.9499999999999993" hidden="1" customHeight="1" x14ac:dyDescent="0.2"/>
    <row r="5446" ht="9.9499999999999993" hidden="1" customHeight="1" x14ac:dyDescent="0.2"/>
    <row r="5447" ht="9.9499999999999993" hidden="1" customHeight="1" x14ac:dyDescent="0.2"/>
    <row r="5448" ht="9.9499999999999993" hidden="1" customHeight="1" x14ac:dyDescent="0.2"/>
    <row r="5449" ht="9.9499999999999993" hidden="1" customHeight="1" x14ac:dyDescent="0.2"/>
    <row r="5450" ht="9.9499999999999993" hidden="1" customHeight="1" x14ac:dyDescent="0.2"/>
    <row r="5451" ht="9.9499999999999993" hidden="1" customHeight="1" x14ac:dyDescent="0.2"/>
    <row r="5452" ht="9.9499999999999993" hidden="1" customHeight="1" x14ac:dyDescent="0.2"/>
    <row r="5453" ht="9.9499999999999993" hidden="1" customHeight="1" x14ac:dyDescent="0.2"/>
    <row r="5454" ht="9.9499999999999993" hidden="1" customHeight="1" x14ac:dyDescent="0.2"/>
    <row r="5455" ht="9.9499999999999993" hidden="1" customHeight="1" x14ac:dyDescent="0.2"/>
    <row r="5456" ht="9.9499999999999993" hidden="1" customHeight="1" x14ac:dyDescent="0.2"/>
    <row r="5457" ht="9.9499999999999993" hidden="1" customHeight="1" x14ac:dyDescent="0.2"/>
    <row r="5458" ht="9.9499999999999993" hidden="1" customHeight="1" x14ac:dyDescent="0.2"/>
    <row r="5459" ht="9.9499999999999993" hidden="1" customHeight="1" x14ac:dyDescent="0.2"/>
    <row r="5460" ht="9.9499999999999993" hidden="1" customHeight="1" x14ac:dyDescent="0.2"/>
    <row r="5461" ht="9.9499999999999993" hidden="1" customHeight="1" x14ac:dyDescent="0.2"/>
    <row r="5462" ht="9.9499999999999993" hidden="1" customHeight="1" x14ac:dyDescent="0.2"/>
    <row r="5463" ht="9.9499999999999993" hidden="1" customHeight="1" x14ac:dyDescent="0.2"/>
    <row r="5464" ht="9.9499999999999993" hidden="1" customHeight="1" x14ac:dyDescent="0.2"/>
    <row r="5465" ht="9.9499999999999993" hidden="1" customHeight="1" x14ac:dyDescent="0.2"/>
    <row r="5466" ht="9.9499999999999993" hidden="1" customHeight="1" x14ac:dyDescent="0.2"/>
    <row r="5467" ht="9.9499999999999993" hidden="1" customHeight="1" x14ac:dyDescent="0.2"/>
    <row r="5468" ht="9.9499999999999993" hidden="1" customHeight="1" x14ac:dyDescent="0.2"/>
    <row r="5469" ht="9.9499999999999993" hidden="1" customHeight="1" x14ac:dyDescent="0.2"/>
    <row r="5470" ht="9.9499999999999993" hidden="1" customHeight="1" x14ac:dyDescent="0.2"/>
    <row r="5471" ht="9.9499999999999993" hidden="1" customHeight="1" x14ac:dyDescent="0.2"/>
    <row r="5472" ht="9.9499999999999993" hidden="1" customHeight="1" x14ac:dyDescent="0.2"/>
    <row r="5473" ht="9.9499999999999993" hidden="1" customHeight="1" x14ac:dyDescent="0.2"/>
    <row r="5474" ht="9.9499999999999993" hidden="1" customHeight="1" x14ac:dyDescent="0.2"/>
    <row r="5475" ht="9.9499999999999993" hidden="1" customHeight="1" x14ac:dyDescent="0.2"/>
    <row r="5476" ht="9.9499999999999993" hidden="1" customHeight="1" x14ac:dyDescent="0.2"/>
    <row r="5477" ht="9.9499999999999993" hidden="1" customHeight="1" x14ac:dyDescent="0.2"/>
    <row r="5478" ht="9.9499999999999993" hidden="1" customHeight="1" x14ac:dyDescent="0.2"/>
    <row r="5479" ht="9.9499999999999993" hidden="1" customHeight="1" x14ac:dyDescent="0.2"/>
    <row r="5480" ht="9.9499999999999993" hidden="1" customHeight="1" x14ac:dyDescent="0.2"/>
    <row r="5481" ht="9.9499999999999993" hidden="1" customHeight="1" x14ac:dyDescent="0.2"/>
    <row r="5482" ht="9.9499999999999993" hidden="1" customHeight="1" x14ac:dyDescent="0.2"/>
    <row r="5483" ht="9.9499999999999993" hidden="1" customHeight="1" x14ac:dyDescent="0.2"/>
    <row r="5484" ht="9.9499999999999993" hidden="1" customHeight="1" x14ac:dyDescent="0.2"/>
    <row r="5485" ht="9.9499999999999993" hidden="1" customHeight="1" x14ac:dyDescent="0.2"/>
    <row r="5486" ht="9.9499999999999993" hidden="1" customHeight="1" x14ac:dyDescent="0.2"/>
    <row r="5487" ht="9.9499999999999993" hidden="1" customHeight="1" x14ac:dyDescent="0.2"/>
    <row r="5488" ht="9.9499999999999993" hidden="1" customHeight="1" x14ac:dyDescent="0.2"/>
    <row r="5489" ht="9.9499999999999993" hidden="1" customHeight="1" x14ac:dyDescent="0.2"/>
    <row r="5490" ht="9.9499999999999993" hidden="1" customHeight="1" x14ac:dyDescent="0.2"/>
    <row r="5491" ht="9.9499999999999993" hidden="1" customHeight="1" x14ac:dyDescent="0.2"/>
    <row r="5492" ht="9.9499999999999993" hidden="1" customHeight="1" x14ac:dyDescent="0.2"/>
    <row r="5493" ht="9.9499999999999993" hidden="1" customHeight="1" x14ac:dyDescent="0.2"/>
    <row r="5494" ht="9.9499999999999993" hidden="1" customHeight="1" x14ac:dyDescent="0.2"/>
    <row r="5495" ht="9.9499999999999993" hidden="1" customHeight="1" x14ac:dyDescent="0.2"/>
    <row r="5496" ht="9.9499999999999993" hidden="1" customHeight="1" x14ac:dyDescent="0.2"/>
    <row r="5497" ht="9.9499999999999993" hidden="1" customHeight="1" x14ac:dyDescent="0.2"/>
    <row r="5498" ht="9.9499999999999993" hidden="1" customHeight="1" x14ac:dyDescent="0.2"/>
    <row r="5499" ht="9.9499999999999993" hidden="1" customHeight="1" x14ac:dyDescent="0.2"/>
    <row r="5500" ht="9.9499999999999993" hidden="1" customHeight="1" x14ac:dyDescent="0.2"/>
    <row r="5501" ht="9.9499999999999993" hidden="1" customHeight="1" x14ac:dyDescent="0.2"/>
    <row r="5502" ht="9.9499999999999993" hidden="1" customHeight="1" x14ac:dyDescent="0.2"/>
    <row r="5503" ht="9.9499999999999993" hidden="1" customHeight="1" x14ac:dyDescent="0.2"/>
    <row r="5504" ht="9.9499999999999993" hidden="1" customHeight="1" x14ac:dyDescent="0.2"/>
    <row r="5505" ht="9.9499999999999993" hidden="1" customHeight="1" x14ac:dyDescent="0.2"/>
    <row r="5506" ht="9.9499999999999993" hidden="1" customHeight="1" x14ac:dyDescent="0.2"/>
    <row r="5507" ht="9.9499999999999993" hidden="1" customHeight="1" x14ac:dyDescent="0.2"/>
    <row r="5508" ht="9.9499999999999993" hidden="1" customHeight="1" x14ac:dyDescent="0.2"/>
    <row r="5509" ht="9.9499999999999993" hidden="1" customHeight="1" x14ac:dyDescent="0.2"/>
    <row r="5510" ht="9.9499999999999993" hidden="1" customHeight="1" x14ac:dyDescent="0.2"/>
    <row r="5511" ht="9.9499999999999993" hidden="1" customHeight="1" x14ac:dyDescent="0.2"/>
    <row r="5512" ht="9.9499999999999993" hidden="1" customHeight="1" x14ac:dyDescent="0.2"/>
    <row r="5513" ht="9.9499999999999993" hidden="1" customHeight="1" x14ac:dyDescent="0.2"/>
    <row r="5514" ht="9.9499999999999993" hidden="1" customHeight="1" x14ac:dyDescent="0.2"/>
    <row r="5515" ht="9.9499999999999993" hidden="1" customHeight="1" x14ac:dyDescent="0.2"/>
    <row r="5516" ht="9.9499999999999993" hidden="1" customHeight="1" x14ac:dyDescent="0.2"/>
    <row r="5517" ht="9.9499999999999993" hidden="1" customHeight="1" x14ac:dyDescent="0.2"/>
    <row r="5518" ht="9.9499999999999993" hidden="1" customHeight="1" x14ac:dyDescent="0.2"/>
    <row r="5519" ht="9.9499999999999993" hidden="1" customHeight="1" x14ac:dyDescent="0.2"/>
    <row r="5520" ht="9.9499999999999993" hidden="1" customHeight="1" x14ac:dyDescent="0.2"/>
    <row r="5521" ht="9.9499999999999993" hidden="1" customHeight="1" x14ac:dyDescent="0.2"/>
    <row r="5522" ht="9.9499999999999993" hidden="1" customHeight="1" x14ac:dyDescent="0.2"/>
    <row r="5523" ht="9.9499999999999993" hidden="1" customHeight="1" x14ac:dyDescent="0.2"/>
    <row r="5524" ht="9.9499999999999993" hidden="1" customHeight="1" x14ac:dyDescent="0.2"/>
    <row r="5525" ht="9.9499999999999993" hidden="1" customHeight="1" x14ac:dyDescent="0.2"/>
    <row r="5526" ht="9.9499999999999993" hidden="1" customHeight="1" x14ac:dyDescent="0.2"/>
    <row r="5527" ht="9.9499999999999993" hidden="1" customHeight="1" x14ac:dyDescent="0.2"/>
    <row r="5528" ht="9.9499999999999993" hidden="1" customHeight="1" x14ac:dyDescent="0.2"/>
    <row r="5529" ht="9.9499999999999993" hidden="1" customHeight="1" x14ac:dyDescent="0.2"/>
    <row r="5530" ht="9.9499999999999993" hidden="1" customHeight="1" x14ac:dyDescent="0.2"/>
    <row r="5531" ht="9.9499999999999993" hidden="1" customHeight="1" x14ac:dyDescent="0.2"/>
    <row r="5532" ht="9.9499999999999993" hidden="1" customHeight="1" x14ac:dyDescent="0.2"/>
    <row r="5533" ht="9.9499999999999993" hidden="1" customHeight="1" x14ac:dyDescent="0.2"/>
    <row r="5534" ht="9.9499999999999993" hidden="1" customHeight="1" x14ac:dyDescent="0.2"/>
    <row r="5535" ht="9.9499999999999993" hidden="1" customHeight="1" x14ac:dyDescent="0.2"/>
    <row r="5536" ht="9.9499999999999993" hidden="1" customHeight="1" x14ac:dyDescent="0.2"/>
    <row r="5537" ht="9.9499999999999993" hidden="1" customHeight="1" x14ac:dyDescent="0.2"/>
    <row r="5538" ht="9.9499999999999993" hidden="1" customHeight="1" x14ac:dyDescent="0.2"/>
    <row r="5539" ht="9.9499999999999993" hidden="1" customHeight="1" x14ac:dyDescent="0.2"/>
    <row r="5540" ht="9.9499999999999993" hidden="1" customHeight="1" x14ac:dyDescent="0.2"/>
    <row r="5541" ht="9.9499999999999993" hidden="1" customHeight="1" x14ac:dyDescent="0.2"/>
    <row r="5542" ht="9.9499999999999993" hidden="1" customHeight="1" x14ac:dyDescent="0.2"/>
    <row r="5543" ht="9.9499999999999993" hidden="1" customHeight="1" x14ac:dyDescent="0.2"/>
    <row r="5544" ht="9.9499999999999993" hidden="1" customHeight="1" x14ac:dyDescent="0.2"/>
    <row r="5545" ht="9.9499999999999993" hidden="1" customHeight="1" x14ac:dyDescent="0.2"/>
    <row r="5546" ht="9.9499999999999993" hidden="1" customHeight="1" x14ac:dyDescent="0.2"/>
    <row r="5547" ht="9.9499999999999993" hidden="1" customHeight="1" x14ac:dyDescent="0.2"/>
    <row r="5548" ht="9.9499999999999993" hidden="1" customHeight="1" x14ac:dyDescent="0.2"/>
    <row r="5549" ht="9.9499999999999993" hidden="1" customHeight="1" x14ac:dyDescent="0.2"/>
    <row r="5550" ht="9.9499999999999993" hidden="1" customHeight="1" x14ac:dyDescent="0.2"/>
    <row r="5551" ht="9.9499999999999993" hidden="1" customHeight="1" x14ac:dyDescent="0.2"/>
    <row r="5552" ht="9.9499999999999993" hidden="1" customHeight="1" x14ac:dyDescent="0.2"/>
    <row r="5553" ht="9.9499999999999993" hidden="1" customHeight="1" x14ac:dyDescent="0.2"/>
    <row r="5554" ht="9.9499999999999993" hidden="1" customHeight="1" x14ac:dyDescent="0.2"/>
    <row r="5555" ht="9.9499999999999993" hidden="1" customHeight="1" x14ac:dyDescent="0.2"/>
    <row r="5556" ht="9.9499999999999993" hidden="1" customHeight="1" x14ac:dyDescent="0.2"/>
    <row r="5557" ht="9.9499999999999993" hidden="1" customHeight="1" x14ac:dyDescent="0.2"/>
    <row r="5558" ht="9.9499999999999993" hidden="1" customHeight="1" x14ac:dyDescent="0.2"/>
    <row r="5559" ht="9.9499999999999993" hidden="1" customHeight="1" x14ac:dyDescent="0.2"/>
    <row r="5560" ht="9.9499999999999993" hidden="1" customHeight="1" x14ac:dyDescent="0.2"/>
    <row r="5561" ht="9.9499999999999993" hidden="1" customHeight="1" x14ac:dyDescent="0.2"/>
    <row r="5562" ht="9.9499999999999993" hidden="1" customHeight="1" x14ac:dyDescent="0.2"/>
    <row r="5563" ht="9.9499999999999993" hidden="1" customHeight="1" x14ac:dyDescent="0.2"/>
    <row r="5564" ht="9.9499999999999993" hidden="1" customHeight="1" x14ac:dyDescent="0.2"/>
    <row r="5565" ht="9.9499999999999993" hidden="1" customHeight="1" x14ac:dyDescent="0.2"/>
    <row r="5566" ht="9.9499999999999993" hidden="1" customHeight="1" x14ac:dyDescent="0.2"/>
    <row r="5567" ht="9.9499999999999993" hidden="1" customHeight="1" x14ac:dyDescent="0.2"/>
    <row r="5568" ht="9.9499999999999993" hidden="1" customHeight="1" x14ac:dyDescent="0.2"/>
    <row r="5569" ht="9.9499999999999993" hidden="1" customHeight="1" x14ac:dyDescent="0.2"/>
    <row r="5570" ht="9.9499999999999993" hidden="1" customHeight="1" x14ac:dyDescent="0.2"/>
    <row r="5571" ht="9.9499999999999993" hidden="1" customHeight="1" x14ac:dyDescent="0.2"/>
    <row r="5572" ht="9.9499999999999993" hidden="1" customHeight="1" x14ac:dyDescent="0.2"/>
    <row r="5573" ht="9.9499999999999993" hidden="1" customHeight="1" x14ac:dyDescent="0.2"/>
    <row r="5574" ht="9.9499999999999993" hidden="1" customHeight="1" x14ac:dyDescent="0.2"/>
    <row r="5575" ht="9.9499999999999993" hidden="1" customHeight="1" x14ac:dyDescent="0.2"/>
    <row r="5576" ht="9.9499999999999993" hidden="1" customHeight="1" x14ac:dyDescent="0.2"/>
    <row r="5577" ht="9.9499999999999993" hidden="1" customHeight="1" x14ac:dyDescent="0.2"/>
    <row r="5578" ht="9.9499999999999993" hidden="1" customHeight="1" x14ac:dyDescent="0.2"/>
    <row r="5579" ht="9.9499999999999993" hidden="1" customHeight="1" x14ac:dyDescent="0.2"/>
    <row r="5580" ht="9.9499999999999993" hidden="1" customHeight="1" x14ac:dyDescent="0.2"/>
    <row r="5581" ht="9.9499999999999993" hidden="1" customHeight="1" x14ac:dyDescent="0.2"/>
    <row r="5582" ht="9.9499999999999993" hidden="1" customHeight="1" x14ac:dyDescent="0.2"/>
    <row r="5583" ht="9.9499999999999993" hidden="1" customHeight="1" x14ac:dyDescent="0.2"/>
    <row r="5584" ht="9.9499999999999993" hidden="1" customHeight="1" x14ac:dyDescent="0.2"/>
    <row r="5585" ht="9.9499999999999993" hidden="1" customHeight="1" x14ac:dyDescent="0.2"/>
    <row r="5586" ht="9.9499999999999993" hidden="1" customHeight="1" x14ac:dyDescent="0.2"/>
    <row r="5587" ht="9.9499999999999993" hidden="1" customHeight="1" x14ac:dyDescent="0.2"/>
    <row r="5588" ht="9.9499999999999993" hidden="1" customHeight="1" x14ac:dyDescent="0.2"/>
    <row r="5589" ht="9.9499999999999993" hidden="1" customHeight="1" x14ac:dyDescent="0.2"/>
    <row r="5590" ht="9.9499999999999993" hidden="1" customHeight="1" x14ac:dyDescent="0.2"/>
    <row r="5591" ht="9.9499999999999993" hidden="1" customHeight="1" x14ac:dyDescent="0.2"/>
    <row r="5592" ht="9.9499999999999993" hidden="1" customHeight="1" x14ac:dyDescent="0.2"/>
    <row r="5593" ht="9.9499999999999993" hidden="1" customHeight="1" x14ac:dyDescent="0.2"/>
    <row r="5594" ht="9.9499999999999993" hidden="1" customHeight="1" x14ac:dyDescent="0.2"/>
    <row r="5595" ht="9.9499999999999993" hidden="1" customHeight="1" x14ac:dyDescent="0.2"/>
    <row r="5596" ht="9.9499999999999993" hidden="1" customHeight="1" x14ac:dyDescent="0.2"/>
    <row r="5597" ht="9.9499999999999993" hidden="1" customHeight="1" x14ac:dyDescent="0.2"/>
    <row r="5598" ht="9.9499999999999993" hidden="1" customHeight="1" x14ac:dyDescent="0.2"/>
    <row r="5599" ht="9.9499999999999993" hidden="1" customHeight="1" x14ac:dyDescent="0.2"/>
    <row r="5600" ht="9.9499999999999993" hidden="1" customHeight="1" x14ac:dyDescent="0.2"/>
    <row r="5601" ht="9.9499999999999993" hidden="1" customHeight="1" x14ac:dyDescent="0.2"/>
    <row r="5602" ht="9.9499999999999993" hidden="1" customHeight="1" x14ac:dyDescent="0.2"/>
    <row r="5603" ht="9.9499999999999993" hidden="1" customHeight="1" x14ac:dyDescent="0.2"/>
    <row r="5604" ht="9.9499999999999993" hidden="1" customHeight="1" x14ac:dyDescent="0.2"/>
    <row r="5605" ht="9.9499999999999993" hidden="1" customHeight="1" x14ac:dyDescent="0.2"/>
    <row r="5606" ht="9.9499999999999993" hidden="1" customHeight="1" x14ac:dyDescent="0.2"/>
    <row r="5607" ht="9.9499999999999993" hidden="1" customHeight="1" x14ac:dyDescent="0.2"/>
    <row r="5608" ht="9.9499999999999993" hidden="1" customHeight="1" x14ac:dyDescent="0.2"/>
    <row r="5609" ht="9.9499999999999993" hidden="1" customHeight="1" x14ac:dyDescent="0.2"/>
    <row r="5610" ht="9.9499999999999993" hidden="1" customHeight="1" x14ac:dyDescent="0.2"/>
    <row r="5611" ht="9.9499999999999993" hidden="1" customHeight="1" x14ac:dyDescent="0.2"/>
    <row r="5612" ht="9.9499999999999993" hidden="1" customHeight="1" x14ac:dyDescent="0.2"/>
    <row r="5613" ht="9.9499999999999993" hidden="1" customHeight="1" x14ac:dyDescent="0.2"/>
    <row r="5614" ht="9.9499999999999993" hidden="1" customHeight="1" x14ac:dyDescent="0.2"/>
    <row r="5615" ht="9.9499999999999993" hidden="1" customHeight="1" x14ac:dyDescent="0.2"/>
    <row r="5616" ht="9.9499999999999993" hidden="1" customHeight="1" x14ac:dyDescent="0.2"/>
    <row r="5617" ht="9.9499999999999993" hidden="1" customHeight="1" x14ac:dyDescent="0.2"/>
    <row r="5618" ht="9.9499999999999993" hidden="1" customHeight="1" x14ac:dyDescent="0.2"/>
    <row r="5619" ht="9.9499999999999993" hidden="1" customHeight="1" x14ac:dyDescent="0.2"/>
    <row r="5620" ht="9.9499999999999993" hidden="1" customHeight="1" x14ac:dyDescent="0.2"/>
    <row r="5621" ht="9.9499999999999993" hidden="1" customHeight="1" x14ac:dyDescent="0.2"/>
    <row r="5622" ht="9.9499999999999993" hidden="1" customHeight="1" x14ac:dyDescent="0.2"/>
    <row r="5623" ht="9.9499999999999993" hidden="1" customHeight="1" x14ac:dyDescent="0.2"/>
    <row r="5624" ht="9.9499999999999993" hidden="1" customHeight="1" x14ac:dyDescent="0.2"/>
    <row r="5625" ht="9.9499999999999993" hidden="1" customHeight="1" x14ac:dyDescent="0.2"/>
    <row r="5626" ht="9.9499999999999993" hidden="1" customHeight="1" x14ac:dyDescent="0.2"/>
    <row r="5627" ht="9.9499999999999993" hidden="1" customHeight="1" x14ac:dyDescent="0.2"/>
    <row r="5628" ht="9.9499999999999993" hidden="1" customHeight="1" x14ac:dyDescent="0.2"/>
    <row r="5629" ht="9.9499999999999993" hidden="1" customHeight="1" x14ac:dyDescent="0.2"/>
    <row r="5630" ht="9.9499999999999993" hidden="1" customHeight="1" x14ac:dyDescent="0.2"/>
    <row r="5631" ht="9.9499999999999993" hidden="1" customHeight="1" x14ac:dyDescent="0.2"/>
    <row r="5632" ht="9.9499999999999993" hidden="1" customHeight="1" x14ac:dyDescent="0.2"/>
    <row r="5633" ht="9.9499999999999993" hidden="1" customHeight="1" x14ac:dyDescent="0.2"/>
    <row r="5634" ht="9.9499999999999993" hidden="1" customHeight="1" x14ac:dyDescent="0.2"/>
    <row r="5635" ht="9.9499999999999993" hidden="1" customHeight="1" x14ac:dyDescent="0.2"/>
    <row r="5636" ht="9.9499999999999993" hidden="1" customHeight="1" x14ac:dyDescent="0.2"/>
    <row r="5637" ht="9.9499999999999993" hidden="1" customHeight="1" x14ac:dyDescent="0.2"/>
    <row r="5638" ht="9.9499999999999993" hidden="1" customHeight="1" x14ac:dyDescent="0.2"/>
    <row r="5639" ht="9.9499999999999993" hidden="1" customHeight="1" x14ac:dyDescent="0.2"/>
    <row r="5640" ht="9.9499999999999993" hidden="1" customHeight="1" x14ac:dyDescent="0.2"/>
    <row r="5641" ht="9.9499999999999993" hidden="1" customHeight="1" x14ac:dyDescent="0.2"/>
    <row r="5642" ht="9.9499999999999993" hidden="1" customHeight="1" x14ac:dyDescent="0.2"/>
    <row r="5643" ht="9.9499999999999993" hidden="1" customHeight="1" x14ac:dyDescent="0.2"/>
    <row r="5644" ht="9.9499999999999993" hidden="1" customHeight="1" x14ac:dyDescent="0.2"/>
    <row r="5645" ht="9.9499999999999993" hidden="1" customHeight="1" x14ac:dyDescent="0.2"/>
    <row r="5646" ht="9.9499999999999993" hidden="1" customHeight="1" x14ac:dyDescent="0.2"/>
    <row r="5647" ht="9.9499999999999993" hidden="1" customHeight="1" x14ac:dyDescent="0.2"/>
    <row r="5648" ht="9.9499999999999993" hidden="1" customHeight="1" x14ac:dyDescent="0.2"/>
    <row r="5649" ht="9.9499999999999993" hidden="1" customHeight="1" x14ac:dyDescent="0.2"/>
    <row r="5650" ht="9.9499999999999993" hidden="1" customHeight="1" x14ac:dyDescent="0.2"/>
    <row r="5651" ht="9.9499999999999993" hidden="1" customHeight="1" x14ac:dyDescent="0.2"/>
    <row r="5652" ht="9.9499999999999993" hidden="1" customHeight="1" x14ac:dyDescent="0.2"/>
    <row r="5653" ht="9.9499999999999993" hidden="1" customHeight="1" x14ac:dyDescent="0.2"/>
    <row r="5654" ht="9.9499999999999993" hidden="1" customHeight="1" x14ac:dyDescent="0.2"/>
    <row r="5655" ht="9.9499999999999993" hidden="1" customHeight="1" x14ac:dyDescent="0.2"/>
    <row r="5656" ht="9.9499999999999993" hidden="1" customHeight="1" x14ac:dyDescent="0.2"/>
    <row r="5657" ht="9.9499999999999993" hidden="1" customHeight="1" x14ac:dyDescent="0.2"/>
    <row r="5658" ht="9.9499999999999993" hidden="1" customHeight="1" x14ac:dyDescent="0.2"/>
    <row r="5659" ht="9.9499999999999993" hidden="1" customHeight="1" x14ac:dyDescent="0.2"/>
    <row r="5660" ht="9.9499999999999993" hidden="1" customHeight="1" x14ac:dyDescent="0.2"/>
    <row r="5661" ht="9.9499999999999993" hidden="1" customHeight="1" x14ac:dyDescent="0.2"/>
    <row r="5662" ht="9.9499999999999993" hidden="1" customHeight="1" x14ac:dyDescent="0.2"/>
    <row r="5663" ht="9.9499999999999993" hidden="1" customHeight="1" x14ac:dyDescent="0.2"/>
    <row r="5664" ht="9.9499999999999993" hidden="1" customHeight="1" x14ac:dyDescent="0.2"/>
    <row r="5665" ht="9.9499999999999993" hidden="1" customHeight="1" x14ac:dyDescent="0.2"/>
    <row r="5666" ht="9.9499999999999993" hidden="1" customHeight="1" x14ac:dyDescent="0.2"/>
    <row r="5667" ht="9.9499999999999993" hidden="1" customHeight="1" x14ac:dyDescent="0.2"/>
    <row r="5668" ht="9.9499999999999993" hidden="1" customHeight="1" x14ac:dyDescent="0.2"/>
    <row r="5669" ht="9.9499999999999993" hidden="1" customHeight="1" x14ac:dyDescent="0.2"/>
    <row r="5670" ht="9.9499999999999993" hidden="1" customHeight="1" x14ac:dyDescent="0.2"/>
    <row r="5671" ht="9.9499999999999993" hidden="1" customHeight="1" x14ac:dyDescent="0.2"/>
    <row r="5672" ht="9.9499999999999993" hidden="1" customHeight="1" x14ac:dyDescent="0.2"/>
    <row r="5673" ht="9.9499999999999993" hidden="1" customHeight="1" x14ac:dyDescent="0.2"/>
    <row r="5674" ht="9.9499999999999993" hidden="1" customHeight="1" x14ac:dyDescent="0.2"/>
    <row r="5675" ht="9.9499999999999993" hidden="1" customHeight="1" x14ac:dyDescent="0.2"/>
    <row r="5676" ht="9.9499999999999993" hidden="1" customHeight="1" x14ac:dyDescent="0.2"/>
    <row r="5677" ht="9.9499999999999993" hidden="1" customHeight="1" x14ac:dyDescent="0.2"/>
    <row r="5678" ht="9.9499999999999993" hidden="1" customHeight="1" x14ac:dyDescent="0.2"/>
    <row r="5679" ht="9.9499999999999993" hidden="1" customHeight="1" x14ac:dyDescent="0.2"/>
    <row r="5680" ht="9.9499999999999993" hidden="1" customHeight="1" x14ac:dyDescent="0.2"/>
    <row r="5681" ht="9.9499999999999993" hidden="1" customHeight="1" x14ac:dyDescent="0.2"/>
    <row r="5682" ht="9.9499999999999993" hidden="1" customHeight="1" x14ac:dyDescent="0.2"/>
    <row r="5683" ht="9.9499999999999993" hidden="1" customHeight="1" x14ac:dyDescent="0.2"/>
    <row r="5684" ht="9.9499999999999993" hidden="1" customHeight="1" x14ac:dyDescent="0.2"/>
    <row r="5685" ht="9.9499999999999993" hidden="1" customHeight="1" x14ac:dyDescent="0.2"/>
    <row r="5686" ht="9.9499999999999993" hidden="1" customHeight="1" x14ac:dyDescent="0.2"/>
    <row r="5687" ht="9.9499999999999993" hidden="1" customHeight="1" x14ac:dyDescent="0.2"/>
    <row r="5688" ht="9.9499999999999993" hidden="1" customHeight="1" x14ac:dyDescent="0.2"/>
    <row r="5689" ht="9.9499999999999993" hidden="1" customHeight="1" x14ac:dyDescent="0.2"/>
    <row r="5690" ht="9.9499999999999993" hidden="1" customHeight="1" x14ac:dyDescent="0.2"/>
    <row r="5691" ht="9.9499999999999993" hidden="1" customHeight="1" x14ac:dyDescent="0.2"/>
    <row r="5692" ht="9.9499999999999993" hidden="1" customHeight="1" x14ac:dyDescent="0.2"/>
    <row r="5693" ht="9.9499999999999993" hidden="1" customHeight="1" x14ac:dyDescent="0.2"/>
    <row r="5694" ht="9.9499999999999993" hidden="1" customHeight="1" x14ac:dyDescent="0.2"/>
    <row r="5695" ht="9.9499999999999993" hidden="1" customHeight="1" x14ac:dyDescent="0.2"/>
    <row r="5696" ht="9.9499999999999993" hidden="1" customHeight="1" x14ac:dyDescent="0.2"/>
    <row r="5697" ht="9.9499999999999993" hidden="1" customHeight="1" x14ac:dyDescent="0.2"/>
    <row r="5698" ht="9.9499999999999993" hidden="1" customHeight="1" x14ac:dyDescent="0.2"/>
    <row r="5699" ht="9.9499999999999993" hidden="1" customHeight="1" x14ac:dyDescent="0.2"/>
    <row r="5700" ht="9.9499999999999993" hidden="1" customHeight="1" x14ac:dyDescent="0.2"/>
    <row r="5701" ht="9.9499999999999993" hidden="1" customHeight="1" x14ac:dyDescent="0.2"/>
    <row r="5702" ht="9.9499999999999993" hidden="1" customHeight="1" x14ac:dyDescent="0.2"/>
    <row r="5703" ht="9.9499999999999993" hidden="1" customHeight="1" x14ac:dyDescent="0.2"/>
    <row r="5704" ht="9.9499999999999993" hidden="1" customHeight="1" x14ac:dyDescent="0.2"/>
    <row r="5705" ht="9.9499999999999993" hidden="1" customHeight="1" x14ac:dyDescent="0.2"/>
    <row r="5706" ht="9.9499999999999993" hidden="1" customHeight="1" x14ac:dyDescent="0.2"/>
    <row r="5707" ht="9.9499999999999993" hidden="1" customHeight="1" x14ac:dyDescent="0.2"/>
    <row r="5708" ht="9.9499999999999993" hidden="1" customHeight="1" x14ac:dyDescent="0.2"/>
    <row r="5709" ht="9.9499999999999993" hidden="1" customHeight="1" x14ac:dyDescent="0.2"/>
    <row r="5710" ht="9.9499999999999993" hidden="1" customHeight="1" x14ac:dyDescent="0.2"/>
    <row r="5711" ht="9.9499999999999993" hidden="1" customHeight="1" x14ac:dyDescent="0.2"/>
    <row r="5712" ht="9.9499999999999993" hidden="1" customHeight="1" x14ac:dyDescent="0.2"/>
    <row r="5713" ht="9.9499999999999993" hidden="1" customHeight="1" x14ac:dyDescent="0.2"/>
    <row r="5714" ht="9.9499999999999993" hidden="1" customHeight="1" x14ac:dyDescent="0.2"/>
    <row r="5715" ht="9.9499999999999993" hidden="1" customHeight="1" x14ac:dyDescent="0.2"/>
    <row r="5716" ht="9.9499999999999993" hidden="1" customHeight="1" x14ac:dyDescent="0.2"/>
    <row r="5717" ht="9.9499999999999993" hidden="1" customHeight="1" x14ac:dyDescent="0.2"/>
    <row r="5718" ht="9.9499999999999993" hidden="1" customHeight="1" x14ac:dyDescent="0.2"/>
    <row r="5719" ht="9.9499999999999993" hidden="1" customHeight="1" x14ac:dyDescent="0.2"/>
    <row r="5720" ht="9.9499999999999993" hidden="1" customHeight="1" x14ac:dyDescent="0.2"/>
    <row r="5721" ht="9.9499999999999993" hidden="1" customHeight="1" x14ac:dyDescent="0.2"/>
    <row r="5722" ht="9.9499999999999993" hidden="1" customHeight="1" x14ac:dyDescent="0.2"/>
    <row r="5723" ht="9.9499999999999993" hidden="1" customHeight="1" x14ac:dyDescent="0.2"/>
    <row r="5724" ht="9.9499999999999993" hidden="1" customHeight="1" x14ac:dyDescent="0.2"/>
    <row r="5725" ht="9.9499999999999993" hidden="1" customHeight="1" x14ac:dyDescent="0.2"/>
    <row r="5726" ht="9.9499999999999993" hidden="1" customHeight="1" x14ac:dyDescent="0.2"/>
    <row r="5727" ht="9.9499999999999993" hidden="1" customHeight="1" x14ac:dyDescent="0.2"/>
    <row r="5728" ht="9.9499999999999993" hidden="1" customHeight="1" x14ac:dyDescent="0.2"/>
    <row r="5729" ht="9.9499999999999993" hidden="1" customHeight="1" x14ac:dyDescent="0.2"/>
    <row r="5730" ht="9.9499999999999993" hidden="1" customHeight="1" x14ac:dyDescent="0.2"/>
    <row r="5731" ht="9.9499999999999993" hidden="1" customHeight="1" x14ac:dyDescent="0.2"/>
    <row r="5732" ht="9.9499999999999993" hidden="1" customHeight="1" x14ac:dyDescent="0.2"/>
    <row r="5733" ht="9.9499999999999993" hidden="1" customHeight="1" x14ac:dyDescent="0.2"/>
    <row r="5734" ht="9.9499999999999993" hidden="1" customHeight="1" x14ac:dyDescent="0.2"/>
    <row r="5735" ht="9.9499999999999993" hidden="1" customHeight="1" x14ac:dyDescent="0.2"/>
    <row r="5736" ht="9.9499999999999993" hidden="1" customHeight="1" x14ac:dyDescent="0.2"/>
    <row r="5737" ht="9.9499999999999993" hidden="1" customHeight="1" x14ac:dyDescent="0.2"/>
    <row r="5738" ht="9.9499999999999993" hidden="1" customHeight="1" x14ac:dyDescent="0.2"/>
    <row r="5739" ht="9.9499999999999993" hidden="1" customHeight="1" x14ac:dyDescent="0.2"/>
    <row r="5740" ht="9.9499999999999993" hidden="1" customHeight="1" x14ac:dyDescent="0.2"/>
    <row r="5741" ht="9.9499999999999993" hidden="1" customHeight="1" x14ac:dyDescent="0.2"/>
    <row r="5742" ht="9.9499999999999993" hidden="1" customHeight="1" x14ac:dyDescent="0.2"/>
    <row r="5743" ht="9.9499999999999993" hidden="1" customHeight="1" x14ac:dyDescent="0.2"/>
    <row r="5744" ht="9.9499999999999993" hidden="1" customHeight="1" x14ac:dyDescent="0.2"/>
    <row r="5745" ht="9.9499999999999993" hidden="1" customHeight="1" x14ac:dyDescent="0.2"/>
    <row r="5746" ht="9.9499999999999993" hidden="1" customHeight="1" x14ac:dyDescent="0.2"/>
    <row r="5747" ht="9.9499999999999993" hidden="1" customHeight="1" x14ac:dyDescent="0.2"/>
    <row r="5748" ht="9.9499999999999993" hidden="1" customHeight="1" x14ac:dyDescent="0.2"/>
    <row r="5749" ht="9.9499999999999993" hidden="1" customHeight="1" x14ac:dyDescent="0.2"/>
    <row r="5750" ht="9.9499999999999993" hidden="1" customHeight="1" x14ac:dyDescent="0.2"/>
    <row r="5751" ht="9.9499999999999993" hidden="1" customHeight="1" x14ac:dyDescent="0.2"/>
    <row r="5752" ht="9.9499999999999993" hidden="1" customHeight="1" x14ac:dyDescent="0.2"/>
    <row r="5753" ht="9.9499999999999993" hidden="1" customHeight="1" x14ac:dyDescent="0.2"/>
    <row r="5754" ht="9.9499999999999993" hidden="1" customHeight="1" x14ac:dyDescent="0.2"/>
    <row r="5755" ht="9.9499999999999993" hidden="1" customHeight="1" x14ac:dyDescent="0.2"/>
    <row r="5756" ht="9.9499999999999993" hidden="1" customHeight="1" x14ac:dyDescent="0.2"/>
    <row r="5757" ht="9.9499999999999993" hidden="1" customHeight="1" x14ac:dyDescent="0.2"/>
    <row r="5758" ht="9.9499999999999993" hidden="1" customHeight="1" x14ac:dyDescent="0.2"/>
    <row r="5759" ht="9.9499999999999993" hidden="1" customHeight="1" x14ac:dyDescent="0.2"/>
    <row r="5760" ht="9.9499999999999993" hidden="1" customHeight="1" x14ac:dyDescent="0.2"/>
    <row r="5761" ht="9.9499999999999993" hidden="1" customHeight="1" x14ac:dyDescent="0.2"/>
    <row r="5762" ht="9.9499999999999993" hidden="1" customHeight="1" x14ac:dyDescent="0.2"/>
    <row r="5763" ht="9.9499999999999993" hidden="1" customHeight="1" x14ac:dyDescent="0.2"/>
    <row r="5764" ht="9.9499999999999993" hidden="1" customHeight="1" x14ac:dyDescent="0.2"/>
    <row r="5765" ht="9.9499999999999993" hidden="1" customHeight="1" x14ac:dyDescent="0.2"/>
    <row r="5766" ht="9.9499999999999993" hidden="1" customHeight="1" x14ac:dyDescent="0.2"/>
    <row r="5767" ht="9.9499999999999993" hidden="1" customHeight="1" x14ac:dyDescent="0.2"/>
    <row r="5768" ht="9.9499999999999993" hidden="1" customHeight="1" x14ac:dyDescent="0.2"/>
    <row r="5769" ht="9.9499999999999993" hidden="1" customHeight="1" x14ac:dyDescent="0.2"/>
    <row r="5770" ht="9.9499999999999993" hidden="1" customHeight="1" x14ac:dyDescent="0.2"/>
    <row r="5771" ht="9.9499999999999993" hidden="1" customHeight="1" x14ac:dyDescent="0.2"/>
    <row r="5772" ht="9.9499999999999993" hidden="1" customHeight="1" x14ac:dyDescent="0.2"/>
    <row r="5773" ht="9.9499999999999993" hidden="1" customHeight="1" x14ac:dyDescent="0.2"/>
    <row r="5774" ht="9.9499999999999993" hidden="1" customHeight="1" x14ac:dyDescent="0.2"/>
    <row r="5775" ht="9.9499999999999993" hidden="1" customHeight="1" x14ac:dyDescent="0.2"/>
    <row r="5776" ht="9.9499999999999993" hidden="1" customHeight="1" x14ac:dyDescent="0.2"/>
    <row r="5777" ht="9.9499999999999993" hidden="1" customHeight="1" x14ac:dyDescent="0.2"/>
    <row r="5778" ht="9.9499999999999993" hidden="1" customHeight="1" x14ac:dyDescent="0.2"/>
    <row r="5779" ht="9.9499999999999993" hidden="1" customHeight="1" x14ac:dyDescent="0.2"/>
    <row r="5780" ht="9.9499999999999993" hidden="1" customHeight="1" x14ac:dyDescent="0.2"/>
    <row r="5781" ht="9.9499999999999993" hidden="1" customHeight="1" x14ac:dyDescent="0.2"/>
    <row r="5782" ht="9.9499999999999993" hidden="1" customHeight="1" x14ac:dyDescent="0.2"/>
    <row r="5783" ht="9.9499999999999993" hidden="1" customHeight="1" x14ac:dyDescent="0.2"/>
    <row r="5784" ht="9.9499999999999993" hidden="1" customHeight="1" x14ac:dyDescent="0.2"/>
    <row r="5785" ht="9.9499999999999993" hidden="1" customHeight="1" x14ac:dyDescent="0.2"/>
    <row r="5786" ht="9.9499999999999993" hidden="1" customHeight="1" x14ac:dyDescent="0.2"/>
    <row r="5787" ht="9.9499999999999993" hidden="1" customHeight="1" x14ac:dyDescent="0.2"/>
    <row r="5788" ht="9.9499999999999993" hidden="1" customHeight="1" x14ac:dyDescent="0.2"/>
    <row r="5789" ht="9.9499999999999993" hidden="1" customHeight="1" x14ac:dyDescent="0.2"/>
    <row r="5790" ht="9.9499999999999993" hidden="1" customHeight="1" x14ac:dyDescent="0.2"/>
    <row r="5791" ht="9.9499999999999993" hidden="1" customHeight="1" x14ac:dyDescent="0.2"/>
    <row r="5792" ht="9.9499999999999993" hidden="1" customHeight="1" x14ac:dyDescent="0.2"/>
    <row r="5793" ht="9.9499999999999993" hidden="1" customHeight="1" x14ac:dyDescent="0.2"/>
    <row r="5794" ht="9.9499999999999993" hidden="1" customHeight="1" x14ac:dyDescent="0.2"/>
    <row r="5795" ht="9.9499999999999993" hidden="1" customHeight="1" x14ac:dyDescent="0.2"/>
    <row r="5796" ht="9.9499999999999993" hidden="1" customHeight="1" x14ac:dyDescent="0.2"/>
    <row r="5797" ht="9.9499999999999993" hidden="1" customHeight="1" x14ac:dyDescent="0.2"/>
    <row r="5798" ht="9.9499999999999993" hidden="1" customHeight="1" x14ac:dyDescent="0.2"/>
    <row r="5799" ht="9.9499999999999993" hidden="1" customHeight="1" x14ac:dyDescent="0.2"/>
    <row r="5800" ht="9.9499999999999993" hidden="1" customHeight="1" x14ac:dyDescent="0.2"/>
    <row r="5801" ht="9.9499999999999993" hidden="1" customHeight="1" x14ac:dyDescent="0.2"/>
    <row r="5802" ht="9.9499999999999993" hidden="1" customHeight="1" x14ac:dyDescent="0.2"/>
    <row r="5803" ht="9.9499999999999993" hidden="1" customHeight="1" x14ac:dyDescent="0.2"/>
    <row r="5804" ht="9.9499999999999993" hidden="1" customHeight="1" x14ac:dyDescent="0.2"/>
    <row r="5805" ht="9.9499999999999993" hidden="1" customHeight="1" x14ac:dyDescent="0.2"/>
    <row r="5806" ht="9.9499999999999993" hidden="1" customHeight="1" x14ac:dyDescent="0.2"/>
    <row r="5807" ht="9.9499999999999993" hidden="1" customHeight="1" x14ac:dyDescent="0.2"/>
    <row r="5808" ht="9.9499999999999993" hidden="1" customHeight="1" x14ac:dyDescent="0.2"/>
    <row r="5809" ht="9.9499999999999993" hidden="1" customHeight="1" x14ac:dyDescent="0.2"/>
    <row r="5810" ht="9.9499999999999993" hidden="1" customHeight="1" x14ac:dyDescent="0.2"/>
    <row r="5811" ht="9.9499999999999993" hidden="1" customHeight="1" x14ac:dyDescent="0.2"/>
    <row r="5812" ht="9.9499999999999993" hidden="1" customHeight="1" x14ac:dyDescent="0.2"/>
    <row r="5813" ht="9.9499999999999993" hidden="1" customHeight="1" x14ac:dyDescent="0.2"/>
    <row r="5814" ht="9.9499999999999993" hidden="1" customHeight="1" x14ac:dyDescent="0.2"/>
    <row r="5815" ht="9.9499999999999993" hidden="1" customHeight="1" x14ac:dyDescent="0.2"/>
    <row r="5816" ht="9.9499999999999993" hidden="1" customHeight="1" x14ac:dyDescent="0.2"/>
    <row r="5817" ht="9.9499999999999993" hidden="1" customHeight="1" x14ac:dyDescent="0.2"/>
    <row r="5818" ht="9.9499999999999993" hidden="1" customHeight="1" x14ac:dyDescent="0.2"/>
    <row r="5819" ht="9.9499999999999993" hidden="1" customHeight="1" x14ac:dyDescent="0.2"/>
    <row r="5820" ht="9.9499999999999993" hidden="1" customHeight="1" x14ac:dyDescent="0.2"/>
    <row r="5821" ht="9.9499999999999993" hidden="1" customHeight="1" x14ac:dyDescent="0.2"/>
    <row r="5822" ht="9.9499999999999993" hidden="1" customHeight="1" x14ac:dyDescent="0.2"/>
    <row r="5823" ht="9.9499999999999993" hidden="1" customHeight="1" x14ac:dyDescent="0.2"/>
    <row r="5824" ht="9.9499999999999993" hidden="1" customHeight="1" x14ac:dyDescent="0.2"/>
    <row r="5825" ht="9.9499999999999993" hidden="1" customHeight="1" x14ac:dyDescent="0.2"/>
    <row r="5826" ht="9.9499999999999993" hidden="1" customHeight="1" x14ac:dyDescent="0.2"/>
    <row r="5827" ht="9.9499999999999993" hidden="1" customHeight="1" x14ac:dyDescent="0.2"/>
    <row r="5828" ht="9.9499999999999993" hidden="1" customHeight="1" x14ac:dyDescent="0.2"/>
    <row r="5829" ht="9.9499999999999993" hidden="1" customHeight="1" x14ac:dyDescent="0.2"/>
    <row r="5830" ht="9.9499999999999993" hidden="1" customHeight="1" x14ac:dyDescent="0.2"/>
    <row r="5831" ht="9.9499999999999993" hidden="1" customHeight="1" x14ac:dyDescent="0.2"/>
    <row r="5832" ht="9.9499999999999993" hidden="1" customHeight="1" x14ac:dyDescent="0.2"/>
    <row r="5833" ht="9.9499999999999993" hidden="1" customHeight="1" x14ac:dyDescent="0.2"/>
    <row r="5834" ht="9.9499999999999993" hidden="1" customHeight="1" x14ac:dyDescent="0.2"/>
    <row r="5835" ht="9.9499999999999993" hidden="1" customHeight="1" x14ac:dyDescent="0.2"/>
    <row r="5836" ht="9.9499999999999993" hidden="1" customHeight="1" x14ac:dyDescent="0.2"/>
    <row r="5837" ht="9.9499999999999993" hidden="1" customHeight="1" x14ac:dyDescent="0.2"/>
    <row r="5838" ht="9.9499999999999993" hidden="1" customHeight="1" x14ac:dyDescent="0.2"/>
    <row r="5839" ht="9.9499999999999993" hidden="1" customHeight="1" x14ac:dyDescent="0.2"/>
    <row r="5840" ht="9.9499999999999993" hidden="1" customHeight="1" x14ac:dyDescent="0.2"/>
    <row r="5841" ht="9.9499999999999993" hidden="1" customHeight="1" x14ac:dyDescent="0.2"/>
    <row r="5842" ht="9.9499999999999993" hidden="1" customHeight="1" x14ac:dyDescent="0.2"/>
    <row r="5843" ht="9.9499999999999993" hidden="1" customHeight="1" x14ac:dyDescent="0.2"/>
    <row r="5844" ht="9.9499999999999993" hidden="1" customHeight="1" x14ac:dyDescent="0.2"/>
    <row r="5845" ht="9.9499999999999993" hidden="1" customHeight="1" x14ac:dyDescent="0.2"/>
    <row r="5846" ht="9.9499999999999993" hidden="1" customHeight="1" x14ac:dyDescent="0.2"/>
    <row r="5847" ht="9.9499999999999993" hidden="1" customHeight="1" x14ac:dyDescent="0.2"/>
    <row r="5848" ht="9.9499999999999993" hidden="1" customHeight="1" x14ac:dyDescent="0.2"/>
    <row r="5849" ht="9.9499999999999993" hidden="1" customHeight="1" x14ac:dyDescent="0.2"/>
    <row r="5850" ht="9.9499999999999993" hidden="1" customHeight="1" x14ac:dyDescent="0.2"/>
    <row r="5851" ht="9.9499999999999993" hidden="1" customHeight="1" x14ac:dyDescent="0.2"/>
    <row r="5852" ht="9.9499999999999993" hidden="1" customHeight="1" x14ac:dyDescent="0.2"/>
    <row r="5853" ht="9.9499999999999993" hidden="1" customHeight="1" x14ac:dyDescent="0.2"/>
    <row r="5854" ht="9.9499999999999993" hidden="1" customHeight="1" x14ac:dyDescent="0.2"/>
    <row r="5855" ht="9.9499999999999993" hidden="1" customHeight="1" x14ac:dyDescent="0.2"/>
    <row r="5856" ht="9.9499999999999993" hidden="1" customHeight="1" x14ac:dyDescent="0.2"/>
    <row r="5857" ht="9.9499999999999993" hidden="1" customHeight="1" x14ac:dyDescent="0.2"/>
    <row r="5858" ht="9.9499999999999993" hidden="1" customHeight="1" x14ac:dyDescent="0.2"/>
    <row r="5859" ht="9.9499999999999993" hidden="1" customHeight="1" x14ac:dyDescent="0.2"/>
    <row r="5860" ht="9.9499999999999993" hidden="1" customHeight="1" x14ac:dyDescent="0.2"/>
    <row r="5861" ht="9.9499999999999993" hidden="1" customHeight="1" x14ac:dyDescent="0.2"/>
    <row r="5862" ht="9.9499999999999993" hidden="1" customHeight="1" x14ac:dyDescent="0.2"/>
    <row r="5863" ht="9.9499999999999993" hidden="1" customHeight="1" x14ac:dyDescent="0.2"/>
    <row r="5864" ht="9.9499999999999993" hidden="1" customHeight="1" x14ac:dyDescent="0.2"/>
    <row r="5865" ht="9.9499999999999993" hidden="1" customHeight="1" x14ac:dyDescent="0.2"/>
    <row r="5866" ht="9.9499999999999993" hidden="1" customHeight="1" x14ac:dyDescent="0.2"/>
    <row r="5867" ht="9.9499999999999993" hidden="1" customHeight="1" x14ac:dyDescent="0.2"/>
    <row r="5868" ht="9.9499999999999993" hidden="1" customHeight="1" x14ac:dyDescent="0.2"/>
    <row r="5869" ht="9.9499999999999993" hidden="1" customHeight="1" x14ac:dyDescent="0.2"/>
    <row r="5870" ht="9.9499999999999993" hidden="1" customHeight="1" x14ac:dyDescent="0.2"/>
    <row r="5871" ht="9.9499999999999993" hidden="1" customHeight="1" x14ac:dyDescent="0.2"/>
    <row r="5872" ht="9.9499999999999993" hidden="1" customHeight="1" x14ac:dyDescent="0.2"/>
    <row r="5873" ht="9.9499999999999993" hidden="1" customHeight="1" x14ac:dyDescent="0.2"/>
    <row r="5874" ht="9.9499999999999993" hidden="1" customHeight="1" x14ac:dyDescent="0.2"/>
    <row r="5875" ht="9.9499999999999993" hidden="1" customHeight="1" x14ac:dyDescent="0.2"/>
    <row r="5876" ht="9.9499999999999993" hidden="1" customHeight="1" x14ac:dyDescent="0.2"/>
    <row r="5877" ht="9.9499999999999993" hidden="1" customHeight="1" x14ac:dyDescent="0.2"/>
    <row r="5878" ht="9.9499999999999993" hidden="1" customHeight="1" x14ac:dyDescent="0.2"/>
    <row r="5879" ht="9.9499999999999993" hidden="1" customHeight="1" x14ac:dyDescent="0.2"/>
    <row r="5880" ht="9.9499999999999993" hidden="1" customHeight="1" x14ac:dyDescent="0.2"/>
    <row r="5881" ht="9.9499999999999993" hidden="1" customHeight="1" x14ac:dyDescent="0.2"/>
    <row r="5882" ht="9.9499999999999993" hidden="1" customHeight="1" x14ac:dyDescent="0.2"/>
    <row r="5883" ht="9.9499999999999993" hidden="1" customHeight="1" x14ac:dyDescent="0.2"/>
    <row r="5884" ht="9.9499999999999993" hidden="1" customHeight="1" x14ac:dyDescent="0.2"/>
    <row r="5885" ht="9.9499999999999993" hidden="1" customHeight="1" x14ac:dyDescent="0.2"/>
    <row r="5886" ht="9.9499999999999993" hidden="1" customHeight="1" x14ac:dyDescent="0.2"/>
    <row r="5887" ht="9.9499999999999993" hidden="1" customHeight="1" x14ac:dyDescent="0.2"/>
    <row r="5888" ht="9.9499999999999993" hidden="1" customHeight="1" x14ac:dyDescent="0.2"/>
    <row r="5889" ht="9.9499999999999993" hidden="1" customHeight="1" x14ac:dyDescent="0.2"/>
    <row r="5890" ht="9.9499999999999993" hidden="1" customHeight="1" x14ac:dyDescent="0.2"/>
    <row r="5891" ht="9.9499999999999993" hidden="1" customHeight="1" x14ac:dyDescent="0.2"/>
    <row r="5892" ht="9.9499999999999993" hidden="1" customHeight="1" x14ac:dyDescent="0.2"/>
    <row r="5893" ht="9.9499999999999993" hidden="1" customHeight="1" x14ac:dyDescent="0.2"/>
    <row r="5894" ht="9.9499999999999993" hidden="1" customHeight="1" x14ac:dyDescent="0.2"/>
    <row r="5895" ht="9.9499999999999993" hidden="1" customHeight="1" x14ac:dyDescent="0.2"/>
    <row r="5896" ht="9.9499999999999993" hidden="1" customHeight="1" x14ac:dyDescent="0.2"/>
    <row r="5897" ht="9.9499999999999993" hidden="1" customHeight="1" x14ac:dyDescent="0.2"/>
    <row r="5898" ht="9.9499999999999993" hidden="1" customHeight="1" x14ac:dyDescent="0.2"/>
    <row r="5899" ht="9.9499999999999993" hidden="1" customHeight="1" x14ac:dyDescent="0.2"/>
    <row r="5900" ht="9.9499999999999993" hidden="1" customHeight="1" x14ac:dyDescent="0.2"/>
    <row r="5901" ht="9.9499999999999993" hidden="1" customHeight="1" x14ac:dyDescent="0.2"/>
    <row r="5902" ht="9.9499999999999993" hidden="1" customHeight="1" x14ac:dyDescent="0.2"/>
    <row r="5903" ht="9.9499999999999993" hidden="1" customHeight="1" x14ac:dyDescent="0.2"/>
    <row r="5904" ht="9.9499999999999993" hidden="1" customHeight="1" x14ac:dyDescent="0.2"/>
    <row r="5905" ht="9.9499999999999993" hidden="1" customHeight="1" x14ac:dyDescent="0.2"/>
    <row r="5906" ht="9.9499999999999993" hidden="1" customHeight="1" x14ac:dyDescent="0.2"/>
    <row r="5907" ht="9.9499999999999993" hidden="1" customHeight="1" x14ac:dyDescent="0.2"/>
    <row r="5908" ht="9.9499999999999993" hidden="1" customHeight="1" x14ac:dyDescent="0.2"/>
    <row r="5909" ht="9.9499999999999993" hidden="1" customHeight="1" x14ac:dyDescent="0.2"/>
    <row r="5910" ht="9.9499999999999993" hidden="1" customHeight="1" x14ac:dyDescent="0.2"/>
    <row r="5911" ht="9.9499999999999993" hidden="1" customHeight="1" x14ac:dyDescent="0.2"/>
    <row r="5912" ht="9.9499999999999993" hidden="1" customHeight="1" x14ac:dyDescent="0.2"/>
    <row r="5913" ht="9.9499999999999993" hidden="1" customHeight="1" x14ac:dyDescent="0.2"/>
    <row r="5914" ht="9.9499999999999993" hidden="1" customHeight="1" x14ac:dyDescent="0.2"/>
    <row r="5915" ht="9.9499999999999993" hidden="1" customHeight="1" x14ac:dyDescent="0.2"/>
    <row r="5916" ht="9.9499999999999993" hidden="1" customHeight="1" x14ac:dyDescent="0.2"/>
    <row r="5917" ht="9.9499999999999993" hidden="1" customHeight="1" x14ac:dyDescent="0.2"/>
    <row r="5918" ht="9.9499999999999993" hidden="1" customHeight="1" x14ac:dyDescent="0.2"/>
    <row r="5919" ht="9.9499999999999993" hidden="1" customHeight="1" x14ac:dyDescent="0.2"/>
    <row r="5920" ht="9.9499999999999993" hidden="1" customHeight="1" x14ac:dyDescent="0.2"/>
    <row r="5921" ht="9.9499999999999993" hidden="1" customHeight="1" x14ac:dyDescent="0.2"/>
    <row r="5922" ht="9.9499999999999993" hidden="1" customHeight="1" x14ac:dyDescent="0.2"/>
    <row r="5923" ht="9.9499999999999993" hidden="1" customHeight="1" x14ac:dyDescent="0.2"/>
    <row r="5924" ht="9.9499999999999993" hidden="1" customHeight="1" x14ac:dyDescent="0.2"/>
    <row r="5925" ht="9.9499999999999993" hidden="1" customHeight="1" x14ac:dyDescent="0.2"/>
    <row r="5926" ht="9.9499999999999993" hidden="1" customHeight="1" x14ac:dyDescent="0.2"/>
    <row r="5927" ht="9.9499999999999993" hidden="1" customHeight="1" x14ac:dyDescent="0.2"/>
    <row r="5928" ht="9.9499999999999993" hidden="1" customHeight="1" x14ac:dyDescent="0.2"/>
    <row r="5929" ht="9.9499999999999993" hidden="1" customHeight="1" x14ac:dyDescent="0.2"/>
    <row r="5930" ht="9.9499999999999993" hidden="1" customHeight="1" x14ac:dyDescent="0.2"/>
    <row r="5931" ht="9.9499999999999993" hidden="1" customHeight="1" x14ac:dyDescent="0.2"/>
    <row r="5932" ht="9.9499999999999993" hidden="1" customHeight="1" x14ac:dyDescent="0.2"/>
    <row r="5933" ht="9.9499999999999993" hidden="1" customHeight="1" x14ac:dyDescent="0.2"/>
    <row r="5934" ht="9.9499999999999993" hidden="1" customHeight="1" x14ac:dyDescent="0.2"/>
    <row r="5935" ht="9.9499999999999993" hidden="1" customHeight="1" x14ac:dyDescent="0.2"/>
    <row r="5936" ht="9.9499999999999993" hidden="1" customHeight="1" x14ac:dyDescent="0.2"/>
    <row r="5937" ht="9.9499999999999993" hidden="1" customHeight="1" x14ac:dyDescent="0.2"/>
    <row r="5938" ht="9.9499999999999993" hidden="1" customHeight="1" x14ac:dyDescent="0.2"/>
    <row r="5939" ht="9.9499999999999993" hidden="1" customHeight="1" x14ac:dyDescent="0.2"/>
    <row r="5940" ht="9.9499999999999993" hidden="1" customHeight="1" x14ac:dyDescent="0.2"/>
    <row r="5941" ht="9.9499999999999993" hidden="1" customHeight="1" x14ac:dyDescent="0.2"/>
    <row r="5942" ht="9.9499999999999993" hidden="1" customHeight="1" x14ac:dyDescent="0.2"/>
    <row r="5943" ht="9.9499999999999993" hidden="1" customHeight="1" x14ac:dyDescent="0.2"/>
    <row r="5944" ht="9.9499999999999993" hidden="1" customHeight="1" x14ac:dyDescent="0.2"/>
    <row r="5945" ht="9.9499999999999993" hidden="1" customHeight="1" x14ac:dyDescent="0.2"/>
    <row r="5946" ht="9.9499999999999993" hidden="1" customHeight="1" x14ac:dyDescent="0.2"/>
    <row r="5947" ht="9.9499999999999993" hidden="1" customHeight="1" x14ac:dyDescent="0.2"/>
    <row r="5948" ht="9.9499999999999993" hidden="1" customHeight="1" x14ac:dyDescent="0.2"/>
    <row r="5949" ht="9.9499999999999993" hidden="1" customHeight="1" x14ac:dyDescent="0.2"/>
    <row r="5950" ht="9.9499999999999993" hidden="1" customHeight="1" x14ac:dyDescent="0.2"/>
    <row r="5951" ht="9.9499999999999993" hidden="1" customHeight="1" x14ac:dyDescent="0.2"/>
    <row r="5952" ht="9.9499999999999993" hidden="1" customHeight="1" x14ac:dyDescent="0.2"/>
    <row r="5953" ht="9.9499999999999993" hidden="1" customHeight="1" x14ac:dyDescent="0.2"/>
    <row r="5954" ht="9.9499999999999993" hidden="1" customHeight="1" x14ac:dyDescent="0.2"/>
    <row r="5955" ht="9.9499999999999993" hidden="1" customHeight="1" x14ac:dyDescent="0.2"/>
    <row r="5956" ht="9.9499999999999993" hidden="1" customHeight="1" x14ac:dyDescent="0.2"/>
    <row r="5957" ht="9.9499999999999993" hidden="1" customHeight="1" x14ac:dyDescent="0.2"/>
    <row r="5958" ht="9.9499999999999993" hidden="1" customHeight="1" x14ac:dyDescent="0.2"/>
    <row r="5959" ht="9.9499999999999993" hidden="1" customHeight="1" x14ac:dyDescent="0.2"/>
    <row r="5960" ht="9.9499999999999993" hidden="1" customHeight="1" x14ac:dyDescent="0.2"/>
    <row r="5961" ht="9.9499999999999993" hidden="1" customHeight="1" x14ac:dyDescent="0.2"/>
    <row r="5962" ht="9.9499999999999993" hidden="1" customHeight="1" x14ac:dyDescent="0.2"/>
    <row r="5963" ht="9.9499999999999993" hidden="1" customHeight="1" x14ac:dyDescent="0.2"/>
    <row r="5964" ht="9.9499999999999993" hidden="1" customHeight="1" x14ac:dyDescent="0.2"/>
    <row r="5965" ht="9.9499999999999993" hidden="1" customHeight="1" x14ac:dyDescent="0.2"/>
    <row r="5966" ht="9.9499999999999993" hidden="1" customHeight="1" x14ac:dyDescent="0.2"/>
    <row r="5967" ht="9.9499999999999993" hidden="1" customHeight="1" x14ac:dyDescent="0.2"/>
    <row r="5968" ht="9.9499999999999993" hidden="1" customHeight="1" x14ac:dyDescent="0.2"/>
    <row r="5969" ht="9.9499999999999993" hidden="1" customHeight="1" x14ac:dyDescent="0.2"/>
    <row r="5970" ht="9.9499999999999993" hidden="1" customHeight="1" x14ac:dyDescent="0.2"/>
    <row r="5971" ht="9.9499999999999993" hidden="1" customHeight="1" x14ac:dyDescent="0.2"/>
    <row r="5972" ht="9.9499999999999993" hidden="1" customHeight="1" x14ac:dyDescent="0.2"/>
    <row r="5973" ht="9.9499999999999993" hidden="1" customHeight="1" x14ac:dyDescent="0.2"/>
    <row r="5974" ht="9.9499999999999993" hidden="1" customHeight="1" x14ac:dyDescent="0.2"/>
    <row r="5975" ht="9.9499999999999993" hidden="1" customHeight="1" x14ac:dyDescent="0.2"/>
    <row r="5976" ht="9.9499999999999993" hidden="1" customHeight="1" x14ac:dyDescent="0.2"/>
    <row r="5977" ht="9.9499999999999993" hidden="1" customHeight="1" x14ac:dyDescent="0.2"/>
    <row r="5978" ht="9.9499999999999993" hidden="1" customHeight="1" x14ac:dyDescent="0.2"/>
    <row r="5979" ht="9.9499999999999993" hidden="1" customHeight="1" x14ac:dyDescent="0.2"/>
    <row r="5980" ht="9.9499999999999993" hidden="1" customHeight="1" x14ac:dyDescent="0.2"/>
    <row r="5981" ht="9.9499999999999993" hidden="1" customHeight="1" x14ac:dyDescent="0.2"/>
    <row r="5982" ht="9.9499999999999993" hidden="1" customHeight="1" x14ac:dyDescent="0.2"/>
    <row r="5983" ht="9.9499999999999993" hidden="1" customHeight="1" x14ac:dyDescent="0.2"/>
    <row r="5984" ht="9.9499999999999993" hidden="1" customHeight="1" x14ac:dyDescent="0.2"/>
    <row r="5985" ht="9.9499999999999993" hidden="1" customHeight="1" x14ac:dyDescent="0.2"/>
    <row r="5986" ht="9.9499999999999993" hidden="1" customHeight="1" x14ac:dyDescent="0.2"/>
    <row r="5987" ht="9.9499999999999993" hidden="1" customHeight="1" x14ac:dyDescent="0.2"/>
    <row r="5988" ht="9.9499999999999993" hidden="1" customHeight="1" x14ac:dyDescent="0.2"/>
    <row r="5989" ht="9.9499999999999993" hidden="1" customHeight="1" x14ac:dyDescent="0.2"/>
    <row r="5990" ht="9.9499999999999993" hidden="1" customHeight="1" x14ac:dyDescent="0.2"/>
    <row r="5991" ht="9.9499999999999993" hidden="1" customHeight="1" x14ac:dyDescent="0.2"/>
    <row r="5992" ht="9.9499999999999993" hidden="1" customHeight="1" x14ac:dyDescent="0.2"/>
    <row r="5993" ht="9.9499999999999993" hidden="1" customHeight="1" x14ac:dyDescent="0.2"/>
    <row r="5994" ht="9.9499999999999993" hidden="1" customHeight="1" x14ac:dyDescent="0.2"/>
    <row r="5995" ht="9.9499999999999993" hidden="1" customHeight="1" x14ac:dyDescent="0.2"/>
    <row r="5996" ht="9.9499999999999993" hidden="1" customHeight="1" x14ac:dyDescent="0.2"/>
    <row r="5997" ht="9.9499999999999993" hidden="1" customHeight="1" x14ac:dyDescent="0.2"/>
    <row r="5998" ht="9.9499999999999993" hidden="1" customHeight="1" x14ac:dyDescent="0.2"/>
    <row r="5999" ht="9.9499999999999993" hidden="1" customHeight="1" x14ac:dyDescent="0.2"/>
    <row r="6000" ht="9.9499999999999993" hidden="1" customHeight="1" x14ac:dyDescent="0.2"/>
    <row r="6001" ht="9.9499999999999993" hidden="1" customHeight="1" x14ac:dyDescent="0.2"/>
    <row r="6002" ht="9.9499999999999993" hidden="1" customHeight="1" x14ac:dyDescent="0.2"/>
    <row r="6003" ht="9.9499999999999993" hidden="1" customHeight="1" x14ac:dyDescent="0.2"/>
    <row r="6004" ht="9.9499999999999993" hidden="1" customHeight="1" x14ac:dyDescent="0.2"/>
    <row r="6005" ht="9.9499999999999993" hidden="1" customHeight="1" x14ac:dyDescent="0.2"/>
    <row r="6006" ht="9.9499999999999993" hidden="1" customHeight="1" x14ac:dyDescent="0.2"/>
    <row r="6007" ht="9.9499999999999993" hidden="1" customHeight="1" x14ac:dyDescent="0.2"/>
    <row r="6008" ht="9.9499999999999993" hidden="1" customHeight="1" x14ac:dyDescent="0.2"/>
    <row r="6009" ht="9.9499999999999993" hidden="1" customHeight="1" x14ac:dyDescent="0.2"/>
    <row r="6010" ht="9.9499999999999993" hidden="1" customHeight="1" x14ac:dyDescent="0.2"/>
    <row r="6011" ht="9.9499999999999993" hidden="1" customHeight="1" x14ac:dyDescent="0.2"/>
    <row r="6012" ht="9.9499999999999993" hidden="1" customHeight="1" x14ac:dyDescent="0.2"/>
    <row r="6013" ht="9.9499999999999993" hidden="1" customHeight="1" x14ac:dyDescent="0.2"/>
    <row r="6014" ht="9.9499999999999993" hidden="1" customHeight="1" x14ac:dyDescent="0.2"/>
    <row r="6015" ht="9.9499999999999993" hidden="1" customHeight="1" x14ac:dyDescent="0.2"/>
    <row r="6016" ht="9.9499999999999993" hidden="1" customHeight="1" x14ac:dyDescent="0.2"/>
    <row r="6017" ht="9.9499999999999993" hidden="1" customHeight="1" x14ac:dyDescent="0.2"/>
    <row r="6018" ht="9.9499999999999993" hidden="1" customHeight="1" x14ac:dyDescent="0.2"/>
    <row r="6019" ht="9.9499999999999993" hidden="1" customHeight="1" x14ac:dyDescent="0.2"/>
    <row r="6020" ht="9.9499999999999993" hidden="1" customHeight="1" x14ac:dyDescent="0.2"/>
    <row r="6021" ht="9.9499999999999993" hidden="1" customHeight="1" x14ac:dyDescent="0.2"/>
    <row r="6022" ht="9.9499999999999993" hidden="1" customHeight="1" x14ac:dyDescent="0.2"/>
    <row r="6023" ht="9.9499999999999993" hidden="1" customHeight="1" x14ac:dyDescent="0.2"/>
    <row r="6024" ht="9.9499999999999993" hidden="1" customHeight="1" x14ac:dyDescent="0.2"/>
    <row r="6025" ht="9.9499999999999993" hidden="1" customHeight="1" x14ac:dyDescent="0.2"/>
    <row r="6026" ht="9.9499999999999993" hidden="1" customHeight="1" x14ac:dyDescent="0.2"/>
    <row r="6027" ht="9.9499999999999993" hidden="1" customHeight="1" x14ac:dyDescent="0.2"/>
    <row r="6028" ht="9.9499999999999993" hidden="1" customHeight="1" x14ac:dyDescent="0.2"/>
    <row r="6029" ht="9.9499999999999993" hidden="1" customHeight="1" x14ac:dyDescent="0.2"/>
    <row r="6030" ht="9.9499999999999993" hidden="1" customHeight="1" x14ac:dyDescent="0.2"/>
    <row r="6031" ht="9.9499999999999993" hidden="1" customHeight="1" x14ac:dyDescent="0.2"/>
    <row r="6032" ht="9.9499999999999993" hidden="1" customHeight="1" x14ac:dyDescent="0.2"/>
    <row r="6033" ht="9.9499999999999993" hidden="1" customHeight="1" x14ac:dyDescent="0.2"/>
    <row r="6034" ht="9.9499999999999993" hidden="1" customHeight="1" x14ac:dyDescent="0.2"/>
    <row r="6035" ht="9.9499999999999993" hidden="1" customHeight="1" x14ac:dyDescent="0.2"/>
    <row r="6036" ht="9.9499999999999993" hidden="1" customHeight="1" x14ac:dyDescent="0.2"/>
    <row r="6037" ht="9.9499999999999993" hidden="1" customHeight="1" x14ac:dyDescent="0.2"/>
    <row r="6038" ht="9.9499999999999993" hidden="1" customHeight="1" x14ac:dyDescent="0.2"/>
    <row r="6039" ht="9.9499999999999993" hidden="1" customHeight="1" x14ac:dyDescent="0.2"/>
    <row r="6040" ht="9.9499999999999993" hidden="1" customHeight="1" x14ac:dyDescent="0.2"/>
    <row r="6041" ht="9.9499999999999993" hidden="1" customHeight="1" x14ac:dyDescent="0.2"/>
    <row r="6042" ht="9.9499999999999993" hidden="1" customHeight="1" x14ac:dyDescent="0.2"/>
    <row r="6043" ht="9.9499999999999993" hidden="1" customHeight="1" x14ac:dyDescent="0.2"/>
    <row r="6044" ht="9.9499999999999993" hidden="1" customHeight="1" x14ac:dyDescent="0.2"/>
    <row r="6045" ht="9.9499999999999993" hidden="1" customHeight="1" x14ac:dyDescent="0.2"/>
    <row r="6046" ht="9.9499999999999993" hidden="1" customHeight="1" x14ac:dyDescent="0.2"/>
    <row r="6047" ht="9.9499999999999993" hidden="1" customHeight="1" x14ac:dyDescent="0.2"/>
    <row r="6048" ht="9.9499999999999993" hidden="1" customHeight="1" x14ac:dyDescent="0.2"/>
    <row r="6049" ht="9.9499999999999993" hidden="1" customHeight="1" x14ac:dyDescent="0.2"/>
    <row r="6050" ht="9.9499999999999993" hidden="1" customHeight="1" x14ac:dyDescent="0.2"/>
    <row r="6051" ht="9.9499999999999993" hidden="1" customHeight="1" x14ac:dyDescent="0.2"/>
    <row r="6052" ht="9.9499999999999993" hidden="1" customHeight="1" x14ac:dyDescent="0.2"/>
    <row r="6053" ht="9.9499999999999993" hidden="1" customHeight="1" x14ac:dyDescent="0.2"/>
    <row r="6054" ht="9.9499999999999993" hidden="1" customHeight="1" x14ac:dyDescent="0.2"/>
    <row r="6055" ht="9.9499999999999993" hidden="1" customHeight="1" x14ac:dyDescent="0.2"/>
    <row r="6056" ht="9.9499999999999993" hidden="1" customHeight="1" x14ac:dyDescent="0.2"/>
    <row r="6057" ht="9.9499999999999993" hidden="1" customHeight="1" x14ac:dyDescent="0.2"/>
    <row r="6058" ht="9.9499999999999993" hidden="1" customHeight="1" x14ac:dyDescent="0.2"/>
    <row r="6059" ht="9.9499999999999993" hidden="1" customHeight="1" x14ac:dyDescent="0.2"/>
    <row r="6060" ht="9.9499999999999993" hidden="1" customHeight="1" x14ac:dyDescent="0.2"/>
    <row r="6061" ht="9.9499999999999993" hidden="1" customHeight="1" x14ac:dyDescent="0.2"/>
    <row r="6062" ht="9.9499999999999993" hidden="1" customHeight="1" x14ac:dyDescent="0.2"/>
    <row r="6063" ht="9.9499999999999993" hidden="1" customHeight="1" x14ac:dyDescent="0.2"/>
    <row r="6064" ht="9.9499999999999993" hidden="1" customHeight="1" x14ac:dyDescent="0.2"/>
    <row r="6065" ht="9.9499999999999993" hidden="1" customHeight="1" x14ac:dyDescent="0.2"/>
    <row r="6066" ht="9.9499999999999993" hidden="1" customHeight="1" x14ac:dyDescent="0.2"/>
    <row r="6067" ht="9.9499999999999993" hidden="1" customHeight="1" x14ac:dyDescent="0.2"/>
    <row r="6068" ht="9.9499999999999993" hidden="1" customHeight="1" x14ac:dyDescent="0.2"/>
    <row r="6069" ht="9.9499999999999993" hidden="1" customHeight="1" x14ac:dyDescent="0.2"/>
    <row r="6070" ht="9.9499999999999993" hidden="1" customHeight="1" x14ac:dyDescent="0.2"/>
    <row r="6071" ht="9.9499999999999993" hidden="1" customHeight="1" x14ac:dyDescent="0.2"/>
    <row r="6072" ht="9.9499999999999993" hidden="1" customHeight="1" x14ac:dyDescent="0.2"/>
    <row r="6073" ht="9.9499999999999993" hidden="1" customHeight="1" x14ac:dyDescent="0.2"/>
    <row r="6074" ht="9.9499999999999993" hidden="1" customHeight="1" x14ac:dyDescent="0.2"/>
    <row r="6075" ht="9.9499999999999993" hidden="1" customHeight="1" x14ac:dyDescent="0.2"/>
    <row r="6076" ht="9.9499999999999993" hidden="1" customHeight="1" x14ac:dyDescent="0.2"/>
    <row r="6077" ht="9.9499999999999993" hidden="1" customHeight="1" x14ac:dyDescent="0.2"/>
    <row r="6078" ht="9.9499999999999993" hidden="1" customHeight="1" x14ac:dyDescent="0.2"/>
    <row r="6079" ht="9.9499999999999993" hidden="1" customHeight="1" x14ac:dyDescent="0.2"/>
    <row r="6080" ht="9.9499999999999993" hidden="1" customHeight="1" x14ac:dyDescent="0.2"/>
    <row r="6081" ht="9.9499999999999993" hidden="1" customHeight="1" x14ac:dyDescent="0.2"/>
    <row r="6082" ht="9.9499999999999993" hidden="1" customHeight="1" x14ac:dyDescent="0.2"/>
    <row r="6083" ht="9.9499999999999993" hidden="1" customHeight="1" x14ac:dyDescent="0.2"/>
    <row r="6084" ht="9.9499999999999993" hidden="1" customHeight="1" x14ac:dyDescent="0.2"/>
    <row r="6085" ht="9.9499999999999993" hidden="1" customHeight="1" x14ac:dyDescent="0.2"/>
    <row r="6086" ht="9.9499999999999993" hidden="1" customHeight="1" x14ac:dyDescent="0.2"/>
    <row r="6087" ht="9.9499999999999993" hidden="1" customHeight="1" x14ac:dyDescent="0.2"/>
    <row r="6088" ht="9.9499999999999993" hidden="1" customHeight="1" x14ac:dyDescent="0.2"/>
    <row r="6089" ht="9.9499999999999993" hidden="1" customHeight="1" x14ac:dyDescent="0.2"/>
    <row r="6090" ht="9.9499999999999993" hidden="1" customHeight="1" x14ac:dyDescent="0.2"/>
    <row r="6091" ht="9.9499999999999993" hidden="1" customHeight="1" x14ac:dyDescent="0.2"/>
    <row r="6092" ht="9.9499999999999993" hidden="1" customHeight="1" x14ac:dyDescent="0.2"/>
    <row r="6093" ht="9.9499999999999993" hidden="1" customHeight="1" x14ac:dyDescent="0.2"/>
    <row r="6094" ht="9.9499999999999993" hidden="1" customHeight="1" x14ac:dyDescent="0.2"/>
    <row r="6095" ht="9.9499999999999993" hidden="1" customHeight="1" x14ac:dyDescent="0.2"/>
    <row r="6096" ht="9.9499999999999993" hidden="1" customHeight="1" x14ac:dyDescent="0.2"/>
    <row r="6097" ht="9.9499999999999993" hidden="1" customHeight="1" x14ac:dyDescent="0.2"/>
    <row r="6098" ht="9.9499999999999993" hidden="1" customHeight="1" x14ac:dyDescent="0.2"/>
    <row r="6099" ht="9.9499999999999993" hidden="1" customHeight="1" x14ac:dyDescent="0.2"/>
    <row r="6100" ht="9.9499999999999993" hidden="1" customHeight="1" x14ac:dyDescent="0.2"/>
    <row r="6101" ht="9.9499999999999993" hidden="1" customHeight="1" x14ac:dyDescent="0.2"/>
    <row r="6102" ht="9.9499999999999993" hidden="1" customHeight="1" x14ac:dyDescent="0.2"/>
    <row r="6103" ht="9.9499999999999993" hidden="1" customHeight="1" x14ac:dyDescent="0.2"/>
    <row r="6104" ht="9.9499999999999993" hidden="1" customHeight="1" x14ac:dyDescent="0.2"/>
    <row r="6105" ht="9.9499999999999993" hidden="1" customHeight="1" x14ac:dyDescent="0.2"/>
    <row r="6106" ht="9.9499999999999993" hidden="1" customHeight="1" x14ac:dyDescent="0.2"/>
    <row r="6107" ht="9.9499999999999993" hidden="1" customHeight="1" x14ac:dyDescent="0.2"/>
    <row r="6108" ht="9.9499999999999993" hidden="1" customHeight="1" x14ac:dyDescent="0.2"/>
    <row r="6109" ht="9.9499999999999993" hidden="1" customHeight="1" x14ac:dyDescent="0.2"/>
    <row r="6110" ht="9.9499999999999993" hidden="1" customHeight="1" x14ac:dyDescent="0.2"/>
    <row r="6111" ht="9.9499999999999993" hidden="1" customHeight="1" x14ac:dyDescent="0.2"/>
    <row r="6112" ht="9.9499999999999993" hidden="1" customHeight="1" x14ac:dyDescent="0.2"/>
    <row r="6113" ht="9.9499999999999993" hidden="1" customHeight="1" x14ac:dyDescent="0.2"/>
    <row r="6114" ht="9.9499999999999993" hidden="1" customHeight="1" x14ac:dyDescent="0.2"/>
    <row r="6115" ht="9.9499999999999993" hidden="1" customHeight="1" x14ac:dyDescent="0.2"/>
    <row r="6116" ht="9.9499999999999993" hidden="1" customHeight="1" x14ac:dyDescent="0.2"/>
    <row r="6117" ht="9.9499999999999993" hidden="1" customHeight="1" x14ac:dyDescent="0.2"/>
    <row r="6118" ht="9.9499999999999993" hidden="1" customHeight="1" x14ac:dyDescent="0.2"/>
    <row r="6119" ht="9.9499999999999993" hidden="1" customHeight="1" x14ac:dyDescent="0.2"/>
    <row r="6120" ht="9.9499999999999993" hidden="1" customHeight="1" x14ac:dyDescent="0.2"/>
    <row r="6121" ht="9.9499999999999993" hidden="1" customHeight="1" x14ac:dyDescent="0.2"/>
    <row r="6122" ht="9.9499999999999993" hidden="1" customHeight="1" x14ac:dyDescent="0.2"/>
    <row r="6123" ht="9.9499999999999993" hidden="1" customHeight="1" x14ac:dyDescent="0.2"/>
    <row r="6124" ht="9.9499999999999993" hidden="1" customHeight="1" x14ac:dyDescent="0.2"/>
    <row r="6125" ht="9.9499999999999993" hidden="1" customHeight="1" x14ac:dyDescent="0.2"/>
    <row r="6126" ht="9.9499999999999993" hidden="1" customHeight="1" x14ac:dyDescent="0.2"/>
    <row r="6127" ht="9.9499999999999993" hidden="1" customHeight="1" x14ac:dyDescent="0.2"/>
    <row r="6128" ht="9.9499999999999993" hidden="1" customHeight="1" x14ac:dyDescent="0.2"/>
    <row r="6129" ht="9.9499999999999993" hidden="1" customHeight="1" x14ac:dyDescent="0.2"/>
    <row r="6130" ht="9.9499999999999993" hidden="1" customHeight="1" x14ac:dyDescent="0.2"/>
    <row r="6131" ht="9.9499999999999993" hidden="1" customHeight="1" x14ac:dyDescent="0.2"/>
    <row r="6132" ht="9.9499999999999993" hidden="1" customHeight="1" x14ac:dyDescent="0.2"/>
    <row r="6133" ht="9.9499999999999993" hidden="1" customHeight="1" x14ac:dyDescent="0.2"/>
    <row r="6134" ht="9.9499999999999993" hidden="1" customHeight="1" x14ac:dyDescent="0.2"/>
    <row r="6135" ht="9.9499999999999993" hidden="1" customHeight="1" x14ac:dyDescent="0.2"/>
    <row r="6136" ht="9.9499999999999993" hidden="1" customHeight="1" x14ac:dyDescent="0.2"/>
    <row r="6137" ht="9.9499999999999993" hidden="1" customHeight="1" x14ac:dyDescent="0.2"/>
    <row r="6138" ht="9.9499999999999993" hidden="1" customHeight="1" x14ac:dyDescent="0.2"/>
    <row r="6139" ht="9.9499999999999993" hidden="1" customHeight="1" x14ac:dyDescent="0.2"/>
    <row r="6140" ht="9.9499999999999993" hidden="1" customHeight="1" x14ac:dyDescent="0.2"/>
    <row r="6141" ht="9.9499999999999993" hidden="1" customHeight="1" x14ac:dyDescent="0.2"/>
    <row r="6142" ht="9.9499999999999993" hidden="1" customHeight="1" x14ac:dyDescent="0.2"/>
    <row r="6143" ht="9.9499999999999993" hidden="1" customHeight="1" x14ac:dyDescent="0.2"/>
    <row r="6144" ht="9.9499999999999993" hidden="1" customHeight="1" x14ac:dyDescent="0.2"/>
    <row r="6145" ht="9.9499999999999993" hidden="1" customHeight="1" x14ac:dyDescent="0.2"/>
    <row r="6146" ht="9.9499999999999993" hidden="1" customHeight="1" x14ac:dyDescent="0.2"/>
    <row r="6147" ht="9.9499999999999993" hidden="1" customHeight="1" x14ac:dyDescent="0.2"/>
    <row r="6148" ht="9.9499999999999993" hidden="1" customHeight="1" x14ac:dyDescent="0.2"/>
    <row r="6149" ht="9.9499999999999993" hidden="1" customHeight="1" x14ac:dyDescent="0.2"/>
    <row r="6150" ht="9.9499999999999993" hidden="1" customHeight="1" x14ac:dyDescent="0.2"/>
    <row r="6151" ht="9.9499999999999993" hidden="1" customHeight="1" x14ac:dyDescent="0.2"/>
    <row r="6152" ht="9.9499999999999993" hidden="1" customHeight="1" x14ac:dyDescent="0.2"/>
    <row r="6153" ht="9.9499999999999993" hidden="1" customHeight="1" x14ac:dyDescent="0.2"/>
    <row r="6154" ht="9.9499999999999993" hidden="1" customHeight="1" x14ac:dyDescent="0.2"/>
    <row r="6155" ht="9.9499999999999993" hidden="1" customHeight="1" x14ac:dyDescent="0.2"/>
    <row r="6156" ht="9.9499999999999993" hidden="1" customHeight="1" x14ac:dyDescent="0.2"/>
    <row r="6157" ht="9.9499999999999993" hidden="1" customHeight="1" x14ac:dyDescent="0.2"/>
    <row r="6158" ht="9.9499999999999993" hidden="1" customHeight="1" x14ac:dyDescent="0.2"/>
    <row r="6159" ht="9.9499999999999993" hidden="1" customHeight="1" x14ac:dyDescent="0.2"/>
    <row r="6160" ht="9.9499999999999993" hidden="1" customHeight="1" x14ac:dyDescent="0.2"/>
    <row r="6161" ht="9.9499999999999993" hidden="1" customHeight="1" x14ac:dyDescent="0.2"/>
    <row r="6162" ht="9.9499999999999993" hidden="1" customHeight="1" x14ac:dyDescent="0.2"/>
    <row r="6163" ht="9.9499999999999993" hidden="1" customHeight="1" x14ac:dyDescent="0.2"/>
    <row r="6164" ht="9.9499999999999993" hidden="1" customHeight="1" x14ac:dyDescent="0.2"/>
    <row r="6165" ht="9.9499999999999993" hidden="1" customHeight="1" x14ac:dyDescent="0.2"/>
    <row r="6166" ht="9.9499999999999993" hidden="1" customHeight="1" x14ac:dyDescent="0.2"/>
    <row r="6167" ht="9.9499999999999993" hidden="1" customHeight="1" x14ac:dyDescent="0.2"/>
    <row r="6168" ht="9.9499999999999993" hidden="1" customHeight="1" x14ac:dyDescent="0.2"/>
    <row r="6169" ht="9.9499999999999993" hidden="1" customHeight="1" x14ac:dyDescent="0.2"/>
    <row r="6170" ht="9.9499999999999993" hidden="1" customHeight="1" x14ac:dyDescent="0.2"/>
    <row r="6171" ht="9.9499999999999993" hidden="1" customHeight="1" x14ac:dyDescent="0.2"/>
    <row r="6172" ht="9.9499999999999993" hidden="1" customHeight="1" x14ac:dyDescent="0.2"/>
    <row r="6173" ht="9.9499999999999993" hidden="1" customHeight="1" x14ac:dyDescent="0.2"/>
    <row r="6174" ht="9.9499999999999993" hidden="1" customHeight="1" x14ac:dyDescent="0.2"/>
    <row r="6175" ht="9.9499999999999993" hidden="1" customHeight="1" x14ac:dyDescent="0.2"/>
    <row r="6176" ht="9.9499999999999993" hidden="1" customHeight="1" x14ac:dyDescent="0.2"/>
    <row r="6177" ht="9.9499999999999993" hidden="1" customHeight="1" x14ac:dyDescent="0.2"/>
    <row r="6178" ht="9.9499999999999993" hidden="1" customHeight="1" x14ac:dyDescent="0.2"/>
    <row r="6179" ht="9.9499999999999993" hidden="1" customHeight="1" x14ac:dyDescent="0.2"/>
    <row r="6180" ht="9.9499999999999993" hidden="1" customHeight="1" x14ac:dyDescent="0.2"/>
    <row r="6181" ht="9.9499999999999993" hidden="1" customHeight="1" x14ac:dyDescent="0.2"/>
    <row r="6182" ht="9.9499999999999993" hidden="1" customHeight="1" x14ac:dyDescent="0.2"/>
    <row r="6183" ht="9.9499999999999993" hidden="1" customHeight="1" x14ac:dyDescent="0.2"/>
    <row r="6184" ht="9.9499999999999993" hidden="1" customHeight="1" x14ac:dyDescent="0.2"/>
    <row r="6185" ht="9.9499999999999993" hidden="1" customHeight="1" x14ac:dyDescent="0.2"/>
    <row r="6186" ht="9.9499999999999993" hidden="1" customHeight="1" x14ac:dyDescent="0.2"/>
    <row r="6187" ht="9.9499999999999993" hidden="1" customHeight="1" x14ac:dyDescent="0.2"/>
    <row r="6188" ht="9.9499999999999993" hidden="1" customHeight="1" x14ac:dyDescent="0.2"/>
    <row r="6189" ht="9.9499999999999993" hidden="1" customHeight="1" x14ac:dyDescent="0.2"/>
    <row r="6190" ht="9.9499999999999993" hidden="1" customHeight="1" x14ac:dyDescent="0.2"/>
    <row r="6191" ht="9.9499999999999993" hidden="1" customHeight="1" x14ac:dyDescent="0.2"/>
    <row r="6192" ht="9.9499999999999993" hidden="1" customHeight="1" x14ac:dyDescent="0.2"/>
    <row r="6193" ht="9.9499999999999993" hidden="1" customHeight="1" x14ac:dyDescent="0.2"/>
    <row r="6194" ht="9.9499999999999993" hidden="1" customHeight="1" x14ac:dyDescent="0.2"/>
    <row r="6195" ht="9.9499999999999993" hidden="1" customHeight="1" x14ac:dyDescent="0.2"/>
    <row r="6196" ht="9.9499999999999993" hidden="1" customHeight="1" x14ac:dyDescent="0.2"/>
    <row r="6197" ht="9.9499999999999993" hidden="1" customHeight="1" x14ac:dyDescent="0.2"/>
    <row r="6198" ht="9.9499999999999993" hidden="1" customHeight="1" x14ac:dyDescent="0.2"/>
    <row r="6199" ht="9.9499999999999993" hidden="1" customHeight="1" x14ac:dyDescent="0.2"/>
    <row r="6200" ht="9.9499999999999993" hidden="1" customHeight="1" x14ac:dyDescent="0.2"/>
    <row r="6201" ht="9.9499999999999993" hidden="1" customHeight="1" x14ac:dyDescent="0.2"/>
    <row r="6202" ht="9.9499999999999993" hidden="1" customHeight="1" x14ac:dyDescent="0.2"/>
    <row r="6203" ht="9.9499999999999993" hidden="1" customHeight="1" x14ac:dyDescent="0.2"/>
    <row r="6204" ht="9.9499999999999993" hidden="1" customHeight="1" x14ac:dyDescent="0.2"/>
    <row r="6205" ht="9.9499999999999993" hidden="1" customHeight="1" x14ac:dyDescent="0.2"/>
    <row r="6206" ht="9.9499999999999993" hidden="1" customHeight="1" x14ac:dyDescent="0.2"/>
    <row r="6207" ht="9.9499999999999993" hidden="1" customHeight="1" x14ac:dyDescent="0.2"/>
    <row r="6208" ht="9.9499999999999993" hidden="1" customHeight="1" x14ac:dyDescent="0.2"/>
    <row r="6209" ht="9.9499999999999993" hidden="1" customHeight="1" x14ac:dyDescent="0.2"/>
    <row r="6210" ht="9.9499999999999993" hidden="1" customHeight="1" x14ac:dyDescent="0.2"/>
    <row r="6211" ht="9.9499999999999993" hidden="1" customHeight="1" x14ac:dyDescent="0.2"/>
    <row r="6212" ht="9.9499999999999993" hidden="1" customHeight="1" x14ac:dyDescent="0.2"/>
    <row r="6213" ht="9.9499999999999993" hidden="1" customHeight="1" x14ac:dyDescent="0.2"/>
    <row r="6214" ht="9.9499999999999993" hidden="1" customHeight="1" x14ac:dyDescent="0.2"/>
    <row r="6215" ht="9.9499999999999993" hidden="1" customHeight="1" x14ac:dyDescent="0.2"/>
    <row r="6216" ht="9.9499999999999993" hidden="1" customHeight="1" x14ac:dyDescent="0.2"/>
    <row r="6217" ht="9.9499999999999993" hidden="1" customHeight="1" x14ac:dyDescent="0.2"/>
    <row r="6218" ht="9.9499999999999993" hidden="1" customHeight="1" x14ac:dyDescent="0.2"/>
    <row r="6219" ht="9.9499999999999993" hidden="1" customHeight="1" x14ac:dyDescent="0.2"/>
    <row r="6220" ht="9.9499999999999993" hidden="1" customHeight="1" x14ac:dyDescent="0.2"/>
    <row r="6221" ht="9.9499999999999993" hidden="1" customHeight="1" x14ac:dyDescent="0.2"/>
    <row r="6222" ht="9.9499999999999993" hidden="1" customHeight="1" x14ac:dyDescent="0.2"/>
    <row r="6223" ht="9.9499999999999993" hidden="1" customHeight="1" x14ac:dyDescent="0.2"/>
    <row r="6224" ht="9.9499999999999993" hidden="1" customHeight="1" x14ac:dyDescent="0.2"/>
    <row r="6225" ht="9.9499999999999993" hidden="1" customHeight="1" x14ac:dyDescent="0.2"/>
    <row r="6226" ht="9.9499999999999993" hidden="1" customHeight="1" x14ac:dyDescent="0.2"/>
    <row r="6227" ht="9.9499999999999993" hidden="1" customHeight="1" x14ac:dyDescent="0.2"/>
    <row r="6228" ht="9.9499999999999993" hidden="1" customHeight="1" x14ac:dyDescent="0.2"/>
    <row r="6229" ht="9.9499999999999993" hidden="1" customHeight="1" x14ac:dyDescent="0.2"/>
    <row r="6230" ht="9.9499999999999993" hidden="1" customHeight="1" x14ac:dyDescent="0.2"/>
    <row r="6231" ht="9.9499999999999993" hidden="1" customHeight="1" x14ac:dyDescent="0.2"/>
    <row r="6232" ht="9.9499999999999993" hidden="1" customHeight="1" x14ac:dyDescent="0.2"/>
    <row r="6233" ht="9.9499999999999993" hidden="1" customHeight="1" x14ac:dyDescent="0.2"/>
    <row r="6234" ht="9.9499999999999993" hidden="1" customHeight="1" x14ac:dyDescent="0.2"/>
    <row r="6235" ht="9.9499999999999993" hidden="1" customHeight="1" x14ac:dyDescent="0.2"/>
    <row r="6236" ht="9.9499999999999993" hidden="1" customHeight="1" x14ac:dyDescent="0.2"/>
    <row r="6237" ht="9.9499999999999993" hidden="1" customHeight="1" x14ac:dyDescent="0.2"/>
    <row r="6238" ht="9.9499999999999993" hidden="1" customHeight="1" x14ac:dyDescent="0.2"/>
    <row r="6239" ht="9.9499999999999993" hidden="1" customHeight="1" x14ac:dyDescent="0.2"/>
    <row r="6240" ht="9.9499999999999993" hidden="1" customHeight="1" x14ac:dyDescent="0.2"/>
    <row r="6241" ht="9.9499999999999993" hidden="1" customHeight="1" x14ac:dyDescent="0.2"/>
    <row r="6242" ht="9.9499999999999993" hidden="1" customHeight="1" x14ac:dyDescent="0.2"/>
    <row r="6243" ht="9.9499999999999993" hidden="1" customHeight="1" x14ac:dyDescent="0.2"/>
    <row r="6244" ht="9.9499999999999993" hidden="1" customHeight="1" x14ac:dyDescent="0.2"/>
    <row r="6245" ht="9.9499999999999993" hidden="1" customHeight="1" x14ac:dyDescent="0.2"/>
    <row r="6246" ht="9.9499999999999993" hidden="1" customHeight="1" x14ac:dyDescent="0.2"/>
    <row r="6247" ht="9.9499999999999993" hidden="1" customHeight="1" x14ac:dyDescent="0.2"/>
    <row r="6248" ht="9.9499999999999993" hidden="1" customHeight="1" x14ac:dyDescent="0.2"/>
    <row r="6249" ht="9.9499999999999993" hidden="1" customHeight="1" x14ac:dyDescent="0.2"/>
    <row r="6250" ht="9.9499999999999993" hidden="1" customHeight="1" x14ac:dyDescent="0.2"/>
    <row r="6251" ht="9.9499999999999993" hidden="1" customHeight="1" x14ac:dyDescent="0.2"/>
    <row r="6252" ht="9.9499999999999993" hidden="1" customHeight="1" x14ac:dyDescent="0.2"/>
    <row r="6253" ht="9.9499999999999993" hidden="1" customHeight="1" x14ac:dyDescent="0.2"/>
    <row r="6254" ht="9.9499999999999993" hidden="1" customHeight="1" x14ac:dyDescent="0.2"/>
    <row r="6255" ht="9.9499999999999993" hidden="1" customHeight="1" x14ac:dyDescent="0.2"/>
    <row r="6256" ht="9.9499999999999993" hidden="1" customHeight="1" x14ac:dyDescent="0.2"/>
    <row r="6257" ht="9.9499999999999993" hidden="1" customHeight="1" x14ac:dyDescent="0.2"/>
    <row r="6258" ht="9.9499999999999993" hidden="1" customHeight="1" x14ac:dyDescent="0.2"/>
    <row r="6259" ht="9.9499999999999993" hidden="1" customHeight="1" x14ac:dyDescent="0.2"/>
    <row r="6260" ht="9.9499999999999993" hidden="1" customHeight="1" x14ac:dyDescent="0.2"/>
    <row r="6261" ht="9.9499999999999993" hidden="1" customHeight="1" x14ac:dyDescent="0.2"/>
    <row r="6262" ht="9.9499999999999993" hidden="1" customHeight="1" x14ac:dyDescent="0.2"/>
    <row r="6263" ht="9.9499999999999993" hidden="1" customHeight="1" x14ac:dyDescent="0.2"/>
    <row r="6264" ht="9.9499999999999993" hidden="1" customHeight="1" x14ac:dyDescent="0.2"/>
    <row r="6265" ht="9.9499999999999993" hidden="1" customHeight="1" x14ac:dyDescent="0.2"/>
    <row r="6266" ht="9.9499999999999993" hidden="1" customHeight="1" x14ac:dyDescent="0.2"/>
    <row r="6267" ht="9.9499999999999993" hidden="1" customHeight="1" x14ac:dyDescent="0.2"/>
    <row r="6268" ht="9.9499999999999993" hidden="1" customHeight="1" x14ac:dyDescent="0.2"/>
    <row r="6269" ht="9.9499999999999993" hidden="1" customHeight="1" x14ac:dyDescent="0.2"/>
    <row r="6270" ht="9.9499999999999993" hidden="1" customHeight="1" x14ac:dyDescent="0.2"/>
    <row r="6271" ht="9.9499999999999993" hidden="1" customHeight="1" x14ac:dyDescent="0.2"/>
    <row r="6272" ht="9.9499999999999993" hidden="1" customHeight="1" x14ac:dyDescent="0.2"/>
    <row r="6273" ht="9.9499999999999993" hidden="1" customHeight="1" x14ac:dyDescent="0.2"/>
    <row r="6274" ht="9.9499999999999993" hidden="1" customHeight="1" x14ac:dyDescent="0.2"/>
    <row r="6275" ht="9.9499999999999993" hidden="1" customHeight="1" x14ac:dyDescent="0.2"/>
    <row r="6276" ht="9.9499999999999993" hidden="1" customHeight="1" x14ac:dyDescent="0.2"/>
    <row r="6277" ht="9.9499999999999993" hidden="1" customHeight="1" x14ac:dyDescent="0.2"/>
    <row r="6278" ht="9.9499999999999993" hidden="1" customHeight="1" x14ac:dyDescent="0.2"/>
    <row r="6279" ht="9.9499999999999993" hidden="1" customHeight="1" x14ac:dyDescent="0.2"/>
    <row r="6280" ht="9.9499999999999993" hidden="1" customHeight="1" x14ac:dyDescent="0.2"/>
    <row r="6281" ht="9.9499999999999993" hidden="1" customHeight="1" x14ac:dyDescent="0.2"/>
    <row r="6282" ht="9.9499999999999993" hidden="1" customHeight="1" x14ac:dyDescent="0.2"/>
    <row r="6283" ht="9.9499999999999993" hidden="1" customHeight="1" x14ac:dyDescent="0.2"/>
    <row r="6284" ht="9.9499999999999993" hidden="1" customHeight="1" x14ac:dyDescent="0.2"/>
    <row r="6285" ht="9.9499999999999993" hidden="1" customHeight="1" x14ac:dyDescent="0.2"/>
    <row r="6286" ht="9.9499999999999993" hidden="1" customHeight="1" x14ac:dyDescent="0.2"/>
    <row r="6287" ht="9.9499999999999993" hidden="1" customHeight="1" x14ac:dyDescent="0.2"/>
    <row r="6288" ht="9.9499999999999993" hidden="1" customHeight="1" x14ac:dyDescent="0.2"/>
    <row r="6289" ht="9.9499999999999993" hidden="1" customHeight="1" x14ac:dyDescent="0.2"/>
    <row r="6290" ht="9.9499999999999993" hidden="1" customHeight="1" x14ac:dyDescent="0.2"/>
    <row r="6291" ht="9.9499999999999993" hidden="1" customHeight="1" x14ac:dyDescent="0.2"/>
    <row r="6292" ht="9.9499999999999993" hidden="1" customHeight="1" x14ac:dyDescent="0.2"/>
    <row r="6293" ht="9.9499999999999993" hidden="1" customHeight="1" x14ac:dyDescent="0.2"/>
    <row r="6294" ht="9.9499999999999993" hidden="1" customHeight="1" x14ac:dyDescent="0.2"/>
    <row r="6295" ht="9.9499999999999993" hidden="1" customHeight="1" x14ac:dyDescent="0.2"/>
    <row r="6296" ht="9.9499999999999993" hidden="1" customHeight="1" x14ac:dyDescent="0.2"/>
    <row r="6297" ht="9.9499999999999993" hidden="1" customHeight="1" x14ac:dyDescent="0.2"/>
    <row r="6298" ht="9.9499999999999993" hidden="1" customHeight="1" x14ac:dyDescent="0.2"/>
    <row r="6299" ht="9.9499999999999993" hidden="1" customHeight="1" x14ac:dyDescent="0.2"/>
    <row r="6300" ht="9.9499999999999993" hidden="1" customHeight="1" x14ac:dyDescent="0.2"/>
    <row r="6301" ht="9.9499999999999993" hidden="1" customHeight="1" x14ac:dyDescent="0.2"/>
    <row r="6302" ht="9.9499999999999993" hidden="1" customHeight="1" x14ac:dyDescent="0.2"/>
    <row r="6303" ht="9.9499999999999993" hidden="1" customHeight="1" x14ac:dyDescent="0.2"/>
    <row r="6304" ht="9.9499999999999993" hidden="1" customHeight="1" x14ac:dyDescent="0.2"/>
    <row r="6305" ht="9.9499999999999993" hidden="1" customHeight="1" x14ac:dyDescent="0.2"/>
    <row r="6306" ht="9.9499999999999993" hidden="1" customHeight="1" x14ac:dyDescent="0.2"/>
    <row r="6307" ht="9.9499999999999993" hidden="1" customHeight="1" x14ac:dyDescent="0.2"/>
    <row r="6308" ht="9.9499999999999993" hidden="1" customHeight="1" x14ac:dyDescent="0.2"/>
    <row r="6309" ht="9.9499999999999993" hidden="1" customHeight="1" x14ac:dyDescent="0.2"/>
    <row r="6310" ht="9.9499999999999993" hidden="1" customHeight="1" x14ac:dyDescent="0.2"/>
    <row r="6311" ht="9.9499999999999993" hidden="1" customHeight="1" x14ac:dyDescent="0.2"/>
    <row r="6312" ht="9.9499999999999993" hidden="1" customHeight="1" x14ac:dyDescent="0.2"/>
    <row r="6313" ht="9.9499999999999993" hidden="1" customHeight="1" x14ac:dyDescent="0.2"/>
    <row r="6314" ht="9.9499999999999993" hidden="1" customHeight="1" x14ac:dyDescent="0.2"/>
    <row r="6315" ht="9.9499999999999993" hidden="1" customHeight="1" x14ac:dyDescent="0.2"/>
    <row r="6316" ht="9.9499999999999993" hidden="1" customHeight="1" x14ac:dyDescent="0.2"/>
    <row r="6317" ht="9.9499999999999993" hidden="1" customHeight="1" x14ac:dyDescent="0.2"/>
    <row r="6318" ht="9.9499999999999993" hidden="1" customHeight="1" x14ac:dyDescent="0.2"/>
    <row r="6319" ht="9.9499999999999993" hidden="1" customHeight="1" x14ac:dyDescent="0.2"/>
    <row r="6320" ht="9.9499999999999993" hidden="1" customHeight="1" x14ac:dyDescent="0.2"/>
    <row r="6321" ht="9.9499999999999993" hidden="1" customHeight="1" x14ac:dyDescent="0.2"/>
    <row r="6322" ht="9.9499999999999993" hidden="1" customHeight="1" x14ac:dyDescent="0.2"/>
    <row r="6323" ht="9.9499999999999993" hidden="1" customHeight="1" x14ac:dyDescent="0.2"/>
    <row r="6324" ht="9.9499999999999993" hidden="1" customHeight="1" x14ac:dyDescent="0.2"/>
    <row r="6325" ht="9.9499999999999993" hidden="1" customHeight="1" x14ac:dyDescent="0.2"/>
    <row r="6326" ht="9.9499999999999993" hidden="1" customHeight="1" x14ac:dyDescent="0.2"/>
    <row r="6327" ht="9.9499999999999993" hidden="1" customHeight="1" x14ac:dyDescent="0.2"/>
    <row r="6328" ht="9.9499999999999993" hidden="1" customHeight="1" x14ac:dyDescent="0.2"/>
    <row r="6329" ht="9.9499999999999993" hidden="1" customHeight="1" x14ac:dyDescent="0.2"/>
    <row r="6330" ht="9.9499999999999993" hidden="1" customHeight="1" x14ac:dyDescent="0.2"/>
    <row r="6331" ht="9.9499999999999993" hidden="1" customHeight="1" x14ac:dyDescent="0.2"/>
    <row r="6332" ht="9.9499999999999993" hidden="1" customHeight="1" x14ac:dyDescent="0.2"/>
    <row r="6333" ht="9.9499999999999993" hidden="1" customHeight="1" x14ac:dyDescent="0.2"/>
    <row r="6334" ht="9.9499999999999993" hidden="1" customHeight="1" x14ac:dyDescent="0.2"/>
    <row r="6335" ht="9.9499999999999993" hidden="1" customHeight="1" x14ac:dyDescent="0.2"/>
    <row r="6336" ht="9.9499999999999993" hidden="1" customHeight="1" x14ac:dyDescent="0.2"/>
    <row r="6337" ht="9.9499999999999993" hidden="1" customHeight="1" x14ac:dyDescent="0.2"/>
    <row r="6338" ht="9.9499999999999993" hidden="1" customHeight="1" x14ac:dyDescent="0.2"/>
    <row r="6339" ht="9.9499999999999993" hidden="1" customHeight="1" x14ac:dyDescent="0.2"/>
    <row r="6340" ht="9.9499999999999993" hidden="1" customHeight="1" x14ac:dyDescent="0.2"/>
    <row r="6341" ht="9.9499999999999993" hidden="1" customHeight="1" x14ac:dyDescent="0.2"/>
    <row r="6342" ht="9.9499999999999993" hidden="1" customHeight="1" x14ac:dyDescent="0.2"/>
    <row r="6343" ht="9.9499999999999993" hidden="1" customHeight="1" x14ac:dyDescent="0.2"/>
    <row r="6344" ht="9.9499999999999993" hidden="1" customHeight="1" x14ac:dyDescent="0.2"/>
    <row r="6345" ht="9.9499999999999993" hidden="1" customHeight="1" x14ac:dyDescent="0.2"/>
    <row r="6346" ht="9.9499999999999993" hidden="1" customHeight="1" x14ac:dyDescent="0.2"/>
    <row r="6347" ht="9.9499999999999993" hidden="1" customHeight="1" x14ac:dyDescent="0.2"/>
    <row r="6348" ht="9.9499999999999993" hidden="1" customHeight="1" x14ac:dyDescent="0.2"/>
    <row r="6349" ht="9.9499999999999993" hidden="1" customHeight="1" x14ac:dyDescent="0.2"/>
    <row r="6350" ht="9.9499999999999993" hidden="1" customHeight="1" x14ac:dyDescent="0.2"/>
    <row r="6351" ht="9.9499999999999993" hidden="1" customHeight="1" x14ac:dyDescent="0.2"/>
    <row r="6352" ht="9.9499999999999993" hidden="1" customHeight="1" x14ac:dyDescent="0.2"/>
    <row r="6353" ht="9.9499999999999993" hidden="1" customHeight="1" x14ac:dyDescent="0.2"/>
    <row r="6354" ht="9.9499999999999993" hidden="1" customHeight="1" x14ac:dyDescent="0.2"/>
    <row r="6355" ht="9.9499999999999993" hidden="1" customHeight="1" x14ac:dyDescent="0.2"/>
    <row r="6356" ht="9.9499999999999993" hidden="1" customHeight="1" x14ac:dyDescent="0.2"/>
    <row r="6357" ht="9.9499999999999993" hidden="1" customHeight="1" x14ac:dyDescent="0.2"/>
    <row r="6358" ht="9.9499999999999993" hidden="1" customHeight="1" x14ac:dyDescent="0.2"/>
    <row r="6359" ht="9.9499999999999993" hidden="1" customHeight="1" x14ac:dyDescent="0.2"/>
    <row r="6360" ht="9.9499999999999993" hidden="1" customHeight="1" x14ac:dyDescent="0.2"/>
    <row r="6361" ht="9.9499999999999993" hidden="1" customHeight="1" x14ac:dyDescent="0.2"/>
    <row r="6362" ht="9.9499999999999993" hidden="1" customHeight="1" x14ac:dyDescent="0.2"/>
    <row r="6363" ht="9.9499999999999993" hidden="1" customHeight="1" x14ac:dyDescent="0.2"/>
    <row r="6364" ht="9.9499999999999993" hidden="1" customHeight="1" x14ac:dyDescent="0.2"/>
    <row r="6365" ht="9.9499999999999993" hidden="1" customHeight="1" x14ac:dyDescent="0.2"/>
    <row r="6366" ht="9.9499999999999993" hidden="1" customHeight="1" x14ac:dyDescent="0.2"/>
    <row r="6367" ht="9.9499999999999993" hidden="1" customHeight="1" x14ac:dyDescent="0.2"/>
    <row r="6368" ht="9.9499999999999993" hidden="1" customHeight="1" x14ac:dyDescent="0.2"/>
    <row r="6369" ht="9.9499999999999993" hidden="1" customHeight="1" x14ac:dyDescent="0.2"/>
    <row r="6370" ht="9.9499999999999993" hidden="1" customHeight="1" x14ac:dyDescent="0.2"/>
    <row r="6371" ht="9.9499999999999993" hidden="1" customHeight="1" x14ac:dyDescent="0.2"/>
    <row r="6372" ht="9.9499999999999993" hidden="1" customHeight="1" x14ac:dyDescent="0.2"/>
    <row r="6373" ht="9.9499999999999993" hidden="1" customHeight="1" x14ac:dyDescent="0.2"/>
    <row r="6374" ht="9.9499999999999993" hidden="1" customHeight="1" x14ac:dyDescent="0.2"/>
    <row r="6375" ht="9.9499999999999993" hidden="1" customHeight="1" x14ac:dyDescent="0.2"/>
    <row r="6376" ht="9.9499999999999993" hidden="1" customHeight="1" x14ac:dyDescent="0.2"/>
    <row r="6377" ht="9.9499999999999993" hidden="1" customHeight="1" x14ac:dyDescent="0.2"/>
    <row r="6378" ht="9.9499999999999993" hidden="1" customHeight="1" x14ac:dyDescent="0.2"/>
    <row r="6379" ht="9.9499999999999993" hidden="1" customHeight="1" x14ac:dyDescent="0.2"/>
    <row r="6380" ht="9.9499999999999993" hidden="1" customHeight="1" x14ac:dyDescent="0.2"/>
    <row r="6381" ht="9.9499999999999993" hidden="1" customHeight="1" x14ac:dyDescent="0.2"/>
    <row r="6382" ht="9.9499999999999993" hidden="1" customHeight="1" x14ac:dyDescent="0.2"/>
    <row r="6383" ht="9.9499999999999993" hidden="1" customHeight="1" x14ac:dyDescent="0.2"/>
    <row r="6384" ht="9.9499999999999993" hidden="1" customHeight="1" x14ac:dyDescent="0.2"/>
    <row r="6385" ht="9.9499999999999993" hidden="1" customHeight="1" x14ac:dyDescent="0.2"/>
    <row r="6386" ht="9.9499999999999993" hidden="1" customHeight="1" x14ac:dyDescent="0.2"/>
    <row r="6387" ht="9.9499999999999993" hidden="1" customHeight="1" x14ac:dyDescent="0.2"/>
    <row r="6388" ht="9.9499999999999993" hidden="1" customHeight="1" x14ac:dyDescent="0.2"/>
    <row r="6389" ht="9.9499999999999993" hidden="1" customHeight="1" x14ac:dyDescent="0.2"/>
    <row r="6390" ht="9.9499999999999993" hidden="1" customHeight="1" x14ac:dyDescent="0.2"/>
    <row r="6391" ht="9.9499999999999993" hidden="1" customHeight="1" x14ac:dyDescent="0.2"/>
    <row r="6392" ht="9.9499999999999993" hidden="1" customHeight="1" x14ac:dyDescent="0.2"/>
    <row r="6393" ht="9.9499999999999993" hidden="1" customHeight="1" x14ac:dyDescent="0.2"/>
    <row r="6394" ht="9.9499999999999993" hidden="1" customHeight="1" x14ac:dyDescent="0.2"/>
    <row r="6395" ht="9.9499999999999993" hidden="1" customHeight="1" x14ac:dyDescent="0.2"/>
    <row r="6396" ht="9.9499999999999993" hidden="1" customHeight="1" x14ac:dyDescent="0.2"/>
    <row r="6397" ht="9.9499999999999993" hidden="1" customHeight="1" x14ac:dyDescent="0.2"/>
    <row r="6398" ht="9.9499999999999993" hidden="1" customHeight="1" x14ac:dyDescent="0.2"/>
    <row r="6399" ht="9.9499999999999993" hidden="1" customHeight="1" x14ac:dyDescent="0.2"/>
    <row r="6400" ht="9.9499999999999993" hidden="1" customHeight="1" x14ac:dyDescent="0.2"/>
    <row r="6401" ht="9.9499999999999993" hidden="1" customHeight="1" x14ac:dyDescent="0.2"/>
    <row r="6402" ht="9.9499999999999993" hidden="1" customHeight="1" x14ac:dyDescent="0.2"/>
    <row r="6403" ht="9.9499999999999993" hidden="1" customHeight="1" x14ac:dyDescent="0.2"/>
    <row r="6404" ht="9.9499999999999993" hidden="1" customHeight="1" x14ac:dyDescent="0.2"/>
    <row r="6405" ht="9.9499999999999993" hidden="1" customHeight="1" x14ac:dyDescent="0.2"/>
    <row r="6406" ht="9.9499999999999993" hidden="1" customHeight="1" x14ac:dyDescent="0.2"/>
    <row r="6407" ht="9.9499999999999993" hidden="1" customHeight="1" x14ac:dyDescent="0.2"/>
    <row r="6408" ht="9.9499999999999993" hidden="1" customHeight="1" x14ac:dyDescent="0.2"/>
    <row r="6409" ht="9.9499999999999993" hidden="1" customHeight="1" x14ac:dyDescent="0.2"/>
    <row r="6410" ht="9.9499999999999993" hidden="1" customHeight="1" x14ac:dyDescent="0.2"/>
    <row r="6411" ht="9.9499999999999993" hidden="1" customHeight="1" x14ac:dyDescent="0.2"/>
    <row r="6412" ht="9.9499999999999993" hidden="1" customHeight="1" x14ac:dyDescent="0.2"/>
    <row r="6413" ht="9.9499999999999993" hidden="1" customHeight="1" x14ac:dyDescent="0.2"/>
    <row r="6414" ht="9.9499999999999993" hidden="1" customHeight="1" x14ac:dyDescent="0.2"/>
    <row r="6415" ht="9.9499999999999993" hidden="1" customHeight="1" x14ac:dyDescent="0.2"/>
    <row r="6416" ht="9.9499999999999993" hidden="1" customHeight="1" x14ac:dyDescent="0.2"/>
    <row r="6417" ht="9.9499999999999993" hidden="1" customHeight="1" x14ac:dyDescent="0.2"/>
    <row r="6418" ht="9.9499999999999993" hidden="1" customHeight="1" x14ac:dyDescent="0.2"/>
    <row r="6419" ht="9.9499999999999993" hidden="1" customHeight="1" x14ac:dyDescent="0.2"/>
    <row r="6420" ht="9.9499999999999993" hidden="1" customHeight="1" x14ac:dyDescent="0.2"/>
    <row r="6421" ht="9.9499999999999993" hidden="1" customHeight="1" x14ac:dyDescent="0.2"/>
    <row r="6422" ht="9.9499999999999993" hidden="1" customHeight="1" x14ac:dyDescent="0.2"/>
    <row r="6423" ht="9.9499999999999993" hidden="1" customHeight="1" x14ac:dyDescent="0.2"/>
    <row r="6424" ht="9.9499999999999993" hidden="1" customHeight="1" x14ac:dyDescent="0.2"/>
    <row r="6425" ht="9.9499999999999993" hidden="1" customHeight="1" x14ac:dyDescent="0.2"/>
    <row r="6426" ht="9.9499999999999993" hidden="1" customHeight="1" x14ac:dyDescent="0.2"/>
    <row r="6427" ht="9.9499999999999993" hidden="1" customHeight="1" x14ac:dyDescent="0.2"/>
    <row r="6428" ht="9.9499999999999993" hidden="1" customHeight="1" x14ac:dyDescent="0.2"/>
    <row r="6429" ht="9.9499999999999993" hidden="1" customHeight="1" x14ac:dyDescent="0.2"/>
    <row r="6430" ht="9.9499999999999993" hidden="1" customHeight="1" x14ac:dyDescent="0.2"/>
    <row r="6431" ht="9.9499999999999993" hidden="1" customHeight="1" x14ac:dyDescent="0.2"/>
    <row r="6432" ht="9.9499999999999993" hidden="1" customHeight="1" x14ac:dyDescent="0.2"/>
    <row r="6433" ht="9.9499999999999993" hidden="1" customHeight="1" x14ac:dyDescent="0.2"/>
    <row r="6434" ht="9.9499999999999993" hidden="1" customHeight="1" x14ac:dyDescent="0.2"/>
    <row r="6435" ht="9.9499999999999993" hidden="1" customHeight="1" x14ac:dyDescent="0.2"/>
    <row r="6436" ht="9.9499999999999993" hidden="1" customHeight="1" x14ac:dyDescent="0.2"/>
    <row r="6437" ht="9.9499999999999993" hidden="1" customHeight="1" x14ac:dyDescent="0.2"/>
    <row r="6438" ht="9.9499999999999993" hidden="1" customHeight="1" x14ac:dyDescent="0.2"/>
    <row r="6439" ht="9.9499999999999993" hidden="1" customHeight="1" x14ac:dyDescent="0.2"/>
    <row r="6440" ht="9.9499999999999993" hidden="1" customHeight="1" x14ac:dyDescent="0.2"/>
    <row r="6441" ht="9.9499999999999993" hidden="1" customHeight="1" x14ac:dyDescent="0.2"/>
    <row r="6442" ht="9.9499999999999993" hidden="1" customHeight="1" x14ac:dyDescent="0.2"/>
    <row r="6443" ht="9.9499999999999993" hidden="1" customHeight="1" x14ac:dyDescent="0.2"/>
    <row r="6444" ht="9.9499999999999993" hidden="1" customHeight="1" x14ac:dyDescent="0.2"/>
    <row r="6445" ht="9.9499999999999993" hidden="1" customHeight="1" x14ac:dyDescent="0.2"/>
    <row r="6446" ht="9.9499999999999993" hidden="1" customHeight="1" x14ac:dyDescent="0.2"/>
    <row r="6447" ht="9.9499999999999993" hidden="1" customHeight="1" x14ac:dyDescent="0.2"/>
    <row r="6448" ht="9.9499999999999993" hidden="1" customHeight="1" x14ac:dyDescent="0.2"/>
    <row r="6449" ht="9.9499999999999993" hidden="1" customHeight="1" x14ac:dyDescent="0.2"/>
    <row r="6450" ht="9.9499999999999993" hidden="1" customHeight="1" x14ac:dyDescent="0.2"/>
    <row r="6451" ht="9.9499999999999993" hidden="1" customHeight="1" x14ac:dyDescent="0.2"/>
    <row r="6452" ht="9.9499999999999993" hidden="1" customHeight="1" x14ac:dyDescent="0.2"/>
    <row r="6453" ht="9.9499999999999993" hidden="1" customHeight="1" x14ac:dyDescent="0.2"/>
    <row r="6454" ht="9.9499999999999993" hidden="1" customHeight="1" x14ac:dyDescent="0.2"/>
    <row r="6455" ht="9.9499999999999993" hidden="1" customHeight="1" x14ac:dyDescent="0.2"/>
    <row r="6456" ht="9.9499999999999993" hidden="1" customHeight="1" x14ac:dyDescent="0.2"/>
    <row r="6457" ht="9.9499999999999993" hidden="1" customHeight="1" x14ac:dyDescent="0.2"/>
    <row r="6458" ht="9.9499999999999993" hidden="1" customHeight="1" x14ac:dyDescent="0.2"/>
    <row r="6459" ht="9.9499999999999993" hidden="1" customHeight="1" x14ac:dyDescent="0.2"/>
    <row r="6460" ht="9.9499999999999993" hidden="1" customHeight="1" x14ac:dyDescent="0.2"/>
    <row r="6461" ht="9.9499999999999993" hidden="1" customHeight="1" x14ac:dyDescent="0.2"/>
    <row r="6462" ht="9.9499999999999993" hidden="1" customHeight="1" x14ac:dyDescent="0.2"/>
    <row r="6463" ht="9.9499999999999993" hidden="1" customHeight="1" x14ac:dyDescent="0.2"/>
    <row r="6464" ht="9.9499999999999993" hidden="1" customHeight="1" x14ac:dyDescent="0.2"/>
    <row r="6465" ht="9.9499999999999993" hidden="1" customHeight="1" x14ac:dyDescent="0.2"/>
    <row r="6466" ht="9.9499999999999993" hidden="1" customHeight="1" x14ac:dyDescent="0.2"/>
    <row r="6467" ht="9.9499999999999993" hidden="1" customHeight="1" x14ac:dyDescent="0.2"/>
    <row r="6468" ht="9.9499999999999993" hidden="1" customHeight="1" x14ac:dyDescent="0.2"/>
    <row r="6469" ht="9.9499999999999993" hidden="1" customHeight="1" x14ac:dyDescent="0.2"/>
    <row r="6470" ht="9.9499999999999993" hidden="1" customHeight="1" x14ac:dyDescent="0.2"/>
    <row r="6471" ht="9.9499999999999993" hidden="1" customHeight="1" x14ac:dyDescent="0.2"/>
    <row r="6472" ht="9.9499999999999993" hidden="1" customHeight="1" x14ac:dyDescent="0.2"/>
    <row r="6473" ht="9.9499999999999993" hidden="1" customHeight="1" x14ac:dyDescent="0.2"/>
    <row r="6474" ht="9.9499999999999993" hidden="1" customHeight="1" x14ac:dyDescent="0.2"/>
    <row r="6475" ht="9.9499999999999993" hidden="1" customHeight="1" x14ac:dyDescent="0.2"/>
    <row r="6476" ht="9.9499999999999993" hidden="1" customHeight="1" x14ac:dyDescent="0.2"/>
    <row r="6477" ht="9.9499999999999993" hidden="1" customHeight="1" x14ac:dyDescent="0.2"/>
    <row r="6478" ht="9.9499999999999993" hidden="1" customHeight="1" x14ac:dyDescent="0.2"/>
    <row r="6479" ht="9.9499999999999993" hidden="1" customHeight="1" x14ac:dyDescent="0.2"/>
    <row r="6480" ht="9.9499999999999993" hidden="1" customHeight="1" x14ac:dyDescent="0.2"/>
    <row r="6481" ht="9.9499999999999993" hidden="1" customHeight="1" x14ac:dyDescent="0.2"/>
    <row r="6482" ht="9.9499999999999993" hidden="1" customHeight="1" x14ac:dyDescent="0.2"/>
    <row r="6483" ht="9.9499999999999993" hidden="1" customHeight="1" x14ac:dyDescent="0.2"/>
    <row r="6484" ht="9.9499999999999993" hidden="1" customHeight="1" x14ac:dyDescent="0.2"/>
    <row r="6485" ht="9.9499999999999993" hidden="1" customHeight="1" x14ac:dyDescent="0.2"/>
    <row r="6486" ht="9.9499999999999993" hidden="1" customHeight="1" x14ac:dyDescent="0.2"/>
    <row r="6487" ht="9.9499999999999993" hidden="1" customHeight="1" x14ac:dyDescent="0.2"/>
    <row r="6488" ht="9.9499999999999993" hidden="1" customHeight="1" x14ac:dyDescent="0.2"/>
    <row r="6489" ht="9.9499999999999993" hidden="1" customHeight="1" x14ac:dyDescent="0.2"/>
    <row r="6490" ht="9.9499999999999993" hidden="1" customHeight="1" x14ac:dyDescent="0.2"/>
    <row r="6491" ht="9.9499999999999993" hidden="1" customHeight="1" x14ac:dyDescent="0.2"/>
    <row r="6492" ht="9.9499999999999993" hidden="1" customHeight="1" x14ac:dyDescent="0.2"/>
    <row r="6493" ht="9.9499999999999993" hidden="1" customHeight="1" x14ac:dyDescent="0.2"/>
    <row r="6494" ht="9.9499999999999993" hidden="1" customHeight="1" x14ac:dyDescent="0.2"/>
    <row r="6495" ht="9.9499999999999993" hidden="1" customHeight="1" x14ac:dyDescent="0.2"/>
    <row r="6496" ht="9.9499999999999993" hidden="1" customHeight="1" x14ac:dyDescent="0.2"/>
    <row r="6497" ht="9.9499999999999993" hidden="1" customHeight="1" x14ac:dyDescent="0.2"/>
    <row r="6498" ht="9.9499999999999993" hidden="1" customHeight="1" x14ac:dyDescent="0.2"/>
    <row r="6499" ht="9.9499999999999993" hidden="1" customHeight="1" x14ac:dyDescent="0.2"/>
    <row r="6500" ht="9.9499999999999993" hidden="1" customHeight="1" x14ac:dyDescent="0.2"/>
    <row r="6501" ht="9.9499999999999993" hidden="1" customHeight="1" x14ac:dyDescent="0.2"/>
    <row r="6502" ht="9.9499999999999993" hidden="1" customHeight="1" x14ac:dyDescent="0.2"/>
    <row r="6503" ht="9.9499999999999993" hidden="1" customHeight="1" x14ac:dyDescent="0.2"/>
    <row r="6504" ht="9.9499999999999993" hidden="1" customHeight="1" x14ac:dyDescent="0.2"/>
    <row r="6505" ht="9.9499999999999993" hidden="1" customHeight="1" x14ac:dyDescent="0.2"/>
    <row r="6506" ht="9.9499999999999993" hidden="1" customHeight="1" x14ac:dyDescent="0.2"/>
    <row r="6507" ht="9.9499999999999993" hidden="1" customHeight="1" x14ac:dyDescent="0.2"/>
    <row r="6508" ht="9.9499999999999993" hidden="1" customHeight="1" x14ac:dyDescent="0.2"/>
    <row r="6509" ht="9.9499999999999993" hidden="1" customHeight="1" x14ac:dyDescent="0.2"/>
    <row r="6510" ht="9.9499999999999993" hidden="1" customHeight="1" x14ac:dyDescent="0.2"/>
    <row r="6511" ht="9.9499999999999993" hidden="1" customHeight="1" x14ac:dyDescent="0.2"/>
    <row r="6512" ht="9.9499999999999993" hidden="1" customHeight="1" x14ac:dyDescent="0.2"/>
    <row r="6513" ht="9.9499999999999993" hidden="1" customHeight="1" x14ac:dyDescent="0.2"/>
    <row r="6514" ht="9.9499999999999993" hidden="1" customHeight="1" x14ac:dyDescent="0.2"/>
    <row r="6515" ht="9.9499999999999993" hidden="1" customHeight="1" x14ac:dyDescent="0.2"/>
    <row r="6516" ht="9.9499999999999993" hidden="1" customHeight="1" x14ac:dyDescent="0.2"/>
    <row r="6517" ht="9.9499999999999993" hidden="1" customHeight="1" x14ac:dyDescent="0.2"/>
    <row r="6518" ht="9.9499999999999993" hidden="1" customHeight="1" x14ac:dyDescent="0.2"/>
    <row r="6519" ht="9.9499999999999993" hidden="1" customHeight="1" x14ac:dyDescent="0.2"/>
    <row r="6520" ht="9.9499999999999993" hidden="1" customHeight="1" x14ac:dyDescent="0.2"/>
    <row r="6521" ht="9.9499999999999993" hidden="1" customHeight="1" x14ac:dyDescent="0.2"/>
    <row r="6522" ht="9.9499999999999993" hidden="1" customHeight="1" x14ac:dyDescent="0.2"/>
    <row r="6523" ht="9.9499999999999993" hidden="1" customHeight="1" x14ac:dyDescent="0.2"/>
    <row r="6524" ht="9.9499999999999993" hidden="1" customHeight="1" x14ac:dyDescent="0.2"/>
    <row r="6525" ht="9.9499999999999993" hidden="1" customHeight="1" x14ac:dyDescent="0.2"/>
    <row r="6526" ht="9.9499999999999993" hidden="1" customHeight="1" x14ac:dyDescent="0.2"/>
    <row r="6527" ht="9.9499999999999993" hidden="1" customHeight="1" x14ac:dyDescent="0.2"/>
    <row r="6528" ht="9.9499999999999993" hidden="1" customHeight="1" x14ac:dyDescent="0.2"/>
    <row r="6529" ht="9.9499999999999993" hidden="1" customHeight="1" x14ac:dyDescent="0.2"/>
    <row r="6530" ht="9.9499999999999993" hidden="1" customHeight="1" x14ac:dyDescent="0.2"/>
    <row r="6531" ht="9.9499999999999993" hidden="1" customHeight="1" x14ac:dyDescent="0.2"/>
    <row r="6532" ht="9.9499999999999993" hidden="1" customHeight="1" x14ac:dyDescent="0.2"/>
    <row r="6533" ht="9.9499999999999993" hidden="1" customHeight="1" x14ac:dyDescent="0.2"/>
    <row r="6534" ht="9.9499999999999993" hidden="1" customHeight="1" x14ac:dyDescent="0.2"/>
    <row r="6535" ht="9.9499999999999993" hidden="1" customHeight="1" x14ac:dyDescent="0.2"/>
    <row r="6536" ht="9.9499999999999993" hidden="1" customHeight="1" x14ac:dyDescent="0.2"/>
    <row r="6537" ht="9.9499999999999993" hidden="1" customHeight="1" x14ac:dyDescent="0.2"/>
    <row r="6538" ht="9.9499999999999993" hidden="1" customHeight="1" x14ac:dyDescent="0.2"/>
    <row r="6539" ht="9.9499999999999993" hidden="1" customHeight="1" x14ac:dyDescent="0.2"/>
    <row r="6540" ht="9.9499999999999993" hidden="1" customHeight="1" x14ac:dyDescent="0.2"/>
    <row r="6541" ht="9.9499999999999993" hidden="1" customHeight="1" x14ac:dyDescent="0.2"/>
    <row r="6542" ht="9.9499999999999993" hidden="1" customHeight="1" x14ac:dyDescent="0.2"/>
    <row r="6543" ht="9.9499999999999993" hidden="1" customHeight="1" x14ac:dyDescent="0.2"/>
    <row r="6544" ht="9.9499999999999993" hidden="1" customHeight="1" x14ac:dyDescent="0.2"/>
    <row r="6545" ht="9.9499999999999993" hidden="1" customHeight="1" x14ac:dyDescent="0.2"/>
    <row r="6546" ht="9.9499999999999993" hidden="1" customHeight="1" x14ac:dyDescent="0.2"/>
    <row r="6547" ht="9.9499999999999993" hidden="1" customHeight="1" x14ac:dyDescent="0.2"/>
    <row r="6548" ht="9.9499999999999993" hidden="1" customHeight="1" x14ac:dyDescent="0.2"/>
    <row r="6549" ht="9.9499999999999993" hidden="1" customHeight="1" x14ac:dyDescent="0.2"/>
    <row r="6550" ht="9.9499999999999993" hidden="1" customHeight="1" x14ac:dyDescent="0.2"/>
    <row r="6551" ht="9.9499999999999993" hidden="1" customHeight="1" x14ac:dyDescent="0.2"/>
    <row r="6552" ht="9.9499999999999993" hidden="1" customHeight="1" x14ac:dyDescent="0.2"/>
    <row r="6553" ht="9.9499999999999993" hidden="1" customHeight="1" x14ac:dyDescent="0.2"/>
    <row r="6554" ht="9.9499999999999993" hidden="1" customHeight="1" x14ac:dyDescent="0.2"/>
    <row r="6555" ht="9.9499999999999993" hidden="1" customHeight="1" x14ac:dyDescent="0.2"/>
    <row r="6556" ht="9.9499999999999993" hidden="1" customHeight="1" x14ac:dyDescent="0.2"/>
    <row r="6557" ht="9.9499999999999993" hidden="1" customHeight="1" x14ac:dyDescent="0.2"/>
    <row r="6558" ht="9.9499999999999993" hidden="1" customHeight="1" x14ac:dyDescent="0.2"/>
    <row r="6559" ht="9.9499999999999993" hidden="1" customHeight="1" x14ac:dyDescent="0.2"/>
    <row r="6560" ht="9.9499999999999993" hidden="1" customHeight="1" x14ac:dyDescent="0.2"/>
    <row r="6561" ht="9.9499999999999993" hidden="1" customHeight="1" x14ac:dyDescent="0.2"/>
    <row r="6562" ht="9.9499999999999993" hidden="1" customHeight="1" x14ac:dyDescent="0.2"/>
    <row r="6563" ht="9.9499999999999993" hidden="1" customHeight="1" x14ac:dyDescent="0.2"/>
    <row r="6564" ht="9.9499999999999993" hidden="1" customHeight="1" x14ac:dyDescent="0.2"/>
    <row r="6565" ht="9.9499999999999993" hidden="1" customHeight="1" x14ac:dyDescent="0.2"/>
    <row r="6566" ht="9.9499999999999993" hidden="1" customHeight="1" x14ac:dyDescent="0.2"/>
    <row r="6567" ht="9.9499999999999993" hidden="1" customHeight="1" x14ac:dyDescent="0.2"/>
    <row r="6568" ht="9.9499999999999993" hidden="1" customHeight="1" x14ac:dyDescent="0.2"/>
    <row r="6569" ht="9.9499999999999993" hidden="1" customHeight="1" x14ac:dyDescent="0.2"/>
    <row r="6570" ht="9.9499999999999993" hidden="1" customHeight="1" x14ac:dyDescent="0.2"/>
    <row r="6571" ht="9.9499999999999993" hidden="1" customHeight="1" x14ac:dyDescent="0.2"/>
    <row r="6572" ht="9.9499999999999993" hidden="1" customHeight="1" x14ac:dyDescent="0.2"/>
    <row r="6573" ht="9.9499999999999993" hidden="1" customHeight="1" x14ac:dyDescent="0.2"/>
    <row r="6574" ht="9.9499999999999993" hidden="1" customHeight="1" x14ac:dyDescent="0.2"/>
    <row r="6575" ht="9.9499999999999993" hidden="1" customHeight="1" x14ac:dyDescent="0.2"/>
    <row r="6576" ht="9.9499999999999993" hidden="1" customHeight="1" x14ac:dyDescent="0.2"/>
    <row r="6577" ht="9.9499999999999993" hidden="1" customHeight="1" x14ac:dyDescent="0.2"/>
    <row r="6578" ht="9.9499999999999993" hidden="1" customHeight="1" x14ac:dyDescent="0.2"/>
    <row r="6579" ht="9.9499999999999993" hidden="1" customHeight="1" x14ac:dyDescent="0.2"/>
    <row r="6580" ht="9.9499999999999993" hidden="1" customHeight="1" x14ac:dyDescent="0.2"/>
    <row r="6581" ht="9.9499999999999993" hidden="1" customHeight="1" x14ac:dyDescent="0.2"/>
    <row r="6582" ht="9.9499999999999993" hidden="1" customHeight="1" x14ac:dyDescent="0.2"/>
    <row r="6583" ht="9.9499999999999993" hidden="1" customHeight="1" x14ac:dyDescent="0.2"/>
    <row r="6584" ht="9.9499999999999993" hidden="1" customHeight="1" x14ac:dyDescent="0.2"/>
    <row r="6585" ht="9.9499999999999993" hidden="1" customHeight="1" x14ac:dyDescent="0.2"/>
    <row r="6586" ht="9.9499999999999993" hidden="1" customHeight="1" x14ac:dyDescent="0.2"/>
    <row r="6587" ht="9.9499999999999993" hidden="1" customHeight="1" x14ac:dyDescent="0.2"/>
    <row r="6588" ht="9.9499999999999993" hidden="1" customHeight="1" x14ac:dyDescent="0.2"/>
    <row r="6589" ht="9.9499999999999993" hidden="1" customHeight="1" x14ac:dyDescent="0.2"/>
    <row r="6590" ht="9.9499999999999993" hidden="1" customHeight="1" x14ac:dyDescent="0.2"/>
    <row r="6591" ht="9.9499999999999993" hidden="1" customHeight="1" x14ac:dyDescent="0.2"/>
    <row r="6592" ht="9.9499999999999993" hidden="1" customHeight="1" x14ac:dyDescent="0.2"/>
    <row r="6593" ht="9.9499999999999993" hidden="1" customHeight="1" x14ac:dyDescent="0.2"/>
    <row r="6594" ht="9.9499999999999993" hidden="1" customHeight="1" x14ac:dyDescent="0.2"/>
    <row r="6595" ht="9.9499999999999993" hidden="1" customHeight="1" x14ac:dyDescent="0.2"/>
    <row r="6596" ht="9.9499999999999993" hidden="1" customHeight="1" x14ac:dyDescent="0.2"/>
    <row r="6597" ht="9.9499999999999993" hidden="1" customHeight="1" x14ac:dyDescent="0.2"/>
    <row r="6598" ht="9.9499999999999993" hidden="1" customHeight="1" x14ac:dyDescent="0.2"/>
    <row r="6599" ht="9.9499999999999993" hidden="1" customHeight="1" x14ac:dyDescent="0.2"/>
    <row r="6600" ht="9.9499999999999993" hidden="1" customHeight="1" x14ac:dyDescent="0.2"/>
    <row r="6601" ht="9.9499999999999993" hidden="1" customHeight="1" x14ac:dyDescent="0.2"/>
    <row r="6602" ht="9.9499999999999993" hidden="1" customHeight="1" x14ac:dyDescent="0.2"/>
    <row r="6603" ht="9.9499999999999993" hidden="1" customHeight="1" x14ac:dyDescent="0.2"/>
    <row r="6604" ht="9.9499999999999993" hidden="1" customHeight="1" x14ac:dyDescent="0.2"/>
    <row r="6605" ht="9.9499999999999993" hidden="1" customHeight="1" x14ac:dyDescent="0.2"/>
    <row r="6606" ht="9.9499999999999993" hidden="1" customHeight="1" x14ac:dyDescent="0.2"/>
    <row r="6607" ht="9.9499999999999993" hidden="1" customHeight="1" x14ac:dyDescent="0.2"/>
    <row r="6608" ht="9.9499999999999993" hidden="1" customHeight="1" x14ac:dyDescent="0.2"/>
    <row r="6609" ht="9.9499999999999993" hidden="1" customHeight="1" x14ac:dyDescent="0.2"/>
    <row r="6610" ht="9.9499999999999993" hidden="1" customHeight="1" x14ac:dyDescent="0.2"/>
    <row r="6611" ht="9.9499999999999993" hidden="1" customHeight="1" x14ac:dyDescent="0.2"/>
    <row r="6612" ht="9.9499999999999993" hidden="1" customHeight="1" x14ac:dyDescent="0.2"/>
    <row r="6613" ht="9.9499999999999993" hidden="1" customHeight="1" x14ac:dyDescent="0.2"/>
    <row r="6614" ht="9.9499999999999993" hidden="1" customHeight="1" x14ac:dyDescent="0.2"/>
    <row r="6615" ht="9.9499999999999993" hidden="1" customHeight="1" x14ac:dyDescent="0.2"/>
    <row r="6616" ht="9.9499999999999993" hidden="1" customHeight="1" x14ac:dyDescent="0.2"/>
    <row r="6617" ht="9.9499999999999993" hidden="1" customHeight="1" x14ac:dyDescent="0.2"/>
    <row r="6618" ht="9.9499999999999993" hidden="1" customHeight="1" x14ac:dyDescent="0.2"/>
    <row r="6619" ht="9.9499999999999993" hidden="1" customHeight="1" x14ac:dyDescent="0.2"/>
    <row r="6620" ht="9.9499999999999993" hidden="1" customHeight="1" x14ac:dyDescent="0.2"/>
    <row r="6621" ht="9.9499999999999993" hidden="1" customHeight="1" x14ac:dyDescent="0.2"/>
    <row r="6622" ht="9.9499999999999993" hidden="1" customHeight="1" x14ac:dyDescent="0.2"/>
    <row r="6623" ht="9.9499999999999993" hidden="1" customHeight="1" x14ac:dyDescent="0.2"/>
    <row r="6624" ht="9.9499999999999993" hidden="1" customHeight="1" x14ac:dyDescent="0.2"/>
    <row r="6625" ht="9.9499999999999993" hidden="1" customHeight="1" x14ac:dyDescent="0.2"/>
    <row r="6626" ht="9.9499999999999993" hidden="1" customHeight="1" x14ac:dyDescent="0.2"/>
    <row r="6627" ht="9.9499999999999993" hidden="1" customHeight="1" x14ac:dyDescent="0.2"/>
    <row r="6628" ht="9.9499999999999993" hidden="1" customHeight="1" x14ac:dyDescent="0.2"/>
    <row r="6629" ht="9.9499999999999993" hidden="1" customHeight="1" x14ac:dyDescent="0.2"/>
    <row r="6630" ht="9.9499999999999993" hidden="1" customHeight="1" x14ac:dyDescent="0.2"/>
    <row r="6631" ht="9.9499999999999993" hidden="1" customHeight="1" x14ac:dyDescent="0.2"/>
    <row r="6632" ht="9.9499999999999993" hidden="1" customHeight="1" x14ac:dyDescent="0.2"/>
    <row r="6633" ht="9.9499999999999993" hidden="1" customHeight="1" x14ac:dyDescent="0.2"/>
    <row r="6634" ht="9.9499999999999993" hidden="1" customHeight="1" x14ac:dyDescent="0.2"/>
    <row r="6635" ht="9.9499999999999993" hidden="1" customHeight="1" x14ac:dyDescent="0.2"/>
    <row r="6636" ht="9.9499999999999993" hidden="1" customHeight="1" x14ac:dyDescent="0.2"/>
    <row r="6637" ht="9.9499999999999993" hidden="1" customHeight="1" x14ac:dyDescent="0.2"/>
    <row r="6638" ht="9.9499999999999993" hidden="1" customHeight="1" x14ac:dyDescent="0.2"/>
    <row r="6639" ht="9.9499999999999993" hidden="1" customHeight="1" x14ac:dyDescent="0.2"/>
    <row r="6640" ht="9.9499999999999993" hidden="1" customHeight="1" x14ac:dyDescent="0.2"/>
    <row r="6641" ht="9.9499999999999993" hidden="1" customHeight="1" x14ac:dyDescent="0.2"/>
    <row r="6642" ht="9.9499999999999993" hidden="1" customHeight="1" x14ac:dyDescent="0.2"/>
    <row r="6643" ht="9.9499999999999993" hidden="1" customHeight="1" x14ac:dyDescent="0.2"/>
    <row r="6644" ht="9.9499999999999993" hidden="1" customHeight="1" x14ac:dyDescent="0.2"/>
    <row r="6645" ht="9.9499999999999993" hidden="1" customHeight="1" x14ac:dyDescent="0.2"/>
    <row r="6646" ht="9.9499999999999993" hidden="1" customHeight="1" x14ac:dyDescent="0.2"/>
    <row r="6647" ht="9.9499999999999993" hidden="1" customHeight="1" x14ac:dyDescent="0.2"/>
    <row r="6648" ht="9.9499999999999993" hidden="1" customHeight="1" x14ac:dyDescent="0.2"/>
    <row r="6649" ht="9.9499999999999993" hidden="1" customHeight="1" x14ac:dyDescent="0.2"/>
    <row r="6650" ht="9.9499999999999993" hidden="1" customHeight="1" x14ac:dyDescent="0.2"/>
    <row r="6651" ht="9.9499999999999993" hidden="1" customHeight="1" x14ac:dyDescent="0.2"/>
    <row r="6652" ht="9.9499999999999993" hidden="1" customHeight="1" x14ac:dyDescent="0.2"/>
    <row r="6653" ht="9.9499999999999993" hidden="1" customHeight="1" x14ac:dyDescent="0.2"/>
    <row r="6654" ht="9.9499999999999993" hidden="1" customHeight="1" x14ac:dyDescent="0.2"/>
    <row r="6655" ht="9.9499999999999993" hidden="1" customHeight="1" x14ac:dyDescent="0.2"/>
    <row r="6656" ht="9.9499999999999993" hidden="1" customHeight="1" x14ac:dyDescent="0.2"/>
    <row r="6657" ht="9.9499999999999993" hidden="1" customHeight="1" x14ac:dyDescent="0.2"/>
    <row r="6658" ht="9.9499999999999993" hidden="1" customHeight="1" x14ac:dyDescent="0.2"/>
    <row r="6659" ht="9.9499999999999993" hidden="1" customHeight="1" x14ac:dyDescent="0.2"/>
    <row r="6660" ht="9.9499999999999993" hidden="1" customHeight="1" x14ac:dyDescent="0.2"/>
    <row r="6661" ht="9.9499999999999993" hidden="1" customHeight="1" x14ac:dyDescent="0.2"/>
    <row r="6662" ht="9.9499999999999993" hidden="1" customHeight="1" x14ac:dyDescent="0.2"/>
    <row r="6663" ht="9.9499999999999993" hidden="1" customHeight="1" x14ac:dyDescent="0.2"/>
    <row r="6664" ht="9.9499999999999993" hidden="1" customHeight="1" x14ac:dyDescent="0.2"/>
    <row r="6665" ht="9.9499999999999993" hidden="1" customHeight="1" x14ac:dyDescent="0.2"/>
    <row r="6666" ht="9.9499999999999993" hidden="1" customHeight="1" x14ac:dyDescent="0.2"/>
    <row r="6667" ht="9.9499999999999993" hidden="1" customHeight="1" x14ac:dyDescent="0.2"/>
    <row r="6668" ht="9.9499999999999993" hidden="1" customHeight="1" x14ac:dyDescent="0.2"/>
    <row r="6669" ht="9.9499999999999993" hidden="1" customHeight="1" x14ac:dyDescent="0.2"/>
    <row r="6670" ht="9.9499999999999993" hidden="1" customHeight="1" x14ac:dyDescent="0.2"/>
    <row r="6671" ht="9.9499999999999993" hidden="1" customHeight="1" x14ac:dyDescent="0.2"/>
    <row r="6672" ht="9.9499999999999993" hidden="1" customHeight="1" x14ac:dyDescent="0.2"/>
    <row r="6673" ht="9.9499999999999993" hidden="1" customHeight="1" x14ac:dyDescent="0.2"/>
    <row r="6674" ht="9.9499999999999993" hidden="1" customHeight="1" x14ac:dyDescent="0.2"/>
    <row r="6675" ht="9.9499999999999993" hidden="1" customHeight="1" x14ac:dyDescent="0.2"/>
    <row r="6676" ht="9.9499999999999993" hidden="1" customHeight="1" x14ac:dyDescent="0.2"/>
    <row r="6677" ht="9.9499999999999993" hidden="1" customHeight="1" x14ac:dyDescent="0.2"/>
    <row r="6678" ht="9.9499999999999993" hidden="1" customHeight="1" x14ac:dyDescent="0.2"/>
    <row r="6679" ht="9.9499999999999993" hidden="1" customHeight="1" x14ac:dyDescent="0.2"/>
    <row r="6680" ht="9.9499999999999993" hidden="1" customHeight="1" x14ac:dyDescent="0.2"/>
    <row r="6681" ht="9.9499999999999993" hidden="1" customHeight="1" x14ac:dyDescent="0.2"/>
    <row r="6682" ht="9.9499999999999993" hidden="1" customHeight="1" x14ac:dyDescent="0.2"/>
    <row r="6683" ht="9.9499999999999993" hidden="1" customHeight="1" x14ac:dyDescent="0.2"/>
    <row r="6684" ht="9.9499999999999993" hidden="1" customHeight="1" x14ac:dyDescent="0.2"/>
    <row r="6685" ht="9.9499999999999993" hidden="1" customHeight="1" x14ac:dyDescent="0.2"/>
    <row r="6686" ht="9.9499999999999993" hidden="1" customHeight="1" x14ac:dyDescent="0.2"/>
    <row r="6687" ht="9.9499999999999993" hidden="1" customHeight="1" x14ac:dyDescent="0.2"/>
    <row r="6688" ht="9.9499999999999993" hidden="1" customHeight="1" x14ac:dyDescent="0.2"/>
    <row r="6689" ht="9.9499999999999993" hidden="1" customHeight="1" x14ac:dyDescent="0.2"/>
    <row r="6690" ht="9.9499999999999993" hidden="1" customHeight="1" x14ac:dyDescent="0.2"/>
    <row r="6691" ht="9.9499999999999993" hidden="1" customHeight="1" x14ac:dyDescent="0.2"/>
    <row r="6692" ht="9.9499999999999993" hidden="1" customHeight="1" x14ac:dyDescent="0.2"/>
    <row r="6693" ht="9.9499999999999993" hidden="1" customHeight="1" x14ac:dyDescent="0.2"/>
    <row r="6694" ht="9.9499999999999993" hidden="1" customHeight="1" x14ac:dyDescent="0.2"/>
    <row r="6695" ht="9.9499999999999993" hidden="1" customHeight="1" x14ac:dyDescent="0.2"/>
    <row r="6696" ht="9.9499999999999993" hidden="1" customHeight="1" x14ac:dyDescent="0.2"/>
    <row r="6697" ht="9.9499999999999993" hidden="1" customHeight="1" x14ac:dyDescent="0.2"/>
    <row r="6698" ht="9.9499999999999993" hidden="1" customHeight="1" x14ac:dyDescent="0.2"/>
    <row r="6699" ht="9.9499999999999993" hidden="1" customHeight="1" x14ac:dyDescent="0.2"/>
    <row r="6700" ht="9.9499999999999993" hidden="1" customHeight="1" x14ac:dyDescent="0.2"/>
    <row r="6701" ht="9.9499999999999993" hidden="1" customHeight="1" x14ac:dyDescent="0.2"/>
    <row r="6702" ht="9.9499999999999993" hidden="1" customHeight="1" x14ac:dyDescent="0.2"/>
    <row r="6703" ht="9.9499999999999993" hidden="1" customHeight="1" x14ac:dyDescent="0.2"/>
    <row r="6704" ht="9.9499999999999993" hidden="1" customHeight="1" x14ac:dyDescent="0.2"/>
    <row r="6705" ht="9.9499999999999993" hidden="1" customHeight="1" x14ac:dyDescent="0.2"/>
    <row r="6706" ht="9.9499999999999993" hidden="1" customHeight="1" x14ac:dyDescent="0.2"/>
    <row r="6707" ht="9.9499999999999993" hidden="1" customHeight="1" x14ac:dyDescent="0.2"/>
    <row r="6708" ht="9.9499999999999993" hidden="1" customHeight="1" x14ac:dyDescent="0.2"/>
    <row r="6709" ht="9.9499999999999993" hidden="1" customHeight="1" x14ac:dyDescent="0.2"/>
    <row r="6710" ht="9.9499999999999993" hidden="1" customHeight="1" x14ac:dyDescent="0.2"/>
    <row r="6711" ht="9.9499999999999993" hidden="1" customHeight="1" x14ac:dyDescent="0.2"/>
    <row r="6712" ht="9.9499999999999993" hidden="1" customHeight="1" x14ac:dyDescent="0.2"/>
    <row r="6713" ht="9.9499999999999993" hidden="1" customHeight="1" x14ac:dyDescent="0.2"/>
    <row r="6714" ht="9.9499999999999993" hidden="1" customHeight="1" x14ac:dyDescent="0.2"/>
    <row r="6715" ht="9.9499999999999993" hidden="1" customHeight="1" x14ac:dyDescent="0.2"/>
    <row r="6716" ht="9.9499999999999993" hidden="1" customHeight="1" x14ac:dyDescent="0.2"/>
    <row r="6717" ht="9.9499999999999993" hidden="1" customHeight="1" x14ac:dyDescent="0.2"/>
    <row r="6718" ht="9.9499999999999993" hidden="1" customHeight="1" x14ac:dyDescent="0.2"/>
    <row r="6719" ht="9.9499999999999993" hidden="1" customHeight="1" x14ac:dyDescent="0.2"/>
    <row r="6720" ht="9.9499999999999993" hidden="1" customHeight="1" x14ac:dyDescent="0.2"/>
    <row r="6721" ht="9.9499999999999993" hidden="1" customHeight="1" x14ac:dyDescent="0.2"/>
    <row r="6722" ht="9.9499999999999993" hidden="1" customHeight="1" x14ac:dyDescent="0.2"/>
    <row r="6723" ht="9.9499999999999993" hidden="1" customHeight="1" x14ac:dyDescent="0.2"/>
    <row r="6724" ht="9.9499999999999993" hidden="1" customHeight="1" x14ac:dyDescent="0.2"/>
    <row r="6725" ht="9.9499999999999993" hidden="1" customHeight="1" x14ac:dyDescent="0.2"/>
    <row r="6726" ht="9.9499999999999993" hidden="1" customHeight="1" x14ac:dyDescent="0.2"/>
    <row r="6727" ht="9.9499999999999993" hidden="1" customHeight="1" x14ac:dyDescent="0.2"/>
    <row r="6728" ht="9.9499999999999993" hidden="1" customHeight="1" x14ac:dyDescent="0.2"/>
    <row r="6729" ht="9.9499999999999993" hidden="1" customHeight="1" x14ac:dyDescent="0.2"/>
    <row r="6730" ht="9.9499999999999993" hidden="1" customHeight="1" x14ac:dyDescent="0.2"/>
    <row r="6731" ht="9.9499999999999993" hidden="1" customHeight="1" x14ac:dyDescent="0.2"/>
    <row r="6732" ht="9.9499999999999993" hidden="1" customHeight="1" x14ac:dyDescent="0.2"/>
    <row r="6733" ht="9.9499999999999993" hidden="1" customHeight="1" x14ac:dyDescent="0.2"/>
    <row r="6734" ht="9.9499999999999993" hidden="1" customHeight="1" x14ac:dyDescent="0.2"/>
    <row r="6735" ht="9.9499999999999993" hidden="1" customHeight="1" x14ac:dyDescent="0.2"/>
    <row r="6736" ht="9.9499999999999993" hidden="1" customHeight="1" x14ac:dyDescent="0.2"/>
    <row r="6737" ht="9.9499999999999993" hidden="1" customHeight="1" x14ac:dyDescent="0.2"/>
    <row r="6738" ht="9.9499999999999993" hidden="1" customHeight="1" x14ac:dyDescent="0.2"/>
    <row r="6739" ht="9.9499999999999993" hidden="1" customHeight="1" x14ac:dyDescent="0.2"/>
    <row r="6740" ht="9.9499999999999993" hidden="1" customHeight="1" x14ac:dyDescent="0.2"/>
    <row r="6741" ht="9.9499999999999993" hidden="1" customHeight="1" x14ac:dyDescent="0.2"/>
    <row r="6742" ht="9.9499999999999993" hidden="1" customHeight="1" x14ac:dyDescent="0.2"/>
    <row r="6743" ht="9.9499999999999993" hidden="1" customHeight="1" x14ac:dyDescent="0.2"/>
    <row r="6744" ht="9.9499999999999993" hidden="1" customHeight="1" x14ac:dyDescent="0.2"/>
    <row r="6745" ht="9.9499999999999993" hidden="1" customHeight="1" x14ac:dyDescent="0.2"/>
    <row r="6746" ht="9.9499999999999993" hidden="1" customHeight="1" x14ac:dyDescent="0.2"/>
    <row r="6747" ht="9.9499999999999993" hidden="1" customHeight="1" x14ac:dyDescent="0.2"/>
    <row r="6748" ht="9.9499999999999993" hidden="1" customHeight="1" x14ac:dyDescent="0.2"/>
    <row r="6749" ht="9.9499999999999993" hidden="1" customHeight="1" x14ac:dyDescent="0.2"/>
    <row r="6750" ht="9.9499999999999993" hidden="1" customHeight="1" x14ac:dyDescent="0.2"/>
    <row r="6751" ht="9.9499999999999993" hidden="1" customHeight="1" x14ac:dyDescent="0.2"/>
    <row r="6752" ht="9.9499999999999993" hidden="1" customHeight="1" x14ac:dyDescent="0.2"/>
    <row r="6753" ht="9.9499999999999993" hidden="1" customHeight="1" x14ac:dyDescent="0.2"/>
    <row r="6754" ht="9.9499999999999993" hidden="1" customHeight="1" x14ac:dyDescent="0.2"/>
    <row r="6755" ht="9.9499999999999993" hidden="1" customHeight="1" x14ac:dyDescent="0.2"/>
    <row r="6756" ht="9.9499999999999993" hidden="1" customHeight="1" x14ac:dyDescent="0.2"/>
    <row r="6757" ht="9.9499999999999993" hidden="1" customHeight="1" x14ac:dyDescent="0.2"/>
    <row r="6758" ht="9.9499999999999993" hidden="1" customHeight="1" x14ac:dyDescent="0.2"/>
    <row r="6759" ht="9.9499999999999993" hidden="1" customHeight="1" x14ac:dyDescent="0.2"/>
    <row r="6760" ht="9.9499999999999993" hidden="1" customHeight="1" x14ac:dyDescent="0.2"/>
    <row r="6761" ht="9.9499999999999993" hidden="1" customHeight="1" x14ac:dyDescent="0.2"/>
    <row r="6762" ht="9.9499999999999993" hidden="1" customHeight="1" x14ac:dyDescent="0.2"/>
    <row r="6763" ht="9.9499999999999993" hidden="1" customHeight="1" x14ac:dyDescent="0.2"/>
    <row r="6764" ht="9.9499999999999993" hidden="1" customHeight="1" x14ac:dyDescent="0.2"/>
    <row r="6765" ht="9.9499999999999993" hidden="1" customHeight="1" x14ac:dyDescent="0.2"/>
    <row r="6766" ht="9.9499999999999993" hidden="1" customHeight="1" x14ac:dyDescent="0.2"/>
    <row r="6767" ht="9.9499999999999993" hidden="1" customHeight="1" x14ac:dyDescent="0.2"/>
    <row r="6768" ht="9.9499999999999993" hidden="1" customHeight="1" x14ac:dyDescent="0.2"/>
    <row r="6769" ht="9.9499999999999993" hidden="1" customHeight="1" x14ac:dyDescent="0.2"/>
    <row r="6770" ht="9.9499999999999993" hidden="1" customHeight="1" x14ac:dyDescent="0.2"/>
    <row r="6771" ht="9.9499999999999993" hidden="1" customHeight="1" x14ac:dyDescent="0.2"/>
    <row r="6772" ht="9.9499999999999993" hidden="1" customHeight="1" x14ac:dyDescent="0.2"/>
    <row r="6773" ht="9.9499999999999993" hidden="1" customHeight="1" x14ac:dyDescent="0.2"/>
    <row r="6774" ht="9.9499999999999993" hidden="1" customHeight="1" x14ac:dyDescent="0.2"/>
    <row r="6775" ht="9.9499999999999993" hidden="1" customHeight="1" x14ac:dyDescent="0.2"/>
    <row r="6776" ht="9.9499999999999993" hidden="1" customHeight="1" x14ac:dyDescent="0.2"/>
    <row r="6777" ht="9.9499999999999993" hidden="1" customHeight="1" x14ac:dyDescent="0.2"/>
    <row r="6778" ht="9.9499999999999993" hidden="1" customHeight="1" x14ac:dyDescent="0.2"/>
    <row r="6779" ht="9.9499999999999993" hidden="1" customHeight="1" x14ac:dyDescent="0.2"/>
    <row r="6780" ht="9.9499999999999993" hidden="1" customHeight="1" x14ac:dyDescent="0.2"/>
    <row r="6781" ht="9.9499999999999993" hidden="1" customHeight="1" x14ac:dyDescent="0.2"/>
    <row r="6782" ht="9.9499999999999993" hidden="1" customHeight="1" x14ac:dyDescent="0.2"/>
    <row r="6783" ht="9.9499999999999993" hidden="1" customHeight="1" x14ac:dyDescent="0.2"/>
    <row r="6784" ht="9.9499999999999993" hidden="1" customHeight="1" x14ac:dyDescent="0.2"/>
    <row r="6785" ht="9.9499999999999993" hidden="1" customHeight="1" x14ac:dyDescent="0.2"/>
    <row r="6786" ht="9.9499999999999993" hidden="1" customHeight="1" x14ac:dyDescent="0.2"/>
    <row r="6787" ht="9.9499999999999993" hidden="1" customHeight="1" x14ac:dyDescent="0.2"/>
    <row r="6788" ht="9.9499999999999993" hidden="1" customHeight="1" x14ac:dyDescent="0.2"/>
    <row r="6789" ht="9.9499999999999993" hidden="1" customHeight="1" x14ac:dyDescent="0.2"/>
    <row r="6790" ht="9.9499999999999993" hidden="1" customHeight="1" x14ac:dyDescent="0.2"/>
    <row r="6791" ht="9.9499999999999993" hidden="1" customHeight="1" x14ac:dyDescent="0.2"/>
    <row r="6792" ht="9.9499999999999993" hidden="1" customHeight="1" x14ac:dyDescent="0.2"/>
    <row r="6793" ht="9.9499999999999993" hidden="1" customHeight="1" x14ac:dyDescent="0.2"/>
    <row r="6794" ht="9.9499999999999993" hidden="1" customHeight="1" x14ac:dyDescent="0.2"/>
    <row r="6795" ht="9.9499999999999993" hidden="1" customHeight="1" x14ac:dyDescent="0.2"/>
    <row r="6796" ht="9.9499999999999993" hidden="1" customHeight="1" x14ac:dyDescent="0.2"/>
    <row r="6797" ht="9.9499999999999993" hidden="1" customHeight="1" x14ac:dyDescent="0.2"/>
    <row r="6798" ht="9.9499999999999993" hidden="1" customHeight="1" x14ac:dyDescent="0.2"/>
    <row r="6799" ht="9.9499999999999993" hidden="1" customHeight="1" x14ac:dyDescent="0.2"/>
    <row r="6800" ht="9.9499999999999993" hidden="1" customHeight="1" x14ac:dyDescent="0.2"/>
    <row r="6801" ht="9.9499999999999993" hidden="1" customHeight="1" x14ac:dyDescent="0.2"/>
    <row r="6802" ht="9.9499999999999993" hidden="1" customHeight="1" x14ac:dyDescent="0.2"/>
    <row r="6803" ht="9.9499999999999993" hidden="1" customHeight="1" x14ac:dyDescent="0.2"/>
    <row r="6804" ht="9.9499999999999993" hidden="1" customHeight="1" x14ac:dyDescent="0.2"/>
    <row r="6805" ht="9.9499999999999993" hidden="1" customHeight="1" x14ac:dyDescent="0.2"/>
    <row r="6806" ht="9.9499999999999993" hidden="1" customHeight="1" x14ac:dyDescent="0.2"/>
    <row r="6807" ht="9.9499999999999993" hidden="1" customHeight="1" x14ac:dyDescent="0.2"/>
    <row r="6808" ht="9.9499999999999993" hidden="1" customHeight="1" x14ac:dyDescent="0.2"/>
    <row r="6809" ht="9.9499999999999993" hidden="1" customHeight="1" x14ac:dyDescent="0.2"/>
    <row r="6810" ht="9.9499999999999993" hidden="1" customHeight="1" x14ac:dyDescent="0.2"/>
    <row r="6811" ht="9.9499999999999993" hidden="1" customHeight="1" x14ac:dyDescent="0.2"/>
    <row r="6812" ht="9.9499999999999993" hidden="1" customHeight="1" x14ac:dyDescent="0.2"/>
    <row r="6813" ht="9.9499999999999993" hidden="1" customHeight="1" x14ac:dyDescent="0.2"/>
    <row r="6814" ht="9.9499999999999993" hidden="1" customHeight="1" x14ac:dyDescent="0.2"/>
    <row r="6815" ht="9.9499999999999993" hidden="1" customHeight="1" x14ac:dyDescent="0.2"/>
    <row r="6816" ht="9.9499999999999993" hidden="1" customHeight="1" x14ac:dyDescent="0.2"/>
    <row r="6817" ht="9.9499999999999993" hidden="1" customHeight="1" x14ac:dyDescent="0.2"/>
    <row r="6818" ht="9.9499999999999993" hidden="1" customHeight="1" x14ac:dyDescent="0.2"/>
    <row r="6819" ht="9.9499999999999993" hidden="1" customHeight="1" x14ac:dyDescent="0.2"/>
    <row r="6820" ht="9.9499999999999993" hidden="1" customHeight="1" x14ac:dyDescent="0.2"/>
    <row r="6821" ht="9.9499999999999993" hidden="1" customHeight="1" x14ac:dyDescent="0.2"/>
    <row r="6822" ht="9.9499999999999993" hidden="1" customHeight="1" x14ac:dyDescent="0.2"/>
    <row r="6823" ht="9.9499999999999993" hidden="1" customHeight="1" x14ac:dyDescent="0.2"/>
    <row r="6824" ht="9.9499999999999993" hidden="1" customHeight="1" x14ac:dyDescent="0.2"/>
    <row r="6825" ht="9.9499999999999993" hidden="1" customHeight="1" x14ac:dyDescent="0.2"/>
    <row r="6826" ht="9.9499999999999993" hidden="1" customHeight="1" x14ac:dyDescent="0.2"/>
    <row r="6827" ht="9.9499999999999993" hidden="1" customHeight="1" x14ac:dyDescent="0.2"/>
    <row r="6828" ht="9.9499999999999993" hidden="1" customHeight="1" x14ac:dyDescent="0.2"/>
    <row r="6829" ht="9.9499999999999993" hidden="1" customHeight="1" x14ac:dyDescent="0.2"/>
    <row r="6830" ht="9.9499999999999993" hidden="1" customHeight="1" x14ac:dyDescent="0.2"/>
    <row r="6831" ht="9.9499999999999993" hidden="1" customHeight="1" x14ac:dyDescent="0.2"/>
    <row r="6832" ht="9.9499999999999993" hidden="1" customHeight="1" x14ac:dyDescent="0.2"/>
    <row r="6833" ht="9.9499999999999993" hidden="1" customHeight="1" x14ac:dyDescent="0.2"/>
    <row r="6834" ht="9.9499999999999993" hidden="1" customHeight="1" x14ac:dyDescent="0.2"/>
    <row r="6835" ht="9.9499999999999993" hidden="1" customHeight="1" x14ac:dyDescent="0.2"/>
    <row r="6836" ht="9.9499999999999993" hidden="1" customHeight="1" x14ac:dyDescent="0.2"/>
    <row r="6837" ht="9.9499999999999993" hidden="1" customHeight="1" x14ac:dyDescent="0.2"/>
    <row r="6838" ht="9.9499999999999993" hidden="1" customHeight="1" x14ac:dyDescent="0.2"/>
    <row r="6839" ht="9.9499999999999993" hidden="1" customHeight="1" x14ac:dyDescent="0.2"/>
    <row r="6840" ht="9.9499999999999993" hidden="1" customHeight="1" x14ac:dyDescent="0.2"/>
    <row r="6841" ht="9.9499999999999993" hidden="1" customHeight="1" x14ac:dyDescent="0.2"/>
    <row r="6842" ht="9.9499999999999993" hidden="1" customHeight="1" x14ac:dyDescent="0.2"/>
    <row r="6843" ht="9.9499999999999993" hidden="1" customHeight="1" x14ac:dyDescent="0.2"/>
    <row r="6844" ht="9.9499999999999993" hidden="1" customHeight="1" x14ac:dyDescent="0.2"/>
    <row r="6845" ht="9.9499999999999993" hidden="1" customHeight="1" x14ac:dyDescent="0.2"/>
    <row r="6846" ht="9.9499999999999993" hidden="1" customHeight="1" x14ac:dyDescent="0.2"/>
    <row r="6847" ht="9.9499999999999993" hidden="1" customHeight="1" x14ac:dyDescent="0.2"/>
    <row r="6848" ht="9.9499999999999993" hidden="1" customHeight="1" x14ac:dyDescent="0.2"/>
    <row r="6849" ht="9.9499999999999993" hidden="1" customHeight="1" x14ac:dyDescent="0.2"/>
    <row r="6850" ht="9.9499999999999993" hidden="1" customHeight="1" x14ac:dyDescent="0.2"/>
    <row r="6851" ht="9.9499999999999993" hidden="1" customHeight="1" x14ac:dyDescent="0.2"/>
    <row r="6852" ht="9.9499999999999993" hidden="1" customHeight="1" x14ac:dyDescent="0.2"/>
    <row r="6853" ht="9.9499999999999993" hidden="1" customHeight="1" x14ac:dyDescent="0.2"/>
    <row r="6854" ht="9.9499999999999993" hidden="1" customHeight="1" x14ac:dyDescent="0.2"/>
    <row r="6855" ht="9.9499999999999993" hidden="1" customHeight="1" x14ac:dyDescent="0.2"/>
    <row r="6856" ht="9.9499999999999993" hidden="1" customHeight="1" x14ac:dyDescent="0.2"/>
    <row r="6857" ht="9.9499999999999993" hidden="1" customHeight="1" x14ac:dyDescent="0.2"/>
    <row r="6858" ht="9.9499999999999993" hidden="1" customHeight="1" x14ac:dyDescent="0.2"/>
    <row r="6859" ht="9.9499999999999993" hidden="1" customHeight="1" x14ac:dyDescent="0.2"/>
    <row r="6860" ht="9.9499999999999993" hidden="1" customHeight="1" x14ac:dyDescent="0.2"/>
    <row r="6861" ht="9.9499999999999993" hidden="1" customHeight="1" x14ac:dyDescent="0.2"/>
    <row r="6862" ht="9.9499999999999993" hidden="1" customHeight="1" x14ac:dyDescent="0.2"/>
    <row r="6863" ht="9.9499999999999993" hidden="1" customHeight="1" x14ac:dyDescent="0.2"/>
    <row r="6864" ht="9.9499999999999993" hidden="1" customHeight="1" x14ac:dyDescent="0.2"/>
    <row r="6865" ht="9.9499999999999993" hidden="1" customHeight="1" x14ac:dyDescent="0.2"/>
    <row r="6866" ht="9.9499999999999993" hidden="1" customHeight="1" x14ac:dyDescent="0.2"/>
    <row r="6867" ht="9.9499999999999993" hidden="1" customHeight="1" x14ac:dyDescent="0.2"/>
    <row r="6868" ht="9.9499999999999993" hidden="1" customHeight="1" x14ac:dyDescent="0.2"/>
    <row r="6869" ht="9.9499999999999993" hidden="1" customHeight="1" x14ac:dyDescent="0.2"/>
    <row r="6870" ht="9.9499999999999993" hidden="1" customHeight="1" x14ac:dyDescent="0.2"/>
    <row r="6871" ht="9.9499999999999993" hidden="1" customHeight="1" x14ac:dyDescent="0.2"/>
    <row r="6872" ht="9.9499999999999993" hidden="1" customHeight="1" x14ac:dyDescent="0.2"/>
    <row r="6873" ht="9.9499999999999993" hidden="1" customHeight="1" x14ac:dyDescent="0.2"/>
    <row r="6874" ht="9.9499999999999993" hidden="1" customHeight="1" x14ac:dyDescent="0.2"/>
    <row r="6875" ht="9.9499999999999993" hidden="1" customHeight="1" x14ac:dyDescent="0.2"/>
    <row r="6876" ht="9.9499999999999993" hidden="1" customHeight="1" x14ac:dyDescent="0.2"/>
    <row r="6877" ht="9.9499999999999993" hidden="1" customHeight="1" x14ac:dyDescent="0.2"/>
    <row r="6878" ht="9.9499999999999993" hidden="1" customHeight="1" x14ac:dyDescent="0.2"/>
    <row r="6879" ht="9.9499999999999993" hidden="1" customHeight="1" x14ac:dyDescent="0.2"/>
    <row r="6880" ht="9.9499999999999993" hidden="1" customHeight="1" x14ac:dyDescent="0.2"/>
    <row r="6881" ht="9.9499999999999993" hidden="1" customHeight="1" x14ac:dyDescent="0.2"/>
    <row r="6882" ht="9.9499999999999993" hidden="1" customHeight="1" x14ac:dyDescent="0.2"/>
    <row r="6883" ht="9.9499999999999993" hidden="1" customHeight="1" x14ac:dyDescent="0.2"/>
    <row r="6884" ht="9.9499999999999993" hidden="1" customHeight="1" x14ac:dyDescent="0.2"/>
    <row r="6885" ht="9.9499999999999993" hidden="1" customHeight="1" x14ac:dyDescent="0.2"/>
    <row r="6886" ht="9.9499999999999993" hidden="1" customHeight="1" x14ac:dyDescent="0.2"/>
    <row r="6887" ht="9.9499999999999993" hidden="1" customHeight="1" x14ac:dyDescent="0.2"/>
    <row r="6888" ht="9.9499999999999993" hidden="1" customHeight="1" x14ac:dyDescent="0.2"/>
    <row r="6889" ht="9.9499999999999993" hidden="1" customHeight="1" x14ac:dyDescent="0.2"/>
    <row r="6890" ht="9.9499999999999993" hidden="1" customHeight="1" x14ac:dyDescent="0.2"/>
    <row r="6891" ht="9.9499999999999993" hidden="1" customHeight="1" x14ac:dyDescent="0.2"/>
    <row r="6892" ht="9.9499999999999993" hidden="1" customHeight="1" x14ac:dyDescent="0.2"/>
    <row r="6893" ht="9.9499999999999993" hidden="1" customHeight="1" x14ac:dyDescent="0.2"/>
    <row r="6894" ht="9.9499999999999993" hidden="1" customHeight="1" x14ac:dyDescent="0.2"/>
    <row r="6895" ht="9.9499999999999993" hidden="1" customHeight="1" x14ac:dyDescent="0.2"/>
    <row r="6896" ht="9.9499999999999993" hidden="1" customHeight="1" x14ac:dyDescent="0.2"/>
    <row r="6897" ht="9.9499999999999993" hidden="1" customHeight="1" x14ac:dyDescent="0.2"/>
    <row r="6898" ht="9.9499999999999993" hidden="1" customHeight="1" x14ac:dyDescent="0.2"/>
    <row r="6899" ht="9.9499999999999993" hidden="1" customHeight="1" x14ac:dyDescent="0.2"/>
    <row r="6900" ht="9.9499999999999993" hidden="1" customHeight="1" x14ac:dyDescent="0.2"/>
    <row r="6901" ht="9.9499999999999993" hidden="1" customHeight="1" x14ac:dyDescent="0.2"/>
    <row r="6902" ht="9.9499999999999993" hidden="1" customHeight="1" x14ac:dyDescent="0.2"/>
    <row r="6903" ht="9.9499999999999993" hidden="1" customHeight="1" x14ac:dyDescent="0.2"/>
    <row r="6904" ht="9.9499999999999993" hidden="1" customHeight="1" x14ac:dyDescent="0.2"/>
    <row r="6905" ht="9.9499999999999993" hidden="1" customHeight="1" x14ac:dyDescent="0.2"/>
    <row r="6906" ht="9.9499999999999993" hidden="1" customHeight="1" x14ac:dyDescent="0.2"/>
    <row r="6907" ht="9.9499999999999993" hidden="1" customHeight="1" x14ac:dyDescent="0.2"/>
    <row r="6908" ht="9.9499999999999993" hidden="1" customHeight="1" x14ac:dyDescent="0.2"/>
    <row r="6909" ht="9.9499999999999993" hidden="1" customHeight="1" x14ac:dyDescent="0.2"/>
    <row r="6910" ht="9.9499999999999993" hidden="1" customHeight="1" x14ac:dyDescent="0.2"/>
    <row r="6911" ht="9.9499999999999993" hidden="1" customHeight="1" x14ac:dyDescent="0.2"/>
    <row r="6912" ht="9.9499999999999993" hidden="1" customHeight="1" x14ac:dyDescent="0.2"/>
    <row r="6913" ht="9.9499999999999993" hidden="1" customHeight="1" x14ac:dyDescent="0.2"/>
    <row r="6914" ht="9.9499999999999993" hidden="1" customHeight="1" x14ac:dyDescent="0.2"/>
    <row r="6915" ht="9.9499999999999993" hidden="1" customHeight="1" x14ac:dyDescent="0.2"/>
    <row r="6916" ht="9.9499999999999993" hidden="1" customHeight="1" x14ac:dyDescent="0.2"/>
    <row r="6917" ht="9.9499999999999993" hidden="1" customHeight="1" x14ac:dyDescent="0.2"/>
    <row r="6918" ht="9.9499999999999993" hidden="1" customHeight="1" x14ac:dyDescent="0.2"/>
    <row r="6919" ht="9.9499999999999993" hidden="1" customHeight="1" x14ac:dyDescent="0.2"/>
    <row r="6920" ht="9.9499999999999993" hidden="1" customHeight="1" x14ac:dyDescent="0.2"/>
    <row r="6921" ht="9.9499999999999993" hidden="1" customHeight="1" x14ac:dyDescent="0.2"/>
    <row r="6922" ht="9.9499999999999993" hidden="1" customHeight="1" x14ac:dyDescent="0.2"/>
    <row r="6923" ht="9.9499999999999993" hidden="1" customHeight="1" x14ac:dyDescent="0.2"/>
    <row r="6924" ht="9.9499999999999993" hidden="1" customHeight="1" x14ac:dyDescent="0.2"/>
    <row r="6925" ht="9.9499999999999993" hidden="1" customHeight="1" x14ac:dyDescent="0.2"/>
    <row r="6926" ht="9.9499999999999993" hidden="1" customHeight="1" x14ac:dyDescent="0.2"/>
    <row r="6927" ht="9.9499999999999993" hidden="1" customHeight="1" x14ac:dyDescent="0.2"/>
    <row r="6928" ht="9.9499999999999993" hidden="1" customHeight="1" x14ac:dyDescent="0.2"/>
    <row r="6929" ht="9.9499999999999993" hidden="1" customHeight="1" x14ac:dyDescent="0.2"/>
    <row r="6930" ht="9.9499999999999993" hidden="1" customHeight="1" x14ac:dyDescent="0.2"/>
    <row r="6931" ht="9.9499999999999993" hidden="1" customHeight="1" x14ac:dyDescent="0.2"/>
    <row r="6932" ht="9.9499999999999993" hidden="1" customHeight="1" x14ac:dyDescent="0.2"/>
    <row r="6933" ht="9.9499999999999993" hidden="1" customHeight="1" x14ac:dyDescent="0.2"/>
    <row r="6934" ht="9.9499999999999993" hidden="1" customHeight="1" x14ac:dyDescent="0.2"/>
    <row r="6935" ht="9.9499999999999993" hidden="1" customHeight="1" x14ac:dyDescent="0.2"/>
    <row r="6936" ht="9.9499999999999993" hidden="1" customHeight="1" x14ac:dyDescent="0.2"/>
    <row r="6937" ht="9.9499999999999993" hidden="1" customHeight="1" x14ac:dyDescent="0.2"/>
    <row r="6938" ht="9.9499999999999993" hidden="1" customHeight="1" x14ac:dyDescent="0.2"/>
    <row r="6939" ht="9.9499999999999993" hidden="1" customHeight="1" x14ac:dyDescent="0.2"/>
    <row r="6940" ht="9.9499999999999993" hidden="1" customHeight="1" x14ac:dyDescent="0.2"/>
    <row r="6941" ht="9.9499999999999993" hidden="1" customHeight="1" x14ac:dyDescent="0.2"/>
    <row r="6942" ht="9.9499999999999993" hidden="1" customHeight="1" x14ac:dyDescent="0.2"/>
    <row r="6943" ht="9.9499999999999993" hidden="1" customHeight="1" x14ac:dyDescent="0.2"/>
    <row r="6944" ht="9.9499999999999993" hidden="1" customHeight="1" x14ac:dyDescent="0.2"/>
    <row r="6945" ht="9.9499999999999993" hidden="1" customHeight="1" x14ac:dyDescent="0.2"/>
    <row r="6946" ht="9.9499999999999993" hidden="1" customHeight="1" x14ac:dyDescent="0.2"/>
    <row r="6947" ht="9.9499999999999993" hidden="1" customHeight="1" x14ac:dyDescent="0.2"/>
    <row r="6948" ht="9.9499999999999993" hidden="1" customHeight="1" x14ac:dyDescent="0.2"/>
    <row r="6949" ht="9.9499999999999993" hidden="1" customHeight="1" x14ac:dyDescent="0.2"/>
    <row r="6950" ht="9.9499999999999993" hidden="1" customHeight="1" x14ac:dyDescent="0.2"/>
    <row r="6951" ht="9.9499999999999993" hidden="1" customHeight="1" x14ac:dyDescent="0.2"/>
    <row r="6952" ht="9.9499999999999993" hidden="1" customHeight="1" x14ac:dyDescent="0.2"/>
    <row r="6953" ht="9.9499999999999993" hidden="1" customHeight="1" x14ac:dyDescent="0.2"/>
    <row r="6954" ht="9.9499999999999993" hidden="1" customHeight="1" x14ac:dyDescent="0.2"/>
    <row r="6955" ht="9.9499999999999993" hidden="1" customHeight="1" x14ac:dyDescent="0.2"/>
    <row r="6956" ht="9.9499999999999993" hidden="1" customHeight="1" x14ac:dyDescent="0.2"/>
    <row r="6957" ht="9.9499999999999993" hidden="1" customHeight="1" x14ac:dyDescent="0.2"/>
    <row r="6958" ht="9.9499999999999993" hidden="1" customHeight="1" x14ac:dyDescent="0.2"/>
    <row r="6959" ht="9.9499999999999993" hidden="1" customHeight="1" x14ac:dyDescent="0.2"/>
    <row r="6960" ht="9.9499999999999993" hidden="1" customHeight="1" x14ac:dyDescent="0.2"/>
    <row r="6961" ht="9.9499999999999993" hidden="1" customHeight="1" x14ac:dyDescent="0.2"/>
    <row r="6962" ht="9.9499999999999993" hidden="1" customHeight="1" x14ac:dyDescent="0.2"/>
    <row r="6963" ht="9.9499999999999993" hidden="1" customHeight="1" x14ac:dyDescent="0.2"/>
    <row r="6964" ht="9.9499999999999993" hidden="1" customHeight="1" x14ac:dyDescent="0.2"/>
    <row r="6965" ht="9.9499999999999993" hidden="1" customHeight="1" x14ac:dyDescent="0.2"/>
    <row r="6966" ht="9.9499999999999993" hidden="1" customHeight="1" x14ac:dyDescent="0.2"/>
    <row r="6967" ht="9.9499999999999993" hidden="1" customHeight="1" x14ac:dyDescent="0.2"/>
    <row r="6968" ht="9.9499999999999993" hidden="1" customHeight="1" x14ac:dyDescent="0.2"/>
    <row r="6969" ht="9.9499999999999993" hidden="1" customHeight="1" x14ac:dyDescent="0.2"/>
    <row r="6970" ht="9.9499999999999993" hidden="1" customHeight="1" x14ac:dyDescent="0.2"/>
    <row r="6971" ht="9.9499999999999993" hidden="1" customHeight="1" x14ac:dyDescent="0.2"/>
    <row r="6972" ht="9.9499999999999993" hidden="1" customHeight="1" x14ac:dyDescent="0.2"/>
    <row r="6973" ht="9.9499999999999993" hidden="1" customHeight="1" x14ac:dyDescent="0.2"/>
    <row r="6974" ht="9.9499999999999993" hidden="1" customHeight="1" x14ac:dyDescent="0.2"/>
    <row r="6975" ht="9.9499999999999993" hidden="1" customHeight="1" x14ac:dyDescent="0.2"/>
    <row r="6976" ht="9.9499999999999993" hidden="1" customHeight="1" x14ac:dyDescent="0.2"/>
    <row r="6977" ht="9.9499999999999993" hidden="1" customHeight="1" x14ac:dyDescent="0.2"/>
    <row r="6978" ht="9.9499999999999993" hidden="1" customHeight="1" x14ac:dyDescent="0.2"/>
    <row r="6979" ht="9.9499999999999993" hidden="1" customHeight="1" x14ac:dyDescent="0.2"/>
    <row r="6980" ht="9.9499999999999993" hidden="1" customHeight="1" x14ac:dyDescent="0.2"/>
    <row r="6981" ht="9.9499999999999993" hidden="1" customHeight="1" x14ac:dyDescent="0.2"/>
    <row r="6982" ht="9.9499999999999993" hidden="1" customHeight="1" x14ac:dyDescent="0.2"/>
    <row r="6983" ht="9.9499999999999993" hidden="1" customHeight="1" x14ac:dyDescent="0.2"/>
    <row r="6984" ht="9.9499999999999993" hidden="1" customHeight="1" x14ac:dyDescent="0.2"/>
    <row r="6985" ht="9.9499999999999993" hidden="1" customHeight="1" x14ac:dyDescent="0.2"/>
    <row r="6986" ht="9.9499999999999993" hidden="1" customHeight="1" x14ac:dyDescent="0.2"/>
    <row r="6987" ht="9.9499999999999993" hidden="1" customHeight="1" x14ac:dyDescent="0.2"/>
    <row r="6988" ht="9.9499999999999993" hidden="1" customHeight="1" x14ac:dyDescent="0.2"/>
    <row r="6989" ht="9.9499999999999993" hidden="1" customHeight="1" x14ac:dyDescent="0.2"/>
    <row r="6990" ht="9.9499999999999993" hidden="1" customHeight="1" x14ac:dyDescent="0.2"/>
    <row r="6991" ht="9.9499999999999993" hidden="1" customHeight="1" x14ac:dyDescent="0.2"/>
    <row r="6992" ht="9.9499999999999993" hidden="1" customHeight="1" x14ac:dyDescent="0.2"/>
    <row r="6993" ht="9.9499999999999993" hidden="1" customHeight="1" x14ac:dyDescent="0.2"/>
    <row r="6994" ht="9.9499999999999993" hidden="1" customHeight="1" x14ac:dyDescent="0.2"/>
    <row r="6995" ht="9.9499999999999993" hidden="1" customHeight="1" x14ac:dyDescent="0.2"/>
    <row r="6996" ht="9.9499999999999993" hidden="1" customHeight="1" x14ac:dyDescent="0.2"/>
    <row r="6997" ht="9.9499999999999993" hidden="1" customHeight="1" x14ac:dyDescent="0.2"/>
    <row r="6998" ht="9.9499999999999993" hidden="1" customHeight="1" x14ac:dyDescent="0.2"/>
    <row r="6999" ht="9.9499999999999993" hidden="1" customHeight="1" x14ac:dyDescent="0.2"/>
    <row r="7000" ht="9.9499999999999993" hidden="1" customHeight="1" x14ac:dyDescent="0.2"/>
    <row r="7001" ht="9.9499999999999993" hidden="1" customHeight="1" x14ac:dyDescent="0.2"/>
    <row r="7002" ht="9.9499999999999993" hidden="1" customHeight="1" x14ac:dyDescent="0.2"/>
    <row r="7003" ht="9.9499999999999993" hidden="1" customHeight="1" x14ac:dyDescent="0.2"/>
    <row r="7004" ht="9.9499999999999993" hidden="1" customHeight="1" x14ac:dyDescent="0.2"/>
    <row r="7005" ht="9.9499999999999993" hidden="1" customHeight="1" x14ac:dyDescent="0.2"/>
    <row r="7006" ht="9.9499999999999993" hidden="1" customHeight="1" x14ac:dyDescent="0.2"/>
    <row r="7007" ht="9.9499999999999993" hidden="1" customHeight="1" x14ac:dyDescent="0.2"/>
    <row r="7008" ht="9.9499999999999993" hidden="1" customHeight="1" x14ac:dyDescent="0.2"/>
    <row r="7009" ht="9.9499999999999993" hidden="1" customHeight="1" x14ac:dyDescent="0.2"/>
    <row r="7010" ht="9.9499999999999993" hidden="1" customHeight="1" x14ac:dyDescent="0.2"/>
    <row r="7011" ht="9.9499999999999993" hidden="1" customHeight="1" x14ac:dyDescent="0.2"/>
    <row r="7012" ht="9.9499999999999993" hidden="1" customHeight="1" x14ac:dyDescent="0.2"/>
    <row r="7013" ht="9.9499999999999993" hidden="1" customHeight="1" x14ac:dyDescent="0.2"/>
    <row r="7014" ht="9.9499999999999993" hidden="1" customHeight="1" x14ac:dyDescent="0.2"/>
    <row r="7015" ht="9.9499999999999993" hidden="1" customHeight="1" x14ac:dyDescent="0.2"/>
    <row r="7016" ht="9.9499999999999993" hidden="1" customHeight="1" x14ac:dyDescent="0.2"/>
    <row r="7017" ht="9.9499999999999993" hidden="1" customHeight="1" x14ac:dyDescent="0.2"/>
    <row r="7018" ht="9.9499999999999993" hidden="1" customHeight="1" x14ac:dyDescent="0.2"/>
    <row r="7019" ht="9.9499999999999993" hidden="1" customHeight="1" x14ac:dyDescent="0.2"/>
    <row r="7020" ht="9.9499999999999993" hidden="1" customHeight="1" x14ac:dyDescent="0.2"/>
    <row r="7021" ht="9.9499999999999993" hidden="1" customHeight="1" x14ac:dyDescent="0.2"/>
    <row r="7022" ht="9.9499999999999993" hidden="1" customHeight="1" x14ac:dyDescent="0.2"/>
    <row r="7023" ht="9.9499999999999993" hidden="1" customHeight="1" x14ac:dyDescent="0.2"/>
    <row r="7024" ht="9.9499999999999993" hidden="1" customHeight="1" x14ac:dyDescent="0.2"/>
    <row r="7025" ht="9.9499999999999993" hidden="1" customHeight="1" x14ac:dyDescent="0.2"/>
    <row r="7026" ht="9.9499999999999993" hidden="1" customHeight="1" x14ac:dyDescent="0.2"/>
    <row r="7027" ht="9.9499999999999993" hidden="1" customHeight="1" x14ac:dyDescent="0.2"/>
    <row r="7028" ht="9.9499999999999993" hidden="1" customHeight="1" x14ac:dyDescent="0.2"/>
    <row r="7029" ht="9.9499999999999993" hidden="1" customHeight="1" x14ac:dyDescent="0.2"/>
    <row r="7030" ht="9.9499999999999993" hidden="1" customHeight="1" x14ac:dyDescent="0.2"/>
    <row r="7031" ht="9.9499999999999993" hidden="1" customHeight="1" x14ac:dyDescent="0.2"/>
    <row r="7032" ht="9.9499999999999993" hidden="1" customHeight="1" x14ac:dyDescent="0.2"/>
    <row r="7033" ht="9.9499999999999993" hidden="1" customHeight="1" x14ac:dyDescent="0.2"/>
    <row r="7034" ht="9.9499999999999993" hidden="1" customHeight="1" x14ac:dyDescent="0.2"/>
    <row r="7035" ht="9.9499999999999993" hidden="1" customHeight="1" x14ac:dyDescent="0.2"/>
    <row r="7036" ht="9.9499999999999993" hidden="1" customHeight="1" x14ac:dyDescent="0.2"/>
    <row r="7037" ht="9.9499999999999993" hidden="1" customHeight="1" x14ac:dyDescent="0.2"/>
    <row r="7038" ht="9.9499999999999993" hidden="1" customHeight="1" x14ac:dyDescent="0.2"/>
    <row r="7039" ht="9.9499999999999993" hidden="1" customHeight="1" x14ac:dyDescent="0.2"/>
    <row r="7040" ht="9.9499999999999993" hidden="1" customHeight="1" x14ac:dyDescent="0.2"/>
    <row r="7041" ht="9.9499999999999993" hidden="1" customHeight="1" x14ac:dyDescent="0.2"/>
    <row r="7042" ht="9.9499999999999993" hidden="1" customHeight="1" x14ac:dyDescent="0.2"/>
    <row r="7043" ht="9.9499999999999993" hidden="1" customHeight="1" x14ac:dyDescent="0.2"/>
    <row r="7044" ht="9.9499999999999993" hidden="1" customHeight="1" x14ac:dyDescent="0.2"/>
    <row r="7045" ht="9.9499999999999993" hidden="1" customHeight="1" x14ac:dyDescent="0.2"/>
    <row r="7046" ht="9.9499999999999993" hidden="1" customHeight="1" x14ac:dyDescent="0.2"/>
    <row r="7047" ht="9.9499999999999993" hidden="1" customHeight="1" x14ac:dyDescent="0.2"/>
    <row r="7048" ht="9.9499999999999993" hidden="1" customHeight="1" x14ac:dyDescent="0.2"/>
    <row r="7049" ht="9.9499999999999993" hidden="1" customHeight="1" x14ac:dyDescent="0.2"/>
    <row r="7050" ht="9.9499999999999993" hidden="1" customHeight="1" x14ac:dyDescent="0.2"/>
    <row r="7051" ht="9.9499999999999993" hidden="1" customHeight="1" x14ac:dyDescent="0.2"/>
    <row r="7052" ht="9.9499999999999993" hidden="1" customHeight="1" x14ac:dyDescent="0.2"/>
    <row r="7053" ht="9.9499999999999993" hidden="1" customHeight="1" x14ac:dyDescent="0.2"/>
    <row r="7054" ht="9.9499999999999993" hidden="1" customHeight="1" x14ac:dyDescent="0.2"/>
    <row r="7055" ht="9.9499999999999993" hidden="1" customHeight="1" x14ac:dyDescent="0.2"/>
    <row r="7056" ht="9.9499999999999993" hidden="1" customHeight="1" x14ac:dyDescent="0.2"/>
    <row r="7057" ht="9.9499999999999993" hidden="1" customHeight="1" x14ac:dyDescent="0.2"/>
    <row r="7058" ht="9.9499999999999993" hidden="1" customHeight="1" x14ac:dyDescent="0.2"/>
    <row r="7059" ht="9.9499999999999993" hidden="1" customHeight="1" x14ac:dyDescent="0.2"/>
    <row r="7060" ht="9.9499999999999993" hidden="1" customHeight="1" x14ac:dyDescent="0.2"/>
    <row r="7061" ht="9.9499999999999993" hidden="1" customHeight="1" x14ac:dyDescent="0.2"/>
    <row r="7062" ht="9.9499999999999993" hidden="1" customHeight="1" x14ac:dyDescent="0.2"/>
    <row r="7063" ht="9.9499999999999993" hidden="1" customHeight="1" x14ac:dyDescent="0.2"/>
    <row r="7064" ht="9.9499999999999993" hidden="1" customHeight="1" x14ac:dyDescent="0.2"/>
    <row r="7065" ht="9.9499999999999993" hidden="1" customHeight="1" x14ac:dyDescent="0.2"/>
    <row r="7066" ht="9.9499999999999993" hidden="1" customHeight="1" x14ac:dyDescent="0.2"/>
    <row r="7067" ht="9.9499999999999993" hidden="1" customHeight="1" x14ac:dyDescent="0.2"/>
    <row r="7068" ht="9.9499999999999993" hidden="1" customHeight="1" x14ac:dyDescent="0.2"/>
    <row r="7069" ht="9.9499999999999993" hidden="1" customHeight="1" x14ac:dyDescent="0.2"/>
    <row r="7070" ht="9.9499999999999993" hidden="1" customHeight="1" x14ac:dyDescent="0.2"/>
    <row r="7071" ht="9.9499999999999993" hidden="1" customHeight="1" x14ac:dyDescent="0.2"/>
    <row r="7072" ht="9.9499999999999993" hidden="1" customHeight="1" x14ac:dyDescent="0.2"/>
    <row r="7073" ht="9.9499999999999993" hidden="1" customHeight="1" x14ac:dyDescent="0.2"/>
    <row r="7074" ht="9.9499999999999993" hidden="1" customHeight="1" x14ac:dyDescent="0.2"/>
    <row r="7075" ht="9.9499999999999993" hidden="1" customHeight="1" x14ac:dyDescent="0.2"/>
    <row r="7076" ht="9.9499999999999993" hidden="1" customHeight="1" x14ac:dyDescent="0.2"/>
    <row r="7077" ht="9.9499999999999993" hidden="1" customHeight="1" x14ac:dyDescent="0.2"/>
    <row r="7078" ht="9.9499999999999993" hidden="1" customHeight="1" x14ac:dyDescent="0.2"/>
    <row r="7079" ht="9.9499999999999993" hidden="1" customHeight="1" x14ac:dyDescent="0.2"/>
    <row r="7080" ht="9.9499999999999993" hidden="1" customHeight="1" x14ac:dyDescent="0.2"/>
    <row r="7081" ht="9.9499999999999993" hidden="1" customHeight="1" x14ac:dyDescent="0.2"/>
    <row r="7082" ht="9.9499999999999993" hidden="1" customHeight="1" x14ac:dyDescent="0.2"/>
    <row r="7083" ht="9.9499999999999993" hidden="1" customHeight="1" x14ac:dyDescent="0.2"/>
    <row r="7084" ht="9.9499999999999993" hidden="1" customHeight="1" x14ac:dyDescent="0.2"/>
    <row r="7085" ht="9.9499999999999993" hidden="1" customHeight="1" x14ac:dyDescent="0.2"/>
    <row r="7086" ht="9.9499999999999993" hidden="1" customHeight="1" x14ac:dyDescent="0.2"/>
    <row r="7087" ht="9.9499999999999993" hidden="1" customHeight="1" x14ac:dyDescent="0.2"/>
    <row r="7088" ht="9.9499999999999993" hidden="1" customHeight="1" x14ac:dyDescent="0.2"/>
    <row r="7089" ht="9.9499999999999993" hidden="1" customHeight="1" x14ac:dyDescent="0.2"/>
    <row r="7090" ht="9.9499999999999993" hidden="1" customHeight="1" x14ac:dyDescent="0.2"/>
    <row r="7091" ht="9.9499999999999993" hidden="1" customHeight="1" x14ac:dyDescent="0.2"/>
    <row r="7092" ht="9.9499999999999993" hidden="1" customHeight="1" x14ac:dyDescent="0.2"/>
    <row r="7093" ht="9.9499999999999993" hidden="1" customHeight="1" x14ac:dyDescent="0.2"/>
    <row r="7094" ht="9.9499999999999993" hidden="1" customHeight="1" x14ac:dyDescent="0.2"/>
    <row r="7095" ht="9.9499999999999993" hidden="1" customHeight="1" x14ac:dyDescent="0.2"/>
    <row r="7096" ht="9.9499999999999993" hidden="1" customHeight="1" x14ac:dyDescent="0.2"/>
    <row r="7097" ht="9.9499999999999993" hidden="1" customHeight="1" x14ac:dyDescent="0.2"/>
    <row r="7098" ht="9.9499999999999993" hidden="1" customHeight="1" x14ac:dyDescent="0.2"/>
    <row r="7099" ht="9.9499999999999993" hidden="1" customHeight="1" x14ac:dyDescent="0.2"/>
    <row r="7100" ht="9.9499999999999993" hidden="1" customHeight="1" x14ac:dyDescent="0.2"/>
    <row r="7101" ht="9.9499999999999993" hidden="1" customHeight="1" x14ac:dyDescent="0.2"/>
    <row r="7102" ht="9.9499999999999993" hidden="1" customHeight="1" x14ac:dyDescent="0.2"/>
    <row r="7103" ht="9.9499999999999993" hidden="1" customHeight="1" x14ac:dyDescent="0.2"/>
    <row r="7104" ht="9.9499999999999993" hidden="1" customHeight="1" x14ac:dyDescent="0.2"/>
    <row r="7105" ht="9.9499999999999993" hidden="1" customHeight="1" x14ac:dyDescent="0.2"/>
    <row r="7106" ht="9.9499999999999993" hidden="1" customHeight="1" x14ac:dyDescent="0.2"/>
    <row r="7107" ht="9.9499999999999993" hidden="1" customHeight="1" x14ac:dyDescent="0.2"/>
    <row r="7108" ht="9.9499999999999993" hidden="1" customHeight="1" x14ac:dyDescent="0.2"/>
    <row r="7109" ht="9.9499999999999993" hidden="1" customHeight="1" x14ac:dyDescent="0.2"/>
    <row r="7110" ht="9.9499999999999993" hidden="1" customHeight="1" x14ac:dyDescent="0.2"/>
    <row r="7111" ht="9.9499999999999993" hidden="1" customHeight="1" x14ac:dyDescent="0.2"/>
    <row r="7112" ht="9.9499999999999993" hidden="1" customHeight="1" x14ac:dyDescent="0.2"/>
    <row r="7113" ht="9.9499999999999993" hidden="1" customHeight="1" x14ac:dyDescent="0.2"/>
    <row r="7114" ht="9.9499999999999993" hidden="1" customHeight="1" x14ac:dyDescent="0.2"/>
    <row r="7115" ht="9.9499999999999993" hidden="1" customHeight="1" x14ac:dyDescent="0.2"/>
    <row r="7116" ht="9.9499999999999993" hidden="1" customHeight="1" x14ac:dyDescent="0.2"/>
    <row r="7117" ht="9.9499999999999993" hidden="1" customHeight="1" x14ac:dyDescent="0.2"/>
    <row r="7118" ht="9.9499999999999993" hidden="1" customHeight="1" x14ac:dyDescent="0.2"/>
    <row r="7119" ht="9.9499999999999993" hidden="1" customHeight="1" x14ac:dyDescent="0.2"/>
    <row r="7120" ht="9.9499999999999993" hidden="1" customHeight="1" x14ac:dyDescent="0.2"/>
    <row r="7121" ht="9.9499999999999993" hidden="1" customHeight="1" x14ac:dyDescent="0.2"/>
    <row r="7122" ht="9.9499999999999993" hidden="1" customHeight="1" x14ac:dyDescent="0.2"/>
    <row r="7123" ht="9.9499999999999993" hidden="1" customHeight="1" x14ac:dyDescent="0.2"/>
    <row r="7124" ht="9.9499999999999993" hidden="1" customHeight="1" x14ac:dyDescent="0.2"/>
    <row r="7125" ht="9.9499999999999993" hidden="1" customHeight="1" x14ac:dyDescent="0.2"/>
    <row r="7126" ht="9.9499999999999993" hidden="1" customHeight="1" x14ac:dyDescent="0.2"/>
    <row r="7127" ht="9.9499999999999993" hidden="1" customHeight="1" x14ac:dyDescent="0.2"/>
    <row r="7128" ht="9.9499999999999993" hidden="1" customHeight="1" x14ac:dyDescent="0.2"/>
    <row r="7129" ht="9.9499999999999993" hidden="1" customHeight="1" x14ac:dyDescent="0.2"/>
    <row r="7130" ht="9.9499999999999993" hidden="1" customHeight="1" x14ac:dyDescent="0.2"/>
    <row r="7131" ht="9.9499999999999993" hidden="1" customHeight="1" x14ac:dyDescent="0.2"/>
    <row r="7132" ht="9.9499999999999993" hidden="1" customHeight="1" x14ac:dyDescent="0.2"/>
    <row r="7133" ht="9.9499999999999993" hidden="1" customHeight="1" x14ac:dyDescent="0.2"/>
    <row r="7134" ht="9.9499999999999993" hidden="1" customHeight="1" x14ac:dyDescent="0.2"/>
    <row r="7135" ht="9.9499999999999993" hidden="1" customHeight="1" x14ac:dyDescent="0.2"/>
    <row r="7136" ht="9.9499999999999993" hidden="1" customHeight="1" x14ac:dyDescent="0.2"/>
    <row r="7137" ht="9.9499999999999993" hidden="1" customHeight="1" x14ac:dyDescent="0.2"/>
    <row r="7138" ht="9.9499999999999993" hidden="1" customHeight="1" x14ac:dyDescent="0.2"/>
    <row r="7139" ht="9.9499999999999993" hidden="1" customHeight="1" x14ac:dyDescent="0.2"/>
    <row r="7140" ht="9.9499999999999993" hidden="1" customHeight="1" x14ac:dyDescent="0.2"/>
    <row r="7141" ht="9.9499999999999993" hidden="1" customHeight="1" x14ac:dyDescent="0.2"/>
    <row r="7142" ht="9.9499999999999993" hidden="1" customHeight="1" x14ac:dyDescent="0.2"/>
    <row r="7143" ht="9.9499999999999993" hidden="1" customHeight="1" x14ac:dyDescent="0.2"/>
    <row r="7144" ht="9.9499999999999993" hidden="1" customHeight="1" x14ac:dyDescent="0.2"/>
    <row r="7145" ht="9.9499999999999993" hidden="1" customHeight="1" x14ac:dyDescent="0.2"/>
    <row r="7146" ht="9.9499999999999993" hidden="1" customHeight="1" x14ac:dyDescent="0.2"/>
    <row r="7147" ht="9.9499999999999993" hidden="1" customHeight="1" x14ac:dyDescent="0.2"/>
    <row r="7148" ht="9.9499999999999993" hidden="1" customHeight="1" x14ac:dyDescent="0.2"/>
    <row r="7149" ht="9.9499999999999993" hidden="1" customHeight="1" x14ac:dyDescent="0.2"/>
    <row r="7150" ht="9.9499999999999993" hidden="1" customHeight="1" x14ac:dyDescent="0.2"/>
    <row r="7151" ht="9.9499999999999993" hidden="1" customHeight="1" x14ac:dyDescent="0.2"/>
    <row r="7152" ht="9.9499999999999993" hidden="1" customHeight="1" x14ac:dyDescent="0.2"/>
    <row r="7153" ht="9.9499999999999993" hidden="1" customHeight="1" x14ac:dyDescent="0.2"/>
    <row r="7154" ht="9.9499999999999993" hidden="1" customHeight="1" x14ac:dyDescent="0.2"/>
    <row r="7155" ht="9.9499999999999993" hidden="1" customHeight="1" x14ac:dyDescent="0.2"/>
    <row r="7156" ht="9.9499999999999993" hidden="1" customHeight="1" x14ac:dyDescent="0.2"/>
    <row r="7157" ht="9.9499999999999993" hidden="1" customHeight="1" x14ac:dyDescent="0.2"/>
    <row r="7158" ht="9.9499999999999993" hidden="1" customHeight="1" x14ac:dyDescent="0.2"/>
    <row r="7159" ht="9.9499999999999993" hidden="1" customHeight="1" x14ac:dyDescent="0.2"/>
    <row r="7160" ht="9.9499999999999993" hidden="1" customHeight="1" x14ac:dyDescent="0.2"/>
    <row r="7161" ht="9.9499999999999993" hidden="1" customHeight="1" x14ac:dyDescent="0.2"/>
    <row r="7162" ht="9.9499999999999993" hidden="1" customHeight="1" x14ac:dyDescent="0.2"/>
    <row r="7163" ht="9.9499999999999993" hidden="1" customHeight="1" x14ac:dyDescent="0.2"/>
    <row r="7164" ht="9.9499999999999993" hidden="1" customHeight="1" x14ac:dyDescent="0.2"/>
    <row r="7165" ht="9.9499999999999993" hidden="1" customHeight="1" x14ac:dyDescent="0.2"/>
    <row r="7166" ht="9.9499999999999993" hidden="1" customHeight="1" x14ac:dyDescent="0.2"/>
    <row r="7167" ht="9.9499999999999993" hidden="1" customHeight="1" x14ac:dyDescent="0.2"/>
    <row r="7168" ht="9.9499999999999993" hidden="1" customHeight="1" x14ac:dyDescent="0.2"/>
    <row r="7169" ht="9.9499999999999993" hidden="1" customHeight="1" x14ac:dyDescent="0.2"/>
    <row r="7170" ht="9.9499999999999993" hidden="1" customHeight="1" x14ac:dyDescent="0.2"/>
    <row r="7171" ht="9.9499999999999993" hidden="1" customHeight="1" x14ac:dyDescent="0.2"/>
    <row r="7172" ht="9.9499999999999993" hidden="1" customHeight="1" x14ac:dyDescent="0.2"/>
    <row r="7173" ht="9.9499999999999993" hidden="1" customHeight="1" x14ac:dyDescent="0.2"/>
    <row r="7174" ht="9.9499999999999993" hidden="1" customHeight="1" x14ac:dyDescent="0.2"/>
    <row r="7175" ht="9.9499999999999993" hidden="1" customHeight="1" x14ac:dyDescent="0.2"/>
    <row r="7176" ht="9.9499999999999993" hidden="1" customHeight="1" x14ac:dyDescent="0.2"/>
    <row r="7177" ht="9.9499999999999993" hidden="1" customHeight="1" x14ac:dyDescent="0.2"/>
    <row r="7178" ht="9.9499999999999993" hidden="1" customHeight="1" x14ac:dyDescent="0.2"/>
    <row r="7179" ht="9.9499999999999993" hidden="1" customHeight="1" x14ac:dyDescent="0.2"/>
    <row r="7180" ht="9.9499999999999993" hidden="1" customHeight="1" x14ac:dyDescent="0.2"/>
    <row r="7181" ht="9.9499999999999993" hidden="1" customHeight="1" x14ac:dyDescent="0.2"/>
    <row r="7182" ht="9.9499999999999993" hidden="1" customHeight="1" x14ac:dyDescent="0.2"/>
    <row r="7183" ht="9.9499999999999993" hidden="1" customHeight="1" x14ac:dyDescent="0.2"/>
    <row r="7184" ht="9.9499999999999993" hidden="1" customHeight="1" x14ac:dyDescent="0.2"/>
    <row r="7185" ht="9.9499999999999993" hidden="1" customHeight="1" x14ac:dyDescent="0.2"/>
    <row r="7186" ht="9.9499999999999993" hidden="1" customHeight="1" x14ac:dyDescent="0.2"/>
    <row r="7187" ht="9.9499999999999993" hidden="1" customHeight="1" x14ac:dyDescent="0.2"/>
    <row r="7188" ht="9.9499999999999993" hidden="1" customHeight="1" x14ac:dyDescent="0.2"/>
    <row r="7189" ht="9.9499999999999993" hidden="1" customHeight="1" x14ac:dyDescent="0.2"/>
    <row r="7190" ht="9.9499999999999993" hidden="1" customHeight="1" x14ac:dyDescent="0.2"/>
    <row r="7191" ht="9.9499999999999993" hidden="1" customHeight="1" x14ac:dyDescent="0.2"/>
    <row r="7192" ht="9.9499999999999993" hidden="1" customHeight="1" x14ac:dyDescent="0.2"/>
    <row r="7193" ht="9.9499999999999993" hidden="1" customHeight="1" x14ac:dyDescent="0.2"/>
    <row r="7194" ht="9.9499999999999993" hidden="1" customHeight="1" x14ac:dyDescent="0.2"/>
    <row r="7195" ht="9.9499999999999993" hidden="1" customHeight="1" x14ac:dyDescent="0.2"/>
    <row r="7196" ht="9.9499999999999993" hidden="1" customHeight="1" x14ac:dyDescent="0.2"/>
    <row r="7197" ht="9.9499999999999993" hidden="1" customHeight="1" x14ac:dyDescent="0.2"/>
    <row r="7198" ht="9.9499999999999993" hidden="1" customHeight="1" x14ac:dyDescent="0.2"/>
    <row r="7199" ht="9.9499999999999993" hidden="1" customHeight="1" x14ac:dyDescent="0.2"/>
    <row r="7200" ht="9.9499999999999993" hidden="1" customHeight="1" x14ac:dyDescent="0.2"/>
    <row r="7201" ht="9.9499999999999993" hidden="1" customHeight="1" x14ac:dyDescent="0.2"/>
    <row r="7202" ht="9.9499999999999993" hidden="1" customHeight="1" x14ac:dyDescent="0.2"/>
    <row r="7203" ht="9.9499999999999993" hidden="1" customHeight="1" x14ac:dyDescent="0.2"/>
    <row r="7204" ht="9.9499999999999993" hidden="1" customHeight="1" x14ac:dyDescent="0.2"/>
    <row r="7205" ht="9.9499999999999993" hidden="1" customHeight="1" x14ac:dyDescent="0.2"/>
    <row r="7206" ht="9.9499999999999993" hidden="1" customHeight="1" x14ac:dyDescent="0.2"/>
    <row r="7207" ht="9.9499999999999993" hidden="1" customHeight="1" x14ac:dyDescent="0.2"/>
    <row r="7208" ht="9.9499999999999993" hidden="1" customHeight="1" x14ac:dyDescent="0.2"/>
    <row r="7209" ht="9.9499999999999993" hidden="1" customHeight="1" x14ac:dyDescent="0.2"/>
    <row r="7210" ht="9.9499999999999993" hidden="1" customHeight="1" x14ac:dyDescent="0.2"/>
    <row r="7211" ht="9.9499999999999993" hidden="1" customHeight="1" x14ac:dyDescent="0.2"/>
    <row r="7212" ht="9.9499999999999993" hidden="1" customHeight="1" x14ac:dyDescent="0.2"/>
    <row r="7213" ht="9.9499999999999993" hidden="1" customHeight="1" x14ac:dyDescent="0.2"/>
    <row r="7214" ht="9.9499999999999993" hidden="1" customHeight="1" x14ac:dyDescent="0.2"/>
    <row r="7215" ht="9.9499999999999993" hidden="1" customHeight="1" x14ac:dyDescent="0.2"/>
    <row r="7216" ht="9.9499999999999993" hidden="1" customHeight="1" x14ac:dyDescent="0.2"/>
    <row r="7217" ht="9.9499999999999993" hidden="1" customHeight="1" x14ac:dyDescent="0.2"/>
    <row r="7218" ht="9.9499999999999993" hidden="1" customHeight="1" x14ac:dyDescent="0.2"/>
    <row r="7219" ht="9.9499999999999993" hidden="1" customHeight="1" x14ac:dyDescent="0.2"/>
    <row r="7220" ht="9.9499999999999993" hidden="1" customHeight="1" x14ac:dyDescent="0.2"/>
    <row r="7221" ht="9.9499999999999993" hidden="1" customHeight="1" x14ac:dyDescent="0.2"/>
    <row r="7222" ht="9.9499999999999993" hidden="1" customHeight="1" x14ac:dyDescent="0.2"/>
    <row r="7223" ht="9.9499999999999993" hidden="1" customHeight="1" x14ac:dyDescent="0.2"/>
    <row r="7224" ht="9.9499999999999993" hidden="1" customHeight="1" x14ac:dyDescent="0.2"/>
    <row r="7225" ht="9.9499999999999993" hidden="1" customHeight="1" x14ac:dyDescent="0.2"/>
    <row r="7226" ht="9.9499999999999993" hidden="1" customHeight="1" x14ac:dyDescent="0.2"/>
    <row r="7227" ht="9.9499999999999993" hidden="1" customHeight="1" x14ac:dyDescent="0.2"/>
    <row r="7228" ht="9.9499999999999993" hidden="1" customHeight="1" x14ac:dyDescent="0.2"/>
    <row r="7229" ht="9.9499999999999993" hidden="1" customHeight="1" x14ac:dyDescent="0.2"/>
    <row r="7230" ht="9.9499999999999993" hidden="1" customHeight="1" x14ac:dyDescent="0.2"/>
    <row r="7231" ht="9.9499999999999993" hidden="1" customHeight="1" x14ac:dyDescent="0.2"/>
    <row r="7232" ht="9.9499999999999993" hidden="1" customHeight="1" x14ac:dyDescent="0.2"/>
    <row r="7233" ht="9.9499999999999993" hidden="1" customHeight="1" x14ac:dyDescent="0.2"/>
    <row r="7234" ht="9.9499999999999993" hidden="1" customHeight="1" x14ac:dyDescent="0.2"/>
    <row r="7235" ht="9.9499999999999993" hidden="1" customHeight="1" x14ac:dyDescent="0.2"/>
    <row r="7236" ht="9.9499999999999993" hidden="1" customHeight="1" x14ac:dyDescent="0.2"/>
    <row r="7237" ht="9.9499999999999993" hidden="1" customHeight="1" x14ac:dyDescent="0.2"/>
    <row r="7238" ht="9.9499999999999993" hidden="1" customHeight="1" x14ac:dyDescent="0.2"/>
    <row r="7239" ht="9.9499999999999993" hidden="1" customHeight="1" x14ac:dyDescent="0.2"/>
    <row r="7240" ht="9.9499999999999993" hidden="1" customHeight="1" x14ac:dyDescent="0.2"/>
    <row r="7241" ht="9.9499999999999993" hidden="1" customHeight="1" x14ac:dyDescent="0.2"/>
    <row r="7242" ht="9.9499999999999993" hidden="1" customHeight="1" x14ac:dyDescent="0.2"/>
    <row r="7243" ht="9.9499999999999993" hidden="1" customHeight="1" x14ac:dyDescent="0.2"/>
    <row r="7244" ht="9.9499999999999993" hidden="1" customHeight="1" x14ac:dyDescent="0.2"/>
    <row r="7245" ht="9.9499999999999993" hidden="1" customHeight="1" x14ac:dyDescent="0.2"/>
    <row r="7246" ht="9.9499999999999993" hidden="1" customHeight="1" x14ac:dyDescent="0.2"/>
    <row r="7247" ht="9.9499999999999993" hidden="1" customHeight="1" x14ac:dyDescent="0.2"/>
    <row r="7248" ht="9.9499999999999993" hidden="1" customHeight="1" x14ac:dyDescent="0.2"/>
    <row r="7249" ht="9.9499999999999993" hidden="1" customHeight="1" x14ac:dyDescent="0.2"/>
    <row r="7250" ht="9.9499999999999993" hidden="1" customHeight="1" x14ac:dyDescent="0.2"/>
    <row r="7251" ht="9.9499999999999993" hidden="1" customHeight="1" x14ac:dyDescent="0.2"/>
    <row r="7252" ht="9.9499999999999993" hidden="1" customHeight="1" x14ac:dyDescent="0.2"/>
    <row r="7253" ht="9.9499999999999993" hidden="1" customHeight="1" x14ac:dyDescent="0.2"/>
    <row r="7254" ht="9.9499999999999993" hidden="1" customHeight="1" x14ac:dyDescent="0.2"/>
    <row r="7255" ht="9.9499999999999993" hidden="1" customHeight="1" x14ac:dyDescent="0.2"/>
    <row r="7256" ht="9.9499999999999993" hidden="1" customHeight="1" x14ac:dyDescent="0.2"/>
    <row r="7257" ht="9.9499999999999993" hidden="1" customHeight="1" x14ac:dyDescent="0.2"/>
    <row r="7258" ht="9.9499999999999993" hidden="1" customHeight="1" x14ac:dyDescent="0.2"/>
    <row r="7259" ht="9.9499999999999993" hidden="1" customHeight="1" x14ac:dyDescent="0.2"/>
    <row r="7260" ht="9.9499999999999993" hidden="1" customHeight="1" x14ac:dyDescent="0.2"/>
    <row r="7261" ht="9.9499999999999993" hidden="1" customHeight="1" x14ac:dyDescent="0.2"/>
    <row r="7262" ht="9.9499999999999993" hidden="1" customHeight="1" x14ac:dyDescent="0.2"/>
    <row r="7263" ht="9.9499999999999993" hidden="1" customHeight="1" x14ac:dyDescent="0.2"/>
    <row r="7264" ht="9.9499999999999993" hidden="1" customHeight="1" x14ac:dyDescent="0.2"/>
    <row r="7265" ht="9.9499999999999993" hidden="1" customHeight="1" x14ac:dyDescent="0.2"/>
    <row r="7266" ht="9.9499999999999993" hidden="1" customHeight="1" x14ac:dyDescent="0.2"/>
    <row r="7267" ht="9.9499999999999993" hidden="1" customHeight="1" x14ac:dyDescent="0.2"/>
    <row r="7268" ht="9.9499999999999993" hidden="1" customHeight="1" x14ac:dyDescent="0.2"/>
    <row r="7269" ht="9.9499999999999993" hidden="1" customHeight="1" x14ac:dyDescent="0.2"/>
    <row r="7270" ht="9.9499999999999993" hidden="1" customHeight="1" x14ac:dyDescent="0.2"/>
    <row r="7271" ht="9.9499999999999993" hidden="1" customHeight="1" x14ac:dyDescent="0.2"/>
    <row r="7272" ht="9.9499999999999993" hidden="1" customHeight="1" x14ac:dyDescent="0.2"/>
    <row r="7273" ht="9.9499999999999993" hidden="1" customHeight="1" x14ac:dyDescent="0.2"/>
    <row r="7274" ht="9.9499999999999993" hidden="1" customHeight="1" x14ac:dyDescent="0.2"/>
    <row r="7275" ht="9.9499999999999993" hidden="1" customHeight="1" x14ac:dyDescent="0.2"/>
    <row r="7276" ht="9.9499999999999993" hidden="1" customHeight="1" x14ac:dyDescent="0.2"/>
    <row r="7277" ht="9.9499999999999993" hidden="1" customHeight="1" x14ac:dyDescent="0.2"/>
    <row r="7278" ht="9.9499999999999993" hidden="1" customHeight="1" x14ac:dyDescent="0.2"/>
    <row r="7279" ht="9.9499999999999993" hidden="1" customHeight="1" x14ac:dyDescent="0.2"/>
    <row r="7280" ht="9.9499999999999993" hidden="1" customHeight="1" x14ac:dyDescent="0.2"/>
    <row r="7281" ht="9.9499999999999993" hidden="1" customHeight="1" x14ac:dyDescent="0.2"/>
    <row r="7282" ht="9.9499999999999993" hidden="1" customHeight="1" x14ac:dyDescent="0.2"/>
    <row r="7283" ht="9.9499999999999993" hidden="1" customHeight="1" x14ac:dyDescent="0.2"/>
    <row r="7284" ht="9.9499999999999993" hidden="1" customHeight="1" x14ac:dyDescent="0.2"/>
    <row r="7285" ht="9.9499999999999993" hidden="1" customHeight="1" x14ac:dyDescent="0.2"/>
    <row r="7286" ht="9.9499999999999993" hidden="1" customHeight="1" x14ac:dyDescent="0.2"/>
    <row r="7287" ht="9.9499999999999993" hidden="1" customHeight="1" x14ac:dyDescent="0.2"/>
    <row r="7288" ht="9.9499999999999993" hidden="1" customHeight="1" x14ac:dyDescent="0.2"/>
    <row r="7289" ht="9.9499999999999993" hidden="1" customHeight="1" x14ac:dyDescent="0.2"/>
    <row r="7290" ht="9.9499999999999993" hidden="1" customHeight="1" x14ac:dyDescent="0.2"/>
    <row r="7291" ht="9.9499999999999993" hidden="1" customHeight="1" x14ac:dyDescent="0.2"/>
    <row r="7292" ht="9.9499999999999993" hidden="1" customHeight="1" x14ac:dyDescent="0.2"/>
    <row r="7293" ht="9.9499999999999993" hidden="1" customHeight="1" x14ac:dyDescent="0.2"/>
    <row r="7294" ht="9.9499999999999993" hidden="1" customHeight="1" x14ac:dyDescent="0.2"/>
    <row r="7295" ht="9.9499999999999993" hidden="1" customHeight="1" x14ac:dyDescent="0.2"/>
    <row r="7296" ht="9.9499999999999993" hidden="1" customHeight="1" x14ac:dyDescent="0.2"/>
    <row r="7297" ht="9.9499999999999993" hidden="1" customHeight="1" x14ac:dyDescent="0.2"/>
    <row r="7298" ht="9.9499999999999993" hidden="1" customHeight="1" x14ac:dyDescent="0.2"/>
    <row r="7299" ht="9.9499999999999993" hidden="1" customHeight="1" x14ac:dyDescent="0.2"/>
    <row r="7300" ht="9.9499999999999993" hidden="1" customHeight="1" x14ac:dyDescent="0.2"/>
    <row r="7301" ht="9.9499999999999993" hidden="1" customHeight="1" x14ac:dyDescent="0.2"/>
    <row r="7302" ht="9.9499999999999993" hidden="1" customHeight="1" x14ac:dyDescent="0.2"/>
    <row r="7303" ht="9.9499999999999993" hidden="1" customHeight="1" x14ac:dyDescent="0.2"/>
    <row r="7304" ht="9.9499999999999993" hidden="1" customHeight="1" x14ac:dyDescent="0.2"/>
    <row r="7305" ht="9.9499999999999993" hidden="1" customHeight="1" x14ac:dyDescent="0.2"/>
    <row r="7306" ht="9.9499999999999993" hidden="1" customHeight="1" x14ac:dyDescent="0.2"/>
    <row r="7307" ht="9.9499999999999993" hidden="1" customHeight="1" x14ac:dyDescent="0.2"/>
    <row r="7308" ht="9.9499999999999993" hidden="1" customHeight="1" x14ac:dyDescent="0.2"/>
    <row r="7309" ht="9.9499999999999993" hidden="1" customHeight="1" x14ac:dyDescent="0.2"/>
    <row r="7310" ht="9.9499999999999993" hidden="1" customHeight="1" x14ac:dyDescent="0.2"/>
    <row r="7311" ht="9.9499999999999993" hidden="1" customHeight="1" x14ac:dyDescent="0.2"/>
    <row r="7312" ht="9.9499999999999993" hidden="1" customHeight="1" x14ac:dyDescent="0.2"/>
    <row r="7313" ht="9.9499999999999993" hidden="1" customHeight="1" x14ac:dyDescent="0.2"/>
    <row r="7314" ht="9.9499999999999993" hidden="1" customHeight="1" x14ac:dyDescent="0.2"/>
    <row r="7315" ht="9.9499999999999993" hidden="1" customHeight="1" x14ac:dyDescent="0.2"/>
    <row r="7316" ht="9.9499999999999993" hidden="1" customHeight="1" x14ac:dyDescent="0.2"/>
    <row r="7317" ht="9.9499999999999993" hidden="1" customHeight="1" x14ac:dyDescent="0.2"/>
    <row r="7318" ht="9.9499999999999993" hidden="1" customHeight="1" x14ac:dyDescent="0.2"/>
    <row r="7319" ht="9.9499999999999993" hidden="1" customHeight="1" x14ac:dyDescent="0.2"/>
    <row r="7320" ht="9.9499999999999993" hidden="1" customHeight="1" x14ac:dyDescent="0.2"/>
    <row r="7321" ht="9.9499999999999993" hidden="1" customHeight="1" x14ac:dyDescent="0.2"/>
    <row r="7322" ht="9.9499999999999993" hidden="1" customHeight="1" x14ac:dyDescent="0.2"/>
    <row r="7323" ht="9.9499999999999993" hidden="1" customHeight="1" x14ac:dyDescent="0.2"/>
    <row r="7324" ht="9.9499999999999993" hidden="1" customHeight="1" x14ac:dyDescent="0.2"/>
    <row r="7325" ht="9.9499999999999993" hidden="1" customHeight="1" x14ac:dyDescent="0.2"/>
    <row r="7326" ht="9.9499999999999993" hidden="1" customHeight="1" x14ac:dyDescent="0.2"/>
    <row r="7327" ht="9.9499999999999993" hidden="1" customHeight="1" x14ac:dyDescent="0.2"/>
    <row r="7328" ht="9.9499999999999993" hidden="1" customHeight="1" x14ac:dyDescent="0.2"/>
    <row r="7329" ht="9.9499999999999993" hidden="1" customHeight="1" x14ac:dyDescent="0.2"/>
    <row r="7330" ht="9.9499999999999993" hidden="1" customHeight="1" x14ac:dyDescent="0.2"/>
    <row r="7331" ht="9.9499999999999993" hidden="1" customHeight="1" x14ac:dyDescent="0.2"/>
    <row r="7332" ht="9.9499999999999993" hidden="1" customHeight="1" x14ac:dyDescent="0.2"/>
    <row r="7333" ht="9.9499999999999993" hidden="1" customHeight="1" x14ac:dyDescent="0.2"/>
    <row r="7334" ht="9.9499999999999993" hidden="1" customHeight="1" x14ac:dyDescent="0.2"/>
    <row r="7335" ht="9.9499999999999993" hidden="1" customHeight="1" x14ac:dyDescent="0.2"/>
    <row r="7336" ht="9.9499999999999993" hidden="1" customHeight="1" x14ac:dyDescent="0.2"/>
    <row r="7337" ht="9.9499999999999993" hidden="1" customHeight="1" x14ac:dyDescent="0.2"/>
    <row r="7338" ht="9.9499999999999993" hidden="1" customHeight="1" x14ac:dyDescent="0.2"/>
    <row r="7339" ht="9.9499999999999993" hidden="1" customHeight="1" x14ac:dyDescent="0.2"/>
    <row r="7340" ht="9.9499999999999993" hidden="1" customHeight="1" x14ac:dyDescent="0.2"/>
    <row r="7341" ht="9.9499999999999993" hidden="1" customHeight="1" x14ac:dyDescent="0.2"/>
    <row r="7342" ht="9.9499999999999993" hidden="1" customHeight="1" x14ac:dyDescent="0.2"/>
    <row r="7343" ht="9.9499999999999993" hidden="1" customHeight="1" x14ac:dyDescent="0.2"/>
    <row r="7344" ht="9.9499999999999993" hidden="1" customHeight="1" x14ac:dyDescent="0.2"/>
    <row r="7345" ht="9.9499999999999993" hidden="1" customHeight="1" x14ac:dyDescent="0.2"/>
    <row r="7346" ht="9.9499999999999993" hidden="1" customHeight="1" x14ac:dyDescent="0.2"/>
    <row r="7347" ht="9.9499999999999993" hidden="1" customHeight="1" x14ac:dyDescent="0.2"/>
    <row r="7348" ht="9.9499999999999993" hidden="1" customHeight="1" x14ac:dyDescent="0.2"/>
    <row r="7349" ht="9.9499999999999993" hidden="1" customHeight="1" x14ac:dyDescent="0.2"/>
    <row r="7350" ht="9.9499999999999993" hidden="1" customHeight="1" x14ac:dyDescent="0.2"/>
    <row r="7351" ht="9.9499999999999993" hidden="1" customHeight="1" x14ac:dyDescent="0.2"/>
    <row r="7352" ht="9.9499999999999993" hidden="1" customHeight="1" x14ac:dyDescent="0.2"/>
    <row r="7353" ht="9.9499999999999993" hidden="1" customHeight="1" x14ac:dyDescent="0.2"/>
    <row r="7354" ht="9.9499999999999993" hidden="1" customHeight="1" x14ac:dyDescent="0.2"/>
    <row r="7355" ht="9.9499999999999993" hidden="1" customHeight="1" x14ac:dyDescent="0.2"/>
    <row r="7356" ht="9.9499999999999993" hidden="1" customHeight="1" x14ac:dyDescent="0.2"/>
    <row r="7357" ht="9.9499999999999993" hidden="1" customHeight="1" x14ac:dyDescent="0.2"/>
    <row r="7358" ht="9.9499999999999993" hidden="1" customHeight="1" x14ac:dyDescent="0.2"/>
    <row r="7359" ht="9.9499999999999993" hidden="1" customHeight="1" x14ac:dyDescent="0.2"/>
    <row r="7360" ht="9.9499999999999993" hidden="1" customHeight="1" x14ac:dyDescent="0.2"/>
    <row r="7361" ht="9.9499999999999993" hidden="1" customHeight="1" x14ac:dyDescent="0.2"/>
    <row r="7362" ht="9.9499999999999993" hidden="1" customHeight="1" x14ac:dyDescent="0.2"/>
    <row r="7363" ht="9.9499999999999993" hidden="1" customHeight="1" x14ac:dyDescent="0.2"/>
    <row r="7364" ht="9.9499999999999993" hidden="1" customHeight="1" x14ac:dyDescent="0.2"/>
    <row r="7365" ht="9.9499999999999993" hidden="1" customHeight="1" x14ac:dyDescent="0.2"/>
    <row r="7366" ht="9.9499999999999993" hidden="1" customHeight="1" x14ac:dyDescent="0.2"/>
    <row r="7367" ht="9.9499999999999993" hidden="1" customHeight="1" x14ac:dyDescent="0.2"/>
    <row r="7368" ht="9.9499999999999993" hidden="1" customHeight="1" x14ac:dyDescent="0.2"/>
    <row r="7369" ht="9.9499999999999993" hidden="1" customHeight="1" x14ac:dyDescent="0.2"/>
    <row r="7370" ht="9.9499999999999993" hidden="1" customHeight="1" x14ac:dyDescent="0.2"/>
    <row r="7371" ht="9.9499999999999993" hidden="1" customHeight="1" x14ac:dyDescent="0.2"/>
    <row r="7372" ht="9.9499999999999993" hidden="1" customHeight="1" x14ac:dyDescent="0.2"/>
    <row r="7373" ht="9.9499999999999993" hidden="1" customHeight="1" x14ac:dyDescent="0.2"/>
    <row r="7374" ht="9.9499999999999993" hidden="1" customHeight="1" x14ac:dyDescent="0.2"/>
    <row r="7375" ht="9.9499999999999993" hidden="1" customHeight="1" x14ac:dyDescent="0.2"/>
    <row r="7376" ht="9.9499999999999993" hidden="1" customHeight="1" x14ac:dyDescent="0.2"/>
    <row r="7377" ht="9.9499999999999993" hidden="1" customHeight="1" x14ac:dyDescent="0.2"/>
    <row r="7378" ht="9.9499999999999993" hidden="1" customHeight="1" x14ac:dyDescent="0.2"/>
    <row r="7379" ht="9.9499999999999993" hidden="1" customHeight="1" x14ac:dyDescent="0.2"/>
    <row r="7380" ht="9.9499999999999993" hidden="1" customHeight="1" x14ac:dyDescent="0.2"/>
    <row r="7381" ht="9.9499999999999993" hidden="1" customHeight="1" x14ac:dyDescent="0.2"/>
    <row r="7382" ht="9.9499999999999993" hidden="1" customHeight="1" x14ac:dyDescent="0.2"/>
    <row r="7383" ht="9.9499999999999993" hidden="1" customHeight="1" x14ac:dyDescent="0.2"/>
    <row r="7384" ht="9.9499999999999993" hidden="1" customHeight="1" x14ac:dyDescent="0.2"/>
    <row r="7385" ht="9.9499999999999993" hidden="1" customHeight="1" x14ac:dyDescent="0.2"/>
    <row r="7386" ht="9.9499999999999993" hidden="1" customHeight="1" x14ac:dyDescent="0.2"/>
    <row r="7387" ht="9.9499999999999993" hidden="1" customHeight="1" x14ac:dyDescent="0.2"/>
    <row r="7388" ht="9.9499999999999993" hidden="1" customHeight="1" x14ac:dyDescent="0.2"/>
    <row r="7389" ht="9.9499999999999993" hidden="1" customHeight="1" x14ac:dyDescent="0.2"/>
    <row r="7390" ht="9.9499999999999993" hidden="1" customHeight="1" x14ac:dyDescent="0.2"/>
    <row r="7391" ht="9.9499999999999993" hidden="1" customHeight="1" x14ac:dyDescent="0.2"/>
    <row r="7392" ht="9.9499999999999993" hidden="1" customHeight="1" x14ac:dyDescent="0.2"/>
    <row r="7393" ht="9.9499999999999993" hidden="1" customHeight="1" x14ac:dyDescent="0.2"/>
    <row r="7394" ht="9.9499999999999993" hidden="1" customHeight="1" x14ac:dyDescent="0.2"/>
    <row r="7395" ht="9.9499999999999993" hidden="1" customHeight="1" x14ac:dyDescent="0.2"/>
    <row r="7396" ht="9.9499999999999993" hidden="1" customHeight="1" x14ac:dyDescent="0.2"/>
    <row r="7397" ht="9.9499999999999993" hidden="1" customHeight="1" x14ac:dyDescent="0.2"/>
    <row r="7398" ht="9.9499999999999993" hidden="1" customHeight="1" x14ac:dyDescent="0.2"/>
    <row r="7399" ht="9.9499999999999993" hidden="1" customHeight="1" x14ac:dyDescent="0.2"/>
    <row r="7400" ht="9.9499999999999993" hidden="1" customHeight="1" x14ac:dyDescent="0.2"/>
    <row r="7401" ht="9.9499999999999993" hidden="1" customHeight="1" x14ac:dyDescent="0.2"/>
    <row r="7402" ht="9.9499999999999993" hidden="1" customHeight="1" x14ac:dyDescent="0.2"/>
    <row r="7403" ht="9.9499999999999993" hidden="1" customHeight="1" x14ac:dyDescent="0.2"/>
    <row r="7404" ht="9.9499999999999993" hidden="1" customHeight="1" x14ac:dyDescent="0.2"/>
    <row r="7405" ht="9.9499999999999993" hidden="1" customHeight="1" x14ac:dyDescent="0.2"/>
    <row r="7406" ht="9.9499999999999993" hidden="1" customHeight="1" x14ac:dyDescent="0.2"/>
    <row r="7407" ht="9.9499999999999993" hidden="1" customHeight="1" x14ac:dyDescent="0.2"/>
    <row r="7408" ht="9.9499999999999993" hidden="1" customHeight="1" x14ac:dyDescent="0.2"/>
    <row r="7409" ht="9.9499999999999993" hidden="1" customHeight="1" x14ac:dyDescent="0.2"/>
    <row r="7410" ht="9.9499999999999993" hidden="1" customHeight="1" x14ac:dyDescent="0.2"/>
    <row r="7411" ht="9.9499999999999993" hidden="1" customHeight="1" x14ac:dyDescent="0.2"/>
    <row r="7412" ht="9.9499999999999993" hidden="1" customHeight="1" x14ac:dyDescent="0.2"/>
    <row r="7413" ht="9.9499999999999993" hidden="1" customHeight="1" x14ac:dyDescent="0.2"/>
    <row r="7414" ht="9.9499999999999993" hidden="1" customHeight="1" x14ac:dyDescent="0.2"/>
    <row r="7415" ht="9.9499999999999993" hidden="1" customHeight="1" x14ac:dyDescent="0.2"/>
    <row r="7416" ht="9.9499999999999993" hidden="1" customHeight="1" x14ac:dyDescent="0.2"/>
    <row r="7417" ht="9.9499999999999993" hidden="1" customHeight="1" x14ac:dyDescent="0.2"/>
    <row r="7418" ht="9.9499999999999993" hidden="1" customHeight="1" x14ac:dyDescent="0.2"/>
    <row r="7419" ht="9.9499999999999993" hidden="1" customHeight="1" x14ac:dyDescent="0.2"/>
    <row r="7420" ht="9.9499999999999993" hidden="1" customHeight="1" x14ac:dyDescent="0.2"/>
    <row r="7421" ht="9.9499999999999993" hidden="1" customHeight="1" x14ac:dyDescent="0.2"/>
    <row r="7422" ht="9.9499999999999993" hidden="1" customHeight="1" x14ac:dyDescent="0.2"/>
    <row r="7423" ht="9.9499999999999993" hidden="1" customHeight="1" x14ac:dyDescent="0.2"/>
    <row r="7424" ht="9.9499999999999993" hidden="1" customHeight="1" x14ac:dyDescent="0.2"/>
    <row r="7425" ht="9.9499999999999993" hidden="1" customHeight="1" x14ac:dyDescent="0.2"/>
    <row r="7426" ht="9.9499999999999993" hidden="1" customHeight="1" x14ac:dyDescent="0.2"/>
    <row r="7427" ht="9.9499999999999993" hidden="1" customHeight="1" x14ac:dyDescent="0.2"/>
    <row r="7428" ht="9.9499999999999993" hidden="1" customHeight="1" x14ac:dyDescent="0.2"/>
    <row r="7429" ht="9.9499999999999993" hidden="1" customHeight="1" x14ac:dyDescent="0.2"/>
    <row r="7430" ht="9.9499999999999993" hidden="1" customHeight="1" x14ac:dyDescent="0.2"/>
    <row r="7431" ht="9.9499999999999993" hidden="1" customHeight="1" x14ac:dyDescent="0.2"/>
    <row r="7432" ht="9.9499999999999993" hidden="1" customHeight="1" x14ac:dyDescent="0.2"/>
    <row r="7433" ht="9.9499999999999993" hidden="1" customHeight="1" x14ac:dyDescent="0.2"/>
    <row r="7434" ht="9.9499999999999993" hidden="1" customHeight="1" x14ac:dyDescent="0.2"/>
    <row r="7435" ht="9.9499999999999993" hidden="1" customHeight="1" x14ac:dyDescent="0.2"/>
    <row r="7436" ht="9.9499999999999993" hidden="1" customHeight="1" x14ac:dyDescent="0.2"/>
    <row r="7437" ht="9.9499999999999993" hidden="1" customHeight="1" x14ac:dyDescent="0.2"/>
    <row r="7438" ht="9.9499999999999993" hidden="1" customHeight="1" x14ac:dyDescent="0.2"/>
    <row r="7439" ht="9.9499999999999993" hidden="1" customHeight="1" x14ac:dyDescent="0.2"/>
    <row r="7440" ht="9.9499999999999993" hidden="1" customHeight="1" x14ac:dyDescent="0.2"/>
    <row r="7441" ht="9.9499999999999993" hidden="1" customHeight="1" x14ac:dyDescent="0.2"/>
    <row r="7442" ht="9.9499999999999993" hidden="1" customHeight="1" x14ac:dyDescent="0.2"/>
    <row r="7443" ht="9.9499999999999993" hidden="1" customHeight="1" x14ac:dyDescent="0.2"/>
    <row r="7444" ht="9.9499999999999993" hidden="1" customHeight="1" x14ac:dyDescent="0.2"/>
    <row r="7445" ht="9.9499999999999993" hidden="1" customHeight="1" x14ac:dyDescent="0.2"/>
    <row r="7446" ht="9.9499999999999993" hidden="1" customHeight="1" x14ac:dyDescent="0.2"/>
    <row r="7447" ht="9.9499999999999993" hidden="1" customHeight="1" x14ac:dyDescent="0.2"/>
    <row r="7448" ht="9.9499999999999993" hidden="1" customHeight="1" x14ac:dyDescent="0.2"/>
    <row r="7449" ht="9.9499999999999993" hidden="1" customHeight="1" x14ac:dyDescent="0.2"/>
    <row r="7450" ht="9.9499999999999993" hidden="1" customHeight="1" x14ac:dyDescent="0.2"/>
    <row r="7451" ht="9.9499999999999993" hidden="1" customHeight="1" x14ac:dyDescent="0.2"/>
    <row r="7452" ht="9.9499999999999993" hidden="1" customHeight="1" x14ac:dyDescent="0.2"/>
    <row r="7453" ht="9.9499999999999993" hidden="1" customHeight="1" x14ac:dyDescent="0.2"/>
    <row r="7454" ht="9.9499999999999993" hidden="1" customHeight="1" x14ac:dyDescent="0.2"/>
    <row r="7455" ht="9.9499999999999993" hidden="1" customHeight="1" x14ac:dyDescent="0.2"/>
    <row r="7456" ht="9.9499999999999993" hidden="1" customHeight="1" x14ac:dyDescent="0.2"/>
    <row r="7457" ht="9.9499999999999993" hidden="1" customHeight="1" x14ac:dyDescent="0.2"/>
    <row r="7458" ht="9.9499999999999993" hidden="1" customHeight="1" x14ac:dyDescent="0.2"/>
    <row r="7459" ht="9.9499999999999993" hidden="1" customHeight="1" x14ac:dyDescent="0.2"/>
    <row r="7460" ht="9.9499999999999993" hidden="1" customHeight="1" x14ac:dyDescent="0.2"/>
    <row r="7461" ht="9.9499999999999993" hidden="1" customHeight="1" x14ac:dyDescent="0.2"/>
    <row r="7462" ht="9.9499999999999993" hidden="1" customHeight="1" x14ac:dyDescent="0.2"/>
    <row r="7463" ht="9.9499999999999993" hidden="1" customHeight="1" x14ac:dyDescent="0.2"/>
    <row r="7464" ht="9.9499999999999993" hidden="1" customHeight="1" x14ac:dyDescent="0.2"/>
    <row r="7465" ht="9.9499999999999993" hidden="1" customHeight="1" x14ac:dyDescent="0.2"/>
    <row r="7466" ht="9.9499999999999993" hidden="1" customHeight="1" x14ac:dyDescent="0.2"/>
    <row r="7467" ht="9.9499999999999993" hidden="1" customHeight="1" x14ac:dyDescent="0.2"/>
    <row r="7468" ht="9.9499999999999993" hidden="1" customHeight="1" x14ac:dyDescent="0.2"/>
    <row r="7469" ht="9.9499999999999993" hidden="1" customHeight="1" x14ac:dyDescent="0.2"/>
    <row r="7470" ht="9.9499999999999993" hidden="1" customHeight="1" x14ac:dyDescent="0.2"/>
    <row r="7471" ht="9.9499999999999993" hidden="1" customHeight="1" x14ac:dyDescent="0.2"/>
    <row r="7472" ht="9.9499999999999993" hidden="1" customHeight="1" x14ac:dyDescent="0.2"/>
    <row r="7473" ht="9.9499999999999993" hidden="1" customHeight="1" x14ac:dyDescent="0.2"/>
    <row r="7474" ht="9.9499999999999993" hidden="1" customHeight="1" x14ac:dyDescent="0.2"/>
    <row r="7475" ht="9.9499999999999993" hidden="1" customHeight="1" x14ac:dyDescent="0.2"/>
    <row r="7476" ht="9.9499999999999993" hidden="1" customHeight="1" x14ac:dyDescent="0.2"/>
    <row r="7477" ht="9.9499999999999993" hidden="1" customHeight="1" x14ac:dyDescent="0.2"/>
    <row r="7478" ht="9.9499999999999993" hidden="1" customHeight="1" x14ac:dyDescent="0.2"/>
    <row r="7479" ht="9.9499999999999993" hidden="1" customHeight="1" x14ac:dyDescent="0.2"/>
    <row r="7480" ht="9.9499999999999993" hidden="1" customHeight="1" x14ac:dyDescent="0.2"/>
    <row r="7481" ht="9.9499999999999993" hidden="1" customHeight="1" x14ac:dyDescent="0.2"/>
    <row r="7482" ht="9.9499999999999993" hidden="1" customHeight="1" x14ac:dyDescent="0.2"/>
    <row r="7483" ht="9.9499999999999993" hidden="1" customHeight="1" x14ac:dyDescent="0.2"/>
    <row r="7484" ht="9.9499999999999993" hidden="1" customHeight="1" x14ac:dyDescent="0.2"/>
    <row r="7485" ht="9.9499999999999993" hidden="1" customHeight="1" x14ac:dyDescent="0.2"/>
    <row r="7486" ht="9.9499999999999993" hidden="1" customHeight="1" x14ac:dyDescent="0.2"/>
    <row r="7487" ht="9.9499999999999993" hidden="1" customHeight="1" x14ac:dyDescent="0.2"/>
    <row r="7488" ht="9.9499999999999993" hidden="1" customHeight="1" x14ac:dyDescent="0.2"/>
    <row r="7489" ht="9.9499999999999993" hidden="1" customHeight="1" x14ac:dyDescent="0.2"/>
    <row r="7490" ht="9.9499999999999993" hidden="1" customHeight="1" x14ac:dyDescent="0.2"/>
    <row r="7491" ht="9.9499999999999993" hidden="1" customHeight="1" x14ac:dyDescent="0.2"/>
    <row r="7492" ht="9.9499999999999993" hidden="1" customHeight="1" x14ac:dyDescent="0.2"/>
    <row r="7493" ht="9.9499999999999993" hidden="1" customHeight="1" x14ac:dyDescent="0.2"/>
    <row r="7494" ht="9.9499999999999993" hidden="1" customHeight="1" x14ac:dyDescent="0.2"/>
    <row r="7495" ht="9.9499999999999993" hidden="1" customHeight="1" x14ac:dyDescent="0.2"/>
    <row r="7496" ht="9.9499999999999993" hidden="1" customHeight="1" x14ac:dyDescent="0.2"/>
    <row r="7497" ht="9.9499999999999993" hidden="1" customHeight="1" x14ac:dyDescent="0.2"/>
    <row r="7498" ht="9.9499999999999993" hidden="1" customHeight="1" x14ac:dyDescent="0.2"/>
    <row r="7499" ht="9.9499999999999993" hidden="1" customHeight="1" x14ac:dyDescent="0.2"/>
    <row r="7500" ht="9.9499999999999993" hidden="1" customHeight="1" x14ac:dyDescent="0.2"/>
    <row r="7501" ht="9.9499999999999993" hidden="1" customHeight="1" x14ac:dyDescent="0.2"/>
    <row r="7502" ht="9.9499999999999993" hidden="1" customHeight="1" x14ac:dyDescent="0.2"/>
    <row r="7503" ht="9.9499999999999993" hidden="1" customHeight="1" x14ac:dyDescent="0.2"/>
    <row r="7504" ht="9.9499999999999993" hidden="1" customHeight="1" x14ac:dyDescent="0.2"/>
    <row r="7505" ht="9.9499999999999993" hidden="1" customHeight="1" x14ac:dyDescent="0.2"/>
    <row r="7506" ht="9.9499999999999993" hidden="1" customHeight="1" x14ac:dyDescent="0.2"/>
    <row r="7507" ht="9.9499999999999993" hidden="1" customHeight="1" x14ac:dyDescent="0.2"/>
    <row r="7508" ht="9.9499999999999993" hidden="1" customHeight="1" x14ac:dyDescent="0.2"/>
    <row r="7509" ht="9.9499999999999993" hidden="1" customHeight="1" x14ac:dyDescent="0.2"/>
    <row r="7510" ht="9.9499999999999993" hidden="1" customHeight="1" x14ac:dyDescent="0.2"/>
    <row r="7511" ht="9.9499999999999993" hidden="1" customHeight="1" x14ac:dyDescent="0.2"/>
    <row r="7512" ht="9.9499999999999993" hidden="1" customHeight="1" x14ac:dyDescent="0.2"/>
    <row r="7513" ht="9.9499999999999993" hidden="1" customHeight="1" x14ac:dyDescent="0.2"/>
    <row r="7514" ht="9.9499999999999993" hidden="1" customHeight="1" x14ac:dyDescent="0.2"/>
    <row r="7515" ht="9.9499999999999993" hidden="1" customHeight="1" x14ac:dyDescent="0.2"/>
    <row r="7516" ht="9.9499999999999993" hidden="1" customHeight="1" x14ac:dyDescent="0.2"/>
    <row r="7517" ht="9.9499999999999993" hidden="1" customHeight="1" x14ac:dyDescent="0.2"/>
    <row r="7518" ht="9.9499999999999993" hidden="1" customHeight="1" x14ac:dyDescent="0.2"/>
    <row r="7519" ht="9.9499999999999993" hidden="1" customHeight="1" x14ac:dyDescent="0.2"/>
    <row r="7520" ht="9.9499999999999993" hidden="1" customHeight="1" x14ac:dyDescent="0.2"/>
    <row r="7521" ht="9.9499999999999993" hidden="1" customHeight="1" x14ac:dyDescent="0.2"/>
    <row r="7522" ht="9.9499999999999993" hidden="1" customHeight="1" x14ac:dyDescent="0.2"/>
    <row r="7523" ht="9.9499999999999993" hidden="1" customHeight="1" x14ac:dyDescent="0.2"/>
    <row r="7524" ht="9.9499999999999993" hidden="1" customHeight="1" x14ac:dyDescent="0.2"/>
    <row r="7525" ht="9.9499999999999993" hidden="1" customHeight="1" x14ac:dyDescent="0.2"/>
    <row r="7526" ht="9.9499999999999993" hidden="1" customHeight="1" x14ac:dyDescent="0.2"/>
    <row r="7527" ht="9.9499999999999993" hidden="1" customHeight="1" x14ac:dyDescent="0.2"/>
    <row r="7528" ht="9.9499999999999993" hidden="1" customHeight="1" x14ac:dyDescent="0.2"/>
    <row r="7529" ht="9.9499999999999993" hidden="1" customHeight="1" x14ac:dyDescent="0.2"/>
    <row r="7530" ht="9.9499999999999993" hidden="1" customHeight="1" x14ac:dyDescent="0.2"/>
    <row r="7531" ht="9.9499999999999993" hidden="1" customHeight="1" x14ac:dyDescent="0.2"/>
    <row r="7532" ht="9.9499999999999993" hidden="1" customHeight="1" x14ac:dyDescent="0.2"/>
    <row r="7533" ht="9.9499999999999993" hidden="1" customHeight="1" x14ac:dyDescent="0.2"/>
    <row r="7534" ht="9.9499999999999993" hidden="1" customHeight="1" x14ac:dyDescent="0.2"/>
    <row r="7535" ht="9.9499999999999993" hidden="1" customHeight="1" x14ac:dyDescent="0.2"/>
    <row r="7536" ht="9.9499999999999993" hidden="1" customHeight="1" x14ac:dyDescent="0.2"/>
    <row r="7537" ht="9.9499999999999993" hidden="1" customHeight="1" x14ac:dyDescent="0.2"/>
    <row r="7538" ht="9.9499999999999993" hidden="1" customHeight="1" x14ac:dyDescent="0.2"/>
    <row r="7539" ht="9.9499999999999993" hidden="1" customHeight="1" x14ac:dyDescent="0.2"/>
    <row r="7540" ht="9.9499999999999993" hidden="1" customHeight="1" x14ac:dyDescent="0.2"/>
    <row r="7541" ht="9.9499999999999993" hidden="1" customHeight="1" x14ac:dyDescent="0.2"/>
    <row r="7542" ht="9.9499999999999993" hidden="1" customHeight="1" x14ac:dyDescent="0.2"/>
    <row r="7543" ht="9.9499999999999993" hidden="1" customHeight="1" x14ac:dyDescent="0.2"/>
    <row r="7544" ht="9.9499999999999993" hidden="1" customHeight="1" x14ac:dyDescent="0.2"/>
    <row r="7545" ht="9.9499999999999993" hidden="1" customHeight="1" x14ac:dyDescent="0.2"/>
    <row r="7546" ht="9.9499999999999993" hidden="1" customHeight="1" x14ac:dyDescent="0.2"/>
    <row r="7547" ht="9.9499999999999993" hidden="1" customHeight="1" x14ac:dyDescent="0.2"/>
    <row r="7548" ht="9.9499999999999993" hidden="1" customHeight="1" x14ac:dyDescent="0.2"/>
    <row r="7549" ht="9.9499999999999993" hidden="1" customHeight="1" x14ac:dyDescent="0.2"/>
    <row r="7550" ht="9.9499999999999993" hidden="1" customHeight="1" x14ac:dyDescent="0.2"/>
    <row r="7551" ht="9.9499999999999993" hidden="1" customHeight="1" x14ac:dyDescent="0.2"/>
    <row r="7552" ht="9.9499999999999993" hidden="1" customHeight="1" x14ac:dyDescent="0.2"/>
    <row r="7553" ht="9.9499999999999993" hidden="1" customHeight="1" x14ac:dyDescent="0.2"/>
    <row r="7554" ht="9.9499999999999993" hidden="1" customHeight="1" x14ac:dyDescent="0.2"/>
    <row r="7555" ht="9.9499999999999993" hidden="1" customHeight="1" x14ac:dyDescent="0.2"/>
    <row r="7556" ht="9.9499999999999993" hidden="1" customHeight="1" x14ac:dyDescent="0.2"/>
    <row r="7557" ht="9.9499999999999993" hidden="1" customHeight="1" x14ac:dyDescent="0.2"/>
    <row r="7558" ht="9.9499999999999993" hidden="1" customHeight="1" x14ac:dyDescent="0.2"/>
    <row r="7559" ht="9.9499999999999993" hidden="1" customHeight="1" x14ac:dyDescent="0.2"/>
    <row r="7560" ht="9.9499999999999993" hidden="1" customHeight="1" x14ac:dyDescent="0.2"/>
    <row r="7561" ht="9.9499999999999993" hidden="1" customHeight="1" x14ac:dyDescent="0.2"/>
    <row r="7562" ht="9.9499999999999993" hidden="1" customHeight="1" x14ac:dyDescent="0.2"/>
    <row r="7563" ht="9.9499999999999993" hidden="1" customHeight="1" x14ac:dyDescent="0.2"/>
    <row r="7564" ht="9.9499999999999993" hidden="1" customHeight="1" x14ac:dyDescent="0.2"/>
    <row r="7565" ht="9.9499999999999993" hidden="1" customHeight="1" x14ac:dyDescent="0.2"/>
    <row r="7566" ht="9.9499999999999993" hidden="1" customHeight="1" x14ac:dyDescent="0.2"/>
    <row r="7567" ht="9.9499999999999993" hidden="1" customHeight="1" x14ac:dyDescent="0.2"/>
    <row r="7568" ht="9.9499999999999993" hidden="1" customHeight="1" x14ac:dyDescent="0.2"/>
    <row r="7569" ht="9.9499999999999993" hidden="1" customHeight="1" x14ac:dyDescent="0.2"/>
    <row r="7570" ht="9.9499999999999993" hidden="1" customHeight="1" x14ac:dyDescent="0.2"/>
    <row r="7571" ht="9.9499999999999993" hidden="1" customHeight="1" x14ac:dyDescent="0.2"/>
    <row r="7572" ht="9.9499999999999993" hidden="1" customHeight="1" x14ac:dyDescent="0.2"/>
    <row r="7573" ht="9.9499999999999993" hidden="1" customHeight="1" x14ac:dyDescent="0.2"/>
    <row r="7574" ht="9.9499999999999993" hidden="1" customHeight="1" x14ac:dyDescent="0.2"/>
    <row r="7575" ht="9.9499999999999993" hidden="1" customHeight="1" x14ac:dyDescent="0.2"/>
    <row r="7576" ht="9.9499999999999993" hidden="1" customHeight="1" x14ac:dyDescent="0.2"/>
    <row r="7577" ht="9.9499999999999993" hidden="1" customHeight="1" x14ac:dyDescent="0.2"/>
    <row r="7578" ht="9.9499999999999993" hidden="1" customHeight="1" x14ac:dyDescent="0.2"/>
    <row r="7579" ht="9.9499999999999993" hidden="1" customHeight="1" x14ac:dyDescent="0.2"/>
    <row r="7580" ht="9.9499999999999993" hidden="1" customHeight="1" x14ac:dyDescent="0.2"/>
    <row r="7581" ht="9.9499999999999993" hidden="1" customHeight="1" x14ac:dyDescent="0.2"/>
    <row r="7582" ht="9.9499999999999993" hidden="1" customHeight="1" x14ac:dyDescent="0.2"/>
    <row r="7583" ht="9.9499999999999993" hidden="1" customHeight="1" x14ac:dyDescent="0.2"/>
    <row r="7584" ht="9.9499999999999993" hidden="1" customHeight="1" x14ac:dyDescent="0.2"/>
    <row r="7585" ht="9.9499999999999993" hidden="1" customHeight="1" x14ac:dyDescent="0.2"/>
    <row r="7586" ht="9.9499999999999993" hidden="1" customHeight="1" x14ac:dyDescent="0.2"/>
    <row r="7587" ht="9.9499999999999993" hidden="1" customHeight="1" x14ac:dyDescent="0.2"/>
    <row r="7588" ht="9.9499999999999993" hidden="1" customHeight="1" x14ac:dyDescent="0.2"/>
    <row r="7589" ht="9.9499999999999993" hidden="1" customHeight="1" x14ac:dyDescent="0.2"/>
    <row r="7590" ht="9.9499999999999993" hidden="1" customHeight="1" x14ac:dyDescent="0.2"/>
    <row r="7591" ht="9.9499999999999993" hidden="1" customHeight="1" x14ac:dyDescent="0.2"/>
    <row r="7592" ht="9.9499999999999993" hidden="1" customHeight="1" x14ac:dyDescent="0.2"/>
    <row r="7593" ht="9.9499999999999993" hidden="1" customHeight="1" x14ac:dyDescent="0.2"/>
    <row r="7594" ht="9.9499999999999993" hidden="1" customHeight="1" x14ac:dyDescent="0.2"/>
    <row r="7595" ht="9.9499999999999993" hidden="1" customHeight="1" x14ac:dyDescent="0.2"/>
    <row r="7596" ht="9.9499999999999993" hidden="1" customHeight="1" x14ac:dyDescent="0.2"/>
    <row r="7597" ht="9.9499999999999993" hidden="1" customHeight="1" x14ac:dyDescent="0.2"/>
    <row r="7598" ht="9.9499999999999993" hidden="1" customHeight="1" x14ac:dyDescent="0.2"/>
    <row r="7599" ht="9.9499999999999993" hidden="1" customHeight="1" x14ac:dyDescent="0.2"/>
    <row r="7600" ht="9.9499999999999993" hidden="1" customHeight="1" x14ac:dyDescent="0.2"/>
    <row r="7601" ht="9.9499999999999993" hidden="1" customHeight="1" x14ac:dyDescent="0.2"/>
    <row r="7602" ht="9.9499999999999993" hidden="1" customHeight="1" x14ac:dyDescent="0.2"/>
    <row r="7603" ht="9.9499999999999993" hidden="1" customHeight="1" x14ac:dyDescent="0.2"/>
    <row r="7604" ht="9.9499999999999993" hidden="1" customHeight="1" x14ac:dyDescent="0.2"/>
    <row r="7605" ht="9.9499999999999993" hidden="1" customHeight="1" x14ac:dyDescent="0.2"/>
    <row r="7606" ht="9.9499999999999993" hidden="1" customHeight="1" x14ac:dyDescent="0.2"/>
    <row r="7607" ht="9.9499999999999993" hidden="1" customHeight="1" x14ac:dyDescent="0.2"/>
    <row r="7608" ht="9.9499999999999993" hidden="1" customHeight="1" x14ac:dyDescent="0.2"/>
    <row r="7609" ht="9.9499999999999993" hidden="1" customHeight="1" x14ac:dyDescent="0.2"/>
    <row r="7610" ht="9.9499999999999993" hidden="1" customHeight="1" x14ac:dyDescent="0.2"/>
    <row r="7611" ht="9.9499999999999993" hidden="1" customHeight="1" x14ac:dyDescent="0.2"/>
    <row r="7612" ht="9.9499999999999993" hidden="1" customHeight="1" x14ac:dyDescent="0.2"/>
    <row r="7613" ht="9.9499999999999993" hidden="1" customHeight="1" x14ac:dyDescent="0.2"/>
    <row r="7614" ht="9.9499999999999993" hidden="1" customHeight="1" x14ac:dyDescent="0.2"/>
    <row r="7615" ht="9.9499999999999993" hidden="1" customHeight="1" x14ac:dyDescent="0.2"/>
    <row r="7616" ht="9.9499999999999993" hidden="1" customHeight="1" x14ac:dyDescent="0.2"/>
    <row r="7617" ht="9.9499999999999993" hidden="1" customHeight="1" x14ac:dyDescent="0.2"/>
    <row r="7618" ht="9.9499999999999993" hidden="1" customHeight="1" x14ac:dyDescent="0.2"/>
    <row r="7619" ht="9.9499999999999993" hidden="1" customHeight="1" x14ac:dyDescent="0.2"/>
    <row r="7620" ht="9.9499999999999993" hidden="1" customHeight="1" x14ac:dyDescent="0.2"/>
    <row r="7621" ht="9.9499999999999993" hidden="1" customHeight="1" x14ac:dyDescent="0.2"/>
    <row r="7622" ht="9.9499999999999993" hidden="1" customHeight="1" x14ac:dyDescent="0.2"/>
    <row r="7623" ht="9.9499999999999993" hidden="1" customHeight="1" x14ac:dyDescent="0.2"/>
    <row r="7624" ht="9.9499999999999993" hidden="1" customHeight="1" x14ac:dyDescent="0.2"/>
    <row r="7625" ht="9.9499999999999993" hidden="1" customHeight="1" x14ac:dyDescent="0.2"/>
    <row r="7626" ht="9.9499999999999993" hidden="1" customHeight="1" x14ac:dyDescent="0.2"/>
    <row r="7627" ht="9.9499999999999993" hidden="1" customHeight="1" x14ac:dyDescent="0.2"/>
    <row r="7628" ht="9.9499999999999993" hidden="1" customHeight="1" x14ac:dyDescent="0.2"/>
    <row r="7629" ht="9.9499999999999993" hidden="1" customHeight="1" x14ac:dyDescent="0.2"/>
    <row r="7630" ht="9.9499999999999993" hidden="1" customHeight="1" x14ac:dyDescent="0.2"/>
    <row r="7631" ht="9.9499999999999993" hidden="1" customHeight="1" x14ac:dyDescent="0.2"/>
    <row r="7632" ht="9.9499999999999993" hidden="1" customHeight="1" x14ac:dyDescent="0.2"/>
    <row r="7633" ht="9.9499999999999993" hidden="1" customHeight="1" x14ac:dyDescent="0.2"/>
    <row r="7634" ht="9.9499999999999993" hidden="1" customHeight="1" x14ac:dyDescent="0.2"/>
    <row r="7635" ht="9.9499999999999993" hidden="1" customHeight="1" x14ac:dyDescent="0.2"/>
    <row r="7636" ht="9.9499999999999993" hidden="1" customHeight="1" x14ac:dyDescent="0.2"/>
    <row r="7637" ht="9.9499999999999993" hidden="1" customHeight="1" x14ac:dyDescent="0.2"/>
    <row r="7638" ht="9.9499999999999993" hidden="1" customHeight="1" x14ac:dyDescent="0.2"/>
    <row r="7639" ht="9.9499999999999993" hidden="1" customHeight="1" x14ac:dyDescent="0.2"/>
    <row r="7640" ht="9.9499999999999993" hidden="1" customHeight="1" x14ac:dyDescent="0.2"/>
    <row r="7641" ht="9.9499999999999993" hidden="1" customHeight="1" x14ac:dyDescent="0.2"/>
    <row r="7642" ht="9.9499999999999993" hidden="1" customHeight="1" x14ac:dyDescent="0.2"/>
    <row r="7643" ht="9.9499999999999993" hidden="1" customHeight="1" x14ac:dyDescent="0.2"/>
    <row r="7644" ht="9.9499999999999993" hidden="1" customHeight="1" x14ac:dyDescent="0.2"/>
    <row r="7645" ht="9.9499999999999993" hidden="1" customHeight="1" x14ac:dyDescent="0.2"/>
    <row r="7646" ht="9.9499999999999993" hidden="1" customHeight="1" x14ac:dyDescent="0.2"/>
    <row r="7647" ht="9.9499999999999993" hidden="1" customHeight="1" x14ac:dyDescent="0.2"/>
    <row r="7648" ht="9.9499999999999993" hidden="1" customHeight="1" x14ac:dyDescent="0.2"/>
    <row r="7649" ht="9.9499999999999993" hidden="1" customHeight="1" x14ac:dyDescent="0.2"/>
    <row r="7650" ht="9.9499999999999993" hidden="1" customHeight="1" x14ac:dyDescent="0.2"/>
    <row r="7651" ht="9.9499999999999993" hidden="1" customHeight="1" x14ac:dyDescent="0.2"/>
    <row r="7652" ht="9.9499999999999993" hidden="1" customHeight="1" x14ac:dyDescent="0.2"/>
    <row r="7653" ht="9.9499999999999993" hidden="1" customHeight="1" x14ac:dyDescent="0.2"/>
    <row r="7654" ht="9.9499999999999993" hidden="1" customHeight="1" x14ac:dyDescent="0.2"/>
    <row r="7655" ht="9.9499999999999993" hidden="1" customHeight="1" x14ac:dyDescent="0.2"/>
    <row r="7656" ht="9.9499999999999993" hidden="1" customHeight="1" x14ac:dyDescent="0.2"/>
    <row r="7657" ht="9.9499999999999993" hidden="1" customHeight="1" x14ac:dyDescent="0.2"/>
    <row r="7658" ht="9.9499999999999993" hidden="1" customHeight="1" x14ac:dyDescent="0.2"/>
    <row r="7659" ht="9.9499999999999993" hidden="1" customHeight="1" x14ac:dyDescent="0.2"/>
    <row r="7660" ht="9.9499999999999993" hidden="1" customHeight="1" x14ac:dyDescent="0.2"/>
    <row r="7661" ht="9.9499999999999993" hidden="1" customHeight="1" x14ac:dyDescent="0.2"/>
    <row r="7662" ht="9.9499999999999993" hidden="1" customHeight="1" x14ac:dyDescent="0.2"/>
    <row r="7663" ht="9.9499999999999993" hidden="1" customHeight="1" x14ac:dyDescent="0.2"/>
    <row r="7664" ht="9.9499999999999993" hidden="1" customHeight="1" x14ac:dyDescent="0.2"/>
    <row r="7665" ht="9.9499999999999993" hidden="1" customHeight="1" x14ac:dyDescent="0.2"/>
    <row r="7666" ht="9.9499999999999993" hidden="1" customHeight="1" x14ac:dyDescent="0.2"/>
    <row r="7667" ht="9.9499999999999993" hidden="1" customHeight="1" x14ac:dyDescent="0.2"/>
    <row r="7668" ht="9.9499999999999993" hidden="1" customHeight="1" x14ac:dyDescent="0.2"/>
    <row r="7669" ht="9.9499999999999993" hidden="1" customHeight="1" x14ac:dyDescent="0.2"/>
    <row r="7670" ht="9.9499999999999993" hidden="1" customHeight="1" x14ac:dyDescent="0.2"/>
    <row r="7671" ht="9.9499999999999993" hidden="1" customHeight="1" x14ac:dyDescent="0.2"/>
    <row r="7672" ht="9.9499999999999993" hidden="1" customHeight="1" x14ac:dyDescent="0.2"/>
    <row r="7673" ht="9.9499999999999993" hidden="1" customHeight="1" x14ac:dyDescent="0.2"/>
    <row r="7674" ht="9.9499999999999993" hidden="1" customHeight="1" x14ac:dyDescent="0.2"/>
    <row r="7675" ht="9.9499999999999993" hidden="1" customHeight="1" x14ac:dyDescent="0.2"/>
    <row r="7676" ht="9.9499999999999993" hidden="1" customHeight="1" x14ac:dyDescent="0.2"/>
    <row r="7677" ht="9.9499999999999993" hidden="1" customHeight="1" x14ac:dyDescent="0.2"/>
    <row r="7678" ht="9.9499999999999993" hidden="1" customHeight="1" x14ac:dyDescent="0.2"/>
    <row r="7679" ht="9.9499999999999993" hidden="1" customHeight="1" x14ac:dyDescent="0.2"/>
    <row r="7680" ht="9.9499999999999993" hidden="1" customHeight="1" x14ac:dyDescent="0.2"/>
    <row r="7681" ht="9.9499999999999993" hidden="1" customHeight="1" x14ac:dyDescent="0.2"/>
    <row r="7682" ht="9.9499999999999993" hidden="1" customHeight="1" x14ac:dyDescent="0.2"/>
    <row r="7683" ht="9.9499999999999993" hidden="1" customHeight="1" x14ac:dyDescent="0.2"/>
    <row r="7684" ht="9.9499999999999993" hidden="1" customHeight="1" x14ac:dyDescent="0.2"/>
    <row r="7685" ht="9.9499999999999993" hidden="1" customHeight="1" x14ac:dyDescent="0.2"/>
    <row r="7686" ht="9.9499999999999993" hidden="1" customHeight="1" x14ac:dyDescent="0.2"/>
    <row r="7687" ht="9.9499999999999993" hidden="1" customHeight="1" x14ac:dyDescent="0.2"/>
    <row r="7688" ht="9.9499999999999993" hidden="1" customHeight="1" x14ac:dyDescent="0.2"/>
    <row r="7689" ht="9.9499999999999993" hidden="1" customHeight="1" x14ac:dyDescent="0.2"/>
    <row r="7690" ht="9.9499999999999993" hidden="1" customHeight="1" x14ac:dyDescent="0.2"/>
    <row r="7691" ht="9.9499999999999993" hidden="1" customHeight="1" x14ac:dyDescent="0.2"/>
    <row r="7692" ht="9.9499999999999993" hidden="1" customHeight="1" x14ac:dyDescent="0.2"/>
    <row r="7693" ht="9.9499999999999993" hidden="1" customHeight="1" x14ac:dyDescent="0.2"/>
    <row r="7694" ht="9.9499999999999993" hidden="1" customHeight="1" x14ac:dyDescent="0.2"/>
    <row r="7695" ht="9.9499999999999993" hidden="1" customHeight="1" x14ac:dyDescent="0.2"/>
    <row r="7696" ht="9.9499999999999993" hidden="1" customHeight="1" x14ac:dyDescent="0.2"/>
    <row r="7697" ht="9.9499999999999993" hidden="1" customHeight="1" x14ac:dyDescent="0.2"/>
    <row r="7698" ht="9.9499999999999993" hidden="1" customHeight="1" x14ac:dyDescent="0.2"/>
    <row r="7699" ht="9.9499999999999993" hidden="1" customHeight="1" x14ac:dyDescent="0.2"/>
    <row r="7700" ht="9.9499999999999993" hidden="1" customHeight="1" x14ac:dyDescent="0.2"/>
    <row r="7701" ht="9.9499999999999993" hidden="1" customHeight="1" x14ac:dyDescent="0.2"/>
    <row r="7702" ht="9.9499999999999993" hidden="1" customHeight="1" x14ac:dyDescent="0.2"/>
    <row r="7703" ht="9.9499999999999993" hidden="1" customHeight="1" x14ac:dyDescent="0.2"/>
    <row r="7704" ht="9.9499999999999993" hidden="1" customHeight="1" x14ac:dyDescent="0.2"/>
    <row r="7705" ht="9.9499999999999993" hidden="1" customHeight="1" x14ac:dyDescent="0.2"/>
    <row r="7706" ht="9.9499999999999993" hidden="1" customHeight="1" x14ac:dyDescent="0.2"/>
    <row r="7707" ht="9.9499999999999993" hidden="1" customHeight="1" x14ac:dyDescent="0.2"/>
    <row r="7708" ht="9.9499999999999993" hidden="1" customHeight="1" x14ac:dyDescent="0.2"/>
    <row r="7709" ht="9.9499999999999993" hidden="1" customHeight="1" x14ac:dyDescent="0.2"/>
    <row r="7710" ht="9.9499999999999993" hidden="1" customHeight="1" x14ac:dyDescent="0.2"/>
    <row r="7711" ht="9.9499999999999993" hidden="1" customHeight="1" x14ac:dyDescent="0.2"/>
    <row r="7712" ht="9.9499999999999993" hidden="1" customHeight="1" x14ac:dyDescent="0.2"/>
    <row r="7713" ht="9.9499999999999993" hidden="1" customHeight="1" x14ac:dyDescent="0.2"/>
    <row r="7714" ht="9.9499999999999993" hidden="1" customHeight="1" x14ac:dyDescent="0.2"/>
    <row r="7715" ht="9.9499999999999993" hidden="1" customHeight="1" x14ac:dyDescent="0.2"/>
    <row r="7716" ht="9.9499999999999993" hidden="1" customHeight="1" x14ac:dyDescent="0.2"/>
    <row r="7717" ht="9.9499999999999993" hidden="1" customHeight="1" x14ac:dyDescent="0.2"/>
    <row r="7718" ht="9.9499999999999993" hidden="1" customHeight="1" x14ac:dyDescent="0.2"/>
    <row r="7719" ht="9.9499999999999993" hidden="1" customHeight="1" x14ac:dyDescent="0.2"/>
    <row r="7720" ht="9.9499999999999993" hidden="1" customHeight="1" x14ac:dyDescent="0.2"/>
    <row r="7721" ht="9.9499999999999993" hidden="1" customHeight="1" x14ac:dyDescent="0.2"/>
    <row r="7722" ht="9.9499999999999993" hidden="1" customHeight="1" x14ac:dyDescent="0.2"/>
    <row r="7723" ht="9.9499999999999993" hidden="1" customHeight="1" x14ac:dyDescent="0.2"/>
    <row r="7724" ht="9.9499999999999993" hidden="1" customHeight="1" x14ac:dyDescent="0.2"/>
    <row r="7725" ht="9.9499999999999993" hidden="1" customHeight="1" x14ac:dyDescent="0.2"/>
    <row r="7726" ht="9.9499999999999993" hidden="1" customHeight="1" x14ac:dyDescent="0.2"/>
    <row r="7727" ht="9.9499999999999993" hidden="1" customHeight="1" x14ac:dyDescent="0.2"/>
    <row r="7728" ht="9.9499999999999993" hidden="1" customHeight="1" x14ac:dyDescent="0.2"/>
    <row r="7729" ht="9.9499999999999993" hidden="1" customHeight="1" x14ac:dyDescent="0.2"/>
    <row r="7730" ht="9.9499999999999993" hidden="1" customHeight="1" x14ac:dyDescent="0.2"/>
    <row r="7731" ht="9.9499999999999993" hidden="1" customHeight="1" x14ac:dyDescent="0.2"/>
    <row r="7732" ht="9.9499999999999993" hidden="1" customHeight="1" x14ac:dyDescent="0.2"/>
    <row r="7733" ht="9.9499999999999993" hidden="1" customHeight="1" x14ac:dyDescent="0.2"/>
    <row r="7734" ht="9.9499999999999993" hidden="1" customHeight="1" x14ac:dyDescent="0.2"/>
    <row r="7735" ht="9.9499999999999993" hidden="1" customHeight="1" x14ac:dyDescent="0.2"/>
    <row r="7736" ht="9.9499999999999993" hidden="1" customHeight="1" x14ac:dyDescent="0.2"/>
    <row r="7737" ht="9.9499999999999993" hidden="1" customHeight="1" x14ac:dyDescent="0.2"/>
    <row r="7738" ht="9.9499999999999993" hidden="1" customHeight="1" x14ac:dyDescent="0.2"/>
    <row r="7739" ht="9.9499999999999993" hidden="1" customHeight="1" x14ac:dyDescent="0.2"/>
    <row r="7740" ht="9.9499999999999993" hidden="1" customHeight="1" x14ac:dyDescent="0.2"/>
    <row r="7741" ht="9.9499999999999993" hidden="1" customHeight="1" x14ac:dyDescent="0.2"/>
    <row r="7742" ht="9.9499999999999993" hidden="1" customHeight="1" x14ac:dyDescent="0.2"/>
    <row r="7743" ht="9.9499999999999993" hidden="1" customHeight="1" x14ac:dyDescent="0.2"/>
    <row r="7744" ht="9.9499999999999993" hidden="1" customHeight="1" x14ac:dyDescent="0.2"/>
    <row r="7745" ht="9.9499999999999993" hidden="1" customHeight="1" x14ac:dyDescent="0.2"/>
    <row r="7746" ht="9.9499999999999993" hidden="1" customHeight="1" x14ac:dyDescent="0.2"/>
    <row r="7747" ht="9.9499999999999993" hidden="1" customHeight="1" x14ac:dyDescent="0.2"/>
    <row r="7748" ht="9.9499999999999993" hidden="1" customHeight="1" x14ac:dyDescent="0.2"/>
    <row r="7749" ht="9.9499999999999993" hidden="1" customHeight="1" x14ac:dyDescent="0.2"/>
    <row r="7750" ht="9.9499999999999993" hidden="1" customHeight="1" x14ac:dyDescent="0.2"/>
    <row r="7751" ht="9.9499999999999993" hidden="1" customHeight="1" x14ac:dyDescent="0.2"/>
    <row r="7752" ht="9.9499999999999993" hidden="1" customHeight="1" x14ac:dyDescent="0.2"/>
    <row r="7753" ht="9.9499999999999993" hidden="1" customHeight="1" x14ac:dyDescent="0.2"/>
    <row r="7754" ht="9.9499999999999993" hidden="1" customHeight="1" x14ac:dyDescent="0.2"/>
    <row r="7755" ht="9.9499999999999993" hidden="1" customHeight="1" x14ac:dyDescent="0.2"/>
    <row r="7756" ht="9.9499999999999993" hidden="1" customHeight="1" x14ac:dyDescent="0.2"/>
    <row r="7757" ht="9.9499999999999993" hidden="1" customHeight="1" x14ac:dyDescent="0.2"/>
    <row r="7758" ht="9.9499999999999993" hidden="1" customHeight="1" x14ac:dyDescent="0.2"/>
    <row r="7759" ht="9.9499999999999993" hidden="1" customHeight="1" x14ac:dyDescent="0.2"/>
    <row r="7760" ht="9.9499999999999993" hidden="1" customHeight="1" x14ac:dyDescent="0.2"/>
    <row r="7761" ht="9.9499999999999993" hidden="1" customHeight="1" x14ac:dyDescent="0.2"/>
    <row r="7762" ht="9.9499999999999993" hidden="1" customHeight="1" x14ac:dyDescent="0.2"/>
    <row r="7763" ht="9.9499999999999993" hidden="1" customHeight="1" x14ac:dyDescent="0.2"/>
    <row r="7764" ht="9.9499999999999993" hidden="1" customHeight="1" x14ac:dyDescent="0.2"/>
    <row r="7765" ht="9.9499999999999993" hidden="1" customHeight="1" x14ac:dyDescent="0.2"/>
    <row r="7766" ht="9.9499999999999993" hidden="1" customHeight="1" x14ac:dyDescent="0.2"/>
    <row r="7767" ht="9.9499999999999993" hidden="1" customHeight="1" x14ac:dyDescent="0.2"/>
    <row r="7768" ht="9.9499999999999993" hidden="1" customHeight="1" x14ac:dyDescent="0.2"/>
    <row r="7769" ht="9.9499999999999993" hidden="1" customHeight="1" x14ac:dyDescent="0.2"/>
    <row r="7770" ht="9.9499999999999993" hidden="1" customHeight="1" x14ac:dyDescent="0.2"/>
    <row r="7771" ht="9.9499999999999993" hidden="1" customHeight="1" x14ac:dyDescent="0.2"/>
    <row r="7772" ht="9.9499999999999993" hidden="1" customHeight="1" x14ac:dyDescent="0.2"/>
    <row r="7773" ht="9.9499999999999993" hidden="1" customHeight="1" x14ac:dyDescent="0.2"/>
    <row r="7774" ht="9.9499999999999993" hidden="1" customHeight="1" x14ac:dyDescent="0.2"/>
    <row r="7775" ht="9.9499999999999993" hidden="1" customHeight="1" x14ac:dyDescent="0.2"/>
    <row r="7776" ht="9.9499999999999993" hidden="1" customHeight="1" x14ac:dyDescent="0.2"/>
    <row r="7777" ht="9.9499999999999993" hidden="1" customHeight="1" x14ac:dyDescent="0.2"/>
    <row r="7778" ht="9.9499999999999993" hidden="1" customHeight="1" x14ac:dyDescent="0.2"/>
    <row r="7779" ht="9.9499999999999993" hidden="1" customHeight="1" x14ac:dyDescent="0.2"/>
    <row r="7780" ht="9.9499999999999993" hidden="1" customHeight="1" x14ac:dyDescent="0.2"/>
    <row r="7781" ht="9.9499999999999993" hidden="1" customHeight="1" x14ac:dyDescent="0.2"/>
    <row r="7782" ht="9.9499999999999993" hidden="1" customHeight="1" x14ac:dyDescent="0.2"/>
    <row r="7783" ht="9.9499999999999993" hidden="1" customHeight="1" x14ac:dyDescent="0.2"/>
    <row r="7784" ht="9.9499999999999993" hidden="1" customHeight="1" x14ac:dyDescent="0.2"/>
    <row r="7785" ht="9.9499999999999993" hidden="1" customHeight="1" x14ac:dyDescent="0.2"/>
    <row r="7786" ht="9.9499999999999993" hidden="1" customHeight="1" x14ac:dyDescent="0.2"/>
    <row r="7787" ht="9.9499999999999993" hidden="1" customHeight="1" x14ac:dyDescent="0.2"/>
    <row r="7788" ht="9.9499999999999993" hidden="1" customHeight="1" x14ac:dyDescent="0.2"/>
    <row r="7789" ht="9.9499999999999993" hidden="1" customHeight="1" x14ac:dyDescent="0.2"/>
    <row r="7790" ht="9.9499999999999993" hidden="1" customHeight="1" x14ac:dyDescent="0.2"/>
    <row r="7791" ht="9.9499999999999993" hidden="1" customHeight="1" x14ac:dyDescent="0.2"/>
    <row r="7792" ht="9.9499999999999993" hidden="1" customHeight="1" x14ac:dyDescent="0.2"/>
    <row r="7793" ht="9.9499999999999993" hidden="1" customHeight="1" x14ac:dyDescent="0.2"/>
    <row r="7794" ht="9.9499999999999993" hidden="1" customHeight="1" x14ac:dyDescent="0.2"/>
    <row r="7795" ht="9.9499999999999993" hidden="1" customHeight="1" x14ac:dyDescent="0.2"/>
    <row r="7796" ht="9.9499999999999993" hidden="1" customHeight="1" x14ac:dyDescent="0.2"/>
    <row r="7797" ht="9.9499999999999993" hidden="1" customHeight="1" x14ac:dyDescent="0.2"/>
    <row r="7798" ht="9.9499999999999993" hidden="1" customHeight="1" x14ac:dyDescent="0.2"/>
    <row r="7799" ht="9.9499999999999993" hidden="1" customHeight="1" x14ac:dyDescent="0.2"/>
    <row r="7800" ht="9.9499999999999993" hidden="1" customHeight="1" x14ac:dyDescent="0.2"/>
    <row r="7801" ht="9.9499999999999993" hidden="1" customHeight="1" x14ac:dyDescent="0.2"/>
    <row r="7802" ht="9.9499999999999993" hidden="1" customHeight="1" x14ac:dyDescent="0.2"/>
    <row r="7803" ht="9.9499999999999993" hidden="1" customHeight="1" x14ac:dyDescent="0.2"/>
    <row r="7804" ht="9.9499999999999993" hidden="1" customHeight="1" x14ac:dyDescent="0.2"/>
    <row r="7805" ht="9.9499999999999993" hidden="1" customHeight="1" x14ac:dyDescent="0.2"/>
    <row r="7806" ht="9.9499999999999993" hidden="1" customHeight="1" x14ac:dyDescent="0.2"/>
    <row r="7807" ht="9.9499999999999993" hidden="1" customHeight="1" x14ac:dyDescent="0.2"/>
    <row r="7808" ht="9.9499999999999993" hidden="1" customHeight="1" x14ac:dyDescent="0.2"/>
    <row r="7809" ht="9.9499999999999993" hidden="1" customHeight="1" x14ac:dyDescent="0.2"/>
    <row r="7810" ht="9.9499999999999993" hidden="1" customHeight="1" x14ac:dyDescent="0.2"/>
    <row r="7811" ht="9.9499999999999993" hidden="1" customHeight="1" x14ac:dyDescent="0.2"/>
    <row r="7812" ht="9.9499999999999993" hidden="1" customHeight="1" x14ac:dyDescent="0.2"/>
    <row r="7813" ht="9.9499999999999993" hidden="1" customHeight="1" x14ac:dyDescent="0.2"/>
    <row r="7814" ht="9.9499999999999993" hidden="1" customHeight="1" x14ac:dyDescent="0.2"/>
    <row r="7815" ht="9.9499999999999993" hidden="1" customHeight="1" x14ac:dyDescent="0.2"/>
    <row r="7816" ht="9.9499999999999993" hidden="1" customHeight="1" x14ac:dyDescent="0.2"/>
    <row r="7817" ht="9.9499999999999993" hidden="1" customHeight="1" x14ac:dyDescent="0.2"/>
    <row r="7818" ht="9.9499999999999993" hidden="1" customHeight="1" x14ac:dyDescent="0.2"/>
    <row r="7819" ht="9.9499999999999993" hidden="1" customHeight="1" x14ac:dyDescent="0.2"/>
    <row r="7820" ht="9.9499999999999993" hidden="1" customHeight="1" x14ac:dyDescent="0.2"/>
    <row r="7821" ht="9.9499999999999993" hidden="1" customHeight="1" x14ac:dyDescent="0.2"/>
    <row r="7822" ht="9.9499999999999993" hidden="1" customHeight="1" x14ac:dyDescent="0.2"/>
    <row r="7823" ht="9.9499999999999993" hidden="1" customHeight="1" x14ac:dyDescent="0.2"/>
    <row r="7824" ht="9.9499999999999993" hidden="1" customHeight="1" x14ac:dyDescent="0.2"/>
    <row r="7825" ht="9.9499999999999993" hidden="1" customHeight="1" x14ac:dyDescent="0.2"/>
    <row r="7826" ht="9.9499999999999993" hidden="1" customHeight="1" x14ac:dyDescent="0.2"/>
    <row r="7827" ht="9.9499999999999993" hidden="1" customHeight="1" x14ac:dyDescent="0.2"/>
    <row r="7828" ht="9.9499999999999993" hidden="1" customHeight="1" x14ac:dyDescent="0.2"/>
    <row r="7829" ht="9.9499999999999993" hidden="1" customHeight="1" x14ac:dyDescent="0.2"/>
    <row r="7830" ht="9.9499999999999993" hidden="1" customHeight="1" x14ac:dyDescent="0.2"/>
    <row r="7831" ht="9.9499999999999993" hidden="1" customHeight="1" x14ac:dyDescent="0.2"/>
    <row r="7832" ht="9.9499999999999993" hidden="1" customHeight="1" x14ac:dyDescent="0.2"/>
    <row r="7833" ht="9.9499999999999993" hidden="1" customHeight="1" x14ac:dyDescent="0.2"/>
    <row r="7834" ht="9.9499999999999993" hidden="1" customHeight="1" x14ac:dyDescent="0.2"/>
    <row r="7835" ht="9.9499999999999993" hidden="1" customHeight="1" x14ac:dyDescent="0.2"/>
    <row r="7836" ht="9.9499999999999993" hidden="1" customHeight="1" x14ac:dyDescent="0.2"/>
    <row r="7837" ht="9.9499999999999993" hidden="1" customHeight="1" x14ac:dyDescent="0.2"/>
    <row r="7838" ht="9.9499999999999993" hidden="1" customHeight="1" x14ac:dyDescent="0.2"/>
    <row r="7839" ht="9.9499999999999993" hidden="1" customHeight="1" x14ac:dyDescent="0.2"/>
    <row r="7840" ht="9.9499999999999993" hidden="1" customHeight="1" x14ac:dyDescent="0.2"/>
    <row r="7841" ht="9.9499999999999993" hidden="1" customHeight="1" x14ac:dyDescent="0.2"/>
    <row r="7842" ht="9.9499999999999993" hidden="1" customHeight="1" x14ac:dyDescent="0.2"/>
    <row r="7843" ht="9.9499999999999993" hidden="1" customHeight="1" x14ac:dyDescent="0.2"/>
    <row r="7844" ht="9.9499999999999993" hidden="1" customHeight="1" x14ac:dyDescent="0.2"/>
    <row r="7845" ht="9.9499999999999993" hidden="1" customHeight="1" x14ac:dyDescent="0.2"/>
    <row r="7846" ht="9.9499999999999993" hidden="1" customHeight="1" x14ac:dyDescent="0.2"/>
    <row r="7847" ht="9.9499999999999993" hidden="1" customHeight="1" x14ac:dyDescent="0.2"/>
    <row r="7848" ht="9.9499999999999993" hidden="1" customHeight="1" x14ac:dyDescent="0.2"/>
    <row r="7849" ht="9.9499999999999993" hidden="1" customHeight="1" x14ac:dyDescent="0.2"/>
    <row r="7850" ht="9.9499999999999993" hidden="1" customHeight="1" x14ac:dyDescent="0.2"/>
    <row r="7851" ht="9.9499999999999993" hidden="1" customHeight="1" x14ac:dyDescent="0.2"/>
    <row r="7852" ht="9.9499999999999993" hidden="1" customHeight="1" x14ac:dyDescent="0.2"/>
    <row r="7853" ht="9.9499999999999993" hidden="1" customHeight="1" x14ac:dyDescent="0.2"/>
    <row r="7854" ht="9.9499999999999993" hidden="1" customHeight="1" x14ac:dyDescent="0.2"/>
    <row r="7855" ht="9.9499999999999993" hidden="1" customHeight="1" x14ac:dyDescent="0.2"/>
    <row r="7856" ht="9.9499999999999993" hidden="1" customHeight="1" x14ac:dyDescent="0.2"/>
    <row r="7857" ht="9.9499999999999993" hidden="1" customHeight="1" x14ac:dyDescent="0.2"/>
    <row r="7858" ht="9.9499999999999993" hidden="1" customHeight="1" x14ac:dyDescent="0.2"/>
    <row r="7859" ht="9.9499999999999993" hidden="1" customHeight="1" x14ac:dyDescent="0.2"/>
    <row r="7860" ht="9.9499999999999993" hidden="1" customHeight="1" x14ac:dyDescent="0.2"/>
    <row r="7861" ht="9.9499999999999993" hidden="1" customHeight="1" x14ac:dyDescent="0.2"/>
    <row r="7862" ht="9.9499999999999993" hidden="1" customHeight="1" x14ac:dyDescent="0.2"/>
    <row r="7863" ht="9.9499999999999993" hidden="1" customHeight="1" x14ac:dyDescent="0.2"/>
    <row r="7864" ht="9.9499999999999993" hidden="1" customHeight="1" x14ac:dyDescent="0.2"/>
    <row r="7865" ht="9.9499999999999993" hidden="1" customHeight="1" x14ac:dyDescent="0.2"/>
    <row r="7866" ht="9.9499999999999993" hidden="1" customHeight="1" x14ac:dyDescent="0.2"/>
    <row r="7867" ht="9.9499999999999993" hidden="1" customHeight="1" x14ac:dyDescent="0.2"/>
    <row r="7868" ht="9.9499999999999993" hidden="1" customHeight="1" x14ac:dyDescent="0.2"/>
    <row r="7869" ht="9.9499999999999993" hidden="1" customHeight="1" x14ac:dyDescent="0.2"/>
    <row r="7870" ht="9.9499999999999993" hidden="1" customHeight="1" x14ac:dyDescent="0.2"/>
    <row r="7871" ht="9.9499999999999993" hidden="1" customHeight="1" x14ac:dyDescent="0.2"/>
    <row r="7872" ht="9.9499999999999993" hidden="1" customHeight="1" x14ac:dyDescent="0.2"/>
    <row r="7873" ht="9.9499999999999993" hidden="1" customHeight="1" x14ac:dyDescent="0.2"/>
    <row r="7874" ht="9.9499999999999993" hidden="1" customHeight="1" x14ac:dyDescent="0.2"/>
    <row r="7875" ht="9.9499999999999993" hidden="1" customHeight="1" x14ac:dyDescent="0.2"/>
    <row r="7876" ht="9.9499999999999993" hidden="1" customHeight="1" x14ac:dyDescent="0.2"/>
    <row r="7877" ht="9.9499999999999993" hidden="1" customHeight="1" x14ac:dyDescent="0.2"/>
    <row r="7878" ht="9.9499999999999993" hidden="1" customHeight="1" x14ac:dyDescent="0.2"/>
    <row r="7879" ht="9.9499999999999993" hidden="1" customHeight="1" x14ac:dyDescent="0.2"/>
    <row r="7880" ht="9.9499999999999993" hidden="1" customHeight="1" x14ac:dyDescent="0.2"/>
    <row r="7881" ht="9.9499999999999993" hidden="1" customHeight="1" x14ac:dyDescent="0.2"/>
    <row r="7882" ht="9.9499999999999993" hidden="1" customHeight="1" x14ac:dyDescent="0.2"/>
    <row r="7883" ht="9.9499999999999993" hidden="1" customHeight="1" x14ac:dyDescent="0.2"/>
    <row r="7884" ht="9.9499999999999993" hidden="1" customHeight="1" x14ac:dyDescent="0.2"/>
    <row r="7885" ht="9.9499999999999993" hidden="1" customHeight="1" x14ac:dyDescent="0.2"/>
    <row r="7886" ht="9.9499999999999993" hidden="1" customHeight="1" x14ac:dyDescent="0.2"/>
    <row r="7887" ht="9.9499999999999993" hidden="1" customHeight="1" x14ac:dyDescent="0.2"/>
    <row r="7888" ht="9.9499999999999993" hidden="1" customHeight="1" x14ac:dyDescent="0.2"/>
    <row r="7889" ht="9.9499999999999993" hidden="1" customHeight="1" x14ac:dyDescent="0.2"/>
    <row r="7890" ht="9.9499999999999993" hidden="1" customHeight="1" x14ac:dyDescent="0.2"/>
    <row r="7891" ht="9.9499999999999993" hidden="1" customHeight="1" x14ac:dyDescent="0.2"/>
    <row r="7892" ht="9.9499999999999993" hidden="1" customHeight="1" x14ac:dyDescent="0.2"/>
    <row r="7893" ht="9.9499999999999993" hidden="1" customHeight="1" x14ac:dyDescent="0.2"/>
    <row r="7894" ht="9.9499999999999993" hidden="1" customHeight="1" x14ac:dyDescent="0.2"/>
    <row r="7895" ht="9.9499999999999993" hidden="1" customHeight="1" x14ac:dyDescent="0.2"/>
    <row r="7896" ht="9.9499999999999993" hidden="1" customHeight="1" x14ac:dyDescent="0.2"/>
    <row r="7897" ht="9.9499999999999993" hidden="1" customHeight="1" x14ac:dyDescent="0.2"/>
    <row r="7898" ht="9.9499999999999993" hidden="1" customHeight="1" x14ac:dyDescent="0.2"/>
    <row r="7899" ht="9.9499999999999993" hidden="1" customHeight="1" x14ac:dyDescent="0.2"/>
    <row r="7900" ht="9.9499999999999993" hidden="1" customHeight="1" x14ac:dyDescent="0.2"/>
    <row r="7901" ht="9.9499999999999993" hidden="1" customHeight="1" x14ac:dyDescent="0.2"/>
    <row r="7902" ht="9.9499999999999993" hidden="1" customHeight="1" x14ac:dyDescent="0.2"/>
    <row r="7903" ht="9.9499999999999993" hidden="1" customHeight="1" x14ac:dyDescent="0.2"/>
    <row r="7904" ht="9.9499999999999993" hidden="1" customHeight="1" x14ac:dyDescent="0.2"/>
    <row r="7905" ht="9.9499999999999993" hidden="1" customHeight="1" x14ac:dyDescent="0.2"/>
    <row r="7906" ht="9.9499999999999993" hidden="1" customHeight="1" x14ac:dyDescent="0.2"/>
    <row r="7907" ht="9.9499999999999993" hidden="1" customHeight="1" x14ac:dyDescent="0.2"/>
    <row r="7908" ht="9.9499999999999993" hidden="1" customHeight="1" x14ac:dyDescent="0.2"/>
    <row r="7909" ht="9.9499999999999993" hidden="1" customHeight="1" x14ac:dyDescent="0.2"/>
    <row r="7910" ht="9.9499999999999993" hidden="1" customHeight="1" x14ac:dyDescent="0.2"/>
    <row r="7911" ht="9.9499999999999993" hidden="1" customHeight="1" x14ac:dyDescent="0.2"/>
    <row r="7912" ht="9.9499999999999993" hidden="1" customHeight="1" x14ac:dyDescent="0.2"/>
    <row r="7913" ht="9.9499999999999993" hidden="1" customHeight="1" x14ac:dyDescent="0.2"/>
    <row r="7914" ht="9.9499999999999993" hidden="1" customHeight="1" x14ac:dyDescent="0.2"/>
    <row r="7915" ht="9.9499999999999993" hidden="1" customHeight="1" x14ac:dyDescent="0.2"/>
    <row r="7916" ht="9.9499999999999993" hidden="1" customHeight="1" x14ac:dyDescent="0.2"/>
    <row r="7917" ht="9.9499999999999993" hidden="1" customHeight="1" x14ac:dyDescent="0.2"/>
    <row r="7918" ht="9.9499999999999993" hidden="1" customHeight="1" x14ac:dyDescent="0.2"/>
    <row r="7919" ht="9.9499999999999993" hidden="1" customHeight="1" x14ac:dyDescent="0.2"/>
    <row r="7920" ht="9.9499999999999993" hidden="1" customHeight="1" x14ac:dyDescent="0.2"/>
    <row r="7921" ht="9.9499999999999993" hidden="1" customHeight="1" x14ac:dyDescent="0.2"/>
    <row r="7922" ht="9.9499999999999993" hidden="1" customHeight="1" x14ac:dyDescent="0.2"/>
    <row r="7923" ht="9.9499999999999993" hidden="1" customHeight="1" x14ac:dyDescent="0.2"/>
    <row r="7924" ht="9.9499999999999993" hidden="1" customHeight="1" x14ac:dyDescent="0.2"/>
    <row r="7925" ht="9.9499999999999993" hidden="1" customHeight="1" x14ac:dyDescent="0.2"/>
    <row r="7926" ht="9.9499999999999993" hidden="1" customHeight="1" x14ac:dyDescent="0.2"/>
    <row r="7927" ht="9.9499999999999993" hidden="1" customHeight="1" x14ac:dyDescent="0.2"/>
    <row r="7928" ht="9.9499999999999993" hidden="1" customHeight="1" x14ac:dyDescent="0.2"/>
    <row r="7929" ht="9.9499999999999993" hidden="1" customHeight="1" x14ac:dyDescent="0.2"/>
    <row r="7930" ht="9.9499999999999993" hidden="1" customHeight="1" x14ac:dyDescent="0.2"/>
    <row r="7931" ht="9.9499999999999993" hidden="1" customHeight="1" x14ac:dyDescent="0.2"/>
    <row r="7932" ht="9.9499999999999993" hidden="1" customHeight="1" x14ac:dyDescent="0.2"/>
    <row r="7933" ht="9.9499999999999993" hidden="1" customHeight="1" x14ac:dyDescent="0.2"/>
    <row r="7934" ht="9.9499999999999993" hidden="1" customHeight="1" x14ac:dyDescent="0.2"/>
    <row r="7935" ht="9.9499999999999993" hidden="1" customHeight="1" x14ac:dyDescent="0.2"/>
    <row r="7936" ht="9.9499999999999993" hidden="1" customHeight="1" x14ac:dyDescent="0.2"/>
    <row r="7937" ht="9.9499999999999993" hidden="1" customHeight="1" x14ac:dyDescent="0.2"/>
    <row r="7938" ht="9.9499999999999993" hidden="1" customHeight="1" x14ac:dyDescent="0.2"/>
    <row r="7939" ht="9.9499999999999993" hidden="1" customHeight="1" x14ac:dyDescent="0.2"/>
    <row r="7940" ht="9.9499999999999993" hidden="1" customHeight="1" x14ac:dyDescent="0.2"/>
    <row r="7941" ht="9.9499999999999993" hidden="1" customHeight="1" x14ac:dyDescent="0.2"/>
    <row r="7942" ht="9.9499999999999993" hidden="1" customHeight="1" x14ac:dyDescent="0.2"/>
    <row r="7943" ht="9.9499999999999993" hidden="1" customHeight="1" x14ac:dyDescent="0.2"/>
    <row r="7944" ht="9.9499999999999993" hidden="1" customHeight="1" x14ac:dyDescent="0.2"/>
    <row r="7945" ht="9.9499999999999993" hidden="1" customHeight="1" x14ac:dyDescent="0.2"/>
    <row r="7946" ht="9.9499999999999993" hidden="1" customHeight="1" x14ac:dyDescent="0.2"/>
    <row r="7947" ht="9.9499999999999993" hidden="1" customHeight="1" x14ac:dyDescent="0.2"/>
    <row r="7948" ht="9.9499999999999993" hidden="1" customHeight="1" x14ac:dyDescent="0.2"/>
    <row r="7949" ht="9.9499999999999993" hidden="1" customHeight="1" x14ac:dyDescent="0.2"/>
    <row r="7950" ht="9.9499999999999993" hidden="1" customHeight="1" x14ac:dyDescent="0.2"/>
    <row r="7951" ht="9.9499999999999993" hidden="1" customHeight="1" x14ac:dyDescent="0.2"/>
    <row r="7952" ht="9.9499999999999993" hidden="1" customHeight="1" x14ac:dyDescent="0.2"/>
    <row r="7953" ht="9.9499999999999993" hidden="1" customHeight="1" x14ac:dyDescent="0.2"/>
    <row r="7954" ht="9.9499999999999993" hidden="1" customHeight="1" x14ac:dyDescent="0.2"/>
    <row r="7955" ht="9.9499999999999993" hidden="1" customHeight="1" x14ac:dyDescent="0.2"/>
    <row r="7956" ht="9.9499999999999993" hidden="1" customHeight="1" x14ac:dyDescent="0.2"/>
    <row r="7957" ht="9.9499999999999993" hidden="1" customHeight="1" x14ac:dyDescent="0.2"/>
    <row r="7958" ht="9.9499999999999993" hidden="1" customHeight="1" x14ac:dyDescent="0.2"/>
    <row r="7959" ht="9.9499999999999993" hidden="1" customHeight="1" x14ac:dyDescent="0.2"/>
    <row r="7960" ht="9.9499999999999993" hidden="1" customHeight="1" x14ac:dyDescent="0.2"/>
    <row r="7961" ht="9.9499999999999993" hidden="1" customHeight="1" x14ac:dyDescent="0.2"/>
    <row r="7962" ht="9.9499999999999993" hidden="1" customHeight="1" x14ac:dyDescent="0.2"/>
    <row r="7963" ht="9.9499999999999993" hidden="1" customHeight="1" x14ac:dyDescent="0.2"/>
    <row r="7964" ht="9.9499999999999993" hidden="1" customHeight="1" x14ac:dyDescent="0.2"/>
    <row r="7965" ht="9.9499999999999993" hidden="1" customHeight="1" x14ac:dyDescent="0.2"/>
    <row r="7966" ht="9.9499999999999993" hidden="1" customHeight="1" x14ac:dyDescent="0.2"/>
    <row r="7967" ht="9.9499999999999993" hidden="1" customHeight="1" x14ac:dyDescent="0.2"/>
    <row r="7968" ht="9.9499999999999993" hidden="1" customHeight="1" x14ac:dyDescent="0.2"/>
    <row r="7969" ht="9.9499999999999993" hidden="1" customHeight="1" x14ac:dyDescent="0.2"/>
    <row r="7970" ht="9.9499999999999993" hidden="1" customHeight="1" x14ac:dyDescent="0.2"/>
    <row r="7971" ht="9.9499999999999993" hidden="1" customHeight="1" x14ac:dyDescent="0.2"/>
    <row r="7972" ht="9.9499999999999993" hidden="1" customHeight="1" x14ac:dyDescent="0.2"/>
    <row r="7973" ht="9.9499999999999993" hidden="1" customHeight="1" x14ac:dyDescent="0.2"/>
    <row r="7974" ht="9.9499999999999993" hidden="1" customHeight="1" x14ac:dyDescent="0.2"/>
    <row r="7975" ht="9.9499999999999993" hidden="1" customHeight="1" x14ac:dyDescent="0.2"/>
    <row r="7976" ht="9.9499999999999993" hidden="1" customHeight="1" x14ac:dyDescent="0.2"/>
    <row r="7977" ht="9.9499999999999993" hidden="1" customHeight="1" x14ac:dyDescent="0.2"/>
    <row r="7978" ht="9.9499999999999993" hidden="1" customHeight="1" x14ac:dyDescent="0.2"/>
    <row r="7979" ht="9.9499999999999993" hidden="1" customHeight="1" x14ac:dyDescent="0.2"/>
    <row r="7980" ht="9.9499999999999993" hidden="1" customHeight="1" x14ac:dyDescent="0.2"/>
    <row r="7981" ht="9.9499999999999993" hidden="1" customHeight="1" x14ac:dyDescent="0.2"/>
    <row r="7982" ht="9.9499999999999993" hidden="1" customHeight="1" x14ac:dyDescent="0.2"/>
    <row r="7983" ht="9.9499999999999993" hidden="1" customHeight="1" x14ac:dyDescent="0.2"/>
    <row r="7984" ht="9.9499999999999993" hidden="1" customHeight="1" x14ac:dyDescent="0.2"/>
    <row r="7985" ht="9.9499999999999993" hidden="1" customHeight="1" x14ac:dyDescent="0.2"/>
    <row r="7986" ht="9.9499999999999993" hidden="1" customHeight="1" x14ac:dyDescent="0.2"/>
    <row r="7987" ht="9.9499999999999993" hidden="1" customHeight="1" x14ac:dyDescent="0.2"/>
    <row r="7988" ht="9.9499999999999993" hidden="1" customHeight="1" x14ac:dyDescent="0.2"/>
    <row r="7989" ht="9.9499999999999993" hidden="1" customHeight="1" x14ac:dyDescent="0.2"/>
    <row r="7990" ht="9.9499999999999993" hidden="1" customHeight="1" x14ac:dyDescent="0.2"/>
    <row r="7991" ht="9.9499999999999993" hidden="1" customHeight="1" x14ac:dyDescent="0.2"/>
    <row r="7992" ht="9.9499999999999993" hidden="1" customHeight="1" x14ac:dyDescent="0.2"/>
    <row r="7993" ht="9.9499999999999993" hidden="1" customHeight="1" x14ac:dyDescent="0.2"/>
    <row r="7994" ht="9.9499999999999993" hidden="1" customHeight="1" x14ac:dyDescent="0.2"/>
    <row r="7995" ht="9.9499999999999993" hidden="1" customHeight="1" x14ac:dyDescent="0.2"/>
    <row r="7996" ht="9.9499999999999993" hidden="1" customHeight="1" x14ac:dyDescent="0.2"/>
    <row r="7997" ht="9.9499999999999993" hidden="1" customHeight="1" x14ac:dyDescent="0.2"/>
    <row r="7998" ht="9.9499999999999993" hidden="1" customHeight="1" x14ac:dyDescent="0.2"/>
    <row r="7999" ht="9.9499999999999993" hidden="1" customHeight="1" x14ac:dyDescent="0.2"/>
    <row r="8000" ht="9.9499999999999993" hidden="1" customHeight="1" x14ac:dyDescent="0.2"/>
    <row r="8001" ht="9.9499999999999993" hidden="1" customHeight="1" x14ac:dyDescent="0.2"/>
    <row r="8002" ht="9.9499999999999993" hidden="1" customHeight="1" x14ac:dyDescent="0.2"/>
    <row r="8003" ht="9.9499999999999993" hidden="1" customHeight="1" x14ac:dyDescent="0.2"/>
    <row r="8004" ht="9.9499999999999993" hidden="1" customHeight="1" x14ac:dyDescent="0.2"/>
    <row r="8005" ht="9.9499999999999993" hidden="1" customHeight="1" x14ac:dyDescent="0.2"/>
    <row r="8006" ht="9.9499999999999993" hidden="1" customHeight="1" x14ac:dyDescent="0.2"/>
    <row r="8007" ht="9.9499999999999993" hidden="1" customHeight="1" x14ac:dyDescent="0.2"/>
    <row r="8008" ht="9.9499999999999993" hidden="1" customHeight="1" x14ac:dyDescent="0.2"/>
    <row r="8009" ht="9.9499999999999993" hidden="1" customHeight="1" x14ac:dyDescent="0.2"/>
    <row r="8010" ht="9.9499999999999993" hidden="1" customHeight="1" x14ac:dyDescent="0.2"/>
    <row r="8011" ht="9.9499999999999993" hidden="1" customHeight="1" x14ac:dyDescent="0.2"/>
    <row r="8012" ht="9.9499999999999993" hidden="1" customHeight="1" x14ac:dyDescent="0.2"/>
    <row r="8013" ht="9.9499999999999993" hidden="1" customHeight="1" x14ac:dyDescent="0.2"/>
    <row r="8014" ht="9.9499999999999993" hidden="1" customHeight="1" x14ac:dyDescent="0.2"/>
    <row r="8015" ht="9.9499999999999993" hidden="1" customHeight="1" x14ac:dyDescent="0.2"/>
    <row r="8016" ht="9.9499999999999993" hidden="1" customHeight="1" x14ac:dyDescent="0.2"/>
    <row r="8017" ht="9.9499999999999993" hidden="1" customHeight="1" x14ac:dyDescent="0.2"/>
    <row r="8018" ht="9.9499999999999993" hidden="1" customHeight="1" x14ac:dyDescent="0.2"/>
    <row r="8019" ht="9.9499999999999993" hidden="1" customHeight="1" x14ac:dyDescent="0.2"/>
    <row r="8020" ht="9.9499999999999993" hidden="1" customHeight="1" x14ac:dyDescent="0.2"/>
    <row r="8021" ht="9.9499999999999993" hidden="1" customHeight="1" x14ac:dyDescent="0.2"/>
    <row r="8022" ht="9.9499999999999993" hidden="1" customHeight="1" x14ac:dyDescent="0.2"/>
    <row r="8023" ht="9.9499999999999993" hidden="1" customHeight="1" x14ac:dyDescent="0.2"/>
    <row r="8024" ht="9.9499999999999993" hidden="1" customHeight="1" x14ac:dyDescent="0.2"/>
    <row r="8025" ht="9.9499999999999993" hidden="1" customHeight="1" x14ac:dyDescent="0.2"/>
    <row r="8026" ht="9.9499999999999993" hidden="1" customHeight="1" x14ac:dyDescent="0.2"/>
    <row r="8027" ht="9.9499999999999993" hidden="1" customHeight="1" x14ac:dyDescent="0.2"/>
    <row r="8028" ht="9.9499999999999993" hidden="1" customHeight="1" x14ac:dyDescent="0.2"/>
    <row r="8029" ht="9.9499999999999993" hidden="1" customHeight="1" x14ac:dyDescent="0.2"/>
    <row r="8030" ht="9.9499999999999993" hidden="1" customHeight="1" x14ac:dyDescent="0.2"/>
    <row r="8031" ht="9.9499999999999993" hidden="1" customHeight="1" x14ac:dyDescent="0.2"/>
    <row r="8032" ht="9.9499999999999993" hidden="1" customHeight="1" x14ac:dyDescent="0.2"/>
    <row r="8033" ht="9.9499999999999993" hidden="1" customHeight="1" x14ac:dyDescent="0.2"/>
    <row r="8034" ht="9.9499999999999993" hidden="1" customHeight="1" x14ac:dyDescent="0.2"/>
    <row r="8035" ht="9.9499999999999993" hidden="1" customHeight="1" x14ac:dyDescent="0.2"/>
    <row r="8036" ht="9.9499999999999993" hidden="1" customHeight="1" x14ac:dyDescent="0.2"/>
    <row r="8037" ht="9.9499999999999993" hidden="1" customHeight="1" x14ac:dyDescent="0.2"/>
    <row r="8038" ht="9.9499999999999993" hidden="1" customHeight="1" x14ac:dyDescent="0.2"/>
    <row r="8039" ht="9.9499999999999993" hidden="1" customHeight="1" x14ac:dyDescent="0.2"/>
    <row r="8040" ht="9.9499999999999993" hidden="1" customHeight="1" x14ac:dyDescent="0.2"/>
    <row r="8041" ht="9.9499999999999993" hidden="1" customHeight="1" x14ac:dyDescent="0.2"/>
    <row r="8042" ht="9.9499999999999993" hidden="1" customHeight="1" x14ac:dyDescent="0.2"/>
    <row r="8043" ht="9.9499999999999993" hidden="1" customHeight="1" x14ac:dyDescent="0.2"/>
    <row r="8044" ht="9.9499999999999993" hidden="1" customHeight="1" x14ac:dyDescent="0.2"/>
    <row r="8045" ht="9.9499999999999993" hidden="1" customHeight="1" x14ac:dyDescent="0.2"/>
    <row r="8046" ht="9.9499999999999993" hidden="1" customHeight="1" x14ac:dyDescent="0.2"/>
    <row r="8047" ht="9.9499999999999993" hidden="1" customHeight="1" x14ac:dyDescent="0.2"/>
    <row r="8048" ht="9.9499999999999993" hidden="1" customHeight="1" x14ac:dyDescent="0.2"/>
    <row r="8049" ht="9.9499999999999993" hidden="1" customHeight="1" x14ac:dyDescent="0.2"/>
    <row r="8050" ht="9.9499999999999993" hidden="1" customHeight="1" x14ac:dyDescent="0.2"/>
    <row r="8051" ht="9.9499999999999993" hidden="1" customHeight="1" x14ac:dyDescent="0.2"/>
    <row r="8052" ht="9.9499999999999993" hidden="1" customHeight="1" x14ac:dyDescent="0.2"/>
    <row r="8053" ht="9.9499999999999993" hidden="1" customHeight="1" x14ac:dyDescent="0.2"/>
    <row r="8054" ht="9.9499999999999993" hidden="1" customHeight="1" x14ac:dyDescent="0.2"/>
    <row r="8055" ht="9.9499999999999993" hidden="1" customHeight="1" x14ac:dyDescent="0.2"/>
    <row r="8056" ht="9.9499999999999993" hidden="1" customHeight="1" x14ac:dyDescent="0.2"/>
    <row r="8057" ht="9.9499999999999993" hidden="1" customHeight="1" x14ac:dyDescent="0.2"/>
    <row r="8058" ht="9.9499999999999993" hidden="1" customHeight="1" x14ac:dyDescent="0.2"/>
    <row r="8059" ht="9.9499999999999993" hidden="1" customHeight="1" x14ac:dyDescent="0.2"/>
    <row r="8060" ht="9.9499999999999993" hidden="1" customHeight="1" x14ac:dyDescent="0.2"/>
    <row r="8061" ht="9.9499999999999993" hidden="1" customHeight="1" x14ac:dyDescent="0.2"/>
    <row r="8062" ht="9.9499999999999993" hidden="1" customHeight="1" x14ac:dyDescent="0.2"/>
    <row r="8063" ht="9.9499999999999993" hidden="1" customHeight="1" x14ac:dyDescent="0.2"/>
    <row r="8064" ht="9.9499999999999993" hidden="1" customHeight="1" x14ac:dyDescent="0.2"/>
    <row r="8065" ht="9.9499999999999993" hidden="1" customHeight="1" x14ac:dyDescent="0.2"/>
    <row r="8066" ht="9.9499999999999993" hidden="1" customHeight="1" x14ac:dyDescent="0.2"/>
    <row r="8067" ht="9.9499999999999993" hidden="1" customHeight="1" x14ac:dyDescent="0.2"/>
    <row r="8068" ht="9.9499999999999993" hidden="1" customHeight="1" x14ac:dyDescent="0.2"/>
    <row r="8069" ht="9.9499999999999993" hidden="1" customHeight="1" x14ac:dyDescent="0.2"/>
    <row r="8070" ht="9.9499999999999993" hidden="1" customHeight="1" x14ac:dyDescent="0.2"/>
    <row r="8071" ht="9.9499999999999993" hidden="1" customHeight="1" x14ac:dyDescent="0.2"/>
    <row r="8072" ht="9.9499999999999993" hidden="1" customHeight="1" x14ac:dyDescent="0.2"/>
    <row r="8073" ht="9.9499999999999993" hidden="1" customHeight="1" x14ac:dyDescent="0.2"/>
    <row r="8074" ht="9.9499999999999993" hidden="1" customHeight="1" x14ac:dyDescent="0.2"/>
    <row r="8075" ht="9.9499999999999993" hidden="1" customHeight="1" x14ac:dyDescent="0.2"/>
    <row r="8076" ht="9.9499999999999993" hidden="1" customHeight="1" x14ac:dyDescent="0.2"/>
    <row r="8077" ht="9.9499999999999993" hidden="1" customHeight="1" x14ac:dyDescent="0.2"/>
    <row r="8078" ht="9.9499999999999993" hidden="1" customHeight="1" x14ac:dyDescent="0.2"/>
    <row r="8079" ht="9.9499999999999993" hidden="1" customHeight="1" x14ac:dyDescent="0.2"/>
    <row r="8080" ht="9.9499999999999993" hidden="1" customHeight="1" x14ac:dyDescent="0.2"/>
    <row r="8081" ht="9.9499999999999993" hidden="1" customHeight="1" x14ac:dyDescent="0.2"/>
    <row r="8082" ht="9.9499999999999993" hidden="1" customHeight="1" x14ac:dyDescent="0.2"/>
    <row r="8083" ht="9.9499999999999993" hidden="1" customHeight="1" x14ac:dyDescent="0.2"/>
    <row r="8084" ht="9.9499999999999993" hidden="1" customHeight="1" x14ac:dyDescent="0.2"/>
    <row r="8085" ht="9.9499999999999993" hidden="1" customHeight="1" x14ac:dyDescent="0.2"/>
    <row r="8086" ht="9.9499999999999993" hidden="1" customHeight="1" x14ac:dyDescent="0.2"/>
    <row r="8087" ht="9.9499999999999993" hidden="1" customHeight="1" x14ac:dyDescent="0.2"/>
    <row r="8088" ht="9.9499999999999993" hidden="1" customHeight="1" x14ac:dyDescent="0.2"/>
    <row r="8089" ht="9.9499999999999993" hidden="1" customHeight="1" x14ac:dyDescent="0.2"/>
    <row r="8090" ht="9.9499999999999993" hidden="1" customHeight="1" x14ac:dyDescent="0.2"/>
    <row r="8091" ht="9.9499999999999993" hidden="1" customHeight="1" x14ac:dyDescent="0.2"/>
    <row r="8092" ht="9.9499999999999993" hidden="1" customHeight="1" x14ac:dyDescent="0.2"/>
    <row r="8093" ht="9.9499999999999993" hidden="1" customHeight="1" x14ac:dyDescent="0.2"/>
    <row r="8094" ht="9.9499999999999993" hidden="1" customHeight="1" x14ac:dyDescent="0.2"/>
    <row r="8095" ht="9.9499999999999993" hidden="1" customHeight="1" x14ac:dyDescent="0.2"/>
    <row r="8096" ht="9.9499999999999993" hidden="1" customHeight="1" x14ac:dyDescent="0.2"/>
    <row r="8097" ht="9.9499999999999993" hidden="1" customHeight="1" x14ac:dyDescent="0.2"/>
    <row r="8098" ht="9.9499999999999993" hidden="1" customHeight="1" x14ac:dyDescent="0.2"/>
    <row r="8099" ht="9.9499999999999993" hidden="1" customHeight="1" x14ac:dyDescent="0.2"/>
    <row r="8100" ht="9.9499999999999993" hidden="1" customHeight="1" x14ac:dyDescent="0.2"/>
    <row r="8101" ht="9.9499999999999993" hidden="1" customHeight="1" x14ac:dyDescent="0.2"/>
    <row r="8102" ht="9.9499999999999993" hidden="1" customHeight="1" x14ac:dyDescent="0.2"/>
    <row r="8103" ht="9.9499999999999993" hidden="1" customHeight="1" x14ac:dyDescent="0.2"/>
    <row r="8104" ht="9.9499999999999993" hidden="1" customHeight="1" x14ac:dyDescent="0.2"/>
    <row r="8105" ht="9.9499999999999993" hidden="1" customHeight="1" x14ac:dyDescent="0.2"/>
    <row r="8106" ht="9.9499999999999993" hidden="1" customHeight="1" x14ac:dyDescent="0.2"/>
    <row r="8107" ht="9.9499999999999993" hidden="1" customHeight="1" x14ac:dyDescent="0.2"/>
    <row r="8108" ht="9.9499999999999993" hidden="1" customHeight="1" x14ac:dyDescent="0.2"/>
    <row r="8109" ht="9.9499999999999993" hidden="1" customHeight="1" x14ac:dyDescent="0.2"/>
    <row r="8110" ht="9.9499999999999993" hidden="1" customHeight="1" x14ac:dyDescent="0.2"/>
    <row r="8111" ht="9.9499999999999993" hidden="1" customHeight="1" x14ac:dyDescent="0.2"/>
    <row r="8112" ht="9.9499999999999993" hidden="1" customHeight="1" x14ac:dyDescent="0.2"/>
    <row r="8113" ht="9.9499999999999993" hidden="1" customHeight="1" x14ac:dyDescent="0.2"/>
    <row r="8114" ht="9.9499999999999993" hidden="1" customHeight="1" x14ac:dyDescent="0.2"/>
    <row r="8115" ht="9.9499999999999993" hidden="1" customHeight="1" x14ac:dyDescent="0.2"/>
    <row r="8116" ht="9.9499999999999993" hidden="1" customHeight="1" x14ac:dyDescent="0.2"/>
    <row r="8117" ht="9.9499999999999993" hidden="1" customHeight="1" x14ac:dyDescent="0.2"/>
    <row r="8118" ht="9.9499999999999993" hidden="1" customHeight="1" x14ac:dyDescent="0.2"/>
    <row r="8119" ht="9.9499999999999993" hidden="1" customHeight="1" x14ac:dyDescent="0.2"/>
    <row r="8120" ht="9.9499999999999993" hidden="1" customHeight="1" x14ac:dyDescent="0.2"/>
    <row r="8121" ht="9.9499999999999993" hidden="1" customHeight="1" x14ac:dyDescent="0.2"/>
    <row r="8122" ht="9.9499999999999993" hidden="1" customHeight="1" x14ac:dyDescent="0.2"/>
    <row r="8123" ht="9.9499999999999993" hidden="1" customHeight="1" x14ac:dyDescent="0.2"/>
    <row r="8124" ht="9.9499999999999993" hidden="1" customHeight="1" x14ac:dyDescent="0.2"/>
    <row r="8125" ht="9.9499999999999993" hidden="1" customHeight="1" x14ac:dyDescent="0.2"/>
    <row r="8126" ht="9.9499999999999993" hidden="1" customHeight="1" x14ac:dyDescent="0.2"/>
    <row r="8127" ht="9.9499999999999993" hidden="1" customHeight="1" x14ac:dyDescent="0.2"/>
    <row r="8128" ht="9.9499999999999993" hidden="1" customHeight="1" x14ac:dyDescent="0.2"/>
    <row r="8129" ht="9.9499999999999993" hidden="1" customHeight="1" x14ac:dyDescent="0.2"/>
    <row r="8130" ht="9.9499999999999993" hidden="1" customHeight="1" x14ac:dyDescent="0.2"/>
    <row r="8131" ht="9.9499999999999993" hidden="1" customHeight="1" x14ac:dyDescent="0.2"/>
    <row r="8132" ht="9.9499999999999993" hidden="1" customHeight="1" x14ac:dyDescent="0.2"/>
    <row r="8133" ht="9.9499999999999993" hidden="1" customHeight="1" x14ac:dyDescent="0.2"/>
    <row r="8134" ht="9.9499999999999993" hidden="1" customHeight="1" x14ac:dyDescent="0.2"/>
    <row r="8135" ht="9.9499999999999993" hidden="1" customHeight="1" x14ac:dyDescent="0.2"/>
    <row r="8136" ht="9.9499999999999993" hidden="1" customHeight="1" x14ac:dyDescent="0.2"/>
    <row r="8137" ht="9.9499999999999993" hidden="1" customHeight="1" x14ac:dyDescent="0.2"/>
    <row r="8138" ht="9.9499999999999993" hidden="1" customHeight="1" x14ac:dyDescent="0.2"/>
    <row r="8139" ht="9.9499999999999993" hidden="1" customHeight="1" x14ac:dyDescent="0.2"/>
    <row r="8140" ht="9.9499999999999993" hidden="1" customHeight="1" x14ac:dyDescent="0.2"/>
    <row r="8141" ht="9.9499999999999993" hidden="1" customHeight="1" x14ac:dyDescent="0.2"/>
    <row r="8142" ht="9.9499999999999993" hidden="1" customHeight="1" x14ac:dyDescent="0.2"/>
    <row r="8143" ht="9.9499999999999993" hidden="1" customHeight="1" x14ac:dyDescent="0.2"/>
    <row r="8144" ht="9.9499999999999993" hidden="1" customHeight="1" x14ac:dyDescent="0.2"/>
    <row r="8145" ht="9.9499999999999993" hidden="1" customHeight="1" x14ac:dyDescent="0.2"/>
    <row r="8146" ht="9.9499999999999993" hidden="1" customHeight="1" x14ac:dyDescent="0.2"/>
    <row r="8147" ht="9.9499999999999993" hidden="1" customHeight="1" x14ac:dyDescent="0.2"/>
    <row r="8148" ht="9.9499999999999993" hidden="1" customHeight="1" x14ac:dyDescent="0.2"/>
    <row r="8149" ht="9.9499999999999993" hidden="1" customHeight="1" x14ac:dyDescent="0.2"/>
    <row r="8150" ht="9.9499999999999993" hidden="1" customHeight="1" x14ac:dyDescent="0.2"/>
    <row r="8151" ht="9.9499999999999993" hidden="1" customHeight="1" x14ac:dyDescent="0.2"/>
    <row r="8152" ht="9.9499999999999993" hidden="1" customHeight="1" x14ac:dyDescent="0.2"/>
    <row r="8153" ht="9.9499999999999993" hidden="1" customHeight="1" x14ac:dyDescent="0.2"/>
    <row r="8154" ht="9.9499999999999993" hidden="1" customHeight="1" x14ac:dyDescent="0.2"/>
    <row r="8155" ht="9.9499999999999993" hidden="1" customHeight="1" x14ac:dyDescent="0.2"/>
    <row r="8156" ht="9.9499999999999993" hidden="1" customHeight="1" x14ac:dyDescent="0.2"/>
    <row r="8157" ht="9.9499999999999993" hidden="1" customHeight="1" x14ac:dyDescent="0.2"/>
    <row r="8158" ht="9.9499999999999993" hidden="1" customHeight="1" x14ac:dyDescent="0.2"/>
    <row r="8159" ht="9.9499999999999993" hidden="1" customHeight="1" x14ac:dyDescent="0.2"/>
    <row r="8160" ht="9.9499999999999993" hidden="1" customHeight="1" x14ac:dyDescent="0.2"/>
    <row r="8161" ht="9.9499999999999993" hidden="1" customHeight="1" x14ac:dyDescent="0.2"/>
    <row r="8162" ht="9.9499999999999993" hidden="1" customHeight="1" x14ac:dyDescent="0.2"/>
    <row r="8163" ht="9.9499999999999993" hidden="1" customHeight="1" x14ac:dyDescent="0.2"/>
    <row r="8164" ht="9.9499999999999993" hidden="1" customHeight="1" x14ac:dyDescent="0.2"/>
    <row r="8165" ht="9.9499999999999993" hidden="1" customHeight="1" x14ac:dyDescent="0.2"/>
    <row r="8166" ht="9.9499999999999993" hidden="1" customHeight="1" x14ac:dyDescent="0.2"/>
    <row r="8167" ht="9.9499999999999993" hidden="1" customHeight="1" x14ac:dyDescent="0.2"/>
    <row r="8168" ht="9.9499999999999993" hidden="1" customHeight="1" x14ac:dyDescent="0.2"/>
    <row r="8169" ht="9.9499999999999993" hidden="1" customHeight="1" x14ac:dyDescent="0.2"/>
    <row r="8170" ht="9.9499999999999993" hidden="1" customHeight="1" x14ac:dyDescent="0.2"/>
    <row r="8171" ht="9.9499999999999993" hidden="1" customHeight="1" x14ac:dyDescent="0.2"/>
    <row r="8172" ht="9.9499999999999993" hidden="1" customHeight="1" x14ac:dyDescent="0.2"/>
    <row r="8173" ht="9.9499999999999993" hidden="1" customHeight="1" x14ac:dyDescent="0.2"/>
    <row r="8174" ht="9.9499999999999993" hidden="1" customHeight="1" x14ac:dyDescent="0.2"/>
    <row r="8175" ht="9.9499999999999993" hidden="1" customHeight="1" x14ac:dyDescent="0.2"/>
    <row r="8176" ht="9.9499999999999993" hidden="1" customHeight="1" x14ac:dyDescent="0.2"/>
    <row r="8177" ht="9.9499999999999993" hidden="1" customHeight="1" x14ac:dyDescent="0.2"/>
    <row r="8178" ht="9.9499999999999993" hidden="1" customHeight="1" x14ac:dyDescent="0.2"/>
    <row r="8179" ht="9.9499999999999993" hidden="1" customHeight="1" x14ac:dyDescent="0.2"/>
    <row r="8180" ht="9.9499999999999993" hidden="1" customHeight="1" x14ac:dyDescent="0.2"/>
    <row r="8181" ht="9.9499999999999993" hidden="1" customHeight="1" x14ac:dyDescent="0.2"/>
    <row r="8182" ht="9.9499999999999993" hidden="1" customHeight="1" x14ac:dyDescent="0.2"/>
    <row r="8183" ht="9.9499999999999993" hidden="1" customHeight="1" x14ac:dyDescent="0.2"/>
    <row r="8184" ht="9.9499999999999993" hidden="1" customHeight="1" x14ac:dyDescent="0.2"/>
    <row r="8185" ht="9.9499999999999993" hidden="1" customHeight="1" x14ac:dyDescent="0.2"/>
    <row r="8186" ht="9.9499999999999993" hidden="1" customHeight="1" x14ac:dyDescent="0.2"/>
    <row r="8187" ht="9.9499999999999993" hidden="1" customHeight="1" x14ac:dyDescent="0.2"/>
    <row r="8188" ht="9.9499999999999993" hidden="1" customHeight="1" x14ac:dyDescent="0.2"/>
    <row r="8189" ht="9.9499999999999993" hidden="1" customHeight="1" x14ac:dyDescent="0.2"/>
    <row r="8190" ht="9.9499999999999993" hidden="1" customHeight="1" x14ac:dyDescent="0.2"/>
    <row r="8191" ht="9.9499999999999993" hidden="1" customHeight="1" x14ac:dyDescent="0.2"/>
    <row r="8192" ht="9.9499999999999993" hidden="1" customHeight="1" x14ac:dyDescent="0.2"/>
    <row r="8193" ht="9.9499999999999993" hidden="1" customHeight="1" x14ac:dyDescent="0.2"/>
    <row r="8194" ht="9.9499999999999993" hidden="1" customHeight="1" x14ac:dyDescent="0.2"/>
    <row r="8195" ht="9.9499999999999993" hidden="1" customHeight="1" x14ac:dyDescent="0.2"/>
    <row r="8196" ht="9.9499999999999993" hidden="1" customHeight="1" x14ac:dyDescent="0.2"/>
    <row r="8197" ht="9.9499999999999993" hidden="1" customHeight="1" x14ac:dyDescent="0.2"/>
    <row r="8198" ht="9.9499999999999993" hidden="1" customHeight="1" x14ac:dyDescent="0.2"/>
    <row r="8199" ht="9.9499999999999993" hidden="1" customHeight="1" x14ac:dyDescent="0.2"/>
    <row r="8200" ht="9.9499999999999993" hidden="1" customHeight="1" x14ac:dyDescent="0.2"/>
    <row r="8201" ht="9.9499999999999993" hidden="1" customHeight="1" x14ac:dyDescent="0.2"/>
    <row r="8202" ht="9.9499999999999993" hidden="1" customHeight="1" x14ac:dyDescent="0.2"/>
    <row r="8203" ht="9.9499999999999993" hidden="1" customHeight="1" x14ac:dyDescent="0.2"/>
    <row r="8204" ht="9.9499999999999993" hidden="1" customHeight="1" x14ac:dyDescent="0.2"/>
    <row r="8205" ht="9.9499999999999993" hidden="1" customHeight="1" x14ac:dyDescent="0.2"/>
    <row r="8206" ht="9.9499999999999993" hidden="1" customHeight="1" x14ac:dyDescent="0.2"/>
    <row r="8207" ht="9.9499999999999993" hidden="1" customHeight="1" x14ac:dyDescent="0.2"/>
    <row r="8208" ht="9.9499999999999993" hidden="1" customHeight="1" x14ac:dyDescent="0.2"/>
    <row r="8209" ht="9.9499999999999993" hidden="1" customHeight="1" x14ac:dyDescent="0.2"/>
    <row r="8210" ht="9.9499999999999993" hidden="1" customHeight="1" x14ac:dyDescent="0.2"/>
    <row r="8211" ht="9.9499999999999993" hidden="1" customHeight="1" x14ac:dyDescent="0.2"/>
    <row r="8212" ht="9.9499999999999993" hidden="1" customHeight="1" x14ac:dyDescent="0.2"/>
    <row r="8213" ht="9.9499999999999993" hidden="1" customHeight="1" x14ac:dyDescent="0.2"/>
    <row r="8214" ht="9.9499999999999993" hidden="1" customHeight="1" x14ac:dyDescent="0.2"/>
    <row r="8215" ht="9.9499999999999993" hidden="1" customHeight="1" x14ac:dyDescent="0.2"/>
    <row r="8216" ht="9.9499999999999993" hidden="1" customHeight="1" x14ac:dyDescent="0.2"/>
    <row r="8217" ht="9.9499999999999993" hidden="1" customHeight="1" x14ac:dyDescent="0.2"/>
    <row r="8218" ht="9.9499999999999993" hidden="1" customHeight="1" x14ac:dyDescent="0.2"/>
    <row r="8219" ht="9.9499999999999993" hidden="1" customHeight="1" x14ac:dyDescent="0.2"/>
    <row r="8220" ht="9.9499999999999993" hidden="1" customHeight="1" x14ac:dyDescent="0.2"/>
    <row r="8221" ht="9.9499999999999993" hidden="1" customHeight="1" x14ac:dyDescent="0.2"/>
    <row r="8222" ht="9.9499999999999993" hidden="1" customHeight="1" x14ac:dyDescent="0.2"/>
    <row r="8223" ht="9.9499999999999993" hidden="1" customHeight="1" x14ac:dyDescent="0.2"/>
    <row r="8224" ht="9.9499999999999993" hidden="1" customHeight="1" x14ac:dyDescent="0.2"/>
    <row r="8225" ht="9.9499999999999993" hidden="1" customHeight="1" x14ac:dyDescent="0.2"/>
    <row r="8226" ht="9.9499999999999993" hidden="1" customHeight="1" x14ac:dyDescent="0.2"/>
    <row r="8227" ht="9.9499999999999993" hidden="1" customHeight="1" x14ac:dyDescent="0.2"/>
    <row r="8228" ht="9.9499999999999993" hidden="1" customHeight="1" x14ac:dyDescent="0.2"/>
    <row r="8229" ht="9.9499999999999993" hidden="1" customHeight="1" x14ac:dyDescent="0.2"/>
    <row r="8230" ht="9.9499999999999993" hidden="1" customHeight="1" x14ac:dyDescent="0.2"/>
    <row r="8231" ht="9.9499999999999993" hidden="1" customHeight="1" x14ac:dyDescent="0.2"/>
    <row r="8232" ht="9.9499999999999993" hidden="1" customHeight="1" x14ac:dyDescent="0.2"/>
    <row r="8233" ht="9.9499999999999993" hidden="1" customHeight="1" x14ac:dyDescent="0.2"/>
    <row r="8234" ht="9.9499999999999993" hidden="1" customHeight="1" x14ac:dyDescent="0.2"/>
    <row r="8235" ht="9.9499999999999993" hidden="1" customHeight="1" x14ac:dyDescent="0.2"/>
    <row r="8236" ht="9.9499999999999993" hidden="1" customHeight="1" x14ac:dyDescent="0.2"/>
    <row r="8237" ht="9.9499999999999993" hidden="1" customHeight="1" x14ac:dyDescent="0.2"/>
    <row r="8238" ht="9.9499999999999993" hidden="1" customHeight="1" x14ac:dyDescent="0.2"/>
    <row r="8239" ht="9.9499999999999993" hidden="1" customHeight="1" x14ac:dyDescent="0.2"/>
    <row r="8240" ht="9.9499999999999993" hidden="1" customHeight="1" x14ac:dyDescent="0.2"/>
    <row r="8241" ht="9.9499999999999993" hidden="1" customHeight="1" x14ac:dyDescent="0.2"/>
    <row r="8242" ht="9.9499999999999993" hidden="1" customHeight="1" x14ac:dyDescent="0.2"/>
    <row r="8243" ht="9.9499999999999993" hidden="1" customHeight="1" x14ac:dyDescent="0.2"/>
    <row r="8244" ht="9.9499999999999993" hidden="1" customHeight="1" x14ac:dyDescent="0.2"/>
    <row r="8245" ht="9.9499999999999993" hidden="1" customHeight="1" x14ac:dyDescent="0.2"/>
    <row r="8246" ht="9.9499999999999993" hidden="1" customHeight="1" x14ac:dyDescent="0.2"/>
    <row r="8247" ht="9.9499999999999993" hidden="1" customHeight="1" x14ac:dyDescent="0.2"/>
    <row r="8248" ht="9.9499999999999993" hidden="1" customHeight="1" x14ac:dyDescent="0.2"/>
    <row r="8249" ht="9.9499999999999993" hidden="1" customHeight="1" x14ac:dyDescent="0.2"/>
    <row r="8250" ht="9.9499999999999993" hidden="1" customHeight="1" x14ac:dyDescent="0.2"/>
    <row r="8251" ht="9.9499999999999993" hidden="1" customHeight="1" x14ac:dyDescent="0.2"/>
    <row r="8252" ht="9.9499999999999993" hidden="1" customHeight="1" x14ac:dyDescent="0.2"/>
    <row r="8253" ht="9.9499999999999993" hidden="1" customHeight="1" x14ac:dyDescent="0.2"/>
    <row r="8254" ht="9.9499999999999993" hidden="1" customHeight="1" x14ac:dyDescent="0.2"/>
    <row r="8255" ht="9.9499999999999993" hidden="1" customHeight="1" x14ac:dyDescent="0.2"/>
    <row r="8256" ht="9.9499999999999993" hidden="1" customHeight="1" x14ac:dyDescent="0.2"/>
    <row r="8257" ht="9.9499999999999993" hidden="1" customHeight="1" x14ac:dyDescent="0.2"/>
    <row r="8258" ht="9.9499999999999993" hidden="1" customHeight="1" x14ac:dyDescent="0.2"/>
    <row r="8259" ht="9.9499999999999993" hidden="1" customHeight="1" x14ac:dyDescent="0.2"/>
    <row r="8260" ht="9.9499999999999993" hidden="1" customHeight="1" x14ac:dyDescent="0.2"/>
    <row r="8261" ht="9.9499999999999993" hidden="1" customHeight="1" x14ac:dyDescent="0.2"/>
    <row r="8262" ht="9.9499999999999993" hidden="1" customHeight="1" x14ac:dyDescent="0.2"/>
    <row r="8263" ht="9.9499999999999993" hidden="1" customHeight="1" x14ac:dyDescent="0.2"/>
    <row r="8264" ht="9.9499999999999993" hidden="1" customHeight="1" x14ac:dyDescent="0.2"/>
    <row r="8265" ht="9.9499999999999993" hidden="1" customHeight="1" x14ac:dyDescent="0.2"/>
    <row r="8266" ht="9.9499999999999993" hidden="1" customHeight="1" x14ac:dyDescent="0.2"/>
    <row r="8267" ht="9.9499999999999993" hidden="1" customHeight="1" x14ac:dyDescent="0.2"/>
    <row r="8268" ht="9.9499999999999993" hidden="1" customHeight="1" x14ac:dyDescent="0.2"/>
    <row r="8269" ht="9.9499999999999993" hidden="1" customHeight="1" x14ac:dyDescent="0.2"/>
    <row r="8270" ht="9.9499999999999993" hidden="1" customHeight="1" x14ac:dyDescent="0.2"/>
    <row r="8271" ht="9.9499999999999993" hidden="1" customHeight="1" x14ac:dyDescent="0.2"/>
    <row r="8272" ht="9.9499999999999993" hidden="1" customHeight="1" x14ac:dyDescent="0.2"/>
    <row r="8273" ht="9.9499999999999993" hidden="1" customHeight="1" x14ac:dyDescent="0.2"/>
    <row r="8274" ht="9.9499999999999993" hidden="1" customHeight="1" x14ac:dyDescent="0.2"/>
    <row r="8275" ht="9.9499999999999993" hidden="1" customHeight="1" x14ac:dyDescent="0.2"/>
    <row r="8276" ht="9.9499999999999993" hidden="1" customHeight="1" x14ac:dyDescent="0.2"/>
    <row r="8277" ht="9.9499999999999993" hidden="1" customHeight="1" x14ac:dyDescent="0.2"/>
    <row r="8278" ht="9.9499999999999993" hidden="1" customHeight="1" x14ac:dyDescent="0.2"/>
    <row r="8279" ht="9.9499999999999993" hidden="1" customHeight="1" x14ac:dyDescent="0.2"/>
    <row r="8280" ht="9.9499999999999993" hidden="1" customHeight="1" x14ac:dyDescent="0.2"/>
    <row r="8281" ht="9.9499999999999993" hidden="1" customHeight="1" x14ac:dyDescent="0.2"/>
    <row r="8282" ht="9.9499999999999993" hidden="1" customHeight="1" x14ac:dyDescent="0.2"/>
    <row r="8283" ht="9.9499999999999993" hidden="1" customHeight="1" x14ac:dyDescent="0.2"/>
    <row r="8284" ht="9.9499999999999993" hidden="1" customHeight="1" x14ac:dyDescent="0.2"/>
    <row r="8285" ht="9.9499999999999993" hidden="1" customHeight="1" x14ac:dyDescent="0.2"/>
    <row r="8286" ht="9.9499999999999993" hidden="1" customHeight="1" x14ac:dyDescent="0.2"/>
    <row r="8287" ht="9.9499999999999993" hidden="1" customHeight="1" x14ac:dyDescent="0.2"/>
    <row r="8288" ht="9.9499999999999993" hidden="1" customHeight="1" x14ac:dyDescent="0.2"/>
    <row r="8289" ht="9.9499999999999993" hidden="1" customHeight="1" x14ac:dyDescent="0.2"/>
    <row r="8290" ht="9.9499999999999993" hidden="1" customHeight="1" x14ac:dyDescent="0.2"/>
    <row r="8291" ht="9.9499999999999993" hidden="1" customHeight="1" x14ac:dyDescent="0.2"/>
    <row r="8292" ht="9.9499999999999993" hidden="1" customHeight="1" x14ac:dyDescent="0.2"/>
    <row r="8293" ht="9.9499999999999993" hidden="1" customHeight="1" x14ac:dyDescent="0.2"/>
    <row r="8294" ht="9.9499999999999993" hidden="1" customHeight="1" x14ac:dyDescent="0.2"/>
    <row r="8295" ht="9.9499999999999993" hidden="1" customHeight="1" x14ac:dyDescent="0.2"/>
    <row r="8296" ht="9.9499999999999993" hidden="1" customHeight="1" x14ac:dyDescent="0.2"/>
    <row r="8297" ht="9.9499999999999993" hidden="1" customHeight="1" x14ac:dyDescent="0.2"/>
    <row r="8298" ht="9.9499999999999993" hidden="1" customHeight="1" x14ac:dyDescent="0.2"/>
    <row r="8299" ht="9.9499999999999993" hidden="1" customHeight="1" x14ac:dyDescent="0.2"/>
    <row r="8300" ht="9.9499999999999993" hidden="1" customHeight="1" x14ac:dyDescent="0.2"/>
    <row r="8301" ht="9.9499999999999993" hidden="1" customHeight="1" x14ac:dyDescent="0.2"/>
    <row r="8302" ht="9.9499999999999993" hidden="1" customHeight="1" x14ac:dyDescent="0.2"/>
    <row r="8303" ht="9.9499999999999993" hidden="1" customHeight="1" x14ac:dyDescent="0.2"/>
    <row r="8304" ht="9.9499999999999993" hidden="1" customHeight="1" x14ac:dyDescent="0.2"/>
    <row r="8305" ht="9.9499999999999993" hidden="1" customHeight="1" x14ac:dyDescent="0.2"/>
    <row r="8306" ht="9.9499999999999993" hidden="1" customHeight="1" x14ac:dyDescent="0.2"/>
    <row r="8307" ht="9.9499999999999993" hidden="1" customHeight="1" x14ac:dyDescent="0.2"/>
    <row r="8308" ht="9.9499999999999993" hidden="1" customHeight="1" x14ac:dyDescent="0.2"/>
    <row r="8309" ht="9.9499999999999993" hidden="1" customHeight="1" x14ac:dyDescent="0.2"/>
    <row r="8310" ht="9.9499999999999993" hidden="1" customHeight="1" x14ac:dyDescent="0.2"/>
    <row r="8311" ht="9.9499999999999993" hidden="1" customHeight="1" x14ac:dyDescent="0.2"/>
    <row r="8312" ht="9.9499999999999993" hidden="1" customHeight="1" x14ac:dyDescent="0.2"/>
    <row r="8313" ht="9.9499999999999993" hidden="1" customHeight="1" x14ac:dyDescent="0.2"/>
    <row r="8314" ht="9.9499999999999993" hidden="1" customHeight="1" x14ac:dyDescent="0.2"/>
    <row r="8315" ht="9.9499999999999993" hidden="1" customHeight="1" x14ac:dyDescent="0.2"/>
    <row r="8316" ht="9.9499999999999993" hidden="1" customHeight="1" x14ac:dyDescent="0.2"/>
    <row r="8317" ht="9.9499999999999993" hidden="1" customHeight="1" x14ac:dyDescent="0.2"/>
    <row r="8318" ht="9.9499999999999993" hidden="1" customHeight="1" x14ac:dyDescent="0.2"/>
    <row r="8319" ht="9.9499999999999993" hidden="1" customHeight="1" x14ac:dyDescent="0.2"/>
    <row r="8320" ht="9.9499999999999993" hidden="1" customHeight="1" x14ac:dyDescent="0.2"/>
    <row r="8321" ht="9.9499999999999993" hidden="1" customHeight="1" x14ac:dyDescent="0.2"/>
    <row r="8322" ht="9.9499999999999993" hidden="1" customHeight="1" x14ac:dyDescent="0.2"/>
    <row r="8323" ht="9.9499999999999993" hidden="1" customHeight="1" x14ac:dyDescent="0.2"/>
    <row r="8324" ht="9.9499999999999993" hidden="1" customHeight="1" x14ac:dyDescent="0.2"/>
    <row r="8325" ht="9.9499999999999993" hidden="1" customHeight="1" x14ac:dyDescent="0.2"/>
    <row r="8326" ht="9.9499999999999993" hidden="1" customHeight="1" x14ac:dyDescent="0.2"/>
    <row r="8327" ht="9.9499999999999993" hidden="1" customHeight="1" x14ac:dyDescent="0.2"/>
    <row r="8328" ht="9.9499999999999993" hidden="1" customHeight="1" x14ac:dyDescent="0.2"/>
    <row r="8329" ht="9.9499999999999993" hidden="1" customHeight="1" x14ac:dyDescent="0.2"/>
    <row r="8330" ht="9.9499999999999993" hidden="1" customHeight="1" x14ac:dyDescent="0.2"/>
    <row r="8331" ht="9.9499999999999993" hidden="1" customHeight="1" x14ac:dyDescent="0.2"/>
    <row r="8332" ht="9.9499999999999993" hidden="1" customHeight="1" x14ac:dyDescent="0.2"/>
    <row r="8333" ht="9.9499999999999993" hidden="1" customHeight="1" x14ac:dyDescent="0.2"/>
    <row r="8334" ht="9.9499999999999993" hidden="1" customHeight="1" x14ac:dyDescent="0.2"/>
    <row r="8335" ht="9.9499999999999993" hidden="1" customHeight="1" x14ac:dyDescent="0.2"/>
    <row r="8336" ht="9.9499999999999993" hidden="1" customHeight="1" x14ac:dyDescent="0.2"/>
    <row r="8337" ht="9.9499999999999993" hidden="1" customHeight="1" x14ac:dyDescent="0.2"/>
    <row r="8338" ht="9.9499999999999993" hidden="1" customHeight="1" x14ac:dyDescent="0.2"/>
    <row r="8339" ht="9.9499999999999993" hidden="1" customHeight="1" x14ac:dyDescent="0.2"/>
    <row r="8340" ht="9.9499999999999993" hidden="1" customHeight="1" x14ac:dyDescent="0.2"/>
    <row r="8341" ht="9.9499999999999993" hidden="1" customHeight="1" x14ac:dyDescent="0.2"/>
    <row r="8342" ht="9.9499999999999993" hidden="1" customHeight="1" x14ac:dyDescent="0.2"/>
    <row r="8343" ht="9.9499999999999993" hidden="1" customHeight="1" x14ac:dyDescent="0.2"/>
    <row r="8344" ht="9.9499999999999993" hidden="1" customHeight="1" x14ac:dyDescent="0.2"/>
    <row r="8345" ht="9.9499999999999993" hidden="1" customHeight="1" x14ac:dyDescent="0.2"/>
    <row r="8346" ht="9.9499999999999993" hidden="1" customHeight="1" x14ac:dyDescent="0.2"/>
    <row r="8347" ht="9.9499999999999993" hidden="1" customHeight="1" x14ac:dyDescent="0.2"/>
    <row r="8348" ht="9.9499999999999993" hidden="1" customHeight="1" x14ac:dyDescent="0.2"/>
    <row r="8349" ht="9.9499999999999993" hidden="1" customHeight="1" x14ac:dyDescent="0.2"/>
    <row r="8350" ht="9.9499999999999993" hidden="1" customHeight="1" x14ac:dyDescent="0.2"/>
    <row r="8351" ht="9.9499999999999993" hidden="1" customHeight="1" x14ac:dyDescent="0.2"/>
    <row r="8352" ht="9.9499999999999993" hidden="1" customHeight="1" x14ac:dyDescent="0.2"/>
    <row r="8353" ht="9.9499999999999993" hidden="1" customHeight="1" x14ac:dyDescent="0.2"/>
    <row r="8354" ht="9.9499999999999993" hidden="1" customHeight="1" x14ac:dyDescent="0.2"/>
    <row r="8355" ht="9.9499999999999993" hidden="1" customHeight="1" x14ac:dyDescent="0.2"/>
    <row r="8356" ht="9.9499999999999993" hidden="1" customHeight="1" x14ac:dyDescent="0.2"/>
    <row r="8357" ht="9.9499999999999993" hidden="1" customHeight="1" x14ac:dyDescent="0.2"/>
    <row r="8358" ht="9.9499999999999993" hidden="1" customHeight="1" x14ac:dyDescent="0.2"/>
    <row r="8359" ht="9.9499999999999993" hidden="1" customHeight="1" x14ac:dyDescent="0.2"/>
    <row r="8360" ht="9.9499999999999993" hidden="1" customHeight="1" x14ac:dyDescent="0.2"/>
    <row r="8361" ht="9.9499999999999993" hidden="1" customHeight="1" x14ac:dyDescent="0.2"/>
    <row r="8362" ht="9.9499999999999993" hidden="1" customHeight="1" x14ac:dyDescent="0.2"/>
    <row r="8363" ht="9.9499999999999993" hidden="1" customHeight="1" x14ac:dyDescent="0.2"/>
    <row r="8364" ht="9.9499999999999993" hidden="1" customHeight="1" x14ac:dyDescent="0.2"/>
    <row r="8365" ht="9.9499999999999993" hidden="1" customHeight="1" x14ac:dyDescent="0.2"/>
    <row r="8366" ht="9.9499999999999993" hidden="1" customHeight="1" x14ac:dyDescent="0.2"/>
    <row r="8367" ht="9.9499999999999993" hidden="1" customHeight="1" x14ac:dyDescent="0.2"/>
    <row r="8368" ht="9.9499999999999993" hidden="1" customHeight="1" x14ac:dyDescent="0.2"/>
    <row r="8369" ht="9.9499999999999993" hidden="1" customHeight="1" x14ac:dyDescent="0.2"/>
    <row r="8370" ht="9.9499999999999993" hidden="1" customHeight="1" x14ac:dyDescent="0.2"/>
    <row r="8371" ht="9.9499999999999993" hidden="1" customHeight="1" x14ac:dyDescent="0.2"/>
    <row r="8372" ht="9.9499999999999993" hidden="1" customHeight="1" x14ac:dyDescent="0.2"/>
    <row r="8373" ht="9.9499999999999993" hidden="1" customHeight="1" x14ac:dyDescent="0.2"/>
    <row r="8374" ht="9.9499999999999993" hidden="1" customHeight="1" x14ac:dyDescent="0.2"/>
    <row r="8375" ht="9.9499999999999993" hidden="1" customHeight="1" x14ac:dyDescent="0.2"/>
    <row r="8376" ht="9.9499999999999993" hidden="1" customHeight="1" x14ac:dyDescent="0.2"/>
    <row r="8377" ht="9.9499999999999993" hidden="1" customHeight="1" x14ac:dyDescent="0.2"/>
    <row r="8378" ht="9.9499999999999993" hidden="1" customHeight="1" x14ac:dyDescent="0.2"/>
    <row r="8379" ht="9.9499999999999993" hidden="1" customHeight="1" x14ac:dyDescent="0.2"/>
    <row r="8380" ht="9.9499999999999993" hidden="1" customHeight="1" x14ac:dyDescent="0.2"/>
    <row r="8381" ht="9.9499999999999993" hidden="1" customHeight="1" x14ac:dyDescent="0.2"/>
    <row r="8382" ht="9.9499999999999993" hidden="1" customHeight="1" x14ac:dyDescent="0.2"/>
    <row r="8383" ht="9.9499999999999993" hidden="1" customHeight="1" x14ac:dyDescent="0.2"/>
    <row r="8384" ht="9.9499999999999993" hidden="1" customHeight="1" x14ac:dyDescent="0.2"/>
    <row r="8385" ht="9.9499999999999993" hidden="1" customHeight="1" x14ac:dyDescent="0.2"/>
    <row r="8386" ht="9.9499999999999993" hidden="1" customHeight="1" x14ac:dyDescent="0.2"/>
    <row r="8387" ht="9.9499999999999993" hidden="1" customHeight="1" x14ac:dyDescent="0.2"/>
    <row r="8388" ht="9.9499999999999993" hidden="1" customHeight="1" x14ac:dyDescent="0.2"/>
    <row r="8389" ht="9.9499999999999993" hidden="1" customHeight="1" x14ac:dyDescent="0.2"/>
    <row r="8390" ht="9.9499999999999993" hidden="1" customHeight="1" x14ac:dyDescent="0.2"/>
    <row r="8391" ht="9.9499999999999993" hidden="1" customHeight="1" x14ac:dyDescent="0.2"/>
    <row r="8392" ht="9.9499999999999993" hidden="1" customHeight="1" x14ac:dyDescent="0.2"/>
    <row r="8393" ht="9.9499999999999993" hidden="1" customHeight="1" x14ac:dyDescent="0.2"/>
    <row r="8394" ht="9.9499999999999993" hidden="1" customHeight="1" x14ac:dyDescent="0.2"/>
    <row r="8395" ht="9.9499999999999993" hidden="1" customHeight="1" x14ac:dyDescent="0.2"/>
    <row r="8396" ht="9.9499999999999993" hidden="1" customHeight="1" x14ac:dyDescent="0.2"/>
    <row r="8397" ht="9.9499999999999993" hidden="1" customHeight="1" x14ac:dyDescent="0.2"/>
    <row r="8398" ht="9.9499999999999993" hidden="1" customHeight="1" x14ac:dyDescent="0.2"/>
    <row r="8399" ht="9.9499999999999993" hidden="1" customHeight="1" x14ac:dyDescent="0.2"/>
    <row r="8400" ht="9.9499999999999993" hidden="1" customHeight="1" x14ac:dyDescent="0.2"/>
    <row r="8401" ht="9.9499999999999993" hidden="1" customHeight="1" x14ac:dyDescent="0.2"/>
    <row r="8402" ht="9.9499999999999993" hidden="1" customHeight="1" x14ac:dyDescent="0.2"/>
    <row r="8403" ht="9.9499999999999993" hidden="1" customHeight="1" x14ac:dyDescent="0.2"/>
    <row r="8404" ht="9.9499999999999993" hidden="1" customHeight="1" x14ac:dyDescent="0.2"/>
    <row r="8405" ht="9.9499999999999993" hidden="1" customHeight="1" x14ac:dyDescent="0.2"/>
    <row r="8406" ht="9.9499999999999993" hidden="1" customHeight="1" x14ac:dyDescent="0.2"/>
    <row r="8407" ht="9.9499999999999993" hidden="1" customHeight="1" x14ac:dyDescent="0.2"/>
    <row r="8408" ht="9.9499999999999993" hidden="1" customHeight="1" x14ac:dyDescent="0.2"/>
    <row r="8409" ht="9.9499999999999993" hidden="1" customHeight="1" x14ac:dyDescent="0.2"/>
    <row r="8410" ht="9.9499999999999993" hidden="1" customHeight="1" x14ac:dyDescent="0.2"/>
    <row r="8411" ht="9.9499999999999993" hidden="1" customHeight="1" x14ac:dyDescent="0.2"/>
    <row r="8412" ht="9.9499999999999993" hidden="1" customHeight="1" x14ac:dyDescent="0.2"/>
    <row r="8413" ht="9.9499999999999993" hidden="1" customHeight="1" x14ac:dyDescent="0.2"/>
    <row r="8414" ht="9.9499999999999993" hidden="1" customHeight="1" x14ac:dyDescent="0.2"/>
    <row r="8415" ht="9.9499999999999993" hidden="1" customHeight="1" x14ac:dyDescent="0.2"/>
    <row r="8416" ht="9.9499999999999993" hidden="1" customHeight="1" x14ac:dyDescent="0.2"/>
    <row r="8417" ht="9.9499999999999993" hidden="1" customHeight="1" x14ac:dyDescent="0.2"/>
    <row r="8418" ht="9.9499999999999993" hidden="1" customHeight="1" x14ac:dyDescent="0.2"/>
    <row r="8419" ht="9.9499999999999993" hidden="1" customHeight="1" x14ac:dyDescent="0.2"/>
    <row r="8420" ht="9.9499999999999993" hidden="1" customHeight="1" x14ac:dyDescent="0.2"/>
    <row r="8421" ht="9.9499999999999993" hidden="1" customHeight="1" x14ac:dyDescent="0.2"/>
    <row r="8422" ht="9.9499999999999993" hidden="1" customHeight="1" x14ac:dyDescent="0.2"/>
    <row r="8423" ht="9.9499999999999993" hidden="1" customHeight="1" x14ac:dyDescent="0.2"/>
    <row r="8424" ht="9.9499999999999993" hidden="1" customHeight="1" x14ac:dyDescent="0.2"/>
    <row r="8425" ht="9.9499999999999993" hidden="1" customHeight="1" x14ac:dyDescent="0.2"/>
    <row r="8426" ht="9.9499999999999993" hidden="1" customHeight="1" x14ac:dyDescent="0.2"/>
    <row r="8427" ht="9.9499999999999993" hidden="1" customHeight="1" x14ac:dyDescent="0.2"/>
    <row r="8428" ht="9.9499999999999993" hidden="1" customHeight="1" x14ac:dyDescent="0.2"/>
    <row r="8429" ht="9.9499999999999993" hidden="1" customHeight="1" x14ac:dyDescent="0.2"/>
    <row r="8430" ht="9.9499999999999993" hidden="1" customHeight="1" x14ac:dyDescent="0.2"/>
    <row r="8431" ht="9.9499999999999993" hidden="1" customHeight="1" x14ac:dyDescent="0.2"/>
    <row r="8432" ht="9.9499999999999993" hidden="1" customHeight="1" x14ac:dyDescent="0.2"/>
    <row r="8433" ht="9.9499999999999993" hidden="1" customHeight="1" x14ac:dyDescent="0.2"/>
    <row r="8434" ht="9.9499999999999993" hidden="1" customHeight="1" x14ac:dyDescent="0.2"/>
    <row r="8435" ht="9.9499999999999993" hidden="1" customHeight="1" x14ac:dyDescent="0.2"/>
    <row r="8436" ht="9.9499999999999993" hidden="1" customHeight="1" x14ac:dyDescent="0.2"/>
    <row r="8437" ht="9.9499999999999993" hidden="1" customHeight="1" x14ac:dyDescent="0.2"/>
    <row r="8438" ht="9.9499999999999993" hidden="1" customHeight="1" x14ac:dyDescent="0.2"/>
    <row r="8439" ht="9.9499999999999993" hidden="1" customHeight="1" x14ac:dyDescent="0.2"/>
    <row r="8440" ht="9.9499999999999993" hidden="1" customHeight="1" x14ac:dyDescent="0.2"/>
    <row r="8441" ht="9.9499999999999993" hidden="1" customHeight="1" x14ac:dyDescent="0.2"/>
    <row r="8442" ht="9.9499999999999993" hidden="1" customHeight="1" x14ac:dyDescent="0.2"/>
    <row r="8443" ht="9.9499999999999993" hidden="1" customHeight="1" x14ac:dyDescent="0.2"/>
    <row r="8444" ht="9.9499999999999993" hidden="1" customHeight="1" x14ac:dyDescent="0.2"/>
    <row r="8445" ht="9.9499999999999993" hidden="1" customHeight="1" x14ac:dyDescent="0.2"/>
    <row r="8446" ht="9.9499999999999993" hidden="1" customHeight="1" x14ac:dyDescent="0.2"/>
    <row r="8447" ht="9.9499999999999993" hidden="1" customHeight="1" x14ac:dyDescent="0.2"/>
    <row r="8448" ht="9.9499999999999993" hidden="1" customHeight="1" x14ac:dyDescent="0.2"/>
    <row r="8449" ht="9.9499999999999993" hidden="1" customHeight="1" x14ac:dyDescent="0.2"/>
    <row r="8450" ht="9.9499999999999993" hidden="1" customHeight="1" x14ac:dyDescent="0.2"/>
    <row r="8451" ht="9.9499999999999993" hidden="1" customHeight="1" x14ac:dyDescent="0.2"/>
    <row r="8452" ht="9.9499999999999993" hidden="1" customHeight="1" x14ac:dyDescent="0.2"/>
    <row r="8453" ht="9.9499999999999993" hidden="1" customHeight="1" x14ac:dyDescent="0.2"/>
    <row r="8454" ht="9.9499999999999993" hidden="1" customHeight="1" x14ac:dyDescent="0.2"/>
    <row r="8455" ht="9.9499999999999993" hidden="1" customHeight="1" x14ac:dyDescent="0.2"/>
    <row r="8456" ht="9.9499999999999993" hidden="1" customHeight="1" x14ac:dyDescent="0.2"/>
    <row r="8457" ht="9.9499999999999993" hidden="1" customHeight="1" x14ac:dyDescent="0.2"/>
    <row r="8458" ht="9.9499999999999993" hidden="1" customHeight="1" x14ac:dyDescent="0.2"/>
    <row r="8459" ht="9.9499999999999993" hidden="1" customHeight="1" x14ac:dyDescent="0.2"/>
    <row r="8460" ht="9.9499999999999993" hidden="1" customHeight="1" x14ac:dyDescent="0.2"/>
    <row r="8461" ht="9.9499999999999993" hidden="1" customHeight="1" x14ac:dyDescent="0.2"/>
    <row r="8462" ht="9.9499999999999993" hidden="1" customHeight="1" x14ac:dyDescent="0.2"/>
    <row r="8463" ht="9.9499999999999993" hidden="1" customHeight="1" x14ac:dyDescent="0.2"/>
    <row r="8464" ht="9.9499999999999993" hidden="1" customHeight="1" x14ac:dyDescent="0.2"/>
    <row r="8465" ht="9.9499999999999993" hidden="1" customHeight="1" x14ac:dyDescent="0.2"/>
    <row r="8466" ht="9.9499999999999993" hidden="1" customHeight="1" x14ac:dyDescent="0.2"/>
    <row r="8467" ht="9.9499999999999993" hidden="1" customHeight="1" x14ac:dyDescent="0.2"/>
    <row r="8468" ht="9.9499999999999993" hidden="1" customHeight="1" x14ac:dyDescent="0.2"/>
    <row r="8469" ht="9.9499999999999993" hidden="1" customHeight="1" x14ac:dyDescent="0.2"/>
    <row r="8470" ht="9.9499999999999993" hidden="1" customHeight="1" x14ac:dyDescent="0.2"/>
    <row r="8471" ht="9.9499999999999993" hidden="1" customHeight="1" x14ac:dyDescent="0.2"/>
    <row r="8472" ht="9.9499999999999993" hidden="1" customHeight="1" x14ac:dyDescent="0.2"/>
    <row r="8473" ht="9.9499999999999993" hidden="1" customHeight="1" x14ac:dyDescent="0.2"/>
    <row r="8474" ht="9.9499999999999993" hidden="1" customHeight="1" x14ac:dyDescent="0.2"/>
    <row r="8475" ht="9.9499999999999993" hidden="1" customHeight="1" x14ac:dyDescent="0.2"/>
    <row r="8476" ht="9.9499999999999993" hidden="1" customHeight="1" x14ac:dyDescent="0.2"/>
    <row r="8477" ht="9.9499999999999993" hidden="1" customHeight="1" x14ac:dyDescent="0.2"/>
    <row r="8478" ht="9.9499999999999993" hidden="1" customHeight="1" x14ac:dyDescent="0.2"/>
    <row r="8479" ht="9.9499999999999993" hidden="1" customHeight="1" x14ac:dyDescent="0.2"/>
    <row r="8480" ht="9.9499999999999993" hidden="1" customHeight="1" x14ac:dyDescent="0.2"/>
    <row r="8481" ht="9.9499999999999993" hidden="1" customHeight="1" x14ac:dyDescent="0.2"/>
    <row r="8482" ht="9.9499999999999993" hidden="1" customHeight="1" x14ac:dyDescent="0.2"/>
    <row r="8483" ht="9.9499999999999993" hidden="1" customHeight="1" x14ac:dyDescent="0.2"/>
    <row r="8484" ht="9.9499999999999993" hidden="1" customHeight="1" x14ac:dyDescent="0.2"/>
    <row r="8485" ht="9.9499999999999993" hidden="1" customHeight="1" x14ac:dyDescent="0.2"/>
    <row r="8486" ht="9.9499999999999993" hidden="1" customHeight="1" x14ac:dyDescent="0.2"/>
    <row r="8487" ht="9.9499999999999993" hidden="1" customHeight="1" x14ac:dyDescent="0.2"/>
    <row r="8488" ht="9.9499999999999993" hidden="1" customHeight="1" x14ac:dyDescent="0.2"/>
    <row r="8489" ht="9.9499999999999993" hidden="1" customHeight="1" x14ac:dyDescent="0.2"/>
    <row r="8490" ht="9.9499999999999993" hidden="1" customHeight="1" x14ac:dyDescent="0.2"/>
    <row r="8491" ht="9.9499999999999993" hidden="1" customHeight="1" x14ac:dyDescent="0.2"/>
    <row r="8492" ht="9.9499999999999993" hidden="1" customHeight="1" x14ac:dyDescent="0.2"/>
    <row r="8493" ht="9.9499999999999993" hidden="1" customHeight="1" x14ac:dyDescent="0.2"/>
    <row r="8494" ht="9.9499999999999993" hidden="1" customHeight="1" x14ac:dyDescent="0.2"/>
    <row r="8495" ht="9.9499999999999993" hidden="1" customHeight="1" x14ac:dyDescent="0.2"/>
    <row r="8496" ht="9.9499999999999993" hidden="1" customHeight="1" x14ac:dyDescent="0.2"/>
    <row r="8497" ht="9.9499999999999993" hidden="1" customHeight="1" x14ac:dyDescent="0.2"/>
    <row r="8498" ht="9.9499999999999993" hidden="1" customHeight="1" x14ac:dyDescent="0.2"/>
    <row r="8499" ht="9.9499999999999993" hidden="1" customHeight="1" x14ac:dyDescent="0.2"/>
    <row r="8500" ht="9.9499999999999993" hidden="1" customHeight="1" x14ac:dyDescent="0.2"/>
    <row r="8501" ht="9.9499999999999993" hidden="1" customHeight="1" x14ac:dyDescent="0.2"/>
    <row r="8502" ht="9.9499999999999993" hidden="1" customHeight="1" x14ac:dyDescent="0.2"/>
    <row r="8503" ht="9.9499999999999993" hidden="1" customHeight="1" x14ac:dyDescent="0.2"/>
    <row r="8504" ht="9.9499999999999993" hidden="1" customHeight="1" x14ac:dyDescent="0.2"/>
    <row r="8505" ht="9.9499999999999993" hidden="1" customHeight="1" x14ac:dyDescent="0.2"/>
    <row r="8506" ht="9.9499999999999993" hidden="1" customHeight="1" x14ac:dyDescent="0.2"/>
    <row r="8507" ht="9.9499999999999993" hidden="1" customHeight="1" x14ac:dyDescent="0.2"/>
    <row r="8508" ht="9.9499999999999993" hidden="1" customHeight="1" x14ac:dyDescent="0.2"/>
    <row r="8509" ht="9.9499999999999993" hidden="1" customHeight="1" x14ac:dyDescent="0.2"/>
    <row r="8510" ht="9.9499999999999993" hidden="1" customHeight="1" x14ac:dyDescent="0.2"/>
    <row r="8511" ht="9.9499999999999993" hidden="1" customHeight="1" x14ac:dyDescent="0.2"/>
    <row r="8512" ht="9.9499999999999993" hidden="1" customHeight="1" x14ac:dyDescent="0.2"/>
    <row r="8513" ht="9.9499999999999993" hidden="1" customHeight="1" x14ac:dyDescent="0.2"/>
    <row r="8514" ht="9.9499999999999993" hidden="1" customHeight="1" x14ac:dyDescent="0.2"/>
    <row r="8515" ht="9.9499999999999993" hidden="1" customHeight="1" x14ac:dyDescent="0.2"/>
    <row r="8516" ht="9.9499999999999993" hidden="1" customHeight="1" x14ac:dyDescent="0.2"/>
    <row r="8517" ht="9.9499999999999993" hidden="1" customHeight="1" x14ac:dyDescent="0.2"/>
    <row r="8518" ht="9.9499999999999993" hidden="1" customHeight="1" x14ac:dyDescent="0.2"/>
    <row r="8519" ht="9.9499999999999993" hidden="1" customHeight="1" x14ac:dyDescent="0.2"/>
    <row r="8520" ht="9.9499999999999993" hidden="1" customHeight="1" x14ac:dyDescent="0.2"/>
    <row r="8521" ht="9.9499999999999993" hidden="1" customHeight="1" x14ac:dyDescent="0.2"/>
    <row r="8522" ht="9.9499999999999993" hidden="1" customHeight="1" x14ac:dyDescent="0.2"/>
    <row r="8523" ht="9.9499999999999993" hidden="1" customHeight="1" x14ac:dyDescent="0.2"/>
    <row r="8524" ht="9.9499999999999993" hidden="1" customHeight="1" x14ac:dyDescent="0.2"/>
    <row r="8525" ht="9.9499999999999993" hidden="1" customHeight="1" x14ac:dyDescent="0.2"/>
    <row r="8526" ht="9.9499999999999993" hidden="1" customHeight="1" x14ac:dyDescent="0.2"/>
    <row r="8527" ht="9.9499999999999993" hidden="1" customHeight="1" x14ac:dyDescent="0.2"/>
    <row r="8528" ht="9.9499999999999993" hidden="1" customHeight="1" x14ac:dyDescent="0.2"/>
    <row r="8529" ht="9.9499999999999993" hidden="1" customHeight="1" x14ac:dyDescent="0.2"/>
    <row r="8530" ht="9.9499999999999993" hidden="1" customHeight="1" x14ac:dyDescent="0.2"/>
    <row r="8531" ht="9.9499999999999993" hidden="1" customHeight="1" x14ac:dyDescent="0.2"/>
    <row r="8532" ht="9.9499999999999993" hidden="1" customHeight="1" x14ac:dyDescent="0.2"/>
    <row r="8533" ht="9.9499999999999993" hidden="1" customHeight="1" x14ac:dyDescent="0.2"/>
    <row r="8534" ht="9.9499999999999993" hidden="1" customHeight="1" x14ac:dyDescent="0.2"/>
    <row r="8535" ht="9.9499999999999993" hidden="1" customHeight="1" x14ac:dyDescent="0.2"/>
    <row r="8536" ht="9.9499999999999993" hidden="1" customHeight="1" x14ac:dyDescent="0.2"/>
    <row r="8537" ht="9.9499999999999993" hidden="1" customHeight="1" x14ac:dyDescent="0.2"/>
    <row r="8538" ht="9.9499999999999993" hidden="1" customHeight="1" x14ac:dyDescent="0.2"/>
    <row r="8539" ht="9.9499999999999993" hidden="1" customHeight="1" x14ac:dyDescent="0.2"/>
    <row r="8540" ht="9.9499999999999993" hidden="1" customHeight="1" x14ac:dyDescent="0.2"/>
    <row r="8541" ht="9.9499999999999993" hidden="1" customHeight="1" x14ac:dyDescent="0.2"/>
    <row r="8542" ht="9.9499999999999993" hidden="1" customHeight="1" x14ac:dyDescent="0.2"/>
    <row r="8543" ht="9.9499999999999993" hidden="1" customHeight="1" x14ac:dyDescent="0.2"/>
    <row r="8544" ht="9.9499999999999993" hidden="1" customHeight="1" x14ac:dyDescent="0.2"/>
    <row r="8545" ht="9.9499999999999993" hidden="1" customHeight="1" x14ac:dyDescent="0.2"/>
    <row r="8546" ht="9.9499999999999993" hidden="1" customHeight="1" x14ac:dyDescent="0.2"/>
    <row r="8547" ht="9.9499999999999993" hidden="1" customHeight="1" x14ac:dyDescent="0.2"/>
    <row r="8548" ht="9.9499999999999993" hidden="1" customHeight="1" x14ac:dyDescent="0.2"/>
    <row r="8549" ht="9.9499999999999993" hidden="1" customHeight="1" x14ac:dyDescent="0.2"/>
    <row r="8550" ht="9.9499999999999993" hidden="1" customHeight="1" x14ac:dyDescent="0.2"/>
    <row r="8551" ht="9.9499999999999993" hidden="1" customHeight="1" x14ac:dyDescent="0.2"/>
    <row r="8552" ht="9.9499999999999993" hidden="1" customHeight="1" x14ac:dyDescent="0.2"/>
    <row r="8553" ht="9.9499999999999993" hidden="1" customHeight="1" x14ac:dyDescent="0.2"/>
    <row r="8554" ht="9.9499999999999993" hidden="1" customHeight="1" x14ac:dyDescent="0.2"/>
    <row r="8555" ht="9.9499999999999993" hidden="1" customHeight="1" x14ac:dyDescent="0.2"/>
    <row r="8556" ht="9.9499999999999993" hidden="1" customHeight="1" x14ac:dyDescent="0.2"/>
    <row r="8557" ht="9.9499999999999993" hidden="1" customHeight="1" x14ac:dyDescent="0.2"/>
    <row r="8558" ht="9.9499999999999993" hidden="1" customHeight="1" x14ac:dyDescent="0.2"/>
    <row r="8559" ht="9.9499999999999993" hidden="1" customHeight="1" x14ac:dyDescent="0.2"/>
    <row r="8560" ht="9.9499999999999993" hidden="1" customHeight="1" x14ac:dyDescent="0.2"/>
    <row r="8561" ht="9.9499999999999993" hidden="1" customHeight="1" x14ac:dyDescent="0.2"/>
    <row r="8562" ht="9.9499999999999993" hidden="1" customHeight="1" x14ac:dyDescent="0.2"/>
    <row r="8563" ht="9.9499999999999993" hidden="1" customHeight="1" x14ac:dyDescent="0.2"/>
    <row r="8564" ht="9.9499999999999993" hidden="1" customHeight="1" x14ac:dyDescent="0.2"/>
    <row r="8565" ht="9.9499999999999993" hidden="1" customHeight="1" x14ac:dyDescent="0.2"/>
    <row r="8566" ht="9.9499999999999993" hidden="1" customHeight="1" x14ac:dyDescent="0.2"/>
    <row r="8567" ht="9.9499999999999993" hidden="1" customHeight="1" x14ac:dyDescent="0.2"/>
    <row r="8568" ht="9.9499999999999993" hidden="1" customHeight="1" x14ac:dyDescent="0.2"/>
    <row r="8569" ht="9.9499999999999993" hidden="1" customHeight="1" x14ac:dyDescent="0.2"/>
    <row r="8570" ht="9.9499999999999993" hidden="1" customHeight="1" x14ac:dyDescent="0.2"/>
    <row r="8571" ht="9.9499999999999993" hidden="1" customHeight="1" x14ac:dyDescent="0.2"/>
    <row r="8572" ht="9.9499999999999993" hidden="1" customHeight="1" x14ac:dyDescent="0.2"/>
    <row r="8573" ht="9.9499999999999993" hidden="1" customHeight="1" x14ac:dyDescent="0.2"/>
    <row r="8574" ht="9.9499999999999993" hidden="1" customHeight="1" x14ac:dyDescent="0.2"/>
    <row r="8575" ht="9.9499999999999993" hidden="1" customHeight="1" x14ac:dyDescent="0.2"/>
    <row r="8576" ht="9.9499999999999993" hidden="1" customHeight="1" x14ac:dyDescent="0.2"/>
    <row r="8577" ht="9.9499999999999993" hidden="1" customHeight="1" x14ac:dyDescent="0.2"/>
    <row r="8578" ht="9.9499999999999993" hidden="1" customHeight="1" x14ac:dyDescent="0.2"/>
    <row r="8579" ht="9.9499999999999993" hidden="1" customHeight="1" x14ac:dyDescent="0.2"/>
    <row r="8580" ht="9.9499999999999993" hidden="1" customHeight="1" x14ac:dyDescent="0.2"/>
    <row r="8581" ht="9.9499999999999993" hidden="1" customHeight="1" x14ac:dyDescent="0.2"/>
    <row r="8582" ht="9.9499999999999993" hidden="1" customHeight="1" x14ac:dyDescent="0.2"/>
    <row r="8583" ht="9.9499999999999993" hidden="1" customHeight="1" x14ac:dyDescent="0.2"/>
    <row r="8584" ht="9.9499999999999993" hidden="1" customHeight="1" x14ac:dyDescent="0.2"/>
    <row r="8585" ht="9.9499999999999993" hidden="1" customHeight="1" x14ac:dyDescent="0.2"/>
    <row r="8586" ht="9.9499999999999993" hidden="1" customHeight="1" x14ac:dyDescent="0.2"/>
    <row r="8587" ht="9.9499999999999993" hidden="1" customHeight="1" x14ac:dyDescent="0.2"/>
    <row r="8588" ht="9.9499999999999993" hidden="1" customHeight="1" x14ac:dyDescent="0.2"/>
    <row r="8589" ht="9.9499999999999993" hidden="1" customHeight="1" x14ac:dyDescent="0.2"/>
    <row r="8590" ht="9.9499999999999993" hidden="1" customHeight="1" x14ac:dyDescent="0.2"/>
    <row r="8591" ht="9.9499999999999993" hidden="1" customHeight="1" x14ac:dyDescent="0.2"/>
    <row r="8592" ht="9.9499999999999993" hidden="1" customHeight="1" x14ac:dyDescent="0.2"/>
    <row r="8593" ht="9.9499999999999993" hidden="1" customHeight="1" x14ac:dyDescent="0.2"/>
    <row r="8594" ht="9.9499999999999993" hidden="1" customHeight="1" x14ac:dyDescent="0.2"/>
    <row r="8595" ht="9.9499999999999993" hidden="1" customHeight="1" x14ac:dyDescent="0.2"/>
    <row r="8596" ht="9.9499999999999993" hidden="1" customHeight="1" x14ac:dyDescent="0.2"/>
    <row r="8597" ht="9.9499999999999993" hidden="1" customHeight="1" x14ac:dyDescent="0.2"/>
    <row r="8598" ht="9.9499999999999993" hidden="1" customHeight="1" x14ac:dyDescent="0.2"/>
    <row r="8599" ht="9.9499999999999993" hidden="1" customHeight="1" x14ac:dyDescent="0.2"/>
    <row r="8600" ht="9.9499999999999993" hidden="1" customHeight="1" x14ac:dyDescent="0.2"/>
    <row r="8601" ht="9.9499999999999993" hidden="1" customHeight="1" x14ac:dyDescent="0.2"/>
    <row r="8602" ht="9.9499999999999993" hidden="1" customHeight="1" x14ac:dyDescent="0.2"/>
    <row r="8603" ht="9.9499999999999993" hidden="1" customHeight="1" x14ac:dyDescent="0.2"/>
    <row r="8604" ht="9.9499999999999993" hidden="1" customHeight="1" x14ac:dyDescent="0.2"/>
    <row r="8605" ht="9.9499999999999993" hidden="1" customHeight="1" x14ac:dyDescent="0.2"/>
    <row r="8606" ht="9.9499999999999993" hidden="1" customHeight="1" x14ac:dyDescent="0.2"/>
    <row r="8607" ht="9.9499999999999993" hidden="1" customHeight="1" x14ac:dyDescent="0.2"/>
    <row r="8608" ht="9.9499999999999993" hidden="1" customHeight="1" x14ac:dyDescent="0.2"/>
    <row r="8609" ht="9.9499999999999993" hidden="1" customHeight="1" x14ac:dyDescent="0.2"/>
    <row r="8610" ht="9.9499999999999993" hidden="1" customHeight="1" x14ac:dyDescent="0.2"/>
    <row r="8611" ht="9.9499999999999993" hidden="1" customHeight="1" x14ac:dyDescent="0.2"/>
    <row r="8612" ht="9.9499999999999993" hidden="1" customHeight="1" x14ac:dyDescent="0.2"/>
    <row r="8613" ht="9.9499999999999993" hidden="1" customHeight="1" x14ac:dyDescent="0.2"/>
    <row r="8614" ht="9.9499999999999993" hidden="1" customHeight="1" x14ac:dyDescent="0.2"/>
    <row r="8615" ht="9.9499999999999993" hidden="1" customHeight="1" x14ac:dyDescent="0.2"/>
    <row r="8616" ht="9.9499999999999993" hidden="1" customHeight="1" x14ac:dyDescent="0.2"/>
    <row r="8617" ht="9.9499999999999993" hidden="1" customHeight="1" x14ac:dyDescent="0.2"/>
    <row r="8618" ht="9.9499999999999993" hidden="1" customHeight="1" x14ac:dyDescent="0.2"/>
    <row r="8619" ht="9.9499999999999993" hidden="1" customHeight="1" x14ac:dyDescent="0.2"/>
    <row r="8620" ht="9.9499999999999993" hidden="1" customHeight="1" x14ac:dyDescent="0.2"/>
    <row r="8621" ht="9.9499999999999993" hidden="1" customHeight="1" x14ac:dyDescent="0.2"/>
    <row r="8622" ht="9.9499999999999993" hidden="1" customHeight="1" x14ac:dyDescent="0.2"/>
    <row r="8623" ht="9.9499999999999993" hidden="1" customHeight="1" x14ac:dyDescent="0.2"/>
    <row r="8624" ht="9.9499999999999993" hidden="1" customHeight="1" x14ac:dyDescent="0.2"/>
    <row r="8625" ht="9.9499999999999993" hidden="1" customHeight="1" x14ac:dyDescent="0.2"/>
    <row r="8626" ht="9.9499999999999993" hidden="1" customHeight="1" x14ac:dyDescent="0.2"/>
    <row r="8627" ht="9.9499999999999993" hidden="1" customHeight="1" x14ac:dyDescent="0.2"/>
    <row r="8628" ht="9.9499999999999993" hidden="1" customHeight="1" x14ac:dyDescent="0.2"/>
    <row r="8629" ht="9.9499999999999993" hidden="1" customHeight="1" x14ac:dyDescent="0.2"/>
    <row r="8630" ht="9.9499999999999993" hidden="1" customHeight="1" x14ac:dyDescent="0.2"/>
    <row r="8631" ht="9.9499999999999993" hidden="1" customHeight="1" x14ac:dyDescent="0.2"/>
    <row r="8632" ht="9.9499999999999993" hidden="1" customHeight="1" x14ac:dyDescent="0.2"/>
    <row r="8633" ht="9.9499999999999993" hidden="1" customHeight="1" x14ac:dyDescent="0.2"/>
    <row r="8634" ht="9.9499999999999993" hidden="1" customHeight="1" x14ac:dyDescent="0.2"/>
    <row r="8635" ht="9.9499999999999993" hidden="1" customHeight="1" x14ac:dyDescent="0.2"/>
    <row r="8636" ht="9.9499999999999993" hidden="1" customHeight="1" x14ac:dyDescent="0.2"/>
    <row r="8637" ht="9.9499999999999993" hidden="1" customHeight="1" x14ac:dyDescent="0.2"/>
    <row r="8638" ht="9.9499999999999993" hidden="1" customHeight="1" x14ac:dyDescent="0.2"/>
    <row r="8639" ht="9.9499999999999993" hidden="1" customHeight="1" x14ac:dyDescent="0.2"/>
    <row r="8640" ht="9.9499999999999993" hidden="1" customHeight="1" x14ac:dyDescent="0.2"/>
    <row r="8641" ht="9.9499999999999993" hidden="1" customHeight="1" x14ac:dyDescent="0.2"/>
    <row r="8642" ht="9.9499999999999993" hidden="1" customHeight="1" x14ac:dyDescent="0.2"/>
    <row r="8643" ht="9.9499999999999993" hidden="1" customHeight="1" x14ac:dyDescent="0.2"/>
    <row r="8644" ht="9.9499999999999993" hidden="1" customHeight="1" x14ac:dyDescent="0.2"/>
    <row r="8645" ht="9.9499999999999993" hidden="1" customHeight="1" x14ac:dyDescent="0.2"/>
    <row r="8646" ht="9.9499999999999993" hidden="1" customHeight="1" x14ac:dyDescent="0.2"/>
    <row r="8647" ht="9.9499999999999993" hidden="1" customHeight="1" x14ac:dyDescent="0.2"/>
    <row r="8648" ht="9.9499999999999993" hidden="1" customHeight="1" x14ac:dyDescent="0.2"/>
    <row r="8649" ht="9.9499999999999993" hidden="1" customHeight="1" x14ac:dyDescent="0.2"/>
    <row r="8650" ht="9.9499999999999993" hidden="1" customHeight="1" x14ac:dyDescent="0.2"/>
    <row r="8651" ht="9.9499999999999993" hidden="1" customHeight="1" x14ac:dyDescent="0.2"/>
    <row r="8652" ht="9.9499999999999993" hidden="1" customHeight="1" x14ac:dyDescent="0.2"/>
    <row r="8653" ht="9.9499999999999993" hidden="1" customHeight="1" x14ac:dyDescent="0.2"/>
    <row r="8654" ht="9.9499999999999993" hidden="1" customHeight="1" x14ac:dyDescent="0.2"/>
    <row r="8655" ht="9.9499999999999993" hidden="1" customHeight="1" x14ac:dyDescent="0.2"/>
    <row r="8656" ht="9.9499999999999993" hidden="1" customHeight="1" x14ac:dyDescent="0.2"/>
    <row r="8657" ht="9.9499999999999993" hidden="1" customHeight="1" x14ac:dyDescent="0.2"/>
    <row r="8658" ht="9.9499999999999993" hidden="1" customHeight="1" x14ac:dyDescent="0.2"/>
    <row r="8659" ht="9.9499999999999993" hidden="1" customHeight="1" x14ac:dyDescent="0.2"/>
    <row r="8660" ht="9.9499999999999993" hidden="1" customHeight="1" x14ac:dyDescent="0.2"/>
    <row r="8661" ht="9.9499999999999993" hidden="1" customHeight="1" x14ac:dyDescent="0.2"/>
    <row r="8662" ht="9.9499999999999993" hidden="1" customHeight="1" x14ac:dyDescent="0.2"/>
    <row r="8663" ht="9.9499999999999993" hidden="1" customHeight="1" x14ac:dyDescent="0.2"/>
    <row r="8664" ht="9.9499999999999993" hidden="1" customHeight="1" x14ac:dyDescent="0.2"/>
    <row r="8665" ht="9.9499999999999993" hidden="1" customHeight="1" x14ac:dyDescent="0.2"/>
    <row r="8666" ht="9.9499999999999993" hidden="1" customHeight="1" x14ac:dyDescent="0.2"/>
    <row r="8667" ht="9.9499999999999993" hidden="1" customHeight="1" x14ac:dyDescent="0.2"/>
    <row r="8668" ht="9.9499999999999993" hidden="1" customHeight="1" x14ac:dyDescent="0.2"/>
    <row r="8669" ht="9.9499999999999993" hidden="1" customHeight="1" x14ac:dyDescent="0.2"/>
    <row r="8670" ht="9.9499999999999993" hidden="1" customHeight="1" x14ac:dyDescent="0.2"/>
    <row r="8671" ht="9.9499999999999993" hidden="1" customHeight="1" x14ac:dyDescent="0.2"/>
    <row r="8672" ht="9.9499999999999993" hidden="1" customHeight="1" x14ac:dyDescent="0.2"/>
    <row r="8673" ht="9.9499999999999993" hidden="1" customHeight="1" x14ac:dyDescent="0.2"/>
    <row r="8674" ht="9.9499999999999993" hidden="1" customHeight="1" x14ac:dyDescent="0.2"/>
    <row r="8675" ht="9.9499999999999993" hidden="1" customHeight="1" x14ac:dyDescent="0.2"/>
    <row r="8676" ht="9.9499999999999993" hidden="1" customHeight="1" x14ac:dyDescent="0.2"/>
    <row r="8677" ht="9.9499999999999993" hidden="1" customHeight="1" x14ac:dyDescent="0.2"/>
    <row r="8678" ht="9.9499999999999993" hidden="1" customHeight="1" x14ac:dyDescent="0.2"/>
    <row r="8679" ht="9.9499999999999993" hidden="1" customHeight="1" x14ac:dyDescent="0.2"/>
    <row r="8680" ht="9.9499999999999993" hidden="1" customHeight="1" x14ac:dyDescent="0.2"/>
    <row r="8681" ht="9.9499999999999993" hidden="1" customHeight="1" x14ac:dyDescent="0.2"/>
    <row r="8682" ht="9.9499999999999993" hidden="1" customHeight="1" x14ac:dyDescent="0.2"/>
    <row r="8683" ht="9.9499999999999993" hidden="1" customHeight="1" x14ac:dyDescent="0.2"/>
    <row r="8684" ht="9.9499999999999993" hidden="1" customHeight="1" x14ac:dyDescent="0.2"/>
    <row r="8685" ht="9.9499999999999993" hidden="1" customHeight="1" x14ac:dyDescent="0.2"/>
    <row r="8686" ht="9.9499999999999993" hidden="1" customHeight="1" x14ac:dyDescent="0.2"/>
    <row r="8687" ht="9.9499999999999993" hidden="1" customHeight="1" x14ac:dyDescent="0.2"/>
    <row r="8688" ht="9.9499999999999993" hidden="1" customHeight="1" x14ac:dyDescent="0.2"/>
    <row r="8689" ht="9.9499999999999993" hidden="1" customHeight="1" x14ac:dyDescent="0.2"/>
    <row r="8690" ht="9.9499999999999993" hidden="1" customHeight="1" x14ac:dyDescent="0.2"/>
    <row r="8691" ht="9.9499999999999993" hidden="1" customHeight="1" x14ac:dyDescent="0.2"/>
    <row r="8692" ht="9.9499999999999993" hidden="1" customHeight="1" x14ac:dyDescent="0.2"/>
    <row r="8693" ht="9.9499999999999993" hidden="1" customHeight="1" x14ac:dyDescent="0.2"/>
    <row r="8694" ht="9.9499999999999993" hidden="1" customHeight="1" x14ac:dyDescent="0.2"/>
    <row r="8695" ht="9.9499999999999993" hidden="1" customHeight="1" x14ac:dyDescent="0.2"/>
    <row r="8696" ht="9.9499999999999993" hidden="1" customHeight="1" x14ac:dyDescent="0.2"/>
    <row r="8697" ht="9.9499999999999993" hidden="1" customHeight="1" x14ac:dyDescent="0.2"/>
    <row r="8698" ht="9.9499999999999993" hidden="1" customHeight="1" x14ac:dyDescent="0.2"/>
    <row r="8699" ht="9.9499999999999993" hidden="1" customHeight="1" x14ac:dyDescent="0.2"/>
    <row r="8700" ht="9.9499999999999993" hidden="1" customHeight="1" x14ac:dyDescent="0.2"/>
    <row r="8701" ht="9.9499999999999993" hidden="1" customHeight="1" x14ac:dyDescent="0.2"/>
    <row r="8702" ht="9.9499999999999993" hidden="1" customHeight="1" x14ac:dyDescent="0.2"/>
    <row r="8703" ht="9.9499999999999993" hidden="1" customHeight="1" x14ac:dyDescent="0.2"/>
    <row r="8704" ht="9.9499999999999993" hidden="1" customHeight="1" x14ac:dyDescent="0.2"/>
    <row r="8705" ht="9.9499999999999993" hidden="1" customHeight="1" x14ac:dyDescent="0.2"/>
    <row r="8706" ht="9.9499999999999993" hidden="1" customHeight="1" x14ac:dyDescent="0.2"/>
    <row r="8707" ht="9.9499999999999993" hidden="1" customHeight="1" x14ac:dyDescent="0.2"/>
    <row r="8708" ht="9.9499999999999993" hidden="1" customHeight="1" x14ac:dyDescent="0.2"/>
    <row r="8709" ht="9.9499999999999993" hidden="1" customHeight="1" x14ac:dyDescent="0.2"/>
    <row r="8710" ht="9.9499999999999993" hidden="1" customHeight="1" x14ac:dyDescent="0.2"/>
    <row r="8711" ht="9.9499999999999993" hidden="1" customHeight="1" x14ac:dyDescent="0.2"/>
    <row r="8712" ht="9.9499999999999993" hidden="1" customHeight="1" x14ac:dyDescent="0.2"/>
    <row r="8713" ht="9.9499999999999993" hidden="1" customHeight="1" x14ac:dyDescent="0.2"/>
    <row r="8714" ht="9.9499999999999993" hidden="1" customHeight="1" x14ac:dyDescent="0.2"/>
    <row r="8715" ht="9.9499999999999993" hidden="1" customHeight="1" x14ac:dyDescent="0.2"/>
    <row r="8716" ht="9.9499999999999993" hidden="1" customHeight="1" x14ac:dyDescent="0.2"/>
    <row r="8717" ht="9.9499999999999993" hidden="1" customHeight="1" x14ac:dyDescent="0.2"/>
    <row r="8718" ht="9.9499999999999993" hidden="1" customHeight="1" x14ac:dyDescent="0.2"/>
    <row r="8719" ht="9.9499999999999993" hidden="1" customHeight="1" x14ac:dyDescent="0.2"/>
    <row r="8720" ht="9.9499999999999993" hidden="1" customHeight="1" x14ac:dyDescent="0.2"/>
    <row r="8721" ht="9.9499999999999993" hidden="1" customHeight="1" x14ac:dyDescent="0.2"/>
    <row r="8722" ht="9.9499999999999993" hidden="1" customHeight="1" x14ac:dyDescent="0.2"/>
    <row r="8723" ht="9.9499999999999993" hidden="1" customHeight="1" x14ac:dyDescent="0.2"/>
    <row r="8724" ht="9.9499999999999993" hidden="1" customHeight="1" x14ac:dyDescent="0.2"/>
    <row r="8725" ht="9.9499999999999993" hidden="1" customHeight="1" x14ac:dyDescent="0.2"/>
    <row r="8726" ht="9.9499999999999993" hidden="1" customHeight="1" x14ac:dyDescent="0.2"/>
    <row r="8727" ht="9.9499999999999993" hidden="1" customHeight="1" x14ac:dyDescent="0.2"/>
    <row r="8728" ht="9.9499999999999993" hidden="1" customHeight="1" x14ac:dyDescent="0.2"/>
    <row r="8729" ht="9.9499999999999993" hidden="1" customHeight="1" x14ac:dyDescent="0.2"/>
    <row r="8730" ht="9.9499999999999993" hidden="1" customHeight="1" x14ac:dyDescent="0.2"/>
    <row r="8731" ht="9.9499999999999993" hidden="1" customHeight="1" x14ac:dyDescent="0.2"/>
    <row r="8732" ht="9.9499999999999993" hidden="1" customHeight="1" x14ac:dyDescent="0.2"/>
    <row r="8733" ht="9.9499999999999993" hidden="1" customHeight="1" x14ac:dyDescent="0.2"/>
    <row r="8734" ht="9.9499999999999993" hidden="1" customHeight="1" x14ac:dyDescent="0.2"/>
    <row r="8735" ht="9.9499999999999993" hidden="1" customHeight="1" x14ac:dyDescent="0.2"/>
    <row r="8736" ht="9.9499999999999993" hidden="1" customHeight="1" x14ac:dyDescent="0.2"/>
    <row r="8737" ht="9.9499999999999993" hidden="1" customHeight="1" x14ac:dyDescent="0.2"/>
    <row r="8738" ht="9.9499999999999993" hidden="1" customHeight="1" x14ac:dyDescent="0.2"/>
    <row r="8739" ht="9.9499999999999993" hidden="1" customHeight="1" x14ac:dyDescent="0.2"/>
    <row r="8740" ht="9.9499999999999993" hidden="1" customHeight="1" x14ac:dyDescent="0.2"/>
    <row r="8741" ht="9.9499999999999993" hidden="1" customHeight="1" x14ac:dyDescent="0.2"/>
    <row r="8742" ht="9.9499999999999993" hidden="1" customHeight="1" x14ac:dyDescent="0.2"/>
    <row r="8743" ht="9.9499999999999993" hidden="1" customHeight="1" x14ac:dyDescent="0.2"/>
    <row r="8744" ht="9.9499999999999993" hidden="1" customHeight="1" x14ac:dyDescent="0.2"/>
    <row r="8745" ht="9.9499999999999993" hidden="1" customHeight="1" x14ac:dyDescent="0.2"/>
    <row r="8746" ht="9.9499999999999993" hidden="1" customHeight="1" x14ac:dyDescent="0.2"/>
    <row r="8747" ht="9.9499999999999993" hidden="1" customHeight="1" x14ac:dyDescent="0.2"/>
    <row r="8748" ht="9.9499999999999993" hidden="1" customHeight="1" x14ac:dyDescent="0.2"/>
    <row r="8749" ht="9.9499999999999993" hidden="1" customHeight="1" x14ac:dyDescent="0.2"/>
    <row r="8750" ht="9.9499999999999993" hidden="1" customHeight="1" x14ac:dyDescent="0.2"/>
    <row r="8751" ht="9.9499999999999993" hidden="1" customHeight="1" x14ac:dyDescent="0.2"/>
    <row r="8752" ht="9.9499999999999993" hidden="1" customHeight="1" x14ac:dyDescent="0.2"/>
    <row r="8753" ht="9.9499999999999993" hidden="1" customHeight="1" x14ac:dyDescent="0.2"/>
    <row r="8754" ht="9.9499999999999993" hidden="1" customHeight="1" x14ac:dyDescent="0.2"/>
    <row r="8755" ht="9.9499999999999993" hidden="1" customHeight="1" x14ac:dyDescent="0.2"/>
    <row r="8756" ht="9.9499999999999993" hidden="1" customHeight="1" x14ac:dyDescent="0.2"/>
    <row r="8757" ht="9.9499999999999993" hidden="1" customHeight="1" x14ac:dyDescent="0.2"/>
    <row r="8758" ht="9.9499999999999993" hidden="1" customHeight="1" x14ac:dyDescent="0.2"/>
    <row r="8759" ht="9.9499999999999993" hidden="1" customHeight="1" x14ac:dyDescent="0.2"/>
    <row r="8760" ht="9.9499999999999993" hidden="1" customHeight="1" x14ac:dyDescent="0.2"/>
    <row r="8761" ht="9.9499999999999993" hidden="1" customHeight="1" x14ac:dyDescent="0.2"/>
    <row r="8762" ht="9.9499999999999993" hidden="1" customHeight="1" x14ac:dyDescent="0.2"/>
    <row r="8763" ht="9.9499999999999993" hidden="1" customHeight="1" x14ac:dyDescent="0.2"/>
    <row r="8764" ht="9.9499999999999993" hidden="1" customHeight="1" x14ac:dyDescent="0.2"/>
    <row r="8765" ht="9.9499999999999993" hidden="1" customHeight="1" x14ac:dyDescent="0.2"/>
    <row r="8766" ht="9.9499999999999993" hidden="1" customHeight="1" x14ac:dyDescent="0.2"/>
    <row r="8767" ht="9.9499999999999993" hidden="1" customHeight="1" x14ac:dyDescent="0.2"/>
    <row r="8768" ht="9.9499999999999993" hidden="1" customHeight="1" x14ac:dyDescent="0.2"/>
    <row r="8769" ht="9.9499999999999993" hidden="1" customHeight="1" x14ac:dyDescent="0.2"/>
    <row r="8770" ht="9.9499999999999993" hidden="1" customHeight="1" x14ac:dyDescent="0.2"/>
    <row r="8771" ht="9.9499999999999993" hidden="1" customHeight="1" x14ac:dyDescent="0.2"/>
    <row r="8772" ht="9.9499999999999993" hidden="1" customHeight="1" x14ac:dyDescent="0.2"/>
    <row r="8773" ht="9.9499999999999993" hidden="1" customHeight="1" x14ac:dyDescent="0.2"/>
    <row r="8774" ht="9.9499999999999993" hidden="1" customHeight="1" x14ac:dyDescent="0.2"/>
    <row r="8775" ht="9.9499999999999993" hidden="1" customHeight="1" x14ac:dyDescent="0.2"/>
    <row r="8776" ht="9.9499999999999993" hidden="1" customHeight="1" x14ac:dyDescent="0.2"/>
    <row r="8777" ht="9.9499999999999993" hidden="1" customHeight="1" x14ac:dyDescent="0.2"/>
    <row r="8778" ht="9.9499999999999993" hidden="1" customHeight="1" x14ac:dyDescent="0.2"/>
    <row r="8779" ht="9.9499999999999993" hidden="1" customHeight="1" x14ac:dyDescent="0.2"/>
    <row r="8780" ht="9.9499999999999993" hidden="1" customHeight="1" x14ac:dyDescent="0.2"/>
    <row r="8781" ht="9.9499999999999993" hidden="1" customHeight="1" x14ac:dyDescent="0.2"/>
    <row r="8782" ht="9.9499999999999993" hidden="1" customHeight="1" x14ac:dyDescent="0.2"/>
    <row r="8783" ht="9.9499999999999993" hidden="1" customHeight="1" x14ac:dyDescent="0.2"/>
    <row r="8784" ht="9.9499999999999993" hidden="1" customHeight="1" x14ac:dyDescent="0.2"/>
    <row r="8785" ht="9.9499999999999993" hidden="1" customHeight="1" x14ac:dyDescent="0.2"/>
    <row r="8786" ht="9.9499999999999993" hidden="1" customHeight="1" x14ac:dyDescent="0.2"/>
    <row r="8787" ht="9.9499999999999993" hidden="1" customHeight="1" x14ac:dyDescent="0.2"/>
    <row r="8788" ht="9.9499999999999993" hidden="1" customHeight="1" x14ac:dyDescent="0.2"/>
    <row r="8789" ht="9.9499999999999993" hidden="1" customHeight="1" x14ac:dyDescent="0.2"/>
    <row r="8790" ht="9.9499999999999993" hidden="1" customHeight="1" x14ac:dyDescent="0.2"/>
    <row r="8791" ht="9.9499999999999993" hidden="1" customHeight="1" x14ac:dyDescent="0.2"/>
    <row r="8792" ht="9.9499999999999993" hidden="1" customHeight="1" x14ac:dyDescent="0.2"/>
    <row r="8793" ht="9.9499999999999993" hidden="1" customHeight="1" x14ac:dyDescent="0.2"/>
    <row r="8794" ht="9.9499999999999993" hidden="1" customHeight="1" x14ac:dyDescent="0.2"/>
    <row r="8795" ht="9.9499999999999993" hidden="1" customHeight="1" x14ac:dyDescent="0.2"/>
    <row r="8796" ht="9.9499999999999993" hidden="1" customHeight="1" x14ac:dyDescent="0.2"/>
    <row r="8797" ht="9.9499999999999993" hidden="1" customHeight="1" x14ac:dyDescent="0.2"/>
    <row r="8798" ht="9.9499999999999993" hidden="1" customHeight="1" x14ac:dyDescent="0.2"/>
    <row r="8799" ht="9.9499999999999993" hidden="1" customHeight="1" x14ac:dyDescent="0.2"/>
    <row r="8800" ht="9.9499999999999993" hidden="1" customHeight="1" x14ac:dyDescent="0.2"/>
    <row r="8801" ht="9.9499999999999993" hidden="1" customHeight="1" x14ac:dyDescent="0.2"/>
    <row r="8802" ht="9.9499999999999993" hidden="1" customHeight="1" x14ac:dyDescent="0.2"/>
    <row r="8803" ht="9.9499999999999993" hidden="1" customHeight="1" x14ac:dyDescent="0.2"/>
    <row r="8804" ht="9.9499999999999993" hidden="1" customHeight="1" x14ac:dyDescent="0.2"/>
    <row r="8805" ht="9.9499999999999993" hidden="1" customHeight="1" x14ac:dyDescent="0.2"/>
    <row r="8806" ht="9.9499999999999993" hidden="1" customHeight="1" x14ac:dyDescent="0.2"/>
    <row r="8807" ht="9.9499999999999993" hidden="1" customHeight="1" x14ac:dyDescent="0.2"/>
    <row r="8808" ht="9.9499999999999993" hidden="1" customHeight="1" x14ac:dyDescent="0.2"/>
    <row r="8809" ht="9.9499999999999993" hidden="1" customHeight="1" x14ac:dyDescent="0.2"/>
    <row r="8810" ht="9.9499999999999993" hidden="1" customHeight="1" x14ac:dyDescent="0.2"/>
    <row r="8811" ht="9.9499999999999993" hidden="1" customHeight="1" x14ac:dyDescent="0.2"/>
    <row r="8812" ht="9.9499999999999993" hidden="1" customHeight="1" x14ac:dyDescent="0.2"/>
    <row r="8813" ht="9.9499999999999993" hidden="1" customHeight="1" x14ac:dyDescent="0.2"/>
    <row r="8814" ht="9.9499999999999993" hidden="1" customHeight="1" x14ac:dyDescent="0.2"/>
    <row r="8815" ht="9.9499999999999993" hidden="1" customHeight="1" x14ac:dyDescent="0.2"/>
    <row r="8816" ht="9.9499999999999993" hidden="1" customHeight="1" x14ac:dyDescent="0.2"/>
    <row r="8817" ht="9.9499999999999993" hidden="1" customHeight="1" x14ac:dyDescent="0.2"/>
    <row r="8818" ht="9.9499999999999993" hidden="1" customHeight="1" x14ac:dyDescent="0.2"/>
    <row r="8819" ht="9.9499999999999993" hidden="1" customHeight="1" x14ac:dyDescent="0.2"/>
    <row r="8820" ht="9.9499999999999993" hidden="1" customHeight="1" x14ac:dyDescent="0.2"/>
    <row r="8821" ht="9.9499999999999993" hidden="1" customHeight="1" x14ac:dyDescent="0.2"/>
    <row r="8822" ht="9.9499999999999993" hidden="1" customHeight="1" x14ac:dyDescent="0.2"/>
    <row r="8823" ht="9.9499999999999993" hidden="1" customHeight="1" x14ac:dyDescent="0.2"/>
    <row r="8824" ht="9.9499999999999993" hidden="1" customHeight="1" x14ac:dyDescent="0.2"/>
    <row r="8825" ht="9.9499999999999993" hidden="1" customHeight="1" x14ac:dyDescent="0.2"/>
    <row r="8826" ht="9.9499999999999993" hidden="1" customHeight="1" x14ac:dyDescent="0.2"/>
    <row r="8827" ht="9.9499999999999993" hidden="1" customHeight="1" x14ac:dyDescent="0.2"/>
    <row r="8828" ht="9.9499999999999993" hidden="1" customHeight="1" x14ac:dyDescent="0.2"/>
    <row r="8829" ht="9.9499999999999993" hidden="1" customHeight="1" x14ac:dyDescent="0.2"/>
    <row r="8830" ht="9.9499999999999993" hidden="1" customHeight="1" x14ac:dyDescent="0.2"/>
    <row r="8831" ht="9.9499999999999993" hidden="1" customHeight="1" x14ac:dyDescent="0.2"/>
    <row r="8832" ht="9.9499999999999993" hidden="1" customHeight="1" x14ac:dyDescent="0.2"/>
    <row r="8833" ht="9.9499999999999993" hidden="1" customHeight="1" x14ac:dyDescent="0.2"/>
    <row r="8834" ht="9.9499999999999993" hidden="1" customHeight="1" x14ac:dyDescent="0.2"/>
    <row r="8835" ht="9.9499999999999993" hidden="1" customHeight="1" x14ac:dyDescent="0.2"/>
    <row r="8836" ht="9.9499999999999993" hidden="1" customHeight="1" x14ac:dyDescent="0.2"/>
    <row r="8837" ht="9.9499999999999993" hidden="1" customHeight="1" x14ac:dyDescent="0.2"/>
    <row r="8838" ht="9.9499999999999993" hidden="1" customHeight="1" x14ac:dyDescent="0.2"/>
    <row r="8839" ht="9.9499999999999993" hidden="1" customHeight="1" x14ac:dyDescent="0.2"/>
    <row r="8840" ht="9.9499999999999993" hidden="1" customHeight="1" x14ac:dyDescent="0.2"/>
    <row r="8841" ht="9.9499999999999993" hidden="1" customHeight="1" x14ac:dyDescent="0.2"/>
    <row r="8842" ht="9.9499999999999993" hidden="1" customHeight="1" x14ac:dyDescent="0.2"/>
    <row r="8843" ht="9.9499999999999993" hidden="1" customHeight="1" x14ac:dyDescent="0.2"/>
    <row r="8844" ht="9.9499999999999993" hidden="1" customHeight="1" x14ac:dyDescent="0.2"/>
    <row r="8845" ht="9.9499999999999993" hidden="1" customHeight="1" x14ac:dyDescent="0.2"/>
    <row r="8846" ht="9.9499999999999993" hidden="1" customHeight="1" x14ac:dyDescent="0.2"/>
    <row r="8847" ht="9.9499999999999993" hidden="1" customHeight="1" x14ac:dyDescent="0.2"/>
    <row r="8848" ht="9.9499999999999993" hidden="1" customHeight="1" x14ac:dyDescent="0.2"/>
    <row r="8849" ht="9.9499999999999993" hidden="1" customHeight="1" x14ac:dyDescent="0.2"/>
    <row r="8850" ht="9.9499999999999993" hidden="1" customHeight="1" x14ac:dyDescent="0.2"/>
    <row r="8851" ht="9.9499999999999993" hidden="1" customHeight="1" x14ac:dyDescent="0.2"/>
    <row r="8852" ht="9.9499999999999993" hidden="1" customHeight="1" x14ac:dyDescent="0.2"/>
    <row r="8853" ht="9.9499999999999993" hidden="1" customHeight="1" x14ac:dyDescent="0.2"/>
    <row r="8854" ht="9.9499999999999993" hidden="1" customHeight="1" x14ac:dyDescent="0.2"/>
    <row r="8855" ht="9.9499999999999993" hidden="1" customHeight="1" x14ac:dyDescent="0.2"/>
    <row r="8856" ht="9.9499999999999993" hidden="1" customHeight="1" x14ac:dyDescent="0.2"/>
    <row r="8857" ht="9.9499999999999993" hidden="1" customHeight="1" x14ac:dyDescent="0.2"/>
    <row r="8858" ht="9.9499999999999993" hidden="1" customHeight="1" x14ac:dyDescent="0.2"/>
    <row r="8859" ht="9.9499999999999993" hidden="1" customHeight="1" x14ac:dyDescent="0.2"/>
    <row r="8860" ht="9.9499999999999993" hidden="1" customHeight="1" x14ac:dyDescent="0.2"/>
    <row r="8861" ht="9.9499999999999993" hidden="1" customHeight="1" x14ac:dyDescent="0.2"/>
    <row r="8862" ht="9.9499999999999993" hidden="1" customHeight="1" x14ac:dyDescent="0.2"/>
    <row r="8863" ht="9.9499999999999993" hidden="1" customHeight="1" x14ac:dyDescent="0.2"/>
    <row r="8864" ht="9.9499999999999993" hidden="1" customHeight="1" x14ac:dyDescent="0.2"/>
    <row r="8865" ht="9.9499999999999993" hidden="1" customHeight="1" x14ac:dyDescent="0.2"/>
    <row r="8866" ht="9.9499999999999993" hidden="1" customHeight="1" x14ac:dyDescent="0.2"/>
    <row r="8867" ht="9.9499999999999993" hidden="1" customHeight="1" x14ac:dyDescent="0.2"/>
    <row r="8868" ht="9.9499999999999993" hidden="1" customHeight="1" x14ac:dyDescent="0.2"/>
    <row r="8869" ht="9.9499999999999993" hidden="1" customHeight="1" x14ac:dyDescent="0.2"/>
    <row r="8870" ht="9.9499999999999993" hidden="1" customHeight="1" x14ac:dyDescent="0.2"/>
    <row r="8871" ht="9.9499999999999993" hidden="1" customHeight="1" x14ac:dyDescent="0.2"/>
    <row r="8872" ht="9.9499999999999993" hidden="1" customHeight="1" x14ac:dyDescent="0.2"/>
    <row r="8873" ht="9.9499999999999993" hidden="1" customHeight="1" x14ac:dyDescent="0.2"/>
    <row r="8874" ht="9.9499999999999993" hidden="1" customHeight="1" x14ac:dyDescent="0.2"/>
    <row r="8875" ht="9.9499999999999993" hidden="1" customHeight="1" x14ac:dyDescent="0.2"/>
    <row r="8876" ht="9.9499999999999993" hidden="1" customHeight="1" x14ac:dyDescent="0.2"/>
    <row r="8877" ht="9.9499999999999993" hidden="1" customHeight="1" x14ac:dyDescent="0.2"/>
    <row r="8878" ht="9.9499999999999993" hidden="1" customHeight="1" x14ac:dyDescent="0.2"/>
    <row r="8879" ht="9.9499999999999993" hidden="1" customHeight="1" x14ac:dyDescent="0.2"/>
    <row r="8880" ht="9.9499999999999993" hidden="1" customHeight="1" x14ac:dyDescent="0.2"/>
    <row r="8881" ht="9.9499999999999993" hidden="1" customHeight="1" x14ac:dyDescent="0.2"/>
    <row r="8882" ht="9.9499999999999993" hidden="1" customHeight="1" x14ac:dyDescent="0.2"/>
    <row r="8883" ht="9.9499999999999993" hidden="1" customHeight="1" x14ac:dyDescent="0.2"/>
    <row r="8884" ht="9.9499999999999993" hidden="1" customHeight="1" x14ac:dyDescent="0.2"/>
    <row r="8885" ht="9.9499999999999993" hidden="1" customHeight="1" x14ac:dyDescent="0.2"/>
    <row r="8886" ht="9.9499999999999993" hidden="1" customHeight="1" x14ac:dyDescent="0.2"/>
    <row r="8887" ht="9.9499999999999993" hidden="1" customHeight="1" x14ac:dyDescent="0.2"/>
    <row r="8888" ht="9.9499999999999993" hidden="1" customHeight="1" x14ac:dyDescent="0.2"/>
    <row r="8889" ht="9.9499999999999993" hidden="1" customHeight="1" x14ac:dyDescent="0.2"/>
    <row r="8890" ht="9.9499999999999993" hidden="1" customHeight="1" x14ac:dyDescent="0.2"/>
    <row r="8891" ht="9.9499999999999993" hidden="1" customHeight="1" x14ac:dyDescent="0.2"/>
    <row r="8892" ht="9.9499999999999993" hidden="1" customHeight="1" x14ac:dyDescent="0.2"/>
    <row r="8893" ht="9.9499999999999993" hidden="1" customHeight="1" x14ac:dyDescent="0.2"/>
    <row r="8894" ht="9.9499999999999993" hidden="1" customHeight="1" x14ac:dyDescent="0.2"/>
    <row r="8895" ht="9.9499999999999993" hidden="1" customHeight="1" x14ac:dyDescent="0.2"/>
    <row r="8896" ht="9.9499999999999993" hidden="1" customHeight="1" x14ac:dyDescent="0.2"/>
    <row r="8897" ht="9.9499999999999993" hidden="1" customHeight="1" x14ac:dyDescent="0.2"/>
    <row r="8898" ht="9.9499999999999993" hidden="1" customHeight="1" x14ac:dyDescent="0.2"/>
    <row r="8899" ht="9.9499999999999993" hidden="1" customHeight="1" x14ac:dyDescent="0.2"/>
    <row r="8900" ht="9.9499999999999993" hidden="1" customHeight="1" x14ac:dyDescent="0.2"/>
    <row r="8901" ht="9.9499999999999993" hidden="1" customHeight="1" x14ac:dyDescent="0.2"/>
    <row r="8902" ht="9.9499999999999993" hidden="1" customHeight="1" x14ac:dyDescent="0.2"/>
    <row r="8903" ht="9.9499999999999993" hidden="1" customHeight="1" x14ac:dyDescent="0.2"/>
    <row r="8904" ht="9.9499999999999993" hidden="1" customHeight="1" x14ac:dyDescent="0.2"/>
    <row r="8905" ht="9.9499999999999993" hidden="1" customHeight="1" x14ac:dyDescent="0.2"/>
    <row r="8906" ht="9.9499999999999993" hidden="1" customHeight="1" x14ac:dyDescent="0.2"/>
    <row r="8907" ht="9.9499999999999993" hidden="1" customHeight="1" x14ac:dyDescent="0.2"/>
    <row r="8908" ht="9.9499999999999993" hidden="1" customHeight="1" x14ac:dyDescent="0.2"/>
    <row r="8909" ht="9.9499999999999993" hidden="1" customHeight="1" x14ac:dyDescent="0.2"/>
    <row r="8910" ht="9.9499999999999993" hidden="1" customHeight="1" x14ac:dyDescent="0.2"/>
    <row r="8911" ht="9.9499999999999993" hidden="1" customHeight="1" x14ac:dyDescent="0.2"/>
    <row r="8912" ht="9.9499999999999993" hidden="1" customHeight="1" x14ac:dyDescent="0.2"/>
    <row r="8913" ht="9.9499999999999993" hidden="1" customHeight="1" x14ac:dyDescent="0.2"/>
    <row r="8914" ht="9.9499999999999993" hidden="1" customHeight="1" x14ac:dyDescent="0.2"/>
    <row r="8915" ht="9.9499999999999993" hidden="1" customHeight="1" x14ac:dyDescent="0.2"/>
    <row r="8916" ht="9.9499999999999993" hidden="1" customHeight="1" x14ac:dyDescent="0.2"/>
    <row r="8917" ht="9.9499999999999993" hidden="1" customHeight="1" x14ac:dyDescent="0.2"/>
    <row r="8918" ht="9.9499999999999993" hidden="1" customHeight="1" x14ac:dyDescent="0.2"/>
    <row r="8919" ht="9.9499999999999993" hidden="1" customHeight="1" x14ac:dyDescent="0.2"/>
    <row r="8920" ht="9.9499999999999993" hidden="1" customHeight="1" x14ac:dyDescent="0.2"/>
    <row r="8921" ht="9.9499999999999993" hidden="1" customHeight="1" x14ac:dyDescent="0.2"/>
    <row r="8922" ht="9.9499999999999993" hidden="1" customHeight="1" x14ac:dyDescent="0.2"/>
    <row r="8923" ht="9.9499999999999993" hidden="1" customHeight="1" x14ac:dyDescent="0.2"/>
    <row r="8924" ht="9.9499999999999993" hidden="1" customHeight="1" x14ac:dyDescent="0.2"/>
    <row r="8925" ht="9.9499999999999993" hidden="1" customHeight="1" x14ac:dyDescent="0.2"/>
    <row r="8926" ht="9.9499999999999993" hidden="1" customHeight="1" x14ac:dyDescent="0.2"/>
    <row r="8927" ht="9.9499999999999993" hidden="1" customHeight="1" x14ac:dyDescent="0.2"/>
    <row r="8928" ht="9.9499999999999993" hidden="1" customHeight="1" x14ac:dyDescent="0.2"/>
    <row r="8929" ht="9.9499999999999993" hidden="1" customHeight="1" x14ac:dyDescent="0.2"/>
    <row r="8930" ht="9.9499999999999993" hidden="1" customHeight="1" x14ac:dyDescent="0.2"/>
    <row r="8931" ht="9.9499999999999993" hidden="1" customHeight="1" x14ac:dyDescent="0.2"/>
    <row r="8932" ht="9.9499999999999993" hidden="1" customHeight="1" x14ac:dyDescent="0.2"/>
    <row r="8933" ht="9.9499999999999993" hidden="1" customHeight="1" x14ac:dyDescent="0.2"/>
    <row r="8934" ht="9.9499999999999993" hidden="1" customHeight="1" x14ac:dyDescent="0.2"/>
    <row r="8935" ht="9.9499999999999993" hidden="1" customHeight="1" x14ac:dyDescent="0.2"/>
    <row r="8936" ht="9.9499999999999993" hidden="1" customHeight="1" x14ac:dyDescent="0.2"/>
    <row r="8937" ht="9.9499999999999993" hidden="1" customHeight="1" x14ac:dyDescent="0.2"/>
    <row r="8938" ht="9.9499999999999993" hidden="1" customHeight="1" x14ac:dyDescent="0.2"/>
    <row r="8939" ht="9.9499999999999993" hidden="1" customHeight="1" x14ac:dyDescent="0.2"/>
    <row r="8940" ht="9.9499999999999993" hidden="1" customHeight="1" x14ac:dyDescent="0.2"/>
    <row r="8941" ht="9.9499999999999993" hidden="1" customHeight="1" x14ac:dyDescent="0.2"/>
    <row r="8942" ht="9.9499999999999993" hidden="1" customHeight="1" x14ac:dyDescent="0.2"/>
    <row r="8943" ht="9.9499999999999993" hidden="1" customHeight="1" x14ac:dyDescent="0.2"/>
    <row r="8944" ht="9.9499999999999993" hidden="1" customHeight="1" x14ac:dyDescent="0.2"/>
    <row r="8945" ht="9.9499999999999993" hidden="1" customHeight="1" x14ac:dyDescent="0.2"/>
    <row r="8946" ht="9.9499999999999993" hidden="1" customHeight="1" x14ac:dyDescent="0.2"/>
    <row r="8947" ht="9.9499999999999993" hidden="1" customHeight="1" x14ac:dyDescent="0.2"/>
    <row r="8948" ht="9.9499999999999993" hidden="1" customHeight="1" x14ac:dyDescent="0.2"/>
    <row r="8949" ht="9.9499999999999993" hidden="1" customHeight="1" x14ac:dyDescent="0.2"/>
    <row r="8950" ht="9.9499999999999993" hidden="1" customHeight="1" x14ac:dyDescent="0.2"/>
    <row r="8951" ht="9.9499999999999993" hidden="1" customHeight="1" x14ac:dyDescent="0.2"/>
    <row r="8952" ht="9.9499999999999993" hidden="1" customHeight="1" x14ac:dyDescent="0.2"/>
    <row r="8953" ht="9.9499999999999993" hidden="1" customHeight="1" x14ac:dyDescent="0.2"/>
    <row r="8954" ht="9.9499999999999993" hidden="1" customHeight="1" x14ac:dyDescent="0.2"/>
    <row r="8955" ht="9.9499999999999993" hidden="1" customHeight="1" x14ac:dyDescent="0.2"/>
    <row r="8956" ht="9.9499999999999993" hidden="1" customHeight="1" x14ac:dyDescent="0.2"/>
    <row r="8957" ht="9.9499999999999993" hidden="1" customHeight="1" x14ac:dyDescent="0.2"/>
    <row r="8958" ht="9.9499999999999993" hidden="1" customHeight="1" x14ac:dyDescent="0.2"/>
    <row r="8959" ht="9.9499999999999993" hidden="1" customHeight="1" x14ac:dyDescent="0.2"/>
    <row r="8960" ht="9.9499999999999993" hidden="1" customHeight="1" x14ac:dyDescent="0.2"/>
    <row r="8961" ht="9.9499999999999993" hidden="1" customHeight="1" x14ac:dyDescent="0.2"/>
    <row r="8962" ht="9.9499999999999993" hidden="1" customHeight="1" x14ac:dyDescent="0.2"/>
    <row r="8963" ht="9.9499999999999993" hidden="1" customHeight="1" x14ac:dyDescent="0.2"/>
    <row r="8964" ht="9.9499999999999993" hidden="1" customHeight="1" x14ac:dyDescent="0.2"/>
    <row r="8965" ht="9.9499999999999993" hidden="1" customHeight="1" x14ac:dyDescent="0.2"/>
    <row r="8966" ht="9.9499999999999993" hidden="1" customHeight="1" x14ac:dyDescent="0.2"/>
    <row r="8967" ht="9.9499999999999993" hidden="1" customHeight="1" x14ac:dyDescent="0.2"/>
    <row r="8968" ht="9.9499999999999993" hidden="1" customHeight="1" x14ac:dyDescent="0.2"/>
    <row r="8969" ht="9.9499999999999993" hidden="1" customHeight="1" x14ac:dyDescent="0.2"/>
    <row r="8970" ht="9.9499999999999993" hidden="1" customHeight="1" x14ac:dyDescent="0.2"/>
    <row r="8971" ht="9.9499999999999993" hidden="1" customHeight="1" x14ac:dyDescent="0.2"/>
    <row r="8972" ht="9.9499999999999993" hidden="1" customHeight="1" x14ac:dyDescent="0.2"/>
    <row r="8973" ht="9.9499999999999993" hidden="1" customHeight="1" x14ac:dyDescent="0.2"/>
    <row r="8974" ht="9.9499999999999993" hidden="1" customHeight="1" x14ac:dyDescent="0.2"/>
    <row r="8975" ht="9.9499999999999993" hidden="1" customHeight="1" x14ac:dyDescent="0.2"/>
    <row r="8976" ht="9.9499999999999993" hidden="1" customHeight="1" x14ac:dyDescent="0.2"/>
    <row r="8977" ht="9.9499999999999993" hidden="1" customHeight="1" x14ac:dyDescent="0.2"/>
    <row r="8978" ht="9.9499999999999993" hidden="1" customHeight="1" x14ac:dyDescent="0.2"/>
    <row r="8979" ht="9.9499999999999993" hidden="1" customHeight="1" x14ac:dyDescent="0.2"/>
    <row r="8980" ht="9.9499999999999993" hidden="1" customHeight="1" x14ac:dyDescent="0.2"/>
    <row r="8981" ht="9.9499999999999993" hidden="1" customHeight="1" x14ac:dyDescent="0.2"/>
    <row r="8982" ht="9.9499999999999993" hidden="1" customHeight="1" x14ac:dyDescent="0.2"/>
    <row r="8983" ht="9.9499999999999993" hidden="1" customHeight="1" x14ac:dyDescent="0.2"/>
    <row r="8984" ht="9.9499999999999993" hidden="1" customHeight="1" x14ac:dyDescent="0.2"/>
    <row r="8985" ht="9.9499999999999993" hidden="1" customHeight="1" x14ac:dyDescent="0.2"/>
    <row r="8986" ht="9.9499999999999993" hidden="1" customHeight="1" x14ac:dyDescent="0.2"/>
    <row r="8987" ht="9.9499999999999993" hidden="1" customHeight="1" x14ac:dyDescent="0.2"/>
    <row r="8988" ht="9.9499999999999993" hidden="1" customHeight="1" x14ac:dyDescent="0.2"/>
    <row r="8989" ht="9.9499999999999993" hidden="1" customHeight="1" x14ac:dyDescent="0.2"/>
    <row r="8990" ht="9.9499999999999993" hidden="1" customHeight="1" x14ac:dyDescent="0.2"/>
    <row r="8991" ht="9.9499999999999993" hidden="1" customHeight="1" x14ac:dyDescent="0.2"/>
    <row r="8992" ht="9.9499999999999993" hidden="1" customHeight="1" x14ac:dyDescent="0.2"/>
    <row r="8993" ht="9.9499999999999993" hidden="1" customHeight="1" x14ac:dyDescent="0.2"/>
    <row r="8994" ht="9.9499999999999993" hidden="1" customHeight="1" x14ac:dyDescent="0.2"/>
    <row r="8995" ht="9.9499999999999993" hidden="1" customHeight="1" x14ac:dyDescent="0.2"/>
    <row r="8996" ht="9.9499999999999993" hidden="1" customHeight="1" x14ac:dyDescent="0.2"/>
    <row r="8997" ht="9.9499999999999993" hidden="1" customHeight="1" x14ac:dyDescent="0.2"/>
    <row r="8998" ht="9.9499999999999993" hidden="1" customHeight="1" x14ac:dyDescent="0.2"/>
    <row r="8999" ht="9.9499999999999993" hidden="1" customHeight="1" x14ac:dyDescent="0.2"/>
    <row r="9000" ht="9.9499999999999993" hidden="1" customHeight="1" x14ac:dyDescent="0.2"/>
    <row r="9001" ht="9.9499999999999993" hidden="1" customHeight="1" x14ac:dyDescent="0.2"/>
    <row r="9002" ht="9.9499999999999993" hidden="1" customHeight="1" x14ac:dyDescent="0.2"/>
    <row r="9003" ht="9.9499999999999993" hidden="1" customHeight="1" x14ac:dyDescent="0.2"/>
    <row r="9004" ht="9.9499999999999993" hidden="1" customHeight="1" x14ac:dyDescent="0.2"/>
    <row r="9005" ht="9.9499999999999993" hidden="1" customHeight="1" x14ac:dyDescent="0.2"/>
    <row r="9006" ht="9.9499999999999993" hidden="1" customHeight="1" x14ac:dyDescent="0.2"/>
    <row r="9007" ht="9.9499999999999993" hidden="1" customHeight="1" x14ac:dyDescent="0.2"/>
    <row r="9008" ht="9.9499999999999993" hidden="1" customHeight="1" x14ac:dyDescent="0.2"/>
    <row r="9009" ht="9.9499999999999993" hidden="1" customHeight="1" x14ac:dyDescent="0.2"/>
    <row r="9010" ht="9.9499999999999993" hidden="1" customHeight="1" x14ac:dyDescent="0.2"/>
    <row r="9011" ht="9.9499999999999993" hidden="1" customHeight="1" x14ac:dyDescent="0.2"/>
    <row r="9012" ht="9.9499999999999993" hidden="1" customHeight="1" x14ac:dyDescent="0.2"/>
    <row r="9013" ht="9.9499999999999993" hidden="1" customHeight="1" x14ac:dyDescent="0.2"/>
    <row r="9014" ht="9.9499999999999993" hidden="1" customHeight="1" x14ac:dyDescent="0.2"/>
    <row r="9015" ht="9.9499999999999993" hidden="1" customHeight="1" x14ac:dyDescent="0.2"/>
    <row r="9016" ht="9.9499999999999993" hidden="1" customHeight="1" x14ac:dyDescent="0.2"/>
    <row r="9017" ht="9.9499999999999993" hidden="1" customHeight="1" x14ac:dyDescent="0.2"/>
    <row r="9018" ht="9.9499999999999993" hidden="1" customHeight="1" x14ac:dyDescent="0.2"/>
    <row r="9019" ht="9.9499999999999993" hidden="1" customHeight="1" x14ac:dyDescent="0.2"/>
    <row r="9020" ht="9.9499999999999993" hidden="1" customHeight="1" x14ac:dyDescent="0.2"/>
    <row r="9021" ht="9.9499999999999993" hidden="1" customHeight="1" x14ac:dyDescent="0.2"/>
    <row r="9022" ht="9.9499999999999993" hidden="1" customHeight="1" x14ac:dyDescent="0.2"/>
    <row r="9023" ht="9.9499999999999993" hidden="1" customHeight="1" x14ac:dyDescent="0.2"/>
    <row r="9024" ht="9.9499999999999993" hidden="1" customHeight="1" x14ac:dyDescent="0.2"/>
    <row r="9025" ht="9.9499999999999993" hidden="1" customHeight="1" x14ac:dyDescent="0.2"/>
    <row r="9026" ht="9.9499999999999993" hidden="1" customHeight="1" x14ac:dyDescent="0.2"/>
    <row r="9027" ht="9.9499999999999993" hidden="1" customHeight="1" x14ac:dyDescent="0.2"/>
    <row r="9028" ht="9.9499999999999993" hidden="1" customHeight="1" x14ac:dyDescent="0.2"/>
    <row r="9029" ht="9.9499999999999993" hidden="1" customHeight="1" x14ac:dyDescent="0.2"/>
    <row r="9030" ht="9.9499999999999993" hidden="1" customHeight="1" x14ac:dyDescent="0.2"/>
    <row r="9031" ht="9.9499999999999993" hidden="1" customHeight="1" x14ac:dyDescent="0.2"/>
    <row r="9032" ht="9.9499999999999993" hidden="1" customHeight="1" x14ac:dyDescent="0.2"/>
    <row r="9033" ht="9.9499999999999993" hidden="1" customHeight="1" x14ac:dyDescent="0.2"/>
    <row r="9034" ht="9.9499999999999993" hidden="1" customHeight="1" x14ac:dyDescent="0.2"/>
    <row r="9035" ht="9.9499999999999993" hidden="1" customHeight="1" x14ac:dyDescent="0.2"/>
    <row r="9036" ht="9.9499999999999993" hidden="1" customHeight="1" x14ac:dyDescent="0.2"/>
    <row r="9037" ht="9.9499999999999993" hidden="1" customHeight="1" x14ac:dyDescent="0.2"/>
    <row r="9038" ht="9.9499999999999993" hidden="1" customHeight="1" x14ac:dyDescent="0.2"/>
    <row r="9039" ht="9.9499999999999993" hidden="1" customHeight="1" x14ac:dyDescent="0.2"/>
    <row r="9040" ht="9.9499999999999993" hidden="1" customHeight="1" x14ac:dyDescent="0.2"/>
    <row r="9041" ht="9.9499999999999993" hidden="1" customHeight="1" x14ac:dyDescent="0.2"/>
    <row r="9042" ht="9.9499999999999993" hidden="1" customHeight="1" x14ac:dyDescent="0.2"/>
    <row r="9043" ht="9.9499999999999993" hidden="1" customHeight="1" x14ac:dyDescent="0.2"/>
    <row r="9044" ht="9.9499999999999993" hidden="1" customHeight="1" x14ac:dyDescent="0.2"/>
    <row r="9045" ht="9.9499999999999993" hidden="1" customHeight="1" x14ac:dyDescent="0.2"/>
    <row r="9046" ht="9.9499999999999993" hidden="1" customHeight="1" x14ac:dyDescent="0.2"/>
    <row r="9047" ht="9.9499999999999993" hidden="1" customHeight="1" x14ac:dyDescent="0.2"/>
    <row r="9048" ht="9.9499999999999993" hidden="1" customHeight="1" x14ac:dyDescent="0.2"/>
    <row r="9049" ht="9.9499999999999993" hidden="1" customHeight="1" x14ac:dyDescent="0.2"/>
    <row r="9050" ht="9.9499999999999993" hidden="1" customHeight="1" x14ac:dyDescent="0.2"/>
    <row r="9051" ht="9.9499999999999993" hidden="1" customHeight="1" x14ac:dyDescent="0.2"/>
    <row r="9052" ht="9.9499999999999993" hidden="1" customHeight="1" x14ac:dyDescent="0.2"/>
    <row r="9053" ht="9.9499999999999993" hidden="1" customHeight="1" x14ac:dyDescent="0.2"/>
    <row r="9054" ht="9.9499999999999993" hidden="1" customHeight="1" x14ac:dyDescent="0.2"/>
    <row r="9055" ht="9.9499999999999993" hidden="1" customHeight="1" x14ac:dyDescent="0.2"/>
    <row r="9056" ht="9.9499999999999993" hidden="1" customHeight="1" x14ac:dyDescent="0.2"/>
    <row r="9057" ht="9.9499999999999993" hidden="1" customHeight="1" x14ac:dyDescent="0.2"/>
    <row r="9058" ht="9.9499999999999993" hidden="1" customHeight="1" x14ac:dyDescent="0.2"/>
    <row r="9059" ht="9.9499999999999993" hidden="1" customHeight="1" x14ac:dyDescent="0.2"/>
    <row r="9060" ht="9.9499999999999993" hidden="1" customHeight="1" x14ac:dyDescent="0.2"/>
    <row r="9061" ht="9.9499999999999993" hidden="1" customHeight="1" x14ac:dyDescent="0.2"/>
    <row r="9062" ht="9.9499999999999993" hidden="1" customHeight="1" x14ac:dyDescent="0.2"/>
    <row r="9063" ht="9.9499999999999993" hidden="1" customHeight="1" x14ac:dyDescent="0.2"/>
    <row r="9064" ht="9.9499999999999993" hidden="1" customHeight="1" x14ac:dyDescent="0.2"/>
    <row r="9065" ht="9.9499999999999993" hidden="1" customHeight="1" x14ac:dyDescent="0.2"/>
    <row r="9066" ht="9.9499999999999993" hidden="1" customHeight="1" x14ac:dyDescent="0.2"/>
    <row r="9067" ht="9.9499999999999993" hidden="1" customHeight="1" x14ac:dyDescent="0.2"/>
    <row r="9068" ht="9.9499999999999993" hidden="1" customHeight="1" x14ac:dyDescent="0.2"/>
    <row r="9069" ht="9.9499999999999993" hidden="1" customHeight="1" x14ac:dyDescent="0.2"/>
    <row r="9070" ht="9.9499999999999993" hidden="1" customHeight="1" x14ac:dyDescent="0.2"/>
    <row r="9071" ht="9.9499999999999993" hidden="1" customHeight="1" x14ac:dyDescent="0.2"/>
    <row r="9072" ht="9.9499999999999993" hidden="1" customHeight="1" x14ac:dyDescent="0.2"/>
    <row r="9073" ht="9.9499999999999993" hidden="1" customHeight="1" x14ac:dyDescent="0.2"/>
    <row r="9074" ht="9.9499999999999993" hidden="1" customHeight="1" x14ac:dyDescent="0.2"/>
    <row r="9075" ht="9.9499999999999993" hidden="1" customHeight="1" x14ac:dyDescent="0.2"/>
    <row r="9076" ht="9.9499999999999993" hidden="1" customHeight="1" x14ac:dyDescent="0.2"/>
    <row r="9077" ht="9.9499999999999993" hidden="1" customHeight="1" x14ac:dyDescent="0.2"/>
    <row r="9078" ht="9.9499999999999993" hidden="1" customHeight="1" x14ac:dyDescent="0.2"/>
    <row r="9079" ht="9.9499999999999993" hidden="1" customHeight="1" x14ac:dyDescent="0.2"/>
    <row r="9080" ht="9.9499999999999993" hidden="1" customHeight="1" x14ac:dyDescent="0.2"/>
    <row r="9081" ht="9.9499999999999993" hidden="1" customHeight="1" x14ac:dyDescent="0.2"/>
    <row r="9082" ht="9.9499999999999993" hidden="1" customHeight="1" x14ac:dyDescent="0.2"/>
    <row r="9083" ht="9.9499999999999993" hidden="1" customHeight="1" x14ac:dyDescent="0.2"/>
    <row r="9084" ht="9.9499999999999993" hidden="1" customHeight="1" x14ac:dyDescent="0.2"/>
    <row r="9085" ht="9.9499999999999993" hidden="1" customHeight="1" x14ac:dyDescent="0.2"/>
    <row r="9086" ht="9.9499999999999993" hidden="1" customHeight="1" x14ac:dyDescent="0.2"/>
    <row r="9087" ht="9.9499999999999993" hidden="1" customHeight="1" x14ac:dyDescent="0.2"/>
    <row r="9088" ht="9.9499999999999993" hidden="1" customHeight="1" x14ac:dyDescent="0.2"/>
    <row r="9089" ht="9.9499999999999993" hidden="1" customHeight="1" x14ac:dyDescent="0.2"/>
    <row r="9090" ht="9.9499999999999993" hidden="1" customHeight="1" x14ac:dyDescent="0.2"/>
    <row r="9091" ht="9.9499999999999993" hidden="1" customHeight="1" x14ac:dyDescent="0.2"/>
    <row r="9092" ht="9.9499999999999993" hidden="1" customHeight="1" x14ac:dyDescent="0.2"/>
    <row r="9093" ht="9.9499999999999993" hidden="1" customHeight="1" x14ac:dyDescent="0.2"/>
    <row r="9094" ht="9.9499999999999993" hidden="1" customHeight="1" x14ac:dyDescent="0.2"/>
    <row r="9095" ht="9.9499999999999993" hidden="1" customHeight="1" x14ac:dyDescent="0.2"/>
    <row r="9096" ht="9.9499999999999993" hidden="1" customHeight="1" x14ac:dyDescent="0.2"/>
    <row r="9097" ht="9.9499999999999993" hidden="1" customHeight="1" x14ac:dyDescent="0.2"/>
    <row r="9098" ht="9.9499999999999993" hidden="1" customHeight="1" x14ac:dyDescent="0.2"/>
    <row r="9099" ht="9.9499999999999993" hidden="1" customHeight="1" x14ac:dyDescent="0.2"/>
    <row r="9100" ht="9.9499999999999993" hidden="1" customHeight="1" x14ac:dyDescent="0.2"/>
    <row r="9101" ht="9.9499999999999993" hidden="1" customHeight="1" x14ac:dyDescent="0.2"/>
    <row r="9102" ht="9.9499999999999993" hidden="1" customHeight="1" x14ac:dyDescent="0.2"/>
    <row r="9103" ht="9.9499999999999993" hidden="1" customHeight="1" x14ac:dyDescent="0.2"/>
    <row r="9104" ht="9.9499999999999993" hidden="1" customHeight="1" x14ac:dyDescent="0.2"/>
    <row r="9105" ht="9.9499999999999993" hidden="1" customHeight="1" x14ac:dyDescent="0.2"/>
    <row r="9106" ht="9.9499999999999993" hidden="1" customHeight="1" x14ac:dyDescent="0.2"/>
    <row r="9107" ht="9.9499999999999993" hidden="1" customHeight="1" x14ac:dyDescent="0.2"/>
    <row r="9108" ht="9.9499999999999993" hidden="1" customHeight="1" x14ac:dyDescent="0.2"/>
    <row r="9109" ht="9.9499999999999993" hidden="1" customHeight="1" x14ac:dyDescent="0.2"/>
    <row r="9110" ht="9.9499999999999993" hidden="1" customHeight="1" x14ac:dyDescent="0.2"/>
    <row r="9111" ht="9.9499999999999993" hidden="1" customHeight="1" x14ac:dyDescent="0.2"/>
    <row r="9112" ht="9.9499999999999993" hidden="1" customHeight="1" x14ac:dyDescent="0.2"/>
    <row r="9113" ht="9.9499999999999993" hidden="1" customHeight="1" x14ac:dyDescent="0.2"/>
    <row r="9114" ht="9.9499999999999993" hidden="1" customHeight="1" x14ac:dyDescent="0.2"/>
    <row r="9115" ht="9.9499999999999993" hidden="1" customHeight="1" x14ac:dyDescent="0.2"/>
    <row r="9116" ht="9.9499999999999993" hidden="1" customHeight="1" x14ac:dyDescent="0.2"/>
    <row r="9117" ht="9.9499999999999993" hidden="1" customHeight="1" x14ac:dyDescent="0.2"/>
    <row r="9118" ht="9.9499999999999993" hidden="1" customHeight="1" x14ac:dyDescent="0.2"/>
    <row r="9119" ht="9.9499999999999993" hidden="1" customHeight="1" x14ac:dyDescent="0.2"/>
    <row r="9120" ht="9.9499999999999993" hidden="1" customHeight="1" x14ac:dyDescent="0.2"/>
    <row r="9121" ht="9.9499999999999993" hidden="1" customHeight="1" x14ac:dyDescent="0.2"/>
    <row r="9122" ht="9.9499999999999993" hidden="1" customHeight="1" x14ac:dyDescent="0.2"/>
    <row r="9123" ht="9.9499999999999993" hidden="1" customHeight="1" x14ac:dyDescent="0.2"/>
    <row r="9124" ht="9.9499999999999993" hidden="1" customHeight="1" x14ac:dyDescent="0.2"/>
    <row r="9125" ht="9.9499999999999993" hidden="1" customHeight="1" x14ac:dyDescent="0.2"/>
    <row r="9126" ht="9.9499999999999993" hidden="1" customHeight="1" x14ac:dyDescent="0.2"/>
    <row r="9127" ht="9.9499999999999993" hidden="1" customHeight="1" x14ac:dyDescent="0.2"/>
    <row r="9128" ht="9.9499999999999993" hidden="1" customHeight="1" x14ac:dyDescent="0.2"/>
    <row r="9129" ht="9.9499999999999993" hidden="1" customHeight="1" x14ac:dyDescent="0.2"/>
    <row r="9130" ht="9.9499999999999993" hidden="1" customHeight="1" x14ac:dyDescent="0.2"/>
    <row r="9131" ht="9.9499999999999993" hidden="1" customHeight="1" x14ac:dyDescent="0.2"/>
    <row r="9132" ht="9.9499999999999993" hidden="1" customHeight="1" x14ac:dyDescent="0.2"/>
    <row r="9133" ht="9.9499999999999993" hidden="1" customHeight="1" x14ac:dyDescent="0.2"/>
    <row r="9134" ht="9.9499999999999993" hidden="1" customHeight="1" x14ac:dyDescent="0.2"/>
    <row r="9135" ht="9.9499999999999993" hidden="1" customHeight="1" x14ac:dyDescent="0.2"/>
    <row r="9136" ht="9.9499999999999993" hidden="1" customHeight="1" x14ac:dyDescent="0.2"/>
    <row r="9137" ht="9.9499999999999993" hidden="1" customHeight="1" x14ac:dyDescent="0.2"/>
    <row r="9138" ht="9.9499999999999993" hidden="1" customHeight="1" x14ac:dyDescent="0.2"/>
    <row r="9139" ht="9.9499999999999993" hidden="1" customHeight="1" x14ac:dyDescent="0.2"/>
    <row r="9140" ht="9.9499999999999993" hidden="1" customHeight="1" x14ac:dyDescent="0.2"/>
    <row r="9141" ht="9.9499999999999993" hidden="1" customHeight="1" x14ac:dyDescent="0.2"/>
    <row r="9142" ht="9.9499999999999993" hidden="1" customHeight="1" x14ac:dyDescent="0.2"/>
    <row r="9143" ht="9.9499999999999993" hidden="1" customHeight="1" x14ac:dyDescent="0.2"/>
    <row r="9144" ht="9.9499999999999993" hidden="1" customHeight="1" x14ac:dyDescent="0.2"/>
    <row r="9145" ht="9.9499999999999993" hidden="1" customHeight="1" x14ac:dyDescent="0.2"/>
    <row r="9146" ht="9.9499999999999993" hidden="1" customHeight="1" x14ac:dyDescent="0.2"/>
    <row r="9147" ht="9.9499999999999993" hidden="1" customHeight="1" x14ac:dyDescent="0.2"/>
    <row r="9148" ht="9.9499999999999993" hidden="1" customHeight="1" x14ac:dyDescent="0.2"/>
    <row r="9149" ht="9.9499999999999993" hidden="1" customHeight="1" x14ac:dyDescent="0.2"/>
    <row r="9150" ht="9.9499999999999993" hidden="1" customHeight="1" x14ac:dyDescent="0.2"/>
    <row r="9151" ht="9.9499999999999993" hidden="1" customHeight="1" x14ac:dyDescent="0.2"/>
    <row r="9152" ht="9.9499999999999993" hidden="1" customHeight="1" x14ac:dyDescent="0.2"/>
    <row r="9153" ht="9.9499999999999993" hidden="1" customHeight="1" x14ac:dyDescent="0.2"/>
    <row r="9154" ht="9.9499999999999993" hidden="1" customHeight="1" x14ac:dyDescent="0.2"/>
    <row r="9155" ht="9.9499999999999993" hidden="1" customHeight="1" x14ac:dyDescent="0.2"/>
    <row r="9156" ht="9.9499999999999993" hidden="1" customHeight="1" x14ac:dyDescent="0.2"/>
    <row r="9157" ht="9.9499999999999993" hidden="1" customHeight="1" x14ac:dyDescent="0.2"/>
    <row r="9158" ht="9.9499999999999993" hidden="1" customHeight="1" x14ac:dyDescent="0.2"/>
    <row r="9159" ht="9.9499999999999993" hidden="1" customHeight="1" x14ac:dyDescent="0.2"/>
    <row r="9160" ht="9.9499999999999993" hidden="1" customHeight="1" x14ac:dyDescent="0.2"/>
    <row r="9161" ht="9.9499999999999993" hidden="1" customHeight="1" x14ac:dyDescent="0.2"/>
    <row r="9162" ht="9.9499999999999993" hidden="1" customHeight="1" x14ac:dyDescent="0.2"/>
    <row r="9163" ht="9.9499999999999993" hidden="1" customHeight="1" x14ac:dyDescent="0.2"/>
    <row r="9164" ht="9.9499999999999993" hidden="1" customHeight="1" x14ac:dyDescent="0.2"/>
    <row r="9165" ht="9.9499999999999993" hidden="1" customHeight="1" x14ac:dyDescent="0.2"/>
    <row r="9166" ht="9.9499999999999993" hidden="1" customHeight="1" x14ac:dyDescent="0.2"/>
    <row r="9167" ht="9.9499999999999993" hidden="1" customHeight="1" x14ac:dyDescent="0.2"/>
    <row r="9168" ht="9.9499999999999993" hidden="1" customHeight="1" x14ac:dyDescent="0.2"/>
    <row r="9169" ht="9.9499999999999993" hidden="1" customHeight="1" x14ac:dyDescent="0.2"/>
    <row r="9170" ht="9.9499999999999993" hidden="1" customHeight="1" x14ac:dyDescent="0.2"/>
    <row r="9171" ht="9.9499999999999993" hidden="1" customHeight="1" x14ac:dyDescent="0.2"/>
    <row r="9172" ht="9.9499999999999993" hidden="1" customHeight="1" x14ac:dyDescent="0.2"/>
    <row r="9173" ht="9.9499999999999993" hidden="1" customHeight="1" x14ac:dyDescent="0.2"/>
    <row r="9174" ht="9.9499999999999993" hidden="1" customHeight="1" x14ac:dyDescent="0.2"/>
    <row r="9175" ht="9.9499999999999993" hidden="1" customHeight="1" x14ac:dyDescent="0.2"/>
    <row r="9176" ht="9.9499999999999993" hidden="1" customHeight="1" x14ac:dyDescent="0.2"/>
    <row r="9177" ht="9.9499999999999993" hidden="1" customHeight="1" x14ac:dyDescent="0.2"/>
    <row r="9178" ht="9.9499999999999993" hidden="1" customHeight="1" x14ac:dyDescent="0.2"/>
    <row r="9179" ht="9.9499999999999993" hidden="1" customHeight="1" x14ac:dyDescent="0.2"/>
    <row r="9180" ht="9.9499999999999993" hidden="1" customHeight="1" x14ac:dyDescent="0.2"/>
    <row r="9181" ht="9.9499999999999993" hidden="1" customHeight="1" x14ac:dyDescent="0.2"/>
    <row r="9182" ht="9.9499999999999993" hidden="1" customHeight="1" x14ac:dyDescent="0.2"/>
    <row r="9183" ht="9.9499999999999993" hidden="1" customHeight="1" x14ac:dyDescent="0.2"/>
    <row r="9184" ht="9.9499999999999993" hidden="1" customHeight="1" x14ac:dyDescent="0.2"/>
    <row r="9185" ht="9.9499999999999993" hidden="1" customHeight="1" x14ac:dyDescent="0.2"/>
    <row r="9186" ht="9.9499999999999993" hidden="1" customHeight="1" x14ac:dyDescent="0.2"/>
    <row r="9187" ht="9.9499999999999993" hidden="1" customHeight="1" x14ac:dyDescent="0.2"/>
    <row r="9188" ht="9.9499999999999993" hidden="1" customHeight="1" x14ac:dyDescent="0.2"/>
    <row r="9189" ht="9.9499999999999993" hidden="1" customHeight="1" x14ac:dyDescent="0.2"/>
    <row r="9190" ht="9.9499999999999993" hidden="1" customHeight="1" x14ac:dyDescent="0.2"/>
    <row r="9191" ht="9.9499999999999993" hidden="1" customHeight="1" x14ac:dyDescent="0.2"/>
    <row r="9192" ht="9.9499999999999993" hidden="1" customHeight="1" x14ac:dyDescent="0.2"/>
    <row r="9193" ht="9.9499999999999993" hidden="1" customHeight="1" x14ac:dyDescent="0.2"/>
    <row r="9194" ht="9.9499999999999993" hidden="1" customHeight="1" x14ac:dyDescent="0.2"/>
    <row r="9195" ht="9.9499999999999993" hidden="1" customHeight="1" x14ac:dyDescent="0.2"/>
    <row r="9196" ht="9.9499999999999993" hidden="1" customHeight="1" x14ac:dyDescent="0.2"/>
    <row r="9197" ht="9.9499999999999993" hidden="1" customHeight="1" x14ac:dyDescent="0.2"/>
    <row r="9198" ht="9.9499999999999993" hidden="1" customHeight="1" x14ac:dyDescent="0.2"/>
    <row r="9199" ht="9.9499999999999993" hidden="1" customHeight="1" x14ac:dyDescent="0.2"/>
    <row r="9200" ht="9.9499999999999993" hidden="1" customHeight="1" x14ac:dyDescent="0.2"/>
    <row r="9201" ht="9.9499999999999993" hidden="1" customHeight="1" x14ac:dyDescent="0.2"/>
    <row r="9202" ht="9.9499999999999993" hidden="1" customHeight="1" x14ac:dyDescent="0.2"/>
    <row r="9203" ht="9.9499999999999993" hidden="1" customHeight="1" x14ac:dyDescent="0.2"/>
    <row r="9204" ht="9.9499999999999993" hidden="1" customHeight="1" x14ac:dyDescent="0.2"/>
    <row r="9205" ht="9.9499999999999993" hidden="1" customHeight="1" x14ac:dyDescent="0.2"/>
    <row r="9206" ht="9.9499999999999993" hidden="1" customHeight="1" x14ac:dyDescent="0.2"/>
    <row r="9207" ht="9.9499999999999993" hidden="1" customHeight="1" x14ac:dyDescent="0.2"/>
    <row r="9208" ht="9.9499999999999993" hidden="1" customHeight="1" x14ac:dyDescent="0.2"/>
    <row r="9209" ht="9.9499999999999993" hidden="1" customHeight="1" x14ac:dyDescent="0.2"/>
    <row r="9210" ht="9.9499999999999993" hidden="1" customHeight="1" x14ac:dyDescent="0.2"/>
    <row r="9211" ht="9.9499999999999993" hidden="1" customHeight="1" x14ac:dyDescent="0.2"/>
    <row r="9212" ht="9.9499999999999993" hidden="1" customHeight="1" x14ac:dyDescent="0.2"/>
    <row r="9213" ht="9.9499999999999993" hidden="1" customHeight="1" x14ac:dyDescent="0.2"/>
    <row r="9214" ht="9.9499999999999993" hidden="1" customHeight="1" x14ac:dyDescent="0.2"/>
    <row r="9215" ht="9.9499999999999993" hidden="1" customHeight="1" x14ac:dyDescent="0.2"/>
    <row r="9216" ht="9.9499999999999993" hidden="1" customHeight="1" x14ac:dyDescent="0.2"/>
    <row r="9217" ht="9.9499999999999993" hidden="1" customHeight="1" x14ac:dyDescent="0.2"/>
    <row r="9218" ht="9.9499999999999993" hidden="1" customHeight="1" x14ac:dyDescent="0.2"/>
    <row r="9219" ht="9.9499999999999993" hidden="1" customHeight="1" x14ac:dyDescent="0.2"/>
    <row r="9220" ht="9.9499999999999993" hidden="1" customHeight="1" x14ac:dyDescent="0.2"/>
    <row r="9221" ht="9.9499999999999993" hidden="1" customHeight="1" x14ac:dyDescent="0.2"/>
    <row r="9222" ht="9.9499999999999993" hidden="1" customHeight="1" x14ac:dyDescent="0.2"/>
    <row r="9223" ht="9.9499999999999993" hidden="1" customHeight="1" x14ac:dyDescent="0.2"/>
    <row r="9224" ht="9.9499999999999993" hidden="1" customHeight="1" x14ac:dyDescent="0.2"/>
    <row r="9225" ht="9.9499999999999993" hidden="1" customHeight="1" x14ac:dyDescent="0.2"/>
    <row r="9226" ht="9.9499999999999993" hidden="1" customHeight="1" x14ac:dyDescent="0.2"/>
    <row r="9227" ht="9.9499999999999993" hidden="1" customHeight="1" x14ac:dyDescent="0.2"/>
    <row r="9228" ht="9.9499999999999993" hidden="1" customHeight="1" x14ac:dyDescent="0.2"/>
    <row r="9229" ht="9.9499999999999993" hidden="1" customHeight="1" x14ac:dyDescent="0.2"/>
    <row r="9230" ht="9.9499999999999993" hidden="1" customHeight="1" x14ac:dyDescent="0.2"/>
    <row r="9231" ht="9.9499999999999993" hidden="1" customHeight="1" x14ac:dyDescent="0.2"/>
    <row r="9232" ht="9.9499999999999993" hidden="1" customHeight="1" x14ac:dyDescent="0.2"/>
    <row r="9233" ht="9.9499999999999993" hidden="1" customHeight="1" x14ac:dyDescent="0.2"/>
    <row r="9234" ht="9.9499999999999993" hidden="1" customHeight="1" x14ac:dyDescent="0.2"/>
    <row r="9235" ht="9.9499999999999993" hidden="1" customHeight="1" x14ac:dyDescent="0.2"/>
    <row r="9236" ht="9.9499999999999993" hidden="1" customHeight="1" x14ac:dyDescent="0.2"/>
    <row r="9237" ht="9.9499999999999993" hidden="1" customHeight="1" x14ac:dyDescent="0.2"/>
    <row r="9238" ht="9.9499999999999993" hidden="1" customHeight="1" x14ac:dyDescent="0.2"/>
    <row r="9239" ht="9.9499999999999993" hidden="1" customHeight="1" x14ac:dyDescent="0.2"/>
    <row r="9240" ht="9.9499999999999993" hidden="1" customHeight="1" x14ac:dyDescent="0.2"/>
    <row r="9241" ht="9.9499999999999993" hidden="1" customHeight="1" x14ac:dyDescent="0.2"/>
    <row r="9242" ht="9.9499999999999993" hidden="1" customHeight="1" x14ac:dyDescent="0.2"/>
    <row r="9243" ht="9.9499999999999993" hidden="1" customHeight="1" x14ac:dyDescent="0.2"/>
    <row r="9244" ht="9.9499999999999993" hidden="1" customHeight="1" x14ac:dyDescent="0.2"/>
    <row r="9245" ht="9.9499999999999993" hidden="1" customHeight="1" x14ac:dyDescent="0.2"/>
    <row r="9246" ht="9.9499999999999993" hidden="1" customHeight="1" x14ac:dyDescent="0.2"/>
    <row r="9247" ht="9.9499999999999993" hidden="1" customHeight="1" x14ac:dyDescent="0.2"/>
    <row r="9248" ht="9.9499999999999993" hidden="1" customHeight="1" x14ac:dyDescent="0.2"/>
    <row r="9249" ht="9.9499999999999993" hidden="1" customHeight="1" x14ac:dyDescent="0.2"/>
    <row r="9250" ht="9.9499999999999993" hidden="1" customHeight="1" x14ac:dyDescent="0.2"/>
    <row r="9251" ht="9.9499999999999993" hidden="1" customHeight="1" x14ac:dyDescent="0.2"/>
    <row r="9252" ht="9.9499999999999993" hidden="1" customHeight="1" x14ac:dyDescent="0.2"/>
    <row r="9253" ht="9.9499999999999993" hidden="1" customHeight="1" x14ac:dyDescent="0.2"/>
    <row r="9254" ht="9.9499999999999993" hidden="1" customHeight="1" x14ac:dyDescent="0.2"/>
    <row r="9255" ht="9.9499999999999993" hidden="1" customHeight="1" x14ac:dyDescent="0.2"/>
    <row r="9256" ht="9.9499999999999993" hidden="1" customHeight="1" x14ac:dyDescent="0.2"/>
    <row r="9257" ht="9.9499999999999993" hidden="1" customHeight="1" x14ac:dyDescent="0.2"/>
    <row r="9258" ht="9.9499999999999993" hidden="1" customHeight="1" x14ac:dyDescent="0.2"/>
    <row r="9259" ht="9.9499999999999993" hidden="1" customHeight="1" x14ac:dyDescent="0.2"/>
    <row r="9260" ht="9.9499999999999993" hidden="1" customHeight="1" x14ac:dyDescent="0.2"/>
    <row r="9261" ht="9.9499999999999993" hidden="1" customHeight="1" x14ac:dyDescent="0.2"/>
    <row r="9262" ht="9.9499999999999993" hidden="1" customHeight="1" x14ac:dyDescent="0.2"/>
    <row r="9263" ht="9.9499999999999993" hidden="1" customHeight="1" x14ac:dyDescent="0.2"/>
    <row r="9264" ht="9.9499999999999993" hidden="1" customHeight="1" x14ac:dyDescent="0.2"/>
    <row r="9265" ht="9.9499999999999993" hidden="1" customHeight="1" x14ac:dyDescent="0.2"/>
    <row r="9266" ht="9.9499999999999993" hidden="1" customHeight="1" x14ac:dyDescent="0.2"/>
    <row r="9267" ht="9.9499999999999993" hidden="1" customHeight="1" x14ac:dyDescent="0.2"/>
    <row r="9268" ht="9.9499999999999993" hidden="1" customHeight="1" x14ac:dyDescent="0.2"/>
    <row r="9269" ht="9.9499999999999993" hidden="1" customHeight="1" x14ac:dyDescent="0.2"/>
    <row r="9270" ht="9.9499999999999993" hidden="1" customHeight="1" x14ac:dyDescent="0.2"/>
    <row r="9271" ht="9.9499999999999993" hidden="1" customHeight="1" x14ac:dyDescent="0.2"/>
    <row r="9272" ht="9.9499999999999993" hidden="1" customHeight="1" x14ac:dyDescent="0.2"/>
    <row r="9273" ht="9.9499999999999993" hidden="1" customHeight="1" x14ac:dyDescent="0.2"/>
    <row r="9274" ht="9.9499999999999993" hidden="1" customHeight="1" x14ac:dyDescent="0.2"/>
    <row r="9275" ht="9.9499999999999993" hidden="1" customHeight="1" x14ac:dyDescent="0.2"/>
    <row r="9276" ht="9.9499999999999993" hidden="1" customHeight="1" x14ac:dyDescent="0.2"/>
    <row r="9277" ht="9.9499999999999993" hidden="1" customHeight="1" x14ac:dyDescent="0.2"/>
    <row r="9278" ht="9.9499999999999993" hidden="1" customHeight="1" x14ac:dyDescent="0.2"/>
    <row r="9279" ht="9.9499999999999993" hidden="1" customHeight="1" x14ac:dyDescent="0.2"/>
    <row r="9280" ht="9.9499999999999993" hidden="1" customHeight="1" x14ac:dyDescent="0.2"/>
    <row r="9281" ht="9.9499999999999993" hidden="1" customHeight="1" x14ac:dyDescent="0.2"/>
    <row r="9282" ht="9.9499999999999993" hidden="1" customHeight="1" x14ac:dyDescent="0.2"/>
    <row r="9283" ht="9.9499999999999993" hidden="1" customHeight="1" x14ac:dyDescent="0.2"/>
    <row r="9284" ht="9.9499999999999993" hidden="1" customHeight="1" x14ac:dyDescent="0.2"/>
    <row r="9285" ht="9.9499999999999993" hidden="1" customHeight="1" x14ac:dyDescent="0.2"/>
    <row r="9286" ht="9.9499999999999993" hidden="1" customHeight="1" x14ac:dyDescent="0.2"/>
    <row r="9287" ht="9.9499999999999993" hidden="1" customHeight="1" x14ac:dyDescent="0.2"/>
    <row r="9288" ht="9.9499999999999993" hidden="1" customHeight="1" x14ac:dyDescent="0.2"/>
    <row r="9289" ht="9.9499999999999993" hidden="1" customHeight="1" x14ac:dyDescent="0.2"/>
    <row r="9290" ht="9.9499999999999993" hidden="1" customHeight="1" x14ac:dyDescent="0.2"/>
    <row r="9291" ht="9.9499999999999993" hidden="1" customHeight="1" x14ac:dyDescent="0.2"/>
    <row r="9292" ht="9.9499999999999993" hidden="1" customHeight="1" x14ac:dyDescent="0.2"/>
    <row r="9293" ht="9.9499999999999993" hidden="1" customHeight="1" x14ac:dyDescent="0.2"/>
    <row r="9294" ht="9.9499999999999993" hidden="1" customHeight="1" x14ac:dyDescent="0.2"/>
    <row r="9295" ht="9.9499999999999993" hidden="1" customHeight="1" x14ac:dyDescent="0.2"/>
    <row r="9296" ht="9.9499999999999993" hidden="1" customHeight="1" x14ac:dyDescent="0.2"/>
    <row r="9297" ht="9.9499999999999993" hidden="1" customHeight="1" x14ac:dyDescent="0.2"/>
    <row r="9298" ht="9.9499999999999993" hidden="1" customHeight="1" x14ac:dyDescent="0.2"/>
    <row r="9299" ht="9.9499999999999993" hidden="1" customHeight="1" x14ac:dyDescent="0.2"/>
    <row r="9300" ht="9.9499999999999993" hidden="1" customHeight="1" x14ac:dyDescent="0.2"/>
    <row r="9301" ht="9.9499999999999993" hidden="1" customHeight="1" x14ac:dyDescent="0.2"/>
    <row r="9302" ht="9.9499999999999993" hidden="1" customHeight="1" x14ac:dyDescent="0.2"/>
    <row r="9303" ht="9.9499999999999993" hidden="1" customHeight="1" x14ac:dyDescent="0.2"/>
    <row r="9304" ht="9.9499999999999993" hidden="1" customHeight="1" x14ac:dyDescent="0.2"/>
    <row r="9305" ht="9.9499999999999993" hidden="1" customHeight="1" x14ac:dyDescent="0.2"/>
    <row r="9306" ht="9.9499999999999993" hidden="1" customHeight="1" x14ac:dyDescent="0.2"/>
    <row r="9307" ht="9.9499999999999993" hidden="1" customHeight="1" x14ac:dyDescent="0.2"/>
    <row r="9308" ht="9.9499999999999993" hidden="1" customHeight="1" x14ac:dyDescent="0.2"/>
    <row r="9309" ht="9.9499999999999993" hidden="1" customHeight="1" x14ac:dyDescent="0.2"/>
    <row r="9310" ht="9.9499999999999993" hidden="1" customHeight="1" x14ac:dyDescent="0.2"/>
    <row r="9311" ht="9.9499999999999993" hidden="1" customHeight="1" x14ac:dyDescent="0.2"/>
    <row r="9312" ht="9.9499999999999993" hidden="1" customHeight="1" x14ac:dyDescent="0.2"/>
    <row r="9313" ht="9.9499999999999993" hidden="1" customHeight="1" x14ac:dyDescent="0.2"/>
    <row r="9314" ht="9.9499999999999993" hidden="1" customHeight="1" x14ac:dyDescent="0.2"/>
    <row r="9315" ht="9.9499999999999993" hidden="1" customHeight="1" x14ac:dyDescent="0.2"/>
    <row r="9316" ht="9.9499999999999993" hidden="1" customHeight="1" x14ac:dyDescent="0.2"/>
    <row r="9317" ht="9.9499999999999993" hidden="1" customHeight="1" x14ac:dyDescent="0.2"/>
    <row r="9318" ht="9.9499999999999993" hidden="1" customHeight="1" x14ac:dyDescent="0.2"/>
    <row r="9319" ht="9.9499999999999993" hidden="1" customHeight="1" x14ac:dyDescent="0.2"/>
    <row r="9320" ht="9.9499999999999993" hidden="1" customHeight="1" x14ac:dyDescent="0.2"/>
    <row r="9321" ht="9.9499999999999993" hidden="1" customHeight="1" x14ac:dyDescent="0.2"/>
    <row r="9322" ht="9.9499999999999993" hidden="1" customHeight="1" x14ac:dyDescent="0.2"/>
    <row r="9323" ht="9.9499999999999993" hidden="1" customHeight="1" x14ac:dyDescent="0.2"/>
    <row r="9324" ht="9.9499999999999993" hidden="1" customHeight="1" x14ac:dyDescent="0.2"/>
    <row r="9325" ht="9.9499999999999993" hidden="1" customHeight="1" x14ac:dyDescent="0.2"/>
    <row r="9326" ht="9.9499999999999993" hidden="1" customHeight="1" x14ac:dyDescent="0.2"/>
    <row r="9327" ht="9.9499999999999993" hidden="1" customHeight="1" x14ac:dyDescent="0.2"/>
    <row r="9328" ht="9.9499999999999993" hidden="1" customHeight="1" x14ac:dyDescent="0.2"/>
    <row r="9329" ht="9.9499999999999993" hidden="1" customHeight="1" x14ac:dyDescent="0.2"/>
    <row r="9330" ht="9.9499999999999993" hidden="1" customHeight="1" x14ac:dyDescent="0.2"/>
    <row r="9331" ht="9.9499999999999993" hidden="1" customHeight="1" x14ac:dyDescent="0.2"/>
    <row r="9332" ht="9.9499999999999993" hidden="1" customHeight="1" x14ac:dyDescent="0.2"/>
    <row r="9333" ht="9.9499999999999993" hidden="1" customHeight="1" x14ac:dyDescent="0.2"/>
    <row r="9334" ht="9.9499999999999993" hidden="1" customHeight="1" x14ac:dyDescent="0.2"/>
    <row r="9335" ht="9.9499999999999993" hidden="1" customHeight="1" x14ac:dyDescent="0.2"/>
    <row r="9336" ht="9.9499999999999993" hidden="1" customHeight="1" x14ac:dyDescent="0.2"/>
    <row r="9337" ht="9.9499999999999993" hidden="1" customHeight="1" x14ac:dyDescent="0.2"/>
    <row r="9338" ht="9.9499999999999993" hidden="1" customHeight="1" x14ac:dyDescent="0.2"/>
    <row r="9339" ht="9.9499999999999993" hidden="1" customHeight="1" x14ac:dyDescent="0.2"/>
    <row r="9340" ht="9.9499999999999993" hidden="1" customHeight="1" x14ac:dyDescent="0.2"/>
    <row r="9341" ht="9.9499999999999993" hidden="1" customHeight="1" x14ac:dyDescent="0.2"/>
    <row r="9342" ht="9.9499999999999993" hidden="1" customHeight="1" x14ac:dyDescent="0.2"/>
    <row r="9343" ht="9.9499999999999993" hidden="1" customHeight="1" x14ac:dyDescent="0.2"/>
    <row r="9344" ht="9.9499999999999993" hidden="1" customHeight="1" x14ac:dyDescent="0.2"/>
    <row r="9345" ht="9.9499999999999993" hidden="1" customHeight="1" x14ac:dyDescent="0.2"/>
    <row r="9346" ht="9.9499999999999993" hidden="1" customHeight="1" x14ac:dyDescent="0.2"/>
    <row r="9347" ht="9.9499999999999993" hidden="1" customHeight="1" x14ac:dyDescent="0.2"/>
    <row r="9348" ht="9.9499999999999993" hidden="1" customHeight="1" x14ac:dyDescent="0.2"/>
    <row r="9349" ht="9.9499999999999993" hidden="1" customHeight="1" x14ac:dyDescent="0.2"/>
    <row r="9350" ht="9.9499999999999993" hidden="1" customHeight="1" x14ac:dyDescent="0.2"/>
    <row r="9351" ht="9.9499999999999993" hidden="1" customHeight="1" x14ac:dyDescent="0.2"/>
    <row r="9352" ht="9.9499999999999993" hidden="1" customHeight="1" x14ac:dyDescent="0.2"/>
    <row r="9353" ht="9.9499999999999993" hidden="1" customHeight="1" x14ac:dyDescent="0.2"/>
    <row r="9354" ht="9.9499999999999993" hidden="1" customHeight="1" x14ac:dyDescent="0.2"/>
    <row r="9355" ht="9.9499999999999993" hidden="1" customHeight="1" x14ac:dyDescent="0.2"/>
    <row r="9356" ht="9.9499999999999993" hidden="1" customHeight="1" x14ac:dyDescent="0.2"/>
    <row r="9357" ht="9.9499999999999993" hidden="1" customHeight="1" x14ac:dyDescent="0.2"/>
    <row r="9358" ht="9.9499999999999993" hidden="1" customHeight="1" x14ac:dyDescent="0.2"/>
    <row r="9359" ht="9.9499999999999993" hidden="1" customHeight="1" x14ac:dyDescent="0.2"/>
    <row r="9360" ht="9.9499999999999993" hidden="1" customHeight="1" x14ac:dyDescent="0.2"/>
    <row r="9361" ht="9.9499999999999993" hidden="1" customHeight="1" x14ac:dyDescent="0.2"/>
    <row r="9362" ht="9.9499999999999993" hidden="1" customHeight="1" x14ac:dyDescent="0.2"/>
    <row r="9363" ht="9.9499999999999993" hidden="1" customHeight="1" x14ac:dyDescent="0.2"/>
    <row r="9364" ht="9.9499999999999993" hidden="1" customHeight="1" x14ac:dyDescent="0.2"/>
    <row r="9365" ht="9.9499999999999993" hidden="1" customHeight="1" x14ac:dyDescent="0.2"/>
    <row r="9366" ht="9.9499999999999993" hidden="1" customHeight="1" x14ac:dyDescent="0.2"/>
    <row r="9367" ht="9.9499999999999993" hidden="1" customHeight="1" x14ac:dyDescent="0.2"/>
    <row r="9368" ht="9.9499999999999993" hidden="1" customHeight="1" x14ac:dyDescent="0.2"/>
    <row r="9369" ht="9.9499999999999993" hidden="1" customHeight="1" x14ac:dyDescent="0.2"/>
    <row r="9370" ht="9.9499999999999993" hidden="1" customHeight="1" x14ac:dyDescent="0.2"/>
    <row r="9371" ht="9.9499999999999993" hidden="1" customHeight="1" x14ac:dyDescent="0.2"/>
    <row r="9372" ht="9.9499999999999993" hidden="1" customHeight="1" x14ac:dyDescent="0.2"/>
    <row r="9373" ht="9.9499999999999993" hidden="1" customHeight="1" x14ac:dyDescent="0.2"/>
    <row r="9374" ht="9.9499999999999993" hidden="1" customHeight="1" x14ac:dyDescent="0.2"/>
    <row r="9375" ht="9.9499999999999993" hidden="1" customHeight="1" x14ac:dyDescent="0.2"/>
    <row r="9376" ht="9.9499999999999993" hidden="1" customHeight="1" x14ac:dyDescent="0.2"/>
    <row r="9377" ht="9.9499999999999993" hidden="1" customHeight="1" x14ac:dyDescent="0.2"/>
    <row r="9378" ht="9.9499999999999993" hidden="1" customHeight="1" x14ac:dyDescent="0.2"/>
    <row r="9379" ht="9.9499999999999993" hidden="1" customHeight="1" x14ac:dyDescent="0.2"/>
    <row r="9380" ht="9.9499999999999993" hidden="1" customHeight="1" x14ac:dyDescent="0.2"/>
    <row r="9381" ht="9.9499999999999993" hidden="1" customHeight="1" x14ac:dyDescent="0.2"/>
    <row r="9382" ht="9.9499999999999993" hidden="1" customHeight="1" x14ac:dyDescent="0.2"/>
    <row r="9383" ht="9.9499999999999993" hidden="1" customHeight="1" x14ac:dyDescent="0.2"/>
    <row r="9384" ht="9.9499999999999993" hidden="1" customHeight="1" x14ac:dyDescent="0.2"/>
    <row r="9385" ht="9.9499999999999993" hidden="1" customHeight="1" x14ac:dyDescent="0.2"/>
    <row r="9386" ht="9.9499999999999993" hidden="1" customHeight="1" x14ac:dyDescent="0.2"/>
    <row r="9387" ht="9.9499999999999993" hidden="1" customHeight="1" x14ac:dyDescent="0.2"/>
    <row r="9388" ht="9.9499999999999993" hidden="1" customHeight="1" x14ac:dyDescent="0.2"/>
    <row r="9389" ht="9.9499999999999993" hidden="1" customHeight="1" x14ac:dyDescent="0.2"/>
    <row r="9390" ht="9.9499999999999993" hidden="1" customHeight="1" x14ac:dyDescent="0.2"/>
    <row r="9391" ht="9.9499999999999993" hidden="1" customHeight="1" x14ac:dyDescent="0.2"/>
    <row r="9392" ht="9.9499999999999993" hidden="1" customHeight="1" x14ac:dyDescent="0.2"/>
    <row r="9393" ht="9.9499999999999993" hidden="1" customHeight="1" x14ac:dyDescent="0.2"/>
    <row r="9394" ht="9.9499999999999993" hidden="1" customHeight="1" x14ac:dyDescent="0.2"/>
    <row r="9395" ht="9.9499999999999993" hidden="1" customHeight="1" x14ac:dyDescent="0.2"/>
    <row r="9396" ht="9.9499999999999993" hidden="1" customHeight="1" x14ac:dyDescent="0.2"/>
    <row r="9397" ht="9.9499999999999993" hidden="1" customHeight="1" x14ac:dyDescent="0.2"/>
    <row r="9398" ht="9.9499999999999993" hidden="1" customHeight="1" x14ac:dyDescent="0.2"/>
    <row r="9399" ht="9.9499999999999993" hidden="1" customHeight="1" x14ac:dyDescent="0.2"/>
    <row r="9400" ht="9.9499999999999993" hidden="1" customHeight="1" x14ac:dyDescent="0.2"/>
    <row r="9401" ht="9.9499999999999993" hidden="1" customHeight="1" x14ac:dyDescent="0.2"/>
    <row r="9402" ht="9.9499999999999993" hidden="1" customHeight="1" x14ac:dyDescent="0.2"/>
    <row r="9403" ht="9.9499999999999993" hidden="1" customHeight="1" x14ac:dyDescent="0.2"/>
    <row r="9404" ht="9.9499999999999993" hidden="1" customHeight="1" x14ac:dyDescent="0.2"/>
    <row r="9405" ht="9.9499999999999993" hidden="1" customHeight="1" x14ac:dyDescent="0.2"/>
    <row r="9406" ht="9.9499999999999993" hidden="1" customHeight="1" x14ac:dyDescent="0.2"/>
    <row r="9407" ht="9.9499999999999993" hidden="1" customHeight="1" x14ac:dyDescent="0.2"/>
    <row r="9408" ht="9.9499999999999993" hidden="1" customHeight="1" x14ac:dyDescent="0.2"/>
    <row r="9409" ht="9.9499999999999993" hidden="1" customHeight="1" x14ac:dyDescent="0.2"/>
    <row r="9410" ht="9.9499999999999993" hidden="1" customHeight="1" x14ac:dyDescent="0.2"/>
    <row r="9411" ht="9.9499999999999993" hidden="1" customHeight="1" x14ac:dyDescent="0.2"/>
    <row r="9412" ht="9.9499999999999993" hidden="1" customHeight="1" x14ac:dyDescent="0.2"/>
    <row r="9413" ht="9.9499999999999993" hidden="1" customHeight="1" x14ac:dyDescent="0.2"/>
    <row r="9414" ht="9.9499999999999993" hidden="1" customHeight="1" x14ac:dyDescent="0.2"/>
    <row r="9415" ht="9.9499999999999993" hidden="1" customHeight="1" x14ac:dyDescent="0.2"/>
    <row r="9416" ht="9.9499999999999993" hidden="1" customHeight="1" x14ac:dyDescent="0.2"/>
    <row r="9417" ht="9.9499999999999993" hidden="1" customHeight="1" x14ac:dyDescent="0.2"/>
    <row r="9418" ht="9.9499999999999993" hidden="1" customHeight="1" x14ac:dyDescent="0.2"/>
    <row r="9419" ht="9.9499999999999993" hidden="1" customHeight="1" x14ac:dyDescent="0.2"/>
    <row r="9420" ht="9.9499999999999993" hidden="1" customHeight="1" x14ac:dyDescent="0.2"/>
    <row r="9421" ht="9.9499999999999993" hidden="1" customHeight="1" x14ac:dyDescent="0.2"/>
    <row r="9422" ht="9.9499999999999993" hidden="1" customHeight="1" x14ac:dyDescent="0.2"/>
    <row r="9423" ht="9.9499999999999993" hidden="1" customHeight="1" x14ac:dyDescent="0.2"/>
    <row r="9424" ht="9.9499999999999993" hidden="1" customHeight="1" x14ac:dyDescent="0.2"/>
    <row r="9425" ht="9.9499999999999993" hidden="1" customHeight="1" x14ac:dyDescent="0.2"/>
    <row r="9426" ht="9.9499999999999993" hidden="1" customHeight="1" x14ac:dyDescent="0.2"/>
    <row r="9427" ht="9.9499999999999993" hidden="1" customHeight="1" x14ac:dyDescent="0.2"/>
    <row r="9428" ht="9.9499999999999993" hidden="1" customHeight="1" x14ac:dyDescent="0.2"/>
    <row r="9429" ht="9.9499999999999993" hidden="1" customHeight="1" x14ac:dyDescent="0.2"/>
    <row r="9430" ht="9.9499999999999993" hidden="1" customHeight="1" x14ac:dyDescent="0.2"/>
    <row r="9431" ht="9.9499999999999993" hidden="1" customHeight="1" x14ac:dyDescent="0.2"/>
    <row r="9432" ht="9.9499999999999993" hidden="1" customHeight="1" x14ac:dyDescent="0.2"/>
    <row r="9433" ht="9.9499999999999993" hidden="1" customHeight="1" x14ac:dyDescent="0.2"/>
    <row r="9434" ht="9.9499999999999993" hidden="1" customHeight="1" x14ac:dyDescent="0.2"/>
    <row r="9435" ht="9.9499999999999993" hidden="1" customHeight="1" x14ac:dyDescent="0.2"/>
    <row r="9436" ht="9.9499999999999993" hidden="1" customHeight="1" x14ac:dyDescent="0.2"/>
    <row r="9437" ht="9.9499999999999993" hidden="1" customHeight="1" x14ac:dyDescent="0.2"/>
    <row r="9438" ht="9.9499999999999993" hidden="1" customHeight="1" x14ac:dyDescent="0.2"/>
    <row r="9439" ht="9.9499999999999993" hidden="1" customHeight="1" x14ac:dyDescent="0.2"/>
    <row r="9440" ht="9.9499999999999993" hidden="1" customHeight="1" x14ac:dyDescent="0.2"/>
    <row r="9441" ht="9.9499999999999993" hidden="1" customHeight="1" x14ac:dyDescent="0.2"/>
    <row r="9442" ht="9.9499999999999993" hidden="1" customHeight="1" x14ac:dyDescent="0.2"/>
    <row r="9443" ht="9.9499999999999993" hidden="1" customHeight="1" x14ac:dyDescent="0.2"/>
    <row r="9444" ht="9.9499999999999993" hidden="1" customHeight="1" x14ac:dyDescent="0.2"/>
    <row r="9445" ht="9.9499999999999993" hidden="1" customHeight="1" x14ac:dyDescent="0.2"/>
    <row r="9446" ht="9.9499999999999993" hidden="1" customHeight="1" x14ac:dyDescent="0.2"/>
    <row r="9447" ht="9.9499999999999993" hidden="1" customHeight="1" x14ac:dyDescent="0.2"/>
    <row r="9448" ht="9.9499999999999993" hidden="1" customHeight="1" x14ac:dyDescent="0.2"/>
    <row r="9449" ht="9.9499999999999993" hidden="1" customHeight="1" x14ac:dyDescent="0.2"/>
    <row r="9450" ht="9.9499999999999993" hidden="1" customHeight="1" x14ac:dyDescent="0.2"/>
    <row r="9451" ht="9.9499999999999993" hidden="1" customHeight="1" x14ac:dyDescent="0.2"/>
    <row r="9452" ht="9.9499999999999993" hidden="1" customHeight="1" x14ac:dyDescent="0.2"/>
    <row r="9453" ht="9.9499999999999993" hidden="1" customHeight="1" x14ac:dyDescent="0.2"/>
    <row r="9454" ht="9.9499999999999993" hidden="1" customHeight="1" x14ac:dyDescent="0.2"/>
    <row r="9455" ht="9.9499999999999993" hidden="1" customHeight="1" x14ac:dyDescent="0.2"/>
    <row r="9456" ht="9.9499999999999993" hidden="1" customHeight="1" x14ac:dyDescent="0.2"/>
    <row r="9457" ht="9.9499999999999993" hidden="1" customHeight="1" x14ac:dyDescent="0.2"/>
    <row r="9458" ht="9.9499999999999993" hidden="1" customHeight="1" x14ac:dyDescent="0.2"/>
    <row r="9459" ht="9.9499999999999993" hidden="1" customHeight="1" x14ac:dyDescent="0.2"/>
    <row r="9460" ht="9.9499999999999993" hidden="1" customHeight="1" x14ac:dyDescent="0.2"/>
    <row r="9461" ht="9.9499999999999993" hidden="1" customHeight="1" x14ac:dyDescent="0.2"/>
    <row r="9462" ht="9.9499999999999993" hidden="1" customHeight="1" x14ac:dyDescent="0.2"/>
    <row r="9463" ht="9.9499999999999993" hidden="1" customHeight="1" x14ac:dyDescent="0.2"/>
    <row r="9464" ht="9.9499999999999993" hidden="1" customHeight="1" x14ac:dyDescent="0.2"/>
    <row r="9465" ht="9.9499999999999993" hidden="1" customHeight="1" x14ac:dyDescent="0.2"/>
    <row r="9466" ht="9.9499999999999993" hidden="1" customHeight="1" x14ac:dyDescent="0.2"/>
    <row r="9467" ht="9.9499999999999993" hidden="1" customHeight="1" x14ac:dyDescent="0.2"/>
    <row r="9468" ht="9.9499999999999993" hidden="1" customHeight="1" x14ac:dyDescent="0.2"/>
    <row r="9469" ht="9.9499999999999993" hidden="1" customHeight="1" x14ac:dyDescent="0.2"/>
    <row r="9470" ht="9.9499999999999993" hidden="1" customHeight="1" x14ac:dyDescent="0.2"/>
    <row r="9471" ht="9.9499999999999993" hidden="1" customHeight="1" x14ac:dyDescent="0.2"/>
    <row r="9472" ht="9.9499999999999993" hidden="1" customHeight="1" x14ac:dyDescent="0.2"/>
    <row r="9473" ht="9.9499999999999993" hidden="1" customHeight="1" x14ac:dyDescent="0.2"/>
    <row r="9474" ht="9.9499999999999993" hidden="1" customHeight="1" x14ac:dyDescent="0.2"/>
    <row r="9475" ht="9.9499999999999993" hidden="1" customHeight="1" x14ac:dyDescent="0.2"/>
    <row r="9476" ht="9.9499999999999993" hidden="1" customHeight="1" x14ac:dyDescent="0.2"/>
    <row r="9477" ht="9.9499999999999993" hidden="1" customHeight="1" x14ac:dyDescent="0.2"/>
    <row r="9478" ht="9.9499999999999993" hidden="1" customHeight="1" x14ac:dyDescent="0.2"/>
    <row r="9479" ht="9.9499999999999993" hidden="1" customHeight="1" x14ac:dyDescent="0.2"/>
    <row r="9480" ht="9.9499999999999993" hidden="1" customHeight="1" x14ac:dyDescent="0.2"/>
    <row r="9481" ht="9.9499999999999993" hidden="1" customHeight="1" x14ac:dyDescent="0.2"/>
    <row r="9482" ht="9.9499999999999993" hidden="1" customHeight="1" x14ac:dyDescent="0.2"/>
    <row r="9483" ht="9.9499999999999993" hidden="1" customHeight="1" x14ac:dyDescent="0.2"/>
    <row r="9484" ht="9.9499999999999993" hidden="1" customHeight="1" x14ac:dyDescent="0.2"/>
    <row r="9485" ht="9.9499999999999993" hidden="1" customHeight="1" x14ac:dyDescent="0.2"/>
    <row r="9486" ht="9.9499999999999993" hidden="1" customHeight="1" x14ac:dyDescent="0.2"/>
    <row r="9487" ht="9.9499999999999993" hidden="1" customHeight="1" x14ac:dyDescent="0.2"/>
    <row r="9488" ht="9.9499999999999993" hidden="1" customHeight="1" x14ac:dyDescent="0.2"/>
    <row r="9489" ht="9.9499999999999993" hidden="1" customHeight="1" x14ac:dyDescent="0.2"/>
    <row r="9490" ht="9.9499999999999993" hidden="1" customHeight="1" x14ac:dyDescent="0.2"/>
    <row r="9491" ht="9.9499999999999993" hidden="1" customHeight="1" x14ac:dyDescent="0.2"/>
    <row r="9492" ht="9.9499999999999993" hidden="1" customHeight="1" x14ac:dyDescent="0.2"/>
    <row r="9493" ht="9.9499999999999993" hidden="1" customHeight="1" x14ac:dyDescent="0.2"/>
    <row r="9494" ht="9.9499999999999993" hidden="1" customHeight="1" x14ac:dyDescent="0.2"/>
    <row r="9495" ht="9.9499999999999993" hidden="1" customHeight="1" x14ac:dyDescent="0.2"/>
    <row r="9496" ht="9.9499999999999993" hidden="1" customHeight="1" x14ac:dyDescent="0.2"/>
    <row r="9497" ht="9.9499999999999993" hidden="1" customHeight="1" x14ac:dyDescent="0.2"/>
    <row r="9498" ht="9.9499999999999993" hidden="1" customHeight="1" x14ac:dyDescent="0.2"/>
    <row r="9499" ht="9.9499999999999993" hidden="1" customHeight="1" x14ac:dyDescent="0.2"/>
    <row r="9500" ht="9.9499999999999993" hidden="1" customHeight="1" x14ac:dyDescent="0.2"/>
    <row r="9501" ht="9.9499999999999993" hidden="1" customHeight="1" x14ac:dyDescent="0.2"/>
    <row r="9502" ht="9.9499999999999993" hidden="1" customHeight="1" x14ac:dyDescent="0.2"/>
    <row r="9503" ht="9.9499999999999993" hidden="1" customHeight="1" x14ac:dyDescent="0.2"/>
    <row r="9504" ht="9.9499999999999993" hidden="1" customHeight="1" x14ac:dyDescent="0.2"/>
    <row r="9505" ht="9.9499999999999993" hidden="1" customHeight="1" x14ac:dyDescent="0.2"/>
    <row r="9506" ht="9.9499999999999993" hidden="1" customHeight="1" x14ac:dyDescent="0.2"/>
    <row r="9507" ht="9.9499999999999993" hidden="1" customHeight="1" x14ac:dyDescent="0.2"/>
    <row r="9508" ht="9.9499999999999993" hidden="1" customHeight="1" x14ac:dyDescent="0.2"/>
    <row r="9509" ht="9.9499999999999993" hidden="1" customHeight="1" x14ac:dyDescent="0.2"/>
    <row r="9510" ht="9.9499999999999993" hidden="1" customHeight="1" x14ac:dyDescent="0.2"/>
    <row r="9511" ht="9.9499999999999993" hidden="1" customHeight="1" x14ac:dyDescent="0.2"/>
    <row r="9512" ht="9.9499999999999993" hidden="1" customHeight="1" x14ac:dyDescent="0.2"/>
    <row r="9513" ht="9.9499999999999993" hidden="1" customHeight="1" x14ac:dyDescent="0.2"/>
    <row r="9514" ht="9.9499999999999993" hidden="1" customHeight="1" x14ac:dyDescent="0.2"/>
    <row r="9515" ht="9.9499999999999993" hidden="1" customHeight="1" x14ac:dyDescent="0.2"/>
    <row r="9516" ht="9.9499999999999993" hidden="1" customHeight="1" x14ac:dyDescent="0.2"/>
    <row r="9517" ht="9.9499999999999993" hidden="1" customHeight="1" x14ac:dyDescent="0.2"/>
    <row r="9518" ht="9.9499999999999993" hidden="1" customHeight="1" x14ac:dyDescent="0.2"/>
    <row r="9519" ht="9.9499999999999993" hidden="1" customHeight="1" x14ac:dyDescent="0.2"/>
    <row r="9520" ht="9.9499999999999993" hidden="1" customHeight="1" x14ac:dyDescent="0.2"/>
    <row r="9521" ht="9.9499999999999993" hidden="1" customHeight="1" x14ac:dyDescent="0.2"/>
    <row r="9522" ht="9.9499999999999993" hidden="1" customHeight="1" x14ac:dyDescent="0.2"/>
    <row r="9523" ht="9.9499999999999993" hidden="1" customHeight="1" x14ac:dyDescent="0.2"/>
    <row r="9524" ht="9.9499999999999993" hidden="1" customHeight="1" x14ac:dyDescent="0.2"/>
    <row r="9525" ht="9.9499999999999993" hidden="1" customHeight="1" x14ac:dyDescent="0.2"/>
    <row r="9526" ht="9.9499999999999993" hidden="1" customHeight="1" x14ac:dyDescent="0.2"/>
    <row r="9527" ht="9.9499999999999993" hidden="1" customHeight="1" x14ac:dyDescent="0.2"/>
    <row r="9528" ht="9.9499999999999993" hidden="1" customHeight="1" x14ac:dyDescent="0.2"/>
    <row r="9529" ht="9.9499999999999993" hidden="1" customHeight="1" x14ac:dyDescent="0.2"/>
    <row r="9530" ht="9.9499999999999993" hidden="1" customHeight="1" x14ac:dyDescent="0.2"/>
    <row r="9531" ht="9.9499999999999993" hidden="1" customHeight="1" x14ac:dyDescent="0.2"/>
    <row r="9532" ht="9.9499999999999993" hidden="1" customHeight="1" x14ac:dyDescent="0.2"/>
    <row r="9533" ht="9.9499999999999993" hidden="1" customHeight="1" x14ac:dyDescent="0.2"/>
    <row r="9534" ht="9.9499999999999993" hidden="1" customHeight="1" x14ac:dyDescent="0.2"/>
    <row r="9535" ht="9.9499999999999993" hidden="1" customHeight="1" x14ac:dyDescent="0.2"/>
    <row r="9536" ht="9.9499999999999993" hidden="1" customHeight="1" x14ac:dyDescent="0.2"/>
    <row r="9537" ht="9.9499999999999993" hidden="1" customHeight="1" x14ac:dyDescent="0.2"/>
    <row r="9538" ht="9.9499999999999993" hidden="1" customHeight="1" x14ac:dyDescent="0.2"/>
    <row r="9539" ht="9.9499999999999993" hidden="1" customHeight="1" x14ac:dyDescent="0.2"/>
    <row r="9540" ht="9.9499999999999993" hidden="1" customHeight="1" x14ac:dyDescent="0.2"/>
    <row r="9541" ht="9.9499999999999993" hidden="1" customHeight="1" x14ac:dyDescent="0.2"/>
    <row r="9542" ht="9.9499999999999993" hidden="1" customHeight="1" x14ac:dyDescent="0.2"/>
    <row r="9543" ht="9.9499999999999993" hidden="1" customHeight="1" x14ac:dyDescent="0.2"/>
    <row r="9544" ht="9.9499999999999993" hidden="1" customHeight="1" x14ac:dyDescent="0.2"/>
    <row r="9545" ht="9.9499999999999993" hidden="1" customHeight="1" x14ac:dyDescent="0.2"/>
    <row r="9546" ht="9.9499999999999993" hidden="1" customHeight="1" x14ac:dyDescent="0.2"/>
    <row r="9547" ht="9.9499999999999993" hidden="1" customHeight="1" x14ac:dyDescent="0.2"/>
    <row r="9548" ht="9.9499999999999993" hidden="1" customHeight="1" x14ac:dyDescent="0.2"/>
    <row r="9549" ht="9.9499999999999993" hidden="1" customHeight="1" x14ac:dyDescent="0.2"/>
    <row r="9550" ht="9.9499999999999993" hidden="1" customHeight="1" x14ac:dyDescent="0.2"/>
    <row r="9551" ht="9.9499999999999993" hidden="1" customHeight="1" x14ac:dyDescent="0.2"/>
    <row r="9552" ht="9.9499999999999993" hidden="1" customHeight="1" x14ac:dyDescent="0.2"/>
    <row r="9553" ht="9.9499999999999993" hidden="1" customHeight="1" x14ac:dyDescent="0.2"/>
    <row r="9554" ht="9.9499999999999993" hidden="1" customHeight="1" x14ac:dyDescent="0.2"/>
    <row r="9555" ht="9.9499999999999993" hidden="1" customHeight="1" x14ac:dyDescent="0.2"/>
    <row r="9556" ht="9.9499999999999993" hidden="1" customHeight="1" x14ac:dyDescent="0.2"/>
    <row r="9557" ht="9.9499999999999993" hidden="1" customHeight="1" x14ac:dyDescent="0.2"/>
    <row r="9558" ht="9.9499999999999993" hidden="1" customHeight="1" x14ac:dyDescent="0.2"/>
    <row r="9559" ht="9.9499999999999993" hidden="1" customHeight="1" x14ac:dyDescent="0.2"/>
    <row r="9560" ht="9.9499999999999993" hidden="1" customHeight="1" x14ac:dyDescent="0.2"/>
    <row r="9561" ht="9.9499999999999993" hidden="1" customHeight="1" x14ac:dyDescent="0.2"/>
    <row r="9562" ht="9.9499999999999993" hidden="1" customHeight="1" x14ac:dyDescent="0.2"/>
    <row r="9563" ht="9.9499999999999993" hidden="1" customHeight="1" x14ac:dyDescent="0.2"/>
    <row r="9564" ht="9.9499999999999993" hidden="1" customHeight="1" x14ac:dyDescent="0.2"/>
    <row r="9565" ht="9.9499999999999993" hidden="1" customHeight="1" x14ac:dyDescent="0.2"/>
    <row r="9566" ht="9.9499999999999993" hidden="1" customHeight="1" x14ac:dyDescent="0.2"/>
    <row r="9567" ht="9.9499999999999993" hidden="1" customHeight="1" x14ac:dyDescent="0.2"/>
    <row r="9568" ht="9.9499999999999993" hidden="1" customHeight="1" x14ac:dyDescent="0.2"/>
    <row r="9569" ht="9.9499999999999993" hidden="1" customHeight="1" x14ac:dyDescent="0.2"/>
    <row r="9570" ht="9.9499999999999993" hidden="1" customHeight="1" x14ac:dyDescent="0.2"/>
    <row r="9571" ht="9.9499999999999993" hidden="1" customHeight="1" x14ac:dyDescent="0.2"/>
    <row r="9572" ht="9.9499999999999993" hidden="1" customHeight="1" x14ac:dyDescent="0.2"/>
    <row r="9573" ht="9.9499999999999993" hidden="1" customHeight="1" x14ac:dyDescent="0.2"/>
    <row r="9574" ht="9.9499999999999993" hidden="1" customHeight="1" x14ac:dyDescent="0.2"/>
    <row r="9575" ht="9.9499999999999993" hidden="1" customHeight="1" x14ac:dyDescent="0.2"/>
    <row r="9576" ht="9.9499999999999993" hidden="1" customHeight="1" x14ac:dyDescent="0.2"/>
    <row r="9577" ht="9.9499999999999993" hidden="1" customHeight="1" x14ac:dyDescent="0.2"/>
    <row r="9578" ht="9.9499999999999993" hidden="1" customHeight="1" x14ac:dyDescent="0.2"/>
    <row r="9579" ht="9.9499999999999993" hidden="1" customHeight="1" x14ac:dyDescent="0.2"/>
    <row r="9580" ht="9.9499999999999993" hidden="1" customHeight="1" x14ac:dyDescent="0.2"/>
    <row r="9581" ht="9.9499999999999993" hidden="1" customHeight="1" x14ac:dyDescent="0.2"/>
    <row r="9582" ht="9.9499999999999993" hidden="1" customHeight="1" x14ac:dyDescent="0.2"/>
    <row r="9583" ht="9.9499999999999993" hidden="1" customHeight="1" x14ac:dyDescent="0.2"/>
    <row r="9584" ht="9.9499999999999993" hidden="1" customHeight="1" x14ac:dyDescent="0.2"/>
    <row r="9585" ht="9.9499999999999993" hidden="1" customHeight="1" x14ac:dyDescent="0.2"/>
    <row r="9586" ht="9.9499999999999993" hidden="1" customHeight="1" x14ac:dyDescent="0.2"/>
    <row r="9587" ht="9.9499999999999993" hidden="1" customHeight="1" x14ac:dyDescent="0.2"/>
    <row r="9588" ht="9.9499999999999993" hidden="1" customHeight="1" x14ac:dyDescent="0.2"/>
    <row r="9589" ht="9.9499999999999993" hidden="1" customHeight="1" x14ac:dyDescent="0.2"/>
    <row r="9590" ht="9.9499999999999993" hidden="1" customHeight="1" x14ac:dyDescent="0.2"/>
    <row r="9591" ht="9.9499999999999993" hidden="1" customHeight="1" x14ac:dyDescent="0.2"/>
    <row r="9592" ht="9.9499999999999993" hidden="1" customHeight="1" x14ac:dyDescent="0.2"/>
    <row r="9593" ht="9.9499999999999993" hidden="1" customHeight="1" x14ac:dyDescent="0.2"/>
    <row r="9594" ht="9.9499999999999993" hidden="1" customHeight="1" x14ac:dyDescent="0.2"/>
    <row r="9595" ht="9.9499999999999993" hidden="1" customHeight="1" x14ac:dyDescent="0.2"/>
    <row r="9596" ht="9.9499999999999993" hidden="1" customHeight="1" x14ac:dyDescent="0.2"/>
    <row r="9597" ht="9.9499999999999993" hidden="1" customHeight="1" x14ac:dyDescent="0.2"/>
    <row r="9598" ht="9.9499999999999993" hidden="1" customHeight="1" x14ac:dyDescent="0.2"/>
    <row r="9599" ht="9.9499999999999993" hidden="1" customHeight="1" x14ac:dyDescent="0.2"/>
    <row r="9600" ht="9.9499999999999993" hidden="1" customHeight="1" x14ac:dyDescent="0.2"/>
    <row r="9601" ht="9.9499999999999993" hidden="1" customHeight="1" x14ac:dyDescent="0.2"/>
    <row r="9602" ht="9.9499999999999993" hidden="1" customHeight="1" x14ac:dyDescent="0.2"/>
    <row r="9603" ht="9.9499999999999993" hidden="1" customHeight="1" x14ac:dyDescent="0.2"/>
    <row r="9604" ht="9.9499999999999993" hidden="1" customHeight="1" x14ac:dyDescent="0.2"/>
    <row r="9605" ht="9.9499999999999993" hidden="1" customHeight="1" x14ac:dyDescent="0.2"/>
    <row r="9606" ht="9.9499999999999993" hidden="1" customHeight="1" x14ac:dyDescent="0.2"/>
    <row r="9607" ht="9.9499999999999993" hidden="1" customHeight="1" x14ac:dyDescent="0.2"/>
    <row r="9608" ht="9.9499999999999993" hidden="1" customHeight="1" x14ac:dyDescent="0.2"/>
    <row r="9609" ht="9.9499999999999993" hidden="1" customHeight="1" x14ac:dyDescent="0.2"/>
    <row r="9610" ht="9.9499999999999993" hidden="1" customHeight="1" x14ac:dyDescent="0.2"/>
    <row r="9611" ht="9.9499999999999993" hidden="1" customHeight="1" x14ac:dyDescent="0.2"/>
    <row r="9612" ht="9.9499999999999993" hidden="1" customHeight="1" x14ac:dyDescent="0.2"/>
    <row r="9613" ht="9.9499999999999993" hidden="1" customHeight="1" x14ac:dyDescent="0.2"/>
    <row r="9614" ht="9.9499999999999993" hidden="1" customHeight="1" x14ac:dyDescent="0.2"/>
    <row r="9615" ht="9.9499999999999993" hidden="1" customHeight="1" x14ac:dyDescent="0.2"/>
    <row r="9616" ht="9.9499999999999993" hidden="1" customHeight="1" x14ac:dyDescent="0.2"/>
    <row r="9617" ht="9.9499999999999993" hidden="1" customHeight="1" x14ac:dyDescent="0.2"/>
    <row r="9618" ht="9.9499999999999993" hidden="1" customHeight="1" x14ac:dyDescent="0.2"/>
    <row r="9619" ht="9.9499999999999993" hidden="1" customHeight="1" x14ac:dyDescent="0.2"/>
    <row r="9620" ht="9.9499999999999993" hidden="1" customHeight="1" x14ac:dyDescent="0.2"/>
    <row r="9621" ht="9.9499999999999993" hidden="1" customHeight="1" x14ac:dyDescent="0.2"/>
    <row r="9622" ht="9.9499999999999993" hidden="1" customHeight="1" x14ac:dyDescent="0.2"/>
    <row r="9623" ht="9.9499999999999993" hidden="1" customHeight="1" x14ac:dyDescent="0.2"/>
    <row r="9624" ht="9.9499999999999993" hidden="1" customHeight="1" x14ac:dyDescent="0.2"/>
    <row r="9625" ht="9.9499999999999993" hidden="1" customHeight="1" x14ac:dyDescent="0.2"/>
    <row r="9626" ht="9.9499999999999993" hidden="1" customHeight="1" x14ac:dyDescent="0.2"/>
    <row r="9627" ht="9.9499999999999993" hidden="1" customHeight="1" x14ac:dyDescent="0.2"/>
    <row r="9628" ht="9.9499999999999993" hidden="1" customHeight="1" x14ac:dyDescent="0.2"/>
    <row r="9629" ht="9.9499999999999993" hidden="1" customHeight="1" x14ac:dyDescent="0.2"/>
    <row r="9630" ht="9.9499999999999993" hidden="1" customHeight="1" x14ac:dyDescent="0.2"/>
    <row r="9631" ht="9.9499999999999993" hidden="1" customHeight="1" x14ac:dyDescent="0.2"/>
    <row r="9632" ht="9.9499999999999993" hidden="1" customHeight="1" x14ac:dyDescent="0.2"/>
    <row r="9633" ht="9.9499999999999993" hidden="1" customHeight="1" x14ac:dyDescent="0.2"/>
    <row r="9634" ht="9.9499999999999993" hidden="1" customHeight="1" x14ac:dyDescent="0.2"/>
    <row r="9635" ht="9.9499999999999993" hidden="1" customHeight="1" x14ac:dyDescent="0.2"/>
    <row r="9636" ht="9.9499999999999993" hidden="1" customHeight="1" x14ac:dyDescent="0.2"/>
    <row r="9637" ht="9.9499999999999993" hidden="1" customHeight="1" x14ac:dyDescent="0.2"/>
    <row r="9638" ht="9.9499999999999993" hidden="1" customHeight="1" x14ac:dyDescent="0.2"/>
    <row r="9639" ht="9.9499999999999993" hidden="1" customHeight="1" x14ac:dyDescent="0.2"/>
    <row r="9640" ht="9.9499999999999993" hidden="1" customHeight="1" x14ac:dyDescent="0.2"/>
    <row r="9641" ht="9.9499999999999993" hidden="1" customHeight="1" x14ac:dyDescent="0.2"/>
    <row r="9642" ht="9.9499999999999993" hidden="1" customHeight="1" x14ac:dyDescent="0.2"/>
    <row r="9643" ht="9.9499999999999993" hidden="1" customHeight="1" x14ac:dyDescent="0.2"/>
    <row r="9644" ht="9.9499999999999993" hidden="1" customHeight="1" x14ac:dyDescent="0.2"/>
    <row r="9645" ht="9.9499999999999993" hidden="1" customHeight="1" x14ac:dyDescent="0.2"/>
    <row r="9646" ht="9.9499999999999993" hidden="1" customHeight="1" x14ac:dyDescent="0.2"/>
    <row r="9647" ht="9.9499999999999993" hidden="1" customHeight="1" x14ac:dyDescent="0.2"/>
    <row r="9648" ht="9.9499999999999993" hidden="1" customHeight="1" x14ac:dyDescent="0.2"/>
    <row r="9649" ht="9.9499999999999993" hidden="1" customHeight="1" x14ac:dyDescent="0.2"/>
    <row r="9650" ht="9.9499999999999993" hidden="1" customHeight="1" x14ac:dyDescent="0.2"/>
    <row r="9651" ht="9.9499999999999993" hidden="1" customHeight="1" x14ac:dyDescent="0.2"/>
    <row r="9652" ht="9.9499999999999993" hidden="1" customHeight="1" x14ac:dyDescent="0.2"/>
    <row r="9653" ht="9.9499999999999993" hidden="1" customHeight="1" x14ac:dyDescent="0.2"/>
    <row r="9654" ht="9.9499999999999993" hidden="1" customHeight="1" x14ac:dyDescent="0.2"/>
    <row r="9655" ht="9.9499999999999993" hidden="1" customHeight="1" x14ac:dyDescent="0.2"/>
    <row r="9656" ht="9.9499999999999993" hidden="1" customHeight="1" x14ac:dyDescent="0.2"/>
    <row r="9657" ht="9.9499999999999993" hidden="1" customHeight="1" x14ac:dyDescent="0.2"/>
    <row r="9658" ht="9.9499999999999993" hidden="1" customHeight="1" x14ac:dyDescent="0.2"/>
    <row r="9659" ht="9.9499999999999993" hidden="1" customHeight="1" x14ac:dyDescent="0.2"/>
    <row r="9660" ht="9.9499999999999993" hidden="1" customHeight="1" x14ac:dyDescent="0.2"/>
    <row r="9661" ht="9.9499999999999993" hidden="1" customHeight="1" x14ac:dyDescent="0.2"/>
    <row r="9662" ht="9.9499999999999993" hidden="1" customHeight="1" x14ac:dyDescent="0.2"/>
    <row r="9663" ht="9.9499999999999993" hidden="1" customHeight="1" x14ac:dyDescent="0.2"/>
    <row r="9664" ht="9.9499999999999993" hidden="1" customHeight="1" x14ac:dyDescent="0.2"/>
    <row r="9665" ht="9.9499999999999993" hidden="1" customHeight="1" x14ac:dyDescent="0.2"/>
    <row r="9666" ht="9.9499999999999993" hidden="1" customHeight="1" x14ac:dyDescent="0.2"/>
    <row r="9667" ht="9.9499999999999993" hidden="1" customHeight="1" x14ac:dyDescent="0.2"/>
    <row r="9668" ht="9.9499999999999993" hidden="1" customHeight="1" x14ac:dyDescent="0.2"/>
    <row r="9669" ht="9.9499999999999993" hidden="1" customHeight="1" x14ac:dyDescent="0.2"/>
    <row r="9670" ht="9.9499999999999993" hidden="1" customHeight="1" x14ac:dyDescent="0.2"/>
    <row r="9671" ht="9.9499999999999993" hidden="1" customHeight="1" x14ac:dyDescent="0.2"/>
    <row r="9672" ht="9.9499999999999993" hidden="1" customHeight="1" x14ac:dyDescent="0.2"/>
    <row r="9673" ht="9.9499999999999993" hidden="1" customHeight="1" x14ac:dyDescent="0.2"/>
    <row r="9674" ht="9.9499999999999993" hidden="1" customHeight="1" x14ac:dyDescent="0.2"/>
    <row r="9675" ht="9.9499999999999993" hidden="1" customHeight="1" x14ac:dyDescent="0.2"/>
    <row r="9676" ht="9.9499999999999993" hidden="1" customHeight="1" x14ac:dyDescent="0.2"/>
    <row r="9677" ht="9.9499999999999993" hidden="1" customHeight="1" x14ac:dyDescent="0.2"/>
    <row r="9678" ht="9.9499999999999993" hidden="1" customHeight="1" x14ac:dyDescent="0.2"/>
    <row r="9679" ht="9.9499999999999993" hidden="1" customHeight="1" x14ac:dyDescent="0.2"/>
    <row r="9680" ht="9.9499999999999993" hidden="1" customHeight="1" x14ac:dyDescent="0.2"/>
    <row r="9681" ht="9.9499999999999993" hidden="1" customHeight="1" x14ac:dyDescent="0.2"/>
    <row r="9682" ht="9.9499999999999993" hidden="1" customHeight="1" x14ac:dyDescent="0.2"/>
    <row r="9683" ht="9.9499999999999993" hidden="1" customHeight="1" x14ac:dyDescent="0.2"/>
    <row r="9684" ht="9.9499999999999993" hidden="1" customHeight="1" x14ac:dyDescent="0.2"/>
    <row r="9685" ht="9.9499999999999993" hidden="1" customHeight="1" x14ac:dyDescent="0.2"/>
    <row r="9686" ht="9.9499999999999993" hidden="1" customHeight="1" x14ac:dyDescent="0.2"/>
    <row r="9687" ht="9.9499999999999993" hidden="1" customHeight="1" x14ac:dyDescent="0.2"/>
    <row r="9688" ht="9.9499999999999993" hidden="1" customHeight="1" x14ac:dyDescent="0.2"/>
    <row r="9689" ht="9.9499999999999993" hidden="1" customHeight="1" x14ac:dyDescent="0.2"/>
    <row r="9690" ht="9.9499999999999993" hidden="1" customHeight="1" x14ac:dyDescent="0.2"/>
    <row r="9691" ht="9.9499999999999993" hidden="1" customHeight="1" x14ac:dyDescent="0.2"/>
    <row r="9692" ht="9.9499999999999993" hidden="1" customHeight="1" x14ac:dyDescent="0.2"/>
    <row r="9693" ht="9.9499999999999993" hidden="1" customHeight="1" x14ac:dyDescent="0.2"/>
    <row r="9694" ht="9.9499999999999993" hidden="1" customHeight="1" x14ac:dyDescent="0.2"/>
    <row r="9695" ht="9.9499999999999993" hidden="1" customHeight="1" x14ac:dyDescent="0.2"/>
    <row r="9696" ht="9.9499999999999993" hidden="1" customHeight="1" x14ac:dyDescent="0.2"/>
    <row r="9697" ht="9.9499999999999993" hidden="1" customHeight="1" x14ac:dyDescent="0.2"/>
    <row r="9698" ht="9.9499999999999993" hidden="1" customHeight="1" x14ac:dyDescent="0.2"/>
    <row r="9699" ht="9.9499999999999993" hidden="1" customHeight="1" x14ac:dyDescent="0.2"/>
    <row r="9700" ht="9.9499999999999993" hidden="1" customHeight="1" x14ac:dyDescent="0.2"/>
    <row r="9701" ht="9.9499999999999993" hidden="1" customHeight="1" x14ac:dyDescent="0.2"/>
    <row r="9702" ht="9.9499999999999993" hidden="1" customHeight="1" x14ac:dyDescent="0.2"/>
    <row r="9703" ht="9.9499999999999993" hidden="1" customHeight="1" x14ac:dyDescent="0.2"/>
    <row r="9704" ht="9.9499999999999993" hidden="1" customHeight="1" x14ac:dyDescent="0.2"/>
    <row r="9705" ht="9.9499999999999993" hidden="1" customHeight="1" x14ac:dyDescent="0.2"/>
    <row r="9706" ht="9.9499999999999993" hidden="1" customHeight="1" x14ac:dyDescent="0.2"/>
    <row r="9707" ht="9.9499999999999993" hidden="1" customHeight="1" x14ac:dyDescent="0.2"/>
    <row r="9708" ht="9.9499999999999993" hidden="1" customHeight="1" x14ac:dyDescent="0.2"/>
    <row r="9709" ht="9.9499999999999993" hidden="1" customHeight="1" x14ac:dyDescent="0.2"/>
    <row r="9710" ht="9.9499999999999993" hidden="1" customHeight="1" x14ac:dyDescent="0.2"/>
    <row r="9711" ht="9.9499999999999993" hidden="1" customHeight="1" x14ac:dyDescent="0.2"/>
    <row r="9712" ht="9.9499999999999993" hidden="1" customHeight="1" x14ac:dyDescent="0.2"/>
    <row r="9713" ht="9.9499999999999993" hidden="1" customHeight="1" x14ac:dyDescent="0.2"/>
    <row r="9714" ht="9.9499999999999993" hidden="1" customHeight="1" x14ac:dyDescent="0.2"/>
    <row r="9715" ht="9.9499999999999993" hidden="1" customHeight="1" x14ac:dyDescent="0.2"/>
    <row r="9716" ht="9.9499999999999993" hidden="1" customHeight="1" x14ac:dyDescent="0.2"/>
    <row r="9717" ht="9.9499999999999993" hidden="1" customHeight="1" x14ac:dyDescent="0.2"/>
    <row r="9718" ht="9.9499999999999993" hidden="1" customHeight="1" x14ac:dyDescent="0.2"/>
    <row r="9719" ht="9.9499999999999993" hidden="1" customHeight="1" x14ac:dyDescent="0.2"/>
    <row r="9720" ht="9.9499999999999993" hidden="1" customHeight="1" x14ac:dyDescent="0.2"/>
    <row r="9721" ht="9.9499999999999993" hidden="1" customHeight="1" x14ac:dyDescent="0.2"/>
    <row r="9722" ht="9.9499999999999993" hidden="1" customHeight="1" x14ac:dyDescent="0.2"/>
    <row r="9723" ht="9.9499999999999993" hidden="1" customHeight="1" x14ac:dyDescent="0.2"/>
    <row r="9724" ht="9.9499999999999993" hidden="1" customHeight="1" x14ac:dyDescent="0.2"/>
    <row r="9725" ht="9.9499999999999993" hidden="1" customHeight="1" x14ac:dyDescent="0.2"/>
    <row r="9726" ht="9.9499999999999993" hidden="1" customHeight="1" x14ac:dyDescent="0.2"/>
    <row r="9727" ht="9.9499999999999993" hidden="1" customHeight="1" x14ac:dyDescent="0.2"/>
    <row r="9728" ht="9.9499999999999993" hidden="1" customHeight="1" x14ac:dyDescent="0.2"/>
    <row r="9729" ht="9.9499999999999993" hidden="1" customHeight="1" x14ac:dyDescent="0.2"/>
    <row r="9730" ht="9.9499999999999993" hidden="1" customHeight="1" x14ac:dyDescent="0.2"/>
    <row r="9731" ht="9.9499999999999993" hidden="1" customHeight="1" x14ac:dyDescent="0.2"/>
    <row r="9732" ht="9.9499999999999993" hidden="1" customHeight="1" x14ac:dyDescent="0.2"/>
    <row r="9733" ht="9.9499999999999993" hidden="1" customHeight="1" x14ac:dyDescent="0.2"/>
    <row r="9734" ht="9.9499999999999993" hidden="1" customHeight="1" x14ac:dyDescent="0.2"/>
    <row r="9735" ht="9.9499999999999993" hidden="1" customHeight="1" x14ac:dyDescent="0.2"/>
    <row r="9736" ht="9.9499999999999993" hidden="1" customHeight="1" x14ac:dyDescent="0.2"/>
    <row r="9737" ht="9.9499999999999993" hidden="1" customHeight="1" x14ac:dyDescent="0.2"/>
    <row r="9738" ht="9.9499999999999993" hidden="1" customHeight="1" x14ac:dyDescent="0.2"/>
    <row r="9739" ht="9.9499999999999993" hidden="1" customHeight="1" x14ac:dyDescent="0.2"/>
    <row r="9740" ht="9.9499999999999993" hidden="1" customHeight="1" x14ac:dyDescent="0.2"/>
    <row r="9741" ht="9.9499999999999993" hidden="1" customHeight="1" x14ac:dyDescent="0.2"/>
    <row r="9742" ht="9.9499999999999993" hidden="1" customHeight="1" x14ac:dyDescent="0.2"/>
    <row r="9743" ht="9.9499999999999993" hidden="1" customHeight="1" x14ac:dyDescent="0.2"/>
    <row r="9744" ht="9.9499999999999993" hidden="1" customHeight="1" x14ac:dyDescent="0.2"/>
    <row r="9745" ht="9.9499999999999993" hidden="1" customHeight="1" x14ac:dyDescent="0.2"/>
    <row r="9746" ht="9.9499999999999993" hidden="1" customHeight="1" x14ac:dyDescent="0.2"/>
    <row r="9747" ht="9.9499999999999993" hidden="1" customHeight="1" x14ac:dyDescent="0.2"/>
    <row r="9748" ht="9.9499999999999993" hidden="1" customHeight="1" x14ac:dyDescent="0.2"/>
    <row r="9749" ht="9.9499999999999993" hidden="1" customHeight="1" x14ac:dyDescent="0.2"/>
    <row r="9750" ht="9.9499999999999993" hidden="1" customHeight="1" x14ac:dyDescent="0.2"/>
    <row r="9751" ht="9.9499999999999993" hidden="1" customHeight="1" x14ac:dyDescent="0.2"/>
    <row r="9752" ht="9.9499999999999993" hidden="1" customHeight="1" x14ac:dyDescent="0.2"/>
    <row r="9753" ht="9.9499999999999993" hidden="1" customHeight="1" x14ac:dyDescent="0.2"/>
    <row r="9754" ht="9.9499999999999993" hidden="1" customHeight="1" x14ac:dyDescent="0.2"/>
    <row r="9755" ht="9.9499999999999993" hidden="1" customHeight="1" x14ac:dyDescent="0.2"/>
    <row r="9756" ht="9.9499999999999993" hidden="1" customHeight="1" x14ac:dyDescent="0.2"/>
    <row r="9757" ht="9.9499999999999993" hidden="1" customHeight="1" x14ac:dyDescent="0.2"/>
    <row r="9758" ht="9.9499999999999993" hidden="1" customHeight="1" x14ac:dyDescent="0.2"/>
    <row r="9759" ht="9.9499999999999993" hidden="1" customHeight="1" x14ac:dyDescent="0.2"/>
    <row r="9760" ht="9.9499999999999993" hidden="1" customHeight="1" x14ac:dyDescent="0.2"/>
    <row r="9761" ht="9.9499999999999993" hidden="1" customHeight="1" x14ac:dyDescent="0.2"/>
    <row r="9762" ht="9.9499999999999993" hidden="1" customHeight="1" x14ac:dyDescent="0.2"/>
    <row r="9763" ht="9.9499999999999993" hidden="1" customHeight="1" x14ac:dyDescent="0.2"/>
    <row r="9764" ht="9.9499999999999993" hidden="1" customHeight="1" x14ac:dyDescent="0.2"/>
    <row r="9765" ht="9.9499999999999993" hidden="1" customHeight="1" x14ac:dyDescent="0.2"/>
    <row r="9766" ht="9.9499999999999993" hidden="1" customHeight="1" x14ac:dyDescent="0.2"/>
    <row r="9767" ht="9.9499999999999993" hidden="1" customHeight="1" x14ac:dyDescent="0.2"/>
    <row r="9768" ht="9.9499999999999993" hidden="1" customHeight="1" x14ac:dyDescent="0.2"/>
    <row r="9769" ht="9.9499999999999993" hidden="1" customHeight="1" x14ac:dyDescent="0.2"/>
    <row r="9770" ht="9.9499999999999993" hidden="1" customHeight="1" x14ac:dyDescent="0.2"/>
    <row r="9771" ht="9.9499999999999993" hidden="1" customHeight="1" x14ac:dyDescent="0.2"/>
    <row r="9772" ht="9.9499999999999993" hidden="1" customHeight="1" x14ac:dyDescent="0.2"/>
    <row r="9773" ht="9.9499999999999993" hidden="1" customHeight="1" x14ac:dyDescent="0.2"/>
    <row r="9774" ht="9.9499999999999993" hidden="1" customHeight="1" x14ac:dyDescent="0.2"/>
    <row r="9775" ht="9.9499999999999993" hidden="1" customHeight="1" x14ac:dyDescent="0.2"/>
    <row r="9776" ht="9.9499999999999993" hidden="1" customHeight="1" x14ac:dyDescent="0.2"/>
    <row r="9777" ht="9.9499999999999993" hidden="1" customHeight="1" x14ac:dyDescent="0.2"/>
    <row r="9778" ht="9.9499999999999993" hidden="1" customHeight="1" x14ac:dyDescent="0.2"/>
    <row r="9779" ht="9.9499999999999993" hidden="1" customHeight="1" x14ac:dyDescent="0.2"/>
    <row r="9780" ht="9.9499999999999993" hidden="1" customHeight="1" x14ac:dyDescent="0.2"/>
    <row r="9781" ht="9.9499999999999993" hidden="1" customHeight="1" x14ac:dyDescent="0.2"/>
    <row r="9782" ht="9.9499999999999993" hidden="1" customHeight="1" x14ac:dyDescent="0.2"/>
    <row r="9783" ht="9.9499999999999993" hidden="1" customHeight="1" x14ac:dyDescent="0.2"/>
    <row r="9784" ht="9.9499999999999993" hidden="1" customHeight="1" x14ac:dyDescent="0.2"/>
    <row r="9785" ht="9.9499999999999993" hidden="1" customHeight="1" x14ac:dyDescent="0.2"/>
    <row r="9786" ht="9.9499999999999993" hidden="1" customHeight="1" x14ac:dyDescent="0.2"/>
    <row r="9787" ht="9.9499999999999993" hidden="1" customHeight="1" x14ac:dyDescent="0.2"/>
    <row r="9788" ht="9.9499999999999993" hidden="1" customHeight="1" x14ac:dyDescent="0.2"/>
    <row r="9789" ht="9.9499999999999993" hidden="1" customHeight="1" x14ac:dyDescent="0.2"/>
    <row r="9790" ht="9.9499999999999993" hidden="1" customHeight="1" x14ac:dyDescent="0.2"/>
    <row r="9791" ht="9.9499999999999993" hidden="1" customHeight="1" x14ac:dyDescent="0.2"/>
    <row r="9792" ht="9.9499999999999993" hidden="1" customHeight="1" x14ac:dyDescent="0.2"/>
    <row r="9793" ht="9.9499999999999993" hidden="1" customHeight="1" x14ac:dyDescent="0.2"/>
    <row r="9794" ht="9.9499999999999993" hidden="1" customHeight="1" x14ac:dyDescent="0.2"/>
    <row r="9795" ht="9.9499999999999993" hidden="1" customHeight="1" x14ac:dyDescent="0.2"/>
    <row r="9796" ht="9.9499999999999993" hidden="1" customHeight="1" x14ac:dyDescent="0.2"/>
    <row r="9797" ht="9.9499999999999993" hidden="1" customHeight="1" x14ac:dyDescent="0.2"/>
    <row r="9798" ht="9.9499999999999993" hidden="1" customHeight="1" x14ac:dyDescent="0.2"/>
    <row r="9799" ht="9.9499999999999993" hidden="1" customHeight="1" x14ac:dyDescent="0.2"/>
    <row r="9800" ht="9.9499999999999993" hidden="1" customHeight="1" x14ac:dyDescent="0.2"/>
    <row r="9801" ht="9.9499999999999993" hidden="1" customHeight="1" x14ac:dyDescent="0.2"/>
    <row r="9802" ht="9.9499999999999993" hidden="1" customHeight="1" x14ac:dyDescent="0.2"/>
    <row r="9803" ht="9.9499999999999993" hidden="1" customHeight="1" x14ac:dyDescent="0.2"/>
    <row r="9804" ht="9.9499999999999993" hidden="1" customHeight="1" x14ac:dyDescent="0.2"/>
    <row r="9805" ht="9.9499999999999993" hidden="1" customHeight="1" x14ac:dyDescent="0.2"/>
    <row r="9806" ht="9.9499999999999993" hidden="1" customHeight="1" x14ac:dyDescent="0.2"/>
    <row r="9807" ht="9.9499999999999993" hidden="1" customHeight="1" x14ac:dyDescent="0.2"/>
    <row r="9808" ht="9.9499999999999993" hidden="1" customHeight="1" x14ac:dyDescent="0.2"/>
    <row r="9809" ht="9.9499999999999993" hidden="1" customHeight="1" x14ac:dyDescent="0.2"/>
    <row r="9810" ht="9.9499999999999993" hidden="1" customHeight="1" x14ac:dyDescent="0.2"/>
    <row r="9811" ht="9.9499999999999993" hidden="1" customHeight="1" x14ac:dyDescent="0.2"/>
    <row r="9812" ht="9.9499999999999993" hidden="1" customHeight="1" x14ac:dyDescent="0.2"/>
    <row r="9813" ht="9.9499999999999993" hidden="1" customHeight="1" x14ac:dyDescent="0.2"/>
    <row r="9814" ht="9.9499999999999993" hidden="1" customHeight="1" x14ac:dyDescent="0.2"/>
    <row r="9815" ht="9.9499999999999993" hidden="1" customHeight="1" x14ac:dyDescent="0.2"/>
    <row r="9816" ht="9.9499999999999993" hidden="1" customHeight="1" x14ac:dyDescent="0.2"/>
    <row r="9817" ht="9.9499999999999993" hidden="1" customHeight="1" x14ac:dyDescent="0.2"/>
    <row r="9818" ht="9.9499999999999993" hidden="1" customHeight="1" x14ac:dyDescent="0.2"/>
    <row r="9819" ht="9.9499999999999993" hidden="1" customHeight="1" x14ac:dyDescent="0.2"/>
    <row r="9820" ht="9.9499999999999993" hidden="1" customHeight="1" x14ac:dyDescent="0.2"/>
    <row r="9821" ht="9.9499999999999993" hidden="1" customHeight="1" x14ac:dyDescent="0.2"/>
    <row r="9822" ht="9.9499999999999993" hidden="1" customHeight="1" x14ac:dyDescent="0.2"/>
    <row r="9823" ht="9.9499999999999993" hidden="1" customHeight="1" x14ac:dyDescent="0.2"/>
    <row r="9824" ht="9.9499999999999993" hidden="1" customHeight="1" x14ac:dyDescent="0.2"/>
    <row r="9825" ht="9.9499999999999993" hidden="1" customHeight="1" x14ac:dyDescent="0.2"/>
    <row r="9826" ht="9.9499999999999993" hidden="1" customHeight="1" x14ac:dyDescent="0.2"/>
    <row r="9827" ht="9.9499999999999993" hidden="1" customHeight="1" x14ac:dyDescent="0.2"/>
    <row r="9828" ht="9.9499999999999993" hidden="1" customHeight="1" x14ac:dyDescent="0.2"/>
    <row r="9829" ht="9.9499999999999993" hidden="1" customHeight="1" x14ac:dyDescent="0.2"/>
    <row r="9830" ht="9.9499999999999993" hidden="1" customHeight="1" x14ac:dyDescent="0.2"/>
    <row r="9831" ht="9.9499999999999993" hidden="1" customHeight="1" x14ac:dyDescent="0.2"/>
    <row r="9832" ht="9.9499999999999993" hidden="1" customHeight="1" x14ac:dyDescent="0.2"/>
    <row r="9833" ht="9.9499999999999993" hidden="1" customHeight="1" x14ac:dyDescent="0.2"/>
    <row r="9834" ht="9.9499999999999993" hidden="1" customHeight="1" x14ac:dyDescent="0.2"/>
    <row r="9835" ht="9.9499999999999993" hidden="1" customHeight="1" x14ac:dyDescent="0.2"/>
    <row r="9836" ht="9.9499999999999993" hidden="1" customHeight="1" x14ac:dyDescent="0.2"/>
    <row r="9837" ht="9.9499999999999993" hidden="1" customHeight="1" x14ac:dyDescent="0.2"/>
    <row r="9838" ht="9.9499999999999993" hidden="1" customHeight="1" x14ac:dyDescent="0.2"/>
    <row r="9839" ht="9.9499999999999993" hidden="1" customHeight="1" x14ac:dyDescent="0.2"/>
    <row r="9840" ht="9.9499999999999993" hidden="1" customHeight="1" x14ac:dyDescent="0.2"/>
    <row r="9841" ht="9.9499999999999993" hidden="1" customHeight="1" x14ac:dyDescent="0.2"/>
    <row r="9842" ht="9.9499999999999993" hidden="1" customHeight="1" x14ac:dyDescent="0.2"/>
    <row r="9843" ht="9.9499999999999993" hidden="1" customHeight="1" x14ac:dyDescent="0.2"/>
    <row r="9844" ht="9.9499999999999993" hidden="1" customHeight="1" x14ac:dyDescent="0.2"/>
    <row r="9845" ht="9.9499999999999993" hidden="1" customHeight="1" x14ac:dyDescent="0.2"/>
    <row r="9846" ht="9.9499999999999993" hidden="1" customHeight="1" x14ac:dyDescent="0.2"/>
    <row r="9847" ht="9.9499999999999993" hidden="1" customHeight="1" x14ac:dyDescent="0.2"/>
    <row r="9848" ht="9.9499999999999993" hidden="1" customHeight="1" x14ac:dyDescent="0.2"/>
    <row r="9849" ht="9.9499999999999993" hidden="1" customHeight="1" x14ac:dyDescent="0.2"/>
    <row r="9850" ht="9.9499999999999993" hidden="1" customHeight="1" x14ac:dyDescent="0.2"/>
    <row r="9851" ht="9.9499999999999993" hidden="1" customHeight="1" x14ac:dyDescent="0.2"/>
    <row r="9852" ht="9.9499999999999993" hidden="1" customHeight="1" x14ac:dyDescent="0.2"/>
    <row r="9853" ht="9.9499999999999993" hidden="1" customHeight="1" x14ac:dyDescent="0.2"/>
    <row r="9854" ht="9.9499999999999993" hidden="1" customHeight="1" x14ac:dyDescent="0.2"/>
    <row r="9855" ht="9.9499999999999993" hidden="1" customHeight="1" x14ac:dyDescent="0.2"/>
    <row r="9856" ht="9.9499999999999993" hidden="1" customHeight="1" x14ac:dyDescent="0.2"/>
    <row r="9857" ht="9.9499999999999993" hidden="1" customHeight="1" x14ac:dyDescent="0.2"/>
    <row r="9858" ht="9.9499999999999993" hidden="1" customHeight="1" x14ac:dyDescent="0.2"/>
    <row r="9859" ht="9.9499999999999993" hidden="1" customHeight="1" x14ac:dyDescent="0.2"/>
    <row r="9860" ht="9.9499999999999993" hidden="1" customHeight="1" x14ac:dyDescent="0.2"/>
    <row r="9861" ht="9.9499999999999993" hidden="1" customHeight="1" x14ac:dyDescent="0.2"/>
    <row r="9862" ht="9.9499999999999993" hidden="1" customHeight="1" x14ac:dyDescent="0.2"/>
    <row r="9863" ht="9.9499999999999993" hidden="1" customHeight="1" x14ac:dyDescent="0.2"/>
    <row r="9864" ht="9.9499999999999993" hidden="1" customHeight="1" x14ac:dyDescent="0.2"/>
    <row r="9865" ht="9.9499999999999993" hidden="1" customHeight="1" x14ac:dyDescent="0.2"/>
    <row r="9866" ht="9.9499999999999993" hidden="1" customHeight="1" x14ac:dyDescent="0.2"/>
    <row r="9867" ht="9.9499999999999993" hidden="1" customHeight="1" x14ac:dyDescent="0.2"/>
    <row r="9868" ht="9.9499999999999993" hidden="1" customHeight="1" x14ac:dyDescent="0.2"/>
    <row r="9869" ht="9.9499999999999993" hidden="1" customHeight="1" x14ac:dyDescent="0.2"/>
    <row r="9870" ht="9.9499999999999993" hidden="1" customHeight="1" x14ac:dyDescent="0.2"/>
    <row r="9871" ht="9.9499999999999993" hidden="1" customHeight="1" x14ac:dyDescent="0.2"/>
    <row r="9872" ht="9.9499999999999993" hidden="1" customHeight="1" x14ac:dyDescent="0.2"/>
    <row r="9873" ht="9.9499999999999993" hidden="1" customHeight="1" x14ac:dyDescent="0.2"/>
    <row r="9874" ht="9.9499999999999993" hidden="1" customHeight="1" x14ac:dyDescent="0.2"/>
    <row r="9875" ht="9.9499999999999993" hidden="1" customHeight="1" x14ac:dyDescent="0.2"/>
    <row r="9876" ht="9.9499999999999993" hidden="1" customHeight="1" x14ac:dyDescent="0.2"/>
    <row r="9877" ht="9.9499999999999993" hidden="1" customHeight="1" x14ac:dyDescent="0.2"/>
    <row r="9878" ht="9.9499999999999993" hidden="1" customHeight="1" x14ac:dyDescent="0.2"/>
    <row r="9879" ht="9.9499999999999993" hidden="1" customHeight="1" x14ac:dyDescent="0.2"/>
    <row r="9880" ht="9.9499999999999993" hidden="1" customHeight="1" x14ac:dyDescent="0.2"/>
    <row r="9881" ht="9.9499999999999993" hidden="1" customHeight="1" x14ac:dyDescent="0.2"/>
    <row r="9882" ht="9.9499999999999993" hidden="1" customHeight="1" x14ac:dyDescent="0.2"/>
    <row r="9883" ht="9.9499999999999993" hidden="1" customHeight="1" x14ac:dyDescent="0.2"/>
    <row r="9884" ht="9.9499999999999993" hidden="1" customHeight="1" x14ac:dyDescent="0.2"/>
    <row r="9885" ht="9.9499999999999993" hidden="1" customHeight="1" x14ac:dyDescent="0.2"/>
    <row r="9886" ht="9.9499999999999993" hidden="1" customHeight="1" x14ac:dyDescent="0.2"/>
    <row r="9887" ht="9.9499999999999993" hidden="1" customHeight="1" x14ac:dyDescent="0.2"/>
    <row r="9888" ht="9.9499999999999993" hidden="1" customHeight="1" x14ac:dyDescent="0.2"/>
    <row r="9889" ht="9.9499999999999993" hidden="1" customHeight="1" x14ac:dyDescent="0.2"/>
    <row r="9890" ht="9.9499999999999993" hidden="1" customHeight="1" x14ac:dyDescent="0.2"/>
    <row r="9891" ht="9.9499999999999993" hidden="1" customHeight="1" x14ac:dyDescent="0.2"/>
    <row r="9892" ht="9.9499999999999993" hidden="1" customHeight="1" x14ac:dyDescent="0.2"/>
    <row r="9893" ht="9.9499999999999993" hidden="1" customHeight="1" x14ac:dyDescent="0.2"/>
    <row r="9894" ht="9.9499999999999993" hidden="1" customHeight="1" x14ac:dyDescent="0.2"/>
    <row r="9895" ht="9.9499999999999993" hidden="1" customHeight="1" x14ac:dyDescent="0.2"/>
    <row r="9896" ht="9.9499999999999993" hidden="1" customHeight="1" x14ac:dyDescent="0.2"/>
    <row r="9897" ht="9.9499999999999993" hidden="1" customHeight="1" x14ac:dyDescent="0.2"/>
    <row r="9898" ht="9.9499999999999993" hidden="1" customHeight="1" x14ac:dyDescent="0.2"/>
    <row r="9899" ht="9.9499999999999993" hidden="1" customHeight="1" x14ac:dyDescent="0.2"/>
    <row r="9900" ht="9.9499999999999993" hidden="1" customHeight="1" x14ac:dyDescent="0.2"/>
    <row r="9901" ht="9.9499999999999993" hidden="1" customHeight="1" x14ac:dyDescent="0.2"/>
    <row r="9902" ht="9.9499999999999993" hidden="1" customHeight="1" x14ac:dyDescent="0.2"/>
    <row r="9903" ht="9.9499999999999993" hidden="1" customHeight="1" x14ac:dyDescent="0.2"/>
    <row r="9904" ht="9.9499999999999993" hidden="1" customHeight="1" x14ac:dyDescent="0.2"/>
    <row r="9905" ht="9.9499999999999993" hidden="1" customHeight="1" x14ac:dyDescent="0.2"/>
    <row r="9906" ht="9.9499999999999993" hidden="1" customHeight="1" x14ac:dyDescent="0.2"/>
    <row r="9907" ht="9.9499999999999993" hidden="1" customHeight="1" x14ac:dyDescent="0.2"/>
    <row r="9908" ht="9.9499999999999993" hidden="1" customHeight="1" x14ac:dyDescent="0.2"/>
    <row r="9909" ht="9.9499999999999993" hidden="1" customHeight="1" x14ac:dyDescent="0.2"/>
    <row r="9910" ht="9.9499999999999993" hidden="1" customHeight="1" x14ac:dyDescent="0.2"/>
    <row r="9911" ht="9.9499999999999993" hidden="1" customHeight="1" x14ac:dyDescent="0.2"/>
    <row r="9912" ht="9.9499999999999993" hidden="1" customHeight="1" x14ac:dyDescent="0.2"/>
    <row r="9913" ht="9.9499999999999993" hidden="1" customHeight="1" x14ac:dyDescent="0.2"/>
    <row r="9914" ht="9.9499999999999993" hidden="1" customHeight="1" x14ac:dyDescent="0.2"/>
    <row r="9915" ht="9.9499999999999993" hidden="1" customHeight="1" x14ac:dyDescent="0.2"/>
    <row r="9916" ht="9.9499999999999993" hidden="1" customHeight="1" x14ac:dyDescent="0.2"/>
    <row r="9917" ht="9.9499999999999993" hidden="1" customHeight="1" x14ac:dyDescent="0.2"/>
    <row r="9918" ht="9.9499999999999993" hidden="1" customHeight="1" x14ac:dyDescent="0.2"/>
    <row r="9919" ht="9.9499999999999993" hidden="1" customHeight="1" x14ac:dyDescent="0.2"/>
    <row r="9920" ht="9.9499999999999993" hidden="1" customHeight="1" x14ac:dyDescent="0.2"/>
    <row r="9921" ht="9.9499999999999993" hidden="1" customHeight="1" x14ac:dyDescent="0.2"/>
    <row r="9922" ht="9.9499999999999993" hidden="1" customHeight="1" x14ac:dyDescent="0.2"/>
    <row r="9923" ht="9.9499999999999993" hidden="1" customHeight="1" x14ac:dyDescent="0.2"/>
    <row r="9924" ht="9.9499999999999993" hidden="1" customHeight="1" x14ac:dyDescent="0.2"/>
    <row r="9925" ht="9.9499999999999993" hidden="1" customHeight="1" x14ac:dyDescent="0.2"/>
    <row r="9926" ht="9.9499999999999993" hidden="1" customHeight="1" x14ac:dyDescent="0.2"/>
    <row r="9927" ht="9.9499999999999993" hidden="1" customHeight="1" x14ac:dyDescent="0.2"/>
    <row r="9928" ht="9.9499999999999993" hidden="1" customHeight="1" x14ac:dyDescent="0.2"/>
    <row r="9929" ht="9.9499999999999993" hidden="1" customHeight="1" x14ac:dyDescent="0.2"/>
    <row r="9930" ht="9.9499999999999993" hidden="1" customHeight="1" x14ac:dyDescent="0.2"/>
    <row r="9931" ht="9.9499999999999993" hidden="1" customHeight="1" x14ac:dyDescent="0.2"/>
    <row r="9932" ht="9.9499999999999993" hidden="1" customHeight="1" x14ac:dyDescent="0.2"/>
    <row r="9933" ht="9.9499999999999993" hidden="1" customHeight="1" x14ac:dyDescent="0.2"/>
    <row r="9934" ht="9.9499999999999993" hidden="1" customHeight="1" x14ac:dyDescent="0.2"/>
    <row r="9935" ht="9.9499999999999993" hidden="1" customHeight="1" x14ac:dyDescent="0.2"/>
    <row r="9936" ht="9.9499999999999993" hidden="1" customHeight="1" x14ac:dyDescent="0.2"/>
    <row r="9937" ht="9.9499999999999993" hidden="1" customHeight="1" x14ac:dyDescent="0.2"/>
    <row r="9938" ht="9.9499999999999993" hidden="1" customHeight="1" x14ac:dyDescent="0.2"/>
    <row r="9939" ht="9.9499999999999993" hidden="1" customHeight="1" x14ac:dyDescent="0.2"/>
    <row r="9940" ht="9.9499999999999993" hidden="1" customHeight="1" x14ac:dyDescent="0.2"/>
    <row r="9941" ht="9.9499999999999993" hidden="1" customHeight="1" x14ac:dyDescent="0.2"/>
    <row r="9942" ht="9.9499999999999993" hidden="1" customHeight="1" x14ac:dyDescent="0.2"/>
    <row r="9943" ht="9.9499999999999993" hidden="1" customHeight="1" x14ac:dyDescent="0.2"/>
    <row r="9944" ht="9.9499999999999993" hidden="1" customHeight="1" x14ac:dyDescent="0.2"/>
    <row r="9945" ht="9.9499999999999993" hidden="1" customHeight="1" x14ac:dyDescent="0.2"/>
    <row r="9946" ht="9.9499999999999993" hidden="1" customHeight="1" x14ac:dyDescent="0.2"/>
    <row r="9947" ht="9.9499999999999993" hidden="1" customHeight="1" x14ac:dyDescent="0.2"/>
    <row r="9948" ht="9.9499999999999993" hidden="1" customHeight="1" x14ac:dyDescent="0.2"/>
    <row r="9949" ht="9.9499999999999993" hidden="1" customHeight="1" x14ac:dyDescent="0.2"/>
    <row r="9950" ht="9.9499999999999993" hidden="1" customHeight="1" x14ac:dyDescent="0.2"/>
    <row r="9951" ht="9.9499999999999993" hidden="1" customHeight="1" x14ac:dyDescent="0.2"/>
    <row r="9952" ht="9.9499999999999993" hidden="1" customHeight="1" x14ac:dyDescent="0.2"/>
    <row r="9953" ht="9.9499999999999993" hidden="1" customHeight="1" x14ac:dyDescent="0.2"/>
    <row r="9954" ht="9.9499999999999993" hidden="1" customHeight="1" x14ac:dyDescent="0.2"/>
    <row r="9955" ht="9.9499999999999993" hidden="1" customHeight="1" x14ac:dyDescent="0.2"/>
    <row r="9956" ht="9.9499999999999993" hidden="1" customHeight="1" x14ac:dyDescent="0.2"/>
    <row r="9957" ht="9.9499999999999993" hidden="1" customHeight="1" x14ac:dyDescent="0.2"/>
    <row r="9958" ht="9.9499999999999993" hidden="1" customHeight="1" x14ac:dyDescent="0.2"/>
    <row r="9959" ht="9.9499999999999993" hidden="1" customHeight="1" x14ac:dyDescent="0.2"/>
    <row r="9960" ht="9.9499999999999993" hidden="1" customHeight="1" x14ac:dyDescent="0.2"/>
    <row r="9961" ht="9.9499999999999993" hidden="1" customHeight="1" x14ac:dyDescent="0.2"/>
    <row r="9962" ht="9.9499999999999993" hidden="1" customHeight="1" x14ac:dyDescent="0.2"/>
    <row r="9963" ht="9.9499999999999993" hidden="1" customHeight="1" x14ac:dyDescent="0.2"/>
    <row r="9964" ht="9.9499999999999993" hidden="1" customHeight="1" x14ac:dyDescent="0.2"/>
    <row r="9965" ht="9.9499999999999993" hidden="1" customHeight="1" x14ac:dyDescent="0.2"/>
    <row r="9966" ht="9.9499999999999993" hidden="1" customHeight="1" x14ac:dyDescent="0.2"/>
    <row r="9967" ht="9.9499999999999993" hidden="1" customHeight="1" x14ac:dyDescent="0.2"/>
    <row r="9968" ht="9.9499999999999993" hidden="1" customHeight="1" x14ac:dyDescent="0.2"/>
    <row r="9969" ht="9.9499999999999993" hidden="1" customHeight="1" x14ac:dyDescent="0.2"/>
    <row r="9970" ht="9.9499999999999993" hidden="1" customHeight="1" x14ac:dyDescent="0.2"/>
    <row r="9971" ht="9.9499999999999993" hidden="1" customHeight="1" x14ac:dyDescent="0.2"/>
    <row r="9972" ht="9.9499999999999993" hidden="1" customHeight="1" x14ac:dyDescent="0.2"/>
    <row r="9973" ht="9.9499999999999993" hidden="1" customHeight="1" x14ac:dyDescent="0.2"/>
    <row r="9974" ht="9.9499999999999993" hidden="1" customHeight="1" x14ac:dyDescent="0.2"/>
    <row r="9975" ht="9.9499999999999993" hidden="1" customHeight="1" x14ac:dyDescent="0.2"/>
    <row r="9976" ht="9.9499999999999993" hidden="1" customHeight="1" x14ac:dyDescent="0.2"/>
    <row r="9977" ht="9.9499999999999993" hidden="1" customHeight="1" x14ac:dyDescent="0.2"/>
    <row r="9978" ht="9.9499999999999993" hidden="1" customHeight="1" x14ac:dyDescent="0.2"/>
    <row r="9979" ht="9.9499999999999993" hidden="1" customHeight="1" x14ac:dyDescent="0.2"/>
    <row r="9980" ht="9.9499999999999993" hidden="1" customHeight="1" x14ac:dyDescent="0.2"/>
    <row r="9981" ht="9.9499999999999993" hidden="1" customHeight="1" x14ac:dyDescent="0.2"/>
    <row r="9982" ht="9.9499999999999993" hidden="1" customHeight="1" x14ac:dyDescent="0.2"/>
    <row r="9983" ht="9.9499999999999993" hidden="1" customHeight="1" x14ac:dyDescent="0.2"/>
    <row r="9984" ht="9.9499999999999993" hidden="1" customHeight="1" x14ac:dyDescent="0.2"/>
    <row r="9985" ht="9.9499999999999993" hidden="1" customHeight="1" x14ac:dyDescent="0.2"/>
    <row r="9986" ht="9.9499999999999993" hidden="1" customHeight="1" x14ac:dyDescent="0.2"/>
    <row r="9987" ht="9.9499999999999993" hidden="1" customHeight="1" x14ac:dyDescent="0.2"/>
    <row r="9988" ht="9.9499999999999993" hidden="1" customHeight="1" x14ac:dyDescent="0.2"/>
    <row r="9989" ht="9.9499999999999993" hidden="1" customHeight="1" x14ac:dyDescent="0.2"/>
    <row r="9990" ht="9.9499999999999993" hidden="1" customHeight="1" x14ac:dyDescent="0.2"/>
    <row r="9991" ht="9.9499999999999993" hidden="1" customHeight="1" x14ac:dyDescent="0.2"/>
    <row r="9992" ht="9.9499999999999993" hidden="1" customHeight="1" x14ac:dyDescent="0.2"/>
    <row r="9993" ht="9.9499999999999993" hidden="1" customHeight="1" x14ac:dyDescent="0.2"/>
    <row r="9994" ht="9.9499999999999993" hidden="1" customHeight="1" x14ac:dyDescent="0.2"/>
    <row r="9995" ht="9.9499999999999993" hidden="1" customHeight="1" x14ac:dyDescent="0.2"/>
    <row r="9996" ht="9.9499999999999993" hidden="1" customHeight="1" x14ac:dyDescent="0.2"/>
    <row r="9997" ht="9.9499999999999993" hidden="1" customHeight="1" x14ac:dyDescent="0.2"/>
    <row r="9998" ht="9.9499999999999993" hidden="1" customHeight="1" x14ac:dyDescent="0.2"/>
    <row r="9999" ht="9.9499999999999993" hidden="1" customHeight="1" x14ac:dyDescent="0.2"/>
    <row r="10000" ht="9.9499999999999993" hidden="1" customHeight="1" x14ac:dyDescent="0.2"/>
    <row r="10001" ht="9.9499999999999993" hidden="1" customHeight="1" x14ac:dyDescent="0.2"/>
    <row r="10002" ht="9.9499999999999993" hidden="1" customHeight="1" x14ac:dyDescent="0.2"/>
    <row r="10003" ht="9.9499999999999993" hidden="1" customHeight="1" x14ac:dyDescent="0.2"/>
    <row r="10004" ht="9.9499999999999993" hidden="1" customHeight="1" x14ac:dyDescent="0.2"/>
    <row r="10005" ht="9.9499999999999993" hidden="1" customHeight="1" x14ac:dyDescent="0.2"/>
    <row r="10006" ht="9.9499999999999993" hidden="1" customHeight="1" x14ac:dyDescent="0.2"/>
    <row r="10007" ht="9.9499999999999993" hidden="1" customHeight="1" x14ac:dyDescent="0.2"/>
    <row r="10008" ht="9.9499999999999993" hidden="1" customHeight="1" x14ac:dyDescent="0.2"/>
    <row r="10009" ht="9.9499999999999993" hidden="1" customHeight="1" x14ac:dyDescent="0.2"/>
    <row r="10010" ht="9.9499999999999993" hidden="1" customHeight="1" x14ac:dyDescent="0.2"/>
    <row r="10011" ht="9.9499999999999993" hidden="1" customHeight="1" x14ac:dyDescent="0.2"/>
    <row r="10012" ht="9.9499999999999993" hidden="1" customHeight="1" x14ac:dyDescent="0.2"/>
    <row r="10013" ht="9.9499999999999993" hidden="1" customHeight="1" x14ac:dyDescent="0.2"/>
    <row r="10014" ht="9.9499999999999993" hidden="1" customHeight="1" x14ac:dyDescent="0.2"/>
    <row r="10015" ht="9.9499999999999993" hidden="1" customHeight="1" x14ac:dyDescent="0.2"/>
    <row r="10016" ht="9.9499999999999993" hidden="1" customHeight="1" x14ac:dyDescent="0.2"/>
    <row r="10017" ht="9.9499999999999993" hidden="1" customHeight="1" x14ac:dyDescent="0.2"/>
    <row r="10018" ht="9.9499999999999993" hidden="1" customHeight="1" x14ac:dyDescent="0.2"/>
    <row r="10019" ht="9.9499999999999993" hidden="1" customHeight="1" x14ac:dyDescent="0.2"/>
    <row r="10020" ht="9.9499999999999993" hidden="1" customHeight="1" x14ac:dyDescent="0.2"/>
    <row r="10021" ht="9.9499999999999993" hidden="1" customHeight="1" x14ac:dyDescent="0.2"/>
    <row r="10022" ht="9.9499999999999993" hidden="1" customHeight="1" x14ac:dyDescent="0.2"/>
    <row r="10023" ht="9.9499999999999993" hidden="1" customHeight="1" x14ac:dyDescent="0.2"/>
    <row r="10024" ht="9.9499999999999993" hidden="1" customHeight="1" x14ac:dyDescent="0.2"/>
    <row r="10025" ht="9.9499999999999993" hidden="1" customHeight="1" x14ac:dyDescent="0.2"/>
    <row r="10026" ht="9.9499999999999993" hidden="1" customHeight="1" x14ac:dyDescent="0.2"/>
    <row r="10027" ht="9.9499999999999993" hidden="1" customHeight="1" x14ac:dyDescent="0.2"/>
    <row r="10028" ht="9.9499999999999993" hidden="1" customHeight="1" x14ac:dyDescent="0.2"/>
    <row r="10029" ht="9.9499999999999993" hidden="1" customHeight="1" x14ac:dyDescent="0.2"/>
    <row r="10030" ht="9.9499999999999993" hidden="1" customHeight="1" x14ac:dyDescent="0.2"/>
    <row r="10031" ht="9.9499999999999993" hidden="1" customHeight="1" x14ac:dyDescent="0.2"/>
    <row r="10032" ht="9.9499999999999993" hidden="1" customHeight="1" x14ac:dyDescent="0.2"/>
    <row r="10033" ht="9.9499999999999993" hidden="1" customHeight="1" x14ac:dyDescent="0.2"/>
    <row r="10034" ht="9.9499999999999993" hidden="1" customHeight="1" x14ac:dyDescent="0.2"/>
    <row r="10035" ht="9.9499999999999993" hidden="1" customHeight="1" x14ac:dyDescent="0.2"/>
    <row r="10036" ht="9.9499999999999993" hidden="1" customHeight="1" x14ac:dyDescent="0.2"/>
    <row r="10037" ht="9.9499999999999993" hidden="1" customHeight="1" x14ac:dyDescent="0.2"/>
    <row r="10038" ht="9.9499999999999993" hidden="1" customHeight="1" x14ac:dyDescent="0.2"/>
    <row r="10039" ht="9.9499999999999993" hidden="1" customHeight="1" x14ac:dyDescent="0.2"/>
    <row r="10040" ht="9.9499999999999993" hidden="1" customHeight="1" x14ac:dyDescent="0.2"/>
    <row r="10041" ht="9.9499999999999993" hidden="1" customHeight="1" x14ac:dyDescent="0.2"/>
    <row r="10042" ht="9.9499999999999993" hidden="1" customHeight="1" x14ac:dyDescent="0.2"/>
    <row r="10043" ht="9.9499999999999993" hidden="1" customHeight="1" x14ac:dyDescent="0.2"/>
    <row r="10044" ht="9.9499999999999993" hidden="1" customHeight="1" x14ac:dyDescent="0.2"/>
    <row r="10045" ht="9.9499999999999993" hidden="1" customHeight="1" x14ac:dyDescent="0.2"/>
    <row r="10046" ht="9.9499999999999993" hidden="1" customHeight="1" x14ac:dyDescent="0.2"/>
    <row r="10047" ht="9.9499999999999993" hidden="1" customHeight="1" x14ac:dyDescent="0.2"/>
    <row r="10048" ht="9.9499999999999993" hidden="1" customHeight="1" x14ac:dyDescent="0.2"/>
    <row r="10049" ht="9.9499999999999993" hidden="1" customHeight="1" x14ac:dyDescent="0.2"/>
    <row r="10050" ht="9.9499999999999993" hidden="1" customHeight="1" x14ac:dyDescent="0.2"/>
    <row r="10051" ht="9.9499999999999993" hidden="1" customHeight="1" x14ac:dyDescent="0.2"/>
    <row r="10052" ht="9.9499999999999993" hidden="1" customHeight="1" x14ac:dyDescent="0.2"/>
    <row r="10053" ht="9.9499999999999993" hidden="1" customHeight="1" x14ac:dyDescent="0.2"/>
    <row r="10054" ht="9.9499999999999993" hidden="1" customHeight="1" x14ac:dyDescent="0.2"/>
    <row r="10055" ht="9.9499999999999993" hidden="1" customHeight="1" x14ac:dyDescent="0.2"/>
    <row r="10056" ht="9.9499999999999993" hidden="1" customHeight="1" x14ac:dyDescent="0.2"/>
    <row r="10057" ht="9.9499999999999993" hidden="1" customHeight="1" x14ac:dyDescent="0.2"/>
    <row r="10058" ht="9.9499999999999993" hidden="1" customHeight="1" x14ac:dyDescent="0.2"/>
    <row r="10059" ht="9.9499999999999993" hidden="1" customHeight="1" x14ac:dyDescent="0.2"/>
    <row r="10060" ht="9.9499999999999993" hidden="1" customHeight="1" x14ac:dyDescent="0.2"/>
    <row r="10061" ht="9.9499999999999993" hidden="1" customHeight="1" x14ac:dyDescent="0.2"/>
    <row r="10062" ht="9.9499999999999993" hidden="1" customHeight="1" x14ac:dyDescent="0.2"/>
    <row r="10063" ht="9.9499999999999993" hidden="1" customHeight="1" x14ac:dyDescent="0.2"/>
    <row r="10064" ht="9.9499999999999993" hidden="1" customHeight="1" x14ac:dyDescent="0.2"/>
    <row r="10065" ht="9.9499999999999993" hidden="1" customHeight="1" x14ac:dyDescent="0.2"/>
    <row r="10066" ht="9.9499999999999993" hidden="1" customHeight="1" x14ac:dyDescent="0.2"/>
    <row r="10067" ht="9.9499999999999993" hidden="1" customHeight="1" x14ac:dyDescent="0.2"/>
    <row r="10068" ht="9.9499999999999993" hidden="1" customHeight="1" x14ac:dyDescent="0.2"/>
    <row r="10069" ht="9.9499999999999993" hidden="1" customHeight="1" x14ac:dyDescent="0.2"/>
    <row r="10070" ht="9.9499999999999993" hidden="1" customHeight="1" x14ac:dyDescent="0.2"/>
    <row r="10071" ht="9.9499999999999993" hidden="1" customHeight="1" x14ac:dyDescent="0.2"/>
    <row r="10072" ht="9.9499999999999993" hidden="1" customHeight="1" x14ac:dyDescent="0.2"/>
    <row r="10073" ht="9.9499999999999993" hidden="1" customHeight="1" x14ac:dyDescent="0.2"/>
    <row r="10074" ht="9.9499999999999993" hidden="1" customHeight="1" x14ac:dyDescent="0.2"/>
    <row r="10075" ht="9.9499999999999993" hidden="1" customHeight="1" x14ac:dyDescent="0.2"/>
    <row r="10076" ht="9.9499999999999993" hidden="1" customHeight="1" x14ac:dyDescent="0.2"/>
    <row r="10077" ht="9.9499999999999993" hidden="1" customHeight="1" x14ac:dyDescent="0.2"/>
    <row r="10078" ht="9.9499999999999993" hidden="1" customHeight="1" x14ac:dyDescent="0.2"/>
    <row r="10079" ht="9.9499999999999993" hidden="1" customHeight="1" x14ac:dyDescent="0.2"/>
    <row r="10080" ht="9.9499999999999993" hidden="1" customHeight="1" x14ac:dyDescent="0.2"/>
    <row r="10081" ht="9.9499999999999993" hidden="1" customHeight="1" x14ac:dyDescent="0.2"/>
    <row r="10082" ht="9.9499999999999993" hidden="1" customHeight="1" x14ac:dyDescent="0.2"/>
    <row r="10083" ht="9.9499999999999993" hidden="1" customHeight="1" x14ac:dyDescent="0.2"/>
    <row r="10084" ht="9.9499999999999993" hidden="1" customHeight="1" x14ac:dyDescent="0.2"/>
    <row r="10085" ht="9.9499999999999993" hidden="1" customHeight="1" x14ac:dyDescent="0.2"/>
    <row r="10086" ht="9.9499999999999993" hidden="1" customHeight="1" x14ac:dyDescent="0.2"/>
    <row r="10087" ht="9.9499999999999993" hidden="1" customHeight="1" x14ac:dyDescent="0.2"/>
    <row r="10088" ht="9.9499999999999993" hidden="1" customHeight="1" x14ac:dyDescent="0.2"/>
    <row r="10089" ht="9.9499999999999993" hidden="1" customHeight="1" x14ac:dyDescent="0.2"/>
    <row r="10090" ht="9.9499999999999993" hidden="1" customHeight="1" x14ac:dyDescent="0.2"/>
    <row r="10091" ht="9.9499999999999993" hidden="1" customHeight="1" x14ac:dyDescent="0.2"/>
    <row r="10092" ht="9.9499999999999993" hidden="1" customHeight="1" x14ac:dyDescent="0.2"/>
    <row r="10093" ht="9.9499999999999993" hidden="1" customHeight="1" x14ac:dyDescent="0.2"/>
    <row r="10094" ht="9.9499999999999993" hidden="1" customHeight="1" x14ac:dyDescent="0.2"/>
    <row r="10095" ht="9.9499999999999993" hidden="1" customHeight="1" x14ac:dyDescent="0.2"/>
    <row r="10096" ht="9.9499999999999993" hidden="1" customHeight="1" x14ac:dyDescent="0.2"/>
    <row r="10097" ht="9.9499999999999993" hidden="1" customHeight="1" x14ac:dyDescent="0.2"/>
    <row r="10098" ht="9.9499999999999993" hidden="1" customHeight="1" x14ac:dyDescent="0.2"/>
    <row r="10099" ht="9.9499999999999993" hidden="1" customHeight="1" x14ac:dyDescent="0.2"/>
    <row r="10100" ht="9.9499999999999993" hidden="1" customHeight="1" x14ac:dyDescent="0.2"/>
    <row r="10101" ht="9.9499999999999993" hidden="1" customHeight="1" x14ac:dyDescent="0.2"/>
    <row r="10102" ht="9.9499999999999993" hidden="1" customHeight="1" x14ac:dyDescent="0.2"/>
    <row r="10103" ht="9.9499999999999993" hidden="1" customHeight="1" x14ac:dyDescent="0.2"/>
    <row r="10104" ht="9.9499999999999993" hidden="1" customHeight="1" x14ac:dyDescent="0.2"/>
    <row r="10105" ht="9.9499999999999993" hidden="1" customHeight="1" x14ac:dyDescent="0.2"/>
    <row r="10106" ht="9.9499999999999993" hidden="1" customHeight="1" x14ac:dyDescent="0.2"/>
    <row r="10107" ht="9.9499999999999993" hidden="1" customHeight="1" x14ac:dyDescent="0.2"/>
    <row r="10108" ht="9.9499999999999993" hidden="1" customHeight="1" x14ac:dyDescent="0.2"/>
    <row r="10109" ht="9.9499999999999993" hidden="1" customHeight="1" x14ac:dyDescent="0.2"/>
    <row r="10110" ht="9.9499999999999993" hidden="1" customHeight="1" x14ac:dyDescent="0.2"/>
    <row r="10111" ht="9.9499999999999993" hidden="1" customHeight="1" x14ac:dyDescent="0.2"/>
    <row r="10112" ht="9.9499999999999993" hidden="1" customHeight="1" x14ac:dyDescent="0.2"/>
    <row r="10113" ht="9.9499999999999993" hidden="1" customHeight="1" x14ac:dyDescent="0.2"/>
    <row r="10114" ht="9.9499999999999993" hidden="1" customHeight="1" x14ac:dyDescent="0.2"/>
    <row r="10115" ht="9.9499999999999993" hidden="1" customHeight="1" x14ac:dyDescent="0.2"/>
    <row r="10116" ht="9.9499999999999993" hidden="1" customHeight="1" x14ac:dyDescent="0.2"/>
    <row r="10117" ht="9.9499999999999993" hidden="1" customHeight="1" x14ac:dyDescent="0.2"/>
    <row r="10118" ht="9.9499999999999993" hidden="1" customHeight="1" x14ac:dyDescent="0.2"/>
    <row r="10119" ht="9.9499999999999993" hidden="1" customHeight="1" x14ac:dyDescent="0.2"/>
    <row r="10120" ht="9.9499999999999993" hidden="1" customHeight="1" x14ac:dyDescent="0.2"/>
    <row r="10121" ht="9.9499999999999993" hidden="1" customHeight="1" x14ac:dyDescent="0.2"/>
    <row r="10122" ht="9.9499999999999993" hidden="1" customHeight="1" x14ac:dyDescent="0.2"/>
    <row r="10123" ht="9.9499999999999993" hidden="1" customHeight="1" x14ac:dyDescent="0.2"/>
    <row r="10124" ht="9.9499999999999993" hidden="1" customHeight="1" x14ac:dyDescent="0.2"/>
    <row r="10125" ht="9.9499999999999993" hidden="1" customHeight="1" x14ac:dyDescent="0.2"/>
    <row r="10126" ht="9.9499999999999993" hidden="1" customHeight="1" x14ac:dyDescent="0.2"/>
    <row r="10127" ht="9.9499999999999993" hidden="1" customHeight="1" x14ac:dyDescent="0.2"/>
    <row r="10128" ht="9.9499999999999993" hidden="1" customHeight="1" x14ac:dyDescent="0.2"/>
    <row r="10129" ht="9.9499999999999993" hidden="1" customHeight="1" x14ac:dyDescent="0.2"/>
    <row r="10130" ht="9.9499999999999993" hidden="1" customHeight="1" x14ac:dyDescent="0.2"/>
    <row r="10131" ht="9.9499999999999993" hidden="1" customHeight="1" x14ac:dyDescent="0.2"/>
    <row r="10132" ht="9.9499999999999993" hidden="1" customHeight="1" x14ac:dyDescent="0.2"/>
    <row r="10133" ht="9.9499999999999993" hidden="1" customHeight="1" x14ac:dyDescent="0.2"/>
    <row r="10134" ht="9.9499999999999993" hidden="1" customHeight="1" x14ac:dyDescent="0.2"/>
    <row r="10135" ht="9.9499999999999993" hidden="1" customHeight="1" x14ac:dyDescent="0.2"/>
    <row r="10136" ht="9.9499999999999993" hidden="1" customHeight="1" x14ac:dyDescent="0.2"/>
    <row r="10137" ht="9.9499999999999993" hidden="1" customHeight="1" x14ac:dyDescent="0.2"/>
    <row r="10138" ht="9.9499999999999993" hidden="1" customHeight="1" x14ac:dyDescent="0.2"/>
    <row r="10139" ht="9.9499999999999993" hidden="1" customHeight="1" x14ac:dyDescent="0.2"/>
    <row r="10140" ht="9.9499999999999993" hidden="1" customHeight="1" x14ac:dyDescent="0.2"/>
    <row r="10141" ht="9.9499999999999993" hidden="1" customHeight="1" x14ac:dyDescent="0.2"/>
    <row r="10142" ht="9.9499999999999993" hidden="1" customHeight="1" x14ac:dyDescent="0.2"/>
    <row r="10143" ht="9.9499999999999993" hidden="1" customHeight="1" x14ac:dyDescent="0.2"/>
    <row r="10144" ht="9.9499999999999993" hidden="1" customHeight="1" x14ac:dyDescent="0.2"/>
    <row r="10145" ht="9.9499999999999993" hidden="1" customHeight="1" x14ac:dyDescent="0.2"/>
    <row r="10146" ht="9.9499999999999993" hidden="1" customHeight="1" x14ac:dyDescent="0.2"/>
    <row r="10147" ht="9.9499999999999993" hidden="1" customHeight="1" x14ac:dyDescent="0.2"/>
    <row r="10148" ht="9.9499999999999993" hidden="1" customHeight="1" x14ac:dyDescent="0.2"/>
    <row r="10149" ht="9.9499999999999993" hidden="1" customHeight="1" x14ac:dyDescent="0.2"/>
    <row r="10150" ht="9.9499999999999993" hidden="1" customHeight="1" x14ac:dyDescent="0.2"/>
    <row r="10151" ht="9.9499999999999993" hidden="1" customHeight="1" x14ac:dyDescent="0.2"/>
    <row r="10152" ht="9.9499999999999993" hidden="1" customHeight="1" x14ac:dyDescent="0.2"/>
    <row r="10153" ht="9.9499999999999993" hidden="1" customHeight="1" x14ac:dyDescent="0.2"/>
    <row r="10154" ht="9.9499999999999993" hidden="1" customHeight="1" x14ac:dyDescent="0.2"/>
    <row r="10155" ht="9.9499999999999993" hidden="1" customHeight="1" x14ac:dyDescent="0.2"/>
    <row r="10156" ht="9.9499999999999993" hidden="1" customHeight="1" x14ac:dyDescent="0.2"/>
    <row r="10157" ht="9.9499999999999993" hidden="1" customHeight="1" x14ac:dyDescent="0.2"/>
    <row r="10158" ht="9.9499999999999993" hidden="1" customHeight="1" x14ac:dyDescent="0.2"/>
    <row r="10159" ht="9.9499999999999993" hidden="1" customHeight="1" x14ac:dyDescent="0.2"/>
    <row r="10160" ht="9.9499999999999993" hidden="1" customHeight="1" x14ac:dyDescent="0.2"/>
    <row r="10161" ht="9.9499999999999993" hidden="1" customHeight="1" x14ac:dyDescent="0.2"/>
    <row r="10162" ht="9.9499999999999993" hidden="1" customHeight="1" x14ac:dyDescent="0.2"/>
    <row r="10163" ht="9.9499999999999993" hidden="1" customHeight="1" x14ac:dyDescent="0.2"/>
    <row r="10164" ht="9.9499999999999993" hidden="1" customHeight="1" x14ac:dyDescent="0.2"/>
    <row r="10165" ht="9.9499999999999993" hidden="1" customHeight="1" x14ac:dyDescent="0.2"/>
    <row r="10166" ht="9.9499999999999993" hidden="1" customHeight="1" x14ac:dyDescent="0.2"/>
    <row r="10167" ht="9.9499999999999993" hidden="1" customHeight="1" x14ac:dyDescent="0.2"/>
    <row r="10168" ht="9.9499999999999993" hidden="1" customHeight="1" x14ac:dyDescent="0.2"/>
    <row r="10169" ht="9.9499999999999993" hidden="1" customHeight="1" x14ac:dyDescent="0.2"/>
    <row r="10170" ht="9.9499999999999993" hidden="1" customHeight="1" x14ac:dyDescent="0.2"/>
    <row r="10171" ht="9.9499999999999993" hidden="1" customHeight="1" x14ac:dyDescent="0.2"/>
    <row r="10172" ht="9.9499999999999993" hidden="1" customHeight="1" x14ac:dyDescent="0.2"/>
    <row r="10173" ht="9.9499999999999993" hidden="1" customHeight="1" x14ac:dyDescent="0.2"/>
    <row r="10174" ht="9.9499999999999993" hidden="1" customHeight="1" x14ac:dyDescent="0.2"/>
    <row r="10175" ht="9.9499999999999993" hidden="1" customHeight="1" x14ac:dyDescent="0.2"/>
    <row r="10176" ht="9.9499999999999993" hidden="1" customHeight="1" x14ac:dyDescent="0.2"/>
    <row r="10177" ht="9.9499999999999993" hidden="1" customHeight="1" x14ac:dyDescent="0.2"/>
    <row r="10178" ht="9.9499999999999993" hidden="1" customHeight="1" x14ac:dyDescent="0.2"/>
    <row r="10179" ht="9.9499999999999993" hidden="1" customHeight="1" x14ac:dyDescent="0.2"/>
    <row r="10180" ht="9.9499999999999993" hidden="1" customHeight="1" x14ac:dyDescent="0.2"/>
    <row r="10181" ht="9.9499999999999993" hidden="1" customHeight="1" x14ac:dyDescent="0.2"/>
    <row r="10182" ht="9.9499999999999993" hidden="1" customHeight="1" x14ac:dyDescent="0.2"/>
    <row r="10183" ht="9.9499999999999993" hidden="1" customHeight="1" x14ac:dyDescent="0.2"/>
    <row r="10184" ht="9.9499999999999993" hidden="1" customHeight="1" x14ac:dyDescent="0.2"/>
    <row r="10185" ht="9.9499999999999993" hidden="1" customHeight="1" x14ac:dyDescent="0.2"/>
    <row r="10186" ht="9.9499999999999993" hidden="1" customHeight="1" x14ac:dyDescent="0.2"/>
    <row r="10187" ht="9.9499999999999993" hidden="1" customHeight="1" x14ac:dyDescent="0.2"/>
    <row r="10188" ht="9.9499999999999993" hidden="1" customHeight="1" x14ac:dyDescent="0.2"/>
    <row r="10189" ht="9.9499999999999993" hidden="1" customHeight="1" x14ac:dyDescent="0.2"/>
    <row r="10190" ht="9.9499999999999993" hidden="1" customHeight="1" x14ac:dyDescent="0.2"/>
    <row r="10191" ht="9.9499999999999993" hidden="1" customHeight="1" x14ac:dyDescent="0.2"/>
    <row r="10192" ht="9.9499999999999993" hidden="1" customHeight="1" x14ac:dyDescent="0.2"/>
    <row r="10193" ht="9.9499999999999993" hidden="1" customHeight="1" x14ac:dyDescent="0.2"/>
    <row r="10194" ht="9.9499999999999993" hidden="1" customHeight="1" x14ac:dyDescent="0.2"/>
    <row r="10195" ht="9.9499999999999993" hidden="1" customHeight="1" x14ac:dyDescent="0.2"/>
    <row r="10196" ht="9.9499999999999993" hidden="1" customHeight="1" x14ac:dyDescent="0.2"/>
    <row r="10197" ht="9.9499999999999993" hidden="1" customHeight="1" x14ac:dyDescent="0.2"/>
    <row r="10198" ht="9.9499999999999993" hidden="1" customHeight="1" x14ac:dyDescent="0.2"/>
    <row r="10199" ht="9.9499999999999993" hidden="1" customHeight="1" x14ac:dyDescent="0.2"/>
    <row r="10200" ht="9.9499999999999993" hidden="1" customHeight="1" x14ac:dyDescent="0.2"/>
    <row r="10201" ht="9.9499999999999993" hidden="1" customHeight="1" x14ac:dyDescent="0.2"/>
    <row r="10202" ht="9.9499999999999993" hidden="1" customHeight="1" x14ac:dyDescent="0.2"/>
    <row r="10203" ht="9.9499999999999993" hidden="1" customHeight="1" x14ac:dyDescent="0.2"/>
    <row r="10204" ht="9.9499999999999993" hidden="1" customHeight="1" x14ac:dyDescent="0.2"/>
    <row r="10205" ht="9.9499999999999993" hidden="1" customHeight="1" x14ac:dyDescent="0.2"/>
    <row r="10206" ht="9.9499999999999993" hidden="1" customHeight="1" x14ac:dyDescent="0.2"/>
    <row r="10207" ht="9.9499999999999993" hidden="1" customHeight="1" x14ac:dyDescent="0.2"/>
    <row r="10208" ht="9.9499999999999993" hidden="1" customHeight="1" x14ac:dyDescent="0.2"/>
    <row r="10209" ht="9.9499999999999993" hidden="1" customHeight="1" x14ac:dyDescent="0.2"/>
    <row r="10210" ht="9.9499999999999993" hidden="1" customHeight="1" x14ac:dyDescent="0.2"/>
    <row r="10211" ht="9.9499999999999993" hidden="1" customHeight="1" x14ac:dyDescent="0.2"/>
    <row r="10212" ht="9.9499999999999993" hidden="1" customHeight="1" x14ac:dyDescent="0.2"/>
    <row r="10213" ht="9.9499999999999993" hidden="1" customHeight="1" x14ac:dyDescent="0.2"/>
    <row r="10214" ht="9.9499999999999993" hidden="1" customHeight="1" x14ac:dyDescent="0.2"/>
    <row r="10215" ht="9.9499999999999993" hidden="1" customHeight="1" x14ac:dyDescent="0.2"/>
    <row r="10216" ht="9.9499999999999993" hidden="1" customHeight="1" x14ac:dyDescent="0.2"/>
    <row r="10217" ht="9.9499999999999993" hidden="1" customHeight="1" x14ac:dyDescent="0.2"/>
    <row r="10218" ht="9.9499999999999993" hidden="1" customHeight="1" x14ac:dyDescent="0.2"/>
    <row r="10219" ht="9.9499999999999993" hidden="1" customHeight="1" x14ac:dyDescent="0.2"/>
    <row r="10220" ht="9.9499999999999993" hidden="1" customHeight="1" x14ac:dyDescent="0.2"/>
    <row r="10221" ht="9.9499999999999993" hidden="1" customHeight="1" x14ac:dyDescent="0.2"/>
    <row r="10222" ht="9.9499999999999993" hidden="1" customHeight="1" x14ac:dyDescent="0.2"/>
    <row r="10223" ht="9.9499999999999993" hidden="1" customHeight="1" x14ac:dyDescent="0.2"/>
    <row r="10224" ht="9.9499999999999993" hidden="1" customHeight="1" x14ac:dyDescent="0.2"/>
    <row r="10225" ht="9.9499999999999993" hidden="1" customHeight="1" x14ac:dyDescent="0.2"/>
    <row r="10226" ht="9.9499999999999993" hidden="1" customHeight="1" x14ac:dyDescent="0.2"/>
    <row r="10227" ht="9.9499999999999993" hidden="1" customHeight="1" x14ac:dyDescent="0.2"/>
    <row r="10228" ht="9.9499999999999993" hidden="1" customHeight="1" x14ac:dyDescent="0.2"/>
    <row r="10229" ht="9.9499999999999993" hidden="1" customHeight="1" x14ac:dyDescent="0.2"/>
    <row r="10230" ht="9.9499999999999993" hidden="1" customHeight="1" x14ac:dyDescent="0.2"/>
    <row r="10231" ht="9.9499999999999993" hidden="1" customHeight="1" x14ac:dyDescent="0.2"/>
    <row r="10232" ht="9.9499999999999993" hidden="1" customHeight="1" x14ac:dyDescent="0.2"/>
    <row r="10233" ht="9.9499999999999993" hidden="1" customHeight="1" x14ac:dyDescent="0.2"/>
    <row r="10234" ht="9.9499999999999993" hidden="1" customHeight="1" x14ac:dyDescent="0.2"/>
    <row r="10235" ht="9.9499999999999993" hidden="1" customHeight="1" x14ac:dyDescent="0.2"/>
    <row r="10236" ht="9.9499999999999993" hidden="1" customHeight="1" x14ac:dyDescent="0.2"/>
    <row r="10237" ht="9.9499999999999993" hidden="1" customHeight="1" x14ac:dyDescent="0.2"/>
    <row r="10238" ht="9.9499999999999993" hidden="1" customHeight="1" x14ac:dyDescent="0.2"/>
    <row r="10239" ht="9.9499999999999993" hidden="1" customHeight="1" x14ac:dyDescent="0.2"/>
    <row r="10240" ht="9.9499999999999993" hidden="1" customHeight="1" x14ac:dyDescent="0.2"/>
    <row r="10241" ht="9.9499999999999993" hidden="1" customHeight="1" x14ac:dyDescent="0.2"/>
    <row r="10242" ht="9.9499999999999993" hidden="1" customHeight="1" x14ac:dyDescent="0.2"/>
    <row r="10243" ht="9.9499999999999993" hidden="1" customHeight="1" x14ac:dyDescent="0.2"/>
    <row r="10244" ht="9.9499999999999993" hidden="1" customHeight="1" x14ac:dyDescent="0.2"/>
    <row r="10245" ht="9.9499999999999993" hidden="1" customHeight="1" x14ac:dyDescent="0.2"/>
    <row r="10246" ht="9.9499999999999993" hidden="1" customHeight="1" x14ac:dyDescent="0.2"/>
    <row r="10247" ht="9.9499999999999993" hidden="1" customHeight="1" x14ac:dyDescent="0.2"/>
    <row r="10248" ht="9.9499999999999993" hidden="1" customHeight="1" x14ac:dyDescent="0.2"/>
    <row r="10249" ht="9.9499999999999993" hidden="1" customHeight="1" x14ac:dyDescent="0.2"/>
    <row r="10250" ht="9.9499999999999993" hidden="1" customHeight="1" x14ac:dyDescent="0.2"/>
    <row r="10251" ht="9.9499999999999993" hidden="1" customHeight="1" x14ac:dyDescent="0.2"/>
    <row r="10252" ht="9.9499999999999993" hidden="1" customHeight="1" x14ac:dyDescent="0.2"/>
    <row r="10253" ht="9.9499999999999993" hidden="1" customHeight="1" x14ac:dyDescent="0.2"/>
    <row r="10254" ht="9.9499999999999993" hidden="1" customHeight="1" x14ac:dyDescent="0.2"/>
    <row r="10255" ht="9.9499999999999993" hidden="1" customHeight="1" x14ac:dyDescent="0.2"/>
    <row r="10256" ht="9.9499999999999993" hidden="1" customHeight="1" x14ac:dyDescent="0.2"/>
    <row r="10257" ht="9.9499999999999993" hidden="1" customHeight="1" x14ac:dyDescent="0.2"/>
    <row r="10258" ht="9.9499999999999993" hidden="1" customHeight="1" x14ac:dyDescent="0.2"/>
    <row r="10259" ht="9.9499999999999993" hidden="1" customHeight="1" x14ac:dyDescent="0.2"/>
    <row r="10260" ht="9.9499999999999993" hidden="1" customHeight="1" x14ac:dyDescent="0.2"/>
    <row r="10261" ht="9.9499999999999993" hidden="1" customHeight="1" x14ac:dyDescent="0.2"/>
    <row r="10262" ht="9.9499999999999993" hidden="1" customHeight="1" x14ac:dyDescent="0.2"/>
    <row r="10263" ht="9.9499999999999993" hidden="1" customHeight="1" x14ac:dyDescent="0.2"/>
    <row r="10264" ht="9.9499999999999993" hidden="1" customHeight="1" x14ac:dyDescent="0.2"/>
    <row r="10265" ht="9.9499999999999993" hidden="1" customHeight="1" x14ac:dyDescent="0.2"/>
    <row r="10266" ht="9.9499999999999993" hidden="1" customHeight="1" x14ac:dyDescent="0.2"/>
    <row r="10267" ht="9.9499999999999993" hidden="1" customHeight="1" x14ac:dyDescent="0.2"/>
    <row r="10268" ht="9.9499999999999993" hidden="1" customHeight="1" x14ac:dyDescent="0.2"/>
    <row r="10269" ht="9.9499999999999993" hidden="1" customHeight="1" x14ac:dyDescent="0.2"/>
    <row r="10270" ht="9.9499999999999993" hidden="1" customHeight="1" x14ac:dyDescent="0.2"/>
    <row r="10271" ht="9.9499999999999993" hidden="1" customHeight="1" x14ac:dyDescent="0.2"/>
    <row r="10272" ht="9.9499999999999993" hidden="1" customHeight="1" x14ac:dyDescent="0.2"/>
    <row r="10273" ht="9.9499999999999993" hidden="1" customHeight="1" x14ac:dyDescent="0.2"/>
    <row r="10274" ht="9.9499999999999993" hidden="1" customHeight="1" x14ac:dyDescent="0.2"/>
    <row r="10275" ht="9.9499999999999993" hidden="1" customHeight="1" x14ac:dyDescent="0.2"/>
    <row r="10276" ht="9.9499999999999993" hidden="1" customHeight="1" x14ac:dyDescent="0.2"/>
    <row r="10277" ht="9.9499999999999993" hidden="1" customHeight="1" x14ac:dyDescent="0.2"/>
    <row r="10278" ht="9.9499999999999993" hidden="1" customHeight="1" x14ac:dyDescent="0.2"/>
    <row r="10279" ht="9.9499999999999993" hidden="1" customHeight="1" x14ac:dyDescent="0.2"/>
    <row r="10280" ht="9.9499999999999993" hidden="1" customHeight="1" x14ac:dyDescent="0.2"/>
    <row r="10281" ht="9.9499999999999993" hidden="1" customHeight="1" x14ac:dyDescent="0.2"/>
    <row r="10282" ht="9.9499999999999993" hidden="1" customHeight="1" x14ac:dyDescent="0.2"/>
    <row r="10283" ht="9.9499999999999993" hidden="1" customHeight="1" x14ac:dyDescent="0.2"/>
    <row r="10284" ht="9.9499999999999993" hidden="1" customHeight="1" x14ac:dyDescent="0.2"/>
    <row r="10285" ht="9.9499999999999993" hidden="1" customHeight="1" x14ac:dyDescent="0.2"/>
    <row r="10286" ht="9.9499999999999993" hidden="1" customHeight="1" x14ac:dyDescent="0.2"/>
    <row r="10287" ht="9.9499999999999993" hidden="1" customHeight="1" x14ac:dyDescent="0.2"/>
    <row r="10288" ht="9.9499999999999993" hidden="1" customHeight="1" x14ac:dyDescent="0.2"/>
    <row r="10289" ht="9.9499999999999993" hidden="1" customHeight="1" x14ac:dyDescent="0.2"/>
    <row r="10290" ht="9.9499999999999993" hidden="1" customHeight="1" x14ac:dyDescent="0.2"/>
    <row r="10291" ht="9.9499999999999993" hidden="1" customHeight="1" x14ac:dyDescent="0.2"/>
    <row r="10292" ht="9.9499999999999993" hidden="1" customHeight="1" x14ac:dyDescent="0.2"/>
    <row r="10293" ht="9.9499999999999993" hidden="1" customHeight="1" x14ac:dyDescent="0.2"/>
    <row r="10294" ht="9.9499999999999993" hidden="1" customHeight="1" x14ac:dyDescent="0.2"/>
    <row r="10295" ht="9.9499999999999993" hidden="1" customHeight="1" x14ac:dyDescent="0.2"/>
    <row r="10296" ht="9.9499999999999993" hidden="1" customHeight="1" x14ac:dyDescent="0.2"/>
    <row r="10297" ht="9.9499999999999993" hidden="1" customHeight="1" x14ac:dyDescent="0.2"/>
    <row r="10298" ht="9.9499999999999993" hidden="1" customHeight="1" x14ac:dyDescent="0.2"/>
    <row r="10299" ht="9.9499999999999993" hidden="1" customHeight="1" x14ac:dyDescent="0.2"/>
    <row r="10300" ht="9.9499999999999993" hidden="1" customHeight="1" x14ac:dyDescent="0.2"/>
    <row r="10301" ht="9.9499999999999993" hidden="1" customHeight="1" x14ac:dyDescent="0.2"/>
    <row r="10302" ht="9.9499999999999993" hidden="1" customHeight="1" x14ac:dyDescent="0.2"/>
    <row r="10303" ht="9.9499999999999993" hidden="1" customHeight="1" x14ac:dyDescent="0.2"/>
    <row r="10304" ht="9.9499999999999993" hidden="1" customHeight="1" x14ac:dyDescent="0.2"/>
    <row r="10305" ht="9.9499999999999993" hidden="1" customHeight="1" x14ac:dyDescent="0.2"/>
    <row r="10306" ht="9.9499999999999993" hidden="1" customHeight="1" x14ac:dyDescent="0.2"/>
    <row r="10307" ht="9.9499999999999993" hidden="1" customHeight="1" x14ac:dyDescent="0.2"/>
    <row r="10308" ht="9.9499999999999993" hidden="1" customHeight="1" x14ac:dyDescent="0.2"/>
    <row r="10309" ht="9.9499999999999993" hidden="1" customHeight="1" x14ac:dyDescent="0.2"/>
    <row r="10310" ht="9.9499999999999993" hidden="1" customHeight="1" x14ac:dyDescent="0.2"/>
    <row r="10311" ht="9.9499999999999993" hidden="1" customHeight="1" x14ac:dyDescent="0.2"/>
    <row r="10312" ht="9.9499999999999993" hidden="1" customHeight="1" x14ac:dyDescent="0.2"/>
    <row r="10313" ht="9.9499999999999993" hidden="1" customHeight="1" x14ac:dyDescent="0.2"/>
    <row r="10314" ht="9.9499999999999993" hidden="1" customHeight="1" x14ac:dyDescent="0.2"/>
    <row r="10315" ht="9.9499999999999993" hidden="1" customHeight="1" x14ac:dyDescent="0.2"/>
    <row r="10316" ht="9.9499999999999993" hidden="1" customHeight="1" x14ac:dyDescent="0.2"/>
    <row r="10317" ht="9.9499999999999993" hidden="1" customHeight="1" x14ac:dyDescent="0.2"/>
    <row r="10318" ht="9.9499999999999993" hidden="1" customHeight="1" x14ac:dyDescent="0.2"/>
    <row r="10319" ht="9.9499999999999993" hidden="1" customHeight="1" x14ac:dyDescent="0.2"/>
    <row r="10320" ht="9.9499999999999993" hidden="1" customHeight="1" x14ac:dyDescent="0.2"/>
    <row r="10321" ht="9.9499999999999993" hidden="1" customHeight="1" x14ac:dyDescent="0.2"/>
    <row r="10322" ht="9.9499999999999993" hidden="1" customHeight="1" x14ac:dyDescent="0.2"/>
    <row r="10323" ht="9.9499999999999993" hidden="1" customHeight="1" x14ac:dyDescent="0.2"/>
    <row r="10324" ht="9.9499999999999993" hidden="1" customHeight="1" x14ac:dyDescent="0.2"/>
    <row r="10325" ht="9.9499999999999993" hidden="1" customHeight="1" x14ac:dyDescent="0.2"/>
    <row r="10326" ht="9.9499999999999993" hidden="1" customHeight="1" x14ac:dyDescent="0.2"/>
    <row r="10327" ht="9.9499999999999993" hidden="1" customHeight="1" x14ac:dyDescent="0.2"/>
    <row r="10328" ht="9.9499999999999993" hidden="1" customHeight="1" x14ac:dyDescent="0.2"/>
    <row r="10329" ht="9.9499999999999993" hidden="1" customHeight="1" x14ac:dyDescent="0.2"/>
    <row r="10330" ht="9.9499999999999993" hidden="1" customHeight="1" x14ac:dyDescent="0.2"/>
    <row r="10331" ht="9.9499999999999993" hidden="1" customHeight="1" x14ac:dyDescent="0.2"/>
    <row r="10332" ht="9.9499999999999993" hidden="1" customHeight="1" x14ac:dyDescent="0.2"/>
    <row r="10333" ht="9.9499999999999993" hidden="1" customHeight="1" x14ac:dyDescent="0.2"/>
    <row r="10334" ht="9.9499999999999993" hidden="1" customHeight="1" x14ac:dyDescent="0.2"/>
    <row r="10335" ht="9.9499999999999993" hidden="1" customHeight="1" x14ac:dyDescent="0.2"/>
    <row r="10336" ht="9.9499999999999993" hidden="1" customHeight="1" x14ac:dyDescent="0.2"/>
    <row r="10337" ht="9.9499999999999993" hidden="1" customHeight="1" x14ac:dyDescent="0.2"/>
    <row r="10338" ht="9.9499999999999993" hidden="1" customHeight="1" x14ac:dyDescent="0.2"/>
    <row r="10339" ht="9.9499999999999993" hidden="1" customHeight="1" x14ac:dyDescent="0.2"/>
    <row r="10340" ht="9.9499999999999993" hidden="1" customHeight="1" x14ac:dyDescent="0.2"/>
    <row r="10341" ht="9.9499999999999993" hidden="1" customHeight="1" x14ac:dyDescent="0.2"/>
    <row r="10342" ht="9.9499999999999993" hidden="1" customHeight="1" x14ac:dyDescent="0.2"/>
    <row r="10343" ht="9.9499999999999993" hidden="1" customHeight="1" x14ac:dyDescent="0.2"/>
    <row r="10344" ht="9.9499999999999993" hidden="1" customHeight="1" x14ac:dyDescent="0.2"/>
    <row r="10345" ht="9.9499999999999993" hidden="1" customHeight="1" x14ac:dyDescent="0.2"/>
    <row r="10346" ht="9.9499999999999993" hidden="1" customHeight="1" x14ac:dyDescent="0.2"/>
    <row r="10347" ht="9.9499999999999993" hidden="1" customHeight="1" x14ac:dyDescent="0.2"/>
    <row r="10348" ht="9.9499999999999993" hidden="1" customHeight="1" x14ac:dyDescent="0.2"/>
    <row r="10349" ht="9.9499999999999993" hidden="1" customHeight="1" x14ac:dyDescent="0.2"/>
    <row r="10350" ht="9.9499999999999993" hidden="1" customHeight="1" x14ac:dyDescent="0.2"/>
    <row r="10351" ht="9.9499999999999993" hidden="1" customHeight="1" x14ac:dyDescent="0.2"/>
    <row r="10352" ht="9.9499999999999993" hidden="1" customHeight="1" x14ac:dyDescent="0.2"/>
    <row r="10353" ht="9.9499999999999993" hidden="1" customHeight="1" x14ac:dyDescent="0.2"/>
    <row r="10354" ht="9.9499999999999993" hidden="1" customHeight="1" x14ac:dyDescent="0.2"/>
    <row r="10355" ht="9.9499999999999993" hidden="1" customHeight="1" x14ac:dyDescent="0.2"/>
    <row r="10356" ht="9.9499999999999993" hidden="1" customHeight="1" x14ac:dyDescent="0.2"/>
    <row r="10357" ht="9.9499999999999993" hidden="1" customHeight="1" x14ac:dyDescent="0.2"/>
    <row r="10358" ht="9.9499999999999993" hidden="1" customHeight="1" x14ac:dyDescent="0.2"/>
    <row r="10359" ht="9.9499999999999993" hidden="1" customHeight="1" x14ac:dyDescent="0.2"/>
    <row r="10360" ht="9.9499999999999993" hidden="1" customHeight="1" x14ac:dyDescent="0.2"/>
    <row r="10361" ht="9.9499999999999993" hidden="1" customHeight="1" x14ac:dyDescent="0.2"/>
    <row r="10362" ht="9.9499999999999993" hidden="1" customHeight="1" x14ac:dyDescent="0.2"/>
    <row r="10363" ht="9.9499999999999993" hidden="1" customHeight="1" x14ac:dyDescent="0.2"/>
    <row r="10364" ht="9.9499999999999993" hidden="1" customHeight="1" x14ac:dyDescent="0.2"/>
    <row r="10365" ht="9.9499999999999993" hidden="1" customHeight="1" x14ac:dyDescent="0.2"/>
    <row r="10366" ht="9.9499999999999993" hidden="1" customHeight="1" x14ac:dyDescent="0.2"/>
    <row r="10367" ht="9.9499999999999993" hidden="1" customHeight="1" x14ac:dyDescent="0.2"/>
    <row r="10368" ht="9.9499999999999993" hidden="1" customHeight="1" x14ac:dyDescent="0.2"/>
    <row r="10369" ht="9.9499999999999993" hidden="1" customHeight="1" x14ac:dyDescent="0.2"/>
    <row r="10370" ht="9.9499999999999993" hidden="1" customHeight="1" x14ac:dyDescent="0.2"/>
    <row r="10371" ht="9.9499999999999993" hidden="1" customHeight="1" x14ac:dyDescent="0.2"/>
    <row r="10372" ht="9.9499999999999993" hidden="1" customHeight="1" x14ac:dyDescent="0.2"/>
    <row r="10373" ht="9.9499999999999993" hidden="1" customHeight="1" x14ac:dyDescent="0.2"/>
    <row r="10374" ht="9.9499999999999993" hidden="1" customHeight="1" x14ac:dyDescent="0.2"/>
    <row r="10375" ht="9.9499999999999993" hidden="1" customHeight="1" x14ac:dyDescent="0.2"/>
    <row r="10376" ht="9.9499999999999993" hidden="1" customHeight="1" x14ac:dyDescent="0.2"/>
    <row r="10377" ht="9.9499999999999993" hidden="1" customHeight="1" x14ac:dyDescent="0.2"/>
    <row r="10378" ht="9.9499999999999993" hidden="1" customHeight="1" x14ac:dyDescent="0.2"/>
    <row r="10379" ht="9.9499999999999993" hidden="1" customHeight="1" x14ac:dyDescent="0.2"/>
    <row r="10380" ht="9.9499999999999993" hidden="1" customHeight="1" x14ac:dyDescent="0.2"/>
    <row r="10381" ht="9.9499999999999993" hidden="1" customHeight="1" x14ac:dyDescent="0.2"/>
    <row r="10382" ht="9.9499999999999993" hidden="1" customHeight="1" x14ac:dyDescent="0.2"/>
    <row r="10383" ht="9.9499999999999993" hidden="1" customHeight="1" x14ac:dyDescent="0.2"/>
    <row r="10384" ht="9.9499999999999993" hidden="1" customHeight="1" x14ac:dyDescent="0.2"/>
    <row r="10385" ht="9.9499999999999993" hidden="1" customHeight="1" x14ac:dyDescent="0.2"/>
    <row r="10386" ht="9.9499999999999993" hidden="1" customHeight="1" x14ac:dyDescent="0.2"/>
    <row r="10387" ht="9.9499999999999993" hidden="1" customHeight="1" x14ac:dyDescent="0.2"/>
    <row r="10388" ht="9.9499999999999993" hidden="1" customHeight="1" x14ac:dyDescent="0.2"/>
    <row r="10389" ht="9.9499999999999993" hidden="1" customHeight="1" x14ac:dyDescent="0.2"/>
    <row r="10390" ht="9.9499999999999993" hidden="1" customHeight="1" x14ac:dyDescent="0.2"/>
    <row r="10391" ht="9.9499999999999993" hidden="1" customHeight="1" x14ac:dyDescent="0.2"/>
    <row r="10392" ht="9.9499999999999993" hidden="1" customHeight="1" x14ac:dyDescent="0.2"/>
    <row r="10393" ht="9.9499999999999993" hidden="1" customHeight="1" x14ac:dyDescent="0.2"/>
    <row r="10394" ht="9.9499999999999993" hidden="1" customHeight="1" x14ac:dyDescent="0.2"/>
    <row r="10395" ht="9.9499999999999993" hidden="1" customHeight="1" x14ac:dyDescent="0.2"/>
    <row r="10396" ht="9.9499999999999993" hidden="1" customHeight="1" x14ac:dyDescent="0.2"/>
    <row r="10397" ht="9.9499999999999993" hidden="1" customHeight="1" x14ac:dyDescent="0.2"/>
    <row r="10398" ht="9.9499999999999993" hidden="1" customHeight="1" x14ac:dyDescent="0.2"/>
    <row r="10399" ht="9.9499999999999993" hidden="1" customHeight="1" x14ac:dyDescent="0.2"/>
    <row r="10400" ht="9.9499999999999993" hidden="1" customHeight="1" x14ac:dyDescent="0.2"/>
    <row r="10401" ht="9.9499999999999993" hidden="1" customHeight="1" x14ac:dyDescent="0.2"/>
    <row r="10402" ht="9.9499999999999993" hidden="1" customHeight="1" x14ac:dyDescent="0.2"/>
    <row r="10403" ht="9.9499999999999993" hidden="1" customHeight="1" x14ac:dyDescent="0.2"/>
    <row r="10404" ht="9.9499999999999993" hidden="1" customHeight="1" x14ac:dyDescent="0.2"/>
    <row r="10405" ht="9.9499999999999993" hidden="1" customHeight="1" x14ac:dyDescent="0.2"/>
    <row r="10406" ht="9.9499999999999993" hidden="1" customHeight="1" x14ac:dyDescent="0.2"/>
    <row r="10407" ht="9.9499999999999993" hidden="1" customHeight="1" x14ac:dyDescent="0.2"/>
    <row r="10408" ht="9.9499999999999993" hidden="1" customHeight="1" x14ac:dyDescent="0.2"/>
    <row r="10409" ht="9.9499999999999993" hidden="1" customHeight="1" x14ac:dyDescent="0.2"/>
    <row r="10410" ht="9.9499999999999993" hidden="1" customHeight="1" x14ac:dyDescent="0.2"/>
    <row r="10411" ht="9.9499999999999993" hidden="1" customHeight="1" x14ac:dyDescent="0.2"/>
    <row r="10412" ht="9.9499999999999993" hidden="1" customHeight="1" x14ac:dyDescent="0.2"/>
    <row r="10413" ht="9.9499999999999993" hidden="1" customHeight="1" x14ac:dyDescent="0.2"/>
    <row r="10414" ht="9.9499999999999993" hidden="1" customHeight="1" x14ac:dyDescent="0.2"/>
    <row r="10415" ht="9.9499999999999993" hidden="1" customHeight="1" x14ac:dyDescent="0.2"/>
    <row r="10416" ht="9.9499999999999993" hidden="1" customHeight="1" x14ac:dyDescent="0.2"/>
    <row r="10417" ht="9.9499999999999993" hidden="1" customHeight="1" x14ac:dyDescent="0.2"/>
    <row r="10418" ht="9.9499999999999993" hidden="1" customHeight="1" x14ac:dyDescent="0.2"/>
    <row r="10419" ht="9.9499999999999993" hidden="1" customHeight="1" x14ac:dyDescent="0.2"/>
    <row r="10420" ht="9.9499999999999993" hidden="1" customHeight="1" x14ac:dyDescent="0.2"/>
    <row r="10421" ht="9.9499999999999993" hidden="1" customHeight="1" x14ac:dyDescent="0.2"/>
    <row r="10422" ht="9.9499999999999993" hidden="1" customHeight="1" x14ac:dyDescent="0.2"/>
    <row r="10423" ht="9.9499999999999993" hidden="1" customHeight="1" x14ac:dyDescent="0.2"/>
    <row r="10424" ht="9.9499999999999993" hidden="1" customHeight="1" x14ac:dyDescent="0.2"/>
    <row r="10425" ht="9.9499999999999993" hidden="1" customHeight="1" x14ac:dyDescent="0.2"/>
    <row r="10426" ht="9.9499999999999993" hidden="1" customHeight="1" x14ac:dyDescent="0.2"/>
    <row r="10427" ht="9.9499999999999993" hidden="1" customHeight="1" x14ac:dyDescent="0.2"/>
    <row r="10428" ht="9.9499999999999993" hidden="1" customHeight="1" x14ac:dyDescent="0.2"/>
    <row r="10429" ht="9.9499999999999993" hidden="1" customHeight="1" x14ac:dyDescent="0.2"/>
    <row r="10430" ht="9.9499999999999993" hidden="1" customHeight="1" x14ac:dyDescent="0.2"/>
    <row r="10431" ht="9.9499999999999993" hidden="1" customHeight="1" x14ac:dyDescent="0.2"/>
    <row r="10432" ht="9.9499999999999993" hidden="1" customHeight="1" x14ac:dyDescent="0.2"/>
    <row r="10433" ht="9.9499999999999993" hidden="1" customHeight="1" x14ac:dyDescent="0.2"/>
    <row r="10434" ht="9.9499999999999993" hidden="1" customHeight="1" x14ac:dyDescent="0.2"/>
    <row r="10435" ht="9.9499999999999993" hidden="1" customHeight="1" x14ac:dyDescent="0.2"/>
    <row r="10436" ht="9.9499999999999993" hidden="1" customHeight="1" x14ac:dyDescent="0.2"/>
    <row r="10437" ht="9.9499999999999993" hidden="1" customHeight="1" x14ac:dyDescent="0.2"/>
    <row r="10438" ht="9.9499999999999993" hidden="1" customHeight="1" x14ac:dyDescent="0.2"/>
    <row r="10439" ht="9.9499999999999993" hidden="1" customHeight="1" x14ac:dyDescent="0.2"/>
    <row r="10440" ht="9.9499999999999993" hidden="1" customHeight="1" x14ac:dyDescent="0.2"/>
    <row r="10441" ht="9.9499999999999993" hidden="1" customHeight="1" x14ac:dyDescent="0.2"/>
    <row r="10442" ht="9.9499999999999993" hidden="1" customHeight="1" x14ac:dyDescent="0.2"/>
    <row r="10443" ht="9.9499999999999993" hidden="1" customHeight="1" x14ac:dyDescent="0.2"/>
    <row r="10444" ht="9.9499999999999993" hidden="1" customHeight="1" x14ac:dyDescent="0.2"/>
    <row r="10445" ht="9.9499999999999993" hidden="1" customHeight="1" x14ac:dyDescent="0.2"/>
    <row r="10446" ht="9.9499999999999993" hidden="1" customHeight="1" x14ac:dyDescent="0.2"/>
    <row r="10447" ht="9.9499999999999993" hidden="1" customHeight="1" x14ac:dyDescent="0.2"/>
    <row r="10448" ht="9.9499999999999993" hidden="1" customHeight="1" x14ac:dyDescent="0.2"/>
    <row r="10449" ht="9.9499999999999993" hidden="1" customHeight="1" x14ac:dyDescent="0.2"/>
    <row r="10450" ht="9.9499999999999993" hidden="1" customHeight="1" x14ac:dyDescent="0.2"/>
    <row r="10451" ht="9.9499999999999993" hidden="1" customHeight="1" x14ac:dyDescent="0.2"/>
    <row r="10452" ht="9.9499999999999993" hidden="1" customHeight="1" x14ac:dyDescent="0.2"/>
    <row r="10453" ht="9.9499999999999993" hidden="1" customHeight="1" x14ac:dyDescent="0.2"/>
    <row r="10454" ht="9.9499999999999993" hidden="1" customHeight="1" x14ac:dyDescent="0.2"/>
    <row r="10455" ht="9.9499999999999993" hidden="1" customHeight="1" x14ac:dyDescent="0.2"/>
    <row r="10456" ht="9.9499999999999993" hidden="1" customHeight="1" x14ac:dyDescent="0.2"/>
    <row r="10457" ht="9.9499999999999993" hidden="1" customHeight="1" x14ac:dyDescent="0.2"/>
    <row r="10458" ht="9.9499999999999993" hidden="1" customHeight="1" x14ac:dyDescent="0.2"/>
    <row r="10459" ht="9.9499999999999993" hidden="1" customHeight="1" x14ac:dyDescent="0.2"/>
    <row r="10460" ht="9.9499999999999993" hidden="1" customHeight="1" x14ac:dyDescent="0.2"/>
    <row r="10461" ht="9.9499999999999993" hidden="1" customHeight="1" x14ac:dyDescent="0.2"/>
    <row r="10462" ht="9.9499999999999993" hidden="1" customHeight="1" x14ac:dyDescent="0.2"/>
    <row r="10463" ht="9.9499999999999993" hidden="1" customHeight="1" x14ac:dyDescent="0.2"/>
    <row r="10464" ht="9.9499999999999993" hidden="1" customHeight="1" x14ac:dyDescent="0.2"/>
    <row r="10465" ht="9.9499999999999993" hidden="1" customHeight="1" x14ac:dyDescent="0.2"/>
    <row r="10466" ht="9.9499999999999993" hidden="1" customHeight="1" x14ac:dyDescent="0.2"/>
    <row r="10467" ht="9.9499999999999993" hidden="1" customHeight="1" x14ac:dyDescent="0.2"/>
    <row r="10468" ht="9.9499999999999993" hidden="1" customHeight="1" x14ac:dyDescent="0.2"/>
    <row r="10469" ht="9.9499999999999993" hidden="1" customHeight="1" x14ac:dyDescent="0.2"/>
    <row r="10470" ht="9.9499999999999993" hidden="1" customHeight="1" x14ac:dyDescent="0.2"/>
    <row r="10471" ht="9.9499999999999993" hidden="1" customHeight="1" x14ac:dyDescent="0.2"/>
    <row r="10472" ht="9.9499999999999993" hidden="1" customHeight="1" x14ac:dyDescent="0.2"/>
    <row r="10473" ht="9.9499999999999993" hidden="1" customHeight="1" x14ac:dyDescent="0.2"/>
    <row r="10474" ht="9.9499999999999993" hidden="1" customHeight="1" x14ac:dyDescent="0.2"/>
    <row r="10475" ht="9.9499999999999993" hidden="1" customHeight="1" x14ac:dyDescent="0.2"/>
    <row r="10476" ht="9.9499999999999993" hidden="1" customHeight="1" x14ac:dyDescent="0.2"/>
    <row r="10477" ht="9.9499999999999993" hidden="1" customHeight="1" x14ac:dyDescent="0.2"/>
    <row r="10478" ht="9.9499999999999993" hidden="1" customHeight="1" x14ac:dyDescent="0.2"/>
    <row r="10479" ht="9.9499999999999993" hidden="1" customHeight="1" x14ac:dyDescent="0.2"/>
    <row r="10480" ht="9.9499999999999993" hidden="1" customHeight="1" x14ac:dyDescent="0.2"/>
    <row r="10481" ht="9.9499999999999993" hidden="1" customHeight="1" x14ac:dyDescent="0.2"/>
    <row r="10482" ht="9.9499999999999993" hidden="1" customHeight="1" x14ac:dyDescent="0.2"/>
    <row r="10483" ht="9.9499999999999993" hidden="1" customHeight="1" x14ac:dyDescent="0.2"/>
    <row r="10484" ht="9.9499999999999993" hidden="1" customHeight="1" x14ac:dyDescent="0.2"/>
    <row r="10485" ht="9.9499999999999993" hidden="1" customHeight="1" x14ac:dyDescent="0.2"/>
    <row r="10486" ht="9.9499999999999993" hidden="1" customHeight="1" x14ac:dyDescent="0.2"/>
    <row r="10487" ht="9.9499999999999993" hidden="1" customHeight="1" x14ac:dyDescent="0.2"/>
    <row r="10488" ht="9.9499999999999993" hidden="1" customHeight="1" x14ac:dyDescent="0.2"/>
    <row r="10489" ht="9.9499999999999993" hidden="1" customHeight="1" x14ac:dyDescent="0.2"/>
    <row r="10490" ht="9.9499999999999993" hidden="1" customHeight="1" x14ac:dyDescent="0.2"/>
    <row r="10491" ht="9.9499999999999993" hidden="1" customHeight="1" x14ac:dyDescent="0.2"/>
    <row r="10492" ht="9.9499999999999993" hidden="1" customHeight="1" x14ac:dyDescent="0.2"/>
    <row r="10493" ht="9.9499999999999993" hidden="1" customHeight="1" x14ac:dyDescent="0.2"/>
    <row r="10494" ht="9.9499999999999993" hidden="1" customHeight="1" x14ac:dyDescent="0.2"/>
    <row r="10495" ht="9.9499999999999993" hidden="1" customHeight="1" x14ac:dyDescent="0.2"/>
    <row r="10496" ht="9.9499999999999993" hidden="1" customHeight="1" x14ac:dyDescent="0.2"/>
    <row r="10497" ht="9.9499999999999993" hidden="1" customHeight="1" x14ac:dyDescent="0.2"/>
    <row r="10498" ht="9.9499999999999993" hidden="1" customHeight="1" x14ac:dyDescent="0.2"/>
    <row r="10499" ht="9.9499999999999993" hidden="1" customHeight="1" x14ac:dyDescent="0.2"/>
    <row r="10500" ht="9.9499999999999993" hidden="1" customHeight="1" x14ac:dyDescent="0.2"/>
    <row r="10501" ht="9.9499999999999993" hidden="1" customHeight="1" x14ac:dyDescent="0.2"/>
    <row r="10502" ht="9.9499999999999993" hidden="1" customHeight="1" x14ac:dyDescent="0.2"/>
    <row r="10503" ht="9.9499999999999993" hidden="1" customHeight="1" x14ac:dyDescent="0.2"/>
    <row r="10504" ht="9.9499999999999993" hidden="1" customHeight="1" x14ac:dyDescent="0.2"/>
    <row r="10505" ht="9.9499999999999993" hidden="1" customHeight="1" x14ac:dyDescent="0.2"/>
    <row r="10506" ht="9.9499999999999993" hidden="1" customHeight="1" x14ac:dyDescent="0.2"/>
    <row r="10507" ht="9.9499999999999993" hidden="1" customHeight="1" x14ac:dyDescent="0.2"/>
    <row r="10508" ht="9.9499999999999993" hidden="1" customHeight="1" x14ac:dyDescent="0.2"/>
    <row r="10509" ht="9.9499999999999993" hidden="1" customHeight="1" x14ac:dyDescent="0.2"/>
    <row r="10510" ht="9.9499999999999993" hidden="1" customHeight="1" x14ac:dyDescent="0.2"/>
    <row r="10511" ht="9.9499999999999993" hidden="1" customHeight="1" x14ac:dyDescent="0.2"/>
    <row r="10512" ht="9.9499999999999993" hidden="1" customHeight="1" x14ac:dyDescent="0.2"/>
    <row r="10513" ht="9.9499999999999993" hidden="1" customHeight="1" x14ac:dyDescent="0.2"/>
    <row r="10514" ht="9.9499999999999993" hidden="1" customHeight="1" x14ac:dyDescent="0.2"/>
    <row r="10515" ht="9.9499999999999993" hidden="1" customHeight="1" x14ac:dyDescent="0.2"/>
    <row r="10516" ht="9.9499999999999993" hidden="1" customHeight="1" x14ac:dyDescent="0.2"/>
    <row r="10517" ht="9.9499999999999993" hidden="1" customHeight="1" x14ac:dyDescent="0.2"/>
    <row r="10518" ht="9.9499999999999993" hidden="1" customHeight="1" x14ac:dyDescent="0.2"/>
    <row r="10519" ht="9.9499999999999993" hidden="1" customHeight="1" x14ac:dyDescent="0.2"/>
    <row r="10520" ht="9.9499999999999993" hidden="1" customHeight="1" x14ac:dyDescent="0.2"/>
    <row r="10521" ht="9.9499999999999993" hidden="1" customHeight="1" x14ac:dyDescent="0.2"/>
    <row r="10522" ht="9.9499999999999993" hidden="1" customHeight="1" x14ac:dyDescent="0.2"/>
    <row r="10523" ht="9.9499999999999993" hidden="1" customHeight="1" x14ac:dyDescent="0.2"/>
    <row r="10524" ht="9.9499999999999993" hidden="1" customHeight="1" x14ac:dyDescent="0.2"/>
    <row r="10525" ht="9.9499999999999993" hidden="1" customHeight="1" x14ac:dyDescent="0.2"/>
    <row r="10526" ht="9.9499999999999993" hidden="1" customHeight="1" x14ac:dyDescent="0.2"/>
    <row r="10527" ht="9.9499999999999993" hidden="1" customHeight="1" x14ac:dyDescent="0.2"/>
    <row r="10528" ht="9.9499999999999993" hidden="1" customHeight="1" x14ac:dyDescent="0.2"/>
    <row r="10529" ht="9.9499999999999993" hidden="1" customHeight="1" x14ac:dyDescent="0.2"/>
    <row r="10530" ht="9.9499999999999993" hidden="1" customHeight="1" x14ac:dyDescent="0.2"/>
    <row r="10531" ht="9.9499999999999993" hidden="1" customHeight="1" x14ac:dyDescent="0.2"/>
    <row r="10532" ht="9.9499999999999993" hidden="1" customHeight="1" x14ac:dyDescent="0.2"/>
    <row r="10533" ht="9.9499999999999993" hidden="1" customHeight="1" x14ac:dyDescent="0.2"/>
    <row r="10534" ht="9.9499999999999993" hidden="1" customHeight="1" x14ac:dyDescent="0.2"/>
    <row r="10535" ht="9.9499999999999993" hidden="1" customHeight="1" x14ac:dyDescent="0.2"/>
    <row r="10536" ht="9.9499999999999993" hidden="1" customHeight="1" x14ac:dyDescent="0.2"/>
    <row r="10537" ht="9.9499999999999993" hidden="1" customHeight="1" x14ac:dyDescent="0.2"/>
    <row r="10538" ht="9.9499999999999993" hidden="1" customHeight="1" x14ac:dyDescent="0.2"/>
    <row r="10539" ht="9.9499999999999993" hidden="1" customHeight="1" x14ac:dyDescent="0.2"/>
    <row r="10540" ht="9.9499999999999993" hidden="1" customHeight="1" x14ac:dyDescent="0.2"/>
    <row r="10541" ht="9.9499999999999993" hidden="1" customHeight="1" x14ac:dyDescent="0.2"/>
    <row r="10542" ht="9.9499999999999993" hidden="1" customHeight="1" x14ac:dyDescent="0.2"/>
    <row r="10543" ht="9.9499999999999993" hidden="1" customHeight="1" x14ac:dyDescent="0.2"/>
    <row r="10544" ht="9.9499999999999993" hidden="1" customHeight="1" x14ac:dyDescent="0.2"/>
    <row r="10545" ht="9.9499999999999993" hidden="1" customHeight="1" x14ac:dyDescent="0.2"/>
    <row r="10546" ht="9.9499999999999993" hidden="1" customHeight="1" x14ac:dyDescent="0.2"/>
    <row r="10547" ht="9.9499999999999993" hidden="1" customHeight="1" x14ac:dyDescent="0.2"/>
    <row r="10548" ht="9.9499999999999993" hidden="1" customHeight="1" x14ac:dyDescent="0.2"/>
    <row r="10549" ht="9.9499999999999993" hidden="1" customHeight="1" x14ac:dyDescent="0.2"/>
    <row r="10550" ht="9.9499999999999993" hidden="1" customHeight="1" x14ac:dyDescent="0.2"/>
    <row r="10551" ht="9.9499999999999993" hidden="1" customHeight="1" x14ac:dyDescent="0.2"/>
    <row r="10552" ht="9.9499999999999993" hidden="1" customHeight="1" x14ac:dyDescent="0.2"/>
    <row r="10553" ht="9.9499999999999993" hidden="1" customHeight="1" x14ac:dyDescent="0.2"/>
    <row r="10554" ht="9.9499999999999993" hidden="1" customHeight="1" x14ac:dyDescent="0.2"/>
    <row r="10555" ht="9.9499999999999993" hidden="1" customHeight="1" x14ac:dyDescent="0.2"/>
    <row r="10556" ht="9.9499999999999993" hidden="1" customHeight="1" x14ac:dyDescent="0.2"/>
    <row r="10557" ht="9.9499999999999993" hidden="1" customHeight="1" x14ac:dyDescent="0.2"/>
    <row r="10558" ht="9.9499999999999993" hidden="1" customHeight="1" x14ac:dyDescent="0.2"/>
    <row r="10559" ht="9.9499999999999993" hidden="1" customHeight="1" x14ac:dyDescent="0.2"/>
    <row r="10560" ht="9.9499999999999993" hidden="1" customHeight="1" x14ac:dyDescent="0.2"/>
    <row r="10561" ht="9.9499999999999993" hidden="1" customHeight="1" x14ac:dyDescent="0.2"/>
    <row r="10562" ht="9.9499999999999993" hidden="1" customHeight="1" x14ac:dyDescent="0.2"/>
    <row r="10563" ht="9.9499999999999993" hidden="1" customHeight="1" x14ac:dyDescent="0.2"/>
    <row r="10564" ht="9.9499999999999993" hidden="1" customHeight="1" x14ac:dyDescent="0.2"/>
    <row r="10565" ht="9.9499999999999993" hidden="1" customHeight="1" x14ac:dyDescent="0.2"/>
    <row r="10566" ht="9.9499999999999993" hidden="1" customHeight="1" x14ac:dyDescent="0.2"/>
    <row r="10567" ht="9.9499999999999993" hidden="1" customHeight="1" x14ac:dyDescent="0.2"/>
    <row r="10568" ht="9.9499999999999993" hidden="1" customHeight="1" x14ac:dyDescent="0.2"/>
    <row r="10569" ht="9.9499999999999993" hidden="1" customHeight="1" x14ac:dyDescent="0.2"/>
    <row r="10570" ht="9.9499999999999993" hidden="1" customHeight="1" x14ac:dyDescent="0.2"/>
    <row r="10571" ht="9.9499999999999993" hidden="1" customHeight="1" x14ac:dyDescent="0.2"/>
    <row r="10572" ht="9.9499999999999993" hidden="1" customHeight="1" x14ac:dyDescent="0.2"/>
    <row r="10573" ht="9.9499999999999993" hidden="1" customHeight="1" x14ac:dyDescent="0.2"/>
    <row r="10574" ht="9.9499999999999993" hidden="1" customHeight="1" x14ac:dyDescent="0.2"/>
    <row r="10575" ht="9.9499999999999993" hidden="1" customHeight="1" x14ac:dyDescent="0.2"/>
    <row r="10576" ht="9.9499999999999993" hidden="1" customHeight="1" x14ac:dyDescent="0.2"/>
    <row r="10577" ht="9.9499999999999993" hidden="1" customHeight="1" x14ac:dyDescent="0.2"/>
    <row r="10578" ht="9.9499999999999993" hidden="1" customHeight="1" x14ac:dyDescent="0.2"/>
    <row r="10579" ht="9.9499999999999993" hidden="1" customHeight="1" x14ac:dyDescent="0.2"/>
    <row r="10580" ht="9.9499999999999993" hidden="1" customHeight="1" x14ac:dyDescent="0.2"/>
    <row r="10581" ht="9.9499999999999993" hidden="1" customHeight="1" x14ac:dyDescent="0.2"/>
    <row r="10582" ht="9.9499999999999993" hidden="1" customHeight="1" x14ac:dyDescent="0.2"/>
    <row r="10583" ht="9.9499999999999993" hidden="1" customHeight="1" x14ac:dyDescent="0.2"/>
    <row r="10584" ht="9.9499999999999993" hidden="1" customHeight="1" x14ac:dyDescent="0.2"/>
    <row r="10585" ht="9.9499999999999993" hidden="1" customHeight="1" x14ac:dyDescent="0.2"/>
    <row r="10586" ht="9.9499999999999993" hidden="1" customHeight="1" x14ac:dyDescent="0.2"/>
    <row r="10587" ht="9.9499999999999993" hidden="1" customHeight="1" x14ac:dyDescent="0.2"/>
    <row r="10588" ht="9.9499999999999993" hidden="1" customHeight="1" x14ac:dyDescent="0.2"/>
    <row r="10589" ht="9.9499999999999993" hidden="1" customHeight="1" x14ac:dyDescent="0.2"/>
    <row r="10590" ht="9.9499999999999993" hidden="1" customHeight="1" x14ac:dyDescent="0.2"/>
    <row r="10591" ht="9.9499999999999993" hidden="1" customHeight="1" x14ac:dyDescent="0.2"/>
    <row r="10592" ht="9.9499999999999993" hidden="1" customHeight="1" x14ac:dyDescent="0.2"/>
    <row r="10593" ht="9.9499999999999993" hidden="1" customHeight="1" x14ac:dyDescent="0.2"/>
    <row r="10594" ht="9.9499999999999993" hidden="1" customHeight="1" x14ac:dyDescent="0.2"/>
    <row r="10595" ht="9.9499999999999993" hidden="1" customHeight="1" x14ac:dyDescent="0.2"/>
    <row r="10596" ht="9.9499999999999993" hidden="1" customHeight="1" x14ac:dyDescent="0.2"/>
    <row r="10597" ht="9.9499999999999993" hidden="1" customHeight="1" x14ac:dyDescent="0.2"/>
    <row r="10598" ht="9.9499999999999993" hidden="1" customHeight="1" x14ac:dyDescent="0.2"/>
    <row r="10599" ht="9.9499999999999993" hidden="1" customHeight="1" x14ac:dyDescent="0.2"/>
    <row r="10600" ht="9.9499999999999993" hidden="1" customHeight="1" x14ac:dyDescent="0.2"/>
    <row r="10601" ht="9.9499999999999993" hidden="1" customHeight="1" x14ac:dyDescent="0.2"/>
    <row r="10602" ht="9.9499999999999993" hidden="1" customHeight="1" x14ac:dyDescent="0.2"/>
    <row r="10603" ht="9.9499999999999993" hidden="1" customHeight="1" x14ac:dyDescent="0.2"/>
    <row r="10604" ht="9.9499999999999993" hidden="1" customHeight="1" x14ac:dyDescent="0.2"/>
    <row r="10605" ht="9.9499999999999993" hidden="1" customHeight="1" x14ac:dyDescent="0.2"/>
    <row r="10606" ht="9.9499999999999993" hidden="1" customHeight="1" x14ac:dyDescent="0.2"/>
    <row r="10607" ht="9.9499999999999993" hidden="1" customHeight="1" x14ac:dyDescent="0.2"/>
    <row r="10608" ht="9.9499999999999993" hidden="1" customHeight="1" x14ac:dyDescent="0.2"/>
    <row r="10609" ht="9.9499999999999993" hidden="1" customHeight="1" x14ac:dyDescent="0.2"/>
    <row r="10610" ht="9.9499999999999993" hidden="1" customHeight="1" x14ac:dyDescent="0.2"/>
    <row r="10611" ht="9.9499999999999993" hidden="1" customHeight="1" x14ac:dyDescent="0.2"/>
    <row r="10612" ht="9.9499999999999993" hidden="1" customHeight="1" x14ac:dyDescent="0.2"/>
    <row r="10613" ht="9.9499999999999993" hidden="1" customHeight="1" x14ac:dyDescent="0.2"/>
    <row r="10614" ht="9.9499999999999993" hidden="1" customHeight="1" x14ac:dyDescent="0.2"/>
    <row r="10615" ht="9.9499999999999993" hidden="1" customHeight="1" x14ac:dyDescent="0.2"/>
    <row r="10616" ht="9.9499999999999993" hidden="1" customHeight="1" x14ac:dyDescent="0.2"/>
    <row r="10617" ht="9.9499999999999993" hidden="1" customHeight="1" x14ac:dyDescent="0.2"/>
    <row r="10618" ht="9.9499999999999993" hidden="1" customHeight="1" x14ac:dyDescent="0.2"/>
    <row r="10619" ht="9.9499999999999993" hidden="1" customHeight="1" x14ac:dyDescent="0.2"/>
    <row r="10620" ht="9.9499999999999993" hidden="1" customHeight="1" x14ac:dyDescent="0.2"/>
    <row r="10621" ht="9.9499999999999993" hidden="1" customHeight="1" x14ac:dyDescent="0.2"/>
    <row r="10622" ht="9.9499999999999993" hidden="1" customHeight="1" x14ac:dyDescent="0.2"/>
    <row r="10623" ht="9.9499999999999993" hidden="1" customHeight="1" x14ac:dyDescent="0.2"/>
    <row r="10624" ht="9.9499999999999993" hidden="1" customHeight="1" x14ac:dyDescent="0.2"/>
    <row r="10625" ht="9.9499999999999993" hidden="1" customHeight="1" x14ac:dyDescent="0.2"/>
    <row r="10626" ht="9.9499999999999993" hidden="1" customHeight="1" x14ac:dyDescent="0.2"/>
    <row r="10627" ht="9.9499999999999993" hidden="1" customHeight="1" x14ac:dyDescent="0.2"/>
    <row r="10628" ht="9.9499999999999993" hidden="1" customHeight="1" x14ac:dyDescent="0.2"/>
    <row r="10629" ht="9.9499999999999993" hidden="1" customHeight="1" x14ac:dyDescent="0.2"/>
    <row r="10630" ht="9.9499999999999993" hidden="1" customHeight="1" x14ac:dyDescent="0.2"/>
    <row r="10631" ht="9.9499999999999993" hidden="1" customHeight="1" x14ac:dyDescent="0.2"/>
    <row r="10632" ht="9.9499999999999993" hidden="1" customHeight="1" x14ac:dyDescent="0.2"/>
    <row r="10633" ht="9.9499999999999993" hidden="1" customHeight="1" x14ac:dyDescent="0.2"/>
    <row r="10634" ht="9.9499999999999993" hidden="1" customHeight="1" x14ac:dyDescent="0.2"/>
    <row r="10635" ht="9.9499999999999993" hidden="1" customHeight="1" x14ac:dyDescent="0.2"/>
    <row r="10636" ht="9.9499999999999993" hidden="1" customHeight="1" x14ac:dyDescent="0.2"/>
    <row r="10637" ht="9.9499999999999993" hidden="1" customHeight="1" x14ac:dyDescent="0.2"/>
    <row r="10638" ht="9.9499999999999993" hidden="1" customHeight="1" x14ac:dyDescent="0.2"/>
    <row r="10639" ht="9.9499999999999993" hidden="1" customHeight="1" x14ac:dyDescent="0.2"/>
    <row r="10640" ht="9.9499999999999993" hidden="1" customHeight="1" x14ac:dyDescent="0.2"/>
    <row r="10641" ht="9.9499999999999993" hidden="1" customHeight="1" x14ac:dyDescent="0.2"/>
    <row r="10642" ht="9.9499999999999993" hidden="1" customHeight="1" x14ac:dyDescent="0.2"/>
    <row r="10643" ht="9.9499999999999993" hidden="1" customHeight="1" x14ac:dyDescent="0.2"/>
    <row r="10644" ht="9.9499999999999993" hidden="1" customHeight="1" x14ac:dyDescent="0.2"/>
    <row r="10645" ht="9.9499999999999993" hidden="1" customHeight="1" x14ac:dyDescent="0.2"/>
    <row r="10646" ht="9.9499999999999993" hidden="1" customHeight="1" x14ac:dyDescent="0.2"/>
    <row r="10647" ht="9.9499999999999993" hidden="1" customHeight="1" x14ac:dyDescent="0.2"/>
    <row r="10648" ht="9.9499999999999993" hidden="1" customHeight="1" x14ac:dyDescent="0.2"/>
    <row r="10649" ht="9.9499999999999993" hidden="1" customHeight="1" x14ac:dyDescent="0.2"/>
    <row r="10650" ht="9.9499999999999993" hidden="1" customHeight="1" x14ac:dyDescent="0.2"/>
    <row r="10651" ht="9.9499999999999993" hidden="1" customHeight="1" x14ac:dyDescent="0.2"/>
    <row r="10652" ht="9.9499999999999993" hidden="1" customHeight="1" x14ac:dyDescent="0.2"/>
    <row r="10653" ht="9.9499999999999993" hidden="1" customHeight="1" x14ac:dyDescent="0.2"/>
    <row r="10654" ht="9.9499999999999993" hidden="1" customHeight="1" x14ac:dyDescent="0.2"/>
    <row r="10655" ht="9.9499999999999993" hidden="1" customHeight="1" x14ac:dyDescent="0.2"/>
    <row r="10656" ht="9.9499999999999993" hidden="1" customHeight="1" x14ac:dyDescent="0.2"/>
    <row r="10657" ht="9.9499999999999993" hidden="1" customHeight="1" x14ac:dyDescent="0.2"/>
    <row r="10658" ht="9.9499999999999993" hidden="1" customHeight="1" x14ac:dyDescent="0.2"/>
    <row r="10659" ht="9.9499999999999993" hidden="1" customHeight="1" x14ac:dyDescent="0.2"/>
    <row r="10660" ht="9.9499999999999993" hidden="1" customHeight="1" x14ac:dyDescent="0.2"/>
    <row r="10661" ht="9.9499999999999993" hidden="1" customHeight="1" x14ac:dyDescent="0.2"/>
    <row r="10662" ht="9.9499999999999993" hidden="1" customHeight="1" x14ac:dyDescent="0.2"/>
    <row r="10663" ht="9.9499999999999993" hidden="1" customHeight="1" x14ac:dyDescent="0.2"/>
    <row r="10664" ht="9.9499999999999993" hidden="1" customHeight="1" x14ac:dyDescent="0.2"/>
    <row r="10665" ht="9.9499999999999993" hidden="1" customHeight="1" x14ac:dyDescent="0.2"/>
    <row r="10666" ht="9.9499999999999993" hidden="1" customHeight="1" x14ac:dyDescent="0.2"/>
    <row r="10667" ht="9.9499999999999993" hidden="1" customHeight="1" x14ac:dyDescent="0.2"/>
    <row r="10668" ht="9.9499999999999993" hidden="1" customHeight="1" x14ac:dyDescent="0.2"/>
    <row r="10669" ht="9.9499999999999993" hidden="1" customHeight="1" x14ac:dyDescent="0.2"/>
    <row r="10670" ht="9.9499999999999993" hidden="1" customHeight="1" x14ac:dyDescent="0.2"/>
    <row r="10671" ht="9.9499999999999993" hidden="1" customHeight="1" x14ac:dyDescent="0.2"/>
    <row r="10672" ht="9.9499999999999993" hidden="1" customHeight="1" x14ac:dyDescent="0.2"/>
    <row r="10673" ht="9.9499999999999993" hidden="1" customHeight="1" x14ac:dyDescent="0.2"/>
    <row r="10674" ht="9.9499999999999993" hidden="1" customHeight="1" x14ac:dyDescent="0.2"/>
    <row r="10675" ht="9.9499999999999993" hidden="1" customHeight="1" x14ac:dyDescent="0.2"/>
    <row r="10676" ht="9.9499999999999993" hidden="1" customHeight="1" x14ac:dyDescent="0.2"/>
    <row r="10677" ht="9.9499999999999993" hidden="1" customHeight="1" x14ac:dyDescent="0.2"/>
    <row r="10678" ht="9.9499999999999993" hidden="1" customHeight="1" x14ac:dyDescent="0.2"/>
    <row r="10679" ht="9.9499999999999993" hidden="1" customHeight="1" x14ac:dyDescent="0.2"/>
    <row r="10680" ht="9.9499999999999993" hidden="1" customHeight="1" x14ac:dyDescent="0.2"/>
    <row r="10681" ht="9.9499999999999993" hidden="1" customHeight="1" x14ac:dyDescent="0.2"/>
    <row r="10682" ht="9.9499999999999993" hidden="1" customHeight="1" x14ac:dyDescent="0.2"/>
    <row r="10683" ht="9.9499999999999993" hidden="1" customHeight="1" x14ac:dyDescent="0.2"/>
    <row r="10684" ht="9.9499999999999993" hidden="1" customHeight="1" x14ac:dyDescent="0.2"/>
    <row r="10685" ht="9.9499999999999993" hidden="1" customHeight="1" x14ac:dyDescent="0.2"/>
    <row r="10686" ht="9.9499999999999993" hidden="1" customHeight="1" x14ac:dyDescent="0.2"/>
    <row r="10687" ht="9.9499999999999993" hidden="1" customHeight="1" x14ac:dyDescent="0.2"/>
    <row r="10688" ht="9.9499999999999993" hidden="1" customHeight="1" x14ac:dyDescent="0.2"/>
    <row r="10689" ht="9.9499999999999993" hidden="1" customHeight="1" x14ac:dyDescent="0.2"/>
    <row r="10690" ht="9.9499999999999993" hidden="1" customHeight="1" x14ac:dyDescent="0.2"/>
    <row r="10691" ht="9.9499999999999993" hidden="1" customHeight="1" x14ac:dyDescent="0.2"/>
    <row r="10692" ht="9.9499999999999993" hidden="1" customHeight="1" x14ac:dyDescent="0.2"/>
    <row r="10693" ht="9.9499999999999993" hidden="1" customHeight="1" x14ac:dyDescent="0.2"/>
    <row r="10694" ht="9.9499999999999993" hidden="1" customHeight="1" x14ac:dyDescent="0.2"/>
    <row r="10695" ht="9.9499999999999993" hidden="1" customHeight="1" x14ac:dyDescent="0.2"/>
    <row r="10696" ht="9.9499999999999993" hidden="1" customHeight="1" x14ac:dyDescent="0.2"/>
    <row r="10697" ht="9.9499999999999993" hidden="1" customHeight="1" x14ac:dyDescent="0.2"/>
    <row r="10698" ht="9.9499999999999993" hidden="1" customHeight="1" x14ac:dyDescent="0.2"/>
    <row r="10699" ht="9.9499999999999993" hidden="1" customHeight="1" x14ac:dyDescent="0.2"/>
    <row r="10700" ht="9.9499999999999993" hidden="1" customHeight="1" x14ac:dyDescent="0.2"/>
    <row r="10701" ht="9.9499999999999993" hidden="1" customHeight="1" x14ac:dyDescent="0.2"/>
    <row r="10702" ht="9.9499999999999993" hidden="1" customHeight="1" x14ac:dyDescent="0.2"/>
    <row r="10703" ht="9.9499999999999993" hidden="1" customHeight="1" x14ac:dyDescent="0.2"/>
    <row r="10704" ht="9.9499999999999993" hidden="1" customHeight="1" x14ac:dyDescent="0.2"/>
    <row r="10705" ht="9.9499999999999993" hidden="1" customHeight="1" x14ac:dyDescent="0.2"/>
    <row r="10706" ht="9.9499999999999993" hidden="1" customHeight="1" x14ac:dyDescent="0.2"/>
    <row r="10707" ht="9.9499999999999993" hidden="1" customHeight="1" x14ac:dyDescent="0.2"/>
    <row r="10708" ht="9.9499999999999993" hidden="1" customHeight="1" x14ac:dyDescent="0.2"/>
    <row r="10709" ht="9.9499999999999993" hidden="1" customHeight="1" x14ac:dyDescent="0.2"/>
    <row r="10710" ht="9.9499999999999993" hidden="1" customHeight="1" x14ac:dyDescent="0.2"/>
    <row r="10711" ht="9.9499999999999993" hidden="1" customHeight="1" x14ac:dyDescent="0.2"/>
    <row r="10712" ht="9.9499999999999993" hidden="1" customHeight="1" x14ac:dyDescent="0.2"/>
    <row r="10713" ht="9.9499999999999993" hidden="1" customHeight="1" x14ac:dyDescent="0.2"/>
    <row r="10714" ht="9.9499999999999993" hidden="1" customHeight="1" x14ac:dyDescent="0.2"/>
    <row r="10715" ht="9.9499999999999993" hidden="1" customHeight="1" x14ac:dyDescent="0.2"/>
    <row r="10716" ht="9.9499999999999993" hidden="1" customHeight="1" x14ac:dyDescent="0.2"/>
    <row r="10717" ht="9.9499999999999993" hidden="1" customHeight="1" x14ac:dyDescent="0.2"/>
    <row r="10718" ht="9.9499999999999993" hidden="1" customHeight="1" x14ac:dyDescent="0.2"/>
    <row r="10719" ht="9.9499999999999993" hidden="1" customHeight="1" x14ac:dyDescent="0.2"/>
    <row r="10720" ht="9.9499999999999993" hidden="1" customHeight="1" x14ac:dyDescent="0.2"/>
    <row r="10721" ht="9.9499999999999993" hidden="1" customHeight="1" x14ac:dyDescent="0.2"/>
    <row r="10722" ht="9.9499999999999993" hidden="1" customHeight="1" x14ac:dyDescent="0.2"/>
    <row r="10723" ht="9.9499999999999993" hidden="1" customHeight="1" x14ac:dyDescent="0.2"/>
    <row r="10724" ht="9.9499999999999993" hidden="1" customHeight="1" x14ac:dyDescent="0.2"/>
    <row r="10725" ht="9.9499999999999993" hidden="1" customHeight="1" x14ac:dyDescent="0.2"/>
    <row r="10726" ht="9.9499999999999993" hidden="1" customHeight="1" x14ac:dyDescent="0.2"/>
    <row r="10727" ht="9.9499999999999993" hidden="1" customHeight="1" x14ac:dyDescent="0.2"/>
    <row r="10728" ht="9.9499999999999993" hidden="1" customHeight="1" x14ac:dyDescent="0.2"/>
    <row r="10729" ht="9.9499999999999993" hidden="1" customHeight="1" x14ac:dyDescent="0.2"/>
    <row r="10730" ht="9.9499999999999993" hidden="1" customHeight="1" x14ac:dyDescent="0.2"/>
    <row r="10731" ht="9.9499999999999993" hidden="1" customHeight="1" x14ac:dyDescent="0.2"/>
    <row r="10732" ht="9.9499999999999993" hidden="1" customHeight="1" x14ac:dyDescent="0.2"/>
    <row r="10733" ht="9.9499999999999993" hidden="1" customHeight="1" x14ac:dyDescent="0.2"/>
    <row r="10734" ht="9.9499999999999993" hidden="1" customHeight="1" x14ac:dyDescent="0.2"/>
    <row r="10735" ht="9.9499999999999993" hidden="1" customHeight="1" x14ac:dyDescent="0.2"/>
    <row r="10736" ht="9.9499999999999993" hidden="1" customHeight="1" x14ac:dyDescent="0.2"/>
    <row r="10737" ht="9.9499999999999993" hidden="1" customHeight="1" x14ac:dyDescent="0.2"/>
    <row r="10738" ht="9.9499999999999993" hidden="1" customHeight="1" x14ac:dyDescent="0.2"/>
    <row r="10739" ht="9.9499999999999993" hidden="1" customHeight="1" x14ac:dyDescent="0.2"/>
    <row r="10740" ht="9.9499999999999993" hidden="1" customHeight="1" x14ac:dyDescent="0.2"/>
    <row r="10741" ht="9.9499999999999993" hidden="1" customHeight="1" x14ac:dyDescent="0.2"/>
    <row r="10742" ht="9.9499999999999993" hidden="1" customHeight="1" x14ac:dyDescent="0.2"/>
    <row r="10743" ht="9.9499999999999993" hidden="1" customHeight="1" x14ac:dyDescent="0.2"/>
    <row r="10744" ht="9.9499999999999993" hidden="1" customHeight="1" x14ac:dyDescent="0.2"/>
    <row r="10745" ht="9.9499999999999993" hidden="1" customHeight="1" x14ac:dyDescent="0.2"/>
    <row r="10746" ht="9.9499999999999993" hidden="1" customHeight="1" x14ac:dyDescent="0.2"/>
    <row r="10747" ht="9.9499999999999993" hidden="1" customHeight="1" x14ac:dyDescent="0.2"/>
    <row r="10748" ht="9.9499999999999993" hidden="1" customHeight="1" x14ac:dyDescent="0.2"/>
    <row r="10749" ht="9.9499999999999993" hidden="1" customHeight="1" x14ac:dyDescent="0.2"/>
    <row r="10750" ht="9.9499999999999993" hidden="1" customHeight="1" x14ac:dyDescent="0.2"/>
    <row r="10751" ht="9.9499999999999993" hidden="1" customHeight="1" x14ac:dyDescent="0.2"/>
    <row r="10752" ht="9.9499999999999993" hidden="1" customHeight="1" x14ac:dyDescent="0.2"/>
    <row r="10753" ht="9.9499999999999993" hidden="1" customHeight="1" x14ac:dyDescent="0.2"/>
    <row r="10754" ht="9.9499999999999993" hidden="1" customHeight="1" x14ac:dyDescent="0.2"/>
    <row r="10755" ht="9.9499999999999993" hidden="1" customHeight="1" x14ac:dyDescent="0.2"/>
    <row r="10756" ht="9.9499999999999993" hidden="1" customHeight="1" x14ac:dyDescent="0.2"/>
    <row r="10757" ht="9.9499999999999993" hidden="1" customHeight="1" x14ac:dyDescent="0.2"/>
    <row r="10758" ht="9.9499999999999993" hidden="1" customHeight="1" x14ac:dyDescent="0.2"/>
    <row r="10759" ht="9.9499999999999993" hidden="1" customHeight="1" x14ac:dyDescent="0.2"/>
    <row r="10760" ht="9.9499999999999993" hidden="1" customHeight="1" x14ac:dyDescent="0.2"/>
    <row r="10761" ht="9.9499999999999993" hidden="1" customHeight="1" x14ac:dyDescent="0.2"/>
    <row r="10762" ht="9.9499999999999993" hidden="1" customHeight="1" x14ac:dyDescent="0.2"/>
    <row r="10763" ht="9.9499999999999993" hidden="1" customHeight="1" x14ac:dyDescent="0.2"/>
    <row r="10764" ht="9.9499999999999993" hidden="1" customHeight="1" x14ac:dyDescent="0.2"/>
    <row r="10765" ht="9.9499999999999993" hidden="1" customHeight="1" x14ac:dyDescent="0.2"/>
    <row r="10766" ht="9.9499999999999993" hidden="1" customHeight="1" x14ac:dyDescent="0.2"/>
    <row r="10767" ht="9.9499999999999993" hidden="1" customHeight="1" x14ac:dyDescent="0.2"/>
    <row r="10768" ht="9.9499999999999993" hidden="1" customHeight="1" x14ac:dyDescent="0.2"/>
    <row r="10769" ht="9.9499999999999993" hidden="1" customHeight="1" x14ac:dyDescent="0.2"/>
    <row r="10770" ht="9.9499999999999993" hidden="1" customHeight="1" x14ac:dyDescent="0.2"/>
    <row r="10771" ht="9.9499999999999993" hidden="1" customHeight="1" x14ac:dyDescent="0.2"/>
    <row r="10772" ht="9.9499999999999993" hidden="1" customHeight="1" x14ac:dyDescent="0.2"/>
    <row r="10773" ht="9.9499999999999993" hidden="1" customHeight="1" x14ac:dyDescent="0.2"/>
    <row r="10774" ht="9.9499999999999993" hidden="1" customHeight="1" x14ac:dyDescent="0.2"/>
    <row r="10775" ht="9.9499999999999993" hidden="1" customHeight="1" x14ac:dyDescent="0.2"/>
    <row r="10776" ht="9.9499999999999993" hidden="1" customHeight="1" x14ac:dyDescent="0.2"/>
    <row r="10777" ht="9.9499999999999993" hidden="1" customHeight="1" x14ac:dyDescent="0.2"/>
    <row r="10778" ht="9.9499999999999993" hidden="1" customHeight="1" x14ac:dyDescent="0.2"/>
    <row r="10779" ht="9.9499999999999993" hidden="1" customHeight="1" x14ac:dyDescent="0.2"/>
    <row r="10780" ht="9.9499999999999993" hidden="1" customHeight="1" x14ac:dyDescent="0.2"/>
    <row r="10781" ht="9.9499999999999993" hidden="1" customHeight="1" x14ac:dyDescent="0.2"/>
    <row r="10782" ht="9.9499999999999993" hidden="1" customHeight="1" x14ac:dyDescent="0.2"/>
    <row r="10783" ht="9.9499999999999993" hidden="1" customHeight="1" x14ac:dyDescent="0.2"/>
    <row r="10784" ht="9.9499999999999993" hidden="1" customHeight="1" x14ac:dyDescent="0.2"/>
    <row r="10785" ht="9.9499999999999993" hidden="1" customHeight="1" x14ac:dyDescent="0.2"/>
    <row r="10786" ht="9.9499999999999993" hidden="1" customHeight="1" x14ac:dyDescent="0.2"/>
    <row r="10787" ht="9.9499999999999993" hidden="1" customHeight="1" x14ac:dyDescent="0.2"/>
    <row r="10788" ht="9.9499999999999993" hidden="1" customHeight="1" x14ac:dyDescent="0.2"/>
    <row r="10789" ht="9.9499999999999993" hidden="1" customHeight="1" x14ac:dyDescent="0.2"/>
    <row r="10790" ht="9.9499999999999993" hidden="1" customHeight="1" x14ac:dyDescent="0.2"/>
    <row r="10791" ht="9.9499999999999993" hidden="1" customHeight="1" x14ac:dyDescent="0.2"/>
    <row r="10792" ht="9.9499999999999993" hidden="1" customHeight="1" x14ac:dyDescent="0.2"/>
    <row r="10793" ht="9.9499999999999993" hidden="1" customHeight="1" x14ac:dyDescent="0.2"/>
    <row r="10794" ht="9.9499999999999993" hidden="1" customHeight="1" x14ac:dyDescent="0.2"/>
    <row r="10795" ht="9.9499999999999993" hidden="1" customHeight="1" x14ac:dyDescent="0.2"/>
    <row r="10796" ht="9.9499999999999993" hidden="1" customHeight="1" x14ac:dyDescent="0.2"/>
    <row r="10797" ht="9.9499999999999993" hidden="1" customHeight="1" x14ac:dyDescent="0.2"/>
    <row r="10798" ht="9.9499999999999993" hidden="1" customHeight="1" x14ac:dyDescent="0.2"/>
    <row r="10799" ht="9.9499999999999993" hidden="1" customHeight="1" x14ac:dyDescent="0.2"/>
    <row r="10800" ht="9.9499999999999993" hidden="1" customHeight="1" x14ac:dyDescent="0.2"/>
    <row r="10801" ht="9.9499999999999993" hidden="1" customHeight="1" x14ac:dyDescent="0.2"/>
    <row r="10802" ht="9.9499999999999993" hidden="1" customHeight="1" x14ac:dyDescent="0.2"/>
    <row r="10803" ht="9.9499999999999993" hidden="1" customHeight="1" x14ac:dyDescent="0.2"/>
    <row r="10804" ht="9.9499999999999993" hidden="1" customHeight="1" x14ac:dyDescent="0.2"/>
    <row r="10805" ht="9.9499999999999993" hidden="1" customHeight="1" x14ac:dyDescent="0.2"/>
    <row r="10806" ht="9.9499999999999993" hidden="1" customHeight="1" x14ac:dyDescent="0.2"/>
    <row r="10807" ht="9.9499999999999993" hidden="1" customHeight="1" x14ac:dyDescent="0.2"/>
    <row r="10808" ht="9.9499999999999993" hidden="1" customHeight="1" x14ac:dyDescent="0.2"/>
    <row r="10809" ht="9.9499999999999993" hidden="1" customHeight="1" x14ac:dyDescent="0.2"/>
    <row r="10810" ht="9.9499999999999993" hidden="1" customHeight="1" x14ac:dyDescent="0.2"/>
    <row r="10811" ht="9.9499999999999993" hidden="1" customHeight="1" x14ac:dyDescent="0.2"/>
    <row r="10812" ht="9.9499999999999993" hidden="1" customHeight="1" x14ac:dyDescent="0.2"/>
    <row r="10813" ht="9.9499999999999993" hidden="1" customHeight="1" x14ac:dyDescent="0.2"/>
    <row r="10814" ht="9.9499999999999993" hidden="1" customHeight="1" x14ac:dyDescent="0.2"/>
    <row r="10815" ht="9.9499999999999993" hidden="1" customHeight="1" x14ac:dyDescent="0.2"/>
    <row r="10816" ht="9.9499999999999993" hidden="1" customHeight="1" x14ac:dyDescent="0.2"/>
    <row r="10817" ht="9.9499999999999993" hidden="1" customHeight="1" x14ac:dyDescent="0.2"/>
    <row r="10818" ht="9.9499999999999993" hidden="1" customHeight="1" x14ac:dyDescent="0.2"/>
    <row r="10819" ht="9.9499999999999993" hidden="1" customHeight="1" x14ac:dyDescent="0.2"/>
    <row r="10820" ht="9.9499999999999993" hidden="1" customHeight="1" x14ac:dyDescent="0.2"/>
    <row r="10821" ht="9.9499999999999993" hidden="1" customHeight="1" x14ac:dyDescent="0.2"/>
    <row r="10822" ht="9.9499999999999993" hidden="1" customHeight="1" x14ac:dyDescent="0.2"/>
    <row r="10823" ht="9.9499999999999993" hidden="1" customHeight="1" x14ac:dyDescent="0.2"/>
    <row r="10824" ht="9.9499999999999993" hidden="1" customHeight="1" x14ac:dyDescent="0.2"/>
    <row r="10825" ht="9.9499999999999993" hidden="1" customHeight="1" x14ac:dyDescent="0.2"/>
    <row r="10826" ht="9.9499999999999993" hidden="1" customHeight="1" x14ac:dyDescent="0.2"/>
    <row r="10827" ht="9.9499999999999993" hidden="1" customHeight="1" x14ac:dyDescent="0.2"/>
    <row r="10828" ht="9.9499999999999993" hidden="1" customHeight="1" x14ac:dyDescent="0.2"/>
    <row r="10829" ht="9.9499999999999993" hidden="1" customHeight="1" x14ac:dyDescent="0.2"/>
    <row r="10830" ht="9.9499999999999993" hidden="1" customHeight="1" x14ac:dyDescent="0.2"/>
    <row r="10831" ht="9.9499999999999993" hidden="1" customHeight="1" x14ac:dyDescent="0.2"/>
    <row r="10832" ht="9.9499999999999993" hidden="1" customHeight="1" x14ac:dyDescent="0.2"/>
    <row r="10833" ht="9.9499999999999993" hidden="1" customHeight="1" x14ac:dyDescent="0.2"/>
    <row r="10834" ht="9.9499999999999993" hidden="1" customHeight="1" x14ac:dyDescent="0.2"/>
    <row r="10835" ht="9.9499999999999993" hidden="1" customHeight="1" x14ac:dyDescent="0.2"/>
    <row r="10836" ht="9.9499999999999993" hidden="1" customHeight="1" x14ac:dyDescent="0.2"/>
    <row r="10837" ht="9.9499999999999993" hidden="1" customHeight="1" x14ac:dyDescent="0.2"/>
    <row r="10838" ht="9.9499999999999993" hidden="1" customHeight="1" x14ac:dyDescent="0.2"/>
    <row r="10839" ht="9.9499999999999993" hidden="1" customHeight="1" x14ac:dyDescent="0.2"/>
    <row r="10840" ht="9.9499999999999993" hidden="1" customHeight="1" x14ac:dyDescent="0.2"/>
    <row r="10841" ht="9.9499999999999993" hidden="1" customHeight="1" x14ac:dyDescent="0.2"/>
    <row r="10842" ht="9.9499999999999993" hidden="1" customHeight="1" x14ac:dyDescent="0.2"/>
    <row r="10843" ht="9.9499999999999993" hidden="1" customHeight="1" x14ac:dyDescent="0.2"/>
    <row r="10844" ht="9.9499999999999993" hidden="1" customHeight="1" x14ac:dyDescent="0.2"/>
    <row r="10845" ht="9.9499999999999993" hidden="1" customHeight="1" x14ac:dyDescent="0.2"/>
    <row r="10846" ht="9.9499999999999993" hidden="1" customHeight="1" x14ac:dyDescent="0.2"/>
    <row r="10847" ht="9.9499999999999993" hidden="1" customHeight="1" x14ac:dyDescent="0.2"/>
    <row r="10848" ht="9.9499999999999993" hidden="1" customHeight="1" x14ac:dyDescent="0.2"/>
    <row r="10849" ht="9.9499999999999993" hidden="1" customHeight="1" x14ac:dyDescent="0.2"/>
    <row r="10850" ht="9.9499999999999993" hidden="1" customHeight="1" x14ac:dyDescent="0.2"/>
    <row r="10851" ht="9.9499999999999993" hidden="1" customHeight="1" x14ac:dyDescent="0.2"/>
    <row r="10852" ht="9.9499999999999993" hidden="1" customHeight="1" x14ac:dyDescent="0.2"/>
    <row r="10853" ht="9.9499999999999993" hidden="1" customHeight="1" x14ac:dyDescent="0.2"/>
    <row r="10854" ht="9.9499999999999993" hidden="1" customHeight="1" x14ac:dyDescent="0.2"/>
    <row r="10855" ht="9.9499999999999993" hidden="1" customHeight="1" x14ac:dyDescent="0.2"/>
    <row r="10856" ht="9.9499999999999993" hidden="1" customHeight="1" x14ac:dyDescent="0.2"/>
    <row r="10857" ht="9.9499999999999993" hidden="1" customHeight="1" x14ac:dyDescent="0.2"/>
    <row r="10858" ht="9.9499999999999993" hidden="1" customHeight="1" x14ac:dyDescent="0.2"/>
    <row r="10859" ht="9.9499999999999993" hidden="1" customHeight="1" x14ac:dyDescent="0.2"/>
    <row r="10860" ht="9.9499999999999993" hidden="1" customHeight="1" x14ac:dyDescent="0.2"/>
    <row r="10861" ht="9.9499999999999993" hidden="1" customHeight="1" x14ac:dyDescent="0.2"/>
    <row r="10862" ht="9.9499999999999993" hidden="1" customHeight="1" x14ac:dyDescent="0.2"/>
    <row r="10863" ht="9.9499999999999993" hidden="1" customHeight="1" x14ac:dyDescent="0.2"/>
    <row r="10864" ht="9.9499999999999993" hidden="1" customHeight="1" x14ac:dyDescent="0.2"/>
    <row r="10865" ht="9.9499999999999993" hidden="1" customHeight="1" x14ac:dyDescent="0.2"/>
    <row r="10866" ht="9.9499999999999993" hidden="1" customHeight="1" x14ac:dyDescent="0.2"/>
    <row r="10867" ht="9.9499999999999993" hidden="1" customHeight="1" x14ac:dyDescent="0.2"/>
    <row r="10868" ht="9.9499999999999993" hidden="1" customHeight="1" x14ac:dyDescent="0.2"/>
    <row r="10869" ht="9.9499999999999993" hidden="1" customHeight="1" x14ac:dyDescent="0.2"/>
    <row r="10870" ht="9.9499999999999993" hidden="1" customHeight="1" x14ac:dyDescent="0.2"/>
    <row r="10871" ht="9.9499999999999993" hidden="1" customHeight="1" x14ac:dyDescent="0.2"/>
    <row r="10872" ht="9.9499999999999993" hidden="1" customHeight="1" x14ac:dyDescent="0.2"/>
    <row r="10873" ht="9.9499999999999993" hidden="1" customHeight="1" x14ac:dyDescent="0.2"/>
    <row r="10874" ht="9.9499999999999993" hidden="1" customHeight="1" x14ac:dyDescent="0.2"/>
    <row r="10875" ht="9.9499999999999993" hidden="1" customHeight="1" x14ac:dyDescent="0.2"/>
    <row r="10876" ht="9.9499999999999993" hidden="1" customHeight="1" x14ac:dyDescent="0.2"/>
    <row r="10877" ht="9.9499999999999993" hidden="1" customHeight="1" x14ac:dyDescent="0.2"/>
    <row r="10878" ht="9.9499999999999993" hidden="1" customHeight="1" x14ac:dyDescent="0.2"/>
    <row r="10879" ht="9.9499999999999993" hidden="1" customHeight="1" x14ac:dyDescent="0.2"/>
    <row r="10880" ht="9.9499999999999993" hidden="1" customHeight="1" x14ac:dyDescent="0.2"/>
    <row r="10881" ht="9.9499999999999993" hidden="1" customHeight="1" x14ac:dyDescent="0.2"/>
    <row r="10882" ht="9.9499999999999993" hidden="1" customHeight="1" x14ac:dyDescent="0.2"/>
    <row r="10883" ht="9.9499999999999993" hidden="1" customHeight="1" x14ac:dyDescent="0.2"/>
    <row r="10884" ht="9.9499999999999993" hidden="1" customHeight="1" x14ac:dyDescent="0.2"/>
    <row r="10885" ht="9.9499999999999993" hidden="1" customHeight="1" x14ac:dyDescent="0.2"/>
    <row r="10886" ht="9.9499999999999993" hidden="1" customHeight="1" x14ac:dyDescent="0.2"/>
    <row r="10887" ht="9.9499999999999993" hidden="1" customHeight="1" x14ac:dyDescent="0.2"/>
    <row r="10888" ht="9.9499999999999993" hidden="1" customHeight="1" x14ac:dyDescent="0.2"/>
    <row r="10889" ht="9.9499999999999993" hidden="1" customHeight="1" x14ac:dyDescent="0.2"/>
    <row r="10890" ht="9.9499999999999993" hidden="1" customHeight="1" x14ac:dyDescent="0.2"/>
    <row r="10891" ht="9.9499999999999993" hidden="1" customHeight="1" x14ac:dyDescent="0.2"/>
    <row r="10892" ht="9.9499999999999993" hidden="1" customHeight="1" x14ac:dyDescent="0.2"/>
    <row r="10893" ht="9.9499999999999993" hidden="1" customHeight="1" x14ac:dyDescent="0.2"/>
    <row r="10894" ht="9.9499999999999993" hidden="1" customHeight="1" x14ac:dyDescent="0.2"/>
    <row r="10895" ht="9.9499999999999993" hidden="1" customHeight="1" x14ac:dyDescent="0.2"/>
    <row r="10896" ht="9.9499999999999993" hidden="1" customHeight="1" x14ac:dyDescent="0.2"/>
    <row r="10897" ht="9.9499999999999993" hidden="1" customHeight="1" x14ac:dyDescent="0.2"/>
    <row r="10898" ht="9.9499999999999993" hidden="1" customHeight="1" x14ac:dyDescent="0.2"/>
    <row r="10899" ht="9.9499999999999993" hidden="1" customHeight="1" x14ac:dyDescent="0.2"/>
    <row r="10900" ht="9.9499999999999993" hidden="1" customHeight="1" x14ac:dyDescent="0.2"/>
    <row r="10901" ht="9.9499999999999993" hidden="1" customHeight="1" x14ac:dyDescent="0.2"/>
    <row r="10902" ht="9.9499999999999993" hidden="1" customHeight="1" x14ac:dyDescent="0.2"/>
    <row r="10903" ht="9.9499999999999993" hidden="1" customHeight="1" x14ac:dyDescent="0.2"/>
    <row r="10904" ht="9.9499999999999993" hidden="1" customHeight="1" x14ac:dyDescent="0.2"/>
    <row r="10905" ht="9.9499999999999993" hidden="1" customHeight="1" x14ac:dyDescent="0.2"/>
    <row r="10906" ht="9.9499999999999993" hidden="1" customHeight="1" x14ac:dyDescent="0.2"/>
    <row r="10907" ht="9.9499999999999993" hidden="1" customHeight="1" x14ac:dyDescent="0.2"/>
    <row r="10908" ht="9.9499999999999993" hidden="1" customHeight="1" x14ac:dyDescent="0.2"/>
    <row r="10909" ht="9.9499999999999993" hidden="1" customHeight="1" x14ac:dyDescent="0.2"/>
    <row r="10910" ht="9.9499999999999993" hidden="1" customHeight="1" x14ac:dyDescent="0.2"/>
    <row r="10911" ht="9.9499999999999993" hidden="1" customHeight="1" x14ac:dyDescent="0.2"/>
    <row r="10912" ht="9.9499999999999993" hidden="1" customHeight="1" x14ac:dyDescent="0.2"/>
    <row r="10913" ht="9.9499999999999993" hidden="1" customHeight="1" x14ac:dyDescent="0.2"/>
    <row r="10914" ht="9.9499999999999993" hidden="1" customHeight="1" x14ac:dyDescent="0.2"/>
    <row r="10915" ht="9.9499999999999993" hidden="1" customHeight="1" x14ac:dyDescent="0.2"/>
    <row r="10916" ht="9.9499999999999993" hidden="1" customHeight="1" x14ac:dyDescent="0.2"/>
    <row r="10917" ht="9.9499999999999993" hidden="1" customHeight="1" x14ac:dyDescent="0.2"/>
    <row r="10918" ht="9.9499999999999993" hidden="1" customHeight="1" x14ac:dyDescent="0.2"/>
    <row r="10919" ht="9.9499999999999993" hidden="1" customHeight="1" x14ac:dyDescent="0.2"/>
    <row r="10920" ht="9.9499999999999993" hidden="1" customHeight="1" x14ac:dyDescent="0.2"/>
    <row r="10921" ht="9.9499999999999993" hidden="1" customHeight="1" x14ac:dyDescent="0.2"/>
    <row r="10922" ht="9.9499999999999993" hidden="1" customHeight="1" x14ac:dyDescent="0.2"/>
    <row r="10923" ht="9.9499999999999993" hidden="1" customHeight="1" x14ac:dyDescent="0.2"/>
    <row r="10924" ht="9.9499999999999993" hidden="1" customHeight="1" x14ac:dyDescent="0.2"/>
    <row r="10925" ht="9.9499999999999993" hidden="1" customHeight="1" x14ac:dyDescent="0.2"/>
    <row r="10926" ht="9.9499999999999993" hidden="1" customHeight="1" x14ac:dyDescent="0.2"/>
    <row r="10927" ht="9.9499999999999993" hidden="1" customHeight="1" x14ac:dyDescent="0.2"/>
    <row r="10928" ht="9.9499999999999993" hidden="1" customHeight="1" x14ac:dyDescent="0.2"/>
    <row r="10929" ht="9.9499999999999993" hidden="1" customHeight="1" x14ac:dyDescent="0.2"/>
    <row r="10930" ht="9.9499999999999993" hidden="1" customHeight="1" x14ac:dyDescent="0.2"/>
    <row r="10931" ht="9.9499999999999993" hidden="1" customHeight="1" x14ac:dyDescent="0.2"/>
    <row r="10932" ht="9.9499999999999993" hidden="1" customHeight="1" x14ac:dyDescent="0.2"/>
    <row r="10933" ht="9.9499999999999993" hidden="1" customHeight="1" x14ac:dyDescent="0.2"/>
    <row r="10934" ht="9.9499999999999993" hidden="1" customHeight="1" x14ac:dyDescent="0.2"/>
    <row r="10935" ht="9.9499999999999993" hidden="1" customHeight="1" x14ac:dyDescent="0.2"/>
    <row r="10936" ht="9.9499999999999993" hidden="1" customHeight="1" x14ac:dyDescent="0.2"/>
    <row r="10937" ht="9.9499999999999993" hidden="1" customHeight="1" x14ac:dyDescent="0.2"/>
    <row r="10938" ht="9.9499999999999993" hidden="1" customHeight="1" x14ac:dyDescent="0.2"/>
    <row r="10939" ht="9.9499999999999993" hidden="1" customHeight="1" x14ac:dyDescent="0.2"/>
    <row r="10940" ht="9.9499999999999993" hidden="1" customHeight="1" x14ac:dyDescent="0.2"/>
    <row r="10941" ht="9.9499999999999993" hidden="1" customHeight="1" x14ac:dyDescent="0.2"/>
    <row r="10942" ht="9.9499999999999993" hidden="1" customHeight="1" x14ac:dyDescent="0.2"/>
    <row r="10943" ht="9.9499999999999993" hidden="1" customHeight="1" x14ac:dyDescent="0.2"/>
    <row r="10944" ht="9.9499999999999993" hidden="1" customHeight="1" x14ac:dyDescent="0.2"/>
    <row r="10945" ht="9.9499999999999993" hidden="1" customHeight="1" x14ac:dyDescent="0.2"/>
    <row r="10946" ht="9.9499999999999993" hidden="1" customHeight="1" x14ac:dyDescent="0.2"/>
    <row r="10947" ht="9.9499999999999993" hidden="1" customHeight="1" x14ac:dyDescent="0.2"/>
    <row r="10948" ht="9.9499999999999993" hidden="1" customHeight="1" x14ac:dyDescent="0.2"/>
    <row r="10949" ht="9.9499999999999993" hidden="1" customHeight="1" x14ac:dyDescent="0.2"/>
    <row r="10950" ht="9.9499999999999993" hidden="1" customHeight="1" x14ac:dyDescent="0.2"/>
    <row r="10951" ht="9.9499999999999993" hidden="1" customHeight="1" x14ac:dyDescent="0.2"/>
    <row r="10952" ht="9.9499999999999993" hidden="1" customHeight="1" x14ac:dyDescent="0.2"/>
    <row r="10953" ht="9.9499999999999993" hidden="1" customHeight="1" x14ac:dyDescent="0.2"/>
    <row r="10954" ht="9.9499999999999993" hidden="1" customHeight="1" x14ac:dyDescent="0.2"/>
    <row r="10955" ht="9.9499999999999993" hidden="1" customHeight="1" x14ac:dyDescent="0.2"/>
    <row r="10956" ht="9.9499999999999993" hidden="1" customHeight="1" x14ac:dyDescent="0.2"/>
    <row r="10957" ht="9.9499999999999993" hidden="1" customHeight="1" x14ac:dyDescent="0.2"/>
    <row r="10958" ht="9.9499999999999993" hidden="1" customHeight="1" x14ac:dyDescent="0.2"/>
    <row r="10959" ht="9.9499999999999993" hidden="1" customHeight="1" x14ac:dyDescent="0.2"/>
    <row r="10960" ht="9.9499999999999993" hidden="1" customHeight="1" x14ac:dyDescent="0.2"/>
    <row r="10961" ht="9.9499999999999993" hidden="1" customHeight="1" x14ac:dyDescent="0.2"/>
    <row r="10962" ht="9.9499999999999993" hidden="1" customHeight="1" x14ac:dyDescent="0.2"/>
    <row r="10963" ht="9.9499999999999993" hidden="1" customHeight="1" x14ac:dyDescent="0.2"/>
    <row r="10964" ht="9.9499999999999993" hidden="1" customHeight="1" x14ac:dyDescent="0.2"/>
    <row r="10965" ht="9.9499999999999993" hidden="1" customHeight="1" x14ac:dyDescent="0.2"/>
    <row r="10966" ht="9.9499999999999993" hidden="1" customHeight="1" x14ac:dyDescent="0.2"/>
    <row r="10967" ht="9.9499999999999993" hidden="1" customHeight="1" x14ac:dyDescent="0.2"/>
    <row r="10968" ht="9.9499999999999993" hidden="1" customHeight="1" x14ac:dyDescent="0.2"/>
    <row r="10969" ht="9.9499999999999993" hidden="1" customHeight="1" x14ac:dyDescent="0.2"/>
    <row r="10970" ht="9.9499999999999993" hidden="1" customHeight="1" x14ac:dyDescent="0.2"/>
    <row r="10971" ht="9.9499999999999993" hidden="1" customHeight="1" x14ac:dyDescent="0.2"/>
    <row r="10972" ht="9.9499999999999993" hidden="1" customHeight="1" x14ac:dyDescent="0.2"/>
    <row r="10973" ht="9.9499999999999993" hidden="1" customHeight="1" x14ac:dyDescent="0.2"/>
    <row r="10974" ht="9.9499999999999993" hidden="1" customHeight="1" x14ac:dyDescent="0.2"/>
    <row r="10975" ht="9.9499999999999993" hidden="1" customHeight="1" x14ac:dyDescent="0.2"/>
    <row r="10976" ht="9.9499999999999993" hidden="1" customHeight="1" x14ac:dyDescent="0.2"/>
    <row r="10977" ht="9.9499999999999993" hidden="1" customHeight="1" x14ac:dyDescent="0.2"/>
    <row r="10978" ht="9.9499999999999993" hidden="1" customHeight="1" x14ac:dyDescent="0.2"/>
    <row r="10979" ht="9.9499999999999993" hidden="1" customHeight="1" x14ac:dyDescent="0.2"/>
    <row r="10980" ht="9.9499999999999993" hidden="1" customHeight="1" x14ac:dyDescent="0.2"/>
    <row r="10981" ht="9.9499999999999993" hidden="1" customHeight="1" x14ac:dyDescent="0.2"/>
    <row r="10982" ht="9.9499999999999993" hidden="1" customHeight="1" x14ac:dyDescent="0.2"/>
    <row r="10983" ht="9.9499999999999993" hidden="1" customHeight="1" x14ac:dyDescent="0.2"/>
    <row r="10984" ht="9.9499999999999993" hidden="1" customHeight="1" x14ac:dyDescent="0.2"/>
    <row r="10985" ht="9.9499999999999993" hidden="1" customHeight="1" x14ac:dyDescent="0.2"/>
    <row r="10986" ht="9.9499999999999993" hidden="1" customHeight="1" x14ac:dyDescent="0.2"/>
    <row r="10987" ht="9.9499999999999993" hidden="1" customHeight="1" x14ac:dyDescent="0.2"/>
    <row r="10988" ht="9.9499999999999993" hidden="1" customHeight="1" x14ac:dyDescent="0.2"/>
    <row r="10989" ht="9.9499999999999993" hidden="1" customHeight="1" x14ac:dyDescent="0.2"/>
    <row r="10990" ht="9.9499999999999993" hidden="1" customHeight="1" x14ac:dyDescent="0.2"/>
    <row r="10991" ht="9.9499999999999993" hidden="1" customHeight="1" x14ac:dyDescent="0.2"/>
    <row r="10992" ht="9.9499999999999993" hidden="1" customHeight="1" x14ac:dyDescent="0.2"/>
    <row r="10993" ht="9.9499999999999993" hidden="1" customHeight="1" x14ac:dyDescent="0.2"/>
    <row r="10994" ht="9.9499999999999993" hidden="1" customHeight="1" x14ac:dyDescent="0.2"/>
    <row r="10995" ht="9.9499999999999993" hidden="1" customHeight="1" x14ac:dyDescent="0.2"/>
    <row r="10996" ht="9.9499999999999993" hidden="1" customHeight="1" x14ac:dyDescent="0.2"/>
    <row r="10997" ht="9.9499999999999993" hidden="1" customHeight="1" x14ac:dyDescent="0.2"/>
    <row r="10998" ht="9.9499999999999993" hidden="1" customHeight="1" x14ac:dyDescent="0.2"/>
    <row r="10999" ht="9.9499999999999993" hidden="1" customHeight="1" x14ac:dyDescent="0.2"/>
    <row r="11000" ht="9.9499999999999993" hidden="1" customHeight="1" x14ac:dyDescent="0.2"/>
    <row r="11001" ht="9.9499999999999993" hidden="1" customHeight="1" x14ac:dyDescent="0.2"/>
    <row r="11002" ht="9.9499999999999993" hidden="1" customHeight="1" x14ac:dyDescent="0.2"/>
    <row r="11003" ht="9.9499999999999993" hidden="1" customHeight="1" x14ac:dyDescent="0.2"/>
    <row r="11004" ht="9.9499999999999993" hidden="1" customHeight="1" x14ac:dyDescent="0.2"/>
    <row r="11005" ht="9.9499999999999993" hidden="1" customHeight="1" x14ac:dyDescent="0.2"/>
    <row r="11006" ht="9.9499999999999993" hidden="1" customHeight="1" x14ac:dyDescent="0.2"/>
    <row r="11007" ht="9.9499999999999993" hidden="1" customHeight="1" x14ac:dyDescent="0.2"/>
    <row r="11008" ht="9.9499999999999993" hidden="1" customHeight="1" x14ac:dyDescent="0.2"/>
    <row r="11009" ht="9.9499999999999993" hidden="1" customHeight="1" x14ac:dyDescent="0.2"/>
    <row r="11010" ht="9.9499999999999993" hidden="1" customHeight="1" x14ac:dyDescent="0.2"/>
    <row r="11011" ht="9.9499999999999993" hidden="1" customHeight="1" x14ac:dyDescent="0.2"/>
    <row r="11012" ht="9.9499999999999993" hidden="1" customHeight="1" x14ac:dyDescent="0.2"/>
    <row r="11013" ht="9.9499999999999993" hidden="1" customHeight="1" x14ac:dyDescent="0.2"/>
    <row r="11014" ht="9.9499999999999993" hidden="1" customHeight="1" x14ac:dyDescent="0.2"/>
    <row r="11015" ht="9.9499999999999993" hidden="1" customHeight="1" x14ac:dyDescent="0.2"/>
    <row r="11016" ht="9.9499999999999993" hidden="1" customHeight="1" x14ac:dyDescent="0.2"/>
    <row r="11017" ht="9.9499999999999993" hidden="1" customHeight="1" x14ac:dyDescent="0.2"/>
    <row r="11018" ht="9.9499999999999993" hidden="1" customHeight="1" x14ac:dyDescent="0.2"/>
    <row r="11019" ht="9.9499999999999993" hidden="1" customHeight="1" x14ac:dyDescent="0.2"/>
    <row r="11020" ht="9.9499999999999993" hidden="1" customHeight="1" x14ac:dyDescent="0.2"/>
    <row r="11021" ht="9.9499999999999993" hidden="1" customHeight="1" x14ac:dyDescent="0.2"/>
    <row r="11022" ht="9.9499999999999993" hidden="1" customHeight="1" x14ac:dyDescent="0.2"/>
    <row r="11023" ht="9.9499999999999993" hidden="1" customHeight="1" x14ac:dyDescent="0.2"/>
    <row r="11024" ht="9.9499999999999993" hidden="1" customHeight="1" x14ac:dyDescent="0.2"/>
    <row r="11025" ht="9.9499999999999993" hidden="1" customHeight="1" x14ac:dyDescent="0.2"/>
    <row r="11026" ht="9.9499999999999993" hidden="1" customHeight="1" x14ac:dyDescent="0.2"/>
    <row r="11027" ht="9.9499999999999993" hidden="1" customHeight="1" x14ac:dyDescent="0.2"/>
    <row r="11028" ht="9.9499999999999993" hidden="1" customHeight="1" x14ac:dyDescent="0.2"/>
    <row r="11029" ht="9.9499999999999993" hidden="1" customHeight="1" x14ac:dyDescent="0.2"/>
    <row r="11030" ht="9.9499999999999993" hidden="1" customHeight="1" x14ac:dyDescent="0.2"/>
    <row r="11031" ht="9.9499999999999993" hidden="1" customHeight="1" x14ac:dyDescent="0.2"/>
    <row r="11032" ht="9.9499999999999993" hidden="1" customHeight="1" x14ac:dyDescent="0.2"/>
    <row r="11033" ht="9.9499999999999993" hidden="1" customHeight="1" x14ac:dyDescent="0.2"/>
    <row r="11034" ht="9.9499999999999993" hidden="1" customHeight="1" x14ac:dyDescent="0.2"/>
    <row r="11035" ht="9.9499999999999993" hidden="1" customHeight="1" x14ac:dyDescent="0.2"/>
    <row r="11036" ht="9.9499999999999993" hidden="1" customHeight="1" x14ac:dyDescent="0.2"/>
    <row r="11037" ht="9.9499999999999993" hidden="1" customHeight="1" x14ac:dyDescent="0.2"/>
    <row r="11038" ht="9.9499999999999993" hidden="1" customHeight="1" x14ac:dyDescent="0.2"/>
    <row r="11039" ht="9.9499999999999993" hidden="1" customHeight="1" x14ac:dyDescent="0.2"/>
    <row r="11040" ht="9.9499999999999993" hidden="1" customHeight="1" x14ac:dyDescent="0.2"/>
    <row r="11041" ht="9.9499999999999993" hidden="1" customHeight="1" x14ac:dyDescent="0.2"/>
    <row r="11042" ht="9.9499999999999993" hidden="1" customHeight="1" x14ac:dyDescent="0.2"/>
    <row r="11043" ht="9.9499999999999993" hidden="1" customHeight="1" x14ac:dyDescent="0.2"/>
    <row r="11044" ht="9.9499999999999993" hidden="1" customHeight="1" x14ac:dyDescent="0.2"/>
    <row r="11045" ht="9.9499999999999993" hidden="1" customHeight="1" x14ac:dyDescent="0.2"/>
    <row r="11046" ht="9.9499999999999993" hidden="1" customHeight="1" x14ac:dyDescent="0.2"/>
    <row r="11047" ht="9.9499999999999993" hidden="1" customHeight="1" x14ac:dyDescent="0.2"/>
    <row r="11048" ht="9.9499999999999993" hidden="1" customHeight="1" x14ac:dyDescent="0.2"/>
    <row r="11049" ht="9.9499999999999993" hidden="1" customHeight="1" x14ac:dyDescent="0.2"/>
    <row r="11050" ht="9.9499999999999993" hidden="1" customHeight="1" x14ac:dyDescent="0.2"/>
    <row r="11051" ht="9.9499999999999993" hidden="1" customHeight="1" x14ac:dyDescent="0.2"/>
    <row r="11052" ht="9.9499999999999993" hidden="1" customHeight="1" x14ac:dyDescent="0.2"/>
    <row r="11053" ht="9.9499999999999993" hidden="1" customHeight="1" x14ac:dyDescent="0.2"/>
    <row r="11054" ht="9.9499999999999993" hidden="1" customHeight="1" x14ac:dyDescent="0.2"/>
    <row r="11055" ht="9.9499999999999993" hidden="1" customHeight="1" x14ac:dyDescent="0.2"/>
    <row r="11056" ht="9.9499999999999993" hidden="1" customHeight="1" x14ac:dyDescent="0.2"/>
    <row r="11057" ht="9.9499999999999993" hidden="1" customHeight="1" x14ac:dyDescent="0.2"/>
    <row r="11058" ht="9.9499999999999993" hidden="1" customHeight="1" x14ac:dyDescent="0.2"/>
    <row r="11059" ht="9.9499999999999993" hidden="1" customHeight="1" x14ac:dyDescent="0.2"/>
    <row r="11060" ht="9.9499999999999993" hidden="1" customHeight="1" x14ac:dyDescent="0.2"/>
    <row r="11061" ht="9.9499999999999993" hidden="1" customHeight="1" x14ac:dyDescent="0.2"/>
    <row r="11062" ht="9.9499999999999993" hidden="1" customHeight="1" x14ac:dyDescent="0.2"/>
    <row r="11063" ht="9.9499999999999993" hidden="1" customHeight="1" x14ac:dyDescent="0.2"/>
    <row r="11064" ht="9.9499999999999993" hidden="1" customHeight="1" x14ac:dyDescent="0.2"/>
    <row r="11065" ht="9.9499999999999993" hidden="1" customHeight="1" x14ac:dyDescent="0.2"/>
    <row r="11066" ht="9.9499999999999993" hidden="1" customHeight="1" x14ac:dyDescent="0.2"/>
    <row r="11067" ht="9.9499999999999993" hidden="1" customHeight="1" x14ac:dyDescent="0.2"/>
    <row r="11068" ht="9.9499999999999993" hidden="1" customHeight="1" x14ac:dyDescent="0.2"/>
    <row r="11069" ht="9.9499999999999993" hidden="1" customHeight="1" x14ac:dyDescent="0.2"/>
    <row r="11070" ht="9.9499999999999993" hidden="1" customHeight="1" x14ac:dyDescent="0.2"/>
    <row r="11071" ht="9.9499999999999993" hidden="1" customHeight="1" x14ac:dyDescent="0.2"/>
    <row r="11072" ht="9.9499999999999993" hidden="1" customHeight="1" x14ac:dyDescent="0.2"/>
    <row r="11073" ht="9.9499999999999993" hidden="1" customHeight="1" x14ac:dyDescent="0.2"/>
    <row r="11074" ht="9.9499999999999993" hidden="1" customHeight="1" x14ac:dyDescent="0.2"/>
    <row r="11075" ht="9.9499999999999993" hidden="1" customHeight="1" x14ac:dyDescent="0.2"/>
    <row r="11076" ht="9.9499999999999993" hidden="1" customHeight="1" x14ac:dyDescent="0.2"/>
    <row r="11077" ht="9.9499999999999993" hidden="1" customHeight="1" x14ac:dyDescent="0.2"/>
    <row r="11078" ht="9.9499999999999993" hidden="1" customHeight="1" x14ac:dyDescent="0.2"/>
    <row r="11079" ht="9.9499999999999993" hidden="1" customHeight="1" x14ac:dyDescent="0.2"/>
    <row r="11080" ht="9.9499999999999993" hidden="1" customHeight="1" x14ac:dyDescent="0.2"/>
    <row r="11081" ht="9.9499999999999993" hidden="1" customHeight="1" x14ac:dyDescent="0.2"/>
    <row r="11082" ht="9.9499999999999993" hidden="1" customHeight="1" x14ac:dyDescent="0.2"/>
    <row r="11083" ht="9.9499999999999993" hidden="1" customHeight="1" x14ac:dyDescent="0.2"/>
    <row r="11084" ht="9.9499999999999993" hidden="1" customHeight="1" x14ac:dyDescent="0.2"/>
    <row r="11085" ht="9.9499999999999993" hidden="1" customHeight="1" x14ac:dyDescent="0.2"/>
    <row r="11086" ht="9.9499999999999993" hidden="1" customHeight="1" x14ac:dyDescent="0.2"/>
    <row r="11087" ht="9.9499999999999993" hidden="1" customHeight="1" x14ac:dyDescent="0.2"/>
    <row r="11088" ht="9.9499999999999993" hidden="1" customHeight="1" x14ac:dyDescent="0.2"/>
    <row r="11089" ht="9.9499999999999993" hidden="1" customHeight="1" x14ac:dyDescent="0.2"/>
    <row r="11090" ht="9.9499999999999993" hidden="1" customHeight="1" x14ac:dyDescent="0.2"/>
    <row r="11091" ht="9.9499999999999993" hidden="1" customHeight="1" x14ac:dyDescent="0.2"/>
    <row r="11092" ht="9.9499999999999993" hidden="1" customHeight="1" x14ac:dyDescent="0.2"/>
    <row r="11093" ht="9.9499999999999993" hidden="1" customHeight="1" x14ac:dyDescent="0.2"/>
    <row r="11094" ht="9.9499999999999993" hidden="1" customHeight="1" x14ac:dyDescent="0.2"/>
    <row r="11095" ht="9.9499999999999993" hidden="1" customHeight="1" x14ac:dyDescent="0.2"/>
    <row r="11096" ht="9.9499999999999993" hidden="1" customHeight="1" x14ac:dyDescent="0.2"/>
    <row r="11097" ht="9.9499999999999993" hidden="1" customHeight="1" x14ac:dyDescent="0.2"/>
    <row r="11098" ht="9.9499999999999993" hidden="1" customHeight="1" x14ac:dyDescent="0.2"/>
    <row r="11099" ht="9.9499999999999993" hidden="1" customHeight="1" x14ac:dyDescent="0.2"/>
    <row r="11100" ht="9.9499999999999993" hidden="1" customHeight="1" x14ac:dyDescent="0.2"/>
    <row r="11101" ht="9.9499999999999993" hidden="1" customHeight="1" x14ac:dyDescent="0.2"/>
    <row r="11102" ht="9.9499999999999993" hidden="1" customHeight="1" x14ac:dyDescent="0.2"/>
    <row r="11103" ht="9.9499999999999993" hidden="1" customHeight="1" x14ac:dyDescent="0.2"/>
    <row r="11104" ht="9.9499999999999993" hidden="1" customHeight="1" x14ac:dyDescent="0.2"/>
    <row r="11105" ht="9.9499999999999993" hidden="1" customHeight="1" x14ac:dyDescent="0.2"/>
    <row r="11106" ht="9.9499999999999993" hidden="1" customHeight="1" x14ac:dyDescent="0.2"/>
    <row r="11107" ht="9.9499999999999993" hidden="1" customHeight="1" x14ac:dyDescent="0.2"/>
    <row r="11108" ht="9.9499999999999993" hidden="1" customHeight="1" x14ac:dyDescent="0.2"/>
    <row r="11109" ht="9.9499999999999993" hidden="1" customHeight="1" x14ac:dyDescent="0.2"/>
    <row r="11110" ht="9.9499999999999993" hidden="1" customHeight="1" x14ac:dyDescent="0.2"/>
    <row r="11111" ht="9.9499999999999993" hidden="1" customHeight="1" x14ac:dyDescent="0.2"/>
    <row r="11112" ht="9.9499999999999993" hidden="1" customHeight="1" x14ac:dyDescent="0.2"/>
    <row r="11113" ht="9.9499999999999993" hidden="1" customHeight="1" x14ac:dyDescent="0.2"/>
    <row r="11114" ht="9.9499999999999993" hidden="1" customHeight="1" x14ac:dyDescent="0.2"/>
    <row r="11115" ht="9.9499999999999993" hidden="1" customHeight="1" x14ac:dyDescent="0.2"/>
    <row r="11116" ht="9.9499999999999993" hidden="1" customHeight="1" x14ac:dyDescent="0.2"/>
    <row r="11117" ht="9.9499999999999993" hidden="1" customHeight="1" x14ac:dyDescent="0.2"/>
    <row r="11118" ht="9.9499999999999993" hidden="1" customHeight="1" x14ac:dyDescent="0.2"/>
    <row r="11119" ht="9.9499999999999993" hidden="1" customHeight="1" x14ac:dyDescent="0.2"/>
    <row r="11120" ht="9.9499999999999993" hidden="1" customHeight="1" x14ac:dyDescent="0.2"/>
    <row r="11121" ht="9.9499999999999993" hidden="1" customHeight="1" x14ac:dyDescent="0.2"/>
    <row r="11122" ht="9.9499999999999993" hidden="1" customHeight="1" x14ac:dyDescent="0.2"/>
    <row r="11123" ht="9.9499999999999993" hidden="1" customHeight="1" x14ac:dyDescent="0.2"/>
    <row r="11124" ht="9.9499999999999993" hidden="1" customHeight="1" x14ac:dyDescent="0.2"/>
    <row r="11125" ht="9.9499999999999993" hidden="1" customHeight="1" x14ac:dyDescent="0.2"/>
    <row r="11126" ht="9.9499999999999993" hidden="1" customHeight="1" x14ac:dyDescent="0.2"/>
    <row r="11127" ht="9.9499999999999993" hidden="1" customHeight="1" x14ac:dyDescent="0.2"/>
    <row r="11128" ht="9.9499999999999993" hidden="1" customHeight="1" x14ac:dyDescent="0.2"/>
    <row r="11129" ht="9.9499999999999993" hidden="1" customHeight="1" x14ac:dyDescent="0.2"/>
    <row r="11130" ht="9.9499999999999993" hidden="1" customHeight="1" x14ac:dyDescent="0.2"/>
    <row r="11131" ht="9.9499999999999993" hidden="1" customHeight="1" x14ac:dyDescent="0.2"/>
    <row r="11132" ht="9.9499999999999993" hidden="1" customHeight="1" x14ac:dyDescent="0.2"/>
    <row r="11133" ht="9.9499999999999993" hidden="1" customHeight="1" x14ac:dyDescent="0.2"/>
    <row r="11134" ht="9.9499999999999993" hidden="1" customHeight="1" x14ac:dyDescent="0.2"/>
    <row r="11135" ht="9.9499999999999993" hidden="1" customHeight="1" x14ac:dyDescent="0.2"/>
    <row r="11136" ht="9.9499999999999993" hidden="1" customHeight="1" x14ac:dyDescent="0.2"/>
    <row r="11137" ht="9.9499999999999993" hidden="1" customHeight="1" x14ac:dyDescent="0.2"/>
    <row r="11138" ht="9.9499999999999993" hidden="1" customHeight="1" x14ac:dyDescent="0.2"/>
    <row r="11139" ht="9.9499999999999993" hidden="1" customHeight="1" x14ac:dyDescent="0.2"/>
    <row r="11140" ht="9.9499999999999993" hidden="1" customHeight="1" x14ac:dyDescent="0.2"/>
    <row r="11141" ht="9.9499999999999993" hidden="1" customHeight="1" x14ac:dyDescent="0.2"/>
    <row r="11142" ht="9.9499999999999993" hidden="1" customHeight="1" x14ac:dyDescent="0.2"/>
    <row r="11143" ht="9.9499999999999993" hidden="1" customHeight="1" x14ac:dyDescent="0.2"/>
    <row r="11144" ht="9.9499999999999993" hidden="1" customHeight="1" x14ac:dyDescent="0.2"/>
    <row r="11145" ht="9.9499999999999993" hidden="1" customHeight="1" x14ac:dyDescent="0.2"/>
    <row r="11146" ht="9.9499999999999993" hidden="1" customHeight="1" x14ac:dyDescent="0.2"/>
    <row r="11147" ht="9.9499999999999993" hidden="1" customHeight="1" x14ac:dyDescent="0.2"/>
    <row r="11148" ht="9.9499999999999993" hidden="1" customHeight="1" x14ac:dyDescent="0.2"/>
    <row r="11149" ht="9.9499999999999993" hidden="1" customHeight="1" x14ac:dyDescent="0.2"/>
    <row r="11150" ht="9.9499999999999993" hidden="1" customHeight="1" x14ac:dyDescent="0.2"/>
    <row r="11151" ht="9.9499999999999993" hidden="1" customHeight="1" x14ac:dyDescent="0.2"/>
    <row r="11152" ht="9.9499999999999993" hidden="1" customHeight="1" x14ac:dyDescent="0.2"/>
    <row r="11153" ht="9.9499999999999993" hidden="1" customHeight="1" x14ac:dyDescent="0.2"/>
    <row r="11154" ht="9.9499999999999993" hidden="1" customHeight="1" x14ac:dyDescent="0.2"/>
    <row r="11155" ht="9.9499999999999993" hidden="1" customHeight="1" x14ac:dyDescent="0.2"/>
    <row r="11156" ht="9.9499999999999993" hidden="1" customHeight="1" x14ac:dyDescent="0.2"/>
    <row r="11157" ht="9.9499999999999993" hidden="1" customHeight="1" x14ac:dyDescent="0.2"/>
    <row r="11158" ht="9.9499999999999993" hidden="1" customHeight="1" x14ac:dyDescent="0.2"/>
    <row r="11159" ht="9.9499999999999993" hidden="1" customHeight="1" x14ac:dyDescent="0.2"/>
    <row r="11160" ht="9.9499999999999993" hidden="1" customHeight="1" x14ac:dyDescent="0.2"/>
    <row r="11161" ht="9.9499999999999993" hidden="1" customHeight="1" x14ac:dyDescent="0.2"/>
    <row r="11162" ht="9.9499999999999993" hidden="1" customHeight="1" x14ac:dyDescent="0.2"/>
    <row r="11163" ht="9.9499999999999993" hidden="1" customHeight="1" x14ac:dyDescent="0.2"/>
    <row r="11164" ht="9.9499999999999993" hidden="1" customHeight="1" x14ac:dyDescent="0.2"/>
    <row r="11165" ht="9.9499999999999993" hidden="1" customHeight="1" x14ac:dyDescent="0.2"/>
    <row r="11166" ht="9.9499999999999993" hidden="1" customHeight="1" x14ac:dyDescent="0.2"/>
    <row r="11167" ht="9.9499999999999993" hidden="1" customHeight="1" x14ac:dyDescent="0.2"/>
    <row r="11168" ht="9.9499999999999993" hidden="1" customHeight="1" x14ac:dyDescent="0.2"/>
    <row r="11169" ht="9.9499999999999993" hidden="1" customHeight="1" x14ac:dyDescent="0.2"/>
    <row r="11170" ht="9.9499999999999993" hidden="1" customHeight="1" x14ac:dyDescent="0.2"/>
    <row r="11171" ht="9.9499999999999993" hidden="1" customHeight="1" x14ac:dyDescent="0.2"/>
    <row r="11172" ht="9.9499999999999993" hidden="1" customHeight="1" x14ac:dyDescent="0.2"/>
    <row r="11173" ht="9.9499999999999993" hidden="1" customHeight="1" x14ac:dyDescent="0.2"/>
    <row r="11174" ht="9.9499999999999993" hidden="1" customHeight="1" x14ac:dyDescent="0.2"/>
    <row r="11175" ht="9.9499999999999993" hidden="1" customHeight="1" x14ac:dyDescent="0.2"/>
    <row r="11176" ht="9.9499999999999993" hidden="1" customHeight="1" x14ac:dyDescent="0.2"/>
    <row r="11177" ht="9.9499999999999993" hidden="1" customHeight="1" x14ac:dyDescent="0.2"/>
    <row r="11178" ht="9.9499999999999993" hidden="1" customHeight="1" x14ac:dyDescent="0.2"/>
    <row r="11179" ht="9.9499999999999993" hidden="1" customHeight="1" x14ac:dyDescent="0.2"/>
    <row r="11180" ht="9.9499999999999993" hidden="1" customHeight="1" x14ac:dyDescent="0.2"/>
    <row r="11181" ht="9.9499999999999993" hidden="1" customHeight="1" x14ac:dyDescent="0.2"/>
    <row r="11182" ht="9.9499999999999993" hidden="1" customHeight="1" x14ac:dyDescent="0.2"/>
    <row r="11183" ht="9.9499999999999993" hidden="1" customHeight="1" x14ac:dyDescent="0.2"/>
    <row r="11184" ht="9.9499999999999993" hidden="1" customHeight="1" x14ac:dyDescent="0.2"/>
    <row r="11185" ht="9.9499999999999993" hidden="1" customHeight="1" x14ac:dyDescent="0.2"/>
    <row r="11186" ht="9.9499999999999993" hidden="1" customHeight="1" x14ac:dyDescent="0.2"/>
    <row r="11187" ht="9.9499999999999993" hidden="1" customHeight="1" x14ac:dyDescent="0.2"/>
    <row r="11188" ht="9.9499999999999993" hidden="1" customHeight="1" x14ac:dyDescent="0.2"/>
    <row r="11189" ht="9.9499999999999993" hidden="1" customHeight="1" x14ac:dyDescent="0.2"/>
    <row r="11190" ht="9.9499999999999993" hidden="1" customHeight="1" x14ac:dyDescent="0.2"/>
    <row r="11191" ht="9.9499999999999993" hidden="1" customHeight="1" x14ac:dyDescent="0.2"/>
    <row r="11192" ht="9.9499999999999993" hidden="1" customHeight="1" x14ac:dyDescent="0.2"/>
    <row r="11193" ht="9.9499999999999993" hidden="1" customHeight="1" x14ac:dyDescent="0.2"/>
    <row r="11194" ht="9.9499999999999993" hidden="1" customHeight="1" x14ac:dyDescent="0.2"/>
    <row r="11195" ht="9.9499999999999993" hidden="1" customHeight="1" x14ac:dyDescent="0.2"/>
    <row r="11196" ht="9.9499999999999993" hidden="1" customHeight="1" x14ac:dyDescent="0.2"/>
    <row r="11197" ht="9.9499999999999993" hidden="1" customHeight="1" x14ac:dyDescent="0.2"/>
    <row r="11198" ht="9.9499999999999993" hidden="1" customHeight="1" x14ac:dyDescent="0.2"/>
    <row r="11199" ht="9.9499999999999993" hidden="1" customHeight="1" x14ac:dyDescent="0.2"/>
    <row r="11200" ht="9.9499999999999993" hidden="1" customHeight="1" x14ac:dyDescent="0.2"/>
    <row r="11201" ht="9.9499999999999993" hidden="1" customHeight="1" x14ac:dyDescent="0.2"/>
    <row r="11202" ht="9.9499999999999993" hidden="1" customHeight="1" x14ac:dyDescent="0.2"/>
    <row r="11203" ht="9.9499999999999993" hidden="1" customHeight="1" x14ac:dyDescent="0.2"/>
    <row r="11204" ht="9.9499999999999993" hidden="1" customHeight="1" x14ac:dyDescent="0.2"/>
    <row r="11205" ht="9.9499999999999993" hidden="1" customHeight="1" x14ac:dyDescent="0.2"/>
    <row r="11206" ht="9.9499999999999993" hidden="1" customHeight="1" x14ac:dyDescent="0.2"/>
    <row r="11207" ht="9.9499999999999993" hidden="1" customHeight="1" x14ac:dyDescent="0.2"/>
    <row r="11208" ht="9.9499999999999993" hidden="1" customHeight="1" x14ac:dyDescent="0.2"/>
    <row r="11209" ht="9.9499999999999993" hidden="1" customHeight="1" x14ac:dyDescent="0.2"/>
    <row r="11210" ht="9.9499999999999993" hidden="1" customHeight="1" x14ac:dyDescent="0.2"/>
    <row r="11211" ht="9.9499999999999993" hidden="1" customHeight="1" x14ac:dyDescent="0.2"/>
    <row r="11212" ht="9.9499999999999993" hidden="1" customHeight="1" x14ac:dyDescent="0.2"/>
    <row r="11213" ht="9.9499999999999993" hidden="1" customHeight="1" x14ac:dyDescent="0.2"/>
    <row r="11214" ht="9.9499999999999993" hidden="1" customHeight="1" x14ac:dyDescent="0.2"/>
    <row r="11215" ht="9.9499999999999993" hidden="1" customHeight="1" x14ac:dyDescent="0.2"/>
    <row r="11216" ht="9.9499999999999993" hidden="1" customHeight="1" x14ac:dyDescent="0.2"/>
    <row r="11217" ht="9.9499999999999993" hidden="1" customHeight="1" x14ac:dyDescent="0.2"/>
    <row r="11218" ht="9.9499999999999993" hidden="1" customHeight="1" x14ac:dyDescent="0.2"/>
    <row r="11219" ht="9.9499999999999993" hidden="1" customHeight="1" x14ac:dyDescent="0.2"/>
    <row r="11220" ht="9.9499999999999993" hidden="1" customHeight="1" x14ac:dyDescent="0.2"/>
    <row r="11221" ht="9.9499999999999993" hidden="1" customHeight="1" x14ac:dyDescent="0.2"/>
    <row r="11222" ht="9.9499999999999993" hidden="1" customHeight="1" x14ac:dyDescent="0.2"/>
    <row r="11223" ht="9.9499999999999993" hidden="1" customHeight="1" x14ac:dyDescent="0.2"/>
    <row r="11224" ht="9.9499999999999993" hidden="1" customHeight="1" x14ac:dyDescent="0.2"/>
    <row r="11225" ht="9.9499999999999993" hidden="1" customHeight="1" x14ac:dyDescent="0.2"/>
    <row r="11226" ht="9.9499999999999993" hidden="1" customHeight="1" x14ac:dyDescent="0.2"/>
    <row r="11227" ht="9.9499999999999993" hidden="1" customHeight="1" x14ac:dyDescent="0.2"/>
    <row r="11228" ht="9.9499999999999993" hidden="1" customHeight="1" x14ac:dyDescent="0.2"/>
    <row r="11229" ht="9.9499999999999993" hidden="1" customHeight="1" x14ac:dyDescent="0.2"/>
    <row r="11230" ht="9.9499999999999993" hidden="1" customHeight="1" x14ac:dyDescent="0.2"/>
    <row r="11231" ht="9.9499999999999993" hidden="1" customHeight="1" x14ac:dyDescent="0.2"/>
    <row r="11232" ht="9.9499999999999993" hidden="1" customHeight="1" x14ac:dyDescent="0.2"/>
    <row r="11233" ht="9.9499999999999993" hidden="1" customHeight="1" x14ac:dyDescent="0.2"/>
    <row r="11234" ht="9.9499999999999993" hidden="1" customHeight="1" x14ac:dyDescent="0.2"/>
    <row r="11235" ht="9.9499999999999993" hidden="1" customHeight="1" x14ac:dyDescent="0.2"/>
    <row r="11236" ht="9.9499999999999993" hidden="1" customHeight="1" x14ac:dyDescent="0.2"/>
    <row r="11237" ht="9.9499999999999993" hidden="1" customHeight="1" x14ac:dyDescent="0.2"/>
    <row r="11238" ht="9.9499999999999993" hidden="1" customHeight="1" x14ac:dyDescent="0.2"/>
    <row r="11239" ht="9.9499999999999993" hidden="1" customHeight="1" x14ac:dyDescent="0.2"/>
    <row r="11240" ht="9.9499999999999993" hidden="1" customHeight="1" x14ac:dyDescent="0.2"/>
    <row r="11241" ht="9.9499999999999993" hidden="1" customHeight="1" x14ac:dyDescent="0.2"/>
    <row r="11242" ht="9.9499999999999993" hidden="1" customHeight="1" x14ac:dyDescent="0.2"/>
    <row r="11243" ht="9.9499999999999993" hidden="1" customHeight="1" x14ac:dyDescent="0.2"/>
    <row r="11244" ht="9.9499999999999993" hidden="1" customHeight="1" x14ac:dyDescent="0.2"/>
    <row r="11245" ht="9.9499999999999993" hidden="1" customHeight="1" x14ac:dyDescent="0.2"/>
    <row r="11246" ht="9.9499999999999993" hidden="1" customHeight="1" x14ac:dyDescent="0.2"/>
    <row r="11247" ht="9.9499999999999993" hidden="1" customHeight="1" x14ac:dyDescent="0.2"/>
    <row r="11248" ht="9.9499999999999993" hidden="1" customHeight="1" x14ac:dyDescent="0.2"/>
    <row r="11249" ht="9.9499999999999993" hidden="1" customHeight="1" x14ac:dyDescent="0.2"/>
    <row r="11250" ht="9.9499999999999993" hidden="1" customHeight="1" x14ac:dyDescent="0.2"/>
    <row r="11251" ht="9.9499999999999993" hidden="1" customHeight="1" x14ac:dyDescent="0.2"/>
    <row r="11252" ht="9.9499999999999993" hidden="1" customHeight="1" x14ac:dyDescent="0.2"/>
    <row r="11253" ht="9.9499999999999993" hidden="1" customHeight="1" x14ac:dyDescent="0.2"/>
    <row r="11254" ht="9.9499999999999993" hidden="1" customHeight="1" x14ac:dyDescent="0.2"/>
    <row r="11255" ht="9.9499999999999993" hidden="1" customHeight="1" x14ac:dyDescent="0.2"/>
    <row r="11256" ht="9.9499999999999993" hidden="1" customHeight="1" x14ac:dyDescent="0.2"/>
    <row r="11257" ht="9.9499999999999993" hidden="1" customHeight="1" x14ac:dyDescent="0.2"/>
    <row r="11258" ht="9.9499999999999993" hidden="1" customHeight="1" x14ac:dyDescent="0.2"/>
    <row r="11259" ht="9.9499999999999993" hidden="1" customHeight="1" x14ac:dyDescent="0.2"/>
    <row r="11260" ht="9.9499999999999993" hidden="1" customHeight="1" x14ac:dyDescent="0.2"/>
    <row r="11261" ht="9.9499999999999993" hidden="1" customHeight="1" x14ac:dyDescent="0.2"/>
    <row r="11262" ht="9.9499999999999993" hidden="1" customHeight="1" x14ac:dyDescent="0.2"/>
    <row r="11263" ht="9.9499999999999993" hidden="1" customHeight="1" x14ac:dyDescent="0.2"/>
    <row r="11264" ht="9.9499999999999993" hidden="1" customHeight="1" x14ac:dyDescent="0.2"/>
    <row r="11265" ht="9.9499999999999993" hidden="1" customHeight="1" x14ac:dyDescent="0.2"/>
    <row r="11266" ht="9.9499999999999993" hidden="1" customHeight="1" x14ac:dyDescent="0.2"/>
    <row r="11267" ht="9.9499999999999993" hidden="1" customHeight="1" x14ac:dyDescent="0.2"/>
    <row r="11268" ht="9.9499999999999993" hidden="1" customHeight="1" x14ac:dyDescent="0.2"/>
    <row r="11269" ht="9.9499999999999993" hidden="1" customHeight="1" x14ac:dyDescent="0.2"/>
    <row r="11270" ht="9.9499999999999993" hidden="1" customHeight="1" x14ac:dyDescent="0.2"/>
    <row r="11271" ht="9.9499999999999993" hidden="1" customHeight="1" x14ac:dyDescent="0.2"/>
    <row r="11272" ht="9.9499999999999993" hidden="1" customHeight="1" x14ac:dyDescent="0.2"/>
    <row r="11273" ht="9.9499999999999993" hidden="1" customHeight="1" x14ac:dyDescent="0.2"/>
    <row r="11274" ht="9.9499999999999993" hidden="1" customHeight="1" x14ac:dyDescent="0.2"/>
    <row r="11275" ht="9.9499999999999993" hidden="1" customHeight="1" x14ac:dyDescent="0.2"/>
    <row r="11276" ht="9.9499999999999993" hidden="1" customHeight="1" x14ac:dyDescent="0.2"/>
    <row r="11277" ht="9.9499999999999993" hidden="1" customHeight="1" x14ac:dyDescent="0.2"/>
    <row r="11278" ht="9.9499999999999993" hidden="1" customHeight="1" x14ac:dyDescent="0.2"/>
    <row r="11279" ht="9.9499999999999993" hidden="1" customHeight="1" x14ac:dyDescent="0.2"/>
    <row r="11280" ht="9.9499999999999993" hidden="1" customHeight="1" x14ac:dyDescent="0.2"/>
    <row r="11281" ht="9.9499999999999993" hidden="1" customHeight="1" x14ac:dyDescent="0.2"/>
    <row r="11282" ht="9.9499999999999993" hidden="1" customHeight="1" x14ac:dyDescent="0.2"/>
    <row r="11283" ht="9.9499999999999993" hidden="1" customHeight="1" x14ac:dyDescent="0.2"/>
    <row r="11284" ht="9.9499999999999993" hidden="1" customHeight="1" x14ac:dyDescent="0.2"/>
    <row r="11285" ht="9.9499999999999993" hidden="1" customHeight="1" x14ac:dyDescent="0.2"/>
    <row r="11286" ht="9.9499999999999993" hidden="1" customHeight="1" x14ac:dyDescent="0.2"/>
    <row r="11287" ht="9.9499999999999993" hidden="1" customHeight="1" x14ac:dyDescent="0.2"/>
    <row r="11288" ht="9.9499999999999993" hidden="1" customHeight="1" x14ac:dyDescent="0.2"/>
    <row r="11289" ht="9.9499999999999993" hidden="1" customHeight="1" x14ac:dyDescent="0.2"/>
    <row r="11290" ht="9.9499999999999993" hidden="1" customHeight="1" x14ac:dyDescent="0.2"/>
    <row r="11291" ht="9.9499999999999993" hidden="1" customHeight="1" x14ac:dyDescent="0.2"/>
    <row r="11292" ht="9.9499999999999993" hidden="1" customHeight="1" x14ac:dyDescent="0.2"/>
    <row r="11293" ht="9.9499999999999993" hidden="1" customHeight="1" x14ac:dyDescent="0.2"/>
    <row r="11294" ht="9.9499999999999993" hidden="1" customHeight="1" x14ac:dyDescent="0.2"/>
    <row r="11295" ht="9.9499999999999993" hidden="1" customHeight="1" x14ac:dyDescent="0.2"/>
    <row r="11296" ht="9.9499999999999993" hidden="1" customHeight="1" x14ac:dyDescent="0.2"/>
    <row r="11297" ht="9.9499999999999993" hidden="1" customHeight="1" x14ac:dyDescent="0.2"/>
    <row r="11298" ht="9.9499999999999993" hidden="1" customHeight="1" x14ac:dyDescent="0.2"/>
    <row r="11299" ht="9.9499999999999993" hidden="1" customHeight="1" x14ac:dyDescent="0.2"/>
    <row r="11300" ht="9.9499999999999993" hidden="1" customHeight="1" x14ac:dyDescent="0.2"/>
    <row r="11301" ht="9.9499999999999993" hidden="1" customHeight="1" x14ac:dyDescent="0.2"/>
    <row r="11302" ht="9.9499999999999993" hidden="1" customHeight="1" x14ac:dyDescent="0.2"/>
    <row r="11303" ht="9.9499999999999993" hidden="1" customHeight="1" x14ac:dyDescent="0.2"/>
    <row r="11304" ht="9.9499999999999993" hidden="1" customHeight="1" x14ac:dyDescent="0.2"/>
    <row r="11305" ht="9.9499999999999993" hidden="1" customHeight="1" x14ac:dyDescent="0.2"/>
    <row r="11306" ht="9.9499999999999993" hidden="1" customHeight="1" x14ac:dyDescent="0.2"/>
    <row r="11307" ht="9.9499999999999993" hidden="1" customHeight="1" x14ac:dyDescent="0.2"/>
    <row r="11308" ht="9.9499999999999993" hidden="1" customHeight="1" x14ac:dyDescent="0.2"/>
    <row r="11309" ht="9.9499999999999993" hidden="1" customHeight="1" x14ac:dyDescent="0.2"/>
    <row r="11310" ht="9.9499999999999993" hidden="1" customHeight="1" x14ac:dyDescent="0.2"/>
    <row r="11311" ht="9.9499999999999993" hidden="1" customHeight="1" x14ac:dyDescent="0.2"/>
    <row r="11312" ht="9.9499999999999993" hidden="1" customHeight="1" x14ac:dyDescent="0.2"/>
    <row r="11313" ht="9.9499999999999993" hidden="1" customHeight="1" x14ac:dyDescent="0.2"/>
    <row r="11314" ht="9.9499999999999993" hidden="1" customHeight="1" x14ac:dyDescent="0.2"/>
    <row r="11315" ht="9.9499999999999993" hidden="1" customHeight="1" x14ac:dyDescent="0.2"/>
    <row r="11316" ht="9.9499999999999993" hidden="1" customHeight="1" x14ac:dyDescent="0.2"/>
    <row r="11317" ht="9.9499999999999993" hidden="1" customHeight="1" x14ac:dyDescent="0.2"/>
    <row r="11318" ht="9.9499999999999993" hidden="1" customHeight="1" x14ac:dyDescent="0.2"/>
    <row r="11319" ht="9.9499999999999993" hidden="1" customHeight="1" x14ac:dyDescent="0.2"/>
    <row r="11320" ht="9.9499999999999993" hidden="1" customHeight="1" x14ac:dyDescent="0.2"/>
    <row r="11321" ht="9.9499999999999993" hidden="1" customHeight="1" x14ac:dyDescent="0.2"/>
    <row r="11322" ht="9.9499999999999993" hidden="1" customHeight="1" x14ac:dyDescent="0.2"/>
    <row r="11323" ht="9.9499999999999993" hidden="1" customHeight="1" x14ac:dyDescent="0.2"/>
    <row r="11324" ht="9.9499999999999993" hidden="1" customHeight="1" x14ac:dyDescent="0.2"/>
    <row r="11325" ht="9.9499999999999993" hidden="1" customHeight="1" x14ac:dyDescent="0.2"/>
    <row r="11326" ht="9.9499999999999993" hidden="1" customHeight="1" x14ac:dyDescent="0.2"/>
    <row r="11327" ht="9.9499999999999993" hidden="1" customHeight="1" x14ac:dyDescent="0.2"/>
    <row r="11328" ht="9.9499999999999993" hidden="1" customHeight="1" x14ac:dyDescent="0.2"/>
    <row r="11329" ht="9.9499999999999993" hidden="1" customHeight="1" x14ac:dyDescent="0.2"/>
    <row r="11330" ht="9.9499999999999993" hidden="1" customHeight="1" x14ac:dyDescent="0.2"/>
    <row r="11331" ht="9.9499999999999993" hidden="1" customHeight="1" x14ac:dyDescent="0.2"/>
    <row r="11332" ht="9.9499999999999993" hidden="1" customHeight="1" x14ac:dyDescent="0.2"/>
    <row r="11333" ht="9.9499999999999993" hidden="1" customHeight="1" x14ac:dyDescent="0.2"/>
    <row r="11334" ht="9.9499999999999993" hidden="1" customHeight="1" x14ac:dyDescent="0.2"/>
    <row r="11335" ht="9.9499999999999993" hidden="1" customHeight="1" x14ac:dyDescent="0.2"/>
    <row r="11336" ht="9.9499999999999993" hidden="1" customHeight="1" x14ac:dyDescent="0.2"/>
    <row r="11337" ht="9.9499999999999993" hidden="1" customHeight="1" x14ac:dyDescent="0.2"/>
    <row r="11338" ht="9.9499999999999993" hidden="1" customHeight="1" x14ac:dyDescent="0.2"/>
    <row r="11339" ht="9.9499999999999993" hidden="1" customHeight="1" x14ac:dyDescent="0.2"/>
    <row r="11340" ht="9.9499999999999993" hidden="1" customHeight="1" x14ac:dyDescent="0.2"/>
    <row r="11341" ht="9.9499999999999993" hidden="1" customHeight="1" x14ac:dyDescent="0.2"/>
    <row r="11342" ht="9.9499999999999993" hidden="1" customHeight="1" x14ac:dyDescent="0.2"/>
    <row r="11343" ht="9.9499999999999993" hidden="1" customHeight="1" x14ac:dyDescent="0.2"/>
    <row r="11344" ht="9.9499999999999993" hidden="1" customHeight="1" x14ac:dyDescent="0.2"/>
    <row r="11345" ht="9.9499999999999993" hidden="1" customHeight="1" x14ac:dyDescent="0.2"/>
    <row r="11346" ht="9.9499999999999993" hidden="1" customHeight="1" x14ac:dyDescent="0.2"/>
    <row r="11347" ht="9.9499999999999993" hidden="1" customHeight="1" x14ac:dyDescent="0.2"/>
    <row r="11348" ht="9.9499999999999993" hidden="1" customHeight="1" x14ac:dyDescent="0.2"/>
    <row r="11349" ht="9.9499999999999993" hidden="1" customHeight="1" x14ac:dyDescent="0.2"/>
    <row r="11350" ht="9.9499999999999993" hidden="1" customHeight="1" x14ac:dyDescent="0.2"/>
    <row r="11351" ht="9.9499999999999993" hidden="1" customHeight="1" x14ac:dyDescent="0.2"/>
    <row r="11352" ht="9.9499999999999993" hidden="1" customHeight="1" x14ac:dyDescent="0.2"/>
    <row r="11353" ht="9.9499999999999993" hidden="1" customHeight="1" x14ac:dyDescent="0.2"/>
    <row r="11354" ht="9.9499999999999993" hidden="1" customHeight="1" x14ac:dyDescent="0.2"/>
    <row r="11355" ht="9.9499999999999993" hidden="1" customHeight="1" x14ac:dyDescent="0.2"/>
    <row r="11356" ht="9.9499999999999993" hidden="1" customHeight="1" x14ac:dyDescent="0.2"/>
    <row r="11357" ht="9.9499999999999993" hidden="1" customHeight="1" x14ac:dyDescent="0.2"/>
    <row r="11358" ht="9.9499999999999993" hidden="1" customHeight="1" x14ac:dyDescent="0.2"/>
    <row r="11359" ht="9.9499999999999993" hidden="1" customHeight="1" x14ac:dyDescent="0.2"/>
    <row r="11360" ht="9.9499999999999993" hidden="1" customHeight="1" x14ac:dyDescent="0.2"/>
    <row r="11361" ht="9.9499999999999993" hidden="1" customHeight="1" x14ac:dyDescent="0.2"/>
    <row r="11362" ht="9.9499999999999993" hidden="1" customHeight="1" x14ac:dyDescent="0.2"/>
    <row r="11363" ht="9.9499999999999993" hidden="1" customHeight="1" x14ac:dyDescent="0.2"/>
    <row r="11364" ht="9.9499999999999993" hidden="1" customHeight="1" x14ac:dyDescent="0.2"/>
    <row r="11365" ht="9.9499999999999993" hidden="1" customHeight="1" x14ac:dyDescent="0.2"/>
    <row r="11366" ht="9.9499999999999993" hidden="1" customHeight="1" x14ac:dyDescent="0.2"/>
    <row r="11367" ht="9.9499999999999993" hidden="1" customHeight="1" x14ac:dyDescent="0.2"/>
    <row r="11368" ht="9.9499999999999993" hidden="1" customHeight="1" x14ac:dyDescent="0.2"/>
    <row r="11369" ht="9.9499999999999993" hidden="1" customHeight="1" x14ac:dyDescent="0.2"/>
    <row r="11370" ht="9.9499999999999993" hidden="1" customHeight="1" x14ac:dyDescent="0.2"/>
    <row r="11371" ht="9.9499999999999993" hidden="1" customHeight="1" x14ac:dyDescent="0.2"/>
    <row r="11372" ht="9.9499999999999993" hidden="1" customHeight="1" x14ac:dyDescent="0.2"/>
    <row r="11373" ht="9.9499999999999993" hidden="1" customHeight="1" x14ac:dyDescent="0.2"/>
    <row r="11374" ht="9.9499999999999993" hidden="1" customHeight="1" x14ac:dyDescent="0.2"/>
    <row r="11375" ht="9.9499999999999993" hidden="1" customHeight="1" x14ac:dyDescent="0.2"/>
    <row r="11376" ht="9.9499999999999993" hidden="1" customHeight="1" x14ac:dyDescent="0.2"/>
    <row r="11377" ht="9.9499999999999993" hidden="1" customHeight="1" x14ac:dyDescent="0.2"/>
    <row r="11378" ht="9.9499999999999993" hidden="1" customHeight="1" x14ac:dyDescent="0.2"/>
    <row r="11379" ht="9.9499999999999993" hidden="1" customHeight="1" x14ac:dyDescent="0.2"/>
    <row r="11380" ht="9.9499999999999993" hidden="1" customHeight="1" x14ac:dyDescent="0.2"/>
    <row r="11381" ht="9.9499999999999993" hidden="1" customHeight="1" x14ac:dyDescent="0.2"/>
    <row r="11382" ht="9.9499999999999993" hidden="1" customHeight="1" x14ac:dyDescent="0.2"/>
    <row r="11383" ht="9.9499999999999993" hidden="1" customHeight="1" x14ac:dyDescent="0.2"/>
    <row r="11384" ht="9.9499999999999993" hidden="1" customHeight="1" x14ac:dyDescent="0.2"/>
    <row r="11385" ht="9.9499999999999993" hidden="1" customHeight="1" x14ac:dyDescent="0.2"/>
    <row r="11386" ht="9.9499999999999993" hidden="1" customHeight="1" x14ac:dyDescent="0.2"/>
    <row r="11387" ht="9.9499999999999993" hidden="1" customHeight="1" x14ac:dyDescent="0.2"/>
    <row r="11388" ht="9.9499999999999993" hidden="1" customHeight="1" x14ac:dyDescent="0.2"/>
    <row r="11389" ht="9.9499999999999993" hidden="1" customHeight="1" x14ac:dyDescent="0.2"/>
    <row r="11390" ht="9.9499999999999993" hidden="1" customHeight="1" x14ac:dyDescent="0.2"/>
    <row r="11391" ht="9.9499999999999993" hidden="1" customHeight="1" x14ac:dyDescent="0.2"/>
    <row r="11392" ht="9.9499999999999993" hidden="1" customHeight="1" x14ac:dyDescent="0.2"/>
    <row r="11393" ht="9.9499999999999993" hidden="1" customHeight="1" x14ac:dyDescent="0.2"/>
    <row r="11394" ht="9.9499999999999993" hidden="1" customHeight="1" x14ac:dyDescent="0.2"/>
    <row r="11395" ht="9.9499999999999993" hidden="1" customHeight="1" x14ac:dyDescent="0.2"/>
    <row r="11396" ht="9.9499999999999993" hidden="1" customHeight="1" x14ac:dyDescent="0.2"/>
    <row r="11397" ht="9.9499999999999993" hidden="1" customHeight="1" x14ac:dyDescent="0.2"/>
    <row r="11398" ht="9.9499999999999993" hidden="1" customHeight="1" x14ac:dyDescent="0.2"/>
    <row r="11399" ht="9.9499999999999993" hidden="1" customHeight="1" x14ac:dyDescent="0.2"/>
    <row r="11400" ht="9.9499999999999993" hidden="1" customHeight="1" x14ac:dyDescent="0.2"/>
    <row r="11401" ht="9.9499999999999993" hidden="1" customHeight="1" x14ac:dyDescent="0.2"/>
    <row r="11402" ht="9.9499999999999993" hidden="1" customHeight="1" x14ac:dyDescent="0.2"/>
    <row r="11403" ht="9.9499999999999993" hidden="1" customHeight="1" x14ac:dyDescent="0.2"/>
    <row r="11404" ht="9.9499999999999993" hidden="1" customHeight="1" x14ac:dyDescent="0.2"/>
    <row r="11405" ht="9.9499999999999993" hidden="1" customHeight="1" x14ac:dyDescent="0.2"/>
    <row r="11406" ht="9.9499999999999993" hidden="1" customHeight="1" x14ac:dyDescent="0.2"/>
    <row r="11407" ht="9.9499999999999993" hidden="1" customHeight="1" x14ac:dyDescent="0.2"/>
    <row r="11408" ht="9.9499999999999993" hidden="1" customHeight="1" x14ac:dyDescent="0.2"/>
    <row r="11409" ht="9.9499999999999993" hidden="1" customHeight="1" x14ac:dyDescent="0.2"/>
    <row r="11410" ht="9.9499999999999993" hidden="1" customHeight="1" x14ac:dyDescent="0.2"/>
    <row r="11411" ht="9.9499999999999993" hidden="1" customHeight="1" x14ac:dyDescent="0.2"/>
    <row r="11412" ht="9.9499999999999993" hidden="1" customHeight="1" x14ac:dyDescent="0.2"/>
    <row r="11413" ht="9.9499999999999993" hidden="1" customHeight="1" x14ac:dyDescent="0.2"/>
    <row r="11414" ht="9.9499999999999993" hidden="1" customHeight="1" x14ac:dyDescent="0.2"/>
    <row r="11415" ht="9.9499999999999993" hidden="1" customHeight="1" x14ac:dyDescent="0.2"/>
    <row r="11416" ht="9.9499999999999993" hidden="1" customHeight="1" x14ac:dyDescent="0.2"/>
    <row r="11417" ht="9.9499999999999993" hidden="1" customHeight="1" x14ac:dyDescent="0.2"/>
    <row r="11418" ht="9.9499999999999993" hidden="1" customHeight="1" x14ac:dyDescent="0.2"/>
    <row r="11419" ht="9.9499999999999993" hidden="1" customHeight="1" x14ac:dyDescent="0.2"/>
    <row r="11420" ht="9.9499999999999993" hidden="1" customHeight="1" x14ac:dyDescent="0.2"/>
    <row r="11421" ht="9.9499999999999993" hidden="1" customHeight="1" x14ac:dyDescent="0.2"/>
    <row r="11422" ht="9.9499999999999993" hidden="1" customHeight="1" x14ac:dyDescent="0.2"/>
    <row r="11423" ht="9.9499999999999993" hidden="1" customHeight="1" x14ac:dyDescent="0.2"/>
    <row r="11424" ht="9.9499999999999993" hidden="1" customHeight="1" x14ac:dyDescent="0.2"/>
    <row r="11425" ht="9.9499999999999993" hidden="1" customHeight="1" x14ac:dyDescent="0.2"/>
    <row r="11426" ht="9.9499999999999993" hidden="1" customHeight="1" x14ac:dyDescent="0.2"/>
    <row r="11427" ht="9.9499999999999993" hidden="1" customHeight="1" x14ac:dyDescent="0.2"/>
    <row r="11428" ht="9.9499999999999993" hidden="1" customHeight="1" x14ac:dyDescent="0.2"/>
    <row r="11429" ht="9.9499999999999993" hidden="1" customHeight="1" x14ac:dyDescent="0.2"/>
    <row r="11430" ht="9.9499999999999993" hidden="1" customHeight="1" x14ac:dyDescent="0.2"/>
    <row r="11431" ht="9.9499999999999993" hidden="1" customHeight="1" x14ac:dyDescent="0.2"/>
    <row r="11432" ht="9.9499999999999993" hidden="1" customHeight="1" x14ac:dyDescent="0.2"/>
    <row r="11433" ht="9.9499999999999993" hidden="1" customHeight="1" x14ac:dyDescent="0.2"/>
    <row r="11434" ht="9.9499999999999993" hidden="1" customHeight="1" x14ac:dyDescent="0.2"/>
    <row r="11435" ht="9.9499999999999993" hidden="1" customHeight="1" x14ac:dyDescent="0.2"/>
    <row r="11436" ht="9.9499999999999993" hidden="1" customHeight="1" x14ac:dyDescent="0.2"/>
    <row r="11437" ht="9.9499999999999993" hidden="1" customHeight="1" x14ac:dyDescent="0.2"/>
    <row r="11438" ht="9.9499999999999993" hidden="1" customHeight="1" x14ac:dyDescent="0.2"/>
    <row r="11439" ht="9.9499999999999993" hidden="1" customHeight="1" x14ac:dyDescent="0.2"/>
    <row r="11440" ht="9.9499999999999993" hidden="1" customHeight="1" x14ac:dyDescent="0.2"/>
    <row r="11441" ht="9.9499999999999993" hidden="1" customHeight="1" x14ac:dyDescent="0.2"/>
    <row r="11442" ht="9.9499999999999993" hidden="1" customHeight="1" x14ac:dyDescent="0.2"/>
    <row r="11443" ht="9.9499999999999993" hidden="1" customHeight="1" x14ac:dyDescent="0.2"/>
    <row r="11444" ht="9.9499999999999993" hidden="1" customHeight="1" x14ac:dyDescent="0.2"/>
    <row r="11445" ht="9.9499999999999993" hidden="1" customHeight="1" x14ac:dyDescent="0.2"/>
    <row r="11446" ht="9.9499999999999993" hidden="1" customHeight="1" x14ac:dyDescent="0.2"/>
    <row r="11447" ht="9.9499999999999993" hidden="1" customHeight="1" x14ac:dyDescent="0.2"/>
    <row r="11448" ht="9.9499999999999993" hidden="1" customHeight="1" x14ac:dyDescent="0.2"/>
    <row r="11449" ht="9.9499999999999993" hidden="1" customHeight="1" x14ac:dyDescent="0.2"/>
    <row r="11450" ht="9.9499999999999993" hidden="1" customHeight="1" x14ac:dyDescent="0.2"/>
    <row r="11451" ht="9.9499999999999993" hidden="1" customHeight="1" x14ac:dyDescent="0.2"/>
    <row r="11452" ht="9.9499999999999993" hidden="1" customHeight="1" x14ac:dyDescent="0.2"/>
    <row r="11453" ht="9.9499999999999993" hidden="1" customHeight="1" x14ac:dyDescent="0.2"/>
    <row r="11454" ht="9.9499999999999993" hidden="1" customHeight="1" x14ac:dyDescent="0.2"/>
    <row r="11455" ht="9.9499999999999993" hidden="1" customHeight="1" x14ac:dyDescent="0.2"/>
    <row r="11456" ht="9.9499999999999993" hidden="1" customHeight="1" x14ac:dyDescent="0.2"/>
    <row r="11457" ht="9.9499999999999993" hidden="1" customHeight="1" x14ac:dyDescent="0.2"/>
    <row r="11458" ht="9.9499999999999993" hidden="1" customHeight="1" x14ac:dyDescent="0.2"/>
    <row r="11459" ht="9.9499999999999993" hidden="1" customHeight="1" x14ac:dyDescent="0.2"/>
    <row r="11460" ht="9.9499999999999993" hidden="1" customHeight="1" x14ac:dyDescent="0.2"/>
    <row r="11461" ht="9.9499999999999993" hidden="1" customHeight="1" x14ac:dyDescent="0.2"/>
    <row r="11462" ht="9.9499999999999993" hidden="1" customHeight="1" x14ac:dyDescent="0.2"/>
    <row r="11463" ht="9.9499999999999993" hidden="1" customHeight="1" x14ac:dyDescent="0.2"/>
    <row r="11464" ht="9.9499999999999993" hidden="1" customHeight="1" x14ac:dyDescent="0.2"/>
    <row r="11465" ht="9.9499999999999993" hidden="1" customHeight="1" x14ac:dyDescent="0.2"/>
    <row r="11466" ht="9.9499999999999993" hidden="1" customHeight="1" x14ac:dyDescent="0.2"/>
    <row r="11467" ht="9.9499999999999993" hidden="1" customHeight="1" x14ac:dyDescent="0.2"/>
    <row r="11468" ht="9.9499999999999993" hidden="1" customHeight="1" x14ac:dyDescent="0.2"/>
    <row r="11469" ht="9.9499999999999993" hidden="1" customHeight="1" x14ac:dyDescent="0.2"/>
    <row r="11470" ht="9.9499999999999993" hidden="1" customHeight="1" x14ac:dyDescent="0.2"/>
    <row r="11471" ht="9.9499999999999993" hidden="1" customHeight="1" x14ac:dyDescent="0.2"/>
    <row r="11472" ht="9.9499999999999993" hidden="1" customHeight="1" x14ac:dyDescent="0.2"/>
    <row r="11473" ht="9.9499999999999993" hidden="1" customHeight="1" x14ac:dyDescent="0.2"/>
    <row r="11474" ht="9.9499999999999993" hidden="1" customHeight="1" x14ac:dyDescent="0.2"/>
    <row r="11475" ht="9.9499999999999993" hidden="1" customHeight="1" x14ac:dyDescent="0.2"/>
    <row r="11476" ht="9.9499999999999993" hidden="1" customHeight="1" x14ac:dyDescent="0.2"/>
    <row r="11477" ht="9.9499999999999993" hidden="1" customHeight="1" x14ac:dyDescent="0.2"/>
    <row r="11478" ht="9.9499999999999993" hidden="1" customHeight="1" x14ac:dyDescent="0.2"/>
    <row r="11479" ht="9.9499999999999993" hidden="1" customHeight="1" x14ac:dyDescent="0.2"/>
    <row r="11480" ht="9.9499999999999993" hidden="1" customHeight="1" x14ac:dyDescent="0.2"/>
    <row r="11481" ht="9.9499999999999993" hidden="1" customHeight="1" x14ac:dyDescent="0.2"/>
    <row r="11482" ht="9.9499999999999993" hidden="1" customHeight="1" x14ac:dyDescent="0.2"/>
    <row r="11483" ht="9.9499999999999993" hidden="1" customHeight="1" x14ac:dyDescent="0.2"/>
    <row r="11484" ht="9.9499999999999993" hidden="1" customHeight="1" x14ac:dyDescent="0.2"/>
    <row r="11485" ht="9.9499999999999993" hidden="1" customHeight="1" x14ac:dyDescent="0.2"/>
    <row r="11486" ht="9.9499999999999993" hidden="1" customHeight="1" x14ac:dyDescent="0.2"/>
    <row r="11487" ht="9.9499999999999993" hidden="1" customHeight="1" x14ac:dyDescent="0.2"/>
    <row r="11488" ht="9.9499999999999993" hidden="1" customHeight="1" x14ac:dyDescent="0.2"/>
    <row r="11489" ht="9.9499999999999993" hidden="1" customHeight="1" x14ac:dyDescent="0.2"/>
    <row r="11490" ht="9.9499999999999993" hidden="1" customHeight="1" x14ac:dyDescent="0.2"/>
    <row r="11491" ht="9.9499999999999993" hidden="1" customHeight="1" x14ac:dyDescent="0.2"/>
    <row r="11492" ht="9.9499999999999993" hidden="1" customHeight="1" x14ac:dyDescent="0.2"/>
    <row r="11493" ht="9.9499999999999993" hidden="1" customHeight="1" x14ac:dyDescent="0.2"/>
    <row r="11494" ht="9.9499999999999993" hidden="1" customHeight="1" x14ac:dyDescent="0.2"/>
    <row r="11495" ht="9.9499999999999993" hidden="1" customHeight="1" x14ac:dyDescent="0.2"/>
    <row r="11496" ht="9.9499999999999993" hidden="1" customHeight="1" x14ac:dyDescent="0.2"/>
    <row r="11497" ht="9.9499999999999993" hidden="1" customHeight="1" x14ac:dyDescent="0.2"/>
    <row r="11498" ht="9.9499999999999993" hidden="1" customHeight="1" x14ac:dyDescent="0.2"/>
    <row r="11499" ht="9.9499999999999993" hidden="1" customHeight="1" x14ac:dyDescent="0.2"/>
    <row r="11500" ht="9.9499999999999993" hidden="1" customHeight="1" x14ac:dyDescent="0.2"/>
    <row r="11501" ht="9.9499999999999993" hidden="1" customHeight="1" x14ac:dyDescent="0.2"/>
    <row r="11502" ht="9.9499999999999993" hidden="1" customHeight="1" x14ac:dyDescent="0.2"/>
    <row r="11503" ht="9.9499999999999993" hidden="1" customHeight="1" x14ac:dyDescent="0.2"/>
    <row r="11504" ht="9.9499999999999993" hidden="1" customHeight="1" x14ac:dyDescent="0.2"/>
    <row r="11505" ht="9.9499999999999993" hidden="1" customHeight="1" x14ac:dyDescent="0.2"/>
    <row r="11506" ht="9.9499999999999993" hidden="1" customHeight="1" x14ac:dyDescent="0.2"/>
    <row r="11507" ht="9.9499999999999993" hidden="1" customHeight="1" x14ac:dyDescent="0.2"/>
    <row r="11508" ht="9.9499999999999993" hidden="1" customHeight="1" x14ac:dyDescent="0.2"/>
    <row r="11509" ht="9.9499999999999993" hidden="1" customHeight="1" x14ac:dyDescent="0.2"/>
    <row r="11510" ht="9.9499999999999993" hidden="1" customHeight="1" x14ac:dyDescent="0.2"/>
    <row r="11511" ht="9.9499999999999993" hidden="1" customHeight="1" x14ac:dyDescent="0.2"/>
    <row r="11512" ht="9.9499999999999993" hidden="1" customHeight="1" x14ac:dyDescent="0.2"/>
    <row r="11513" ht="9.9499999999999993" hidden="1" customHeight="1" x14ac:dyDescent="0.2"/>
    <row r="11514" ht="9.9499999999999993" hidden="1" customHeight="1" x14ac:dyDescent="0.2"/>
    <row r="11515" ht="9.9499999999999993" hidden="1" customHeight="1" x14ac:dyDescent="0.2"/>
    <row r="11516" ht="9.9499999999999993" hidden="1" customHeight="1" x14ac:dyDescent="0.2"/>
    <row r="11517" ht="9.9499999999999993" hidden="1" customHeight="1" x14ac:dyDescent="0.2"/>
    <row r="11518" ht="9.9499999999999993" hidden="1" customHeight="1" x14ac:dyDescent="0.2"/>
    <row r="11519" ht="9.9499999999999993" hidden="1" customHeight="1" x14ac:dyDescent="0.2"/>
    <row r="11520" ht="9.9499999999999993" hidden="1" customHeight="1" x14ac:dyDescent="0.2"/>
    <row r="11521" ht="9.9499999999999993" hidden="1" customHeight="1" x14ac:dyDescent="0.2"/>
    <row r="11522" ht="9.9499999999999993" hidden="1" customHeight="1" x14ac:dyDescent="0.2"/>
    <row r="11523" ht="9.9499999999999993" hidden="1" customHeight="1" x14ac:dyDescent="0.2"/>
    <row r="11524" ht="9.9499999999999993" hidden="1" customHeight="1" x14ac:dyDescent="0.2"/>
    <row r="11525" ht="9.9499999999999993" hidden="1" customHeight="1" x14ac:dyDescent="0.2"/>
    <row r="11526" ht="9.9499999999999993" hidden="1" customHeight="1" x14ac:dyDescent="0.2"/>
    <row r="11527" ht="9.9499999999999993" hidden="1" customHeight="1" x14ac:dyDescent="0.2"/>
    <row r="11528" ht="9.9499999999999993" hidden="1" customHeight="1" x14ac:dyDescent="0.2"/>
    <row r="11529" ht="9.9499999999999993" hidden="1" customHeight="1" x14ac:dyDescent="0.2"/>
    <row r="11530" ht="9.9499999999999993" hidden="1" customHeight="1" x14ac:dyDescent="0.2"/>
    <row r="11531" ht="9.9499999999999993" hidden="1" customHeight="1" x14ac:dyDescent="0.2"/>
    <row r="11532" ht="9.9499999999999993" hidden="1" customHeight="1" x14ac:dyDescent="0.2"/>
    <row r="11533" ht="9.9499999999999993" hidden="1" customHeight="1" x14ac:dyDescent="0.2"/>
    <row r="11534" ht="9.9499999999999993" hidden="1" customHeight="1" x14ac:dyDescent="0.2"/>
    <row r="11535" ht="9.9499999999999993" hidden="1" customHeight="1" x14ac:dyDescent="0.2"/>
    <row r="11536" ht="9.9499999999999993" hidden="1" customHeight="1" x14ac:dyDescent="0.2"/>
    <row r="11537" ht="9.9499999999999993" hidden="1" customHeight="1" x14ac:dyDescent="0.2"/>
    <row r="11538" ht="9.9499999999999993" hidden="1" customHeight="1" x14ac:dyDescent="0.2"/>
    <row r="11539" ht="9.9499999999999993" hidden="1" customHeight="1" x14ac:dyDescent="0.2"/>
    <row r="11540" ht="9.9499999999999993" hidden="1" customHeight="1" x14ac:dyDescent="0.2"/>
    <row r="11541" ht="9.9499999999999993" hidden="1" customHeight="1" x14ac:dyDescent="0.2"/>
    <row r="11542" ht="9.9499999999999993" hidden="1" customHeight="1" x14ac:dyDescent="0.2"/>
    <row r="11543" ht="9.9499999999999993" hidden="1" customHeight="1" x14ac:dyDescent="0.2"/>
    <row r="11544" ht="9.9499999999999993" hidden="1" customHeight="1" x14ac:dyDescent="0.2"/>
    <row r="11545" ht="9.9499999999999993" hidden="1" customHeight="1" x14ac:dyDescent="0.2"/>
    <row r="11546" ht="9.9499999999999993" hidden="1" customHeight="1" x14ac:dyDescent="0.2"/>
    <row r="11547" ht="9.9499999999999993" hidden="1" customHeight="1" x14ac:dyDescent="0.2"/>
    <row r="11548" ht="9.9499999999999993" hidden="1" customHeight="1" x14ac:dyDescent="0.2"/>
    <row r="11549" ht="9.9499999999999993" hidden="1" customHeight="1" x14ac:dyDescent="0.2"/>
    <row r="11550" ht="9.9499999999999993" hidden="1" customHeight="1" x14ac:dyDescent="0.2"/>
    <row r="11551" ht="9.9499999999999993" hidden="1" customHeight="1" x14ac:dyDescent="0.2"/>
    <row r="11552" ht="9.9499999999999993" hidden="1" customHeight="1" x14ac:dyDescent="0.2"/>
    <row r="11553" ht="9.9499999999999993" hidden="1" customHeight="1" x14ac:dyDescent="0.2"/>
    <row r="11554" ht="9.9499999999999993" hidden="1" customHeight="1" x14ac:dyDescent="0.2"/>
    <row r="11555" ht="9.9499999999999993" hidden="1" customHeight="1" x14ac:dyDescent="0.2"/>
    <row r="11556" ht="9.9499999999999993" hidden="1" customHeight="1" x14ac:dyDescent="0.2"/>
    <row r="11557" ht="9.9499999999999993" hidden="1" customHeight="1" x14ac:dyDescent="0.2"/>
    <row r="11558" ht="9.9499999999999993" hidden="1" customHeight="1" x14ac:dyDescent="0.2"/>
    <row r="11559" ht="9.9499999999999993" hidden="1" customHeight="1" x14ac:dyDescent="0.2"/>
    <row r="11560" ht="9.9499999999999993" hidden="1" customHeight="1" x14ac:dyDescent="0.2"/>
    <row r="11561" ht="9.9499999999999993" hidden="1" customHeight="1" x14ac:dyDescent="0.2"/>
    <row r="11562" ht="9.9499999999999993" hidden="1" customHeight="1" x14ac:dyDescent="0.2"/>
    <row r="11563" ht="9.9499999999999993" hidden="1" customHeight="1" x14ac:dyDescent="0.2"/>
    <row r="11564" ht="9.9499999999999993" hidden="1" customHeight="1" x14ac:dyDescent="0.2"/>
    <row r="11565" ht="9.9499999999999993" hidden="1" customHeight="1" x14ac:dyDescent="0.2"/>
    <row r="11566" ht="9.9499999999999993" hidden="1" customHeight="1" x14ac:dyDescent="0.2"/>
    <row r="11567" ht="9.9499999999999993" hidden="1" customHeight="1" x14ac:dyDescent="0.2"/>
    <row r="11568" ht="9.9499999999999993" hidden="1" customHeight="1" x14ac:dyDescent="0.2"/>
    <row r="11569" ht="9.9499999999999993" hidden="1" customHeight="1" x14ac:dyDescent="0.2"/>
    <row r="11570" ht="9.9499999999999993" hidden="1" customHeight="1" x14ac:dyDescent="0.2"/>
    <row r="11571" ht="9.9499999999999993" hidden="1" customHeight="1" x14ac:dyDescent="0.2"/>
    <row r="11572" ht="9.9499999999999993" hidden="1" customHeight="1" x14ac:dyDescent="0.2"/>
    <row r="11573" ht="9.9499999999999993" hidden="1" customHeight="1" x14ac:dyDescent="0.2"/>
    <row r="11574" ht="9.9499999999999993" hidden="1" customHeight="1" x14ac:dyDescent="0.2"/>
    <row r="11575" ht="9.9499999999999993" hidden="1" customHeight="1" x14ac:dyDescent="0.2"/>
    <row r="11576" ht="9.9499999999999993" hidden="1" customHeight="1" x14ac:dyDescent="0.2"/>
    <row r="11577" ht="9.9499999999999993" hidden="1" customHeight="1" x14ac:dyDescent="0.2"/>
    <row r="11578" ht="9.9499999999999993" hidden="1" customHeight="1" x14ac:dyDescent="0.2"/>
    <row r="11579" ht="9.9499999999999993" hidden="1" customHeight="1" x14ac:dyDescent="0.2"/>
    <row r="11580" ht="9.9499999999999993" hidden="1" customHeight="1" x14ac:dyDescent="0.2"/>
    <row r="11581" ht="9.9499999999999993" hidden="1" customHeight="1" x14ac:dyDescent="0.2"/>
    <row r="11582" ht="9.9499999999999993" hidden="1" customHeight="1" x14ac:dyDescent="0.2"/>
    <row r="11583" ht="9.9499999999999993" hidden="1" customHeight="1" x14ac:dyDescent="0.2"/>
    <row r="11584" ht="9.9499999999999993" hidden="1" customHeight="1" x14ac:dyDescent="0.2"/>
    <row r="11585" ht="9.9499999999999993" hidden="1" customHeight="1" x14ac:dyDescent="0.2"/>
    <row r="11586" ht="9.9499999999999993" hidden="1" customHeight="1" x14ac:dyDescent="0.2"/>
    <row r="11587" ht="9.9499999999999993" hidden="1" customHeight="1" x14ac:dyDescent="0.2"/>
    <row r="11588" ht="9.9499999999999993" hidden="1" customHeight="1" x14ac:dyDescent="0.2"/>
    <row r="11589" ht="9.9499999999999993" hidden="1" customHeight="1" x14ac:dyDescent="0.2"/>
    <row r="11590" ht="9.9499999999999993" hidden="1" customHeight="1" x14ac:dyDescent="0.2"/>
    <row r="11591" ht="9.9499999999999993" hidden="1" customHeight="1" x14ac:dyDescent="0.2"/>
    <row r="11592" ht="9.9499999999999993" hidden="1" customHeight="1" x14ac:dyDescent="0.2"/>
    <row r="11593" ht="9.9499999999999993" hidden="1" customHeight="1" x14ac:dyDescent="0.2"/>
    <row r="11594" ht="9.9499999999999993" hidden="1" customHeight="1" x14ac:dyDescent="0.2"/>
    <row r="11595" ht="9.9499999999999993" hidden="1" customHeight="1" x14ac:dyDescent="0.2"/>
    <row r="11596" ht="9.9499999999999993" hidden="1" customHeight="1" x14ac:dyDescent="0.2"/>
    <row r="11597" ht="9.9499999999999993" hidden="1" customHeight="1" x14ac:dyDescent="0.2"/>
    <row r="11598" ht="9.9499999999999993" hidden="1" customHeight="1" x14ac:dyDescent="0.2"/>
    <row r="11599" ht="9.9499999999999993" hidden="1" customHeight="1" x14ac:dyDescent="0.2"/>
    <row r="11600" ht="9.9499999999999993" hidden="1" customHeight="1" x14ac:dyDescent="0.2"/>
    <row r="11601" ht="9.9499999999999993" hidden="1" customHeight="1" x14ac:dyDescent="0.2"/>
    <row r="11602" ht="9.9499999999999993" hidden="1" customHeight="1" x14ac:dyDescent="0.2"/>
    <row r="11603" ht="9.9499999999999993" hidden="1" customHeight="1" x14ac:dyDescent="0.2"/>
    <row r="11604" ht="9.9499999999999993" hidden="1" customHeight="1" x14ac:dyDescent="0.2"/>
    <row r="11605" ht="9.9499999999999993" hidden="1" customHeight="1" x14ac:dyDescent="0.2"/>
    <row r="11606" ht="9.9499999999999993" hidden="1" customHeight="1" x14ac:dyDescent="0.2"/>
    <row r="11607" ht="9.9499999999999993" hidden="1" customHeight="1" x14ac:dyDescent="0.2"/>
    <row r="11608" ht="9.9499999999999993" hidden="1" customHeight="1" x14ac:dyDescent="0.2"/>
    <row r="11609" ht="9.9499999999999993" hidden="1" customHeight="1" x14ac:dyDescent="0.2"/>
    <row r="11610" ht="9.9499999999999993" hidden="1" customHeight="1" x14ac:dyDescent="0.2"/>
    <row r="11611" ht="9.9499999999999993" hidden="1" customHeight="1" x14ac:dyDescent="0.2"/>
    <row r="11612" ht="9.9499999999999993" hidden="1" customHeight="1" x14ac:dyDescent="0.2"/>
    <row r="11613" ht="9.9499999999999993" hidden="1" customHeight="1" x14ac:dyDescent="0.2"/>
    <row r="11614" ht="9.9499999999999993" hidden="1" customHeight="1" x14ac:dyDescent="0.2"/>
    <row r="11615" ht="9.9499999999999993" hidden="1" customHeight="1" x14ac:dyDescent="0.2"/>
    <row r="11616" ht="9.9499999999999993" hidden="1" customHeight="1" x14ac:dyDescent="0.2"/>
    <row r="11617" ht="9.9499999999999993" hidden="1" customHeight="1" x14ac:dyDescent="0.2"/>
    <row r="11618" ht="9.9499999999999993" hidden="1" customHeight="1" x14ac:dyDescent="0.2"/>
    <row r="11619" ht="9.9499999999999993" hidden="1" customHeight="1" x14ac:dyDescent="0.2"/>
    <row r="11620" ht="9.9499999999999993" hidden="1" customHeight="1" x14ac:dyDescent="0.2"/>
    <row r="11621" ht="9.9499999999999993" hidden="1" customHeight="1" x14ac:dyDescent="0.2"/>
    <row r="11622" ht="9.9499999999999993" hidden="1" customHeight="1" x14ac:dyDescent="0.2"/>
    <row r="11623" ht="9.9499999999999993" hidden="1" customHeight="1" x14ac:dyDescent="0.2"/>
    <row r="11624" ht="9.9499999999999993" hidden="1" customHeight="1" x14ac:dyDescent="0.2"/>
    <row r="11625" ht="9.9499999999999993" hidden="1" customHeight="1" x14ac:dyDescent="0.2"/>
    <row r="11626" ht="9.9499999999999993" hidden="1" customHeight="1" x14ac:dyDescent="0.2"/>
    <row r="11627" ht="9.9499999999999993" hidden="1" customHeight="1" x14ac:dyDescent="0.2"/>
    <row r="11628" ht="9.9499999999999993" hidden="1" customHeight="1" x14ac:dyDescent="0.2"/>
    <row r="11629" ht="9.9499999999999993" hidden="1" customHeight="1" x14ac:dyDescent="0.2"/>
    <row r="11630" ht="9.9499999999999993" hidden="1" customHeight="1" x14ac:dyDescent="0.2"/>
    <row r="11631" ht="9.9499999999999993" hidden="1" customHeight="1" x14ac:dyDescent="0.2"/>
    <row r="11632" ht="9.9499999999999993" hidden="1" customHeight="1" x14ac:dyDescent="0.2"/>
    <row r="11633" ht="9.9499999999999993" hidden="1" customHeight="1" x14ac:dyDescent="0.2"/>
    <row r="11634" ht="9.9499999999999993" hidden="1" customHeight="1" x14ac:dyDescent="0.2"/>
    <row r="11635" ht="9.9499999999999993" hidden="1" customHeight="1" x14ac:dyDescent="0.2"/>
    <row r="11636" ht="9.9499999999999993" hidden="1" customHeight="1" x14ac:dyDescent="0.2"/>
    <row r="11637" ht="9.9499999999999993" hidden="1" customHeight="1" x14ac:dyDescent="0.2"/>
    <row r="11638" ht="9.9499999999999993" hidden="1" customHeight="1" x14ac:dyDescent="0.2"/>
    <row r="11639" ht="9.9499999999999993" hidden="1" customHeight="1" x14ac:dyDescent="0.2"/>
    <row r="11640" ht="9.9499999999999993" hidden="1" customHeight="1" x14ac:dyDescent="0.2"/>
    <row r="11641" ht="9.9499999999999993" hidden="1" customHeight="1" x14ac:dyDescent="0.2"/>
    <row r="11642" ht="9.9499999999999993" hidden="1" customHeight="1" x14ac:dyDescent="0.2"/>
    <row r="11643" ht="9.9499999999999993" hidden="1" customHeight="1" x14ac:dyDescent="0.2"/>
    <row r="11644" ht="9.9499999999999993" hidden="1" customHeight="1" x14ac:dyDescent="0.2"/>
    <row r="11645" ht="9.9499999999999993" hidden="1" customHeight="1" x14ac:dyDescent="0.2"/>
    <row r="11646" ht="9.9499999999999993" hidden="1" customHeight="1" x14ac:dyDescent="0.2"/>
    <row r="11647" ht="9.9499999999999993" hidden="1" customHeight="1" x14ac:dyDescent="0.2"/>
    <row r="11648" ht="9.9499999999999993" hidden="1" customHeight="1" x14ac:dyDescent="0.2"/>
    <row r="11649" ht="9.9499999999999993" hidden="1" customHeight="1" x14ac:dyDescent="0.2"/>
    <row r="11650" ht="9.9499999999999993" hidden="1" customHeight="1" x14ac:dyDescent="0.2"/>
    <row r="11651" ht="9.9499999999999993" hidden="1" customHeight="1" x14ac:dyDescent="0.2"/>
    <row r="11652" ht="9.9499999999999993" hidden="1" customHeight="1" x14ac:dyDescent="0.2"/>
    <row r="11653" ht="9.9499999999999993" hidden="1" customHeight="1" x14ac:dyDescent="0.2"/>
    <row r="11654" ht="9.9499999999999993" hidden="1" customHeight="1" x14ac:dyDescent="0.2"/>
    <row r="11655" ht="9.9499999999999993" hidden="1" customHeight="1" x14ac:dyDescent="0.2"/>
    <row r="11656" ht="9.9499999999999993" hidden="1" customHeight="1" x14ac:dyDescent="0.2"/>
    <row r="11657" ht="9.9499999999999993" hidden="1" customHeight="1" x14ac:dyDescent="0.2"/>
    <row r="11658" ht="9.9499999999999993" hidden="1" customHeight="1" x14ac:dyDescent="0.2"/>
    <row r="11659" ht="9.9499999999999993" hidden="1" customHeight="1" x14ac:dyDescent="0.2"/>
    <row r="11660" ht="9.9499999999999993" hidden="1" customHeight="1" x14ac:dyDescent="0.2"/>
    <row r="11661" ht="9.9499999999999993" hidden="1" customHeight="1" x14ac:dyDescent="0.2"/>
    <row r="11662" ht="9.9499999999999993" hidden="1" customHeight="1" x14ac:dyDescent="0.2"/>
    <row r="11663" ht="9.9499999999999993" hidden="1" customHeight="1" x14ac:dyDescent="0.2"/>
    <row r="11664" ht="9.9499999999999993" hidden="1" customHeight="1" x14ac:dyDescent="0.2"/>
    <row r="11665" ht="9.9499999999999993" hidden="1" customHeight="1" x14ac:dyDescent="0.2"/>
    <row r="11666" ht="9.9499999999999993" hidden="1" customHeight="1" x14ac:dyDescent="0.2"/>
    <row r="11667" ht="9.9499999999999993" hidden="1" customHeight="1" x14ac:dyDescent="0.2"/>
    <row r="11668" ht="9.9499999999999993" hidden="1" customHeight="1" x14ac:dyDescent="0.2"/>
    <row r="11669" ht="9.9499999999999993" hidden="1" customHeight="1" x14ac:dyDescent="0.2"/>
    <row r="11670" ht="9.9499999999999993" hidden="1" customHeight="1" x14ac:dyDescent="0.2"/>
    <row r="11671" ht="9.9499999999999993" hidden="1" customHeight="1" x14ac:dyDescent="0.2"/>
    <row r="11672" ht="9.9499999999999993" hidden="1" customHeight="1" x14ac:dyDescent="0.2"/>
    <row r="11673" ht="9.9499999999999993" hidden="1" customHeight="1" x14ac:dyDescent="0.2"/>
    <row r="11674" ht="9.9499999999999993" hidden="1" customHeight="1" x14ac:dyDescent="0.2"/>
    <row r="11675" ht="9.9499999999999993" hidden="1" customHeight="1" x14ac:dyDescent="0.2"/>
    <row r="11676" ht="9.9499999999999993" hidden="1" customHeight="1" x14ac:dyDescent="0.2"/>
    <row r="11677" ht="9.9499999999999993" hidden="1" customHeight="1" x14ac:dyDescent="0.2"/>
    <row r="11678" ht="9.9499999999999993" hidden="1" customHeight="1" x14ac:dyDescent="0.2"/>
    <row r="11679" ht="9.9499999999999993" hidden="1" customHeight="1" x14ac:dyDescent="0.2"/>
    <row r="11680" ht="9.9499999999999993" hidden="1" customHeight="1" x14ac:dyDescent="0.2"/>
    <row r="11681" ht="9.9499999999999993" hidden="1" customHeight="1" x14ac:dyDescent="0.2"/>
    <row r="11682" ht="9.9499999999999993" hidden="1" customHeight="1" x14ac:dyDescent="0.2"/>
    <row r="11683" ht="9.9499999999999993" hidden="1" customHeight="1" x14ac:dyDescent="0.2"/>
    <row r="11684" ht="9.9499999999999993" hidden="1" customHeight="1" x14ac:dyDescent="0.2"/>
    <row r="11685" ht="9.9499999999999993" hidden="1" customHeight="1" x14ac:dyDescent="0.2"/>
    <row r="11686" ht="9.9499999999999993" hidden="1" customHeight="1" x14ac:dyDescent="0.2"/>
    <row r="11687" ht="9.9499999999999993" hidden="1" customHeight="1" x14ac:dyDescent="0.2"/>
    <row r="11688" ht="9.9499999999999993" hidden="1" customHeight="1" x14ac:dyDescent="0.2"/>
    <row r="11689" ht="9.9499999999999993" hidden="1" customHeight="1" x14ac:dyDescent="0.2"/>
    <row r="11690" ht="9.9499999999999993" hidden="1" customHeight="1" x14ac:dyDescent="0.2"/>
    <row r="11691" ht="9.9499999999999993" hidden="1" customHeight="1" x14ac:dyDescent="0.2"/>
    <row r="11692" ht="9.9499999999999993" hidden="1" customHeight="1" x14ac:dyDescent="0.2"/>
    <row r="11693" ht="9.9499999999999993" hidden="1" customHeight="1" x14ac:dyDescent="0.2"/>
    <row r="11694" ht="9.9499999999999993" hidden="1" customHeight="1" x14ac:dyDescent="0.2"/>
    <row r="11695" ht="9.9499999999999993" hidden="1" customHeight="1" x14ac:dyDescent="0.2"/>
    <row r="11696" ht="9.9499999999999993" hidden="1" customHeight="1" x14ac:dyDescent="0.2"/>
    <row r="11697" ht="9.9499999999999993" hidden="1" customHeight="1" x14ac:dyDescent="0.2"/>
    <row r="11698" ht="9.9499999999999993" hidden="1" customHeight="1" x14ac:dyDescent="0.2"/>
    <row r="11699" ht="9.9499999999999993" hidden="1" customHeight="1" x14ac:dyDescent="0.2"/>
    <row r="11700" ht="9.9499999999999993" hidden="1" customHeight="1" x14ac:dyDescent="0.2"/>
    <row r="11701" ht="9.9499999999999993" hidden="1" customHeight="1" x14ac:dyDescent="0.2"/>
    <row r="11702" ht="9.9499999999999993" hidden="1" customHeight="1" x14ac:dyDescent="0.2"/>
    <row r="11703" ht="9.9499999999999993" hidden="1" customHeight="1" x14ac:dyDescent="0.2"/>
    <row r="11704" ht="9.9499999999999993" hidden="1" customHeight="1" x14ac:dyDescent="0.2"/>
    <row r="11705" ht="9.9499999999999993" hidden="1" customHeight="1" x14ac:dyDescent="0.2"/>
    <row r="11706" ht="9.9499999999999993" hidden="1" customHeight="1" x14ac:dyDescent="0.2"/>
    <row r="11707" ht="9.9499999999999993" hidden="1" customHeight="1" x14ac:dyDescent="0.2"/>
    <row r="11708" ht="9.9499999999999993" hidden="1" customHeight="1" x14ac:dyDescent="0.2"/>
    <row r="11709" ht="9.9499999999999993" hidden="1" customHeight="1" x14ac:dyDescent="0.2"/>
    <row r="11710" ht="9.9499999999999993" hidden="1" customHeight="1" x14ac:dyDescent="0.2"/>
    <row r="11711" ht="9.9499999999999993" hidden="1" customHeight="1" x14ac:dyDescent="0.2"/>
    <row r="11712" ht="9.9499999999999993" hidden="1" customHeight="1" x14ac:dyDescent="0.2"/>
    <row r="11713" ht="9.9499999999999993" hidden="1" customHeight="1" x14ac:dyDescent="0.2"/>
    <row r="11714" ht="9.9499999999999993" hidden="1" customHeight="1" x14ac:dyDescent="0.2"/>
    <row r="11715" ht="9.9499999999999993" hidden="1" customHeight="1" x14ac:dyDescent="0.2"/>
    <row r="11716" ht="9.9499999999999993" hidden="1" customHeight="1" x14ac:dyDescent="0.2"/>
    <row r="11717" ht="9.9499999999999993" hidden="1" customHeight="1" x14ac:dyDescent="0.2"/>
    <row r="11718" ht="9.9499999999999993" hidden="1" customHeight="1" x14ac:dyDescent="0.2"/>
    <row r="11719" ht="9.9499999999999993" hidden="1" customHeight="1" x14ac:dyDescent="0.2"/>
    <row r="11720" ht="9.9499999999999993" hidden="1" customHeight="1" x14ac:dyDescent="0.2"/>
    <row r="11721" ht="9.9499999999999993" hidden="1" customHeight="1" x14ac:dyDescent="0.2"/>
    <row r="11722" ht="9.9499999999999993" hidden="1" customHeight="1" x14ac:dyDescent="0.2"/>
    <row r="11723" ht="9.9499999999999993" hidden="1" customHeight="1" x14ac:dyDescent="0.2"/>
    <row r="11724" ht="9.9499999999999993" hidden="1" customHeight="1" x14ac:dyDescent="0.2"/>
    <row r="11725" ht="9.9499999999999993" hidden="1" customHeight="1" x14ac:dyDescent="0.2"/>
    <row r="11726" ht="9.9499999999999993" hidden="1" customHeight="1" x14ac:dyDescent="0.2"/>
    <row r="11727" ht="9.9499999999999993" hidden="1" customHeight="1" x14ac:dyDescent="0.2"/>
    <row r="11728" ht="9.9499999999999993" hidden="1" customHeight="1" x14ac:dyDescent="0.2"/>
    <row r="11729" ht="9.9499999999999993" hidden="1" customHeight="1" x14ac:dyDescent="0.2"/>
    <row r="11730" ht="9.9499999999999993" hidden="1" customHeight="1" x14ac:dyDescent="0.2"/>
    <row r="11731" ht="9.9499999999999993" hidden="1" customHeight="1" x14ac:dyDescent="0.2"/>
    <row r="11732" ht="9.9499999999999993" hidden="1" customHeight="1" x14ac:dyDescent="0.2"/>
    <row r="11733" ht="9.9499999999999993" hidden="1" customHeight="1" x14ac:dyDescent="0.2"/>
    <row r="11734" ht="9.9499999999999993" hidden="1" customHeight="1" x14ac:dyDescent="0.2"/>
    <row r="11735" ht="9.9499999999999993" hidden="1" customHeight="1" x14ac:dyDescent="0.2"/>
    <row r="11736" ht="9.9499999999999993" hidden="1" customHeight="1" x14ac:dyDescent="0.2"/>
    <row r="11737" ht="9.9499999999999993" hidden="1" customHeight="1" x14ac:dyDescent="0.2"/>
    <row r="11738" ht="9.9499999999999993" hidden="1" customHeight="1" x14ac:dyDescent="0.2"/>
    <row r="11739" ht="9.9499999999999993" hidden="1" customHeight="1" x14ac:dyDescent="0.2"/>
    <row r="11740" ht="9.9499999999999993" hidden="1" customHeight="1" x14ac:dyDescent="0.2"/>
    <row r="11741" ht="9.9499999999999993" hidden="1" customHeight="1" x14ac:dyDescent="0.2"/>
    <row r="11742" ht="9.9499999999999993" hidden="1" customHeight="1" x14ac:dyDescent="0.2"/>
    <row r="11743" ht="9.9499999999999993" hidden="1" customHeight="1" x14ac:dyDescent="0.2"/>
    <row r="11744" ht="9.9499999999999993" hidden="1" customHeight="1" x14ac:dyDescent="0.2"/>
    <row r="11745" ht="9.9499999999999993" hidden="1" customHeight="1" x14ac:dyDescent="0.2"/>
    <row r="11746" ht="9.9499999999999993" hidden="1" customHeight="1" x14ac:dyDescent="0.2"/>
    <row r="11747" ht="9.9499999999999993" hidden="1" customHeight="1" x14ac:dyDescent="0.2"/>
    <row r="11748" ht="9.9499999999999993" hidden="1" customHeight="1" x14ac:dyDescent="0.2"/>
    <row r="11749" ht="9.9499999999999993" hidden="1" customHeight="1" x14ac:dyDescent="0.2"/>
    <row r="11750" ht="9.9499999999999993" hidden="1" customHeight="1" x14ac:dyDescent="0.2"/>
    <row r="11751" ht="9.9499999999999993" hidden="1" customHeight="1" x14ac:dyDescent="0.2"/>
    <row r="11752" ht="9.9499999999999993" hidden="1" customHeight="1" x14ac:dyDescent="0.2"/>
    <row r="11753" ht="9.9499999999999993" hidden="1" customHeight="1" x14ac:dyDescent="0.2"/>
    <row r="11754" ht="9.9499999999999993" hidden="1" customHeight="1" x14ac:dyDescent="0.2"/>
    <row r="11755" ht="9.9499999999999993" hidden="1" customHeight="1" x14ac:dyDescent="0.2"/>
    <row r="11756" ht="9.9499999999999993" hidden="1" customHeight="1" x14ac:dyDescent="0.2"/>
    <row r="11757" ht="9.9499999999999993" hidden="1" customHeight="1" x14ac:dyDescent="0.2"/>
    <row r="11758" ht="9.9499999999999993" hidden="1" customHeight="1" x14ac:dyDescent="0.2"/>
    <row r="11759" ht="9.9499999999999993" hidden="1" customHeight="1" x14ac:dyDescent="0.2"/>
    <row r="11760" ht="9.9499999999999993" hidden="1" customHeight="1" x14ac:dyDescent="0.2"/>
    <row r="11761" ht="9.9499999999999993" hidden="1" customHeight="1" x14ac:dyDescent="0.2"/>
    <row r="11762" ht="9.9499999999999993" hidden="1" customHeight="1" x14ac:dyDescent="0.2"/>
    <row r="11763" ht="9.9499999999999993" hidden="1" customHeight="1" x14ac:dyDescent="0.2"/>
    <row r="11764" ht="9.9499999999999993" hidden="1" customHeight="1" x14ac:dyDescent="0.2"/>
    <row r="11765" ht="9.9499999999999993" hidden="1" customHeight="1" x14ac:dyDescent="0.2"/>
    <row r="11766" ht="9.9499999999999993" hidden="1" customHeight="1" x14ac:dyDescent="0.2"/>
    <row r="11767" ht="9.9499999999999993" hidden="1" customHeight="1" x14ac:dyDescent="0.2"/>
    <row r="11768" ht="9.9499999999999993" hidden="1" customHeight="1" x14ac:dyDescent="0.2"/>
    <row r="11769" ht="9.9499999999999993" hidden="1" customHeight="1" x14ac:dyDescent="0.2"/>
    <row r="11770" ht="9.9499999999999993" hidden="1" customHeight="1" x14ac:dyDescent="0.2"/>
    <row r="11771" ht="9.9499999999999993" hidden="1" customHeight="1" x14ac:dyDescent="0.2"/>
    <row r="11772" ht="9.9499999999999993" hidden="1" customHeight="1" x14ac:dyDescent="0.2"/>
    <row r="11773" ht="9.9499999999999993" hidden="1" customHeight="1" x14ac:dyDescent="0.2"/>
    <row r="11774" ht="9.9499999999999993" hidden="1" customHeight="1" x14ac:dyDescent="0.2"/>
    <row r="11775" ht="9.9499999999999993" hidden="1" customHeight="1" x14ac:dyDescent="0.2"/>
    <row r="11776" ht="9.9499999999999993" hidden="1" customHeight="1" x14ac:dyDescent="0.2"/>
    <row r="11777" ht="9.9499999999999993" hidden="1" customHeight="1" x14ac:dyDescent="0.2"/>
    <row r="11778" ht="9.9499999999999993" hidden="1" customHeight="1" x14ac:dyDescent="0.2"/>
    <row r="11779" ht="9.9499999999999993" hidden="1" customHeight="1" x14ac:dyDescent="0.2"/>
    <row r="11780" ht="9.9499999999999993" hidden="1" customHeight="1" x14ac:dyDescent="0.2"/>
    <row r="11781" ht="9.9499999999999993" hidden="1" customHeight="1" x14ac:dyDescent="0.2"/>
    <row r="11782" ht="9.9499999999999993" hidden="1" customHeight="1" x14ac:dyDescent="0.2"/>
    <row r="11783" ht="9.9499999999999993" hidden="1" customHeight="1" x14ac:dyDescent="0.2"/>
    <row r="11784" ht="9.9499999999999993" hidden="1" customHeight="1" x14ac:dyDescent="0.2"/>
    <row r="11785" ht="9.9499999999999993" hidden="1" customHeight="1" x14ac:dyDescent="0.2"/>
    <row r="11786" ht="9.9499999999999993" hidden="1" customHeight="1" x14ac:dyDescent="0.2"/>
    <row r="11787" ht="9.9499999999999993" hidden="1" customHeight="1" x14ac:dyDescent="0.2"/>
    <row r="11788" ht="9.9499999999999993" hidden="1" customHeight="1" x14ac:dyDescent="0.2"/>
    <row r="11789" ht="9.9499999999999993" hidden="1" customHeight="1" x14ac:dyDescent="0.2"/>
    <row r="11790" ht="9.9499999999999993" hidden="1" customHeight="1" x14ac:dyDescent="0.2"/>
    <row r="11791" ht="9.9499999999999993" hidden="1" customHeight="1" x14ac:dyDescent="0.2"/>
    <row r="11792" ht="9.9499999999999993" hidden="1" customHeight="1" x14ac:dyDescent="0.2"/>
    <row r="11793" ht="9.9499999999999993" hidden="1" customHeight="1" x14ac:dyDescent="0.2"/>
    <row r="11794" ht="9.9499999999999993" hidden="1" customHeight="1" x14ac:dyDescent="0.2"/>
    <row r="11795" ht="9.9499999999999993" hidden="1" customHeight="1" x14ac:dyDescent="0.2"/>
    <row r="11796" ht="9.9499999999999993" hidden="1" customHeight="1" x14ac:dyDescent="0.2"/>
    <row r="11797" ht="9.9499999999999993" hidden="1" customHeight="1" x14ac:dyDescent="0.2"/>
    <row r="11798" ht="9.9499999999999993" hidden="1" customHeight="1" x14ac:dyDescent="0.2"/>
    <row r="11799" ht="9.9499999999999993" hidden="1" customHeight="1" x14ac:dyDescent="0.2"/>
    <row r="11800" ht="9.9499999999999993" hidden="1" customHeight="1" x14ac:dyDescent="0.2"/>
    <row r="11801" ht="9.9499999999999993" hidden="1" customHeight="1" x14ac:dyDescent="0.2"/>
    <row r="11802" ht="9.9499999999999993" hidden="1" customHeight="1" x14ac:dyDescent="0.2"/>
    <row r="11803" ht="9.9499999999999993" hidden="1" customHeight="1" x14ac:dyDescent="0.2"/>
    <row r="11804" ht="9.9499999999999993" hidden="1" customHeight="1" x14ac:dyDescent="0.2"/>
    <row r="11805" ht="9.9499999999999993" hidden="1" customHeight="1" x14ac:dyDescent="0.2"/>
    <row r="11806" ht="9.9499999999999993" hidden="1" customHeight="1" x14ac:dyDescent="0.2"/>
    <row r="11807" ht="9.9499999999999993" hidden="1" customHeight="1" x14ac:dyDescent="0.2"/>
    <row r="11808" ht="9.9499999999999993" hidden="1" customHeight="1" x14ac:dyDescent="0.2"/>
    <row r="11809" ht="9.9499999999999993" hidden="1" customHeight="1" x14ac:dyDescent="0.2"/>
    <row r="11810" ht="9.9499999999999993" hidden="1" customHeight="1" x14ac:dyDescent="0.2"/>
    <row r="11811" ht="9.9499999999999993" hidden="1" customHeight="1" x14ac:dyDescent="0.2"/>
    <row r="11812" ht="9.9499999999999993" hidden="1" customHeight="1" x14ac:dyDescent="0.2"/>
    <row r="11813" ht="9.9499999999999993" hidden="1" customHeight="1" x14ac:dyDescent="0.2"/>
    <row r="11814" ht="9.9499999999999993" hidden="1" customHeight="1" x14ac:dyDescent="0.2"/>
    <row r="11815" ht="9.9499999999999993" hidden="1" customHeight="1" x14ac:dyDescent="0.2"/>
    <row r="11816" ht="9.9499999999999993" hidden="1" customHeight="1" x14ac:dyDescent="0.2"/>
    <row r="11817" ht="9.9499999999999993" hidden="1" customHeight="1" x14ac:dyDescent="0.2"/>
    <row r="11818" ht="9.9499999999999993" hidden="1" customHeight="1" x14ac:dyDescent="0.2"/>
    <row r="11819" ht="9.9499999999999993" hidden="1" customHeight="1" x14ac:dyDescent="0.2"/>
    <row r="11820" ht="9.9499999999999993" hidden="1" customHeight="1" x14ac:dyDescent="0.2"/>
    <row r="11821" ht="9.9499999999999993" hidden="1" customHeight="1" x14ac:dyDescent="0.2"/>
    <row r="11822" ht="9.9499999999999993" hidden="1" customHeight="1" x14ac:dyDescent="0.2"/>
    <row r="11823" ht="9.9499999999999993" hidden="1" customHeight="1" x14ac:dyDescent="0.2"/>
    <row r="11824" ht="9.9499999999999993" hidden="1" customHeight="1" x14ac:dyDescent="0.2"/>
    <row r="11825" ht="9.9499999999999993" hidden="1" customHeight="1" x14ac:dyDescent="0.2"/>
    <row r="11826" ht="9.9499999999999993" hidden="1" customHeight="1" x14ac:dyDescent="0.2"/>
    <row r="11827" ht="9.9499999999999993" hidden="1" customHeight="1" x14ac:dyDescent="0.2"/>
    <row r="11828" ht="9.9499999999999993" hidden="1" customHeight="1" x14ac:dyDescent="0.2"/>
    <row r="11829" ht="9.9499999999999993" hidden="1" customHeight="1" x14ac:dyDescent="0.2"/>
    <row r="11830" ht="9.9499999999999993" hidden="1" customHeight="1" x14ac:dyDescent="0.2"/>
    <row r="11831" ht="9.9499999999999993" hidden="1" customHeight="1" x14ac:dyDescent="0.2"/>
    <row r="11832" ht="9.9499999999999993" hidden="1" customHeight="1" x14ac:dyDescent="0.2"/>
    <row r="11833" ht="9.9499999999999993" hidden="1" customHeight="1" x14ac:dyDescent="0.2"/>
    <row r="11834" ht="9.9499999999999993" hidden="1" customHeight="1" x14ac:dyDescent="0.2"/>
    <row r="11835" ht="9.9499999999999993" hidden="1" customHeight="1" x14ac:dyDescent="0.2"/>
    <row r="11836" ht="9.9499999999999993" hidden="1" customHeight="1" x14ac:dyDescent="0.2"/>
    <row r="11837" ht="9.9499999999999993" hidden="1" customHeight="1" x14ac:dyDescent="0.2"/>
    <row r="11838" ht="9.9499999999999993" hidden="1" customHeight="1" x14ac:dyDescent="0.2"/>
    <row r="11839" ht="9.9499999999999993" hidden="1" customHeight="1" x14ac:dyDescent="0.2"/>
    <row r="11840" ht="9.9499999999999993" hidden="1" customHeight="1" x14ac:dyDescent="0.2"/>
    <row r="11841" ht="9.9499999999999993" hidden="1" customHeight="1" x14ac:dyDescent="0.2"/>
    <row r="11842" ht="9.9499999999999993" hidden="1" customHeight="1" x14ac:dyDescent="0.2"/>
    <row r="11843" ht="9.9499999999999993" hidden="1" customHeight="1" x14ac:dyDescent="0.2"/>
    <row r="11844" ht="9.9499999999999993" hidden="1" customHeight="1" x14ac:dyDescent="0.2"/>
    <row r="11845" ht="9.9499999999999993" hidden="1" customHeight="1" x14ac:dyDescent="0.2"/>
    <row r="11846" ht="9.9499999999999993" hidden="1" customHeight="1" x14ac:dyDescent="0.2"/>
    <row r="11847" ht="9.9499999999999993" hidden="1" customHeight="1" x14ac:dyDescent="0.2"/>
    <row r="11848" ht="9.9499999999999993" hidden="1" customHeight="1" x14ac:dyDescent="0.2"/>
    <row r="11849" ht="9.9499999999999993" hidden="1" customHeight="1" x14ac:dyDescent="0.2"/>
    <row r="11850" ht="9.9499999999999993" hidden="1" customHeight="1" x14ac:dyDescent="0.2"/>
    <row r="11851" ht="9.9499999999999993" hidden="1" customHeight="1" x14ac:dyDescent="0.2"/>
    <row r="11852" ht="9.9499999999999993" hidden="1" customHeight="1" x14ac:dyDescent="0.2"/>
    <row r="11853" ht="9.9499999999999993" hidden="1" customHeight="1" x14ac:dyDescent="0.2"/>
    <row r="11854" ht="9.9499999999999993" hidden="1" customHeight="1" x14ac:dyDescent="0.2"/>
    <row r="11855" ht="9.9499999999999993" hidden="1" customHeight="1" x14ac:dyDescent="0.2"/>
    <row r="11856" ht="9.9499999999999993" hidden="1" customHeight="1" x14ac:dyDescent="0.2"/>
    <row r="11857" ht="9.9499999999999993" hidden="1" customHeight="1" x14ac:dyDescent="0.2"/>
    <row r="11858" ht="9.9499999999999993" hidden="1" customHeight="1" x14ac:dyDescent="0.2"/>
    <row r="11859" ht="9.9499999999999993" hidden="1" customHeight="1" x14ac:dyDescent="0.2"/>
    <row r="11860" ht="9.9499999999999993" hidden="1" customHeight="1" x14ac:dyDescent="0.2"/>
    <row r="11861" ht="9.9499999999999993" hidden="1" customHeight="1" x14ac:dyDescent="0.2"/>
    <row r="11862" ht="9.9499999999999993" hidden="1" customHeight="1" x14ac:dyDescent="0.2"/>
    <row r="11863" ht="9.9499999999999993" hidden="1" customHeight="1" x14ac:dyDescent="0.2"/>
    <row r="11864" ht="9.9499999999999993" hidden="1" customHeight="1" x14ac:dyDescent="0.2"/>
    <row r="11865" ht="9.9499999999999993" hidden="1" customHeight="1" x14ac:dyDescent="0.2"/>
    <row r="11866" ht="9.9499999999999993" hidden="1" customHeight="1" x14ac:dyDescent="0.2"/>
    <row r="11867" ht="9.9499999999999993" hidden="1" customHeight="1" x14ac:dyDescent="0.2"/>
    <row r="11868" ht="9.9499999999999993" hidden="1" customHeight="1" x14ac:dyDescent="0.2"/>
    <row r="11869" ht="9.9499999999999993" hidden="1" customHeight="1" x14ac:dyDescent="0.2"/>
    <row r="11870" ht="9.9499999999999993" hidden="1" customHeight="1" x14ac:dyDescent="0.2"/>
    <row r="11871" ht="9.9499999999999993" hidden="1" customHeight="1" x14ac:dyDescent="0.2"/>
    <row r="11872" ht="9.9499999999999993" hidden="1" customHeight="1" x14ac:dyDescent="0.2"/>
    <row r="11873" ht="9.9499999999999993" hidden="1" customHeight="1" x14ac:dyDescent="0.2"/>
    <row r="11874" ht="9.9499999999999993" hidden="1" customHeight="1" x14ac:dyDescent="0.2"/>
    <row r="11875" ht="9.9499999999999993" hidden="1" customHeight="1" x14ac:dyDescent="0.2"/>
    <row r="11876" ht="9.9499999999999993" hidden="1" customHeight="1" x14ac:dyDescent="0.2"/>
    <row r="11877" ht="9.9499999999999993" hidden="1" customHeight="1" x14ac:dyDescent="0.2"/>
    <row r="11878" ht="9.9499999999999993" hidden="1" customHeight="1" x14ac:dyDescent="0.2"/>
    <row r="11879" ht="9.9499999999999993" hidden="1" customHeight="1" x14ac:dyDescent="0.2"/>
    <row r="11880" ht="9.9499999999999993" hidden="1" customHeight="1" x14ac:dyDescent="0.2"/>
    <row r="11881" ht="9.9499999999999993" hidden="1" customHeight="1" x14ac:dyDescent="0.2"/>
    <row r="11882" ht="9.9499999999999993" hidden="1" customHeight="1" x14ac:dyDescent="0.2"/>
    <row r="11883" ht="9.9499999999999993" hidden="1" customHeight="1" x14ac:dyDescent="0.2"/>
    <row r="11884" ht="9.9499999999999993" hidden="1" customHeight="1" x14ac:dyDescent="0.2"/>
    <row r="11885" ht="9.9499999999999993" hidden="1" customHeight="1" x14ac:dyDescent="0.2"/>
    <row r="11886" ht="9.9499999999999993" hidden="1" customHeight="1" x14ac:dyDescent="0.2"/>
    <row r="11887" ht="9.9499999999999993" hidden="1" customHeight="1" x14ac:dyDescent="0.2"/>
    <row r="11888" ht="9.9499999999999993" hidden="1" customHeight="1" x14ac:dyDescent="0.2"/>
    <row r="11889" ht="9.9499999999999993" hidden="1" customHeight="1" x14ac:dyDescent="0.2"/>
    <row r="11890" ht="9.9499999999999993" hidden="1" customHeight="1" x14ac:dyDescent="0.2"/>
    <row r="11891" ht="9.9499999999999993" hidden="1" customHeight="1" x14ac:dyDescent="0.2"/>
    <row r="11892" ht="9.9499999999999993" hidden="1" customHeight="1" x14ac:dyDescent="0.2"/>
    <row r="11893" ht="9.9499999999999993" hidden="1" customHeight="1" x14ac:dyDescent="0.2"/>
    <row r="11894" ht="9.9499999999999993" hidden="1" customHeight="1" x14ac:dyDescent="0.2"/>
    <row r="11895" ht="9.9499999999999993" hidden="1" customHeight="1" x14ac:dyDescent="0.2"/>
    <row r="11896" ht="9.9499999999999993" hidden="1" customHeight="1" x14ac:dyDescent="0.2"/>
    <row r="11897" ht="9.9499999999999993" hidden="1" customHeight="1" x14ac:dyDescent="0.2"/>
    <row r="11898" ht="9.9499999999999993" hidden="1" customHeight="1" x14ac:dyDescent="0.2"/>
    <row r="11899" ht="9.9499999999999993" hidden="1" customHeight="1" x14ac:dyDescent="0.2"/>
    <row r="11900" ht="9.9499999999999993" hidden="1" customHeight="1" x14ac:dyDescent="0.2"/>
    <row r="11901" ht="9.9499999999999993" hidden="1" customHeight="1" x14ac:dyDescent="0.2"/>
    <row r="11902" ht="9.9499999999999993" hidden="1" customHeight="1" x14ac:dyDescent="0.2"/>
    <row r="11903" ht="9.9499999999999993" hidden="1" customHeight="1" x14ac:dyDescent="0.2"/>
    <row r="11904" ht="9.9499999999999993" hidden="1" customHeight="1" x14ac:dyDescent="0.2"/>
    <row r="11905" ht="9.9499999999999993" hidden="1" customHeight="1" x14ac:dyDescent="0.2"/>
    <row r="11906" ht="9.9499999999999993" hidden="1" customHeight="1" x14ac:dyDescent="0.2"/>
    <row r="11907" ht="9.9499999999999993" hidden="1" customHeight="1" x14ac:dyDescent="0.2"/>
    <row r="11908" ht="9.9499999999999993" hidden="1" customHeight="1" x14ac:dyDescent="0.2"/>
    <row r="11909" ht="9.9499999999999993" hidden="1" customHeight="1" x14ac:dyDescent="0.2"/>
    <row r="11910" ht="9.9499999999999993" hidden="1" customHeight="1" x14ac:dyDescent="0.2"/>
    <row r="11911" ht="9.9499999999999993" hidden="1" customHeight="1" x14ac:dyDescent="0.2"/>
    <row r="11912" ht="9.9499999999999993" hidden="1" customHeight="1" x14ac:dyDescent="0.2"/>
    <row r="11913" ht="9.9499999999999993" hidden="1" customHeight="1" x14ac:dyDescent="0.2"/>
    <row r="11914" ht="9.9499999999999993" hidden="1" customHeight="1" x14ac:dyDescent="0.2"/>
    <row r="11915" ht="9.9499999999999993" hidden="1" customHeight="1" x14ac:dyDescent="0.2"/>
    <row r="11916" ht="9.9499999999999993" hidden="1" customHeight="1" x14ac:dyDescent="0.2"/>
    <row r="11917" ht="9.9499999999999993" hidden="1" customHeight="1" x14ac:dyDescent="0.2"/>
    <row r="11918" ht="9.9499999999999993" hidden="1" customHeight="1" x14ac:dyDescent="0.2"/>
    <row r="11919" ht="9.9499999999999993" hidden="1" customHeight="1" x14ac:dyDescent="0.2"/>
    <row r="11920" ht="9.9499999999999993" hidden="1" customHeight="1" x14ac:dyDescent="0.2"/>
    <row r="11921" ht="9.9499999999999993" hidden="1" customHeight="1" x14ac:dyDescent="0.2"/>
    <row r="11922" ht="9.9499999999999993" hidden="1" customHeight="1" x14ac:dyDescent="0.2"/>
    <row r="11923" ht="9.9499999999999993" hidden="1" customHeight="1" x14ac:dyDescent="0.2"/>
    <row r="11924" ht="9.9499999999999993" hidden="1" customHeight="1" x14ac:dyDescent="0.2"/>
    <row r="11925" ht="9.9499999999999993" hidden="1" customHeight="1" x14ac:dyDescent="0.2"/>
    <row r="11926" ht="9.9499999999999993" hidden="1" customHeight="1" x14ac:dyDescent="0.2"/>
    <row r="11927" ht="9.9499999999999993" hidden="1" customHeight="1" x14ac:dyDescent="0.2"/>
    <row r="11928" ht="9.9499999999999993" hidden="1" customHeight="1" x14ac:dyDescent="0.2"/>
    <row r="11929" ht="9.9499999999999993" hidden="1" customHeight="1" x14ac:dyDescent="0.2"/>
    <row r="11930" ht="9.9499999999999993" hidden="1" customHeight="1" x14ac:dyDescent="0.2"/>
    <row r="11931" ht="9.9499999999999993" hidden="1" customHeight="1" x14ac:dyDescent="0.2"/>
    <row r="11932" ht="9.9499999999999993" hidden="1" customHeight="1" x14ac:dyDescent="0.2"/>
    <row r="11933" ht="9.9499999999999993" hidden="1" customHeight="1" x14ac:dyDescent="0.2"/>
    <row r="11934" ht="9.9499999999999993" hidden="1" customHeight="1" x14ac:dyDescent="0.2"/>
    <row r="11935" ht="9.9499999999999993" hidden="1" customHeight="1" x14ac:dyDescent="0.2"/>
    <row r="11936" ht="9.9499999999999993" hidden="1" customHeight="1" x14ac:dyDescent="0.2"/>
    <row r="11937" ht="9.9499999999999993" hidden="1" customHeight="1" x14ac:dyDescent="0.2"/>
    <row r="11938" ht="9.9499999999999993" hidden="1" customHeight="1" x14ac:dyDescent="0.2"/>
    <row r="11939" ht="9.9499999999999993" hidden="1" customHeight="1" x14ac:dyDescent="0.2"/>
    <row r="11940" ht="9.9499999999999993" hidden="1" customHeight="1" x14ac:dyDescent="0.2"/>
    <row r="11941" ht="9.9499999999999993" hidden="1" customHeight="1" x14ac:dyDescent="0.2"/>
    <row r="11942" ht="9.9499999999999993" hidden="1" customHeight="1" x14ac:dyDescent="0.2"/>
    <row r="11943" ht="9.9499999999999993" hidden="1" customHeight="1" x14ac:dyDescent="0.2"/>
    <row r="11944" ht="9.9499999999999993" hidden="1" customHeight="1" x14ac:dyDescent="0.2"/>
    <row r="11945" ht="9.9499999999999993" hidden="1" customHeight="1" x14ac:dyDescent="0.2"/>
    <row r="11946" ht="9.9499999999999993" hidden="1" customHeight="1" x14ac:dyDescent="0.2"/>
    <row r="11947" ht="9.9499999999999993" hidden="1" customHeight="1" x14ac:dyDescent="0.2"/>
    <row r="11948" ht="9.9499999999999993" hidden="1" customHeight="1" x14ac:dyDescent="0.2"/>
    <row r="11949" ht="9.9499999999999993" hidden="1" customHeight="1" x14ac:dyDescent="0.2"/>
    <row r="11950" ht="9.9499999999999993" hidden="1" customHeight="1" x14ac:dyDescent="0.2"/>
    <row r="11951" ht="9.9499999999999993" hidden="1" customHeight="1" x14ac:dyDescent="0.2"/>
    <row r="11952" ht="9.9499999999999993" hidden="1" customHeight="1" x14ac:dyDescent="0.2"/>
    <row r="11953" ht="9.9499999999999993" hidden="1" customHeight="1" x14ac:dyDescent="0.2"/>
    <row r="11954" ht="9.9499999999999993" hidden="1" customHeight="1" x14ac:dyDescent="0.2"/>
    <row r="11955" ht="9.9499999999999993" hidden="1" customHeight="1" x14ac:dyDescent="0.2"/>
    <row r="11956" ht="9.9499999999999993" hidden="1" customHeight="1" x14ac:dyDescent="0.2"/>
    <row r="11957" ht="9.9499999999999993" hidden="1" customHeight="1" x14ac:dyDescent="0.2"/>
    <row r="11958" ht="9.9499999999999993" hidden="1" customHeight="1" x14ac:dyDescent="0.2"/>
    <row r="11959" ht="9.9499999999999993" hidden="1" customHeight="1" x14ac:dyDescent="0.2"/>
    <row r="11960" ht="9.9499999999999993" hidden="1" customHeight="1" x14ac:dyDescent="0.2"/>
    <row r="11961" ht="9.9499999999999993" hidden="1" customHeight="1" x14ac:dyDescent="0.2"/>
    <row r="11962" ht="9.9499999999999993" hidden="1" customHeight="1" x14ac:dyDescent="0.2"/>
    <row r="11963" ht="9.9499999999999993" hidden="1" customHeight="1" x14ac:dyDescent="0.2"/>
    <row r="11964" ht="9.9499999999999993" hidden="1" customHeight="1" x14ac:dyDescent="0.2"/>
    <row r="11965" ht="9.9499999999999993" hidden="1" customHeight="1" x14ac:dyDescent="0.2"/>
    <row r="11966" ht="9.9499999999999993" hidden="1" customHeight="1" x14ac:dyDescent="0.2"/>
    <row r="11967" ht="9.9499999999999993" hidden="1" customHeight="1" x14ac:dyDescent="0.2"/>
    <row r="11968" ht="9.9499999999999993" hidden="1" customHeight="1" x14ac:dyDescent="0.2"/>
    <row r="11969" ht="9.9499999999999993" hidden="1" customHeight="1" x14ac:dyDescent="0.2"/>
    <row r="11970" ht="9.9499999999999993" hidden="1" customHeight="1" x14ac:dyDescent="0.2"/>
    <row r="11971" ht="9.9499999999999993" hidden="1" customHeight="1" x14ac:dyDescent="0.2"/>
    <row r="11972" ht="9.9499999999999993" hidden="1" customHeight="1" x14ac:dyDescent="0.2"/>
    <row r="11973" ht="9.9499999999999993" hidden="1" customHeight="1" x14ac:dyDescent="0.2"/>
    <row r="11974" ht="9.9499999999999993" hidden="1" customHeight="1" x14ac:dyDescent="0.2"/>
    <row r="11975" ht="9.9499999999999993" hidden="1" customHeight="1" x14ac:dyDescent="0.2"/>
    <row r="11976" ht="9.9499999999999993" hidden="1" customHeight="1" x14ac:dyDescent="0.2"/>
    <row r="11977" ht="9.9499999999999993" hidden="1" customHeight="1" x14ac:dyDescent="0.2"/>
    <row r="11978" ht="9.9499999999999993" hidden="1" customHeight="1" x14ac:dyDescent="0.2"/>
    <row r="11979" ht="9.9499999999999993" hidden="1" customHeight="1" x14ac:dyDescent="0.2"/>
    <row r="11980" ht="9.9499999999999993" hidden="1" customHeight="1" x14ac:dyDescent="0.2"/>
    <row r="11981" ht="9.9499999999999993" hidden="1" customHeight="1" x14ac:dyDescent="0.2"/>
    <row r="11982" ht="9.9499999999999993" hidden="1" customHeight="1" x14ac:dyDescent="0.2"/>
    <row r="11983" ht="9.9499999999999993" hidden="1" customHeight="1" x14ac:dyDescent="0.2"/>
    <row r="11984" ht="9.9499999999999993" hidden="1" customHeight="1" x14ac:dyDescent="0.2"/>
    <row r="11985" ht="9.9499999999999993" hidden="1" customHeight="1" x14ac:dyDescent="0.2"/>
    <row r="11986" ht="9.9499999999999993" hidden="1" customHeight="1" x14ac:dyDescent="0.2"/>
    <row r="11987" ht="9.9499999999999993" hidden="1" customHeight="1" x14ac:dyDescent="0.2"/>
    <row r="11988" ht="9.9499999999999993" hidden="1" customHeight="1" x14ac:dyDescent="0.2"/>
    <row r="11989" ht="9.9499999999999993" hidden="1" customHeight="1" x14ac:dyDescent="0.2"/>
    <row r="11990" ht="9.9499999999999993" hidden="1" customHeight="1" x14ac:dyDescent="0.2"/>
    <row r="11991" ht="9.9499999999999993" hidden="1" customHeight="1" x14ac:dyDescent="0.2"/>
    <row r="11992" ht="9.9499999999999993" hidden="1" customHeight="1" x14ac:dyDescent="0.2"/>
    <row r="11993" ht="9.9499999999999993" hidden="1" customHeight="1" x14ac:dyDescent="0.2"/>
    <row r="11994" ht="9.9499999999999993" hidden="1" customHeight="1" x14ac:dyDescent="0.2"/>
    <row r="11995" ht="9.9499999999999993" hidden="1" customHeight="1" x14ac:dyDescent="0.2"/>
    <row r="11996" ht="9.9499999999999993" hidden="1" customHeight="1" x14ac:dyDescent="0.2"/>
    <row r="11997" ht="9.9499999999999993" hidden="1" customHeight="1" x14ac:dyDescent="0.2"/>
    <row r="11998" ht="9.9499999999999993" hidden="1" customHeight="1" x14ac:dyDescent="0.2"/>
    <row r="11999" ht="9.9499999999999993" hidden="1" customHeight="1" x14ac:dyDescent="0.2"/>
    <row r="12000" ht="9.9499999999999993" hidden="1" customHeight="1" x14ac:dyDescent="0.2"/>
    <row r="12001" ht="9.9499999999999993" hidden="1" customHeight="1" x14ac:dyDescent="0.2"/>
    <row r="12002" ht="9.9499999999999993" hidden="1" customHeight="1" x14ac:dyDescent="0.2"/>
    <row r="12003" ht="9.9499999999999993" hidden="1" customHeight="1" x14ac:dyDescent="0.2"/>
    <row r="12004" ht="9.9499999999999993" hidden="1" customHeight="1" x14ac:dyDescent="0.2"/>
    <row r="12005" ht="9.9499999999999993" hidden="1" customHeight="1" x14ac:dyDescent="0.2"/>
    <row r="12006" ht="9.9499999999999993" hidden="1" customHeight="1" x14ac:dyDescent="0.2"/>
    <row r="12007" ht="9.9499999999999993" hidden="1" customHeight="1" x14ac:dyDescent="0.2"/>
    <row r="12008" ht="9.9499999999999993" hidden="1" customHeight="1" x14ac:dyDescent="0.2"/>
    <row r="12009" ht="9.9499999999999993" hidden="1" customHeight="1" x14ac:dyDescent="0.2"/>
    <row r="12010" ht="9.9499999999999993" hidden="1" customHeight="1" x14ac:dyDescent="0.2"/>
    <row r="12011" ht="9.9499999999999993" hidden="1" customHeight="1" x14ac:dyDescent="0.2"/>
    <row r="12012" ht="9.9499999999999993" hidden="1" customHeight="1" x14ac:dyDescent="0.2"/>
    <row r="12013" ht="9.9499999999999993" hidden="1" customHeight="1" x14ac:dyDescent="0.2"/>
    <row r="12014" ht="9.9499999999999993" hidden="1" customHeight="1" x14ac:dyDescent="0.2"/>
    <row r="12015" ht="9.9499999999999993" hidden="1" customHeight="1" x14ac:dyDescent="0.2"/>
    <row r="12016" ht="9.9499999999999993" hidden="1" customHeight="1" x14ac:dyDescent="0.2"/>
    <row r="12017" ht="9.9499999999999993" hidden="1" customHeight="1" x14ac:dyDescent="0.2"/>
    <row r="12018" ht="9.9499999999999993" hidden="1" customHeight="1" x14ac:dyDescent="0.2"/>
    <row r="12019" ht="9.9499999999999993" hidden="1" customHeight="1" x14ac:dyDescent="0.2"/>
    <row r="12020" ht="9.9499999999999993" hidden="1" customHeight="1" x14ac:dyDescent="0.2"/>
    <row r="12021" ht="9.9499999999999993" hidden="1" customHeight="1" x14ac:dyDescent="0.2"/>
    <row r="12022" ht="9.9499999999999993" hidden="1" customHeight="1" x14ac:dyDescent="0.2"/>
    <row r="12023" ht="9.9499999999999993" hidden="1" customHeight="1" x14ac:dyDescent="0.2"/>
    <row r="12024" ht="9.9499999999999993" hidden="1" customHeight="1" x14ac:dyDescent="0.2"/>
    <row r="12025" ht="9.9499999999999993" hidden="1" customHeight="1" x14ac:dyDescent="0.2"/>
    <row r="12026" ht="9.9499999999999993" hidden="1" customHeight="1" x14ac:dyDescent="0.2"/>
    <row r="12027" ht="9.9499999999999993" hidden="1" customHeight="1" x14ac:dyDescent="0.2"/>
    <row r="12028" ht="9.9499999999999993" hidden="1" customHeight="1" x14ac:dyDescent="0.2"/>
    <row r="12029" ht="9.9499999999999993" hidden="1" customHeight="1" x14ac:dyDescent="0.2"/>
    <row r="12030" ht="9.9499999999999993" hidden="1" customHeight="1" x14ac:dyDescent="0.2"/>
    <row r="12031" ht="9.9499999999999993" hidden="1" customHeight="1" x14ac:dyDescent="0.2"/>
    <row r="12032" ht="9.9499999999999993" hidden="1" customHeight="1" x14ac:dyDescent="0.2"/>
    <row r="12033" ht="9.9499999999999993" hidden="1" customHeight="1" x14ac:dyDescent="0.2"/>
    <row r="12034" ht="9.9499999999999993" hidden="1" customHeight="1" x14ac:dyDescent="0.2"/>
    <row r="12035" ht="9.9499999999999993" hidden="1" customHeight="1" x14ac:dyDescent="0.2"/>
    <row r="12036" ht="9.9499999999999993" hidden="1" customHeight="1" x14ac:dyDescent="0.2"/>
    <row r="12037" ht="9.9499999999999993" hidden="1" customHeight="1" x14ac:dyDescent="0.2"/>
    <row r="12038" ht="9.9499999999999993" hidden="1" customHeight="1" x14ac:dyDescent="0.2"/>
    <row r="12039" ht="9.9499999999999993" hidden="1" customHeight="1" x14ac:dyDescent="0.2"/>
    <row r="12040" ht="9.9499999999999993" hidden="1" customHeight="1" x14ac:dyDescent="0.2"/>
    <row r="12041" ht="9.9499999999999993" hidden="1" customHeight="1" x14ac:dyDescent="0.2"/>
    <row r="12042" ht="9.9499999999999993" hidden="1" customHeight="1" x14ac:dyDescent="0.2"/>
    <row r="12043" ht="9.9499999999999993" hidden="1" customHeight="1" x14ac:dyDescent="0.2"/>
    <row r="12044" ht="9.9499999999999993" hidden="1" customHeight="1" x14ac:dyDescent="0.2"/>
    <row r="12045" ht="9.9499999999999993" hidden="1" customHeight="1" x14ac:dyDescent="0.2"/>
    <row r="12046" ht="9.9499999999999993" hidden="1" customHeight="1" x14ac:dyDescent="0.2"/>
    <row r="12047" ht="9.9499999999999993" hidden="1" customHeight="1" x14ac:dyDescent="0.2"/>
    <row r="12048" ht="9.9499999999999993" hidden="1" customHeight="1" x14ac:dyDescent="0.2"/>
    <row r="12049" ht="9.9499999999999993" hidden="1" customHeight="1" x14ac:dyDescent="0.2"/>
    <row r="12050" ht="9.9499999999999993" hidden="1" customHeight="1" x14ac:dyDescent="0.2"/>
    <row r="12051" ht="9.9499999999999993" hidden="1" customHeight="1" x14ac:dyDescent="0.2"/>
    <row r="12052" ht="9.9499999999999993" hidden="1" customHeight="1" x14ac:dyDescent="0.2"/>
    <row r="12053" ht="9.9499999999999993" hidden="1" customHeight="1" x14ac:dyDescent="0.2"/>
    <row r="12054" ht="9.9499999999999993" hidden="1" customHeight="1" x14ac:dyDescent="0.2"/>
    <row r="12055" ht="9.9499999999999993" hidden="1" customHeight="1" x14ac:dyDescent="0.2"/>
    <row r="12056" ht="9.9499999999999993" hidden="1" customHeight="1" x14ac:dyDescent="0.2"/>
    <row r="12057" ht="9.9499999999999993" hidden="1" customHeight="1" x14ac:dyDescent="0.2"/>
    <row r="12058" ht="9.9499999999999993" hidden="1" customHeight="1" x14ac:dyDescent="0.2"/>
    <row r="12059" ht="9.9499999999999993" hidden="1" customHeight="1" x14ac:dyDescent="0.2"/>
    <row r="12060" ht="9.9499999999999993" hidden="1" customHeight="1" x14ac:dyDescent="0.2"/>
    <row r="12061" ht="9.9499999999999993" hidden="1" customHeight="1" x14ac:dyDescent="0.2"/>
    <row r="12062" ht="9.9499999999999993" hidden="1" customHeight="1" x14ac:dyDescent="0.2"/>
    <row r="12063" ht="9.9499999999999993" hidden="1" customHeight="1" x14ac:dyDescent="0.2"/>
    <row r="12064" ht="9.9499999999999993" hidden="1" customHeight="1" x14ac:dyDescent="0.2"/>
    <row r="12065" ht="9.9499999999999993" hidden="1" customHeight="1" x14ac:dyDescent="0.2"/>
    <row r="12066" ht="9.9499999999999993" hidden="1" customHeight="1" x14ac:dyDescent="0.2"/>
    <row r="12067" ht="9.9499999999999993" hidden="1" customHeight="1" x14ac:dyDescent="0.2"/>
    <row r="12068" ht="9.9499999999999993" hidden="1" customHeight="1" x14ac:dyDescent="0.2"/>
    <row r="12069" ht="9.9499999999999993" hidden="1" customHeight="1" x14ac:dyDescent="0.2"/>
    <row r="12070" ht="9.9499999999999993" hidden="1" customHeight="1" x14ac:dyDescent="0.2"/>
    <row r="12071" ht="9.9499999999999993" hidden="1" customHeight="1" x14ac:dyDescent="0.2"/>
    <row r="12072" ht="9.9499999999999993" hidden="1" customHeight="1" x14ac:dyDescent="0.2"/>
    <row r="12073" ht="9.9499999999999993" hidden="1" customHeight="1" x14ac:dyDescent="0.2"/>
    <row r="12074" ht="9.9499999999999993" hidden="1" customHeight="1" x14ac:dyDescent="0.2"/>
    <row r="12075" ht="9.9499999999999993" hidden="1" customHeight="1" x14ac:dyDescent="0.2"/>
    <row r="12076" ht="9.9499999999999993" hidden="1" customHeight="1" x14ac:dyDescent="0.2"/>
    <row r="12077" ht="9.9499999999999993" hidden="1" customHeight="1" x14ac:dyDescent="0.2"/>
    <row r="12078" ht="9.9499999999999993" hidden="1" customHeight="1" x14ac:dyDescent="0.2"/>
    <row r="12079" ht="9.9499999999999993" hidden="1" customHeight="1" x14ac:dyDescent="0.2"/>
    <row r="12080" ht="9.9499999999999993" hidden="1" customHeight="1" x14ac:dyDescent="0.2"/>
    <row r="12081" ht="9.9499999999999993" hidden="1" customHeight="1" x14ac:dyDescent="0.2"/>
    <row r="12082" ht="9.9499999999999993" hidden="1" customHeight="1" x14ac:dyDescent="0.2"/>
    <row r="12083" ht="9.9499999999999993" hidden="1" customHeight="1" x14ac:dyDescent="0.2"/>
    <row r="12084" ht="9.9499999999999993" hidden="1" customHeight="1" x14ac:dyDescent="0.2"/>
    <row r="12085" ht="9.9499999999999993" hidden="1" customHeight="1" x14ac:dyDescent="0.2"/>
    <row r="12086" ht="9.9499999999999993" hidden="1" customHeight="1" x14ac:dyDescent="0.2"/>
    <row r="12087" ht="9.9499999999999993" hidden="1" customHeight="1" x14ac:dyDescent="0.2"/>
    <row r="12088" ht="9.9499999999999993" hidden="1" customHeight="1" x14ac:dyDescent="0.2"/>
    <row r="12089" ht="9.9499999999999993" hidden="1" customHeight="1" x14ac:dyDescent="0.2"/>
    <row r="12090" ht="9.9499999999999993" hidden="1" customHeight="1" x14ac:dyDescent="0.2"/>
    <row r="12091" ht="9.9499999999999993" hidden="1" customHeight="1" x14ac:dyDescent="0.2"/>
    <row r="12092" ht="9.9499999999999993" hidden="1" customHeight="1" x14ac:dyDescent="0.2"/>
    <row r="12093" ht="9.9499999999999993" hidden="1" customHeight="1" x14ac:dyDescent="0.2"/>
    <row r="12094" ht="9.9499999999999993" hidden="1" customHeight="1" x14ac:dyDescent="0.2"/>
    <row r="12095" ht="9.9499999999999993" hidden="1" customHeight="1" x14ac:dyDescent="0.2"/>
    <row r="12096" ht="9.9499999999999993" hidden="1" customHeight="1" x14ac:dyDescent="0.2"/>
    <row r="12097" ht="9.9499999999999993" hidden="1" customHeight="1" x14ac:dyDescent="0.2"/>
    <row r="12098" ht="9.9499999999999993" hidden="1" customHeight="1" x14ac:dyDescent="0.2"/>
    <row r="12099" ht="9.9499999999999993" hidden="1" customHeight="1" x14ac:dyDescent="0.2"/>
    <row r="12100" ht="9.9499999999999993" hidden="1" customHeight="1" x14ac:dyDescent="0.2"/>
    <row r="12101" ht="9.9499999999999993" hidden="1" customHeight="1" x14ac:dyDescent="0.2"/>
    <row r="12102" ht="9.9499999999999993" hidden="1" customHeight="1" x14ac:dyDescent="0.2"/>
    <row r="12103" ht="9.9499999999999993" hidden="1" customHeight="1" x14ac:dyDescent="0.2"/>
    <row r="12104" ht="9.9499999999999993" hidden="1" customHeight="1" x14ac:dyDescent="0.2"/>
    <row r="12105" ht="9.9499999999999993" hidden="1" customHeight="1" x14ac:dyDescent="0.2"/>
    <row r="12106" ht="9.9499999999999993" hidden="1" customHeight="1" x14ac:dyDescent="0.2"/>
    <row r="12107" ht="9.9499999999999993" hidden="1" customHeight="1" x14ac:dyDescent="0.2"/>
    <row r="12108" ht="9.9499999999999993" hidden="1" customHeight="1" x14ac:dyDescent="0.2"/>
    <row r="12109" ht="9.9499999999999993" hidden="1" customHeight="1" x14ac:dyDescent="0.2"/>
    <row r="12110" ht="9.9499999999999993" hidden="1" customHeight="1" x14ac:dyDescent="0.2"/>
    <row r="12111" ht="9.9499999999999993" hidden="1" customHeight="1" x14ac:dyDescent="0.2"/>
    <row r="12112" ht="9.9499999999999993" hidden="1" customHeight="1" x14ac:dyDescent="0.2"/>
    <row r="12113" ht="9.9499999999999993" hidden="1" customHeight="1" x14ac:dyDescent="0.2"/>
    <row r="12114" ht="9.9499999999999993" hidden="1" customHeight="1" x14ac:dyDescent="0.2"/>
    <row r="12115" ht="9.9499999999999993" hidden="1" customHeight="1" x14ac:dyDescent="0.2"/>
    <row r="12116" ht="9.9499999999999993" hidden="1" customHeight="1" x14ac:dyDescent="0.2"/>
    <row r="12117" ht="9.9499999999999993" hidden="1" customHeight="1" x14ac:dyDescent="0.2"/>
    <row r="12118" ht="9.9499999999999993" hidden="1" customHeight="1" x14ac:dyDescent="0.2"/>
    <row r="12119" ht="9.9499999999999993" hidden="1" customHeight="1" x14ac:dyDescent="0.2"/>
    <row r="12120" ht="9.9499999999999993" hidden="1" customHeight="1" x14ac:dyDescent="0.2"/>
    <row r="12121" ht="9.9499999999999993" hidden="1" customHeight="1" x14ac:dyDescent="0.2"/>
    <row r="12122" ht="9.9499999999999993" hidden="1" customHeight="1" x14ac:dyDescent="0.2"/>
    <row r="12123" ht="9.9499999999999993" hidden="1" customHeight="1" x14ac:dyDescent="0.2"/>
    <row r="12124" ht="9.9499999999999993" hidden="1" customHeight="1" x14ac:dyDescent="0.2"/>
    <row r="12125" ht="9.9499999999999993" hidden="1" customHeight="1" x14ac:dyDescent="0.2"/>
    <row r="12126" ht="9.9499999999999993" hidden="1" customHeight="1" x14ac:dyDescent="0.2"/>
    <row r="12127" ht="9.9499999999999993" hidden="1" customHeight="1" x14ac:dyDescent="0.2"/>
    <row r="12128" ht="9.9499999999999993" hidden="1" customHeight="1" x14ac:dyDescent="0.2"/>
    <row r="12129" ht="9.9499999999999993" hidden="1" customHeight="1" x14ac:dyDescent="0.2"/>
    <row r="12130" ht="9.9499999999999993" hidden="1" customHeight="1" x14ac:dyDescent="0.2"/>
    <row r="12131" ht="9.9499999999999993" hidden="1" customHeight="1" x14ac:dyDescent="0.2"/>
    <row r="12132" ht="9.9499999999999993" hidden="1" customHeight="1" x14ac:dyDescent="0.2"/>
    <row r="12133" ht="9.9499999999999993" hidden="1" customHeight="1" x14ac:dyDescent="0.2"/>
    <row r="12134" ht="9.9499999999999993" hidden="1" customHeight="1" x14ac:dyDescent="0.2"/>
    <row r="12135" ht="9.9499999999999993" hidden="1" customHeight="1" x14ac:dyDescent="0.2"/>
    <row r="12136" ht="9.9499999999999993" hidden="1" customHeight="1" x14ac:dyDescent="0.2"/>
    <row r="12137" ht="9.9499999999999993" hidden="1" customHeight="1" x14ac:dyDescent="0.2"/>
    <row r="12138" ht="9.9499999999999993" hidden="1" customHeight="1" x14ac:dyDescent="0.2"/>
    <row r="12139" ht="9.9499999999999993" hidden="1" customHeight="1" x14ac:dyDescent="0.2"/>
    <row r="12140" ht="9.9499999999999993" hidden="1" customHeight="1" x14ac:dyDescent="0.2"/>
    <row r="12141" ht="9.9499999999999993" hidden="1" customHeight="1" x14ac:dyDescent="0.2"/>
    <row r="12142" ht="9.9499999999999993" hidden="1" customHeight="1" x14ac:dyDescent="0.2"/>
    <row r="12143" ht="9.9499999999999993" hidden="1" customHeight="1" x14ac:dyDescent="0.2"/>
    <row r="12144" ht="9.9499999999999993" hidden="1" customHeight="1" x14ac:dyDescent="0.2"/>
    <row r="12145" ht="9.9499999999999993" hidden="1" customHeight="1" x14ac:dyDescent="0.2"/>
    <row r="12146" ht="9.9499999999999993" hidden="1" customHeight="1" x14ac:dyDescent="0.2"/>
    <row r="12147" ht="9.9499999999999993" hidden="1" customHeight="1" x14ac:dyDescent="0.2"/>
    <row r="12148" ht="9.9499999999999993" hidden="1" customHeight="1" x14ac:dyDescent="0.2"/>
    <row r="12149" ht="9.9499999999999993" hidden="1" customHeight="1" x14ac:dyDescent="0.2"/>
    <row r="12150" ht="9.9499999999999993" hidden="1" customHeight="1" x14ac:dyDescent="0.2"/>
    <row r="12151" ht="9.9499999999999993" hidden="1" customHeight="1" x14ac:dyDescent="0.2"/>
    <row r="12152" ht="9.9499999999999993" hidden="1" customHeight="1" x14ac:dyDescent="0.2"/>
    <row r="12153" ht="9.9499999999999993" hidden="1" customHeight="1" x14ac:dyDescent="0.2"/>
    <row r="12154" ht="9.9499999999999993" hidden="1" customHeight="1" x14ac:dyDescent="0.2"/>
    <row r="12155" ht="9.9499999999999993" hidden="1" customHeight="1" x14ac:dyDescent="0.2"/>
    <row r="12156" ht="9.9499999999999993" hidden="1" customHeight="1" x14ac:dyDescent="0.2"/>
    <row r="12157" ht="9.9499999999999993" hidden="1" customHeight="1" x14ac:dyDescent="0.2"/>
    <row r="12158" ht="9.9499999999999993" hidden="1" customHeight="1" x14ac:dyDescent="0.2"/>
    <row r="12159" ht="9.9499999999999993" hidden="1" customHeight="1" x14ac:dyDescent="0.2"/>
    <row r="12160" ht="9.9499999999999993" hidden="1" customHeight="1" x14ac:dyDescent="0.2"/>
    <row r="12161" ht="9.9499999999999993" hidden="1" customHeight="1" x14ac:dyDescent="0.2"/>
    <row r="12162" ht="9.9499999999999993" hidden="1" customHeight="1" x14ac:dyDescent="0.2"/>
    <row r="12163" ht="9.9499999999999993" hidden="1" customHeight="1" x14ac:dyDescent="0.2"/>
    <row r="12164" ht="9.9499999999999993" hidden="1" customHeight="1" x14ac:dyDescent="0.2"/>
    <row r="12165" ht="9.9499999999999993" hidden="1" customHeight="1" x14ac:dyDescent="0.2"/>
    <row r="12166" ht="9.9499999999999993" hidden="1" customHeight="1" x14ac:dyDescent="0.2"/>
    <row r="12167" ht="9.9499999999999993" hidden="1" customHeight="1" x14ac:dyDescent="0.2"/>
    <row r="12168" ht="9.9499999999999993" hidden="1" customHeight="1" x14ac:dyDescent="0.2"/>
    <row r="12169" ht="9.9499999999999993" hidden="1" customHeight="1" x14ac:dyDescent="0.2"/>
    <row r="12170" ht="9.9499999999999993" hidden="1" customHeight="1" x14ac:dyDescent="0.2"/>
    <row r="12171" ht="9.9499999999999993" hidden="1" customHeight="1" x14ac:dyDescent="0.2"/>
    <row r="12172" ht="9.9499999999999993" hidden="1" customHeight="1" x14ac:dyDescent="0.2"/>
    <row r="12173" ht="9.9499999999999993" hidden="1" customHeight="1" x14ac:dyDescent="0.2"/>
    <row r="12174" ht="9.9499999999999993" hidden="1" customHeight="1" x14ac:dyDescent="0.2"/>
    <row r="12175" ht="9.9499999999999993" hidden="1" customHeight="1" x14ac:dyDescent="0.2"/>
    <row r="12176" ht="9.9499999999999993" hidden="1" customHeight="1" x14ac:dyDescent="0.2"/>
    <row r="12177" ht="9.9499999999999993" hidden="1" customHeight="1" x14ac:dyDescent="0.2"/>
    <row r="12178" ht="9.9499999999999993" hidden="1" customHeight="1" x14ac:dyDescent="0.2"/>
    <row r="12179" ht="9.9499999999999993" hidden="1" customHeight="1" x14ac:dyDescent="0.2"/>
    <row r="12180" ht="9.9499999999999993" hidden="1" customHeight="1" x14ac:dyDescent="0.2"/>
    <row r="12181" ht="9.9499999999999993" hidden="1" customHeight="1" x14ac:dyDescent="0.2"/>
    <row r="12182" ht="9.9499999999999993" hidden="1" customHeight="1" x14ac:dyDescent="0.2"/>
    <row r="12183" ht="9.9499999999999993" hidden="1" customHeight="1" x14ac:dyDescent="0.2"/>
    <row r="12184" ht="9.9499999999999993" hidden="1" customHeight="1" x14ac:dyDescent="0.2"/>
    <row r="12185" ht="9.9499999999999993" hidden="1" customHeight="1" x14ac:dyDescent="0.2"/>
    <row r="12186" ht="9.9499999999999993" hidden="1" customHeight="1" x14ac:dyDescent="0.2"/>
    <row r="12187" ht="9.9499999999999993" hidden="1" customHeight="1" x14ac:dyDescent="0.2"/>
    <row r="12188" ht="9.9499999999999993" hidden="1" customHeight="1" x14ac:dyDescent="0.2"/>
    <row r="12189" ht="9.9499999999999993" hidden="1" customHeight="1" x14ac:dyDescent="0.2"/>
    <row r="12190" ht="9.9499999999999993" hidden="1" customHeight="1" x14ac:dyDescent="0.2"/>
    <row r="12191" ht="9.9499999999999993" hidden="1" customHeight="1" x14ac:dyDescent="0.2"/>
    <row r="12192" ht="9.9499999999999993" hidden="1" customHeight="1" x14ac:dyDescent="0.2"/>
    <row r="12193" ht="9.9499999999999993" hidden="1" customHeight="1" x14ac:dyDescent="0.2"/>
    <row r="12194" ht="9.9499999999999993" hidden="1" customHeight="1" x14ac:dyDescent="0.2"/>
    <row r="12195" ht="9.9499999999999993" hidden="1" customHeight="1" x14ac:dyDescent="0.2"/>
    <row r="12196" ht="9.9499999999999993" hidden="1" customHeight="1" x14ac:dyDescent="0.2"/>
    <row r="12197" ht="9.9499999999999993" hidden="1" customHeight="1" x14ac:dyDescent="0.2"/>
    <row r="12198" ht="9.9499999999999993" hidden="1" customHeight="1" x14ac:dyDescent="0.2"/>
    <row r="12199" ht="9.9499999999999993" hidden="1" customHeight="1" x14ac:dyDescent="0.2"/>
    <row r="12200" ht="9.9499999999999993" hidden="1" customHeight="1" x14ac:dyDescent="0.2"/>
    <row r="12201" ht="9.9499999999999993" hidden="1" customHeight="1" x14ac:dyDescent="0.2"/>
    <row r="12202" ht="9.9499999999999993" hidden="1" customHeight="1" x14ac:dyDescent="0.2"/>
    <row r="12203" ht="9.9499999999999993" hidden="1" customHeight="1" x14ac:dyDescent="0.2"/>
    <row r="12204" ht="9.9499999999999993" hidden="1" customHeight="1" x14ac:dyDescent="0.2"/>
    <row r="12205" ht="9.9499999999999993" hidden="1" customHeight="1" x14ac:dyDescent="0.2"/>
    <row r="12206" ht="9.9499999999999993" hidden="1" customHeight="1" x14ac:dyDescent="0.2"/>
    <row r="12207" ht="9.9499999999999993" hidden="1" customHeight="1" x14ac:dyDescent="0.2"/>
    <row r="12208" ht="9.9499999999999993" hidden="1" customHeight="1" x14ac:dyDescent="0.2"/>
    <row r="12209" ht="9.9499999999999993" hidden="1" customHeight="1" x14ac:dyDescent="0.2"/>
    <row r="12210" ht="9.9499999999999993" hidden="1" customHeight="1" x14ac:dyDescent="0.2"/>
    <row r="12211" ht="9.9499999999999993" hidden="1" customHeight="1" x14ac:dyDescent="0.2"/>
    <row r="12212" ht="9.9499999999999993" hidden="1" customHeight="1" x14ac:dyDescent="0.2"/>
    <row r="12213" ht="9.9499999999999993" hidden="1" customHeight="1" x14ac:dyDescent="0.2"/>
    <row r="12214" ht="9.9499999999999993" hidden="1" customHeight="1" x14ac:dyDescent="0.2"/>
    <row r="12215" ht="9.9499999999999993" hidden="1" customHeight="1" x14ac:dyDescent="0.2"/>
    <row r="12216" ht="9.9499999999999993" hidden="1" customHeight="1" x14ac:dyDescent="0.2"/>
    <row r="12217" ht="9.9499999999999993" hidden="1" customHeight="1" x14ac:dyDescent="0.2"/>
    <row r="12218" ht="9.9499999999999993" hidden="1" customHeight="1" x14ac:dyDescent="0.2"/>
    <row r="12219" ht="9.9499999999999993" hidden="1" customHeight="1" x14ac:dyDescent="0.2"/>
    <row r="12220" ht="9.9499999999999993" hidden="1" customHeight="1" x14ac:dyDescent="0.2"/>
    <row r="12221" ht="9.9499999999999993" hidden="1" customHeight="1" x14ac:dyDescent="0.2"/>
    <row r="12222" ht="9.9499999999999993" hidden="1" customHeight="1" x14ac:dyDescent="0.2"/>
    <row r="12223" ht="9.9499999999999993" hidden="1" customHeight="1" x14ac:dyDescent="0.2"/>
    <row r="12224" ht="9.9499999999999993" hidden="1" customHeight="1" x14ac:dyDescent="0.2"/>
    <row r="12225" ht="9.9499999999999993" hidden="1" customHeight="1" x14ac:dyDescent="0.2"/>
    <row r="12226" ht="9.9499999999999993" hidden="1" customHeight="1" x14ac:dyDescent="0.2"/>
    <row r="12227" ht="9.9499999999999993" hidden="1" customHeight="1" x14ac:dyDescent="0.2"/>
    <row r="12228" ht="9.9499999999999993" hidden="1" customHeight="1" x14ac:dyDescent="0.2"/>
    <row r="12229" ht="9.9499999999999993" hidden="1" customHeight="1" x14ac:dyDescent="0.2"/>
    <row r="12230" ht="9.9499999999999993" hidden="1" customHeight="1" x14ac:dyDescent="0.2"/>
    <row r="12231" ht="9.9499999999999993" hidden="1" customHeight="1" x14ac:dyDescent="0.2"/>
    <row r="12232" ht="9.9499999999999993" hidden="1" customHeight="1" x14ac:dyDescent="0.2"/>
    <row r="12233" ht="9.9499999999999993" hidden="1" customHeight="1" x14ac:dyDescent="0.2"/>
    <row r="12234" ht="9.9499999999999993" hidden="1" customHeight="1" x14ac:dyDescent="0.2"/>
    <row r="12235" ht="9.9499999999999993" hidden="1" customHeight="1" x14ac:dyDescent="0.2"/>
    <row r="12236" ht="9.9499999999999993" hidden="1" customHeight="1" x14ac:dyDescent="0.2"/>
    <row r="12237" ht="9.9499999999999993" hidden="1" customHeight="1" x14ac:dyDescent="0.2"/>
    <row r="12238" ht="9.9499999999999993" hidden="1" customHeight="1" x14ac:dyDescent="0.2"/>
    <row r="12239" ht="9.9499999999999993" hidden="1" customHeight="1" x14ac:dyDescent="0.2"/>
    <row r="12240" ht="9.9499999999999993" hidden="1" customHeight="1" x14ac:dyDescent="0.2"/>
    <row r="12241" ht="9.9499999999999993" hidden="1" customHeight="1" x14ac:dyDescent="0.2"/>
    <row r="12242" ht="9.9499999999999993" hidden="1" customHeight="1" x14ac:dyDescent="0.2"/>
    <row r="12243" ht="9.9499999999999993" hidden="1" customHeight="1" x14ac:dyDescent="0.2"/>
    <row r="12244" ht="9.9499999999999993" hidden="1" customHeight="1" x14ac:dyDescent="0.2"/>
    <row r="12245" ht="9.9499999999999993" hidden="1" customHeight="1" x14ac:dyDescent="0.2"/>
    <row r="12246" ht="9.9499999999999993" hidden="1" customHeight="1" x14ac:dyDescent="0.2"/>
    <row r="12247" ht="9.9499999999999993" hidden="1" customHeight="1" x14ac:dyDescent="0.2"/>
    <row r="12248" ht="9.9499999999999993" hidden="1" customHeight="1" x14ac:dyDescent="0.2"/>
    <row r="12249" ht="9.9499999999999993" hidden="1" customHeight="1" x14ac:dyDescent="0.2"/>
    <row r="12250" ht="9.9499999999999993" hidden="1" customHeight="1" x14ac:dyDescent="0.2"/>
    <row r="12251" ht="9.9499999999999993" hidden="1" customHeight="1" x14ac:dyDescent="0.2"/>
    <row r="12252" ht="9.9499999999999993" hidden="1" customHeight="1" x14ac:dyDescent="0.2"/>
    <row r="12253" ht="9.9499999999999993" hidden="1" customHeight="1" x14ac:dyDescent="0.2"/>
    <row r="12254" ht="9.9499999999999993" hidden="1" customHeight="1" x14ac:dyDescent="0.2"/>
    <row r="12255" ht="9.9499999999999993" hidden="1" customHeight="1" x14ac:dyDescent="0.2"/>
    <row r="12256" ht="9.9499999999999993" hidden="1" customHeight="1" x14ac:dyDescent="0.2"/>
    <row r="12257" ht="9.9499999999999993" hidden="1" customHeight="1" x14ac:dyDescent="0.2"/>
    <row r="12258" ht="9.9499999999999993" hidden="1" customHeight="1" x14ac:dyDescent="0.2"/>
    <row r="12259" ht="9.9499999999999993" hidden="1" customHeight="1" x14ac:dyDescent="0.2"/>
    <row r="12260" ht="9.9499999999999993" hidden="1" customHeight="1" x14ac:dyDescent="0.2"/>
    <row r="12261" ht="9.9499999999999993" hidden="1" customHeight="1" x14ac:dyDescent="0.2"/>
    <row r="12262" ht="9.9499999999999993" hidden="1" customHeight="1" x14ac:dyDescent="0.2"/>
    <row r="12263" ht="9.9499999999999993" hidden="1" customHeight="1" x14ac:dyDescent="0.2"/>
    <row r="12264" ht="9.9499999999999993" hidden="1" customHeight="1" x14ac:dyDescent="0.2"/>
    <row r="12265" ht="9.9499999999999993" hidden="1" customHeight="1" x14ac:dyDescent="0.2"/>
    <row r="12266" ht="9.9499999999999993" hidden="1" customHeight="1" x14ac:dyDescent="0.2"/>
    <row r="12267" ht="9.9499999999999993" hidden="1" customHeight="1" x14ac:dyDescent="0.2"/>
    <row r="12268" ht="9.9499999999999993" hidden="1" customHeight="1" x14ac:dyDescent="0.2"/>
    <row r="12269" ht="9.9499999999999993" hidden="1" customHeight="1" x14ac:dyDescent="0.2"/>
    <row r="12270" ht="9.9499999999999993" hidden="1" customHeight="1" x14ac:dyDescent="0.2"/>
    <row r="12271" ht="9.9499999999999993" hidden="1" customHeight="1" x14ac:dyDescent="0.2"/>
    <row r="12272" ht="9.9499999999999993" hidden="1" customHeight="1" x14ac:dyDescent="0.2"/>
    <row r="12273" ht="9.9499999999999993" hidden="1" customHeight="1" x14ac:dyDescent="0.2"/>
    <row r="12274" ht="9.9499999999999993" hidden="1" customHeight="1" x14ac:dyDescent="0.2"/>
    <row r="12275" ht="9.9499999999999993" hidden="1" customHeight="1" x14ac:dyDescent="0.2"/>
    <row r="12276" ht="9.9499999999999993" hidden="1" customHeight="1" x14ac:dyDescent="0.2"/>
    <row r="12277" ht="9.9499999999999993" hidden="1" customHeight="1" x14ac:dyDescent="0.2"/>
    <row r="12278" ht="9.9499999999999993" hidden="1" customHeight="1" x14ac:dyDescent="0.2"/>
    <row r="12279" ht="9.9499999999999993" hidden="1" customHeight="1" x14ac:dyDescent="0.2"/>
    <row r="12280" ht="9.9499999999999993" hidden="1" customHeight="1" x14ac:dyDescent="0.2"/>
    <row r="12281" ht="9.9499999999999993" hidden="1" customHeight="1" x14ac:dyDescent="0.2"/>
    <row r="12282" ht="9.9499999999999993" hidden="1" customHeight="1" x14ac:dyDescent="0.2"/>
    <row r="12283" ht="9.9499999999999993" hidden="1" customHeight="1" x14ac:dyDescent="0.2"/>
    <row r="12284" ht="9.9499999999999993" hidden="1" customHeight="1" x14ac:dyDescent="0.2"/>
    <row r="12285" ht="9.9499999999999993" hidden="1" customHeight="1" x14ac:dyDescent="0.2"/>
    <row r="12286" ht="9.9499999999999993" hidden="1" customHeight="1" x14ac:dyDescent="0.2"/>
    <row r="12287" ht="9.9499999999999993" hidden="1" customHeight="1" x14ac:dyDescent="0.2"/>
    <row r="12288" ht="9.9499999999999993" hidden="1" customHeight="1" x14ac:dyDescent="0.2"/>
    <row r="12289" ht="9.9499999999999993" hidden="1" customHeight="1" x14ac:dyDescent="0.2"/>
    <row r="12290" ht="9.9499999999999993" hidden="1" customHeight="1" x14ac:dyDescent="0.2"/>
    <row r="12291" ht="9.9499999999999993" hidden="1" customHeight="1" x14ac:dyDescent="0.2"/>
    <row r="12292" ht="9.9499999999999993" hidden="1" customHeight="1" x14ac:dyDescent="0.2"/>
    <row r="12293" ht="9.9499999999999993" hidden="1" customHeight="1" x14ac:dyDescent="0.2"/>
    <row r="12294" ht="9.9499999999999993" hidden="1" customHeight="1" x14ac:dyDescent="0.2"/>
    <row r="12295" ht="9.9499999999999993" hidden="1" customHeight="1" x14ac:dyDescent="0.2"/>
    <row r="12296" ht="9.9499999999999993" hidden="1" customHeight="1" x14ac:dyDescent="0.2"/>
    <row r="12297" ht="9.9499999999999993" hidden="1" customHeight="1" x14ac:dyDescent="0.2"/>
    <row r="12298" ht="9.9499999999999993" hidden="1" customHeight="1" x14ac:dyDescent="0.2"/>
    <row r="12299" ht="9.9499999999999993" hidden="1" customHeight="1" x14ac:dyDescent="0.2"/>
    <row r="12300" ht="9.9499999999999993" hidden="1" customHeight="1" x14ac:dyDescent="0.2"/>
    <row r="12301" ht="9.9499999999999993" hidden="1" customHeight="1" x14ac:dyDescent="0.2"/>
    <row r="12302" ht="9.9499999999999993" hidden="1" customHeight="1" x14ac:dyDescent="0.2"/>
    <row r="12303" ht="9.9499999999999993" hidden="1" customHeight="1" x14ac:dyDescent="0.2"/>
    <row r="12304" ht="9.9499999999999993" hidden="1" customHeight="1" x14ac:dyDescent="0.2"/>
    <row r="12305" ht="9.9499999999999993" hidden="1" customHeight="1" x14ac:dyDescent="0.2"/>
    <row r="12306" ht="9.9499999999999993" hidden="1" customHeight="1" x14ac:dyDescent="0.2"/>
    <row r="12307" ht="9.9499999999999993" hidden="1" customHeight="1" x14ac:dyDescent="0.2"/>
    <row r="12308" ht="9.9499999999999993" hidden="1" customHeight="1" x14ac:dyDescent="0.2"/>
    <row r="12309" ht="9.9499999999999993" hidden="1" customHeight="1" x14ac:dyDescent="0.2"/>
    <row r="12310" ht="9.9499999999999993" hidden="1" customHeight="1" x14ac:dyDescent="0.2"/>
    <row r="12311" ht="9.9499999999999993" hidden="1" customHeight="1" x14ac:dyDescent="0.2"/>
    <row r="12312" ht="9.9499999999999993" hidden="1" customHeight="1" x14ac:dyDescent="0.2"/>
    <row r="12313" ht="9.9499999999999993" hidden="1" customHeight="1" x14ac:dyDescent="0.2"/>
    <row r="12314" ht="9.9499999999999993" hidden="1" customHeight="1" x14ac:dyDescent="0.2"/>
    <row r="12315" ht="9.9499999999999993" hidden="1" customHeight="1" x14ac:dyDescent="0.2"/>
    <row r="12316" ht="9.9499999999999993" hidden="1" customHeight="1" x14ac:dyDescent="0.2"/>
    <row r="12317" ht="9.9499999999999993" hidden="1" customHeight="1" x14ac:dyDescent="0.2"/>
    <row r="12318" ht="9.9499999999999993" hidden="1" customHeight="1" x14ac:dyDescent="0.2"/>
    <row r="12319" ht="9.9499999999999993" hidden="1" customHeight="1" x14ac:dyDescent="0.2"/>
    <row r="12320" ht="9.9499999999999993" hidden="1" customHeight="1" x14ac:dyDescent="0.2"/>
    <row r="12321" ht="9.9499999999999993" hidden="1" customHeight="1" x14ac:dyDescent="0.2"/>
    <row r="12322" ht="9.9499999999999993" hidden="1" customHeight="1" x14ac:dyDescent="0.2"/>
    <row r="12323" ht="9.9499999999999993" hidden="1" customHeight="1" x14ac:dyDescent="0.2"/>
    <row r="12324" ht="9.9499999999999993" hidden="1" customHeight="1" x14ac:dyDescent="0.2"/>
    <row r="12325" ht="9.9499999999999993" hidden="1" customHeight="1" x14ac:dyDescent="0.2"/>
    <row r="12326" ht="9.9499999999999993" hidden="1" customHeight="1" x14ac:dyDescent="0.2"/>
    <row r="12327" ht="9.9499999999999993" hidden="1" customHeight="1" x14ac:dyDescent="0.2"/>
    <row r="12328" ht="9.9499999999999993" hidden="1" customHeight="1" x14ac:dyDescent="0.2"/>
    <row r="12329" ht="9.9499999999999993" hidden="1" customHeight="1" x14ac:dyDescent="0.2"/>
    <row r="12330" ht="9.9499999999999993" hidden="1" customHeight="1" x14ac:dyDescent="0.2"/>
    <row r="12331" ht="9.9499999999999993" hidden="1" customHeight="1" x14ac:dyDescent="0.2"/>
    <row r="12332" ht="9.9499999999999993" hidden="1" customHeight="1" x14ac:dyDescent="0.2"/>
    <row r="12333" ht="9.9499999999999993" hidden="1" customHeight="1" x14ac:dyDescent="0.2"/>
    <row r="12334" ht="9.9499999999999993" hidden="1" customHeight="1" x14ac:dyDescent="0.2"/>
    <row r="12335" ht="9.9499999999999993" hidden="1" customHeight="1" x14ac:dyDescent="0.2"/>
    <row r="12336" ht="9.9499999999999993" hidden="1" customHeight="1" x14ac:dyDescent="0.2"/>
    <row r="12337" ht="9.9499999999999993" hidden="1" customHeight="1" x14ac:dyDescent="0.2"/>
    <row r="12338" ht="9.9499999999999993" hidden="1" customHeight="1" x14ac:dyDescent="0.2"/>
    <row r="12339" ht="9.9499999999999993" hidden="1" customHeight="1" x14ac:dyDescent="0.2"/>
    <row r="12340" ht="9.9499999999999993" hidden="1" customHeight="1" x14ac:dyDescent="0.2"/>
    <row r="12341" ht="9.9499999999999993" hidden="1" customHeight="1" x14ac:dyDescent="0.2"/>
    <row r="12342" ht="9.9499999999999993" hidden="1" customHeight="1" x14ac:dyDescent="0.2"/>
    <row r="12343" ht="9.9499999999999993" hidden="1" customHeight="1" x14ac:dyDescent="0.2"/>
    <row r="12344" ht="9.9499999999999993" hidden="1" customHeight="1" x14ac:dyDescent="0.2"/>
    <row r="12345" ht="9.9499999999999993" hidden="1" customHeight="1" x14ac:dyDescent="0.2"/>
    <row r="12346" ht="9.9499999999999993" hidden="1" customHeight="1" x14ac:dyDescent="0.2"/>
    <row r="12347" ht="9.9499999999999993" hidden="1" customHeight="1" x14ac:dyDescent="0.2"/>
    <row r="12348" ht="9.9499999999999993" hidden="1" customHeight="1" x14ac:dyDescent="0.2"/>
    <row r="12349" ht="9.9499999999999993" hidden="1" customHeight="1" x14ac:dyDescent="0.2"/>
    <row r="12350" ht="9.9499999999999993" hidden="1" customHeight="1" x14ac:dyDescent="0.2"/>
    <row r="12351" ht="9.9499999999999993" hidden="1" customHeight="1" x14ac:dyDescent="0.2"/>
    <row r="12352" ht="9.9499999999999993" hidden="1" customHeight="1" x14ac:dyDescent="0.2"/>
    <row r="12353" ht="9.9499999999999993" hidden="1" customHeight="1" x14ac:dyDescent="0.2"/>
    <row r="12354" ht="9.9499999999999993" hidden="1" customHeight="1" x14ac:dyDescent="0.2"/>
    <row r="12355" ht="9.9499999999999993" hidden="1" customHeight="1" x14ac:dyDescent="0.2"/>
    <row r="12356" ht="9.9499999999999993" hidden="1" customHeight="1" x14ac:dyDescent="0.2"/>
    <row r="12357" ht="9.9499999999999993" hidden="1" customHeight="1" x14ac:dyDescent="0.2"/>
    <row r="12358" ht="9.9499999999999993" hidden="1" customHeight="1" x14ac:dyDescent="0.2"/>
    <row r="12359" ht="9.9499999999999993" hidden="1" customHeight="1" x14ac:dyDescent="0.2"/>
    <row r="12360" ht="9.9499999999999993" hidden="1" customHeight="1" x14ac:dyDescent="0.2"/>
    <row r="12361" ht="9.9499999999999993" hidden="1" customHeight="1" x14ac:dyDescent="0.2"/>
    <row r="12362" ht="9.9499999999999993" hidden="1" customHeight="1" x14ac:dyDescent="0.2"/>
    <row r="12363" ht="9.9499999999999993" hidden="1" customHeight="1" x14ac:dyDescent="0.2"/>
    <row r="12364" ht="9.9499999999999993" hidden="1" customHeight="1" x14ac:dyDescent="0.2"/>
    <row r="12365" ht="9.9499999999999993" hidden="1" customHeight="1" x14ac:dyDescent="0.2"/>
    <row r="12366" ht="9.9499999999999993" hidden="1" customHeight="1" x14ac:dyDescent="0.2"/>
    <row r="12367" ht="9.9499999999999993" hidden="1" customHeight="1" x14ac:dyDescent="0.2"/>
    <row r="12368" ht="9.9499999999999993" hidden="1" customHeight="1" x14ac:dyDescent="0.2"/>
    <row r="12369" ht="9.9499999999999993" hidden="1" customHeight="1" x14ac:dyDescent="0.2"/>
    <row r="12370" ht="9.9499999999999993" hidden="1" customHeight="1" x14ac:dyDescent="0.2"/>
    <row r="12371" ht="9.9499999999999993" hidden="1" customHeight="1" x14ac:dyDescent="0.2"/>
    <row r="12372" ht="9.9499999999999993" hidden="1" customHeight="1" x14ac:dyDescent="0.2"/>
    <row r="12373" ht="9.9499999999999993" hidden="1" customHeight="1" x14ac:dyDescent="0.2"/>
    <row r="12374" ht="9.9499999999999993" hidden="1" customHeight="1" x14ac:dyDescent="0.2"/>
    <row r="12375" ht="9.9499999999999993" hidden="1" customHeight="1" x14ac:dyDescent="0.2"/>
    <row r="12376" ht="9.9499999999999993" hidden="1" customHeight="1" x14ac:dyDescent="0.2"/>
    <row r="12377" ht="9.9499999999999993" hidden="1" customHeight="1" x14ac:dyDescent="0.2"/>
    <row r="12378" ht="9.9499999999999993" hidden="1" customHeight="1" x14ac:dyDescent="0.2"/>
    <row r="12379" ht="9.9499999999999993" hidden="1" customHeight="1" x14ac:dyDescent="0.2"/>
    <row r="12380" ht="9.9499999999999993" hidden="1" customHeight="1" x14ac:dyDescent="0.2"/>
    <row r="12381" ht="9.9499999999999993" hidden="1" customHeight="1" x14ac:dyDescent="0.2"/>
    <row r="12382" ht="9.9499999999999993" hidden="1" customHeight="1" x14ac:dyDescent="0.2"/>
    <row r="12383" ht="9.9499999999999993" hidden="1" customHeight="1" x14ac:dyDescent="0.2"/>
    <row r="12384" ht="9.9499999999999993" hidden="1" customHeight="1" x14ac:dyDescent="0.2"/>
    <row r="12385" ht="9.9499999999999993" hidden="1" customHeight="1" x14ac:dyDescent="0.2"/>
    <row r="12386" ht="9.9499999999999993" hidden="1" customHeight="1" x14ac:dyDescent="0.2"/>
    <row r="12387" ht="9.9499999999999993" hidden="1" customHeight="1" x14ac:dyDescent="0.2"/>
    <row r="12388" ht="9.9499999999999993" hidden="1" customHeight="1" x14ac:dyDescent="0.2"/>
    <row r="12389" ht="9.9499999999999993" hidden="1" customHeight="1" x14ac:dyDescent="0.2"/>
    <row r="12390" ht="9.9499999999999993" hidden="1" customHeight="1" x14ac:dyDescent="0.2"/>
    <row r="12391" ht="9.9499999999999993" hidden="1" customHeight="1" x14ac:dyDescent="0.2"/>
    <row r="12392" ht="9.9499999999999993" hidden="1" customHeight="1" x14ac:dyDescent="0.2"/>
    <row r="12393" ht="9.9499999999999993" hidden="1" customHeight="1" x14ac:dyDescent="0.2"/>
    <row r="12394" ht="9.9499999999999993" hidden="1" customHeight="1" x14ac:dyDescent="0.2"/>
    <row r="12395" ht="9.9499999999999993" hidden="1" customHeight="1" x14ac:dyDescent="0.2"/>
    <row r="12396" ht="9.9499999999999993" hidden="1" customHeight="1" x14ac:dyDescent="0.2"/>
    <row r="12397" ht="9.9499999999999993" hidden="1" customHeight="1" x14ac:dyDescent="0.2"/>
    <row r="12398" ht="9.9499999999999993" hidden="1" customHeight="1" x14ac:dyDescent="0.2"/>
    <row r="12399" ht="9.9499999999999993" hidden="1" customHeight="1" x14ac:dyDescent="0.2"/>
    <row r="12400" ht="9.9499999999999993" hidden="1" customHeight="1" x14ac:dyDescent="0.2"/>
    <row r="12401" ht="9.9499999999999993" hidden="1" customHeight="1" x14ac:dyDescent="0.2"/>
    <row r="12402" ht="9.9499999999999993" hidden="1" customHeight="1" x14ac:dyDescent="0.2"/>
    <row r="12403" ht="9.9499999999999993" hidden="1" customHeight="1" x14ac:dyDescent="0.2"/>
    <row r="12404" ht="9.9499999999999993" hidden="1" customHeight="1" x14ac:dyDescent="0.2"/>
    <row r="12405" ht="9.9499999999999993" hidden="1" customHeight="1" x14ac:dyDescent="0.2"/>
    <row r="12406" ht="9.9499999999999993" hidden="1" customHeight="1" x14ac:dyDescent="0.2"/>
    <row r="12407" ht="9.9499999999999993" hidden="1" customHeight="1" x14ac:dyDescent="0.2"/>
    <row r="12408" ht="9.9499999999999993" hidden="1" customHeight="1" x14ac:dyDescent="0.2"/>
    <row r="12409" ht="9.9499999999999993" hidden="1" customHeight="1" x14ac:dyDescent="0.2"/>
    <row r="12410" ht="9.9499999999999993" hidden="1" customHeight="1" x14ac:dyDescent="0.2"/>
    <row r="12411" ht="9.9499999999999993" hidden="1" customHeight="1" x14ac:dyDescent="0.2"/>
    <row r="12412" ht="9.9499999999999993" hidden="1" customHeight="1" x14ac:dyDescent="0.2"/>
    <row r="12413" ht="9.9499999999999993" hidden="1" customHeight="1" x14ac:dyDescent="0.2"/>
    <row r="12414" ht="9.9499999999999993" hidden="1" customHeight="1" x14ac:dyDescent="0.2"/>
    <row r="12415" ht="9.9499999999999993" hidden="1" customHeight="1" x14ac:dyDescent="0.2"/>
    <row r="12416" ht="9.9499999999999993" hidden="1" customHeight="1" x14ac:dyDescent="0.2"/>
    <row r="12417" ht="9.9499999999999993" hidden="1" customHeight="1" x14ac:dyDescent="0.2"/>
    <row r="12418" ht="9.9499999999999993" hidden="1" customHeight="1" x14ac:dyDescent="0.2"/>
    <row r="12419" ht="9.9499999999999993" hidden="1" customHeight="1" x14ac:dyDescent="0.2"/>
    <row r="12420" ht="9.9499999999999993" hidden="1" customHeight="1" x14ac:dyDescent="0.2"/>
    <row r="12421" ht="9.9499999999999993" hidden="1" customHeight="1" x14ac:dyDescent="0.2"/>
    <row r="12422" ht="9.9499999999999993" hidden="1" customHeight="1" x14ac:dyDescent="0.2"/>
    <row r="12423" ht="9.9499999999999993" hidden="1" customHeight="1" x14ac:dyDescent="0.2"/>
    <row r="12424" ht="9.9499999999999993" hidden="1" customHeight="1" x14ac:dyDescent="0.2"/>
    <row r="12425" ht="9.9499999999999993" hidden="1" customHeight="1" x14ac:dyDescent="0.2"/>
    <row r="12426" ht="9.9499999999999993" hidden="1" customHeight="1" x14ac:dyDescent="0.2"/>
    <row r="12427" ht="9.9499999999999993" hidden="1" customHeight="1" x14ac:dyDescent="0.2"/>
    <row r="12428" ht="9.9499999999999993" hidden="1" customHeight="1" x14ac:dyDescent="0.2"/>
    <row r="12429" ht="9.9499999999999993" hidden="1" customHeight="1" x14ac:dyDescent="0.2"/>
    <row r="12430" ht="9.9499999999999993" hidden="1" customHeight="1" x14ac:dyDescent="0.2"/>
    <row r="12431" ht="9.9499999999999993" hidden="1" customHeight="1" x14ac:dyDescent="0.2"/>
    <row r="12432" ht="9.9499999999999993" hidden="1" customHeight="1" x14ac:dyDescent="0.2"/>
    <row r="12433" ht="9.9499999999999993" hidden="1" customHeight="1" x14ac:dyDescent="0.2"/>
    <row r="12434" ht="9.9499999999999993" hidden="1" customHeight="1" x14ac:dyDescent="0.2"/>
    <row r="12435" ht="9.9499999999999993" hidden="1" customHeight="1" x14ac:dyDescent="0.2"/>
    <row r="12436" ht="9.9499999999999993" hidden="1" customHeight="1" x14ac:dyDescent="0.2"/>
    <row r="12437" ht="9.9499999999999993" hidden="1" customHeight="1" x14ac:dyDescent="0.2"/>
    <row r="12438" ht="9.9499999999999993" hidden="1" customHeight="1" x14ac:dyDescent="0.2"/>
    <row r="12439" ht="9.9499999999999993" hidden="1" customHeight="1" x14ac:dyDescent="0.2"/>
    <row r="12440" ht="9.9499999999999993" hidden="1" customHeight="1" x14ac:dyDescent="0.2"/>
    <row r="12441" ht="9.9499999999999993" hidden="1" customHeight="1" x14ac:dyDescent="0.2"/>
    <row r="12442" ht="9.9499999999999993" hidden="1" customHeight="1" x14ac:dyDescent="0.2"/>
    <row r="12443" ht="9.9499999999999993" hidden="1" customHeight="1" x14ac:dyDescent="0.2"/>
    <row r="12444" ht="9.9499999999999993" hidden="1" customHeight="1" x14ac:dyDescent="0.2"/>
    <row r="12445" ht="9.9499999999999993" hidden="1" customHeight="1" x14ac:dyDescent="0.2"/>
    <row r="12446" ht="9.9499999999999993" hidden="1" customHeight="1" x14ac:dyDescent="0.2"/>
    <row r="12447" ht="9.9499999999999993" hidden="1" customHeight="1" x14ac:dyDescent="0.2"/>
    <row r="12448" ht="9.9499999999999993" hidden="1" customHeight="1" x14ac:dyDescent="0.2"/>
    <row r="12449" ht="9.9499999999999993" hidden="1" customHeight="1" x14ac:dyDescent="0.2"/>
    <row r="12450" ht="9.9499999999999993" hidden="1" customHeight="1" x14ac:dyDescent="0.2"/>
    <row r="12451" ht="9.9499999999999993" hidden="1" customHeight="1" x14ac:dyDescent="0.2"/>
    <row r="12452" ht="9.9499999999999993" hidden="1" customHeight="1" x14ac:dyDescent="0.2"/>
    <row r="12453" ht="9.9499999999999993" hidden="1" customHeight="1" x14ac:dyDescent="0.2"/>
    <row r="12454" ht="9.9499999999999993" hidden="1" customHeight="1" x14ac:dyDescent="0.2"/>
    <row r="12455" ht="9.9499999999999993" hidden="1" customHeight="1" x14ac:dyDescent="0.2"/>
    <row r="12456" ht="9.9499999999999993" hidden="1" customHeight="1" x14ac:dyDescent="0.2"/>
    <row r="12457" ht="9.9499999999999993" hidden="1" customHeight="1" x14ac:dyDescent="0.2"/>
    <row r="12458" ht="9.9499999999999993" hidden="1" customHeight="1" x14ac:dyDescent="0.2"/>
    <row r="12459" ht="9.9499999999999993" hidden="1" customHeight="1" x14ac:dyDescent="0.2"/>
    <row r="12460" ht="9.9499999999999993" hidden="1" customHeight="1" x14ac:dyDescent="0.2"/>
    <row r="12461" ht="9.9499999999999993" hidden="1" customHeight="1" x14ac:dyDescent="0.2"/>
    <row r="12462" ht="9.9499999999999993" hidden="1" customHeight="1" x14ac:dyDescent="0.2"/>
    <row r="12463" ht="9.9499999999999993" hidden="1" customHeight="1" x14ac:dyDescent="0.2"/>
    <row r="12464" ht="9.9499999999999993" hidden="1" customHeight="1" x14ac:dyDescent="0.2"/>
    <row r="12465" ht="9.9499999999999993" hidden="1" customHeight="1" x14ac:dyDescent="0.2"/>
    <row r="12466" ht="9.9499999999999993" hidden="1" customHeight="1" x14ac:dyDescent="0.2"/>
    <row r="12467" ht="9.9499999999999993" hidden="1" customHeight="1" x14ac:dyDescent="0.2"/>
    <row r="12468" ht="9.9499999999999993" hidden="1" customHeight="1" x14ac:dyDescent="0.2"/>
    <row r="12469" ht="9.9499999999999993" hidden="1" customHeight="1" x14ac:dyDescent="0.2"/>
    <row r="12470" ht="9.9499999999999993" hidden="1" customHeight="1" x14ac:dyDescent="0.2"/>
    <row r="12471" ht="9.9499999999999993" hidden="1" customHeight="1" x14ac:dyDescent="0.2"/>
    <row r="12472" ht="9.9499999999999993" hidden="1" customHeight="1" x14ac:dyDescent="0.2"/>
    <row r="12473" ht="9.9499999999999993" hidden="1" customHeight="1" x14ac:dyDescent="0.2"/>
    <row r="12474" ht="9.9499999999999993" hidden="1" customHeight="1" x14ac:dyDescent="0.2"/>
    <row r="12475" ht="9.9499999999999993" hidden="1" customHeight="1" x14ac:dyDescent="0.2"/>
    <row r="12476" ht="9.9499999999999993" hidden="1" customHeight="1" x14ac:dyDescent="0.2"/>
    <row r="12477" ht="9.9499999999999993" hidden="1" customHeight="1" x14ac:dyDescent="0.2"/>
    <row r="12478" ht="9.9499999999999993" hidden="1" customHeight="1" x14ac:dyDescent="0.2"/>
    <row r="12479" ht="9.9499999999999993" hidden="1" customHeight="1" x14ac:dyDescent="0.2"/>
    <row r="12480" ht="9.9499999999999993" hidden="1" customHeight="1" x14ac:dyDescent="0.2"/>
    <row r="12481" ht="9.9499999999999993" hidden="1" customHeight="1" x14ac:dyDescent="0.2"/>
    <row r="12482" ht="9.9499999999999993" hidden="1" customHeight="1" x14ac:dyDescent="0.2"/>
    <row r="12483" ht="9.9499999999999993" hidden="1" customHeight="1" x14ac:dyDescent="0.2"/>
    <row r="12484" ht="9.9499999999999993" hidden="1" customHeight="1" x14ac:dyDescent="0.2"/>
    <row r="12485" ht="9.9499999999999993" hidden="1" customHeight="1" x14ac:dyDescent="0.2"/>
    <row r="12486" ht="9.9499999999999993" hidden="1" customHeight="1" x14ac:dyDescent="0.2"/>
    <row r="12487" ht="9.9499999999999993" hidden="1" customHeight="1" x14ac:dyDescent="0.2"/>
    <row r="12488" ht="9.9499999999999993" hidden="1" customHeight="1" x14ac:dyDescent="0.2"/>
    <row r="12489" ht="9.9499999999999993" hidden="1" customHeight="1" x14ac:dyDescent="0.2"/>
    <row r="12490" ht="9.9499999999999993" hidden="1" customHeight="1" x14ac:dyDescent="0.2"/>
    <row r="12491" ht="9.9499999999999993" hidden="1" customHeight="1" x14ac:dyDescent="0.2"/>
    <row r="12492" ht="9.9499999999999993" hidden="1" customHeight="1" x14ac:dyDescent="0.2"/>
    <row r="12493" ht="9.9499999999999993" hidden="1" customHeight="1" x14ac:dyDescent="0.2"/>
    <row r="12494" ht="9.9499999999999993" hidden="1" customHeight="1" x14ac:dyDescent="0.2"/>
    <row r="12495" ht="9.9499999999999993" hidden="1" customHeight="1" x14ac:dyDescent="0.2"/>
    <row r="12496" ht="9.9499999999999993" hidden="1" customHeight="1" x14ac:dyDescent="0.2"/>
    <row r="12497" ht="9.9499999999999993" hidden="1" customHeight="1" x14ac:dyDescent="0.2"/>
    <row r="12498" ht="9.9499999999999993" hidden="1" customHeight="1" x14ac:dyDescent="0.2"/>
    <row r="12499" ht="9.9499999999999993" hidden="1" customHeight="1" x14ac:dyDescent="0.2"/>
    <row r="12500" ht="9.9499999999999993" hidden="1" customHeight="1" x14ac:dyDescent="0.2"/>
    <row r="12501" ht="9.9499999999999993" hidden="1" customHeight="1" x14ac:dyDescent="0.2"/>
    <row r="12502" ht="9.9499999999999993" hidden="1" customHeight="1" x14ac:dyDescent="0.2"/>
    <row r="12503" ht="9.9499999999999993" hidden="1" customHeight="1" x14ac:dyDescent="0.2"/>
    <row r="12504" ht="9.9499999999999993" hidden="1" customHeight="1" x14ac:dyDescent="0.2"/>
    <row r="12505" ht="9.9499999999999993" hidden="1" customHeight="1" x14ac:dyDescent="0.2"/>
    <row r="12506" ht="9.9499999999999993" hidden="1" customHeight="1" x14ac:dyDescent="0.2"/>
    <row r="12507" ht="9.9499999999999993" hidden="1" customHeight="1" x14ac:dyDescent="0.2"/>
    <row r="12508" ht="9.9499999999999993" hidden="1" customHeight="1" x14ac:dyDescent="0.2"/>
    <row r="12509" ht="9.9499999999999993" hidden="1" customHeight="1" x14ac:dyDescent="0.2"/>
    <row r="12510" ht="9.9499999999999993" hidden="1" customHeight="1" x14ac:dyDescent="0.2"/>
    <row r="12511" ht="9.9499999999999993" hidden="1" customHeight="1" x14ac:dyDescent="0.2"/>
    <row r="12512" ht="9.9499999999999993" hidden="1" customHeight="1" x14ac:dyDescent="0.2"/>
    <row r="12513" ht="9.9499999999999993" hidden="1" customHeight="1" x14ac:dyDescent="0.2"/>
    <row r="12514" ht="9.9499999999999993" hidden="1" customHeight="1" x14ac:dyDescent="0.2"/>
    <row r="12515" ht="9.9499999999999993" hidden="1" customHeight="1" x14ac:dyDescent="0.2"/>
    <row r="12516" ht="9.9499999999999993" hidden="1" customHeight="1" x14ac:dyDescent="0.2"/>
    <row r="12517" ht="9.9499999999999993" hidden="1" customHeight="1" x14ac:dyDescent="0.2"/>
    <row r="12518" ht="9.9499999999999993" hidden="1" customHeight="1" x14ac:dyDescent="0.2"/>
    <row r="12519" ht="9.9499999999999993" hidden="1" customHeight="1" x14ac:dyDescent="0.2"/>
    <row r="12520" ht="9.9499999999999993" hidden="1" customHeight="1" x14ac:dyDescent="0.2"/>
    <row r="12521" ht="9.9499999999999993" hidden="1" customHeight="1" x14ac:dyDescent="0.2"/>
    <row r="12522" ht="9.9499999999999993" hidden="1" customHeight="1" x14ac:dyDescent="0.2"/>
    <row r="12523" ht="9.9499999999999993" hidden="1" customHeight="1" x14ac:dyDescent="0.2"/>
    <row r="12524" ht="9.9499999999999993" hidden="1" customHeight="1" x14ac:dyDescent="0.2"/>
    <row r="12525" ht="9.9499999999999993" hidden="1" customHeight="1" x14ac:dyDescent="0.2"/>
    <row r="12526" ht="9.9499999999999993" hidden="1" customHeight="1" x14ac:dyDescent="0.2"/>
    <row r="12527" ht="9.9499999999999993" hidden="1" customHeight="1" x14ac:dyDescent="0.2"/>
    <row r="12528" ht="9.9499999999999993" hidden="1" customHeight="1" x14ac:dyDescent="0.2"/>
    <row r="12529" ht="9.9499999999999993" hidden="1" customHeight="1" x14ac:dyDescent="0.2"/>
    <row r="12530" ht="9.9499999999999993" hidden="1" customHeight="1" x14ac:dyDescent="0.2"/>
    <row r="12531" ht="9.9499999999999993" hidden="1" customHeight="1" x14ac:dyDescent="0.2"/>
    <row r="12532" ht="9.9499999999999993" hidden="1" customHeight="1" x14ac:dyDescent="0.2"/>
    <row r="12533" ht="9.9499999999999993" hidden="1" customHeight="1" x14ac:dyDescent="0.2"/>
    <row r="12534" ht="9.9499999999999993" hidden="1" customHeight="1" x14ac:dyDescent="0.2"/>
    <row r="12535" ht="9.9499999999999993" hidden="1" customHeight="1" x14ac:dyDescent="0.2"/>
    <row r="12536" ht="9.9499999999999993" hidden="1" customHeight="1" x14ac:dyDescent="0.2"/>
    <row r="12537" ht="9.9499999999999993" hidden="1" customHeight="1" x14ac:dyDescent="0.2"/>
    <row r="12538" ht="9.9499999999999993" hidden="1" customHeight="1" x14ac:dyDescent="0.2"/>
    <row r="12539" ht="9.9499999999999993" hidden="1" customHeight="1" x14ac:dyDescent="0.2"/>
    <row r="12540" ht="9.9499999999999993" hidden="1" customHeight="1" x14ac:dyDescent="0.2"/>
    <row r="12541" ht="9.9499999999999993" hidden="1" customHeight="1" x14ac:dyDescent="0.2"/>
    <row r="12542" ht="9.9499999999999993" hidden="1" customHeight="1" x14ac:dyDescent="0.2"/>
    <row r="12543" ht="9.9499999999999993" hidden="1" customHeight="1" x14ac:dyDescent="0.2"/>
    <row r="12544" ht="9.9499999999999993" hidden="1" customHeight="1" x14ac:dyDescent="0.2"/>
    <row r="12545" ht="9.9499999999999993" hidden="1" customHeight="1" x14ac:dyDescent="0.2"/>
    <row r="12546" ht="9.9499999999999993" hidden="1" customHeight="1" x14ac:dyDescent="0.2"/>
    <row r="12547" ht="9.9499999999999993" hidden="1" customHeight="1" x14ac:dyDescent="0.2"/>
    <row r="12548" ht="9.9499999999999993" hidden="1" customHeight="1" x14ac:dyDescent="0.2"/>
    <row r="12549" ht="9.9499999999999993" hidden="1" customHeight="1" x14ac:dyDescent="0.2"/>
    <row r="12550" ht="9.9499999999999993" hidden="1" customHeight="1" x14ac:dyDescent="0.2"/>
    <row r="12551" ht="9.9499999999999993" hidden="1" customHeight="1" x14ac:dyDescent="0.2"/>
    <row r="12552" ht="9.9499999999999993" hidden="1" customHeight="1" x14ac:dyDescent="0.2"/>
    <row r="12553" ht="9.9499999999999993" hidden="1" customHeight="1" x14ac:dyDescent="0.2"/>
    <row r="12554" ht="9.9499999999999993" hidden="1" customHeight="1" x14ac:dyDescent="0.2"/>
    <row r="12555" ht="9.9499999999999993" hidden="1" customHeight="1" x14ac:dyDescent="0.2"/>
    <row r="12556" ht="9.9499999999999993" hidden="1" customHeight="1" x14ac:dyDescent="0.2"/>
    <row r="12557" ht="9.9499999999999993" hidden="1" customHeight="1" x14ac:dyDescent="0.2"/>
    <row r="12558" ht="9.9499999999999993" hidden="1" customHeight="1" x14ac:dyDescent="0.2"/>
    <row r="12559" ht="9.9499999999999993" hidden="1" customHeight="1" x14ac:dyDescent="0.2"/>
    <row r="12560" ht="9.9499999999999993" hidden="1" customHeight="1" x14ac:dyDescent="0.2"/>
    <row r="12561" ht="9.9499999999999993" hidden="1" customHeight="1" x14ac:dyDescent="0.2"/>
    <row r="12562" ht="9.9499999999999993" hidden="1" customHeight="1" x14ac:dyDescent="0.2"/>
    <row r="12563" ht="9.9499999999999993" hidden="1" customHeight="1" x14ac:dyDescent="0.2"/>
    <row r="12564" ht="9.9499999999999993" hidden="1" customHeight="1" x14ac:dyDescent="0.2"/>
    <row r="12565" ht="9.9499999999999993" hidden="1" customHeight="1" x14ac:dyDescent="0.2"/>
    <row r="12566" ht="9.9499999999999993" hidden="1" customHeight="1" x14ac:dyDescent="0.2"/>
    <row r="12567" ht="9.9499999999999993" hidden="1" customHeight="1" x14ac:dyDescent="0.2"/>
    <row r="12568" ht="9.9499999999999993" hidden="1" customHeight="1" x14ac:dyDescent="0.2"/>
    <row r="12569" ht="9.9499999999999993" hidden="1" customHeight="1" x14ac:dyDescent="0.2"/>
    <row r="12570" ht="9.9499999999999993" hidden="1" customHeight="1" x14ac:dyDescent="0.2"/>
    <row r="12571" ht="9.9499999999999993" hidden="1" customHeight="1" x14ac:dyDescent="0.2"/>
    <row r="12572" ht="9.9499999999999993" hidden="1" customHeight="1" x14ac:dyDescent="0.2"/>
    <row r="12573" ht="9.9499999999999993" hidden="1" customHeight="1" x14ac:dyDescent="0.2"/>
    <row r="12574" ht="9.9499999999999993" hidden="1" customHeight="1" x14ac:dyDescent="0.2"/>
    <row r="12575" ht="9.9499999999999993" hidden="1" customHeight="1" x14ac:dyDescent="0.2"/>
    <row r="12576" ht="9.9499999999999993" hidden="1" customHeight="1" x14ac:dyDescent="0.2"/>
    <row r="12577" ht="9.9499999999999993" hidden="1" customHeight="1" x14ac:dyDescent="0.2"/>
    <row r="12578" ht="9.9499999999999993" hidden="1" customHeight="1" x14ac:dyDescent="0.2"/>
    <row r="12579" ht="9.9499999999999993" hidden="1" customHeight="1" x14ac:dyDescent="0.2"/>
    <row r="12580" ht="9.9499999999999993" hidden="1" customHeight="1" x14ac:dyDescent="0.2"/>
    <row r="12581" ht="9.9499999999999993" hidden="1" customHeight="1" x14ac:dyDescent="0.2"/>
    <row r="12582" ht="9.9499999999999993" hidden="1" customHeight="1" x14ac:dyDescent="0.2"/>
    <row r="12583" ht="9.9499999999999993" hidden="1" customHeight="1" x14ac:dyDescent="0.2"/>
    <row r="12584" ht="9.9499999999999993" hidden="1" customHeight="1" x14ac:dyDescent="0.2"/>
    <row r="12585" ht="9.9499999999999993" hidden="1" customHeight="1" x14ac:dyDescent="0.2"/>
    <row r="12586" ht="9.9499999999999993" hidden="1" customHeight="1" x14ac:dyDescent="0.2"/>
    <row r="12587" ht="9.9499999999999993" hidden="1" customHeight="1" x14ac:dyDescent="0.2"/>
    <row r="12588" ht="9.9499999999999993" hidden="1" customHeight="1" x14ac:dyDescent="0.2"/>
    <row r="12589" ht="9.9499999999999993" hidden="1" customHeight="1" x14ac:dyDescent="0.2"/>
    <row r="12590" ht="9.9499999999999993" hidden="1" customHeight="1" x14ac:dyDescent="0.2"/>
    <row r="12591" ht="9.9499999999999993" hidden="1" customHeight="1" x14ac:dyDescent="0.2"/>
    <row r="12592" ht="9.9499999999999993" hidden="1" customHeight="1" x14ac:dyDescent="0.2"/>
    <row r="12593" ht="9.9499999999999993" hidden="1" customHeight="1" x14ac:dyDescent="0.2"/>
    <row r="12594" ht="9.9499999999999993" hidden="1" customHeight="1" x14ac:dyDescent="0.2"/>
    <row r="12595" ht="9.9499999999999993" hidden="1" customHeight="1" x14ac:dyDescent="0.2"/>
    <row r="12596" ht="9.9499999999999993" hidden="1" customHeight="1" x14ac:dyDescent="0.2"/>
    <row r="12597" ht="9.9499999999999993" hidden="1" customHeight="1" x14ac:dyDescent="0.2"/>
    <row r="12598" ht="9.9499999999999993" hidden="1" customHeight="1" x14ac:dyDescent="0.2"/>
    <row r="12599" ht="9.9499999999999993" hidden="1" customHeight="1" x14ac:dyDescent="0.2"/>
    <row r="12600" ht="9.9499999999999993" hidden="1" customHeight="1" x14ac:dyDescent="0.2"/>
    <row r="12601" ht="9.9499999999999993" hidden="1" customHeight="1" x14ac:dyDescent="0.2"/>
    <row r="12602" ht="9.9499999999999993" hidden="1" customHeight="1" x14ac:dyDescent="0.2"/>
    <row r="12603" ht="9.9499999999999993" hidden="1" customHeight="1" x14ac:dyDescent="0.2"/>
    <row r="12604" ht="9.9499999999999993" hidden="1" customHeight="1" x14ac:dyDescent="0.2"/>
    <row r="12605" ht="9.9499999999999993" hidden="1" customHeight="1" x14ac:dyDescent="0.2"/>
    <row r="12606" ht="9.9499999999999993" hidden="1" customHeight="1" x14ac:dyDescent="0.2"/>
    <row r="12607" ht="9.9499999999999993" hidden="1" customHeight="1" x14ac:dyDescent="0.2"/>
    <row r="12608" ht="9.9499999999999993" hidden="1" customHeight="1" x14ac:dyDescent="0.2"/>
    <row r="12609" ht="9.9499999999999993" hidden="1" customHeight="1" x14ac:dyDescent="0.2"/>
    <row r="12610" ht="9.9499999999999993" hidden="1" customHeight="1" x14ac:dyDescent="0.2"/>
    <row r="12611" ht="9.9499999999999993" hidden="1" customHeight="1" x14ac:dyDescent="0.2"/>
    <row r="12612" ht="9.9499999999999993" hidden="1" customHeight="1" x14ac:dyDescent="0.2"/>
    <row r="12613" ht="9.9499999999999993" hidden="1" customHeight="1" x14ac:dyDescent="0.2"/>
    <row r="12614" ht="9.9499999999999993" hidden="1" customHeight="1" x14ac:dyDescent="0.2"/>
    <row r="12615" ht="9.9499999999999993" hidden="1" customHeight="1" x14ac:dyDescent="0.2"/>
    <row r="12616" ht="9.9499999999999993" hidden="1" customHeight="1" x14ac:dyDescent="0.2"/>
    <row r="12617" ht="9.9499999999999993" hidden="1" customHeight="1" x14ac:dyDescent="0.2"/>
    <row r="12618" ht="9.9499999999999993" hidden="1" customHeight="1" x14ac:dyDescent="0.2"/>
    <row r="12619" ht="9.9499999999999993" hidden="1" customHeight="1" x14ac:dyDescent="0.2"/>
    <row r="12620" ht="9.9499999999999993" hidden="1" customHeight="1" x14ac:dyDescent="0.2"/>
    <row r="12621" ht="9.9499999999999993" hidden="1" customHeight="1" x14ac:dyDescent="0.2"/>
    <row r="12622" ht="9.9499999999999993" hidden="1" customHeight="1" x14ac:dyDescent="0.2"/>
    <row r="12623" ht="9.9499999999999993" hidden="1" customHeight="1" x14ac:dyDescent="0.2"/>
    <row r="12624" ht="9.9499999999999993" hidden="1" customHeight="1" x14ac:dyDescent="0.2"/>
    <row r="12625" ht="9.9499999999999993" hidden="1" customHeight="1" x14ac:dyDescent="0.2"/>
    <row r="12626" ht="9.9499999999999993" hidden="1" customHeight="1" x14ac:dyDescent="0.2"/>
    <row r="12627" ht="9.9499999999999993" hidden="1" customHeight="1" x14ac:dyDescent="0.2"/>
    <row r="12628" ht="9.9499999999999993" hidden="1" customHeight="1" x14ac:dyDescent="0.2"/>
    <row r="12629" ht="9.9499999999999993" hidden="1" customHeight="1" x14ac:dyDescent="0.2"/>
    <row r="12630" ht="9.9499999999999993" hidden="1" customHeight="1" x14ac:dyDescent="0.2"/>
    <row r="12631" ht="9.9499999999999993" hidden="1" customHeight="1" x14ac:dyDescent="0.2"/>
    <row r="12632" ht="9.9499999999999993" hidden="1" customHeight="1" x14ac:dyDescent="0.2"/>
    <row r="12633" ht="9.9499999999999993" hidden="1" customHeight="1" x14ac:dyDescent="0.2"/>
    <row r="12634" ht="9.9499999999999993" hidden="1" customHeight="1" x14ac:dyDescent="0.2"/>
    <row r="12635" ht="9.9499999999999993" hidden="1" customHeight="1" x14ac:dyDescent="0.2"/>
    <row r="12636" ht="9.9499999999999993" hidden="1" customHeight="1" x14ac:dyDescent="0.2"/>
    <row r="12637" ht="9.9499999999999993" hidden="1" customHeight="1" x14ac:dyDescent="0.2"/>
    <row r="12638" ht="9.9499999999999993" hidden="1" customHeight="1" x14ac:dyDescent="0.2"/>
    <row r="12639" ht="9.9499999999999993" hidden="1" customHeight="1" x14ac:dyDescent="0.2"/>
    <row r="12640" ht="9.9499999999999993" hidden="1" customHeight="1" x14ac:dyDescent="0.2"/>
    <row r="12641" ht="9.9499999999999993" hidden="1" customHeight="1" x14ac:dyDescent="0.2"/>
    <row r="12642" ht="9.9499999999999993" hidden="1" customHeight="1" x14ac:dyDescent="0.2"/>
    <row r="12643" ht="9.9499999999999993" hidden="1" customHeight="1" x14ac:dyDescent="0.2"/>
    <row r="12644" ht="9.9499999999999993" hidden="1" customHeight="1" x14ac:dyDescent="0.2"/>
    <row r="12645" ht="9.9499999999999993" hidden="1" customHeight="1" x14ac:dyDescent="0.2"/>
    <row r="12646" ht="9.9499999999999993" hidden="1" customHeight="1" x14ac:dyDescent="0.2"/>
    <row r="12647" ht="9.9499999999999993" hidden="1" customHeight="1" x14ac:dyDescent="0.2"/>
    <row r="12648" ht="9.9499999999999993" hidden="1" customHeight="1" x14ac:dyDescent="0.2"/>
    <row r="12649" ht="9.9499999999999993" hidden="1" customHeight="1" x14ac:dyDescent="0.2"/>
    <row r="12650" ht="9.9499999999999993" hidden="1" customHeight="1" x14ac:dyDescent="0.2"/>
    <row r="12651" ht="9.9499999999999993" hidden="1" customHeight="1" x14ac:dyDescent="0.2"/>
    <row r="12652" ht="9.9499999999999993" hidden="1" customHeight="1" x14ac:dyDescent="0.2"/>
    <row r="12653" ht="9.9499999999999993" hidden="1" customHeight="1" x14ac:dyDescent="0.2"/>
    <row r="12654" ht="9.9499999999999993" hidden="1" customHeight="1" x14ac:dyDescent="0.2"/>
    <row r="12655" ht="9.9499999999999993" hidden="1" customHeight="1" x14ac:dyDescent="0.2"/>
    <row r="12656" ht="9.9499999999999993" hidden="1" customHeight="1" x14ac:dyDescent="0.2"/>
    <row r="12657" ht="9.9499999999999993" hidden="1" customHeight="1" x14ac:dyDescent="0.2"/>
    <row r="12658" ht="9.9499999999999993" hidden="1" customHeight="1" x14ac:dyDescent="0.2"/>
    <row r="12659" ht="9.9499999999999993" hidden="1" customHeight="1" x14ac:dyDescent="0.2"/>
    <row r="12660" ht="9.9499999999999993" hidden="1" customHeight="1" x14ac:dyDescent="0.2"/>
    <row r="12661" ht="9.9499999999999993" hidden="1" customHeight="1" x14ac:dyDescent="0.2"/>
    <row r="12662" ht="9.9499999999999993" hidden="1" customHeight="1" x14ac:dyDescent="0.2"/>
    <row r="12663" ht="9.9499999999999993" hidden="1" customHeight="1" x14ac:dyDescent="0.2"/>
    <row r="12664" ht="9.9499999999999993" hidden="1" customHeight="1" x14ac:dyDescent="0.2"/>
    <row r="12665" ht="9.9499999999999993" hidden="1" customHeight="1" x14ac:dyDescent="0.2"/>
    <row r="12666" ht="9.9499999999999993" hidden="1" customHeight="1" x14ac:dyDescent="0.2"/>
    <row r="12667" ht="9.9499999999999993" hidden="1" customHeight="1" x14ac:dyDescent="0.2"/>
    <row r="12668" ht="9.9499999999999993" hidden="1" customHeight="1" x14ac:dyDescent="0.2"/>
    <row r="12669" ht="9.9499999999999993" hidden="1" customHeight="1" x14ac:dyDescent="0.2"/>
    <row r="12670" ht="9.9499999999999993" hidden="1" customHeight="1" x14ac:dyDescent="0.2"/>
    <row r="12671" ht="9.9499999999999993" hidden="1" customHeight="1" x14ac:dyDescent="0.2"/>
    <row r="12672" ht="9.9499999999999993" hidden="1" customHeight="1" x14ac:dyDescent="0.2"/>
    <row r="12673" ht="9.9499999999999993" hidden="1" customHeight="1" x14ac:dyDescent="0.2"/>
    <row r="12674" ht="9.9499999999999993" hidden="1" customHeight="1" x14ac:dyDescent="0.2"/>
    <row r="12675" ht="9.9499999999999993" hidden="1" customHeight="1" x14ac:dyDescent="0.2"/>
    <row r="12676" ht="9.9499999999999993" hidden="1" customHeight="1" x14ac:dyDescent="0.2"/>
    <row r="12677" ht="9.9499999999999993" hidden="1" customHeight="1" x14ac:dyDescent="0.2"/>
    <row r="12678" ht="9.9499999999999993" hidden="1" customHeight="1" x14ac:dyDescent="0.2"/>
    <row r="12679" ht="9.9499999999999993" hidden="1" customHeight="1" x14ac:dyDescent="0.2"/>
    <row r="12680" ht="9.9499999999999993" hidden="1" customHeight="1" x14ac:dyDescent="0.2"/>
    <row r="12681" ht="9.9499999999999993" hidden="1" customHeight="1" x14ac:dyDescent="0.2"/>
    <row r="12682" ht="9.9499999999999993" hidden="1" customHeight="1" x14ac:dyDescent="0.2"/>
    <row r="12683" ht="9.9499999999999993" hidden="1" customHeight="1" x14ac:dyDescent="0.2"/>
    <row r="12684" ht="9.9499999999999993" hidden="1" customHeight="1" x14ac:dyDescent="0.2"/>
    <row r="12685" ht="9.9499999999999993" hidden="1" customHeight="1" x14ac:dyDescent="0.2"/>
    <row r="12686" ht="9.9499999999999993" hidden="1" customHeight="1" x14ac:dyDescent="0.2"/>
    <row r="12687" ht="9.9499999999999993" hidden="1" customHeight="1" x14ac:dyDescent="0.2"/>
    <row r="12688" ht="9.9499999999999993" hidden="1" customHeight="1" x14ac:dyDescent="0.2"/>
    <row r="12689" ht="9.9499999999999993" hidden="1" customHeight="1" x14ac:dyDescent="0.2"/>
    <row r="12690" ht="9.9499999999999993" hidden="1" customHeight="1" x14ac:dyDescent="0.2"/>
    <row r="12691" ht="9.9499999999999993" hidden="1" customHeight="1" x14ac:dyDescent="0.2"/>
    <row r="12692" ht="9.9499999999999993" hidden="1" customHeight="1" x14ac:dyDescent="0.2"/>
    <row r="12693" ht="9.9499999999999993" hidden="1" customHeight="1" x14ac:dyDescent="0.2"/>
    <row r="12694" ht="9.9499999999999993" hidden="1" customHeight="1" x14ac:dyDescent="0.2"/>
    <row r="12695" ht="9.9499999999999993" hidden="1" customHeight="1" x14ac:dyDescent="0.2"/>
    <row r="12696" ht="9.9499999999999993" hidden="1" customHeight="1" x14ac:dyDescent="0.2"/>
    <row r="12697" ht="9.9499999999999993" hidden="1" customHeight="1" x14ac:dyDescent="0.2"/>
    <row r="12698" ht="9.9499999999999993" hidden="1" customHeight="1" x14ac:dyDescent="0.2"/>
    <row r="12699" ht="9.9499999999999993" hidden="1" customHeight="1" x14ac:dyDescent="0.2"/>
    <row r="12700" ht="9.9499999999999993" hidden="1" customHeight="1" x14ac:dyDescent="0.2"/>
    <row r="12701" ht="9.9499999999999993" hidden="1" customHeight="1" x14ac:dyDescent="0.2"/>
    <row r="12702" ht="9.9499999999999993" hidden="1" customHeight="1" x14ac:dyDescent="0.2"/>
    <row r="12703" ht="9.9499999999999993" hidden="1" customHeight="1" x14ac:dyDescent="0.2"/>
    <row r="12704" ht="9.9499999999999993" hidden="1" customHeight="1" x14ac:dyDescent="0.2"/>
    <row r="12705" ht="9.9499999999999993" hidden="1" customHeight="1" x14ac:dyDescent="0.2"/>
    <row r="12706" ht="9.9499999999999993" hidden="1" customHeight="1" x14ac:dyDescent="0.2"/>
    <row r="12707" ht="9.9499999999999993" hidden="1" customHeight="1" x14ac:dyDescent="0.2"/>
    <row r="12708" ht="9.9499999999999993" hidden="1" customHeight="1" x14ac:dyDescent="0.2"/>
    <row r="12709" ht="9.9499999999999993" hidden="1" customHeight="1" x14ac:dyDescent="0.2"/>
    <row r="12710" ht="9.9499999999999993" hidden="1" customHeight="1" x14ac:dyDescent="0.2"/>
    <row r="12711" ht="9.9499999999999993" hidden="1" customHeight="1" x14ac:dyDescent="0.2"/>
    <row r="12712" ht="9.9499999999999993" hidden="1" customHeight="1" x14ac:dyDescent="0.2"/>
    <row r="12713" ht="9.9499999999999993" hidden="1" customHeight="1" x14ac:dyDescent="0.2"/>
    <row r="12714" ht="9.9499999999999993" hidden="1" customHeight="1" x14ac:dyDescent="0.2"/>
    <row r="12715" ht="9.9499999999999993" hidden="1" customHeight="1" x14ac:dyDescent="0.2"/>
    <row r="12716" ht="9.9499999999999993" hidden="1" customHeight="1" x14ac:dyDescent="0.2"/>
    <row r="12717" ht="9.9499999999999993" hidden="1" customHeight="1" x14ac:dyDescent="0.2"/>
    <row r="12718" ht="9.9499999999999993" hidden="1" customHeight="1" x14ac:dyDescent="0.2"/>
    <row r="12719" ht="9.9499999999999993" hidden="1" customHeight="1" x14ac:dyDescent="0.2"/>
    <row r="12720" ht="9.9499999999999993" hidden="1" customHeight="1" x14ac:dyDescent="0.2"/>
    <row r="12721" ht="9.9499999999999993" hidden="1" customHeight="1" x14ac:dyDescent="0.2"/>
    <row r="12722" ht="9.9499999999999993" hidden="1" customHeight="1" x14ac:dyDescent="0.2"/>
    <row r="12723" ht="9.9499999999999993" hidden="1" customHeight="1" x14ac:dyDescent="0.2"/>
    <row r="12724" ht="9.9499999999999993" hidden="1" customHeight="1" x14ac:dyDescent="0.2"/>
    <row r="12725" ht="9.9499999999999993" hidden="1" customHeight="1" x14ac:dyDescent="0.2"/>
    <row r="12726" ht="9.9499999999999993" hidden="1" customHeight="1" x14ac:dyDescent="0.2"/>
    <row r="12727" ht="9.9499999999999993" hidden="1" customHeight="1" x14ac:dyDescent="0.2"/>
    <row r="12728" ht="9.9499999999999993" hidden="1" customHeight="1" x14ac:dyDescent="0.2"/>
    <row r="12729" ht="9.9499999999999993" hidden="1" customHeight="1" x14ac:dyDescent="0.2"/>
    <row r="12730" ht="9.9499999999999993" hidden="1" customHeight="1" x14ac:dyDescent="0.2"/>
    <row r="12731" ht="9.9499999999999993" hidden="1" customHeight="1" x14ac:dyDescent="0.2"/>
    <row r="12732" ht="9.9499999999999993" hidden="1" customHeight="1" x14ac:dyDescent="0.2"/>
    <row r="12733" ht="9.9499999999999993" hidden="1" customHeight="1" x14ac:dyDescent="0.2"/>
    <row r="12734" ht="9.9499999999999993" hidden="1" customHeight="1" x14ac:dyDescent="0.2"/>
    <row r="12735" ht="9.9499999999999993" hidden="1" customHeight="1" x14ac:dyDescent="0.2"/>
    <row r="12736" ht="9.9499999999999993" hidden="1" customHeight="1" x14ac:dyDescent="0.2"/>
    <row r="12737" ht="9.9499999999999993" hidden="1" customHeight="1" x14ac:dyDescent="0.2"/>
    <row r="12738" ht="9.9499999999999993" hidden="1" customHeight="1" x14ac:dyDescent="0.2"/>
    <row r="12739" ht="9.9499999999999993" hidden="1" customHeight="1" x14ac:dyDescent="0.2"/>
    <row r="12740" ht="9.9499999999999993" hidden="1" customHeight="1" x14ac:dyDescent="0.2"/>
    <row r="12741" ht="9.9499999999999993" hidden="1" customHeight="1" x14ac:dyDescent="0.2"/>
    <row r="12742" ht="9.9499999999999993" hidden="1" customHeight="1" x14ac:dyDescent="0.2"/>
    <row r="12743" ht="9.9499999999999993" hidden="1" customHeight="1" x14ac:dyDescent="0.2"/>
    <row r="12744" ht="9.9499999999999993" hidden="1" customHeight="1" x14ac:dyDescent="0.2"/>
    <row r="12745" ht="9.9499999999999993" hidden="1" customHeight="1" x14ac:dyDescent="0.2"/>
    <row r="12746" ht="9.9499999999999993" hidden="1" customHeight="1" x14ac:dyDescent="0.2"/>
    <row r="12747" ht="9.9499999999999993" hidden="1" customHeight="1" x14ac:dyDescent="0.2"/>
    <row r="12748" ht="9.9499999999999993" hidden="1" customHeight="1" x14ac:dyDescent="0.2"/>
    <row r="12749" ht="9.9499999999999993" hidden="1" customHeight="1" x14ac:dyDescent="0.2"/>
    <row r="12750" ht="9.9499999999999993" hidden="1" customHeight="1" x14ac:dyDescent="0.2"/>
    <row r="12751" ht="9.9499999999999993" hidden="1" customHeight="1" x14ac:dyDescent="0.2"/>
    <row r="12752" ht="9.9499999999999993" hidden="1" customHeight="1" x14ac:dyDescent="0.2"/>
    <row r="12753" ht="9.9499999999999993" hidden="1" customHeight="1" x14ac:dyDescent="0.2"/>
    <row r="12754" ht="9.9499999999999993" hidden="1" customHeight="1" x14ac:dyDescent="0.2"/>
    <row r="12755" ht="9.9499999999999993" hidden="1" customHeight="1" x14ac:dyDescent="0.2"/>
    <row r="12756" ht="9.9499999999999993" hidden="1" customHeight="1" x14ac:dyDescent="0.2"/>
    <row r="12757" ht="9.9499999999999993" hidden="1" customHeight="1" x14ac:dyDescent="0.2"/>
    <row r="12758" ht="9.9499999999999993" hidden="1" customHeight="1" x14ac:dyDescent="0.2"/>
    <row r="12759" ht="9.9499999999999993" hidden="1" customHeight="1" x14ac:dyDescent="0.2"/>
    <row r="12760" ht="9.9499999999999993" hidden="1" customHeight="1" x14ac:dyDescent="0.2"/>
    <row r="12761" ht="9.9499999999999993" hidden="1" customHeight="1" x14ac:dyDescent="0.2"/>
    <row r="12762" ht="9.9499999999999993" hidden="1" customHeight="1" x14ac:dyDescent="0.2"/>
    <row r="12763" ht="9.9499999999999993" hidden="1" customHeight="1" x14ac:dyDescent="0.2"/>
    <row r="12764" ht="9.9499999999999993" hidden="1" customHeight="1" x14ac:dyDescent="0.2"/>
    <row r="12765" ht="9.9499999999999993" hidden="1" customHeight="1" x14ac:dyDescent="0.2"/>
    <row r="12766" ht="9.9499999999999993" hidden="1" customHeight="1" x14ac:dyDescent="0.2"/>
    <row r="12767" ht="9.9499999999999993" hidden="1" customHeight="1" x14ac:dyDescent="0.2"/>
    <row r="12768" ht="9.9499999999999993" hidden="1" customHeight="1" x14ac:dyDescent="0.2"/>
    <row r="12769" ht="9.9499999999999993" hidden="1" customHeight="1" x14ac:dyDescent="0.2"/>
    <row r="12770" ht="9.9499999999999993" hidden="1" customHeight="1" x14ac:dyDescent="0.2"/>
    <row r="12771" ht="9.9499999999999993" hidden="1" customHeight="1" x14ac:dyDescent="0.2"/>
    <row r="12772" ht="9.9499999999999993" hidden="1" customHeight="1" x14ac:dyDescent="0.2"/>
    <row r="12773" ht="9.9499999999999993" hidden="1" customHeight="1" x14ac:dyDescent="0.2"/>
    <row r="12774" ht="9.9499999999999993" hidden="1" customHeight="1" x14ac:dyDescent="0.2"/>
    <row r="12775" ht="9.9499999999999993" hidden="1" customHeight="1" x14ac:dyDescent="0.2"/>
    <row r="12776" ht="9.9499999999999993" hidden="1" customHeight="1" x14ac:dyDescent="0.2"/>
    <row r="12777" ht="9.9499999999999993" hidden="1" customHeight="1" x14ac:dyDescent="0.2"/>
    <row r="12778" ht="9.9499999999999993" hidden="1" customHeight="1" x14ac:dyDescent="0.2"/>
    <row r="12779" ht="9.9499999999999993" hidden="1" customHeight="1" x14ac:dyDescent="0.2"/>
    <row r="12780" ht="9.9499999999999993" hidden="1" customHeight="1" x14ac:dyDescent="0.2"/>
    <row r="12781" ht="9.9499999999999993" hidden="1" customHeight="1" x14ac:dyDescent="0.2"/>
    <row r="12782" ht="9.9499999999999993" hidden="1" customHeight="1" x14ac:dyDescent="0.2"/>
    <row r="12783" ht="9.9499999999999993" hidden="1" customHeight="1" x14ac:dyDescent="0.2"/>
    <row r="12784" ht="9.9499999999999993" hidden="1" customHeight="1" x14ac:dyDescent="0.2"/>
    <row r="12785" ht="9.9499999999999993" hidden="1" customHeight="1" x14ac:dyDescent="0.2"/>
    <row r="12786" ht="9.9499999999999993" hidden="1" customHeight="1" x14ac:dyDescent="0.2"/>
    <row r="12787" ht="9.9499999999999993" hidden="1" customHeight="1" x14ac:dyDescent="0.2"/>
    <row r="12788" ht="9.9499999999999993" hidden="1" customHeight="1" x14ac:dyDescent="0.2"/>
    <row r="12789" ht="9.9499999999999993" hidden="1" customHeight="1" x14ac:dyDescent="0.2"/>
    <row r="12790" ht="9.9499999999999993" hidden="1" customHeight="1" x14ac:dyDescent="0.2"/>
    <row r="12791" ht="9.9499999999999993" hidden="1" customHeight="1" x14ac:dyDescent="0.2"/>
    <row r="12792" ht="9.9499999999999993" hidden="1" customHeight="1" x14ac:dyDescent="0.2"/>
    <row r="12793" ht="9.9499999999999993" hidden="1" customHeight="1" x14ac:dyDescent="0.2"/>
    <row r="12794" ht="9.9499999999999993" hidden="1" customHeight="1" x14ac:dyDescent="0.2"/>
    <row r="12795" ht="9.9499999999999993" hidden="1" customHeight="1" x14ac:dyDescent="0.2"/>
    <row r="12796" ht="9.9499999999999993" hidden="1" customHeight="1" x14ac:dyDescent="0.2"/>
    <row r="12797" ht="9.9499999999999993" hidden="1" customHeight="1" x14ac:dyDescent="0.2"/>
    <row r="12798" ht="9.9499999999999993" hidden="1" customHeight="1" x14ac:dyDescent="0.2"/>
    <row r="12799" ht="9.9499999999999993" hidden="1" customHeight="1" x14ac:dyDescent="0.2"/>
    <row r="12800" ht="9.9499999999999993" hidden="1" customHeight="1" x14ac:dyDescent="0.2"/>
    <row r="12801" ht="9.9499999999999993" hidden="1" customHeight="1" x14ac:dyDescent="0.2"/>
    <row r="12802" ht="9.9499999999999993" hidden="1" customHeight="1" x14ac:dyDescent="0.2"/>
    <row r="12803" ht="9.9499999999999993" hidden="1" customHeight="1" x14ac:dyDescent="0.2"/>
    <row r="12804" ht="9.9499999999999993" hidden="1" customHeight="1" x14ac:dyDescent="0.2"/>
    <row r="12805" ht="9.9499999999999993" hidden="1" customHeight="1" x14ac:dyDescent="0.2"/>
    <row r="12806" ht="9.9499999999999993" hidden="1" customHeight="1" x14ac:dyDescent="0.2"/>
    <row r="12807" ht="9.9499999999999993" hidden="1" customHeight="1" x14ac:dyDescent="0.2"/>
    <row r="12808" ht="9.9499999999999993" hidden="1" customHeight="1" x14ac:dyDescent="0.2"/>
    <row r="12809" ht="9.9499999999999993" hidden="1" customHeight="1" x14ac:dyDescent="0.2"/>
    <row r="12810" ht="9.9499999999999993" hidden="1" customHeight="1" x14ac:dyDescent="0.2"/>
    <row r="12811" ht="9.9499999999999993" hidden="1" customHeight="1" x14ac:dyDescent="0.2"/>
    <row r="12812" ht="9.9499999999999993" hidden="1" customHeight="1" x14ac:dyDescent="0.2"/>
    <row r="12813" ht="9.9499999999999993" hidden="1" customHeight="1" x14ac:dyDescent="0.2"/>
    <row r="12814" ht="9.9499999999999993" hidden="1" customHeight="1" x14ac:dyDescent="0.2"/>
    <row r="12815" ht="9.9499999999999993" hidden="1" customHeight="1" x14ac:dyDescent="0.2"/>
    <row r="12816" ht="9.9499999999999993" hidden="1" customHeight="1" x14ac:dyDescent="0.2"/>
    <row r="12817" ht="9.9499999999999993" hidden="1" customHeight="1" x14ac:dyDescent="0.2"/>
    <row r="12818" ht="9.9499999999999993" hidden="1" customHeight="1" x14ac:dyDescent="0.2"/>
    <row r="12819" ht="9.9499999999999993" hidden="1" customHeight="1" x14ac:dyDescent="0.2"/>
    <row r="12820" ht="9.9499999999999993" hidden="1" customHeight="1" x14ac:dyDescent="0.2"/>
    <row r="12821" ht="9.9499999999999993" hidden="1" customHeight="1" x14ac:dyDescent="0.2"/>
    <row r="12822" ht="9.9499999999999993" hidden="1" customHeight="1" x14ac:dyDescent="0.2"/>
    <row r="12823" ht="9.9499999999999993" hidden="1" customHeight="1" x14ac:dyDescent="0.2"/>
    <row r="12824" ht="9.9499999999999993" hidden="1" customHeight="1" x14ac:dyDescent="0.2"/>
    <row r="12825" ht="9.9499999999999993" hidden="1" customHeight="1" x14ac:dyDescent="0.2"/>
    <row r="12826" ht="9.9499999999999993" hidden="1" customHeight="1" x14ac:dyDescent="0.2"/>
    <row r="12827" ht="9.9499999999999993" hidden="1" customHeight="1" x14ac:dyDescent="0.2"/>
    <row r="12828" ht="9.9499999999999993" hidden="1" customHeight="1" x14ac:dyDescent="0.2"/>
    <row r="12829" ht="9.9499999999999993" hidden="1" customHeight="1" x14ac:dyDescent="0.2"/>
    <row r="12830" ht="9.9499999999999993" hidden="1" customHeight="1" x14ac:dyDescent="0.2"/>
    <row r="12831" ht="9.9499999999999993" hidden="1" customHeight="1" x14ac:dyDescent="0.2"/>
    <row r="12832" ht="9.9499999999999993" hidden="1" customHeight="1" x14ac:dyDescent="0.2"/>
    <row r="12833" ht="9.9499999999999993" hidden="1" customHeight="1" x14ac:dyDescent="0.2"/>
    <row r="12834" ht="9.9499999999999993" hidden="1" customHeight="1" x14ac:dyDescent="0.2"/>
    <row r="12835" ht="9.9499999999999993" hidden="1" customHeight="1" x14ac:dyDescent="0.2"/>
    <row r="12836" ht="9.9499999999999993" hidden="1" customHeight="1" x14ac:dyDescent="0.2"/>
    <row r="12837" ht="9.9499999999999993" hidden="1" customHeight="1" x14ac:dyDescent="0.2"/>
    <row r="12838" ht="9.9499999999999993" hidden="1" customHeight="1" x14ac:dyDescent="0.2"/>
    <row r="12839" ht="9.9499999999999993" hidden="1" customHeight="1" x14ac:dyDescent="0.2"/>
    <row r="12840" ht="9.9499999999999993" hidden="1" customHeight="1" x14ac:dyDescent="0.2"/>
    <row r="12841" ht="9.9499999999999993" hidden="1" customHeight="1" x14ac:dyDescent="0.2"/>
    <row r="12842" ht="9.9499999999999993" hidden="1" customHeight="1" x14ac:dyDescent="0.2"/>
    <row r="12843" ht="9.9499999999999993" hidden="1" customHeight="1" x14ac:dyDescent="0.2"/>
    <row r="12844" ht="9.9499999999999993" hidden="1" customHeight="1" x14ac:dyDescent="0.2"/>
    <row r="12845" ht="9.9499999999999993" hidden="1" customHeight="1" x14ac:dyDescent="0.2"/>
    <row r="12846" ht="9.9499999999999993" hidden="1" customHeight="1" x14ac:dyDescent="0.2"/>
    <row r="12847" ht="9.9499999999999993" hidden="1" customHeight="1" x14ac:dyDescent="0.2"/>
    <row r="12848" ht="9.9499999999999993" hidden="1" customHeight="1" x14ac:dyDescent="0.2"/>
    <row r="12849" ht="9.9499999999999993" hidden="1" customHeight="1" x14ac:dyDescent="0.2"/>
    <row r="12850" ht="9.9499999999999993" hidden="1" customHeight="1" x14ac:dyDescent="0.2"/>
    <row r="12851" ht="9.9499999999999993" hidden="1" customHeight="1" x14ac:dyDescent="0.2"/>
    <row r="12852" ht="9.9499999999999993" hidden="1" customHeight="1" x14ac:dyDescent="0.2"/>
    <row r="12853" ht="9.9499999999999993" hidden="1" customHeight="1" x14ac:dyDescent="0.2"/>
    <row r="12854" ht="9.9499999999999993" hidden="1" customHeight="1" x14ac:dyDescent="0.2"/>
    <row r="12855" ht="9.9499999999999993" hidden="1" customHeight="1" x14ac:dyDescent="0.2"/>
    <row r="12856" ht="9.9499999999999993" hidden="1" customHeight="1" x14ac:dyDescent="0.2"/>
    <row r="12857" ht="9.9499999999999993" hidden="1" customHeight="1" x14ac:dyDescent="0.2"/>
    <row r="12858" ht="9.9499999999999993" hidden="1" customHeight="1" x14ac:dyDescent="0.2"/>
    <row r="12859" ht="9.9499999999999993" hidden="1" customHeight="1" x14ac:dyDescent="0.2"/>
    <row r="12860" ht="9.9499999999999993" hidden="1" customHeight="1" x14ac:dyDescent="0.2"/>
    <row r="12861" ht="9.9499999999999993" hidden="1" customHeight="1" x14ac:dyDescent="0.2"/>
    <row r="12862" ht="9.9499999999999993" hidden="1" customHeight="1" x14ac:dyDescent="0.2"/>
    <row r="12863" ht="9.9499999999999993" hidden="1" customHeight="1" x14ac:dyDescent="0.2"/>
    <row r="12864" ht="9.9499999999999993" hidden="1" customHeight="1" x14ac:dyDescent="0.2"/>
    <row r="12865" ht="9.9499999999999993" hidden="1" customHeight="1" x14ac:dyDescent="0.2"/>
    <row r="12866" ht="9.9499999999999993" hidden="1" customHeight="1" x14ac:dyDescent="0.2"/>
    <row r="12867" ht="9.9499999999999993" hidden="1" customHeight="1" x14ac:dyDescent="0.2"/>
    <row r="12868" ht="9.9499999999999993" hidden="1" customHeight="1" x14ac:dyDescent="0.2"/>
    <row r="12869" ht="9.9499999999999993" hidden="1" customHeight="1" x14ac:dyDescent="0.2"/>
    <row r="12870" ht="9.9499999999999993" hidden="1" customHeight="1" x14ac:dyDescent="0.2"/>
    <row r="12871" ht="9.9499999999999993" hidden="1" customHeight="1" x14ac:dyDescent="0.2"/>
    <row r="12872" ht="9.9499999999999993" hidden="1" customHeight="1" x14ac:dyDescent="0.2"/>
    <row r="12873" ht="9.9499999999999993" hidden="1" customHeight="1" x14ac:dyDescent="0.2"/>
    <row r="12874" ht="9.9499999999999993" hidden="1" customHeight="1" x14ac:dyDescent="0.2"/>
    <row r="12875" ht="9.9499999999999993" hidden="1" customHeight="1" x14ac:dyDescent="0.2"/>
    <row r="12876" ht="9.9499999999999993" hidden="1" customHeight="1" x14ac:dyDescent="0.2"/>
    <row r="12877" ht="9.9499999999999993" hidden="1" customHeight="1" x14ac:dyDescent="0.2"/>
    <row r="12878" ht="9.9499999999999993" hidden="1" customHeight="1" x14ac:dyDescent="0.2"/>
    <row r="12879" ht="9.9499999999999993" hidden="1" customHeight="1" x14ac:dyDescent="0.2"/>
    <row r="12880" ht="9.9499999999999993" hidden="1" customHeight="1" x14ac:dyDescent="0.2"/>
    <row r="12881" ht="9.9499999999999993" hidden="1" customHeight="1" x14ac:dyDescent="0.2"/>
    <row r="12882" ht="9.9499999999999993" hidden="1" customHeight="1" x14ac:dyDescent="0.2"/>
    <row r="12883" ht="9.9499999999999993" hidden="1" customHeight="1" x14ac:dyDescent="0.2"/>
    <row r="12884" ht="9.9499999999999993" hidden="1" customHeight="1" x14ac:dyDescent="0.2"/>
    <row r="12885" ht="9.9499999999999993" hidden="1" customHeight="1" x14ac:dyDescent="0.2"/>
    <row r="12886" ht="9.9499999999999993" hidden="1" customHeight="1" x14ac:dyDescent="0.2"/>
    <row r="12887" ht="9.9499999999999993" hidden="1" customHeight="1" x14ac:dyDescent="0.2"/>
    <row r="12888" ht="9.9499999999999993" hidden="1" customHeight="1" x14ac:dyDescent="0.2"/>
    <row r="12889" ht="9.9499999999999993" hidden="1" customHeight="1" x14ac:dyDescent="0.2"/>
    <row r="12890" ht="9.9499999999999993" hidden="1" customHeight="1" x14ac:dyDescent="0.2"/>
    <row r="12891" ht="9.9499999999999993" hidden="1" customHeight="1" x14ac:dyDescent="0.2"/>
    <row r="12892" ht="9.9499999999999993" hidden="1" customHeight="1" x14ac:dyDescent="0.2"/>
    <row r="12893" ht="9.9499999999999993" hidden="1" customHeight="1" x14ac:dyDescent="0.2"/>
    <row r="12894" ht="9.9499999999999993" hidden="1" customHeight="1" x14ac:dyDescent="0.2"/>
    <row r="12895" ht="9.9499999999999993" hidden="1" customHeight="1" x14ac:dyDescent="0.2"/>
    <row r="12896" ht="9.9499999999999993" hidden="1" customHeight="1" x14ac:dyDescent="0.2"/>
    <row r="12897" ht="9.9499999999999993" hidden="1" customHeight="1" x14ac:dyDescent="0.2"/>
    <row r="12898" ht="9.9499999999999993" hidden="1" customHeight="1" x14ac:dyDescent="0.2"/>
    <row r="12899" ht="9.9499999999999993" hidden="1" customHeight="1" x14ac:dyDescent="0.2"/>
    <row r="12900" ht="9.9499999999999993" hidden="1" customHeight="1" x14ac:dyDescent="0.2"/>
    <row r="12901" ht="9.9499999999999993" hidden="1" customHeight="1" x14ac:dyDescent="0.2"/>
    <row r="12902" ht="9.9499999999999993" hidden="1" customHeight="1" x14ac:dyDescent="0.2"/>
    <row r="12903" ht="9.9499999999999993" hidden="1" customHeight="1" x14ac:dyDescent="0.2"/>
    <row r="12904" ht="9.9499999999999993" hidden="1" customHeight="1" x14ac:dyDescent="0.2"/>
    <row r="12905" ht="9.9499999999999993" hidden="1" customHeight="1" x14ac:dyDescent="0.2"/>
    <row r="12906" ht="9.9499999999999993" hidden="1" customHeight="1" x14ac:dyDescent="0.2"/>
    <row r="12907" ht="9.9499999999999993" hidden="1" customHeight="1" x14ac:dyDescent="0.2"/>
    <row r="12908" ht="9.9499999999999993" hidden="1" customHeight="1" x14ac:dyDescent="0.2"/>
    <row r="12909" ht="9.9499999999999993" hidden="1" customHeight="1" x14ac:dyDescent="0.2"/>
    <row r="12910" ht="9.9499999999999993" hidden="1" customHeight="1" x14ac:dyDescent="0.2"/>
    <row r="12911" ht="9.9499999999999993" hidden="1" customHeight="1" x14ac:dyDescent="0.2"/>
    <row r="12912" ht="9.9499999999999993" hidden="1" customHeight="1" x14ac:dyDescent="0.2"/>
    <row r="12913" ht="9.9499999999999993" hidden="1" customHeight="1" x14ac:dyDescent="0.2"/>
    <row r="12914" ht="9.9499999999999993" hidden="1" customHeight="1" x14ac:dyDescent="0.2"/>
    <row r="12915" ht="9.9499999999999993" hidden="1" customHeight="1" x14ac:dyDescent="0.2"/>
    <row r="12916" ht="9.9499999999999993" hidden="1" customHeight="1" x14ac:dyDescent="0.2"/>
    <row r="12917" ht="9.9499999999999993" hidden="1" customHeight="1" x14ac:dyDescent="0.2"/>
    <row r="12918" ht="9.9499999999999993" hidden="1" customHeight="1" x14ac:dyDescent="0.2"/>
    <row r="12919" ht="9.9499999999999993" hidden="1" customHeight="1" x14ac:dyDescent="0.2"/>
    <row r="12920" ht="9.9499999999999993" hidden="1" customHeight="1" x14ac:dyDescent="0.2"/>
    <row r="12921" ht="9.9499999999999993" hidden="1" customHeight="1" x14ac:dyDescent="0.2"/>
    <row r="12922" ht="9.9499999999999993" hidden="1" customHeight="1" x14ac:dyDescent="0.2"/>
    <row r="12923" ht="9.9499999999999993" hidden="1" customHeight="1" x14ac:dyDescent="0.2"/>
    <row r="12924" ht="9.9499999999999993" hidden="1" customHeight="1" x14ac:dyDescent="0.2"/>
    <row r="12925" ht="9.9499999999999993" hidden="1" customHeight="1" x14ac:dyDescent="0.2"/>
    <row r="12926" ht="9.9499999999999993" hidden="1" customHeight="1" x14ac:dyDescent="0.2"/>
    <row r="12927" ht="9.9499999999999993" hidden="1" customHeight="1" x14ac:dyDescent="0.2"/>
    <row r="12928" ht="9.9499999999999993" hidden="1" customHeight="1" x14ac:dyDescent="0.2"/>
    <row r="12929" ht="9.9499999999999993" hidden="1" customHeight="1" x14ac:dyDescent="0.2"/>
    <row r="12930" ht="9.9499999999999993" hidden="1" customHeight="1" x14ac:dyDescent="0.2"/>
    <row r="12931" ht="9.9499999999999993" hidden="1" customHeight="1" x14ac:dyDescent="0.2"/>
    <row r="12932" ht="9.9499999999999993" hidden="1" customHeight="1" x14ac:dyDescent="0.2"/>
    <row r="12933" ht="9.9499999999999993" hidden="1" customHeight="1" x14ac:dyDescent="0.2"/>
    <row r="12934" ht="9.9499999999999993" hidden="1" customHeight="1" x14ac:dyDescent="0.2"/>
    <row r="12935" ht="9.9499999999999993" hidden="1" customHeight="1" x14ac:dyDescent="0.2"/>
    <row r="12936" ht="9.9499999999999993" hidden="1" customHeight="1" x14ac:dyDescent="0.2"/>
    <row r="12937" ht="9.9499999999999993" hidden="1" customHeight="1" x14ac:dyDescent="0.2"/>
    <row r="12938" ht="9.9499999999999993" hidden="1" customHeight="1" x14ac:dyDescent="0.2"/>
    <row r="12939" ht="9.9499999999999993" hidden="1" customHeight="1" x14ac:dyDescent="0.2"/>
    <row r="12940" ht="9.9499999999999993" hidden="1" customHeight="1" x14ac:dyDescent="0.2"/>
    <row r="12941" ht="9.9499999999999993" hidden="1" customHeight="1" x14ac:dyDescent="0.2"/>
    <row r="12942" ht="9.9499999999999993" hidden="1" customHeight="1" x14ac:dyDescent="0.2"/>
    <row r="12943" ht="9.9499999999999993" hidden="1" customHeight="1" x14ac:dyDescent="0.2"/>
    <row r="12944" ht="9.9499999999999993" hidden="1" customHeight="1" x14ac:dyDescent="0.2"/>
    <row r="12945" ht="9.9499999999999993" hidden="1" customHeight="1" x14ac:dyDescent="0.2"/>
    <row r="12946" ht="9.9499999999999993" hidden="1" customHeight="1" x14ac:dyDescent="0.2"/>
    <row r="12947" ht="9.9499999999999993" hidden="1" customHeight="1" x14ac:dyDescent="0.2"/>
    <row r="12948" ht="9.9499999999999993" hidden="1" customHeight="1" x14ac:dyDescent="0.2"/>
    <row r="12949" ht="9.9499999999999993" hidden="1" customHeight="1" x14ac:dyDescent="0.2"/>
    <row r="12950" ht="9.9499999999999993" hidden="1" customHeight="1" x14ac:dyDescent="0.2"/>
    <row r="12951" ht="9.9499999999999993" hidden="1" customHeight="1" x14ac:dyDescent="0.2"/>
    <row r="12952" ht="9.9499999999999993" hidden="1" customHeight="1" x14ac:dyDescent="0.2"/>
    <row r="12953" ht="9.9499999999999993" hidden="1" customHeight="1" x14ac:dyDescent="0.2"/>
    <row r="12954" ht="9.9499999999999993" hidden="1" customHeight="1" x14ac:dyDescent="0.2"/>
    <row r="12955" ht="9.9499999999999993" hidden="1" customHeight="1" x14ac:dyDescent="0.2"/>
    <row r="12956" ht="9.9499999999999993" hidden="1" customHeight="1" x14ac:dyDescent="0.2"/>
    <row r="12957" ht="9.9499999999999993" hidden="1" customHeight="1" x14ac:dyDescent="0.2"/>
    <row r="12958" ht="9.9499999999999993" hidden="1" customHeight="1" x14ac:dyDescent="0.2"/>
    <row r="12959" ht="9.9499999999999993" hidden="1" customHeight="1" x14ac:dyDescent="0.2"/>
    <row r="12960" ht="9.9499999999999993" hidden="1" customHeight="1" x14ac:dyDescent="0.2"/>
    <row r="12961" ht="9.9499999999999993" hidden="1" customHeight="1" x14ac:dyDescent="0.2"/>
    <row r="12962" ht="9.9499999999999993" hidden="1" customHeight="1" x14ac:dyDescent="0.2"/>
    <row r="12963" ht="9.9499999999999993" hidden="1" customHeight="1" x14ac:dyDescent="0.2"/>
    <row r="12964" ht="9.9499999999999993" hidden="1" customHeight="1" x14ac:dyDescent="0.2"/>
    <row r="12965" ht="9.9499999999999993" hidden="1" customHeight="1" x14ac:dyDescent="0.2"/>
    <row r="12966" ht="9.9499999999999993" hidden="1" customHeight="1" x14ac:dyDescent="0.2"/>
    <row r="12967" ht="9.9499999999999993" hidden="1" customHeight="1" x14ac:dyDescent="0.2"/>
    <row r="12968" ht="9.9499999999999993" hidden="1" customHeight="1" x14ac:dyDescent="0.2"/>
    <row r="12969" ht="9.9499999999999993" hidden="1" customHeight="1" x14ac:dyDescent="0.2"/>
    <row r="12970" ht="9.9499999999999993" hidden="1" customHeight="1" x14ac:dyDescent="0.2"/>
    <row r="12971" ht="9.9499999999999993" hidden="1" customHeight="1" x14ac:dyDescent="0.2"/>
    <row r="12972" ht="9.9499999999999993" hidden="1" customHeight="1" x14ac:dyDescent="0.2"/>
    <row r="12973" ht="9.9499999999999993" hidden="1" customHeight="1" x14ac:dyDescent="0.2"/>
    <row r="12974" ht="9.9499999999999993" hidden="1" customHeight="1" x14ac:dyDescent="0.2"/>
    <row r="12975" ht="9.9499999999999993" hidden="1" customHeight="1" x14ac:dyDescent="0.2"/>
    <row r="12976" ht="9.9499999999999993" hidden="1" customHeight="1" x14ac:dyDescent="0.2"/>
    <row r="12977" ht="9.9499999999999993" hidden="1" customHeight="1" x14ac:dyDescent="0.2"/>
    <row r="12978" ht="9.9499999999999993" hidden="1" customHeight="1" x14ac:dyDescent="0.2"/>
    <row r="12979" ht="9.9499999999999993" hidden="1" customHeight="1" x14ac:dyDescent="0.2"/>
    <row r="12980" ht="9.9499999999999993" hidden="1" customHeight="1" x14ac:dyDescent="0.2"/>
    <row r="12981" ht="9.9499999999999993" hidden="1" customHeight="1" x14ac:dyDescent="0.2"/>
    <row r="12982" ht="9.9499999999999993" hidden="1" customHeight="1" x14ac:dyDescent="0.2"/>
    <row r="12983" ht="9.9499999999999993" hidden="1" customHeight="1" x14ac:dyDescent="0.2"/>
    <row r="12984" ht="9.9499999999999993" hidden="1" customHeight="1" x14ac:dyDescent="0.2"/>
    <row r="12985" ht="9.9499999999999993" hidden="1" customHeight="1" x14ac:dyDescent="0.2"/>
    <row r="12986" ht="9.9499999999999993" hidden="1" customHeight="1" x14ac:dyDescent="0.2"/>
    <row r="12987" ht="9.9499999999999993" hidden="1" customHeight="1" x14ac:dyDescent="0.2"/>
    <row r="12988" ht="9.9499999999999993" hidden="1" customHeight="1" x14ac:dyDescent="0.2"/>
    <row r="12989" ht="9.9499999999999993" hidden="1" customHeight="1" x14ac:dyDescent="0.2"/>
    <row r="12990" ht="9.9499999999999993" hidden="1" customHeight="1" x14ac:dyDescent="0.2"/>
    <row r="12991" ht="9.9499999999999993" hidden="1" customHeight="1" x14ac:dyDescent="0.2"/>
    <row r="12992" ht="9.9499999999999993" hidden="1" customHeight="1" x14ac:dyDescent="0.2"/>
    <row r="12993" ht="9.9499999999999993" hidden="1" customHeight="1" x14ac:dyDescent="0.2"/>
    <row r="12994" ht="9.9499999999999993" hidden="1" customHeight="1" x14ac:dyDescent="0.2"/>
    <row r="12995" ht="9.9499999999999993" hidden="1" customHeight="1" x14ac:dyDescent="0.2"/>
    <row r="12996" ht="9.9499999999999993" hidden="1" customHeight="1" x14ac:dyDescent="0.2"/>
    <row r="12997" ht="9.9499999999999993" hidden="1" customHeight="1" x14ac:dyDescent="0.2"/>
    <row r="12998" ht="9.9499999999999993" hidden="1" customHeight="1" x14ac:dyDescent="0.2"/>
    <row r="12999" ht="9.9499999999999993" hidden="1" customHeight="1" x14ac:dyDescent="0.2"/>
    <row r="13000" ht="9.9499999999999993" hidden="1" customHeight="1" x14ac:dyDescent="0.2"/>
    <row r="13001" ht="9.9499999999999993" hidden="1" customHeight="1" x14ac:dyDescent="0.2"/>
    <row r="13002" ht="9.9499999999999993" hidden="1" customHeight="1" x14ac:dyDescent="0.2"/>
    <row r="13003" ht="9.9499999999999993" hidden="1" customHeight="1" x14ac:dyDescent="0.2"/>
    <row r="13004" ht="9.9499999999999993" hidden="1" customHeight="1" x14ac:dyDescent="0.2"/>
    <row r="13005" ht="9.9499999999999993" hidden="1" customHeight="1" x14ac:dyDescent="0.2"/>
    <row r="13006" ht="9.9499999999999993" hidden="1" customHeight="1" x14ac:dyDescent="0.2"/>
    <row r="13007" ht="9.9499999999999993" hidden="1" customHeight="1" x14ac:dyDescent="0.2"/>
    <row r="13008" ht="9.9499999999999993" hidden="1" customHeight="1" x14ac:dyDescent="0.2"/>
    <row r="13009" ht="9.9499999999999993" hidden="1" customHeight="1" x14ac:dyDescent="0.2"/>
    <row r="13010" ht="9.9499999999999993" hidden="1" customHeight="1" x14ac:dyDescent="0.2"/>
    <row r="13011" ht="9.9499999999999993" hidden="1" customHeight="1" x14ac:dyDescent="0.2"/>
    <row r="13012" ht="9.9499999999999993" hidden="1" customHeight="1" x14ac:dyDescent="0.2"/>
    <row r="13013" ht="9.9499999999999993" hidden="1" customHeight="1" x14ac:dyDescent="0.2"/>
    <row r="13014" ht="9.9499999999999993" hidden="1" customHeight="1" x14ac:dyDescent="0.2"/>
    <row r="13015" ht="9.9499999999999993" hidden="1" customHeight="1" x14ac:dyDescent="0.2"/>
    <row r="13016" ht="9.9499999999999993" hidden="1" customHeight="1" x14ac:dyDescent="0.2"/>
    <row r="13017" ht="9.9499999999999993" hidden="1" customHeight="1" x14ac:dyDescent="0.2"/>
    <row r="13018" ht="9.9499999999999993" hidden="1" customHeight="1" x14ac:dyDescent="0.2"/>
    <row r="13019" ht="9.9499999999999993" hidden="1" customHeight="1" x14ac:dyDescent="0.2"/>
    <row r="13020" ht="9.9499999999999993" hidden="1" customHeight="1" x14ac:dyDescent="0.2"/>
    <row r="13021" ht="9.9499999999999993" hidden="1" customHeight="1" x14ac:dyDescent="0.2"/>
    <row r="13022" ht="9.9499999999999993" hidden="1" customHeight="1" x14ac:dyDescent="0.2"/>
    <row r="13023" ht="9.9499999999999993" hidden="1" customHeight="1" x14ac:dyDescent="0.2"/>
    <row r="13024" ht="9.9499999999999993" hidden="1" customHeight="1" x14ac:dyDescent="0.2"/>
    <row r="13025" ht="9.9499999999999993" hidden="1" customHeight="1" x14ac:dyDescent="0.2"/>
    <row r="13026" ht="9.9499999999999993" hidden="1" customHeight="1" x14ac:dyDescent="0.2"/>
    <row r="13027" ht="9.9499999999999993" hidden="1" customHeight="1" x14ac:dyDescent="0.2"/>
    <row r="13028" ht="9.9499999999999993" hidden="1" customHeight="1" x14ac:dyDescent="0.2"/>
    <row r="13029" ht="9.9499999999999993" hidden="1" customHeight="1" x14ac:dyDescent="0.2"/>
    <row r="13030" ht="9.9499999999999993" hidden="1" customHeight="1" x14ac:dyDescent="0.2"/>
    <row r="13031" ht="9.9499999999999993" hidden="1" customHeight="1" x14ac:dyDescent="0.2"/>
    <row r="13032" ht="9.9499999999999993" hidden="1" customHeight="1" x14ac:dyDescent="0.2"/>
    <row r="13033" ht="9.9499999999999993" hidden="1" customHeight="1" x14ac:dyDescent="0.2"/>
    <row r="13034" ht="9.9499999999999993" hidden="1" customHeight="1" x14ac:dyDescent="0.2"/>
    <row r="13035" ht="9.9499999999999993" hidden="1" customHeight="1" x14ac:dyDescent="0.2"/>
    <row r="13036" ht="9.9499999999999993" hidden="1" customHeight="1" x14ac:dyDescent="0.2"/>
    <row r="13037" ht="9.9499999999999993" hidden="1" customHeight="1" x14ac:dyDescent="0.2"/>
    <row r="13038" ht="9.9499999999999993" hidden="1" customHeight="1" x14ac:dyDescent="0.2"/>
    <row r="13039" ht="9.9499999999999993" hidden="1" customHeight="1" x14ac:dyDescent="0.2"/>
    <row r="13040" ht="9.9499999999999993" hidden="1" customHeight="1" x14ac:dyDescent="0.2"/>
    <row r="13041" ht="9.9499999999999993" hidden="1" customHeight="1" x14ac:dyDescent="0.2"/>
    <row r="13042" ht="9.9499999999999993" hidden="1" customHeight="1" x14ac:dyDescent="0.2"/>
    <row r="13043" ht="9.9499999999999993" hidden="1" customHeight="1" x14ac:dyDescent="0.2"/>
    <row r="13044" ht="9.9499999999999993" hidden="1" customHeight="1" x14ac:dyDescent="0.2"/>
    <row r="13045" ht="9.9499999999999993" hidden="1" customHeight="1" x14ac:dyDescent="0.2"/>
    <row r="13046" ht="9.9499999999999993" hidden="1" customHeight="1" x14ac:dyDescent="0.2"/>
    <row r="13047" ht="9.9499999999999993" hidden="1" customHeight="1" x14ac:dyDescent="0.2"/>
    <row r="13048" ht="9.9499999999999993" hidden="1" customHeight="1" x14ac:dyDescent="0.2"/>
    <row r="13049" ht="9.9499999999999993" hidden="1" customHeight="1" x14ac:dyDescent="0.2"/>
    <row r="13050" ht="9.9499999999999993" hidden="1" customHeight="1" x14ac:dyDescent="0.2"/>
    <row r="13051" ht="9.9499999999999993" hidden="1" customHeight="1" x14ac:dyDescent="0.2"/>
    <row r="13052" ht="9.9499999999999993" hidden="1" customHeight="1" x14ac:dyDescent="0.2"/>
    <row r="13053" ht="9.9499999999999993" hidden="1" customHeight="1" x14ac:dyDescent="0.2"/>
    <row r="13054" ht="9.9499999999999993" hidden="1" customHeight="1" x14ac:dyDescent="0.2"/>
    <row r="13055" ht="9.9499999999999993" hidden="1" customHeight="1" x14ac:dyDescent="0.2"/>
    <row r="13056" ht="9.9499999999999993" hidden="1" customHeight="1" x14ac:dyDescent="0.2"/>
    <row r="13057" ht="9.9499999999999993" hidden="1" customHeight="1" x14ac:dyDescent="0.2"/>
    <row r="13058" ht="9.9499999999999993" hidden="1" customHeight="1" x14ac:dyDescent="0.2"/>
    <row r="13059" ht="9.9499999999999993" hidden="1" customHeight="1" x14ac:dyDescent="0.2"/>
    <row r="13060" ht="9.9499999999999993" hidden="1" customHeight="1" x14ac:dyDescent="0.2"/>
    <row r="13061" ht="9.9499999999999993" hidden="1" customHeight="1" x14ac:dyDescent="0.2"/>
    <row r="13062" ht="9.9499999999999993" hidden="1" customHeight="1" x14ac:dyDescent="0.2"/>
    <row r="13063" ht="9.9499999999999993" hidden="1" customHeight="1" x14ac:dyDescent="0.2"/>
    <row r="13064" ht="9.9499999999999993" hidden="1" customHeight="1" x14ac:dyDescent="0.2"/>
    <row r="13065" ht="9.9499999999999993" hidden="1" customHeight="1" x14ac:dyDescent="0.2"/>
    <row r="13066" ht="9.9499999999999993" hidden="1" customHeight="1" x14ac:dyDescent="0.2"/>
    <row r="13067" ht="9.9499999999999993" hidden="1" customHeight="1" x14ac:dyDescent="0.2"/>
    <row r="13068" ht="9.9499999999999993" hidden="1" customHeight="1" x14ac:dyDescent="0.2"/>
    <row r="13069" ht="9.9499999999999993" hidden="1" customHeight="1" x14ac:dyDescent="0.2"/>
    <row r="13070" ht="9.9499999999999993" hidden="1" customHeight="1" x14ac:dyDescent="0.2"/>
    <row r="13071" ht="9.9499999999999993" hidden="1" customHeight="1" x14ac:dyDescent="0.2"/>
    <row r="13072" ht="9.9499999999999993" hidden="1" customHeight="1" x14ac:dyDescent="0.2"/>
    <row r="13073" ht="9.9499999999999993" hidden="1" customHeight="1" x14ac:dyDescent="0.2"/>
    <row r="13074" ht="9.9499999999999993" hidden="1" customHeight="1" x14ac:dyDescent="0.2"/>
    <row r="13075" ht="9.9499999999999993" hidden="1" customHeight="1" x14ac:dyDescent="0.2"/>
    <row r="13076" ht="9.9499999999999993" hidden="1" customHeight="1" x14ac:dyDescent="0.2"/>
    <row r="13077" ht="9.9499999999999993" hidden="1" customHeight="1" x14ac:dyDescent="0.2"/>
    <row r="13078" ht="9.9499999999999993" hidden="1" customHeight="1" x14ac:dyDescent="0.2"/>
    <row r="13079" ht="9.9499999999999993" hidden="1" customHeight="1" x14ac:dyDescent="0.2"/>
    <row r="13080" ht="9.9499999999999993" hidden="1" customHeight="1" x14ac:dyDescent="0.2"/>
    <row r="13081" ht="9.9499999999999993" hidden="1" customHeight="1" x14ac:dyDescent="0.2"/>
    <row r="13082" ht="9.9499999999999993" hidden="1" customHeight="1" x14ac:dyDescent="0.2"/>
    <row r="13083" ht="9.9499999999999993" hidden="1" customHeight="1" x14ac:dyDescent="0.2"/>
    <row r="13084" ht="9.9499999999999993" hidden="1" customHeight="1" x14ac:dyDescent="0.2"/>
    <row r="13085" ht="9.9499999999999993" hidden="1" customHeight="1" x14ac:dyDescent="0.2"/>
    <row r="13086" ht="9.9499999999999993" hidden="1" customHeight="1" x14ac:dyDescent="0.2"/>
    <row r="13087" ht="9.9499999999999993" hidden="1" customHeight="1" x14ac:dyDescent="0.2"/>
    <row r="13088" ht="9.9499999999999993" hidden="1" customHeight="1" x14ac:dyDescent="0.2"/>
    <row r="13089" ht="9.9499999999999993" hidden="1" customHeight="1" x14ac:dyDescent="0.2"/>
    <row r="13090" ht="9.9499999999999993" hidden="1" customHeight="1" x14ac:dyDescent="0.2"/>
    <row r="13091" ht="9.9499999999999993" hidden="1" customHeight="1" x14ac:dyDescent="0.2"/>
    <row r="13092" ht="9.9499999999999993" hidden="1" customHeight="1" x14ac:dyDescent="0.2"/>
    <row r="13093" ht="9.9499999999999993" hidden="1" customHeight="1" x14ac:dyDescent="0.2"/>
    <row r="13094" ht="9.9499999999999993" hidden="1" customHeight="1" x14ac:dyDescent="0.2"/>
    <row r="13095" ht="9.9499999999999993" hidden="1" customHeight="1" x14ac:dyDescent="0.2"/>
    <row r="13096" ht="9.9499999999999993" hidden="1" customHeight="1" x14ac:dyDescent="0.2"/>
    <row r="13097" ht="9.9499999999999993" hidden="1" customHeight="1" x14ac:dyDescent="0.2"/>
    <row r="13098" ht="9.9499999999999993" hidden="1" customHeight="1" x14ac:dyDescent="0.2"/>
    <row r="13099" ht="9.9499999999999993" hidden="1" customHeight="1" x14ac:dyDescent="0.2"/>
    <row r="13100" ht="9.9499999999999993" hidden="1" customHeight="1" x14ac:dyDescent="0.2"/>
    <row r="13101" ht="9.9499999999999993" hidden="1" customHeight="1" x14ac:dyDescent="0.2"/>
    <row r="13102" ht="9.9499999999999993" hidden="1" customHeight="1" x14ac:dyDescent="0.2"/>
    <row r="13103" ht="9.9499999999999993" hidden="1" customHeight="1" x14ac:dyDescent="0.2"/>
    <row r="13104" ht="9.9499999999999993" hidden="1" customHeight="1" x14ac:dyDescent="0.2"/>
    <row r="13105" ht="9.9499999999999993" hidden="1" customHeight="1" x14ac:dyDescent="0.2"/>
    <row r="13106" ht="9.9499999999999993" hidden="1" customHeight="1" x14ac:dyDescent="0.2"/>
    <row r="13107" ht="9.9499999999999993" hidden="1" customHeight="1" x14ac:dyDescent="0.2"/>
    <row r="13108" ht="9.9499999999999993" hidden="1" customHeight="1" x14ac:dyDescent="0.2"/>
    <row r="13109" ht="9.9499999999999993" hidden="1" customHeight="1" x14ac:dyDescent="0.2"/>
    <row r="13110" ht="9.9499999999999993" hidden="1" customHeight="1" x14ac:dyDescent="0.2"/>
    <row r="13111" ht="9.9499999999999993" hidden="1" customHeight="1" x14ac:dyDescent="0.2"/>
    <row r="13112" ht="9.9499999999999993" hidden="1" customHeight="1" x14ac:dyDescent="0.2"/>
    <row r="13113" ht="9.9499999999999993" hidden="1" customHeight="1" x14ac:dyDescent="0.2"/>
    <row r="13114" ht="9.9499999999999993" hidden="1" customHeight="1" x14ac:dyDescent="0.2"/>
    <row r="13115" ht="9.9499999999999993" hidden="1" customHeight="1" x14ac:dyDescent="0.2"/>
    <row r="13116" ht="9.9499999999999993" hidden="1" customHeight="1" x14ac:dyDescent="0.2"/>
    <row r="13117" ht="9.9499999999999993" hidden="1" customHeight="1" x14ac:dyDescent="0.2"/>
    <row r="13118" ht="9.9499999999999993" hidden="1" customHeight="1" x14ac:dyDescent="0.2"/>
    <row r="13119" ht="9.9499999999999993" hidden="1" customHeight="1" x14ac:dyDescent="0.2"/>
    <row r="13120" ht="9.9499999999999993" hidden="1" customHeight="1" x14ac:dyDescent="0.2"/>
    <row r="13121" ht="9.9499999999999993" hidden="1" customHeight="1" x14ac:dyDescent="0.2"/>
    <row r="13122" ht="9.9499999999999993" hidden="1" customHeight="1" x14ac:dyDescent="0.2"/>
    <row r="13123" ht="9.9499999999999993" hidden="1" customHeight="1" x14ac:dyDescent="0.2"/>
    <row r="13124" ht="9.9499999999999993" hidden="1" customHeight="1" x14ac:dyDescent="0.2"/>
    <row r="13125" ht="9.9499999999999993" hidden="1" customHeight="1" x14ac:dyDescent="0.2"/>
    <row r="13126" ht="9.9499999999999993" hidden="1" customHeight="1" x14ac:dyDescent="0.2"/>
    <row r="13127" ht="9.9499999999999993" hidden="1" customHeight="1" x14ac:dyDescent="0.2"/>
    <row r="13128" ht="9.9499999999999993" hidden="1" customHeight="1" x14ac:dyDescent="0.2"/>
    <row r="13129" ht="9.9499999999999993" hidden="1" customHeight="1" x14ac:dyDescent="0.2"/>
    <row r="13130" ht="9.9499999999999993" hidden="1" customHeight="1" x14ac:dyDescent="0.2"/>
    <row r="13131" ht="9.9499999999999993" hidden="1" customHeight="1" x14ac:dyDescent="0.2"/>
    <row r="13132" ht="9.9499999999999993" hidden="1" customHeight="1" x14ac:dyDescent="0.2"/>
    <row r="13133" ht="9.9499999999999993" hidden="1" customHeight="1" x14ac:dyDescent="0.2"/>
    <row r="13134" ht="9.9499999999999993" hidden="1" customHeight="1" x14ac:dyDescent="0.2"/>
    <row r="13135" ht="9.9499999999999993" hidden="1" customHeight="1" x14ac:dyDescent="0.2"/>
    <row r="13136" ht="9.9499999999999993" hidden="1" customHeight="1" x14ac:dyDescent="0.2"/>
    <row r="13137" ht="9.9499999999999993" hidden="1" customHeight="1" x14ac:dyDescent="0.2"/>
    <row r="13138" ht="9.9499999999999993" hidden="1" customHeight="1" x14ac:dyDescent="0.2"/>
    <row r="13139" ht="9.9499999999999993" hidden="1" customHeight="1" x14ac:dyDescent="0.2"/>
    <row r="13140" ht="9.9499999999999993" hidden="1" customHeight="1" x14ac:dyDescent="0.2"/>
    <row r="13141" ht="9.9499999999999993" hidden="1" customHeight="1" x14ac:dyDescent="0.2"/>
    <row r="13142" ht="9.9499999999999993" hidden="1" customHeight="1" x14ac:dyDescent="0.2"/>
    <row r="13143" ht="9.9499999999999993" hidden="1" customHeight="1" x14ac:dyDescent="0.2"/>
    <row r="13144" ht="9.9499999999999993" hidden="1" customHeight="1" x14ac:dyDescent="0.2"/>
    <row r="13145" ht="9.9499999999999993" hidden="1" customHeight="1" x14ac:dyDescent="0.2"/>
    <row r="13146" ht="9.9499999999999993" hidden="1" customHeight="1" x14ac:dyDescent="0.2"/>
    <row r="13147" ht="9.9499999999999993" hidden="1" customHeight="1" x14ac:dyDescent="0.2"/>
    <row r="13148" ht="9.9499999999999993" hidden="1" customHeight="1" x14ac:dyDescent="0.2"/>
    <row r="13149" ht="9.9499999999999993" hidden="1" customHeight="1" x14ac:dyDescent="0.2"/>
    <row r="13150" ht="9.9499999999999993" hidden="1" customHeight="1" x14ac:dyDescent="0.2"/>
    <row r="13151" ht="9.9499999999999993" hidden="1" customHeight="1" x14ac:dyDescent="0.2"/>
    <row r="13152" ht="9.9499999999999993" hidden="1" customHeight="1" x14ac:dyDescent="0.2"/>
    <row r="13153" ht="9.9499999999999993" hidden="1" customHeight="1" x14ac:dyDescent="0.2"/>
    <row r="13154" ht="9.9499999999999993" hidden="1" customHeight="1" x14ac:dyDescent="0.2"/>
    <row r="13155" ht="9.9499999999999993" hidden="1" customHeight="1" x14ac:dyDescent="0.2"/>
    <row r="13156" ht="9.9499999999999993" hidden="1" customHeight="1" x14ac:dyDescent="0.2"/>
    <row r="13157" ht="9.9499999999999993" hidden="1" customHeight="1" x14ac:dyDescent="0.2"/>
    <row r="13158" ht="9.9499999999999993" hidden="1" customHeight="1" x14ac:dyDescent="0.2"/>
    <row r="13159" ht="9.9499999999999993" hidden="1" customHeight="1" x14ac:dyDescent="0.2"/>
    <row r="13160" ht="9.9499999999999993" hidden="1" customHeight="1" x14ac:dyDescent="0.2"/>
    <row r="13161" ht="9.9499999999999993" hidden="1" customHeight="1" x14ac:dyDescent="0.2"/>
    <row r="13162" ht="9.9499999999999993" hidden="1" customHeight="1" x14ac:dyDescent="0.2"/>
    <row r="13163" ht="9.9499999999999993" hidden="1" customHeight="1" x14ac:dyDescent="0.2"/>
    <row r="13164" ht="9.9499999999999993" hidden="1" customHeight="1" x14ac:dyDescent="0.2"/>
    <row r="13165" ht="9.9499999999999993" hidden="1" customHeight="1" x14ac:dyDescent="0.2"/>
    <row r="13166" ht="9.9499999999999993" hidden="1" customHeight="1" x14ac:dyDescent="0.2"/>
    <row r="13167" ht="9.9499999999999993" hidden="1" customHeight="1" x14ac:dyDescent="0.2"/>
    <row r="13168" ht="9.9499999999999993" hidden="1" customHeight="1" x14ac:dyDescent="0.2"/>
    <row r="13169" ht="9.9499999999999993" hidden="1" customHeight="1" x14ac:dyDescent="0.2"/>
    <row r="13170" ht="9.9499999999999993" hidden="1" customHeight="1" x14ac:dyDescent="0.2"/>
    <row r="13171" ht="9.9499999999999993" hidden="1" customHeight="1" x14ac:dyDescent="0.2"/>
    <row r="13172" ht="9.9499999999999993" hidden="1" customHeight="1" x14ac:dyDescent="0.2"/>
    <row r="13173" ht="9.9499999999999993" hidden="1" customHeight="1" x14ac:dyDescent="0.2"/>
    <row r="13174" ht="9.9499999999999993" hidden="1" customHeight="1" x14ac:dyDescent="0.2"/>
    <row r="13175" ht="9.9499999999999993" hidden="1" customHeight="1" x14ac:dyDescent="0.2"/>
    <row r="13176" ht="9.9499999999999993" hidden="1" customHeight="1" x14ac:dyDescent="0.2"/>
    <row r="13177" ht="9.9499999999999993" hidden="1" customHeight="1" x14ac:dyDescent="0.2"/>
    <row r="13178" ht="9.9499999999999993" hidden="1" customHeight="1" x14ac:dyDescent="0.2"/>
    <row r="13179" ht="9.9499999999999993" hidden="1" customHeight="1" x14ac:dyDescent="0.2"/>
    <row r="13180" ht="9.9499999999999993" hidden="1" customHeight="1" x14ac:dyDescent="0.2"/>
    <row r="13181" ht="9.9499999999999993" hidden="1" customHeight="1" x14ac:dyDescent="0.2"/>
    <row r="13182" ht="9.9499999999999993" hidden="1" customHeight="1" x14ac:dyDescent="0.2"/>
    <row r="13183" ht="9.9499999999999993" hidden="1" customHeight="1" x14ac:dyDescent="0.2"/>
    <row r="13184" ht="9.9499999999999993" hidden="1" customHeight="1" x14ac:dyDescent="0.2"/>
    <row r="13185" ht="9.9499999999999993" hidden="1" customHeight="1" x14ac:dyDescent="0.2"/>
    <row r="13186" ht="9.9499999999999993" hidden="1" customHeight="1" x14ac:dyDescent="0.2"/>
    <row r="13187" ht="9.9499999999999993" hidden="1" customHeight="1" x14ac:dyDescent="0.2"/>
    <row r="13188" ht="9.9499999999999993" hidden="1" customHeight="1" x14ac:dyDescent="0.2"/>
    <row r="13189" ht="9.9499999999999993" hidden="1" customHeight="1" x14ac:dyDescent="0.2"/>
    <row r="13190" ht="9.9499999999999993" hidden="1" customHeight="1" x14ac:dyDescent="0.2"/>
    <row r="13191" ht="9.9499999999999993" hidden="1" customHeight="1" x14ac:dyDescent="0.2"/>
    <row r="13192" ht="9.9499999999999993" hidden="1" customHeight="1" x14ac:dyDescent="0.2"/>
    <row r="13193" ht="9.9499999999999993" hidden="1" customHeight="1" x14ac:dyDescent="0.2"/>
    <row r="13194" ht="9.9499999999999993" hidden="1" customHeight="1" x14ac:dyDescent="0.2"/>
    <row r="13195" ht="9.9499999999999993" hidden="1" customHeight="1" x14ac:dyDescent="0.2"/>
    <row r="13196" ht="9.9499999999999993" hidden="1" customHeight="1" x14ac:dyDescent="0.2"/>
    <row r="13197" ht="9.9499999999999993" hidden="1" customHeight="1" x14ac:dyDescent="0.2"/>
    <row r="13198" ht="9.9499999999999993" hidden="1" customHeight="1" x14ac:dyDescent="0.2"/>
    <row r="13199" ht="9.9499999999999993" hidden="1" customHeight="1" x14ac:dyDescent="0.2"/>
    <row r="13200" ht="9.9499999999999993" hidden="1" customHeight="1" x14ac:dyDescent="0.2"/>
    <row r="13201" ht="9.9499999999999993" hidden="1" customHeight="1" x14ac:dyDescent="0.2"/>
    <row r="13202" ht="9.9499999999999993" hidden="1" customHeight="1" x14ac:dyDescent="0.2"/>
    <row r="13203" ht="9.9499999999999993" hidden="1" customHeight="1" x14ac:dyDescent="0.2"/>
    <row r="13204" ht="9.9499999999999993" hidden="1" customHeight="1" x14ac:dyDescent="0.2"/>
    <row r="13205" ht="9.9499999999999993" hidden="1" customHeight="1" x14ac:dyDescent="0.2"/>
    <row r="13206" ht="9.9499999999999993" hidden="1" customHeight="1" x14ac:dyDescent="0.2"/>
    <row r="13207" ht="9.9499999999999993" hidden="1" customHeight="1" x14ac:dyDescent="0.2"/>
    <row r="13208" ht="9.9499999999999993" hidden="1" customHeight="1" x14ac:dyDescent="0.2"/>
    <row r="13209" ht="9.9499999999999993" hidden="1" customHeight="1" x14ac:dyDescent="0.2"/>
    <row r="13210" ht="9.9499999999999993" hidden="1" customHeight="1" x14ac:dyDescent="0.2"/>
    <row r="13211" ht="9.9499999999999993" hidden="1" customHeight="1" x14ac:dyDescent="0.2"/>
    <row r="13212" ht="9.9499999999999993" hidden="1" customHeight="1" x14ac:dyDescent="0.2"/>
    <row r="13213" ht="9.9499999999999993" hidden="1" customHeight="1" x14ac:dyDescent="0.2"/>
    <row r="13214" ht="9.9499999999999993" hidden="1" customHeight="1" x14ac:dyDescent="0.2"/>
    <row r="13215" ht="9.9499999999999993" hidden="1" customHeight="1" x14ac:dyDescent="0.2"/>
    <row r="13216" ht="9.9499999999999993" hidden="1" customHeight="1" x14ac:dyDescent="0.2"/>
    <row r="13217" ht="9.9499999999999993" hidden="1" customHeight="1" x14ac:dyDescent="0.2"/>
    <row r="13218" ht="9.9499999999999993" hidden="1" customHeight="1" x14ac:dyDescent="0.2"/>
    <row r="13219" ht="9.9499999999999993" hidden="1" customHeight="1" x14ac:dyDescent="0.2"/>
    <row r="13220" ht="9.9499999999999993" hidden="1" customHeight="1" x14ac:dyDescent="0.2"/>
    <row r="13221" ht="9.9499999999999993" hidden="1" customHeight="1" x14ac:dyDescent="0.2"/>
    <row r="13222" ht="9.9499999999999993" hidden="1" customHeight="1" x14ac:dyDescent="0.2"/>
    <row r="13223" ht="9.9499999999999993" hidden="1" customHeight="1" x14ac:dyDescent="0.2"/>
    <row r="13224" ht="9.9499999999999993" hidden="1" customHeight="1" x14ac:dyDescent="0.2"/>
    <row r="13225" ht="9.9499999999999993" hidden="1" customHeight="1" x14ac:dyDescent="0.2"/>
    <row r="13226" ht="9.9499999999999993" hidden="1" customHeight="1" x14ac:dyDescent="0.2"/>
    <row r="13227" ht="9.9499999999999993" hidden="1" customHeight="1" x14ac:dyDescent="0.2"/>
    <row r="13228" ht="9.9499999999999993" hidden="1" customHeight="1" x14ac:dyDescent="0.2"/>
    <row r="13229" ht="9.9499999999999993" hidden="1" customHeight="1" x14ac:dyDescent="0.2"/>
    <row r="13230" ht="9.9499999999999993" hidden="1" customHeight="1" x14ac:dyDescent="0.2"/>
    <row r="13231" ht="9.9499999999999993" hidden="1" customHeight="1" x14ac:dyDescent="0.2"/>
    <row r="13232" ht="9.9499999999999993" hidden="1" customHeight="1" x14ac:dyDescent="0.2"/>
    <row r="13233" ht="9.9499999999999993" hidden="1" customHeight="1" x14ac:dyDescent="0.2"/>
    <row r="13234" ht="9.9499999999999993" hidden="1" customHeight="1" x14ac:dyDescent="0.2"/>
    <row r="13235" ht="9.9499999999999993" hidden="1" customHeight="1" x14ac:dyDescent="0.2"/>
    <row r="13236" ht="9.9499999999999993" hidden="1" customHeight="1" x14ac:dyDescent="0.2"/>
    <row r="13237" ht="9.9499999999999993" hidden="1" customHeight="1" x14ac:dyDescent="0.2"/>
    <row r="13238" ht="9.9499999999999993" hidden="1" customHeight="1" x14ac:dyDescent="0.2"/>
    <row r="13239" ht="9.9499999999999993" hidden="1" customHeight="1" x14ac:dyDescent="0.2"/>
    <row r="13240" ht="9.9499999999999993" hidden="1" customHeight="1" x14ac:dyDescent="0.2"/>
    <row r="13241" ht="9.9499999999999993" hidden="1" customHeight="1" x14ac:dyDescent="0.2"/>
    <row r="13242" ht="9.9499999999999993" hidden="1" customHeight="1" x14ac:dyDescent="0.2"/>
    <row r="13243" ht="9.9499999999999993" hidden="1" customHeight="1" x14ac:dyDescent="0.2"/>
    <row r="13244" ht="9.9499999999999993" hidden="1" customHeight="1" x14ac:dyDescent="0.2"/>
    <row r="13245" ht="9.9499999999999993" hidden="1" customHeight="1" x14ac:dyDescent="0.2"/>
    <row r="13246" ht="9.9499999999999993" hidden="1" customHeight="1" x14ac:dyDescent="0.2"/>
    <row r="13247" ht="9.9499999999999993" hidden="1" customHeight="1" x14ac:dyDescent="0.2"/>
    <row r="13248" ht="9.9499999999999993" hidden="1" customHeight="1" x14ac:dyDescent="0.2"/>
    <row r="13249" ht="9.9499999999999993" hidden="1" customHeight="1" x14ac:dyDescent="0.2"/>
    <row r="13250" ht="9.9499999999999993" hidden="1" customHeight="1" x14ac:dyDescent="0.2"/>
    <row r="13251" ht="9.9499999999999993" hidden="1" customHeight="1" x14ac:dyDescent="0.2"/>
    <row r="13252" ht="9.9499999999999993" hidden="1" customHeight="1" x14ac:dyDescent="0.2"/>
    <row r="13253" ht="9.9499999999999993" hidden="1" customHeight="1" x14ac:dyDescent="0.2"/>
    <row r="13254" ht="9.9499999999999993" hidden="1" customHeight="1" x14ac:dyDescent="0.2"/>
    <row r="13255" ht="9.9499999999999993" hidden="1" customHeight="1" x14ac:dyDescent="0.2"/>
    <row r="13256" ht="9.9499999999999993" hidden="1" customHeight="1" x14ac:dyDescent="0.2"/>
    <row r="13257" ht="9.9499999999999993" hidden="1" customHeight="1" x14ac:dyDescent="0.2"/>
    <row r="13258" ht="9.9499999999999993" hidden="1" customHeight="1" x14ac:dyDescent="0.2"/>
    <row r="13259" ht="9.9499999999999993" hidden="1" customHeight="1" x14ac:dyDescent="0.2"/>
    <row r="13260" ht="9.9499999999999993" hidden="1" customHeight="1" x14ac:dyDescent="0.2"/>
    <row r="13261" ht="9.9499999999999993" hidden="1" customHeight="1" x14ac:dyDescent="0.2"/>
    <row r="13262" ht="9.9499999999999993" hidden="1" customHeight="1" x14ac:dyDescent="0.2"/>
    <row r="13263" ht="9.9499999999999993" hidden="1" customHeight="1" x14ac:dyDescent="0.2"/>
    <row r="13264" ht="9.9499999999999993" hidden="1" customHeight="1" x14ac:dyDescent="0.2"/>
    <row r="13265" ht="9.9499999999999993" hidden="1" customHeight="1" x14ac:dyDescent="0.2"/>
    <row r="13266" ht="9.9499999999999993" hidden="1" customHeight="1" x14ac:dyDescent="0.2"/>
    <row r="13267" ht="9.9499999999999993" hidden="1" customHeight="1" x14ac:dyDescent="0.2"/>
    <row r="13268" ht="9.9499999999999993" hidden="1" customHeight="1" x14ac:dyDescent="0.2"/>
    <row r="13269" ht="9.9499999999999993" hidden="1" customHeight="1" x14ac:dyDescent="0.2"/>
    <row r="13270" ht="9.9499999999999993" hidden="1" customHeight="1" x14ac:dyDescent="0.2"/>
    <row r="13271" ht="9.9499999999999993" hidden="1" customHeight="1" x14ac:dyDescent="0.2"/>
    <row r="13272" ht="9.9499999999999993" hidden="1" customHeight="1" x14ac:dyDescent="0.2"/>
    <row r="13273" ht="9.9499999999999993" hidden="1" customHeight="1" x14ac:dyDescent="0.2"/>
    <row r="13274" ht="9.9499999999999993" hidden="1" customHeight="1" x14ac:dyDescent="0.2"/>
    <row r="13275" ht="9.9499999999999993" hidden="1" customHeight="1" x14ac:dyDescent="0.2"/>
    <row r="13276" ht="9.9499999999999993" hidden="1" customHeight="1" x14ac:dyDescent="0.2"/>
    <row r="13277" ht="9.9499999999999993" hidden="1" customHeight="1" x14ac:dyDescent="0.2"/>
    <row r="13278" ht="9.9499999999999993" hidden="1" customHeight="1" x14ac:dyDescent="0.2"/>
    <row r="13279" ht="9.9499999999999993" hidden="1" customHeight="1" x14ac:dyDescent="0.2"/>
    <row r="13280" ht="9.9499999999999993" hidden="1" customHeight="1" x14ac:dyDescent="0.2"/>
    <row r="13281" ht="9.9499999999999993" hidden="1" customHeight="1" x14ac:dyDescent="0.2"/>
    <row r="13282" ht="9.9499999999999993" hidden="1" customHeight="1" x14ac:dyDescent="0.2"/>
    <row r="13283" ht="9.9499999999999993" hidden="1" customHeight="1" x14ac:dyDescent="0.2"/>
    <row r="13284" ht="9.9499999999999993" hidden="1" customHeight="1" x14ac:dyDescent="0.2"/>
    <row r="13285" ht="9.9499999999999993" hidden="1" customHeight="1" x14ac:dyDescent="0.2"/>
    <row r="13286" ht="9.9499999999999993" hidden="1" customHeight="1" x14ac:dyDescent="0.2"/>
    <row r="13287" ht="9.9499999999999993" hidden="1" customHeight="1" x14ac:dyDescent="0.2"/>
    <row r="13288" ht="9.9499999999999993" hidden="1" customHeight="1" x14ac:dyDescent="0.2"/>
    <row r="13289" ht="9.9499999999999993" hidden="1" customHeight="1" x14ac:dyDescent="0.2"/>
    <row r="13290" ht="9.9499999999999993" hidden="1" customHeight="1" x14ac:dyDescent="0.2"/>
    <row r="13291" ht="9.9499999999999993" hidden="1" customHeight="1" x14ac:dyDescent="0.2"/>
    <row r="13292" ht="9.9499999999999993" hidden="1" customHeight="1" x14ac:dyDescent="0.2"/>
    <row r="13293" ht="9.9499999999999993" hidden="1" customHeight="1" x14ac:dyDescent="0.2"/>
    <row r="13294" ht="9.9499999999999993" hidden="1" customHeight="1" x14ac:dyDescent="0.2"/>
    <row r="13295" ht="9.9499999999999993" hidden="1" customHeight="1" x14ac:dyDescent="0.2"/>
    <row r="13296" ht="9.9499999999999993" hidden="1" customHeight="1" x14ac:dyDescent="0.2"/>
    <row r="13297" ht="9.9499999999999993" hidden="1" customHeight="1" x14ac:dyDescent="0.2"/>
    <row r="13298" ht="9.9499999999999993" hidden="1" customHeight="1" x14ac:dyDescent="0.2"/>
    <row r="13299" ht="9.9499999999999993" hidden="1" customHeight="1" x14ac:dyDescent="0.2"/>
    <row r="13300" ht="9.9499999999999993" hidden="1" customHeight="1" x14ac:dyDescent="0.2"/>
    <row r="13301" ht="9.9499999999999993" hidden="1" customHeight="1" x14ac:dyDescent="0.2"/>
    <row r="13302" ht="9.9499999999999993" hidden="1" customHeight="1" x14ac:dyDescent="0.2"/>
    <row r="13303" ht="9.9499999999999993" hidden="1" customHeight="1" x14ac:dyDescent="0.2"/>
    <row r="13304" ht="9.9499999999999993" hidden="1" customHeight="1" x14ac:dyDescent="0.2"/>
    <row r="13305" ht="9.9499999999999993" hidden="1" customHeight="1" x14ac:dyDescent="0.2"/>
    <row r="13306" ht="9.9499999999999993" hidden="1" customHeight="1" x14ac:dyDescent="0.2"/>
    <row r="13307" ht="9.9499999999999993" hidden="1" customHeight="1" x14ac:dyDescent="0.2"/>
    <row r="13308" ht="9.9499999999999993" hidden="1" customHeight="1" x14ac:dyDescent="0.2"/>
    <row r="13309" ht="9.9499999999999993" hidden="1" customHeight="1" x14ac:dyDescent="0.2"/>
    <row r="13310" ht="9.9499999999999993" hidden="1" customHeight="1" x14ac:dyDescent="0.2"/>
    <row r="13311" ht="9.9499999999999993" hidden="1" customHeight="1" x14ac:dyDescent="0.2"/>
    <row r="13312" ht="9.9499999999999993" hidden="1" customHeight="1" x14ac:dyDescent="0.2"/>
    <row r="13313" ht="9.9499999999999993" hidden="1" customHeight="1" x14ac:dyDescent="0.2"/>
    <row r="13314" ht="9.9499999999999993" hidden="1" customHeight="1" x14ac:dyDescent="0.2"/>
    <row r="13315" ht="9.9499999999999993" hidden="1" customHeight="1" x14ac:dyDescent="0.2"/>
    <row r="13316" ht="9.9499999999999993" hidden="1" customHeight="1" x14ac:dyDescent="0.2"/>
    <row r="13317" ht="9.9499999999999993" hidden="1" customHeight="1" x14ac:dyDescent="0.2"/>
    <row r="13318" ht="9.9499999999999993" hidden="1" customHeight="1" x14ac:dyDescent="0.2"/>
    <row r="13319" ht="9.9499999999999993" hidden="1" customHeight="1" x14ac:dyDescent="0.2"/>
    <row r="13320" ht="9.9499999999999993" hidden="1" customHeight="1" x14ac:dyDescent="0.2"/>
    <row r="13321" ht="9.9499999999999993" hidden="1" customHeight="1" x14ac:dyDescent="0.2"/>
    <row r="13322" ht="9.9499999999999993" hidden="1" customHeight="1" x14ac:dyDescent="0.2"/>
    <row r="13323" ht="9.9499999999999993" hidden="1" customHeight="1" x14ac:dyDescent="0.2"/>
    <row r="13324" ht="9.9499999999999993" hidden="1" customHeight="1" x14ac:dyDescent="0.2"/>
    <row r="13325" ht="9.9499999999999993" hidden="1" customHeight="1" x14ac:dyDescent="0.2"/>
    <row r="13326" ht="9.9499999999999993" hidden="1" customHeight="1" x14ac:dyDescent="0.2"/>
    <row r="13327" ht="9.9499999999999993" hidden="1" customHeight="1" x14ac:dyDescent="0.2"/>
    <row r="13328" ht="9.9499999999999993" hidden="1" customHeight="1" x14ac:dyDescent="0.2"/>
    <row r="13329" ht="9.9499999999999993" hidden="1" customHeight="1" x14ac:dyDescent="0.2"/>
    <row r="13330" ht="9.9499999999999993" hidden="1" customHeight="1" x14ac:dyDescent="0.2"/>
    <row r="13331" ht="9.9499999999999993" hidden="1" customHeight="1" x14ac:dyDescent="0.2"/>
    <row r="13332" ht="9.9499999999999993" hidden="1" customHeight="1" x14ac:dyDescent="0.2"/>
    <row r="13333" ht="9.9499999999999993" hidden="1" customHeight="1" x14ac:dyDescent="0.2"/>
    <row r="13334" ht="9.9499999999999993" hidden="1" customHeight="1" x14ac:dyDescent="0.2"/>
    <row r="13335" ht="9.9499999999999993" hidden="1" customHeight="1" x14ac:dyDescent="0.2"/>
    <row r="13336" ht="9.9499999999999993" hidden="1" customHeight="1" x14ac:dyDescent="0.2"/>
    <row r="13337" ht="9.9499999999999993" hidden="1" customHeight="1" x14ac:dyDescent="0.2"/>
    <row r="13338" ht="9.9499999999999993" hidden="1" customHeight="1" x14ac:dyDescent="0.2"/>
    <row r="13339" ht="9.9499999999999993" hidden="1" customHeight="1" x14ac:dyDescent="0.2"/>
    <row r="13340" ht="9.9499999999999993" hidden="1" customHeight="1" x14ac:dyDescent="0.2"/>
    <row r="13341" ht="9.9499999999999993" hidden="1" customHeight="1" x14ac:dyDescent="0.2"/>
    <row r="13342" ht="9.9499999999999993" hidden="1" customHeight="1" x14ac:dyDescent="0.2"/>
    <row r="13343" ht="9.9499999999999993" hidden="1" customHeight="1" x14ac:dyDescent="0.2"/>
    <row r="13344" ht="9.9499999999999993" hidden="1" customHeight="1" x14ac:dyDescent="0.2"/>
    <row r="13345" ht="9.9499999999999993" hidden="1" customHeight="1" x14ac:dyDescent="0.2"/>
    <row r="13346" ht="9.9499999999999993" hidden="1" customHeight="1" x14ac:dyDescent="0.2"/>
    <row r="13347" ht="9.9499999999999993" hidden="1" customHeight="1" x14ac:dyDescent="0.2"/>
    <row r="13348" ht="9.9499999999999993" hidden="1" customHeight="1" x14ac:dyDescent="0.2"/>
    <row r="13349" ht="9.9499999999999993" hidden="1" customHeight="1" x14ac:dyDescent="0.2"/>
    <row r="13350" ht="9.9499999999999993" hidden="1" customHeight="1" x14ac:dyDescent="0.2"/>
    <row r="13351" ht="9.9499999999999993" hidden="1" customHeight="1" x14ac:dyDescent="0.2"/>
    <row r="13352" ht="9.9499999999999993" hidden="1" customHeight="1" x14ac:dyDescent="0.2"/>
    <row r="13353" ht="9.9499999999999993" hidden="1" customHeight="1" x14ac:dyDescent="0.2"/>
    <row r="13354" ht="9.9499999999999993" hidden="1" customHeight="1" x14ac:dyDescent="0.2"/>
    <row r="13355" ht="9.9499999999999993" hidden="1" customHeight="1" x14ac:dyDescent="0.2"/>
    <row r="13356" ht="9.9499999999999993" hidden="1" customHeight="1" x14ac:dyDescent="0.2"/>
    <row r="13357" ht="9.9499999999999993" hidden="1" customHeight="1" x14ac:dyDescent="0.2"/>
    <row r="13358" ht="9.9499999999999993" hidden="1" customHeight="1" x14ac:dyDescent="0.2"/>
    <row r="13359" ht="9.9499999999999993" hidden="1" customHeight="1" x14ac:dyDescent="0.2"/>
    <row r="13360" ht="9.9499999999999993" hidden="1" customHeight="1" x14ac:dyDescent="0.2"/>
    <row r="13361" ht="9.9499999999999993" hidden="1" customHeight="1" x14ac:dyDescent="0.2"/>
    <row r="13362" ht="9.9499999999999993" hidden="1" customHeight="1" x14ac:dyDescent="0.2"/>
    <row r="13363" ht="9.9499999999999993" hidden="1" customHeight="1" x14ac:dyDescent="0.2"/>
    <row r="13364" ht="9.9499999999999993" hidden="1" customHeight="1" x14ac:dyDescent="0.2"/>
    <row r="13365" ht="9.9499999999999993" hidden="1" customHeight="1" x14ac:dyDescent="0.2"/>
    <row r="13366" ht="9.9499999999999993" hidden="1" customHeight="1" x14ac:dyDescent="0.2"/>
    <row r="13367" ht="9.9499999999999993" hidden="1" customHeight="1" x14ac:dyDescent="0.2"/>
    <row r="13368" ht="9.9499999999999993" hidden="1" customHeight="1" x14ac:dyDescent="0.2"/>
    <row r="13369" ht="9.9499999999999993" hidden="1" customHeight="1" x14ac:dyDescent="0.2"/>
    <row r="13370" ht="9.9499999999999993" hidden="1" customHeight="1" x14ac:dyDescent="0.2"/>
    <row r="13371" ht="9.9499999999999993" hidden="1" customHeight="1" x14ac:dyDescent="0.2"/>
    <row r="13372" ht="9.9499999999999993" hidden="1" customHeight="1" x14ac:dyDescent="0.2"/>
    <row r="13373" ht="9.9499999999999993" hidden="1" customHeight="1" x14ac:dyDescent="0.2"/>
    <row r="13374" ht="9.9499999999999993" hidden="1" customHeight="1" x14ac:dyDescent="0.2"/>
    <row r="13375" ht="9.9499999999999993" hidden="1" customHeight="1" x14ac:dyDescent="0.2"/>
    <row r="13376" ht="9.9499999999999993" hidden="1" customHeight="1" x14ac:dyDescent="0.2"/>
    <row r="13377" ht="9.9499999999999993" hidden="1" customHeight="1" x14ac:dyDescent="0.2"/>
    <row r="13378" ht="9.9499999999999993" hidden="1" customHeight="1" x14ac:dyDescent="0.2"/>
    <row r="13379" ht="9.9499999999999993" hidden="1" customHeight="1" x14ac:dyDescent="0.2"/>
    <row r="13380" ht="9.9499999999999993" hidden="1" customHeight="1" x14ac:dyDescent="0.2"/>
    <row r="13381" ht="9.9499999999999993" hidden="1" customHeight="1" x14ac:dyDescent="0.2"/>
    <row r="13382" ht="9.9499999999999993" hidden="1" customHeight="1" x14ac:dyDescent="0.2"/>
    <row r="13383" ht="9.9499999999999993" hidden="1" customHeight="1" x14ac:dyDescent="0.2"/>
    <row r="13384" ht="9.9499999999999993" hidden="1" customHeight="1" x14ac:dyDescent="0.2"/>
    <row r="13385" ht="9.9499999999999993" hidden="1" customHeight="1" x14ac:dyDescent="0.2"/>
    <row r="13386" ht="9.9499999999999993" hidden="1" customHeight="1" x14ac:dyDescent="0.2"/>
    <row r="13387" ht="9.9499999999999993" hidden="1" customHeight="1" x14ac:dyDescent="0.2"/>
    <row r="13388" ht="9.9499999999999993" hidden="1" customHeight="1" x14ac:dyDescent="0.2"/>
    <row r="13389" ht="9.9499999999999993" hidden="1" customHeight="1" x14ac:dyDescent="0.2"/>
    <row r="13390" ht="9.9499999999999993" hidden="1" customHeight="1" x14ac:dyDescent="0.2"/>
    <row r="13391" ht="9.9499999999999993" hidden="1" customHeight="1" x14ac:dyDescent="0.2"/>
    <row r="13392" ht="9.9499999999999993" hidden="1" customHeight="1" x14ac:dyDescent="0.2"/>
    <row r="13393" ht="9.9499999999999993" hidden="1" customHeight="1" x14ac:dyDescent="0.2"/>
    <row r="13394" ht="9.9499999999999993" hidden="1" customHeight="1" x14ac:dyDescent="0.2"/>
    <row r="13395" ht="9.9499999999999993" hidden="1" customHeight="1" x14ac:dyDescent="0.2"/>
    <row r="13396" ht="9.9499999999999993" hidden="1" customHeight="1" x14ac:dyDescent="0.2"/>
    <row r="13397" ht="9.9499999999999993" hidden="1" customHeight="1" x14ac:dyDescent="0.2"/>
    <row r="13398" ht="9.9499999999999993" hidden="1" customHeight="1" x14ac:dyDescent="0.2"/>
    <row r="13399" ht="9.9499999999999993" hidden="1" customHeight="1" x14ac:dyDescent="0.2"/>
    <row r="13400" ht="9.9499999999999993" hidden="1" customHeight="1" x14ac:dyDescent="0.2"/>
    <row r="13401" ht="9.9499999999999993" hidden="1" customHeight="1" x14ac:dyDescent="0.2"/>
    <row r="13402" ht="9.9499999999999993" hidden="1" customHeight="1" x14ac:dyDescent="0.2"/>
    <row r="13403" ht="9.9499999999999993" hidden="1" customHeight="1" x14ac:dyDescent="0.2"/>
    <row r="13404" ht="9.9499999999999993" hidden="1" customHeight="1" x14ac:dyDescent="0.2"/>
    <row r="13405" ht="9.9499999999999993" hidden="1" customHeight="1" x14ac:dyDescent="0.2"/>
    <row r="13406" ht="9.9499999999999993" hidden="1" customHeight="1" x14ac:dyDescent="0.2"/>
    <row r="13407" ht="9.9499999999999993" hidden="1" customHeight="1" x14ac:dyDescent="0.2"/>
    <row r="13408" ht="9.9499999999999993" hidden="1" customHeight="1" x14ac:dyDescent="0.2"/>
    <row r="13409" ht="9.9499999999999993" hidden="1" customHeight="1" x14ac:dyDescent="0.2"/>
    <row r="13410" ht="9.9499999999999993" hidden="1" customHeight="1" x14ac:dyDescent="0.2"/>
    <row r="13411" ht="9.9499999999999993" hidden="1" customHeight="1" x14ac:dyDescent="0.2"/>
    <row r="13412" ht="9.9499999999999993" hidden="1" customHeight="1" x14ac:dyDescent="0.2"/>
    <row r="13413" ht="9.9499999999999993" hidden="1" customHeight="1" x14ac:dyDescent="0.2"/>
    <row r="13414" ht="9.9499999999999993" hidden="1" customHeight="1" x14ac:dyDescent="0.2"/>
    <row r="13415" ht="9.9499999999999993" hidden="1" customHeight="1" x14ac:dyDescent="0.2"/>
    <row r="13416" ht="9.9499999999999993" hidden="1" customHeight="1" x14ac:dyDescent="0.2"/>
    <row r="13417" ht="9.9499999999999993" hidden="1" customHeight="1" x14ac:dyDescent="0.2"/>
    <row r="13418" ht="9.9499999999999993" hidden="1" customHeight="1" x14ac:dyDescent="0.2"/>
    <row r="13419" ht="9.9499999999999993" hidden="1" customHeight="1" x14ac:dyDescent="0.2"/>
    <row r="13420" ht="9.9499999999999993" hidden="1" customHeight="1" x14ac:dyDescent="0.2"/>
    <row r="13421" ht="9.9499999999999993" hidden="1" customHeight="1" x14ac:dyDescent="0.2"/>
    <row r="13422" ht="9.9499999999999993" hidden="1" customHeight="1" x14ac:dyDescent="0.2"/>
    <row r="13423" ht="9.9499999999999993" hidden="1" customHeight="1" x14ac:dyDescent="0.2"/>
    <row r="13424" ht="9.9499999999999993" hidden="1" customHeight="1" x14ac:dyDescent="0.2"/>
    <row r="13425" ht="9.9499999999999993" hidden="1" customHeight="1" x14ac:dyDescent="0.2"/>
    <row r="13426" ht="9.9499999999999993" hidden="1" customHeight="1" x14ac:dyDescent="0.2"/>
    <row r="13427" ht="9.9499999999999993" hidden="1" customHeight="1" x14ac:dyDescent="0.2"/>
    <row r="13428" ht="9.9499999999999993" hidden="1" customHeight="1" x14ac:dyDescent="0.2"/>
    <row r="13429" ht="9.9499999999999993" hidden="1" customHeight="1" x14ac:dyDescent="0.2"/>
    <row r="13430" ht="9.9499999999999993" hidden="1" customHeight="1" x14ac:dyDescent="0.2"/>
    <row r="13431" ht="9.9499999999999993" hidden="1" customHeight="1" x14ac:dyDescent="0.2"/>
    <row r="13432" ht="9.9499999999999993" hidden="1" customHeight="1" x14ac:dyDescent="0.2"/>
    <row r="13433" ht="9.9499999999999993" hidden="1" customHeight="1" x14ac:dyDescent="0.2"/>
    <row r="13434" ht="9.9499999999999993" hidden="1" customHeight="1" x14ac:dyDescent="0.2"/>
    <row r="13435" ht="9.9499999999999993" hidden="1" customHeight="1" x14ac:dyDescent="0.2"/>
    <row r="13436" ht="9.9499999999999993" hidden="1" customHeight="1" x14ac:dyDescent="0.2"/>
    <row r="13437" ht="9.9499999999999993" hidden="1" customHeight="1" x14ac:dyDescent="0.2"/>
    <row r="13438" ht="9.9499999999999993" hidden="1" customHeight="1" x14ac:dyDescent="0.2"/>
    <row r="13439" ht="9.9499999999999993" hidden="1" customHeight="1" x14ac:dyDescent="0.2"/>
    <row r="13440" ht="9.9499999999999993" hidden="1" customHeight="1" x14ac:dyDescent="0.2"/>
    <row r="13441" ht="9.9499999999999993" hidden="1" customHeight="1" x14ac:dyDescent="0.2"/>
    <row r="13442" ht="9.9499999999999993" hidden="1" customHeight="1" x14ac:dyDescent="0.2"/>
    <row r="13443" ht="9.9499999999999993" hidden="1" customHeight="1" x14ac:dyDescent="0.2"/>
    <row r="13444" ht="9.9499999999999993" hidden="1" customHeight="1" x14ac:dyDescent="0.2"/>
    <row r="13445" ht="9.9499999999999993" hidden="1" customHeight="1" x14ac:dyDescent="0.2"/>
    <row r="13446" ht="9.9499999999999993" hidden="1" customHeight="1" x14ac:dyDescent="0.2"/>
    <row r="13447" ht="9.9499999999999993" hidden="1" customHeight="1" x14ac:dyDescent="0.2"/>
    <row r="13448" ht="9.9499999999999993" hidden="1" customHeight="1" x14ac:dyDescent="0.2"/>
    <row r="13449" ht="9.9499999999999993" hidden="1" customHeight="1" x14ac:dyDescent="0.2"/>
    <row r="13450" ht="9.9499999999999993" hidden="1" customHeight="1" x14ac:dyDescent="0.2"/>
    <row r="13451" ht="9.9499999999999993" hidden="1" customHeight="1" x14ac:dyDescent="0.2"/>
    <row r="13452" ht="9.9499999999999993" hidden="1" customHeight="1" x14ac:dyDescent="0.2"/>
    <row r="13453" ht="9.9499999999999993" hidden="1" customHeight="1" x14ac:dyDescent="0.2"/>
    <row r="13454" ht="9.9499999999999993" hidden="1" customHeight="1" x14ac:dyDescent="0.2"/>
    <row r="13455" ht="9.9499999999999993" hidden="1" customHeight="1" x14ac:dyDescent="0.2"/>
    <row r="13456" ht="9.9499999999999993" hidden="1" customHeight="1" x14ac:dyDescent="0.2"/>
    <row r="13457" ht="9.9499999999999993" hidden="1" customHeight="1" x14ac:dyDescent="0.2"/>
    <row r="13458" ht="9.9499999999999993" hidden="1" customHeight="1" x14ac:dyDescent="0.2"/>
    <row r="13459" ht="9.9499999999999993" hidden="1" customHeight="1" x14ac:dyDescent="0.2"/>
    <row r="13460" ht="9.9499999999999993" hidden="1" customHeight="1" x14ac:dyDescent="0.2"/>
    <row r="13461" ht="9.9499999999999993" hidden="1" customHeight="1" x14ac:dyDescent="0.2"/>
    <row r="13462" ht="9.9499999999999993" hidden="1" customHeight="1" x14ac:dyDescent="0.2"/>
    <row r="13463" ht="9.9499999999999993" hidden="1" customHeight="1" x14ac:dyDescent="0.2"/>
    <row r="13464" ht="9.9499999999999993" hidden="1" customHeight="1" x14ac:dyDescent="0.2"/>
    <row r="13465" ht="9.9499999999999993" hidden="1" customHeight="1" x14ac:dyDescent="0.2"/>
    <row r="13466" ht="9.9499999999999993" hidden="1" customHeight="1" x14ac:dyDescent="0.2"/>
    <row r="13467" ht="9.9499999999999993" hidden="1" customHeight="1" x14ac:dyDescent="0.2"/>
    <row r="13468" ht="9.9499999999999993" hidden="1" customHeight="1" x14ac:dyDescent="0.2"/>
    <row r="13469" ht="9.9499999999999993" hidden="1" customHeight="1" x14ac:dyDescent="0.2"/>
    <row r="13470" ht="9.9499999999999993" hidden="1" customHeight="1" x14ac:dyDescent="0.2"/>
    <row r="13471" ht="9.9499999999999993" hidden="1" customHeight="1" x14ac:dyDescent="0.2"/>
    <row r="13472" ht="9.9499999999999993" hidden="1" customHeight="1" x14ac:dyDescent="0.2"/>
    <row r="13473" ht="9.9499999999999993" hidden="1" customHeight="1" x14ac:dyDescent="0.2"/>
    <row r="13474" ht="9.9499999999999993" hidden="1" customHeight="1" x14ac:dyDescent="0.2"/>
    <row r="13475" ht="9.9499999999999993" hidden="1" customHeight="1" x14ac:dyDescent="0.2"/>
    <row r="13476" ht="9.9499999999999993" hidden="1" customHeight="1" x14ac:dyDescent="0.2"/>
    <row r="13477" ht="9.9499999999999993" hidden="1" customHeight="1" x14ac:dyDescent="0.2"/>
    <row r="13478" ht="9.9499999999999993" hidden="1" customHeight="1" x14ac:dyDescent="0.2"/>
    <row r="13479" ht="9.9499999999999993" hidden="1" customHeight="1" x14ac:dyDescent="0.2"/>
    <row r="13480" ht="9.9499999999999993" hidden="1" customHeight="1" x14ac:dyDescent="0.2"/>
    <row r="13481" ht="9.9499999999999993" hidden="1" customHeight="1" x14ac:dyDescent="0.2"/>
    <row r="13482" ht="9.9499999999999993" hidden="1" customHeight="1" x14ac:dyDescent="0.2"/>
    <row r="13483" ht="9.9499999999999993" hidden="1" customHeight="1" x14ac:dyDescent="0.2"/>
    <row r="13484" ht="9.9499999999999993" hidden="1" customHeight="1" x14ac:dyDescent="0.2"/>
    <row r="13485" ht="9.9499999999999993" hidden="1" customHeight="1" x14ac:dyDescent="0.2"/>
    <row r="13486" ht="9.9499999999999993" hidden="1" customHeight="1" x14ac:dyDescent="0.2"/>
    <row r="13487" ht="9.9499999999999993" hidden="1" customHeight="1" x14ac:dyDescent="0.2"/>
    <row r="13488" ht="9.9499999999999993" hidden="1" customHeight="1" x14ac:dyDescent="0.2"/>
    <row r="13489" ht="9.9499999999999993" hidden="1" customHeight="1" x14ac:dyDescent="0.2"/>
    <row r="13490" ht="9.9499999999999993" hidden="1" customHeight="1" x14ac:dyDescent="0.2"/>
    <row r="13491" ht="9.9499999999999993" hidden="1" customHeight="1" x14ac:dyDescent="0.2"/>
    <row r="13492" ht="9.9499999999999993" hidden="1" customHeight="1" x14ac:dyDescent="0.2"/>
    <row r="13493" ht="9.9499999999999993" hidden="1" customHeight="1" x14ac:dyDescent="0.2"/>
    <row r="13494" ht="9.9499999999999993" hidden="1" customHeight="1" x14ac:dyDescent="0.2"/>
    <row r="13495" ht="9.9499999999999993" hidden="1" customHeight="1" x14ac:dyDescent="0.2"/>
    <row r="13496" ht="9.9499999999999993" hidden="1" customHeight="1" x14ac:dyDescent="0.2"/>
    <row r="13497" ht="9.9499999999999993" hidden="1" customHeight="1" x14ac:dyDescent="0.2"/>
    <row r="13498" ht="9.9499999999999993" hidden="1" customHeight="1" x14ac:dyDescent="0.2"/>
    <row r="13499" ht="9.9499999999999993" hidden="1" customHeight="1" x14ac:dyDescent="0.2"/>
    <row r="13500" ht="9.9499999999999993" hidden="1" customHeight="1" x14ac:dyDescent="0.2"/>
    <row r="13501" ht="9.9499999999999993" hidden="1" customHeight="1" x14ac:dyDescent="0.2"/>
    <row r="13502" ht="9.9499999999999993" hidden="1" customHeight="1" x14ac:dyDescent="0.2"/>
    <row r="13503" ht="9.9499999999999993" hidden="1" customHeight="1" x14ac:dyDescent="0.2"/>
    <row r="13504" ht="9.9499999999999993" hidden="1" customHeight="1" x14ac:dyDescent="0.2"/>
    <row r="13505" ht="9.9499999999999993" hidden="1" customHeight="1" x14ac:dyDescent="0.2"/>
    <row r="13506" ht="9.9499999999999993" hidden="1" customHeight="1" x14ac:dyDescent="0.2"/>
    <row r="13507" ht="9.9499999999999993" hidden="1" customHeight="1" x14ac:dyDescent="0.2"/>
    <row r="13508" ht="9.9499999999999993" hidden="1" customHeight="1" x14ac:dyDescent="0.2"/>
    <row r="13509" ht="9.9499999999999993" hidden="1" customHeight="1" x14ac:dyDescent="0.2"/>
    <row r="13510" ht="9.9499999999999993" hidden="1" customHeight="1" x14ac:dyDescent="0.2"/>
    <row r="13511" ht="9.9499999999999993" hidden="1" customHeight="1" x14ac:dyDescent="0.2"/>
    <row r="13512" ht="9.9499999999999993" hidden="1" customHeight="1" x14ac:dyDescent="0.2"/>
    <row r="13513" ht="9.9499999999999993" hidden="1" customHeight="1" x14ac:dyDescent="0.2"/>
    <row r="13514" ht="9.9499999999999993" hidden="1" customHeight="1" x14ac:dyDescent="0.2"/>
    <row r="13515" ht="9.9499999999999993" hidden="1" customHeight="1" x14ac:dyDescent="0.2"/>
    <row r="13516" ht="9.9499999999999993" hidden="1" customHeight="1" x14ac:dyDescent="0.2"/>
    <row r="13517" ht="9.9499999999999993" hidden="1" customHeight="1" x14ac:dyDescent="0.2"/>
    <row r="13518" ht="9.9499999999999993" hidden="1" customHeight="1" x14ac:dyDescent="0.2"/>
    <row r="13519" ht="9.9499999999999993" hidden="1" customHeight="1" x14ac:dyDescent="0.2"/>
    <row r="13520" ht="9.9499999999999993" hidden="1" customHeight="1" x14ac:dyDescent="0.2"/>
    <row r="13521" ht="9.9499999999999993" hidden="1" customHeight="1" x14ac:dyDescent="0.2"/>
    <row r="13522" ht="9.9499999999999993" hidden="1" customHeight="1" x14ac:dyDescent="0.2"/>
    <row r="13523" ht="9.9499999999999993" hidden="1" customHeight="1" x14ac:dyDescent="0.2"/>
    <row r="13524" ht="9.9499999999999993" hidden="1" customHeight="1" x14ac:dyDescent="0.2"/>
    <row r="13525" ht="9.9499999999999993" hidden="1" customHeight="1" x14ac:dyDescent="0.2"/>
    <row r="13526" ht="9.9499999999999993" hidden="1" customHeight="1" x14ac:dyDescent="0.2"/>
    <row r="13527" ht="9.9499999999999993" hidden="1" customHeight="1" x14ac:dyDescent="0.2"/>
    <row r="13528" ht="9.9499999999999993" hidden="1" customHeight="1" x14ac:dyDescent="0.2"/>
    <row r="13529" ht="9.9499999999999993" hidden="1" customHeight="1" x14ac:dyDescent="0.2"/>
    <row r="13530" ht="9.9499999999999993" hidden="1" customHeight="1" x14ac:dyDescent="0.2"/>
    <row r="13531" ht="9.9499999999999993" hidden="1" customHeight="1" x14ac:dyDescent="0.2"/>
    <row r="13532" ht="9.9499999999999993" hidden="1" customHeight="1" x14ac:dyDescent="0.2"/>
    <row r="13533" ht="9.9499999999999993" hidden="1" customHeight="1" x14ac:dyDescent="0.2"/>
    <row r="13534" ht="9.9499999999999993" hidden="1" customHeight="1" x14ac:dyDescent="0.2"/>
    <row r="13535" ht="9.9499999999999993" hidden="1" customHeight="1" x14ac:dyDescent="0.2"/>
    <row r="13536" ht="9.9499999999999993" hidden="1" customHeight="1" x14ac:dyDescent="0.2"/>
    <row r="13537" ht="9.9499999999999993" hidden="1" customHeight="1" x14ac:dyDescent="0.2"/>
    <row r="13538" ht="9.9499999999999993" hidden="1" customHeight="1" x14ac:dyDescent="0.2"/>
    <row r="13539" ht="9.9499999999999993" hidden="1" customHeight="1" x14ac:dyDescent="0.2"/>
    <row r="13540" ht="9.9499999999999993" hidden="1" customHeight="1" x14ac:dyDescent="0.2"/>
    <row r="13541" ht="9.9499999999999993" hidden="1" customHeight="1" x14ac:dyDescent="0.2"/>
    <row r="13542" ht="9.9499999999999993" hidden="1" customHeight="1" x14ac:dyDescent="0.2"/>
    <row r="13543" ht="9.9499999999999993" hidden="1" customHeight="1" x14ac:dyDescent="0.2"/>
    <row r="13544" ht="9.9499999999999993" hidden="1" customHeight="1" x14ac:dyDescent="0.2"/>
    <row r="13545" ht="9.9499999999999993" hidden="1" customHeight="1" x14ac:dyDescent="0.2"/>
    <row r="13546" ht="9.9499999999999993" hidden="1" customHeight="1" x14ac:dyDescent="0.2"/>
    <row r="13547" ht="9.9499999999999993" hidden="1" customHeight="1" x14ac:dyDescent="0.2"/>
    <row r="13548" ht="9.9499999999999993" hidden="1" customHeight="1" x14ac:dyDescent="0.2"/>
    <row r="13549" ht="9.9499999999999993" hidden="1" customHeight="1" x14ac:dyDescent="0.2"/>
    <row r="13550" ht="9.9499999999999993" hidden="1" customHeight="1" x14ac:dyDescent="0.2"/>
    <row r="13551" ht="9.9499999999999993" hidden="1" customHeight="1" x14ac:dyDescent="0.2"/>
    <row r="13552" ht="9.9499999999999993" hidden="1" customHeight="1" x14ac:dyDescent="0.2"/>
    <row r="13553" ht="9.9499999999999993" hidden="1" customHeight="1" x14ac:dyDescent="0.2"/>
    <row r="13554" ht="9.9499999999999993" hidden="1" customHeight="1" x14ac:dyDescent="0.2"/>
    <row r="13555" ht="9.9499999999999993" hidden="1" customHeight="1" x14ac:dyDescent="0.2"/>
    <row r="13556" ht="9.9499999999999993" hidden="1" customHeight="1" x14ac:dyDescent="0.2"/>
    <row r="13557" ht="9.9499999999999993" hidden="1" customHeight="1" x14ac:dyDescent="0.2"/>
    <row r="13558" ht="9.9499999999999993" hidden="1" customHeight="1" x14ac:dyDescent="0.2"/>
    <row r="13559" ht="9.9499999999999993" hidden="1" customHeight="1" x14ac:dyDescent="0.2"/>
    <row r="13560" ht="9.9499999999999993" hidden="1" customHeight="1" x14ac:dyDescent="0.2"/>
    <row r="13561" ht="9.9499999999999993" hidden="1" customHeight="1" x14ac:dyDescent="0.2"/>
    <row r="13562" ht="9.9499999999999993" hidden="1" customHeight="1" x14ac:dyDescent="0.2"/>
    <row r="13563" ht="9.9499999999999993" hidden="1" customHeight="1" x14ac:dyDescent="0.2"/>
    <row r="13564" ht="9.9499999999999993" hidden="1" customHeight="1" x14ac:dyDescent="0.2"/>
    <row r="13565" ht="9.9499999999999993" hidden="1" customHeight="1" x14ac:dyDescent="0.2"/>
    <row r="13566" ht="9.9499999999999993" hidden="1" customHeight="1" x14ac:dyDescent="0.2"/>
    <row r="13567" ht="9.9499999999999993" hidden="1" customHeight="1" x14ac:dyDescent="0.2"/>
    <row r="13568" ht="9.9499999999999993" hidden="1" customHeight="1" x14ac:dyDescent="0.2"/>
    <row r="13569" ht="9.9499999999999993" hidden="1" customHeight="1" x14ac:dyDescent="0.2"/>
    <row r="13570" ht="9.9499999999999993" hidden="1" customHeight="1" x14ac:dyDescent="0.2"/>
    <row r="13571" ht="9.9499999999999993" hidden="1" customHeight="1" x14ac:dyDescent="0.2"/>
    <row r="13572" ht="9.9499999999999993" hidden="1" customHeight="1" x14ac:dyDescent="0.2"/>
    <row r="13573" ht="9.9499999999999993" hidden="1" customHeight="1" x14ac:dyDescent="0.2"/>
    <row r="13574" ht="9.9499999999999993" hidden="1" customHeight="1" x14ac:dyDescent="0.2"/>
    <row r="13575" ht="9.9499999999999993" hidden="1" customHeight="1" x14ac:dyDescent="0.2"/>
    <row r="13576" ht="9.9499999999999993" hidden="1" customHeight="1" x14ac:dyDescent="0.2"/>
    <row r="13577" ht="9.9499999999999993" hidden="1" customHeight="1" x14ac:dyDescent="0.2"/>
    <row r="13578" ht="9.9499999999999993" hidden="1" customHeight="1" x14ac:dyDescent="0.2"/>
    <row r="13579" ht="9.9499999999999993" hidden="1" customHeight="1" x14ac:dyDescent="0.2"/>
    <row r="13580" ht="9.9499999999999993" hidden="1" customHeight="1" x14ac:dyDescent="0.2"/>
    <row r="13581" ht="9.9499999999999993" hidden="1" customHeight="1" x14ac:dyDescent="0.2"/>
    <row r="13582" ht="9.9499999999999993" hidden="1" customHeight="1" x14ac:dyDescent="0.2"/>
    <row r="13583" ht="9.9499999999999993" hidden="1" customHeight="1" x14ac:dyDescent="0.2"/>
    <row r="13584" ht="9.9499999999999993" hidden="1" customHeight="1" x14ac:dyDescent="0.2"/>
    <row r="13585" ht="9.9499999999999993" hidden="1" customHeight="1" x14ac:dyDescent="0.2"/>
    <row r="13586" ht="9.9499999999999993" hidden="1" customHeight="1" x14ac:dyDescent="0.2"/>
    <row r="13587" ht="9.9499999999999993" hidden="1" customHeight="1" x14ac:dyDescent="0.2"/>
    <row r="13588" ht="9.9499999999999993" hidden="1" customHeight="1" x14ac:dyDescent="0.2"/>
    <row r="13589" ht="9.9499999999999993" hidden="1" customHeight="1" x14ac:dyDescent="0.2"/>
    <row r="13590" ht="9.9499999999999993" hidden="1" customHeight="1" x14ac:dyDescent="0.2"/>
    <row r="13591" ht="9.9499999999999993" hidden="1" customHeight="1" x14ac:dyDescent="0.2"/>
    <row r="13592" ht="9.9499999999999993" hidden="1" customHeight="1" x14ac:dyDescent="0.2"/>
    <row r="13593" ht="9.9499999999999993" hidden="1" customHeight="1" x14ac:dyDescent="0.2"/>
    <row r="13594" ht="9.9499999999999993" hidden="1" customHeight="1" x14ac:dyDescent="0.2"/>
    <row r="13595" ht="9.9499999999999993" hidden="1" customHeight="1" x14ac:dyDescent="0.2"/>
    <row r="13596" ht="9.9499999999999993" hidden="1" customHeight="1" x14ac:dyDescent="0.2"/>
    <row r="13597" ht="9.9499999999999993" hidden="1" customHeight="1" x14ac:dyDescent="0.2"/>
    <row r="13598" ht="9.9499999999999993" hidden="1" customHeight="1" x14ac:dyDescent="0.2"/>
    <row r="13599" ht="9.9499999999999993" hidden="1" customHeight="1" x14ac:dyDescent="0.2"/>
    <row r="13600" ht="9.9499999999999993" hidden="1" customHeight="1" x14ac:dyDescent="0.2"/>
    <row r="13601" ht="9.9499999999999993" hidden="1" customHeight="1" x14ac:dyDescent="0.2"/>
    <row r="13602" ht="9.9499999999999993" hidden="1" customHeight="1" x14ac:dyDescent="0.2"/>
    <row r="13603" ht="9.9499999999999993" hidden="1" customHeight="1" x14ac:dyDescent="0.2"/>
    <row r="13604" ht="9.9499999999999993" hidden="1" customHeight="1" x14ac:dyDescent="0.2"/>
    <row r="13605" ht="9.9499999999999993" hidden="1" customHeight="1" x14ac:dyDescent="0.2"/>
    <row r="13606" ht="9.9499999999999993" hidden="1" customHeight="1" x14ac:dyDescent="0.2"/>
    <row r="13607" ht="9.9499999999999993" hidden="1" customHeight="1" x14ac:dyDescent="0.2"/>
    <row r="13608" ht="9.9499999999999993" hidden="1" customHeight="1" x14ac:dyDescent="0.2"/>
    <row r="13609" ht="9.9499999999999993" hidden="1" customHeight="1" x14ac:dyDescent="0.2"/>
    <row r="13610" ht="9.9499999999999993" hidden="1" customHeight="1" x14ac:dyDescent="0.2"/>
    <row r="13611" ht="9.9499999999999993" hidden="1" customHeight="1" x14ac:dyDescent="0.2"/>
    <row r="13612" ht="9.9499999999999993" hidden="1" customHeight="1" x14ac:dyDescent="0.2"/>
    <row r="13613" ht="9.9499999999999993" hidden="1" customHeight="1" x14ac:dyDescent="0.2"/>
    <row r="13614" ht="9.9499999999999993" hidden="1" customHeight="1" x14ac:dyDescent="0.2"/>
    <row r="13615" ht="9.9499999999999993" hidden="1" customHeight="1" x14ac:dyDescent="0.2"/>
    <row r="13616" ht="9.9499999999999993" hidden="1" customHeight="1" x14ac:dyDescent="0.2"/>
    <row r="13617" ht="9.9499999999999993" hidden="1" customHeight="1" x14ac:dyDescent="0.2"/>
    <row r="13618" ht="9.9499999999999993" hidden="1" customHeight="1" x14ac:dyDescent="0.2"/>
    <row r="13619" ht="9.9499999999999993" hidden="1" customHeight="1" x14ac:dyDescent="0.2"/>
    <row r="13620" ht="9.9499999999999993" hidden="1" customHeight="1" x14ac:dyDescent="0.2"/>
    <row r="13621" ht="9.9499999999999993" hidden="1" customHeight="1" x14ac:dyDescent="0.2"/>
    <row r="13622" ht="9.9499999999999993" hidden="1" customHeight="1" x14ac:dyDescent="0.2"/>
    <row r="13623" ht="9.9499999999999993" hidden="1" customHeight="1" x14ac:dyDescent="0.2"/>
    <row r="13624" ht="9.9499999999999993" hidden="1" customHeight="1" x14ac:dyDescent="0.2"/>
    <row r="13625" ht="9.9499999999999993" hidden="1" customHeight="1" x14ac:dyDescent="0.2"/>
    <row r="13626" ht="9.9499999999999993" hidden="1" customHeight="1" x14ac:dyDescent="0.2"/>
    <row r="13627" ht="9.9499999999999993" hidden="1" customHeight="1" x14ac:dyDescent="0.2"/>
    <row r="13628" ht="9.9499999999999993" hidden="1" customHeight="1" x14ac:dyDescent="0.2"/>
    <row r="13629" ht="9.9499999999999993" hidden="1" customHeight="1" x14ac:dyDescent="0.2"/>
    <row r="13630" ht="9.9499999999999993" hidden="1" customHeight="1" x14ac:dyDescent="0.2"/>
    <row r="13631" ht="9.9499999999999993" hidden="1" customHeight="1" x14ac:dyDescent="0.2"/>
    <row r="13632" ht="9.9499999999999993" hidden="1" customHeight="1" x14ac:dyDescent="0.2"/>
    <row r="13633" ht="9.9499999999999993" hidden="1" customHeight="1" x14ac:dyDescent="0.2"/>
    <row r="13634" ht="9.9499999999999993" hidden="1" customHeight="1" x14ac:dyDescent="0.2"/>
    <row r="13635" ht="9.9499999999999993" hidden="1" customHeight="1" x14ac:dyDescent="0.2"/>
    <row r="13636" ht="9.9499999999999993" hidden="1" customHeight="1" x14ac:dyDescent="0.2"/>
    <row r="13637" ht="9.9499999999999993" hidden="1" customHeight="1" x14ac:dyDescent="0.2"/>
    <row r="13638" ht="9.9499999999999993" hidden="1" customHeight="1" x14ac:dyDescent="0.2"/>
    <row r="13639" ht="9.9499999999999993" hidden="1" customHeight="1" x14ac:dyDescent="0.2"/>
    <row r="13640" ht="9.9499999999999993" hidden="1" customHeight="1" x14ac:dyDescent="0.2"/>
    <row r="13641" ht="9.9499999999999993" hidden="1" customHeight="1" x14ac:dyDescent="0.2"/>
    <row r="13642" ht="9.9499999999999993" hidden="1" customHeight="1" x14ac:dyDescent="0.2"/>
    <row r="13643" ht="9.9499999999999993" hidden="1" customHeight="1" x14ac:dyDescent="0.2"/>
    <row r="13644" ht="9.9499999999999993" hidden="1" customHeight="1" x14ac:dyDescent="0.2"/>
    <row r="13645" ht="9.9499999999999993" hidden="1" customHeight="1" x14ac:dyDescent="0.2"/>
    <row r="13646" ht="9.9499999999999993" hidden="1" customHeight="1" x14ac:dyDescent="0.2"/>
    <row r="13647" ht="9.9499999999999993" hidden="1" customHeight="1" x14ac:dyDescent="0.2"/>
    <row r="13648" ht="9.9499999999999993" hidden="1" customHeight="1" x14ac:dyDescent="0.2"/>
    <row r="13649" ht="9.9499999999999993" hidden="1" customHeight="1" x14ac:dyDescent="0.2"/>
    <row r="13650" ht="9.9499999999999993" hidden="1" customHeight="1" x14ac:dyDescent="0.2"/>
    <row r="13651" ht="9.9499999999999993" hidden="1" customHeight="1" x14ac:dyDescent="0.2"/>
    <row r="13652" ht="9.9499999999999993" hidden="1" customHeight="1" x14ac:dyDescent="0.2"/>
    <row r="13653" ht="9.9499999999999993" hidden="1" customHeight="1" x14ac:dyDescent="0.2"/>
    <row r="13654" ht="9.9499999999999993" hidden="1" customHeight="1" x14ac:dyDescent="0.2"/>
    <row r="13655" ht="9.9499999999999993" hidden="1" customHeight="1" x14ac:dyDescent="0.2"/>
    <row r="13656" ht="9.9499999999999993" hidden="1" customHeight="1" x14ac:dyDescent="0.2"/>
    <row r="13657" ht="9.9499999999999993" hidden="1" customHeight="1" x14ac:dyDescent="0.2"/>
    <row r="13658" ht="9.9499999999999993" hidden="1" customHeight="1" x14ac:dyDescent="0.2"/>
    <row r="13659" ht="9.9499999999999993" hidden="1" customHeight="1" x14ac:dyDescent="0.2"/>
    <row r="13660" ht="9.9499999999999993" hidden="1" customHeight="1" x14ac:dyDescent="0.2"/>
    <row r="13661" ht="9.9499999999999993" hidden="1" customHeight="1" x14ac:dyDescent="0.2"/>
    <row r="13662" ht="9.9499999999999993" hidden="1" customHeight="1" x14ac:dyDescent="0.2"/>
    <row r="13663" ht="9.9499999999999993" hidden="1" customHeight="1" x14ac:dyDescent="0.2"/>
    <row r="13664" ht="9.9499999999999993" hidden="1" customHeight="1" x14ac:dyDescent="0.2"/>
    <row r="13665" ht="9.9499999999999993" hidden="1" customHeight="1" x14ac:dyDescent="0.2"/>
    <row r="13666" ht="9.9499999999999993" hidden="1" customHeight="1" x14ac:dyDescent="0.2"/>
    <row r="13667" ht="9.9499999999999993" hidden="1" customHeight="1" x14ac:dyDescent="0.2"/>
    <row r="13668" ht="9.9499999999999993" hidden="1" customHeight="1" x14ac:dyDescent="0.2"/>
    <row r="13669" ht="9.9499999999999993" hidden="1" customHeight="1" x14ac:dyDescent="0.2"/>
    <row r="13670" ht="9.9499999999999993" hidden="1" customHeight="1" x14ac:dyDescent="0.2"/>
    <row r="13671" ht="9.9499999999999993" hidden="1" customHeight="1" x14ac:dyDescent="0.2"/>
    <row r="13672" ht="9.9499999999999993" hidden="1" customHeight="1" x14ac:dyDescent="0.2"/>
    <row r="13673" ht="9.9499999999999993" hidden="1" customHeight="1" x14ac:dyDescent="0.2"/>
    <row r="13674" ht="9.9499999999999993" hidden="1" customHeight="1" x14ac:dyDescent="0.2"/>
    <row r="13675" ht="9.9499999999999993" hidden="1" customHeight="1" x14ac:dyDescent="0.2"/>
    <row r="13676" ht="9.9499999999999993" hidden="1" customHeight="1" x14ac:dyDescent="0.2"/>
    <row r="13677" ht="9.9499999999999993" hidden="1" customHeight="1" x14ac:dyDescent="0.2"/>
    <row r="13678" ht="9.9499999999999993" hidden="1" customHeight="1" x14ac:dyDescent="0.2"/>
    <row r="13679" ht="9.9499999999999993" hidden="1" customHeight="1" x14ac:dyDescent="0.2"/>
    <row r="13680" ht="9.9499999999999993" hidden="1" customHeight="1" x14ac:dyDescent="0.2"/>
    <row r="13681" ht="9.9499999999999993" hidden="1" customHeight="1" x14ac:dyDescent="0.2"/>
    <row r="13682" ht="9.9499999999999993" hidden="1" customHeight="1" x14ac:dyDescent="0.2"/>
    <row r="13683" ht="9.9499999999999993" hidden="1" customHeight="1" x14ac:dyDescent="0.2"/>
    <row r="13684" ht="9.9499999999999993" hidden="1" customHeight="1" x14ac:dyDescent="0.2"/>
    <row r="13685" ht="9.9499999999999993" hidden="1" customHeight="1" x14ac:dyDescent="0.2"/>
    <row r="13686" ht="9.9499999999999993" hidden="1" customHeight="1" x14ac:dyDescent="0.2"/>
    <row r="13687" ht="9.9499999999999993" hidden="1" customHeight="1" x14ac:dyDescent="0.2"/>
    <row r="13688" ht="9.9499999999999993" hidden="1" customHeight="1" x14ac:dyDescent="0.2"/>
    <row r="13689" ht="9.9499999999999993" hidden="1" customHeight="1" x14ac:dyDescent="0.2"/>
    <row r="13690" ht="9.9499999999999993" hidden="1" customHeight="1" x14ac:dyDescent="0.2"/>
    <row r="13691" ht="9.9499999999999993" hidden="1" customHeight="1" x14ac:dyDescent="0.2"/>
    <row r="13692" ht="9.9499999999999993" hidden="1" customHeight="1" x14ac:dyDescent="0.2"/>
    <row r="13693" ht="9.9499999999999993" hidden="1" customHeight="1" x14ac:dyDescent="0.2"/>
    <row r="13694" ht="9.9499999999999993" hidden="1" customHeight="1" x14ac:dyDescent="0.2"/>
    <row r="13695" ht="9.9499999999999993" hidden="1" customHeight="1" x14ac:dyDescent="0.2"/>
    <row r="13696" ht="9.9499999999999993" hidden="1" customHeight="1" x14ac:dyDescent="0.2"/>
    <row r="13697" ht="9.9499999999999993" hidden="1" customHeight="1" x14ac:dyDescent="0.2"/>
    <row r="13698" ht="9.9499999999999993" hidden="1" customHeight="1" x14ac:dyDescent="0.2"/>
    <row r="13699" ht="9.9499999999999993" hidden="1" customHeight="1" x14ac:dyDescent="0.2"/>
    <row r="13700" ht="9.9499999999999993" hidden="1" customHeight="1" x14ac:dyDescent="0.2"/>
    <row r="13701" ht="9.9499999999999993" hidden="1" customHeight="1" x14ac:dyDescent="0.2"/>
    <row r="13702" ht="9.9499999999999993" hidden="1" customHeight="1" x14ac:dyDescent="0.2"/>
    <row r="13703" ht="9.9499999999999993" hidden="1" customHeight="1" x14ac:dyDescent="0.2"/>
    <row r="13704" ht="9.9499999999999993" hidden="1" customHeight="1" x14ac:dyDescent="0.2"/>
    <row r="13705" ht="9.9499999999999993" hidden="1" customHeight="1" x14ac:dyDescent="0.2"/>
    <row r="13706" ht="9.9499999999999993" hidden="1" customHeight="1" x14ac:dyDescent="0.2"/>
    <row r="13707" ht="9.9499999999999993" hidden="1" customHeight="1" x14ac:dyDescent="0.2"/>
    <row r="13708" ht="9.9499999999999993" hidden="1" customHeight="1" x14ac:dyDescent="0.2"/>
    <row r="13709" ht="9.9499999999999993" hidden="1" customHeight="1" x14ac:dyDescent="0.2"/>
    <row r="13710" ht="9.9499999999999993" hidden="1" customHeight="1" x14ac:dyDescent="0.2"/>
    <row r="13711" ht="9.9499999999999993" hidden="1" customHeight="1" x14ac:dyDescent="0.2"/>
    <row r="13712" ht="9.9499999999999993" hidden="1" customHeight="1" x14ac:dyDescent="0.2"/>
    <row r="13713" ht="9.9499999999999993" hidden="1" customHeight="1" x14ac:dyDescent="0.2"/>
    <row r="13714" ht="9.9499999999999993" hidden="1" customHeight="1" x14ac:dyDescent="0.2"/>
    <row r="13715" ht="9.9499999999999993" hidden="1" customHeight="1" x14ac:dyDescent="0.2"/>
    <row r="13716" ht="9.9499999999999993" hidden="1" customHeight="1" x14ac:dyDescent="0.2"/>
    <row r="13717" ht="9.9499999999999993" hidden="1" customHeight="1" x14ac:dyDescent="0.2"/>
    <row r="13718" ht="9.9499999999999993" hidden="1" customHeight="1" x14ac:dyDescent="0.2"/>
    <row r="13719" ht="9.9499999999999993" hidden="1" customHeight="1" x14ac:dyDescent="0.2"/>
    <row r="13720" ht="9.9499999999999993" hidden="1" customHeight="1" x14ac:dyDescent="0.2"/>
    <row r="13721" ht="9.9499999999999993" hidden="1" customHeight="1" x14ac:dyDescent="0.2"/>
    <row r="13722" ht="9.9499999999999993" hidden="1" customHeight="1" x14ac:dyDescent="0.2"/>
    <row r="13723" ht="9.9499999999999993" hidden="1" customHeight="1" x14ac:dyDescent="0.2"/>
    <row r="13724" ht="9.9499999999999993" hidden="1" customHeight="1" x14ac:dyDescent="0.2"/>
    <row r="13725" ht="9.9499999999999993" hidden="1" customHeight="1" x14ac:dyDescent="0.2"/>
    <row r="13726" ht="9.9499999999999993" hidden="1" customHeight="1" x14ac:dyDescent="0.2"/>
    <row r="13727" ht="9.9499999999999993" hidden="1" customHeight="1" x14ac:dyDescent="0.2"/>
    <row r="13728" ht="9.9499999999999993" hidden="1" customHeight="1" x14ac:dyDescent="0.2"/>
    <row r="13729" ht="9.9499999999999993" hidden="1" customHeight="1" x14ac:dyDescent="0.2"/>
    <row r="13730" ht="9.9499999999999993" hidden="1" customHeight="1" x14ac:dyDescent="0.2"/>
    <row r="13731" ht="9.9499999999999993" hidden="1" customHeight="1" x14ac:dyDescent="0.2"/>
    <row r="13732" ht="9.9499999999999993" hidden="1" customHeight="1" x14ac:dyDescent="0.2"/>
    <row r="13733" ht="9.9499999999999993" hidden="1" customHeight="1" x14ac:dyDescent="0.2"/>
    <row r="13734" ht="9.9499999999999993" hidden="1" customHeight="1" x14ac:dyDescent="0.2"/>
    <row r="13735" ht="9.9499999999999993" hidden="1" customHeight="1" x14ac:dyDescent="0.2"/>
    <row r="13736" ht="9.9499999999999993" hidden="1" customHeight="1" x14ac:dyDescent="0.2"/>
    <row r="13737" ht="9.9499999999999993" hidden="1" customHeight="1" x14ac:dyDescent="0.2"/>
    <row r="13738" ht="9.9499999999999993" hidden="1" customHeight="1" x14ac:dyDescent="0.2"/>
    <row r="13739" ht="9.9499999999999993" hidden="1" customHeight="1" x14ac:dyDescent="0.2"/>
    <row r="13740" ht="9.9499999999999993" hidden="1" customHeight="1" x14ac:dyDescent="0.2"/>
    <row r="13741" ht="9.9499999999999993" hidden="1" customHeight="1" x14ac:dyDescent="0.2"/>
    <row r="13742" ht="9.9499999999999993" hidden="1" customHeight="1" x14ac:dyDescent="0.2"/>
    <row r="13743" ht="9.9499999999999993" hidden="1" customHeight="1" x14ac:dyDescent="0.2"/>
    <row r="13744" ht="9.9499999999999993" hidden="1" customHeight="1" x14ac:dyDescent="0.2"/>
    <row r="13745" ht="9.9499999999999993" hidden="1" customHeight="1" x14ac:dyDescent="0.2"/>
    <row r="13746" ht="9.9499999999999993" hidden="1" customHeight="1" x14ac:dyDescent="0.2"/>
    <row r="13747" ht="9.9499999999999993" hidden="1" customHeight="1" x14ac:dyDescent="0.2"/>
    <row r="13748" ht="9.9499999999999993" hidden="1" customHeight="1" x14ac:dyDescent="0.2"/>
    <row r="13749" ht="9.9499999999999993" hidden="1" customHeight="1" x14ac:dyDescent="0.2"/>
    <row r="13750" ht="9.9499999999999993" hidden="1" customHeight="1" x14ac:dyDescent="0.2"/>
    <row r="13751" ht="9.9499999999999993" hidden="1" customHeight="1" x14ac:dyDescent="0.2"/>
    <row r="13752" ht="9.9499999999999993" hidden="1" customHeight="1" x14ac:dyDescent="0.2"/>
    <row r="13753" ht="9.9499999999999993" hidden="1" customHeight="1" x14ac:dyDescent="0.2"/>
    <row r="13754" ht="9.9499999999999993" hidden="1" customHeight="1" x14ac:dyDescent="0.2"/>
    <row r="13755" ht="9.9499999999999993" hidden="1" customHeight="1" x14ac:dyDescent="0.2"/>
    <row r="13756" ht="9.9499999999999993" hidden="1" customHeight="1" x14ac:dyDescent="0.2"/>
    <row r="13757" ht="9.9499999999999993" hidden="1" customHeight="1" x14ac:dyDescent="0.2"/>
    <row r="13758" ht="9.9499999999999993" hidden="1" customHeight="1" x14ac:dyDescent="0.2"/>
    <row r="13759" ht="9.9499999999999993" hidden="1" customHeight="1" x14ac:dyDescent="0.2"/>
    <row r="13760" ht="9.9499999999999993" hidden="1" customHeight="1" x14ac:dyDescent="0.2"/>
    <row r="13761" ht="9.9499999999999993" hidden="1" customHeight="1" x14ac:dyDescent="0.2"/>
    <row r="13762" ht="9.9499999999999993" hidden="1" customHeight="1" x14ac:dyDescent="0.2"/>
    <row r="13763" ht="9.9499999999999993" hidden="1" customHeight="1" x14ac:dyDescent="0.2"/>
    <row r="13764" ht="9.9499999999999993" hidden="1" customHeight="1" x14ac:dyDescent="0.2"/>
    <row r="13765" ht="9.9499999999999993" hidden="1" customHeight="1" x14ac:dyDescent="0.2"/>
    <row r="13766" ht="9.9499999999999993" hidden="1" customHeight="1" x14ac:dyDescent="0.2"/>
    <row r="13767" ht="9.9499999999999993" hidden="1" customHeight="1" x14ac:dyDescent="0.2"/>
    <row r="13768" ht="9.9499999999999993" hidden="1" customHeight="1" x14ac:dyDescent="0.2"/>
    <row r="13769" ht="9.9499999999999993" hidden="1" customHeight="1" x14ac:dyDescent="0.2"/>
    <row r="13770" ht="9.9499999999999993" hidden="1" customHeight="1" x14ac:dyDescent="0.2"/>
    <row r="13771" ht="9.9499999999999993" hidden="1" customHeight="1" x14ac:dyDescent="0.2"/>
    <row r="13772" ht="9.9499999999999993" hidden="1" customHeight="1" x14ac:dyDescent="0.2"/>
    <row r="13773" ht="9.9499999999999993" hidden="1" customHeight="1" x14ac:dyDescent="0.2"/>
    <row r="13774" ht="9.9499999999999993" hidden="1" customHeight="1" x14ac:dyDescent="0.2"/>
    <row r="13775" ht="9.9499999999999993" hidden="1" customHeight="1" x14ac:dyDescent="0.2"/>
    <row r="13776" ht="9.9499999999999993" hidden="1" customHeight="1" x14ac:dyDescent="0.2"/>
    <row r="13777" ht="9.9499999999999993" hidden="1" customHeight="1" x14ac:dyDescent="0.2"/>
    <row r="13778" ht="9.9499999999999993" hidden="1" customHeight="1" x14ac:dyDescent="0.2"/>
    <row r="13779" ht="9.9499999999999993" hidden="1" customHeight="1" x14ac:dyDescent="0.2"/>
    <row r="13780" ht="9.9499999999999993" hidden="1" customHeight="1" x14ac:dyDescent="0.2"/>
    <row r="13781" ht="9.9499999999999993" hidden="1" customHeight="1" x14ac:dyDescent="0.2"/>
    <row r="13782" ht="9.9499999999999993" hidden="1" customHeight="1" x14ac:dyDescent="0.2"/>
    <row r="13783" ht="9.9499999999999993" hidden="1" customHeight="1" x14ac:dyDescent="0.2"/>
    <row r="13784" ht="9.9499999999999993" hidden="1" customHeight="1" x14ac:dyDescent="0.2"/>
    <row r="13785" ht="9.9499999999999993" hidden="1" customHeight="1" x14ac:dyDescent="0.2"/>
    <row r="13786" ht="9.9499999999999993" hidden="1" customHeight="1" x14ac:dyDescent="0.2"/>
    <row r="13787" ht="9.9499999999999993" hidden="1" customHeight="1" x14ac:dyDescent="0.2"/>
    <row r="13788" ht="9.9499999999999993" hidden="1" customHeight="1" x14ac:dyDescent="0.2"/>
    <row r="13789" ht="9.9499999999999993" hidden="1" customHeight="1" x14ac:dyDescent="0.2"/>
    <row r="13790" ht="9.9499999999999993" hidden="1" customHeight="1" x14ac:dyDescent="0.2"/>
    <row r="13791" ht="9.9499999999999993" hidden="1" customHeight="1" x14ac:dyDescent="0.2"/>
    <row r="13792" ht="9.9499999999999993" hidden="1" customHeight="1" x14ac:dyDescent="0.2"/>
    <row r="13793" ht="9.9499999999999993" hidden="1" customHeight="1" x14ac:dyDescent="0.2"/>
    <row r="13794" ht="9.9499999999999993" hidden="1" customHeight="1" x14ac:dyDescent="0.2"/>
    <row r="13795" ht="9.9499999999999993" hidden="1" customHeight="1" x14ac:dyDescent="0.2"/>
    <row r="13796" ht="9.9499999999999993" hidden="1" customHeight="1" x14ac:dyDescent="0.2"/>
    <row r="13797" ht="9.9499999999999993" hidden="1" customHeight="1" x14ac:dyDescent="0.2"/>
    <row r="13798" ht="9.9499999999999993" hidden="1" customHeight="1" x14ac:dyDescent="0.2"/>
    <row r="13799" ht="9.9499999999999993" hidden="1" customHeight="1" x14ac:dyDescent="0.2"/>
    <row r="13800" ht="9.9499999999999993" hidden="1" customHeight="1" x14ac:dyDescent="0.2"/>
    <row r="13801" ht="9.9499999999999993" hidden="1" customHeight="1" x14ac:dyDescent="0.2"/>
    <row r="13802" ht="9.9499999999999993" hidden="1" customHeight="1" x14ac:dyDescent="0.2"/>
    <row r="13803" ht="9.9499999999999993" hidden="1" customHeight="1" x14ac:dyDescent="0.2"/>
    <row r="13804" ht="9.9499999999999993" hidden="1" customHeight="1" x14ac:dyDescent="0.2"/>
    <row r="13805" ht="9.9499999999999993" hidden="1" customHeight="1" x14ac:dyDescent="0.2"/>
    <row r="13806" ht="9.9499999999999993" hidden="1" customHeight="1" x14ac:dyDescent="0.2"/>
    <row r="13807" ht="9.9499999999999993" hidden="1" customHeight="1" x14ac:dyDescent="0.2"/>
    <row r="13808" ht="9.9499999999999993" hidden="1" customHeight="1" x14ac:dyDescent="0.2"/>
    <row r="13809" ht="9.9499999999999993" hidden="1" customHeight="1" x14ac:dyDescent="0.2"/>
    <row r="13810" ht="9.9499999999999993" hidden="1" customHeight="1" x14ac:dyDescent="0.2"/>
    <row r="13811" ht="9.9499999999999993" hidden="1" customHeight="1" x14ac:dyDescent="0.2"/>
    <row r="13812" ht="9.9499999999999993" hidden="1" customHeight="1" x14ac:dyDescent="0.2"/>
    <row r="13813" ht="9.9499999999999993" hidden="1" customHeight="1" x14ac:dyDescent="0.2"/>
    <row r="13814" ht="9.9499999999999993" hidden="1" customHeight="1" x14ac:dyDescent="0.2"/>
    <row r="13815" ht="9.9499999999999993" hidden="1" customHeight="1" x14ac:dyDescent="0.2"/>
    <row r="13816" ht="9.9499999999999993" hidden="1" customHeight="1" x14ac:dyDescent="0.2"/>
    <row r="13817" ht="9.9499999999999993" hidden="1" customHeight="1" x14ac:dyDescent="0.2"/>
    <row r="13818" ht="9.9499999999999993" hidden="1" customHeight="1" x14ac:dyDescent="0.2"/>
    <row r="13819" ht="9.9499999999999993" hidden="1" customHeight="1" x14ac:dyDescent="0.2"/>
    <row r="13820" ht="9.9499999999999993" hidden="1" customHeight="1" x14ac:dyDescent="0.2"/>
    <row r="13821" ht="9.9499999999999993" hidden="1" customHeight="1" x14ac:dyDescent="0.2"/>
    <row r="13822" ht="9.9499999999999993" hidden="1" customHeight="1" x14ac:dyDescent="0.2"/>
    <row r="13823" ht="9.9499999999999993" hidden="1" customHeight="1" x14ac:dyDescent="0.2"/>
    <row r="13824" ht="9.9499999999999993" hidden="1" customHeight="1" x14ac:dyDescent="0.2"/>
    <row r="13825" ht="9.9499999999999993" hidden="1" customHeight="1" x14ac:dyDescent="0.2"/>
    <row r="13826" ht="9.9499999999999993" hidden="1" customHeight="1" x14ac:dyDescent="0.2"/>
    <row r="13827" ht="9.9499999999999993" hidden="1" customHeight="1" x14ac:dyDescent="0.2"/>
    <row r="13828" ht="9.9499999999999993" hidden="1" customHeight="1" x14ac:dyDescent="0.2"/>
    <row r="13829" ht="9.9499999999999993" hidden="1" customHeight="1" x14ac:dyDescent="0.2"/>
    <row r="13830" ht="9.9499999999999993" hidden="1" customHeight="1" x14ac:dyDescent="0.2"/>
    <row r="13831" ht="9.9499999999999993" hidden="1" customHeight="1" x14ac:dyDescent="0.2"/>
    <row r="13832" ht="9.9499999999999993" hidden="1" customHeight="1" x14ac:dyDescent="0.2"/>
    <row r="13833" ht="9.9499999999999993" hidden="1" customHeight="1" x14ac:dyDescent="0.2"/>
    <row r="13834" ht="9.9499999999999993" hidden="1" customHeight="1" x14ac:dyDescent="0.2"/>
    <row r="13835" ht="9.9499999999999993" hidden="1" customHeight="1" x14ac:dyDescent="0.2"/>
    <row r="13836" ht="9.9499999999999993" hidden="1" customHeight="1" x14ac:dyDescent="0.2"/>
    <row r="13837" ht="9.9499999999999993" hidden="1" customHeight="1" x14ac:dyDescent="0.2"/>
    <row r="13838" ht="9.9499999999999993" hidden="1" customHeight="1" x14ac:dyDescent="0.2"/>
    <row r="13839" ht="9.9499999999999993" hidden="1" customHeight="1" x14ac:dyDescent="0.2"/>
    <row r="13840" ht="9.9499999999999993" hidden="1" customHeight="1" x14ac:dyDescent="0.2"/>
    <row r="13841" ht="9.9499999999999993" hidden="1" customHeight="1" x14ac:dyDescent="0.2"/>
    <row r="13842" ht="9.9499999999999993" hidden="1" customHeight="1" x14ac:dyDescent="0.2"/>
    <row r="13843" ht="9.9499999999999993" hidden="1" customHeight="1" x14ac:dyDescent="0.2"/>
    <row r="13844" ht="9.9499999999999993" hidden="1" customHeight="1" x14ac:dyDescent="0.2"/>
    <row r="13845" ht="9.9499999999999993" hidden="1" customHeight="1" x14ac:dyDescent="0.2"/>
    <row r="13846" ht="9.9499999999999993" hidden="1" customHeight="1" x14ac:dyDescent="0.2"/>
    <row r="13847" ht="9.9499999999999993" hidden="1" customHeight="1" x14ac:dyDescent="0.2"/>
    <row r="13848" ht="9.9499999999999993" hidden="1" customHeight="1" x14ac:dyDescent="0.2"/>
    <row r="13849" ht="9.9499999999999993" hidden="1" customHeight="1" x14ac:dyDescent="0.2"/>
    <row r="13850" ht="9.9499999999999993" hidden="1" customHeight="1" x14ac:dyDescent="0.2"/>
    <row r="13851" ht="9.9499999999999993" hidden="1" customHeight="1" x14ac:dyDescent="0.2"/>
    <row r="13852" ht="9.9499999999999993" hidden="1" customHeight="1" x14ac:dyDescent="0.2"/>
    <row r="13853" ht="9.9499999999999993" hidden="1" customHeight="1" x14ac:dyDescent="0.2"/>
    <row r="13854" ht="9.9499999999999993" hidden="1" customHeight="1" x14ac:dyDescent="0.2"/>
    <row r="13855" ht="9.9499999999999993" hidden="1" customHeight="1" x14ac:dyDescent="0.2"/>
    <row r="13856" ht="9.9499999999999993" hidden="1" customHeight="1" x14ac:dyDescent="0.2"/>
    <row r="13857" ht="9.9499999999999993" hidden="1" customHeight="1" x14ac:dyDescent="0.2"/>
    <row r="13858" ht="9.9499999999999993" hidden="1" customHeight="1" x14ac:dyDescent="0.2"/>
    <row r="13859" ht="9.9499999999999993" hidden="1" customHeight="1" x14ac:dyDescent="0.2"/>
    <row r="13860" ht="9.9499999999999993" hidden="1" customHeight="1" x14ac:dyDescent="0.2"/>
    <row r="13861" ht="9.9499999999999993" hidden="1" customHeight="1" x14ac:dyDescent="0.2"/>
    <row r="13862" ht="9.9499999999999993" hidden="1" customHeight="1" x14ac:dyDescent="0.2"/>
    <row r="13863" ht="9.9499999999999993" hidden="1" customHeight="1" x14ac:dyDescent="0.2"/>
    <row r="13864" ht="9.9499999999999993" hidden="1" customHeight="1" x14ac:dyDescent="0.2"/>
    <row r="13865" ht="9.9499999999999993" hidden="1" customHeight="1" x14ac:dyDescent="0.2"/>
    <row r="13866" ht="9.9499999999999993" hidden="1" customHeight="1" x14ac:dyDescent="0.2"/>
    <row r="13867" ht="9.9499999999999993" hidden="1" customHeight="1" x14ac:dyDescent="0.2"/>
    <row r="13868" ht="9.9499999999999993" hidden="1" customHeight="1" x14ac:dyDescent="0.2"/>
    <row r="13869" ht="9.9499999999999993" hidden="1" customHeight="1" x14ac:dyDescent="0.2"/>
    <row r="13870" ht="9.9499999999999993" hidden="1" customHeight="1" x14ac:dyDescent="0.2"/>
    <row r="13871" ht="9.9499999999999993" hidden="1" customHeight="1" x14ac:dyDescent="0.2"/>
    <row r="13872" ht="9.9499999999999993" hidden="1" customHeight="1" x14ac:dyDescent="0.2"/>
    <row r="13873" ht="9.9499999999999993" hidden="1" customHeight="1" x14ac:dyDescent="0.2"/>
    <row r="13874" ht="9.9499999999999993" hidden="1" customHeight="1" x14ac:dyDescent="0.2"/>
    <row r="13875" ht="9.9499999999999993" hidden="1" customHeight="1" x14ac:dyDescent="0.2"/>
    <row r="13876" ht="9.9499999999999993" hidden="1" customHeight="1" x14ac:dyDescent="0.2"/>
    <row r="13877" ht="9.9499999999999993" hidden="1" customHeight="1" x14ac:dyDescent="0.2"/>
    <row r="13878" ht="9.9499999999999993" hidden="1" customHeight="1" x14ac:dyDescent="0.2"/>
    <row r="13879" ht="9.9499999999999993" hidden="1" customHeight="1" x14ac:dyDescent="0.2"/>
    <row r="13880" ht="9.9499999999999993" hidden="1" customHeight="1" x14ac:dyDescent="0.2"/>
    <row r="13881" ht="9.9499999999999993" hidden="1" customHeight="1" x14ac:dyDescent="0.2"/>
    <row r="13882" ht="9.9499999999999993" hidden="1" customHeight="1" x14ac:dyDescent="0.2"/>
    <row r="13883" ht="9.9499999999999993" hidden="1" customHeight="1" x14ac:dyDescent="0.2"/>
    <row r="13884" ht="9.9499999999999993" hidden="1" customHeight="1" x14ac:dyDescent="0.2"/>
    <row r="13885" ht="9.9499999999999993" hidden="1" customHeight="1" x14ac:dyDescent="0.2"/>
    <row r="13886" ht="9.9499999999999993" hidden="1" customHeight="1" x14ac:dyDescent="0.2"/>
    <row r="13887" ht="9.9499999999999993" hidden="1" customHeight="1" x14ac:dyDescent="0.2"/>
    <row r="13888" ht="9.9499999999999993" hidden="1" customHeight="1" x14ac:dyDescent="0.2"/>
    <row r="13889" ht="9.9499999999999993" hidden="1" customHeight="1" x14ac:dyDescent="0.2"/>
    <row r="13890" ht="9.9499999999999993" hidden="1" customHeight="1" x14ac:dyDescent="0.2"/>
    <row r="13891" ht="9.9499999999999993" hidden="1" customHeight="1" x14ac:dyDescent="0.2"/>
    <row r="13892" ht="9.9499999999999993" hidden="1" customHeight="1" x14ac:dyDescent="0.2"/>
    <row r="13893" ht="9.9499999999999993" hidden="1" customHeight="1" x14ac:dyDescent="0.2"/>
    <row r="13894" ht="9.9499999999999993" hidden="1" customHeight="1" x14ac:dyDescent="0.2"/>
    <row r="13895" ht="9.9499999999999993" hidden="1" customHeight="1" x14ac:dyDescent="0.2"/>
    <row r="13896" ht="9.9499999999999993" hidden="1" customHeight="1" x14ac:dyDescent="0.2"/>
    <row r="13897" ht="9.9499999999999993" hidden="1" customHeight="1" x14ac:dyDescent="0.2"/>
    <row r="13898" ht="9.9499999999999993" hidden="1" customHeight="1" x14ac:dyDescent="0.2"/>
    <row r="13899" ht="9.9499999999999993" hidden="1" customHeight="1" x14ac:dyDescent="0.2"/>
    <row r="13900" ht="9.9499999999999993" hidden="1" customHeight="1" x14ac:dyDescent="0.2"/>
    <row r="13901" ht="9.9499999999999993" hidden="1" customHeight="1" x14ac:dyDescent="0.2"/>
    <row r="13902" ht="9.9499999999999993" hidden="1" customHeight="1" x14ac:dyDescent="0.2"/>
    <row r="13903" ht="9.9499999999999993" hidden="1" customHeight="1" x14ac:dyDescent="0.2"/>
    <row r="13904" ht="9.9499999999999993" hidden="1" customHeight="1" x14ac:dyDescent="0.2"/>
    <row r="13905" ht="9.9499999999999993" hidden="1" customHeight="1" x14ac:dyDescent="0.2"/>
    <row r="13906" ht="9.9499999999999993" hidden="1" customHeight="1" x14ac:dyDescent="0.2"/>
    <row r="13907" ht="9.9499999999999993" hidden="1" customHeight="1" x14ac:dyDescent="0.2"/>
    <row r="13908" ht="9.9499999999999993" hidden="1" customHeight="1" x14ac:dyDescent="0.2"/>
    <row r="13909" ht="9.9499999999999993" hidden="1" customHeight="1" x14ac:dyDescent="0.2"/>
    <row r="13910" ht="9.9499999999999993" hidden="1" customHeight="1" x14ac:dyDescent="0.2"/>
    <row r="13911" ht="9.9499999999999993" hidden="1" customHeight="1" x14ac:dyDescent="0.2"/>
    <row r="13912" ht="9.9499999999999993" hidden="1" customHeight="1" x14ac:dyDescent="0.2"/>
    <row r="13913" ht="9.9499999999999993" hidden="1" customHeight="1" x14ac:dyDescent="0.2"/>
    <row r="13914" ht="9.9499999999999993" hidden="1" customHeight="1" x14ac:dyDescent="0.2"/>
    <row r="13915" ht="9.9499999999999993" hidden="1" customHeight="1" x14ac:dyDescent="0.2"/>
    <row r="13916" ht="9.9499999999999993" hidden="1" customHeight="1" x14ac:dyDescent="0.2"/>
    <row r="13917" ht="9.9499999999999993" hidden="1" customHeight="1" x14ac:dyDescent="0.2"/>
    <row r="13918" ht="9.9499999999999993" hidden="1" customHeight="1" x14ac:dyDescent="0.2"/>
    <row r="13919" ht="9.9499999999999993" hidden="1" customHeight="1" x14ac:dyDescent="0.2"/>
    <row r="13920" ht="9.9499999999999993" hidden="1" customHeight="1" x14ac:dyDescent="0.2"/>
    <row r="13921" ht="9.9499999999999993" hidden="1" customHeight="1" x14ac:dyDescent="0.2"/>
    <row r="13922" ht="9.9499999999999993" hidden="1" customHeight="1" x14ac:dyDescent="0.2"/>
    <row r="13923" ht="9.9499999999999993" hidden="1" customHeight="1" x14ac:dyDescent="0.2"/>
    <row r="13924" ht="9.9499999999999993" hidden="1" customHeight="1" x14ac:dyDescent="0.2"/>
    <row r="13925" ht="9.9499999999999993" hidden="1" customHeight="1" x14ac:dyDescent="0.2"/>
    <row r="13926" ht="9.9499999999999993" hidden="1" customHeight="1" x14ac:dyDescent="0.2"/>
    <row r="13927" ht="9.9499999999999993" hidden="1" customHeight="1" x14ac:dyDescent="0.2"/>
    <row r="13928" ht="9.9499999999999993" hidden="1" customHeight="1" x14ac:dyDescent="0.2"/>
    <row r="13929" ht="9.9499999999999993" hidden="1" customHeight="1" x14ac:dyDescent="0.2"/>
    <row r="13930" ht="9.9499999999999993" hidden="1" customHeight="1" x14ac:dyDescent="0.2"/>
    <row r="13931" ht="9.9499999999999993" hidden="1" customHeight="1" x14ac:dyDescent="0.2"/>
    <row r="13932" ht="9.9499999999999993" hidden="1" customHeight="1" x14ac:dyDescent="0.2"/>
    <row r="13933" ht="9.9499999999999993" hidden="1" customHeight="1" x14ac:dyDescent="0.2"/>
    <row r="13934" ht="9.9499999999999993" hidden="1" customHeight="1" x14ac:dyDescent="0.2"/>
    <row r="13935" ht="9.9499999999999993" hidden="1" customHeight="1" x14ac:dyDescent="0.2"/>
    <row r="13936" ht="9.9499999999999993" hidden="1" customHeight="1" x14ac:dyDescent="0.2"/>
    <row r="13937" ht="9.9499999999999993" hidden="1" customHeight="1" x14ac:dyDescent="0.2"/>
    <row r="13938" ht="9.9499999999999993" hidden="1" customHeight="1" x14ac:dyDescent="0.2"/>
    <row r="13939" ht="9.9499999999999993" hidden="1" customHeight="1" x14ac:dyDescent="0.2"/>
    <row r="13940" ht="9.9499999999999993" hidden="1" customHeight="1" x14ac:dyDescent="0.2"/>
    <row r="13941" ht="9.9499999999999993" hidden="1" customHeight="1" x14ac:dyDescent="0.2"/>
    <row r="13942" ht="9.9499999999999993" hidden="1" customHeight="1" x14ac:dyDescent="0.2"/>
    <row r="13943" ht="9.9499999999999993" hidden="1" customHeight="1" x14ac:dyDescent="0.2"/>
    <row r="13944" ht="9.9499999999999993" hidden="1" customHeight="1" x14ac:dyDescent="0.2"/>
    <row r="13945" ht="9.9499999999999993" hidden="1" customHeight="1" x14ac:dyDescent="0.2"/>
    <row r="13946" ht="9.9499999999999993" hidden="1" customHeight="1" x14ac:dyDescent="0.2"/>
    <row r="13947" ht="9.9499999999999993" hidden="1" customHeight="1" x14ac:dyDescent="0.2"/>
    <row r="13948" ht="9.9499999999999993" hidden="1" customHeight="1" x14ac:dyDescent="0.2"/>
    <row r="13949" ht="9.9499999999999993" hidden="1" customHeight="1" x14ac:dyDescent="0.2"/>
    <row r="13950" ht="9.9499999999999993" hidden="1" customHeight="1" x14ac:dyDescent="0.2"/>
    <row r="13951" ht="9.9499999999999993" hidden="1" customHeight="1" x14ac:dyDescent="0.2"/>
    <row r="13952" ht="9.9499999999999993" hidden="1" customHeight="1" x14ac:dyDescent="0.2"/>
    <row r="13953" ht="9.9499999999999993" hidden="1" customHeight="1" x14ac:dyDescent="0.2"/>
    <row r="13954" ht="9.9499999999999993" hidden="1" customHeight="1" x14ac:dyDescent="0.2"/>
    <row r="13955" ht="9.9499999999999993" hidden="1" customHeight="1" x14ac:dyDescent="0.2"/>
    <row r="13956" ht="9.9499999999999993" hidden="1" customHeight="1" x14ac:dyDescent="0.2"/>
    <row r="13957" ht="9.9499999999999993" hidden="1" customHeight="1" x14ac:dyDescent="0.2"/>
    <row r="13958" ht="9.9499999999999993" hidden="1" customHeight="1" x14ac:dyDescent="0.2"/>
    <row r="13959" ht="9.9499999999999993" hidden="1" customHeight="1" x14ac:dyDescent="0.2"/>
    <row r="13960" ht="9.9499999999999993" hidden="1" customHeight="1" x14ac:dyDescent="0.2"/>
    <row r="13961" ht="9.9499999999999993" hidden="1" customHeight="1" x14ac:dyDescent="0.2"/>
    <row r="13962" ht="9.9499999999999993" hidden="1" customHeight="1" x14ac:dyDescent="0.2"/>
    <row r="13963" ht="9.9499999999999993" hidden="1" customHeight="1" x14ac:dyDescent="0.2"/>
    <row r="13964" ht="9.9499999999999993" hidden="1" customHeight="1" x14ac:dyDescent="0.2"/>
    <row r="13965" ht="9.9499999999999993" hidden="1" customHeight="1" x14ac:dyDescent="0.2"/>
    <row r="13966" ht="9.9499999999999993" hidden="1" customHeight="1" x14ac:dyDescent="0.2"/>
    <row r="13967" ht="9.9499999999999993" hidden="1" customHeight="1" x14ac:dyDescent="0.2"/>
    <row r="13968" ht="9.9499999999999993" hidden="1" customHeight="1" x14ac:dyDescent="0.2"/>
    <row r="13969" ht="9.9499999999999993" hidden="1" customHeight="1" x14ac:dyDescent="0.2"/>
    <row r="13970" ht="9.9499999999999993" hidden="1" customHeight="1" x14ac:dyDescent="0.2"/>
    <row r="13971" ht="9.9499999999999993" hidden="1" customHeight="1" x14ac:dyDescent="0.2"/>
    <row r="13972" ht="9.9499999999999993" hidden="1" customHeight="1" x14ac:dyDescent="0.2"/>
    <row r="13973" ht="9.9499999999999993" hidden="1" customHeight="1" x14ac:dyDescent="0.2"/>
    <row r="13974" ht="9.9499999999999993" hidden="1" customHeight="1" x14ac:dyDescent="0.2"/>
    <row r="13975" ht="9.9499999999999993" hidden="1" customHeight="1" x14ac:dyDescent="0.2"/>
    <row r="13976" ht="9.9499999999999993" hidden="1" customHeight="1" x14ac:dyDescent="0.2"/>
    <row r="13977" ht="9.9499999999999993" hidden="1" customHeight="1" x14ac:dyDescent="0.2"/>
    <row r="13978" ht="9.9499999999999993" hidden="1" customHeight="1" x14ac:dyDescent="0.2"/>
    <row r="13979" ht="9.9499999999999993" hidden="1" customHeight="1" x14ac:dyDescent="0.2"/>
    <row r="13980" ht="9.9499999999999993" hidden="1" customHeight="1" x14ac:dyDescent="0.2"/>
    <row r="13981" ht="9.9499999999999993" hidden="1" customHeight="1" x14ac:dyDescent="0.2"/>
    <row r="13982" ht="9.9499999999999993" hidden="1" customHeight="1" x14ac:dyDescent="0.2"/>
    <row r="13983" ht="9.9499999999999993" hidden="1" customHeight="1" x14ac:dyDescent="0.2"/>
    <row r="13984" ht="9.9499999999999993" hidden="1" customHeight="1" x14ac:dyDescent="0.2"/>
    <row r="13985" ht="9.9499999999999993" hidden="1" customHeight="1" x14ac:dyDescent="0.2"/>
    <row r="13986" ht="9.9499999999999993" hidden="1" customHeight="1" x14ac:dyDescent="0.2"/>
    <row r="13987" ht="9.9499999999999993" hidden="1" customHeight="1" x14ac:dyDescent="0.2"/>
    <row r="13988" ht="9.9499999999999993" hidden="1" customHeight="1" x14ac:dyDescent="0.2"/>
    <row r="13989" ht="9.9499999999999993" hidden="1" customHeight="1" x14ac:dyDescent="0.2"/>
    <row r="13990" ht="9.9499999999999993" hidden="1" customHeight="1" x14ac:dyDescent="0.2"/>
    <row r="13991" ht="9.9499999999999993" hidden="1" customHeight="1" x14ac:dyDescent="0.2"/>
    <row r="13992" ht="9.9499999999999993" hidden="1" customHeight="1" x14ac:dyDescent="0.2"/>
    <row r="13993" ht="9.9499999999999993" hidden="1" customHeight="1" x14ac:dyDescent="0.2"/>
    <row r="13994" ht="9.9499999999999993" hidden="1" customHeight="1" x14ac:dyDescent="0.2"/>
    <row r="13995" ht="9.9499999999999993" hidden="1" customHeight="1" x14ac:dyDescent="0.2"/>
    <row r="13996" ht="9.9499999999999993" hidden="1" customHeight="1" x14ac:dyDescent="0.2"/>
    <row r="13997" ht="9.9499999999999993" hidden="1" customHeight="1" x14ac:dyDescent="0.2"/>
    <row r="13998" ht="9.9499999999999993" hidden="1" customHeight="1" x14ac:dyDescent="0.2"/>
    <row r="13999" ht="9.9499999999999993" hidden="1" customHeight="1" x14ac:dyDescent="0.2"/>
    <row r="14000" ht="9.9499999999999993" hidden="1" customHeight="1" x14ac:dyDescent="0.2"/>
    <row r="14001" ht="9.9499999999999993" hidden="1" customHeight="1" x14ac:dyDescent="0.2"/>
    <row r="14002" ht="9.9499999999999993" hidden="1" customHeight="1" x14ac:dyDescent="0.2"/>
    <row r="14003" ht="9.9499999999999993" hidden="1" customHeight="1" x14ac:dyDescent="0.2"/>
    <row r="14004" ht="9.9499999999999993" hidden="1" customHeight="1" x14ac:dyDescent="0.2"/>
    <row r="14005" ht="9.9499999999999993" hidden="1" customHeight="1" x14ac:dyDescent="0.2"/>
    <row r="14006" ht="9.9499999999999993" hidden="1" customHeight="1" x14ac:dyDescent="0.2"/>
    <row r="14007" ht="9.9499999999999993" hidden="1" customHeight="1" x14ac:dyDescent="0.2"/>
    <row r="14008" ht="9.9499999999999993" hidden="1" customHeight="1" x14ac:dyDescent="0.2"/>
    <row r="14009" ht="9.9499999999999993" hidden="1" customHeight="1" x14ac:dyDescent="0.2"/>
    <row r="14010" ht="9.9499999999999993" hidden="1" customHeight="1" x14ac:dyDescent="0.2"/>
    <row r="14011" ht="9.9499999999999993" hidden="1" customHeight="1" x14ac:dyDescent="0.2"/>
    <row r="14012" ht="9.9499999999999993" hidden="1" customHeight="1" x14ac:dyDescent="0.2"/>
    <row r="14013" ht="9.9499999999999993" hidden="1" customHeight="1" x14ac:dyDescent="0.2"/>
    <row r="14014" ht="9.9499999999999993" hidden="1" customHeight="1" x14ac:dyDescent="0.2"/>
    <row r="14015" ht="9.9499999999999993" hidden="1" customHeight="1" x14ac:dyDescent="0.2"/>
    <row r="14016" ht="9.9499999999999993" hidden="1" customHeight="1" x14ac:dyDescent="0.2"/>
    <row r="14017" ht="9.9499999999999993" hidden="1" customHeight="1" x14ac:dyDescent="0.2"/>
    <row r="14018" ht="9.9499999999999993" hidden="1" customHeight="1" x14ac:dyDescent="0.2"/>
    <row r="14019" ht="9.9499999999999993" hidden="1" customHeight="1" x14ac:dyDescent="0.2"/>
    <row r="14020" ht="9.9499999999999993" hidden="1" customHeight="1" x14ac:dyDescent="0.2"/>
    <row r="14021" ht="9.9499999999999993" hidden="1" customHeight="1" x14ac:dyDescent="0.2"/>
    <row r="14022" ht="9.9499999999999993" hidden="1" customHeight="1" x14ac:dyDescent="0.2"/>
    <row r="14023" ht="9.9499999999999993" hidden="1" customHeight="1" x14ac:dyDescent="0.2"/>
    <row r="14024" ht="9.9499999999999993" hidden="1" customHeight="1" x14ac:dyDescent="0.2"/>
    <row r="14025" ht="9.9499999999999993" hidden="1" customHeight="1" x14ac:dyDescent="0.2"/>
    <row r="14026" ht="9.9499999999999993" hidden="1" customHeight="1" x14ac:dyDescent="0.2"/>
    <row r="14027" ht="9.9499999999999993" hidden="1" customHeight="1" x14ac:dyDescent="0.2"/>
    <row r="14028" ht="9.9499999999999993" hidden="1" customHeight="1" x14ac:dyDescent="0.2"/>
    <row r="14029" ht="9.9499999999999993" hidden="1" customHeight="1" x14ac:dyDescent="0.2"/>
    <row r="14030" ht="9.9499999999999993" hidden="1" customHeight="1" x14ac:dyDescent="0.2"/>
    <row r="14031" ht="9.9499999999999993" hidden="1" customHeight="1" x14ac:dyDescent="0.2"/>
    <row r="14032" ht="9.9499999999999993" hidden="1" customHeight="1" x14ac:dyDescent="0.2"/>
    <row r="14033" ht="9.9499999999999993" hidden="1" customHeight="1" x14ac:dyDescent="0.2"/>
    <row r="14034" ht="9.9499999999999993" hidden="1" customHeight="1" x14ac:dyDescent="0.2"/>
    <row r="14035" ht="9.9499999999999993" hidden="1" customHeight="1" x14ac:dyDescent="0.2"/>
    <row r="14036" ht="9.9499999999999993" hidden="1" customHeight="1" x14ac:dyDescent="0.2"/>
    <row r="14037" ht="9.9499999999999993" hidden="1" customHeight="1" x14ac:dyDescent="0.2"/>
    <row r="14038" ht="9.9499999999999993" hidden="1" customHeight="1" x14ac:dyDescent="0.2"/>
    <row r="14039" ht="9.9499999999999993" hidden="1" customHeight="1" x14ac:dyDescent="0.2"/>
    <row r="14040" ht="9.9499999999999993" hidden="1" customHeight="1" x14ac:dyDescent="0.2"/>
    <row r="14041" ht="9.9499999999999993" hidden="1" customHeight="1" x14ac:dyDescent="0.2"/>
    <row r="14042" ht="9.9499999999999993" hidden="1" customHeight="1" x14ac:dyDescent="0.2"/>
    <row r="14043" ht="9.9499999999999993" hidden="1" customHeight="1" x14ac:dyDescent="0.2"/>
    <row r="14044" ht="9.9499999999999993" hidden="1" customHeight="1" x14ac:dyDescent="0.2"/>
    <row r="14045" ht="9.9499999999999993" hidden="1" customHeight="1" x14ac:dyDescent="0.2"/>
    <row r="14046" ht="9.9499999999999993" hidden="1" customHeight="1" x14ac:dyDescent="0.2"/>
    <row r="14047" ht="9.9499999999999993" hidden="1" customHeight="1" x14ac:dyDescent="0.2"/>
    <row r="14048" ht="9.9499999999999993" hidden="1" customHeight="1" x14ac:dyDescent="0.2"/>
    <row r="14049" ht="9.9499999999999993" hidden="1" customHeight="1" x14ac:dyDescent="0.2"/>
    <row r="14050" ht="9.9499999999999993" hidden="1" customHeight="1" x14ac:dyDescent="0.2"/>
    <row r="14051" ht="9.9499999999999993" hidden="1" customHeight="1" x14ac:dyDescent="0.2"/>
    <row r="14052" ht="9.9499999999999993" hidden="1" customHeight="1" x14ac:dyDescent="0.2"/>
    <row r="14053" ht="9.9499999999999993" hidden="1" customHeight="1" x14ac:dyDescent="0.2"/>
    <row r="14054" ht="9.9499999999999993" hidden="1" customHeight="1" x14ac:dyDescent="0.2"/>
    <row r="14055" ht="9.9499999999999993" hidden="1" customHeight="1" x14ac:dyDescent="0.2"/>
    <row r="14056" ht="9.9499999999999993" hidden="1" customHeight="1" x14ac:dyDescent="0.2"/>
    <row r="14057" ht="9.9499999999999993" hidden="1" customHeight="1" x14ac:dyDescent="0.2"/>
    <row r="14058" ht="9.9499999999999993" hidden="1" customHeight="1" x14ac:dyDescent="0.2"/>
    <row r="14059" ht="9.9499999999999993" hidden="1" customHeight="1" x14ac:dyDescent="0.2"/>
    <row r="14060" ht="9.9499999999999993" hidden="1" customHeight="1" x14ac:dyDescent="0.2"/>
    <row r="14061" ht="9.9499999999999993" hidden="1" customHeight="1" x14ac:dyDescent="0.2"/>
    <row r="14062" ht="9.9499999999999993" hidden="1" customHeight="1" x14ac:dyDescent="0.2"/>
    <row r="14063" ht="9.9499999999999993" hidden="1" customHeight="1" x14ac:dyDescent="0.2"/>
    <row r="14064" ht="9.9499999999999993" hidden="1" customHeight="1" x14ac:dyDescent="0.2"/>
    <row r="14065" ht="9.9499999999999993" hidden="1" customHeight="1" x14ac:dyDescent="0.2"/>
    <row r="14066" ht="9.9499999999999993" hidden="1" customHeight="1" x14ac:dyDescent="0.2"/>
    <row r="14067" ht="9.9499999999999993" hidden="1" customHeight="1" x14ac:dyDescent="0.2"/>
    <row r="14068" ht="9.9499999999999993" hidden="1" customHeight="1" x14ac:dyDescent="0.2"/>
    <row r="14069" ht="9.9499999999999993" hidden="1" customHeight="1" x14ac:dyDescent="0.2"/>
    <row r="14070" ht="9.9499999999999993" hidden="1" customHeight="1" x14ac:dyDescent="0.2"/>
    <row r="14071" ht="9.9499999999999993" hidden="1" customHeight="1" x14ac:dyDescent="0.2"/>
    <row r="14072" ht="9.9499999999999993" hidden="1" customHeight="1" x14ac:dyDescent="0.2"/>
    <row r="14073" ht="9.9499999999999993" hidden="1" customHeight="1" x14ac:dyDescent="0.2"/>
    <row r="14074" ht="9.9499999999999993" hidden="1" customHeight="1" x14ac:dyDescent="0.2"/>
    <row r="14075" ht="9.9499999999999993" hidden="1" customHeight="1" x14ac:dyDescent="0.2"/>
    <row r="14076" ht="9.9499999999999993" hidden="1" customHeight="1" x14ac:dyDescent="0.2"/>
    <row r="14077" ht="9.9499999999999993" hidden="1" customHeight="1" x14ac:dyDescent="0.2"/>
    <row r="14078" ht="9.9499999999999993" hidden="1" customHeight="1" x14ac:dyDescent="0.2"/>
    <row r="14079" ht="9.9499999999999993" hidden="1" customHeight="1" x14ac:dyDescent="0.2"/>
    <row r="14080" ht="9.9499999999999993" hidden="1" customHeight="1" x14ac:dyDescent="0.2"/>
    <row r="14081" ht="9.9499999999999993" hidden="1" customHeight="1" x14ac:dyDescent="0.2"/>
    <row r="14082" ht="9.9499999999999993" hidden="1" customHeight="1" x14ac:dyDescent="0.2"/>
    <row r="14083" ht="9.9499999999999993" hidden="1" customHeight="1" x14ac:dyDescent="0.2"/>
    <row r="14084" ht="9.9499999999999993" hidden="1" customHeight="1" x14ac:dyDescent="0.2"/>
    <row r="14085" ht="9.9499999999999993" hidden="1" customHeight="1" x14ac:dyDescent="0.2"/>
    <row r="14086" ht="9.9499999999999993" hidden="1" customHeight="1" x14ac:dyDescent="0.2"/>
    <row r="14087" ht="9.9499999999999993" hidden="1" customHeight="1" x14ac:dyDescent="0.2"/>
    <row r="14088" ht="9.9499999999999993" hidden="1" customHeight="1" x14ac:dyDescent="0.2"/>
    <row r="14089" ht="9.9499999999999993" hidden="1" customHeight="1" x14ac:dyDescent="0.2"/>
    <row r="14090" ht="9.9499999999999993" hidden="1" customHeight="1" x14ac:dyDescent="0.2"/>
    <row r="14091" ht="9.9499999999999993" hidden="1" customHeight="1" x14ac:dyDescent="0.2"/>
    <row r="14092" ht="9.9499999999999993" hidden="1" customHeight="1" x14ac:dyDescent="0.2"/>
    <row r="14093" ht="9.9499999999999993" hidden="1" customHeight="1" x14ac:dyDescent="0.2"/>
    <row r="14094" ht="9.9499999999999993" hidden="1" customHeight="1" x14ac:dyDescent="0.2"/>
    <row r="14095" ht="9.9499999999999993" hidden="1" customHeight="1" x14ac:dyDescent="0.2"/>
    <row r="14096" ht="9.9499999999999993" hidden="1" customHeight="1" x14ac:dyDescent="0.2"/>
    <row r="14097" ht="9.9499999999999993" hidden="1" customHeight="1" x14ac:dyDescent="0.2"/>
    <row r="14098" ht="9.9499999999999993" hidden="1" customHeight="1" x14ac:dyDescent="0.2"/>
    <row r="14099" ht="9.9499999999999993" hidden="1" customHeight="1" x14ac:dyDescent="0.2"/>
    <row r="14100" ht="9.9499999999999993" hidden="1" customHeight="1" x14ac:dyDescent="0.2"/>
    <row r="14101" ht="9.9499999999999993" hidden="1" customHeight="1" x14ac:dyDescent="0.2"/>
    <row r="14102" ht="9.9499999999999993" hidden="1" customHeight="1" x14ac:dyDescent="0.2"/>
    <row r="14103" ht="9.9499999999999993" hidden="1" customHeight="1" x14ac:dyDescent="0.2"/>
    <row r="14104" ht="9.9499999999999993" hidden="1" customHeight="1" x14ac:dyDescent="0.2"/>
    <row r="14105" ht="9.9499999999999993" hidden="1" customHeight="1" x14ac:dyDescent="0.2"/>
    <row r="14106" ht="9.9499999999999993" hidden="1" customHeight="1" x14ac:dyDescent="0.2"/>
    <row r="14107" ht="9.9499999999999993" hidden="1" customHeight="1" x14ac:dyDescent="0.2"/>
    <row r="14108" ht="9.9499999999999993" hidden="1" customHeight="1" x14ac:dyDescent="0.2"/>
    <row r="14109" ht="9.9499999999999993" hidden="1" customHeight="1" x14ac:dyDescent="0.2"/>
    <row r="14110" ht="9.9499999999999993" hidden="1" customHeight="1" x14ac:dyDescent="0.2"/>
    <row r="14111" ht="9.9499999999999993" hidden="1" customHeight="1" x14ac:dyDescent="0.2"/>
    <row r="14112" ht="9.9499999999999993" hidden="1" customHeight="1" x14ac:dyDescent="0.2"/>
    <row r="14113" ht="9.9499999999999993" hidden="1" customHeight="1" x14ac:dyDescent="0.2"/>
    <row r="14114" ht="9.9499999999999993" hidden="1" customHeight="1" x14ac:dyDescent="0.2"/>
    <row r="14115" ht="9.9499999999999993" hidden="1" customHeight="1" x14ac:dyDescent="0.2"/>
    <row r="14116" ht="9.9499999999999993" hidden="1" customHeight="1" x14ac:dyDescent="0.2"/>
    <row r="14117" ht="9.9499999999999993" hidden="1" customHeight="1" x14ac:dyDescent="0.2"/>
    <row r="14118" ht="9.9499999999999993" hidden="1" customHeight="1" x14ac:dyDescent="0.2"/>
    <row r="14119" ht="9.9499999999999993" hidden="1" customHeight="1" x14ac:dyDescent="0.2"/>
    <row r="14120" ht="9.9499999999999993" hidden="1" customHeight="1" x14ac:dyDescent="0.2"/>
    <row r="14121" ht="9.9499999999999993" hidden="1" customHeight="1" x14ac:dyDescent="0.2"/>
    <row r="14122" ht="9.9499999999999993" hidden="1" customHeight="1" x14ac:dyDescent="0.2"/>
    <row r="14123" ht="9.9499999999999993" hidden="1" customHeight="1" x14ac:dyDescent="0.2"/>
    <row r="14124" ht="9.9499999999999993" hidden="1" customHeight="1" x14ac:dyDescent="0.2"/>
    <row r="14125" ht="9.9499999999999993" hidden="1" customHeight="1" x14ac:dyDescent="0.2"/>
    <row r="14126" ht="9.9499999999999993" hidden="1" customHeight="1" x14ac:dyDescent="0.2"/>
    <row r="14127" ht="9.9499999999999993" hidden="1" customHeight="1" x14ac:dyDescent="0.2"/>
    <row r="14128" ht="9.9499999999999993" hidden="1" customHeight="1" x14ac:dyDescent="0.2"/>
    <row r="14129" ht="9.9499999999999993" hidden="1" customHeight="1" x14ac:dyDescent="0.2"/>
    <row r="14130" ht="9.9499999999999993" hidden="1" customHeight="1" x14ac:dyDescent="0.2"/>
    <row r="14131" ht="9.9499999999999993" hidden="1" customHeight="1" x14ac:dyDescent="0.2"/>
    <row r="14132" ht="9.9499999999999993" hidden="1" customHeight="1" x14ac:dyDescent="0.2"/>
    <row r="14133" ht="9.9499999999999993" hidden="1" customHeight="1" x14ac:dyDescent="0.2"/>
    <row r="14134" ht="9.9499999999999993" hidden="1" customHeight="1" x14ac:dyDescent="0.2"/>
    <row r="14135" ht="9.9499999999999993" hidden="1" customHeight="1" x14ac:dyDescent="0.2"/>
    <row r="14136" ht="9.9499999999999993" hidden="1" customHeight="1" x14ac:dyDescent="0.2"/>
    <row r="14137" ht="9.9499999999999993" hidden="1" customHeight="1" x14ac:dyDescent="0.2"/>
    <row r="14138" ht="9.9499999999999993" hidden="1" customHeight="1" x14ac:dyDescent="0.2"/>
    <row r="14139" ht="9.9499999999999993" hidden="1" customHeight="1" x14ac:dyDescent="0.2"/>
    <row r="14140" ht="9.9499999999999993" hidden="1" customHeight="1" x14ac:dyDescent="0.2"/>
    <row r="14141" ht="9.9499999999999993" hidden="1" customHeight="1" x14ac:dyDescent="0.2"/>
    <row r="14142" ht="9.9499999999999993" hidden="1" customHeight="1" x14ac:dyDescent="0.2"/>
    <row r="14143" ht="9.9499999999999993" hidden="1" customHeight="1" x14ac:dyDescent="0.2"/>
    <row r="14144" ht="9.9499999999999993" hidden="1" customHeight="1" x14ac:dyDescent="0.2"/>
    <row r="14145" ht="9.9499999999999993" hidden="1" customHeight="1" x14ac:dyDescent="0.2"/>
    <row r="14146" ht="9.9499999999999993" hidden="1" customHeight="1" x14ac:dyDescent="0.2"/>
    <row r="14147" ht="9.9499999999999993" hidden="1" customHeight="1" x14ac:dyDescent="0.2"/>
    <row r="14148" ht="9.9499999999999993" hidden="1" customHeight="1" x14ac:dyDescent="0.2"/>
    <row r="14149" ht="9.9499999999999993" hidden="1" customHeight="1" x14ac:dyDescent="0.2"/>
    <row r="14150" ht="9.9499999999999993" hidden="1" customHeight="1" x14ac:dyDescent="0.2"/>
    <row r="14151" ht="9.9499999999999993" hidden="1" customHeight="1" x14ac:dyDescent="0.2"/>
    <row r="14152" ht="9.9499999999999993" hidden="1" customHeight="1" x14ac:dyDescent="0.2"/>
    <row r="14153" ht="9.9499999999999993" hidden="1" customHeight="1" x14ac:dyDescent="0.2"/>
    <row r="14154" ht="9.9499999999999993" hidden="1" customHeight="1" x14ac:dyDescent="0.2"/>
    <row r="14155" ht="9.9499999999999993" hidden="1" customHeight="1" x14ac:dyDescent="0.2"/>
    <row r="14156" ht="9.9499999999999993" hidden="1" customHeight="1" x14ac:dyDescent="0.2"/>
    <row r="14157" ht="9.9499999999999993" hidden="1" customHeight="1" x14ac:dyDescent="0.2"/>
    <row r="14158" ht="9.9499999999999993" hidden="1" customHeight="1" x14ac:dyDescent="0.2"/>
    <row r="14159" ht="9.9499999999999993" hidden="1" customHeight="1" x14ac:dyDescent="0.2"/>
    <row r="14160" ht="9.9499999999999993" hidden="1" customHeight="1" x14ac:dyDescent="0.2"/>
    <row r="14161" ht="9.9499999999999993" hidden="1" customHeight="1" x14ac:dyDescent="0.2"/>
    <row r="14162" ht="9.9499999999999993" hidden="1" customHeight="1" x14ac:dyDescent="0.2"/>
    <row r="14163" ht="9.9499999999999993" hidden="1" customHeight="1" x14ac:dyDescent="0.2"/>
    <row r="14164" ht="9.9499999999999993" hidden="1" customHeight="1" x14ac:dyDescent="0.2"/>
    <row r="14165" ht="9.9499999999999993" hidden="1" customHeight="1" x14ac:dyDescent="0.2"/>
    <row r="14166" ht="9.9499999999999993" hidden="1" customHeight="1" x14ac:dyDescent="0.2"/>
    <row r="14167" ht="9.9499999999999993" hidden="1" customHeight="1" x14ac:dyDescent="0.2"/>
    <row r="14168" ht="9.9499999999999993" hidden="1" customHeight="1" x14ac:dyDescent="0.2"/>
    <row r="14169" ht="9.9499999999999993" hidden="1" customHeight="1" x14ac:dyDescent="0.2"/>
    <row r="14170" ht="9.9499999999999993" hidden="1" customHeight="1" x14ac:dyDescent="0.2"/>
    <row r="14171" ht="9.9499999999999993" hidden="1" customHeight="1" x14ac:dyDescent="0.2"/>
    <row r="14172" ht="9.9499999999999993" hidden="1" customHeight="1" x14ac:dyDescent="0.2"/>
    <row r="14173" ht="9.9499999999999993" hidden="1" customHeight="1" x14ac:dyDescent="0.2"/>
    <row r="14174" ht="9.9499999999999993" hidden="1" customHeight="1" x14ac:dyDescent="0.2"/>
    <row r="14175" ht="9.9499999999999993" hidden="1" customHeight="1" x14ac:dyDescent="0.2"/>
    <row r="14176" ht="9.9499999999999993" hidden="1" customHeight="1" x14ac:dyDescent="0.2"/>
    <row r="14177" ht="9.9499999999999993" hidden="1" customHeight="1" x14ac:dyDescent="0.2"/>
    <row r="14178" ht="9.9499999999999993" hidden="1" customHeight="1" x14ac:dyDescent="0.2"/>
    <row r="14179" ht="9.9499999999999993" hidden="1" customHeight="1" x14ac:dyDescent="0.2"/>
    <row r="14180" ht="9.9499999999999993" hidden="1" customHeight="1" x14ac:dyDescent="0.2"/>
    <row r="14181" ht="9.9499999999999993" hidden="1" customHeight="1" x14ac:dyDescent="0.2"/>
    <row r="14182" ht="9.9499999999999993" hidden="1" customHeight="1" x14ac:dyDescent="0.2"/>
    <row r="14183" ht="9.9499999999999993" hidden="1" customHeight="1" x14ac:dyDescent="0.2"/>
    <row r="14184" ht="9.9499999999999993" hidden="1" customHeight="1" x14ac:dyDescent="0.2"/>
    <row r="14185" ht="9.9499999999999993" hidden="1" customHeight="1" x14ac:dyDescent="0.2"/>
    <row r="14186" ht="9.9499999999999993" hidden="1" customHeight="1" x14ac:dyDescent="0.2"/>
    <row r="14187" ht="9.9499999999999993" hidden="1" customHeight="1" x14ac:dyDescent="0.2"/>
    <row r="14188" ht="9.9499999999999993" hidden="1" customHeight="1" x14ac:dyDescent="0.2"/>
    <row r="14189" ht="9.9499999999999993" hidden="1" customHeight="1" x14ac:dyDescent="0.2"/>
    <row r="14190" ht="9.9499999999999993" hidden="1" customHeight="1" x14ac:dyDescent="0.2"/>
    <row r="14191" ht="9.9499999999999993" hidden="1" customHeight="1" x14ac:dyDescent="0.2"/>
    <row r="14192" ht="9.9499999999999993" hidden="1" customHeight="1" x14ac:dyDescent="0.2"/>
    <row r="14193" ht="9.9499999999999993" hidden="1" customHeight="1" x14ac:dyDescent="0.2"/>
    <row r="14194" ht="9.9499999999999993" hidden="1" customHeight="1" x14ac:dyDescent="0.2"/>
    <row r="14195" ht="9.9499999999999993" hidden="1" customHeight="1" x14ac:dyDescent="0.2"/>
    <row r="14196" ht="9.9499999999999993" hidden="1" customHeight="1" x14ac:dyDescent="0.2"/>
    <row r="14197" ht="9.9499999999999993" hidden="1" customHeight="1" x14ac:dyDescent="0.2"/>
    <row r="14198" ht="9.9499999999999993" hidden="1" customHeight="1" x14ac:dyDescent="0.2"/>
    <row r="14199" ht="9.9499999999999993" hidden="1" customHeight="1" x14ac:dyDescent="0.2"/>
    <row r="14200" ht="9.9499999999999993" hidden="1" customHeight="1" x14ac:dyDescent="0.2"/>
    <row r="14201" ht="9.9499999999999993" hidden="1" customHeight="1" x14ac:dyDescent="0.2"/>
    <row r="14202" ht="9.9499999999999993" hidden="1" customHeight="1" x14ac:dyDescent="0.2"/>
    <row r="14203" ht="9.9499999999999993" hidden="1" customHeight="1" x14ac:dyDescent="0.2"/>
    <row r="14204" ht="9.9499999999999993" hidden="1" customHeight="1" x14ac:dyDescent="0.2"/>
    <row r="14205" ht="9.9499999999999993" hidden="1" customHeight="1" x14ac:dyDescent="0.2"/>
    <row r="14206" ht="9.9499999999999993" hidden="1" customHeight="1" x14ac:dyDescent="0.2"/>
    <row r="14207" ht="9.9499999999999993" hidden="1" customHeight="1" x14ac:dyDescent="0.2"/>
    <row r="14208" ht="9.9499999999999993" hidden="1" customHeight="1" x14ac:dyDescent="0.2"/>
    <row r="14209" ht="9.9499999999999993" hidden="1" customHeight="1" x14ac:dyDescent="0.2"/>
    <row r="14210" ht="9.9499999999999993" hidden="1" customHeight="1" x14ac:dyDescent="0.2"/>
    <row r="14211" ht="9.9499999999999993" hidden="1" customHeight="1" x14ac:dyDescent="0.2"/>
    <row r="14212" ht="9.9499999999999993" hidden="1" customHeight="1" x14ac:dyDescent="0.2"/>
    <row r="14213" ht="9.9499999999999993" hidden="1" customHeight="1" x14ac:dyDescent="0.2"/>
    <row r="14214" ht="9.9499999999999993" hidden="1" customHeight="1" x14ac:dyDescent="0.2"/>
    <row r="14215" ht="9.9499999999999993" hidden="1" customHeight="1" x14ac:dyDescent="0.2"/>
    <row r="14216" ht="9.9499999999999993" hidden="1" customHeight="1" x14ac:dyDescent="0.2"/>
    <row r="14217" ht="9.9499999999999993" hidden="1" customHeight="1" x14ac:dyDescent="0.2"/>
    <row r="14218" ht="9.9499999999999993" hidden="1" customHeight="1" x14ac:dyDescent="0.2"/>
    <row r="14219" ht="9.9499999999999993" hidden="1" customHeight="1" x14ac:dyDescent="0.2"/>
    <row r="14220" ht="9.9499999999999993" hidden="1" customHeight="1" x14ac:dyDescent="0.2"/>
    <row r="14221" ht="9.9499999999999993" hidden="1" customHeight="1" x14ac:dyDescent="0.2"/>
    <row r="14222" ht="9.9499999999999993" hidden="1" customHeight="1" x14ac:dyDescent="0.2"/>
    <row r="14223" ht="9.9499999999999993" hidden="1" customHeight="1" x14ac:dyDescent="0.2"/>
    <row r="14224" ht="9.9499999999999993" hidden="1" customHeight="1" x14ac:dyDescent="0.2"/>
    <row r="14225" ht="9.9499999999999993" hidden="1" customHeight="1" x14ac:dyDescent="0.2"/>
    <row r="14226" ht="9.9499999999999993" hidden="1" customHeight="1" x14ac:dyDescent="0.2"/>
    <row r="14227" ht="9.9499999999999993" hidden="1" customHeight="1" x14ac:dyDescent="0.2"/>
    <row r="14228" ht="9.9499999999999993" hidden="1" customHeight="1" x14ac:dyDescent="0.2"/>
    <row r="14229" ht="9.9499999999999993" hidden="1" customHeight="1" x14ac:dyDescent="0.2"/>
    <row r="14230" ht="9.9499999999999993" hidden="1" customHeight="1" x14ac:dyDescent="0.2"/>
    <row r="14231" ht="9.9499999999999993" hidden="1" customHeight="1" x14ac:dyDescent="0.2"/>
    <row r="14232" ht="9.9499999999999993" hidden="1" customHeight="1" x14ac:dyDescent="0.2"/>
    <row r="14233" ht="9.9499999999999993" hidden="1" customHeight="1" x14ac:dyDescent="0.2"/>
    <row r="14234" ht="9.9499999999999993" hidden="1" customHeight="1" x14ac:dyDescent="0.2"/>
    <row r="14235" ht="9.9499999999999993" hidden="1" customHeight="1" x14ac:dyDescent="0.2"/>
    <row r="14236" ht="9.9499999999999993" hidden="1" customHeight="1" x14ac:dyDescent="0.2"/>
    <row r="14237" ht="9.9499999999999993" hidden="1" customHeight="1" x14ac:dyDescent="0.2"/>
    <row r="14238" ht="9.9499999999999993" hidden="1" customHeight="1" x14ac:dyDescent="0.2"/>
    <row r="14239" ht="9.9499999999999993" hidden="1" customHeight="1" x14ac:dyDescent="0.2"/>
    <row r="14240" ht="9.9499999999999993" hidden="1" customHeight="1" x14ac:dyDescent="0.2"/>
    <row r="14241" ht="9.9499999999999993" hidden="1" customHeight="1" x14ac:dyDescent="0.2"/>
    <row r="14242" ht="9.9499999999999993" hidden="1" customHeight="1" x14ac:dyDescent="0.2"/>
    <row r="14243" ht="9.9499999999999993" hidden="1" customHeight="1" x14ac:dyDescent="0.2"/>
    <row r="14244" ht="9.9499999999999993" hidden="1" customHeight="1" x14ac:dyDescent="0.2"/>
    <row r="14245" ht="9.9499999999999993" hidden="1" customHeight="1" x14ac:dyDescent="0.2"/>
    <row r="14246" ht="9.9499999999999993" hidden="1" customHeight="1" x14ac:dyDescent="0.2"/>
    <row r="14247" ht="9.9499999999999993" hidden="1" customHeight="1" x14ac:dyDescent="0.2"/>
    <row r="14248" ht="9.9499999999999993" hidden="1" customHeight="1" x14ac:dyDescent="0.2"/>
    <row r="14249" ht="9.9499999999999993" hidden="1" customHeight="1" x14ac:dyDescent="0.2"/>
    <row r="14250" ht="9.9499999999999993" hidden="1" customHeight="1" x14ac:dyDescent="0.2"/>
    <row r="14251" ht="9.9499999999999993" hidden="1" customHeight="1" x14ac:dyDescent="0.2"/>
    <row r="14252" ht="9.9499999999999993" hidden="1" customHeight="1" x14ac:dyDescent="0.2"/>
    <row r="14253" ht="9.9499999999999993" hidden="1" customHeight="1" x14ac:dyDescent="0.2"/>
    <row r="14254" ht="9.9499999999999993" hidden="1" customHeight="1" x14ac:dyDescent="0.2"/>
    <row r="14255" ht="9.9499999999999993" hidden="1" customHeight="1" x14ac:dyDescent="0.2"/>
    <row r="14256" ht="9.9499999999999993" hidden="1" customHeight="1" x14ac:dyDescent="0.2"/>
    <row r="14257" ht="9.9499999999999993" hidden="1" customHeight="1" x14ac:dyDescent="0.2"/>
    <row r="14258" ht="9.9499999999999993" hidden="1" customHeight="1" x14ac:dyDescent="0.2"/>
    <row r="14259" ht="9.9499999999999993" hidden="1" customHeight="1" x14ac:dyDescent="0.2"/>
    <row r="14260" ht="9.9499999999999993" hidden="1" customHeight="1" x14ac:dyDescent="0.2"/>
    <row r="14261" ht="9.9499999999999993" hidden="1" customHeight="1" x14ac:dyDescent="0.2"/>
    <row r="14262" ht="9.9499999999999993" hidden="1" customHeight="1" x14ac:dyDescent="0.2"/>
    <row r="14263" ht="9.9499999999999993" hidden="1" customHeight="1" x14ac:dyDescent="0.2"/>
    <row r="14264" ht="9.9499999999999993" hidden="1" customHeight="1" x14ac:dyDescent="0.2"/>
    <row r="14265" ht="9.9499999999999993" hidden="1" customHeight="1" x14ac:dyDescent="0.2"/>
    <row r="14266" ht="9.9499999999999993" hidden="1" customHeight="1" x14ac:dyDescent="0.2"/>
    <row r="14267" ht="9.9499999999999993" hidden="1" customHeight="1" x14ac:dyDescent="0.2"/>
    <row r="14268" ht="9.9499999999999993" hidden="1" customHeight="1" x14ac:dyDescent="0.2"/>
    <row r="14269" ht="9.9499999999999993" hidden="1" customHeight="1" x14ac:dyDescent="0.2"/>
    <row r="14270" ht="9.9499999999999993" hidden="1" customHeight="1" x14ac:dyDescent="0.2"/>
    <row r="14271" ht="9.9499999999999993" hidden="1" customHeight="1" x14ac:dyDescent="0.2"/>
    <row r="14272" ht="9.9499999999999993" hidden="1" customHeight="1" x14ac:dyDescent="0.2"/>
    <row r="14273" ht="9.9499999999999993" hidden="1" customHeight="1" x14ac:dyDescent="0.2"/>
    <row r="14274" ht="9.9499999999999993" hidden="1" customHeight="1" x14ac:dyDescent="0.2"/>
    <row r="14275" ht="9.9499999999999993" hidden="1" customHeight="1" x14ac:dyDescent="0.2"/>
    <row r="14276" ht="9.9499999999999993" hidden="1" customHeight="1" x14ac:dyDescent="0.2"/>
    <row r="14277" ht="9.9499999999999993" hidden="1" customHeight="1" x14ac:dyDescent="0.2"/>
    <row r="14278" ht="9.9499999999999993" hidden="1" customHeight="1" x14ac:dyDescent="0.2"/>
    <row r="14279" ht="9.9499999999999993" hidden="1" customHeight="1" x14ac:dyDescent="0.2"/>
    <row r="14280" ht="9.9499999999999993" hidden="1" customHeight="1" x14ac:dyDescent="0.2"/>
    <row r="14281" ht="9.9499999999999993" hidden="1" customHeight="1" x14ac:dyDescent="0.2"/>
    <row r="14282" ht="9.9499999999999993" hidden="1" customHeight="1" x14ac:dyDescent="0.2"/>
    <row r="14283" ht="9.9499999999999993" hidden="1" customHeight="1" x14ac:dyDescent="0.2"/>
    <row r="14284" ht="9.9499999999999993" hidden="1" customHeight="1" x14ac:dyDescent="0.2"/>
    <row r="14285" ht="9.9499999999999993" hidden="1" customHeight="1" x14ac:dyDescent="0.2"/>
    <row r="14286" ht="9.9499999999999993" hidden="1" customHeight="1" x14ac:dyDescent="0.2"/>
    <row r="14287" ht="9.9499999999999993" hidden="1" customHeight="1" x14ac:dyDescent="0.2"/>
    <row r="14288" ht="9.9499999999999993" hidden="1" customHeight="1" x14ac:dyDescent="0.2"/>
    <row r="14289" ht="9.9499999999999993" hidden="1" customHeight="1" x14ac:dyDescent="0.2"/>
    <row r="14290" ht="9.9499999999999993" hidden="1" customHeight="1" x14ac:dyDescent="0.2"/>
    <row r="14291" ht="9.9499999999999993" hidden="1" customHeight="1" x14ac:dyDescent="0.2"/>
    <row r="14292" ht="9.9499999999999993" hidden="1" customHeight="1" x14ac:dyDescent="0.2"/>
    <row r="14293" ht="9.9499999999999993" hidden="1" customHeight="1" x14ac:dyDescent="0.2"/>
    <row r="14294" ht="9.9499999999999993" hidden="1" customHeight="1" x14ac:dyDescent="0.2"/>
    <row r="14295" ht="9.9499999999999993" hidden="1" customHeight="1" x14ac:dyDescent="0.2"/>
    <row r="14296" ht="9.9499999999999993" hidden="1" customHeight="1" x14ac:dyDescent="0.2"/>
    <row r="14297" ht="9.9499999999999993" hidden="1" customHeight="1" x14ac:dyDescent="0.2"/>
    <row r="14298" ht="9.9499999999999993" hidden="1" customHeight="1" x14ac:dyDescent="0.2"/>
    <row r="14299" ht="9.9499999999999993" hidden="1" customHeight="1" x14ac:dyDescent="0.2"/>
    <row r="14300" ht="9.9499999999999993" hidden="1" customHeight="1" x14ac:dyDescent="0.2"/>
    <row r="14301" ht="9.9499999999999993" hidden="1" customHeight="1" x14ac:dyDescent="0.2"/>
    <row r="14302" ht="9.9499999999999993" hidden="1" customHeight="1" x14ac:dyDescent="0.2"/>
    <row r="14303" ht="9.9499999999999993" hidden="1" customHeight="1" x14ac:dyDescent="0.2"/>
    <row r="14304" ht="9.9499999999999993" hidden="1" customHeight="1" x14ac:dyDescent="0.2"/>
    <row r="14305" ht="9.9499999999999993" hidden="1" customHeight="1" x14ac:dyDescent="0.2"/>
    <row r="14306" ht="9.9499999999999993" hidden="1" customHeight="1" x14ac:dyDescent="0.2"/>
    <row r="14307" ht="9.9499999999999993" hidden="1" customHeight="1" x14ac:dyDescent="0.2"/>
    <row r="14308" ht="9.9499999999999993" hidden="1" customHeight="1" x14ac:dyDescent="0.2"/>
    <row r="14309" ht="9.9499999999999993" hidden="1" customHeight="1" x14ac:dyDescent="0.2"/>
    <row r="14310" ht="9.9499999999999993" hidden="1" customHeight="1" x14ac:dyDescent="0.2"/>
    <row r="14311" ht="9.9499999999999993" hidden="1" customHeight="1" x14ac:dyDescent="0.2"/>
    <row r="14312" ht="9.9499999999999993" hidden="1" customHeight="1" x14ac:dyDescent="0.2"/>
    <row r="14313" ht="9.9499999999999993" hidden="1" customHeight="1" x14ac:dyDescent="0.2"/>
    <row r="14314" ht="9.9499999999999993" hidden="1" customHeight="1" x14ac:dyDescent="0.2"/>
    <row r="14315" ht="9.9499999999999993" hidden="1" customHeight="1" x14ac:dyDescent="0.2"/>
    <row r="14316" ht="9.9499999999999993" hidden="1" customHeight="1" x14ac:dyDescent="0.2"/>
    <row r="14317" ht="9.9499999999999993" hidden="1" customHeight="1" x14ac:dyDescent="0.2"/>
    <row r="14318" ht="9.9499999999999993" hidden="1" customHeight="1" x14ac:dyDescent="0.2"/>
    <row r="14319" ht="9.9499999999999993" hidden="1" customHeight="1" x14ac:dyDescent="0.2"/>
    <row r="14320" ht="9.9499999999999993" hidden="1" customHeight="1" x14ac:dyDescent="0.2"/>
    <row r="14321" ht="9.9499999999999993" hidden="1" customHeight="1" x14ac:dyDescent="0.2"/>
    <row r="14322" ht="9.9499999999999993" hidden="1" customHeight="1" x14ac:dyDescent="0.2"/>
    <row r="14323" ht="9.9499999999999993" hidden="1" customHeight="1" x14ac:dyDescent="0.2"/>
    <row r="14324" ht="9.9499999999999993" hidden="1" customHeight="1" x14ac:dyDescent="0.2"/>
    <row r="14325" ht="9.9499999999999993" hidden="1" customHeight="1" x14ac:dyDescent="0.2"/>
    <row r="14326" ht="9.9499999999999993" hidden="1" customHeight="1" x14ac:dyDescent="0.2"/>
    <row r="14327" ht="9.9499999999999993" hidden="1" customHeight="1" x14ac:dyDescent="0.2"/>
    <row r="14328" ht="9.9499999999999993" hidden="1" customHeight="1" x14ac:dyDescent="0.2"/>
    <row r="14329" ht="9.9499999999999993" hidden="1" customHeight="1" x14ac:dyDescent="0.2"/>
    <row r="14330" ht="9.9499999999999993" hidden="1" customHeight="1" x14ac:dyDescent="0.2"/>
    <row r="14331" ht="9.9499999999999993" hidden="1" customHeight="1" x14ac:dyDescent="0.2"/>
    <row r="14332" ht="9.9499999999999993" hidden="1" customHeight="1" x14ac:dyDescent="0.2"/>
    <row r="14333" ht="9.9499999999999993" hidden="1" customHeight="1" x14ac:dyDescent="0.2"/>
    <row r="14334" ht="9.9499999999999993" hidden="1" customHeight="1" x14ac:dyDescent="0.2"/>
    <row r="14335" ht="9.9499999999999993" hidden="1" customHeight="1" x14ac:dyDescent="0.2"/>
    <row r="14336" ht="9.9499999999999993" hidden="1" customHeight="1" x14ac:dyDescent="0.2"/>
    <row r="14337" ht="9.9499999999999993" hidden="1" customHeight="1" x14ac:dyDescent="0.2"/>
    <row r="14338" ht="9.9499999999999993" hidden="1" customHeight="1" x14ac:dyDescent="0.2"/>
    <row r="14339" ht="9.9499999999999993" hidden="1" customHeight="1" x14ac:dyDescent="0.2"/>
    <row r="14340" ht="9.9499999999999993" hidden="1" customHeight="1" x14ac:dyDescent="0.2"/>
    <row r="14341" ht="9.9499999999999993" hidden="1" customHeight="1" x14ac:dyDescent="0.2"/>
    <row r="14342" ht="9.9499999999999993" hidden="1" customHeight="1" x14ac:dyDescent="0.2"/>
    <row r="14343" ht="9.9499999999999993" hidden="1" customHeight="1" x14ac:dyDescent="0.2"/>
    <row r="14344" ht="9.9499999999999993" hidden="1" customHeight="1" x14ac:dyDescent="0.2"/>
    <row r="14345" ht="9.9499999999999993" hidden="1" customHeight="1" x14ac:dyDescent="0.2"/>
    <row r="14346" ht="9.9499999999999993" hidden="1" customHeight="1" x14ac:dyDescent="0.2"/>
    <row r="14347" ht="9.9499999999999993" hidden="1" customHeight="1" x14ac:dyDescent="0.2"/>
    <row r="14348" ht="9.9499999999999993" hidden="1" customHeight="1" x14ac:dyDescent="0.2"/>
    <row r="14349" ht="9.9499999999999993" hidden="1" customHeight="1" x14ac:dyDescent="0.2"/>
    <row r="14350" ht="9.9499999999999993" hidden="1" customHeight="1" x14ac:dyDescent="0.2"/>
    <row r="14351" ht="9.9499999999999993" hidden="1" customHeight="1" x14ac:dyDescent="0.2"/>
    <row r="14352" ht="9.9499999999999993" hidden="1" customHeight="1" x14ac:dyDescent="0.2"/>
    <row r="14353" ht="9.9499999999999993" hidden="1" customHeight="1" x14ac:dyDescent="0.2"/>
    <row r="14354" ht="9.9499999999999993" hidden="1" customHeight="1" x14ac:dyDescent="0.2"/>
    <row r="14355" ht="9.9499999999999993" hidden="1" customHeight="1" x14ac:dyDescent="0.2"/>
    <row r="14356" ht="9.9499999999999993" hidden="1" customHeight="1" x14ac:dyDescent="0.2"/>
    <row r="14357" ht="9.9499999999999993" hidden="1" customHeight="1" x14ac:dyDescent="0.2"/>
    <row r="14358" ht="9.9499999999999993" hidden="1" customHeight="1" x14ac:dyDescent="0.2"/>
    <row r="14359" ht="9.9499999999999993" hidden="1" customHeight="1" x14ac:dyDescent="0.2"/>
    <row r="14360" ht="9.9499999999999993" hidden="1" customHeight="1" x14ac:dyDescent="0.2"/>
    <row r="14361" ht="9.9499999999999993" hidden="1" customHeight="1" x14ac:dyDescent="0.2"/>
    <row r="14362" ht="9.9499999999999993" hidden="1" customHeight="1" x14ac:dyDescent="0.2"/>
    <row r="14363" ht="9.9499999999999993" hidden="1" customHeight="1" x14ac:dyDescent="0.2"/>
    <row r="14364" ht="9.9499999999999993" hidden="1" customHeight="1" x14ac:dyDescent="0.2"/>
    <row r="14365" ht="9.9499999999999993" hidden="1" customHeight="1" x14ac:dyDescent="0.2"/>
    <row r="14366" ht="9.9499999999999993" hidden="1" customHeight="1" x14ac:dyDescent="0.2"/>
    <row r="14367" ht="9.9499999999999993" hidden="1" customHeight="1" x14ac:dyDescent="0.2"/>
    <row r="14368" ht="9.9499999999999993" hidden="1" customHeight="1" x14ac:dyDescent="0.2"/>
    <row r="14369" ht="9.9499999999999993" hidden="1" customHeight="1" x14ac:dyDescent="0.2"/>
    <row r="14370" ht="9.9499999999999993" hidden="1" customHeight="1" x14ac:dyDescent="0.2"/>
    <row r="14371" ht="9.9499999999999993" hidden="1" customHeight="1" x14ac:dyDescent="0.2"/>
    <row r="14372" ht="9.9499999999999993" hidden="1" customHeight="1" x14ac:dyDescent="0.2"/>
    <row r="14373" ht="9.9499999999999993" hidden="1" customHeight="1" x14ac:dyDescent="0.2"/>
    <row r="14374" ht="9.9499999999999993" hidden="1" customHeight="1" x14ac:dyDescent="0.2"/>
    <row r="14375" ht="9.9499999999999993" hidden="1" customHeight="1" x14ac:dyDescent="0.2"/>
    <row r="14376" ht="9.9499999999999993" hidden="1" customHeight="1" x14ac:dyDescent="0.2"/>
    <row r="14377" ht="9.9499999999999993" hidden="1" customHeight="1" x14ac:dyDescent="0.2"/>
    <row r="14378" ht="9.9499999999999993" hidden="1" customHeight="1" x14ac:dyDescent="0.2"/>
    <row r="14379" ht="9.9499999999999993" hidden="1" customHeight="1" x14ac:dyDescent="0.2"/>
    <row r="14380" ht="9.9499999999999993" hidden="1" customHeight="1" x14ac:dyDescent="0.2"/>
    <row r="14381" ht="9.9499999999999993" hidden="1" customHeight="1" x14ac:dyDescent="0.2"/>
    <row r="14382" ht="9.9499999999999993" hidden="1" customHeight="1" x14ac:dyDescent="0.2"/>
    <row r="14383" ht="9.9499999999999993" hidden="1" customHeight="1" x14ac:dyDescent="0.2"/>
    <row r="14384" ht="9.9499999999999993" hidden="1" customHeight="1" x14ac:dyDescent="0.2"/>
    <row r="14385" ht="9.9499999999999993" hidden="1" customHeight="1" x14ac:dyDescent="0.2"/>
    <row r="14386" ht="9.9499999999999993" hidden="1" customHeight="1" x14ac:dyDescent="0.2"/>
    <row r="14387" ht="9.9499999999999993" hidden="1" customHeight="1" x14ac:dyDescent="0.2"/>
    <row r="14388" ht="9.9499999999999993" hidden="1" customHeight="1" x14ac:dyDescent="0.2"/>
    <row r="14389" ht="9.9499999999999993" hidden="1" customHeight="1" x14ac:dyDescent="0.2"/>
    <row r="14390" ht="9.9499999999999993" hidden="1" customHeight="1" x14ac:dyDescent="0.2"/>
    <row r="14391" ht="9.9499999999999993" hidden="1" customHeight="1" x14ac:dyDescent="0.2"/>
    <row r="14392" ht="9.9499999999999993" hidden="1" customHeight="1" x14ac:dyDescent="0.2"/>
    <row r="14393" ht="9.9499999999999993" hidden="1" customHeight="1" x14ac:dyDescent="0.2"/>
    <row r="14394" ht="9.9499999999999993" hidden="1" customHeight="1" x14ac:dyDescent="0.2"/>
    <row r="14395" ht="9.9499999999999993" hidden="1" customHeight="1" x14ac:dyDescent="0.2"/>
    <row r="14396" ht="9.9499999999999993" hidden="1" customHeight="1" x14ac:dyDescent="0.2"/>
    <row r="14397" ht="9.9499999999999993" hidden="1" customHeight="1" x14ac:dyDescent="0.2"/>
    <row r="14398" ht="9.9499999999999993" hidden="1" customHeight="1" x14ac:dyDescent="0.2"/>
    <row r="14399" ht="9.9499999999999993" hidden="1" customHeight="1" x14ac:dyDescent="0.2"/>
    <row r="14400" ht="9.9499999999999993" hidden="1" customHeight="1" x14ac:dyDescent="0.2"/>
    <row r="14401" ht="9.9499999999999993" hidden="1" customHeight="1" x14ac:dyDescent="0.2"/>
    <row r="14402" ht="9.9499999999999993" hidden="1" customHeight="1" x14ac:dyDescent="0.2"/>
    <row r="14403" ht="9.9499999999999993" hidden="1" customHeight="1" x14ac:dyDescent="0.2"/>
    <row r="14404" ht="9.9499999999999993" hidden="1" customHeight="1" x14ac:dyDescent="0.2"/>
    <row r="14405" ht="9.9499999999999993" hidden="1" customHeight="1" x14ac:dyDescent="0.2"/>
    <row r="14406" ht="9.9499999999999993" hidden="1" customHeight="1" x14ac:dyDescent="0.2"/>
    <row r="14407" ht="9.9499999999999993" hidden="1" customHeight="1" x14ac:dyDescent="0.2"/>
    <row r="14408" ht="9.9499999999999993" hidden="1" customHeight="1" x14ac:dyDescent="0.2"/>
    <row r="14409" ht="9.9499999999999993" hidden="1" customHeight="1" x14ac:dyDescent="0.2"/>
    <row r="14410" ht="9.9499999999999993" hidden="1" customHeight="1" x14ac:dyDescent="0.2"/>
    <row r="14411" ht="9.9499999999999993" hidden="1" customHeight="1" x14ac:dyDescent="0.2"/>
    <row r="14412" ht="9.9499999999999993" hidden="1" customHeight="1" x14ac:dyDescent="0.2"/>
    <row r="14413" ht="9.9499999999999993" hidden="1" customHeight="1" x14ac:dyDescent="0.2"/>
    <row r="14414" ht="9.9499999999999993" hidden="1" customHeight="1" x14ac:dyDescent="0.2"/>
    <row r="14415" ht="9.9499999999999993" hidden="1" customHeight="1" x14ac:dyDescent="0.2"/>
    <row r="14416" ht="9.9499999999999993" hidden="1" customHeight="1" x14ac:dyDescent="0.2"/>
    <row r="14417" ht="9.9499999999999993" hidden="1" customHeight="1" x14ac:dyDescent="0.2"/>
    <row r="14418" ht="9.9499999999999993" hidden="1" customHeight="1" x14ac:dyDescent="0.2"/>
    <row r="14419" ht="9.9499999999999993" hidden="1" customHeight="1" x14ac:dyDescent="0.2"/>
    <row r="14420" ht="9.9499999999999993" hidden="1" customHeight="1" x14ac:dyDescent="0.2"/>
    <row r="14421" ht="9.9499999999999993" hidden="1" customHeight="1" x14ac:dyDescent="0.2"/>
    <row r="14422" ht="9.9499999999999993" hidden="1" customHeight="1" x14ac:dyDescent="0.2"/>
    <row r="14423" ht="9.9499999999999993" hidden="1" customHeight="1" x14ac:dyDescent="0.2"/>
    <row r="14424" ht="9.9499999999999993" hidden="1" customHeight="1" x14ac:dyDescent="0.2"/>
    <row r="14425" ht="9.9499999999999993" hidden="1" customHeight="1" x14ac:dyDescent="0.2"/>
    <row r="14426" ht="9.9499999999999993" hidden="1" customHeight="1" x14ac:dyDescent="0.2"/>
    <row r="14427" ht="9.9499999999999993" hidden="1" customHeight="1" x14ac:dyDescent="0.2"/>
    <row r="14428" ht="9.9499999999999993" hidden="1" customHeight="1" x14ac:dyDescent="0.2"/>
    <row r="14429" ht="9.9499999999999993" hidden="1" customHeight="1" x14ac:dyDescent="0.2"/>
    <row r="14430" ht="9.9499999999999993" hidden="1" customHeight="1" x14ac:dyDescent="0.2"/>
    <row r="14431" ht="9.9499999999999993" hidden="1" customHeight="1" x14ac:dyDescent="0.2"/>
    <row r="14432" ht="9.9499999999999993" hidden="1" customHeight="1" x14ac:dyDescent="0.2"/>
    <row r="14433" ht="9.9499999999999993" hidden="1" customHeight="1" x14ac:dyDescent="0.2"/>
    <row r="14434" ht="9.9499999999999993" hidden="1" customHeight="1" x14ac:dyDescent="0.2"/>
    <row r="14435" ht="9.9499999999999993" hidden="1" customHeight="1" x14ac:dyDescent="0.2"/>
    <row r="14436" ht="9.9499999999999993" hidden="1" customHeight="1" x14ac:dyDescent="0.2"/>
    <row r="14437" ht="9.9499999999999993" hidden="1" customHeight="1" x14ac:dyDescent="0.2"/>
    <row r="14438" ht="9.9499999999999993" hidden="1" customHeight="1" x14ac:dyDescent="0.2"/>
    <row r="14439" ht="9.9499999999999993" hidden="1" customHeight="1" x14ac:dyDescent="0.2"/>
    <row r="14440" ht="9.9499999999999993" hidden="1" customHeight="1" x14ac:dyDescent="0.2"/>
    <row r="14441" ht="9.9499999999999993" hidden="1" customHeight="1" x14ac:dyDescent="0.2"/>
    <row r="14442" ht="9.9499999999999993" hidden="1" customHeight="1" x14ac:dyDescent="0.2"/>
    <row r="14443" ht="9.9499999999999993" hidden="1" customHeight="1" x14ac:dyDescent="0.2"/>
    <row r="14444" ht="9.9499999999999993" hidden="1" customHeight="1" x14ac:dyDescent="0.2"/>
    <row r="14445" ht="9.9499999999999993" hidden="1" customHeight="1" x14ac:dyDescent="0.2"/>
    <row r="14446" ht="9.9499999999999993" hidden="1" customHeight="1" x14ac:dyDescent="0.2"/>
    <row r="14447" ht="9.9499999999999993" hidden="1" customHeight="1" x14ac:dyDescent="0.2"/>
    <row r="14448" ht="9.9499999999999993" hidden="1" customHeight="1" x14ac:dyDescent="0.2"/>
    <row r="14449" ht="9.9499999999999993" hidden="1" customHeight="1" x14ac:dyDescent="0.2"/>
    <row r="14450" ht="9.9499999999999993" hidden="1" customHeight="1" x14ac:dyDescent="0.2"/>
    <row r="14451" ht="9.9499999999999993" hidden="1" customHeight="1" x14ac:dyDescent="0.2"/>
    <row r="14452" ht="9.9499999999999993" hidden="1" customHeight="1" x14ac:dyDescent="0.2"/>
    <row r="14453" ht="9.9499999999999993" hidden="1" customHeight="1" x14ac:dyDescent="0.2"/>
    <row r="14454" ht="9.9499999999999993" hidden="1" customHeight="1" x14ac:dyDescent="0.2"/>
    <row r="14455" ht="9.9499999999999993" hidden="1" customHeight="1" x14ac:dyDescent="0.2"/>
    <row r="14456" ht="9.9499999999999993" hidden="1" customHeight="1" x14ac:dyDescent="0.2"/>
    <row r="14457" ht="9.9499999999999993" hidden="1" customHeight="1" x14ac:dyDescent="0.2"/>
    <row r="14458" ht="9.9499999999999993" hidden="1" customHeight="1" x14ac:dyDescent="0.2"/>
    <row r="14459" ht="9.9499999999999993" hidden="1" customHeight="1" x14ac:dyDescent="0.2"/>
    <row r="14460" ht="9.9499999999999993" hidden="1" customHeight="1" x14ac:dyDescent="0.2"/>
    <row r="14461" ht="9.9499999999999993" hidden="1" customHeight="1" x14ac:dyDescent="0.2"/>
    <row r="14462" ht="9.9499999999999993" hidden="1" customHeight="1" x14ac:dyDescent="0.2"/>
    <row r="14463" ht="9.9499999999999993" hidden="1" customHeight="1" x14ac:dyDescent="0.2"/>
    <row r="14464" ht="9.9499999999999993" hidden="1" customHeight="1" x14ac:dyDescent="0.2"/>
    <row r="14465" ht="9.9499999999999993" hidden="1" customHeight="1" x14ac:dyDescent="0.2"/>
    <row r="14466" ht="9.9499999999999993" hidden="1" customHeight="1" x14ac:dyDescent="0.2"/>
    <row r="14467" ht="9.9499999999999993" hidden="1" customHeight="1" x14ac:dyDescent="0.2"/>
    <row r="14468" ht="9.9499999999999993" hidden="1" customHeight="1" x14ac:dyDescent="0.2"/>
    <row r="14469" ht="9.9499999999999993" hidden="1" customHeight="1" x14ac:dyDescent="0.2"/>
    <row r="14470" ht="9.9499999999999993" hidden="1" customHeight="1" x14ac:dyDescent="0.2"/>
    <row r="14471" ht="9.9499999999999993" hidden="1" customHeight="1" x14ac:dyDescent="0.2"/>
    <row r="14472" ht="9.9499999999999993" hidden="1" customHeight="1" x14ac:dyDescent="0.2"/>
    <row r="14473" ht="9.9499999999999993" hidden="1" customHeight="1" x14ac:dyDescent="0.2"/>
    <row r="14474" ht="9.9499999999999993" hidden="1" customHeight="1" x14ac:dyDescent="0.2"/>
    <row r="14475" ht="9.9499999999999993" hidden="1" customHeight="1" x14ac:dyDescent="0.2"/>
    <row r="14476" ht="9.9499999999999993" hidden="1" customHeight="1" x14ac:dyDescent="0.2"/>
    <row r="14477" ht="9.9499999999999993" hidden="1" customHeight="1" x14ac:dyDescent="0.2"/>
    <row r="14478" ht="9.9499999999999993" hidden="1" customHeight="1" x14ac:dyDescent="0.2"/>
    <row r="14479" ht="9.9499999999999993" hidden="1" customHeight="1" x14ac:dyDescent="0.2"/>
    <row r="14480" ht="9.9499999999999993" hidden="1" customHeight="1" x14ac:dyDescent="0.2"/>
    <row r="14481" ht="9.9499999999999993" hidden="1" customHeight="1" x14ac:dyDescent="0.2"/>
    <row r="14482" ht="9.9499999999999993" hidden="1" customHeight="1" x14ac:dyDescent="0.2"/>
    <row r="14483" ht="9.9499999999999993" hidden="1" customHeight="1" x14ac:dyDescent="0.2"/>
    <row r="14484" ht="9.9499999999999993" hidden="1" customHeight="1" x14ac:dyDescent="0.2"/>
    <row r="14485" ht="9.9499999999999993" hidden="1" customHeight="1" x14ac:dyDescent="0.2"/>
    <row r="14486" ht="9.9499999999999993" hidden="1" customHeight="1" x14ac:dyDescent="0.2"/>
    <row r="14487" ht="9.9499999999999993" hidden="1" customHeight="1" x14ac:dyDescent="0.2"/>
    <row r="14488" ht="9.9499999999999993" hidden="1" customHeight="1" x14ac:dyDescent="0.2"/>
    <row r="14489" ht="9.9499999999999993" hidden="1" customHeight="1" x14ac:dyDescent="0.2"/>
    <row r="14490" ht="9.9499999999999993" hidden="1" customHeight="1" x14ac:dyDescent="0.2"/>
    <row r="14491" ht="9.9499999999999993" hidden="1" customHeight="1" x14ac:dyDescent="0.2"/>
    <row r="14492" ht="9.9499999999999993" hidden="1" customHeight="1" x14ac:dyDescent="0.2"/>
    <row r="14493" ht="9.9499999999999993" hidden="1" customHeight="1" x14ac:dyDescent="0.2"/>
    <row r="14494" ht="9.9499999999999993" hidden="1" customHeight="1" x14ac:dyDescent="0.2"/>
    <row r="14495" ht="9.9499999999999993" hidden="1" customHeight="1" x14ac:dyDescent="0.2"/>
    <row r="14496" ht="9.9499999999999993" hidden="1" customHeight="1" x14ac:dyDescent="0.2"/>
    <row r="14497" ht="9.9499999999999993" hidden="1" customHeight="1" x14ac:dyDescent="0.2"/>
    <row r="14498" ht="9.9499999999999993" hidden="1" customHeight="1" x14ac:dyDescent="0.2"/>
    <row r="14499" ht="9.9499999999999993" hidden="1" customHeight="1" x14ac:dyDescent="0.2"/>
    <row r="14500" ht="9.9499999999999993" hidden="1" customHeight="1" x14ac:dyDescent="0.2"/>
    <row r="14501" ht="9.9499999999999993" hidden="1" customHeight="1" x14ac:dyDescent="0.2"/>
    <row r="14502" ht="9.9499999999999993" hidden="1" customHeight="1" x14ac:dyDescent="0.2"/>
    <row r="14503" ht="9.9499999999999993" hidden="1" customHeight="1" x14ac:dyDescent="0.2"/>
    <row r="14504" ht="9.9499999999999993" hidden="1" customHeight="1" x14ac:dyDescent="0.2"/>
    <row r="14505" ht="9.9499999999999993" hidden="1" customHeight="1" x14ac:dyDescent="0.2"/>
    <row r="14506" ht="9.9499999999999993" hidden="1" customHeight="1" x14ac:dyDescent="0.2"/>
    <row r="14507" ht="9.9499999999999993" hidden="1" customHeight="1" x14ac:dyDescent="0.2"/>
    <row r="14508" ht="9.9499999999999993" hidden="1" customHeight="1" x14ac:dyDescent="0.2"/>
    <row r="14509" ht="9.9499999999999993" hidden="1" customHeight="1" x14ac:dyDescent="0.2"/>
    <row r="14510" ht="9.9499999999999993" hidden="1" customHeight="1" x14ac:dyDescent="0.2"/>
    <row r="14511" ht="9.9499999999999993" hidden="1" customHeight="1" x14ac:dyDescent="0.2"/>
    <row r="14512" ht="9.9499999999999993" hidden="1" customHeight="1" x14ac:dyDescent="0.2"/>
    <row r="14513" ht="9.9499999999999993" hidden="1" customHeight="1" x14ac:dyDescent="0.2"/>
    <row r="14514" ht="9.9499999999999993" hidden="1" customHeight="1" x14ac:dyDescent="0.2"/>
    <row r="14515" ht="9.9499999999999993" hidden="1" customHeight="1" x14ac:dyDescent="0.2"/>
    <row r="14516" ht="9.9499999999999993" hidden="1" customHeight="1" x14ac:dyDescent="0.2"/>
    <row r="14517" ht="9.9499999999999993" hidden="1" customHeight="1" x14ac:dyDescent="0.2"/>
    <row r="14518" ht="9.9499999999999993" hidden="1" customHeight="1" x14ac:dyDescent="0.2"/>
    <row r="14519" ht="9.9499999999999993" hidden="1" customHeight="1" x14ac:dyDescent="0.2"/>
    <row r="14520" ht="9.9499999999999993" hidden="1" customHeight="1" x14ac:dyDescent="0.2"/>
    <row r="14521" ht="9.9499999999999993" hidden="1" customHeight="1" x14ac:dyDescent="0.2"/>
    <row r="14522" ht="9.9499999999999993" hidden="1" customHeight="1" x14ac:dyDescent="0.2"/>
    <row r="14523" ht="9.9499999999999993" hidden="1" customHeight="1" x14ac:dyDescent="0.2"/>
    <row r="14524" ht="9.9499999999999993" hidden="1" customHeight="1" x14ac:dyDescent="0.2"/>
    <row r="14525" ht="9.9499999999999993" hidden="1" customHeight="1" x14ac:dyDescent="0.2"/>
    <row r="14526" ht="9.9499999999999993" hidden="1" customHeight="1" x14ac:dyDescent="0.2"/>
    <row r="14527" ht="9.9499999999999993" hidden="1" customHeight="1" x14ac:dyDescent="0.2"/>
    <row r="14528" ht="9.9499999999999993" hidden="1" customHeight="1" x14ac:dyDescent="0.2"/>
    <row r="14529" ht="9.9499999999999993" hidden="1" customHeight="1" x14ac:dyDescent="0.2"/>
    <row r="14530" ht="9.9499999999999993" hidden="1" customHeight="1" x14ac:dyDescent="0.2"/>
    <row r="14531" ht="9.9499999999999993" hidden="1" customHeight="1" x14ac:dyDescent="0.2"/>
    <row r="14532" ht="9.9499999999999993" hidden="1" customHeight="1" x14ac:dyDescent="0.2"/>
    <row r="14533" ht="9.9499999999999993" hidden="1" customHeight="1" x14ac:dyDescent="0.2"/>
    <row r="14534" ht="9.9499999999999993" hidden="1" customHeight="1" x14ac:dyDescent="0.2"/>
    <row r="14535" ht="9.9499999999999993" hidden="1" customHeight="1" x14ac:dyDescent="0.2"/>
    <row r="14536" ht="9.9499999999999993" hidden="1" customHeight="1" x14ac:dyDescent="0.2"/>
    <row r="14537" ht="9.9499999999999993" hidden="1" customHeight="1" x14ac:dyDescent="0.2"/>
    <row r="14538" ht="9.9499999999999993" hidden="1" customHeight="1" x14ac:dyDescent="0.2"/>
    <row r="14539" ht="9.9499999999999993" hidden="1" customHeight="1" x14ac:dyDescent="0.2"/>
    <row r="14540" ht="9.9499999999999993" hidden="1" customHeight="1" x14ac:dyDescent="0.2"/>
    <row r="14541" ht="9.9499999999999993" hidden="1" customHeight="1" x14ac:dyDescent="0.2"/>
    <row r="14542" ht="9.9499999999999993" hidden="1" customHeight="1" x14ac:dyDescent="0.2"/>
    <row r="14543" ht="9.9499999999999993" hidden="1" customHeight="1" x14ac:dyDescent="0.2"/>
    <row r="14544" ht="9.9499999999999993" hidden="1" customHeight="1" x14ac:dyDescent="0.2"/>
    <row r="14545" ht="9.9499999999999993" hidden="1" customHeight="1" x14ac:dyDescent="0.2"/>
    <row r="14546" ht="9.9499999999999993" hidden="1" customHeight="1" x14ac:dyDescent="0.2"/>
    <row r="14547" ht="9.9499999999999993" hidden="1" customHeight="1" x14ac:dyDescent="0.2"/>
    <row r="14548" ht="9.9499999999999993" hidden="1" customHeight="1" x14ac:dyDescent="0.2"/>
    <row r="14549" ht="9.9499999999999993" hidden="1" customHeight="1" x14ac:dyDescent="0.2"/>
    <row r="14550" ht="9.9499999999999993" hidden="1" customHeight="1" x14ac:dyDescent="0.2"/>
    <row r="14551" ht="9.9499999999999993" hidden="1" customHeight="1" x14ac:dyDescent="0.2"/>
    <row r="14552" ht="9.9499999999999993" hidden="1" customHeight="1" x14ac:dyDescent="0.2"/>
    <row r="14553" ht="9.9499999999999993" hidden="1" customHeight="1" x14ac:dyDescent="0.2"/>
    <row r="14554" ht="9.9499999999999993" hidden="1" customHeight="1" x14ac:dyDescent="0.2"/>
    <row r="14555" ht="9.9499999999999993" hidden="1" customHeight="1" x14ac:dyDescent="0.2"/>
    <row r="14556" ht="9.9499999999999993" hidden="1" customHeight="1" x14ac:dyDescent="0.2"/>
    <row r="14557" ht="9.9499999999999993" hidden="1" customHeight="1" x14ac:dyDescent="0.2"/>
    <row r="14558" ht="9.9499999999999993" hidden="1" customHeight="1" x14ac:dyDescent="0.2"/>
    <row r="14559" ht="9.9499999999999993" hidden="1" customHeight="1" x14ac:dyDescent="0.2"/>
    <row r="14560" ht="9.9499999999999993" hidden="1" customHeight="1" x14ac:dyDescent="0.2"/>
    <row r="14561" ht="9.9499999999999993" hidden="1" customHeight="1" x14ac:dyDescent="0.2"/>
    <row r="14562" ht="9.9499999999999993" hidden="1" customHeight="1" x14ac:dyDescent="0.2"/>
    <row r="14563" ht="9.9499999999999993" hidden="1" customHeight="1" x14ac:dyDescent="0.2"/>
    <row r="14564" ht="9.9499999999999993" hidden="1" customHeight="1" x14ac:dyDescent="0.2"/>
    <row r="14565" ht="9.9499999999999993" hidden="1" customHeight="1" x14ac:dyDescent="0.2"/>
    <row r="14566" ht="9.9499999999999993" hidden="1" customHeight="1" x14ac:dyDescent="0.2"/>
    <row r="14567" ht="9.9499999999999993" hidden="1" customHeight="1" x14ac:dyDescent="0.2"/>
    <row r="14568" ht="9.9499999999999993" hidden="1" customHeight="1" x14ac:dyDescent="0.2"/>
    <row r="14569" ht="9.9499999999999993" hidden="1" customHeight="1" x14ac:dyDescent="0.2"/>
    <row r="14570" ht="9.9499999999999993" hidden="1" customHeight="1" x14ac:dyDescent="0.2"/>
    <row r="14571" ht="9.9499999999999993" hidden="1" customHeight="1" x14ac:dyDescent="0.2"/>
    <row r="14572" ht="9.9499999999999993" hidden="1" customHeight="1" x14ac:dyDescent="0.2"/>
    <row r="14573" ht="9.9499999999999993" hidden="1" customHeight="1" x14ac:dyDescent="0.2"/>
    <row r="14574" ht="9.9499999999999993" hidden="1" customHeight="1" x14ac:dyDescent="0.2"/>
    <row r="14575" ht="9.9499999999999993" hidden="1" customHeight="1" x14ac:dyDescent="0.2"/>
    <row r="14576" ht="9.9499999999999993" hidden="1" customHeight="1" x14ac:dyDescent="0.2"/>
    <row r="14577" ht="9.9499999999999993" hidden="1" customHeight="1" x14ac:dyDescent="0.2"/>
    <row r="14578" ht="9.9499999999999993" hidden="1" customHeight="1" x14ac:dyDescent="0.2"/>
    <row r="14579" ht="9.9499999999999993" hidden="1" customHeight="1" x14ac:dyDescent="0.2"/>
    <row r="14580" ht="9.9499999999999993" hidden="1" customHeight="1" x14ac:dyDescent="0.2"/>
    <row r="14581" ht="9.9499999999999993" hidden="1" customHeight="1" x14ac:dyDescent="0.2"/>
    <row r="14582" ht="9.9499999999999993" hidden="1" customHeight="1" x14ac:dyDescent="0.2"/>
    <row r="14583" ht="9.9499999999999993" hidden="1" customHeight="1" x14ac:dyDescent="0.2"/>
    <row r="14584" ht="9.9499999999999993" hidden="1" customHeight="1" x14ac:dyDescent="0.2"/>
    <row r="14585" ht="9.9499999999999993" hidden="1" customHeight="1" x14ac:dyDescent="0.2"/>
    <row r="14586" ht="9.9499999999999993" hidden="1" customHeight="1" x14ac:dyDescent="0.2"/>
    <row r="14587" ht="9.9499999999999993" hidden="1" customHeight="1" x14ac:dyDescent="0.2"/>
    <row r="14588" ht="9.9499999999999993" hidden="1" customHeight="1" x14ac:dyDescent="0.2"/>
    <row r="14589" ht="9.9499999999999993" hidden="1" customHeight="1" x14ac:dyDescent="0.2"/>
    <row r="14590" ht="9.9499999999999993" hidden="1" customHeight="1" x14ac:dyDescent="0.2"/>
    <row r="14591" ht="9.9499999999999993" hidden="1" customHeight="1" x14ac:dyDescent="0.2"/>
    <row r="14592" ht="9.9499999999999993" hidden="1" customHeight="1" x14ac:dyDescent="0.2"/>
    <row r="14593" ht="9.9499999999999993" hidden="1" customHeight="1" x14ac:dyDescent="0.2"/>
    <row r="14594" ht="9.9499999999999993" hidden="1" customHeight="1" x14ac:dyDescent="0.2"/>
    <row r="14595" ht="9.9499999999999993" hidden="1" customHeight="1" x14ac:dyDescent="0.2"/>
    <row r="14596" ht="9.9499999999999993" hidden="1" customHeight="1" x14ac:dyDescent="0.2"/>
    <row r="14597" ht="9.9499999999999993" hidden="1" customHeight="1" x14ac:dyDescent="0.2"/>
    <row r="14598" ht="9.9499999999999993" hidden="1" customHeight="1" x14ac:dyDescent="0.2"/>
    <row r="14599" ht="9.9499999999999993" hidden="1" customHeight="1" x14ac:dyDescent="0.2"/>
    <row r="14600" ht="9.9499999999999993" hidden="1" customHeight="1" x14ac:dyDescent="0.2"/>
    <row r="14601" ht="9.9499999999999993" hidden="1" customHeight="1" x14ac:dyDescent="0.2"/>
    <row r="14602" ht="9.9499999999999993" hidden="1" customHeight="1" x14ac:dyDescent="0.2"/>
    <row r="14603" ht="9.9499999999999993" hidden="1" customHeight="1" x14ac:dyDescent="0.2"/>
    <row r="14604" ht="9.9499999999999993" hidden="1" customHeight="1" x14ac:dyDescent="0.2"/>
    <row r="14605" ht="9.9499999999999993" hidden="1" customHeight="1" x14ac:dyDescent="0.2"/>
    <row r="14606" ht="9.9499999999999993" hidden="1" customHeight="1" x14ac:dyDescent="0.2"/>
    <row r="14607" ht="9.9499999999999993" hidden="1" customHeight="1" x14ac:dyDescent="0.2"/>
    <row r="14608" ht="9.9499999999999993" hidden="1" customHeight="1" x14ac:dyDescent="0.2"/>
    <row r="14609" ht="9.9499999999999993" hidden="1" customHeight="1" x14ac:dyDescent="0.2"/>
    <row r="14610" ht="9.9499999999999993" hidden="1" customHeight="1" x14ac:dyDescent="0.2"/>
    <row r="14611" ht="9.9499999999999993" hidden="1" customHeight="1" x14ac:dyDescent="0.2"/>
    <row r="14612" ht="9.9499999999999993" hidden="1" customHeight="1" x14ac:dyDescent="0.2"/>
    <row r="14613" ht="9.9499999999999993" hidden="1" customHeight="1" x14ac:dyDescent="0.2"/>
    <row r="14614" ht="9.9499999999999993" hidden="1" customHeight="1" x14ac:dyDescent="0.2"/>
    <row r="14615" ht="9.9499999999999993" hidden="1" customHeight="1" x14ac:dyDescent="0.2"/>
    <row r="14616" ht="9.9499999999999993" hidden="1" customHeight="1" x14ac:dyDescent="0.2"/>
    <row r="14617" ht="9.9499999999999993" hidden="1" customHeight="1" x14ac:dyDescent="0.2"/>
    <row r="14618" ht="9.9499999999999993" hidden="1" customHeight="1" x14ac:dyDescent="0.2"/>
    <row r="14619" ht="9.9499999999999993" hidden="1" customHeight="1" x14ac:dyDescent="0.2"/>
    <row r="14620" ht="9.9499999999999993" hidden="1" customHeight="1" x14ac:dyDescent="0.2"/>
    <row r="14621" ht="9.9499999999999993" hidden="1" customHeight="1" x14ac:dyDescent="0.2"/>
    <row r="14622" ht="9.9499999999999993" hidden="1" customHeight="1" x14ac:dyDescent="0.2"/>
    <row r="14623" ht="9.9499999999999993" hidden="1" customHeight="1" x14ac:dyDescent="0.2"/>
    <row r="14624" ht="9.9499999999999993" hidden="1" customHeight="1" x14ac:dyDescent="0.2"/>
    <row r="14625" ht="9.9499999999999993" hidden="1" customHeight="1" x14ac:dyDescent="0.2"/>
    <row r="14626" ht="9.9499999999999993" hidden="1" customHeight="1" x14ac:dyDescent="0.2"/>
    <row r="14627" ht="9.9499999999999993" hidden="1" customHeight="1" x14ac:dyDescent="0.2"/>
    <row r="14628" ht="9.9499999999999993" hidden="1" customHeight="1" x14ac:dyDescent="0.2"/>
    <row r="14629" ht="9.9499999999999993" hidden="1" customHeight="1" x14ac:dyDescent="0.2"/>
    <row r="14630" ht="9.9499999999999993" hidden="1" customHeight="1" x14ac:dyDescent="0.2"/>
    <row r="14631" ht="9.9499999999999993" hidden="1" customHeight="1" x14ac:dyDescent="0.2"/>
    <row r="14632" ht="9.9499999999999993" hidden="1" customHeight="1" x14ac:dyDescent="0.2"/>
    <row r="14633" ht="9.9499999999999993" hidden="1" customHeight="1" x14ac:dyDescent="0.2"/>
    <row r="14634" ht="9.9499999999999993" hidden="1" customHeight="1" x14ac:dyDescent="0.2"/>
    <row r="14635" ht="9.9499999999999993" hidden="1" customHeight="1" x14ac:dyDescent="0.2"/>
    <row r="14636" ht="9.9499999999999993" hidden="1" customHeight="1" x14ac:dyDescent="0.2"/>
    <row r="14637" ht="9.9499999999999993" hidden="1" customHeight="1" x14ac:dyDescent="0.2"/>
    <row r="14638" ht="9.9499999999999993" hidden="1" customHeight="1" x14ac:dyDescent="0.2"/>
    <row r="14639" ht="9.9499999999999993" hidden="1" customHeight="1" x14ac:dyDescent="0.2"/>
    <row r="14640" ht="9.9499999999999993" hidden="1" customHeight="1" x14ac:dyDescent="0.2"/>
    <row r="14641" ht="9.9499999999999993" hidden="1" customHeight="1" x14ac:dyDescent="0.2"/>
    <row r="14642" ht="9.9499999999999993" hidden="1" customHeight="1" x14ac:dyDescent="0.2"/>
    <row r="14643" ht="9.9499999999999993" hidden="1" customHeight="1" x14ac:dyDescent="0.2"/>
    <row r="14644" ht="9.9499999999999993" hidden="1" customHeight="1" x14ac:dyDescent="0.2"/>
    <row r="14645" ht="9.9499999999999993" hidden="1" customHeight="1" x14ac:dyDescent="0.2"/>
    <row r="14646" ht="9.9499999999999993" hidden="1" customHeight="1" x14ac:dyDescent="0.2"/>
    <row r="14647" ht="9.9499999999999993" hidden="1" customHeight="1" x14ac:dyDescent="0.2"/>
    <row r="14648" ht="9.9499999999999993" hidden="1" customHeight="1" x14ac:dyDescent="0.2"/>
    <row r="14649" ht="9.9499999999999993" hidden="1" customHeight="1" x14ac:dyDescent="0.2"/>
    <row r="14650" ht="9.9499999999999993" hidden="1" customHeight="1" x14ac:dyDescent="0.2"/>
    <row r="14651" ht="9.9499999999999993" hidden="1" customHeight="1" x14ac:dyDescent="0.2"/>
    <row r="14652" ht="9.9499999999999993" hidden="1" customHeight="1" x14ac:dyDescent="0.2"/>
    <row r="14653" ht="9.9499999999999993" hidden="1" customHeight="1" x14ac:dyDescent="0.2"/>
    <row r="14654" ht="9.9499999999999993" hidden="1" customHeight="1" x14ac:dyDescent="0.2"/>
    <row r="14655" ht="9.9499999999999993" hidden="1" customHeight="1" x14ac:dyDescent="0.2"/>
    <row r="14656" ht="9.9499999999999993" hidden="1" customHeight="1" x14ac:dyDescent="0.2"/>
    <row r="14657" ht="9.9499999999999993" hidden="1" customHeight="1" x14ac:dyDescent="0.2"/>
    <row r="14658" ht="9.9499999999999993" hidden="1" customHeight="1" x14ac:dyDescent="0.2"/>
    <row r="14659" ht="9.9499999999999993" hidden="1" customHeight="1" x14ac:dyDescent="0.2"/>
    <row r="14660" ht="9.9499999999999993" hidden="1" customHeight="1" x14ac:dyDescent="0.2"/>
    <row r="14661" ht="9.9499999999999993" hidden="1" customHeight="1" x14ac:dyDescent="0.2"/>
    <row r="14662" ht="9.9499999999999993" hidden="1" customHeight="1" x14ac:dyDescent="0.2"/>
    <row r="14663" ht="9.9499999999999993" hidden="1" customHeight="1" x14ac:dyDescent="0.2"/>
    <row r="14664" ht="9.9499999999999993" hidden="1" customHeight="1" x14ac:dyDescent="0.2"/>
    <row r="14665" ht="9.9499999999999993" hidden="1" customHeight="1" x14ac:dyDescent="0.2"/>
    <row r="14666" ht="9.9499999999999993" hidden="1" customHeight="1" x14ac:dyDescent="0.2"/>
    <row r="14667" ht="9.9499999999999993" hidden="1" customHeight="1" x14ac:dyDescent="0.2"/>
    <row r="14668" ht="9.9499999999999993" hidden="1" customHeight="1" x14ac:dyDescent="0.2"/>
    <row r="14669" ht="9.9499999999999993" hidden="1" customHeight="1" x14ac:dyDescent="0.2"/>
    <row r="14670" ht="9.9499999999999993" hidden="1" customHeight="1" x14ac:dyDescent="0.2"/>
    <row r="14671" ht="9.9499999999999993" hidden="1" customHeight="1" x14ac:dyDescent="0.2"/>
    <row r="14672" ht="9.9499999999999993" hidden="1" customHeight="1" x14ac:dyDescent="0.2"/>
    <row r="14673" ht="9.9499999999999993" hidden="1" customHeight="1" x14ac:dyDescent="0.2"/>
    <row r="14674" ht="9.9499999999999993" hidden="1" customHeight="1" x14ac:dyDescent="0.2"/>
    <row r="14675" ht="9.9499999999999993" hidden="1" customHeight="1" x14ac:dyDescent="0.2"/>
    <row r="14676" ht="9.9499999999999993" hidden="1" customHeight="1" x14ac:dyDescent="0.2"/>
    <row r="14677" ht="9.9499999999999993" hidden="1" customHeight="1" x14ac:dyDescent="0.2"/>
    <row r="14678" ht="9.9499999999999993" hidden="1" customHeight="1" x14ac:dyDescent="0.2"/>
    <row r="14679" ht="9.9499999999999993" hidden="1" customHeight="1" x14ac:dyDescent="0.2"/>
    <row r="14680" ht="9.9499999999999993" hidden="1" customHeight="1" x14ac:dyDescent="0.2"/>
    <row r="14681" ht="9.9499999999999993" hidden="1" customHeight="1" x14ac:dyDescent="0.2"/>
    <row r="14682" ht="9.9499999999999993" hidden="1" customHeight="1" x14ac:dyDescent="0.2"/>
    <row r="14683" ht="9.9499999999999993" hidden="1" customHeight="1" x14ac:dyDescent="0.2"/>
    <row r="14684" ht="9.9499999999999993" hidden="1" customHeight="1" x14ac:dyDescent="0.2"/>
    <row r="14685" ht="9.9499999999999993" hidden="1" customHeight="1" x14ac:dyDescent="0.2"/>
    <row r="14686" ht="9.9499999999999993" hidden="1" customHeight="1" x14ac:dyDescent="0.2"/>
    <row r="14687" ht="9.9499999999999993" hidden="1" customHeight="1" x14ac:dyDescent="0.2"/>
    <row r="14688" ht="9.9499999999999993" hidden="1" customHeight="1" x14ac:dyDescent="0.2"/>
    <row r="14689" ht="9.9499999999999993" hidden="1" customHeight="1" x14ac:dyDescent="0.2"/>
    <row r="14690" ht="9.9499999999999993" hidden="1" customHeight="1" x14ac:dyDescent="0.2"/>
    <row r="14691" ht="9.9499999999999993" hidden="1" customHeight="1" x14ac:dyDescent="0.2"/>
    <row r="14692" ht="9.9499999999999993" hidden="1" customHeight="1" x14ac:dyDescent="0.2"/>
    <row r="14693" ht="9.9499999999999993" hidden="1" customHeight="1" x14ac:dyDescent="0.2"/>
    <row r="14694" ht="9.9499999999999993" hidden="1" customHeight="1" x14ac:dyDescent="0.2"/>
    <row r="14695" ht="9.9499999999999993" hidden="1" customHeight="1" x14ac:dyDescent="0.2"/>
    <row r="14696" ht="9.9499999999999993" hidden="1" customHeight="1" x14ac:dyDescent="0.2"/>
    <row r="14697" ht="9.9499999999999993" hidden="1" customHeight="1" x14ac:dyDescent="0.2"/>
    <row r="14698" ht="9.9499999999999993" hidden="1" customHeight="1" x14ac:dyDescent="0.2"/>
    <row r="14699" ht="9.9499999999999993" hidden="1" customHeight="1" x14ac:dyDescent="0.2"/>
    <row r="14700" ht="9.9499999999999993" hidden="1" customHeight="1" x14ac:dyDescent="0.2"/>
    <row r="14701" ht="9.9499999999999993" hidden="1" customHeight="1" x14ac:dyDescent="0.2"/>
    <row r="14702" ht="9.9499999999999993" hidden="1" customHeight="1" x14ac:dyDescent="0.2"/>
    <row r="14703" ht="9.9499999999999993" hidden="1" customHeight="1" x14ac:dyDescent="0.2"/>
    <row r="14704" ht="9.9499999999999993" hidden="1" customHeight="1" x14ac:dyDescent="0.2"/>
    <row r="14705" ht="9.9499999999999993" hidden="1" customHeight="1" x14ac:dyDescent="0.2"/>
    <row r="14706" ht="9.9499999999999993" hidden="1" customHeight="1" x14ac:dyDescent="0.2"/>
    <row r="14707" ht="9.9499999999999993" hidden="1" customHeight="1" x14ac:dyDescent="0.2"/>
    <row r="14708" ht="9.9499999999999993" hidden="1" customHeight="1" x14ac:dyDescent="0.2"/>
    <row r="14709" ht="9.9499999999999993" hidden="1" customHeight="1" x14ac:dyDescent="0.2"/>
    <row r="14710" ht="9.9499999999999993" hidden="1" customHeight="1" x14ac:dyDescent="0.2"/>
    <row r="14711" ht="9.9499999999999993" hidden="1" customHeight="1" x14ac:dyDescent="0.2"/>
    <row r="14712" ht="9.9499999999999993" hidden="1" customHeight="1" x14ac:dyDescent="0.2"/>
    <row r="14713" ht="9.9499999999999993" hidden="1" customHeight="1" x14ac:dyDescent="0.2"/>
    <row r="14714" ht="9.9499999999999993" hidden="1" customHeight="1" x14ac:dyDescent="0.2"/>
    <row r="14715" ht="9.9499999999999993" hidden="1" customHeight="1" x14ac:dyDescent="0.2"/>
    <row r="14716" ht="9.9499999999999993" hidden="1" customHeight="1" x14ac:dyDescent="0.2"/>
    <row r="14717" ht="9.9499999999999993" hidden="1" customHeight="1" x14ac:dyDescent="0.2"/>
    <row r="14718" ht="9.9499999999999993" hidden="1" customHeight="1" x14ac:dyDescent="0.2"/>
    <row r="14719" ht="9.9499999999999993" hidden="1" customHeight="1" x14ac:dyDescent="0.2"/>
    <row r="14720" ht="9.9499999999999993" hidden="1" customHeight="1" x14ac:dyDescent="0.2"/>
    <row r="14721" ht="9.9499999999999993" hidden="1" customHeight="1" x14ac:dyDescent="0.2"/>
    <row r="14722" ht="9.9499999999999993" hidden="1" customHeight="1" x14ac:dyDescent="0.2"/>
    <row r="14723" ht="9.9499999999999993" hidden="1" customHeight="1" x14ac:dyDescent="0.2"/>
    <row r="14724" ht="9.9499999999999993" hidden="1" customHeight="1" x14ac:dyDescent="0.2"/>
    <row r="14725" ht="9.9499999999999993" hidden="1" customHeight="1" x14ac:dyDescent="0.2"/>
    <row r="14726" ht="9.9499999999999993" hidden="1" customHeight="1" x14ac:dyDescent="0.2"/>
    <row r="14727" ht="9.9499999999999993" hidden="1" customHeight="1" x14ac:dyDescent="0.2"/>
    <row r="14728" ht="9.9499999999999993" hidden="1" customHeight="1" x14ac:dyDescent="0.2"/>
    <row r="14729" ht="9.9499999999999993" hidden="1" customHeight="1" x14ac:dyDescent="0.2"/>
    <row r="14730" ht="9.9499999999999993" hidden="1" customHeight="1" x14ac:dyDescent="0.2"/>
    <row r="14731" ht="9.9499999999999993" hidden="1" customHeight="1" x14ac:dyDescent="0.2"/>
    <row r="14732" ht="9.9499999999999993" hidden="1" customHeight="1" x14ac:dyDescent="0.2"/>
    <row r="14733" ht="9.9499999999999993" hidden="1" customHeight="1" x14ac:dyDescent="0.2"/>
    <row r="14734" ht="9.9499999999999993" hidden="1" customHeight="1" x14ac:dyDescent="0.2"/>
    <row r="14735" ht="9.9499999999999993" hidden="1" customHeight="1" x14ac:dyDescent="0.2"/>
    <row r="14736" ht="9.9499999999999993" hidden="1" customHeight="1" x14ac:dyDescent="0.2"/>
    <row r="14737" ht="9.9499999999999993" hidden="1" customHeight="1" x14ac:dyDescent="0.2"/>
    <row r="14738" ht="9.9499999999999993" hidden="1" customHeight="1" x14ac:dyDescent="0.2"/>
    <row r="14739" ht="9.9499999999999993" hidden="1" customHeight="1" x14ac:dyDescent="0.2"/>
    <row r="14740" ht="9.9499999999999993" hidden="1" customHeight="1" x14ac:dyDescent="0.2"/>
    <row r="14741" ht="9.9499999999999993" hidden="1" customHeight="1" x14ac:dyDescent="0.2"/>
    <row r="14742" ht="9.9499999999999993" hidden="1" customHeight="1" x14ac:dyDescent="0.2"/>
    <row r="14743" ht="9.9499999999999993" hidden="1" customHeight="1" x14ac:dyDescent="0.2"/>
    <row r="14744" ht="9.9499999999999993" hidden="1" customHeight="1" x14ac:dyDescent="0.2"/>
    <row r="14745" ht="9.9499999999999993" hidden="1" customHeight="1" x14ac:dyDescent="0.2"/>
    <row r="14746" ht="9.9499999999999993" hidden="1" customHeight="1" x14ac:dyDescent="0.2"/>
    <row r="14747" ht="9.9499999999999993" hidden="1" customHeight="1" x14ac:dyDescent="0.2"/>
    <row r="14748" ht="9.9499999999999993" hidden="1" customHeight="1" x14ac:dyDescent="0.2"/>
    <row r="14749" ht="9.9499999999999993" hidden="1" customHeight="1" x14ac:dyDescent="0.2"/>
    <row r="14750" ht="9.9499999999999993" hidden="1" customHeight="1" x14ac:dyDescent="0.2"/>
    <row r="14751" ht="9.9499999999999993" hidden="1" customHeight="1" x14ac:dyDescent="0.2"/>
    <row r="14752" ht="9.9499999999999993" hidden="1" customHeight="1" x14ac:dyDescent="0.2"/>
    <row r="14753" ht="9.9499999999999993" hidden="1" customHeight="1" x14ac:dyDescent="0.2"/>
    <row r="14754" ht="9.9499999999999993" hidden="1" customHeight="1" x14ac:dyDescent="0.2"/>
    <row r="14755" ht="9.9499999999999993" hidden="1" customHeight="1" x14ac:dyDescent="0.2"/>
    <row r="14756" ht="9.9499999999999993" hidden="1" customHeight="1" x14ac:dyDescent="0.2"/>
    <row r="14757" ht="9.9499999999999993" hidden="1" customHeight="1" x14ac:dyDescent="0.2"/>
    <row r="14758" ht="9.9499999999999993" hidden="1" customHeight="1" x14ac:dyDescent="0.2"/>
    <row r="14759" ht="9.9499999999999993" hidden="1" customHeight="1" x14ac:dyDescent="0.2"/>
    <row r="14760" ht="9.9499999999999993" hidden="1" customHeight="1" x14ac:dyDescent="0.2"/>
    <row r="14761" ht="9.9499999999999993" hidden="1" customHeight="1" x14ac:dyDescent="0.2"/>
    <row r="14762" ht="9.9499999999999993" hidden="1" customHeight="1" x14ac:dyDescent="0.2"/>
    <row r="14763" ht="9.9499999999999993" hidden="1" customHeight="1" x14ac:dyDescent="0.2"/>
    <row r="14764" ht="9.9499999999999993" hidden="1" customHeight="1" x14ac:dyDescent="0.2"/>
    <row r="14765" ht="9.9499999999999993" hidden="1" customHeight="1" x14ac:dyDescent="0.2"/>
    <row r="14766" ht="9.9499999999999993" hidden="1" customHeight="1" x14ac:dyDescent="0.2"/>
    <row r="14767" ht="9.9499999999999993" hidden="1" customHeight="1" x14ac:dyDescent="0.2"/>
    <row r="14768" ht="9.9499999999999993" hidden="1" customHeight="1" x14ac:dyDescent="0.2"/>
    <row r="14769" ht="9.9499999999999993" hidden="1" customHeight="1" x14ac:dyDescent="0.2"/>
    <row r="14770" ht="9.9499999999999993" hidden="1" customHeight="1" x14ac:dyDescent="0.2"/>
    <row r="14771" ht="9.9499999999999993" hidden="1" customHeight="1" x14ac:dyDescent="0.2"/>
    <row r="14772" ht="9.9499999999999993" hidden="1" customHeight="1" x14ac:dyDescent="0.2"/>
    <row r="14773" ht="9.9499999999999993" hidden="1" customHeight="1" x14ac:dyDescent="0.2"/>
    <row r="14774" ht="9.9499999999999993" hidden="1" customHeight="1" x14ac:dyDescent="0.2"/>
    <row r="14775" ht="9.9499999999999993" hidden="1" customHeight="1" x14ac:dyDescent="0.2"/>
    <row r="14776" ht="9.9499999999999993" hidden="1" customHeight="1" x14ac:dyDescent="0.2"/>
    <row r="14777" ht="9.9499999999999993" hidden="1" customHeight="1" x14ac:dyDescent="0.2"/>
    <row r="14778" ht="9.9499999999999993" hidden="1" customHeight="1" x14ac:dyDescent="0.2"/>
    <row r="14779" ht="9.9499999999999993" hidden="1" customHeight="1" x14ac:dyDescent="0.2"/>
    <row r="14780" ht="9.9499999999999993" hidden="1" customHeight="1" x14ac:dyDescent="0.2"/>
    <row r="14781" ht="9.9499999999999993" hidden="1" customHeight="1" x14ac:dyDescent="0.2"/>
    <row r="14782" ht="9.9499999999999993" hidden="1" customHeight="1" x14ac:dyDescent="0.2"/>
    <row r="14783" ht="9.9499999999999993" hidden="1" customHeight="1" x14ac:dyDescent="0.2"/>
    <row r="14784" ht="9.9499999999999993" hidden="1" customHeight="1" x14ac:dyDescent="0.2"/>
    <row r="14785" ht="9.9499999999999993" hidden="1" customHeight="1" x14ac:dyDescent="0.2"/>
    <row r="14786" ht="9.9499999999999993" hidden="1" customHeight="1" x14ac:dyDescent="0.2"/>
    <row r="14787" ht="9.9499999999999993" hidden="1" customHeight="1" x14ac:dyDescent="0.2"/>
    <row r="14788" ht="9.9499999999999993" hidden="1" customHeight="1" x14ac:dyDescent="0.2"/>
    <row r="14789" ht="9.9499999999999993" hidden="1" customHeight="1" x14ac:dyDescent="0.2"/>
    <row r="14790" ht="9.9499999999999993" hidden="1" customHeight="1" x14ac:dyDescent="0.2"/>
    <row r="14791" ht="9.9499999999999993" hidden="1" customHeight="1" x14ac:dyDescent="0.2"/>
    <row r="14792" ht="9.9499999999999993" hidden="1" customHeight="1" x14ac:dyDescent="0.2"/>
    <row r="14793" ht="9.9499999999999993" hidden="1" customHeight="1" x14ac:dyDescent="0.2"/>
    <row r="14794" ht="9.9499999999999993" hidden="1" customHeight="1" x14ac:dyDescent="0.2"/>
    <row r="14795" ht="9.9499999999999993" hidden="1" customHeight="1" x14ac:dyDescent="0.2"/>
    <row r="14796" ht="9.9499999999999993" hidden="1" customHeight="1" x14ac:dyDescent="0.2"/>
    <row r="14797" ht="9.9499999999999993" hidden="1" customHeight="1" x14ac:dyDescent="0.2"/>
    <row r="14798" ht="9.9499999999999993" hidden="1" customHeight="1" x14ac:dyDescent="0.2"/>
    <row r="14799" ht="9.9499999999999993" hidden="1" customHeight="1" x14ac:dyDescent="0.2"/>
    <row r="14800" ht="9.9499999999999993" hidden="1" customHeight="1" x14ac:dyDescent="0.2"/>
    <row r="14801" ht="9.9499999999999993" hidden="1" customHeight="1" x14ac:dyDescent="0.2"/>
    <row r="14802" ht="9.9499999999999993" hidden="1" customHeight="1" x14ac:dyDescent="0.2"/>
    <row r="14803" ht="9.9499999999999993" hidden="1" customHeight="1" x14ac:dyDescent="0.2"/>
    <row r="14804" ht="9.9499999999999993" hidden="1" customHeight="1" x14ac:dyDescent="0.2"/>
    <row r="14805" ht="9.9499999999999993" hidden="1" customHeight="1" x14ac:dyDescent="0.2"/>
    <row r="14806" ht="9.9499999999999993" hidden="1" customHeight="1" x14ac:dyDescent="0.2"/>
    <row r="14807" ht="9.9499999999999993" hidden="1" customHeight="1" x14ac:dyDescent="0.2"/>
    <row r="14808" ht="9.9499999999999993" hidden="1" customHeight="1" x14ac:dyDescent="0.2"/>
    <row r="14809" ht="9.9499999999999993" hidden="1" customHeight="1" x14ac:dyDescent="0.2"/>
    <row r="14810" ht="9.9499999999999993" hidden="1" customHeight="1" x14ac:dyDescent="0.2"/>
    <row r="14811" ht="9.9499999999999993" hidden="1" customHeight="1" x14ac:dyDescent="0.2"/>
    <row r="14812" ht="9.9499999999999993" hidden="1" customHeight="1" x14ac:dyDescent="0.2"/>
    <row r="14813" ht="9.9499999999999993" hidden="1" customHeight="1" x14ac:dyDescent="0.2"/>
    <row r="14814" ht="9.9499999999999993" hidden="1" customHeight="1" x14ac:dyDescent="0.2"/>
    <row r="14815" ht="9.9499999999999993" hidden="1" customHeight="1" x14ac:dyDescent="0.2"/>
    <row r="14816" ht="9.9499999999999993" hidden="1" customHeight="1" x14ac:dyDescent="0.2"/>
    <row r="14817" ht="9.9499999999999993" hidden="1" customHeight="1" x14ac:dyDescent="0.2"/>
    <row r="14818" ht="9.9499999999999993" hidden="1" customHeight="1" x14ac:dyDescent="0.2"/>
    <row r="14819" ht="9.9499999999999993" hidden="1" customHeight="1" x14ac:dyDescent="0.2"/>
    <row r="14820" ht="9.9499999999999993" hidden="1" customHeight="1" x14ac:dyDescent="0.2"/>
    <row r="14821" ht="9.9499999999999993" hidden="1" customHeight="1" x14ac:dyDescent="0.2"/>
    <row r="14822" ht="9.9499999999999993" hidden="1" customHeight="1" x14ac:dyDescent="0.2"/>
    <row r="14823" ht="9.9499999999999993" hidden="1" customHeight="1" x14ac:dyDescent="0.2"/>
    <row r="14824" ht="9.9499999999999993" hidden="1" customHeight="1" x14ac:dyDescent="0.2"/>
    <row r="14825" ht="9.9499999999999993" hidden="1" customHeight="1" x14ac:dyDescent="0.2"/>
    <row r="14826" ht="9.9499999999999993" hidden="1" customHeight="1" x14ac:dyDescent="0.2"/>
    <row r="14827" ht="9.9499999999999993" hidden="1" customHeight="1" x14ac:dyDescent="0.2"/>
    <row r="14828" ht="9.9499999999999993" hidden="1" customHeight="1" x14ac:dyDescent="0.2"/>
    <row r="14829" ht="9.9499999999999993" hidden="1" customHeight="1" x14ac:dyDescent="0.2"/>
    <row r="14830" ht="9.9499999999999993" hidden="1" customHeight="1" x14ac:dyDescent="0.2"/>
    <row r="14831" ht="9.9499999999999993" hidden="1" customHeight="1" x14ac:dyDescent="0.2"/>
    <row r="14832" ht="9.9499999999999993" hidden="1" customHeight="1" x14ac:dyDescent="0.2"/>
    <row r="14833" ht="9.9499999999999993" hidden="1" customHeight="1" x14ac:dyDescent="0.2"/>
    <row r="14834" ht="9.9499999999999993" hidden="1" customHeight="1" x14ac:dyDescent="0.2"/>
    <row r="14835" ht="9.9499999999999993" hidden="1" customHeight="1" x14ac:dyDescent="0.2"/>
    <row r="14836" ht="9.9499999999999993" hidden="1" customHeight="1" x14ac:dyDescent="0.2"/>
    <row r="14837" ht="9.9499999999999993" hidden="1" customHeight="1" x14ac:dyDescent="0.2"/>
    <row r="14838" ht="9.9499999999999993" hidden="1" customHeight="1" x14ac:dyDescent="0.2"/>
    <row r="14839" ht="9.9499999999999993" hidden="1" customHeight="1" x14ac:dyDescent="0.2"/>
    <row r="14840" ht="9.9499999999999993" hidden="1" customHeight="1" x14ac:dyDescent="0.2"/>
    <row r="14841" ht="9.9499999999999993" hidden="1" customHeight="1" x14ac:dyDescent="0.2"/>
    <row r="14842" ht="9.9499999999999993" hidden="1" customHeight="1" x14ac:dyDescent="0.2"/>
    <row r="14843" ht="9.9499999999999993" hidden="1" customHeight="1" x14ac:dyDescent="0.2"/>
    <row r="14844" ht="9.9499999999999993" hidden="1" customHeight="1" x14ac:dyDescent="0.2"/>
    <row r="14845" ht="9.9499999999999993" hidden="1" customHeight="1" x14ac:dyDescent="0.2"/>
    <row r="14846" ht="9.9499999999999993" hidden="1" customHeight="1" x14ac:dyDescent="0.2"/>
    <row r="14847" ht="9.9499999999999993" hidden="1" customHeight="1" x14ac:dyDescent="0.2"/>
    <row r="14848" ht="9.9499999999999993" hidden="1" customHeight="1" x14ac:dyDescent="0.2"/>
    <row r="14849" ht="9.9499999999999993" hidden="1" customHeight="1" x14ac:dyDescent="0.2"/>
    <row r="14850" ht="9.9499999999999993" hidden="1" customHeight="1" x14ac:dyDescent="0.2"/>
    <row r="14851" ht="9.9499999999999993" hidden="1" customHeight="1" x14ac:dyDescent="0.2"/>
    <row r="14852" ht="9.9499999999999993" hidden="1" customHeight="1" x14ac:dyDescent="0.2"/>
    <row r="14853" ht="9.9499999999999993" hidden="1" customHeight="1" x14ac:dyDescent="0.2"/>
    <row r="14854" ht="9.9499999999999993" hidden="1" customHeight="1" x14ac:dyDescent="0.2"/>
    <row r="14855" ht="9.9499999999999993" hidden="1" customHeight="1" x14ac:dyDescent="0.2"/>
    <row r="14856" ht="9.9499999999999993" hidden="1" customHeight="1" x14ac:dyDescent="0.2"/>
    <row r="14857" ht="9.9499999999999993" hidden="1" customHeight="1" x14ac:dyDescent="0.2"/>
    <row r="14858" ht="9.9499999999999993" hidden="1" customHeight="1" x14ac:dyDescent="0.2"/>
    <row r="14859" ht="9.9499999999999993" hidden="1" customHeight="1" x14ac:dyDescent="0.2"/>
    <row r="14860" ht="9.9499999999999993" hidden="1" customHeight="1" x14ac:dyDescent="0.2"/>
    <row r="14861" ht="9.9499999999999993" hidden="1" customHeight="1" x14ac:dyDescent="0.2"/>
    <row r="14862" ht="9.9499999999999993" hidden="1" customHeight="1" x14ac:dyDescent="0.2"/>
    <row r="14863" ht="9.9499999999999993" hidden="1" customHeight="1" x14ac:dyDescent="0.2"/>
    <row r="14864" ht="9.9499999999999993" hidden="1" customHeight="1" x14ac:dyDescent="0.2"/>
    <row r="14865" ht="9.9499999999999993" hidden="1" customHeight="1" x14ac:dyDescent="0.2"/>
    <row r="14866" ht="9.9499999999999993" hidden="1" customHeight="1" x14ac:dyDescent="0.2"/>
    <row r="14867" ht="9.9499999999999993" hidden="1" customHeight="1" x14ac:dyDescent="0.2"/>
    <row r="14868" ht="9.9499999999999993" hidden="1" customHeight="1" x14ac:dyDescent="0.2"/>
    <row r="14869" ht="9.9499999999999993" hidden="1" customHeight="1" x14ac:dyDescent="0.2"/>
    <row r="14870" ht="9.9499999999999993" hidden="1" customHeight="1" x14ac:dyDescent="0.2"/>
    <row r="14871" ht="9.9499999999999993" hidden="1" customHeight="1" x14ac:dyDescent="0.2"/>
    <row r="14872" ht="9.9499999999999993" hidden="1" customHeight="1" x14ac:dyDescent="0.2"/>
    <row r="14873" ht="9.9499999999999993" hidden="1" customHeight="1" x14ac:dyDescent="0.2"/>
    <row r="14874" ht="9.9499999999999993" hidden="1" customHeight="1" x14ac:dyDescent="0.2"/>
    <row r="14875" ht="9.9499999999999993" hidden="1" customHeight="1" x14ac:dyDescent="0.2"/>
    <row r="14876" ht="9.9499999999999993" hidden="1" customHeight="1" x14ac:dyDescent="0.2"/>
    <row r="14877" ht="9.9499999999999993" hidden="1" customHeight="1" x14ac:dyDescent="0.2"/>
    <row r="14878" ht="9.9499999999999993" hidden="1" customHeight="1" x14ac:dyDescent="0.2"/>
    <row r="14879" ht="9.9499999999999993" hidden="1" customHeight="1" x14ac:dyDescent="0.2"/>
    <row r="14880" ht="9.9499999999999993" hidden="1" customHeight="1" x14ac:dyDescent="0.2"/>
    <row r="14881" ht="9.9499999999999993" hidden="1" customHeight="1" x14ac:dyDescent="0.2"/>
    <row r="14882" ht="9.9499999999999993" hidden="1" customHeight="1" x14ac:dyDescent="0.2"/>
    <row r="14883" ht="9.9499999999999993" hidden="1" customHeight="1" x14ac:dyDescent="0.2"/>
    <row r="14884" ht="9.9499999999999993" hidden="1" customHeight="1" x14ac:dyDescent="0.2"/>
    <row r="14885" ht="9.9499999999999993" hidden="1" customHeight="1" x14ac:dyDescent="0.2"/>
    <row r="14886" ht="9.9499999999999993" hidden="1" customHeight="1" x14ac:dyDescent="0.2"/>
    <row r="14887" ht="9.9499999999999993" hidden="1" customHeight="1" x14ac:dyDescent="0.2"/>
    <row r="14888" ht="9.9499999999999993" hidden="1" customHeight="1" x14ac:dyDescent="0.2"/>
    <row r="14889" ht="9.9499999999999993" hidden="1" customHeight="1" x14ac:dyDescent="0.2"/>
    <row r="14890" ht="9.9499999999999993" hidden="1" customHeight="1" x14ac:dyDescent="0.2"/>
    <row r="14891" ht="9.9499999999999993" hidden="1" customHeight="1" x14ac:dyDescent="0.2"/>
    <row r="14892" ht="9.9499999999999993" hidden="1" customHeight="1" x14ac:dyDescent="0.2"/>
    <row r="14893" ht="9.9499999999999993" hidden="1" customHeight="1" x14ac:dyDescent="0.2"/>
    <row r="14894" ht="9.9499999999999993" hidden="1" customHeight="1" x14ac:dyDescent="0.2"/>
    <row r="14895" ht="9.9499999999999993" hidden="1" customHeight="1" x14ac:dyDescent="0.2"/>
    <row r="14896" ht="9.9499999999999993" hidden="1" customHeight="1" x14ac:dyDescent="0.2"/>
    <row r="14897" ht="9.9499999999999993" hidden="1" customHeight="1" x14ac:dyDescent="0.2"/>
    <row r="14898" ht="9.9499999999999993" hidden="1" customHeight="1" x14ac:dyDescent="0.2"/>
    <row r="14899" ht="9.9499999999999993" hidden="1" customHeight="1" x14ac:dyDescent="0.2"/>
    <row r="14900" ht="9.9499999999999993" hidden="1" customHeight="1" x14ac:dyDescent="0.2"/>
    <row r="14901" ht="9.9499999999999993" hidden="1" customHeight="1" x14ac:dyDescent="0.2"/>
    <row r="14902" ht="9.9499999999999993" hidden="1" customHeight="1" x14ac:dyDescent="0.2"/>
    <row r="14903" ht="9.9499999999999993" hidden="1" customHeight="1" x14ac:dyDescent="0.2"/>
    <row r="14904" ht="9.9499999999999993" hidden="1" customHeight="1" x14ac:dyDescent="0.2"/>
    <row r="14905" ht="9.9499999999999993" hidden="1" customHeight="1" x14ac:dyDescent="0.2"/>
    <row r="14906" ht="9.9499999999999993" hidden="1" customHeight="1" x14ac:dyDescent="0.2"/>
    <row r="14907" ht="9.9499999999999993" hidden="1" customHeight="1" x14ac:dyDescent="0.2"/>
    <row r="14908" ht="9.9499999999999993" hidden="1" customHeight="1" x14ac:dyDescent="0.2"/>
    <row r="14909" ht="9.9499999999999993" hidden="1" customHeight="1" x14ac:dyDescent="0.2"/>
    <row r="14910" ht="9.9499999999999993" hidden="1" customHeight="1" x14ac:dyDescent="0.2"/>
    <row r="14911" ht="9.9499999999999993" hidden="1" customHeight="1" x14ac:dyDescent="0.2"/>
    <row r="14912" ht="9.9499999999999993" hidden="1" customHeight="1" x14ac:dyDescent="0.2"/>
    <row r="14913" ht="9.9499999999999993" hidden="1" customHeight="1" x14ac:dyDescent="0.2"/>
    <row r="14914" ht="9.9499999999999993" hidden="1" customHeight="1" x14ac:dyDescent="0.2"/>
    <row r="14915" ht="9.9499999999999993" hidden="1" customHeight="1" x14ac:dyDescent="0.2"/>
    <row r="14916" ht="9.9499999999999993" hidden="1" customHeight="1" x14ac:dyDescent="0.2"/>
    <row r="14917" ht="9.9499999999999993" hidden="1" customHeight="1" x14ac:dyDescent="0.2"/>
    <row r="14918" ht="9.9499999999999993" hidden="1" customHeight="1" x14ac:dyDescent="0.2"/>
    <row r="14919" ht="9.9499999999999993" hidden="1" customHeight="1" x14ac:dyDescent="0.2"/>
    <row r="14920" ht="9.9499999999999993" hidden="1" customHeight="1" x14ac:dyDescent="0.2"/>
    <row r="14921" ht="9.9499999999999993" hidden="1" customHeight="1" x14ac:dyDescent="0.2"/>
    <row r="14922" ht="9.9499999999999993" hidden="1" customHeight="1" x14ac:dyDescent="0.2"/>
    <row r="14923" ht="9.9499999999999993" hidden="1" customHeight="1" x14ac:dyDescent="0.2"/>
    <row r="14924" ht="9.9499999999999993" hidden="1" customHeight="1" x14ac:dyDescent="0.2"/>
    <row r="14925" ht="9.9499999999999993" hidden="1" customHeight="1" x14ac:dyDescent="0.2"/>
    <row r="14926" ht="9.9499999999999993" hidden="1" customHeight="1" x14ac:dyDescent="0.2"/>
    <row r="14927" ht="9.9499999999999993" hidden="1" customHeight="1" x14ac:dyDescent="0.2"/>
    <row r="14928" ht="9.9499999999999993" hidden="1" customHeight="1" x14ac:dyDescent="0.2"/>
    <row r="14929" ht="9.9499999999999993" hidden="1" customHeight="1" x14ac:dyDescent="0.2"/>
    <row r="14930" ht="9.9499999999999993" hidden="1" customHeight="1" x14ac:dyDescent="0.2"/>
    <row r="14931" ht="9.9499999999999993" hidden="1" customHeight="1" x14ac:dyDescent="0.2"/>
    <row r="14932" ht="9.9499999999999993" hidden="1" customHeight="1" x14ac:dyDescent="0.2"/>
    <row r="14933" ht="9.9499999999999993" hidden="1" customHeight="1" x14ac:dyDescent="0.2"/>
    <row r="14934" ht="9.9499999999999993" hidden="1" customHeight="1" x14ac:dyDescent="0.2"/>
    <row r="14935" ht="9.9499999999999993" hidden="1" customHeight="1" x14ac:dyDescent="0.2"/>
    <row r="14936" ht="9.9499999999999993" hidden="1" customHeight="1" x14ac:dyDescent="0.2"/>
    <row r="14937" ht="9.9499999999999993" hidden="1" customHeight="1" x14ac:dyDescent="0.2"/>
    <row r="14938" ht="9.9499999999999993" hidden="1" customHeight="1" x14ac:dyDescent="0.2"/>
    <row r="14939" ht="9.9499999999999993" hidden="1" customHeight="1" x14ac:dyDescent="0.2"/>
    <row r="14940" ht="9.9499999999999993" hidden="1" customHeight="1" x14ac:dyDescent="0.2"/>
    <row r="14941" ht="9.9499999999999993" hidden="1" customHeight="1" x14ac:dyDescent="0.2"/>
    <row r="14942" ht="9.9499999999999993" hidden="1" customHeight="1" x14ac:dyDescent="0.2"/>
    <row r="14943" ht="9.9499999999999993" hidden="1" customHeight="1" x14ac:dyDescent="0.2"/>
    <row r="14944" ht="9.9499999999999993" hidden="1" customHeight="1" x14ac:dyDescent="0.2"/>
    <row r="14945" ht="9.9499999999999993" hidden="1" customHeight="1" x14ac:dyDescent="0.2"/>
    <row r="14946" ht="9.9499999999999993" hidden="1" customHeight="1" x14ac:dyDescent="0.2"/>
    <row r="14947" ht="9.9499999999999993" hidden="1" customHeight="1" x14ac:dyDescent="0.2"/>
    <row r="14948" ht="9.9499999999999993" hidden="1" customHeight="1" x14ac:dyDescent="0.2"/>
    <row r="14949" ht="9.9499999999999993" hidden="1" customHeight="1" x14ac:dyDescent="0.2"/>
    <row r="14950" ht="9.9499999999999993" hidden="1" customHeight="1" x14ac:dyDescent="0.2"/>
    <row r="14951" ht="9.9499999999999993" hidden="1" customHeight="1" x14ac:dyDescent="0.2"/>
    <row r="14952" ht="9.9499999999999993" hidden="1" customHeight="1" x14ac:dyDescent="0.2"/>
    <row r="14953" ht="9.9499999999999993" hidden="1" customHeight="1" x14ac:dyDescent="0.2"/>
    <row r="14954" ht="9.9499999999999993" hidden="1" customHeight="1" x14ac:dyDescent="0.2"/>
    <row r="14955" ht="9.9499999999999993" hidden="1" customHeight="1" x14ac:dyDescent="0.2"/>
    <row r="14956" ht="9.9499999999999993" hidden="1" customHeight="1" x14ac:dyDescent="0.2"/>
    <row r="14957" ht="9.9499999999999993" hidden="1" customHeight="1" x14ac:dyDescent="0.2"/>
    <row r="14958" ht="9.9499999999999993" hidden="1" customHeight="1" x14ac:dyDescent="0.2"/>
    <row r="14959" ht="9.9499999999999993" hidden="1" customHeight="1" x14ac:dyDescent="0.2"/>
    <row r="14960" ht="9.9499999999999993" hidden="1" customHeight="1" x14ac:dyDescent="0.2"/>
    <row r="14961" ht="9.9499999999999993" hidden="1" customHeight="1" x14ac:dyDescent="0.2"/>
    <row r="14962" ht="9.9499999999999993" hidden="1" customHeight="1" x14ac:dyDescent="0.2"/>
    <row r="14963" ht="9.9499999999999993" hidden="1" customHeight="1" x14ac:dyDescent="0.2"/>
    <row r="14964" ht="9.9499999999999993" hidden="1" customHeight="1" x14ac:dyDescent="0.2"/>
    <row r="14965" ht="9.9499999999999993" hidden="1" customHeight="1" x14ac:dyDescent="0.2"/>
    <row r="14966" ht="9.9499999999999993" hidden="1" customHeight="1" x14ac:dyDescent="0.2"/>
    <row r="14967" ht="9.9499999999999993" hidden="1" customHeight="1" x14ac:dyDescent="0.2"/>
    <row r="14968" ht="9.9499999999999993" hidden="1" customHeight="1" x14ac:dyDescent="0.2"/>
    <row r="14969" ht="9.9499999999999993" hidden="1" customHeight="1" x14ac:dyDescent="0.2"/>
    <row r="14970" ht="9.9499999999999993" hidden="1" customHeight="1" x14ac:dyDescent="0.2"/>
    <row r="14971" ht="9.9499999999999993" hidden="1" customHeight="1" x14ac:dyDescent="0.2"/>
    <row r="14972" ht="9.9499999999999993" hidden="1" customHeight="1" x14ac:dyDescent="0.2"/>
    <row r="14973" ht="9.9499999999999993" hidden="1" customHeight="1" x14ac:dyDescent="0.2"/>
    <row r="14974" ht="9.9499999999999993" hidden="1" customHeight="1" x14ac:dyDescent="0.2"/>
    <row r="14975" ht="9.9499999999999993" hidden="1" customHeight="1" x14ac:dyDescent="0.2"/>
    <row r="14976" ht="9.9499999999999993" hidden="1" customHeight="1" x14ac:dyDescent="0.2"/>
    <row r="14977" ht="9.9499999999999993" hidden="1" customHeight="1" x14ac:dyDescent="0.2"/>
    <row r="14978" ht="9.9499999999999993" hidden="1" customHeight="1" x14ac:dyDescent="0.2"/>
    <row r="14979" ht="9.9499999999999993" hidden="1" customHeight="1" x14ac:dyDescent="0.2"/>
    <row r="14980" ht="9.9499999999999993" hidden="1" customHeight="1" x14ac:dyDescent="0.2"/>
    <row r="14981" ht="9.9499999999999993" hidden="1" customHeight="1" x14ac:dyDescent="0.2"/>
    <row r="14982" ht="9.9499999999999993" hidden="1" customHeight="1" x14ac:dyDescent="0.2"/>
    <row r="14983" ht="9.9499999999999993" hidden="1" customHeight="1" x14ac:dyDescent="0.2"/>
    <row r="14984" ht="9.9499999999999993" hidden="1" customHeight="1" x14ac:dyDescent="0.2"/>
    <row r="14985" ht="9.9499999999999993" hidden="1" customHeight="1" x14ac:dyDescent="0.2"/>
    <row r="14986" ht="9.9499999999999993" hidden="1" customHeight="1" x14ac:dyDescent="0.2"/>
    <row r="14987" ht="9.9499999999999993" hidden="1" customHeight="1" x14ac:dyDescent="0.2"/>
    <row r="14988" ht="9.9499999999999993" hidden="1" customHeight="1" x14ac:dyDescent="0.2"/>
    <row r="14989" ht="9.9499999999999993" hidden="1" customHeight="1" x14ac:dyDescent="0.2"/>
    <row r="14990" ht="9.9499999999999993" hidden="1" customHeight="1" x14ac:dyDescent="0.2"/>
    <row r="14991" ht="9.9499999999999993" hidden="1" customHeight="1" x14ac:dyDescent="0.2"/>
    <row r="14992" ht="9.9499999999999993" hidden="1" customHeight="1" x14ac:dyDescent="0.2"/>
    <row r="14993" ht="9.9499999999999993" hidden="1" customHeight="1" x14ac:dyDescent="0.2"/>
    <row r="14994" ht="9.9499999999999993" hidden="1" customHeight="1" x14ac:dyDescent="0.2"/>
    <row r="14995" ht="9.9499999999999993" hidden="1" customHeight="1" x14ac:dyDescent="0.2"/>
    <row r="14996" ht="9.9499999999999993" hidden="1" customHeight="1" x14ac:dyDescent="0.2"/>
    <row r="14997" ht="9.9499999999999993" hidden="1" customHeight="1" x14ac:dyDescent="0.2"/>
    <row r="14998" ht="9.9499999999999993" hidden="1" customHeight="1" x14ac:dyDescent="0.2"/>
    <row r="14999" ht="9.9499999999999993" hidden="1" customHeight="1" x14ac:dyDescent="0.2"/>
    <row r="15000" ht="9.9499999999999993" hidden="1" customHeight="1" x14ac:dyDescent="0.2"/>
    <row r="15001" ht="9.9499999999999993" hidden="1" customHeight="1" x14ac:dyDescent="0.2"/>
    <row r="15002" ht="9.9499999999999993" hidden="1" customHeight="1" x14ac:dyDescent="0.2"/>
    <row r="15003" ht="9.9499999999999993" hidden="1" customHeight="1" x14ac:dyDescent="0.2"/>
    <row r="15004" ht="9.9499999999999993" hidden="1" customHeight="1" x14ac:dyDescent="0.2"/>
    <row r="15005" ht="9.9499999999999993" hidden="1" customHeight="1" x14ac:dyDescent="0.2"/>
    <row r="15006" ht="9.9499999999999993" hidden="1" customHeight="1" x14ac:dyDescent="0.2"/>
    <row r="15007" ht="9.9499999999999993" hidden="1" customHeight="1" x14ac:dyDescent="0.2"/>
    <row r="15008" ht="9.9499999999999993" hidden="1" customHeight="1" x14ac:dyDescent="0.2"/>
    <row r="15009" ht="9.9499999999999993" hidden="1" customHeight="1" x14ac:dyDescent="0.2"/>
    <row r="15010" ht="9.9499999999999993" hidden="1" customHeight="1" x14ac:dyDescent="0.2"/>
    <row r="15011" ht="9.9499999999999993" hidden="1" customHeight="1" x14ac:dyDescent="0.2"/>
    <row r="15012" ht="9.9499999999999993" hidden="1" customHeight="1" x14ac:dyDescent="0.2"/>
    <row r="15013" ht="9.9499999999999993" hidden="1" customHeight="1" x14ac:dyDescent="0.2"/>
    <row r="15014" ht="9.9499999999999993" hidden="1" customHeight="1" x14ac:dyDescent="0.2"/>
    <row r="15015" ht="9.9499999999999993" hidden="1" customHeight="1" x14ac:dyDescent="0.2"/>
    <row r="15016" ht="9.9499999999999993" hidden="1" customHeight="1" x14ac:dyDescent="0.2"/>
    <row r="15017" ht="9.9499999999999993" hidden="1" customHeight="1" x14ac:dyDescent="0.2"/>
    <row r="15018" ht="9.9499999999999993" hidden="1" customHeight="1" x14ac:dyDescent="0.2"/>
    <row r="15019" ht="9.9499999999999993" hidden="1" customHeight="1" x14ac:dyDescent="0.2"/>
    <row r="15020" ht="9.9499999999999993" hidden="1" customHeight="1" x14ac:dyDescent="0.2"/>
    <row r="15021" ht="9.9499999999999993" hidden="1" customHeight="1" x14ac:dyDescent="0.2"/>
    <row r="15022" ht="9.9499999999999993" hidden="1" customHeight="1" x14ac:dyDescent="0.2"/>
    <row r="15023" ht="9.9499999999999993" hidden="1" customHeight="1" x14ac:dyDescent="0.2"/>
    <row r="15024" ht="9.9499999999999993" hidden="1" customHeight="1" x14ac:dyDescent="0.2"/>
    <row r="15025" ht="9.9499999999999993" hidden="1" customHeight="1" x14ac:dyDescent="0.2"/>
    <row r="15026" ht="9.9499999999999993" hidden="1" customHeight="1" x14ac:dyDescent="0.2"/>
    <row r="15027" ht="9.9499999999999993" hidden="1" customHeight="1" x14ac:dyDescent="0.2"/>
    <row r="15028" ht="9.9499999999999993" hidden="1" customHeight="1" x14ac:dyDescent="0.2"/>
    <row r="15029" ht="9.9499999999999993" hidden="1" customHeight="1" x14ac:dyDescent="0.2"/>
    <row r="15030" ht="9.9499999999999993" hidden="1" customHeight="1" x14ac:dyDescent="0.2"/>
    <row r="15031" ht="9.9499999999999993" hidden="1" customHeight="1" x14ac:dyDescent="0.2"/>
    <row r="15032" ht="9.9499999999999993" hidden="1" customHeight="1" x14ac:dyDescent="0.2"/>
    <row r="15033" ht="9.9499999999999993" hidden="1" customHeight="1" x14ac:dyDescent="0.2"/>
    <row r="15034" ht="9.9499999999999993" hidden="1" customHeight="1" x14ac:dyDescent="0.2"/>
    <row r="15035" ht="9.9499999999999993" hidden="1" customHeight="1" x14ac:dyDescent="0.2"/>
    <row r="15036" ht="9.9499999999999993" hidden="1" customHeight="1" x14ac:dyDescent="0.2"/>
    <row r="15037" ht="9.9499999999999993" hidden="1" customHeight="1" x14ac:dyDescent="0.2"/>
    <row r="15038" ht="9.9499999999999993" hidden="1" customHeight="1" x14ac:dyDescent="0.2"/>
    <row r="15039" ht="9.9499999999999993" hidden="1" customHeight="1" x14ac:dyDescent="0.2"/>
    <row r="15040" ht="9.9499999999999993" hidden="1" customHeight="1" x14ac:dyDescent="0.2"/>
    <row r="15041" ht="9.9499999999999993" hidden="1" customHeight="1" x14ac:dyDescent="0.2"/>
    <row r="15042" ht="9.9499999999999993" hidden="1" customHeight="1" x14ac:dyDescent="0.2"/>
    <row r="15043" ht="9.9499999999999993" hidden="1" customHeight="1" x14ac:dyDescent="0.2"/>
    <row r="15044" ht="9.9499999999999993" hidden="1" customHeight="1" x14ac:dyDescent="0.2"/>
    <row r="15045" ht="9.9499999999999993" hidden="1" customHeight="1" x14ac:dyDescent="0.2"/>
    <row r="15046" ht="9.9499999999999993" hidden="1" customHeight="1" x14ac:dyDescent="0.2"/>
    <row r="15047" ht="9.9499999999999993" hidden="1" customHeight="1" x14ac:dyDescent="0.2"/>
    <row r="15048" ht="9.9499999999999993" hidden="1" customHeight="1" x14ac:dyDescent="0.2"/>
    <row r="15049" ht="9.9499999999999993" hidden="1" customHeight="1" x14ac:dyDescent="0.2"/>
    <row r="15050" ht="9.9499999999999993" hidden="1" customHeight="1" x14ac:dyDescent="0.2"/>
    <row r="15051" ht="9.9499999999999993" hidden="1" customHeight="1" x14ac:dyDescent="0.2"/>
    <row r="15052" ht="9.9499999999999993" hidden="1" customHeight="1" x14ac:dyDescent="0.2"/>
    <row r="15053" ht="9.9499999999999993" hidden="1" customHeight="1" x14ac:dyDescent="0.2"/>
    <row r="15054" ht="9.9499999999999993" hidden="1" customHeight="1" x14ac:dyDescent="0.2"/>
    <row r="15055" ht="9.9499999999999993" hidden="1" customHeight="1" x14ac:dyDescent="0.2"/>
    <row r="15056" ht="9.9499999999999993" hidden="1" customHeight="1" x14ac:dyDescent="0.2"/>
    <row r="15057" ht="9.9499999999999993" hidden="1" customHeight="1" x14ac:dyDescent="0.2"/>
    <row r="15058" ht="9.9499999999999993" hidden="1" customHeight="1" x14ac:dyDescent="0.2"/>
    <row r="15059" ht="9.9499999999999993" hidden="1" customHeight="1" x14ac:dyDescent="0.2"/>
    <row r="15060" ht="9.9499999999999993" hidden="1" customHeight="1" x14ac:dyDescent="0.2"/>
    <row r="15061" ht="9.9499999999999993" hidden="1" customHeight="1" x14ac:dyDescent="0.2"/>
    <row r="15062" ht="9.9499999999999993" hidden="1" customHeight="1" x14ac:dyDescent="0.2"/>
    <row r="15063" ht="9.9499999999999993" hidden="1" customHeight="1" x14ac:dyDescent="0.2"/>
    <row r="15064" ht="9.9499999999999993" hidden="1" customHeight="1" x14ac:dyDescent="0.2"/>
    <row r="15065" ht="9.9499999999999993" hidden="1" customHeight="1" x14ac:dyDescent="0.2"/>
    <row r="15066" ht="9.9499999999999993" hidden="1" customHeight="1" x14ac:dyDescent="0.2"/>
    <row r="15067" ht="9.9499999999999993" hidden="1" customHeight="1" x14ac:dyDescent="0.2"/>
    <row r="15068" ht="9.9499999999999993" hidden="1" customHeight="1" x14ac:dyDescent="0.2"/>
    <row r="15069" ht="9.9499999999999993" hidden="1" customHeight="1" x14ac:dyDescent="0.2"/>
    <row r="15070" ht="9.9499999999999993" hidden="1" customHeight="1" x14ac:dyDescent="0.2"/>
    <row r="15071" ht="9.9499999999999993" hidden="1" customHeight="1" x14ac:dyDescent="0.2"/>
    <row r="15072" ht="9.9499999999999993" hidden="1" customHeight="1" x14ac:dyDescent="0.2"/>
    <row r="15073" ht="9.9499999999999993" hidden="1" customHeight="1" x14ac:dyDescent="0.2"/>
    <row r="15074" ht="9.9499999999999993" hidden="1" customHeight="1" x14ac:dyDescent="0.2"/>
    <row r="15075" ht="9.9499999999999993" hidden="1" customHeight="1" x14ac:dyDescent="0.2"/>
    <row r="15076" ht="9.9499999999999993" hidden="1" customHeight="1" x14ac:dyDescent="0.2"/>
    <row r="15077" ht="9.9499999999999993" hidden="1" customHeight="1" x14ac:dyDescent="0.2"/>
    <row r="15078" ht="9.9499999999999993" hidden="1" customHeight="1" x14ac:dyDescent="0.2"/>
    <row r="15079" ht="9.9499999999999993" hidden="1" customHeight="1" x14ac:dyDescent="0.2"/>
    <row r="15080" ht="9.9499999999999993" hidden="1" customHeight="1" x14ac:dyDescent="0.2"/>
    <row r="15081" ht="9.9499999999999993" hidden="1" customHeight="1" x14ac:dyDescent="0.2"/>
    <row r="15082" ht="9.9499999999999993" hidden="1" customHeight="1" x14ac:dyDescent="0.2"/>
    <row r="15083" ht="9.9499999999999993" hidden="1" customHeight="1" x14ac:dyDescent="0.2"/>
    <row r="15084" ht="9.9499999999999993" hidden="1" customHeight="1" x14ac:dyDescent="0.2"/>
    <row r="15085" ht="9.9499999999999993" hidden="1" customHeight="1" x14ac:dyDescent="0.2"/>
    <row r="15086" ht="9.9499999999999993" hidden="1" customHeight="1" x14ac:dyDescent="0.2"/>
    <row r="15087" ht="9.9499999999999993" hidden="1" customHeight="1" x14ac:dyDescent="0.2"/>
    <row r="15088" ht="9.9499999999999993" hidden="1" customHeight="1" x14ac:dyDescent="0.2"/>
    <row r="15089" ht="9.9499999999999993" hidden="1" customHeight="1" x14ac:dyDescent="0.2"/>
    <row r="15090" ht="9.9499999999999993" hidden="1" customHeight="1" x14ac:dyDescent="0.2"/>
    <row r="15091" ht="9.9499999999999993" hidden="1" customHeight="1" x14ac:dyDescent="0.2"/>
    <row r="15092" ht="9.9499999999999993" hidden="1" customHeight="1" x14ac:dyDescent="0.2"/>
    <row r="15093" ht="9.9499999999999993" hidden="1" customHeight="1" x14ac:dyDescent="0.2"/>
    <row r="15094" ht="9.9499999999999993" hidden="1" customHeight="1" x14ac:dyDescent="0.2"/>
    <row r="15095" ht="9.9499999999999993" hidden="1" customHeight="1" x14ac:dyDescent="0.2"/>
    <row r="15096" ht="9.9499999999999993" hidden="1" customHeight="1" x14ac:dyDescent="0.2"/>
    <row r="15097" ht="9.9499999999999993" hidden="1" customHeight="1" x14ac:dyDescent="0.2"/>
    <row r="15098" ht="9.9499999999999993" hidden="1" customHeight="1" x14ac:dyDescent="0.2"/>
    <row r="15099" ht="9.9499999999999993" hidden="1" customHeight="1" x14ac:dyDescent="0.2"/>
    <row r="15100" ht="9.9499999999999993" hidden="1" customHeight="1" x14ac:dyDescent="0.2"/>
    <row r="15101" ht="9.9499999999999993" hidden="1" customHeight="1" x14ac:dyDescent="0.2"/>
    <row r="15102" ht="9.9499999999999993" hidden="1" customHeight="1" x14ac:dyDescent="0.2"/>
    <row r="15103" ht="9.9499999999999993" hidden="1" customHeight="1" x14ac:dyDescent="0.2"/>
    <row r="15104" ht="9.9499999999999993" hidden="1" customHeight="1" x14ac:dyDescent="0.2"/>
    <row r="15105" ht="9.9499999999999993" hidden="1" customHeight="1" x14ac:dyDescent="0.2"/>
    <row r="15106" ht="9.9499999999999993" hidden="1" customHeight="1" x14ac:dyDescent="0.2"/>
    <row r="15107" ht="9.9499999999999993" hidden="1" customHeight="1" x14ac:dyDescent="0.2"/>
    <row r="15108" ht="9.9499999999999993" hidden="1" customHeight="1" x14ac:dyDescent="0.2"/>
    <row r="15109" ht="9.9499999999999993" hidden="1" customHeight="1" x14ac:dyDescent="0.2"/>
    <row r="15110" ht="9.9499999999999993" hidden="1" customHeight="1" x14ac:dyDescent="0.2"/>
    <row r="15111" ht="9.9499999999999993" hidden="1" customHeight="1" x14ac:dyDescent="0.2"/>
    <row r="15112" ht="9.9499999999999993" hidden="1" customHeight="1" x14ac:dyDescent="0.2"/>
    <row r="15113" ht="9.9499999999999993" hidden="1" customHeight="1" x14ac:dyDescent="0.2"/>
    <row r="15114" ht="9.9499999999999993" hidden="1" customHeight="1" x14ac:dyDescent="0.2"/>
    <row r="15115" ht="9.9499999999999993" hidden="1" customHeight="1" x14ac:dyDescent="0.2"/>
    <row r="15116" ht="9.9499999999999993" hidden="1" customHeight="1" x14ac:dyDescent="0.2"/>
    <row r="15117" ht="9.9499999999999993" hidden="1" customHeight="1" x14ac:dyDescent="0.2"/>
    <row r="15118" ht="9.9499999999999993" hidden="1" customHeight="1" x14ac:dyDescent="0.2"/>
    <row r="15119" ht="9.9499999999999993" hidden="1" customHeight="1" x14ac:dyDescent="0.2"/>
    <row r="15120" ht="9.9499999999999993" hidden="1" customHeight="1" x14ac:dyDescent="0.2"/>
    <row r="15121" ht="9.9499999999999993" hidden="1" customHeight="1" x14ac:dyDescent="0.2"/>
    <row r="15122" ht="9.9499999999999993" hidden="1" customHeight="1" x14ac:dyDescent="0.2"/>
    <row r="15123" ht="9.9499999999999993" hidden="1" customHeight="1" x14ac:dyDescent="0.2"/>
    <row r="15124" ht="9.9499999999999993" hidden="1" customHeight="1" x14ac:dyDescent="0.2"/>
    <row r="15125" ht="9.9499999999999993" hidden="1" customHeight="1" x14ac:dyDescent="0.2"/>
    <row r="15126" ht="9.9499999999999993" hidden="1" customHeight="1" x14ac:dyDescent="0.2"/>
    <row r="15127" ht="9.9499999999999993" hidden="1" customHeight="1" x14ac:dyDescent="0.2"/>
    <row r="15128" ht="9.9499999999999993" hidden="1" customHeight="1" x14ac:dyDescent="0.2"/>
    <row r="15129" ht="9.9499999999999993" hidden="1" customHeight="1" x14ac:dyDescent="0.2"/>
    <row r="15130" ht="9.9499999999999993" hidden="1" customHeight="1" x14ac:dyDescent="0.2"/>
    <row r="15131" ht="9.9499999999999993" hidden="1" customHeight="1" x14ac:dyDescent="0.2"/>
    <row r="15132" ht="9.9499999999999993" hidden="1" customHeight="1" x14ac:dyDescent="0.2"/>
    <row r="15133" ht="9.9499999999999993" hidden="1" customHeight="1" x14ac:dyDescent="0.2"/>
    <row r="15134" ht="9.9499999999999993" hidden="1" customHeight="1" x14ac:dyDescent="0.2"/>
    <row r="15135" ht="9.9499999999999993" hidden="1" customHeight="1" x14ac:dyDescent="0.2"/>
    <row r="15136" ht="9.9499999999999993" hidden="1" customHeight="1" x14ac:dyDescent="0.2"/>
    <row r="15137" ht="9.9499999999999993" hidden="1" customHeight="1" x14ac:dyDescent="0.2"/>
    <row r="15138" ht="9.9499999999999993" hidden="1" customHeight="1" x14ac:dyDescent="0.2"/>
    <row r="15139" ht="9.9499999999999993" hidden="1" customHeight="1" x14ac:dyDescent="0.2"/>
    <row r="15140" ht="9.9499999999999993" hidden="1" customHeight="1" x14ac:dyDescent="0.2"/>
    <row r="15141" ht="9.9499999999999993" hidden="1" customHeight="1" x14ac:dyDescent="0.2"/>
    <row r="15142" ht="9.9499999999999993" hidden="1" customHeight="1" x14ac:dyDescent="0.2"/>
    <row r="15143" ht="9.9499999999999993" hidden="1" customHeight="1" x14ac:dyDescent="0.2"/>
    <row r="15144" ht="9.9499999999999993" hidden="1" customHeight="1" x14ac:dyDescent="0.2"/>
    <row r="15145" ht="9.9499999999999993" hidden="1" customHeight="1" x14ac:dyDescent="0.2"/>
    <row r="15146" ht="9.9499999999999993" hidden="1" customHeight="1" x14ac:dyDescent="0.2"/>
    <row r="15147" ht="9.9499999999999993" hidden="1" customHeight="1" x14ac:dyDescent="0.2"/>
    <row r="15148" ht="9.9499999999999993" hidden="1" customHeight="1" x14ac:dyDescent="0.2"/>
    <row r="15149" ht="9.9499999999999993" hidden="1" customHeight="1" x14ac:dyDescent="0.2"/>
    <row r="15150" ht="9.9499999999999993" hidden="1" customHeight="1" x14ac:dyDescent="0.2"/>
    <row r="15151" ht="9.9499999999999993" hidden="1" customHeight="1" x14ac:dyDescent="0.2"/>
    <row r="15152" ht="9.9499999999999993" hidden="1" customHeight="1" x14ac:dyDescent="0.2"/>
    <row r="15153" ht="9.9499999999999993" hidden="1" customHeight="1" x14ac:dyDescent="0.2"/>
    <row r="15154" ht="9.9499999999999993" hidden="1" customHeight="1" x14ac:dyDescent="0.2"/>
    <row r="15155" ht="9.9499999999999993" hidden="1" customHeight="1" x14ac:dyDescent="0.2"/>
    <row r="15156" ht="9.9499999999999993" hidden="1" customHeight="1" x14ac:dyDescent="0.2"/>
    <row r="15157" ht="9.9499999999999993" hidden="1" customHeight="1" x14ac:dyDescent="0.2"/>
    <row r="15158" ht="9.9499999999999993" hidden="1" customHeight="1" x14ac:dyDescent="0.2"/>
    <row r="15159" ht="9.9499999999999993" hidden="1" customHeight="1" x14ac:dyDescent="0.2"/>
    <row r="15160" ht="9.9499999999999993" hidden="1" customHeight="1" x14ac:dyDescent="0.2"/>
    <row r="15161" ht="9.9499999999999993" hidden="1" customHeight="1" x14ac:dyDescent="0.2"/>
    <row r="15162" ht="9.9499999999999993" hidden="1" customHeight="1" x14ac:dyDescent="0.2"/>
    <row r="15163" ht="9.9499999999999993" hidden="1" customHeight="1" x14ac:dyDescent="0.2"/>
    <row r="15164" ht="9.9499999999999993" hidden="1" customHeight="1" x14ac:dyDescent="0.2"/>
    <row r="15165" ht="9.9499999999999993" hidden="1" customHeight="1" x14ac:dyDescent="0.2"/>
    <row r="15166" ht="9.9499999999999993" hidden="1" customHeight="1" x14ac:dyDescent="0.2"/>
    <row r="15167" ht="9.9499999999999993" hidden="1" customHeight="1" x14ac:dyDescent="0.2"/>
    <row r="15168" ht="9.9499999999999993" hidden="1" customHeight="1" x14ac:dyDescent="0.2"/>
    <row r="15169" ht="9.9499999999999993" hidden="1" customHeight="1" x14ac:dyDescent="0.2"/>
    <row r="15170" ht="9.9499999999999993" hidden="1" customHeight="1" x14ac:dyDescent="0.2"/>
    <row r="15171" ht="9.9499999999999993" hidden="1" customHeight="1" x14ac:dyDescent="0.2"/>
    <row r="15172" ht="9.9499999999999993" hidden="1" customHeight="1" x14ac:dyDescent="0.2"/>
    <row r="15173" ht="9.9499999999999993" hidden="1" customHeight="1" x14ac:dyDescent="0.2"/>
    <row r="15174" ht="9.9499999999999993" hidden="1" customHeight="1" x14ac:dyDescent="0.2"/>
    <row r="15175" ht="9.9499999999999993" hidden="1" customHeight="1" x14ac:dyDescent="0.2"/>
    <row r="15176" ht="9.9499999999999993" hidden="1" customHeight="1" x14ac:dyDescent="0.2"/>
    <row r="15177" ht="9.9499999999999993" hidden="1" customHeight="1" x14ac:dyDescent="0.2"/>
    <row r="15178" ht="9.9499999999999993" hidden="1" customHeight="1" x14ac:dyDescent="0.2"/>
    <row r="15179" ht="9.9499999999999993" hidden="1" customHeight="1" x14ac:dyDescent="0.2"/>
    <row r="15180" ht="9.9499999999999993" hidden="1" customHeight="1" x14ac:dyDescent="0.2"/>
    <row r="15181" ht="9.9499999999999993" hidden="1" customHeight="1" x14ac:dyDescent="0.2"/>
    <row r="15182" ht="9.9499999999999993" hidden="1" customHeight="1" x14ac:dyDescent="0.2"/>
    <row r="15183" ht="9.9499999999999993" hidden="1" customHeight="1" x14ac:dyDescent="0.2"/>
    <row r="15184" ht="9.9499999999999993" hidden="1" customHeight="1" x14ac:dyDescent="0.2"/>
    <row r="15185" ht="9.9499999999999993" hidden="1" customHeight="1" x14ac:dyDescent="0.2"/>
    <row r="15186" ht="9.9499999999999993" hidden="1" customHeight="1" x14ac:dyDescent="0.2"/>
    <row r="15187" ht="9.9499999999999993" hidden="1" customHeight="1" x14ac:dyDescent="0.2"/>
    <row r="15188" ht="9.9499999999999993" hidden="1" customHeight="1" x14ac:dyDescent="0.2"/>
    <row r="15189" ht="9.9499999999999993" hidden="1" customHeight="1" x14ac:dyDescent="0.2"/>
    <row r="15190" ht="9.9499999999999993" hidden="1" customHeight="1" x14ac:dyDescent="0.2"/>
    <row r="15191" ht="9.9499999999999993" hidden="1" customHeight="1" x14ac:dyDescent="0.2"/>
    <row r="15192" ht="9.9499999999999993" hidden="1" customHeight="1" x14ac:dyDescent="0.2"/>
    <row r="15193" ht="9.9499999999999993" hidden="1" customHeight="1" x14ac:dyDescent="0.2"/>
    <row r="15194" ht="9.9499999999999993" hidden="1" customHeight="1" x14ac:dyDescent="0.2"/>
    <row r="15195" ht="9.9499999999999993" hidden="1" customHeight="1" x14ac:dyDescent="0.2"/>
    <row r="15196" ht="9.9499999999999993" hidden="1" customHeight="1" x14ac:dyDescent="0.2"/>
    <row r="15197" ht="9.9499999999999993" hidden="1" customHeight="1" x14ac:dyDescent="0.2"/>
    <row r="15198" ht="9.9499999999999993" hidden="1" customHeight="1" x14ac:dyDescent="0.2"/>
    <row r="15199" ht="9.9499999999999993" hidden="1" customHeight="1" x14ac:dyDescent="0.2"/>
    <row r="15200" ht="9.9499999999999993" hidden="1" customHeight="1" x14ac:dyDescent="0.2"/>
    <row r="15201" ht="9.9499999999999993" hidden="1" customHeight="1" x14ac:dyDescent="0.2"/>
    <row r="15202" ht="9.9499999999999993" hidden="1" customHeight="1" x14ac:dyDescent="0.2"/>
    <row r="15203" ht="9.9499999999999993" hidden="1" customHeight="1" x14ac:dyDescent="0.2"/>
    <row r="15204" ht="9.9499999999999993" hidden="1" customHeight="1" x14ac:dyDescent="0.2"/>
    <row r="15205" ht="9.9499999999999993" hidden="1" customHeight="1" x14ac:dyDescent="0.2"/>
    <row r="15206" ht="9.9499999999999993" hidden="1" customHeight="1" x14ac:dyDescent="0.2"/>
    <row r="15207" ht="9.9499999999999993" hidden="1" customHeight="1" x14ac:dyDescent="0.2"/>
    <row r="15208" ht="9.9499999999999993" hidden="1" customHeight="1" x14ac:dyDescent="0.2"/>
    <row r="15209" ht="9.9499999999999993" hidden="1" customHeight="1" x14ac:dyDescent="0.2"/>
    <row r="15210" ht="9.9499999999999993" hidden="1" customHeight="1" x14ac:dyDescent="0.2"/>
    <row r="15211" ht="9.9499999999999993" hidden="1" customHeight="1" x14ac:dyDescent="0.2"/>
    <row r="15212" ht="9.9499999999999993" hidden="1" customHeight="1" x14ac:dyDescent="0.2"/>
    <row r="15213" ht="9.9499999999999993" hidden="1" customHeight="1" x14ac:dyDescent="0.2"/>
    <row r="15214" ht="9.9499999999999993" hidden="1" customHeight="1" x14ac:dyDescent="0.2"/>
    <row r="15215" ht="9.9499999999999993" hidden="1" customHeight="1" x14ac:dyDescent="0.2"/>
    <row r="15216" ht="9.9499999999999993" hidden="1" customHeight="1" x14ac:dyDescent="0.2"/>
    <row r="15217" ht="9.9499999999999993" hidden="1" customHeight="1" x14ac:dyDescent="0.2"/>
    <row r="15218" ht="9.9499999999999993" hidden="1" customHeight="1" x14ac:dyDescent="0.2"/>
    <row r="15219" ht="9.9499999999999993" hidden="1" customHeight="1" x14ac:dyDescent="0.2"/>
    <row r="15220" ht="9.9499999999999993" hidden="1" customHeight="1" x14ac:dyDescent="0.2"/>
    <row r="15221" ht="9.9499999999999993" hidden="1" customHeight="1" x14ac:dyDescent="0.2"/>
    <row r="15222" ht="9.9499999999999993" hidden="1" customHeight="1" x14ac:dyDescent="0.2"/>
    <row r="15223" ht="9.9499999999999993" hidden="1" customHeight="1" x14ac:dyDescent="0.2"/>
    <row r="15224" ht="9.9499999999999993" hidden="1" customHeight="1" x14ac:dyDescent="0.2"/>
    <row r="15225" ht="9.9499999999999993" hidden="1" customHeight="1" x14ac:dyDescent="0.2"/>
    <row r="15226" ht="9.9499999999999993" hidden="1" customHeight="1" x14ac:dyDescent="0.2"/>
    <row r="15227" ht="9.9499999999999993" hidden="1" customHeight="1" x14ac:dyDescent="0.2"/>
    <row r="15228" ht="9.9499999999999993" hidden="1" customHeight="1" x14ac:dyDescent="0.2"/>
    <row r="15229" ht="9.9499999999999993" hidden="1" customHeight="1" x14ac:dyDescent="0.2"/>
    <row r="15230" ht="9.9499999999999993" hidden="1" customHeight="1" x14ac:dyDescent="0.2"/>
    <row r="15231" ht="9.9499999999999993" hidden="1" customHeight="1" x14ac:dyDescent="0.2"/>
    <row r="15232" ht="9.9499999999999993" hidden="1" customHeight="1" x14ac:dyDescent="0.2"/>
    <row r="15233" ht="9.9499999999999993" hidden="1" customHeight="1" x14ac:dyDescent="0.2"/>
    <row r="15234" ht="9.9499999999999993" hidden="1" customHeight="1" x14ac:dyDescent="0.2"/>
    <row r="15235" ht="9.9499999999999993" hidden="1" customHeight="1" x14ac:dyDescent="0.2"/>
    <row r="15236" ht="9.9499999999999993" hidden="1" customHeight="1" x14ac:dyDescent="0.2"/>
    <row r="15237" ht="9.9499999999999993" hidden="1" customHeight="1" x14ac:dyDescent="0.2"/>
    <row r="15238" ht="9.9499999999999993" hidden="1" customHeight="1" x14ac:dyDescent="0.2"/>
    <row r="15239" ht="9.9499999999999993" hidden="1" customHeight="1" x14ac:dyDescent="0.2"/>
    <row r="15240" ht="9.9499999999999993" hidden="1" customHeight="1" x14ac:dyDescent="0.2"/>
    <row r="15241" ht="9.9499999999999993" hidden="1" customHeight="1" x14ac:dyDescent="0.2"/>
    <row r="15242" ht="9.9499999999999993" hidden="1" customHeight="1" x14ac:dyDescent="0.2"/>
    <row r="15243" ht="9.9499999999999993" hidden="1" customHeight="1" x14ac:dyDescent="0.2"/>
    <row r="15244" ht="9.9499999999999993" hidden="1" customHeight="1" x14ac:dyDescent="0.2"/>
    <row r="15245" ht="9.9499999999999993" hidden="1" customHeight="1" x14ac:dyDescent="0.2"/>
    <row r="15246" ht="9.9499999999999993" hidden="1" customHeight="1" x14ac:dyDescent="0.2"/>
    <row r="15247" ht="9.9499999999999993" hidden="1" customHeight="1" x14ac:dyDescent="0.2"/>
    <row r="15248" ht="9.9499999999999993" hidden="1" customHeight="1" x14ac:dyDescent="0.2"/>
    <row r="15249" ht="9.9499999999999993" hidden="1" customHeight="1" x14ac:dyDescent="0.2"/>
    <row r="15250" ht="9.9499999999999993" hidden="1" customHeight="1" x14ac:dyDescent="0.2"/>
    <row r="15251" ht="9.9499999999999993" hidden="1" customHeight="1" x14ac:dyDescent="0.2"/>
    <row r="15252" ht="9.9499999999999993" hidden="1" customHeight="1" x14ac:dyDescent="0.2"/>
    <row r="15253" ht="9.9499999999999993" hidden="1" customHeight="1" x14ac:dyDescent="0.2"/>
    <row r="15254" ht="9.9499999999999993" hidden="1" customHeight="1" x14ac:dyDescent="0.2"/>
    <row r="15255" ht="9.9499999999999993" hidden="1" customHeight="1" x14ac:dyDescent="0.2"/>
    <row r="15256" ht="9.9499999999999993" hidden="1" customHeight="1" x14ac:dyDescent="0.2"/>
    <row r="15257" ht="9.9499999999999993" hidden="1" customHeight="1" x14ac:dyDescent="0.2"/>
    <row r="15258" ht="9.9499999999999993" hidden="1" customHeight="1" x14ac:dyDescent="0.2"/>
    <row r="15259" ht="9.9499999999999993" hidden="1" customHeight="1" x14ac:dyDescent="0.2"/>
    <row r="15260" ht="9.9499999999999993" hidden="1" customHeight="1" x14ac:dyDescent="0.2"/>
    <row r="15261" ht="9.9499999999999993" hidden="1" customHeight="1" x14ac:dyDescent="0.2"/>
    <row r="15262" ht="9.9499999999999993" hidden="1" customHeight="1" x14ac:dyDescent="0.2"/>
    <row r="15263" ht="9.9499999999999993" hidden="1" customHeight="1" x14ac:dyDescent="0.2"/>
    <row r="15264" ht="9.9499999999999993" hidden="1" customHeight="1" x14ac:dyDescent="0.2"/>
    <row r="15265" ht="9.9499999999999993" hidden="1" customHeight="1" x14ac:dyDescent="0.2"/>
    <row r="15266" ht="9.9499999999999993" hidden="1" customHeight="1" x14ac:dyDescent="0.2"/>
    <row r="15267" ht="9.9499999999999993" hidden="1" customHeight="1" x14ac:dyDescent="0.2"/>
    <row r="15268" ht="9.9499999999999993" hidden="1" customHeight="1" x14ac:dyDescent="0.2"/>
    <row r="15269" ht="9.9499999999999993" hidden="1" customHeight="1" x14ac:dyDescent="0.2"/>
    <row r="15270" ht="9.9499999999999993" hidden="1" customHeight="1" x14ac:dyDescent="0.2"/>
    <row r="15271" ht="9.9499999999999993" hidden="1" customHeight="1" x14ac:dyDescent="0.2"/>
    <row r="15272" ht="9.9499999999999993" hidden="1" customHeight="1" x14ac:dyDescent="0.2"/>
    <row r="15273" ht="9.9499999999999993" hidden="1" customHeight="1" x14ac:dyDescent="0.2"/>
    <row r="15274" ht="9.9499999999999993" hidden="1" customHeight="1" x14ac:dyDescent="0.2"/>
    <row r="15275" ht="9.9499999999999993" hidden="1" customHeight="1" x14ac:dyDescent="0.2"/>
    <row r="15276" ht="9.9499999999999993" hidden="1" customHeight="1" x14ac:dyDescent="0.2"/>
    <row r="15277" ht="9.9499999999999993" hidden="1" customHeight="1" x14ac:dyDescent="0.2"/>
    <row r="15278" ht="9.9499999999999993" hidden="1" customHeight="1" x14ac:dyDescent="0.2"/>
    <row r="15279" ht="9.9499999999999993" hidden="1" customHeight="1" x14ac:dyDescent="0.2"/>
    <row r="15280" ht="9.9499999999999993" hidden="1" customHeight="1" x14ac:dyDescent="0.2"/>
    <row r="15281" ht="9.9499999999999993" hidden="1" customHeight="1" x14ac:dyDescent="0.2"/>
    <row r="15282" ht="9.9499999999999993" hidden="1" customHeight="1" x14ac:dyDescent="0.2"/>
    <row r="15283" ht="9.9499999999999993" hidden="1" customHeight="1" x14ac:dyDescent="0.2"/>
    <row r="15284" ht="9.9499999999999993" hidden="1" customHeight="1" x14ac:dyDescent="0.2"/>
    <row r="15285" ht="9.9499999999999993" hidden="1" customHeight="1" x14ac:dyDescent="0.2"/>
    <row r="15286" ht="9.9499999999999993" hidden="1" customHeight="1" x14ac:dyDescent="0.2"/>
    <row r="15287" ht="9.9499999999999993" hidden="1" customHeight="1" x14ac:dyDescent="0.2"/>
    <row r="15288" ht="9.9499999999999993" hidden="1" customHeight="1" x14ac:dyDescent="0.2"/>
    <row r="15289" ht="9.9499999999999993" hidden="1" customHeight="1" x14ac:dyDescent="0.2"/>
    <row r="15290" ht="9.9499999999999993" hidden="1" customHeight="1" x14ac:dyDescent="0.2"/>
    <row r="15291" ht="9.9499999999999993" hidden="1" customHeight="1" x14ac:dyDescent="0.2"/>
    <row r="15292" ht="9.9499999999999993" hidden="1" customHeight="1" x14ac:dyDescent="0.2"/>
    <row r="15293" ht="9.9499999999999993" hidden="1" customHeight="1" x14ac:dyDescent="0.2"/>
    <row r="15294" ht="9.9499999999999993" hidden="1" customHeight="1" x14ac:dyDescent="0.2"/>
    <row r="15295" ht="9.9499999999999993" hidden="1" customHeight="1" x14ac:dyDescent="0.2"/>
    <row r="15296" ht="9.9499999999999993" hidden="1" customHeight="1" x14ac:dyDescent="0.2"/>
    <row r="15297" ht="9.9499999999999993" hidden="1" customHeight="1" x14ac:dyDescent="0.2"/>
    <row r="15298" ht="9.9499999999999993" hidden="1" customHeight="1" x14ac:dyDescent="0.2"/>
    <row r="15299" ht="9.9499999999999993" hidden="1" customHeight="1" x14ac:dyDescent="0.2"/>
    <row r="15300" ht="9.9499999999999993" hidden="1" customHeight="1" x14ac:dyDescent="0.2"/>
    <row r="15301" ht="9.9499999999999993" hidden="1" customHeight="1" x14ac:dyDescent="0.2"/>
    <row r="15302" ht="9.9499999999999993" hidden="1" customHeight="1" x14ac:dyDescent="0.2"/>
    <row r="15303" ht="9.9499999999999993" hidden="1" customHeight="1" x14ac:dyDescent="0.2"/>
    <row r="15304" ht="9.9499999999999993" hidden="1" customHeight="1" x14ac:dyDescent="0.2"/>
    <row r="15305" ht="9.9499999999999993" hidden="1" customHeight="1" x14ac:dyDescent="0.2"/>
    <row r="15306" ht="9.9499999999999993" hidden="1" customHeight="1" x14ac:dyDescent="0.2"/>
    <row r="15307" ht="9.9499999999999993" hidden="1" customHeight="1" x14ac:dyDescent="0.2"/>
    <row r="15308" ht="9.9499999999999993" hidden="1" customHeight="1" x14ac:dyDescent="0.2"/>
    <row r="15309" ht="9.9499999999999993" hidden="1" customHeight="1" x14ac:dyDescent="0.2"/>
    <row r="15310" ht="9.9499999999999993" hidden="1" customHeight="1" x14ac:dyDescent="0.2"/>
    <row r="15311" ht="9.9499999999999993" hidden="1" customHeight="1" x14ac:dyDescent="0.2"/>
    <row r="15312" ht="9.9499999999999993" hidden="1" customHeight="1" x14ac:dyDescent="0.2"/>
    <row r="15313" ht="9.9499999999999993" hidden="1" customHeight="1" x14ac:dyDescent="0.2"/>
    <row r="15314" ht="9.9499999999999993" hidden="1" customHeight="1" x14ac:dyDescent="0.2"/>
    <row r="15315" ht="9.9499999999999993" hidden="1" customHeight="1" x14ac:dyDescent="0.2"/>
    <row r="15316" ht="9.9499999999999993" hidden="1" customHeight="1" x14ac:dyDescent="0.2"/>
    <row r="15317" ht="9.9499999999999993" hidden="1" customHeight="1" x14ac:dyDescent="0.2"/>
    <row r="15318" ht="9.9499999999999993" hidden="1" customHeight="1" x14ac:dyDescent="0.2"/>
    <row r="15319" ht="9.9499999999999993" hidden="1" customHeight="1" x14ac:dyDescent="0.2"/>
    <row r="15320" ht="9.9499999999999993" hidden="1" customHeight="1" x14ac:dyDescent="0.2"/>
    <row r="15321" ht="9.9499999999999993" hidden="1" customHeight="1" x14ac:dyDescent="0.2"/>
    <row r="15322" ht="9.9499999999999993" hidden="1" customHeight="1" x14ac:dyDescent="0.2"/>
    <row r="15323" ht="9.9499999999999993" hidden="1" customHeight="1" x14ac:dyDescent="0.2"/>
    <row r="15324" ht="9.9499999999999993" hidden="1" customHeight="1" x14ac:dyDescent="0.2"/>
    <row r="15325" ht="9.9499999999999993" hidden="1" customHeight="1" x14ac:dyDescent="0.2"/>
    <row r="15326" ht="9.9499999999999993" hidden="1" customHeight="1" x14ac:dyDescent="0.2"/>
    <row r="15327" ht="9.9499999999999993" hidden="1" customHeight="1" x14ac:dyDescent="0.2"/>
    <row r="15328" ht="9.9499999999999993" hidden="1" customHeight="1" x14ac:dyDescent="0.2"/>
    <row r="15329" ht="9.9499999999999993" hidden="1" customHeight="1" x14ac:dyDescent="0.2"/>
    <row r="15330" ht="9.9499999999999993" hidden="1" customHeight="1" x14ac:dyDescent="0.2"/>
    <row r="15331" ht="9.9499999999999993" hidden="1" customHeight="1" x14ac:dyDescent="0.2"/>
    <row r="15332" ht="9.9499999999999993" hidden="1" customHeight="1" x14ac:dyDescent="0.2"/>
    <row r="15333" ht="9.9499999999999993" hidden="1" customHeight="1" x14ac:dyDescent="0.2"/>
    <row r="15334" ht="9.9499999999999993" hidden="1" customHeight="1" x14ac:dyDescent="0.2"/>
    <row r="15335" ht="9.9499999999999993" hidden="1" customHeight="1" x14ac:dyDescent="0.2"/>
    <row r="15336" ht="9.9499999999999993" hidden="1" customHeight="1" x14ac:dyDescent="0.2"/>
    <row r="15337" ht="9.9499999999999993" hidden="1" customHeight="1" x14ac:dyDescent="0.2"/>
    <row r="15338" ht="9.9499999999999993" hidden="1" customHeight="1" x14ac:dyDescent="0.2"/>
    <row r="15339" ht="9.9499999999999993" hidden="1" customHeight="1" x14ac:dyDescent="0.2"/>
    <row r="15340" ht="9.9499999999999993" hidden="1" customHeight="1" x14ac:dyDescent="0.2"/>
    <row r="15341" ht="9.9499999999999993" hidden="1" customHeight="1" x14ac:dyDescent="0.2"/>
    <row r="15342" ht="9.9499999999999993" hidden="1" customHeight="1" x14ac:dyDescent="0.2"/>
    <row r="15343" ht="9.9499999999999993" hidden="1" customHeight="1" x14ac:dyDescent="0.2"/>
    <row r="15344" ht="9.9499999999999993" hidden="1" customHeight="1" x14ac:dyDescent="0.2"/>
    <row r="15345" ht="9.9499999999999993" hidden="1" customHeight="1" x14ac:dyDescent="0.2"/>
    <row r="15346" ht="9.9499999999999993" hidden="1" customHeight="1" x14ac:dyDescent="0.2"/>
    <row r="15347" ht="9.9499999999999993" hidden="1" customHeight="1" x14ac:dyDescent="0.2"/>
    <row r="15348" ht="9.9499999999999993" hidden="1" customHeight="1" x14ac:dyDescent="0.2"/>
    <row r="15349" ht="9.9499999999999993" hidden="1" customHeight="1" x14ac:dyDescent="0.2"/>
    <row r="15350" ht="9.9499999999999993" hidden="1" customHeight="1" x14ac:dyDescent="0.2"/>
    <row r="15351" ht="9.9499999999999993" hidden="1" customHeight="1" x14ac:dyDescent="0.2"/>
    <row r="15352" ht="9.9499999999999993" hidden="1" customHeight="1" x14ac:dyDescent="0.2"/>
    <row r="15353" ht="9.9499999999999993" hidden="1" customHeight="1" x14ac:dyDescent="0.2"/>
    <row r="15354" ht="9.9499999999999993" hidden="1" customHeight="1" x14ac:dyDescent="0.2"/>
    <row r="15355" ht="9.9499999999999993" hidden="1" customHeight="1" x14ac:dyDescent="0.2"/>
    <row r="15356" ht="9.9499999999999993" hidden="1" customHeight="1" x14ac:dyDescent="0.2"/>
    <row r="15357" ht="9.9499999999999993" hidden="1" customHeight="1" x14ac:dyDescent="0.2"/>
    <row r="15358" ht="9.9499999999999993" hidden="1" customHeight="1" x14ac:dyDescent="0.2"/>
    <row r="15359" ht="9.9499999999999993" hidden="1" customHeight="1" x14ac:dyDescent="0.2"/>
    <row r="15360" ht="9.9499999999999993" hidden="1" customHeight="1" x14ac:dyDescent="0.2"/>
    <row r="15361" ht="9.9499999999999993" hidden="1" customHeight="1" x14ac:dyDescent="0.2"/>
    <row r="15362" ht="9.9499999999999993" hidden="1" customHeight="1" x14ac:dyDescent="0.2"/>
    <row r="15363" ht="9.9499999999999993" hidden="1" customHeight="1" x14ac:dyDescent="0.2"/>
    <row r="15364" ht="9.9499999999999993" hidden="1" customHeight="1" x14ac:dyDescent="0.2"/>
    <row r="15365" ht="9.9499999999999993" hidden="1" customHeight="1" x14ac:dyDescent="0.2"/>
    <row r="15366" ht="9.9499999999999993" hidden="1" customHeight="1" x14ac:dyDescent="0.2"/>
    <row r="15367" ht="9.9499999999999993" hidden="1" customHeight="1" x14ac:dyDescent="0.2"/>
    <row r="15368" ht="9.9499999999999993" hidden="1" customHeight="1" x14ac:dyDescent="0.2"/>
    <row r="15369" ht="9.9499999999999993" hidden="1" customHeight="1" x14ac:dyDescent="0.2"/>
    <row r="15370" ht="9.9499999999999993" hidden="1" customHeight="1" x14ac:dyDescent="0.2"/>
    <row r="15371" ht="9.9499999999999993" hidden="1" customHeight="1" x14ac:dyDescent="0.2"/>
    <row r="15372" ht="9.9499999999999993" hidden="1" customHeight="1" x14ac:dyDescent="0.2"/>
    <row r="15373" ht="9.9499999999999993" hidden="1" customHeight="1" x14ac:dyDescent="0.2"/>
    <row r="15374" ht="9.9499999999999993" hidden="1" customHeight="1" x14ac:dyDescent="0.2"/>
    <row r="15375" ht="9.9499999999999993" hidden="1" customHeight="1" x14ac:dyDescent="0.2"/>
    <row r="15376" ht="9.9499999999999993" hidden="1" customHeight="1" x14ac:dyDescent="0.2"/>
    <row r="15377" ht="9.9499999999999993" hidden="1" customHeight="1" x14ac:dyDescent="0.2"/>
    <row r="15378" ht="9.9499999999999993" hidden="1" customHeight="1" x14ac:dyDescent="0.2"/>
    <row r="15379" ht="9.9499999999999993" hidden="1" customHeight="1" x14ac:dyDescent="0.2"/>
    <row r="15380" ht="9.9499999999999993" hidden="1" customHeight="1" x14ac:dyDescent="0.2"/>
    <row r="15381" ht="9.9499999999999993" hidden="1" customHeight="1" x14ac:dyDescent="0.2"/>
    <row r="15382" ht="9.9499999999999993" hidden="1" customHeight="1" x14ac:dyDescent="0.2"/>
    <row r="15383" ht="9.9499999999999993" hidden="1" customHeight="1" x14ac:dyDescent="0.2"/>
    <row r="15384" ht="9.9499999999999993" hidden="1" customHeight="1" x14ac:dyDescent="0.2"/>
    <row r="15385" ht="9.9499999999999993" hidden="1" customHeight="1" x14ac:dyDescent="0.2"/>
    <row r="15386" ht="9.9499999999999993" hidden="1" customHeight="1" x14ac:dyDescent="0.2"/>
    <row r="15387" ht="9.9499999999999993" hidden="1" customHeight="1" x14ac:dyDescent="0.2"/>
    <row r="15388" ht="9.9499999999999993" hidden="1" customHeight="1" x14ac:dyDescent="0.2"/>
    <row r="15389" ht="9.9499999999999993" hidden="1" customHeight="1" x14ac:dyDescent="0.2"/>
    <row r="15390" ht="9.9499999999999993" hidden="1" customHeight="1" x14ac:dyDescent="0.2"/>
    <row r="15391" ht="9.9499999999999993" hidden="1" customHeight="1" x14ac:dyDescent="0.2"/>
    <row r="15392" ht="9.9499999999999993" hidden="1" customHeight="1" x14ac:dyDescent="0.2"/>
    <row r="15393" ht="9.9499999999999993" hidden="1" customHeight="1" x14ac:dyDescent="0.2"/>
    <row r="15394" ht="9.9499999999999993" hidden="1" customHeight="1" x14ac:dyDescent="0.2"/>
    <row r="15395" ht="9.9499999999999993" hidden="1" customHeight="1" x14ac:dyDescent="0.2"/>
    <row r="15396" ht="9.9499999999999993" hidden="1" customHeight="1" x14ac:dyDescent="0.2"/>
    <row r="15397" ht="9.9499999999999993" hidden="1" customHeight="1" x14ac:dyDescent="0.2"/>
    <row r="15398" ht="9.9499999999999993" hidden="1" customHeight="1" x14ac:dyDescent="0.2"/>
    <row r="15399" ht="9.9499999999999993" hidden="1" customHeight="1" x14ac:dyDescent="0.2"/>
    <row r="15400" ht="9.9499999999999993" hidden="1" customHeight="1" x14ac:dyDescent="0.2"/>
    <row r="15401" ht="9.9499999999999993" hidden="1" customHeight="1" x14ac:dyDescent="0.2"/>
    <row r="15402" ht="9.9499999999999993" hidden="1" customHeight="1" x14ac:dyDescent="0.2"/>
    <row r="15403" ht="9.9499999999999993" hidden="1" customHeight="1" x14ac:dyDescent="0.2"/>
    <row r="15404" ht="9.9499999999999993" hidden="1" customHeight="1" x14ac:dyDescent="0.2"/>
    <row r="15405" ht="9.9499999999999993" hidden="1" customHeight="1" x14ac:dyDescent="0.2"/>
    <row r="15406" ht="9.9499999999999993" hidden="1" customHeight="1" x14ac:dyDescent="0.2"/>
    <row r="15407" ht="9.9499999999999993" hidden="1" customHeight="1" x14ac:dyDescent="0.2"/>
    <row r="15408" ht="9.9499999999999993" hidden="1" customHeight="1" x14ac:dyDescent="0.2"/>
    <row r="15409" ht="9.9499999999999993" hidden="1" customHeight="1" x14ac:dyDescent="0.2"/>
    <row r="15410" ht="9.9499999999999993" hidden="1" customHeight="1" x14ac:dyDescent="0.2"/>
    <row r="15411" ht="9.9499999999999993" hidden="1" customHeight="1" x14ac:dyDescent="0.2"/>
    <row r="15412" ht="9.9499999999999993" hidden="1" customHeight="1" x14ac:dyDescent="0.2"/>
    <row r="15413" ht="9.9499999999999993" hidden="1" customHeight="1" x14ac:dyDescent="0.2"/>
    <row r="15414" ht="9.9499999999999993" hidden="1" customHeight="1" x14ac:dyDescent="0.2"/>
    <row r="15415" ht="9.9499999999999993" hidden="1" customHeight="1" x14ac:dyDescent="0.2"/>
    <row r="15416" ht="9.9499999999999993" hidden="1" customHeight="1" x14ac:dyDescent="0.2"/>
    <row r="15417" ht="9.9499999999999993" hidden="1" customHeight="1" x14ac:dyDescent="0.2"/>
    <row r="15418" ht="9.9499999999999993" hidden="1" customHeight="1" x14ac:dyDescent="0.2"/>
    <row r="15419" ht="9.9499999999999993" hidden="1" customHeight="1" x14ac:dyDescent="0.2"/>
    <row r="15420" ht="9.9499999999999993" hidden="1" customHeight="1" x14ac:dyDescent="0.2"/>
    <row r="15421" ht="9.9499999999999993" hidden="1" customHeight="1" x14ac:dyDescent="0.2"/>
    <row r="15422" ht="9.9499999999999993" hidden="1" customHeight="1" x14ac:dyDescent="0.2"/>
    <row r="15423" ht="9.9499999999999993" hidden="1" customHeight="1" x14ac:dyDescent="0.2"/>
    <row r="15424" ht="9.9499999999999993" hidden="1" customHeight="1" x14ac:dyDescent="0.2"/>
    <row r="15425" ht="9.9499999999999993" hidden="1" customHeight="1" x14ac:dyDescent="0.2"/>
    <row r="15426" ht="9.9499999999999993" hidden="1" customHeight="1" x14ac:dyDescent="0.2"/>
    <row r="15427" ht="9.9499999999999993" hidden="1" customHeight="1" x14ac:dyDescent="0.2"/>
    <row r="15428" ht="9.9499999999999993" hidden="1" customHeight="1" x14ac:dyDescent="0.2"/>
    <row r="15429" ht="9.9499999999999993" hidden="1" customHeight="1" x14ac:dyDescent="0.2"/>
    <row r="15430" ht="9.9499999999999993" hidden="1" customHeight="1" x14ac:dyDescent="0.2"/>
    <row r="15431" ht="9.9499999999999993" hidden="1" customHeight="1" x14ac:dyDescent="0.2"/>
    <row r="15432" ht="9.9499999999999993" hidden="1" customHeight="1" x14ac:dyDescent="0.2"/>
    <row r="15433" ht="9.9499999999999993" hidden="1" customHeight="1" x14ac:dyDescent="0.2"/>
    <row r="15434" ht="9.9499999999999993" hidden="1" customHeight="1" x14ac:dyDescent="0.2"/>
    <row r="15435" ht="9.9499999999999993" hidden="1" customHeight="1" x14ac:dyDescent="0.2"/>
    <row r="15436" ht="9.9499999999999993" hidden="1" customHeight="1" x14ac:dyDescent="0.2"/>
    <row r="15437" ht="9.9499999999999993" hidden="1" customHeight="1" x14ac:dyDescent="0.2"/>
    <row r="15438" ht="9.9499999999999993" hidden="1" customHeight="1" x14ac:dyDescent="0.2"/>
    <row r="15439" ht="9.9499999999999993" hidden="1" customHeight="1" x14ac:dyDescent="0.2"/>
    <row r="15440" ht="9.9499999999999993" hidden="1" customHeight="1" x14ac:dyDescent="0.2"/>
    <row r="15441" ht="9.9499999999999993" hidden="1" customHeight="1" x14ac:dyDescent="0.2"/>
    <row r="15442" ht="9.9499999999999993" hidden="1" customHeight="1" x14ac:dyDescent="0.2"/>
    <row r="15443" ht="9.9499999999999993" hidden="1" customHeight="1" x14ac:dyDescent="0.2"/>
    <row r="15444" ht="9.9499999999999993" hidden="1" customHeight="1" x14ac:dyDescent="0.2"/>
    <row r="15445" ht="9.9499999999999993" hidden="1" customHeight="1" x14ac:dyDescent="0.2"/>
    <row r="15446" ht="9.9499999999999993" hidden="1" customHeight="1" x14ac:dyDescent="0.2"/>
    <row r="15447" ht="9.9499999999999993" hidden="1" customHeight="1" x14ac:dyDescent="0.2"/>
    <row r="15448" ht="9.9499999999999993" hidden="1" customHeight="1" x14ac:dyDescent="0.2"/>
    <row r="15449" ht="9.9499999999999993" hidden="1" customHeight="1" x14ac:dyDescent="0.2"/>
    <row r="15450" ht="9.9499999999999993" hidden="1" customHeight="1" x14ac:dyDescent="0.2"/>
    <row r="15451" ht="9.9499999999999993" hidden="1" customHeight="1" x14ac:dyDescent="0.2"/>
    <row r="15452" ht="9.9499999999999993" hidden="1" customHeight="1" x14ac:dyDescent="0.2"/>
    <row r="15453" ht="9.9499999999999993" hidden="1" customHeight="1" x14ac:dyDescent="0.2"/>
    <row r="15454" ht="9.9499999999999993" hidden="1" customHeight="1" x14ac:dyDescent="0.2"/>
    <row r="15455" ht="9.9499999999999993" hidden="1" customHeight="1" x14ac:dyDescent="0.2"/>
    <row r="15456" ht="9.9499999999999993" hidden="1" customHeight="1" x14ac:dyDescent="0.2"/>
    <row r="15457" ht="9.9499999999999993" hidden="1" customHeight="1" x14ac:dyDescent="0.2"/>
    <row r="15458" ht="9.9499999999999993" hidden="1" customHeight="1" x14ac:dyDescent="0.2"/>
    <row r="15459" ht="9.9499999999999993" hidden="1" customHeight="1" x14ac:dyDescent="0.2"/>
    <row r="15460" ht="9.9499999999999993" hidden="1" customHeight="1" x14ac:dyDescent="0.2"/>
    <row r="15461" ht="9.9499999999999993" hidden="1" customHeight="1" x14ac:dyDescent="0.2"/>
    <row r="15462" ht="9.9499999999999993" hidden="1" customHeight="1" x14ac:dyDescent="0.2"/>
    <row r="15463" ht="9.9499999999999993" hidden="1" customHeight="1" x14ac:dyDescent="0.2"/>
    <row r="15464" ht="9.9499999999999993" hidden="1" customHeight="1" x14ac:dyDescent="0.2"/>
    <row r="15465" ht="9.9499999999999993" hidden="1" customHeight="1" x14ac:dyDescent="0.2"/>
    <row r="15466" ht="9.9499999999999993" hidden="1" customHeight="1" x14ac:dyDescent="0.2"/>
    <row r="15467" ht="9.9499999999999993" hidden="1" customHeight="1" x14ac:dyDescent="0.2"/>
    <row r="15468" ht="9.9499999999999993" hidden="1" customHeight="1" x14ac:dyDescent="0.2"/>
    <row r="15469" ht="9.9499999999999993" hidden="1" customHeight="1" x14ac:dyDescent="0.2"/>
    <row r="15470" ht="9.9499999999999993" hidden="1" customHeight="1" x14ac:dyDescent="0.2"/>
    <row r="15471" ht="9.9499999999999993" hidden="1" customHeight="1" x14ac:dyDescent="0.2"/>
    <row r="15472" ht="9.9499999999999993" hidden="1" customHeight="1" x14ac:dyDescent="0.2"/>
    <row r="15473" ht="9.9499999999999993" hidden="1" customHeight="1" x14ac:dyDescent="0.2"/>
    <row r="15474" ht="9.9499999999999993" hidden="1" customHeight="1" x14ac:dyDescent="0.2"/>
    <row r="15475" ht="9.9499999999999993" hidden="1" customHeight="1" x14ac:dyDescent="0.2"/>
    <row r="15476" ht="9.9499999999999993" hidden="1" customHeight="1" x14ac:dyDescent="0.2"/>
    <row r="15477" ht="9.9499999999999993" hidden="1" customHeight="1" x14ac:dyDescent="0.2"/>
    <row r="15478" ht="9.9499999999999993" hidden="1" customHeight="1" x14ac:dyDescent="0.2"/>
    <row r="15479" ht="9.9499999999999993" hidden="1" customHeight="1" x14ac:dyDescent="0.2"/>
    <row r="15480" ht="9.9499999999999993" hidden="1" customHeight="1" x14ac:dyDescent="0.2"/>
    <row r="15481" ht="9.9499999999999993" hidden="1" customHeight="1" x14ac:dyDescent="0.2"/>
    <row r="15482" ht="9.9499999999999993" hidden="1" customHeight="1" x14ac:dyDescent="0.2"/>
    <row r="15483" ht="9.9499999999999993" hidden="1" customHeight="1" x14ac:dyDescent="0.2"/>
    <row r="15484" ht="9.9499999999999993" hidden="1" customHeight="1" x14ac:dyDescent="0.2"/>
    <row r="15485" ht="9.9499999999999993" hidden="1" customHeight="1" x14ac:dyDescent="0.2"/>
    <row r="15486" ht="9.9499999999999993" hidden="1" customHeight="1" x14ac:dyDescent="0.2"/>
    <row r="15487" ht="9.9499999999999993" hidden="1" customHeight="1" x14ac:dyDescent="0.2"/>
    <row r="15488" ht="9.9499999999999993" hidden="1" customHeight="1" x14ac:dyDescent="0.2"/>
    <row r="15489" ht="9.9499999999999993" hidden="1" customHeight="1" x14ac:dyDescent="0.2"/>
    <row r="15490" ht="9.9499999999999993" hidden="1" customHeight="1" x14ac:dyDescent="0.2"/>
    <row r="15491" ht="9.9499999999999993" hidden="1" customHeight="1" x14ac:dyDescent="0.2"/>
    <row r="15492" ht="9.9499999999999993" hidden="1" customHeight="1" x14ac:dyDescent="0.2"/>
    <row r="15493" ht="9.9499999999999993" hidden="1" customHeight="1" x14ac:dyDescent="0.2"/>
    <row r="15494" ht="9.9499999999999993" hidden="1" customHeight="1" x14ac:dyDescent="0.2"/>
    <row r="15495" ht="9.9499999999999993" hidden="1" customHeight="1" x14ac:dyDescent="0.2"/>
    <row r="15496" ht="9.9499999999999993" hidden="1" customHeight="1" x14ac:dyDescent="0.2"/>
    <row r="15497" ht="9.9499999999999993" hidden="1" customHeight="1" x14ac:dyDescent="0.2"/>
    <row r="15498" ht="9.9499999999999993" hidden="1" customHeight="1" x14ac:dyDescent="0.2"/>
    <row r="15499" ht="9.9499999999999993" hidden="1" customHeight="1" x14ac:dyDescent="0.2"/>
    <row r="15500" ht="9.9499999999999993" hidden="1" customHeight="1" x14ac:dyDescent="0.2"/>
    <row r="15501" ht="9.9499999999999993" hidden="1" customHeight="1" x14ac:dyDescent="0.2"/>
    <row r="15502" ht="9.9499999999999993" hidden="1" customHeight="1" x14ac:dyDescent="0.2"/>
    <row r="15503" ht="9.9499999999999993" hidden="1" customHeight="1" x14ac:dyDescent="0.2"/>
    <row r="15504" ht="9.9499999999999993" hidden="1" customHeight="1" x14ac:dyDescent="0.2"/>
    <row r="15505" ht="9.9499999999999993" hidden="1" customHeight="1" x14ac:dyDescent="0.2"/>
    <row r="15506" ht="9.9499999999999993" hidden="1" customHeight="1" x14ac:dyDescent="0.2"/>
    <row r="15507" ht="9.9499999999999993" hidden="1" customHeight="1" x14ac:dyDescent="0.2"/>
    <row r="15508" ht="9.9499999999999993" hidden="1" customHeight="1" x14ac:dyDescent="0.2"/>
    <row r="15509" ht="9.9499999999999993" hidden="1" customHeight="1" x14ac:dyDescent="0.2"/>
    <row r="15510" ht="9.9499999999999993" hidden="1" customHeight="1" x14ac:dyDescent="0.2"/>
    <row r="15511" ht="9.9499999999999993" hidden="1" customHeight="1" x14ac:dyDescent="0.2"/>
    <row r="15512" ht="9.9499999999999993" hidden="1" customHeight="1" x14ac:dyDescent="0.2"/>
    <row r="15513" ht="9.9499999999999993" hidden="1" customHeight="1" x14ac:dyDescent="0.2"/>
    <row r="15514" ht="9.9499999999999993" hidden="1" customHeight="1" x14ac:dyDescent="0.2"/>
    <row r="15515" ht="9.9499999999999993" hidden="1" customHeight="1" x14ac:dyDescent="0.2"/>
    <row r="15516" ht="9.9499999999999993" hidden="1" customHeight="1" x14ac:dyDescent="0.2"/>
    <row r="15517" ht="9.9499999999999993" hidden="1" customHeight="1" x14ac:dyDescent="0.2"/>
    <row r="15518" ht="9.9499999999999993" hidden="1" customHeight="1" x14ac:dyDescent="0.2"/>
    <row r="15519" ht="9.9499999999999993" hidden="1" customHeight="1" x14ac:dyDescent="0.2"/>
    <row r="15520" ht="9.9499999999999993" hidden="1" customHeight="1" x14ac:dyDescent="0.2"/>
    <row r="15521" ht="9.9499999999999993" hidden="1" customHeight="1" x14ac:dyDescent="0.2"/>
    <row r="15522" ht="9.9499999999999993" hidden="1" customHeight="1" x14ac:dyDescent="0.2"/>
    <row r="15523" ht="9.9499999999999993" hidden="1" customHeight="1" x14ac:dyDescent="0.2"/>
    <row r="15524" ht="9.9499999999999993" hidden="1" customHeight="1" x14ac:dyDescent="0.2"/>
    <row r="15525" ht="9.9499999999999993" hidden="1" customHeight="1" x14ac:dyDescent="0.2"/>
    <row r="15526" ht="9.9499999999999993" hidden="1" customHeight="1" x14ac:dyDescent="0.2"/>
    <row r="15527" ht="9.9499999999999993" hidden="1" customHeight="1" x14ac:dyDescent="0.2"/>
    <row r="15528" ht="9.9499999999999993" hidden="1" customHeight="1" x14ac:dyDescent="0.2"/>
    <row r="15529" ht="9.9499999999999993" hidden="1" customHeight="1" x14ac:dyDescent="0.2"/>
    <row r="15530" ht="9.9499999999999993" hidden="1" customHeight="1" x14ac:dyDescent="0.2"/>
    <row r="15531" ht="9.9499999999999993" hidden="1" customHeight="1" x14ac:dyDescent="0.2"/>
    <row r="15532" ht="9.9499999999999993" hidden="1" customHeight="1" x14ac:dyDescent="0.2"/>
    <row r="15533" ht="9.9499999999999993" hidden="1" customHeight="1" x14ac:dyDescent="0.2"/>
    <row r="15534" ht="9.9499999999999993" hidden="1" customHeight="1" x14ac:dyDescent="0.2"/>
    <row r="15535" ht="9.9499999999999993" hidden="1" customHeight="1" x14ac:dyDescent="0.2"/>
    <row r="15536" ht="9.9499999999999993" hidden="1" customHeight="1" x14ac:dyDescent="0.2"/>
    <row r="15537" ht="9.9499999999999993" hidden="1" customHeight="1" x14ac:dyDescent="0.2"/>
    <row r="15538" ht="9.9499999999999993" hidden="1" customHeight="1" x14ac:dyDescent="0.2"/>
    <row r="15539" ht="9.9499999999999993" hidden="1" customHeight="1" x14ac:dyDescent="0.2"/>
    <row r="15540" ht="9.9499999999999993" hidden="1" customHeight="1" x14ac:dyDescent="0.2"/>
    <row r="15541" ht="9.9499999999999993" hidden="1" customHeight="1" x14ac:dyDescent="0.2"/>
    <row r="15542" ht="9.9499999999999993" hidden="1" customHeight="1" x14ac:dyDescent="0.2"/>
    <row r="15543" ht="9.9499999999999993" hidden="1" customHeight="1" x14ac:dyDescent="0.2"/>
    <row r="15544" ht="9.9499999999999993" hidden="1" customHeight="1" x14ac:dyDescent="0.2"/>
    <row r="15545" ht="9.9499999999999993" hidden="1" customHeight="1" x14ac:dyDescent="0.2"/>
    <row r="15546" ht="9.9499999999999993" hidden="1" customHeight="1" x14ac:dyDescent="0.2"/>
    <row r="15547" ht="9.9499999999999993" hidden="1" customHeight="1" x14ac:dyDescent="0.2"/>
    <row r="15548" ht="9.9499999999999993" hidden="1" customHeight="1" x14ac:dyDescent="0.2"/>
    <row r="15549" ht="9.9499999999999993" hidden="1" customHeight="1" x14ac:dyDescent="0.2"/>
    <row r="15550" ht="9.9499999999999993" hidden="1" customHeight="1" x14ac:dyDescent="0.2"/>
    <row r="15551" ht="9.9499999999999993" hidden="1" customHeight="1" x14ac:dyDescent="0.2"/>
    <row r="15552" ht="9.9499999999999993" hidden="1" customHeight="1" x14ac:dyDescent="0.2"/>
    <row r="15553" ht="9.9499999999999993" hidden="1" customHeight="1" x14ac:dyDescent="0.2"/>
    <row r="15554" ht="9.9499999999999993" hidden="1" customHeight="1" x14ac:dyDescent="0.2"/>
    <row r="15555" ht="9.9499999999999993" hidden="1" customHeight="1" x14ac:dyDescent="0.2"/>
    <row r="15556" ht="9.9499999999999993" hidden="1" customHeight="1" x14ac:dyDescent="0.2"/>
    <row r="15557" ht="9.9499999999999993" hidden="1" customHeight="1" x14ac:dyDescent="0.2"/>
    <row r="15558" ht="9.9499999999999993" hidden="1" customHeight="1" x14ac:dyDescent="0.2"/>
    <row r="15559" ht="9.9499999999999993" hidden="1" customHeight="1" x14ac:dyDescent="0.2"/>
    <row r="15560" ht="9.9499999999999993" hidden="1" customHeight="1" x14ac:dyDescent="0.2"/>
    <row r="15561" ht="9.9499999999999993" hidden="1" customHeight="1" x14ac:dyDescent="0.2"/>
    <row r="15562" ht="9.9499999999999993" hidden="1" customHeight="1" x14ac:dyDescent="0.2"/>
    <row r="15563" ht="9.9499999999999993" hidden="1" customHeight="1" x14ac:dyDescent="0.2"/>
    <row r="15564" ht="9.9499999999999993" hidden="1" customHeight="1" x14ac:dyDescent="0.2"/>
    <row r="15565" ht="9.9499999999999993" hidden="1" customHeight="1" x14ac:dyDescent="0.2"/>
    <row r="15566" ht="9.9499999999999993" hidden="1" customHeight="1" x14ac:dyDescent="0.2"/>
    <row r="15567" ht="9.9499999999999993" hidden="1" customHeight="1" x14ac:dyDescent="0.2"/>
    <row r="15568" ht="9.9499999999999993" hidden="1" customHeight="1" x14ac:dyDescent="0.2"/>
    <row r="15569" ht="9.9499999999999993" hidden="1" customHeight="1" x14ac:dyDescent="0.2"/>
    <row r="15570" ht="9.9499999999999993" hidden="1" customHeight="1" x14ac:dyDescent="0.2"/>
    <row r="15571" ht="9.9499999999999993" hidden="1" customHeight="1" x14ac:dyDescent="0.2"/>
    <row r="15572" ht="9.9499999999999993" hidden="1" customHeight="1" x14ac:dyDescent="0.2"/>
    <row r="15573" ht="9.9499999999999993" hidden="1" customHeight="1" x14ac:dyDescent="0.2"/>
    <row r="15574" ht="9.9499999999999993" hidden="1" customHeight="1" x14ac:dyDescent="0.2"/>
    <row r="15575" ht="9.9499999999999993" hidden="1" customHeight="1" x14ac:dyDescent="0.2"/>
    <row r="15576" ht="9.9499999999999993" hidden="1" customHeight="1" x14ac:dyDescent="0.2"/>
    <row r="15577" ht="9.9499999999999993" hidden="1" customHeight="1" x14ac:dyDescent="0.2"/>
    <row r="15578" ht="9.9499999999999993" hidden="1" customHeight="1" x14ac:dyDescent="0.2"/>
    <row r="15579" ht="9.9499999999999993" hidden="1" customHeight="1" x14ac:dyDescent="0.2"/>
    <row r="15580" ht="9.9499999999999993" hidden="1" customHeight="1" x14ac:dyDescent="0.2"/>
    <row r="15581" ht="9.9499999999999993" hidden="1" customHeight="1" x14ac:dyDescent="0.2"/>
    <row r="15582" ht="9.9499999999999993" hidden="1" customHeight="1" x14ac:dyDescent="0.2"/>
    <row r="15583" ht="9.9499999999999993" hidden="1" customHeight="1" x14ac:dyDescent="0.2"/>
    <row r="15584" ht="9.9499999999999993" hidden="1" customHeight="1" x14ac:dyDescent="0.2"/>
    <row r="15585" ht="9.9499999999999993" hidden="1" customHeight="1" x14ac:dyDescent="0.2"/>
    <row r="15586" ht="9.9499999999999993" hidden="1" customHeight="1" x14ac:dyDescent="0.2"/>
    <row r="15587" ht="9.9499999999999993" hidden="1" customHeight="1" x14ac:dyDescent="0.2"/>
    <row r="15588" ht="9.9499999999999993" hidden="1" customHeight="1" x14ac:dyDescent="0.2"/>
    <row r="15589" ht="9.9499999999999993" hidden="1" customHeight="1" x14ac:dyDescent="0.2"/>
    <row r="15590" ht="9.9499999999999993" hidden="1" customHeight="1" x14ac:dyDescent="0.2"/>
    <row r="15591" ht="9.9499999999999993" hidden="1" customHeight="1" x14ac:dyDescent="0.2"/>
    <row r="15592" ht="9.9499999999999993" hidden="1" customHeight="1" x14ac:dyDescent="0.2"/>
    <row r="15593" ht="9.9499999999999993" hidden="1" customHeight="1" x14ac:dyDescent="0.2"/>
    <row r="15594" ht="9.9499999999999993" hidden="1" customHeight="1" x14ac:dyDescent="0.2"/>
    <row r="15595" ht="9.9499999999999993" hidden="1" customHeight="1" x14ac:dyDescent="0.2"/>
    <row r="15596" ht="9.9499999999999993" hidden="1" customHeight="1" x14ac:dyDescent="0.2"/>
    <row r="15597" ht="9.9499999999999993" hidden="1" customHeight="1" x14ac:dyDescent="0.2"/>
    <row r="15598" ht="9.9499999999999993" hidden="1" customHeight="1" x14ac:dyDescent="0.2"/>
    <row r="15599" ht="9.9499999999999993" hidden="1" customHeight="1" x14ac:dyDescent="0.2"/>
    <row r="15600" ht="9.9499999999999993" hidden="1" customHeight="1" x14ac:dyDescent="0.2"/>
    <row r="15601" ht="9.9499999999999993" hidden="1" customHeight="1" x14ac:dyDescent="0.2"/>
    <row r="15602" ht="9.9499999999999993" hidden="1" customHeight="1" x14ac:dyDescent="0.2"/>
    <row r="15603" ht="9.9499999999999993" hidden="1" customHeight="1" x14ac:dyDescent="0.2"/>
    <row r="15604" ht="9.9499999999999993" hidden="1" customHeight="1" x14ac:dyDescent="0.2"/>
    <row r="15605" ht="9.9499999999999993" hidden="1" customHeight="1" x14ac:dyDescent="0.2"/>
    <row r="15606" ht="9.9499999999999993" hidden="1" customHeight="1" x14ac:dyDescent="0.2"/>
    <row r="15607" ht="9.9499999999999993" hidden="1" customHeight="1" x14ac:dyDescent="0.2"/>
    <row r="15608" ht="9.9499999999999993" hidden="1" customHeight="1" x14ac:dyDescent="0.2"/>
    <row r="15609" ht="9.9499999999999993" hidden="1" customHeight="1" x14ac:dyDescent="0.2"/>
    <row r="15610" ht="9.9499999999999993" hidden="1" customHeight="1" x14ac:dyDescent="0.2"/>
    <row r="15611" ht="9.9499999999999993" hidden="1" customHeight="1" x14ac:dyDescent="0.2"/>
    <row r="15612" ht="9.9499999999999993" hidden="1" customHeight="1" x14ac:dyDescent="0.2"/>
    <row r="15613" ht="9.9499999999999993" hidden="1" customHeight="1" x14ac:dyDescent="0.2"/>
    <row r="15614" ht="9.9499999999999993" hidden="1" customHeight="1" x14ac:dyDescent="0.2"/>
    <row r="15615" ht="9.9499999999999993" hidden="1" customHeight="1" x14ac:dyDescent="0.2"/>
    <row r="15616" ht="9.9499999999999993" hidden="1" customHeight="1" x14ac:dyDescent="0.2"/>
    <row r="15617" ht="9.9499999999999993" hidden="1" customHeight="1" x14ac:dyDescent="0.2"/>
    <row r="15618" ht="9.9499999999999993" hidden="1" customHeight="1" x14ac:dyDescent="0.2"/>
    <row r="15619" ht="9.9499999999999993" hidden="1" customHeight="1" x14ac:dyDescent="0.2"/>
    <row r="15620" ht="9.9499999999999993" hidden="1" customHeight="1" x14ac:dyDescent="0.2"/>
    <row r="15621" ht="9.9499999999999993" hidden="1" customHeight="1" x14ac:dyDescent="0.2"/>
    <row r="15622" ht="9.9499999999999993" hidden="1" customHeight="1" x14ac:dyDescent="0.2"/>
    <row r="15623" ht="9.9499999999999993" hidden="1" customHeight="1" x14ac:dyDescent="0.2"/>
    <row r="15624" ht="9.9499999999999993" hidden="1" customHeight="1" x14ac:dyDescent="0.2"/>
    <row r="15625" ht="9.9499999999999993" hidden="1" customHeight="1" x14ac:dyDescent="0.2"/>
    <row r="15626" ht="9.9499999999999993" hidden="1" customHeight="1" x14ac:dyDescent="0.2"/>
    <row r="15627" ht="9.9499999999999993" hidden="1" customHeight="1" x14ac:dyDescent="0.2"/>
    <row r="15628" ht="9.9499999999999993" hidden="1" customHeight="1" x14ac:dyDescent="0.2"/>
    <row r="15629" ht="9.9499999999999993" hidden="1" customHeight="1" x14ac:dyDescent="0.2"/>
    <row r="15630" ht="9.9499999999999993" hidden="1" customHeight="1" x14ac:dyDescent="0.2"/>
    <row r="15631" ht="9.9499999999999993" hidden="1" customHeight="1" x14ac:dyDescent="0.2"/>
    <row r="15632" ht="9.9499999999999993" hidden="1" customHeight="1" x14ac:dyDescent="0.2"/>
    <row r="15633" ht="9.9499999999999993" hidden="1" customHeight="1" x14ac:dyDescent="0.2"/>
    <row r="15634" ht="9.9499999999999993" hidden="1" customHeight="1" x14ac:dyDescent="0.2"/>
    <row r="15635" ht="9.9499999999999993" hidden="1" customHeight="1" x14ac:dyDescent="0.2"/>
    <row r="15636" ht="9.9499999999999993" hidden="1" customHeight="1" x14ac:dyDescent="0.2"/>
    <row r="15637" ht="9.9499999999999993" hidden="1" customHeight="1" x14ac:dyDescent="0.2"/>
    <row r="15638" ht="9.9499999999999993" hidden="1" customHeight="1" x14ac:dyDescent="0.2"/>
    <row r="15639" ht="9.9499999999999993" hidden="1" customHeight="1" x14ac:dyDescent="0.2"/>
    <row r="15640" ht="9.9499999999999993" hidden="1" customHeight="1" x14ac:dyDescent="0.2"/>
    <row r="15641" ht="9.9499999999999993" hidden="1" customHeight="1" x14ac:dyDescent="0.2"/>
    <row r="15642" ht="9.9499999999999993" hidden="1" customHeight="1" x14ac:dyDescent="0.2"/>
    <row r="15643" ht="9.9499999999999993" hidden="1" customHeight="1" x14ac:dyDescent="0.2"/>
    <row r="15644" ht="9.9499999999999993" hidden="1" customHeight="1" x14ac:dyDescent="0.2"/>
    <row r="15645" ht="9.9499999999999993" hidden="1" customHeight="1" x14ac:dyDescent="0.2"/>
    <row r="15646" ht="9.9499999999999993" hidden="1" customHeight="1" x14ac:dyDescent="0.2"/>
    <row r="15647" ht="9.9499999999999993" hidden="1" customHeight="1" x14ac:dyDescent="0.2"/>
    <row r="15648" ht="9.9499999999999993" hidden="1" customHeight="1" x14ac:dyDescent="0.2"/>
    <row r="15649" ht="9.9499999999999993" hidden="1" customHeight="1" x14ac:dyDescent="0.2"/>
    <row r="15650" ht="9.9499999999999993" hidden="1" customHeight="1" x14ac:dyDescent="0.2"/>
    <row r="15651" ht="9.9499999999999993" hidden="1" customHeight="1" x14ac:dyDescent="0.2"/>
    <row r="15652" ht="9.9499999999999993" hidden="1" customHeight="1" x14ac:dyDescent="0.2"/>
    <row r="15653" ht="9.9499999999999993" hidden="1" customHeight="1" x14ac:dyDescent="0.2"/>
    <row r="15654" ht="9.9499999999999993" hidden="1" customHeight="1" x14ac:dyDescent="0.2"/>
    <row r="15655" ht="9.9499999999999993" hidden="1" customHeight="1" x14ac:dyDescent="0.2"/>
    <row r="15656" ht="9.9499999999999993" hidden="1" customHeight="1" x14ac:dyDescent="0.2"/>
    <row r="15657" ht="9.9499999999999993" hidden="1" customHeight="1" x14ac:dyDescent="0.2"/>
    <row r="15658" ht="9.9499999999999993" hidden="1" customHeight="1" x14ac:dyDescent="0.2"/>
    <row r="15659" ht="9.9499999999999993" hidden="1" customHeight="1" x14ac:dyDescent="0.2"/>
    <row r="15660" ht="9.9499999999999993" hidden="1" customHeight="1" x14ac:dyDescent="0.2"/>
    <row r="15661" ht="9.9499999999999993" hidden="1" customHeight="1" x14ac:dyDescent="0.2"/>
    <row r="15662" ht="9.9499999999999993" hidden="1" customHeight="1" x14ac:dyDescent="0.2"/>
    <row r="15663" ht="9.9499999999999993" hidden="1" customHeight="1" x14ac:dyDescent="0.2"/>
    <row r="15664" ht="9.9499999999999993" hidden="1" customHeight="1" x14ac:dyDescent="0.2"/>
    <row r="15665" ht="9.9499999999999993" hidden="1" customHeight="1" x14ac:dyDescent="0.2"/>
    <row r="15666" ht="9.9499999999999993" hidden="1" customHeight="1" x14ac:dyDescent="0.2"/>
    <row r="15667" ht="9.9499999999999993" hidden="1" customHeight="1" x14ac:dyDescent="0.2"/>
    <row r="15668" ht="9.9499999999999993" hidden="1" customHeight="1" x14ac:dyDescent="0.2"/>
    <row r="15669" ht="9.9499999999999993" hidden="1" customHeight="1" x14ac:dyDescent="0.2"/>
    <row r="15670" ht="9.9499999999999993" hidden="1" customHeight="1" x14ac:dyDescent="0.2"/>
    <row r="15671" ht="9.9499999999999993" hidden="1" customHeight="1" x14ac:dyDescent="0.2"/>
    <row r="15672" ht="9.9499999999999993" hidden="1" customHeight="1" x14ac:dyDescent="0.2"/>
    <row r="15673" ht="9.9499999999999993" hidden="1" customHeight="1" x14ac:dyDescent="0.2"/>
    <row r="15674" ht="9.9499999999999993" hidden="1" customHeight="1" x14ac:dyDescent="0.2"/>
    <row r="15675" ht="9.9499999999999993" hidden="1" customHeight="1" x14ac:dyDescent="0.2"/>
    <row r="15676" ht="9.9499999999999993" hidden="1" customHeight="1" x14ac:dyDescent="0.2"/>
    <row r="15677" ht="9.9499999999999993" hidden="1" customHeight="1" x14ac:dyDescent="0.2"/>
    <row r="15678" ht="9.9499999999999993" hidden="1" customHeight="1" x14ac:dyDescent="0.2"/>
    <row r="15679" ht="9.9499999999999993" hidden="1" customHeight="1" x14ac:dyDescent="0.2"/>
    <row r="15680" ht="9.9499999999999993" hidden="1" customHeight="1" x14ac:dyDescent="0.2"/>
    <row r="15681" ht="9.9499999999999993" hidden="1" customHeight="1" x14ac:dyDescent="0.2"/>
    <row r="15682" ht="9.9499999999999993" hidden="1" customHeight="1" x14ac:dyDescent="0.2"/>
    <row r="15683" ht="9.9499999999999993" hidden="1" customHeight="1" x14ac:dyDescent="0.2"/>
    <row r="15684" ht="9.9499999999999993" hidden="1" customHeight="1" x14ac:dyDescent="0.2"/>
    <row r="15685" ht="9.9499999999999993" hidden="1" customHeight="1" x14ac:dyDescent="0.2"/>
    <row r="15686" ht="9.9499999999999993" hidden="1" customHeight="1" x14ac:dyDescent="0.2"/>
    <row r="15687" ht="9.9499999999999993" hidden="1" customHeight="1" x14ac:dyDescent="0.2"/>
    <row r="15688" ht="9.9499999999999993" hidden="1" customHeight="1" x14ac:dyDescent="0.2"/>
    <row r="15689" ht="9.9499999999999993" hidden="1" customHeight="1" x14ac:dyDescent="0.2"/>
    <row r="15690" ht="9.9499999999999993" hidden="1" customHeight="1" x14ac:dyDescent="0.2"/>
    <row r="15691" ht="9.9499999999999993" hidden="1" customHeight="1" x14ac:dyDescent="0.2"/>
    <row r="15692" ht="9.9499999999999993" hidden="1" customHeight="1" x14ac:dyDescent="0.2"/>
    <row r="15693" ht="9.9499999999999993" hidden="1" customHeight="1" x14ac:dyDescent="0.2"/>
    <row r="15694" ht="9.9499999999999993" hidden="1" customHeight="1" x14ac:dyDescent="0.2"/>
    <row r="15695" ht="9.9499999999999993" hidden="1" customHeight="1" x14ac:dyDescent="0.2"/>
    <row r="15696" ht="9.9499999999999993" hidden="1" customHeight="1" x14ac:dyDescent="0.2"/>
    <row r="15697" ht="9.9499999999999993" hidden="1" customHeight="1" x14ac:dyDescent="0.2"/>
    <row r="15698" ht="9.9499999999999993" hidden="1" customHeight="1" x14ac:dyDescent="0.2"/>
    <row r="15699" ht="9.9499999999999993" hidden="1" customHeight="1" x14ac:dyDescent="0.2"/>
    <row r="15700" ht="9.9499999999999993" hidden="1" customHeight="1" x14ac:dyDescent="0.2"/>
    <row r="15701" ht="9.9499999999999993" hidden="1" customHeight="1" x14ac:dyDescent="0.2"/>
    <row r="15702" ht="9.9499999999999993" hidden="1" customHeight="1" x14ac:dyDescent="0.2"/>
    <row r="15703" ht="9.9499999999999993" hidden="1" customHeight="1" x14ac:dyDescent="0.2"/>
    <row r="15704" ht="9.9499999999999993" hidden="1" customHeight="1" x14ac:dyDescent="0.2"/>
    <row r="15705" ht="9.9499999999999993" hidden="1" customHeight="1" x14ac:dyDescent="0.2"/>
    <row r="15706" ht="9.9499999999999993" hidden="1" customHeight="1" x14ac:dyDescent="0.2"/>
    <row r="15707" ht="9.9499999999999993" hidden="1" customHeight="1" x14ac:dyDescent="0.2"/>
    <row r="15708" ht="9.9499999999999993" hidden="1" customHeight="1" x14ac:dyDescent="0.2"/>
    <row r="15709" ht="9.9499999999999993" hidden="1" customHeight="1" x14ac:dyDescent="0.2"/>
    <row r="15710" ht="9.9499999999999993" hidden="1" customHeight="1" x14ac:dyDescent="0.2"/>
    <row r="15711" ht="9.9499999999999993" hidden="1" customHeight="1" x14ac:dyDescent="0.2"/>
    <row r="15712" ht="9.9499999999999993" hidden="1" customHeight="1" x14ac:dyDescent="0.2"/>
    <row r="15713" ht="9.9499999999999993" hidden="1" customHeight="1" x14ac:dyDescent="0.2"/>
    <row r="15714" ht="9.9499999999999993" hidden="1" customHeight="1" x14ac:dyDescent="0.2"/>
    <row r="15715" ht="9.9499999999999993" hidden="1" customHeight="1" x14ac:dyDescent="0.2"/>
    <row r="15716" ht="9.9499999999999993" hidden="1" customHeight="1" x14ac:dyDescent="0.2"/>
    <row r="15717" ht="9.9499999999999993" hidden="1" customHeight="1" x14ac:dyDescent="0.2"/>
    <row r="15718" ht="9.9499999999999993" hidden="1" customHeight="1" x14ac:dyDescent="0.2"/>
    <row r="15719" ht="9.9499999999999993" hidden="1" customHeight="1" x14ac:dyDescent="0.2"/>
    <row r="15720" ht="9.9499999999999993" hidden="1" customHeight="1" x14ac:dyDescent="0.2"/>
    <row r="15721" ht="9.9499999999999993" hidden="1" customHeight="1" x14ac:dyDescent="0.2"/>
    <row r="15722" ht="9.9499999999999993" hidden="1" customHeight="1" x14ac:dyDescent="0.2"/>
    <row r="15723" ht="9.9499999999999993" hidden="1" customHeight="1" x14ac:dyDescent="0.2"/>
    <row r="15724" ht="9.9499999999999993" hidden="1" customHeight="1" x14ac:dyDescent="0.2"/>
    <row r="15725" ht="9.9499999999999993" hidden="1" customHeight="1" x14ac:dyDescent="0.2"/>
    <row r="15726" ht="9.9499999999999993" hidden="1" customHeight="1" x14ac:dyDescent="0.2"/>
    <row r="15727" ht="9.9499999999999993" hidden="1" customHeight="1" x14ac:dyDescent="0.2"/>
    <row r="15728" ht="9.9499999999999993" hidden="1" customHeight="1" x14ac:dyDescent="0.2"/>
    <row r="15729" ht="9.9499999999999993" hidden="1" customHeight="1" x14ac:dyDescent="0.2"/>
    <row r="15730" ht="9.9499999999999993" hidden="1" customHeight="1" x14ac:dyDescent="0.2"/>
    <row r="15731" ht="9.9499999999999993" hidden="1" customHeight="1" x14ac:dyDescent="0.2"/>
    <row r="15732" ht="9.9499999999999993" hidden="1" customHeight="1" x14ac:dyDescent="0.2"/>
    <row r="15733" ht="9.9499999999999993" hidden="1" customHeight="1" x14ac:dyDescent="0.2"/>
    <row r="15734" ht="9.9499999999999993" hidden="1" customHeight="1" x14ac:dyDescent="0.2"/>
    <row r="15735" ht="9.9499999999999993" hidden="1" customHeight="1" x14ac:dyDescent="0.2"/>
    <row r="15736" ht="9.9499999999999993" hidden="1" customHeight="1" x14ac:dyDescent="0.2"/>
    <row r="15737" ht="9.9499999999999993" hidden="1" customHeight="1" x14ac:dyDescent="0.2"/>
    <row r="15738" ht="9.9499999999999993" hidden="1" customHeight="1" x14ac:dyDescent="0.2"/>
    <row r="15739" ht="9.9499999999999993" hidden="1" customHeight="1" x14ac:dyDescent="0.2"/>
    <row r="15740" ht="9.9499999999999993" hidden="1" customHeight="1" x14ac:dyDescent="0.2"/>
    <row r="15741" ht="9.9499999999999993" hidden="1" customHeight="1" x14ac:dyDescent="0.2"/>
    <row r="15742" ht="9.9499999999999993" hidden="1" customHeight="1" x14ac:dyDescent="0.2"/>
    <row r="15743" ht="9.9499999999999993" hidden="1" customHeight="1" x14ac:dyDescent="0.2"/>
    <row r="15744" ht="9.9499999999999993" hidden="1" customHeight="1" x14ac:dyDescent="0.2"/>
    <row r="15745" ht="9.9499999999999993" hidden="1" customHeight="1" x14ac:dyDescent="0.2"/>
    <row r="15746" ht="9.9499999999999993" hidden="1" customHeight="1" x14ac:dyDescent="0.2"/>
    <row r="15747" ht="9.9499999999999993" hidden="1" customHeight="1" x14ac:dyDescent="0.2"/>
    <row r="15748" ht="9.9499999999999993" hidden="1" customHeight="1" x14ac:dyDescent="0.2"/>
    <row r="15749" ht="9.9499999999999993" hidden="1" customHeight="1" x14ac:dyDescent="0.2"/>
    <row r="15750" ht="9.9499999999999993" hidden="1" customHeight="1" x14ac:dyDescent="0.2"/>
    <row r="15751" ht="9.9499999999999993" hidden="1" customHeight="1" x14ac:dyDescent="0.2"/>
    <row r="15752" ht="9.9499999999999993" hidden="1" customHeight="1" x14ac:dyDescent="0.2"/>
    <row r="15753" ht="9.9499999999999993" hidden="1" customHeight="1" x14ac:dyDescent="0.2"/>
    <row r="15754" ht="9.9499999999999993" hidden="1" customHeight="1" x14ac:dyDescent="0.2"/>
    <row r="15755" ht="9.9499999999999993" hidden="1" customHeight="1" x14ac:dyDescent="0.2"/>
    <row r="15756" ht="9.9499999999999993" hidden="1" customHeight="1" x14ac:dyDescent="0.2"/>
    <row r="15757" ht="9.9499999999999993" hidden="1" customHeight="1" x14ac:dyDescent="0.2"/>
    <row r="15758" ht="9.9499999999999993" hidden="1" customHeight="1" x14ac:dyDescent="0.2"/>
    <row r="15759" ht="9.9499999999999993" hidden="1" customHeight="1" x14ac:dyDescent="0.2"/>
    <row r="15760" ht="9.9499999999999993" hidden="1" customHeight="1" x14ac:dyDescent="0.2"/>
    <row r="15761" ht="9.9499999999999993" hidden="1" customHeight="1" x14ac:dyDescent="0.2"/>
    <row r="15762" ht="9.9499999999999993" hidden="1" customHeight="1" x14ac:dyDescent="0.2"/>
    <row r="15763" ht="9.9499999999999993" hidden="1" customHeight="1" x14ac:dyDescent="0.2"/>
    <row r="15764" ht="9.9499999999999993" hidden="1" customHeight="1" x14ac:dyDescent="0.2"/>
    <row r="15765" ht="9.9499999999999993" hidden="1" customHeight="1" x14ac:dyDescent="0.2"/>
    <row r="15766" ht="9.9499999999999993" hidden="1" customHeight="1" x14ac:dyDescent="0.2"/>
    <row r="15767" ht="9.9499999999999993" hidden="1" customHeight="1" x14ac:dyDescent="0.2"/>
    <row r="15768" ht="9.9499999999999993" hidden="1" customHeight="1" x14ac:dyDescent="0.2"/>
    <row r="15769" ht="9.9499999999999993" hidden="1" customHeight="1" x14ac:dyDescent="0.2"/>
    <row r="15770" ht="9.9499999999999993" hidden="1" customHeight="1" x14ac:dyDescent="0.2"/>
    <row r="15771" ht="9.9499999999999993" hidden="1" customHeight="1" x14ac:dyDescent="0.2"/>
    <row r="15772" ht="9.9499999999999993" hidden="1" customHeight="1" x14ac:dyDescent="0.2"/>
    <row r="15773" ht="9.9499999999999993" hidden="1" customHeight="1" x14ac:dyDescent="0.2"/>
    <row r="15774" ht="9.9499999999999993" hidden="1" customHeight="1" x14ac:dyDescent="0.2"/>
    <row r="15775" ht="9.9499999999999993" hidden="1" customHeight="1" x14ac:dyDescent="0.2"/>
    <row r="15776" ht="9.9499999999999993" hidden="1" customHeight="1" x14ac:dyDescent="0.2"/>
    <row r="15777" ht="9.9499999999999993" hidden="1" customHeight="1" x14ac:dyDescent="0.2"/>
    <row r="15778" ht="9.9499999999999993" hidden="1" customHeight="1" x14ac:dyDescent="0.2"/>
    <row r="15779" ht="9.9499999999999993" hidden="1" customHeight="1" x14ac:dyDescent="0.2"/>
    <row r="15780" ht="9.9499999999999993" hidden="1" customHeight="1" x14ac:dyDescent="0.2"/>
    <row r="15781" ht="9.9499999999999993" hidden="1" customHeight="1" x14ac:dyDescent="0.2"/>
    <row r="15782" ht="9.9499999999999993" hidden="1" customHeight="1" x14ac:dyDescent="0.2"/>
    <row r="15783" ht="9.9499999999999993" hidden="1" customHeight="1" x14ac:dyDescent="0.2"/>
    <row r="15784" ht="9.9499999999999993" hidden="1" customHeight="1" x14ac:dyDescent="0.2"/>
    <row r="15785" ht="9.9499999999999993" hidden="1" customHeight="1" x14ac:dyDescent="0.2"/>
    <row r="15786" ht="9.9499999999999993" hidden="1" customHeight="1" x14ac:dyDescent="0.2"/>
    <row r="15787" ht="9.9499999999999993" hidden="1" customHeight="1" x14ac:dyDescent="0.2"/>
    <row r="15788" ht="9.9499999999999993" hidden="1" customHeight="1" x14ac:dyDescent="0.2"/>
    <row r="15789" ht="9.9499999999999993" hidden="1" customHeight="1" x14ac:dyDescent="0.2"/>
    <row r="15790" ht="9.9499999999999993" hidden="1" customHeight="1" x14ac:dyDescent="0.2"/>
    <row r="15791" ht="9.9499999999999993" hidden="1" customHeight="1" x14ac:dyDescent="0.2"/>
    <row r="15792" ht="9.9499999999999993" hidden="1" customHeight="1" x14ac:dyDescent="0.2"/>
    <row r="15793" ht="9.9499999999999993" hidden="1" customHeight="1" x14ac:dyDescent="0.2"/>
    <row r="15794" ht="9.9499999999999993" hidden="1" customHeight="1" x14ac:dyDescent="0.2"/>
    <row r="15795" ht="9.9499999999999993" hidden="1" customHeight="1" x14ac:dyDescent="0.2"/>
    <row r="15796" ht="9.9499999999999993" hidden="1" customHeight="1" x14ac:dyDescent="0.2"/>
    <row r="15797" ht="9.9499999999999993" hidden="1" customHeight="1" x14ac:dyDescent="0.2"/>
    <row r="15798" ht="9.9499999999999993" hidden="1" customHeight="1" x14ac:dyDescent="0.2"/>
    <row r="15799" ht="9.9499999999999993" hidden="1" customHeight="1" x14ac:dyDescent="0.2"/>
    <row r="15800" ht="9.9499999999999993" hidden="1" customHeight="1" x14ac:dyDescent="0.2"/>
    <row r="15801" ht="9.9499999999999993" hidden="1" customHeight="1" x14ac:dyDescent="0.2"/>
    <row r="15802" ht="9.9499999999999993" hidden="1" customHeight="1" x14ac:dyDescent="0.2"/>
    <row r="15803" ht="9.9499999999999993" hidden="1" customHeight="1" x14ac:dyDescent="0.2"/>
    <row r="15804" ht="9.9499999999999993" hidden="1" customHeight="1" x14ac:dyDescent="0.2"/>
    <row r="15805" ht="9.9499999999999993" hidden="1" customHeight="1" x14ac:dyDescent="0.2"/>
    <row r="15806" ht="9.9499999999999993" hidden="1" customHeight="1" x14ac:dyDescent="0.2"/>
    <row r="15807" ht="9.9499999999999993" hidden="1" customHeight="1" x14ac:dyDescent="0.2"/>
    <row r="15808" ht="9.9499999999999993" hidden="1" customHeight="1" x14ac:dyDescent="0.2"/>
    <row r="15809" ht="9.9499999999999993" hidden="1" customHeight="1" x14ac:dyDescent="0.2"/>
    <row r="15810" ht="9.9499999999999993" hidden="1" customHeight="1" x14ac:dyDescent="0.2"/>
    <row r="15811" ht="9.9499999999999993" hidden="1" customHeight="1" x14ac:dyDescent="0.2"/>
    <row r="15812" ht="9.9499999999999993" hidden="1" customHeight="1" x14ac:dyDescent="0.2"/>
    <row r="15813" ht="9.9499999999999993" hidden="1" customHeight="1" x14ac:dyDescent="0.2"/>
    <row r="15814" ht="9.9499999999999993" hidden="1" customHeight="1" x14ac:dyDescent="0.2"/>
    <row r="15815" ht="9.9499999999999993" hidden="1" customHeight="1" x14ac:dyDescent="0.2"/>
    <row r="15816" ht="9.9499999999999993" hidden="1" customHeight="1" x14ac:dyDescent="0.2"/>
    <row r="15817" ht="9.9499999999999993" hidden="1" customHeight="1" x14ac:dyDescent="0.2"/>
    <row r="15818" ht="9.9499999999999993" hidden="1" customHeight="1" x14ac:dyDescent="0.2"/>
    <row r="15819" ht="9.9499999999999993" hidden="1" customHeight="1" x14ac:dyDescent="0.2"/>
    <row r="15820" ht="9.9499999999999993" hidden="1" customHeight="1" x14ac:dyDescent="0.2"/>
    <row r="15821" ht="9.9499999999999993" hidden="1" customHeight="1" x14ac:dyDescent="0.2"/>
    <row r="15822" ht="9.9499999999999993" hidden="1" customHeight="1" x14ac:dyDescent="0.2"/>
    <row r="15823" ht="9.9499999999999993" hidden="1" customHeight="1" x14ac:dyDescent="0.2"/>
    <row r="15824" ht="9.9499999999999993" hidden="1" customHeight="1" x14ac:dyDescent="0.2"/>
    <row r="15825" ht="9.9499999999999993" hidden="1" customHeight="1" x14ac:dyDescent="0.2"/>
    <row r="15826" ht="9.9499999999999993" hidden="1" customHeight="1" x14ac:dyDescent="0.2"/>
    <row r="15827" ht="9.9499999999999993" hidden="1" customHeight="1" x14ac:dyDescent="0.2"/>
    <row r="15828" ht="9.9499999999999993" hidden="1" customHeight="1" x14ac:dyDescent="0.2"/>
    <row r="15829" ht="9.9499999999999993" hidden="1" customHeight="1" x14ac:dyDescent="0.2"/>
    <row r="15830" ht="9.9499999999999993" hidden="1" customHeight="1" x14ac:dyDescent="0.2"/>
    <row r="15831" ht="9.9499999999999993" hidden="1" customHeight="1" x14ac:dyDescent="0.2"/>
    <row r="15832" ht="9.9499999999999993" hidden="1" customHeight="1" x14ac:dyDescent="0.2"/>
    <row r="15833" ht="9.9499999999999993" hidden="1" customHeight="1" x14ac:dyDescent="0.2"/>
    <row r="15834" ht="9.9499999999999993" hidden="1" customHeight="1" x14ac:dyDescent="0.2"/>
    <row r="15835" ht="9.9499999999999993" hidden="1" customHeight="1" x14ac:dyDescent="0.2"/>
    <row r="15836" ht="9.9499999999999993" hidden="1" customHeight="1" x14ac:dyDescent="0.2"/>
    <row r="15837" ht="9.9499999999999993" hidden="1" customHeight="1" x14ac:dyDescent="0.2"/>
    <row r="15838" ht="9.9499999999999993" hidden="1" customHeight="1" x14ac:dyDescent="0.2"/>
    <row r="15839" ht="9.9499999999999993" hidden="1" customHeight="1" x14ac:dyDescent="0.2"/>
    <row r="15840" ht="9.9499999999999993" hidden="1" customHeight="1" x14ac:dyDescent="0.2"/>
    <row r="15841" ht="9.9499999999999993" hidden="1" customHeight="1" x14ac:dyDescent="0.2"/>
    <row r="15842" ht="9.9499999999999993" hidden="1" customHeight="1" x14ac:dyDescent="0.2"/>
    <row r="15843" ht="9.9499999999999993" hidden="1" customHeight="1" x14ac:dyDescent="0.2"/>
    <row r="15844" ht="9.9499999999999993" hidden="1" customHeight="1" x14ac:dyDescent="0.2"/>
    <row r="15845" ht="9.9499999999999993" hidden="1" customHeight="1" x14ac:dyDescent="0.2"/>
    <row r="15846" ht="9.9499999999999993" hidden="1" customHeight="1" x14ac:dyDescent="0.2"/>
    <row r="15847" ht="9.9499999999999993" hidden="1" customHeight="1" x14ac:dyDescent="0.2"/>
    <row r="15848" ht="9.9499999999999993" hidden="1" customHeight="1" x14ac:dyDescent="0.2"/>
    <row r="15849" ht="9.9499999999999993" hidden="1" customHeight="1" x14ac:dyDescent="0.2"/>
    <row r="15850" ht="9.9499999999999993" hidden="1" customHeight="1" x14ac:dyDescent="0.2"/>
    <row r="15851" ht="9.9499999999999993" hidden="1" customHeight="1" x14ac:dyDescent="0.2"/>
    <row r="15852" ht="9.9499999999999993" hidden="1" customHeight="1" x14ac:dyDescent="0.2"/>
    <row r="15853" ht="9.9499999999999993" hidden="1" customHeight="1" x14ac:dyDescent="0.2"/>
    <row r="15854" ht="9.9499999999999993" hidden="1" customHeight="1" x14ac:dyDescent="0.2"/>
    <row r="15855" ht="9.9499999999999993" hidden="1" customHeight="1" x14ac:dyDescent="0.2"/>
    <row r="15856" ht="9.9499999999999993" hidden="1" customHeight="1" x14ac:dyDescent="0.2"/>
    <row r="15857" ht="9.9499999999999993" hidden="1" customHeight="1" x14ac:dyDescent="0.2"/>
    <row r="15858" ht="9.9499999999999993" hidden="1" customHeight="1" x14ac:dyDescent="0.2"/>
    <row r="15859" ht="9.9499999999999993" hidden="1" customHeight="1" x14ac:dyDescent="0.2"/>
    <row r="15860" ht="9.9499999999999993" hidden="1" customHeight="1" x14ac:dyDescent="0.2"/>
    <row r="15861" ht="9.9499999999999993" hidden="1" customHeight="1" x14ac:dyDescent="0.2"/>
    <row r="15862" ht="9.9499999999999993" hidden="1" customHeight="1" x14ac:dyDescent="0.2"/>
    <row r="15863" ht="9.9499999999999993" hidden="1" customHeight="1" x14ac:dyDescent="0.2"/>
    <row r="15864" ht="9.9499999999999993" hidden="1" customHeight="1" x14ac:dyDescent="0.2"/>
    <row r="15865" ht="9.9499999999999993" hidden="1" customHeight="1" x14ac:dyDescent="0.2"/>
    <row r="15866" ht="9.9499999999999993" hidden="1" customHeight="1" x14ac:dyDescent="0.2"/>
    <row r="15867" ht="9.9499999999999993" hidden="1" customHeight="1" x14ac:dyDescent="0.2"/>
    <row r="15868" ht="9.9499999999999993" hidden="1" customHeight="1" x14ac:dyDescent="0.2"/>
    <row r="15869" ht="9.9499999999999993" hidden="1" customHeight="1" x14ac:dyDescent="0.2"/>
    <row r="15870" ht="9.9499999999999993" hidden="1" customHeight="1" x14ac:dyDescent="0.2"/>
    <row r="15871" ht="9.9499999999999993" hidden="1" customHeight="1" x14ac:dyDescent="0.2"/>
    <row r="15872" ht="9.9499999999999993" hidden="1" customHeight="1" x14ac:dyDescent="0.2"/>
    <row r="15873" ht="9.9499999999999993" hidden="1" customHeight="1" x14ac:dyDescent="0.2"/>
    <row r="15874" ht="9.9499999999999993" hidden="1" customHeight="1" x14ac:dyDescent="0.2"/>
    <row r="15875" ht="9.9499999999999993" hidden="1" customHeight="1" x14ac:dyDescent="0.2"/>
    <row r="15876" ht="9.9499999999999993" hidden="1" customHeight="1" x14ac:dyDescent="0.2"/>
    <row r="15877" ht="9.9499999999999993" hidden="1" customHeight="1" x14ac:dyDescent="0.2"/>
    <row r="15878" ht="9.9499999999999993" hidden="1" customHeight="1" x14ac:dyDescent="0.2"/>
    <row r="15879" ht="9.9499999999999993" hidden="1" customHeight="1" x14ac:dyDescent="0.2"/>
    <row r="15880" ht="9.9499999999999993" hidden="1" customHeight="1" x14ac:dyDescent="0.2"/>
    <row r="15881" ht="9.9499999999999993" hidden="1" customHeight="1" x14ac:dyDescent="0.2"/>
    <row r="15882" ht="9.9499999999999993" hidden="1" customHeight="1" x14ac:dyDescent="0.2"/>
    <row r="15883" ht="9.9499999999999993" hidden="1" customHeight="1" x14ac:dyDescent="0.2"/>
    <row r="15884" ht="9.9499999999999993" hidden="1" customHeight="1" x14ac:dyDescent="0.2"/>
    <row r="15885" ht="9.9499999999999993" hidden="1" customHeight="1" x14ac:dyDescent="0.2"/>
    <row r="15886" ht="9.9499999999999993" hidden="1" customHeight="1" x14ac:dyDescent="0.2"/>
    <row r="15887" ht="9.9499999999999993" hidden="1" customHeight="1" x14ac:dyDescent="0.2"/>
    <row r="15888" ht="9.9499999999999993" hidden="1" customHeight="1" x14ac:dyDescent="0.2"/>
    <row r="15889" ht="9.9499999999999993" hidden="1" customHeight="1" x14ac:dyDescent="0.2"/>
    <row r="15890" ht="9.9499999999999993" hidden="1" customHeight="1" x14ac:dyDescent="0.2"/>
    <row r="15891" ht="9.9499999999999993" hidden="1" customHeight="1" x14ac:dyDescent="0.2"/>
    <row r="15892" ht="9.9499999999999993" hidden="1" customHeight="1" x14ac:dyDescent="0.2"/>
    <row r="15893" ht="9.9499999999999993" hidden="1" customHeight="1" x14ac:dyDescent="0.2"/>
    <row r="15894" ht="9.9499999999999993" hidden="1" customHeight="1" x14ac:dyDescent="0.2"/>
    <row r="15895" ht="9.9499999999999993" hidden="1" customHeight="1" x14ac:dyDescent="0.2"/>
    <row r="15896" ht="9.9499999999999993" hidden="1" customHeight="1" x14ac:dyDescent="0.2"/>
    <row r="15897" ht="9.9499999999999993" hidden="1" customHeight="1" x14ac:dyDescent="0.2"/>
    <row r="15898" ht="9.9499999999999993" hidden="1" customHeight="1" x14ac:dyDescent="0.2"/>
    <row r="15899" ht="9.9499999999999993" hidden="1" customHeight="1" x14ac:dyDescent="0.2"/>
    <row r="15900" ht="9.9499999999999993" hidden="1" customHeight="1" x14ac:dyDescent="0.2"/>
    <row r="15901" ht="9.9499999999999993" hidden="1" customHeight="1" x14ac:dyDescent="0.2"/>
    <row r="15902" ht="9.9499999999999993" hidden="1" customHeight="1" x14ac:dyDescent="0.2"/>
    <row r="15903" ht="9.9499999999999993" hidden="1" customHeight="1" x14ac:dyDescent="0.2"/>
    <row r="15904" ht="9.9499999999999993" hidden="1" customHeight="1" x14ac:dyDescent="0.2"/>
    <row r="15905" ht="9.9499999999999993" hidden="1" customHeight="1" x14ac:dyDescent="0.2"/>
    <row r="15906" ht="9.9499999999999993" hidden="1" customHeight="1" x14ac:dyDescent="0.2"/>
    <row r="15907" ht="9.9499999999999993" hidden="1" customHeight="1" x14ac:dyDescent="0.2"/>
    <row r="15908" ht="9.9499999999999993" hidden="1" customHeight="1" x14ac:dyDescent="0.2"/>
    <row r="15909" ht="9.9499999999999993" hidden="1" customHeight="1" x14ac:dyDescent="0.2"/>
    <row r="15910" ht="9.9499999999999993" hidden="1" customHeight="1" x14ac:dyDescent="0.2"/>
    <row r="15911" ht="9.9499999999999993" hidden="1" customHeight="1" x14ac:dyDescent="0.2"/>
    <row r="15912" ht="9.9499999999999993" hidden="1" customHeight="1" x14ac:dyDescent="0.2"/>
    <row r="15913" ht="9.9499999999999993" hidden="1" customHeight="1" x14ac:dyDescent="0.2"/>
    <row r="15914" ht="9.9499999999999993" hidden="1" customHeight="1" x14ac:dyDescent="0.2"/>
    <row r="15915" ht="9.9499999999999993" hidden="1" customHeight="1" x14ac:dyDescent="0.2"/>
    <row r="15916" ht="9.9499999999999993" hidden="1" customHeight="1" x14ac:dyDescent="0.2"/>
    <row r="15917" ht="9.9499999999999993" hidden="1" customHeight="1" x14ac:dyDescent="0.2"/>
    <row r="15918" ht="9.9499999999999993" hidden="1" customHeight="1" x14ac:dyDescent="0.2"/>
    <row r="15919" ht="9.9499999999999993" hidden="1" customHeight="1" x14ac:dyDescent="0.2"/>
    <row r="15920" ht="9.9499999999999993" hidden="1" customHeight="1" x14ac:dyDescent="0.2"/>
    <row r="15921" ht="9.9499999999999993" hidden="1" customHeight="1" x14ac:dyDescent="0.2"/>
    <row r="15922" ht="9.9499999999999993" hidden="1" customHeight="1" x14ac:dyDescent="0.2"/>
    <row r="15923" ht="9.9499999999999993" hidden="1" customHeight="1" x14ac:dyDescent="0.2"/>
    <row r="15924" ht="9.9499999999999993" hidden="1" customHeight="1" x14ac:dyDescent="0.2"/>
    <row r="15925" ht="9.9499999999999993" hidden="1" customHeight="1" x14ac:dyDescent="0.2"/>
    <row r="15926" ht="9.9499999999999993" hidden="1" customHeight="1" x14ac:dyDescent="0.2"/>
    <row r="15927" ht="9.9499999999999993" hidden="1" customHeight="1" x14ac:dyDescent="0.2"/>
    <row r="15928" ht="9.9499999999999993" hidden="1" customHeight="1" x14ac:dyDescent="0.2"/>
    <row r="15929" ht="9.9499999999999993" hidden="1" customHeight="1" x14ac:dyDescent="0.2"/>
    <row r="15930" ht="9.9499999999999993" hidden="1" customHeight="1" x14ac:dyDescent="0.2"/>
    <row r="15931" ht="9.9499999999999993" hidden="1" customHeight="1" x14ac:dyDescent="0.2"/>
    <row r="15932" ht="9.9499999999999993" hidden="1" customHeight="1" x14ac:dyDescent="0.2"/>
    <row r="15933" ht="9.9499999999999993" hidden="1" customHeight="1" x14ac:dyDescent="0.2"/>
    <row r="15934" ht="9.9499999999999993" hidden="1" customHeight="1" x14ac:dyDescent="0.2"/>
    <row r="15935" ht="9.9499999999999993" hidden="1" customHeight="1" x14ac:dyDescent="0.2"/>
    <row r="15936" ht="9.9499999999999993" hidden="1" customHeight="1" x14ac:dyDescent="0.2"/>
    <row r="15937" ht="9.9499999999999993" hidden="1" customHeight="1" x14ac:dyDescent="0.2"/>
    <row r="15938" ht="9.9499999999999993" hidden="1" customHeight="1" x14ac:dyDescent="0.2"/>
    <row r="15939" ht="9.9499999999999993" hidden="1" customHeight="1" x14ac:dyDescent="0.2"/>
    <row r="15940" ht="9.9499999999999993" hidden="1" customHeight="1" x14ac:dyDescent="0.2"/>
    <row r="15941" ht="9.9499999999999993" hidden="1" customHeight="1" x14ac:dyDescent="0.2"/>
    <row r="15942" ht="9.9499999999999993" hidden="1" customHeight="1" x14ac:dyDescent="0.2"/>
    <row r="15943" ht="9.9499999999999993" hidden="1" customHeight="1" x14ac:dyDescent="0.2"/>
    <row r="15944" ht="9.9499999999999993" hidden="1" customHeight="1" x14ac:dyDescent="0.2"/>
    <row r="15945" ht="9.9499999999999993" hidden="1" customHeight="1" x14ac:dyDescent="0.2"/>
    <row r="15946" ht="9.9499999999999993" hidden="1" customHeight="1" x14ac:dyDescent="0.2"/>
    <row r="15947" ht="9.9499999999999993" hidden="1" customHeight="1" x14ac:dyDescent="0.2"/>
    <row r="15948" ht="9.9499999999999993" hidden="1" customHeight="1" x14ac:dyDescent="0.2"/>
    <row r="15949" ht="9.9499999999999993" hidden="1" customHeight="1" x14ac:dyDescent="0.2"/>
    <row r="15950" ht="9.9499999999999993" hidden="1" customHeight="1" x14ac:dyDescent="0.2"/>
    <row r="15951" ht="9.9499999999999993" hidden="1" customHeight="1" x14ac:dyDescent="0.2"/>
    <row r="15952" ht="9.9499999999999993" hidden="1" customHeight="1" x14ac:dyDescent="0.2"/>
    <row r="15953" ht="9.9499999999999993" hidden="1" customHeight="1" x14ac:dyDescent="0.2"/>
    <row r="15954" ht="9.9499999999999993" hidden="1" customHeight="1" x14ac:dyDescent="0.2"/>
    <row r="15955" ht="9.9499999999999993" hidden="1" customHeight="1" x14ac:dyDescent="0.2"/>
    <row r="15956" ht="9.9499999999999993" hidden="1" customHeight="1" x14ac:dyDescent="0.2"/>
    <row r="15957" ht="9.9499999999999993" hidden="1" customHeight="1" x14ac:dyDescent="0.2"/>
    <row r="15958" ht="9.9499999999999993" hidden="1" customHeight="1" x14ac:dyDescent="0.2"/>
    <row r="15959" ht="9.9499999999999993" hidden="1" customHeight="1" x14ac:dyDescent="0.2"/>
    <row r="15960" ht="9.9499999999999993" hidden="1" customHeight="1" x14ac:dyDescent="0.2"/>
    <row r="15961" ht="9.9499999999999993" hidden="1" customHeight="1" x14ac:dyDescent="0.2"/>
    <row r="15962" ht="9.9499999999999993" hidden="1" customHeight="1" x14ac:dyDescent="0.2"/>
    <row r="15963" ht="9.9499999999999993" hidden="1" customHeight="1" x14ac:dyDescent="0.2"/>
    <row r="15964" ht="9.9499999999999993" hidden="1" customHeight="1" x14ac:dyDescent="0.2"/>
    <row r="15965" ht="9.9499999999999993" hidden="1" customHeight="1" x14ac:dyDescent="0.2"/>
    <row r="15966" ht="9.9499999999999993" hidden="1" customHeight="1" x14ac:dyDescent="0.2"/>
    <row r="15967" ht="9.9499999999999993" hidden="1" customHeight="1" x14ac:dyDescent="0.2"/>
    <row r="15968" ht="9.9499999999999993" hidden="1" customHeight="1" x14ac:dyDescent="0.2"/>
    <row r="15969" ht="9.9499999999999993" hidden="1" customHeight="1" x14ac:dyDescent="0.2"/>
    <row r="15970" ht="9.9499999999999993" hidden="1" customHeight="1" x14ac:dyDescent="0.2"/>
    <row r="15971" ht="9.9499999999999993" hidden="1" customHeight="1" x14ac:dyDescent="0.2"/>
    <row r="15972" ht="9.9499999999999993" hidden="1" customHeight="1" x14ac:dyDescent="0.2"/>
    <row r="15973" ht="9.9499999999999993" hidden="1" customHeight="1" x14ac:dyDescent="0.2"/>
    <row r="15974" ht="9.9499999999999993" hidden="1" customHeight="1" x14ac:dyDescent="0.2"/>
    <row r="15975" ht="9.9499999999999993" hidden="1" customHeight="1" x14ac:dyDescent="0.2"/>
    <row r="15976" ht="9.9499999999999993" hidden="1" customHeight="1" x14ac:dyDescent="0.2"/>
    <row r="15977" ht="9.9499999999999993" hidden="1" customHeight="1" x14ac:dyDescent="0.2"/>
    <row r="15978" ht="9.9499999999999993" hidden="1" customHeight="1" x14ac:dyDescent="0.2"/>
    <row r="15979" ht="9.9499999999999993" hidden="1" customHeight="1" x14ac:dyDescent="0.2"/>
    <row r="15980" ht="9.9499999999999993" hidden="1" customHeight="1" x14ac:dyDescent="0.2"/>
    <row r="15981" ht="9.9499999999999993" hidden="1" customHeight="1" x14ac:dyDescent="0.2"/>
    <row r="15982" ht="9.9499999999999993" hidden="1" customHeight="1" x14ac:dyDescent="0.2"/>
    <row r="15983" ht="9.9499999999999993" hidden="1" customHeight="1" x14ac:dyDescent="0.2"/>
    <row r="15984" ht="9.9499999999999993" hidden="1" customHeight="1" x14ac:dyDescent="0.2"/>
    <row r="15985" ht="9.9499999999999993" hidden="1" customHeight="1" x14ac:dyDescent="0.2"/>
    <row r="15986" ht="9.9499999999999993" hidden="1" customHeight="1" x14ac:dyDescent="0.2"/>
    <row r="15987" ht="9.9499999999999993" hidden="1" customHeight="1" x14ac:dyDescent="0.2"/>
    <row r="15988" ht="9.9499999999999993" hidden="1" customHeight="1" x14ac:dyDescent="0.2"/>
    <row r="15989" ht="9.9499999999999993" hidden="1" customHeight="1" x14ac:dyDescent="0.2"/>
    <row r="15990" ht="9.9499999999999993" hidden="1" customHeight="1" x14ac:dyDescent="0.2"/>
    <row r="15991" ht="9.9499999999999993" hidden="1" customHeight="1" x14ac:dyDescent="0.2"/>
    <row r="15992" ht="9.9499999999999993" hidden="1" customHeight="1" x14ac:dyDescent="0.2"/>
    <row r="15993" ht="9.9499999999999993" hidden="1" customHeight="1" x14ac:dyDescent="0.2"/>
    <row r="15994" ht="9.9499999999999993" hidden="1" customHeight="1" x14ac:dyDescent="0.2"/>
    <row r="15995" ht="9.9499999999999993" hidden="1" customHeight="1" x14ac:dyDescent="0.2"/>
    <row r="15996" ht="9.9499999999999993" hidden="1" customHeight="1" x14ac:dyDescent="0.2"/>
    <row r="15997" ht="9.9499999999999993" hidden="1" customHeight="1" x14ac:dyDescent="0.2"/>
    <row r="15998" ht="9.9499999999999993" hidden="1" customHeight="1" x14ac:dyDescent="0.2"/>
    <row r="15999" ht="9.9499999999999993" hidden="1" customHeight="1" x14ac:dyDescent="0.2"/>
    <row r="16000" ht="9.9499999999999993" hidden="1" customHeight="1" x14ac:dyDescent="0.2"/>
    <row r="16001" ht="9.9499999999999993" hidden="1" customHeight="1" x14ac:dyDescent="0.2"/>
    <row r="16002" ht="9.9499999999999993" hidden="1" customHeight="1" x14ac:dyDescent="0.2"/>
    <row r="16003" ht="9.9499999999999993" hidden="1" customHeight="1" x14ac:dyDescent="0.2"/>
    <row r="16004" ht="9.9499999999999993" hidden="1" customHeight="1" x14ac:dyDescent="0.2"/>
    <row r="16005" ht="9.9499999999999993" hidden="1" customHeight="1" x14ac:dyDescent="0.2"/>
    <row r="16006" ht="9.9499999999999993" hidden="1" customHeight="1" x14ac:dyDescent="0.2"/>
    <row r="16007" ht="9.9499999999999993" hidden="1" customHeight="1" x14ac:dyDescent="0.2"/>
    <row r="16008" ht="9.9499999999999993" hidden="1" customHeight="1" x14ac:dyDescent="0.2"/>
    <row r="16009" ht="9.9499999999999993" hidden="1" customHeight="1" x14ac:dyDescent="0.2"/>
    <row r="16010" ht="9.9499999999999993" hidden="1" customHeight="1" x14ac:dyDescent="0.2"/>
    <row r="16011" ht="9.9499999999999993" hidden="1" customHeight="1" x14ac:dyDescent="0.2"/>
    <row r="16012" ht="9.9499999999999993" hidden="1" customHeight="1" x14ac:dyDescent="0.2"/>
    <row r="16013" ht="9.9499999999999993" hidden="1" customHeight="1" x14ac:dyDescent="0.2"/>
    <row r="16014" ht="9.9499999999999993" hidden="1" customHeight="1" x14ac:dyDescent="0.2"/>
    <row r="16015" ht="9.9499999999999993" hidden="1" customHeight="1" x14ac:dyDescent="0.2"/>
    <row r="16016" ht="9.9499999999999993" hidden="1" customHeight="1" x14ac:dyDescent="0.2"/>
    <row r="16017" ht="9.9499999999999993" hidden="1" customHeight="1" x14ac:dyDescent="0.2"/>
    <row r="16018" ht="9.9499999999999993" hidden="1" customHeight="1" x14ac:dyDescent="0.2"/>
    <row r="16019" ht="9.9499999999999993" hidden="1" customHeight="1" x14ac:dyDescent="0.2"/>
    <row r="16020" ht="9.9499999999999993" hidden="1" customHeight="1" x14ac:dyDescent="0.2"/>
    <row r="16021" ht="9.9499999999999993" hidden="1" customHeight="1" x14ac:dyDescent="0.2"/>
    <row r="16022" ht="9.9499999999999993" hidden="1" customHeight="1" x14ac:dyDescent="0.2"/>
    <row r="16023" ht="9.9499999999999993" hidden="1" customHeight="1" x14ac:dyDescent="0.2"/>
    <row r="16024" ht="9.9499999999999993" hidden="1" customHeight="1" x14ac:dyDescent="0.2"/>
    <row r="16025" ht="9.9499999999999993" hidden="1" customHeight="1" x14ac:dyDescent="0.2"/>
    <row r="16026" ht="9.9499999999999993" hidden="1" customHeight="1" x14ac:dyDescent="0.2"/>
    <row r="16027" ht="9.9499999999999993" hidden="1" customHeight="1" x14ac:dyDescent="0.2"/>
    <row r="16028" ht="9.9499999999999993" hidden="1" customHeight="1" x14ac:dyDescent="0.2"/>
    <row r="16029" ht="9.9499999999999993" hidden="1" customHeight="1" x14ac:dyDescent="0.2"/>
    <row r="16030" ht="9.9499999999999993" hidden="1" customHeight="1" x14ac:dyDescent="0.2"/>
    <row r="16031" ht="9.9499999999999993" hidden="1" customHeight="1" x14ac:dyDescent="0.2"/>
    <row r="16032" ht="9.9499999999999993" hidden="1" customHeight="1" x14ac:dyDescent="0.2"/>
    <row r="16033" ht="9.9499999999999993" hidden="1" customHeight="1" x14ac:dyDescent="0.2"/>
    <row r="16034" ht="9.9499999999999993" hidden="1" customHeight="1" x14ac:dyDescent="0.2"/>
    <row r="16035" ht="9.9499999999999993" hidden="1" customHeight="1" x14ac:dyDescent="0.2"/>
    <row r="16036" ht="9.9499999999999993" hidden="1" customHeight="1" x14ac:dyDescent="0.2"/>
    <row r="16037" ht="9.9499999999999993" hidden="1" customHeight="1" x14ac:dyDescent="0.2"/>
    <row r="16038" ht="9.9499999999999993" hidden="1" customHeight="1" x14ac:dyDescent="0.2"/>
    <row r="16039" ht="9.9499999999999993" hidden="1" customHeight="1" x14ac:dyDescent="0.2"/>
    <row r="16040" ht="9.9499999999999993" hidden="1" customHeight="1" x14ac:dyDescent="0.2"/>
    <row r="16041" ht="9.9499999999999993" hidden="1" customHeight="1" x14ac:dyDescent="0.2"/>
    <row r="16042" ht="9.9499999999999993" hidden="1" customHeight="1" x14ac:dyDescent="0.2"/>
    <row r="16043" ht="9.9499999999999993" hidden="1" customHeight="1" x14ac:dyDescent="0.2"/>
    <row r="16044" ht="9.9499999999999993" hidden="1" customHeight="1" x14ac:dyDescent="0.2"/>
    <row r="16045" ht="9.9499999999999993" hidden="1" customHeight="1" x14ac:dyDescent="0.2"/>
    <row r="16046" ht="9.9499999999999993" hidden="1" customHeight="1" x14ac:dyDescent="0.2"/>
    <row r="16047" ht="9.9499999999999993" hidden="1" customHeight="1" x14ac:dyDescent="0.2"/>
    <row r="16048" ht="9.9499999999999993" hidden="1" customHeight="1" x14ac:dyDescent="0.2"/>
    <row r="16049" ht="9.9499999999999993" hidden="1" customHeight="1" x14ac:dyDescent="0.2"/>
    <row r="16050" ht="9.9499999999999993" hidden="1" customHeight="1" x14ac:dyDescent="0.2"/>
    <row r="16051" ht="9.9499999999999993" hidden="1" customHeight="1" x14ac:dyDescent="0.2"/>
    <row r="16052" ht="9.9499999999999993" hidden="1" customHeight="1" x14ac:dyDescent="0.2"/>
    <row r="16053" ht="9.9499999999999993" hidden="1" customHeight="1" x14ac:dyDescent="0.2"/>
    <row r="16054" ht="9.9499999999999993" hidden="1" customHeight="1" x14ac:dyDescent="0.2"/>
    <row r="16055" ht="9.9499999999999993" hidden="1" customHeight="1" x14ac:dyDescent="0.2"/>
    <row r="16056" ht="9.9499999999999993" hidden="1" customHeight="1" x14ac:dyDescent="0.2"/>
    <row r="16057" ht="9.9499999999999993" hidden="1" customHeight="1" x14ac:dyDescent="0.2"/>
    <row r="16058" ht="9.9499999999999993" hidden="1" customHeight="1" x14ac:dyDescent="0.2"/>
    <row r="16059" ht="9.9499999999999993" hidden="1" customHeight="1" x14ac:dyDescent="0.2"/>
    <row r="16060" ht="9.9499999999999993" hidden="1" customHeight="1" x14ac:dyDescent="0.2"/>
    <row r="16061" ht="9.9499999999999993" hidden="1" customHeight="1" x14ac:dyDescent="0.2"/>
    <row r="16062" ht="9.9499999999999993" hidden="1" customHeight="1" x14ac:dyDescent="0.2"/>
    <row r="16063" ht="9.9499999999999993" hidden="1" customHeight="1" x14ac:dyDescent="0.2"/>
    <row r="16064" ht="9.9499999999999993" hidden="1" customHeight="1" x14ac:dyDescent="0.2"/>
    <row r="16065" ht="9.9499999999999993" hidden="1" customHeight="1" x14ac:dyDescent="0.2"/>
    <row r="16066" ht="9.9499999999999993" hidden="1" customHeight="1" x14ac:dyDescent="0.2"/>
    <row r="16067" ht="9.9499999999999993" hidden="1" customHeight="1" x14ac:dyDescent="0.2"/>
    <row r="16068" ht="9.9499999999999993" hidden="1" customHeight="1" x14ac:dyDescent="0.2"/>
    <row r="16069" ht="9.9499999999999993" hidden="1" customHeight="1" x14ac:dyDescent="0.2"/>
    <row r="16070" ht="9.9499999999999993" hidden="1" customHeight="1" x14ac:dyDescent="0.2"/>
    <row r="16071" ht="9.9499999999999993" hidden="1" customHeight="1" x14ac:dyDescent="0.2"/>
    <row r="16072" ht="9.9499999999999993" hidden="1" customHeight="1" x14ac:dyDescent="0.2"/>
    <row r="16073" ht="9.9499999999999993" hidden="1" customHeight="1" x14ac:dyDescent="0.2"/>
    <row r="16074" ht="9.9499999999999993" hidden="1" customHeight="1" x14ac:dyDescent="0.2"/>
    <row r="16075" ht="9.9499999999999993" hidden="1" customHeight="1" x14ac:dyDescent="0.2"/>
    <row r="16076" ht="9.9499999999999993" hidden="1" customHeight="1" x14ac:dyDescent="0.2"/>
    <row r="16077" ht="9.9499999999999993" hidden="1" customHeight="1" x14ac:dyDescent="0.2"/>
    <row r="16078" ht="9.9499999999999993" hidden="1" customHeight="1" x14ac:dyDescent="0.2"/>
    <row r="16079" ht="9.9499999999999993" hidden="1" customHeight="1" x14ac:dyDescent="0.2"/>
    <row r="16080" ht="9.9499999999999993" hidden="1" customHeight="1" x14ac:dyDescent="0.2"/>
    <row r="16081" ht="9.9499999999999993" hidden="1" customHeight="1" x14ac:dyDescent="0.2"/>
    <row r="16082" ht="9.9499999999999993" hidden="1" customHeight="1" x14ac:dyDescent="0.2"/>
    <row r="16083" ht="9.9499999999999993" hidden="1" customHeight="1" x14ac:dyDescent="0.2"/>
    <row r="16084" ht="9.9499999999999993" hidden="1" customHeight="1" x14ac:dyDescent="0.2"/>
    <row r="16085" ht="9.9499999999999993" hidden="1" customHeight="1" x14ac:dyDescent="0.2"/>
    <row r="16086" ht="9.9499999999999993" hidden="1" customHeight="1" x14ac:dyDescent="0.2"/>
    <row r="16087" ht="9.9499999999999993" hidden="1" customHeight="1" x14ac:dyDescent="0.2"/>
    <row r="16088" ht="9.9499999999999993" hidden="1" customHeight="1" x14ac:dyDescent="0.2"/>
    <row r="16089" ht="9.9499999999999993" hidden="1" customHeight="1" x14ac:dyDescent="0.2"/>
    <row r="16090" ht="9.9499999999999993" hidden="1" customHeight="1" x14ac:dyDescent="0.2"/>
    <row r="16091" ht="9.9499999999999993" hidden="1" customHeight="1" x14ac:dyDescent="0.2"/>
    <row r="16092" ht="9.9499999999999993" hidden="1" customHeight="1" x14ac:dyDescent="0.2"/>
    <row r="16093" ht="9.9499999999999993" hidden="1" customHeight="1" x14ac:dyDescent="0.2"/>
    <row r="16094" ht="9.9499999999999993" hidden="1" customHeight="1" x14ac:dyDescent="0.2"/>
    <row r="16095" ht="9.9499999999999993" hidden="1" customHeight="1" x14ac:dyDescent="0.2"/>
    <row r="16096" ht="9.9499999999999993" hidden="1" customHeight="1" x14ac:dyDescent="0.2"/>
    <row r="16097" ht="9.9499999999999993" hidden="1" customHeight="1" x14ac:dyDescent="0.2"/>
    <row r="16098" ht="9.9499999999999993" hidden="1" customHeight="1" x14ac:dyDescent="0.2"/>
    <row r="16099" ht="9.9499999999999993" hidden="1" customHeight="1" x14ac:dyDescent="0.2"/>
    <row r="16100" ht="9.9499999999999993" hidden="1" customHeight="1" x14ac:dyDescent="0.2"/>
    <row r="16101" ht="9.9499999999999993" hidden="1" customHeight="1" x14ac:dyDescent="0.2"/>
    <row r="16102" ht="9.9499999999999993" hidden="1" customHeight="1" x14ac:dyDescent="0.2"/>
    <row r="16103" ht="9.9499999999999993" hidden="1" customHeight="1" x14ac:dyDescent="0.2"/>
    <row r="16104" ht="9.9499999999999993" hidden="1" customHeight="1" x14ac:dyDescent="0.2"/>
    <row r="16105" ht="9.9499999999999993" hidden="1" customHeight="1" x14ac:dyDescent="0.2"/>
    <row r="16106" ht="9.9499999999999993" hidden="1" customHeight="1" x14ac:dyDescent="0.2"/>
    <row r="16107" ht="9.9499999999999993" hidden="1" customHeight="1" x14ac:dyDescent="0.2"/>
    <row r="16108" ht="9.9499999999999993" hidden="1" customHeight="1" x14ac:dyDescent="0.2"/>
    <row r="16109" ht="9.9499999999999993" hidden="1" customHeight="1" x14ac:dyDescent="0.2"/>
    <row r="16110" ht="9.9499999999999993" hidden="1" customHeight="1" x14ac:dyDescent="0.2"/>
    <row r="16111" ht="9.9499999999999993" hidden="1" customHeight="1" x14ac:dyDescent="0.2"/>
    <row r="16112" ht="9.9499999999999993" hidden="1" customHeight="1" x14ac:dyDescent="0.2"/>
    <row r="16113" ht="9.9499999999999993" hidden="1" customHeight="1" x14ac:dyDescent="0.2"/>
    <row r="16114" ht="9.9499999999999993" hidden="1" customHeight="1" x14ac:dyDescent="0.2"/>
    <row r="16115" ht="9.9499999999999993" hidden="1" customHeight="1" x14ac:dyDescent="0.2"/>
    <row r="16116" ht="9.9499999999999993" hidden="1" customHeight="1" x14ac:dyDescent="0.2"/>
    <row r="16117" ht="9.9499999999999993" hidden="1" customHeight="1" x14ac:dyDescent="0.2"/>
    <row r="16118" ht="9.9499999999999993" hidden="1" customHeight="1" x14ac:dyDescent="0.2"/>
    <row r="16119" ht="9.9499999999999993" hidden="1" customHeight="1" x14ac:dyDescent="0.2"/>
    <row r="16120" ht="9.9499999999999993" hidden="1" customHeight="1" x14ac:dyDescent="0.2"/>
    <row r="16121" ht="9.9499999999999993" hidden="1" customHeight="1" x14ac:dyDescent="0.2"/>
    <row r="16122" ht="9.9499999999999993" hidden="1" customHeight="1" x14ac:dyDescent="0.2"/>
    <row r="16123" ht="9.9499999999999993" hidden="1" customHeight="1" x14ac:dyDescent="0.2"/>
    <row r="16124" ht="9.9499999999999993" hidden="1" customHeight="1" x14ac:dyDescent="0.2"/>
    <row r="16125" ht="9.9499999999999993" hidden="1" customHeight="1" x14ac:dyDescent="0.2"/>
    <row r="16126" ht="9.9499999999999993" hidden="1" customHeight="1" x14ac:dyDescent="0.2"/>
    <row r="16127" ht="9.9499999999999993" hidden="1" customHeight="1" x14ac:dyDescent="0.2"/>
    <row r="16128" ht="9.9499999999999993" hidden="1" customHeight="1" x14ac:dyDescent="0.2"/>
    <row r="16129" ht="9.9499999999999993" hidden="1" customHeight="1" x14ac:dyDescent="0.2"/>
    <row r="16130" ht="9.9499999999999993" hidden="1" customHeight="1" x14ac:dyDescent="0.2"/>
    <row r="16131" ht="9.9499999999999993" hidden="1" customHeight="1" x14ac:dyDescent="0.2"/>
    <row r="16132" ht="9.9499999999999993" hidden="1" customHeight="1" x14ac:dyDescent="0.2"/>
    <row r="16133" ht="9.9499999999999993" hidden="1" customHeight="1" x14ac:dyDescent="0.2"/>
    <row r="16134" ht="9.9499999999999993" hidden="1" customHeight="1" x14ac:dyDescent="0.2"/>
    <row r="16135" ht="9.9499999999999993" hidden="1" customHeight="1" x14ac:dyDescent="0.2"/>
    <row r="16136" ht="9.9499999999999993" hidden="1" customHeight="1" x14ac:dyDescent="0.2"/>
    <row r="16137" ht="9.9499999999999993" hidden="1" customHeight="1" x14ac:dyDescent="0.2"/>
    <row r="16138" ht="9.9499999999999993" hidden="1" customHeight="1" x14ac:dyDescent="0.2"/>
    <row r="16139" ht="9.9499999999999993" hidden="1" customHeight="1" x14ac:dyDescent="0.2"/>
    <row r="16140" ht="9.9499999999999993" hidden="1" customHeight="1" x14ac:dyDescent="0.2"/>
    <row r="16141" ht="9.9499999999999993" hidden="1" customHeight="1" x14ac:dyDescent="0.2"/>
    <row r="16142" ht="9.9499999999999993" hidden="1" customHeight="1" x14ac:dyDescent="0.2"/>
    <row r="16143" ht="9.9499999999999993" hidden="1" customHeight="1" x14ac:dyDescent="0.2"/>
    <row r="16144" ht="9.9499999999999993" hidden="1" customHeight="1" x14ac:dyDescent="0.2"/>
    <row r="16145" ht="9.9499999999999993" hidden="1" customHeight="1" x14ac:dyDescent="0.2"/>
    <row r="16146" ht="9.9499999999999993" hidden="1" customHeight="1" x14ac:dyDescent="0.2"/>
    <row r="16147" ht="9.9499999999999993" hidden="1" customHeight="1" x14ac:dyDescent="0.2"/>
    <row r="16148" ht="9.9499999999999993" hidden="1" customHeight="1" x14ac:dyDescent="0.2"/>
    <row r="16149" ht="9.9499999999999993" hidden="1" customHeight="1" x14ac:dyDescent="0.2"/>
    <row r="16150" ht="9.9499999999999993" hidden="1" customHeight="1" x14ac:dyDescent="0.2"/>
    <row r="16151" ht="9.9499999999999993" hidden="1" customHeight="1" x14ac:dyDescent="0.2"/>
    <row r="16152" ht="9.9499999999999993" hidden="1" customHeight="1" x14ac:dyDescent="0.2"/>
    <row r="16153" ht="9.9499999999999993" hidden="1" customHeight="1" x14ac:dyDescent="0.2"/>
    <row r="16154" ht="9.9499999999999993" hidden="1" customHeight="1" x14ac:dyDescent="0.2"/>
    <row r="16155" ht="9.9499999999999993" hidden="1" customHeight="1" x14ac:dyDescent="0.2"/>
    <row r="16156" ht="9.9499999999999993" hidden="1" customHeight="1" x14ac:dyDescent="0.2"/>
    <row r="16157" ht="9.9499999999999993" hidden="1" customHeight="1" x14ac:dyDescent="0.2"/>
    <row r="16158" ht="9.9499999999999993" hidden="1" customHeight="1" x14ac:dyDescent="0.2"/>
    <row r="16159" ht="9.9499999999999993" hidden="1" customHeight="1" x14ac:dyDescent="0.2"/>
    <row r="16160" ht="9.9499999999999993" hidden="1" customHeight="1" x14ac:dyDescent="0.2"/>
    <row r="16161" ht="9.9499999999999993" hidden="1" customHeight="1" x14ac:dyDescent="0.2"/>
    <row r="16162" ht="9.9499999999999993" hidden="1" customHeight="1" x14ac:dyDescent="0.2"/>
    <row r="16163" ht="9.9499999999999993" hidden="1" customHeight="1" x14ac:dyDescent="0.2"/>
    <row r="16164" ht="9.9499999999999993" hidden="1" customHeight="1" x14ac:dyDescent="0.2"/>
    <row r="16165" ht="9.9499999999999993" hidden="1" customHeight="1" x14ac:dyDescent="0.2"/>
    <row r="16166" ht="9.9499999999999993" hidden="1" customHeight="1" x14ac:dyDescent="0.2"/>
    <row r="16167" ht="9.9499999999999993" hidden="1" customHeight="1" x14ac:dyDescent="0.2"/>
    <row r="16168" ht="9.9499999999999993" hidden="1" customHeight="1" x14ac:dyDescent="0.2"/>
    <row r="16169" ht="9.9499999999999993" hidden="1" customHeight="1" x14ac:dyDescent="0.2"/>
    <row r="16170" ht="9.9499999999999993" hidden="1" customHeight="1" x14ac:dyDescent="0.2"/>
    <row r="16171" ht="9.9499999999999993" hidden="1" customHeight="1" x14ac:dyDescent="0.2"/>
    <row r="16172" ht="9.9499999999999993" hidden="1" customHeight="1" x14ac:dyDescent="0.2"/>
    <row r="16173" ht="9.9499999999999993" hidden="1" customHeight="1" x14ac:dyDescent="0.2"/>
    <row r="16174" ht="9.9499999999999993" hidden="1" customHeight="1" x14ac:dyDescent="0.2"/>
    <row r="16175" ht="9.9499999999999993" hidden="1" customHeight="1" x14ac:dyDescent="0.2"/>
    <row r="16176" ht="9.9499999999999993" hidden="1" customHeight="1" x14ac:dyDescent="0.2"/>
    <row r="16177" ht="9.9499999999999993" hidden="1" customHeight="1" x14ac:dyDescent="0.2"/>
    <row r="16178" ht="9.9499999999999993" hidden="1" customHeight="1" x14ac:dyDescent="0.2"/>
    <row r="16179" ht="9.9499999999999993" hidden="1" customHeight="1" x14ac:dyDescent="0.2"/>
    <row r="16180" ht="9.9499999999999993" hidden="1" customHeight="1" x14ac:dyDescent="0.2"/>
    <row r="16181" ht="9.9499999999999993" hidden="1" customHeight="1" x14ac:dyDescent="0.2"/>
    <row r="16182" ht="9.9499999999999993" hidden="1" customHeight="1" x14ac:dyDescent="0.2"/>
    <row r="16183" ht="9.9499999999999993" hidden="1" customHeight="1" x14ac:dyDescent="0.2"/>
    <row r="16184" ht="9.9499999999999993" hidden="1" customHeight="1" x14ac:dyDescent="0.2"/>
    <row r="16185" ht="9.9499999999999993" hidden="1" customHeight="1" x14ac:dyDescent="0.2"/>
    <row r="16186" ht="9.9499999999999993" hidden="1" customHeight="1" x14ac:dyDescent="0.2"/>
    <row r="16187" ht="9.9499999999999993" hidden="1" customHeight="1" x14ac:dyDescent="0.2"/>
    <row r="16188" ht="9.9499999999999993" hidden="1" customHeight="1" x14ac:dyDescent="0.2"/>
    <row r="16189" ht="9.9499999999999993" hidden="1" customHeight="1" x14ac:dyDescent="0.2"/>
    <row r="16190" ht="9.9499999999999993" hidden="1" customHeight="1" x14ac:dyDescent="0.2"/>
    <row r="16191" ht="9.9499999999999993" hidden="1" customHeight="1" x14ac:dyDescent="0.2"/>
    <row r="16192" ht="9.9499999999999993" hidden="1" customHeight="1" x14ac:dyDescent="0.2"/>
    <row r="16193" ht="9.9499999999999993" hidden="1" customHeight="1" x14ac:dyDescent="0.2"/>
    <row r="16194" ht="9.9499999999999993" hidden="1" customHeight="1" x14ac:dyDescent="0.2"/>
    <row r="16195" ht="9.9499999999999993" hidden="1" customHeight="1" x14ac:dyDescent="0.2"/>
    <row r="16196" ht="9.9499999999999993" hidden="1" customHeight="1" x14ac:dyDescent="0.2"/>
    <row r="16197" ht="9.9499999999999993" hidden="1" customHeight="1" x14ac:dyDescent="0.2"/>
    <row r="16198" ht="9.9499999999999993" hidden="1" customHeight="1" x14ac:dyDescent="0.2"/>
    <row r="16199" ht="9.9499999999999993" hidden="1" customHeight="1" x14ac:dyDescent="0.2"/>
    <row r="16200" ht="9.9499999999999993" hidden="1" customHeight="1" x14ac:dyDescent="0.2"/>
    <row r="16201" ht="9.9499999999999993" hidden="1" customHeight="1" x14ac:dyDescent="0.2"/>
    <row r="16202" ht="9.9499999999999993" hidden="1" customHeight="1" x14ac:dyDescent="0.2"/>
    <row r="16203" ht="9.9499999999999993" hidden="1" customHeight="1" x14ac:dyDescent="0.2"/>
    <row r="16204" ht="9.9499999999999993" hidden="1" customHeight="1" x14ac:dyDescent="0.2"/>
    <row r="16205" ht="9.9499999999999993" hidden="1" customHeight="1" x14ac:dyDescent="0.2"/>
    <row r="16206" ht="9.9499999999999993" hidden="1" customHeight="1" x14ac:dyDescent="0.2"/>
    <row r="16207" ht="9.9499999999999993" hidden="1" customHeight="1" x14ac:dyDescent="0.2"/>
    <row r="16208" ht="9.9499999999999993" hidden="1" customHeight="1" x14ac:dyDescent="0.2"/>
    <row r="16209" ht="9.9499999999999993" hidden="1" customHeight="1" x14ac:dyDescent="0.2"/>
    <row r="16210" ht="9.9499999999999993" hidden="1" customHeight="1" x14ac:dyDescent="0.2"/>
    <row r="16211" ht="9.9499999999999993" hidden="1" customHeight="1" x14ac:dyDescent="0.2"/>
    <row r="16212" ht="9.9499999999999993" hidden="1" customHeight="1" x14ac:dyDescent="0.2"/>
    <row r="16213" ht="9.9499999999999993" hidden="1" customHeight="1" x14ac:dyDescent="0.2"/>
    <row r="16214" ht="9.9499999999999993" hidden="1" customHeight="1" x14ac:dyDescent="0.2"/>
    <row r="16215" ht="9.9499999999999993" hidden="1" customHeight="1" x14ac:dyDescent="0.2"/>
    <row r="16216" ht="9.9499999999999993" hidden="1" customHeight="1" x14ac:dyDescent="0.2"/>
    <row r="16217" ht="9.9499999999999993" hidden="1" customHeight="1" x14ac:dyDescent="0.2"/>
    <row r="16218" ht="9.9499999999999993" hidden="1" customHeight="1" x14ac:dyDescent="0.2"/>
    <row r="16219" ht="9.9499999999999993" hidden="1" customHeight="1" x14ac:dyDescent="0.2"/>
    <row r="16220" ht="9.9499999999999993" hidden="1" customHeight="1" x14ac:dyDescent="0.2"/>
    <row r="16221" ht="9.9499999999999993" hidden="1" customHeight="1" x14ac:dyDescent="0.2"/>
    <row r="16222" ht="9.9499999999999993" hidden="1" customHeight="1" x14ac:dyDescent="0.2"/>
    <row r="16223" ht="9.9499999999999993" hidden="1" customHeight="1" x14ac:dyDescent="0.2"/>
    <row r="16224" ht="9.9499999999999993" hidden="1" customHeight="1" x14ac:dyDescent="0.2"/>
    <row r="16225" ht="9.9499999999999993" hidden="1" customHeight="1" x14ac:dyDescent="0.2"/>
    <row r="16226" ht="9.9499999999999993" hidden="1" customHeight="1" x14ac:dyDescent="0.2"/>
    <row r="16227" ht="9.9499999999999993" hidden="1" customHeight="1" x14ac:dyDescent="0.2"/>
    <row r="16228" ht="9.9499999999999993" hidden="1" customHeight="1" x14ac:dyDescent="0.2"/>
    <row r="16229" ht="9.9499999999999993" hidden="1" customHeight="1" x14ac:dyDescent="0.2"/>
    <row r="16230" ht="9.9499999999999993" hidden="1" customHeight="1" x14ac:dyDescent="0.2"/>
    <row r="16231" ht="9.9499999999999993" hidden="1" customHeight="1" x14ac:dyDescent="0.2"/>
    <row r="16232" ht="9.9499999999999993" hidden="1" customHeight="1" x14ac:dyDescent="0.2"/>
    <row r="16233" ht="9.9499999999999993" hidden="1" customHeight="1" x14ac:dyDescent="0.2"/>
    <row r="16234" ht="9.9499999999999993" hidden="1" customHeight="1" x14ac:dyDescent="0.2"/>
    <row r="16235" ht="9.9499999999999993" hidden="1" customHeight="1" x14ac:dyDescent="0.2"/>
    <row r="16236" ht="9.9499999999999993" hidden="1" customHeight="1" x14ac:dyDescent="0.2"/>
    <row r="16237" ht="9.9499999999999993" hidden="1" customHeight="1" x14ac:dyDescent="0.2"/>
    <row r="16238" ht="9.9499999999999993" hidden="1" customHeight="1" x14ac:dyDescent="0.2"/>
    <row r="16239" ht="9.9499999999999993" hidden="1" customHeight="1" x14ac:dyDescent="0.2"/>
    <row r="16240" ht="9.9499999999999993" hidden="1" customHeight="1" x14ac:dyDescent="0.2"/>
    <row r="16241" ht="9.9499999999999993" hidden="1" customHeight="1" x14ac:dyDescent="0.2"/>
    <row r="16242" ht="9.9499999999999993" hidden="1" customHeight="1" x14ac:dyDescent="0.2"/>
    <row r="16243" ht="9.9499999999999993" hidden="1" customHeight="1" x14ac:dyDescent="0.2"/>
    <row r="16244" ht="9.9499999999999993" hidden="1" customHeight="1" x14ac:dyDescent="0.2"/>
    <row r="16245" ht="9.9499999999999993" hidden="1" customHeight="1" x14ac:dyDescent="0.2"/>
    <row r="16246" ht="9.9499999999999993" hidden="1" customHeight="1" x14ac:dyDescent="0.2"/>
    <row r="16247" ht="9.9499999999999993" hidden="1" customHeight="1" x14ac:dyDescent="0.2"/>
    <row r="16248" ht="9.9499999999999993" hidden="1" customHeight="1" x14ac:dyDescent="0.2"/>
    <row r="16249" ht="9.9499999999999993" hidden="1" customHeight="1" x14ac:dyDescent="0.2"/>
    <row r="16250" ht="9.9499999999999993" hidden="1" customHeight="1" x14ac:dyDescent="0.2"/>
    <row r="16251" ht="9.9499999999999993" hidden="1" customHeight="1" x14ac:dyDescent="0.2"/>
    <row r="16252" ht="9.9499999999999993" hidden="1" customHeight="1" x14ac:dyDescent="0.2"/>
    <row r="16253" ht="9.9499999999999993" hidden="1" customHeight="1" x14ac:dyDescent="0.2"/>
    <row r="16254" ht="9.9499999999999993" hidden="1" customHeight="1" x14ac:dyDescent="0.2"/>
    <row r="16255" ht="9.9499999999999993" hidden="1" customHeight="1" x14ac:dyDescent="0.2"/>
    <row r="16256" ht="9.9499999999999993" hidden="1" customHeight="1" x14ac:dyDescent="0.2"/>
    <row r="16257" ht="9.9499999999999993" hidden="1" customHeight="1" x14ac:dyDescent="0.2"/>
    <row r="16258" ht="9.9499999999999993" hidden="1" customHeight="1" x14ac:dyDescent="0.2"/>
    <row r="16259" ht="9.9499999999999993" hidden="1" customHeight="1" x14ac:dyDescent="0.2"/>
    <row r="16260" ht="9.9499999999999993" hidden="1" customHeight="1" x14ac:dyDescent="0.2"/>
    <row r="16261" ht="9.9499999999999993" hidden="1" customHeight="1" x14ac:dyDescent="0.2"/>
    <row r="16262" ht="9.9499999999999993" hidden="1" customHeight="1" x14ac:dyDescent="0.2"/>
    <row r="16263" ht="9.9499999999999993" hidden="1" customHeight="1" x14ac:dyDescent="0.2"/>
    <row r="16264" ht="9.9499999999999993" hidden="1" customHeight="1" x14ac:dyDescent="0.2"/>
    <row r="16265" ht="9.9499999999999993" hidden="1" customHeight="1" x14ac:dyDescent="0.2"/>
    <row r="16266" ht="9.9499999999999993" hidden="1" customHeight="1" x14ac:dyDescent="0.2"/>
    <row r="16267" ht="9.9499999999999993" hidden="1" customHeight="1" x14ac:dyDescent="0.2"/>
    <row r="16268" ht="9.9499999999999993" hidden="1" customHeight="1" x14ac:dyDescent="0.2"/>
    <row r="16269" ht="9.9499999999999993" hidden="1" customHeight="1" x14ac:dyDescent="0.2"/>
    <row r="16270" ht="9.9499999999999993" hidden="1" customHeight="1" x14ac:dyDescent="0.2"/>
    <row r="16271" ht="9.9499999999999993" hidden="1" customHeight="1" x14ac:dyDescent="0.2"/>
    <row r="16272" ht="9.9499999999999993" hidden="1" customHeight="1" x14ac:dyDescent="0.2"/>
    <row r="16273" ht="9.9499999999999993" hidden="1" customHeight="1" x14ac:dyDescent="0.2"/>
    <row r="16274" ht="9.9499999999999993" hidden="1" customHeight="1" x14ac:dyDescent="0.2"/>
    <row r="16275" ht="9.9499999999999993" hidden="1" customHeight="1" x14ac:dyDescent="0.2"/>
    <row r="16276" ht="9.9499999999999993" hidden="1" customHeight="1" x14ac:dyDescent="0.2"/>
    <row r="16277" ht="9.9499999999999993" hidden="1" customHeight="1" x14ac:dyDescent="0.2"/>
    <row r="16278" ht="9.9499999999999993" hidden="1" customHeight="1" x14ac:dyDescent="0.2"/>
    <row r="16279" ht="9.9499999999999993" hidden="1" customHeight="1" x14ac:dyDescent="0.2"/>
    <row r="16280" ht="9.9499999999999993" hidden="1" customHeight="1" x14ac:dyDescent="0.2"/>
    <row r="16281" ht="9.9499999999999993" hidden="1" customHeight="1" x14ac:dyDescent="0.2"/>
    <row r="16282" ht="9.9499999999999993" hidden="1" customHeight="1" x14ac:dyDescent="0.2"/>
    <row r="16283" ht="9.9499999999999993" hidden="1" customHeight="1" x14ac:dyDescent="0.2"/>
    <row r="16284" ht="9.9499999999999993" hidden="1" customHeight="1" x14ac:dyDescent="0.2"/>
    <row r="16285" ht="9.9499999999999993" hidden="1" customHeight="1" x14ac:dyDescent="0.2"/>
    <row r="16286" ht="9.9499999999999993" hidden="1" customHeight="1" x14ac:dyDescent="0.2"/>
    <row r="16287" ht="9.9499999999999993" hidden="1" customHeight="1" x14ac:dyDescent="0.2"/>
    <row r="16288" ht="9.9499999999999993" hidden="1" customHeight="1" x14ac:dyDescent="0.2"/>
    <row r="16289" ht="9.9499999999999993" hidden="1" customHeight="1" x14ac:dyDescent="0.2"/>
    <row r="16290" ht="9.9499999999999993" hidden="1" customHeight="1" x14ac:dyDescent="0.2"/>
    <row r="16291" ht="9.9499999999999993" hidden="1" customHeight="1" x14ac:dyDescent="0.2"/>
    <row r="16292" ht="9.9499999999999993" hidden="1" customHeight="1" x14ac:dyDescent="0.2"/>
    <row r="16293" ht="9.9499999999999993" hidden="1" customHeight="1" x14ac:dyDescent="0.2"/>
    <row r="16294" ht="9.9499999999999993" hidden="1" customHeight="1" x14ac:dyDescent="0.2"/>
    <row r="16295" ht="9.9499999999999993" hidden="1" customHeight="1" x14ac:dyDescent="0.2"/>
    <row r="16296" ht="9.9499999999999993" hidden="1" customHeight="1" x14ac:dyDescent="0.2"/>
    <row r="16297" ht="9.9499999999999993" hidden="1" customHeight="1" x14ac:dyDescent="0.2"/>
    <row r="16298" ht="9.9499999999999993" hidden="1" customHeight="1" x14ac:dyDescent="0.2"/>
    <row r="16299" ht="9.9499999999999993" hidden="1" customHeight="1" x14ac:dyDescent="0.2"/>
    <row r="16300" ht="9.9499999999999993" hidden="1" customHeight="1" x14ac:dyDescent="0.2"/>
    <row r="16301" ht="9.9499999999999993" hidden="1" customHeight="1" x14ac:dyDescent="0.2"/>
    <row r="16302" ht="9.9499999999999993" hidden="1" customHeight="1" x14ac:dyDescent="0.2"/>
    <row r="16303" ht="9.9499999999999993" hidden="1" customHeight="1" x14ac:dyDescent="0.2"/>
    <row r="16304" ht="9.9499999999999993" hidden="1" customHeight="1" x14ac:dyDescent="0.2"/>
    <row r="16305" ht="9.9499999999999993" hidden="1" customHeight="1" x14ac:dyDescent="0.2"/>
    <row r="16306" ht="9.9499999999999993" hidden="1" customHeight="1" x14ac:dyDescent="0.2"/>
    <row r="16307" ht="9.9499999999999993" hidden="1" customHeight="1" x14ac:dyDescent="0.2"/>
    <row r="16308" ht="9.9499999999999993" hidden="1" customHeight="1" x14ac:dyDescent="0.2"/>
    <row r="16309" ht="9.9499999999999993" hidden="1" customHeight="1" x14ac:dyDescent="0.2"/>
    <row r="16310" ht="9.9499999999999993" hidden="1" customHeight="1" x14ac:dyDescent="0.2"/>
    <row r="16311" ht="9.9499999999999993" hidden="1" customHeight="1" x14ac:dyDescent="0.2"/>
    <row r="16312" ht="9.9499999999999993" hidden="1" customHeight="1" x14ac:dyDescent="0.2"/>
    <row r="16313" ht="9.9499999999999993" hidden="1" customHeight="1" x14ac:dyDescent="0.2"/>
    <row r="16314" ht="9.9499999999999993" hidden="1" customHeight="1" x14ac:dyDescent="0.2"/>
    <row r="16315" ht="9.9499999999999993" hidden="1" customHeight="1" x14ac:dyDescent="0.2"/>
    <row r="16316" ht="9.9499999999999993" hidden="1" customHeight="1" x14ac:dyDescent="0.2"/>
    <row r="16317" ht="9.9499999999999993" hidden="1" customHeight="1" x14ac:dyDescent="0.2"/>
    <row r="16318" ht="9.9499999999999993" hidden="1" customHeight="1" x14ac:dyDescent="0.2"/>
    <row r="16319" ht="9.9499999999999993" hidden="1" customHeight="1" x14ac:dyDescent="0.2"/>
    <row r="16320" ht="9.9499999999999993" hidden="1" customHeight="1" x14ac:dyDescent="0.2"/>
    <row r="16321" ht="9.9499999999999993" hidden="1" customHeight="1" x14ac:dyDescent="0.2"/>
    <row r="16322" ht="9.9499999999999993" hidden="1" customHeight="1" x14ac:dyDescent="0.2"/>
    <row r="16323" ht="9.9499999999999993" hidden="1" customHeight="1" x14ac:dyDescent="0.2"/>
    <row r="16324" ht="9.9499999999999993" hidden="1" customHeight="1" x14ac:dyDescent="0.2"/>
    <row r="16325" ht="9.9499999999999993" hidden="1" customHeight="1" x14ac:dyDescent="0.2"/>
    <row r="16326" ht="9.9499999999999993" hidden="1" customHeight="1" x14ac:dyDescent="0.2"/>
    <row r="16327" ht="9.9499999999999993" hidden="1" customHeight="1" x14ac:dyDescent="0.2"/>
    <row r="16328" ht="9.9499999999999993" hidden="1" customHeight="1" x14ac:dyDescent="0.2"/>
    <row r="16329" ht="9.9499999999999993" hidden="1" customHeight="1" x14ac:dyDescent="0.2"/>
    <row r="16330" ht="9.9499999999999993" hidden="1" customHeight="1" x14ac:dyDescent="0.2"/>
    <row r="16331" ht="9.9499999999999993" hidden="1" customHeight="1" x14ac:dyDescent="0.2"/>
    <row r="16332" ht="9.9499999999999993" hidden="1" customHeight="1" x14ac:dyDescent="0.2"/>
    <row r="16333" ht="9.9499999999999993" hidden="1" customHeight="1" x14ac:dyDescent="0.2"/>
    <row r="16334" ht="9.9499999999999993" hidden="1" customHeight="1" x14ac:dyDescent="0.2"/>
    <row r="16335" ht="9.9499999999999993" hidden="1" customHeight="1" x14ac:dyDescent="0.2"/>
    <row r="16336" ht="9.9499999999999993" hidden="1" customHeight="1" x14ac:dyDescent="0.2"/>
    <row r="16337" ht="9.9499999999999993" hidden="1" customHeight="1" x14ac:dyDescent="0.2"/>
    <row r="16338" ht="9.9499999999999993" hidden="1" customHeight="1" x14ac:dyDescent="0.2"/>
    <row r="16339" ht="9.9499999999999993" hidden="1" customHeight="1" x14ac:dyDescent="0.2"/>
    <row r="16340" ht="9.9499999999999993" hidden="1" customHeight="1" x14ac:dyDescent="0.2"/>
    <row r="16341" ht="9.9499999999999993" hidden="1" customHeight="1" x14ac:dyDescent="0.2"/>
    <row r="16342" ht="9.9499999999999993" hidden="1" customHeight="1" x14ac:dyDescent="0.2"/>
    <row r="16343" ht="9.9499999999999993" hidden="1" customHeight="1" x14ac:dyDescent="0.2"/>
    <row r="16344" ht="9.9499999999999993" hidden="1" customHeight="1" x14ac:dyDescent="0.2"/>
    <row r="16345" ht="9.9499999999999993" hidden="1" customHeight="1" x14ac:dyDescent="0.2"/>
    <row r="16346" ht="9.9499999999999993" hidden="1" customHeight="1" x14ac:dyDescent="0.2"/>
    <row r="16347" ht="9.9499999999999993" hidden="1" customHeight="1" x14ac:dyDescent="0.2"/>
    <row r="16348" ht="9.9499999999999993" hidden="1" customHeight="1" x14ac:dyDescent="0.2"/>
    <row r="16349" ht="9.9499999999999993" hidden="1" customHeight="1" x14ac:dyDescent="0.2"/>
    <row r="16350" ht="9.9499999999999993" hidden="1" customHeight="1" x14ac:dyDescent="0.2"/>
    <row r="16351" ht="9.9499999999999993" hidden="1" customHeight="1" x14ac:dyDescent="0.2"/>
    <row r="16352" ht="9.9499999999999993" hidden="1" customHeight="1" x14ac:dyDescent="0.2"/>
    <row r="16353" ht="9.9499999999999993" hidden="1" customHeight="1" x14ac:dyDescent="0.2"/>
    <row r="16354" ht="9.9499999999999993" hidden="1" customHeight="1" x14ac:dyDescent="0.2"/>
    <row r="16355" ht="9.9499999999999993" hidden="1" customHeight="1" x14ac:dyDescent="0.2"/>
    <row r="16356" ht="9.9499999999999993" hidden="1" customHeight="1" x14ac:dyDescent="0.2"/>
    <row r="16357" ht="9.9499999999999993" hidden="1" customHeight="1" x14ac:dyDescent="0.2"/>
    <row r="16358" ht="9.9499999999999993" hidden="1" customHeight="1" x14ac:dyDescent="0.2"/>
    <row r="16359" ht="9.9499999999999993" hidden="1" customHeight="1" x14ac:dyDescent="0.2"/>
    <row r="16360" ht="9.9499999999999993" hidden="1" customHeight="1" x14ac:dyDescent="0.2"/>
    <row r="16361" ht="9.9499999999999993" hidden="1" customHeight="1" x14ac:dyDescent="0.2"/>
    <row r="16362" ht="9.9499999999999993" hidden="1" customHeight="1" x14ac:dyDescent="0.2"/>
    <row r="16363" ht="9.9499999999999993" hidden="1" customHeight="1" x14ac:dyDescent="0.2"/>
    <row r="16364" ht="9.9499999999999993" hidden="1" customHeight="1" x14ac:dyDescent="0.2"/>
    <row r="16365" ht="9.9499999999999993" hidden="1" customHeight="1" x14ac:dyDescent="0.2"/>
    <row r="16366" ht="9.9499999999999993" hidden="1" customHeight="1" x14ac:dyDescent="0.2"/>
    <row r="16367" ht="9.9499999999999993" hidden="1" customHeight="1" x14ac:dyDescent="0.2"/>
    <row r="16368" ht="9.9499999999999993" hidden="1" customHeight="1" x14ac:dyDescent="0.2"/>
    <row r="16369" ht="9.9499999999999993" hidden="1" customHeight="1" x14ac:dyDescent="0.2"/>
    <row r="16370" ht="9.9499999999999993" hidden="1" customHeight="1" x14ac:dyDescent="0.2"/>
    <row r="16371" ht="9.9499999999999993" hidden="1" customHeight="1" x14ac:dyDescent="0.2"/>
    <row r="16372" ht="9.9499999999999993" hidden="1" customHeight="1" x14ac:dyDescent="0.2"/>
    <row r="16373" ht="9.9499999999999993" hidden="1" customHeight="1" x14ac:dyDescent="0.2"/>
    <row r="16374" ht="9.9499999999999993" hidden="1" customHeight="1" x14ac:dyDescent="0.2"/>
    <row r="16375" ht="9.9499999999999993" hidden="1" customHeight="1" x14ac:dyDescent="0.2"/>
    <row r="16376" ht="9.9499999999999993" hidden="1" customHeight="1" x14ac:dyDescent="0.2"/>
    <row r="16377" ht="9.9499999999999993" hidden="1" customHeight="1" x14ac:dyDescent="0.2"/>
    <row r="16378" ht="9.9499999999999993" hidden="1" customHeight="1" x14ac:dyDescent="0.2"/>
    <row r="16379" ht="9.9499999999999993" hidden="1" customHeight="1" x14ac:dyDescent="0.2"/>
    <row r="16380" ht="9.9499999999999993" hidden="1" customHeight="1" x14ac:dyDescent="0.2"/>
    <row r="16381" ht="9.9499999999999993" hidden="1" customHeight="1" x14ac:dyDescent="0.2"/>
    <row r="16382" ht="9.9499999999999993" hidden="1" customHeight="1" x14ac:dyDescent="0.2"/>
    <row r="16383" ht="9.9499999999999993" hidden="1" customHeight="1" x14ac:dyDescent="0.2"/>
    <row r="16384" ht="9.9499999999999993" hidden="1" customHeight="1" x14ac:dyDescent="0.2"/>
    <row r="16385" ht="9.9499999999999993" hidden="1" customHeight="1" x14ac:dyDescent="0.2"/>
    <row r="16386" ht="9.9499999999999993" hidden="1" customHeight="1" x14ac:dyDescent="0.2"/>
    <row r="16387" ht="9.9499999999999993" hidden="1" customHeight="1" x14ac:dyDescent="0.2"/>
    <row r="16388" ht="9.9499999999999993" hidden="1" customHeight="1" x14ac:dyDescent="0.2"/>
    <row r="16389" ht="9.9499999999999993" hidden="1" customHeight="1" x14ac:dyDescent="0.2"/>
    <row r="16390" ht="9.9499999999999993" hidden="1" customHeight="1" x14ac:dyDescent="0.2"/>
    <row r="16391" ht="9.9499999999999993" hidden="1" customHeight="1" x14ac:dyDescent="0.2"/>
    <row r="16392" ht="9.9499999999999993" hidden="1" customHeight="1" x14ac:dyDescent="0.2"/>
    <row r="16393" ht="9.9499999999999993" hidden="1" customHeight="1" x14ac:dyDescent="0.2"/>
    <row r="16394" ht="9.9499999999999993" hidden="1" customHeight="1" x14ac:dyDescent="0.2"/>
    <row r="16395" ht="9.9499999999999993" hidden="1" customHeight="1" x14ac:dyDescent="0.2"/>
    <row r="16396" ht="9.9499999999999993" hidden="1" customHeight="1" x14ac:dyDescent="0.2"/>
    <row r="16397" ht="9.9499999999999993" hidden="1" customHeight="1" x14ac:dyDescent="0.2"/>
    <row r="16398" ht="9.9499999999999993" hidden="1" customHeight="1" x14ac:dyDescent="0.2"/>
    <row r="16399" ht="9.9499999999999993" hidden="1" customHeight="1" x14ac:dyDescent="0.2"/>
    <row r="16400" ht="9.9499999999999993" hidden="1" customHeight="1" x14ac:dyDescent="0.2"/>
    <row r="16401" ht="9.9499999999999993" hidden="1" customHeight="1" x14ac:dyDescent="0.2"/>
    <row r="16402" ht="9.9499999999999993" hidden="1" customHeight="1" x14ac:dyDescent="0.2"/>
    <row r="16403" ht="9.9499999999999993" hidden="1" customHeight="1" x14ac:dyDescent="0.2"/>
    <row r="16404" ht="9.9499999999999993" hidden="1" customHeight="1" x14ac:dyDescent="0.2"/>
    <row r="16405" ht="9.9499999999999993" hidden="1" customHeight="1" x14ac:dyDescent="0.2"/>
    <row r="16406" ht="9.9499999999999993" hidden="1" customHeight="1" x14ac:dyDescent="0.2"/>
    <row r="16407" ht="9.9499999999999993" hidden="1" customHeight="1" x14ac:dyDescent="0.2"/>
    <row r="16408" ht="9.9499999999999993" hidden="1" customHeight="1" x14ac:dyDescent="0.2"/>
    <row r="16409" ht="9.9499999999999993" hidden="1" customHeight="1" x14ac:dyDescent="0.2"/>
    <row r="16410" ht="9.9499999999999993" hidden="1" customHeight="1" x14ac:dyDescent="0.2"/>
    <row r="16411" ht="9.9499999999999993" hidden="1" customHeight="1" x14ac:dyDescent="0.2"/>
    <row r="16412" ht="9.9499999999999993" hidden="1" customHeight="1" x14ac:dyDescent="0.2"/>
    <row r="16413" ht="9.9499999999999993" hidden="1" customHeight="1" x14ac:dyDescent="0.2"/>
    <row r="16414" ht="9.9499999999999993" hidden="1" customHeight="1" x14ac:dyDescent="0.2"/>
    <row r="16415" ht="9.9499999999999993" hidden="1" customHeight="1" x14ac:dyDescent="0.2"/>
    <row r="16416" ht="9.9499999999999993" hidden="1" customHeight="1" x14ac:dyDescent="0.2"/>
    <row r="16417" ht="9.9499999999999993" hidden="1" customHeight="1" x14ac:dyDescent="0.2"/>
    <row r="16418" ht="9.9499999999999993" hidden="1" customHeight="1" x14ac:dyDescent="0.2"/>
    <row r="16419" ht="9.9499999999999993" hidden="1" customHeight="1" x14ac:dyDescent="0.2"/>
    <row r="16420" ht="9.9499999999999993" hidden="1" customHeight="1" x14ac:dyDescent="0.2"/>
    <row r="16421" ht="9.9499999999999993" hidden="1" customHeight="1" x14ac:dyDescent="0.2"/>
    <row r="16422" ht="9.9499999999999993" hidden="1" customHeight="1" x14ac:dyDescent="0.2"/>
    <row r="16423" ht="9.9499999999999993" hidden="1" customHeight="1" x14ac:dyDescent="0.2"/>
    <row r="16424" ht="9.9499999999999993" hidden="1" customHeight="1" x14ac:dyDescent="0.2"/>
    <row r="16425" ht="9.9499999999999993" hidden="1" customHeight="1" x14ac:dyDescent="0.2"/>
    <row r="16426" ht="9.9499999999999993" hidden="1" customHeight="1" x14ac:dyDescent="0.2"/>
    <row r="16427" ht="9.9499999999999993" hidden="1" customHeight="1" x14ac:dyDescent="0.2"/>
    <row r="16428" ht="9.9499999999999993" hidden="1" customHeight="1" x14ac:dyDescent="0.2"/>
    <row r="16429" ht="9.9499999999999993" hidden="1" customHeight="1" x14ac:dyDescent="0.2"/>
    <row r="16430" ht="9.9499999999999993" hidden="1" customHeight="1" x14ac:dyDescent="0.2"/>
    <row r="16431" ht="9.9499999999999993" hidden="1" customHeight="1" x14ac:dyDescent="0.2"/>
    <row r="16432" ht="9.9499999999999993" hidden="1" customHeight="1" x14ac:dyDescent="0.2"/>
    <row r="16433" ht="9.9499999999999993" hidden="1" customHeight="1" x14ac:dyDescent="0.2"/>
    <row r="16434" ht="9.9499999999999993" hidden="1" customHeight="1" x14ac:dyDescent="0.2"/>
    <row r="16435" ht="9.9499999999999993" hidden="1" customHeight="1" x14ac:dyDescent="0.2"/>
    <row r="16436" ht="9.9499999999999993" hidden="1" customHeight="1" x14ac:dyDescent="0.2"/>
    <row r="16437" ht="9.9499999999999993" hidden="1" customHeight="1" x14ac:dyDescent="0.2"/>
    <row r="16438" ht="9.9499999999999993" hidden="1" customHeight="1" x14ac:dyDescent="0.2"/>
    <row r="16439" ht="9.9499999999999993" hidden="1" customHeight="1" x14ac:dyDescent="0.2"/>
    <row r="16440" ht="9.9499999999999993" hidden="1" customHeight="1" x14ac:dyDescent="0.2"/>
    <row r="16441" ht="9.9499999999999993" hidden="1" customHeight="1" x14ac:dyDescent="0.2"/>
    <row r="16442" ht="9.9499999999999993" hidden="1" customHeight="1" x14ac:dyDescent="0.2"/>
    <row r="16443" ht="9.9499999999999993" hidden="1" customHeight="1" x14ac:dyDescent="0.2"/>
    <row r="16444" ht="9.9499999999999993" hidden="1" customHeight="1" x14ac:dyDescent="0.2"/>
    <row r="16445" ht="9.9499999999999993" hidden="1" customHeight="1" x14ac:dyDescent="0.2"/>
    <row r="16446" ht="9.9499999999999993" hidden="1" customHeight="1" x14ac:dyDescent="0.2"/>
    <row r="16447" ht="9.9499999999999993" hidden="1" customHeight="1" x14ac:dyDescent="0.2"/>
    <row r="16448" ht="9.9499999999999993" hidden="1" customHeight="1" x14ac:dyDescent="0.2"/>
    <row r="16449" ht="9.9499999999999993" hidden="1" customHeight="1" x14ac:dyDescent="0.2"/>
    <row r="16450" ht="9.9499999999999993" hidden="1" customHeight="1" x14ac:dyDescent="0.2"/>
    <row r="16451" ht="9.9499999999999993" hidden="1" customHeight="1" x14ac:dyDescent="0.2"/>
    <row r="16452" ht="9.9499999999999993" hidden="1" customHeight="1" x14ac:dyDescent="0.2"/>
    <row r="16453" ht="9.9499999999999993" hidden="1" customHeight="1" x14ac:dyDescent="0.2"/>
    <row r="16454" ht="9.9499999999999993" hidden="1" customHeight="1" x14ac:dyDescent="0.2"/>
    <row r="16455" ht="9.9499999999999993" hidden="1" customHeight="1" x14ac:dyDescent="0.2"/>
    <row r="16456" ht="9.9499999999999993" hidden="1" customHeight="1" x14ac:dyDescent="0.2"/>
    <row r="16457" ht="9.9499999999999993" hidden="1" customHeight="1" x14ac:dyDescent="0.2"/>
    <row r="16458" ht="9.9499999999999993" hidden="1" customHeight="1" x14ac:dyDescent="0.2"/>
    <row r="16459" ht="9.9499999999999993" hidden="1" customHeight="1" x14ac:dyDescent="0.2"/>
    <row r="16460" ht="9.9499999999999993" hidden="1" customHeight="1" x14ac:dyDescent="0.2"/>
    <row r="16461" ht="9.9499999999999993" hidden="1" customHeight="1" x14ac:dyDescent="0.2"/>
    <row r="16462" ht="9.9499999999999993" hidden="1" customHeight="1" x14ac:dyDescent="0.2"/>
    <row r="16463" ht="9.9499999999999993" hidden="1" customHeight="1" x14ac:dyDescent="0.2"/>
    <row r="16464" ht="9.9499999999999993" hidden="1" customHeight="1" x14ac:dyDescent="0.2"/>
    <row r="16465" ht="9.9499999999999993" hidden="1" customHeight="1" x14ac:dyDescent="0.2"/>
    <row r="16466" ht="9.9499999999999993" hidden="1" customHeight="1" x14ac:dyDescent="0.2"/>
    <row r="16467" ht="9.9499999999999993" hidden="1" customHeight="1" x14ac:dyDescent="0.2"/>
    <row r="16468" ht="9.9499999999999993" hidden="1" customHeight="1" x14ac:dyDescent="0.2"/>
    <row r="16469" ht="9.9499999999999993" hidden="1" customHeight="1" x14ac:dyDescent="0.2"/>
    <row r="16470" ht="9.9499999999999993" hidden="1" customHeight="1" x14ac:dyDescent="0.2"/>
    <row r="16471" ht="9.9499999999999993" hidden="1" customHeight="1" x14ac:dyDescent="0.2"/>
    <row r="16472" ht="9.9499999999999993" hidden="1" customHeight="1" x14ac:dyDescent="0.2"/>
    <row r="16473" ht="9.9499999999999993" hidden="1" customHeight="1" x14ac:dyDescent="0.2"/>
    <row r="16474" ht="9.9499999999999993" hidden="1" customHeight="1" x14ac:dyDescent="0.2"/>
    <row r="16475" ht="9.9499999999999993" hidden="1" customHeight="1" x14ac:dyDescent="0.2"/>
    <row r="16476" ht="9.9499999999999993" hidden="1" customHeight="1" x14ac:dyDescent="0.2"/>
    <row r="16477" ht="9.9499999999999993" hidden="1" customHeight="1" x14ac:dyDescent="0.2"/>
    <row r="16478" ht="9.9499999999999993" hidden="1" customHeight="1" x14ac:dyDescent="0.2"/>
    <row r="16479" ht="9.9499999999999993" hidden="1" customHeight="1" x14ac:dyDescent="0.2"/>
    <row r="16480" ht="9.9499999999999993" hidden="1" customHeight="1" x14ac:dyDescent="0.2"/>
    <row r="16481" ht="9.9499999999999993" hidden="1" customHeight="1" x14ac:dyDescent="0.2"/>
    <row r="16482" ht="9.9499999999999993" hidden="1" customHeight="1" x14ac:dyDescent="0.2"/>
    <row r="16483" ht="9.9499999999999993" hidden="1" customHeight="1" x14ac:dyDescent="0.2"/>
    <row r="16484" ht="9.9499999999999993" hidden="1" customHeight="1" x14ac:dyDescent="0.2"/>
    <row r="16485" ht="9.9499999999999993" hidden="1" customHeight="1" x14ac:dyDescent="0.2"/>
    <row r="16486" ht="9.9499999999999993" hidden="1" customHeight="1" x14ac:dyDescent="0.2"/>
    <row r="16487" ht="9.9499999999999993" hidden="1" customHeight="1" x14ac:dyDescent="0.2"/>
    <row r="16488" ht="9.9499999999999993" hidden="1" customHeight="1" x14ac:dyDescent="0.2"/>
    <row r="16489" ht="9.9499999999999993" hidden="1" customHeight="1" x14ac:dyDescent="0.2"/>
    <row r="16490" ht="9.9499999999999993" hidden="1" customHeight="1" x14ac:dyDescent="0.2"/>
    <row r="16491" ht="9.9499999999999993" hidden="1" customHeight="1" x14ac:dyDescent="0.2"/>
    <row r="16492" ht="9.9499999999999993" hidden="1" customHeight="1" x14ac:dyDescent="0.2"/>
    <row r="16493" ht="9.9499999999999993" hidden="1" customHeight="1" x14ac:dyDescent="0.2"/>
    <row r="16494" ht="9.9499999999999993" hidden="1" customHeight="1" x14ac:dyDescent="0.2"/>
    <row r="16495" ht="9.9499999999999993" hidden="1" customHeight="1" x14ac:dyDescent="0.2"/>
    <row r="16496" ht="9.9499999999999993" hidden="1" customHeight="1" x14ac:dyDescent="0.2"/>
    <row r="16497" ht="9.9499999999999993" hidden="1" customHeight="1" x14ac:dyDescent="0.2"/>
    <row r="16498" ht="9.9499999999999993" hidden="1" customHeight="1" x14ac:dyDescent="0.2"/>
    <row r="16499" ht="9.9499999999999993" hidden="1" customHeight="1" x14ac:dyDescent="0.2"/>
    <row r="16500" ht="9.9499999999999993" hidden="1" customHeight="1" x14ac:dyDescent="0.2"/>
    <row r="16501" ht="9.9499999999999993" hidden="1" customHeight="1" x14ac:dyDescent="0.2"/>
    <row r="16502" ht="9.9499999999999993" hidden="1" customHeight="1" x14ac:dyDescent="0.2"/>
    <row r="16503" ht="9.9499999999999993" hidden="1" customHeight="1" x14ac:dyDescent="0.2"/>
    <row r="16504" ht="9.9499999999999993" hidden="1" customHeight="1" x14ac:dyDescent="0.2"/>
    <row r="16505" ht="9.9499999999999993" hidden="1" customHeight="1" x14ac:dyDescent="0.2"/>
    <row r="16506" ht="9.9499999999999993" hidden="1" customHeight="1" x14ac:dyDescent="0.2"/>
    <row r="16507" ht="9.9499999999999993" hidden="1" customHeight="1" x14ac:dyDescent="0.2"/>
    <row r="16508" ht="9.9499999999999993" hidden="1" customHeight="1" x14ac:dyDescent="0.2"/>
    <row r="16509" ht="9.9499999999999993" hidden="1" customHeight="1" x14ac:dyDescent="0.2"/>
    <row r="16510" ht="9.9499999999999993" hidden="1" customHeight="1" x14ac:dyDescent="0.2"/>
    <row r="16511" ht="9.9499999999999993" hidden="1" customHeight="1" x14ac:dyDescent="0.2"/>
    <row r="16512" ht="9.9499999999999993" hidden="1" customHeight="1" x14ac:dyDescent="0.2"/>
    <row r="16513" ht="9.9499999999999993" hidden="1" customHeight="1" x14ac:dyDescent="0.2"/>
    <row r="16514" ht="9.9499999999999993" hidden="1" customHeight="1" x14ac:dyDescent="0.2"/>
    <row r="16515" ht="9.9499999999999993" hidden="1" customHeight="1" x14ac:dyDescent="0.2"/>
    <row r="16516" ht="9.9499999999999993" hidden="1" customHeight="1" x14ac:dyDescent="0.2"/>
    <row r="16517" ht="9.9499999999999993" hidden="1" customHeight="1" x14ac:dyDescent="0.2"/>
    <row r="16518" ht="9.9499999999999993" hidden="1" customHeight="1" x14ac:dyDescent="0.2"/>
    <row r="16519" ht="9.9499999999999993" hidden="1" customHeight="1" x14ac:dyDescent="0.2"/>
    <row r="16520" ht="9.9499999999999993" hidden="1" customHeight="1" x14ac:dyDescent="0.2"/>
    <row r="16521" ht="9.9499999999999993" hidden="1" customHeight="1" x14ac:dyDescent="0.2"/>
    <row r="16522" ht="9.9499999999999993" hidden="1" customHeight="1" x14ac:dyDescent="0.2"/>
    <row r="16523" ht="9.9499999999999993" hidden="1" customHeight="1" x14ac:dyDescent="0.2"/>
    <row r="16524" ht="9.9499999999999993" hidden="1" customHeight="1" x14ac:dyDescent="0.2"/>
    <row r="16525" ht="9.9499999999999993" hidden="1" customHeight="1" x14ac:dyDescent="0.2"/>
    <row r="16526" ht="9.9499999999999993" hidden="1" customHeight="1" x14ac:dyDescent="0.2"/>
    <row r="16527" ht="9.9499999999999993" hidden="1" customHeight="1" x14ac:dyDescent="0.2"/>
    <row r="16528" ht="9.9499999999999993" hidden="1" customHeight="1" x14ac:dyDescent="0.2"/>
    <row r="16529" ht="9.9499999999999993" hidden="1" customHeight="1" x14ac:dyDescent="0.2"/>
    <row r="16530" ht="9.9499999999999993" hidden="1" customHeight="1" x14ac:dyDescent="0.2"/>
    <row r="16531" ht="9.9499999999999993" hidden="1" customHeight="1" x14ac:dyDescent="0.2"/>
    <row r="16532" ht="9.9499999999999993" hidden="1" customHeight="1" x14ac:dyDescent="0.2"/>
    <row r="16533" ht="9.9499999999999993" hidden="1" customHeight="1" x14ac:dyDescent="0.2"/>
    <row r="16534" ht="9.9499999999999993" hidden="1" customHeight="1" x14ac:dyDescent="0.2"/>
    <row r="16535" ht="9.9499999999999993" hidden="1" customHeight="1" x14ac:dyDescent="0.2"/>
    <row r="16536" ht="9.9499999999999993" hidden="1" customHeight="1" x14ac:dyDescent="0.2"/>
    <row r="16537" ht="9.9499999999999993" hidden="1" customHeight="1" x14ac:dyDescent="0.2"/>
    <row r="16538" ht="9.9499999999999993" hidden="1" customHeight="1" x14ac:dyDescent="0.2"/>
    <row r="16539" ht="9.9499999999999993" hidden="1" customHeight="1" x14ac:dyDescent="0.2"/>
    <row r="16540" ht="9.9499999999999993" hidden="1" customHeight="1" x14ac:dyDescent="0.2"/>
    <row r="16541" ht="9.9499999999999993" hidden="1" customHeight="1" x14ac:dyDescent="0.2"/>
    <row r="16542" ht="9.9499999999999993" hidden="1" customHeight="1" x14ac:dyDescent="0.2"/>
    <row r="16543" ht="9.9499999999999993" hidden="1" customHeight="1" x14ac:dyDescent="0.2"/>
    <row r="16544" ht="9.9499999999999993" hidden="1" customHeight="1" x14ac:dyDescent="0.2"/>
    <row r="16545" ht="9.9499999999999993" hidden="1" customHeight="1" x14ac:dyDescent="0.2"/>
    <row r="16546" ht="9.9499999999999993" hidden="1" customHeight="1" x14ac:dyDescent="0.2"/>
    <row r="16547" ht="9.9499999999999993" hidden="1" customHeight="1" x14ac:dyDescent="0.2"/>
    <row r="16548" ht="9.9499999999999993" hidden="1" customHeight="1" x14ac:dyDescent="0.2"/>
    <row r="16549" ht="9.9499999999999993" hidden="1" customHeight="1" x14ac:dyDescent="0.2"/>
    <row r="16550" ht="9.9499999999999993" hidden="1" customHeight="1" x14ac:dyDescent="0.2"/>
    <row r="16551" ht="9.9499999999999993" hidden="1" customHeight="1" x14ac:dyDescent="0.2"/>
    <row r="16552" ht="9.9499999999999993" hidden="1" customHeight="1" x14ac:dyDescent="0.2"/>
    <row r="16553" ht="9.9499999999999993" hidden="1" customHeight="1" x14ac:dyDescent="0.2"/>
    <row r="16554" ht="9.9499999999999993" hidden="1" customHeight="1" x14ac:dyDescent="0.2"/>
    <row r="16555" ht="9.9499999999999993" hidden="1" customHeight="1" x14ac:dyDescent="0.2"/>
    <row r="16556" ht="9.9499999999999993" hidden="1" customHeight="1" x14ac:dyDescent="0.2"/>
    <row r="16557" ht="9.9499999999999993" hidden="1" customHeight="1" x14ac:dyDescent="0.2"/>
    <row r="16558" ht="9.9499999999999993" hidden="1" customHeight="1" x14ac:dyDescent="0.2"/>
    <row r="16559" ht="9.9499999999999993" hidden="1" customHeight="1" x14ac:dyDescent="0.2"/>
    <row r="16560" ht="9.9499999999999993" hidden="1" customHeight="1" x14ac:dyDescent="0.2"/>
    <row r="16561" ht="9.9499999999999993" hidden="1" customHeight="1" x14ac:dyDescent="0.2"/>
    <row r="16562" ht="9.9499999999999993" hidden="1" customHeight="1" x14ac:dyDescent="0.2"/>
    <row r="16563" ht="9.9499999999999993" hidden="1" customHeight="1" x14ac:dyDescent="0.2"/>
    <row r="16564" ht="9.9499999999999993" hidden="1" customHeight="1" x14ac:dyDescent="0.2"/>
    <row r="16565" ht="9.9499999999999993" hidden="1" customHeight="1" x14ac:dyDescent="0.2"/>
    <row r="16566" ht="9.9499999999999993" hidden="1" customHeight="1" x14ac:dyDescent="0.2"/>
    <row r="16567" ht="9.9499999999999993" hidden="1" customHeight="1" x14ac:dyDescent="0.2"/>
    <row r="16568" ht="9.9499999999999993" hidden="1" customHeight="1" x14ac:dyDescent="0.2"/>
    <row r="16569" ht="9.9499999999999993" hidden="1" customHeight="1" x14ac:dyDescent="0.2"/>
    <row r="16570" ht="9.9499999999999993" hidden="1" customHeight="1" x14ac:dyDescent="0.2"/>
    <row r="16571" ht="9.9499999999999993" hidden="1" customHeight="1" x14ac:dyDescent="0.2"/>
    <row r="16572" ht="9.9499999999999993" hidden="1" customHeight="1" x14ac:dyDescent="0.2"/>
    <row r="16573" ht="9.9499999999999993" hidden="1" customHeight="1" x14ac:dyDescent="0.2"/>
    <row r="16574" ht="9.9499999999999993" hidden="1" customHeight="1" x14ac:dyDescent="0.2"/>
    <row r="16575" ht="9.9499999999999993" hidden="1" customHeight="1" x14ac:dyDescent="0.2"/>
    <row r="16576" ht="9.9499999999999993" hidden="1" customHeight="1" x14ac:dyDescent="0.2"/>
    <row r="16577" ht="9.9499999999999993" hidden="1" customHeight="1" x14ac:dyDescent="0.2"/>
    <row r="16578" ht="9.9499999999999993" hidden="1" customHeight="1" x14ac:dyDescent="0.2"/>
    <row r="16579" ht="9.9499999999999993" hidden="1" customHeight="1" x14ac:dyDescent="0.2"/>
    <row r="16580" ht="9.9499999999999993" hidden="1" customHeight="1" x14ac:dyDescent="0.2"/>
    <row r="16581" ht="9.9499999999999993" hidden="1" customHeight="1" x14ac:dyDescent="0.2"/>
    <row r="16582" ht="9.9499999999999993" hidden="1" customHeight="1" x14ac:dyDescent="0.2"/>
    <row r="16583" ht="9.9499999999999993" hidden="1" customHeight="1" x14ac:dyDescent="0.2"/>
    <row r="16584" ht="9.9499999999999993" hidden="1" customHeight="1" x14ac:dyDescent="0.2"/>
    <row r="16585" ht="9.9499999999999993" hidden="1" customHeight="1" x14ac:dyDescent="0.2"/>
    <row r="16586" ht="9.9499999999999993" hidden="1" customHeight="1" x14ac:dyDescent="0.2"/>
    <row r="16587" ht="9.9499999999999993" hidden="1" customHeight="1" x14ac:dyDescent="0.2"/>
    <row r="16588" ht="9.9499999999999993" hidden="1" customHeight="1" x14ac:dyDescent="0.2"/>
    <row r="16589" ht="9.9499999999999993" hidden="1" customHeight="1" x14ac:dyDescent="0.2"/>
    <row r="16590" ht="9.9499999999999993" hidden="1" customHeight="1" x14ac:dyDescent="0.2"/>
    <row r="16591" ht="9.9499999999999993" hidden="1" customHeight="1" x14ac:dyDescent="0.2"/>
    <row r="16592" ht="9.9499999999999993" hidden="1" customHeight="1" x14ac:dyDescent="0.2"/>
    <row r="16593" ht="9.9499999999999993" hidden="1" customHeight="1" x14ac:dyDescent="0.2"/>
    <row r="16594" ht="9.9499999999999993" hidden="1" customHeight="1" x14ac:dyDescent="0.2"/>
    <row r="16595" ht="9.9499999999999993" hidden="1" customHeight="1" x14ac:dyDescent="0.2"/>
    <row r="16596" ht="9.9499999999999993" hidden="1" customHeight="1" x14ac:dyDescent="0.2"/>
    <row r="16597" ht="9.9499999999999993" hidden="1" customHeight="1" x14ac:dyDescent="0.2"/>
    <row r="16598" ht="9.9499999999999993" hidden="1" customHeight="1" x14ac:dyDescent="0.2"/>
    <row r="16599" ht="9.9499999999999993" hidden="1" customHeight="1" x14ac:dyDescent="0.2"/>
    <row r="16600" ht="9.9499999999999993" hidden="1" customHeight="1" x14ac:dyDescent="0.2"/>
    <row r="16601" ht="9.9499999999999993" hidden="1" customHeight="1" x14ac:dyDescent="0.2"/>
    <row r="16602" ht="9.9499999999999993" hidden="1" customHeight="1" x14ac:dyDescent="0.2"/>
    <row r="16603" ht="9.9499999999999993" hidden="1" customHeight="1" x14ac:dyDescent="0.2"/>
    <row r="16604" ht="9.9499999999999993" hidden="1" customHeight="1" x14ac:dyDescent="0.2"/>
    <row r="16605" ht="9.9499999999999993" hidden="1" customHeight="1" x14ac:dyDescent="0.2"/>
    <row r="16606" ht="9.9499999999999993" hidden="1" customHeight="1" x14ac:dyDescent="0.2"/>
    <row r="16607" ht="9.9499999999999993" hidden="1" customHeight="1" x14ac:dyDescent="0.2"/>
    <row r="16608" ht="9.9499999999999993" hidden="1" customHeight="1" x14ac:dyDescent="0.2"/>
    <row r="16609" ht="9.9499999999999993" hidden="1" customHeight="1" x14ac:dyDescent="0.2"/>
    <row r="16610" ht="9.9499999999999993" hidden="1" customHeight="1" x14ac:dyDescent="0.2"/>
    <row r="16611" ht="9.9499999999999993" hidden="1" customHeight="1" x14ac:dyDescent="0.2"/>
    <row r="16612" ht="9.9499999999999993" hidden="1" customHeight="1" x14ac:dyDescent="0.2"/>
    <row r="16613" ht="9.9499999999999993" hidden="1" customHeight="1" x14ac:dyDescent="0.2"/>
    <row r="16614" ht="9.9499999999999993" hidden="1" customHeight="1" x14ac:dyDescent="0.2"/>
    <row r="16615" ht="9.9499999999999993" hidden="1" customHeight="1" x14ac:dyDescent="0.2"/>
    <row r="16616" ht="9.9499999999999993" hidden="1" customHeight="1" x14ac:dyDescent="0.2"/>
    <row r="16617" ht="9.9499999999999993" hidden="1" customHeight="1" x14ac:dyDescent="0.2"/>
    <row r="16618" ht="9.9499999999999993" hidden="1" customHeight="1" x14ac:dyDescent="0.2"/>
    <row r="16619" ht="9.9499999999999993" hidden="1" customHeight="1" x14ac:dyDescent="0.2"/>
    <row r="16620" ht="9.9499999999999993" hidden="1" customHeight="1" x14ac:dyDescent="0.2"/>
    <row r="16621" ht="9.9499999999999993" hidden="1" customHeight="1" x14ac:dyDescent="0.2"/>
    <row r="16622" ht="9.9499999999999993" hidden="1" customHeight="1" x14ac:dyDescent="0.2"/>
    <row r="16623" ht="9.9499999999999993" hidden="1" customHeight="1" x14ac:dyDescent="0.2"/>
    <row r="16624" ht="9.9499999999999993" hidden="1" customHeight="1" x14ac:dyDescent="0.2"/>
    <row r="16625" ht="9.9499999999999993" hidden="1" customHeight="1" x14ac:dyDescent="0.2"/>
    <row r="16626" ht="9.9499999999999993" hidden="1" customHeight="1" x14ac:dyDescent="0.2"/>
    <row r="16627" ht="9.9499999999999993" hidden="1" customHeight="1" x14ac:dyDescent="0.2"/>
    <row r="16628" ht="9.9499999999999993" hidden="1" customHeight="1" x14ac:dyDescent="0.2"/>
    <row r="16629" ht="9.9499999999999993" hidden="1" customHeight="1" x14ac:dyDescent="0.2"/>
    <row r="16630" ht="9.9499999999999993" hidden="1" customHeight="1" x14ac:dyDescent="0.2"/>
    <row r="16631" ht="9.9499999999999993" hidden="1" customHeight="1" x14ac:dyDescent="0.2"/>
    <row r="16632" ht="9.9499999999999993" hidden="1" customHeight="1" x14ac:dyDescent="0.2"/>
    <row r="16633" ht="9.9499999999999993" hidden="1" customHeight="1" x14ac:dyDescent="0.2"/>
    <row r="16634" ht="9.9499999999999993" hidden="1" customHeight="1" x14ac:dyDescent="0.2"/>
    <row r="16635" ht="9.9499999999999993" hidden="1" customHeight="1" x14ac:dyDescent="0.2"/>
    <row r="16636" ht="9.9499999999999993" hidden="1" customHeight="1" x14ac:dyDescent="0.2"/>
    <row r="16637" ht="9.9499999999999993" hidden="1" customHeight="1" x14ac:dyDescent="0.2"/>
    <row r="16638" ht="9.9499999999999993" hidden="1" customHeight="1" x14ac:dyDescent="0.2"/>
    <row r="16639" ht="9.9499999999999993" hidden="1" customHeight="1" x14ac:dyDescent="0.2"/>
    <row r="16640" ht="9.9499999999999993" hidden="1" customHeight="1" x14ac:dyDescent="0.2"/>
    <row r="16641" ht="9.9499999999999993" hidden="1" customHeight="1" x14ac:dyDescent="0.2"/>
    <row r="16642" ht="9.9499999999999993" hidden="1" customHeight="1" x14ac:dyDescent="0.2"/>
    <row r="16643" ht="9.9499999999999993" hidden="1" customHeight="1" x14ac:dyDescent="0.2"/>
    <row r="16644" ht="9.9499999999999993" hidden="1" customHeight="1" x14ac:dyDescent="0.2"/>
    <row r="16645" ht="9.9499999999999993" hidden="1" customHeight="1" x14ac:dyDescent="0.2"/>
    <row r="16646" ht="9.9499999999999993" hidden="1" customHeight="1" x14ac:dyDescent="0.2"/>
    <row r="16647" ht="9.9499999999999993" hidden="1" customHeight="1" x14ac:dyDescent="0.2"/>
    <row r="16648" ht="9.9499999999999993" hidden="1" customHeight="1" x14ac:dyDescent="0.2"/>
    <row r="16649" ht="9.9499999999999993" hidden="1" customHeight="1" x14ac:dyDescent="0.2"/>
    <row r="16650" ht="9.9499999999999993" hidden="1" customHeight="1" x14ac:dyDescent="0.2"/>
    <row r="16651" ht="9.9499999999999993" hidden="1" customHeight="1" x14ac:dyDescent="0.2"/>
    <row r="16652" ht="9.9499999999999993" hidden="1" customHeight="1" x14ac:dyDescent="0.2"/>
    <row r="16653" ht="9.9499999999999993" hidden="1" customHeight="1" x14ac:dyDescent="0.2"/>
    <row r="16654" ht="9.9499999999999993" hidden="1" customHeight="1" x14ac:dyDescent="0.2"/>
    <row r="16655" ht="9.9499999999999993" hidden="1" customHeight="1" x14ac:dyDescent="0.2"/>
    <row r="16656" ht="9.9499999999999993" hidden="1" customHeight="1" x14ac:dyDescent="0.2"/>
    <row r="16657" ht="9.9499999999999993" hidden="1" customHeight="1" x14ac:dyDescent="0.2"/>
    <row r="16658" ht="9.9499999999999993" hidden="1" customHeight="1" x14ac:dyDescent="0.2"/>
    <row r="16659" ht="9.9499999999999993" hidden="1" customHeight="1" x14ac:dyDescent="0.2"/>
    <row r="16660" ht="9.9499999999999993" hidden="1" customHeight="1" x14ac:dyDescent="0.2"/>
    <row r="16661" ht="9.9499999999999993" hidden="1" customHeight="1" x14ac:dyDescent="0.2"/>
    <row r="16662" ht="9.9499999999999993" hidden="1" customHeight="1" x14ac:dyDescent="0.2"/>
    <row r="16663" ht="9.9499999999999993" hidden="1" customHeight="1" x14ac:dyDescent="0.2"/>
    <row r="16664" ht="9.9499999999999993" hidden="1" customHeight="1" x14ac:dyDescent="0.2"/>
    <row r="16665" ht="9.9499999999999993" hidden="1" customHeight="1" x14ac:dyDescent="0.2"/>
    <row r="16666" ht="9.9499999999999993" hidden="1" customHeight="1" x14ac:dyDescent="0.2"/>
    <row r="16667" ht="9.9499999999999993" hidden="1" customHeight="1" x14ac:dyDescent="0.2"/>
    <row r="16668" ht="9.9499999999999993" hidden="1" customHeight="1" x14ac:dyDescent="0.2"/>
    <row r="16669" ht="9.9499999999999993" hidden="1" customHeight="1" x14ac:dyDescent="0.2"/>
    <row r="16670" ht="9.9499999999999993" hidden="1" customHeight="1" x14ac:dyDescent="0.2"/>
    <row r="16671" ht="9.9499999999999993" hidden="1" customHeight="1" x14ac:dyDescent="0.2"/>
    <row r="16672" ht="9.9499999999999993" hidden="1" customHeight="1" x14ac:dyDescent="0.2"/>
    <row r="16673" ht="9.9499999999999993" hidden="1" customHeight="1" x14ac:dyDescent="0.2"/>
    <row r="16674" ht="9.9499999999999993" hidden="1" customHeight="1" x14ac:dyDescent="0.2"/>
    <row r="16675" ht="9.9499999999999993" hidden="1" customHeight="1" x14ac:dyDescent="0.2"/>
    <row r="16676" ht="9.9499999999999993" hidden="1" customHeight="1" x14ac:dyDescent="0.2"/>
    <row r="16677" ht="9.9499999999999993" hidden="1" customHeight="1" x14ac:dyDescent="0.2"/>
    <row r="16678" ht="9.9499999999999993" hidden="1" customHeight="1" x14ac:dyDescent="0.2"/>
    <row r="16679" ht="9.9499999999999993" hidden="1" customHeight="1" x14ac:dyDescent="0.2"/>
    <row r="16680" ht="9.9499999999999993" hidden="1" customHeight="1" x14ac:dyDescent="0.2"/>
    <row r="16681" ht="9.9499999999999993" hidden="1" customHeight="1" x14ac:dyDescent="0.2"/>
    <row r="16682" ht="9.9499999999999993" hidden="1" customHeight="1" x14ac:dyDescent="0.2"/>
    <row r="16683" ht="9.9499999999999993" hidden="1" customHeight="1" x14ac:dyDescent="0.2"/>
    <row r="16684" ht="9.9499999999999993" hidden="1" customHeight="1" x14ac:dyDescent="0.2"/>
    <row r="16685" ht="9.9499999999999993" hidden="1" customHeight="1" x14ac:dyDescent="0.2"/>
    <row r="16686" ht="9.9499999999999993" hidden="1" customHeight="1" x14ac:dyDescent="0.2"/>
    <row r="16687" ht="9.9499999999999993" hidden="1" customHeight="1" x14ac:dyDescent="0.2"/>
    <row r="16688" ht="9.9499999999999993" hidden="1" customHeight="1" x14ac:dyDescent="0.2"/>
    <row r="16689" ht="9.9499999999999993" hidden="1" customHeight="1" x14ac:dyDescent="0.2"/>
    <row r="16690" ht="9.9499999999999993" hidden="1" customHeight="1" x14ac:dyDescent="0.2"/>
    <row r="16691" ht="9.9499999999999993" hidden="1" customHeight="1" x14ac:dyDescent="0.2"/>
    <row r="16692" ht="9.9499999999999993" hidden="1" customHeight="1" x14ac:dyDescent="0.2"/>
    <row r="16693" ht="9.9499999999999993" hidden="1" customHeight="1" x14ac:dyDescent="0.2"/>
    <row r="16694" ht="9.9499999999999993" hidden="1" customHeight="1" x14ac:dyDescent="0.2"/>
    <row r="16695" ht="9.9499999999999993" hidden="1" customHeight="1" x14ac:dyDescent="0.2"/>
    <row r="16696" ht="9.9499999999999993" hidden="1" customHeight="1" x14ac:dyDescent="0.2"/>
    <row r="16697" ht="9.9499999999999993" hidden="1" customHeight="1" x14ac:dyDescent="0.2"/>
    <row r="16698" ht="9.9499999999999993" hidden="1" customHeight="1" x14ac:dyDescent="0.2"/>
    <row r="16699" ht="9.9499999999999993" hidden="1" customHeight="1" x14ac:dyDescent="0.2"/>
    <row r="16700" ht="9.9499999999999993" hidden="1" customHeight="1" x14ac:dyDescent="0.2"/>
    <row r="16701" ht="9.9499999999999993" hidden="1" customHeight="1" x14ac:dyDescent="0.2"/>
    <row r="16702" ht="9.9499999999999993" hidden="1" customHeight="1" x14ac:dyDescent="0.2"/>
    <row r="16703" ht="9.9499999999999993" hidden="1" customHeight="1" x14ac:dyDescent="0.2"/>
    <row r="16704" ht="9.9499999999999993" hidden="1" customHeight="1" x14ac:dyDescent="0.2"/>
    <row r="16705" ht="9.9499999999999993" hidden="1" customHeight="1" x14ac:dyDescent="0.2"/>
    <row r="16706" ht="9.9499999999999993" hidden="1" customHeight="1" x14ac:dyDescent="0.2"/>
    <row r="16707" ht="9.9499999999999993" hidden="1" customHeight="1" x14ac:dyDescent="0.2"/>
    <row r="16708" ht="9.9499999999999993" hidden="1" customHeight="1" x14ac:dyDescent="0.2"/>
    <row r="16709" ht="9.9499999999999993" hidden="1" customHeight="1" x14ac:dyDescent="0.2"/>
    <row r="16710" ht="9.9499999999999993" hidden="1" customHeight="1" x14ac:dyDescent="0.2"/>
    <row r="16711" ht="9.9499999999999993" hidden="1" customHeight="1" x14ac:dyDescent="0.2"/>
    <row r="16712" ht="9.9499999999999993" hidden="1" customHeight="1" x14ac:dyDescent="0.2"/>
    <row r="16713" ht="9.9499999999999993" hidden="1" customHeight="1" x14ac:dyDescent="0.2"/>
    <row r="16714" ht="9.9499999999999993" hidden="1" customHeight="1" x14ac:dyDescent="0.2"/>
    <row r="16715" ht="9.9499999999999993" hidden="1" customHeight="1" x14ac:dyDescent="0.2"/>
    <row r="16716" ht="9.9499999999999993" hidden="1" customHeight="1" x14ac:dyDescent="0.2"/>
    <row r="16717" ht="9.9499999999999993" hidden="1" customHeight="1" x14ac:dyDescent="0.2"/>
    <row r="16718" ht="9.9499999999999993" hidden="1" customHeight="1" x14ac:dyDescent="0.2"/>
    <row r="16719" ht="9.9499999999999993" hidden="1" customHeight="1" x14ac:dyDescent="0.2"/>
    <row r="16720" ht="9.9499999999999993" hidden="1" customHeight="1" x14ac:dyDescent="0.2"/>
    <row r="16721" ht="9.9499999999999993" hidden="1" customHeight="1" x14ac:dyDescent="0.2"/>
    <row r="16722" ht="9.9499999999999993" hidden="1" customHeight="1" x14ac:dyDescent="0.2"/>
    <row r="16723" ht="9.9499999999999993" hidden="1" customHeight="1" x14ac:dyDescent="0.2"/>
    <row r="16724" ht="9.9499999999999993" hidden="1" customHeight="1" x14ac:dyDescent="0.2"/>
    <row r="16725" ht="9.9499999999999993" hidden="1" customHeight="1" x14ac:dyDescent="0.2"/>
    <row r="16726" ht="9.9499999999999993" hidden="1" customHeight="1" x14ac:dyDescent="0.2"/>
    <row r="16727" ht="9.9499999999999993" hidden="1" customHeight="1" x14ac:dyDescent="0.2"/>
    <row r="16728" ht="9.9499999999999993" hidden="1" customHeight="1" x14ac:dyDescent="0.2"/>
    <row r="16729" ht="9.9499999999999993" hidden="1" customHeight="1" x14ac:dyDescent="0.2"/>
    <row r="16730" ht="9.9499999999999993" hidden="1" customHeight="1" x14ac:dyDescent="0.2"/>
    <row r="16731" ht="9.9499999999999993" hidden="1" customHeight="1" x14ac:dyDescent="0.2"/>
    <row r="16732" ht="9.9499999999999993" hidden="1" customHeight="1" x14ac:dyDescent="0.2"/>
    <row r="16733" ht="9.9499999999999993" hidden="1" customHeight="1" x14ac:dyDescent="0.2"/>
    <row r="16734" ht="9.9499999999999993" hidden="1" customHeight="1" x14ac:dyDescent="0.2"/>
    <row r="16735" ht="9.9499999999999993" hidden="1" customHeight="1" x14ac:dyDescent="0.2"/>
    <row r="16736" ht="9.9499999999999993" hidden="1" customHeight="1" x14ac:dyDescent="0.2"/>
    <row r="16737" ht="9.9499999999999993" hidden="1" customHeight="1" x14ac:dyDescent="0.2"/>
    <row r="16738" ht="9.9499999999999993" hidden="1" customHeight="1" x14ac:dyDescent="0.2"/>
    <row r="16739" ht="9.9499999999999993" hidden="1" customHeight="1" x14ac:dyDescent="0.2"/>
    <row r="16740" ht="9.9499999999999993" hidden="1" customHeight="1" x14ac:dyDescent="0.2"/>
    <row r="16741" ht="9.9499999999999993" hidden="1" customHeight="1" x14ac:dyDescent="0.2"/>
    <row r="16742" ht="9.9499999999999993" hidden="1" customHeight="1" x14ac:dyDescent="0.2"/>
    <row r="16743" ht="9.9499999999999993" hidden="1" customHeight="1" x14ac:dyDescent="0.2"/>
    <row r="16744" ht="9.9499999999999993" hidden="1" customHeight="1" x14ac:dyDescent="0.2"/>
    <row r="16745" ht="9.9499999999999993" hidden="1" customHeight="1" x14ac:dyDescent="0.2"/>
    <row r="16746" ht="9.9499999999999993" hidden="1" customHeight="1" x14ac:dyDescent="0.2"/>
    <row r="16747" ht="9.9499999999999993" hidden="1" customHeight="1" x14ac:dyDescent="0.2"/>
    <row r="16748" ht="9.9499999999999993" hidden="1" customHeight="1" x14ac:dyDescent="0.2"/>
    <row r="16749" ht="9.9499999999999993" hidden="1" customHeight="1" x14ac:dyDescent="0.2"/>
    <row r="16750" ht="9.9499999999999993" hidden="1" customHeight="1" x14ac:dyDescent="0.2"/>
    <row r="16751" ht="9.9499999999999993" hidden="1" customHeight="1" x14ac:dyDescent="0.2"/>
    <row r="16752" ht="9.9499999999999993" hidden="1" customHeight="1" x14ac:dyDescent="0.2"/>
    <row r="16753" ht="9.9499999999999993" hidden="1" customHeight="1" x14ac:dyDescent="0.2"/>
    <row r="16754" ht="9.9499999999999993" hidden="1" customHeight="1" x14ac:dyDescent="0.2"/>
    <row r="16755" ht="9.9499999999999993" hidden="1" customHeight="1" x14ac:dyDescent="0.2"/>
    <row r="16756" ht="9.9499999999999993" hidden="1" customHeight="1" x14ac:dyDescent="0.2"/>
    <row r="16757" ht="9.9499999999999993" hidden="1" customHeight="1" x14ac:dyDescent="0.2"/>
    <row r="16758" ht="9.9499999999999993" hidden="1" customHeight="1" x14ac:dyDescent="0.2"/>
    <row r="16759" ht="9.9499999999999993" hidden="1" customHeight="1" x14ac:dyDescent="0.2"/>
    <row r="16760" ht="9.9499999999999993" hidden="1" customHeight="1" x14ac:dyDescent="0.2"/>
    <row r="16761" ht="9.9499999999999993" hidden="1" customHeight="1" x14ac:dyDescent="0.2"/>
    <row r="16762" ht="9.9499999999999993" hidden="1" customHeight="1" x14ac:dyDescent="0.2"/>
    <row r="16763" ht="9.9499999999999993" hidden="1" customHeight="1" x14ac:dyDescent="0.2"/>
    <row r="16764" ht="9.9499999999999993" hidden="1" customHeight="1" x14ac:dyDescent="0.2"/>
    <row r="16765" ht="9.9499999999999993" hidden="1" customHeight="1" x14ac:dyDescent="0.2"/>
    <row r="16766" ht="9.9499999999999993" hidden="1" customHeight="1" x14ac:dyDescent="0.2"/>
    <row r="16767" ht="9.9499999999999993" hidden="1" customHeight="1" x14ac:dyDescent="0.2"/>
    <row r="16768" ht="9.9499999999999993" hidden="1" customHeight="1" x14ac:dyDescent="0.2"/>
    <row r="16769" ht="9.9499999999999993" hidden="1" customHeight="1" x14ac:dyDescent="0.2"/>
    <row r="16770" ht="9.9499999999999993" hidden="1" customHeight="1" x14ac:dyDescent="0.2"/>
    <row r="16771" ht="9.9499999999999993" hidden="1" customHeight="1" x14ac:dyDescent="0.2"/>
    <row r="16772" ht="9.9499999999999993" hidden="1" customHeight="1" x14ac:dyDescent="0.2"/>
    <row r="16773" ht="9.9499999999999993" hidden="1" customHeight="1" x14ac:dyDescent="0.2"/>
    <row r="16774" ht="9.9499999999999993" hidden="1" customHeight="1" x14ac:dyDescent="0.2"/>
    <row r="16775" ht="9.9499999999999993" hidden="1" customHeight="1" x14ac:dyDescent="0.2"/>
    <row r="16776" ht="9.9499999999999993" hidden="1" customHeight="1" x14ac:dyDescent="0.2"/>
    <row r="16777" ht="9.9499999999999993" hidden="1" customHeight="1" x14ac:dyDescent="0.2"/>
    <row r="16778" ht="9.9499999999999993" hidden="1" customHeight="1" x14ac:dyDescent="0.2"/>
    <row r="16779" ht="9.9499999999999993" hidden="1" customHeight="1" x14ac:dyDescent="0.2"/>
    <row r="16780" ht="9.9499999999999993" hidden="1" customHeight="1" x14ac:dyDescent="0.2"/>
    <row r="16781" ht="9.9499999999999993" hidden="1" customHeight="1" x14ac:dyDescent="0.2"/>
    <row r="16782" ht="9.9499999999999993" hidden="1" customHeight="1" x14ac:dyDescent="0.2"/>
    <row r="16783" ht="9.9499999999999993" hidden="1" customHeight="1" x14ac:dyDescent="0.2"/>
    <row r="16784" ht="9.9499999999999993" hidden="1" customHeight="1" x14ac:dyDescent="0.2"/>
    <row r="16785" ht="9.9499999999999993" hidden="1" customHeight="1" x14ac:dyDescent="0.2"/>
    <row r="16786" ht="9.9499999999999993" hidden="1" customHeight="1" x14ac:dyDescent="0.2"/>
    <row r="16787" ht="9.9499999999999993" hidden="1" customHeight="1" x14ac:dyDescent="0.2"/>
    <row r="16788" ht="9.9499999999999993" hidden="1" customHeight="1" x14ac:dyDescent="0.2"/>
    <row r="16789" ht="9.9499999999999993" hidden="1" customHeight="1" x14ac:dyDescent="0.2"/>
    <row r="16790" ht="9.9499999999999993" hidden="1" customHeight="1" x14ac:dyDescent="0.2"/>
    <row r="16791" ht="9.9499999999999993" hidden="1" customHeight="1" x14ac:dyDescent="0.2"/>
    <row r="16792" ht="9.9499999999999993" hidden="1" customHeight="1" x14ac:dyDescent="0.2"/>
    <row r="16793" ht="9.9499999999999993" hidden="1" customHeight="1" x14ac:dyDescent="0.2"/>
    <row r="16794" ht="9.9499999999999993" hidden="1" customHeight="1" x14ac:dyDescent="0.2"/>
    <row r="16795" ht="9.9499999999999993" hidden="1" customHeight="1" x14ac:dyDescent="0.2"/>
    <row r="16796" ht="9.9499999999999993" hidden="1" customHeight="1" x14ac:dyDescent="0.2"/>
    <row r="16797" ht="9.9499999999999993" hidden="1" customHeight="1" x14ac:dyDescent="0.2"/>
    <row r="16798" ht="9.9499999999999993" hidden="1" customHeight="1" x14ac:dyDescent="0.2"/>
    <row r="16799" ht="9.9499999999999993" hidden="1" customHeight="1" x14ac:dyDescent="0.2"/>
    <row r="16800" ht="9.9499999999999993" hidden="1" customHeight="1" x14ac:dyDescent="0.2"/>
    <row r="16801" ht="9.9499999999999993" hidden="1" customHeight="1" x14ac:dyDescent="0.2"/>
    <row r="16802" ht="9.9499999999999993" hidden="1" customHeight="1" x14ac:dyDescent="0.2"/>
    <row r="16803" ht="9.9499999999999993" hidden="1" customHeight="1" x14ac:dyDescent="0.2"/>
    <row r="16804" ht="9.9499999999999993" hidden="1" customHeight="1" x14ac:dyDescent="0.2"/>
    <row r="16805" ht="9.9499999999999993" hidden="1" customHeight="1" x14ac:dyDescent="0.2"/>
    <row r="16806" ht="9.9499999999999993" hidden="1" customHeight="1" x14ac:dyDescent="0.2"/>
    <row r="16807" ht="9.9499999999999993" hidden="1" customHeight="1" x14ac:dyDescent="0.2"/>
    <row r="16808" ht="9.9499999999999993" hidden="1" customHeight="1" x14ac:dyDescent="0.2"/>
    <row r="16809" ht="9.9499999999999993" hidden="1" customHeight="1" x14ac:dyDescent="0.2"/>
    <row r="16810" ht="9.9499999999999993" hidden="1" customHeight="1" x14ac:dyDescent="0.2"/>
    <row r="16811" ht="9.9499999999999993" hidden="1" customHeight="1" x14ac:dyDescent="0.2"/>
    <row r="16812" ht="9.9499999999999993" hidden="1" customHeight="1" x14ac:dyDescent="0.2"/>
    <row r="16813" ht="9.9499999999999993" hidden="1" customHeight="1" x14ac:dyDescent="0.2"/>
    <row r="16814" ht="9.9499999999999993" hidden="1" customHeight="1" x14ac:dyDescent="0.2"/>
    <row r="16815" ht="9.9499999999999993" hidden="1" customHeight="1" x14ac:dyDescent="0.2"/>
    <row r="16816" ht="9.9499999999999993" hidden="1" customHeight="1" x14ac:dyDescent="0.2"/>
    <row r="16817" ht="9.9499999999999993" hidden="1" customHeight="1" x14ac:dyDescent="0.2"/>
    <row r="16818" ht="9.9499999999999993" hidden="1" customHeight="1" x14ac:dyDescent="0.2"/>
    <row r="16819" ht="9.9499999999999993" hidden="1" customHeight="1" x14ac:dyDescent="0.2"/>
    <row r="16820" ht="9.9499999999999993" hidden="1" customHeight="1" x14ac:dyDescent="0.2"/>
    <row r="16821" ht="9.9499999999999993" hidden="1" customHeight="1" x14ac:dyDescent="0.2"/>
    <row r="16822" ht="9.9499999999999993" hidden="1" customHeight="1" x14ac:dyDescent="0.2"/>
    <row r="16823" ht="9.9499999999999993" hidden="1" customHeight="1" x14ac:dyDescent="0.2"/>
    <row r="16824" ht="9.9499999999999993" hidden="1" customHeight="1" x14ac:dyDescent="0.2"/>
    <row r="16825" ht="9.9499999999999993" hidden="1" customHeight="1" x14ac:dyDescent="0.2"/>
    <row r="16826" ht="9.9499999999999993" hidden="1" customHeight="1" x14ac:dyDescent="0.2"/>
    <row r="16827" ht="9.9499999999999993" hidden="1" customHeight="1" x14ac:dyDescent="0.2"/>
    <row r="16828" ht="9.9499999999999993" hidden="1" customHeight="1" x14ac:dyDescent="0.2"/>
    <row r="16829" ht="9.9499999999999993" hidden="1" customHeight="1" x14ac:dyDescent="0.2"/>
    <row r="16830" ht="9.9499999999999993" hidden="1" customHeight="1" x14ac:dyDescent="0.2"/>
    <row r="16831" ht="9.9499999999999993" hidden="1" customHeight="1" x14ac:dyDescent="0.2"/>
    <row r="16832" ht="9.9499999999999993" hidden="1" customHeight="1" x14ac:dyDescent="0.2"/>
    <row r="16833" ht="9.9499999999999993" hidden="1" customHeight="1" x14ac:dyDescent="0.2"/>
    <row r="16834" ht="9.9499999999999993" hidden="1" customHeight="1" x14ac:dyDescent="0.2"/>
    <row r="16835" ht="9.9499999999999993" hidden="1" customHeight="1" x14ac:dyDescent="0.2"/>
    <row r="16836" ht="9.9499999999999993" hidden="1" customHeight="1" x14ac:dyDescent="0.2"/>
    <row r="16837" ht="9.9499999999999993" hidden="1" customHeight="1" x14ac:dyDescent="0.2"/>
    <row r="16838" ht="9.9499999999999993" hidden="1" customHeight="1" x14ac:dyDescent="0.2"/>
    <row r="16839" ht="9.9499999999999993" hidden="1" customHeight="1" x14ac:dyDescent="0.2"/>
    <row r="16840" ht="9.9499999999999993" hidden="1" customHeight="1" x14ac:dyDescent="0.2"/>
    <row r="16841" ht="9.9499999999999993" hidden="1" customHeight="1" x14ac:dyDescent="0.2"/>
    <row r="16842" ht="9.9499999999999993" hidden="1" customHeight="1" x14ac:dyDescent="0.2"/>
    <row r="16843" ht="9.9499999999999993" hidden="1" customHeight="1" x14ac:dyDescent="0.2"/>
    <row r="16844" ht="9.9499999999999993" hidden="1" customHeight="1" x14ac:dyDescent="0.2"/>
    <row r="16845" ht="9.9499999999999993" hidden="1" customHeight="1" x14ac:dyDescent="0.2"/>
    <row r="16846" ht="9.9499999999999993" hidden="1" customHeight="1" x14ac:dyDescent="0.2"/>
    <row r="16847" ht="9.9499999999999993" hidden="1" customHeight="1" x14ac:dyDescent="0.2"/>
    <row r="16848" ht="9.9499999999999993" hidden="1" customHeight="1" x14ac:dyDescent="0.2"/>
    <row r="16849" ht="9.9499999999999993" hidden="1" customHeight="1" x14ac:dyDescent="0.2"/>
    <row r="16850" ht="9.9499999999999993" hidden="1" customHeight="1" x14ac:dyDescent="0.2"/>
    <row r="16851" ht="9.9499999999999993" hidden="1" customHeight="1" x14ac:dyDescent="0.2"/>
    <row r="16852" ht="9.9499999999999993" hidden="1" customHeight="1" x14ac:dyDescent="0.2"/>
    <row r="16853" ht="9.9499999999999993" hidden="1" customHeight="1" x14ac:dyDescent="0.2"/>
    <row r="16854" ht="9.9499999999999993" hidden="1" customHeight="1" x14ac:dyDescent="0.2"/>
    <row r="16855" ht="9.9499999999999993" hidden="1" customHeight="1" x14ac:dyDescent="0.2"/>
    <row r="16856" ht="9.9499999999999993" hidden="1" customHeight="1" x14ac:dyDescent="0.2"/>
    <row r="16857" ht="9.9499999999999993" hidden="1" customHeight="1" x14ac:dyDescent="0.2"/>
    <row r="16858" ht="9.9499999999999993" hidden="1" customHeight="1" x14ac:dyDescent="0.2"/>
    <row r="16859" ht="9.9499999999999993" hidden="1" customHeight="1" x14ac:dyDescent="0.2"/>
    <row r="16860" ht="9.9499999999999993" hidden="1" customHeight="1" x14ac:dyDescent="0.2"/>
    <row r="16861" ht="9.9499999999999993" hidden="1" customHeight="1" x14ac:dyDescent="0.2"/>
    <row r="16862" ht="9.9499999999999993" hidden="1" customHeight="1" x14ac:dyDescent="0.2"/>
    <row r="16863" ht="9.9499999999999993" hidden="1" customHeight="1" x14ac:dyDescent="0.2"/>
    <row r="16864" ht="9.9499999999999993" hidden="1" customHeight="1" x14ac:dyDescent="0.2"/>
    <row r="16865" ht="9.9499999999999993" hidden="1" customHeight="1" x14ac:dyDescent="0.2"/>
    <row r="16866" ht="9.9499999999999993" hidden="1" customHeight="1" x14ac:dyDescent="0.2"/>
    <row r="16867" ht="9.9499999999999993" hidden="1" customHeight="1" x14ac:dyDescent="0.2"/>
    <row r="16868" ht="9.9499999999999993" hidden="1" customHeight="1" x14ac:dyDescent="0.2"/>
    <row r="16869" ht="9.9499999999999993" hidden="1" customHeight="1" x14ac:dyDescent="0.2"/>
    <row r="16870" ht="9.9499999999999993" hidden="1" customHeight="1" x14ac:dyDescent="0.2"/>
    <row r="16871" ht="9.9499999999999993" hidden="1" customHeight="1" x14ac:dyDescent="0.2"/>
    <row r="16872" ht="9.9499999999999993" hidden="1" customHeight="1" x14ac:dyDescent="0.2"/>
    <row r="16873" ht="9.9499999999999993" hidden="1" customHeight="1" x14ac:dyDescent="0.2"/>
    <row r="16874" ht="9.9499999999999993" hidden="1" customHeight="1" x14ac:dyDescent="0.2"/>
    <row r="16875" ht="9.9499999999999993" hidden="1" customHeight="1" x14ac:dyDescent="0.2"/>
    <row r="16876" ht="9.9499999999999993" hidden="1" customHeight="1" x14ac:dyDescent="0.2"/>
    <row r="16877" ht="9.9499999999999993" hidden="1" customHeight="1" x14ac:dyDescent="0.2"/>
    <row r="16878" ht="9.9499999999999993" hidden="1" customHeight="1" x14ac:dyDescent="0.2"/>
    <row r="16879" ht="9.9499999999999993" hidden="1" customHeight="1" x14ac:dyDescent="0.2"/>
    <row r="16880" ht="9.9499999999999993" hidden="1" customHeight="1" x14ac:dyDescent="0.2"/>
    <row r="16881" ht="9.9499999999999993" hidden="1" customHeight="1" x14ac:dyDescent="0.2"/>
    <row r="16882" ht="9.9499999999999993" hidden="1" customHeight="1" x14ac:dyDescent="0.2"/>
    <row r="16883" ht="9.9499999999999993" hidden="1" customHeight="1" x14ac:dyDescent="0.2"/>
    <row r="16884" ht="9.9499999999999993" hidden="1" customHeight="1" x14ac:dyDescent="0.2"/>
    <row r="16885" ht="9.9499999999999993" hidden="1" customHeight="1" x14ac:dyDescent="0.2"/>
    <row r="16886" ht="9.9499999999999993" hidden="1" customHeight="1" x14ac:dyDescent="0.2"/>
    <row r="16887" ht="9.9499999999999993" hidden="1" customHeight="1" x14ac:dyDescent="0.2"/>
    <row r="16888" ht="9.9499999999999993" hidden="1" customHeight="1" x14ac:dyDescent="0.2"/>
    <row r="16889" ht="9.9499999999999993" hidden="1" customHeight="1" x14ac:dyDescent="0.2"/>
    <row r="16890" ht="9.9499999999999993" hidden="1" customHeight="1" x14ac:dyDescent="0.2"/>
    <row r="16891" ht="9.9499999999999993" hidden="1" customHeight="1" x14ac:dyDescent="0.2"/>
    <row r="16892" ht="9.9499999999999993" hidden="1" customHeight="1" x14ac:dyDescent="0.2"/>
    <row r="16893" ht="9.9499999999999993" hidden="1" customHeight="1" x14ac:dyDescent="0.2"/>
    <row r="16894" ht="9.9499999999999993" hidden="1" customHeight="1" x14ac:dyDescent="0.2"/>
    <row r="16895" ht="9.9499999999999993" hidden="1" customHeight="1" x14ac:dyDescent="0.2"/>
    <row r="16896" ht="9.9499999999999993" hidden="1" customHeight="1" x14ac:dyDescent="0.2"/>
    <row r="16897" ht="9.9499999999999993" hidden="1" customHeight="1" x14ac:dyDescent="0.2"/>
    <row r="16898" ht="9.9499999999999993" hidden="1" customHeight="1" x14ac:dyDescent="0.2"/>
    <row r="16899" ht="9.9499999999999993" hidden="1" customHeight="1" x14ac:dyDescent="0.2"/>
    <row r="16900" ht="9.9499999999999993" hidden="1" customHeight="1" x14ac:dyDescent="0.2"/>
    <row r="16901" ht="9.9499999999999993" hidden="1" customHeight="1" x14ac:dyDescent="0.2"/>
    <row r="16902" ht="9.9499999999999993" hidden="1" customHeight="1" x14ac:dyDescent="0.2"/>
    <row r="16903" ht="9.9499999999999993" hidden="1" customHeight="1" x14ac:dyDescent="0.2"/>
    <row r="16904" ht="9.9499999999999993" hidden="1" customHeight="1" x14ac:dyDescent="0.2"/>
    <row r="16905" ht="9.9499999999999993" hidden="1" customHeight="1" x14ac:dyDescent="0.2"/>
    <row r="16906" ht="9.9499999999999993" hidden="1" customHeight="1" x14ac:dyDescent="0.2"/>
    <row r="16907" ht="9.9499999999999993" hidden="1" customHeight="1" x14ac:dyDescent="0.2"/>
    <row r="16908" ht="9.9499999999999993" hidden="1" customHeight="1" x14ac:dyDescent="0.2"/>
    <row r="16909" ht="9.9499999999999993" hidden="1" customHeight="1" x14ac:dyDescent="0.2"/>
    <row r="16910" ht="9.9499999999999993" hidden="1" customHeight="1" x14ac:dyDescent="0.2"/>
    <row r="16911" ht="9.9499999999999993" hidden="1" customHeight="1" x14ac:dyDescent="0.2"/>
    <row r="16912" ht="9.9499999999999993" hidden="1" customHeight="1" x14ac:dyDescent="0.2"/>
    <row r="16913" ht="9.9499999999999993" hidden="1" customHeight="1" x14ac:dyDescent="0.2"/>
    <row r="16914" ht="9.9499999999999993" hidden="1" customHeight="1" x14ac:dyDescent="0.2"/>
    <row r="16915" ht="9.9499999999999993" hidden="1" customHeight="1" x14ac:dyDescent="0.2"/>
    <row r="16916" ht="9.9499999999999993" hidden="1" customHeight="1" x14ac:dyDescent="0.2"/>
    <row r="16917" ht="9.9499999999999993" hidden="1" customHeight="1" x14ac:dyDescent="0.2"/>
    <row r="16918" ht="9.9499999999999993" hidden="1" customHeight="1" x14ac:dyDescent="0.2"/>
    <row r="16919" ht="9.9499999999999993" hidden="1" customHeight="1" x14ac:dyDescent="0.2"/>
    <row r="16920" ht="9.9499999999999993" hidden="1" customHeight="1" x14ac:dyDescent="0.2"/>
    <row r="16921" ht="9.9499999999999993" hidden="1" customHeight="1" x14ac:dyDescent="0.2"/>
    <row r="16922" ht="9.9499999999999993" hidden="1" customHeight="1" x14ac:dyDescent="0.2"/>
    <row r="16923" ht="9.9499999999999993" hidden="1" customHeight="1" x14ac:dyDescent="0.2"/>
    <row r="16924" ht="9.9499999999999993" hidden="1" customHeight="1" x14ac:dyDescent="0.2"/>
    <row r="16925" ht="9.9499999999999993" hidden="1" customHeight="1" x14ac:dyDescent="0.2"/>
    <row r="16926" ht="9.9499999999999993" hidden="1" customHeight="1" x14ac:dyDescent="0.2"/>
    <row r="16927" ht="9.9499999999999993" hidden="1" customHeight="1" x14ac:dyDescent="0.2"/>
    <row r="16928" ht="9.9499999999999993" hidden="1" customHeight="1" x14ac:dyDescent="0.2"/>
    <row r="16929" ht="9.9499999999999993" hidden="1" customHeight="1" x14ac:dyDescent="0.2"/>
    <row r="16930" ht="9.9499999999999993" hidden="1" customHeight="1" x14ac:dyDescent="0.2"/>
    <row r="16931" ht="9.9499999999999993" hidden="1" customHeight="1" x14ac:dyDescent="0.2"/>
    <row r="16932" ht="9.9499999999999993" hidden="1" customHeight="1" x14ac:dyDescent="0.2"/>
    <row r="16933" ht="9.9499999999999993" hidden="1" customHeight="1" x14ac:dyDescent="0.2"/>
    <row r="16934" ht="9.9499999999999993" hidden="1" customHeight="1" x14ac:dyDescent="0.2"/>
    <row r="16935" ht="9.9499999999999993" hidden="1" customHeight="1" x14ac:dyDescent="0.2"/>
    <row r="16936" ht="9.9499999999999993" hidden="1" customHeight="1" x14ac:dyDescent="0.2"/>
    <row r="16937" ht="9.9499999999999993" hidden="1" customHeight="1" x14ac:dyDescent="0.2"/>
    <row r="16938" ht="9.9499999999999993" hidden="1" customHeight="1" x14ac:dyDescent="0.2"/>
    <row r="16939" ht="9.9499999999999993" hidden="1" customHeight="1" x14ac:dyDescent="0.2"/>
    <row r="16940" ht="9.9499999999999993" hidden="1" customHeight="1" x14ac:dyDescent="0.2"/>
    <row r="16941" ht="9.9499999999999993" hidden="1" customHeight="1" x14ac:dyDescent="0.2"/>
    <row r="16942" ht="9.9499999999999993" hidden="1" customHeight="1" x14ac:dyDescent="0.2"/>
    <row r="16943" ht="9.9499999999999993" hidden="1" customHeight="1" x14ac:dyDescent="0.2"/>
    <row r="16944" ht="9.9499999999999993" hidden="1" customHeight="1" x14ac:dyDescent="0.2"/>
    <row r="16945" ht="9.9499999999999993" hidden="1" customHeight="1" x14ac:dyDescent="0.2"/>
    <row r="16946" ht="9.9499999999999993" hidden="1" customHeight="1" x14ac:dyDescent="0.2"/>
    <row r="16947" ht="9.9499999999999993" hidden="1" customHeight="1" x14ac:dyDescent="0.2"/>
    <row r="16948" ht="9.9499999999999993" hidden="1" customHeight="1" x14ac:dyDescent="0.2"/>
    <row r="16949" ht="9.9499999999999993" hidden="1" customHeight="1" x14ac:dyDescent="0.2"/>
    <row r="16950" ht="9.9499999999999993" hidden="1" customHeight="1" x14ac:dyDescent="0.2"/>
    <row r="16951" ht="9.9499999999999993" hidden="1" customHeight="1" x14ac:dyDescent="0.2"/>
    <row r="16952" ht="9.9499999999999993" hidden="1" customHeight="1" x14ac:dyDescent="0.2"/>
    <row r="16953" ht="9.9499999999999993" hidden="1" customHeight="1" x14ac:dyDescent="0.2"/>
    <row r="16954" ht="9.9499999999999993" hidden="1" customHeight="1" x14ac:dyDescent="0.2"/>
    <row r="16955" ht="9.9499999999999993" hidden="1" customHeight="1" x14ac:dyDescent="0.2"/>
    <row r="16956" ht="9.9499999999999993" hidden="1" customHeight="1" x14ac:dyDescent="0.2"/>
    <row r="16957" ht="9.9499999999999993" hidden="1" customHeight="1" x14ac:dyDescent="0.2"/>
    <row r="16958" ht="9.9499999999999993" hidden="1" customHeight="1" x14ac:dyDescent="0.2"/>
    <row r="16959" ht="9.9499999999999993" hidden="1" customHeight="1" x14ac:dyDescent="0.2"/>
    <row r="16960" ht="9.9499999999999993" hidden="1" customHeight="1" x14ac:dyDescent="0.2"/>
    <row r="16961" ht="9.9499999999999993" hidden="1" customHeight="1" x14ac:dyDescent="0.2"/>
    <row r="16962" ht="9.9499999999999993" hidden="1" customHeight="1" x14ac:dyDescent="0.2"/>
    <row r="16963" ht="9.9499999999999993" hidden="1" customHeight="1" x14ac:dyDescent="0.2"/>
    <row r="16964" ht="9.9499999999999993" hidden="1" customHeight="1" x14ac:dyDescent="0.2"/>
    <row r="16965" ht="9.9499999999999993" hidden="1" customHeight="1" x14ac:dyDescent="0.2"/>
    <row r="16966" ht="9.9499999999999993" hidden="1" customHeight="1" x14ac:dyDescent="0.2"/>
    <row r="16967" ht="9.9499999999999993" hidden="1" customHeight="1" x14ac:dyDescent="0.2"/>
    <row r="16968" ht="9.9499999999999993" hidden="1" customHeight="1" x14ac:dyDescent="0.2"/>
    <row r="16969" ht="9.9499999999999993" hidden="1" customHeight="1" x14ac:dyDescent="0.2"/>
    <row r="16970" ht="9.9499999999999993" hidden="1" customHeight="1" x14ac:dyDescent="0.2"/>
    <row r="16971" ht="9.9499999999999993" hidden="1" customHeight="1" x14ac:dyDescent="0.2"/>
    <row r="16972" ht="9.9499999999999993" hidden="1" customHeight="1" x14ac:dyDescent="0.2"/>
    <row r="16973" ht="9.9499999999999993" hidden="1" customHeight="1" x14ac:dyDescent="0.2"/>
    <row r="16974" ht="9.9499999999999993" hidden="1" customHeight="1" x14ac:dyDescent="0.2"/>
    <row r="16975" ht="9.9499999999999993" hidden="1" customHeight="1" x14ac:dyDescent="0.2"/>
    <row r="16976" ht="9.9499999999999993" hidden="1" customHeight="1" x14ac:dyDescent="0.2"/>
    <row r="16977" ht="9.9499999999999993" hidden="1" customHeight="1" x14ac:dyDescent="0.2"/>
    <row r="16978" ht="9.9499999999999993" hidden="1" customHeight="1" x14ac:dyDescent="0.2"/>
    <row r="16979" ht="9.9499999999999993" hidden="1" customHeight="1" x14ac:dyDescent="0.2"/>
    <row r="16980" ht="9.9499999999999993" hidden="1" customHeight="1" x14ac:dyDescent="0.2"/>
    <row r="16981" ht="9.9499999999999993" hidden="1" customHeight="1" x14ac:dyDescent="0.2"/>
    <row r="16982" ht="9.9499999999999993" hidden="1" customHeight="1" x14ac:dyDescent="0.2"/>
    <row r="16983" ht="9.9499999999999993" hidden="1" customHeight="1" x14ac:dyDescent="0.2"/>
    <row r="16984" ht="9.9499999999999993" hidden="1" customHeight="1" x14ac:dyDescent="0.2"/>
    <row r="16985" ht="9.9499999999999993" hidden="1" customHeight="1" x14ac:dyDescent="0.2"/>
    <row r="16986" ht="9.9499999999999993" hidden="1" customHeight="1" x14ac:dyDescent="0.2"/>
    <row r="16987" ht="9.9499999999999993" hidden="1" customHeight="1" x14ac:dyDescent="0.2"/>
    <row r="16988" ht="9.9499999999999993" hidden="1" customHeight="1" x14ac:dyDescent="0.2"/>
    <row r="16989" ht="9.9499999999999993" hidden="1" customHeight="1" x14ac:dyDescent="0.2"/>
    <row r="16990" ht="9.9499999999999993" hidden="1" customHeight="1" x14ac:dyDescent="0.2"/>
    <row r="16991" ht="9.9499999999999993" hidden="1" customHeight="1" x14ac:dyDescent="0.2"/>
    <row r="16992" ht="9.9499999999999993" hidden="1" customHeight="1" x14ac:dyDescent="0.2"/>
    <row r="16993" ht="9.9499999999999993" hidden="1" customHeight="1" x14ac:dyDescent="0.2"/>
    <row r="16994" ht="9.9499999999999993" hidden="1" customHeight="1" x14ac:dyDescent="0.2"/>
    <row r="16995" ht="9.9499999999999993" hidden="1" customHeight="1" x14ac:dyDescent="0.2"/>
    <row r="16996" ht="9.9499999999999993" hidden="1" customHeight="1" x14ac:dyDescent="0.2"/>
    <row r="16997" ht="9.9499999999999993" hidden="1" customHeight="1" x14ac:dyDescent="0.2"/>
    <row r="16998" ht="9.9499999999999993" hidden="1" customHeight="1" x14ac:dyDescent="0.2"/>
    <row r="16999" ht="9.9499999999999993" hidden="1" customHeight="1" x14ac:dyDescent="0.2"/>
    <row r="17000" ht="9.9499999999999993" hidden="1" customHeight="1" x14ac:dyDescent="0.2"/>
    <row r="17001" ht="9.9499999999999993" hidden="1" customHeight="1" x14ac:dyDescent="0.2"/>
    <row r="17002" ht="9.9499999999999993" hidden="1" customHeight="1" x14ac:dyDescent="0.2"/>
    <row r="17003" ht="9.9499999999999993" hidden="1" customHeight="1" x14ac:dyDescent="0.2"/>
    <row r="17004" ht="9.9499999999999993" hidden="1" customHeight="1" x14ac:dyDescent="0.2"/>
    <row r="17005" ht="9.9499999999999993" hidden="1" customHeight="1" x14ac:dyDescent="0.2"/>
    <row r="17006" ht="9.9499999999999993" hidden="1" customHeight="1" x14ac:dyDescent="0.2"/>
    <row r="17007" ht="9.9499999999999993" hidden="1" customHeight="1" x14ac:dyDescent="0.2"/>
    <row r="17008" ht="9.9499999999999993" hidden="1" customHeight="1" x14ac:dyDescent="0.2"/>
    <row r="17009" ht="9.9499999999999993" hidden="1" customHeight="1" x14ac:dyDescent="0.2"/>
    <row r="17010" ht="9.9499999999999993" hidden="1" customHeight="1" x14ac:dyDescent="0.2"/>
    <row r="17011" ht="9.9499999999999993" hidden="1" customHeight="1" x14ac:dyDescent="0.2"/>
    <row r="17012" ht="9.9499999999999993" hidden="1" customHeight="1" x14ac:dyDescent="0.2"/>
    <row r="17013" ht="9.9499999999999993" hidden="1" customHeight="1" x14ac:dyDescent="0.2"/>
    <row r="17014" ht="9.9499999999999993" hidden="1" customHeight="1" x14ac:dyDescent="0.2"/>
    <row r="17015" ht="9.9499999999999993" hidden="1" customHeight="1" x14ac:dyDescent="0.2"/>
    <row r="17016" ht="9.9499999999999993" hidden="1" customHeight="1" x14ac:dyDescent="0.2"/>
    <row r="17017" ht="9.9499999999999993" hidden="1" customHeight="1" x14ac:dyDescent="0.2"/>
    <row r="17018" ht="9.9499999999999993" hidden="1" customHeight="1" x14ac:dyDescent="0.2"/>
    <row r="17019" ht="9.9499999999999993" hidden="1" customHeight="1" x14ac:dyDescent="0.2"/>
    <row r="17020" ht="9.9499999999999993" hidden="1" customHeight="1" x14ac:dyDescent="0.2"/>
    <row r="17021" ht="9.9499999999999993" hidden="1" customHeight="1" x14ac:dyDescent="0.2"/>
    <row r="17022" ht="9.9499999999999993" hidden="1" customHeight="1" x14ac:dyDescent="0.2"/>
    <row r="17023" ht="9.9499999999999993" hidden="1" customHeight="1" x14ac:dyDescent="0.2"/>
    <row r="17024" ht="9.9499999999999993" hidden="1" customHeight="1" x14ac:dyDescent="0.2"/>
    <row r="17025" ht="9.9499999999999993" hidden="1" customHeight="1" x14ac:dyDescent="0.2"/>
    <row r="17026" ht="9.9499999999999993" hidden="1" customHeight="1" x14ac:dyDescent="0.2"/>
    <row r="17027" ht="9.9499999999999993" hidden="1" customHeight="1" x14ac:dyDescent="0.2"/>
    <row r="17028" ht="9.9499999999999993" hidden="1" customHeight="1" x14ac:dyDescent="0.2"/>
    <row r="17029" ht="9.9499999999999993" hidden="1" customHeight="1" x14ac:dyDescent="0.2"/>
    <row r="17030" ht="9.9499999999999993" hidden="1" customHeight="1" x14ac:dyDescent="0.2"/>
    <row r="17031" ht="9.9499999999999993" hidden="1" customHeight="1" x14ac:dyDescent="0.2"/>
    <row r="17032" ht="9.9499999999999993" hidden="1" customHeight="1" x14ac:dyDescent="0.2"/>
    <row r="17033" ht="9.9499999999999993" hidden="1" customHeight="1" x14ac:dyDescent="0.2"/>
    <row r="17034" ht="9.9499999999999993" hidden="1" customHeight="1" x14ac:dyDescent="0.2"/>
    <row r="17035" ht="9.9499999999999993" hidden="1" customHeight="1" x14ac:dyDescent="0.2"/>
    <row r="17036" ht="9.9499999999999993" hidden="1" customHeight="1" x14ac:dyDescent="0.2"/>
    <row r="17037" ht="9.9499999999999993" hidden="1" customHeight="1" x14ac:dyDescent="0.2"/>
    <row r="17038" ht="9.9499999999999993" hidden="1" customHeight="1" x14ac:dyDescent="0.2"/>
    <row r="17039" ht="9.9499999999999993" hidden="1" customHeight="1" x14ac:dyDescent="0.2"/>
    <row r="17040" ht="9.9499999999999993" hidden="1" customHeight="1" x14ac:dyDescent="0.2"/>
    <row r="17041" ht="9.9499999999999993" hidden="1" customHeight="1" x14ac:dyDescent="0.2"/>
    <row r="17042" ht="9.9499999999999993" hidden="1" customHeight="1" x14ac:dyDescent="0.2"/>
    <row r="17043" ht="9.9499999999999993" hidden="1" customHeight="1" x14ac:dyDescent="0.2"/>
    <row r="17044" ht="9.9499999999999993" hidden="1" customHeight="1" x14ac:dyDescent="0.2"/>
    <row r="17045" ht="9.9499999999999993" hidden="1" customHeight="1" x14ac:dyDescent="0.2"/>
    <row r="17046" ht="9.9499999999999993" hidden="1" customHeight="1" x14ac:dyDescent="0.2"/>
    <row r="17047" ht="9.9499999999999993" hidden="1" customHeight="1" x14ac:dyDescent="0.2"/>
    <row r="17048" ht="9.9499999999999993" hidden="1" customHeight="1" x14ac:dyDescent="0.2"/>
    <row r="17049" ht="9.9499999999999993" hidden="1" customHeight="1" x14ac:dyDescent="0.2"/>
    <row r="17050" ht="9.9499999999999993" hidden="1" customHeight="1" x14ac:dyDescent="0.2"/>
    <row r="17051" ht="9.9499999999999993" hidden="1" customHeight="1" x14ac:dyDescent="0.2"/>
    <row r="17052" ht="9.9499999999999993" hidden="1" customHeight="1" x14ac:dyDescent="0.2"/>
    <row r="17053" ht="9.9499999999999993" hidden="1" customHeight="1" x14ac:dyDescent="0.2"/>
    <row r="17054" ht="9.9499999999999993" hidden="1" customHeight="1" x14ac:dyDescent="0.2"/>
    <row r="17055" ht="9.9499999999999993" hidden="1" customHeight="1" x14ac:dyDescent="0.2"/>
    <row r="17056" ht="9.9499999999999993" hidden="1" customHeight="1" x14ac:dyDescent="0.2"/>
    <row r="17057" ht="9.9499999999999993" hidden="1" customHeight="1" x14ac:dyDescent="0.2"/>
    <row r="17058" ht="9.9499999999999993" hidden="1" customHeight="1" x14ac:dyDescent="0.2"/>
    <row r="17059" ht="9.9499999999999993" hidden="1" customHeight="1" x14ac:dyDescent="0.2"/>
    <row r="17060" ht="9.9499999999999993" hidden="1" customHeight="1" x14ac:dyDescent="0.2"/>
    <row r="17061" ht="9.9499999999999993" hidden="1" customHeight="1" x14ac:dyDescent="0.2"/>
    <row r="17062" ht="9.9499999999999993" hidden="1" customHeight="1" x14ac:dyDescent="0.2"/>
    <row r="17063" ht="9.9499999999999993" hidden="1" customHeight="1" x14ac:dyDescent="0.2"/>
    <row r="17064" ht="9.9499999999999993" hidden="1" customHeight="1" x14ac:dyDescent="0.2"/>
    <row r="17065" ht="9.9499999999999993" hidden="1" customHeight="1" x14ac:dyDescent="0.2"/>
    <row r="17066" ht="9.9499999999999993" hidden="1" customHeight="1" x14ac:dyDescent="0.2"/>
    <row r="17067" ht="9.9499999999999993" hidden="1" customHeight="1" x14ac:dyDescent="0.2"/>
    <row r="17068" ht="9.9499999999999993" hidden="1" customHeight="1" x14ac:dyDescent="0.2"/>
    <row r="17069" ht="9.9499999999999993" hidden="1" customHeight="1" x14ac:dyDescent="0.2"/>
    <row r="17070" ht="9.9499999999999993" hidden="1" customHeight="1" x14ac:dyDescent="0.2"/>
    <row r="17071" ht="9.9499999999999993" hidden="1" customHeight="1" x14ac:dyDescent="0.2"/>
    <row r="17072" ht="9.9499999999999993" hidden="1" customHeight="1" x14ac:dyDescent="0.2"/>
    <row r="17073" ht="9.9499999999999993" hidden="1" customHeight="1" x14ac:dyDescent="0.2"/>
    <row r="17074" ht="9.9499999999999993" hidden="1" customHeight="1" x14ac:dyDescent="0.2"/>
    <row r="17075" ht="9.9499999999999993" hidden="1" customHeight="1" x14ac:dyDescent="0.2"/>
    <row r="17076" ht="9.9499999999999993" hidden="1" customHeight="1" x14ac:dyDescent="0.2"/>
    <row r="17077" ht="9.9499999999999993" hidden="1" customHeight="1" x14ac:dyDescent="0.2"/>
    <row r="17078" ht="9.9499999999999993" hidden="1" customHeight="1" x14ac:dyDescent="0.2"/>
    <row r="17079" ht="9.9499999999999993" hidden="1" customHeight="1" x14ac:dyDescent="0.2"/>
    <row r="17080" ht="9.9499999999999993" hidden="1" customHeight="1" x14ac:dyDescent="0.2"/>
    <row r="17081" ht="9.9499999999999993" hidden="1" customHeight="1" x14ac:dyDescent="0.2"/>
    <row r="17082" ht="9.9499999999999993" hidden="1" customHeight="1" x14ac:dyDescent="0.2"/>
    <row r="17083" ht="9.9499999999999993" hidden="1" customHeight="1" x14ac:dyDescent="0.2"/>
    <row r="17084" ht="9.9499999999999993" hidden="1" customHeight="1" x14ac:dyDescent="0.2"/>
    <row r="17085" ht="9.9499999999999993" hidden="1" customHeight="1" x14ac:dyDescent="0.2"/>
    <row r="17086" ht="9.9499999999999993" hidden="1" customHeight="1" x14ac:dyDescent="0.2"/>
    <row r="17087" ht="9.9499999999999993" hidden="1" customHeight="1" x14ac:dyDescent="0.2"/>
    <row r="17088" ht="9.9499999999999993" hidden="1" customHeight="1" x14ac:dyDescent="0.2"/>
    <row r="17089" ht="9.9499999999999993" hidden="1" customHeight="1" x14ac:dyDescent="0.2"/>
    <row r="17090" ht="9.9499999999999993" hidden="1" customHeight="1" x14ac:dyDescent="0.2"/>
    <row r="17091" ht="9.9499999999999993" hidden="1" customHeight="1" x14ac:dyDescent="0.2"/>
    <row r="17092" ht="9.9499999999999993" hidden="1" customHeight="1" x14ac:dyDescent="0.2"/>
    <row r="17093" ht="9.9499999999999993" hidden="1" customHeight="1" x14ac:dyDescent="0.2"/>
    <row r="17094" ht="9.9499999999999993" hidden="1" customHeight="1" x14ac:dyDescent="0.2"/>
    <row r="17095" ht="9.9499999999999993" hidden="1" customHeight="1" x14ac:dyDescent="0.2"/>
    <row r="17096" ht="9.9499999999999993" hidden="1" customHeight="1" x14ac:dyDescent="0.2"/>
    <row r="17097" ht="9.9499999999999993" hidden="1" customHeight="1" x14ac:dyDescent="0.2"/>
    <row r="17098" ht="9.9499999999999993" hidden="1" customHeight="1" x14ac:dyDescent="0.2"/>
    <row r="17099" ht="9.9499999999999993" hidden="1" customHeight="1" x14ac:dyDescent="0.2"/>
    <row r="17100" ht="9.9499999999999993" hidden="1" customHeight="1" x14ac:dyDescent="0.2"/>
    <row r="17101" ht="9.9499999999999993" hidden="1" customHeight="1" x14ac:dyDescent="0.2"/>
    <row r="17102" ht="9.9499999999999993" hidden="1" customHeight="1" x14ac:dyDescent="0.2"/>
    <row r="17103" ht="9.9499999999999993" hidden="1" customHeight="1" x14ac:dyDescent="0.2"/>
    <row r="17104" ht="9.9499999999999993" hidden="1" customHeight="1" x14ac:dyDescent="0.2"/>
    <row r="17105" ht="9.9499999999999993" hidden="1" customHeight="1" x14ac:dyDescent="0.2"/>
    <row r="17106" ht="9.9499999999999993" hidden="1" customHeight="1" x14ac:dyDescent="0.2"/>
    <row r="17107" ht="9.9499999999999993" hidden="1" customHeight="1" x14ac:dyDescent="0.2"/>
    <row r="17108" ht="9.9499999999999993" hidden="1" customHeight="1" x14ac:dyDescent="0.2"/>
    <row r="17109" ht="9.9499999999999993" hidden="1" customHeight="1" x14ac:dyDescent="0.2"/>
    <row r="17110" ht="9.9499999999999993" hidden="1" customHeight="1" x14ac:dyDescent="0.2"/>
    <row r="17111" ht="9.9499999999999993" hidden="1" customHeight="1" x14ac:dyDescent="0.2"/>
    <row r="17112" ht="9.9499999999999993" hidden="1" customHeight="1" x14ac:dyDescent="0.2"/>
    <row r="17113" ht="9.9499999999999993" hidden="1" customHeight="1" x14ac:dyDescent="0.2"/>
    <row r="17114" ht="9.9499999999999993" hidden="1" customHeight="1" x14ac:dyDescent="0.2"/>
    <row r="17115" ht="9.9499999999999993" hidden="1" customHeight="1" x14ac:dyDescent="0.2"/>
    <row r="17116" ht="9.9499999999999993" hidden="1" customHeight="1" x14ac:dyDescent="0.2"/>
    <row r="17117" ht="9.9499999999999993" hidden="1" customHeight="1" x14ac:dyDescent="0.2"/>
    <row r="17118" ht="9.9499999999999993" hidden="1" customHeight="1" x14ac:dyDescent="0.2"/>
    <row r="17119" ht="9.9499999999999993" hidden="1" customHeight="1" x14ac:dyDescent="0.2"/>
    <row r="17120" ht="9.9499999999999993" hidden="1" customHeight="1" x14ac:dyDescent="0.2"/>
    <row r="17121" ht="9.9499999999999993" hidden="1" customHeight="1" x14ac:dyDescent="0.2"/>
    <row r="17122" ht="9.9499999999999993" hidden="1" customHeight="1" x14ac:dyDescent="0.2"/>
    <row r="17123" ht="9.9499999999999993" hidden="1" customHeight="1" x14ac:dyDescent="0.2"/>
    <row r="17124" ht="9.9499999999999993" hidden="1" customHeight="1" x14ac:dyDescent="0.2"/>
    <row r="17125" ht="9.9499999999999993" hidden="1" customHeight="1" x14ac:dyDescent="0.2"/>
    <row r="17126" ht="9.9499999999999993" hidden="1" customHeight="1" x14ac:dyDescent="0.2"/>
    <row r="17127" ht="9.9499999999999993" hidden="1" customHeight="1" x14ac:dyDescent="0.2"/>
    <row r="17128" ht="9.9499999999999993" hidden="1" customHeight="1" x14ac:dyDescent="0.2"/>
    <row r="17129" ht="9.9499999999999993" hidden="1" customHeight="1" x14ac:dyDescent="0.2"/>
    <row r="17130" ht="9.9499999999999993" hidden="1" customHeight="1" x14ac:dyDescent="0.2"/>
    <row r="17131" ht="9.9499999999999993" hidden="1" customHeight="1" x14ac:dyDescent="0.2"/>
    <row r="17132" ht="9.9499999999999993" hidden="1" customHeight="1" x14ac:dyDescent="0.2"/>
    <row r="17133" ht="9.9499999999999993" hidden="1" customHeight="1" x14ac:dyDescent="0.2"/>
    <row r="17134" ht="9.9499999999999993" hidden="1" customHeight="1" x14ac:dyDescent="0.2"/>
    <row r="17135" ht="9.9499999999999993" hidden="1" customHeight="1" x14ac:dyDescent="0.2"/>
    <row r="17136" ht="9.9499999999999993" hidden="1" customHeight="1" x14ac:dyDescent="0.2"/>
    <row r="17137" ht="9.9499999999999993" hidden="1" customHeight="1" x14ac:dyDescent="0.2"/>
    <row r="17138" ht="9.9499999999999993" hidden="1" customHeight="1" x14ac:dyDescent="0.2"/>
    <row r="17139" ht="9.9499999999999993" hidden="1" customHeight="1" x14ac:dyDescent="0.2"/>
    <row r="17140" ht="9.9499999999999993" hidden="1" customHeight="1" x14ac:dyDescent="0.2"/>
    <row r="17141" ht="9.9499999999999993" hidden="1" customHeight="1" x14ac:dyDescent="0.2"/>
    <row r="17142" ht="9.9499999999999993" hidden="1" customHeight="1" x14ac:dyDescent="0.2"/>
    <row r="17143" ht="9.9499999999999993" hidden="1" customHeight="1" x14ac:dyDescent="0.2"/>
    <row r="17144" ht="9.9499999999999993" hidden="1" customHeight="1" x14ac:dyDescent="0.2"/>
    <row r="17145" ht="9.9499999999999993" hidden="1" customHeight="1" x14ac:dyDescent="0.2"/>
    <row r="17146" ht="9.9499999999999993" hidden="1" customHeight="1" x14ac:dyDescent="0.2"/>
    <row r="17147" ht="9.9499999999999993" hidden="1" customHeight="1" x14ac:dyDescent="0.2"/>
    <row r="17148" ht="9.9499999999999993" hidden="1" customHeight="1" x14ac:dyDescent="0.2"/>
    <row r="17149" ht="9.9499999999999993" hidden="1" customHeight="1" x14ac:dyDescent="0.2"/>
    <row r="17150" ht="9.9499999999999993" hidden="1" customHeight="1" x14ac:dyDescent="0.2"/>
    <row r="17151" ht="9.9499999999999993" hidden="1" customHeight="1" x14ac:dyDescent="0.2"/>
    <row r="17152" ht="9.9499999999999993" hidden="1" customHeight="1" x14ac:dyDescent="0.2"/>
    <row r="17153" ht="9.9499999999999993" hidden="1" customHeight="1" x14ac:dyDescent="0.2"/>
    <row r="17154" ht="9.9499999999999993" hidden="1" customHeight="1" x14ac:dyDescent="0.2"/>
    <row r="17155" ht="9.9499999999999993" hidden="1" customHeight="1" x14ac:dyDescent="0.2"/>
    <row r="17156" ht="9.9499999999999993" hidden="1" customHeight="1" x14ac:dyDescent="0.2"/>
    <row r="17157" ht="9.9499999999999993" hidden="1" customHeight="1" x14ac:dyDescent="0.2"/>
    <row r="17158" ht="9.9499999999999993" hidden="1" customHeight="1" x14ac:dyDescent="0.2"/>
    <row r="17159" ht="9.9499999999999993" hidden="1" customHeight="1" x14ac:dyDescent="0.2"/>
    <row r="17160" ht="9.9499999999999993" hidden="1" customHeight="1" x14ac:dyDescent="0.2"/>
    <row r="17161" ht="9.9499999999999993" hidden="1" customHeight="1" x14ac:dyDescent="0.2"/>
    <row r="17162" ht="9.9499999999999993" hidden="1" customHeight="1" x14ac:dyDescent="0.2"/>
    <row r="17163" ht="9.9499999999999993" hidden="1" customHeight="1" x14ac:dyDescent="0.2"/>
    <row r="17164" ht="9.9499999999999993" hidden="1" customHeight="1" x14ac:dyDescent="0.2"/>
    <row r="17165" ht="9.9499999999999993" hidden="1" customHeight="1" x14ac:dyDescent="0.2"/>
    <row r="17166" ht="9.9499999999999993" hidden="1" customHeight="1" x14ac:dyDescent="0.2"/>
    <row r="17167" ht="9.9499999999999993" hidden="1" customHeight="1" x14ac:dyDescent="0.2"/>
    <row r="17168" ht="9.9499999999999993" hidden="1" customHeight="1" x14ac:dyDescent="0.2"/>
    <row r="17169" ht="9.9499999999999993" hidden="1" customHeight="1" x14ac:dyDescent="0.2"/>
    <row r="17170" ht="9.9499999999999993" hidden="1" customHeight="1" x14ac:dyDescent="0.2"/>
    <row r="17171" ht="9.9499999999999993" hidden="1" customHeight="1" x14ac:dyDescent="0.2"/>
    <row r="17172" ht="9.9499999999999993" hidden="1" customHeight="1" x14ac:dyDescent="0.2"/>
    <row r="17173" ht="9.9499999999999993" hidden="1" customHeight="1" x14ac:dyDescent="0.2"/>
    <row r="17174" ht="9.9499999999999993" hidden="1" customHeight="1" x14ac:dyDescent="0.2"/>
    <row r="17175" ht="9.9499999999999993" hidden="1" customHeight="1" x14ac:dyDescent="0.2"/>
    <row r="17176" ht="9.9499999999999993" hidden="1" customHeight="1" x14ac:dyDescent="0.2"/>
    <row r="17177" ht="9.9499999999999993" hidden="1" customHeight="1" x14ac:dyDescent="0.2"/>
    <row r="17178" ht="9.9499999999999993" hidden="1" customHeight="1" x14ac:dyDescent="0.2"/>
    <row r="17179" ht="9.9499999999999993" hidden="1" customHeight="1" x14ac:dyDescent="0.2"/>
    <row r="17180" ht="9.9499999999999993" hidden="1" customHeight="1" x14ac:dyDescent="0.2"/>
    <row r="17181" ht="9.9499999999999993" hidden="1" customHeight="1" x14ac:dyDescent="0.2"/>
    <row r="17182" ht="9.9499999999999993" hidden="1" customHeight="1" x14ac:dyDescent="0.2"/>
    <row r="17183" ht="9.9499999999999993" hidden="1" customHeight="1" x14ac:dyDescent="0.2"/>
    <row r="17184" ht="9.9499999999999993" hidden="1" customHeight="1" x14ac:dyDescent="0.2"/>
    <row r="17185" ht="9.9499999999999993" hidden="1" customHeight="1" x14ac:dyDescent="0.2"/>
    <row r="17186" ht="9.9499999999999993" hidden="1" customHeight="1" x14ac:dyDescent="0.2"/>
    <row r="17187" ht="9.9499999999999993" hidden="1" customHeight="1" x14ac:dyDescent="0.2"/>
    <row r="17188" ht="9.9499999999999993" hidden="1" customHeight="1" x14ac:dyDescent="0.2"/>
    <row r="17189" ht="9.9499999999999993" hidden="1" customHeight="1" x14ac:dyDescent="0.2"/>
    <row r="17190" ht="9.9499999999999993" hidden="1" customHeight="1" x14ac:dyDescent="0.2"/>
    <row r="17191" ht="9.9499999999999993" hidden="1" customHeight="1" x14ac:dyDescent="0.2"/>
    <row r="17192" ht="9.9499999999999993" hidden="1" customHeight="1" x14ac:dyDescent="0.2"/>
    <row r="17193" ht="9.9499999999999993" hidden="1" customHeight="1" x14ac:dyDescent="0.2"/>
    <row r="17194" ht="9.9499999999999993" hidden="1" customHeight="1" x14ac:dyDescent="0.2"/>
    <row r="17195" ht="9.9499999999999993" hidden="1" customHeight="1" x14ac:dyDescent="0.2"/>
    <row r="17196" ht="9.9499999999999993" hidden="1" customHeight="1" x14ac:dyDescent="0.2"/>
    <row r="17197" ht="9.9499999999999993" hidden="1" customHeight="1" x14ac:dyDescent="0.2"/>
    <row r="17198" ht="9.9499999999999993" hidden="1" customHeight="1" x14ac:dyDescent="0.2"/>
    <row r="17199" ht="9.9499999999999993" hidden="1" customHeight="1" x14ac:dyDescent="0.2"/>
    <row r="17200" ht="9.9499999999999993" hidden="1" customHeight="1" x14ac:dyDescent="0.2"/>
    <row r="17201" ht="9.9499999999999993" hidden="1" customHeight="1" x14ac:dyDescent="0.2"/>
    <row r="17202" ht="9.9499999999999993" hidden="1" customHeight="1" x14ac:dyDescent="0.2"/>
    <row r="17203" ht="9.9499999999999993" hidden="1" customHeight="1" x14ac:dyDescent="0.2"/>
    <row r="17204" ht="9.9499999999999993" hidden="1" customHeight="1" x14ac:dyDescent="0.2"/>
    <row r="17205" ht="9.9499999999999993" hidden="1" customHeight="1" x14ac:dyDescent="0.2"/>
    <row r="17206" ht="9.9499999999999993" hidden="1" customHeight="1" x14ac:dyDescent="0.2"/>
    <row r="17207" ht="9.9499999999999993" hidden="1" customHeight="1" x14ac:dyDescent="0.2"/>
    <row r="17208" ht="9.9499999999999993" hidden="1" customHeight="1" x14ac:dyDescent="0.2"/>
    <row r="17209" ht="9.9499999999999993" hidden="1" customHeight="1" x14ac:dyDescent="0.2"/>
    <row r="17210" ht="9.9499999999999993" hidden="1" customHeight="1" x14ac:dyDescent="0.2"/>
    <row r="17211" ht="9.9499999999999993" hidden="1" customHeight="1" x14ac:dyDescent="0.2"/>
    <row r="17212" ht="9.9499999999999993" hidden="1" customHeight="1" x14ac:dyDescent="0.2"/>
    <row r="17213" ht="9.9499999999999993" hidden="1" customHeight="1" x14ac:dyDescent="0.2"/>
    <row r="17214" ht="9.9499999999999993" hidden="1" customHeight="1" x14ac:dyDescent="0.2"/>
    <row r="17215" ht="9.9499999999999993" hidden="1" customHeight="1" x14ac:dyDescent="0.2"/>
    <row r="17216" ht="9.9499999999999993" hidden="1" customHeight="1" x14ac:dyDescent="0.2"/>
    <row r="17217" ht="9.9499999999999993" hidden="1" customHeight="1" x14ac:dyDescent="0.2"/>
    <row r="17218" ht="9.9499999999999993" hidden="1" customHeight="1" x14ac:dyDescent="0.2"/>
    <row r="17219" ht="9.9499999999999993" hidden="1" customHeight="1" x14ac:dyDescent="0.2"/>
    <row r="17220" ht="9.9499999999999993" hidden="1" customHeight="1" x14ac:dyDescent="0.2"/>
    <row r="17221" ht="9.9499999999999993" hidden="1" customHeight="1" x14ac:dyDescent="0.2"/>
    <row r="17222" ht="9.9499999999999993" hidden="1" customHeight="1" x14ac:dyDescent="0.2"/>
    <row r="17223" ht="9.9499999999999993" hidden="1" customHeight="1" x14ac:dyDescent="0.2"/>
    <row r="17224" ht="9.9499999999999993" hidden="1" customHeight="1" x14ac:dyDescent="0.2"/>
    <row r="17225" ht="9.9499999999999993" hidden="1" customHeight="1" x14ac:dyDescent="0.2"/>
    <row r="17226" ht="9.9499999999999993" hidden="1" customHeight="1" x14ac:dyDescent="0.2"/>
    <row r="17227" ht="9.9499999999999993" hidden="1" customHeight="1" x14ac:dyDescent="0.2"/>
    <row r="17228" ht="9.9499999999999993" hidden="1" customHeight="1" x14ac:dyDescent="0.2"/>
    <row r="17229" ht="9.9499999999999993" hidden="1" customHeight="1" x14ac:dyDescent="0.2"/>
    <row r="17230" ht="9.9499999999999993" hidden="1" customHeight="1" x14ac:dyDescent="0.2"/>
    <row r="17231" ht="9.9499999999999993" hidden="1" customHeight="1" x14ac:dyDescent="0.2"/>
    <row r="17232" ht="9.9499999999999993" hidden="1" customHeight="1" x14ac:dyDescent="0.2"/>
    <row r="17233" ht="9.9499999999999993" hidden="1" customHeight="1" x14ac:dyDescent="0.2"/>
    <row r="17234" ht="9.9499999999999993" hidden="1" customHeight="1" x14ac:dyDescent="0.2"/>
    <row r="17235" ht="9.9499999999999993" hidden="1" customHeight="1" x14ac:dyDescent="0.2"/>
    <row r="17236" ht="9.9499999999999993" hidden="1" customHeight="1" x14ac:dyDescent="0.2"/>
    <row r="17237" ht="9.9499999999999993" hidden="1" customHeight="1" x14ac:dyDescent="0.2"/>
    <row r="17238" ht="9.9499999999999993" hidden="1" customHeight="1" x14ac:dyDescent="0.2"/>
    <row r="17239" ht="9.9499999999999993" hidden="1" customHeight="1" x14ac:dyDescent="0.2"/>
    <row r="17240" ht="9.9499999999999993" hidden="1" customHeight="1" x14ac:dyDescent="0.2"/>
    <row r="17241" ht="9.9499999999999993" hidden="1" customHeight="1" x14ac:dyDescent="0.2"/>
    <row r="17242" ht="9.9499999999999993" hidden="1" customHeight="1" x14ac:dyDescent="0.2"/>
    <row r="17243" ht="9.9499999999999993" hidden="1" customHeight="1" x14ac:dyDescent="0.2"/>
    <row r="17244" ht="9.9499999999999993" hidden="1" customHeight="1" x14ac:dyDescent="0.2"/>
    <row r="17245" ht="9.9499999999999993" hidden="1" customHeight="1" x14ac:dyDescent="0.2"/>
    <row r="17246" ht="9.9499999999999993" hidden="1" customHeight="1" x14ac:dyDescent="0.2"/>
    <row r="17247" ht="9.9499999999999993" hidden="1" customHeight="1" x14ac:dyDescent="0.2"/>
    <row r="17248" ht="9.9499999999999993" hidden="1" customHeight="1" x14ac:dyDescent="0.2"/>
    <row r="17249" ht="9.9499999999999993" hidden="1" customHeight="1" x14ac:dyDescent="0.2"/>
    <row r="17250" ht="9.9499999999999993" hidden="1" customHeight="1" x14ac:dyDescent="0.2"/>
    <row r="17251" ht="9.9499999999999993" hidden="1" customHeight="1" x14ac:dyDescent="0.2"/>
    <row r="17252" ht="9.9499999999999993" hidden="1" customHeight="1" x14ac:dyDescent="0.2"/>
    <row r="17253" ht="9.9499999999999993" hidden="1" customHeight="1" x14ac:dyDescent="0.2"/>
    <row r="17254" ht="9.9499999999999993" hidden="1" customHeight="1" x14ac:dyDescent="0.2"/>
    <row r="17255" ht="9.9499999999999993" hidden="1" customHeight="1" x14ac:dyDescent="0.2"/>
    <row r="17256" ht="9.9499999999999993" hidden="1" customHeight="1" x14ac:dyDescent="0.2"/>
    <row r="17257" ht="9.9499999999999993" hidden="1" customHeight="1" x14ac:dyDescent="0.2"/>
    <row r="17258" ht="9.9499999999999993" hidden="1" customHeight="1" x14ac:dyDescent="0.2"/>
    <row r="17259" ht="9.9499999999999993" hidden="1" customHeight="1" x14ac:dyDescent="0.2"/>
    <row r="17260" ht="9.9499999999999993" hidden="1" customHeight="1" x14ac:dyDescent="0.2"/>
    <row r="17261" ht="9.9499999999999993" hidden="1" customHeight="1" x14ac:dyDescent="0.2"/>
    <row r="17262" ht="9.9499999999999993" hidden="1" customHeight="1" x14ac:dyDescent="0.2"/>
    <row r="17263" ht="9.9499999999999993" hidden="1" customHeight="1" x14ac:dyDescent="0.2"/>
    <row r="17264" ht="9.9499999999999993" hidden="1" customHeight="1" x14ac:dyDescent="0.2"/>
    <row r="17265" ht="9.9499999999999993" hidden="1" customHeight="1" x14ac:dyDescent="0.2"/>
    <row r="17266" ht="9.9499999999999993" hidden="1" customHeight="1" x14ac:dyDescent="0.2"/>
    <row r="17267" ht="9.9499999999999993" hidden="1" customHeight="1" x14ac:dyDescent="0.2"/>
    <row r="17268" ht="9.9499999999999993" hidden="1" customHeight="1" x14ac:dyDescent="0.2"/>
    <row r="17269" ht="9.9499999999999993" hidden="1" customHeight="1" x14ac:dyDescent="0.2"/>
    <row r="17270" ht="9.9499999999999993" hidden="1" customHeight="1" x14ac:dyDescent="0.2"/>
    <row r="17271" ht="9.9499999999999993" hidden="1" customHeight="1" x14ac:dyDescent="0.2"/>
    <row r="17272" ht="9.9499999999999993" hidden="1" customHeight="1" x14ac:dyDescent="0.2"/>
    <row r="17273" ht="9.9499999999999993" hidden="1" customHeight="1" x14ac:dyDescent="0.2"/>
    <row r="17274" ht="9.9499999999999993" hidden="1" customHeight="1" x14ac:dyDescent="0.2"/>
    <row r="17275" ht="9.9499999999999993" hidden="1" customHeight="1" x14ac:dyDescent="0.2"/>
    <row r="17276" ht="9.9499999999999993" hidden="1" customHeight="1" x14ac:dyDescent="0.2"/>
    <row r="17277" ht="9.9499999999999993" hidden="1" customHeight="1" x14ac:dyDescent="0.2"/>
    <row r="17278" ht="9.9499999999999993" hidden="1" customHeight="1" x14ac:dyDescent="0.2"/>
    <row r="17279" ht="9.9499999999999993" hidden="1" customHeight="1" x14ac:dyDescent="0.2"/>
    <row r="17280" ht="9.9499999999999993" hidden="1" customHeight="1" x14ac:dyDescent="0.2"/>
    <row r="17281" ht="9.9499999999999993" hidden="1" customHeight="1" x14ac:dyDescent="0.2"/>
    <row r="17282" ht="9.9499999999999993" hidden="1" customHeight="1" x14ac:dyDescent="0.2"/>
    <row r="17283" ht="9.9499999999999993" hidden="1" customHeight="1" x14ac:dyDescent="0.2"/>
    <row r="17284" ht="9.9499999999999993" hidden="1" customHeight="1" x14ac:dyDescent="0.2"/>
    <row r="17285" ht="9.9499999999999993" hidden="1" customHeight="1" x14ac:dyDescent="0.2"/>
    <row r="17286" ht="9.9499999999999993" hidden="1" customHeight="1" x14ac:dyDescent="0.2"/>
    <row r="17287" ht="9.9499999999999993" hidden="1" customHeight="1" x14ac:dyDescent="0.2"/>
    <row r="17288" ht="9.9499999999999993" hidden="1" customHeight="1" x14ac:dyDescent="0.2"/>
    <row r="17289" ht="9.9499999999999993" hidden="1" customHeight="1" x14ac:dyDescent="0.2"/>
    <row r="17290" ht="9.9499999999999993" hidden="1" customHeight="1" x14ac:dyDescent="0.2"/>
    <row r="17291" ht="9.9499999999999993" hidden="1" customHeight="1" x14ac:dyDescent="0.2"/>
    <row r="17292" ht="9.9499999999999993" hidden="1" customHeight="1" x14ac:dyDescent="0.2"/>
    <row r="17293" ht="9.9499999999999993" hidden="1" customHeight="1" x14ac:dyDescent="0.2"/>
    <row r="17294" ht="9.9499999999999993" hidden="1" customHeight="1" x14ac:dyDescent="0.2"/>
    <row r="17295" ht="9.9499999999999993" hidden="1" customHeight="1" x14ac:dyDescent="0.2"/>
    <row r="17296" ht="9.9499999999999993" hidden="1" customHeight="1" x14ac:dyDescent="0.2"/>
    <row r="17297" ht="9.9499999999999993" hidden="1" customHeight="1" x14ac:dyDescent="0.2"/>
    <row r="17298" ht="9.9499999999999993" hidden="1" customHeight="1" x14ac:dyDescent="0.2"/>
    <row r="17299" ht="9.9499999999999993" hidden="1" customHeight="1" x14ac:dyDescent="0.2"/>
    <row r="17300" ht="9.9499999999999993" hidden="1" customHeight="1" x14ac:dyDescent="0.2"/>
    <row r="17301" ht="9.9499999999999993" hidden="1" customHeight="1" x14ac:dyDescent="0.2"/>
    <row r="17302" ht="9.9499999999999993" hidden="1" customHeight="1" x14ac:dyDescent="0.2"/>
    <row r="17303" ht="9.9499999999999993" hidden="1" customHeight="1" x14ac:dyDescent="0.2"/>
    <row r="17304" ht="9.9499999999999993" hidden="1" customHeight="1" x14ac:dyDescent="0.2"/>
    <row r="17305" ht="9.9499999999999993" hidden="1" customHeight="1" x14ac:dyDescent="0.2"/>
    <row r="17306" ht="9.9499999999999993" hidden="1" customHeight="1" x14ac:dyDescent="0.2"/>
    <row r="17307" ht="9.9499999999999993" hidden="1" customHeight="1" x14ac:dyDescent="0.2"/>
    <row r="17308" ht="9.9499999999999993" hidden="1" customHeight="1" x14ac:dyDescent="0.2"/>
    <row r="17309" ht="9.9499999999999993" hidden="1" customHeight="1" x14ac:dyDescent="0.2"/>
    <row r="17310" ht="9.9499999999999993" hidden="1" customHeight="1" x14ac:dyDescent="0.2"/>
    <row r="17311" ht="9.9499999999999993" hidden="1" customHeight="1" x14ac:dyDescent="0.2"/>
    <row r="17312" ht="9.9499999999999993" hidden="1" customHeight="1" x14ac:dyDescent="0.2"/>
    <row r="17313" ht="9.9499999999999993" hidden="1" customHeight="1" x14ac:dyDescent="0.2"/>
    <row r="17314" ht="9.9499999999999993" hidden="1" customHeight="1" x14ac:dyDescent="0.2"/>
    <row r="17315" ht="9.9499999999999993" hidden="1" customHeight="1" x14ac:dyDescent="0.2"/>
    <row r="17316" ht="9.9499999999999993" hidden="1" customHeight="1" x14ac:dyDescent="0.2"/>
    <row r="17317" ht="9.9499999999999993" hidden="1" customHeight="1" x14ac:dyDescent="0.2"/>
    <row r="17318" ht="9.9499999999999993" hidden="1" customHeight="1" x14ac:dyDescent="0.2"/>
    <row r="17319" ht="9.9499999999999993" hidden="1" customHeight="1" x14ac:dyDescent="0.2"/>
    <row r="17320" ht="9.9499999999999993" hidden="1" customHeight="1" x14ac:dyDescent="0.2"/>
    <row r="17321" ht="9.9499999999999993" hidden="1" customHeight="1" x14ac:dyDescent="0.2"/>
    <row r="17322" ht="9.9499999999999993" hidden="1" customHeight="1" x14ac:dyDescent="0.2"/>
    <row r="17323" ht="9.9499999999999993" hidden="1" customHeight="1" x14ac:dyDescent="0.2"/>
    <row r="17324" ht="9.9499999999999993" hidden="1" customHeight="1" x14ac:dyDescent="0.2"/>
    <row r="17325" ht="9.9499999999999993" hidden="1" customHeight="1" x14ac:dyDescent="0.2"/>
    <row r="17326" ht="9.9499999999999993" hidden="1" customHeight="1" x14ac:dyDescent="0.2"/>
    <row r="17327" ht="9.9499999999999993" hidden="1" customHeight="1" x14ac:dyDescent="0.2"/>
    <row r="17328" ht="9.9499999999999993" hidden="1" customHeight="1" x14ac:dyDescent="0.2"/>
    <row r="17329" ht="9.9499999999999993" hidden="1" customHeight="1" x14ac:dyDescent="0.2"/>
    <row r="17330" ht="9.9499999999999993" hidden="1" customHeight="1" x14ac:dyDescent="0.2"/>
    <row r="17331" ht="9.9499999999999993" hidden="1" customHeight="1" x14ac:dyDescent="0.2"/>
    <row r="17332" ht="9.9499999999999993" hidden="1" customHeight="1" x14ac:dyDescent="0.2"/>
    <row r="17333" ht="9.9499999999999993" hidden="1" customHeight="1" x14ac:dyDescent="0.2"/>
    <row r="17334" ht="9.9499999999999993" hidden="1" customHeight="1" x14ac:dyDescent="0.2"/>
    <row r="17335" ht="9.9499999999999993" hidden="1" customHeight="1" x14ac:dyDescent="0.2"/>
    <row r="17336" ht="9.9499999999999993" hidden="1" customHeight="1" x14ac:dyDescent="0.2"/>
    <row r="17337" ht="9.9499999999999993" hidden="1" customHeight="1" x14ac:dyDescent="0.2"/>
    <row r="17338" ht="9.9499999999999993" hidden="1" customHeight="1" x14ac:dyDescent="0.2"/>
    <row r="17339" ht="9.9499999999999993" hidden="1" customHeight="1" x14ac:dyDescent="0.2"/>
    <row r="17340" ht="9.9499999999999993" hidden="1" customHeight="1" x14ac:dyDescent="0.2"/>
    <row r="17341" ht="9.9499999999999993" hidden="1" customHeight="1" x14ac:dyDescent="0.2"/>
    <row r="17342" ht="9.9499999999999993" hidden="1" customHeight="1" x14ac:dyDescent="0.2"/>
    <row r="17343" ht="9.9499999999999993" hidden="1" customHeight="1" x14ac:dyDescent="0.2"/>
    <row r="17344" ht="9.9499999999999993" hidden="1" customHeight="1" x14ac:dyDescent="0.2"/>
    <row r="17345" ht="9.9499999999999993" hidden="1" customHeight="1" x14ac:dyDescent="0.2"/>
    <row r="17346" ht="9.9499999999999993" hidden="1" customHeight="1" x14ac:dyDescent="0.2"/>
    <row r="17347" ht="9.9499999999999993" hidden="1" customHeight="1" x14ac:dyDescent="0.2"/>
    <row r="17348" ht="9.9499999999999993" hidden="1" customHeight="1" x14ac:dyDescent="0.2"/>
    <row r="17349" ht="9.9499999999999993" hidden="1" customHeight="1" x14ac:dyDescent="0.2"/>
    <row r="17350" ht="9.9499999999999993" hidden="1" customHeight="1" x14ac:dyDescent="0.2"/>
    <row r="17351" ht="9.9499999999999993" hidden="1" customHeight="1" x14ac:dyDescent="0.2"/>
    <row r="17352" ht="9.9499999999999993" hidden="1" customHeight="1" x14ac:dyDescent="0.2"/>
    <row r="17353" ht="9.9499999999999993" hidden="1" customHeight="1" x14ac:dyDescent="0.2"/>
    <row r="17354" ht="9.9499999999999993" hidden="1" customHeight="1" x14ac:dyDescent="0.2"/>
    <row r="17355" ht="9.9499999999999993" hidden="1" customHeight="1" x14ac:dyDescent="0.2"/>
    <row r="17356" ht="9.9499999999999993" hidden="1" customHeight="1" x14ac:dyDescent="0.2"/>
    <row r="17357" ht="9.9499999999999993" hidden="1" customHeight="1" x14ac:dyDescent="0.2"/>
    <row r="17358" ht="9.9499999999999993" hidden="1" customHeight="1" x14ac:dyDescent="0.2"/>
    <row r="17359" ht="9.9499999999999993" hidden="1" customHeight="1" x14ac:dyDescent="0.2"/>
    <row r="17360" ht="9.9499999999999993" hidden="1" customHeight="1" x14ac:dyDescent="0.2"/>
    <row r="17361" ht="9.9499999999999993" hidden="1" customHeight="1" x14ac:dyDescent="0.2"/>
    <row r="17362" ht="9.9499999999999993" hidden="1" customHeight="1" x14ac:dyDescent="0.2"/>
    <row r="17363" ht="9.9499999999999993" hidden="1" customHeight="1" x14ac:dyDescent="0.2"/>
    <row r="17364" ht="9.9499999999999993" hidden="1" customHeight="1" x14ac:dyDescent="0.2"/>
    <row r="17365" ht="9.9499999999999993" hidden="1" customHeight="1" x14ac:dyDescent="0.2"/>
    <row r="17366" ht="9.9499999999999993" hidden="1" customHeight="1" x14ac:dyDescent="0.2"/>
    <row r="17367" ht="9.9499999999999993" hidden="1" customHeight="1" x14ac:dyDescent="0.2"/>
    <row r="17368" ht="9.9499999999999993" hidden="1" customHeight="1" x14ac:dyDescent="0.2"/>
    <row r="17369" ht="9.9499999999999993" hidden="1" customHeight="1" x14ac:dyDescent="0.2"/>
    <row r="17370" ht="9.9499999999999993" hidden="1" customHeight="1" x14ac:dyDescent="0.2"/>
    <row r="17371" ht="9.9499999999999993" hidden="1" customHeight="1" x14ac:dyDescent="0.2"/>
    <row r="17372" ht="9.9499999999999993" hidden="1" customHeight="1" x14ac:dyDescent="0.2"/>
    <row r="17373" ht="9.9499999999999993" hidden="1" customHeight="1" x14ac:dyDescent="0.2"/>
    <row r="17374" ht="9.9499999999999993" hidden="1" customHeight="1" x14ac:dyDescent="0.2"/>
    <row r="17375" ht="9.9499999999999993" hidden="1" customHeight="1" x14ac:dyDescent="0.2"/>
    <row r="17376" ht="9.9499999999999993" hidden="1" customHeight="1" x14ac:dyDescent="0.2"/>
    <row r="17377" ht="9.9499999999999993" hidden="1" customHeight="1" x14ac:dyDescent="0.2"/>
    <row r="17378" ht="9.9499999999999993" hidden="1" customHeight="1" x14ac:dyDescent="0.2"/>
    <row r="17379" ht="9.9499999999999993" hidden="1" customHeight="1" x14ac:dyDescent="0.2"/>
    <row r="17380" ht="9.9499999999999993" hidden="1" customHeight="1" x14ac:dyDescent="0.2"/>
    <row r="17381" ht="9.9499999999999993" hidden="1" customHeight="1" x14ac:dyDescent="0.2"/>
    <row r="17382" ht="9.9499999999999993" hidden="1" customHeight="1" x14ac:dyDescent="0.2"/>
    <row r="17383" ht="9.9499999999999993" hidden="1" customHeight="1" x14ac:dyDescent="0.2"/>
    <row r="17384" ht="9.9499999999999993" hidden="1" customHeight="1" x14ac:dyDescent="0.2"/>
    <row r="17385" ht="9.9499999999999993" hidden="1" customHeight="1" x14ac:dyDescent="0.2"/>
    <row r="17386" ht="9.9499999999999993" hidden="1" customHeight="1" x14ac:dyDescent="0.2"/>
    <row r="17387" ht="9.9499999999999993" hidden="1" customHeight="1" x14ac:dyDescent="0.2"/>
    <row r="17388" ht="9.9499999999999993" hidden="1" customHeight="1" x14ac:dyDescent="0.2"/>
    <row r="17389" ht="9.9499999999999993" hidden="1" customHeight="1" x14ac:dyDescent="0.2"/>
    <row r="17390" ht="9.9499999999999993" hidden="1" customHeight="1" x14ac:dyDescent="0.2"/>
    <row r="17391" ht="9.9499999999999993" hidden="1" customHeight="1" x14ac:dyDescent="0.2"/>
    <row r="17392" ht="9.9499999999999993" hidden="1" customHeight="1" x14ac:dyDescent="0.2"/>
    <row r="17393" ht="9.9499999999999993" hidden="1" customHeight="1" x14ac:dyDescent="0.2"/>
    <row r="17394" ht="9.9499999999999993" hidden="1" customHeight="1" x14ac:dyDescent="0.2"/>
    <row r="17395" ht="9.9499999999999993" hidden="1" customHeight="1" x14ac:dyDescent="0.2"/>
    <row r="17396" ht="9.9499999999999993" hidden="1" customHeight="1" x14ac:dyDescent="0.2"/>
    <row r="17397" ht="9.9499999999999993" hidden="1" customHeight="1" x14ac:dyDescent="0.2"/>
    <row r="17398" ht="9.9499999999999993" hidden="1" customHeight="1" x14ac:dyDescent="0.2"/>
    <row r="17399" ht="9.9499999999999993" hidden="1" customHeight="1" x14ac:dyDescent="0.2"/>
    <row r="17400" ht="9.9499999999999993" hidden="1" customHeight="1" x14ac:dyDescent="0.2"/>
    <row r="17401" ht="9.9499999999999993" hidden="1" customHeight="1" x14ac:dyDescent="0.2"/>
    <row r="17402" ht="9.9499999999999993" hidden="1" customHeight="1" x14ac:dyDescent="0.2"/>
    <row r="17403" ht="9.9499999999999993" hidden="1" customHeight="1" x14ac:dyDescent="0.2"/>
    <row r="17404" ht="9.9499999999999993" hidden="1" customHeight="1" x14ac:dyDescent="0.2"/>
    <row r="17405" ht="9.9499999999999993" hidden="1" customHeight="1" x14ac:dyDescent="0.2"/>
    <row r="17406" ht="9.9499999999999993" hidden="1" customHeight="1" x14ac:dyDescent="0.2"/>
    <row r="17407" ht="9.9499999999999993" hidden="1" customHeight="1" x14ac:dyDescent="0.2"/>
    <row r="17408" ht="9.9499999999999993" hidden="1" customHeight="1" x14ac:dyDescent="0.2"/>
    <row r="17409" ht="9.9499999999999993" hidden="1" customHeight="1" x14ac:dyDescent="0.2"/>
    <row r="17410" ht="9.9499999999999993" hidden="1" customHeight="1" x14ac:dyDescent="0.2"/>
    <row r="17411" ht="9.9499999999999993" hidden="1" customHeight="1" x14ac:dyDescent="0.2"/>
    <row r="17412" ht="9.9499999999999993" hidden="1" customHeight="1" x14ac:dyDescent="0.2"/>
    <row r="17413" ht="9.9499999999999993" hidden="1" customHeight="1" x14ac:dyDescent="0.2"/>
    <row r="17414" ht="9.9499999999999993" hidden="1" customHeight="1" x14ac:dyDescent="0.2"/>
    <row r="17415" ht="9.9499999999999993" hidden="1" customHeight="1" x14ac:dyDescent="0.2"/>
    <row r="17416" ht="9.9499999999999993" hidden="1" customHeight="1" x14ac:dyDescent="0.2"/>
    <row r="17417" ht="9.9499999999999993" hidden="1" customHeight="1" x14ac:dyDescent="0.2"/>
    <row r="17418" ht="9.9499999999999993" hidden="1" customHeight="1" x14ac:dyDescent="0.2"/>
    <row r="17419" ht="9.9499999999999993" hidden="1" customHeight="1" x14ac:dyDescent="0.2"/>
    <row r="17420" ht="9.9499999999999993" hidden="1" customHeight="1" x14ac:dyDescent="0.2"/>
    <row r="17421" ht="9.9499999999999993" hidden="1" customHeight="1" x14ac:dyDescent="0.2"/>
    <row r="17422" ht="9.9499999999999993" hidden="1" customHeight="1" x14ac:dyDescent="0.2"/>
    <row r="17423" ht="9.9499999999999993" hidden="1" customHeight="1" x14ac:dyDescent="0.2"/>
    <row r="17424" ht="9.9499999999999993" hidden="1" customHeight="1" x14ac:dyDescent="0.2"/>
    <row r="17425" ht="9.9499999999999993" hidden="1" customHeight="1" x14ac:dyDescent="0.2"/>
    <row r="17426" ht="9.9499999999999993" hidden="1" customHeight="1" x14ac:dyDescent="0.2"/>
    <row r="17427" ht="9.9499999999999993" hidden="1" customHeight="1" x14ac:dyDescent="0.2"/>
    <row r="17428" ht="9.9499999999999993" hidden="1" customHeight="1" x14ac:dyDescent="0.2"/>
    <row r="17429" ht="9.9499999999999993" hidden="1" customHeight="1" x14ac:dyDescent="0.2"/>
    <row r="17430" ht="9.9499999999999993" hidden="1" customHeight="1" x14ac:dyDescent="0.2"/>
    <row r="17431" ht="9.9499999999999993" hidden="1" customHeight="1" x14ac:dyDescent="0.2"/>
    <row r="17432" ht="9.9499999999999993" hidden="1" customHeight="1" x14ac:dyDescent="0.2"/>
    <row r="17433" ht="9.9499999999999993" hidden="1" customHeight="1" x14ac:dyDescent="0.2"/>
    <row r="17434" ht="9.9499999999999993" hidden="1" customHeight="1" x14ac:dyDescent="0.2"/>
    <row r="17435" ht="9.9499999999999993" hidden="1" customHeight="1" x14ac:dyDescent="0.2"/>
    <row r="17436" ht="9.9499999999999993" hidden="1" customHeight="1" x14ac:dyDescent="0.2"/>
    <row r="17437" ht="9.9499999999999993" hidden="1" customHeight="1" x14ac:dyDescent="0.2"/>
    <row r="17438" ht="9.9499999999999993" hidden="1" customHeight="1" x14ac:dyDescent="0.2"/>
    <row r="17439" ht="9.9499999999999993" hidden="1" customHeight="1" x14ac:dyDescent="0.2"/>
    <row r="17440" ht="9.9499999999999993" hidden="1" customHeight="1" x14ac:dyDescent="0.2"/>
    <row r="17441" ht="9.9499999999999993" hidden="1" customHeight="1" x14ac:dyDescent="0.2"/>
    <row r="17442" ht="9.9499999999999993" hidden="1" customHeight="1" x14ac:dyDescent="0.2"/>
    <row r="17443" ht="9.9499999999999993" hidden="1" customHeight="1" x14ac:dyDescent="0.2"/>
    <row r="17444" ht="9.9499999999999993" hidden="1" customHeight="1" x14ac:dyDescent="0.2"/>
    <row r="17445" ht="9.9499999999999993" hidden="1" customHeight="1" x14ac:dyDescent="0.2"/>
    <row r="17446" ht="9.9499999999999993" hidden="1" customHeight="1" x14ac:dyDescent="0.2"/>
    <row r="17447" ht="9.9499999999999993" hidden="1" customHeight="1" x14ac:dyDescent="0.2"/>
    <row r="17448" ht="9.9499999999999993" hidden="1" customHeight="1" x14ac:dyDescent="0.2"/>
    <row r="17449" ht="9.9499999999999993" hidden="1" customHeight="1" x14ac:dyDescent="0.2"/>
    <row r="17450" ht="9.9499999999999993" hidden="1" customHeight="1" x14ac:dyDescent="0.2"/>
    <row r="17451" ht="9.9499999999999993" hidden="1" customHeight="1" x14ac:dyDescent="0.2"/>
    <row r="17452" ht="9.9499999999999993" hidden="1" customHeight="1" x14ac:dyDescent="0.2"/>
    <row r="17453" ht="9.9499999999999993" hidden="1" customHeight="1" x14ac:dyDescent="0.2"/>
    <row r="17454" ht="9.9499999999999993" hidden="1" customHeight="1" x14ac:dyDescent="0.2"/>
    <row r="17455" ht="9.9499999999999993" hidden="1" customHeight="1" x14ac:dyDescent="0.2"/>
    <row r="17456" ht="9.9499999999999993" hidden="1" customHeight="1" x14ac:dyDescent="0.2"/>
    <row r="17457" ht="9.9499999999999993" hidden="1" customHeight="1" x14ac:dyDescent="0.2"/>
    <row r="17458" ht="9.9499999999999993" hidden="1" customHeight="1" x14ac:dyDescent="0.2"/>
    <row r="17459" ht="9.9499999999999993" hidden="1" customHeight="1" x14ac:dyDescent="0.2"/>
    <row r="17460" ht="9.9499999999999993" hidden="1" customHeight="1" x14ac:dyDescent="0.2"/>
    <row r="17461" ht="9.9499999999999993" hidden="1" customHeight="1" x14ac:dyDescent="0.2"/>
    <row r="17462" ht="9.9499999999999993" hidden="1" customHeight="1" x14ac:dyDescent="0.2"/>
    <row r="17463" ht="9.9499999999999993" hidden="1" customHeight="1" x14ac:dyDescent="0.2"/>
    <row r="17464" ht="9.9499999999999993" hidden="1" customHeight="1" x14ac:dyDescent="0.2"/>
    <row r="17465" ht="9.9499999999999993" hidden="1" customHeight="1" x14ac:dyDescent="0.2"/>
    <row r="17466" ht="9.9499999999999993" hidden="1" customHeight="1" x14ac:dyDescent="0.2"/>
    <row r="17467" ht="9.9499999999999993" hidden="1" customHeight="1" x14ac:dyDescent="0.2"/>
    <row r="17468" ht="9.9499999999999993" hidden="1" customHeight="1" x14ac:dyDescent="0.2"/>
    <row r="17469" ht="9.9499999999999993" hidden="1" customHeight="1" x14ac:dyDescent="0.2"/>
    <row r="17470" ht="9.9499999999999993" hidden="1" customHeight="1" x14ac:dyDescent="0.2"/>
    <row r="17471" ht="9.9499999999999993" hidden="1" customHeight="1" x14ac:dyDescent="0.2"/>
    <row r="17472" ht="9.9499999999999993" hidden="1" customHeight="1" x14ac:dyDescent="0.2"/>
    <row r="17473" ht="9.9499999999999993" hidden="1" customHeight="1" x14ac:dyDescent="0.2"/>
    <row r="17474" ht="9.9499999999999993" hidden="1" customHeight="1" x14ac:dyDescent="0.2"/>
    <row r="17475" ht="9.9499999999999993" hidden="1" customHeight="1" x14ac:dyDescent="0.2"/>
    <row r="17476" ht="9.9499999999999993" hidden="1" customHeight="1" x14ac:dyDescent="0.2"/>
    <row r="17477" ht="9.9499999999999993" hidden="1" customHeight="1" x14ac:dyDescent="0.2"/>
    <row r="17478" ht="9.9499999999999993" hidden="1" customHeight="1" x14ac:dyDescent="0.2"/>
    <row r="17479" ht="9.9499999999999993" hidden="1" customHeight="1" x14ac:dyDescent="0.2"/>
    <row r="17480" ht="9.9499999999999993" hidden="1" customHeight="1" x14ac:dyDescent="0.2"/>
    <row r="17481" ht="9.9499999999999993" hidden="1" customHeight="1" x14ac:dyDescent="0.2"/>
    <row r="17482" ht="9.9499999999999993" hidden="1" customHeight="1" x14ac:dyDescent="0.2"/>
    <row r="17483" ht="9.9499999999999993" hidden="1" customHeight="1" x14ac:dyDescent="0.2"/>
    <row r="17484" ht="9.9499999999999993" hidden="1" customHeight="1" x14ac:dyDescent="0.2"/>
    <row r="17485" ht="9.9499999999999993" hidden="1" customHeight="1" x14ac:dyDescent="0.2"/>
    <row r="17486" ht="9.9499999999999993" hidden="1" customHeight="1" x14ac:dyDescent="0.2"/>
    <row r="17487" ht="9.9499999999999993" hidden="1" customHeight="1" x14ac:dyDescent="0.2"/>
    <row r="17488" ht="9.9499999999999993" hidden="1" customHeight="1" x14ac:dyDescent="0.2"/>
    <row r="17489" ht="9.9499999999999993" hidden="1" customHeight="1" x14ac:dyDescent="0.2"/>
    <row r="17490" ht="9.9499999999999993" hidden="1" customHeight="1" x14ac:dyDescent="0.2"/>
    <row r="17491" ht="9.9499999999999993" hidden="1" customHeight="1" x14ac:dyDescent="0.2"/>
    <row r="17492" ht="9.9499999999999993" hidden="1" customHeight="1" x14ac:dyDescent="0.2"/>
    <row r="17493" ht="9.9499999999999993" hidden="1" customHeight="1" x14ac:dyDescent="0.2"/>
    <row r="17494" ht="9.9499999999999993" hidden="1" customHeight="1" x14ac:dyDescent="0.2"/>
    <row r="17495" ht="9.9499999999999993" hidden="1" customHeight="1" x14ac:dyDescent="0.2"/>
    <row r="17496" ht="9.9499999999999993" hidden="1" customHeight="1" x14ac:dyDescent="0.2"/>
    <row r="17497" ht="9.9499999999999993" hidden="1" customHeight="1" x14ac:dyDescent="0.2"/>
    <row r="17498" ht="9.9499999999999993" hidden="1" customHeight="1" x14ac:dyDescent="0.2"/>
    <row r="17499" ht="9.9499999999999993" hidden="1" customHeight="1" x14ac:dyDescent="0.2"/>
    <row r="17500" ht="9.9499999999999993" hidden="1" customHeight="1" x14ac:dyDescent="0.2"/>
    <row r="17501" ht="9.9499999999999993" hidden="1" customHeight="1" x14ac:dyDescent="0.2"/>
    <row r="17502" ht="9.9499999999999993" hidden="1" customHeight="1" x14ac:dyDescent="0.2"/>
    <row r="17503" ht="9.9499999999999993" hidden="1" customHeight="1" x14ac:dyDescent="0.2"/>
    <row r="17504" ht="9.9499999999999993" hidden="1" customHeight="1" x14ac:dyDescent="0.2"/>
    <row r="17505" ht="9.9499999999999993" hidden="1" customHeight="1" x14ac:dyDescent="0.2"/>
    <row r="17506" ht="9.9499999999999993" hidden="1" customHeight="1" x14ac:dyDescent="0.2"/>
    <row r="17507" ht="9.9499999999999993" hidden="1" customHeight="1" x14ac:dyDescent="0.2"/>
    <row r="17508" ht="9.9499999999999993" hidden="1" customHeight="1" x14ac:dyDescent="0.2"/>
    <row r="17509" ht="9.9499999999999993" hidden="1" customHeight="1" x14ac:dyDescent="0.2"/>
    <row r="17510" ht="9.9499999999999993" hidden="1" customHeight="1" x14ac:dyDescent="0.2"/>
    <row r="17511" ht="9.9499999999999993" hidden="1" customHeight="1" x14ac:dyDescent="0.2"/>
    <row r="17512" ht="9.9499999999999993" hidden="1" customHeight="1" x14ac:dyDescent="0.2"/>
    <row r="17513" ht="9.9499999999999993" hidden="1" customHeight="1" x14ac:dyDescent="0.2"/>
    <row r="17514" ht="9.9499999999999993" hidden="1" customHeight="1" x14ac:dyDescent="0.2"/>
    <row r="17515" ht="9.9499999999999993" hidden="1" customHeight="1" x14ac:dyDescent="0.2"/>
    <row r="17516" ht="9.9499999999999993" hidden="1" customHeight="1" x14ac:dyDescent="0.2"/>
    <row r="17517" ht="9.9499999999999993" hidden="1" customHeight="1" x14ac:dyDescent="0.2"/>
    <row r="17518" ht="9.9499999999999993" hidden="1" customHeight="1" x14ac:dyDescent="0.2"/>
    <row r="17519" ht="9.9499999999999993" hidden="1" customHeight="1" x14ac:dyDescent="0.2"/>
    <row r="17520" ht="9.9499999999999993" hidden="1" customHeight="1" x14ac:dyDescent="0.2"/>
    <row r="17521" ht="9.9499999999999993" hidden="1" customHeight="1" x14ac:dyDescent="0.2"/>
    <row r="17522" ht="9.9499999999999993" hidden="1" customHeight="1" x14ac:dyDescent="0.2"/>
    <row r="17523" ht="9.9499999999999993" hidden="1" customHeight="1" x14ac:dyDescent="0.2"/>
    <row r="17524" ht="9.9499999999999993" hidden="1" customHeight="1" x14ac:dyDescent="0.2"/>
    <row r="17525" ht="9.9499999999999993" hidden="1" customHeight="1" x14ac:dyDescent="0.2"/>
    <row r="17526" ht="9.9499999999999993" hidden="1" customHeight="1" x14ac:dyDescent="0.2"/>
    <row r="17527" ht="9.9499999999999993" hidden="1" customHeight="1" x14ac:dyDescent="0.2"/>
    <row r="17528" ht="9.9499999999999993" hidden="1" customHeight="1" x14ac:dyDescent="0.2"/>
    <row r="17529" ht="9.9499999999999993" hidden="1" customHeight="1" x14ac:dyDescent="0.2"/>
    <row r="17530" ht="9.9499999999999993" hidden="1" customHeight="1" x14ac:dyDescent="0.2"/>
    <row r="17531" ht="9.9499999999999993" hidden="1" customHeight="1" x14ac:dyDescent="0.2"/>
    <row r="17532" ht="9.9499999999999993" hidden="1" customHeight="1" x14ac:dyDescent="0.2"/>
    <row r="17533" ht="9.9499999999999993" hidden="1" customHeight="1" x14ac:dyDescent="0.2"/>
    <row r="17534" ht="9.9499999999999993" hidden="1" customHeight="1" x14ac:dyDescent="0.2"/>
    <row r="17535" ht="9.9499999999999993" hidden="1" customHeight="1" x14ac:dyDescent="0.2"/>
    <row r="17536" ht="9.9499999999999993" hidden="1" customHeight="1" x14ac:dyDescent="0.2"/>
    <row r="17537" ht="9.9499999999999993" hidden="1" customHeight="1" x14ac:dyDescent="0.2"/>
    <row r="17538" ht="9.9499999999999993" hidden="1" customHeight="1" x14ac:dyDescent="0.2"/>
    <row r="17539" ht="9.9499999999999993" hidden="1" customHeight="1" x14ac:dyDescent="0.2"/>
    <row r="17540" ht="9.9499999999999993" hidden="1" customHeight="1" x14ac:dyDescent="0.2"/>
    <row r="17541" ht="9.9499999999999993" hidden="1" customHeight="1" x14ac:dyDescent="0.2"/>
    <row r="17542" ht="9.9499999999999993" hidden="1" customHeight="1" x14ac:dyDescent="0.2"/>
    <row r="17543" ht="9.9499999999999993" hidden="1" customHeight="1" x14ac:dyDescent="0.2"/>
    <row r="17544" ht="9.9499999999999993" hidden="1" customHeight="1" x14ac:dyDescent="0.2"/>
    <row r="17545" ht="9.9499999999999993" hidden="1" customHeight="1" x14ac:dyDescent="0.2"/>
    <row r="17546" ht="9.9499999999999993" hidden="1" customHeight="1" x14ac:dyDescent="0.2"/>
    <row r="17547" ht="9.9499999999999993" hidden="1" customHeight="1" x14ac:dyDescent="0.2"/>
    <row r="17548" ht="9.9499999999999993" hidden="1" customHeight="1" x14ac:dyDescent="0.2"/>
    <row r="17549" ht="9.9499999999999993" hidden="1" customHeight="1" x14ac:dyDescent="0.2"/>
    <row r="17550" ht="9.9499999999999993" hidden="1" customHeight="1" x14ac:dyDescent="0.2"/>
    <row r="17551" ht="9.9499999999999993" hidden="1" customHeight="1" x14ac:dyDescent="0.2"/>
    <row r="17552" ht="9.9499999999999993" hidden="1" customHeight="1" x14ac:dyDescent="0.2"/>
    <row r="17553" ht="9.9499999999999993" hidden="1" customHeight="1" x14ac:dyDescent="0.2"/>
    <row r="17554" ht="9.9499999999999993" hidden="1" customHeight="1" x14ac:dyDescent="0.2"/>
    <row r="17555" ht="9.9499999999999993" hidden="1" customHeight="1" x14ac:dyDescent="0.2"/>
    <row r="17556" ht="9.9499999999999993" hidden="1" customHeight="1" x14ac:dyDescent="0.2"/>
    <row r="17557" ht="9.9499999999999993" hidden="1" customHeight="1" x14ac:dyDescent="0.2"/>
    <row r="17558" ht="9.9499999999999993" hidden="1" customHeight="1" x14ac:dyDescent="0.2"/>
    <row r="17559" ht="9.9499999999999993" hidden="1" customHeight="1" x14ac:dyDescent="0.2"/>
    <row r="17560" ht="9.9499999999999993" hidden="1" customHeight="1" x14ac:dyDescent="0.2"/>
    <row r="17561" ht="9.9499999999999993" hidden="1" customHeight="1" x14ac:dyDescent="0.2"/>
    <row r="17562" ht="9.9499999999999993" hidden="1" customHeight="1" x14ac:dyDescent="0.2"/>
    <row r="17563" ht="9.9499999999999993" hidden="1" customHeight="1" x14ac:dyDescent="0.2"/>
    <row r="17564" ht="9.9499999999999993" hidden="1" customHeight="1" x14ac:dyDescent="0.2"/>
    <row r="17565" ht="9.9499999999999993" hidden="1" customHeight="1" x14ac:dyDescent="0.2"/>
    <row r="17566" ht="9.9499999999999993" hidden="1" customHeight="1" x14ac:dyDescent="0.2"/>
    <row r="17567" ht="9.9499999999999993" hidden="1" customHeight="1" x14ac:dyDescent="0.2"/>
    <row r="17568" ht="9.9499999999999993" hidden="1" customHeight="1" x14ac:dyDescent="0.2"/>
    <row r="17569" ht="9.9499999999999993" hidden="1" customHeight="1" x14ac:dyDescent="0.2"/>
    <row r="17570" ht="9.9499999999999993" hidden="1" customHeight="1" x14ac:dyDescent="0.2"/>
    <row r="17571" ht="9.9499999999999993" hidden="1" customHeight="1" x14ac:dyDescent="0.2"/>
    <row r="17572" ht="9.9499999999999993" hidden="1" customHeight="1" x14ac:dyDescent="0.2"/>
    <row r="17573" ht="9.9499999999999993" hidden="1" customHeight="1" x14ac:dyDescent="0.2"/>
    <row r="17574" ht="9.9499999999999993" hidden="1" customHeight="1" x14ac:dyDescent="0.2"/>
    <row r="17575" ht="9.9499999999999993" hidden="1" customHeight="1" x14ac:dyDescent="0.2"/>
    <row r="17576" ht="9.9499999999999993" hidden="1" customHeight="1" x14ac:dyDescent="0.2"/>
    <row r="17577" ht="9.9499999999999993" hidden="1" customHeight="1" x14ac:dyDescent="0.2"/>
    <row r="17578" ht="9.9499999999999993" hidden="1" customHeight="1" x14ac:dyDescent="0.2"/>
    <row r="17579" ht="9.9499999999999993" hidden="1" customHeight="1" x14ac:dyDescent="0.2"/>
    <row r="17580" ht="9.9499999999999993" hidden="1" customHeight="1" x14ac:dyDescent="0.2"/>
    <row r="17581" ht="9.9499999999999993" hidden="1" customHeight="1" x14ac:dyDescent="0.2"/>
    <row r="17582" ht="9.9499999999999993" hidden="1" customHeight="1" x14ac:dyDescent="0.2"/>
    <row r="17583" ht="9.9499999999999993" hidden="1" customHeight="1" x14ac:dyDescent="0.2"/>
    <row r="17584" ht="9.9499999999999993" hidden="1" customHeight="1" x14ac:dyDescent="0.2"/>
    <row r="17585" ht="9.9499999999999993" hidden="1" customHeight="1" x14ac:dyDescent="0.2"/>
    <row r="17586" ht="9.9499999999999993" hidden="1" customHeight="1" x14ac:dyDescent="0.2"/>
    <row r="17587" ht="9.9499999999999993" hidden="1" customHeight="1" x14ac:dyDescent="0.2"/>
    <row r="17588" ht="9.9499999999999993" hidden="1" customHeight="1" x14ac:dyDescent="0.2"/>
    <row r="17589" ht="9.9499999999999993" hidden="1" customHeight="1" x14ac:dyDescent="0.2"/>
    <row r="17590" ht="9.9499999999999993" hidden="1" customHeight="1" x14ac:dyDescent="0.2"/>
    <row r="17591" ht="9.9499999999999993" hidden="1" customHeight="1" x14ac:dyDescent="0.2"/>
    <row r="17592" ht="9.9499999999999993" hidden="1" customHeight="1" x14ac:dyDescent="0.2"/>
    <row r="17593" ht="9.9499999999999993" hidden="1" customHeight="1" x14ac:dyDescent="0.2"/>
    <row r="17594" ht="9.9499999999999993" hidden="1" customHeight="1" x14ac:dyDescent="0.2"/>
    <row r="17595" ht="9.9499999999999993" hidden="1" customHeight="1" x14ac:dyDescent="0.2"/>
    <row r="17596" ht="9.9499999999999993" hidden="1" customHeight="1" x14ac:dyDescent="0.2"/>
    <row r="17597" ht="9.9499999999999993" hidden="1" customHeight="1" x14ac:dyDescent="0.2"/>
    <row r="17598" ht="9.9499999999999993" hidden="1" customHeight="1" x14ac:dyDescent="0.2"/>
    <row r="17599" ht="9.9499999999999993" hidden="1" customHeight="1" x14ac:dyDescent="0.2"/>
    <row r="17600" ht="9.9499999999999993" hidden="1" customHeight="1" x14ac:dyDescent="0.2"/>
    <row r="17601" ht="9.9499999999999993" hidden="1" customHeight="1" x14ac:dyDescent="0.2"/>
    <row r="17602" ht="9.9499999999999993" hidden="1" customHeight="1" x14ac:dyDescent="0.2"/>
    <row r="17603" ht="9.9499999999999993" hidden="1" customHeight="1" x14ac:dyDescent="0.2"/>
    <row r="17604" ht="9.9499999999999993" hidden="1" customHeight="1" x14ac:dyDescent="0.2"/>
    <row r="17605" ht="9.9499999999999993" hidden="1" customHeight="1" x14ac:dyDescent="0.2"/>
    <row r="17606" ht="9.9499999999999993" hidden="1" customHeight="1" x14ac:dyDescent="0.2"/>
    <row r="17607" ht="9.9499999999999993" hidden="1" customHeight="1" x14ac:dyDescent="0.2"/>
    <row r="17608" ht="9.9499999999999993" hidden="1" customHeight="1" x14ac:dyDescent="0.2"/>
    <row r="17609" ht="9.9499999999999993" hidden="1" customHeight="1" x14ac:dyDescent="0.2"/>
    <row r="17610" ht="9.9499999999999993" hidden="1" customHeight="1" x14ac:dyDescent="0.2"/>
    <row r="17611" ht="9.9499999999999993" hidden="1" customHeight="1" x14ac:dyDescent="0.2"/>
    <row r="17612" ht="9.9499999999999993" hidden="1" customHeight="1" x14ac:dyDescent="0.2"/>
    <row r="17613" ht="9.9499999999999993" hidden="1" customHeight="1" x14ac:dyDescent="0.2"/>
    <row r="17614" ht="9.9499999999999993" hidden="1" customHeight="1" x14ac:dyDescent="0.2"/>
    <row r="17615" ht="9.9499999999999993" hidden="1" customHeight="1" x14ac:dyDescent="0.2"/>
    <row r="17616" ht="9.9499999999999993" hidden="1" customHeight="1" x14ac:dyDescent="0.2"/>
    <row r="17617" ht="9.9499999999999993" hidden="1" customHeight="1" x14ac:dyDescent="0.2"/>
    <row r="17618" ht="9.9499999999999993" hidden="1" customHeight="1" x14ac:dyDescent="0.2"/>
    <row r="17619" ht="9.9499999999999993" hidden="1" customHeight="1" x14ac:dyDescent="0.2"/>
    <row r="17620" ht="9.9499999999999993" hidden="1" customHeight="1" x14ac:dyDescent="0.2"/>
    <row r="17621" ht="9.9499999999999993" hidden="1" customHeight="1" x14ac:dyDescent="0.2"/>
    <row r="17622" ht="9.9499999999999993" hidden="1" customHeight="1" x14ac:dyDescent="0.2"/>
    <row r="17623" ht="9.9499999999999993" hidden="1" customHeight="1" x14ac:dyDescent="0.2"/>
    <row r="17624" ht="9.9499999999999993" hidden="1" customHeight="1" x14ac:dyDescent="0.2"/>
    <row r="17625" ht="9.9499999999999993" hidden="1" customHeight="1" x14ac:dyDescent="0.2"/>
    <row r="17626" ht="9.9499999999999993" hidden="1" customHeight="1" x14ac:dyDescent="0.2"/>
    <row r="17627" ht="9.9499999999999993" hidden="1" customHeight="1" x14ac:dyDescent="0.2"/>
    <row r="17628" ht="9.9499999999999993" hidden="1" customHeight="1" x14ac:dyDescent="0.2"/>
    <row r="17629" ht="9.9499999999999993" hidden="1" customHeight="1" x14ac:dyDescent="0.2"/>
    <row r="17630" ht="9.9499999999999993" hidden="1" customHeight="1" x14ac:dyDescent="0.2"/>
    <row r="17631" ht="9.9499999999999993" hidden="1" customHeight="1" x14ac:dyDescent="0.2"/>
    <row r="17632" ht="9.9499999999999993" hidden="1" customHeight="1" x14ac:dyDescent="0.2"/>
    <row r="17633" ht="9.9499999999999993" hidden="1" customHeight="1" x14ac:dyDescent="0.2"/>
    <row r="17634" ht="9.9499999999999993" hidden="1" customHeight="1" x14ac:dyDescent="0.2"/>
    <row r="17635" ht="9.9499999999999993" hidden="1" customHeight="1" x14ac:dyDescent="0.2"/>
    <row r="17636" ht="9.9499999999999993" hidden="1" customHeight="1" x14ac:dyDescent="0.2"/>
    <row r="17637" ht="9.9499999999999993" hidden="1" customHeight="1" x14ac:dyDescent="0.2"/>
    <row r="17638" ht="9.9499999999999993" hidden="1" customHeight="1" x14ac:dyDescent="0.2"/>
    <row r="17639" ht="9.9499999999999993" hidden="1" customHeight="1" x14ac:dyDescent="0.2"/>
    <row r="17640" ht="9.9499999999999993" hidden="1" customHeight="1" x14ac:dyDescent="0.2"/>
    <row r="17641" ht="9.9499999999999993" hidden="1" customHeight="1" x14ac:dyDescent="0.2"/>
    <row r="17642" ht="9.9499999999999993" hidden="1" customHeight="1" x14ac:dyDescent="0.2"/>
    <row r="17643" ht="9.9499999999999993" hidden="1" customHeight="1" x14ac:dyDescent="0.2"/>
    <row r="17644" ht="9.9499999999999993" hidden="1" customHeight="1" x14ac:dyDescent="0.2"/>
    <row r="17645" ht="9.9499999999999993" hidden="1" customHeight="1" x14ac:dyDescent="0.2"/>
    <row r="17646" ht="9.9499999999999993" hidden="1" customHeight="1" x14ac:dyDescent="0.2"/>
    <row r="17647" ht="9.9499999999999993" hidden="1" customHeight="1" x14ac:dyDescent="0.2"/>
    <row r="17648" ht="9.9499999999999993" hidden="1" customHeight="1" x14ac:dyDescent="0.2"/>
    <row r="17649" ht="9.9499999999999993" hidden="1" customHeight="1" x14ac:dyDescent="0.2"/>
    <row r="17650" ht="9.9499999999999993" hidden="1" customHeight="1" x14ac:dyDescent="0.2"/>
    <row r="17651" ht="9.9499999999999993" hidden="1" customHeight="1" x14ac:dyDescent="0.2"/>
    <row r="17652" ht="9.9499999999999993" hidden="1" customHeight="1" x14ac:dyDescent="0.2"/>
    <row r="17653" ht="9.9499999999999993" hidden="1" customHeight="1" x14ac:dyDescent="0.2"/>
    <row r="17654" ht="9.9499999999999993" hidden="1" customHeight="1" x14ac:dyDescent="0.2"/>
    <row r="17655" ht="9.9499999999999993" hidden="1" customHeight="1" x14ac:dyDescent="0.2"/>
    <row r="17656" ht="9.9499999999999993" hidden="1" customHeight="1" x14ac:dyDescent="0.2"/>
    <row r="17657" ht="9.9499999999999993" hidden="1" customHeight="1" x14ac:dyDescent="0.2"/>
    <row r="17658" ht="9.9499999999999993" hidden="1" customHeight="1" x14ac:dyDescent="0.2"/>
    <row r="17659" ht="9.9499999999999993" hidden="1" customHeight="1" x14ac:dyDescent="0.2"/>
    <row r="17660" ht="9.9499999999999993" hidden="1" customHeight="1" x14ac:dyDescent="0.2"/>
    <row r="17661" ht="9.9499999999999993" hidden="1" customHeight="1" x14ac:dyDescent="0.2"/>
    <row r="17662" ht="9.9499999999999993" hidden="1" customHeight="1" x14ac:dyDescent="0.2"/>
    <row r="17663" ht="9.9499999999999993" hidden="1" customHeight="1" x14ac:dyDescent="0.2"/>
    <row r="17664" ht="9.9499999999999993" hidden="1" customHeight="1" x14ac:dyDescent="0.2"/>
    <row r="17665" ht="9.9499999999999993" hidden="1" customHeight="1" x14ac:dyDescent="0.2"/>
    <row r="17666" ht="9.9499999999999993" hidden="1" customHeight="1" x14ac:dyDescent="0.2"/>
    <row r="17667" ht="9.9499999999999993" hidden="1" customHeight="1" x14ac:dyDescent="0.2"/>
    <row r="17668" ht="9.9499999999999993" hidden="1" customHeight="1" x14ac:dyDescent="0.2"/>
    <row r="17669" ht="9.9499999999999993" hidden="1" customHeight="1" x14ac:dyDescent="0.2"/>
    <row r="17670" ht="9.9499999999999993" hidden="1" customHeight="1" x14ac:dyDescent="0.2"/>
    <row r="17671" ht="9.9499999999999993" hidden="1" customHeight="1" x14ac:dyDescent="0.2"/>
    <row r="17672" ht="9.9499999999999993" hidden="1" customHeight="1" x14ac:dyDescent="0.2"/>
    <row r="17673" ht="9.9499999999999993" hidden="1" customHeight="1" x14ac:dyDescent="0.2"/>
    <row r="17674" ht="9.9499999999999993" hidden="1" customHeight="1" x14ac:dyDescent="0.2"/>
    <row r="17675" ht="9.9499999999999993" hidden="1" customHeight="1" x14ac:dyDescent="0.2"/>
    <row r="17676" ht="9.9499999999999993" hidden="1" customHeight="1" x14ac:dyDescent="0.2"/>
    <row r="17677" ht="9.9499999999999993" hidden="1" customHeight="1" x14ac:dyDescent="0.2"/>
    <row r="17678" ht="9.9499999999999993" hidden="1" customHeight="1" x14ac:dyDescent="0.2"/>
    <row r="17679" ht="9.9499999999999993" hidden="1" customHeight="1" x14ac:dyDescent="0.2"/>
    <row r="17680" ht="9.9499999999999993" hidden="1" customHeight="1" x14ac:dyDescent="0.2"/>
    <row r="17681" ht="9.9499999999999993" hidden="1" customHeight="1" x14ac:dyDescent="0.2"/>
    <row r="17682" ht="9.9499999999999993" hidden="1" customHeight="1" x14ac:dyDescent="0.2"/>
    <row r="17683" ht="9.9499999999999993" hidden="1" customHeight="1" x14ac:dyDescent="0.2"/>
    <row r="17684" ht="9.9499999999999993" hidden="1" customHeight="1" x14ac:dyDescent="0.2"/>
    <row r="17685" ht="9.9499999999999993" hidden="1" customHeight="1" x14ac:dyDescent="0.2"/>
    <row r="17686" ht="9.9499999999999993" hidden="1" customHeight="1" x14ac:dyDescent="0.2"/>
    <row r="17687" ht="9.9499999999999993" hidden="1" customHeight="1" x14ac:dyDescent="0.2"/>
    <row r="17688" ht="9.9499999999999993" hidden="1" customHeight="1" x14ac:dyDescent="0.2"/>
    <row r="17689" ht="9.9499999999999993" hidden="1" customHeight="1" x14ac:dyDescent="0.2"/>
    <row r="17690" ht="9.9499999999999993" hidden="1" customHeight="1" x14ac:dyDescent="0.2"/>
    <row r="17691" ht="9.9499999999999993" hidden="1" customHeight="1" x14ac:dyDescent="0.2"/>
    <row r="17692" ht="9.9499999999999993" hidden="1" customHeight="1" x14ac:dyDescent="0.2"/>
    <row r="17693" ht="9.9499999999999993" hidden="1" customHeight="1" x14ac:dyDescent="0.2"/>
    <row r="17694" ht="9.9499999999999993" hidden="1" customHeight="1" x14ac:dyDescent="0.2"/>
    <row r="17695" ht="9.9499999999999993" hidden="1" customHeight="1" x14ac:dyDescent="0.2"/>
    <row r="17696" ht="9.9499999999999993" hidden="1" customHeight="1" x14ac:dyDescent="0.2"/>
    <row r="17697" ht="9.9499999999999993" hidden="1" customHeight="1" x14ac:dyDescent="0.2"/>
    <row r="17698" ht="9.9499999999999993" hidden="1" customHeight="1" x14ac:dyDescent="0.2"/>
    <row r="17699" ht="9.9499999999999993" hidden="1" customHeight="1" x14ac:dyDescent="0.2"/>
    <row r="17700" ht="9.9499999999999993" hidden="1" customHeight="1" x14ac:dyDescent="0.2"/>
    <row r="17701" ht="9.9499999999999993" hidden="1" customHeight="1" x14ac:dyDescent="0.2"/>
    <row r="17702" ht="9.9499999999999993" hidden="1" customHeight="1" x14ac:dyDescent="0.2"/>
    <row r="17703" ht="9.9499999999999993" hidden="1" customHeight="1" x14ac:dyDescent="0.2"/>
    <row r="17704" ht="9.9499999999999993" hidden="1" customHeight="1" x14ac:dyDescent="0.2"/>
    <row r="17705" ht="9.9499999999999993" hidden="1" customHeight="1" x14ac:dyDescent="0.2"/>
    <row r="17706" ht="9.9499999999999993" hidden="1" customHeight="1" x14ac:dyDescent="0.2"/>
    <row r="17707" ht="9.9499999999999993" hidden="1" customHeight="1" x14ac:dyDescent="0.2"/>
    <row r="17708" ht="9.9499999999999993" hidden="1" customHeight="1" x14ac:dyDescent="0.2"/>
    <row r="17709" ht="9.9499999999999993" hidden="1" customHeight="1" x14ac:dyDescent="0.2"/>
    <row r="17710" ht="9.9499999999999993" hidden="1" customHeight="1" x14ac:dyDescent="0.2"/>
    <row r="17711" ht="9.9499999999999993" hidden="1" customHeight="1" x14ac:dyDescent="0.2"/>
    <row r="17712" ht="9.9499999999999993" hidden="1" customHeight="1" x14ac:dyDescent="0.2"/>
    <row r="17713" ht="9.9499999999999993" hidden="1" customHeight="1" x14ac:dyDescent="0.2"/>
    <row r="17714" ht="9.9499999999999993" hidden="1" customHeight="1" x14ac:dyDescent="0.2"/>
    <row r="17715" ht="9.9499999999999993" hidden="1" customHeight="1" x14ac:dyDescent="0.2"/>
    <row r="17716" ht="9.9499999999999993" hidden="1" customHeight="1" x14ac:dyDescent="0.2"/>
    <row r="17717" ht="9.9499999999999993" hidden="1" customHeight="1" x14ac:dyDescent="0.2"/>
    <row r="17718" ht="9.9499999999999993" hidden="1" customHeight="1" x14ac:dyDescent="0.2"/>
    <row r="17719" ht="9.9499999999999993" hidden="1" customHeight="1" x14ac:dyDescent="0.2"/>
    <row r="17720" ht="9.9499999999999993" hidden="1" customHeight="1" x14ac:dyDescent="0.2"/>
    <row r="17721" ht="9.9499999999999993" hidden="1" customHeight="1" x14ac:dyDescent="0.2"/>
    <row r="17722" ht="9.9499999999999993" hidden="1" customHeight="1" x14ac:dyDescent="0.2"/>
    <row r="17723" ht="9.9499999999999993" hidden="1" customHeight="1" x14ac:dyDescent="0.2"/>
    <row r="17724" ht="9.9499999999999993" hidden="1" customHeight="1" x14ac:dyDescent="0.2"/>
    <row r="17725" ht="9.9499999999999993" hidden="1" customHeight="1" x14ac:dyDescent="0.2"/>
    <row r="17726" ht="9.9499999999999993" hidden="1" customHeight="1" x14ac:dyDescent="0.2"/>
    <row r="17727" ht="9.9499999999999993" hidden="1" customHeight="1" x14ac:dyDescent="0.2"/>
    <row r="17728" ht="9.9499999999999993" hidden="1" customHeight="1" x14ac:dyDescent="0.2"/>
    <row r="17729" ht="9.9499999999999993" hidden="1" customHeight="1" x14ac:dyDescent="0.2"/>
    <row r="17730" ht="9.9499999999999993" hidden="1" customHeight="1" x14ac:dyDescent="0.2"/>
    <row r="17731" ht="9.9499999999999993" hidden="1" customHeight="1" x14ac:dyDescent="0.2"/>
    <row r="17732" ht="9.9499999999999993" hidden="1" customHeight="1" x14ac:dyDescent="0.2"/>
    <row r="17733" ht="9.9499999999999993" hidden="1" customHeight="1" x14ac:dyDescent="0.2"/>
    <row r="17734" ht="9.9499999999999993" hidden="1" customHeight="1" x14ac:dyDescent="0.2"/>
    <row r="17735" ht="9.9499999999999993" hidden="1" customHeight="1" x14ac:dyDescent="0.2"/>
    <row r="17736" ht="9.9499999999999993" hidden="1" customHeight="1" x14ac:dyDescent="0.2"/>
    <row r="17737" ht="9.9499999999999993" hidden="1" customHeight="1" x14ac:dyDescent="0.2"/>
    <row r="17738" ht="9.9499999999999993" hidden="1" customHeight="1" x14ac:dyDescent="0.2"/>
    <row r="17739" ht="9.9499999999999993" hidden="1" customHeight="1" x14ac:dyDescent="0.2"/>
    <row r="17740" ht="9.9499999999999993" hidden="1" customHeight="1" x14ac:dyDescent="0.2"/>
    <row r="17741" ht="9.9499999999999993" hidden="1" customHeight="1" x14ac:dyDescent="0.2"/>
    <row r="17742" ht="9.9499999999999993" hidden="1" customHeight="1" x14ac:dyDescent="0.2"/>
    <row r="17743" ht="9.9499999999999993" hidden="1" customHeight="1" x14ac:dyDescent="0.2"/>
    <row r="17744" ht="9.9499999999999993" hidden="1" customHeight="1" x14ac:dyDescent="0.2"/>
    <row r="17745" ht="9.9499999999999993" hidden="1" customHeight="1" x14ac:dyDescent="0.2"/>
    <row r="17746" ht="9.9499999999999993" hidden="1" customHeight="1" x14ac:dyDescent="0.2"/>
    <row r="17747" ht="9.9499999999999993" hidden="1" customHeight="1" x14ac:dyDescent="0.2"/>
    <row r="17748" ht="9.9499999999999993" hidden="1" customHeight="1" x14ac:dyDescent="0.2"/>
    <row r="17749" ht="9.9499999999999993" hidden="1" customHeight="1" x14ac:dyDescent="0.2"/>
    <row r="17750" ht="9.9499999999999993" hidden="1" customHeight="1" x14ac:dyDescent="0.2"/>
    <row r="17751" ht="9.9499999999999993" hidden="1" customHeight="1" x14ac:dyDescent="0.2"/>
    <row r="17752" ht="9.9499999999999993" hidden="1" customHeight="1" x14ac:dyDescent="0.2"/>
    <row r="17753" ht="9.9499999999999993" hidden="1" customHeight="1" x14ac:dyDescent="0.2"/>
    <row r="17754" ht="9.9499999999999993" hidden="1" customHeight="1" x14ac:dyDescent="0.2"/>
    <row r="17755" ht="9.9499999999999993" hidden="1" customHeight="1" x14ac:dyDescent="0.2"/>
    <row r="17756" ht="9.9499999999999993" hidden="1" customHeight="1" x14ac:dyDescent="0.2"/>
    <row r="17757" ht="9.9499999999999993" hidden="1" customHeight="1" x14ac:dyDescent="0.2"/>
    <row r="17758" ht="9.9499999999999993" hidden="1" customHeight="1" x14ac:dyDescent="0.2"/>
    <row r="17759" ht="9.9499999999999993" hidden="1" customHeight="1" x14ac:dyDescent="0.2"/>
    <row r="17760" ht="9.9499999999999993" hidden="1" customHeight="1" x14ac:dyDescent="0.2"/>
    <row r="17761" ht="9.9499999999999993" hidden="1" customHeight="1" x14ac:dyDescent="0.2"/>
    <row r="17762" ht="9.9499999999999993" hidden="1" customHeight="1" x14ac:dyDescent="0.2"/>
    <row r="17763" ht="9.9499999999999993" hidden="1" customHeight="1" x14ac:dyDescent="0.2"/>
    <row r="17764" ht="9.9499999999999993" hidden="1" customHeight="1" x14ac:dyDescent="0.2"/>
    <row r="17765" ht="9.9499999999999993" hidden="1" customHeight="1" x14ac:dyDescent="0.2"/>
    <row r="17766" ht="9.9499999999999993" hidden="1" customHeight="1" x14ac:dyDescent="0.2"/>
    <row r="17767" ht="9.9499999999999993" hidden="1" customHeight="1" x14ac:dyDescent="0.2"/>
    <row r="17768" ht="9.9499999999999993" hidden="1" customHeight="1" x14ac:dyDescent="0.2"/>
    <row r="17769" ht="9.9499999999999993" hidden="1" customHeight="1" x14ac:dyDescent="0.2"/>
    <row r="17770" ht="9.9499999999999993" hidden="1" customHeight="1" x14ac:dyDescent="0.2"/>
    <row r="17771" ht="9.9499999999999993" hidden="1" customHeight="1" x14ac:dyDescent="0.2"/>
    <row r="17772" ht="9.9499999999999993" hidden="1" customHeight="1" x14ac:dyDescent="0.2"/>
    <row r="17773" ht="9.9499999999999993" hidden="1" customHeight="1" x14ac:dyDescent="0.2"/>
    <row r="17774" ht="9.9499999999999993" hidden="1" customHeight="1" x14ac:dyDescent="0.2"/>
    <row r="17775" ht="9.9499999999999993" hidden="1" customHeight="1" x14ac:dyDescent="0.2"/>
    <row r="17776" ht="9.9499999999999993" hidden="1" customHeight="1" x14ac:dyDescent="0.2"/>
    <row r="17777" ht="9.9499999999999993" hidden="1" customHeight="1" x14ac:dyDescent="0.2"/>
    <row r="17778" ht="9.9499999999999993" hidden="1" customHeight="1" x14ac:dyDescent="0.2"/>
    <row r="17779" ht="9.9499999999999993" hidden="1" customHeight="1" x14ac:dyDescent="0.2"/>
    <row r="17780" ht="9.9499999999999993" hidden="1" customHeight="1" x14ac:dyDescent="0.2"/>
    <row r="17781" ht="9.9499999999999993" hidden="1" customHeight="1" x14ac:dyDescent="0.2"/>
    <row r="17782" ht="9.9499999999999993" hidden="1" customHeight="1" x14ac:dyDescent="0.2"/>
    <row r="17783" ht="9.9499999999999993" hidden="1" customHeight="1" x14ac:dyDescent="0.2"/>
    <row r="17784" ht="9.9499999999999993" hidden="1" customHeight="1" x14ac:dyDescent="0.2"/>
    <row r="17785" ht="9.9499999999999993" hidden="1" customHeight="1" x14ac:dyDescent="0.2"/>
    <row r="17786" ht="9.9499999999999993" hidden="1" customHeight="1" x14ac:dyDescent="0.2"/>
    <row r="17787" ht="9.9499999999999993" hidden="1" customHeight="1" x14ac:dyDescent="0.2"/>
    <row r="17788" ht="9.9499999999999993" hidden="1" customHeight="1" x14ac:dyDescent="0.2"/>
    <row r="17789" ht="9.9499999999999993" hidden="1" customHeight="1" x14ac:dyDescent="0.2"/>
    <row r="17790" ht="9.9499999999999993" hidden="1" customHeight="1" x14ac:dyDescent="0.2"/>
    <row r="17791" ht="9.9499999999999993" hidden="1" customHeight="1" x14ac:dyDescent="0.2"/>
    <row r="17792" ht="9.9499999999999993" hidden="1" customHeight="1" x14ac:dyDescent="0.2"/>
    <row r="17793" ht="9.9499999999999993" hidden="1" customHeight="1" x14ac:dyDescent="0.2"/>
    <row r="17794" ht="9.9499999999999993" hidden="1" customHeight="1" x14ac:dyDescent="0.2"/>
    <row r="17795" ht="9.9499999999999993" hidden="1" customHeight="1" x14ac:dyDescent="0.2"/>
    <row r="17796" ht="9.9499999999999993" hidden="1" customHeight="1" x14ac:dyDescent="0.2"/>
    <row r="17797" ht="9.9499999999999993" hidden="1" customHeight="1" x14ac:dyDescent="0.2"/>
    <row r="17798" ht="9.9499999999999993" hidden="1" customHeight="1" x14ac:dyDescent="0.2"/>
    <row r="17799" ht="9.9499999999999993" hidden="1" customHeight="1" x14ac:dyDescent="0.2"/>
    <row r="17800" ht="9.9499999999999993" hidden="1" customHeight="1" x14ac:dyDescent="0.2"/>
    <row r="17801" ht="9.9499999999999993" hidden="1" customHeight="1" x14ac:dyDescent="0.2"/>
    <row r="17802" ht="9.9499999999999993" hidden="1" customHeight="1" x14ac:dyDescent="0.2"/>
    <row r="17803" ht="9.9499999999999993" hidden="1" customHeight="1" x14ac:dyDescent="0.2"/>
    <row r="17804" ht="9.9499999999999993" hidden="1" customHeight="1" x14ac:dyDescent="0.2"/>
    <row r="17805" ht="9.9499999999999993" hidden="1" customHeight="1" x14ac:dyDescent="0.2"/>
    <row r="17806" ht="9.9499999999999993" hidden="1" customHeight="1" x14ac:dyDescent="0.2"/>
    <row r="17807" ht="9.9499999999999993" hidden="1" customHeight="1" x14ac:dyDescent="0.2"/>
    <row r="17808" ht="9.9499999999999993" hidden="1" customHeight="1" x14ac:dyDescent="0.2"/>
    <row r="17809" ht="9.9499999999999993" hidden="1" customHeight="1" x14ac:dyDescent="0.2"/>
    <row r="17810" ht="9.9499999999999993" hidden="1" customHeight="1" x14ac:dyDescent="0.2"/>
    <row r="17811" ht="9.9499999999999993" hidden="1" customHeight="1" x14ac:dyDescent="0.2"/>
    <row r="17812" ht="9.9499999999999993" hidden="1" customHeight="1" x14ac:dyDescent="0.2"/>
    <row r="17813" ht="9.9499999999999993" hidden="1" customHeight="1" x14ac:dyDescent="0.2"/>
    <row r="17814" ht="9.9499999999999993" hidden="1" customHeight="1" x14ac:dyDescent="0.2"/>
    <row r="17815" ht="9.9499999999999993" hidden="1" customHeight="1" x14ac:dyDescent="0.2"/>
    <row r="17816" ht="9.9499999999999993" hidden="1" customHeight="1" x14ac:dyDescent="0.2"/>
    <row r="17817" ht="9.9499999999999993" hidden="1" customHeight="1" x14ac:dyDescent="0.2"/>
    <row r="17818" ht="9.9499999999999993" hidden="1" customHeight="1" x14ac:dyDescent="0.2"/>
    <row r="17819" ht="9.9499999999999993" hidden="1" customHeight="1" x14ac:dyDescent="0.2"/>
    <row r="17820" ht="9.9499999999999993" hidden="1" customHeight="1" x14ac:dyDescent="0.2"/>
    <row r="17821" ht="9.9499999999999993" hidden="1" customHeight="1" x14ac:dyDescent="0.2"/>
    <row r="17822" ht="9.9499999999999993" hidden="1" customHeight="1" x14ac:dyDescent="0.2"/>
    <row r="17823" ht="9.9499999999999993" hidden="1" customHeight="1" x14ac:dyDescent="0.2"/>
    <row r="17824" ht="9.9499999999999993" hidden="1" customHeight="1" x14ac:dyDescent="0.2"/>
    <row r="17825" ht="9.9499999999999993" hidden="1" customHeight="1" x14ac:dyDescent="0.2"/>
    <row r="17826" ht="9.9499999999999993" hidden="1" customHeight="1" x14ac:dyDescent="0.2"/>
    <row r="17827" ht="9.9499999999999993" hidden="1" customHeight="1" x14ac:dyDescent="0.2"/>
    <row r="17828" ht="9.9499999999999993" hidden="1" customHeight="1" x14ac:dyDescent="0.2"/>
    <row r="17829" ht="9.9499999999999993" hidden="1" customHeight="1" x14ac:dyDescent="0.2"/>
    <row r="17830" ht="9.9499999999999993" hidden="1" customHeight="1" x14ac:dyDescent="0.2"/>
    <row r="17831" ht="9.9499999999999993" hidden="1" customHeight="1" x14ac:dyDescent="0.2"/>
    <row r="17832" ht="9.9499999999999993" hidden="1" customHeight="1" x14ac:dyDescent="0.2"/>
    <row r="17833" ht="9.9499999999999993" hidden="1" customHeight="1" x14ac:dyDescent="0.2"/>
    <row r="17834" ht="9.9499999999999993" hidden="1" customHeight="1" x14ac:dyDescent="0.2"/>
    <row r="17835" ht="9.9499999999999993" hidden="1" customHeight="1" x14ac:dyDescent="0.2"/>
    <row r="17836" ht="9.9499999999999993" hidden="1" customHeight="1" x14ac:dyDescent="0.2"/>
    <row r="17837" ht="9.9499999999999993" hidden="1" customHeight="1" x14ac:dyDescent="0.2"/>
    <row r="17838" ht="9.9499999999999993" hidden="1" customHeight="1" x14ac:dyDescent="0.2"/>
    <row r="17839" ht="9.9499999999999993" hidden="1" customHeight="1" x14ac:dyDescent="0.2"/>
    <row r="17840" ht="9.9499999999999993" hidden="1" customHeight="1" x14ac:dyDescent="0.2"/>
    <row r="17841" ht="9.9499999999999993" hidden="1" customHeight="1" x14ac:dyDescent="0.2"/>
    <row r="17842" ht="9.9499999999999993" hidden="1" customHeight="1" x14ac:dyDescent="0.2"/>
    <row r="17843" ht="9.9499999999999993" hidden="1" customHeight="1" x14ac:dyDescent="0.2"/>
    <row r="17844" ht="9.9499999999999993" hidden="1" customHeight="1" x14ac:dyDescent="0.2"/>
    <row r="17845" ht="9.9499999999999993" hidden="1" customHeight="1" x14ac:dyDescent="0.2"/>
    <row r="17846" ht="9.9499999999999993" hidden="1" customHeight="1" x14ac:dyDescent="0.2"/>
    <row r="17847" ht="9.9499999999999993" hidden="1" customHeight="1" x14ac:dyDescent="0.2"/>
    <row r="17848" ht="9.9499999999999993" hidden="1" customHeight="1" x14ac:dyDescent="0.2"/>
    <row r="17849" ht="9.9499999999999993" hidden="1" customHeight="1" x14ac:dyDescent="0.2"/>
    <row r="17850" ht="9.9499999999999993" hidden="1" customHeight="1" x14ac:dyDescent="0.2"/>
    <row r="17851" ht="9.9499999999999993" hidden="1" customHeight="1" x14ac:dyDescent="0.2"/>
    <row r="17852" ht="9.9499999999999993" hidden="1" customHeight="1" x14ac:dyDescent="0.2"/>
    <row r="17853" ht="9.9499999999999993" hidden="1" customHeight="1" x14ac:dyDescent="0.2"/>
    <row r="17854" ht="9.9499999999999993" hidden="1" customHeight="1" x14ac:dyDescent="0.2"/>
    <row r="17855" ht="9.9499999999999993" hidden="1" customHeight="1" x14ac:dyDescent="0.2"/>
    <row r="17856" ht="9.9499999999999993" hidden="1" customHeight="1" x14ac:dyDescent="0.2"/>
    <row r="17857" ht="9.9499999999999993" hidden="1" customHeight="1" x14ac:dyDescent="0.2"/>
    <row r="17858" ht="9.9499999999999993" hidden="1" customHeight="1" x14ac:dyDescent="0.2"/>
    <row r="17859" ht="9.9499999999999993" hidden="1" customHeight="1" x14ac:dyDescent="0.2"/>
    <row r="17860" ht="9.9499999999999993" hidden="1" customHeight="1" x14ac:dyDescent="0.2"/>
    <row r="17861" ht="9.9499999999999993" hidden="1" customHeight="1" x14ac:dyDescent="0.2"/>
    <row r="17862" ht="9.9499999999999993" hidden="1" customHeight="1" x14ac:dyDescent="0.2"/>
    <row r="17863" ht="9.9499999999999993" hidden="1" customHeight="1" x14ac:dyDescent="0.2"/>
    <row r="17864" ht="9.9499999999999993" hidden="1" customHeight="1" x14ac:dyDescent="0.2"/>
    <row r="17865" ht="9.9499999999999993" hidden="1" customHeight="1" x14ac:dyDescent="0.2"/>
    <row r="17866" ht="9.9499999999999993" hidden="1" customHeight="1" x14ac:dyDescent="0.2"/>
    <row r="17867" ht="9.9499999999999993" hidden="1" customHeight="1" x14ac:dyDescent="0.2"/>
    <row r="17868" ht="9.9499999999999993" hidden="1" customHeight="1" x14ac:dyDescent="0.2"/>
    <row r="17869" ht="9.9499999999999993" hidden="1" customHeight="1" x14ac:dyDescent="0.2"/>
    <row r="17870" ht="9.9499999999999993" hidden="1" customHeight="1" x14ac:dyDescent="0.2"/>
    <row r="17871" ht="9.9499999999999993" hidden="1" customHeight="1" x14ac:dyDescent="0.2"/>
    <row r="17872" ht="9.9499999999999993" hidden="1" customHeight="1" x14ac:dyDescent="0.2"/>
    <row r="17873" ht="9.9499999999999993" hidden="1" customHeight="1" x14ac:dyDescent="0.2"/>
    <row r="17874" ht="9.9499999999999993" hidden="1" customHeight="1" x14ac:dyDescent="0.2"/>
    <row r="17875" ht="9.9499999999999993" hidden="1" customHeight="1" x14ac:dyDescent="0.2"/>
    <row r="17876" ht="9.9499999999999993" hidden="1" customHeight="1" x14ac:dyDescent="0.2"/>
    <row r="17877" ht="9.9499999999999993" hidden="1" customHeight="1" x14ac:dyDescent="0.2"/>
    <row r="17878" ht="9.9499999999999993" hidden="1" customHeight="1" x14ac:dyDescent="0.2"/>
    <row r="17879" ht="9.9499999999999993" hidden="1" customHeight="1" x14ac:dyDescent="0.2"/>
    <row r="17880" ht="9.9499999999999993" hidden="1" customHeight="1" x14ac:dyDescent="0.2"/>
    <row r="17881" ht="9.9499999999999993" hidden="1" customHeight="1" x14ac:dyDescent="0.2"/>
    <row r="17882" ht="9.9499999999999993" hidden="1" customHeight="1" x14ac:dyDescent="0.2"/>
    <row r="17883" ht="9.9499999999999993" hidden="1" customHeight="1" x14ac:dyDescent="0.2"/>
    <row r="17884" ht="9.9499999999999993" hidden="1" customHeight="1" x14ac:dyDescent="0.2"/>
    <row r="17885" ht="9.9499999999999993" hidden="1" customHeight="1" x14ac:dyDescent="0.2"/>
    <row r="17886" ht="9.9499999999999993" hidden="1" customHeight="1" x14ac:dyDescent="0.2"/>
    <row r="17887" ht="9.9499999999999993" hidden="1" customHeight="1" x14ac:dyDescent="0.2"/>
    <row r="17888" ht="9.9499999999999993" hidden="1" customHeight="1" x14ac:dyDescent="0.2"/>
    <row r="17889" ht="9.9499999999999993" hidden="1" customHeight="1" x14ac:dyDescent="0.2"/>
    <row r="17890" ht="9.9499999999999993" hidden="1" customHeight="1" x14ac:dyDescent="0.2"/>
    <row r="17891" ht="9.9499999999999993" hidden="1" customHeight="1" x14ac:dyDescent="0.2"/>
    <row r="17892" ht="9.9499999999999993" hidden="1" customHeight="1" x14ac:dyDescent="0.2"/>
    <row r="17893" ht="9.9499999999999993" hidden="1" customHeight="1" x14ac:dyDescent="0.2"/>
    <row r="17894" ht="9.9499999999999993" hidden="1" customHeight="1" x14ac:dyDescent="0.2"/>
    <row r="17895" ht="9.9499999999999993" hidden="1" customHeight="1" x14ac:dyDescent="0.2"/>
    <row r="17896" ht="9.9499999999999993" hidden="1" customHeight="1" x14ac:dyDescent="0.2"/>
    <row r="17897" ht="9.9499999999999993" hidden="1" customHeight="1" x14ac:dyDescent="0.2"/>
    <row r="17898" ht="9.9499999999999993" hidden="1" customHeight="1" x14ac:dyDescent="0.2"/>
    <row r="17899" ht="9.9499999999999993" hidden="1" customHeight="1" x14ac:dyDescent="0.2"/>
    <row r="17900" ht="9.9499999999999993" hidden="1" customHeight="1" x14ac:dyDescent="0.2"/>
    <row r="17901" ht="9.9499999999999993" hidden="1" customHeight="1" x14ac:dyDescent="0.2"/>
    <row r="17902" ht="9.9499999999999993" hidden="1" customHeight="1" x14ac:dyDescent="0.2"/>
    <row r="17903" ht="9.9499999999999993" hidden="1" customHeight="1" x14ac:dyDescent="0.2"/>
    <row r="17904" ht="9.9499999999999993" hidden="1" customHeight="1" x14ac:dyDescent="0.2"/>
    <row r="17905" ht="9.9499999999999993" hidden="1" customHeight="1" x14ac:dyDescent="0.2"/>
    <row r="17906" ht="9.9499999999999993" hidden="1" customHeight="1" x14ac:dyDescent="0.2"/>
    <row r="17907" ht="9.9499999999999993" hidden="1" customHeight="1" x14ac:dyDescent="0.2"/>
    <row r="17908" ht="9.9499999999999993" hidden="1" customHeight="1" x14ac:dyDescent="0.2"/>
    <row r="17909" ht="9.9499999999999993" hidden="1" customHeight="1" x14ac:dyDescent="0.2"/>
    <row r="17910" ht="9.9499999999999993" hidden="1" customHeight="1" x14ac:dyDescent="0.2"/>
    <row r="17911" ht="9.9499999999999993" hidden="1" customHeight="1" x14ac:dyDescent="0.2"/>
    <row r="17912" ht="9.9499999999999993" hidden="1" customHeight="1" x14ac:dyDescent="0.2"/>
    <row r="17913" ht="9.9499999999999993" hidden="1" customHeight="1" x14ac:dyDescent="0.2"/>
    <row r="17914" ht="9.9499999999999993" hidden="1" customHeight="1" x14ac:dyDescent="0.2"/>
    <row r="17915" ht="9.9499999999999993" hidden="1" customHeight="1" x14ac:dyDescent="0.2"/>
    <row r="17916" ht="9.9499999999999993" hidden="1" customHeight="1" x14ac:dyDescent="0.2"/>
    <row r="17917" ht="9.9499999999999993" hidden="1" customHeight="1" x14ac:dyDescent="0.2"/>
    <row r="17918" ht="9.9499999999999993" hidden="1" customHeight="1" x14ac:dyDescent="0.2"/>
    <row r="17919" ht="9.9499999999999993" hidden="1" customHeight="1" x14ac:dyDescent="0.2"/>
    <row r="17920" ht="9.9499999999999993" hidden="1" customHeight="1" x14ac:dyDescent="0.2"/>
    <row r="17921" ht="9.9499999999999993" hidden="1" customHeight="1" x14ac:dyDescent="0.2"/>
    <row r="17922" ht="9.9499999999999993" hidden="1" customHeight="1" x14ac:dyDescent="0.2"/>
    <row r="17923" ht="9.9499999999999993" hidden="1" customHeight="1" x14ac:dyDescent="0.2"/>
    <row r="17924" ht="9.9499999999999993" hidden="1" customHeight="1" x14ac:dyDescent="0.2"/>
    <row r="17925" ht="9.9499999999999993" hidden="1" customHeight="1" x14ac:dyDescent="0.2"/>
    <row r="17926" ht="9.9499999999999993" hidden="1" customHeight="1" x14ac:dyDescent="0.2"/>
    <row r="17927" ht="9.9499999999999993" hidden="1" customHeight="1" x14ac:dyDescent="0.2"/>
    <row r="17928" ht="9.9499999999999993" hidden="1" customHeight="1" x14ac:dyDescent="0.2"/>
    <row r="17929" ht="9.9499999999999993" hidden="1" customHeight="1" x14ac:dyDescent="0.2"/>
    <row r="17930" ht="9.9499999999999993" hidden="1" customHeight="1" x14ac:dyDescent="0.2"/>
    <row r="17931" ht="9.9499999999999993" hidden="1" customHeight="1" x14ac:dyDescent="0.2"/>
    <row r="17932" ht="9.9499999999999993" hidden="1" customHeight="1" x14ac:dyDescent="0.2"/>
    <row r="17933" ht="9.9499999999999993" hidden="1" customHeight="1" x14ac:dyDescent="0.2"/>
    <row r="17934" ht="9.9499999999999993" hidden="1" customHeight="1" x14ac:dyDescent="0.2"/>
    <row r="17935" ht="9.9499999999999993" hidden="1" customHeight="1" x14ac:dyDescent="0.2"/>
    <row r="17936" ht="9.9499999999999993" hidden="1" customHeight="1" x14ac:dyDescent="0.2"/>
    <row r="17937" ht="9.9499999999999993" hidden="1" customHeight="1" x14ac:dyDescent="0.2"/>
    <row r="17938" ht="9.9499999999999993" hidden="1" customHeight="1" x14ac:dyDescent="0.2"/>
    <row r="17939" ht="9.9499999999999993" hidden="1" customHeight="1" x14ac:dyDescent="0.2"/>
    <row r="17940" ht="9.9499999999999993" hidden="1" customHeight="1" x14ac:dyDescent="0.2"/>
    <row r="17941" ht="9.9499999999999993" hidden="1" customHeight="1" x14ac:dyDescent="0.2"/>
    <row r="17942" ht="9.9499999999999993" hidden="1" customHeight="1" x14ac:dyDescent="0.2"/>
    <row r="17943" ht="9.9499999999999993" hidden="1" customHeight="1" x14ac:dyDescent="0.2"/>
    <row r="17944" ht="9.9499999999999993" hidden="1" customHeight="1" x14ac:dyDescent="0.2"/>
    <row r="17945" ht="9.9499999999999993" hidden="1" customHeight="1" x14ac:dyDescent="0.2"/>
    <row r="17946" ht="9.9499999999999993" hidden="1" customHeight="1" x14ac:dyDescent="0.2"/>
    <row r="17947" ht="9.9499999999999993" hidden="1" customHeight="1" x14ac:dyDescent="0.2"/>
    <row r="17948" ht="9.9499999999999993" hidden="1" customHeight="1" x14ac:dyDescent="0.2"/>
    <row r="17949" ht="9.9499999999999993" hidden="1" customHeight="1" x14ac:dyDescent="0.2"/>
    <row r="17950" ht="9.9499999999999993" hidden="1" customHeight="1" x14ac:dyDescent="0.2"/>
    <row r="17951" ht="9.9499999999999993" hidden="1" customHeight="1" x14ac:dyDescent="0.2"/>
    <row r="17952" ht="9.9499999999999993" hidden="1" customHeight="1" x14ac:dyDescent="0.2"/>
    <row r="17953" ht="9.9499999999999993" hidden="1" customHeight="1" x14ac:dyDescent="0.2"/>
    <row r="17954" ht="9.9499999999999993" hidden="1" customHeight="1" x14ac:dyDescent="0.2"/>
    <row r="17955" ht="9.9499999999999993" hidden="1" customHeight="1" x14ac:dyDescent="0.2"/>
    <row r="17956" ht="9.9499999999999993" hidden="1" customHeight="1" x14ac:dyDescent="0.2"/>
    <row r="17957" ht="9.9499999999999993" hidden="1" customHeight="1" x14ac:dyDescent="0.2"/>
    <row r="17958" ht="9.9499999999999993" hidden="1" customHeight="1" x14ac:dyDescent="0.2"/>
    <row r="17959" ht="9.9499999999999993" hidden="1" customHeight="1" x14ac:dyDescent="0.2"/>
    <row r="17960" ht="9.9499999999999993" hidden="1" customHeight="1" x14ac:dyDescent="0.2"/>
    <row r="17961" ht="9.9499999999999993" hidden="1" customHeight="1" x14ac:dyDescent="0.2"/>
    <row r="17962" ht="9.9499999999999993" hidden="1" customHeight="1" x14ac:dyDescent="0.2"/>
    <row r="17963" ht="9.9499999999999993" hidden="1" customHeight="1" x14ac:dyDescent="0.2"/>
    <row r="17964" ht="9.9499999999999993" hidden="1" customHeight="1" x14ac:dyDescent="0.2"/>
    <row r="17965" ht="9.9499999999999993" hidden="1" customHeight="1" x14ac:dyDescent="0.2"/>
    <row r="17966" ht="9.9499999999999993" hidden="1" customHeight="1" x14ac:dyDescent="0.2"/>
    <row r="17967" ht="9.9499999999999993" hidden="1" customHeight="1" x14ac:dyDescent="0.2"/>
    <row r="17968" ht="9.9499999999999993" hidden="1" customHeight="1" x14ac:dyDescent="0.2"/>
    <row r="17969" ht="9.9499999999999993" hidden="1" customHeight="1" x14ac:dyDescent="0.2"/>
    <row r="17970" ht="9.9499999999999993" hidden="1" customHeight="1" x14ac:dyDescent="0.2"/>
    <row r="17971" ht="9.9499999999999993" hidden="1" customHeight="1" x14ac:dyDescent="0.2"/>
    <row r="17972" ht="9.9499999999999993" hidden="1" customHeight="1" x14ac:dyDescent="0.2"/>
    <row r="17973" ht="9.9499999999999993" hidden="1" customHeight="1" x14ac:dyDescent="0.2"/>
    <row r="17974" ht="9.9499999999999993" hidden="1" customHeight="1" x14ac:dyDescent="0.2"/>
    <row r="17975" ht="9.9499999999999993" hidden="1" customHeight="1" x14ac:dyDescent="0.2"/>
    <row r="17976" ht="9.9499999999999993" hidden="1" customHeight="1" x14ac:dyDescent="0.2"/>
    <row r="17977" ht="9.9499999999999993" hidden="1" customHeight="1" x14ac:dyDescent="0.2"/>
    <row r="17978" ht="9.9499999999999993" hidden="1" customHeight="1" x14ac:dyDescent="0.2"/>
    <row r="17979" ht="9.9499999999999993" hidden="1" customHeight="1" x14ac:dyDescent="0.2"/>
    <row r="17980" ht="9.9499999999999993" hidden="1" customHeight="1" x14ac:dyDescent="0.2"/>
    <row r="17981" ht="9.9499999999999993" hidden="1" customHeight="1" x14ac:dyDescent="0.2"/>
    <row r="17982" ht="9.9499999999999993" hidden="1" customHeight="1" x14ac:dyDescent="0.2"/>
    <row r="17983" ht="9.9499999999999993" hidden="1" customHeight="1" x14ac:dyDescent="0.2"/>
    <row r="17984" ht="9.9499999999999993" hidden="1" customHeight="1" x14ac:dyDescent="0.2"/>
    <row r="17985" ht="9.9499999999999993" hidden="1" customHeight="1" x14ac:dyDescent="0.2"/>
    <row r="17986" ht="9.9499999999999993" hidden="1" customHeight="1" x14ac:dyDescent="0.2"/>
    <row r="17987" ht="9.9499999999999993" hidden="1" customHeight="1" x14ac:dyDescent="0.2"/>
    <row r="17988" ht="9.9499999999999993" hidden="1" customHeight="1" x14ac:dyDescent="0.2"/>
    <row r="17989" ht="9.9499999999999993" hidden="1" customHeight="1" x14ac:dyDescent="0.2"/>
    <row r="17990" ht="9.9499999999999993" hidden="1" customHeight="1" x14ac:dyDescent="0.2"/>
    <row r="17991" ht="9.9499999999999993" hidden="1" customHeight="1" x14ac:dyDescent="0.2"/>
    <row r="17992" ht="9.9499999999999993" hidden="1" customHeight="1" x14ac:dyDescent="0.2"/>
    <row r="17993" ht="9.9499999999999993" hidden="1" customHeight="1" x14ac:dyDescent="0.2"/>
    <row r="17994" ht="9.9499999999999993" hidden="1" customHeight="1" x14ac:dyDescent="0.2"/>
    <row r="17995" ht="9.9499999999999993" hidden="1" customHeight="1" x14ac:dyDescent="0.2"/>
    <row r="17996" ht="9.9499999999999993" hidden="1" customHeight="1" x14ac:dyDescent="0.2"/>
    <row r="17997" ht="9.9499999999999993" hidden="1" customHeight="1" x14ac:dyDescent="0.2"/>
    <row r="17998" ht="9.9499999999999993" hidden="1" customHeight="1" x14ac:dyDescent="0.2"/>
    <row r="17999" ht="9.9499999999999993" hidden="1" customHeight="1" x14ac:dyDescent="0.2"/>
    <row r="18000" ht="9.9499999999999993" hidden="1" customHeight="1" x14ac:dyDescent="0.2"/>
    <row r="18001" ht="9.9499999999999993" hidden="1" customHeight="1" x14ac:dyDescent="0.2"/>
    <row r="18002" ht="9.9499999999999993" hidden="1" customHeight="1" x14ac:dyDescent="0.2"/>
    <row r="18003" ht="9.9499999999999993" hidden="1" customHeight="1" x14ac:dyDescent="0.2"/>
    <row r="18004" ht="9.9499999999999993" hidden="1" customHeight="1" x14ac:dyDescent="0.2"/>
    <row r="18005" ht="9.9499999999999993" hidden="1" customHeight="1" x14ac:dyDescent="0.2"/>
    <row r="18006" ht="9.9499999999999993" hidden="1" customHeight="1" x14ac:dyDescent="0.2"/>
    <row r="18007" ht="9.9499999999999993" hidden="1" customHeight="1" x14ac:dyDescent="0.2"/>
    <row r="18008" ht="9.9499999999999993" hidden="1" customHeight="1" x14ac:dyDescent="0.2"/>
    <row r="18009" ht="9.9499999999999993" hidden="1" customHeight="1" x14ac:dyDescent="0.2"/>
    <row r="18010" ht="9.9499999999999993" hidden="1" customHeight="1" x14ac:dyDescent="0.2"/>
    <row r="18011" ht="9.9499999999999993" hidden="1" customHeight="1" x14ac:dyDescent="0.2"/>
    <row r="18012" ht="9.9499999999999993" hidden="1" customHeight="1" x14ac:dyDescent="0.2"/>
    <row r="18013" ht="9.9499999999999993" hidden="1" customHeight="1" x14ac:dyDescent="0.2"/>
    <row r="18014" ht="9.9499999999999993" hidden="1" customHeight="1" x14ac:dyDescent="0.2"/>
    <row r="18015" ht="9.9499999999999993" hidden="1" customHeight="1" x14ac:dyDescent="0.2"/>
    <row r="18016" ht="9.9499999999999993" hidden="1" customHeight="1" x14ac:dyDescent="0.2"/>
    <row r="18017" ht="9.9499999999999993" hidden="1" customHeight="1" x14ac:dyDescent="0.2"/>
    <row r="18018" ht="9.9499999999999993" hidden="1" customHeight="1" x14ac:dyDescent="0.2"/>
    <row r="18019" ht="9.9499999999999993" hidden="1" customHeight="1" x14ac:dyDescent="0.2"/>
    <row r="18020" ht="9.9499999999999993" hidden="1" customHeight="1" x14ac:dyDescent="0.2"/>
    <row r="18021" ht="9.9499999999999993" hidden="1" customHeight="1" x14ac:dyDescent="0.2"/>
    <row r="18022" ht="9.9499999999999993" hidden="1" customHeight="1" x14ac:dyDescent="0.2"/>
    <row r="18023" ht="9.9499999999999993" hidden="1" customHeight="1" x14ac:dyDescent="0.2"/>
    <row r="18024" ht="9.9499999999999993" hidden="1" customHeight="1" x14ac:dyDescent="0.2"/>
    <row r="18025" ht="9.9499999999999993" hidden="1" customHeight="1" x14ac:dyDescent="0.2"/>
    <row r="18026" ht="9.9499999999999993" hidden="1" customHeight="1" x14ac:dyDescent="0.2"/>
    <row r="18027" ht="9.9499999999999993" hidden="1" customHeight="1" x14ac:dyDescent="0.2"/>
    <row r="18028" ht="9.9499999999999993" hidden="1" customHeight="1" x14ac:dyDescent="0.2"/>
    <row r="18029" ht="9.9499999999999993" hidden="1" customHeight="1" x14ac:dyDescent="0.2"/>
    <row r="18030" ht="9.9499999999999993" hidden="1" customHeight="1" x14ac:dyDescent="0.2"/>
    <row r="18031" ht="9.9499999999999993" hidden="1" customHeight="1" x14ac:dyDescent="0.2"/>
    <row r="18032" ht="9.9499999999999993" hidden="1" customHeight="1" x14ac:dyDescent="0.2"/>
    <row r="18033" ht="9.9499999999999993" hidden="1" customHeight="1" x14ac:dyDescent="0.2"/>
    <row r="18034" ht="9.9499999999999993" hidden="1" customHeight="1" x14ac:dyDescent="0.2"/>
    <row r="18035" ht="9.9499999999999993" hidden="1" customHeight="1" x14ac:dyDescent="0.2"/>
    <row r="18036" ht="9.9499999999999993" hidden="1" customHeight="1" x14ac:dyDescent="0.2"/>
    <row r="18037" ht="9.9499999999999993" hidden="1" customHeight="1" x14ac:dyDescent="0.2"/>
    <row r="18038" ht="9.9499999999999993" hidden="1" customHeight="1" x14ac:dyDescent="0.2"/>
    <row r="18039" ht="9.9499999999999993" hidden="1" customHeight="1" x14ac:dyDescent="0.2"/>
    <row r="18040" ht="9.9499999999999993" hidden="1" customHeight="1" x14ac:dyDescent="0.2"/>
    <row r="18041" ht="9.9499999999999993" hidden="1" customHeight="1" x14ac:dyDescent="0.2"/>
    <row r="18042" ht="9.9499999999999993" hidden="1" customHeight="1" x14ac:dyDescent="0.2"/>
    <row r="18043" ht="9.9499999999999993" hidden="1" customHeight="1" x14ac:dyDescent="0.2"/>
    <row r="18044" ht="9.9499999999999993" hidden="1" customHeight="1" x14ac:dyDescent="0.2"/>
    <row r="18045" ht="9.9499999999999993" hidden="1" customHeight="1" x14ac:dyDescent="0.2"/>
    <row r="18046" ht="9.9499999999999993" hidden="1" customHeight="1" x14ac:dyDescent="0.2"/>
    <row r="18047" ht="9.9499999999999993" hidden="1" customHeight="1" x14ac:dyDescent="0.2"/>
    <row r="18048" ht="9.9499999999999993" hidden="1" customHeight="1" x14ac:dyDescent="0.2"/>
    <row r="18049" ht="9.9499999999999993" hidden="1" customHeight="1" x14ac:dyDescent="0.2"/>
    <row r="18050" ht="9.9499999999999993" hidden="1" customHeight="1" x14ac:dyDescent="0.2"/>
    <row r="18051" ht="9.9499999999999993" hidden="1" customHeight="1" x14ac:dyDescent="0.2"/>
    <row r="18052" ht="9.9499999999999993" hidden="1" customHeight="1" x14ac:dyDescent="0.2"/>
    <row r="18053" ht="9.9499999999999993" hidden="1" customHeight="1" x14ac:dyDescent="0.2"/>
    <row r="18054" ht="9.9499999999999993" hidden="1" customHeight="1" x14ac:dyDescent="0.2"/>
    <row r="18055" ht="9.9499999999999993" hidden="1" customHeight="1" x14ac:dyDescent="0.2"/>
    <row r="18056" ht="9.9499999999999993" hidden="1" customHeight="1" x14ac:dyDescent="0.2"/>
    <row r="18057" ht="9.9499999999999993" hidden="1" customHeight="1" x14ac:dyDescent="0.2"/>
    <row r="18058" ht="9.9499999999999993" hidden="1" customHeight="1" x14ac:dyDescent="0.2"/>
    <row r="18059" ht="9.9499999999999993" hidden="1" customHeight="1" x14ac:dyDescent="0.2"/>
    <row r="18060" ht="9.9499999999999993" hidden="1" customHeight="1" x14ac:dyDescent="0.2"/>
    <row r="18061" ht="9.9499999999999993" hidden="1" customHeight="1" x14ac:dyDescent="0.2"/>
    <row r="18062" ht="9.9499999999999993" hidden="1" customHeight="1" x14ac:dyDescent="0.2"/>
    <row r="18063" ht="9.9499999999999993" hidden="1" customHeight="1" x14ac:dyDescent="0.2"/>
    <row r="18064" ht="9.9499999999999993" hidden="1" customHeight="1" x14ac:dyDescent="0.2"/>
    <row r="18065" ht="9.9499999999999993" hidden="1" customHeight="1" x14ac:dyDescent="0.2"/>
    <row r="18066" ht="9.9499999999999993" hidden="1" customHeight="1" x14ac:dyDescent="0.2"/>
    <row r="18067" ht="9.9499999999999993" hidden="1" customHeight="1" x14ac:dyDescent="0.2"/>
    <row r="18068" ht="9.9499999999999993" hidden="1" customHeight="1" x14ac:dyDescent="0.2"/>
    <row r="18069" ht="9.9499999999999993" hidden="1" customHeight="1" x14ac:dyDescent="0.2"/>
    <row r="18070" ht="9.9499999999999993" hidden="1" customHeight="1" x14ac:dyDescent="0.2"/>
    <row r="18071" ht="9.9499999999999993" hidden="1" customHeight="1" x14ac:dyDescent="0.2"/>
    <row r="18072" ht="9.9499999999999993" hidden="1" customHeight="1" x14ac:dyDescent="0.2"/>
    <row r="18073" ht="9.9499999999999993" hidden="1" customHeight="1" x14ac:dyDescent="0.2"/>
    <row r="18074" ht="9.9499999999999993" hidden="1" customHeight="1" x14ac:dyDescent="0.2"/>
    <row r="18075" ht="9.9499999999999993" hidden="1" customHeight="1" x14ac:dyDescent="0.2"/>
    <row r="18076" ht="9.9499999999999993" hidden="1" customHeight="1" x14ac:dyDescent="0.2"/>
    <row r="18077" ht="9.9499999999999993" hidden="1" customHeight="1" x14ac:dyDescent="0.2"/>
    <row r="18078" ht="9.9499999999999993" hidden="1" customHeight="1" x14ac:dyDescent="0.2"/>
    <row r="18079" ht="9.9499999999999993" hidden="1" customHeight="1" x14ac:dyDescent="0.2"/>
    <row r="18080" ht="9.9499999999999993" hidden="1" customHeight="1" x14ac:dyDescent="0.2"/>
    <row r="18081" ht="9.9499999999999993" hidden="1" customHeight="1" x14ac:dyDescent="0.2"/>
    <row r="18082" ht="9.9499999999999993" hidden="1" customHeight="1" x14ac:dyDescent="0.2"/>
    <row r="18083" ht="9.9499999999999993" hidden="1" customHeight="1" x14ac:dyDescent="0.2"/>
    <row r="18084" ht="9.9499999999999993" hidden="1" customHeight="1" x14ac:dyDescent="0.2"/>
    <row r="18085" ht="9.9499999999999993" hidden="1" customHeight="1" x14ac:dyDescent="0.2"/>
    <row r="18086" ht="9.9499999999999993" hidden="1" customHeight="1" x14ac:dyDescent="0.2"/>
    <row r="18087" ht="9.9499999999999993" hidden="1" customHeight="1" x14ac:dyDescent="0.2"/>
    <row r="18088" ht="9.9499999999999993" hidden="1" customHeight="1" x14ac:dyDescent="0.2"/>
    <row r="18089" ht="9.9499999999999993" hidden="1" customHeight="1" x14ac:dyDescent="0.2"/>
    <row r="18090" ht="9.9499999999999993" hidden="1" customHeight="1" x14ac:dyDescent="0.2"/>
    <row r="18091" ht="9.9499999999999993" hidden="1" customHeight="1" x14ac:dyDescent="0.2"/>
    <row r="18092" ht="9.9499999999999993" hidden="1" customHeight="1" x14ac:dyDescent="0.2"/>
    <row r="18093" ht="9.9499999999999993" hidden="1" customHeight="1" x14ac:dyDescent="0.2"/>
    <row r="18094" ht="9.9499999999999993" hidden="1" customHeight="1" x14ac:dyDescent="0.2"/>
    <row r="18095" ht="9.9499999999999993" hidden="1" customHeight="1" x14ac:dyDescent="0.2"/>
    <row r="18096" ht="9.9499999999999993" hidden="1" customHeight="1" x14ac:dyDescent="0.2"/>
    <row r="18097" ht="9.9499999999999993" hidden="1" customHeight="1" x14ac:dyDescent="0.2"/>
    <row r="18098" ht="9.9499999999999993" hidden="1" customHeight="1" x14ac:dyDescent="0.2"/>
    <row r="18099" ht="9.9499999999999993" hidden="1" customHeight="1" x14ac:dyDescent="0.2"/>
    <row r="18100" ht="9.9499999999999993" hidden="1" customHeight="1" x14ac:dyDescent="0.2"/>
    <row r="18101" ht="9.9499999999999993" hidden="1" customHeight="1" x14ac:dyDescent="0.2"/>
    <row r="18102" ht="9.9499999999999993" hidden="1" customHeight="1" x14ac:dyDescent="0.2"/>
    <row r="18103" ht="9.9499999999999993" hidden="1" customHeight="1" x14ac:dyDescent="0.2"/>
    <row r="18104" ht="9.9499999999999993" hidden="1" customHeight="1" x14ac:dyDescent="0.2"/>
    <row r="18105" ht="9.9499999999999993" hidden="1" customHeight="1" x14ac:dyDescent="0.2"/>
    <row r="18106" ht="9.9499999999999993" hidden="1" customHeight="1" x14ac:dyDescent="0.2"/>
    <row r="18107" ht="9.9499999999999993" hidden="1" customHeight="1" x14ac:dyDescent="0.2"/>
    <row r="18108" ht="9.9499999999999993" hidden="1" customHeight="1" x14ac:dyDescent="0.2"/>
    <row r="18109" ht="9.9499999999999993" hidden="1" customHeight="1" x14ac:dyDescent="0.2"/>
    <row r="18110" ht="9.9499999999999993" hidden="1" customHeight="1" x14ac:dyDescent="0.2"/>
    <row r="18111" ht="9.9499999999999993" hidden="1" customHeight="1" x14ac:dyDescent="0.2"/>
    <row r="18112" ht="9.9499999999999993" hidden="1" customHeight="1" x14ac:dyDescent="0.2"/>
    <row r="18113" ht="9.9499999999999993" hidden="1" customHeight="1" x14ac:dyDescent="0.2"/>
    <row r="18114" ht="9.9499999999999993" hidden="1" customHeight="1" x14ac:dyDescent="0.2"/>
    <row r="18115" ht="9.9499999999999993" hidden="1" customHeight="1" x14ac:dyDescent="0.2"/>
    <row r="18116" ht="9.9499999999999993" hidden="1" customHeight="1" x14ac:dyDescent="0.2"/>
    <row r="18117" ht="9.9499999999999993" hidden="1" customHeight="1" x14ac:dyDescent="0.2"/>
    <row r="18118" ht="9.9499999999999993" hidden="1" customHeight="1" x14ac:dyDescent="0.2"/>
    <row r="18119" ht="9.9499999999999993" hidden="1" customHeight="1" x14ac:dyDescent="0.2"/>
    <row r="18120" ht="9.9499999999999993" hidden="1" customHeight="1" x14ac:dyDescent="0.2"/>
    <row r="18121" ht="9.9499999999999993" hidden="1" customHeight="1" x14ac:dyDescent="0.2"/>
    <row r="18122" ht="9.9499999999999993" hidden="1" customHeight="1" x14ac:dyDescent="0.2"/>
    <row r="18123" ht="9.9499999999999993" hidden="1" customHeight="1" x14ac:dyDescent="0.2"/>
    <row r="18124" ht="9.9499999999999993" hidden="1" customHeight="1" x14ac:dyDescent="0.2"/>
    <row r="18125" ht="9.9499999999999993" hidden="1" customHeight="1" x14ac:dyDescent="0.2"/>
    <row r="18126" ht="9.9499999999999993" hidden="1" customHeight="1" x14ac:dyDescent="0.2"/>
    <row r="18127" ht="9.9499999999999993" hidden="1" customHeight="1" x14ac:dyDescent="0.2"/>
    <row r="18128" ht="9.9499999999999993" hidden="1" customHeight="1" x14ac:dyDescent="0.2"/>
    <row r="18129" ht="9.9499999999999993" hidden="1" customHeight="1" x14ac:dyDescent="0.2"/>
    <row r="18130" ht="9.9499999999999993" hidden="1" customHeight="1" x14ac:dyDescent="0.2"/>
    <row r="18131" ht="9.9499999999999993" hidden="1" customHeight="1" x14ac:dyDescent="0.2"/>
    <row r="18132" ht="9.9499999999999993" hidden="1" customHeight="1" x14ac:dyDescent="0.2"/>
    <row r="18133" ht="9.9499999999999993" hidden="1" customHeight="1" x14ac:dyDescent="0.2"/>
    <row r="18134" ht="9.9499999999999993" hidden="1" customHeight="1" x14ac:dyDescent="0.2"/>
    <row r="18135" ht="9.9499999999999993" hidden="1" customHeight="1" x14ac:dyDescent="0.2"/>
    <row r="18136" ht="9.9499999999999993" hidden="1" customHeight="1" x14ac:dyDescent="0.2"/>
    <row r="18137" ht="9.9499999999999993" hidden="1" customHeight="1" x14ac:dyDescent="0.2"/>
    <row r="18138" ht="9.9499999999999993" hidden="1" customHeight="1" x14ac:dyDescent="0.2"/>
    <row r="18139" ht="9.9499999999999993" hidden="1" customHeight="1" x14ac:dyDescent="0.2"/>
    <row r="18140" ht="9.9499999999999993" hidden="1" customHeight="1" x14ac:dyDescent="0.2"/>
    <row r="18141" ht="9.9499999999999993" hidden="1" customHeight="1" x14ac:dyDescent="0.2"/>
    <row r="18142" ht="9.9499999999999993" hidden="1" customHeight="1" x14ac:dyDescent="0.2"/>
    <row r="18143" ht="9.9499999999999993" hidden="1" customHeight="1" x14ac:dyDescent="0.2"/>
    <row r="18144" ht="9.9499999999999993" hidden="1" customHeight="1" x14ac:dyDescent="0.2"/>
    <row r="18145" ht="9.9499999999999993" hidden="1" customHeight="1" x14ac:dyDescent="0.2"/>
    <row r="18146" ht="9.9499999999999993" hidden="1" customHeight="1" x14ac:dyDescent="0.2"/>
    <row r="18147" ht="9.9499999999999993" hidden="1" customHeight="1" x14ac:dyDescent="0.2"/>
    <row r="18148" ht="9.9499999999999993" hidden="1" customHeight="1" x14ac:dyDescent="0.2"/>
    <row r="18149" ht="9.9499999999999993" hidden="1" customHeight="1" x14ac:dyDescent="0.2"/>
    <row r="18150" ht="9.9499999999999993" hidden="1" customHeight="1" x14ac:dyDescent="0.2"/>
    <row r="18151" ht="9.9499999999999993" hidden="1" customHeight="1" x14ac:dyDescent="0.2"/>
    <row r="18152" ht="9.9499999999999993" hidden="1" customHeight="1" x14ac:dyDescent="0.2"/>
    <row r="18153" ht="9.9499999999999993" hidden="1" customHeight="1" x14ac:dyDescent="0.2"/>
    <row r="18154" ht="9.9499999999999993" hidden="1" customHeight="1" x14ac:dyDescent="0.2"/>
    <row r="18155" ht="9.9499999999999993" hidden="1" customHeight="1" x14ac:dyDescent="0.2"/>
    <row r="18156" ht="9.9499999999999993" hidden="1" customHeight="1" x14ac:dyDescent="0.2"/>
    <row r="18157" ht="9.9499999999999993" hidden="1" customHeight="1" x14ac:dyDescent="0.2"/>
    <row r="18158" ht="9.9499999999999993" hidden="1" customHeight="1" x14ac:dyDescent="0.2"/>
    <row r="18159" ht="9.9499999999999993" hidden="1" customHeight="1" x14ac:dyDescent="0.2"/>
    <row r="18160" ht="9.9499999999999993" hidden="1" customHeight="1" x14ac:dyDescent="0.2"/>
    <row r="18161" ht="9.9499999999999993" hidden="1" customHeight="1" x14ac:dyDescent="0.2"/>
    <row r="18162" ht="9.9499999999999993" hidden="1" customHeight="1" x14ac:dyDescent="0.2"/>
    <row r="18163" ht="9.9499999999999993" hidden="1" customHeight="1" x14ac:dyDescent="0.2"/>
    <row r="18164" ht="9.9499999999999993" hidden="1" customHeight="1" x14ac:dyDescent="0.2"/>
    <row r="18165" ht="9.9499999999999993" hidden="1" customHeight="1" x14ac:dyDescent="0.2"/>
    <row r="18166" ht="9.9499999999999993" hidden="1" customHeight="1" x14ac:dyDescent="0.2"/>
    <row r="18167" ht="9.9499999999999993" hidden="1" customHeight="1" x14ac:dyDescent="0.2"/>
    <row r="18168" ht="9.9499999999999993" hidden="1" customHeight="1" x14ac:dyDescent="0.2"/>
    <row r="18169" ht="9.9499999999999993" hidden="1" customHeight="1" x14ac:dyDescent="0.2"/>
    <row r="18170" ht="9.9499999999999993" hidden="1" customHeight="1" x14ac:dyDescent="0.2"/>
    <row r="18171" ht="9.9499999999999993" hidden="1" customHeight="1" x14ac:dyDescent="0.2"/>
    <row r="18172" ht="9.9499999999999993" hidden="1" customHeight="1" x14ac:dyDescent="0.2"/>
    <row r="18173" ht="9.9499999999999993" hidden="1" customHeight="1" x14ac:dyDescent="0.2"/>
    <row r="18174" ht="9.9499999999999993" hidden="1" customHeight="1" x14ac:dyDescent="0.2"/>
    <row r="18175" ht="9.9499999999999993" hidden="1" customHeight="1" x14ac:dyDescent="0.2"/>
    <row r="18176" ht="9.9499999999999993" hidden="1" customHeight="1" x14ac:dyDescent="0.2"/>
    <row r="18177" ht="9.9499999999999993" hidden="1" customHeight="1" x14ac:dyDescent="0.2"/>
    <row r="18178" ht="9.9499999999999993" hidden="1" customHeight="1" x14ac:dyDescent="0.2"/>
    <row r="18179" ht="9.9499999999999993" hidden="1" customHeight="1" x14ac:dyDescent="0.2"/>
    <row r="18180" ht="9.9499999999999993" hidden="1" customHeight="1" x14ac:dyDescent="0.2"/>
    <row r="18181" ht="9.9499999999999993" hidden="1" customHeight="1" x14ac:dyDescent="0.2"/>
    <row r="18182" ht="9.9499999999999993" hidden="1" customHeight="1" x14ac:dyDescent="0.2"/>
    <row r="18183" ht="9.9499999999999993" hidden="1" customHeight="1" x14ac:dyDescent="0.2"/>
    <row r="18184" ht="9.9499999999999993" hidden="1" customHeight="1" x14ac:dyDescent="0.2"/>
    <row r="18185" ht="9.9499999999999993" hidden="1" customHeight="1" x14ac:dyDescent="0.2"/>
    <row r="18186" ht="9.9499999999999993" hidden="1" customHeight="1" x14ac:dyDescent="0.2"/>
    <row r="18187" ht="9.9499999999999993" hidden="1" customHeight="1" x14ac:dyDescent="0.2"/>
    <row r="18188" ht="9.9499999999999993" hidden="1" customHeight="1" x14ac:dyDescent="0.2"/>
    <row r="18189" ht="9.9499999999999993" hidden="1" customHeight="1" x14ac:dyDescent="0.2"/>
    <row r="18190" ht="9.9499999999999993" hidden="1" customHeight="1" x14ac:dyDescent="0.2"/>
    <row r="18191" ht="9.9499999999999993" hidden="1" customHeight="1" x14ac:dyDescent="0.2"/>
    <row r="18192" ht="9.9499999999999993" hidden="1" customHeight="1" x14ac:dyDescent="0.2"/>
    <row r="18193" ht="9.9499999999999993" hidden="1" customHeight="1" x14ac:dyDescent="0.2"/>
    <row r="18194" ht="9.9499999999999993" hidden="1" customHeight="1" x14ac:dyDescent="0.2"/>
    <row r="18195" ht="9.9499999999999993" hidden="1" customHeight="1" x14ac:dyDescent="0.2"/>
    <row r="18196" ht="9.9499999999999993" hidden="1" customHeight="1" x14ac:dyDescent="0.2"/>
    <row r="18197" ht="9.9499999999999993" hidden="1" customHeight="1" x14ac:dyDescent="0.2"/>
    <row r="18198" ht="9.9499999999999993" hidden="1" customHeight="1" x14ac:dyDescent="0.2"/>
    <row r="18199" ht="9.9499999999999993" hidden="1" customHeight="1" x14ac:dyDescent="0.2"/>
    <row r="18200" ht="9.9499999999999993" hidden="1" customHeight="1" x14ac:dyDescent="0.2"/>
    <row r="18201" ht="9.9499999999999993" hidden="1" customHeight="1" x14ac:dyDescent="0.2"/>
    <row r="18202" ht="9.9499999999999993" hidden="1" customHeight="1" x14ac:dyDescent="0.2"/>
    <row r="18203" ht="9.9499999999999993" hidden="1" customHeight="1" x14ac:dyDescent="0.2"/>
    <row r="18204" ht="9.9499999999999993" hidden="1" customHeight="1" x14ac:dyDescent="0.2"/>
    <row r="18205" ht="9.9499999999999993" hidden="1" customHeight="1" x14ac:dyDescent="0.2"/>
    <row r="18206" ht="9.9499999999999993" hidden="1" customHeight="1" x14ac:dyDescent="0.2"/>
    <row r="18207" ht="9.9499999999999993" hidden="1" customHeight="1" x14ac:dyDescent="0.2"/>
    <row r="18208" ht="9.9499999999999993" hidden="1" customHeight="1" x14ac:dyDescent="0.2"/>
    <row r="18209" ht="9.9499999999999993" hidden="1" customHeight="1" x14ac:dyDescent="0.2"/>
    <row r="18210" ht="9.9499999999999993" hidden="1" customHeight="1" x14ac:dyDescent="0.2"/>
    <row r="18211" ht="9.9499999999999993" hidden="1" customHeight="1" x14ac:dyDescent="0.2"/>
    <row r="18212" ht="9.9499999999999993" hidden="1" customHeight="1" x14ac:dyDescent="0.2"/>
    <row r="18213" ht="9.9499999999999993" hidden="1" customHeight="1" x14ac:dyDescent="0.2"/>
    <row r="18214" ht="9.9499999999999993" hidden="1" customHeight="1" x14ac:dyDescent="0.2"/>
    <row r="18215" ht="9.9499999999999993" hidden="1" customHeight="1" x14ac:dyDescent="0.2"/>
    <row r="18216" ht="9.9499999999999993" hidden="1" customHeight="1" x14ac:dyDescent="0.2"/>
    <row r="18217" ht="9.9499999999999993" hidden="1" customHeight="1" x14ac:dyDescent="0.2"/>
    <row r="18218" ht="9.9499999999999993" hidden="1" customHeight="1" x14ac:dyDescent="0.2"/>
    <row r="18219" ht="9.9499999999999993" hidden="1" customHeight="1" x14ac:dyDescent="0.2"/>
    <row r="18220" ht="9.9499999999999993" hidden="1" customHeight="1" x14ac:dyDescent="0.2"/>
    <row r="18221" ht="9.9499999999999993" hidden="1" customHeight="1" x14ac:dyDescent="0.2"/>
    <row r="18222" ht="9.9499999999999993" hidden="1" customHeight="1" x14ac:dyDescent="0.2"/>
    <row r="18223" ht="9.9499999999999993" hidden="1" customHeight="1" x14ac:dyDescent="0.2"/>
    <row r="18224" ht="9.9499999999999993" hidden="1" customHeight="1" x14ac:dyDescent="0.2"/>
    <row r="18225" ht="9.9499999999999993" hidden="1" customHeight="1" x14ac:dyDescent="0.2"/>
    <row r="18226" ht="9.9499999999999993" hidden="1" customHeight="1" x14ac:dyDescent="0.2"/>
    <row r="18227" ht="9.9499999999999993" hidden="1" customHeight="1" x14ac:dyDescent="0.2"/>
    <row r="18228" ht="9.9499999999999993" hidden="1" customHeight="1" x14ac:dyDescent="0.2"/>
    <row r="18229" ht="9.9499999999999993" hidden="1" customHeight="1" x14ac:dyDescent="0.2"/>
    <row r="18230" ht="9.9499999999999993" hidden="1" customHeight="1" x14ac:dyDescent="0.2"/>
    <row r="18231" ht="9.9499999999999993" hidden="1" customHeight="1" x14ac:dyDescent="0.2"/>
    <row r="18232" ht="9.9499999999999993" hidden="1" customHeight="1" x14ac:dyDescent="0.2"/>
    <row r="18233" ht="9.9499999999999993" hidden="1" customHeight="1" x14ac:dyDescent="0.2"/>
    <row r="18234" ht="9.9499999999999993" hidden="1" customHeight="1" x14ac:dyDescent="0.2"/>
    <row r="18235" ht="9.9499999999999993" hidden="1" customHeight="1" x14ac:dyDescent="0.2"/>
    <row r="18236" ht="9.9499999999999993" hidden="1" customHeight="1" x14ac:dyDescent="0.2"/>
    <row r="18237" ht="9.9499999999999993" hidden="1" customHeight="1" x14ac:dyDescent="0.2"/>
    <row r="18238" ht="9.9499999999999993" hidden="1" customHeight="1" x14ac:dyDescent="0.2"/>
    <row r="18239" ht="9.9499999999999993" hidden="1" customHeight="1" x14ac:dyDescent="0.2"/>
    <row r="18240" ht="9.9499999999999993" hidden="1" customHeight="1" x14ac:dyDescent="0.2"/>
    <row r="18241" ht="9.9499999999999993" hidden="1" customHeight="1" x14ac:dyDescent="0.2"/>
    <row r="18242" ht="9.9499999999999993" hidden="1" customHeight="1" x14ac:dyDescent="0.2"/>
    <row r="18243" ht="9.9499999999999993" hidden="1" customHeight="1" x14ac:dyDescent="0.2"/>
    <row r="18244" ht="9.9499999999999993" hidden="1" customHeight="1" x14ac:dyDescent="0.2"/>
    <row r="18245" ht="9.9499999999999993" hidden="1" customHeight="1" x14ac:dyDescent="0.2"/>
    <row r="18246" ht="9.9499999999999993" hidden="1" customHeight="1" x14ac:dyDescent="0.2"/>
    <row r="18247" ht="9.9499999999999993" hidden="1" customHeight="1" x14ac:dyDescent="0.2"/>
    <row r="18248" ht="9.9499999999999993" hidden="1" customHeight="1" x14ac:dyDescent="0.2"/>
    <row r="18249" ht="9.9499999999999993" hidden="1" customHeight="1" x14ac:dyDescent="0.2"/>
    <row r="18250" ht="9.9499999999999993" hidden="1" customHeight="1" x14ac:dyDescent="0.2"/>
    <row r="18251" ht="9.9499999999999993" hidden="1" customHeight="1" x14ac:dyDescent="0.2"/>
    <row r="18252" ht="9.9499999999999993" hidden="1" customHeight="1" x14ac:dyDescent="0.2"/>
    <row r="18253" ht="9.9499999999999993" hidden="1" customHeight="1" x14ac:dyDescent="0.2"/>
    <row r="18254" ht="9.9499999999999993" hidden="1" customHeight="1" x14ac:dyDescent="0.2"/>
    <row r="18255" ht="9.9499999999999993" hidden="1" customHeight="1" x14ac:dyDescent="0.2"/>
    <row r="18256" ht="9.9499999999999993" hidden="1" customHeight="1" x14ac:dyDescent="0.2"/>
    <row r="18257" ht="9.9499999999999993" hidden="1" customHeight="1" x14ac:dyDescent="0.2"/>
    <row r="18258" ht="9.9499999999999993" hidden="1" customHeight="1" x14ac:dyDescent="0.2"/>
    <row r="18259" ht="9.9499999999999993" hidden="1" customHeight="1" x14ac:dyDescent="0.2"/>
    <row r="18260" ht="9.9499999999999993" hidden="1" customHeight="1" x14ac:dyDescent="0.2"/>
    <row r="18261" ht="9.9499999999999993" hidden="1" customHeight="1" x14ac:dyDescent="0.2"/>
    <row r="18262" ht="9.9499999999999993" hidden="1" customHeight="1" x14ac:dyDescent="0.2"/>
    <row r="18263" ht="9.9499999999999993" hidden="1" customHeight="1" x14ac:dyDescent="0.2"/>
    <row r="18264" ht="9.9499999999999993" hidden="1" customHeight="1" x14ac:dyDescent="0.2"/>
    <row r="18265" ht="9.9499999999999993" hidden="1" customHeight="1" x14ac:dyDescent="0.2"/>
    <row r="18266" ht="9.9499999999999993" hidden="1" customHeight="1" x14ac:dyDescent="0.2"/>
    <row r="18267" ht="9.9499999999999993" hidden="1" customHeight="1" x14ac:dyDescent="0.2"/>
    <row r="18268" ht="9.9499999999999993" hidden="1" customHeight="1" x14ac:dyDescent="0.2"/>
    <row r="18269" ht="9.9499999999999993" hidden="1" customHeight="1" x14ac:dyDescent="0.2"/>
    <row r="18270" ht="9.9499999999999993" hidden="1" customHeight="1" x14ac:dyDescent="0.2"/>
    <row r="18271" ht="9.9499999999999993" hidden="1" customHeight="1" x14ac:dyDescent="0.2"/>
    <row r="18272" ht="9.9499999999999993" hidden="1" customHeight="1" x14ac:dyDescent="0.2"/>
    <row r="18273" ht="9.9499999999999993" hidden="1" customHeight="1" x14ac:dyDescent="0.2"/>
    <row r="18274" ht="9.9499999999999993" hidden="1" customHeight="1" x14ac:dyDescent="0.2"/>
    <row r="18275" ht="9.9499999999999993" hidden="1" customHeight="1" x14ac:dyDescent="0.2"/>
    <row r="18276" ht="9.9499999999999993" hidden="1" customHeight="1" x14ac:dyDescent="0.2"/>
    <row r="18277" ht="9.9499999999999993" hidden="1" customHeight="1" x14ac:dyDescent="0.2"/>
    <row r="18278" ht="9.9499999999999993" hidden="1" customHeight="1" x14ac:dyDescent="0.2"/>
    <row r="18279" ht="9.9499999999999993" hidden="1" customHeight="1" x14ac:dyDescent="0.2"/>
    <row r="18280" ht="9.9499999999999993" hidden="1" customHeight="1" x14ac:dyDescent="0.2"/>
    <row r="18281" ht="9.9499999999999993" hidden="1" customHeight="1" x14ac:dyDescent="0.2"/>
    <row r="18282" ht="9.9499999999999993" hidden="1" customHeight="1" x14ac:dyDescent="0.2"/>
    <row r="18283" ht="9.9499999999999993" hidden="1" customHeight="1" x14ac:dyDescent="0.2"/>
    <row r="18284" ht="9.9499999999999993" hidden="1" customHeight="1" x14ac:dyDescent="0.2"/>
    <row r="18285" ht="9.9499999999999993" hidden="1" customHeight="1" x14ac:dyDescent="0.2"/>
    <row r="18286" ht="9.9499999999999993" hidden="1" customHeight="1" x14ac:dyDescent="0.2"/>
    <row r="18287" ht="9.9499999999999993" hidden="1" customHeight="1" x14ac:dyDescent="0.2"/>
    <row r="18288" ht="9.9499999999999993" hidden="1" customHeight="1" x14ac:dyDescent="0.2"/>
    <row r="18289" ht="9.9499999999999993" hidden="1" customHeight="1" x14ac:dyDescent="0.2"/>
    <row r="18290" ht="9.9499999999999993" hidden="1" customHeight="1" x14ac:dyDescent="0.2"/>
    <row r="18291" ht="9.9499999999999993" hidden="1" customHeight="1" x14ac:dyDescent="0.2"/>
    <row r="18292" ht="9.9499999999999993" hidden="1" customHeight="1" x14ac:dyDescent="0.2"/>
    <row r="18293" ht="9.9499999999999993" hidden="1" customHeight="1" x14ac:dyDescent="0.2"/>
    <row r="18294" ht="9.9499999999999993" hidden="1" customHeight="1" x14ac:dyDescent="0.2"/>
    <row r="18295" ht="9.9499999999999993" hidden="1" customHeight="1" x14ac:dyDescent="0.2"/>
    <row r="18296" ht="9.9499999999999993" hidden="1" customHeight="1" x14ac:dyDescent="0.2"/>
    <row r="18297" ht="9.9499999999999993" hidden="1" customHeight="1" x14ac:dyDescent="0.2"/>
    <row r="18298" ht="9.9499999999999993" hidden="1" customHeight="1" x14ac:dyDescent="0.2"/>
    <row r="18299" ht="9.9499999999999993" hidden="1" customHeight="1" x14ac:dyDescent="0.2"/>
    <row r="18300" ht="9.9499999999999993" hidden="1" customHeight="1" x14ac:dyDescent="0.2"/>
    <row r="18301" ht="9.9499999999999993" hidden="1" customHeight="1" x14ac:dyDescent="0.2"/>
    <row r="18302" ht="9.9499999999999993" hidden="1" customHeight="1" x14ac:dyDescent="0.2"/>
    <row r="18303" ht="9.9499999999999993" hidden="1" customHeight="1" x14ac:dyDescent="0.2"/>
    <row r="18304" ht="9.9499999999999993" hidden="1" customHeight="1" x14ac:dyDescent="0.2"/>
    <row r="18305" ht="9.9499999999999993" hidden="1" customHeight="1" x14ac:dyDescent="0.2"/>
    <row r="18306" ht="9.9499999999999993" hidden="1" customHeight="1" x14ac:dyDescent="0.2"/>
    <row r="18307" ht="9.9499999999999993" hidden="1" customHeight="1" x14ac:dyDescent="0.2"/>
    <row r="18308" ht="9.9499999999999993" hidden="1" customHeight="1" x14ac:dyDescent="0.2"/>
    <row r="18309" ht="9.9499999999999993" hidden="1" customHeight="1" x14ac:dyDescent="0.2"/>
    <row r="18310" ht="9.9499999999999993" hidden="1" customHeight="1" x14ac:dyDescent="0.2"/>
    <row r="18311" ht="9.9499999999999993" hidden="1" customHeight="1" x14ac:dyDescent="0.2"/>
    <row r="18312" ht="9.9499999999999993" hidden="1" customHeight="1" x14ac:dyDescent="0.2"/>
    <row r="18313" ht="9.9499999999999993" hidden="1" customHeight="1" x14ac:dyDescent="0.2"/>
    <row r="18314" ht="9.9499999999999993" hidden="1" customHeight="1" x14ac:dyDescent="0.2"/>
    <row r="18315" ht="9.9499999999999993" hidden="1" customHeight="1" x14ac:dyDescent="0.2"/>
    <row r="18316" ht="9.9499999999999993" hidden="1" customHeight="1" x14ac:dyDescent="0.2"/>
    <row r="18317" ht="9.9499999999999993" hidden="1" customHeight="1" x14ac:dyDescent="0.2"/>
    <row r="18318" ht="9.9499999999999993" hidden="1" customHeight="1" x14ac:dyDescent="0.2"/>
    <row r="18319" ht="9.9499999999999993" hidden="1" customHeight="1" x14ac:dyDescent="0.2"/>
    <row r="18320" ht="9.9499999999999993" hidden="1" customHeight="1" x14ac:dyDescent="0.2"/>
    <row r="18321" ht="9.9499999999999993" hidden="1" customHeight="1" x14ac:dyDescent="0.2"/>
    <row r="18322" ht="9.9499999999999993" hidden="1" customHeight="1" x14ac:dyDescent="0.2"/>
    <row r="18323" ht="9.9499999999999993" hidden="1" customHeight="1" x14ac:dyDescent="0.2"/>
    <row r="18324" ht="9.9499999999999993" hidden="1" customHeight="1" x14ac:dyDescent="0.2"/>
    <row r="18325" ht="9.9499999999999993" hidden="1" customHeight="1" x14ac:dyDescent="0.2"/>
    <row r="18326" ht="9.9499999999999993" hidden="1" customHeight="1" x14ac:dyDescent="0.2"/>
    <row r="18327" ht="9.9499999999999993" hidden="1" customHeight="1" x14ac:dyDescent="0.2"/>
    <row r="18328" ht="9.9499999999999993" hidden="1" customHeight="1" x14ac:dyDescent="0.2"/>
    <row r="18329" ht="9.9499999999999993" hidden="1" customHeight="1" x14ac:dyDescent="0.2"/>
    <row r="18330" ht="9.9499999999999993" hidden="1" customHeight="1" x14ac:dyDescent="0.2"/>
    <row r="18331" ht="9.9499999999999993" hidden="1" customHeight="1" x14ac:dyDescent="0.2"/>
    <row r="18332" ht="9.9499999999999993" hidden="1" customHeight="1" x14ac:dyDescent="0.2"/>
    <row r="18333" ht="9.9499999999999993" hidden="1" customHeight="1" x14ac:dyDescent="0.2"/>
    <row r="18334" ht="9.9499999999999993" hidden="1" customHeight="1" x14ac:dyDescent="0.2"/>
    <row r="18335" ht="9.9499999999999993" hidden="1" customHeight="1" x14ac:dyDescent="0.2"/>
    <row r="18336" ht="9.9499999999999993" hidden="1" customHeight="1" x14ac:dyDescent="0.2"/>
    <row r="18337" ht="9.9499999999999993" hidden="1" customHeight="1" x14ac:dyDescent="0.2"/>
    <row r="18338" ht="9.9499999999999993" hidden="1" customHeight="1" x14ac:dyDescent="0.2"/>
    <row r="18339" ht="9.9499999999999993" hidden="1" customHeight="1" x14ac:dyDescent="0.2"/>
    <row r="18340" ht="9.9499999999999993" hidden="1" customHeight="1" x14ac:dyDescent="0.2"/>
    <row r="18341" ht="9.9499999999999993" hidden="1" customHeight="1" x14ac:dyDescent="0.2"/>
    <row r="18342" ht="9.9499999999999993" hidden="1" customHeight="1" x14ac:dyDescent="0.2"/>
    <row r="18343" ht="9.9499999999999993" hidden="1" customHeight="1" x14ac:dyDescent="0.2"/>
    <row r="18344" ht="9.9499999999999993" hidden="1" customHeight="1" x14ac:dyDescent="0.2"/>
    <row r="18345" ht="9.9499999999999993" hidden="1" customHeight="1" x14ac:dyDescent="0.2"/>
    <row r="18346" ht="9.9499999999999993" hidden="1" customHeight="1" x14ac:dyDescent="0.2"/>
    <row r="18347" ht="9.9499999999999993" hidden="1" customHeight="1" x14ac:dyDescent="0.2"/>
    <row r="18348" ht="9.9499999999999993" hidden="1" customHeight="1" x14ac:dyDescent="0.2"/>
    <row r="18349" ht="9.9499999999999993" hidden="1" customHeight="1" x14ac:dyDescent="0.2"/>
    <row r="18350" ht="9.9499999999999993" hidden="1" customHeight="1" x14ac:dyDescent="0.2"/>
    <row r="18351" ht="9.9499999999999993" hidden="1" customHeight="1" x14ac:dyDescent="0.2"/>
    <row r="18352" ht="9.9499999999999993" hidden="1" customHeight="1" x14ac:dyDescent="0.2"/>
    <row r="18353" ht="9.9499999999999993" hidden="1" customHeight="1" x14ac:dyDescent="0.2"/>
    <row r="18354" ht="9.9499999999999993" hidden="1" customHeight="1" x14ac:dyDescent="0.2"/>
    <row r="18355" ht="9.9499999999999993" hidden="1" customHeight="1" x14ac:dyDescent="0.2"/>
    <row r="18356" ht="9.9499999999999993" hidden="1" customHeight="1" x14ac:dyDescent="0.2"/>
    <row r="18357" ht="9.9499999999999993" hidden="1" customHeight="1" x14ac:dyDescent="0.2"/>
    <row r="18358" ht="9.9499999999999993" hidden="1" customHeight="1" x14ac:dyDescent="0.2"/>
    <row r="18359" ht="9.9499999999999993" hidden="1" customHeight="1" x14ac:dyDescent="0.2"/>
    <row r="18360" ht="9.9499999999999993" hidden="1" customHeight="1" x14ac:dyDescent="0.2"/>
    <row r="18361" ht="9.9499999999999993" hidden="1" customHeight="1" x14ac:dyDescent="0.2"/>
    <row r="18362" ht="9.9499999999999993" hidden="1" customHeight="1" x14ac:dyDescent="0.2"/>
    <row r="18363" ht="9.9499999999999993" hidden="1" customHeight="1" x14ac:dyDescent="0.2"/>
    <row r="18364" ht="9.9499999999999993" hidden="1" customHeight="1" x14ac:dyDescent="0.2"/>
    <row r="18365" ht="9.9499999999999993" hidden="1" customHeight="1" x14ac:dyDescent="0.2"/>
    <row r="18366" ht="9.9499999999999993" hidden="1" customHeight="1" x14ac:dyDescent="0.2"/>
    <row r="18367" ht="9.9499999999999993" hidden="1" customHeight="1" x14ac:dyDescent="0.2"/>
    <row r="18368" ht="9.9499999999999993" hidden="1" customHeight="1" x14ac:dyDescent="0.2"/>
    <row r="18369" ht="9.9499999999999993" hidden="1" customHeight="1" x14ac:dyDescent="0.2"/>
    <row r="18370" ht="9.9499999999999993" hidden="1" customHeight="1" x14ac:dyDescent="0.2"/>
    <row r="18371" ht="9.9499999999999993" hidden="1" customHeight="1" x14ac:dyDescent="0.2"/>
    <row r="18372" ht="9.9499999999999993" hidden="1" customHeight="1" x14ac:dyDescent="0.2"/>
    <row r="18373" ht="9.9499999999999993" hidden="1" customHeight="1" x14ac:dyDescent="0.2"/>
    <row r="18374" ht="9.9499999999999993" hidden="1" customHeight="1" x14ac:dyDescent="0.2"/>
    <row r="18375" ht="9.9499999999999993" hidden="1" customHeight="1" x14ac:dyDescent="0.2"/>
    <row r="18376" ht="9.9499999999999993" hidden="1" customHeight="1" x14ac:dyDescent="0.2"/>
    <row r="18377" ht="9.9499999999999993" hidden="1" customHeight="1" x14ac:dyDescent="0.2"/>
    <row r="18378" ht="9.9499999999999993" hidden="1" customHeight="1" x14ac:dyDescent="0.2"/>
    <row r="18379" ht="9.9499999999999993" hidden="1" customHeight="1" x14ac:dyDescent="0.2"/>
    <row r="18380" ht="9.9499999999999993" hidden="1" customHeight="1" x14ac:dyDescent="0.2"/>
    <row r="18381" ht="9.9499999999999993" hidden="1" customHeight="1" x14ac:dyDescent="0.2"/>
    <row r="18382" ht="9.9499999999999993" hidden="1" customHeight="1" x14ac:dyDescent="0.2"/>
    <row r="18383" ht="9.9499999999999993" hidden="1" customHeight="1" x14ac:dyDescent="0.2"/>
    <row r="18384" ht="9.9499999999999993" hidden="1" customHeight="1" x14ac:dyDescent="0.2"/>
    <row r="18385" ht="9.9499999999999993" hidden="1" customHeight="1" x14ac:dyDescent="0.2"/>
    <row r="18386" ht="9.9499999999999993" hidden="1" customHeight="1" x14ac:dyDescent="0.2"/>
    <row r="18387" ht="9.9499999999999993" hidden="1" customHeight="1" x14ac:dyDescent="0.2"/>
    <row r="18388" ht="9.9499999999999993" hidden="1" customHeight="1" x14ac:dyDescent="0.2"/>
    <row r="18389" ht="9.9499999999999993" hidden="1" customHeight="1" x14ac:dyDescent="0.2"/>
    <row r="18390" ht="9.9499999999999993" hidden="1" customHeight="1" x14ac:dyDescent="0.2"/>
    <row r="18391" ht="9.9499999999999993" hidden="1" customHeight="1" x14ac:dyDescent="0.2"/>
    <row r="18392" ht="9.9499999999999993" hidden="1" customHeight="1" x14ac:dyDescent="0.2"/>
    <row r="18393" ht="9.9499999999999993" hidden="1" customHeight="1" x14ac:dyDescent="0.2"/>
    <row r="18394" ht="9.9499999999999993" hidden="1" customHeight="1" x14ac:dyDescent="0.2"/>
    <row r="18395" ht="9.9499999999999993" hidden="1" customHeight="1" x14ac:dyDescent="0.2"/>
    <row r="18396" ht="9.9499999999999993" hidden="1" customHeight="1" x14ac:dyDescent="0.2"/>
    <row r="18397" ht="9.9499999999999993" hidden="1" customHeight="1" x14ac:dyDescent="0.2"/>
    <row r="18398" ht="9.9499999999999993" hidden="1" customHeight="1" x14ac:dyDescent="0.2"/>
    <row r="18399" ht="9.9499999999999993" hidden="1" customHeight="1" x14ac:dyDescent="0.2"/>
    <row r="18400" ht="9.9499999999999993" hidden="1" customHeight="1" x14ac:dyDescent="0.2"/>
    <row r="18401" ht="9.9499999999999993" hidden="1" customHeight="1" x14ac:dyDescent="0.2"/>
    <row r="18402" ht="9.9499999999999993" hidden="1" customHeight="1" x14ac:dyDescent="0.2"/>
    <row r="18403" ht="9.9499999999999993" hidden="1" customHeight="1" x14ac:dyDescent="0.2"/>
    <row r="18404" ht="9.9499999999999993" hidden="1" customHeight="1" x14ac:dyDescent="0.2"/>
    <row r="18405" ht="9.9499999999999993" hidden="1" customHeight="1" x14ac:dyDescent="0.2"/>
    <row r="18406" ht="9.9499999999999993" hidden="1" customHeight="1" x14ac:dyDescent="0.2"/>
    <row r="18407" ht="9.9499999999999993" hidden="1" customHeight="1" x14ac:dyDescent="0.2"/>
    <row r="18408" ht="9.9499999999999993" hidden="1" customHeight="1" x14ac:dyDescent="0.2"/>
    <row r="18409" ht="9.9499999999999993" hidden="1" customHeight="1" x14ac:dyDescent="0.2"/>
    <row r="18410" ht="9.9499999999999993" hidden="1" customHeight="1" x14ac:dyDescent="0.2"/>
    <row r="18411" ht="9.9499999999999993" hidden="1" customHeight="1" x14ac:dyDescent="0.2"/>
    <row r="18412" ht="9.9499999999999993" hidden="1" customHeight="1" x14ac:dyDescent="0.2"/>
    <row r="18413" ht="9.9499999999999993" hidden="1" customHeight="1" x14ac:dyDescent="0.2"/>
    <row r="18414" ht="9.9499999999999993" hidden="1" customHeight="1" x14ac:dyDescent="0.2"/>
    <row r="18415" ht="9.9499999999999993" hidden="1" customHeight="1" x14ac:dyDescent="0.2"/>
    <row r="18416" ht="9.9499999999999993" hidden="1" customHeight="1" x14ac:dyDescent="0.2"/>
    <row r="18417" ht="9.9499999999999993" hidden="1" customHeight="1" x14ac:dyDescent="0.2"/>
    <row r="18418" ht="9.9499999999999993" hidden="1" customHeight="1" x14ac:dyDescent="0.2"/>
    <row r="18419" ht="9.9499999999999993" hidden="1" customHeight="1" x14ac:dyDescent="0.2"/>
    <row r="18420" ht="9.9499999999999993" hidden="1" customHeight="1" x14ac:dyDescent="0.2"/>
    <row r="18421" ht="9.9499999999999993" hidden="1" customHeight="1" x14ac:dyDescent="0.2"/>
    <row r="18422" ht="9.9499999999999993" hidden="1" customHeight="1" x14ac:dyDescent="0.2"/>
    <row r="18423" ht="9.9499999999999993" hidden="1" customHeight="1" x14ac:dyDescent="0.2"/>
    <row r="18424" ht="9.9499999999999993" hidden="1" customHeight="1" x14ac:dyDescent="0.2"/>
    <row r="18425" ht="9.9499999999999993" hidden="1" customHeight="1" x14ac:dyDescent="0.2"/>
    <row r="18426" ht="9.9499999999999993" hidden="1" customHeight="1" x14ac:dyDescent="0.2"/>
    <row r="18427" ht="9.9499999999999993" hidden="1" customHeight="1" x14ac:dyDescent="0.2"/>
    <row r="18428" ht="9.9499999999999993" hidden="1" customHeight="1" x14ac:dyDescent="0.2"/>
    <row r="18429" ht="9.9499999999999993" hidden="1" customHeight="1" x14ac:dyDescent="0.2"/>
    <row r="18430" ht="9.9499999999999993" hidden="1" customHeight="1" x14ac:dyDescent="0.2"/>
    <row r="18431" ht="9.9499999999999993" hidden="1" customHeight="1" x14ac:dyDescent="0.2"/>
    <row r="18432" ht="9.9499999999999993" hidden="1" customHeight="1" x14ac:dyDescent="0.2"/>
    <row r="18433" ht="9.9499999999999993" hidden="1" customHeight="1" x14ac:dyDescent="0.2"/>
    <row r="18434" ht="9.9499999999999993" hidden="1" customHeight="1" x14ac:dyDescent="0.2"/>
    <row r="18435" ht="9.9499999999999993" hidden="1" customHeight="1" x14ac:dyDescent="0.2"/>
    <row r="18436" ht="9.9499999999999993" hidden="1" customHeight="1" x14ac:dyDescent="0.2"/>
    <row r="18437" ht="9.9499999999999993" hidden="1" customHeight="1" x14ac:dyDescent="0.2"/>
    <row r="18438" ht="9.9499999999999993" hidden="1" customHeight="1" x14ac:dyDescent="0.2"/>
    <row r="18439" ht="9.9499999999999993" hidden="1" customHeight="1" x14ac:dyDescent="0.2"/>
    <row r="18440" ht="9.9499999999999993" hidden="1" customHeight="1" x14ac:dyDescent="0.2"/>
    <row r="18441" ht="9.9499999999999993" hidden="1" customHeight="1" x14ac:dyDescent="0.2"/>
    <row r="18442" ht="9.9499999999999993" hidden="1" customHeight="1" x14ac:dyDescent="0.2"/>
    <row r="18443" ht="9.9499999999999993" hidden="1" customHeight="1" x14ac:dyDescent="0.2"/>
    <row r="18444" ht="9.9499999999999993" hidden="1" customHeight="1" x14ac:dyDescent="0.2"/>
    <row r="18445" ht="9.9499999999999993" hidden="1" customHeight="1" x14ac:dyDescent="0.2"/>
    <row r="18446" ht="9.9499999999999993" hidden="1" customHeight="1" x14ac:dyDescent="0.2"/>
    <row r="18447" ht="9.9499999999999993" hidden="1" customHeight="1" x14ac:dyDescent="0.2"/>
    <row r="18448" ht="9.9499999999999993" hidden="1" customHeight="1" x14ac:dyDescent="0.2"/>
    <row r="18449" ht="9.9499999999999993" hidden="1" customHeight="1" x14ac:dyDescent="0.2"/>
    <row r="18450" ht="9.9499999999999993" hidden="1" customHeight="1" x14ac:dyDescent="0.2"/>
    <row r="18451" ht="9.9499999999999993" hidden="1" customHeight="1" x14ac:dyDescent="0.2"/>
    <row r="18452" ht="9.9499999999999993" hidden="1" customHeight="1" x14ac:dyDescent="0.2"/>
    <row r="18453" ht="9.9499999999999993" hidden="1" customHeight="1" x14ac:dyDescent="0.2"/>
    <row r="18454" ht="9.9499999999999993" hidden="1" customHeight="1" x14ac:dyDescent="0.2"/>
    <row r="18455" ht="9.9499999999999993" hidden="1" customHeight="1" x14ac:dyDescent="0.2"/>
    <row r="18456" ht="9.9499999999999993" hidden="1" customHeight="1" x14ac:dyDescent="0.2"/>
    <row r="18457" ht="9.9499999999999993" hidden="1" customHeight="1" x14ac:dyDescent="0.2"/>
    <row r="18458" ht="9.9499999999999993" hidden="1" customHeight="1" x14ac:dyDescent="0.2"/>
    <row r="18459" ht="9.9499999999999993" hidden="1" customHeight="1" x14ac:dyDescent="0.2"/>
    <row r="18460" ht="9.9499999999999993" hidden="1" customHeight="1" x14ac:dyDescent="0.2"/>
    <row r="18461" ht="9.9499999999999993" hidden="1" customHeight="1" x14ac:dyDescent="0.2"/>
    <row r="18462" ht="9.9499999999999993" hidden="1" customHeight="1" x14ac:dyDescent="0.2"/>
    <row r="18463" ht="9.9499999999999993" hidden="1" customHeight="1" x14ac:dyDescent="0.2"/>
    <row r="18464" ht="9.9499999999999993" hidden="1" customHeight="1" x14ac:dyDescent="0.2"/>
    <row r="18465" ht="9.9499999999999993" hidden="1" customHeight="1" x14ac:dyDescent="0.2"/>
    <row r="18466" ht="9.9499999999999993" hidden="1" customHeight="1" x14ac:dyDescent="0.2"/>
    <row r="18467" ht="9.9499999999999993" hidden="1" customHeight="1" x14ac:dyDescent="0.2"/>
    <row r="18468" ht="9.9499999999999993" hidden="1" customHeight="1" x14ac:dyDescent="0.2"/>
    <row r="18469" ht="9.9499999999999993" hidden="1" customHeight="1" x14ac:dyDescent="0.2"/>
    <row r="18470" ht="9.9499999999999993" hidden="1" customHeight="1" x14ac:dyDescent="0.2"/>
    <row r="18471" ht="9.9499999999999993" hidden="1" customHeight="1" x14ac:dyDescent="0.2"/>
    <row r="18472" ht="9.9499999999999993" hidden="1" customHeight="1" x14ac:dyDescent="0.2"/>
    <row r="18473" ht="9.9499999999999993" hidden="1" customHeight="1" x14ac:dyDescent="0.2"/>
    <row r="18474" ht="9.9499999999999993" hidden="1" customHeight="1" x14ac:dyDescent="0.2"/>
    <row r="18475" ht="9.9499999999999993" hidden="1" customHeight="1" x14ac:dyDescent="0.2"/>
    <row r="18476" ht="9.9499999999999993" hidden="1" customHeight="1" x14ac:dyDescent="0.2"/>
    <row r="18477" ht="9.9499999999999993" hidden="1" customHeight="1" x14ac:dyDescent="0.2"/>
    <row r="18478" ht="9.9499999999999993" hidden="1" customHeight="1" x14ac:dyDescent="0.2"/>
    <row r="18479" ht="9.9499999999999993" hidden="1" customHeight="1" x14ac:dyDescent="0.2"/>
    <row r="18480" ht="9.9499999999999993" hidden="1" customHeight="1" x14ac:dyDescent="0.2"/>
    <row r="18481" ht="9.9499999999999993" hidden="1" customHeight="1" x14ac:dyDescent="0.2"/>
    <row r="18482" ht="9.9499999999999993" hidden="1" customHeight="1" x14ac:dyDescent="0.2"/>
    <row r="18483" ht="9.9499999999999993" hidden="1" customHeight="1" x14ac:dyDescent="0.2"/>
    <row r="18484" ht="9.9499999999999993" hidden="1" customHeight="1" x14ac:dyDescent="0.2"/>
    <row r="18485" ht="9.9499999999999993" hidden="1" customHeight="1" x14ac:dyDescent="0.2"/>
    <row r="18486" ht="9.9499999999999993" hidden="1" customHeight="1" x14ac:dyDescent="0.2"/>
    <row r="18487" ht="9.9499999999999993" hidden="1" customHeight="1" x14ac:dyDescent="0.2"/>
    <row r="18488" ht="9.9499999999999993" hidden="1" customHeight="1" x14ac:dyDescent="0.2"/>
    <row r="18489" ht="9.9499999999999993" hidden="1" customHeight="1" x14ac:dyDescent="0.2"/>
    <row r="18490" ht="9.9499999999999993" hidden="1" customHeight="1" x14ac:dyDescent="0.2"/>
    <row r="18491" ht="9.9499999999999993" hidden="1" customHeight="1" x14ac:dyDescent="0.2"/>
    <row r="18492" ht="9.9499999999999993" hidden="1" customHeight="1" x14ac:dyDescent="0.2"/>
    <row r="18493" ht="9.9499999999999993" hidden="1" customHeight="1" x14ac:dyDescent="0.2"/>
    <row r="18494" ht="9.9499999999999993" hidden="1" customHeight="1" x14ac:dyDescent="0.2"/>
    <row r="18495" ht="9.9499999999999993" hidden="1" customHeight="1" x14ac:dyDescent="0.2"/>
    <row r="18496" ht="9.9499999999999993" hidden="1" customHeight="1" x14ac:dyDescent="0.2"/>
    <row r="18497" ht="9.9499999999999993" hidden="1" customHeight="1" x14ac:dyDescent="0.2"/>
    <row r="18498" ht="9.9499999999999993" hidden="1" customHeight="1" x14ac:dyDescent="0.2"/>
    <row r="18499" ht="9.9499999999999993" hidden="1" customHeight="1" x14ac:dyDescent="0.2"/>
    <row r="18500" ht="9.9499999999999993" hidden="1" customHeight="1" x14ac:dyDescent="0.2"/>
    <row r="18501" ht="9.9499999999999993" hidden="1" customHeight="1" x14ac:dyDescent="0.2"/>
    <row r="18502" ht="9.9499999999999993" hidden="1" customHeight="1" x14ac:dyDescent="0.2"/>
    <row r="18503" ht="9.9499999999999993" hidden="1" customHeight="1" x14ac:dyDescent="0.2"/>
    <row r="18504" ht="9.9499999999999993" hidden="1" customHeight="1" x14ac:dyDescent="0.2"/>
    <row r="18505" ht="9.9499999999999993" hidden="1" customHeight="1" x14ac:dyDescent="0.2"/>
    <row r="18506" ht="9.9499999999999993" hidden="1" customHeight="1" x14ac:dyDescent="0.2"/>
    <row r="18507" ht="9.9499999999999993" hidden="1" customHeight="1" x14ac:dyDescent="0.2"/>
    <row r="18508" ht="9.9499999999999993" hidden="1" customHeight="1" x14ac:dyDescent="0.2"/>
    <row r="18509" ht="9.9499999999999993" hidden="1" customHeight="1" x14ac:dyDescent="0.2"/>
    <row r="18510" ht="9.9499999999999993" hidden="1" customHeight="1" x14ac:dyDescent="0.2"/>
    <row r="18511" ht="9.9499999999999993" hidden="1" customHeight="1" x14ac:dyDescent="0.2"/>
    <row r="18512" ht="9.9499999999999993" hidden="1" customHeight="1" x14ac:dyDescent="0.2"/>
    <row r="18513" ht="9.9499999999999993" hidden="1" customHeight="1" x14ac:dyDescent="0.2"/>
    <row r="18514" ht="9.9499999999999993" hidden="1" customHeight="1" x14ac:dyDescent="0.2"/>
    <row r="18515" ht="9.9499999999999993" hidden="1" customHeight="1" x14ac:dyDescent="0.2"/>
    <row r="18516" ht="9.9499999999999993" hidden="1" customHeight="1" x14ac:dyDescent="0.2"/>
    <row r="18517" ht="9.9499999999999993" hidden="1" customHeight="1" x14ac:dyDescent="0.2"/>
    <row r="18518" ht="9.9499999999999993" hidden="1" customHeight="1" x14ac:dyDescent="0.2"/>
    <row r="18519" ht="9.9499999999999993" hidden="1" customHeight="1" x14ac:dyDescent="0.2"/>
    <row r="18520" ht="9.9499999999999993" hidden="1" customHeight="1" x14ac:dyDescent="0.2"/>
    <row r="18521" ht="9.9499999999999993" hidden="1" customHeight="1" x14ac:dyDescent="0.2"/>
    <row r="18522" ht="9.9499999999999993" hidden="1" customHeight="1" x14ac:dyDescent="0.2"/>
    <row r="18523" ht="9.9499999999999993" hidden="1" customHeight="1" x14ac:dyDescent="0.2"/>
    <row r="18524" ht="9.9499999999999993" hidden="1" customHeight="1" x14ac:dyDescent="0.2"/>
    <row r="18525" ht="9.9499999999999993" hidden="1" customHeight="1" x14ac:dyDescent="0.2"/>
    <row r="18526" ht="9.9499999999999993" hidden="1" customHeight="1" x14ac:dyDescent="0.2"/>
    <row r="18527" ht="9.9499999999999993" hidden="1" customHeight="1" x14ac:dyDescent="0.2"/>
    <row r="18528" ht="9.9499999999999993" hidden="1" customHeight="1" x14ac:dyDescent="0.2"/>
    <row r="18529" ht="9.9499999999999993" hidden="1" customHeight="1" x14ac:dyDescent="0.2"/>
    <row r="18530" ht="9.9499999999999993" hidden="1" customHeight="1" x14ac:dyDescent="0.2"/>
    <row r="18531" ht="9.9499999999999993" hidden="1" customHeight="1" x14ac:dyDescent="0.2"/>
    <row r="18532" ht="9.9499999999999993" hidden="1" customHeight="1" x14ac:dyDescent="0.2"/>
    <row r="18533" ht="9.9499999999999993" hidden="1" customHeight="1" x14ac:dyDescent="0.2"/>
    <row r="18534" ht="9.9499999999999993" hidden="1" customHeight="1" x14ac:dyDescent="0.2"/>
    <row r="18535" ht="9.9499999999999993" hidden="1" customHeight="1" x14ac:dyDescent="0.2"/>
    <row r="18536" ht="9.9499999999999993" hidden="1" customHeight="1" x14ac:dyDescent="0.2"/>
    <row r="18537" ht="9.9499999999999993" hidden="1" customHeight="1" x14ac:dyDescent="0.2"/>
    <row r="18538" ht="9.9499999999999993" hidden="1" customHeight="1" x14ac:dyDescent="0.2"/>
    <row r="18539" ht="9.9499999999999993" hidden="1" customHeight="1" x14ac:dyDescent="0.2"/>
    <row r="18540" ht="9.9499999999999993" hidden="1" customHeight="1" x14ac:dyDescent="0.2"/>
    <row r="18541" ht="9.9499999999999993" hidden="1" customHeight="1" x14ac:dyDescent="0.2"/>
    <row r="18542" ht="9.9499999999999993" hidden="1" customHeight="1" x14ac:dyDescent="0.2"/>
    <row r="18543" ht="9.9499999999999993" hidden="1" customHeight="1" x14ac:dyDescent="0.2"/>
    <row r="18544" ht="9.9499999999999993" hidden="1" customHeight="1" x14ac:dyDescent="0.2"/>
    <row r="18545" ht="9.9499999999999993" hidden="1" customHeight="1" x14ac:dyDescent="0.2"/>
    <row r="18546" ht="9.9499999999999993" hidden="1" customHeight="1" x14ac:dyDescent="0.2"/>
    <row r="18547" ht="9.9499999999999993" hidden="1" customHeight="1" x14ac:dyDescent="0.2"/>
    <row r="18548" ht="9.9499999999999993" hidden="1" customHeight="1" x14ac:dyDescent="0.2"/>
    <row r="18549" ht="9.9499999999999993" hidden="1" customHeight="1" x14ac:dyDescent="0.2"/>
    <row r="18550" ht="9.9499999999999993" hidden="1" customHeight="1" x14ac:dyDescent="0.2"/>
    <row r="18551" ht="9.9499999999999993" hidden="1" customHeight="1" x14ac:dyDescent="0.2"/>
    <row r="18552" ht="9.9499999999999993" hidden="1" customHeight="1" x14ac:dyDescent="0.2"/>
    <row r="18553" ht="9.9499999999999993" hidden="1" customHeight="1" x14ac:dyDescent="0.2"/>
    <row r="18554" ht="9.9499999999999993" hidden="1" customHeight="1" x14ac:dyDescent="0.2"/>
    <row r="18555" ht="9.9499999999999993" hidden="1" customHeight="1" x14ac:dyDescent="0.2"/>
    <row r="18556" ht="9.9499999999999993" hidden="1" customHeight="1" x14ac:dyDescent="0.2"/>
    <row r="18557" ht="9.9499999999999993" hidden="1" customHeight="1" x14ac:dyDescent="0.2"/>
    <row r="18558" ht="9.9499999999999993" hidden="1" customHeight="1" x14ac:dyDescent="0.2"/>
    <row r="18559" ht="9.9499999999999993" hidden="1" customHeight="1" x14ac:dyDescent="0.2"/>
    <row r="18560" ht="9.9499999999999993" hidden="1" customHeight="1" x14ac:dyDescent="0.2"/>
    <row r="18561" ht="9.9499999999999993" hidden="1" customHeight="1" x14ac:dyDescent="0.2"/>
    <row r="18562" ht="9.9499999999999993" hidden="1" customHeight="1" x14ac:dyDescent="0.2"/>
    <row r="18563" ht="9.9499999999999993" hidden="1" customHeight="1" x14ac:dyDescent="0.2"/>
    <row r="18564" ht="9.9499999999999993" hidden="1" customHeight="1" x14ac:dyDescent="0.2"/>
    <row r="18565" ht="9.9499999999999993" hidden="1" customHeight="1" x14ac:dyDescent="0.2"/>
    <row r="18566" ht="9.9499999999999993" hidden="1" customHeight="1" x14ac:dyDescent="0.2"/>
    <row r="18567" ht="9.9499999999999993" hidden="1" customHeight="1" x14ac:dyDescent="0.2"/>
    <row r="18568" ht="9.9499999999999993" hidden="1" customHeight="1" x14ac:dyDescent="0.2"/>
    <row r="18569" ht="9.9499999999999993" hidden="1" customHeight="1" x14ac:dyDescent="0.2"/>
    <row r="18570" ht="9.9499999999999993" hidden="1" customHeight="1" x14ac:dyDescent="0.2"/>
    <row r="18571" ht="9.9499999999999993" hidden="1" customHeight="1" x14ac:dyDescent="0.2"/>
    <row r="18572" ht="9.9499999999999993" hidden="1" customHeight="1" x14ac:dyDescent="0.2"/>
    <row r="18573" ht="9.9499999999999993" hidden="1" customHeight="1" x14ac:dyDescent="0.2"/>
    <row r="18574" ht="9.9499999999999993" hidden="1" customHeight="1" x14ac:dyDescent="0.2"/>
    <row r="18575" ht="9.9499999999999993" hidden="1" customHeight="1" x14ac:dyDescent="0.2"/>
    <row r="18576" ht="9.9499999999999993" hidden="1" customHeight="1" x14ac:dyDescent="0.2"/>
    <row r="18577" ht="9.9499999999999993" hidden="1" customHeight="1" x14ac:dyDescent="0.2"/>
    <row r="18578" ht="9.9499999999999993" hidden="1" customHeight="1" x14ac:dyDescent="0.2"/>
    <row r="18579" ht="9.9499999999999993" hidden="1" customHeight="1" x14ac:dyDescent="0.2"/>
    <row r="18580" ht="9.9499999999999993" hidden="1" customHeight="1" x14ac:dyDescent="0.2"/>
    <row r="18581" ht="9.9499999999999993" hidden="1" customHeight="1" x14ac:dyDescent="0.2"/>
    <row r="18582" ht="9.9499999999999993" hidden="1" customHeight="1" x14ac:dyDescent="0.2"/>
    <row r="18583" ht="9.9499999999999993" hidden="1" customHeight="1" x14ac:dyDescent="0.2"/>
    <row r="18584" ht="9.9499999999999993" hidden="1" customHeight="1" x14ac:dyDescent="0.2"/>
    <row r="18585" ht="9.9499999999999993" hidden="1" customHeight="1" x14ac:dyDescent="0.2"/>
    <row r="18586" ht="9.9499999999999993" hidden="1" customHeight="1" x14ac:dyDescent="0.2"/>
    <row r="18587" ht="9.9499999999999993" hidden="1" customHeight="1" x14ac:dyDescent="0.2"/>
    <row r="18588" ht="9.9499999999999993" hidden="1" customHeight="1" x14ac:dyDescent="0.2"/>
    <row r="18589" ht="9.9499999999999993" hidden="1" customHeight="1" x14ac:dyDescent="0.2"/>
    <row r="18590" ht="9.9499999999999993" hidden="1" customHeight="1" x14ac:dyDescent="0.2"/>
    <row r="18591" ht="9.9499999999999993" hidden="1" customHeight="1" x14ac:dyDescent="0.2"/>
    <row r="18592" ht="9.9499999999999993" hidden="1" customHeight="1" x14ac:dyDescent="0.2"/>
    <row r="18593" ht="9.9499999999999993" hidden="1" customHeight="1" x14ac:dyDescent="0.2"/>
    <row r="18594" ht="9.9499999999999993" hidden="1" customHeight="1" x14ac:dyDescent="0.2"/>
    <row r="18595" ht="9.9499999999999993" hidden="1" customHeight="1" x14ac:dyDescent="0.2"/>
    <row r="18596" ht="9.9499999999999993" hidden="1" customHeight="1" x14ac:dyDescent="0.2"/>
    <row r="18597" ht="9.9499999999999993" hidden="1" customHeight="1" x14ac:dyDescent="0.2"/>
    <row r="18598" ht="9.9499999999999993" hidden="1" customHeight="1" x14ac:dyDescent="0.2"/>
    <row r="18599" ht="9.9499999999999993" hidden="1" customHeight="1" x14ac:dyDescent="0.2"/>
    <row r="18600" ht="9.9499999999999993" hidden="1" customHeight="1" x14ac:dyDescent="0.2"/>
    <row r="18601" ht="9.9499999999999993" hidden="1" customHeight="1" x14ac:dyDescent="0.2"/>
    <row r="18602" ht="9.9499999999999993" hidden="1" customHeight="1" x14ac:dyDescent="0.2"/>
    <row r="18603" ht="9.9499999999999993" hidden="1" customHeight="1" x14ac:dyDescent="0.2"/>
    <row r="18604" ht="9.9499999999999993" hidden="1" customHeight="1" x14ac:dyDescent="0.2"/>
    <row r="18605" ht="9.9499999999999993" hidden="1" customHeight="1" x14ac:dyDescent="0.2"/>
    <row r="18606" ht="9.9499999999999993" hidden="1" customHeight="1" x14ac:dyDescent="0.2"/>
    <row r="18607" ht="9.9499999999999993" hidden="1" customHeight="1" x14ac:dyDescent="0.2"/>
    <row r="18608" ht="9.9499999999999993" hidden="1" customHeight="1" x14ac:dyDescent="0.2"/>
    <row r="18609" ht="9.9499999999999993" hidden="1" customHeight="1" x14ac:dyDescent="0.2"/>
    <row r="18610" ht="9.9499999999999993" hidden="1" customHeight="1" x14ac:dyDescent="0.2"/>
    <row r="18611" ht="9.9499999999999993" hidden="1" customHeight="1" x14ac:dyDescent="0.2"/>
    <row r="18612" ht="9.9499999999999993" hidden="1" customHeight="1" x14ac:dyDescent="0.2"/>
    <row r="18613" ht="9.9499999999999993" hidden="1" customHeight="1" x14ac:dyDescent="0.2"/>
    <row r="18614" ht="9.9499999999999993" hidden="1" customHeight="1" x14ac:dyDescent="0.2"/>
    <row r="18615" ht="9.9499999999999993" hidden="1" customHeight="1" x14ac:dyDescent="0.2"/>
    <row r="18616" ht="9.9499999999999993" hidden="1" customHeight="1" x14ac:dyDescent="0.2"/>
    <row r="18617" ht="9.9499999999999993" hidden="1" customHeight="1" x14ac:dyDescent="0.2"/>
    <row r="18618" ht="9.9499999999999993" hidden="1" customHeight="1" x14ac:dyDescent="0.2"/>
    <row r="18619" ht="9.9499999999999993" hidden="1" customHeight="1" x14ac:dyDescent="0.2"/>
    <row r="18620" ht="9.9499999999999993" hidden="1" customHeight="1" x14ac:dyDescent="0.2"/>
    <row r="18621" ht="9.9499999999999993" hidden="1" customHeight="1" x14ac:dyDescent="0.2"/>
    <row r="18622" ht="9.9499999999999993" hidden="1" customHeight="1" x14ac:dyDescent="0.2"/>
    <row r="18623" ht="9.9499999999999993" hidden="1" customHeight="1" x14ac:dyDescent="0.2"/>
    <row r="18624" ht="9.9499999999999993" hidden="1" customHeight="1" x14ac:dyDescent="0.2"/>
    <row r="18625" ht="9.9499999999999993" hidden="1" customHeight="1" x14ac:dyDescent="0.2"/>
    <row r="18626" ht="9.9499999999999993" hidden="1" customHeight="1" x14ac:dyDescent="0.2"/>
    <row r="18627" ht="9.9499999999999993" hidden="1" customHeight="1" x14ac:dyDescent="0.2"/>
    <row r="18628" ht="9.9499999999999993" hidden="1" customHeight="1" x14ac:dyDescent="0.2"/>
    <row r="18629" ht="9.9499999999999993" hidden="1" customHeight="1" x14ac:dyDescent="0.2"/>
    <row r="18630" ht="9.9499999999999993" hidden="1" customHeight="1" x14ac:dyDescent="0.2"/>
    <row r="18631" ht="9.9499999999999993" hidden="1" customHeight="1" x14ac:dyDescent="0.2"/>
    <row r="18632" ht="9.9499999999999993" hidden="1" customHeight="1" x14ac:dyDescent="0.2"/>
    <row r="18633" ht="9.9499999999999993" hidden="1" customHeight="1" x14ac:dyDescent="0.2"/>
    <row r="18634" ht="9.9499999999999993" hidden="1" customHeight="1" x14ac:dyDescent="0.2"/>
    <row r="18635" ht="9.9499999999999993" hidden="1" customHeight="1" x14ac:dyDescent="0.2"/>
    <row r="18636" ht="9.9499999999999993" hidden="1" customHeight="1" x14ac:dyDescent="0.2"/>
    <row r="18637" ht="9.9499999999999993" hidden="1" customHeight="1" x14ac:dyDescent="0.2"/>
    <row r="18638" ht="9.9499999999999993" hidden="1" customHeight="1" x14ac:dyDescent="0.2"/>
    <row r="18639" ht="9.9499999999999993" hidden="1" customHeight="1" x14ac:dyDescent="0.2"/>
    <row r="18640" ht="9.9499999999999993" hidden="1" customHeight="1" x14ac:dyDescent="0.2"/>
    <row r="18641" ht="9.9499999999999993" hidden="1" customHeight="1" x14ac:dyDescent="0.2"/>
    <row r="18642" ht="9.9499999999999993" hidden="1" customHeight="1" x14ac:dyDescent="0.2"/>
    <row r="18643" ht="9.9499999999999993" hidden="1" customHeight="1" x14ac:dyDescent="0.2"/>
    <row r="18644" ht="9.9499999999999993" hidden="1" customHeight="1" x14ac:dyDescent="0.2"/>
    <row r="18645" ht="9.9499999999999993" hidden="1" customHeight="1" x14ac:dyDescent="0.2"/>
    <row r="18646" ht="9.9499999999999993" hidden="1" customHeight="1" x14ac:dyDescent="0.2"/>
    <row r="18647" ht="9.9499999999999993" hidden="1" customHeight="1" x14ac:dyDescent="0.2"/>
    <row r="18648" ht="9.9499999999999993" hidden="1" customHeight="1" x14ac:dyDescent="0.2"/>
    <row r="18649" ht="9.9499999999999993" hidden="1" customHeight="1" x14ac:dyDescent="0.2"/>
    <row r="18650" ht="9.9499999999999993" hidden="1" customHeight="1" x14ac:dyDescent="0.2"/>
    <row r="18651" ht="9.9499999999999993" hidden="1" customHeight="1" x14ac:dyDescent="0.2"/>
    <row r="18652" ht="9.9499999999999993" hidden="1" customHeight="1" x14ac:dyDescent="0.2"/>
    <row r="18653" ht="9.9499999999999993" hidden="1" customHeight="1" x14ac:dyDescent="0.2"/>
    <row r="18654" ht="9.9499999999999993" hidden="1" customHeight="1" x14ac:dyDescent="0.2"/>
    <row r="18655" ht="9.9499999999999993" hidden="1" customHeight="1" x14ac:dyDescent="0.2"/>
    <row r="18656" ht="9.9499999999999993" hidden="1" customHeight="1" x14ac:dyDescent="0.2"/>
    <row r="18657" ht="9.9499999999999993" hidden="1" customHeight="1" x14ac:dyDescent="0.2"/>
    <row r="18658" ht="9.9499999999999993" hidden="1" customHeight="1" x14ac:dyDescent="0.2"/>
    <row r="18659" ht="9.9499999999999993" hidden="1" customHeight="1" x14ac:dyDescent="0.2"/>
    <row r="18660" ht="9.9499999999999993" hidden="1" customHeight="1" x14ac:dyDescent="0.2"/>
    <row r="18661" ht="9.9499999999999993" hidden="1" customHeight="1" x14ac:dyDescent="0.2"/>
    <row r="18662" ht="9.9499999999999993" hidden="1" customHeight="1" x14ac:dyDescent="0.2"/>
    <row r="18663" ht="9.9499999999999993" hidden="1" customHeight="1" x14ac:dyDescent="0.2"/>
    <row r="18664" ht="9.9499999999999993" hidden="1" customHeight="1" x14ac:dyDescent="0.2"/>
    <row r="18665" ht="9.9499999999999993" hidden="1" customHeight="1" x14ac:dyDescent="0.2"/>
    <row r="18666" ht="9.9499999999999993" hidden="1" customHeight="1" x14ac:dyDescent="0.2"/>
    <row r="18667" ht="9.9499999999999993" hidden="1" customHeight="1" x14ac:dyDescent="0.2"/>
    <row r="18668" ht="9.9499999999999993" hidden="1" customHeight="1" x14ac:dyDescent="0.2"/>
    <row r="18669" ht="9.9499999999999993" hidden="1" customHeight="1" x14ac:dyDescent="0.2"/>
    <row r="18670" ht="9.9499999999999993" hidden="1" customHeight="1" x14ac:dyDescent="0.2"/>
    <row r="18671" ht="9.9499999999999993" hidden="1" customHeight="1" x14ac:dyDescent="0.2"/>
    <row r="18672" ht="9.9499999999999993" hidden="1" customHeight="1" x14ac:dyDescent="0.2"/>
    <row r="18673" ht="9.9499999999999993" hidden="1" customHeight="1" x14ac:dyDescent="0.2"/>
    <row r="18674" ht="9.9499999999999993" hidden="1" customHeight="1" x14ac:dyDescent="0.2"/>
    <row r="18675" ht="9.9499999999999993" hidden="1" customHeight="1" x14ac:dyDescent="0.2"/>
    <row r="18676" ht="9.9499999999999993" hidden="1" customHeight="1" x14ac:dyDescent="0.2"/>
    <row r="18677" ht="9.9499999999999993" hidden="1" customHeight="1" x14ac:dyDescent="0.2"/>
    <row r="18678" ht="9.9499999999999993" hidden="1" customHeight="1" x14ac:dyDescent="0.2"/>
    <row r="18679" ht="9.9499999999999993" hidden="1" customHeight="1" x14ac:dyDescent="0.2"/>
    <row r="18680" ht="9.9499999999999993" hidden="1" customHeight="1" x14ac:dyDescent="0.2"/>
    <row r="18681" ht="9.9499999999999993" hidden="1" customHeight="1" x14ac:dyDescent="0.2"/>
    <row r="18682" ht="9.9499999999999993" hidden="1" customHeight="1" x14ac:dyDescent="0.2"/>
    <row r="18683" ht="9.9499999999999993" hidden="1" customHeight="1" x14ac:dyDescent="0.2"/>
    <row r="18684" ht="9.9499999999999993" hidden="1" customHeight="1" x14ac:dyDescent="0.2"/>
    <row r="18685" ht="9.9499999999999993" hidden="1" customHeight="1" x14ac:dyDescent="0.2"/>
    <row r="18686" ht="9.9499999999999993" hidden="1" customHeight="1" x14ac:dyDescent="0.2"/>
    <row r="18687" ht="9.9499999999999993" hidden="1" customHeight="1" x14ac:dyDescent="0.2"/>
    <row r="18688" ht="9.9499999999999993" hidden="1" customHeight="1" x14ac:dyDescent="0.2"/>
    <row r="18689" ht="9.9499999999999993" hidden="1" customHeight="1" x14ac:dyDescent="0.2"/>
    <row r="18690" ht="9.9499999999999993" hidden="1" customHeight="1" x14ac:dyDescent="0.2"/>
    <row r="18691" ht="9.9499999999999993" hidden="1" customHeight="1" x14ac:dyDescent="0.2"/>
    <row r="18692" ht="9.9499999999999993" hidden="1" customHeight="1" x14ac:dyDescent="0.2"/>
    <row r="18693" ht="9.9499999999999993" hidden="1" customHeight="1" x14ac:dyDescent="0.2"/>
    <row r="18694" ht="9.9499999999999993" hidden="1" customHeight="1" x14ac:dyDescent="0.2"/>
    <row r="18695" ht="9.9499999999999993" hidden="1" customHeight="1" x14ac:dyDescent="0.2"/>
    <row r="18696" ht="9.9499999999999993" hidden="1" customHeight="1" x14ac:dyDescent="0.2"/>
    <row r="18697" ht="9.9499999999999993" hidden="1" customHeight="1" x14ac:dyDescent="0.2"/>
    <row r="18698" ht="9.9499999999999993" hidden="1" customHeight="1" x14ac:dyDescent="0.2"/>
    <row r="18699" ht="9.9499999999999993" hidden="1" customHeight="1" x14ac:dyDescent="0.2"/>
    <row r="18700" ht="9.9499999999999993" hidden="1" customHeight="1" x14ac:dyDescent="0.2"/>
    <row r="18701" ht="9.9499999999999993" hidden="1" customHeight="1" x14ac:dyDescent="0.2"/>
    <row r="18702" ht="9.9499999999999993" hidden="1" customHeight="1" x14ac:dyDescent="0.2"/>
    <row r="18703" ht="9.9499999999999993" hidden="1" customHeight="1" x14ac:dyDescent="0.2"/>
    <row r="18704" ht="9.9499999999999993" hidden="1" customHeight="1" x14ac:dyDescent="0.2"/>
    <row r="18705" ht="9.9499999999999993" hidden="1" customHeight="1" x14ac:dyDescent="0.2"/>
    <row r="18706" ht="9.9499999999999993" hidden="1" customHeight="1" x14ac:dyDescent="0.2"/>
    <row r="18707" ht="9.9499999999999993" hidden="1" customHeight="1" x14ac:dyDescent="0.2"/>
    <row r="18708" ht="9.9499999999999993" hidden="1" customHeight="1" x14ac:dyDescent="0.2"/>
    <row r="18709" ht="9.9499999999999993" hidden="1" customHeight="1" x14ac:dyDescent="0.2"/>
    <row r="18710" ht="9.9499999999999993" hidden="1" customHeight="1" x14ac:dyDescent="0.2"/>
    <row r="18711" ht="9.9499999999999993" hidden="1" customHeight="1" x14ac:dyDescent="0.2"/>
    <row r="18712" ht="9.9499999999999993" hidden="1" customHeight="1" x14ac:dyDescent="0.2"/>
    <row r="18713" ht="9.9499999999999993" hidden="1" customHeight="1" x14ac:dyDescent="0.2"/>
    <row r="18714" ht="9.9499999999999993" hidden="1" customHeight="1" x14ac:dyDescent="0.2"/>
    <row r="18715" ht="9.9499999999999993" hidden="1" customHeight="1" x14ac:dyDescent="0.2"/>
    <row r="18716" ht="9.9499999999999993" hidden="1" customHeight="1" x14ac:dyDescent="0.2"/>
    <row r="18717" ht="9.9499999999999993" hidden="1" customHeight="1" x14ac:dyDescent="0.2"/>
    <row r="18718" ht="9.9499999999999993" hidden="1" customHeight="1" x14ac:dyDescent="0.2"/>
    <row r="18719" ht="9.9499999999999993" hidden="1" customHeight="1" x14ac:dyDescent="0.2"/>
    <row r="18720" ht="9.9499999999999993" hidden="1" customHeight="1" x14ac:dyDescent="0.2"/>
    <row r="18721" ht="9.9499999999999993" hidden="1" customHeight="1" x14ac:dyDescent="0.2"/>
    <row r="18722" ht="9.9499999999999993" hidden="1" customHeight="1" x14ac:dyDescent="0.2"/>
    <row r="18723" ht="9.9499999999999993" hidden="1" customHeight="1" x14ac:dyDescent="0.2"/>
    <row r="18724" ht="9.9499999999999993" hidden="1" customHeight="1" x14ac:dyDescent="0.2"/>
    <row r="18725" ht="9.9499999999999993" hidden="1" customHeight="1" x14ac:dyDescent="0.2"/>
    <row r="18726" ht="9.9499999999999993" hidden="1" customHeight="1" x14ac:dyDescent="0.2"/>
    <row r="18727" ht="9.9499999999999993" hidden="1" customHeight="1" x14ac:dyDescent="0.2"/>
    <row r="18728" ht="9.9499999999999993" hidden="1" customHeight="1" x14ac:dyDescent="0.2"/>
    <row r="18729" ht="9.9499999999999993" hidden="1" customHeight="1" x14ac:dyDescent="0.2"/>
    <row r="18730" ht="9.9499999999999993" hidden="1" customHeight="1" x14ac:dyDescent="0.2"/>
    <row r="18731" ht="9.9499999999999993" hidden="1" customHeight="1" x14ac:dyDescent="0.2"/>
    <row r="18732" ht="9.9499999999999993" hidden="1" customHeight="1" x14ac:dyDescent="0.2"/>
    <row r="18733" ht="9.9499999999999993" hidden="1" customHeight="1" x14ac:dyDescent="0.2"/>
    <row r="18734" ht="9.9499999999999993" hidden="1" customHeight="1" x14ac:dyDescent="0.2"/>
    <row r="18735" ht="9.9499999999999993" hidden="1" customHeight="1" x14ac:dyDescent="0.2"/>
    <row r="18736" ht="9.9499999999999993" hidden="1" customHeight="1" x14ac:dyDescent="0.2"/>
    <row r="18737" ht="9.9499999999999993" hidden="1" customHeight="1" x14ac:dyDescent="0.2"/>
    <row r="18738" ht="9.9499999999999993" hidden="1" customHeight="1" x14ac:dyDescent="0.2"/>
    <row r="18739" ht="9.9499999999999993" hidden="1" customHeight="1" x14ac:dyDescent="0.2"/>
    <row r="18740" ht="9.9499999999999993" hidden="1" customHeight="1" x14ac:dyDescent="0.2"/>
    <row r="18741" ht="9.9499999999999993" hidden="1" customHeight="1" x14ac:dyDescent="0.2"/>
    <row r="18742" ht="9.9499999999999993" hidden="1" customHeight="1" x14ac:dyDescent="0.2"/>
    <row r="18743" ht="9.9499999999999993" hidden="1" customHeight="1" x14ac:dyDescent="0.2"/>
    <row r="18744" ht="9.9499999999999993" hidden="1" customHeight="1" x14ac:dyDescent="0.2"/>
    <row r="18745" ht="9.9499999999999993" hidden="1" customHeight="1" x14ac:dyDescent="0.2"/>
    <row r="18746" ht="9.9499999999999993" hidden="1" customHeight="1" x14ac:dyDescent="0.2"/>
    <row r="18747" ht="9.9499999999999993" hidden="1" customHeight="1" x14ac:dyDescent="0.2"/>
    <row r="18748" ht="9.9499999999999993" hidden="1" customHeight="1" x14ac:dyDescent="0.2"/>
    <row r="18749" ht="9.9499999999999993" hidden="1" customHeight="1" x14ac:dyDescent="0.2"/>
    <row r="18750" ht="9.9499999999999993" hidden="1" customHeight="1" x14ac:dyDescent="0.2"/>
    <row r="18751" ht="9.9499999999999993" hidden="1" customHeight="1" x14ac:dyDescent="0.2"/>
    <row r="18752" ht="9.9499999999999993" hidden="1" customHeight="1" x14ac:dyDescent="0.2"/>
    <row r="18753" ht="9.9499999999999993" hidden="1" customHeight="1" x14ac:dyDescent="0.2"/>
    <row r="18754" ht="9.9499999999999993" hidden="1" customHeight="1" x14ac:dyDescent="0.2"/>
    <row r="18755" ht="9.9499999999999993" hidden="1" customHeight="1" x14ac:dyDescent="0.2"/>
    <row r="18756" ht="9.9499999999999993" hidden="1" customHeight="1" x14ac:dyDescent="0.2"/>
    <row r="18757" ht="9.9499999999999993" hidden="1" customHeight="1" x14ac:dyDescent="0.2"/>
    <row r="18758" ht="9.9499999999999993" hidden="1" customHeight="1" x14ac:dyDescent="0.2"/>
    <row r="18759" ht="9.9499999999999993" hidden="1" customHeight="1" x14ac:dyDescent="0.2"/>
    <row r="18760" ht="9.9499999999999993" hidden="1" customHeight="1" x14ac:dyDescent="0.2"/>
    <row r="18761" ht="9.9499999999999993" hidden="1" customHeight="1" x14ac:dyDescent="0.2"/>
    <row r="18762" ht="9.9499999999999993" hidden="1" customHeight="1" x14ac:dyDescent="0.2"/>
    <row r="18763" ht="9.9499999999999993" hidden="1" customHeight="1" x14ac:dyDescent="0.2"/>
    <row r="18764" ht="9.9499999999999993" hidden="1" customHeight="1" x14ac:dyDescent="0.2"/>
    <row r="18765" ht="9.9499999999999993" hidden="1" customHeight="1" x14ac:dyDescent="0.2"/>
    <row r="18766" ht="9.9499999999999993" hidden="1" customHeight="1" x14ac:dyDescent="0.2"/>
    <row r="18767" ht="9.9499999999999993" hidden="1" customHeight="1" x14ac:dyDescent="0.2"/>
    <row r="18768" ht="9.9499999999999993" hidden="1" customHeight="1" x14ac:dyDescent="0.2"/>
    <row r="18769" ht="9.9499999999999993" hidden="1" customHeight="1" x14ac:dyDescent="0.2"/>
    <row r="18770" ht="9.9499999999999993" hidden="1" customHeight="1" x14ac:dyDescent="0.2"/>
    <row r="18771" ht="9.9499999999999993" hidden="1" customHeight="1" x14ac:dyDescent="0.2"/>
    <row r="18772" ht="9.9499999999999993" hidden="1" customHeight="1" x14ac:dyDescent="0.2"/>
    <row r="18773" ht="9.9499999999999993" hidden="1" customHeight="1" x14ac:dyDescent="0.2"/>
    <row r="18774" ht="9.9499999999999993" hidden="1" customHeight="1" x14ac:dyDescent="0.2"/>
    <row r="18775" ht="9.9499999999999993" hidden="1" customHeight="1" x14ac:dyDescent="0.2"/>
    <row r="18776" ht="9.9499999999999993" hidden="1" customHeight="1" x14ac:dyDescent="0.2"/>
    <row r="18777" ht="9.9499999999999993" hidden="1" customHeight="1" x14ac:dyDescent="0.2"/>
    <row r="18778" ht="9.9499999999999993" hidden="1" customHeight="1" x14ac:dyDescent="0.2"/>
    <row r="18779" ht="9.9499999999999993" hidden="1" customHeight="1" x14ac:dyDescent="0.2"/>
    <row r="18780" ht="9.9499999999999993" hidden="1" customHeight="1" x14ac:dyDescent="0.2"/>
    <row r="18781" ht="9.9499999999999993" hidden="1" customHeight="1" x14ac:dyDescent="0.2"/>
    <row r="18782" ht="9.9499999999999993" hidden="1" customHeight="1" x14ac:dyDescent="0.2"/>
    <row r="18783" ht="9.9499999999999993" hidden="1" customHeight="1" x14ac:dyDescent="0.2"/>
    <row r="18784" ht="9.9499999999999993" hidden="1" customHeight="1" x14ac:dyDescent="0.2"/>
    <row r="18785" ht="9.9499999999999993" hidden="1" customHeight="1" x14ac:dyDescent="0.2"/>
    <row r="18786" ht="9.9499999999999993" hidden="1" customHeight="1" x14ac:dyDescent="0.2"/>
    <row r="18787" ht="9.9499999999999993" hidden="1" customHeight="1" x14ac:dyDescent="0.2"/>
    <row r="18788" ht="9.9499999999999993" hidden="1" customHeight="1" x14ac:dyDescent="0.2"/>
    <row r="18789" ht="9.9499999999999993" hidden="1" customHeight="1" x14ac:dyDescent="0.2"/>
    <row r="18790" ht="9.9499999999999993" hidden="1" customHeight="1" x14ac:dyDescent="0.2"/>
    <row r="18791" ht="9.9499999999999993" hidden="1" customHeight="1" x14ac:dyDescent="0.2"/>
    <row r="18792" ht="9.9499999999999993" hidden="1" customHeight="1" x14ac:dyDescent="0.2"/>
    <row r="18793" ht="9.9499999999999993" hidden="1" customHeight="1" x14ac:dyDescent="0.2"/>
    <row r="18794" ht="9.9499999999999993" hidden="1" customHeight="1" x14ac:dyDescent="0.2"/>
    <row r="18795" ht="9.9499999999999993" hidden="1" customHeight="1" x14ac:dyDescent="0.2"/>
    <row r="18796" ht="9.9499999999999993" hidden="1" customHeight="1" x14ac:dyDescent="0.2"/>
    <row r="18797" ht="9.9499999999999993" hidden="1" customHeight="1" x14ac:dyDescent="0.2"/>
    <row r="18798" ht="9.9499999999999993" hidden="1" customHeight="1" x14ac:dyDescent="0.2"/>
    <row r="18799" ht="9.9499999999999993" hidden="1" customHeight="1" x14ac:dyDescent="0.2"/>
    <row r="18800" ht="9.9499999999999993" hidden="1" customHeight="1" x14ac:dyDescent="0.2"/>
    <row r="18801" ht="9.9499999999999993" hidden="1" customHeight="1" x14ac:dyDescent="0.2"/>
    <row r="18802" ht="9.9499999999999993" hidden="1" customHeight="1" x14ac:dyDescent="0.2"/>
    <row r="18803" ht="9.9499999999999993" hidden="1" customHeight="1" x14ac:dyDescent="0.2"/>
    <row r="18804" ht="9.9499999999999993" hidden="1" customHeight="1" x14ac:dyDescent="0.2"/>
    <row r="18805" ht="9.9499999999999993" hidden="1" customHeight="1" x14ac:dyDescent="0.2"/>
    <row r="18806" ht="9.9499999999999993" hidden="1" customHeight="1" x14ac:dyDescent="0.2"/>
    <row r="18807" ht="9.9499999999999993" hidden="1" customHeight="1" x14ac:dyDescent="0.2"/>
    <row r="18808" ht="9.9499999999999993" hidden="1" customHeight="1" x14ac:dyDescent="0.2"/>
    <row r="18809" ht="9.9499999999999993" hidden="1" customHeight="1" x14ac:dyDescent="0.2"/>
    <row r="18810" ht="9.9499999999999993" hidden="1" customHeight="1" x14ac:dyDescent="0.2"/>
    <row r="18811" ht="9.9499999999999993" hidden="1" customHeight="1" x14ac:dyDescent="0.2"/>
    <row r="18812" ht="9.9499999999999993" hidden="1" customHeight="1" x14ac:dyDescent="0.2"/>
    <row r="18813" ht="9.9499999999999993" hidden="1" customHeight="1" x14ac:dyDescent="0.2"/>
    <row r="18814" ht="9.9499999999999993" hidden="1" customHeight="1" x14ac:dyDescent="0.2"/>
    <row r="18815" ht="9.9499999999999993" hidden="1" customHeight="1" x14ac:dyDescent="0.2"/>
    <row r="18816" ht="9.9499999999999993" hidden="1" customHeight="1" x14ac:dyDescent="0.2"/>
    <row r="18817" ht="9.9499999999999993" hidden="1" customHeight="1" x14ac:dyDescent="0.2"/>
    <row r="18818" ht="9.9499999999999993" hidden="1" customHeight="1" x14ac:dyDescent="0.2"/>
    <row r="18819" ht="9.9499999999999993" hidden="1" customHeight="1" x14ac:dyDescent="0.2"/>
    <row r="18820" ht="9.9499999999999993" hidden="1" customHeight="1" x14ac:dyDescent="0.2"/>
    <row r="18821" ht="9.9499999999999993" hidden="1" customHeight="1" x14ac:dyDescent="0.2"/>
    <row r="18822" ht="9.9499999999999993" hidden="1" customHeight="1" x14ac:dyDescent="0.2"/>
    <row r="18823" ht="9.9499999999999993" hidden="1" customHeight="1" x14ac:dyDescent="0.2"/>
    <row r="18824" ht="9.9499999999999993" hidden="1" customHeight="1" x14ac:dyDescent="0.2"/>
    <row r="18825" ht="9.9499999999999993" hidden="1" customHeight="1" x14ac:dyDescent="0.2"/>
    <row r="18826" ht="9.9499999999999993" hidden="1" customHeight="1" x14ac:dyDescent="0.2"/>
    <row r="18827" ht="9.9499999999999993" hidden="1" customHeight="1" x14ac:dyDescent="0.2"/>
    <row r="18828" ht="9.9499999999999993" hidden="1" customHeight="1" x14ac:dyDescent="0.2"/>
    <row r="18829" ht="9.9499999999999993" hidden="1" customHeight="1" x14ac:dyDescent="0.2"/>
    <row r="18830" ht="9.9499999999999993" hidden="1" customHeight="1" x14ac:dyDescent="0.2"/>
    <row r="18831" ht="9.9499999999999993" hidden="1" customHeight="1" x14ac:dyDescent="0.2"/>
    <row r="18832" ht="9.9499999999999993" hidden="1" customHeight="1" x14ac:dyDescent="0.2"/>
    <row r="18833" ht="9.9499999999999993" hidden="1" customHeight="1" x14ac:dyDescent="0.2"/>
    <row r="18834" ht="9.9499999999999993" hidden="1" customHeight="1" x14ac:dyDescent="0.2"/>
    <row r="18835" ht="9.9499999999999993" hidden="1" customHeight="1" x14ac:dyDescent="0.2"/>
    <row r="18836" ht="9.9499999999999993" hidden="1" customHeight="1" x14ac:dyDescent="0.2"/>
    <row r="18837" ht="9.9499999999999993" hidden="1" customHeight="1" x14ac:dyDescent="0.2"/>
    <row r="18838" ht="9.9499999999999993" hidden="1" customHeight="1" x14ac:dyDescent="0.2"/>
    <row r="18839" ht="9.9499999999999993" hidden="1" customHeight="1" x14ac:dyDescent="0.2"/>
    <row r="18840" ht="9.9499999999999993" hidden="1" customHeight="1" x14ac:dyDescent="0.2"/>
    <row r="18841" ht="9.9499999999999993" hidden="1" customHeight="1" x14ac:dyDescent="0.2"/>
    <row r="18842" ht="9.9499999999999993" hidden="1" customHeight="1" x14ac:dyDescent="0.2"/>
    <row r="18843" ht="9.9499999999999993" hidden="1" customHeight="1" x14ac:dyDescent="0.2"/>
    <row r="18844" ht="9.9499999999999993" hidden="1" customHeight="1" x14ac:dyDescent="0.2"/>
    <row r="18845" ht="9.9499999999999993" hidden="1" customHeight="1" x14ac:dyDescent="0.2"/>
    <row r="18846" ht="9.9499999999999993" hidden="1" customHeight="1" x14ac:dyDescent="0.2"/>
    <row r="18847" ht="9.9499999999999993" hidden="1" customHeight="1" x14ac:dyDescent="0.2"/>
    <row r="18848" ht="9.9499999999999993" hidden="1" customHeight="1" x14ac:dyDescent="0.2"/>
    <row r="18849" ht="9.9499999999999993" hidden="1" customHeight="1" x14ac:dyDescent="0.2"/>
    <row r="18850" ht="9.9499999999999993" hidden="1" customHeight="1" x14ac:dyDescent="0.2"/>
    <row r="18851" ht="9.9499999999999993" hidden="1" customHeight="1" x14ac:dyDescent="0.2"/>
    <row r="18852" ht="9.9499999999999993" hidden="1" customHeight="1" x14ac:dyDescent="0.2"/>
    <row r="18853" ht="9.9499999999999993" hidden="1" customHeight="1" x14ac:dyDescent="0.2"/>
    <row r="18854" ht="9.9499999999999993" hidden="1" customHeight="1" x14ac:dyDescent="0.2"/>
    <row r="18855" ht="9.9499999999999993" hidden="1" customHeight="1" x14ac:dyDescent="0.2"/>
    <row r="18856" ht="9.9499999999999993" hidden="1" customHeight="1" x14ac:dyDescent="0.2"/>
    <row r="18857" ht="9.9499999999999993" hidden="1" customHeight="1" x14ac:dyDescent="0.2"/>
    <row r="18858" ht="9.9499999999999993" hidden="1" customHeight="1" x14ac:dyDescent="0.2"/>
    <row r="18859" ht="9.9499999999999993" hidden="1" customHeight="1" x14ac:dyDescent="0.2"/>
    <row r="18860" ht="9.9499999999999993" hidden="1" customHeight="1" x14ac:dyDescent="0.2"/>
    <row r="18861" ht="9.9499999999999993" hidden="1" customHeight="1" x14ac:dyDescent="0.2"/>
    <row r="18862" ht="9.9499999999999993" hidden="1" customHeight="1" x14ac:dyDescent="0.2"/>
    <row r="18863" ht="9.9499999999999993" hidden="1" customHeight="1" x14ac:dyDescent="0.2"/>
    <row r="18864" ht="9.9499999999999993" hidden="1" customHeight="1" x14ac:dyDescent="0.2"/>
    <row r="18865" ht="9.9499999999999993" hidden="1" customHeight="1" x14ac:dyDescent="0.2"/>
    <row r="18866" ht="9.9499999999999993" hidden="1" customHeight="1" x14ac:dyDescent="0.2"/>
    <row r="18867" ht="9.9499999999999993" hidden="1" customHeight="1" x14ac:dyDescent="0.2"/>
    <row r="18868" ht="9.9499999999999993" hidden="1" customHeight="1" x14ac:dyDescent="0.2"/>
    <row r="18869" ht="9.9499999999999993" hidden="1" customHeight="1" x14ac:dyDescent="0.2"/>
    <row r="18870" ht="9.9499999999999993" hidden="1" customHeight="1" x14ac:dyDescent="0.2"/>
    <row r="18871" ht="9.9499999999999993" hidden="1" customHeight="1" x14ac:dyDescent="0.2"/>
    <row r="18872" ht="9.9499999999999993" hidden="1" customHeight="1" x14ac:dyDescent="0.2"/>
    <row r="18873" ht="9.9499999999999993" hidden="1" customHeight="1" x14ac:dyDescent="0.2"/>
    <row r="18874" ht="9.9499999999999993" hidden="1" customHeight="1" x14ac:dyDescent="0.2"/>
    <row r="18875" ht="9.9499999999999993" hidden="1" customHeight="1" x14ac:dyDescent="0.2"/>
    <row r="18876" ht="9.9499999999999993" hidden="1" customHeight="1" x14ac:dyDescent="0.2"/>
    <row r="18877" ht="9.9499999999999993" hidden="1" customHeight="1" x14ac:dyDescent="0.2"/>
    <row r="18878" ht="9.9499999999999993" hidden="1" customHeight="1" x14ac:dyDescent="0.2"/>
    <row r="18879" ht="9.9499999999999993" hidden="1" customHeight="1" x14ac:dyDescent="0.2"/>
    <row r="18880" ht="9.9499999999999993" hidden="1" customHeight="1" x14ac:dyDescent="0.2"/>
    <row r="18881" ht="9.9499999999999993" hidden="1" customHeight="1" x14ac:dyDescent="0.2"/>
    <row r="18882" ht="9.9499999999999993" hidden="1" customHeight="1" x14ac:dyDescent="0.2"/>
    <row r="18883" ht="9.9499999999999993" hidden="1" customHeight="1" x14ac:dyDescent="0.2"/>
    <row r="18884" ht="9.9499999999999993" hidden="1" customHeight="1" x14ac:dyDescent="0.2"/>
    <row r="18885" ht="9.9499999999999993" hidden="1" customHeight="1" x14ac:dyDescent="0.2"/>
    <row r="18886" ht="9.9499999999999993" hidden="1" customHeight="1" x14ac:dyDescent="0.2"/>
    <row r="18887" ht="9.9499999999999993" hidden="1" customHeight="1" x14ac:dyDescent="0.2"/>
    <row r="18888" ht="9.9499999999999993" hidden="1" customHeight="1" x14ac:dyDescent="0.2"/>
    <row r="18889" ht="9.9499999999999993" hidden="1" customHeight="1" x14ac:dyDescent="0.2"/>
    <row r="18890" ht="9.9499999999999993" hidden="1" customHeight="1" x14ac:dyDescent="0.2"/>
    <row r="18891" ht="9.9499999999999993" hidden="1" customHeight="1" x14ac:dyDescent="0.2"/>
    <row r="18892" ht="9.9499999999999993" hidden="1" customHeight="1" x14ac:dyDescent="0.2"/>
    <row r="18893" ht="9.9499999999999993" hidden="1" customHeight="1" x14ac:dyDescent="0.2"/>
    <row r="18894" ht="9.9499999999999993" hidden="1" customHeight="1" x14ac:dyDescent="0.2"/>
    <row r="18895" ht="9.9499999999999993" hidden="1" customHeight="1" x14ac:dyDescent="0.2"/>
    <row r="18896" ht="9.9499999999999993" hidden="1" customHeight="1" x14ac:dyDescent="0.2"/>
    <row r="18897" ht="9.9499999999999993" hidden="1" customHeight="1" x14ac:dyDescent="0.2"/>
    <row r="18898" ht="9.9499999999999993" hidden="1" customHeight="1" x14ac:dyDescent="0.2"/>
    <row r="18899" ht="9.9499999999999993" hidden="1" customHeight="1" x14ac:dyDescent="0.2"/>
    <row r="18900" ht="9.9499999999999993" hidden="1" customHeight="1" x14ac:dyDescent="0.2"/>
    <row r="18901" ht="9.9499999999999993" hidden="1" customHeight="1" x14ac:dyDescent="0.2"/>
    <row r="18902" ht="9.9499999999999993" hidden="1" customHeight="1" x14ac:dyDescent="0.2"/>
    <row r="18903" ht="9.9499999999999993" hidden="1" customHeight="1" x14ac:dyDescent="0.2"/>
    <row r="18904" ht="9.9499999999999993" hidden="1" customHeight="1" x14ac:dyDescent="0.2"/>
    <row r="18905" ht="9.9499999999999993" hidden="1" customHeight="1" x14ac:dyDescent="0.2"/>
    <row r="18906" ht="9.9499999999999993" hidden="1" customHeight="1" x14ac:dyDescent="0.2"/>
    <row r="18907" ht="9.9499999999999993" hidden="1" customHeight="1" x14ac:dyDescent="0.2"/>
    <row r="18908" ht="9.9499999999999993" hidden="1" customHeight="1" x14ac:dyDescent="0.2"/>
    <row r="18909" ht="9.9499999999999993" hidden="1" customHeight="1" x14ac:dyDescent="0.2"/>
    <row r="18910" ht="9.9499999999999993" hidden="1" customHeight="1" x14ac:dyDescent="0.2"/>
    <row r="18911" ht="9.9499999999999993" hidden="1" customHeight="1" x14ac:dyDescent="0.2"/>
    <row r="18912" ht="9.9499999999999993" hidden="1" customHeight="1" x14ac:dyDescent="0.2"/>
    <row r="18913" ht="9.9499999999999993" hidden="1" customHeight="1" x14ac:dyDescent="0.2"/>
    <row r="18914" ht="9.9499999999999993" hidden="1" customHeight="1" x14ac:dyDescent="0.2"/>
    <row r="18915" ht="9.9499999999999993" hidden="1" customHeight="1" x14ac:dyDescent="0.2"/>
    <row r="18916" ht="9.9499999999999993" hidden="1" customHeight="1" x14ac:dyDescent="0.2"/>
    <row r="18917" ht="9.9499999999999993" hidden="1" customHeight="1" x14ac:dyDescent="0.2"/>
    <row r="18918" ht="9.9499999999999993" hidden="1" customHeight="1" x14ac:dyDescent="0.2"/>
    <row r="18919" ht="9.9499999999999993" hidden="1" customHeight="1" x14ac:dyDescent="0.2"/>
    <row r="18920" ht="9.9499999999999993" hidden="1" customHeight="1" x14ac:dyDescent="0.2"/>
    <row r="18921" ht="9.9499999999999993" hidden="1" customHeight="1" x14ac:dyDescent="0.2"/>
    <row r="18922" ht="9.9499999999999993" hidden="1" customHeight="1" x14ac:dyDescent="0.2"/>
    <row r="18923" ht="9.9499999999999993" hidden="1" customHeight="1" x14ac:dyDescent="0.2"/>
    <row r="18924" ht="9.9499999999999993" hidden="1" customHeight="1" x14ac:dyDescent="0.2"/>
    <row r="18925" ht="9.9499999999999993" hidden="1" customHeight="1" x14ac:dyDescent="0.2"/>
    <row r="18926" ht="9.9499999999999993" hidden="1" customHeight="1" x14ac:dyDescent="0.2"/>
    <row r="18927" ht="9.9499999999999993" hidden="1" customHeight="1" x14ac:dyDescent="0.2"/>
    <row r="18928" ht="9.9499999999999993" hidden="1" customHeight="1" x14ac:dyDescent="0.2"/>
    <row r="18929" ht="9.9499999999999993" hidden="1" customHeight="1" x14ac:dyDescent="0.2"/>
    <row r="18930" ht="9.9499999999999993" hidden="1" customHeight="1" x14ac:dyDescent="0.2"/>
    <row r="18931" ht="9.9499999999999993" hidden="1" customHeight="1" x14ac:dyDescent="0.2"/>
    <row r="18932" ht="9.9499999999999993" hidden="1" customHeight="1" x14ac:dyDescent="0.2"/>
    <row r="18933" ht="9.9499999999999993" hidden="1" customHeight="1" x14ac:dyDescent="0.2"/>
    <row r="18934" ht="9.9499999999999993" hidden="1" customHeight="1" x14ac:dyDescent="0.2"/>
    <row r="18935" ht="9.9499999999999993" hidden="1" customHeight="1" x14ac:dyDescent="0.2"/>
    <row r="18936" ht="9.9499999999999993" hidden="1" customHeight="1" x14ac:dyDescent="0.2"/>
    <row r="18937" ht="9.9499999999999993" hidden="1" customHeight="1" x14ac:dyDescent="0.2"/>
    <row r="18938" ht="9.9499999999999993" hidden="1" customHeight="1" x14ac:dyDescent="0.2"/>
    <row r="18939" ht="9.9499999999999993" hidden="1" customHeight="1" x14ac:dyDescent="0.2"/>
    <row r="18940" ht="9.9499999999999993" hidden="1" customHeight="1" x14ac:dyDescent="0.2"/>
    <row r="18941" ht="9.9499999999999993" hidden="1" customHeight="1" x14ac:dyDescent="0.2"/>
    <row r="18942" ht="9.9499999999999993" hidden="1" customHeight="1" x14ac:dyDescent="0.2"/>
    <row r="18943" ht="9.9499999999999993" hidden="1" customHeight="1" x14ac:dyDescent="0.2"/>
    <row r="18944" ht="9.9499999999999993" hidden="1" customHeight="1" x14ac:dyDescent="0.2"/>
    <row r="18945" ht="9.9499999999999993" hidden="1" customHeight="1" x14ac:dyDescent="0.2"/>
    <row r="18946" ht="9.9499999999999993" hidden="1" customHeight="1" x14ac:dyDescent="0.2"/>
    <row r="18947" ht="9.9499999999999993" hidden="1" customHeight="1" x14ac:dyDescent="0.2"/>
    <row r="18948" ht="9.9499999999999993" hidden="1" customHeight="1" x14ac:dyDescent="0.2"/>
    <row r="18949" ht="9.9499999999999993" hidden="1" customHeight="1" x14ac:dyDescent="0.2"/>
    <row r="18950" ht="9.9499999999999993" hidden="1" customHeight="1" x14ac:dyDescent="0.2"/>
    <row r="18951" ht="9.9499999999999993" hidden="1" customHeight="1" x14ac:dyDescent="0.2"/>
    <row r="18952" ht="9.9499999999999993" hidden="1" customHeight="1" x14ac:dyDescent="0.2"/>
    <row r="18953" ht="9.9499999999999993" hidden="1" customHeight="1" x14ac:dyDescent="0.2"/>
    <row r="18954" ht="9.9499999999999993" hidden="1" customHeight="1" x14ac:dyDescent="0.2"/>
    <row r="18955" ht="9.9499999999999993" hidden="1" customHeight="1" x14ac:dyDescent="0.2"/>
    <row r="18956" ht="9.9499999999999993" hidden="1" customHeight="1" x14ac:dyDescent="0.2"/>
    <row r="18957" ht="9.9499999999999993" hidden="1" customHeight="1" x14ac:dyDescent="0.2"/>
    <row r="18958" ht="9.9499999999999993" hidden="1" customHeight="1" x14ac:dyDescent="0.2"/>
    <row r="18959" ht="9.9499999999999993" hidden="1" customHeight="1" x14ac:dyDescent="0.2"/>
    <row r="18960" ht="9.9499999999999993" hidden="1" customHeight="1" x14ac:dyDescent="0.2"/>
    <row r="18961" ht="9.9499999999999993" hidden="1" customHeight="1" x14ac:dyDescent="0.2"/>
    <row r="18962" ht="9.9499999999999993" hidden="1" customHeight="1" x14ac:dyDescent="0.2"/>
    <row r="18963" ht="9.9499999999999993" hidden="1" customHeight="1" x14ac:dyDescent="0.2"/>
    <row r="18964" ht="9.9499999999999993" hidden="1" customHeight="1" x14ac:dyDescent="0.2"/>
    <row r="18965" ht="9.9499999999999993" hidden="1" customHeight="1" x14ac:dyDescent="0.2"/>
    <row r="18966" ht="9.9499999999999993" hidden="1" customHeight="1" x14ac:dyDescent="0.2"/>
    <row r="18967" ht="9.9499999999999993" hidden="1" customHeight="1" x14ac:dyDescent="0.2"/>
    <row r="18968" ht="9.9499999999999993" hidden="1" customHeight="1" x14ac:dyDescent="0.2"/>
    <row r="18969" ht="9.9499999999999993" hidden="1" customHeight="1" x14ac:dyDescent="0.2"/>
    <row r="18970" ht="9.9499999999999993" hidden="1" customHeight="1" x14ac:dyDescent="0.2"/>
    <row r="18971" ht="9.9499999999999993" hidden="1" customHeight="1" x14ac:dyDescent="0.2"/>
    <row r="18972" ht="9.9499999999999993" hidden="1" customHeight="1" x14ac:dyDescent="0.2"/>
    <row r="18973" ht="9.9499999999999993" hidden="1" customHeight="1" x14ac:dyDescent="0.2"/>
    <row r="18974" ht="9.9499999999999993" hidden="1" customHeight="1" x14ac:dyDescent="0.2"/>
    <row r="18975" ht="9.9499999999999993" hidden="1" customHeight="1" x14ac:dyDescent="0.2"/>
    <row r="18976" ht="9.9499999999999993" hidden="1" customHeight="1" x14ac:dyDescent="0.2"/>
    <row r="18977" ht="9.9499999999999993" hidden="1" customHeight="1" x14ac:dyDescent="0.2"/>
    <row r="18978" ht="9.9499999999999993" hidden="1" customHeight="1" x14ac:dyDescent="0.2"/>
    <row r="18979" ht="9.9499999999999993" hidden="1" customHeight="1" x14ac:dyDescent="0.2"/>
    <row r="18980" ht="9.9499999999999993" hidden="1" customHeight="1" x14ac:dyDescent="0.2"/>
    <row r="18981" ht="9.9499999999999993" hidden="1" customHeight="1" x14ac:dyDescent="0.2"/>
    <row r="18982" ht="9.9499999999999993" hidden="1" customHeight="1" x14ac:dyDescent="0.2"/>
    <row r="18983" ht="9.9499999999999993" hidden="1" customHeight="1" x14ac:dyDescent="0.2"/>
    <row r="18984" ht="9.9499999999999993" hidden="1" customHeight="1" x14ac:dyDescent="0.2"/>
    <row r="18985" ht="9.9499999999999993" hidden="1" customHeight="1" x14ac:dyDescent="0.2"/>
    <row r="18986" ht="9.9499999999999993" hidden="1" customHeight="1" x14ac:dyDescent="0.2"/>
    <row r="18987" ht="9.9499999999999993" hidden="1" customHeight="1" x14ac:dyDescent="0.2"/>
    <row r="18988" ht="9.9499999999999993" hidden="1" customHeight="1" x14ac:dyDescent="0.2"/>
    <row r="18989" ht="9.9499999999999993" hidden="1" customHeight="1" x14ac:dyDescent="0.2"/>
    <row r="18990" ht="9.9499999999999993" hidden="1" customHeight="1" x14ac:dyDescent="0.2"/>
    <row r="18991" ht="9.9499999999999993" hidden="1" customHeight="1" x14ac:dyDescent="0.2"/>
    <row r="18992" ht="9.9499999999999993" hidden="1" customHeight="1" x14ac:dyDescent="0.2"/>
    <row r="18993" ht="9.9499999999999993" hidden="1" customHeight="1" x14ac:dyDescent="0.2"/>
    <row r="18994" ht="9.9499999999999993" hidden="1" customHeight="1" x14ac:dyDescent="0.2"/>
    <row r="18995" ht="9.9499999999999993" hidden="1" customHeight="1" x14ac:dyDescent="0.2"/>
    <row r="18996" ht="9.9499999999999993" hidden="1" customHeight="1" x14ac:dyDescent="0.2"/>
    <row r="18997" ht="9.9499999999999993" hidden="1" customHeight="1" x14ac:dyDescent="0.2"/>
    <row r="18998" ht="9.9499999999999993" hidden="1" customHeight="1" x14ac:dyDescent="0.2"/>
    <row r="18999" ht="9.9499999999999993" hidden="1" customHeight="1" x14ac:dyDescent="0.2"/>
    <row r="19000" ht="9.9499999999999993" hidden="1" customHeight="1" x14ac:dyDescent="0.2"/>
    <row r="19001" ht="9.9499999999999993" hidden="1" customHeight="1" x14ac:dyDescent="0.2"/>
    <row r="19002" ht="9.9499999999999993" hidden="1" customHeight="1" x14ac:dyDescent="0.2"/>
    <row r="19003" ht="9.9499999999999993" hidden="1" customHeight="1" x14ac:dyDescent="0.2"/>
    <row r="19004" ht="9.9499999999999993" hidden="1" customHeight="1" x14ac:dyDescent="0.2"/>
    <row r="19005" ht="9.9499999999999993" hidden="1" customHeight="1" x14ac:dyDescent="0.2"/>
    <row r="19006" ht="9.9499999999999993" hidden="1" customHeight="1" x14ac:dyDescent="0.2"/>
    <row r="19007" ht="9.9499999999999993" hidden="1" customHeight="1" x14ac:dyDescent="0.2"/>
    <row r="19008" ht="9.9499999999999993" hidden="1" customHeight="1" x14ac:dyDescent="0.2"/>
    <row r="19009" ht="9.9499999999999993" hidden="1" customHeight="1" x14ac:dyDescent="0.2"/>
    <row r="19010" ht="9.9499999999999993" hidden="1" customHeight="1" x14ac:dyDescent="0.2"/>
    <row r="19011" ht="9.9499999999999993" hidden="1" customHeight="1" x14ac:dyDescent="0.2"/>
    <row r="19012" ht="9.9499999999999993" hidden="1" customHeight="1" x14ac:dyDescent="0.2"/>
    <row r="19013" ht="9.9499999999999993" hidden="1" customHeight="1" x14ac:dyDescent="0.2"/>
    <row r="19014" ht="9.9499999999999993" hidden="1" customHeight="1" x14ac:dyDescent="0.2"/>
    <row r="19015" ht="9.9499999999999993" hidden="1" customHeight="1" x14ac:dyDescent="0.2"/>
    <row r="19016" ht="9.9499999999999993" hidden="1" customHeight="1" x14ac:dyDescent="0.2"/>
    <row r="19017" ht="9.9499999999999993" hidden="1" customHeight="1" x14ac:dyDescent="0.2"/>
    <row r="19018" ht="9.9499999999999993" hidden="1" customHeight="1" x14ac:dyDescent="0.2"/>
    <row r="19019" ht="9.9499999999999993" hidden="1" customHeight="1" x14ac:dyDescent="0.2"/>
    <row r="19020" ht="9.9499999999999993" hidden="1" customHeight="1" x14ac:dyDescent="0.2"/>
    <row r="19021" ht="9.9499999999999993" hidden="1" customHeight="1" x14ac:dyDescent="0.2"/>
    <row r="19022" ht="9.9499999999999993" hidden="1" customHeight="1" x14ac:dyDescent="0.2"/>
    <row r="19023" ht="9.9499999999999993" hidden="1" customHeight="1" x14ac:dyDescent="0.2"/>
    <row r="19024" ht="9.9499999999999993" hidden="1" customHeight="1" x14ac:dyDescent="0.2"/>
    <row r="19025" ht="9.9499999999999993" hidden="1" customHeight="1" x14ac:dyDescent="0.2"/>
    <row r="19026" ht="9.9499999999999993" hidden="1" customHeight="1" x14ac:dyDescent="0.2"/>
    <row r="19027" ht="9.9499999999999993" hidden="1" customHeight="1" x14ac:dyDescent="0.2"/>
    <row r="19028" ht="9.9499999999999993" hidden="1" customHeight="1" x14ac:dyDescent="0.2"/>
    <row r="19029" ht="9.9499999999999993" hidden="1" customHeight="1" x14ac:dyDescent="0.2"/>
    <row r="19030" ht="9.9499999999999993" hidden="1" customHeight="1" x14ac:dyDescent="0.2"/>
    <row r="19031" ht="9.9499999999999993" hidden="1" customHeight="1" x14ac:dyDescent="0.2"/>
    <row r="19032" ht="9.9499999999999993" hidden="1" customHeight="1" x14ac:dyDescent="0.2"/>
    <row r="19033" ht="9.9499999999999993" hidden="1" customHeight="1" x14ac:dyDescent="0.2"/>
    <row r="19034" ht="9.9499999999999993" hidden="1" customHeight="1" x14ac:dyDescent="0.2"/>
    <row r="19035" ht="9.9499999999999993" hidden="1" customHeight="1" x14ac:dyDescent="0.2"/>
    <row r="19036" ht="9.9499999999999993" hidden="1" customHeight="1" x14ac:dyDescent="0.2"/>
    <row r="19037" ht="9.9499999999999993" hidden="1" customHeight="1" x14ac:dyDescent="0.2"/>
    <row r="19038" ht="9.9499999999999993" hidden="1" customHeight="1" x14ac:dyDescent="0.2"/>
    <row r="19039" ht="9.9499999999999993" hidden="1" customHeight="1" x14ac:dyDescent="0.2"/>
    <row r="19040" ht="9.9499999999999993" hidden="1" customHeight="1" x14ac:dyDescent="0.2"/>
    <row r="19041" ht="9.9499999999999993" hidden="1" customHeight="1" x14ac:dyDescent="0.2"/>
    <row r="19042" ht="9.9499999999999993" hidden="1" customHeight="1" x14ac:dyDescent="0.2"/>
    <row r="19043" ht="9.9499999999999993" hidden="1" customHeight="1" x14ac:dyDescent="0.2"/>
    <row r="19044" ht="9.9499999999999993" hidden="1" customHeight="1" x14ac:dyDescent="0.2"/>
    <row r="19045" ht="9.9499999999999993" hidden="1" customHeight="1" x14ac:dyDescent="0.2"/>
    <row r="19046" ht="9.9499999999999993" hidden="1" customHeight="1" x14ac:dyDescent="0.2"/>
    <row r="19047" ht="9.9499999999999993" hidden="1" customHeight="1" x14ac:dyDescent="0.2"/>
    <row r="19048" ht="9.9499999999999993" hidden="1" customHeight="1" x14ac:dyDescent="0.2"/>
    <row r="19049" ht="9.9499999999999993" hidden="1" customHeight="1" x14ac:dyDescent="0.2"/>
    <row r="19050" ht="9.9499999999999993" hidden="1" customHeight="1" x14ac:dyDescent="0.2"/>
    <row r="19051" ht="9.9499999999999993" hidden="1" customHeight="1" x14ac:dyDescent="0.2"/>
    <row r="19052" ht="9.9499999999999993" hidden="1" customHeight="1" x14ac:dyDescent="0.2"/>
    <row r="19053" ht="9.9499999999999993" hidden="1" customHeight="1" x14ac:dyDescent="0.2"/>
    <row r="19054" ht="9.9499999999999993" hidden="1" customHeight="1" x14ac:dyDescent="0.2"/>
    <row r="19055" ht="9.9499999999999993" hidden="1" customHeight="1" x14ac:dyDescent="0.2"/>
    <row r="19056" ht="9.9499999999999993" hidden="1" customHeight="1" x14ac:dyDescent="0.2"/>
    <row r="19057" ht="9.9499999999999993" hidden="1" customHeight="1" x14ac:dyDescent="0.2"/>
    <row r="19058" ht="9.9499999999999993" hidden="1" customHeight="1" x14ac:dyDescent="0.2"/>
    <row r="19059" ht="9.9499999999999993" hidden="1" customHeight="1" x14ac:dyDescent="0.2"/>
    <row r="19060" ht="9.9499999999999993" hidden="1" customHeight="1" x14ac:dyDescent="0.2"/>
    <row r="19061" ht="9.9499999999999993" hidden="1" customHeight="1" x14ac:dyDescent="0.2"/>
    <row r="19062" ht="9.9499999999999993" hidden="1" customHeight="1" x14ac:dyDescent="0.2"/>
    <row r="19063" ht="9.9499999999999993" hidden="1" customHeight="1" x14ac:dyDescent="0.2"/>
    <row r="19064" ht="9.9499999999999993" hidden="1" customHeight="1" x14ac:dyDescent="0.2"/>
    <row r="19065" ht="9.9499999999999993" hidden="1" customHeight="1" x14ac:dyDescent="0.2"/>
    <row r="19066" ht="9.9499999999999993" hidden="1" customHeight="1" x14ac:dyDescent="0.2"/>
    <row r="19067" ht="9.9499999999999993" hidden="1" customHeight="1" x14ac:dyDescent="0.2"/>
    <row r="19068" ht="9.9499999999999993" hidden="1" customHeight="1" x14ac:dyDescent="0.2"/>
    <row r="19069" ht="9.9499999999999993" hidden="1" customHeight="1" x14ac:dyDescent="0.2"/>
    <row r="19070" ht="9.9499999999999993" hidden="1" customHeight="1" x14ac:dyDescent="0.2"/>
    <row r="19071" ht="9.9499999999999993" hidden="1" customHeight="1" x14ac:dyDescent="0.2"/>
    <row r="19072" ht="9.9499999999999993" hidden="1" customHeight="1" x14ac:dyDescent="0.2"/>
    <row r="19073" ht="9.9499999999999993" hidden="1" customHeight="1" x14ac:dyDescent="0.2"/>
    <row r="19074" ht="9.9499999999999993" hidden="1" customHeight="1" x14ac:dyDescent="0.2"/>
    <row r="19075" ht="9.9499999999999993" hidden="1" customHeight="1" x14ac:dyDescent="0.2"/>
    <row r="19076" ht="9.9499999999999993" hidden="1" customHeight="1" x14ac:dyDescent="0.2"/>
    <row r="19077" ht="9.9499999999999993" hidden="1" customHeight="1" x14ac:dyDescent="0.2"/>
    <row r="19078" ht="9.9499999999999993" hidden="1" customHeight="1" x14ac:dyDescent="0.2"/>
    <row r="19079" ht="9.9499999999999993" hidden="1" customHeight="1" x14ac:dyDescent="0.2"/>
    <row r="19080" ht="9.9499999999999993" hidden="1" customHeight="1" x14ac:dyDescent="0.2"/>
    <row r="19081" ht="9.9499999999999993" hidden="1" customHeight="1" x14ac:dyDescent="0.2"/>
    <row r="19082" ht="9.9499999999999993" hidden="1" customHeight="1" x14ac:dyDescent="0.2"/>
    <row r="19083" ht="9.9499999999999993" hidden="1" customHeight="1" x14ac:dyDescent="0.2"/>
    <row r="19084" ht="9.9499999999999993" hidden="1" customHeight="1" x14ac:dyDescent="0.2"/>
    <row r="19085" ht="9.9499999999999993" hidden="1" customHeight="1" x14ac:dyDescent="0.2"/>
    <row r="19086" ht="9.9499999999999993" hidden="1" customHeight="1" x14ac:dyDescent="0.2"/>
    <row r="19087" ht="9.9499999999999993" hidden="1" customHeight="1" x14ac:dyDescent="0.2"/>
    <row r="19088" ht="9.9499999999999993" hidden="1" customHeight="1" x14ac:dyDescent="0.2"/>
    <row r="19089" ht="9.9499999999999993" hidden="1" customHeight="1" x14ac:dyDescent="0.2"/>
    <row r="19090" ht="9.9499999999999993" hidden="1" customHeight="1" x14ac:dyDescent="0.2"/>
    <row r="19091" ht="9.9499999999999993" hidden="1" customHeight="1" x14ac:dyDescent="0.2"/>
    <row r="19092" ht="9.9499999999999993" hidden="1" customHeight="1" x14ac:dyDescent="0.2"/>
    <row r="19093" ht="9.9499999999999993" hidden="1" customHeight="1" x14ac:dyDescent="0.2"/>
    <row r="19094" ht="9.9499999999999993" hidden="1" customHeight="1" x14ac:dyDescent="0.2"/>
    <row r="19095" ht="9.9499999999999993" hidden="1" customHeight="1" x14ac:dyDescent="0.2"/>
    <row r="19096" ht="9.9499999999999993" hidden="1" customHeight="1" x14ac:dyDescent="0.2"/>
    <row r="19097" ht="9.9499999999999993" hidden="1" customHeight="1" x14ac:dyDescent="0.2"/>
    <row r="19098" ht="9.9499999999999993" hidden="1" customHeight="1" x14ac:dyDescent="0.2"/>
    <row r="19099" ht="9.9499999999999993" hidden="1" customHeight="1" x14ac:dyDescent="0.2"/>
    <row r="19100" ht="9.9499999999999993" hidden="1" customHeight="1" x14ac:dyDescent="0.2"/>
    <row r="19101" ht="9.9499999999999993" hidden="1" customHeight="1" x14ac:dyDescent="0.2"/>
    <row r="19102" ht="9.9499999999999993" hidden="1" customHeight="1" x14ac:dyDescent="0.2"/>
    <row r="19103" ht="9.9499999999999993" hidden="1" customHeight="1" x14ac:dyDescent="0.2"/>
    <row r="19104" ht="9.9499999999999993" hidden="1" customHeight="1" x14ac:dyDescent="0.2"/>
    <row r="19105" ht="9.9499999999999993" hidden="1" customHeight="1" x14ac:dyDescent="0.2"/>
    <row r="19106" ht="9.9499999999999993" hidden="1" customHeight="1" x14ac:dyDescent="0.2"/>
    <row r="19107" ht="9.9499999999999993" hidden="1" customHeight="1" x14ac:dyDescent="0.2"/>
    <row r="19108" ht="9.9499999999999993" hidden="1" customHeight="1" x14ac:dyDescent="0.2"/>
    <row r="19109" ht="9.9499999999999993" hidden="1" customHeight="1" x14ac:dyDescent="0.2"/>
    <row r="19110" ht="9.9499999999999993" hidden="1" customHeight="1" x14ac:dyDescent="0.2"/>
    <row r="19111" ht="9.9499999999999993" hidden="1" customHeight="1" x14ac:dyDescent="0.2"/>
    <row r="19112" ht="9.9499999999999993" hidden="1" customHeight="1" x14ac:dyDescent="0.2"/>
    <row r="19113" ht="9.9499999999999993" hidden="1" customHeight="1" x14ac:dyDescent="0.2"/>
    <row r="19114" ht="9.9499999999999993" hidden="1" customHeight="1" x14ac:dyDescent="0.2"/>
    <row r="19115" ht="9.9499999999999993" hidden="1" customHeight="1" x14ac:dyDescent="0.2"/>
    <row r="19116" ht="9.9499999999999993" hidden="1" customHeight="1" x14ac:dyDescent="0.2"/>
    <row r="19117" ht="9.9499999999999993" hidden="1" customHeight="1" x14ac:dyDescent="0.2"/>
    <row r="19118" ht="9.9499999999999993" hidden="1" customHeight="1" x14ac:dyDescent="0.2"/>
    <row r="19119" ht="9.9499999999999993" hidden="1" customHeight="1" x14ac:dyDescent="0.2"/>
    <row r="19120" ht="9.9499999999999993" hidden="1" customHeight="1" x14ac:dyDescent="0.2"/>
    <row r="19121" ht="9.9499999999999993" hidden="1" customHeight="1" x14ac:dyDescent="0.2"/>
    <row r="19122" ht="9.9499999999999993" hidden="1" customHeight="1" x14ac:dyDescent="0.2"/>
    <row r="19123" ht="9.9499999999999993" hidden="1" customHeight="1" x14ac:dyDescent="0.2"/>
    <row r="19124" ht="9.9499999999999993" hidden="1" customHeight="1" x14ac:dyDescent="0.2"/>
    <row r="19125" ht="9.9499999999999993" hidden="1" customHeight="1" x14ac:dyDescent="0.2"/>
    <row r="19126" ht="9.9499999999999993" hidden="1" customHeight="1" x14ac:dyDescent="0.2"/>
    <row r="19127" ht="9.9499999999999993" hidden="1" customHeight="1" x14ac:dyDescent="0.2"/>
    <row r="19128" ht="9.9499999999999993" hidden="1" customHeight="1" x14ac:dyDescent="0.2"/>
    <row r="19129" ht="9.9499999999999993" hidden="1" customHeight="1" x14ac:dyDescent="0.2"/>
    <row r="19130" ht="9.9499999999999993" hidden="1" customHeight="1" x14ac:dyDescent="0.2"/>
    <row r="19131" ht="9.9499999999999993" hidden="1" customHeight="1" x14ac:dyDescent="0.2"/>
    <row r="19132" ht="9.9499999999999993" hidden="1" customHeight="1" x14ac:dyDescent="0.2"/>
    <row r="19133" ht="9.9499999999999993" hidden="1" customHeight="1" x14ac:dyDescent="0.2"/>
    <row r="19134" ht="9.9499999999999993" hidden="1" customHeight="1" x14ac:dyDescent="0.2"/>
    <row r="19135" ht="9.9499999999999993" hidden="1" customHeight="1" x14ac:dyDescent="0.2"/>
    <row r="19136" ht="9.9499999999999993" hidden="1" customHeight="1" x14ac:dyDescent="0.2"/>
    <row r="19137" ht="9.9499999999999993" hidden="1" customHeight="1" x14ac:dyDescent="0.2"/>
    <row r="19138" ht="9.9499999999999993" hidden="1" customHeight="1" x14ac:dyDescent="0.2"/>
    <row r="19139" ht="9.9499999999999993" hidden="1" customHeight="1" x14ac:dyDescent="0.2"/>
    <row r="19140" ht="9.9499999999999993" hidden="1" customHeight="1" x14ac:dyDescent="0.2"/>
    <row r="19141" ht="9.9499999999999993" hidden="1" customHeight="1" x14ac:dyDescent="0.2"/>
    <row r="19142" ht="9.9499999999999993" hidden="1" customHeight="1" x14ac:dyDescent="0.2"/>
    <row r="19143" ht="9.9499999999999993" hidden="1" customHeight="1" x14ac:dyDescent="0.2"/>
    <row r="19144" ht="9.9499999999999993" hidden="1" customHeight="1" x14ac:dyDescent="0.2"/>
    <row r="19145" ht="9.9499999999999993" hidden="1" customHeight="1" x14ac:dyDescent="0.2"/>
    <row r="19146" ht="9.9499999999999993" hidden="1" customHeight="1" x14ac:dyDescent="0.2"/>
    <row r="19147" ht="9.9499999999999993" hidden="1" customHeight="1" x14ac:dyDescent="0.2"/>
    <row r="19148" ht="9.9499999999999993" hidden="1" customHeight="1" x14ac:dyDescent="0.2"/>
    <row r="19149" ht="9.9499999999999993" hidden="1" customHeight="1" x14ac:dyDescent="0.2"/>
    <row r="19150" ht="9.9499999999999993" hidden="1" customHeight="1" x14ac:dyDescent="0.2"/>
    <row r="19151" ht="9.9499999999999993" hidden="1" customHeight="1" x14ac:dyDescent="0.2"/>
    <row r="19152" ht="9.9499999999999993" hidden="1" customHeight="1" x14ac:dyDescent="0.2"/>
    <row r="19153" ht="9.9499999999999993" hidden="1" customHeight="1" x14ac:dyDescent="0.2"/>
    <row r="19154" ht="9.9499999999999993" hidden="1" customHeight="1" x14ac:dyDescent="0.2"/>
    <row r="19155" ht="9.9499999999999993" hidden="1" customHeight="1" x14ac:dyDescent="0.2"/>
    <row r="19156" ht="9.9499999999999993" hidden="1" customHeight="1" x14ac:dyDescent="0.2"/>
    <row r="19157" ht="9.9499999999999993" hidden="1" customHeight="1" x14ac:dyDescent="0.2"/>
    <row r="19158" ht="9.9499999999999993" hidden="1" customHeight="1" x14ac:dyDescent="0.2"/>
    <row r="19159" ht="9.9499999999999993" hidden="1" customHeight="1" x14ac:dyDescent="0.2"/>
    <row r="19160" ht="9.9499999999999993" hidden="1" customHeight="1" x14ac:dyDescent="0.2"/>
    <row r="19161" ht="9.9499999999999993" hidden="1" customHeight="1" x14ac:dyDescent="0.2"/>
    <row r="19162" ht="9.9499999999999993" hidden="1" customHeight="1" x14ac:dyDescent="0.2"/>
    <row r="19163" ht="9.9499999999999993" hidden="1" customHeight="1" x14ac:dyDescent="0.2"/>
    <row r="19164" ht="9.9499999999999993" hidden="1" customHeight="1" x14ac:dyDescent="0.2"/>
    <row r="19165" ht="9.9499999999999993" hidden="1" customHeight="1" x14ac:dyDescent="0.2"/>
    <row r="19166" ht="9.9499999999999993" hidden="1" customHeight="1" x14ac:dyDescent="0.2"/>
    <row r="19167" ht="9.9499999999999993" hidden="1" customHeight="1" x14ac:dyDescent="0.2"/>
    <row r="19168" ht="9.9499999999999993" hidden="1" customHeight="1" x14ac:dyDescent="0.2"/>
    <row r="19169" ht="9.9499999999999993" hidden="1" customHeight="1" x14ac:dyDescent="0.2"/>
    <row r="19170" ht="9.9499999999999993" hidden="1" customHeight="1" x14ac:dyDescent="0.2"/>
    <row r="19171" ht="9.9499999999999993" hidden="1" customHeight="1" x14ac:dyDescent="0.2"/>
    <row r="19172" ht="9.9499999999999993" hidden="1" customHeight="1" x14ac:dyDescent="0.2"/>
    <row r="19173" ht="9.9499999999999993" hidden="1" customHeight="1" x14ac:dyDescent="0.2"/>
    <row r="19174" ht="9.9499999999999993" hidden="1" customHeight="1" x14ac:dyDescent="0.2"/>
    <row r="19175" ht="9.9499999999999993" hidden="1" customHeight="1" x14ac:dyDescent="0.2"/>
    <row r="19176" ht="9.9499999999999993" hidden="1" customHeight="1" x14ac:dyDescent="0.2"/>
    <row r="19177" ht="9.9499999999999993" hidden="1" customHeight="1" x14ac:dyDescent="0.2"/>
    <row r="19178" ht="9.9499999999999993" hidden="1" customHeight="1" x14ac:dyDescent="0.2"/>
    <row r="19179" ht="9.9499999999999993" hidden="1" customHeight="1" x14ac:dyDescent="0.2"/>
    <row r="19180" ht="9.9499999999999993" hidden="1" customHeight="1" x14ac:dyDescent="0.2"/>
    <row r="19181" ht="9.9499999999999993" hidden="1" customHeight="1" x14ac:dyDescent="0.2"/>
    <row r="19182" ht="9.9499999999999993" hidden="1" customHeight="1" x14ac:dyDescent="0.2"/>
    <row r="19183" ht="9.9499999999999993" hidden="1" customHeight="1" x14ac:dyDescent="0.2"/>
    <row r="19184" ht="9.9499999999999993" hidden="1" customHeight="1" x14ac:dyDescent="0.2"/>
    <row r="19185" ht="9.9499999999999993" hidden="1" customHeight="1" x14ac:dyDescent="0.2"/>
    <row r="19186" ht="9.9499999999999993" hidden="1" customHeight="1" x14ac:dyDescent="0.2"/>
    <row r="19187" ht="9.9499999999999993" hidden="1" customHeight="1" x14ac:dyDescent="0.2"/>
    <row r="19188" ht="9.9499999999999993" hidden="1" customHeight="1" x14ac:dyDescent="0.2"/>
    <row r="19189" ht="9.9499999999999993" hidden="1" customHeight="1" x14ac:dyDescent="0.2"/>
    <row r="19190" ht="9.9499999999999993" hidden="1" customHeight="1" x14ac:dyDescent="0.2"/>
    <row r="19191" ht="9.9499999999999993" hidden="1" customHeight="1" x14ac:dyDescent="0.2"/>
    <row r="19192" ht="9.9499999999999993" hidden="1" customHeight="1" x14ac:dyDescent="0.2"/>
    <row r="19193" ht="9.9499999999999993" hidden="1" customHeight="1" x14ac:dyDescent="0.2"/>
    <row r="19194" ht="9.9499999999999993" hidden="1" customHeight="1" x14ac:dyDescent="0.2"/>
    <row r="19195" ht="9.9499999999999993" hidden="1" customHeight="1" x14ac:dyDescent="0.2"/>
    <row r="19196" ht="9.9499999999999993" hidden="1" customHeight="1" x14ac:dyDescent="0.2"/>
    <row r="19197" ht="9.9499999999999993" hidden="1" customHeight="1" x14ac:dyDescent="0.2"/>
    <row r="19198" ht="9.9499999999999993" hidden="1" customHeight="1" x14ac:dyDescent="0.2"/>
    <row r="19199" ht="9.9499999999999993" hidden="1" customHeight="1" x14ac:dyDescent="0.2"/>
    <row r="19200" ht="9.9499999999999993" hidden="1" customHeight="1" x14ac:dyDescent="0.2"/>
    <row r="19201" ht="9.9499999999999993" hidden="1" customHeight="1" x14ac:dyDescent="0.2"/>
    <row r="19202" ht="9.9499999999999993" hidden="1" customHeight="1" x14ac:dyDescent="0.2"/>
    <row r="19203" ht="9.9499999999999993" hidden="1" customHeight="1" x14ac:dyDescent="0.2"/>
    <row r="19204" ht="9.9499999999999993" hidden="1" customHeight="1" x14ac:dyDescent="0.2"/>
    <row r="19205" ht="9.9499999999999993" hidden="1" customHeight="1" x14ac:dyDescent="0.2"/>
    <row r="19206" ht="9.9499999999999993" hidden="1" customHeight="1" x14ac:dyDescent="0.2"/>
    <row r="19207" ht="9.9499999999999993" hidden="1" customHeight="1" x14ac:dyDescent="0.2"/>
    <row r="19208" ht="9.9499999999999993" hidden="1" customHeight="1" x14ac:dyDescent="0.2"/>
    <row r="19209" ht="9.9499999999999993" hidden="1" customHeight="1" x14ac:dyDescent="0.2"/>
    <row r="19210" ht="9.9499999999999993" hidden="1" customHeight="1" x14ac:dyDescent="0.2"/>
    <row r="19211" ht="9.9499999999999993" hidden="1" customHeight="1" x14ac:dyDescent="0.2"/>
    <row r="19212" ht="9.9499999999999993" hidden="1" customHeight="1" x14ac:dyDescent="0.2"/>
    <row r="19213" ht="9.9499999999999993" hidden="1" customHeight="1" x14ac:dyDescent="0.2"/>
    <row r="19214" ht="9.9499999999999993" hidden="1" customHeight="1" x14ac:dyDescent="0.2"/>
    <row r="19215" ht="9.9499999999999993" hidden="1" customHeight="1" x14ac:dyDescent="0.2"/>
    <row r="19216" ht="9.9499999999999993" hidden="1" customHeight="1" x14ac:dyDescent="0.2"/>
    <row r="19217" ht="9.9499999999999993" hidden="1" customHeight="1" x14ac:dyDescent="0.2"/>
    <row r="19218" ht="9.9499999999999993" hidden="1" customHeight="1" x14ac:dyDescent="0.2"/>
    <row r="19219" ht="9.9499999999999993" hidden="1" customHeight="1" x14ac:dyDescent="0.2"/>
    <row r="19220" ht="9.9499999999999993" hidden="1" customHeight="1" x14ac:dyDescent="0.2"/>
    <row r="19221" ht="9.9499999999999993" hidden="1" customHeight="1" x14ac:dyDescent="0.2"/>
    <row r="19222" ht="9.9499999999999993" hidden="1" customHeight="1" x14ac:dyDescent="0.2"/>
    <row r="19223" ht="9.9499999999999993" hidden="1" customHeight="1" x14ac:dyDescent="0.2"/>
    <row r="19224" ht="9.9499999999999993" hidden="1" customHeight="1" x14ac:dyDescent="0.2"/>
    <row r="19225" ht="9.9499999999999993" hidden="1" customHeight="1" x14ac:dyDescent="0.2"/>
    <row r="19226" ht="9.9499999999999993" hidden="1" customHeight="1" x14ac:dyDescent="0.2"/>
    <row r="19227" ht="9.9499999999999993" hidden="1" customHeight="1" x14ac:dyDescent="0.2"/>
    <row r="19228" ht="9.9499999999999993" hidden="1" customHeight="1" x14ac:dyDescent="0.2"/>
    <row r="19229" ht="9.9499999999999993" hidden="1" customHeight="1" x14ac:dyDescent="0.2"/>
    <row r="19230" ht="9.9499999999999993" hidden="1" customHeight="1" x14ac:dyDescent="0.2"/>
    <row r="19231" ht="9.9499999999999993" hidden="1" customHeight="1" x14ac:dyDescent="0.2"/>
    <row r="19232" ht="9.9499999999999993" hidden="1" customHeight="1" x14ac:dyDescent="0.2"/>
    <row r="19233" ht="9.9499999999999993" hidden="1" customHeight="1" x14ac:dyDescent="0.2"/>
    <row r="19234" ht="9.9499999999999993" hidden="1" customHeight="1" x14ac:dyDescent="0.2"/>
    <row r="19235" ht="9.9499999999999993" hidden="1" customHeight="1" x14ac:dyDescent="0.2"/>
    <row r="19236" ht="9.9499999999999993" hidden="1" customHeight="1" x14ac:dyDescent="0.2"/>
    <row r="19237" ht="9.9499999999999993" hidden="1" customHeight="1" x14ac:dyDescent="0.2"/>
    <row r="19238" ht="9.9499999999999993" hidden="1" customHeight="1" x14ac:dyDescent="0.2"/>
    <row r="19239" ht="9.9499999999999993" hidden="1" customHeight="1" x14ac:dyDescent="0.2"/>
    <row r="19240" ht="9.9499999999999993" hidden="1" customHeight="1" x14ac:dyDescent="0.2"/>
    <row r="19241" ht="9.9499999999999993" hidden="1" customHeight="1" x14ac:dyDescent="0.2"/>
    <row r="19242" ht="9.9499999999999993" hidden="1" customHeight="1" x14ac:dyDescent="0.2"/>
    <row r="19243" ht="9.9499999999999993" hidden="1" customHeight="1" x14ac:dyDescent="0.2"/>
    <row r="19244" ht="9.9499999999999993" hidden="1" customHeight="1" x14ac:dyDescent="0.2"/>
    <row r="19245" ht="9.9499999999999993" hidden="1" customHeight="1" x14ac:dyDescent="0.2"/>
    <row r="19246" ht="9.9499999999999993" hidden="1" customHeight="1" x14ac:dyDescent="0.2"/>
    <row r="19247" ht="9.9499999999999993" hidden="1" customHeight="1" x14ac:dyDescent="0.2"/>
    <row r="19248" ht="9.9499999999999993" hidden="1" customHeight="1" x14ac:dyDescent="0.2"/>
    <row r="19249" ht="9.9499999999999993" hidden="1" customHeight="1" x14ac:dyDescent="0.2"/>
    <row r="19250" ht="9.9499999999999993" hidden="1" customHeight="1" x14ac:dyDescent="0.2"/>
    <row r="19251" ht="9.9499999999999993" hidden="1" customHeight="1" x14ac:dyDescent="0.2"/>
    <row r="19252" ht="9.9499999999999993" hidden="1" customHeight="1" x14ac:dyDescent="0.2"/>
    <row r="19253" ht="9.9499999999999993" hidden="1" customHeight="1" x14ac:dyDescent="0.2"/>
    <row r="19254" ht="9.9499999999999993" hidden="1" customHeight="1" x14ac:dyDescent="0.2"/>
    <row r="19255" ht="9.9499999999999993" hidden="1" customHeight="1" x14ac:dyDescent="0.2"/>
    <row r="19256" ht="9.9499999999999993" hidden="1" customHeight="1" x14ac:dyDescent="0.2"/>
    <row r="19257" ht="9.9499999999999993" hidden="1" customHeight="1" x14ac:dyDescent="0.2"/>
    <row r="19258" ht="9.9499999999999993" hidden="1" customHeight="1" x14ac:dyDescent="0.2"/>
    <row r="19259" ht="9.9499999999999993" hidden="1" customHeight="1" x14ac:dyDescent="0.2"/>
    <row r="19260" ht="9.9499999999999993" hidden="1" customHeight="1" x14ac:dyDescent="0.2"/>
    <row r="19261" ht="9.9499999999999993" hidden="1" customHeight="1" x14ac:dyDescent="0.2"/>
    <row r="19262" ht="9.9499999999999993" hidden="1" customHeight="1" x14ac:dyDescent="0.2"/>
    <row r="19263" ht="9.9499999999999993" hidden="1" customHeight="1" x14ac:dyDescent="0.2"/>
    <row r="19264" ht="9.9499999999999993" hidden="1" customHeight="1" x14ac:dyDescent="0.2"/>
    <row r="19265" ht="9.9499999999999993" hidden="1" customHeight="1" x14ac:dyDescent="0.2"/>
    <row r="19266" ht="9.9499999999999993" hidden="1" customHeight="1" x14ac:dyDescent="0.2"/>
    <row r="19267" ht="9.9499999999999993" hidden="1" customHeight="1" x14ac:dyDescent="0.2"/>
    <row r="19268" ht="9.9499999999999993" hidden="1" customHeight="1" x14ac:dyDescent="0.2"/>
    <row r="19269" ht="9.9499999999999993" hidden="1" customHeight="1" x14ac:dyDescent="0.2"/>
    <row r="19270" ht="9.9499999999999993" hidden="1" customHeight="1" x14ac:dyDescent="0.2"/>
    <row r="19271" ht="9.9499999999999993" hidden="1" customHeight="1" x14ac:dyDescent="0.2"/>
    <row r="19272" ht="9.9499999999999993" hidden="1" customHeight="1" x14ac:dyDescent="0.2"/>
    <row r="19273" ht="9.9499999999999993" hidden="1" customHeight="1" x14ac:dyDescent="0.2"/>
    <row r="19274" ht="9.9499999999999993" hidden="1" customHeight="1" x14ac:dyDescent="0.2"/>
    <row r="19275" ht="9.9499999999999993" hidden="1" customHeight="1" x14ac:dyDescent="0.2"/>
    <row r="19276" ht="9.9499999999999993" hidden="1" customHeight="1" x14ac:dyDescent="0.2"/>
    <row r="19277" ht="9.9499999999999993" hidden="1" customHeight="1" x14ac:dyDescent="0.2"/>
    <row r="19278" ht="9.9499999999999993" hidden="1" customHeight="1" x14ac:dyDescent="0.2"/>
    <row r="19279" ht="9.9499999999999993" hidden="1" customHeight="1" x14ac:dyDescent="0.2"/>
    <row r="19280" ht="9.9499999999999993" hidden="1" customHeight="1" x14ac:dyDescent="0.2"/>
    <row r="19281" ht="9.9499999999999993" hidden="1" customHeight="1" x14ac:dyDescent="0.2"/>
    <row r="19282" ht="9.9499999999999993" hidden="1" customHeight="1" x14ac:dyDescent="0.2"/>
    <row r="19283" ht="9.9499999999999993" hidden="1" customHeight="1" x14ac:dyDescent="0.2"/>
    <row r="19284" ht="9.9499999999999993" hidden="1" customHeight="1" x14ac:dyDescent="0.2"/>
    <row r="19285" ht="9.9499999999999993" hidden="1" customHeight="1" x14ac:dyDescent="0.2"/>
    <row r="19286" ht="9.9499999999999993" hidden="1" customHeight="1" x14ac:dyDescent="0.2"/>
    <row r="19287" ht="9.9499999999999993" hidden="1" customHeight="1" x14ac:dyDescent="0.2"/>
    <row r="19288" ht="9.9499999999999993" hidden="1" customHeight="1" x14ac:dyDescent="0.2"/>
    <row r="19289" ht="9.9499999999999993" hidden="1" customHeight="1" x14ac:dyDescent="0.2"/>
    <row r="19290" ht="9.9499999999999993" hidden="1" customHeight="1" x14ac:dyDescent="0.2"/>
    <row r="19291" ht="9.9499999999999993" hidden="1" customHeight="1" x14ac:dyDescent="0.2"/>
    <row r="19292" ht="9.9499999999999993" hidden="1" customHeight="1" x14ac:dyDescent="0.2"/>
    <row r="19293" ht="9.9499999999999993" hidden="1" customHeight="1" x14ac:dyDescent="0.2"/>
    <row r="19294" ht="9.9499999999999993" hidden="1" customHeight="1" x14ac:dyDescent="0.2"/>
    <row r="19295" ht="9.9499999999999993" hidden="1" customHeight="1" x14ac:dyDescent="0.2"/>
    <row r="19296" ht="9.9499999999999993" hidden="1" customHeight="1" x14ac:dyDescent="0.2"/>
    <row r="19297" ht="9.9499999999999993" hidden="1" customHeight="1" x14ac:dyDescent="0.2"/>
    <row r="19298" ht="9.9499999999999993" hidden="1" customHeight="1" x14ac:dyDescent="0.2"/>
    <row r="19299" ht="9.9499999999999993" hidden="1" customHeight="1" x14ac:dyDescent="0.2"/>
    <row r="19300" ht="9.9499999999999993" hidden="1" customHeight="1" x14ac:dyDescent="0.2"/>
    <row r="19301" ht="9.9499999999999993" hidden="1" customHeight="1" x14ac:dyDescent="0.2"/>
    <row r="19302" ht="9.9499999999999993" hidden="1" customHeight="1" x14ac:dyDescent="0.2"/>
    <row r="19303" ht="9.9499999999999993" hidden="1" customHeight="1" x14ac:dyDescent="0.2"/>
    <row r="19304" ht="9.9499999999999993" hidden="1" customHeight="1" x14ac:dyDescent="0.2"/>
    <row r="19305" ht="9.9499999999999993" hidden="1" customHeight="1" x14ac:dyDescent="0.2"/>
    <row r="19306" ht="9.9499999999999993" hidden="1" customHeight="1" x14ac:dyDescent="0.2"/>
    <row r="19307" ht="9.9499999999999993" hidden="1" customHeight="1" x14ac:dyDescent="0.2"/>
    <row r="19308" ht="9.9499999999999993" hidden="1" customHeight="1" x14ac:dyDescent="0.2"/>
    <row r="19309" ht="9.9499999999999993" hidden="1" customHeight="1" x14ac:dyDescent="0.2"/>
    <row r="19310" ht="9.9499999999999993" hidden="1" customHeight="1" x14ac:dyDescent="0.2"/>
    <row r="19311" ht="9.9499999999999993" hidden="1" customHeight="1" x14ac:dyDescent="0.2"/>
    <row r="19312" ht="9.9499999999999993" hidden="1" customHeight="1" x14ac:dyDescent="0.2"/>
    <row r="19313" ht="9.9499999999999993" hidden="1" customHeight="1" x14ac:dyDescent="0.2"/>
    <row r="19314" ht="9.9499999999999993" hidden="1" customHeight="1" x14ac:dyDescent="0.2"/>
    <row r="19315" ht="9.9499999999999993" hidden="1" customHeight="1" x14ac:dyDescent="0.2"/>
    <row r="19316" ht="9.9499999999999993" hidden="1" customHeight="1" x14ac:dyDescent="0.2"/>
    <row r="19317" ht="9.9499999999999993" hidden="1" customHeight="1" x14ac:dyDescent="0.2"/>
    <row r="19318" ht="9.9499999999999993" hidden="1" customHeight="1" x14ac:dyDescent="0.2"/>
    <row r="19319" ht="9.9499999999999993" hidden="1" customHeight="1" x14ac:dyDescent="0.2"/>
    <row r="19320" ht="9.9499999999999993" hidden="1" customHeight="1" x14ac:dyDescent="0.2"/>
    <row r="19321" ht="9.9499999999999993" hidden="1" customHeight="1" x14ac:dyDescent="0.2"/>
    <row r="19322" ht="9.9499999999999993" hidden="1" customHeight="1" x14ac:dyDescent="0.2"/>
    <row r="19323" ht="9.9499999999999993" hidden="1" customHeight="1" x14ac:dyDescent="0.2"/>
    <row r="19324" ht="9.9499999999999993" hidden="1" customHeight="1" x14ac:dyDescent="0.2"/>
    <row r="19325" ht="9.9499999999999993" hidden="1" customHeight="1" x14ac:dyDescent="0.2"/>
    <row r="19326" ht="9.9499999999999993" hidden="1" customHeight="1" x14ac:dyDescent="0.2"/>
    <row r="19327" ht="9.9499999999999993" hidden="1" customHeight="1" x14ac:dyDescent="0.2"/>
    <row r="19328" ht="9.9499999999999993" hidden="1" customHeight="1" x14ac:dyDescent="0.2"/>
    <row r="19329" ht="9.9499999999999993" hidden="1" customHeight="1" x14ac:dyDescent="0.2"/>
    <row r="19330" ht="9.9499999999999993" hidden="1" customHeight="1" x14ac:dyDescent="0.2"/>
    <row r="19331" ht="9.9499999999999993" hidden="1" customHeight="1" x14ac:dyDescent="0.2"/>
    <row r="19332" ht="9.9499999999999993" hidden="1" customHeight="1" x14ac:dyDescent="0.2"/>
    <row r="19333" ht="9.9499999999999993" hidden="1" customHeight="1" x14ac:dyDescent="0.2"/>
    <row r="19334" ht="9.9499999999999993" hidden="1" customHeight="1" x14ac:dyDescent="0.2"/>
    <row r="19335" ht="9.9499999999999993" hidden="1" customHeight="1" x14ac:dyDescent="0.2"/>
    <row r="19336" ht="9.9499999999999993" hidden="1" customHeight="1" x14ac:dyDescent="0.2"/>
    <row r="19337" ht="9.9499999999999993" hidden="1" customHeight="1" x14ac:dyDescent="0.2"/>
    <row r="19338" ht="9.9499999999999993" hidden="1" customHeight="1" x14ac:dyDescent="0.2"/>
    <row r="19339" ht="9.9499999999999993" hidden="1" customHeight="1" x14ac:dyDescent="0.2"/>
    <row r="19340" ht="9.9499999999999993" hidden="1" customHeight="1" x14ac:dyDescent="0.2"/>
    <row r="19341" ht="9.9499999999999993" hidden="1" customHeight="1" x14ac:dyDescent="0.2"/>
    <row r="19342" ht="9.9499999999999993" hidden="1" customHeight="1" x14ac:dyDescent="0.2"/>
    <row r="19343" ht="9.9499999999999993" hidden="1" customHeight="1" x14ac:dyDescent="0.2"/>
    <row r="19344" ht="9.9499999999999993" hidden="1" customHeight="1" x14ac:dyDescent="0.2"/>
    <row r="19345" ht="9.9499999999999993" hidden="1" customHeight="1" x14ac:dyDescent="0.2"/>
    <row r="19346" ht="9.9499999999999993" hidden="1" customHeight="1" x14ac:dyDescent="0.2"/>
    <row r="19347" ht="9.9499999999999993" hidden="1" customHeight="1" x14ac:dyDescent="0.2"/>
    <row r="19348" ht="9.9499999999999993" hidden="1" customHeight="1" x14ac:dyDescent="0.2"/>
    <row r="19349" ht="9.9499999999999993" hidden="1" customHeight="1" x14ac:dyDescent="0.2"/>
    <row r="19350" ht="9.9499999999999993" hidden="1" customHeight="1" x14ac:dyDescent="0.2"/>
    <row r="19351" ht="9.9499999999999993" hidden="1" customHeight="1" x14ac:dyDescent="0.2"/>
    <row r="19352" ht="9.9499999999999993" hidden="1" customHeight="1" x14ac:dyDescent="0.2"/>
    <row r="19353" ht="9.9499999999999993" hidden="1" customHeight="1" x14ac:dyDescent="0.2"/>
    <row r="19354" ht="9.9499999999999993" hidden="1" customHeight="1" x14ac:dyDescent="0.2"/>
    <row r="19355" ht="9.9499999999999993" hidden="1" customHeight="1" x14ac:dyDescent="0.2"/>
    <row r="19356" ht="9.9499999999999993" hidden="1" customHeight="1" x14ac:dyDescent="0.2"/>
    <row r="19357" ht="9.9499999999999993" hidden="1" customHeight="1" x14ac:dyDescent="0.2"/>
    <row r="19358" ht="9.9499999999999993" hidden="1" customHeight="1" x14ac:dyDescent="0.2"/>
    <row r="19359" ht="9.9499999999999993" hidden="1" customHeight="1" x14ac:dyDescent="0.2"/>
    <row r="19360" ht="9.9499999999999993" hidden="1" customHeight="1" x14ac:dyDescent="0.2"/>
    <row r="19361" ht="9.9499999999999993" hidden="1" customHeight="1" x14ac:dyDescent="0.2"/>
    <row r="19362" ht="9.9499999999999993" hidden="1" customHeight="1" x14ac:dyDescent="0.2"/>
    <row r="19363" ht="9.9499999999999993" hidden="1" customHeight="1" x14ac:dyDescent="0.2"/>
    <row r="19364" ht="9.9499999999999993" hidden="1" customHeight="1" x14ac:dyDescent="0.2"/>
    <row r="19365" ht="9.9499999999999993" hidden="1" customHeight="1" x14ac:dyDescent="0.2"/>
    <row r="19366" ht="9.9499999999999993" hidden="1" customHeight="1" x14ac:dyDescent="0.2"/>
    <row r="19367" ht="9.9499999999999993" hidden="1" customHeight="1" x14ac:dyDescent="0.2"/>
    <row r="19368" ht="9.9499999999999993" hidden="1" customHeight="1" x14ac:dyDescent="0.2"/>
    <row r="19369" ht="9.9499999999999993" hidden="1" customHeight="1" x14ac:dyDescent="0.2"/>
    <row r="19370" ht="9.9499999999999993" hidden="1" customHeight="1" x14ac:dyDescent="0.2"/>
    <row r="19371" ht="9.9499999999999993" hidden="1" customHeight="1" x14ac:dyDescent="0.2"/>
    <row r="19372" ht="9.9499999999999993" hidden="1" customHeight="1" x14ac:dyDescent="0.2"/>
    <row r="19373" ht="9.9499999999999993" hidden="1" customHeight="1" x14ac:dyDescent="0.2"/>
    <row r="19374" ht="9.9499999999999993" hidden="1" customHeight="1" x14ac:dyDescent="0.2"/>
    <row r="19375" ht="9.9499999999999993" hidden="1" customHeight="1" x14ac:dyDescent="0.2"/>
    <row r="19376" ht="9.9499999999999993" hidden="1" customHeight="1" x14ac:dyDescent="0.2"/>
    <row r="19377" ht="9.9499999999999993" hidden="1" customHeight="1" x14ac:dyDescent="0.2"/>
    <row r="19378" ht="9.9499999999999993" hidden="1" customHeight="1" x14ac:dyDescent="0.2"/>
    <row r="19379" ht="9.9499999999999993" hidden="1" customHeight="1" x14ac:dyDescent="0.2"/>
    <row r="19380" ht="9.9499999999999993" hidden="1" customHeight="1" x14ac:dyDescent="0.2"/>
    <row r="19381" ht="9.9499999999999993" hidden="1" customHeight="1" x14ac:dyDescent="0.2"/>
    <row r="19382" ht="9.9499999999999993" hidden="1" customHeight="1" x14ac:dyDescent="0.2"/>
    <row r="19383" ht="9.9499999999999993" hidden="1" customHeight="1" x14ac:dyDescent="0.2"/>
    <row r="19384" ht="9.9499999999999993" hidden="1" customHeight="1" x14ac:dyDescent="0.2"/>
    <row r="19385" ht="9.9499999999999993" hidden="1" customHeight="1" x14ac:dyDescent="0.2"/>
    <row r="19386" ht="9.9499999999999993" hidden="1" customHeight="1" x14ac:dyDescent="0.2"/>
    <row r="19387" ht="9.9499999999999993" hidden="1" customHeight="1" x14ac:dyDescent="0.2"/>
    <row r="19388" ht="9.9499999999999993" hidden="1" customHeight="1" x14ac:dyDescent="0.2"/>
    <row r="19389" ht="9.9499999999999993" hidden="1" customHeight="1" x14ac:dyDescent="0.2"/>
    <row r="19390" ht="9.9499999999999993" hidden="1" customHeight="1" x14ac:dyDescent="0.2"/>
    <row r="19391" ht="9.9499999999999993" hidden="1" customHeight="1" x14ac:dyDescent="0.2"/>
    <row r="19392" ht="9.9499999999999993" hidden="1" customHeight="1" x14ac:dyDescent="0.2"/>
    <row r="19393" ht="9.9499999999999993" hidden="1" customHeight="1" x14ac:dyDescent="0.2"/>
    <row r="19394" ht="9.9499999999999993" hidden="1" customHeight="1" x14ac:dyDescent="0.2"/>
    <row r="19395" ht="9.9499999999999993" hidden="1" customHeight="1" x14ac:dyDescent="0.2"/>
    <row r="19396" ht="9.9499999999999993" hidden="1" customHeight="1" x14ac:dyDescent="0.2"/>
    <row r="19397" ht="9.9499999999999993" hidden="1" customHeight="1" x14ac:dyDescent="0.2"/>
    <row r="19398" ht="9.9499999999999993" hidden="1" customHeight="1" x14ac:dyDescent="0.2"/>
    <row r="19399" ht="9.9499999999999993" hidden="1" customHeight="1" x14ac:dyDescent="0.2"/>
    <row r="19400" ht="9.9499999999999993" hidden="1" customHeight="1" x14ac:dyDescent="0.2"/>
    <row r="19401" ht="9.9499999999999993" hidden="1" customHeight="1" x14ac:dyDescent="0.2"/>
    <row r="19402" ht="9.9499999999999993" hidden="1" customHeight="1" x14ac:dyDescent="0.2"/>
    <row r="19403" ht="9.9499999999999993" hidden="1" customHeight="1" x14ac:dyDescent="0.2"/>
    <row r="19404" ht="9.9499999999999993" hidden="1" customHeight="1" x14ac:dyDescent="0.2"/>
    <row r="19405" ht="9.9499999999999993" hidden="1" customHeight="1" x14ac:dyDescent="0.2"/>
    <row r="19406" ht="9.9499999999999993" hidden="1" customHeight="1" x14ac:dyDescent="0.2"/>
    <row r="19407" ht="9.9499999999999993" hidden="1" customHeight="1" x14ac:dyDescent="0.2"/>
    <row r="19408" ht="9.9499999999999993" hidden="1" customHeight="1" x14ac:dyDescent="0.2"/>
    <row r="19409" ht="9.9499999999999993" hidden="1" customHeight="1" x14ac:dyDescent="0.2"/>
    <row r="19410" ht="9.9499999999999993" hidden="1" customHeight="1" x14ac:dyDescent="0.2"/>
    <row r="19411" ht="9.9499999999999993" hidden="1" customHeight="1" x14ac:dyDescent="0.2"/>
    <row r="19412" ht="9.9499999999999993" hidden="1" customHeight="1" x14ac:dyDescent="0.2"/>
    <row r="19413" ht="9.9499999999999993" hidden="1" customHeight="1" x14ac:dyDescent="0.2"/>
    <row r="19414" ht="9.9499999999999993" hidden="1" customHeight="1" x14ac:dyDescent="0.2"/>
    <row r="19415" ht="9.9499999999999993" hidden="1" customHeight="1" x14ac:dyDescent="0.2"/>
    <row r="19416" ht="9.9499999999999993" hidden="1" customHeight="1" x14ac:dyDescent="0.2"/>
    <row r="19417" ht="9.9499999999999993" hidden="1" customHeight="1" x14ac:dyDescent="0.2"/>
    <row r="19418" ht="9.9499999999999993" hidden="1" customHeight="1" x14ac:dyDescent="0.2"/>
    <row r="19419" ht="9.9499999999999993" hidden="1" customHeight="1" x14ac:dyDescent="0.2"/>
    <row r="19420" ht="9.9499999999999993" hidden="1" customHeight="1" x14ac:dyDescent="0.2"/>
    <row r="19421" ht="9.9499999999999993" hidden="1" customHeight="1" x14ac:dyDescent="0.2"/>
    <row r="19422" ht="9.9499999999999993" hidden="1" customHeight="1" x14ac:dyDescent="0.2"/>
    <row r="19423" ht="9.9499999999999993" hidden="1" customHeight="1" x14ac:dyDescent="0.2"/>
    <row r="19424" ht="9.9499999999999993" hidden="1" customHeight="1" x14ac:dyDescent="0.2"/>
    <row r="19425" ht="9.9499999999999993" hidden="1" customHeight="1" x14ac:dyDescent="0.2"/>
    <row r="19426" ht="9.9499999999999993" hidden="1" customHeight="1" x14ac:dyDescent="0.2"/>
    <row r="19427" ht="9.9499999999999993" hidden="1" customHeight="1" x14ac:dyDescent="0.2"/>
    <row r="19428" ht="9.9499999999999993" hidden="1" customHeight="1" x14ac:dyDescent="0.2"/>
    <row r="19429" ht="9.9499999999999993" hidden="1" customHeight="1" x14ac:dyDescent="0.2"/>
    <row r="19430" ht="9.9499999999999993" hidden="1" customHeight="1" x14ac:dyDescent="0.2"/>
    <row r="19431" ht="9.9499999999999993" hidden="1" customHeight="1" x14ac:dyDescent="0.2"/>
    <row r="19432" ht="9.9499999999999993" hidden="1" customHeight="1" x14ac:dyDescent="0.2"/>
    <row r="19433" ht="9.9499999999999993" hidden="1" customHeight="1" x14ac:dyDescent="0.2"/>
    <row r="19434" ht="9.9499999999999993" hidden="1" customHeight="1" x14ac:dyDescent="0.2"/>
    <row r="19435" ht="9.9499999999999993" hidden="1" customHeight="1" x14ac:dyDescent="0.2"/>
    <row r="19436" ht="9.9499999999999993" hidden="1" customHeight="1" x14ac:dyDescent="0.2"/>
    <row r="19437" ht="9.9499999999999993" hidden="1" customHeight="1" x14ac:dyDescent="0.2"/>
    <row r="19438" ht="9.9499999999999993" hidden="1" customHeight="1" x14ac:dyDescent="0.2"/>
    <row r="19439" ht="9.9499999999999993" hidden="1" customHeight="1" x14ac:dyDescent="0.2"/>
    <row r="19440" ht="9.9499999999999993" hidden="1" customHeight="1" x14ac:dyDescent="0.2"/>
    <row r="19441" ht="9.9499999999999993" hidden="1" customHeight="1" x14ac:dyDescent="0.2"/>
    <row r="19442" ht="9.9499999999999993" hidden="1" customHeight="1" x14ac:dyDescent="0.2"/>
    <row r="19443" ht="9.9499999999999993" hidden="1" customHeight="1" x14ac:dyDescent="0.2"/>
    <row r="19444" ht="9.9499999999999993" hidden="1" customHeight="1" x14ac:dyDescent="0.2"/>
    <row r="19445" ht="9.9499999999999993" hidden="1" customHeight="1" x14ac:dyDescent="0.2"/>
    <row r="19446" ht="9.9499999999999993" hidden="1" customHeight="1" x14ac:dyDescent="0.2"/>
    <row r="19447" ht="9.9499999999999993" hidden="1" customHeight="1" x14ac:dyDescent="0.2"/>
    <row r="19448" ht="9.9499999999999993" hidden="1" customHeight="1" x14ac:dyDescent="0.2"/>
    <row r="19449" ht="9.9499999999999993" hidden="1" customHeight="1" x14ac:dyDescent="0.2"/>
    <row r="19450" ht="9.9499999999999993" hidden="1" customHeight="1" x14ac:dyDescent="0.2"/>
    <row r="19451" ht="9.9499999999999993" hidden="1" customHeight="1" x14ac:dyDescent="0.2"/>
    <row r="19452" ht="9.9499999999999993" hidden="1" customHeight="1" x14ac:dyDescent="0.2"/>
    <row r="19453" ht="9.9499999999999993" hidden="1" customHeight="1" x14ac:dyDescent="0.2"/>
    <row r="19454" ht="9.9499999999999993" hidden="1" customHeight="1" x14ac:dyDescent="0.2"/>
    <row r="19455" ht="9.9499999999999993" hidden="1" customHeight="1" x14ac:dyDescent="0.2"/>
    <row r="19456" ht="9.9499999999999993" hidden="1" customHeight="1" x14ac:dyDescent="0.2"/>
    <row r="19457" ht="9.9499999999999993" hidden="1" customHeight="1" x14ac:dyDescent="0.2"/>
    <row r="19458" ht="9.9499999999999993" hidden="1" customHeight="1" x14ac:dyDescent="0.2"/>
    <row r="19459" ht="9.9499999999999993" hidden="1" customHeight="1" x14ac:dyDescent="0.2"/>
    <row r="19460" ht="9.9499999999999993" hidden="1" customHeight="1" x14ac:dyDescent="0.2"/>
    <row r="19461" ht="9.9499999999999993" hidden="1" customHeight="1" x14ac:dyDescent="0.2"/>
    <row r="19462" ht="9.9499999999999993" hidden="1" customHeight="1" x14ac:dyDescent="0.2"/>
    <row r="19463" ht="9.9499999999999993" hidden="1" customHeight="1" x14ac:dyDescent="0.2"/>
    <row r="19464" ht="9.9499999999999993" hidden="1" customHeight="1" x14ac:dyDescent="0.2"/>
    <row r="19465" ht="9.9499999999999993" hidden="1" customHeight="1" x14ac:dyDescent="0.2"/>
    <row r="19466" ht="9.9499999999999993" hidden="1" customHeight="1" x14ac:dyDescent="0.2"/>
    <row r="19467" ht="9.9499999999999993" hidden="1" customHeight="1" x14ac:dyDescent="0.2"/>
    <row r="19468" ht="9.9499999999999993" hidden="1" customHeight="1" x14ac:dyDescent="0.2"/>
    <row r="19469" ht="9.9499999999999993" hidden="1" customHeight="1" x14ac:dyDescent="0.2"/>
    <row r="19470" ht="9.9499999999999993" hidden="1" customHeight="1" x14ac:dyDescent="0.2"/>
    <row r="19471" ht="9.9499999999999993" hidden="1" customHeight="1" x14ac:dyDescent="0.2"/>
    <row r="19472" ht="9.9499999999999993" hidden="1" customHeight="1" x14ac:dyDescent="0.2"/>
    <row r="19473" ht="9.9499999999999993" hidden="1" customHeight="1" x14ac:dyDescent="0.2"/>
    <row r="19474" ht="9.9499999999999993" hidden="1" customHeight="1" x14ac:dyDescent="0.2"/>
    <row r="19475" ht="9.9499999999999993" hidden="1" customHeight="1" x14ac:dyDescent="0.2"/>
    <row r="19476" ht="9.9499999999999993" hidden="1" customHeight="1" x14ac:dyDescent="0.2"/>
    <row r="19477" ht="9.9499999999999993" hidden="1" customHeight="1" x14ac:dyDescent="0.2"/>
    <row r="19478" ht="9.9499999999999993" hidden="1" customHeight="1" x14ac:dyDescent="0.2"/>
    <row r="19479" ht="9.9499999999999993" hidden="1" customHeight="1" x14ac:dyDescent="0.2"/>
    <row r="19480" ht="9.9499999999999993" hidden="1" customHeight="1" x14ac:dyDescent="0.2"/>
    <row r="19481" ht="9.9499999999999993" hidden="1" customHeight="1" x14ac:dyDescent="0.2"/>
    <row r="19482" ht="9.9499999999999993" hidden="1" customHeight="1" x14ac:dyDescent="0.2"/>
    <row r="19483" ht="9.9499999999999993" hidden="1" customHeight="1" x14ac:dyDescent="0.2"/>
    <row r="19484" ht="9.9499999999999993" hidden="1" customHeight="1" x14ac:dyDescent="0.2"/>
    <row r="19485" ht="9.9499999999999993" hidden="1" customHeight="1" x14ac:dyDescent="0.2"/>
    <row r="19486" ht="9.9499999999999993" hidden="1" customHeight="1" x14ac:dyDescent="0.2"/>
    <row r="19487" ht="9.9499999999999993" hidden="1" customHeight="1" x14ac:dyDescent="0.2"/>
    <row r="19488" ht="9.9499999999999993" hidden="1" customHeight="1" x14ac:dyDescent="0.2"/>
    <row r="19489" ht="9.9499999999999993" hidden="1" customHeight="1" x14ac:dyDescent="0.2"/>
    <row r="19490" ht="9.9499999999999993" hidden="1" customHeight="1" x14ac:dyDescent="0.2"/>
    <row r="19491" ht="9.9499999999999993" hidden="1" customHeight="1" x14ac:dyDescent="0.2"/>
    <row r="19492" ht="9.9499999999999993" hidden="1" customHeight="1" x14ac:dyDescent="0.2"/>
    <row r="19493" ht="9.9499999999999993" hidden="1" customHeight="1" x14ac:dyDescent="0.2"/>
    <row r="19494" ht="9.9499999999999993" hidden="1" customHeight="1" x14ac:dyDescent="0.2"/>
    <row r="19495" ht="9.9499999999999993" hidden="1" customHeight="1" x14ac:dyDescent="0.2"/>
    <row r="19496" ht="9.9499999999999993" hidden="1" customHeight="1" x14ac:dyDescent="0.2"/>
    <row r="19497" ht="9.9499999999999993" hidden="1" customHeight="1" x14ac:dyDescent="0.2"/>
    <row r="19498" ht="9.9499999999999993" hidden="1" customHeight="1" x14ac:dyDescent="0.2"/>
    <row r="19499" ht="9.9499999999999993" hidden="1" customHeight="1" x14ac:dyDescent="0.2"/>
    <row r="19500" ht="9.9499999999999993" hidden="1" customHeight="1" x14ac:dyDescent="0.2"/>
    <row r="19501" ht="9.9499999999999993" hidden="1" customHeight="1" x14ac:dyDescent="0.2"/>
    <row r="19502" ht="9.9499999999999993" hidden="1" customHeight="1" x14ac:dyDescent="0.2"/>
    <row r="19503" ht="9.9499999999999993" hidden="1" customHeight="1" x14ac:dyDescent="0.2"/>
    <row r="19504" ht="9.9499999999999993" hidden="1" customHeight="1" x14ac:dyDescent="0.2"/>
    <row r="19505" ht="9.9499999999999993" hidden="1" customHeight="1" x14ac:dyDescent="0.2"/>
    <row r="19506" ht="9.9499999999999993" hidden="1" customHeight="1" x14ac:dyDescent="0.2"/>
    <row r="19507" ht="9.9499999999999993" hidden="1" customHeight="1" x14ac:dyDescent="0.2"/>
    <row r="19508" ht="9.9499999999999993" hidden="1" customHeight="1" x14ac:dyDescent="0.2"/>
    <row r="19509" ht="9.9499999999999993" hidden="1" customHeight="1" x14ac:dyDescent="0.2"/>
    <row r="19510" ht="9.9499999999999993" hidden="1" customHeight="1" x14ac:dyDescent="0.2"/>
    <row r="19511" ht="9.9499999999999993" hidden="1" customHeight="1" x14ac:dyDescent="0.2"/>
    <row r="19512" ht="9.9499999999999993" hidden="1" customHeight="1" x14ac:dyDescent="0.2"/>
    <row r="19513" ht="9.9499999999999993" hidden="1" customHeight="1" x14ac:dyDescent="0.2"/>
    <row r="19514" ht="9.9499999999999993" hidden="1" customHeight="1" x14ac:dyDescent="0.2"/>
    <row r="19515" ht="9.9499999999999993" hidden="1" customHeight="1" x14ac:dyDescent="0.2"/>
    <row r="19516" ht="9.9499999999999993" hidden="1" customHeight="1" x14ac:dyDescent="0.2"/>
    <row r="19517" ht="9.9499999999999993" hidden="1" customHeight="1" x14ac:dyDescent="0.2"/>
    <row r="19518" ht="9.9499999999999993" hidden="1" customHeight="1" x14ac:dyDescent="0.2"/>
    <row r="19519" ht="9.9499999999999993" hidden="1" customHeight="1" x14ac:dyDescent="0.2"/>
    <row r="19520" ht="9.9499999999999993" hidden="1" customHeight="1" x14ac:dyDescent="0.2"/>
    <row r="19521" ht="9.9499999999999993" hidden="1" customHeight="1" x14ac:dyDescent="0.2"/>
    <row r="19522" ht="9.9499999999999993" hidden="1" customHeight="1" x14ac:dyDescent="0.2"/>
    <row r="19523" ht="9.9499999999999993" hidden="1" customHeight="1" x14ac:dyDescent="0.2"/>
    <row r="19524" ht="9.9499999999999993" hidden="1" customHeight="1" x14ac:dyDescent="0.2"/>
    <row r="19525" ht="9.9499999999999993" hidden="1" customHeight="1" x14ac:dyDescent="0.2"/>
    <row r="19526" ht="9.9499999999999993" hidden="1" customHeight="1" x14ac:dyDescent="0.2"/>
    <row r="19527" ht="9.9499999999999993" hidden="1" customHeight="1" x14ac:dyDescent="0.2"/>
    <row r="19528" ht="9.9499999999999993" hidden="1" customHeight="1" x14ac:dyDescent="0.2"/>
    <row r="19529" ht="9.9499999999999993" hidden="1" customHeight="1" x14ac:dyDescent="0.2"/>
    <row r="19530" ht="9.9499999999999993" hidden="1" customHeight="1" x14ac:dyDescent="0.2"/>
    <row r="19531" ht="9.9499999999999993" hidden="1" customHeight="1" x14ac:dyDescent="0.2"/>
    <row r="19532" ht="9.9499999999999993" hidden="1" customHeight="1" x14ac:dyDescent="0.2"/>
    <row r="19533" ht="9.9499999999999993" hidden="1" customHeight="1" x14ac:dyDescent="0.2"/>
    <row r="19534" ht="9.9499999999999993" hidden="1" customHeight="1" x14ac:dyDescent="0.2"/>
    <row r="19535" ht="9.9499999999999993" hidden="1" customHeight="1" x14ac:dyDescent="0.2"/>
    <row r="19536" ht="9.9499999999999993" hidden="1" customHeight="1" x14ac:dyDescent="0.2"/>
    <row r="19537" ht="9.9499999999999993" hidden="1" customHeight="1" x14ac:dyDescent="0.2"/>
    <row r="19538" ht="9.9499999999999993" hidden="1" customHeight="1" x14ac:dyDescent="0.2"/>
    <row r="19539" ht="9.9499999999999993" hidden="1" customHeight="1" x14ac:dyDescent="0.2"/>
    <row r="19540" ht="9.9499999999999993" hidden="1" customHeight="1" x14ac:dyDescent="0.2"/>
    <row r="19541" ht="9.9499999999999993" hidden="1" customHeight="1" x14ac:dyDescent="0.2"/>
    <row r="19542" ht="9.9499999999999993" hidden="1" customHeight="1" x14ac:dyDescent="0.2"/>
    <row r="19543" ht="9.9499999999999993" hidden="1" customHeight="1" x14ac:dyDescent="0.2"/>
    <row r="19544" ht="9.9499999999999993" hidden="1" customHeight="1" x14ac:dyDescent="0.2"/>
    <row r="19545" ht="9.9499999999999993" hidden="1" customHeight="1" x14ac:dyDescent="0.2"/>
    <row r="19546" ht="9.9499999999999993" hidden="1" customHeight="1" x14ac:dyDescent="0.2"/>
    <row r="19547" ht="9.9499999999999993" hidden="1" customHeight="1" x14ac:dyDescent="0.2"/>
    <row r="19548" ht="9.9499999999999993" hidden="1" customHeight="1" x14ac:dyDescent="0.2"/>
    <row r="19549" ht="9.9499999999999993" hidden="1" customHeight="1" x14ac:dyDescent="0.2"/>
    <row r="19550" ht="9.9499999999999993" hidden="1" customHeight="1" x14ac:dyDescent="0.2"/>
    <row r="19551" ht="9.9499999999999993" hidden="1" customHeight="1" x14ac:dyDescent="0.2"/>
    <row r="19552" ht="9.9499999999999993" hidden="1" customHeight="1" x14ac:dyDescent="0.2"/>
    <row r="19553" ht="9.9499999999999993" hidden="1" customHeight="1" x14ac:dyDescent="0.2"/>
    <row r="19554" ht="9.9499999999999993" hidden="1" customHeight="1" x14ac:dyDescent="0.2"/>
    <row r="19555" ht="9.9499999999999993" hidden="1" customHeight="1" x14ac:dyDescent="0.2"/>
    <row r="19556" ht="9.9499999999999993" hidden="1" customHeight="1" x14ac:dyDescent="0.2"/>
    <row r="19557" ht="9.9499999999999993" hidden="1" customHeight="1" x14ac:dyDescent="0.2"/>
    <row r="19558" ht="9.9499999999999993" hidden="1" customHeight="1" x14ac:dyDescent="0.2"/>
    <row r="19559" ht="9.9499999999999993" hidden="1" customHeight="1" x14ac:dyDescent="0.2"/>
    <row r="19560" ht="9.9499999999999993" hidden="1" customHeight="1" x14ac:dyDescent="0.2"/>
    <row r="19561" ht="9.9499999999999993" hidden="1" customHeight="1" x14ac:dyDescent="0.2"/>
    <row r="19562" ht="9.9499999999999993" hidden="1" customHeight="1" x14ac:dyDescent="0.2"/>
    <row r="19563" ht="9.9499999999999993" hidden="1" customHeight="1" x14ac:dyDescent="0.2"/>
    <row r="19564" ht="9.9499999999999993" hidden="1" customHeight="1" x14ac:dyDescent="0.2"/>
    <row r="19565" ht="9.9499999999999993" hidden="1" customHeight="1" x14ac:dyDescent="0.2"/>
    <row r="19566" ht="9.9499999999999993" hidden="1" customHeight="1" x14ac:dyDescent="0.2"/>
    <row r="19567" ht="9.9499999999999993" hidden="1" customHeight="1" x14ac:dyDescent="0.2"/>
    <row r="19568" ht="9.9499999999999993" hidden="1" customHeight="1" x14ac:dyDescent="0.2"/>
    <row r="19569" ht="9.9499999999999993" hidden="1" customHeight="1" x14ac:dyDescent="0.2"/>
    <row r="19570" ht="9.9499999999999993" hidden="1" customHeight="1" x14ac:dyDescent="0.2"/>
    <row r="19571" ht="9.9499999999999993" hidden="1" customHeight="1" x14ac:dyDescent="0.2"/>
    <row r="19572" ht="9.9499999999999993" hidden="1" customHeight="1" x14ac:dyDescent="0.2"/>
    <row r="19573" ht="9.9499999999999993" hidden="1" customHeight="1" x14ac:dyDescent="0.2"/>
    <row r="19574" ht="9.9499999999999993" hidden="1" customHeight="1" x14ac:dyDescent="0.2"/>
    <row r="19575" ht="9.9499999999999993" hidden="1" customHeight="1" x14ac:dyDescent="0.2"/>
    <row r="19576" ht="9.9499999999999993" hidden="1" customHeight="1" x14ac:dyDescent="0.2"/>
    <row r="19577" ht="9.9499999999999993" hidden="1" customHeight="1" x14ac:dyDescent="0.2"/>
    <row r="19578" ht="9.9499999999999993" hidden="1" customHeight="1" x14ac:dyDescent="0.2"/>
    <row r="19579" ht="9.9499999999999993" hidden="1" customHeight="1" x14ac:dyDescent="0.2"/>
    <row r="19580" ht="9.9499999999999993" hidden="1" customHeight="1" x14ac:dyDescent="0.2"/>
    <row r="19581" ht="9.9499999999999993" hidden="1" customHeight="1" x14ac:dyDescent="0.2"/>
    <row r="19582" ht="9.9499999999999993" hidden="1" customHeight="1" x14ac:dyDescent="0.2"/>
    <row r="19583" ht="9.9499999999999993" hidden="1" customHeight="1" x14ac:dyDescent="0.2"/>
    <row r="19584" ht="9.9499999999999993" hidden="1" customHeight="1" x14ac:dyDescent="0.2"/>
    <row r="19585" ht="9.9499999999999993" hidden="1" customHeight="1" x14ac:dyDescent="0.2"/>
    <row r="19586" ht="9.9499999999999993" hidden="1" customHeight="1" x14ac:dyDescent="0.2"/>
    <row r="19587" ht="9.9499999999999993" hidden="1" customHeight="1" x14ac:dyDescent="0.2"/>
    <row r="19588" ht="9.9499999999999993" hidden="1" customHeight="1" x14ac:dyDescent="0.2"/>
    <row r="19589" ht="9.9499999999999993" hidden="1" customHeight="1" x14ac:dyDescent="0.2"/>
    <row r="19590" ht="9.9499999999999993" hidden="1" customHeight="1" x14ac:dyDescent="0.2"/>
    <row r="19591" ht="9.9499999999999993" hidden="1" customHeight="1" x14ac:dyDescent="0.2"/>
    <row r="19592" ht="9.9499999999999993" hidden="1" customHeight="1" x14ac:dyDescent="0.2"/>
    <row r="19593" ht="9.9499999999999993" hidden="1" customHeight="1" x14ac:dyDescent="0.2"/>
    <row r="19594" ht="9.9499999999999993" hidden="1" customHeight="1" x14ac:dyDescent="0.2"/>
    <row r="19595" ht="9.9499999999999993" hidden="1" customHeight="1" x14ac:dyDescent="0.2"/>
    <row r="19596" ht="9.9499999999999993" hidden="1" customHeight="1" x14ac:dyDescent="0.2"/>
    <row r="19597" ht="9.9499999999999993" hidden="1" customHeight="1" x14ac:dyDescent="0.2"/>
    <row r="19598" ht="9.9499999999999993" hidden="1" customHeight="1" x14ac:dyDescent="0.2"/>
    <row r="19599" ht="9.9499999999999993" hidden="1" customHeight="1" x14ac:dyDescent="0.2"/>
    <row r="19600" ht="9.9499999999999993" hidden="1" customHeight="1" x14ac:dyDescent="0.2"/>
    <row r="19601" ht="9.9499999999999993" hidden="1" customHeight="1" x14ac:dyDescent="0.2"/>
    <row r="19602" ht="9.9499999999999993" hidden="1" customHeight="1" x14ac:dyDescent="0.2"/>
    <row r="19603" ht="9.9499999999999993" hidden="1" customHeight="1" x14ac:dyDescent="0.2"/>
    <row r="19604" ht="9.9499999999999993" hidden="1" customHeight="1" x14ac:dyDescent="0.2"/>
    <row r="19605" ht="9.9499999999999993" hidden="1" customHeight="1" x14ac:dyDescent="0.2"/>
    <row r="19606" ht="9.9499999999999993" hidden="1" customHeight="1" x14ac:dyDescent="0.2"/>
    <row r="19607" ht="9.9499999999999993" hidden="1" customHeight="1" x14ac:dyDescent="0.2"/>
    <row r="19608" ht="9.9499999999999993" hidden="1" customHeight="1" x14ac:dyDescent="0.2"/>
    <row r="19609" ht="9.9499999999999993" hidden="1" customHeight="1" x14ac:dyDescent="0.2"/>
    <row r="19610" ht="9.9499999999999993" hidden="1" customHeight="1" x14ac:dyDescent="0.2"/>
    <row r="19611" ht="9.9499999999999993" hidden="1" customHeight="1" x14ac:dyDescent="0.2"/>
    <row r="19612" ht="9.9499999999999993" hidden="1" customHeight="1" x14ac:dyDescent="0.2"/>
    <row r="19613" ht="9.9499999999999993" hidden="1" customHeight="1" x14ac:dyDescent="0.2"/>
    <row r="19614" ht="9.9499999999999993" hidden="1" customHeight="1" x14ac:dyDescent="0.2"/>
    <row r="19615" ht="9.9499999999999993" hidden="1" customHeight="1" x14ac:dyDescent="0.2"/>
    <row r="19616" ht="9.9499999999999993" hidden="1" customHeight="1" x14ac:dyDescent="0.2"/>
    <row r="19617" ht="9.9499999999999993" hidden="1" customHeight="1" x14ac:dyDescent="0.2"/>
    <row r="19618" ht="9.9499999999999993" hidden="1" customHeight="1" x14ac:dyDescent="0.2"/>
    <row r="19619" ht="9.9499999999999993" hidden="1" customHeight="1" x14ac:dyDescent="0.2"/>
    <row r="19620" ht="9.9499999999999993" hidden="1" customHeight="1" x14ac:dyDescent="0.2"/>
    <row r="19621" ht="9.9499999999999993" hidden="1" customHeight="1" x14ac:dyDescent="0.2"/>
    <row r="19622" ht="9.9499999999999993" hidden="1" customHeight="1" x14ac:dyDescent="0.2"/>
    <row r="19623" ht="9.9499999999999993" hidden="1" customHeight="1" x14ac:dyDescent="0.2"/>
    <row r="19624" ht="9.9499999999999993" hidden="1" customHeight="1" x14ac:dyDescent="0.2"/>
    <row r="19625" ht="9.9499999999999993" hidden="1" customHeight="1" x14ac:dyDescent="0.2"/>
    <row r="19626" ht="9.9499999999999993" hidden="1" customHeight="1" x14ac:dyDescent="0.2"/>
    <row r="19627" ht="9.9499999999999993" hidden="1" customHeight="1" x14ac:dyDescent="0.2"/>
    <row r="19628" ht="9.9499999999999993" hidden="1" customHeight="1" x14ac:dyDescent="0.2"/>
    <row r="19629" ht="9.9499999999999993" hidden="1" customHeight="1" x14ac:dyDescent="0.2"/>
    <row r="19630" ht="9.9499999999999993" hidden="1" customHeight="1" x14ac:dyDescent="0.2"/>
    <row r="19631" ht="9.9499999999999993" hidden="1" customHeight="1" x14ac:dyDescent="0.2"/>
    <row r="19632" ht="9.9499999999999993" hidden="1" customHeight="1" x14ac:dyDescent="0.2"/>
    <row r="19633" ht="9.9499999999999993" hidden="1" customHeight="1" x14ac:dyDescent="0.2"/>
    <row r="19634" ht="9.9499999999999993" hidden="1" customHeight="1" x14ac:dyDescent="0.2"/>
    <row r="19635" ht="9.9499999999999993" hidden="1" customHeight="1" x14ac:dyDescent="0.2"/>
    <row r="19636" ht="9.9499999999999993" hidden="1" customHeight="1" x14ac:dyDescent="0.2"/>
    <row r="19637" ht="9.9499999999999993" hidden="1" customHeight="1" x14ac:dyDescent="0.2"/>
    <row r="19638" ht="9.9499999999999993" hidden="1" customHeight="1" x14ac:dyDescent="0.2"/>
    <row r="19639" ht="9.9499999999999993" hidden="1" customHeight="1" x14ac:dyDescent="0.2"/>
    <row r="19640" ht="9.9499999999999993" hidden="1" customHeight="1" x14ac:dyDescent="0.2"/>
    <row r="19641" ht="9.9499999999999993" hidden="1" customHeight="1" x14ac:dyDescent="0.2"/>
    <row r="19642" ht="9.9499999999999993" hidden="1" customHeight="1" x14ac:dyDescent="0.2"/>
    <row r="19643" ht="9.9499999999999993" hidden="1" customHeight="1" x14ac:dyDescent="0.2"/>
    <row r="19644" ht="9.9499999999999993" hidden="1" customHeight="1" x14ac:dyDescent="0.2"/>
    <row r="19645" ht="9.9499999999999993" hidden="1" customHeight="1" x14ac:dyDescent="0.2"/>
    <row r="19646" ht="9.9499999999999993" hidden="1" customHeight="1" x14ac:dyDescent="0.2"/>
    <row r="19647" ht="9.9499999999999993" hidden="1" customHeight="1" x14ac:dyDescent="0.2"/>
    <row r="19648" ht="9.9499999999999993" hidden="1" customHeight="1" x14ac:dyDescent="0.2"/>
    <row r="19649" ht="9.9499999999999993" hidden="1" customHeight="1" x14ac:dyDescent="0.2"/>
    <row r="19650" ht="9.9499999999999993" hidden="1" customHeight="1" x14ac:dyDescent="0.2"/>
    <row r="19651" ht="9.9499999999999993" hidden="1" customHeight="1" x14ac:dyDescent="0.2"/>
    <row r="19652" ht="9.9499999999999993" hidden="1" customHeight="1" x14ac:dyDescent="0.2"/>
    <row r="19653" ht="9.9499999999999993" hidden="1" customHeight="1" x14ac:dyDescent="0.2"/>
    <row r="19654" ht="9.9499999999999993" hidden="1" customHeight="1" x14ac:dyDescent="0.2"/>
    <row r="19655" ht="9.9499999999999993" hidden="1" customHeight="1" x14ac:dyDescent="0.2"/>
    <row r="19656" ht="9.9499999999999993" hidden="1" customHeight="1" x14ac:dyDescent="0.2"/>
    <row r="19657" ht="9.9499999999999993" hidden="1" customHeight="1" x14ac:dyDescent="0.2"/>
    <row r="19658" ht="9.9499999999999993" hidden="1" customHeight="1" x14ac:dyDescent="0.2"/>
    <row r="19659" ht="9.9499999999999993" hidden="1" customHeight="1" x14ac:dyDescent="0.2"/>
    <row r="19660" ht="9.9499999999999993" hidden="1" customHeight="1" x14ac:dyDescent="0.2"/>
    <row r="19661" ht="9.9499999999999993" hidden="1" customHeight="1" x14ac:dyDescent="0.2"/>
    <row r="19662" ht="9.9499999999999993" hidden="1" customHeight="1" x14ac:dyDescent="0.2"/>
    <row r="19663" ht="9.9499999999999993" hidden="1" customHeight="1" x14ac:dyDescent="0.2"/>
    <row r="19664" ht="9.9499999999999993" hidden="1" customHeight="1" x14ac:dyDescent="0.2"/>
    <row r="19665" ht="9.9499999999999993" hidden="1" customHeight="1" x14ac:dyDescent="0.2"/>
    <row r="19666" ht="9.9499999999999993" hidden="1" customHeight="1" x14ac:dyDescent="0.2"/>
    <row r="19667" ht="9.9499999999999993" hidden="1" customHeight="1" x14ac:dyDescent="0.2"/>
    <row r="19668" ht="9.9499999999999993" hidden="1" customHeight="1" x14ac:dyDescent="0.2"/>
    <row r="19669" ht="9.9499999999999993" hidden="1" customHeight="1" x14ac:dyDescent="0.2"/>
    <row r="19670" ht="9.9499999999999993" hidden="1" customHeight="1" x14ac:dyDescent="0.2"/>
    <row r="19671" ht="9.9499999999999993" hidden="1" customHeight="1" x14ac:dyDescent="0.2"/>
    <row r="19672" ht="9.9499999999999993" hidden="1" customHeight="1" x14ac:dyDescent="0.2"/>
    <row r="19673" ht="9.9499999999999993" hidden="1" customHeight="1" x14ac:dyDescent="0.2"/>
    <row r="19674" ht="9.9499999999999993" hidden="1" customHeight="1" x14ac:dyDescent="0.2"/>
    <row r="19675" ht="9.9499999999999993" hidden="1" customHeight="1" x14ac:dyDescent="0.2"/>
    <row r="19676" ht="9.9499999999999993" hidden="1" customHeight="1" x14ac:dyDescent="0.2"/>
    <row r="19677" ht="9.9499999999999993" hidden="1" customHeight="1" x14ac:dyDescent="0.2"/>
    <row r="19678" ht="9.9499999999999993" hidden="1" customHeight="1" x14ac:dyDescent="0.2"/>
    <row r="19679" ht="9.9499999999999993" hidden="1" customHeight="1" x14ac:dyDescent="0.2"/>
    <row r="19680" ht="9.9499999999999993" hidden="1" customHeight="1" x14ac:dyDescent="0.2"/>
    <row r="19681" ht="9.9499999999999993" hidden="1" customHeight="1" x14ac:dyDescent="0.2"/>
    <row r="19682" ht="9.9499999999999993" hidden="1" customHeight="1" x14ac:dyDescent="0.2"/>
    <row r="19683" ht="9.9499999999999993" hidden="1" customHeight="1" x14ac:dyDescent="0.2"/>
    <row r="19684" ht="9.9499999999999993" hidden="1" customHeight="1" x14ac:dyDescent="0.2"/>
    <row r="19685" ht="9.9499999999999993" hidden="1" customHeight="1" x14ac:dyDescent="0.2"/>
    <row r="19686" ht="9.9499999999999993" hidden="1" customHeight="1" x14ac:dyDescent="0.2"/>
    <row r="19687" ht="9.9499999999999993" hidden="1" customHeight="1" x14ac:dyDescent="0.2"/>
    <row r="19688" ht="9.9499999999999993" hidden="1" customHeight="1" x14ac:dyDescent="0.2"/>
    <row r="19689" ht="9.9499999999999993" hidden="1" customHeight="1" x14ac:dyDescent="0.2"/>
    <row r="19690" ht="9.9499999999999993" hidden="1" customHeight="1" x14ac:dyDescent="0.2"/>
    <row r="19691" ht="9.9499999999999993" hidden="1" customHeight="1" x14ac:dyDescent="0.2"/>
    <row r="19692" ht="9.9499999999999993" hidden="1" customHeight="1" x14ac:dyDescent="0.2"/>
    <row r="19693" ht="9.9499999999999993" hidden="1" customHeight="1" x14ac:dyDescent="0.2"/>
    <row r="19694" ht="9.9499999999999993" hidden="1" customHeight="1" x14ac:dyDescent="0.2"/>
    <row r="19695" ht="9.9499999999999993" hidden="1" customHeight="1" x14ac:dyDescent="0.2"/>
    <row r="19696" ht="9.9499999999999993" hidden="1" customHeight="1" x14ac:dyDescent="0.2"/>
    <row r="19697" ht="9.9499999999999993" hidden="1" customHeight="1" x14ac:dyDescent="0.2"/>
    <row r="19698" ht="9.9499999999999993" hidden="1" customHeight="1" x14ac:dyDescent="0.2"/>
    <row r="19699" ht="9.9499999999999993" hidden="1" customHeight="1" x14ac:dyDescent="0.2"/>
    <row r="19700" ht="9.9499999999999993" hidden="1" customHeight="1" x14ac:dyDescent="0.2"/>
    <row r="19701" ht="9.9499999999999993" hidden="1" customHeight="1" x14ac:dyDescent="0.2"/>
    <row r="19702" ht="9.9499999999999993" hidden="1" customHeight="1" x14ac:dyDescent="0.2"/>
    <row r="19703" ht="9.9499999999999993" hidden="1" customHeight="1" x14ac:dyDescent="0.2"/>
    <row r="19704" ht="9.9499999999999993" hidden="1" customHeight="1" x14ac:dyDescent="0.2"/>
    <row r="19705" ht="9.9499999999999993" hidden="1" customHeight="1" x14ac:dyDescent="0.2"/>
    <row r="19706" ht="9.9499999999999993" hidden="1" customHeight="1" x14ac:dyDescent="0.2"/>
    <row r="19707" ht="9.9499999999999993" hidden="1" customHeight="1" x14ac:dyDescent="0.2"/>
    <row r="19708" ht="9.9499999999999993" hidden="1" customHeight="1" x14ac:dyDescent="0.2"/>
    <row r="19709" ht="9.9499999999999993" hidden="1" customHeight="1" x14ac:dyDescent="0.2"/>
    <row r="19710" ht="9.9499999999999993" hidden="1" customHeight="1" x14ac:dyDescent="0.2"/>
    <row r="19711" ht="9.9499999999999993" hidden="1" customHeight="1" x14ac:dyDescent="0.2"/>
    <row r="19712" ht="9.9499999999999993" hidden="1" customHeight="1" x14ac:dyDescent="0.2"/>
    <row r="19713" ht="9.9499999999999993" hidden="1" customHeight="1" x14ac:dyDescent="0.2"/>
    <row r="19714" ht="9.9499999999999993" hidden="1" customHeight="1" x14ac:dyDescent="0.2"/>
    <row r="19715" ht="9.9499999999999993" hidden="1" customHeight="1" x14ac:dyDescent="0.2"/>
    <row r="19716" ht="9.9499999999999993" hidden="1" customHeight="1" x14ac:dyDescent="0.2"/>
    <row r="19717" ht="9.9499999999999993" hidden="1" customHeight="1" x14ac:dyDescent="0.2"/>
    <row r="19718" ht="9.9499999999999993" hidden="1" customHeight="1" x14ac:dyDescent="0.2"/>
    <row r="19719" ht="9.9499999999999993" hidden="1" customHeight="1" x14ac:dyDescent="0.2"/>
    <row r="19720" ht="9.9499999999999993" hidden="1" customHeight="1" x14ac:dyDescent="0.2"/>
    <row r="19721" ht="9.9499999999999993" hidden="1" customHeight="1" x14ac:dyDescent="0.2"/>
    <row r="19722" ht="9.9499999999999993" hidden="1" customHeight="1" x14ac:dyDescent="0.2"/>
    <row r="19723" ht="9.9499999999999993" hidden="1" customHeight="1" x14ac:dyDescent="0.2"/>
    <row r="19724" ht="9.9499999999999993" hidden="1" customHeight="1" x14ac:dyDescent="0.2"/>
    <row r="19725" ht="9.9499999999999993" hidden="1" customHeight="1" x14ac:dyDescent="0.2"/>
    <row r="19726" ht="9.9499999999999993" hidden="1" customHeight="1" x14ac:dyDescent="0.2"/>
    <row r="19727" ht="9.9499999999999993" hidden="1" customHeight="1" x14ac:dyDescent="0.2"/>
    <row r="19728" ht="9.9499999999999993" hidden="1" customHeight="1" x14ac:dyDescent="0.2"/>
    <row r="19729" ht="9.9499999999999993" hidden="1" customHeight="1" x14ac:dyDescent="0.2"/>
    <row r="19730" ht="9.9499999999999993" hidden="1" customHeight="1" x14ac:dyDescent="0.2"/>
    <row r="19731" ht="9.9499999999999993" hidden="1" customHeight="1" x14ac:dyDescent="0.2"/>
    <row r="19732" ht="9.9499999999999993" hidden="1" customHeight="1" x14ac:dyDescent="0.2"/>
    <row r="19733" ht="9.9499999999999993" hidden="1" customHeight="1" x14ac:dyDescent="0.2"/>
    <row r="19734" ht="9.9499999999999993" hidden="1" customHeight="1" x14ac:dyDescent="0.2"/>
    <row r="19735" ht="9.9499999999999993" hidden="1" customHeight="1" x14ac:dyDescent="0.2"/>
    <row r="19736" ht="9.9499999999999993" hidden="1" customHeight="1" x14ac:dyDescent="0.2"/>
    <row r="19737" ht="9.9499999999999993" hidden="1" customHeight="1" x14ac:dyDescent="0.2"/>
    <row r="19738" ht="9.9499999999999993" hidden="1" customHeight="1" x14ac:dyDescent="0.2"/>
    <row r="19739" ht="9.9499999999999993" hidden="1" customHeight="1" x14ac:dyDescent="0.2"/>
    <row r="19740" ht="9.9499999999999993" hidden="1" customHeight="1" x14ac:dyDescent="0.2"/>
    <row r="19741" ht="9.9499999999999993" hidden="1" customHeight="1" x14ac:dyDescent="0.2"/>
    <row r="19742" ht="9.9499999999999993" hidden="1" customHeight="1" x14ac:dyDescent="0.2"/>
    <row r="19743" ht="9.9499999999999993" hidden="1" customHeight="1" x14ac:dyDescent="0.2"/>
    <row r="19744" ht="9.9499999999999993" hidden="1" customHeight="1" x14ac:dyDescent="0.2"/>
    <row r="19745" ht="9.9499999999999993" hidden="1" customHeight="1" x14ac:dyDescent="0.2"/>
    <row r="19746" ht="9.9499999999999993" hidden="1" customHeight="1" x14ac:dyDescent="0.2"/>
    <row r="19747" ht="9.9499999999999993" hidden="1" customHeight="1" x14ac:dyDescent="0.2"/>
    <row r="19748" ht="9.9499999999999993" hidden="1" customHeight="1" x14ac:dyDescent="0.2"/>
    <row r="19749" ht="9.9499999999999993" hidden="1" customHeight="1" x14ac:dyDescent="0.2"/>
    <row r="19750" ht="9.9499999999999993" hidden="1" customHeight="1" x14ac:dyDescent="0.2"/>
    <row r="19751" ht="9.9499999999999993" hidden="1" customHeight="1" x14ac:dyDescent="0.2"/>
    <row r="19752" ht="9.9499999999999993" hidden="1" customHeight="1" x14ac:dyDescent="0.2"/>
    <row r="19753" ht="9.9499999999999993" hidden="1" customHeight="1" x14ac:dyDescent="0.2"/>
    <row r="19754" ht="9.9499999999999993" hidden="1" customHeight="1" x14ac:dyDescent="0.2"/>
    <row r="19755" ht="9.9499999999999993" hidden="1" customHeight="1" x14ac:dyDescent="0.2"/>
    <row r="19756" ht="9.9499999999999993" hidden="1" customHeight="1" x14ac:dyDescent="0.2"/>
    <row r="19757" ht="9.9499999999999993" hidden="1" customHeight="1" x14ac:dyDescent="0.2"/>
    <row r="19758" ht="9.9499999999999993" hidden="1" customHeight="1" x14ac:dyDescent="0.2"/>
    <row r="19759" ht="9.9499999999999993" hidden="1" customHeight="1" x14ac:dyDescent="0.2"/>
    <row r="19760" ht="9.9499999999999993" hidden="1" customHeight="1" x14ac:dyDescent="0.2"/>
    <row r="19761" ht="9.9499999999999993" hidden="1" customHeight="1" x14ac:dyDescent="0.2"/>
    <row r="19762" ht="9.9499999999999993" hidden="1" customHeight="1" x14ac:dyDescent="0.2"/>
    <row r="19763" ht="9.9499999999999993" hidden="1" customHeight="1" x14ac:dyDescent="0.2"/>
    <row r="19764" ht="9.9499999999999993" hidden="1" customHeight="1" x14ac:dyDescent="0.2"/>
    <row r="19765" ht="9.9499999999999993" hidden="1" customHeight="1" x14ac:dyDescent="0.2"/>
    <row r="19766" ht="9.9499999999999993" hidden="1" customHeight="1" x14ac:dyDescent="0.2"/>
    <row r="19767" ht="9.9499999999999993" hidden="1" customHeight="1" x14ac:dyDescent="0.2"/>
    <row r="19768" ht="9.9499999999999993" hidden="1" customHeight="1" x14ac:dyDescent="0.2"/>
    <row r="19769" ht="9.9499999999999993" hidden="1" customHeight="1" x14ac:dyDescent="0.2"/>
    <row r="19770" ht="9.9499999999999993" hidden="1" customHeight="1" x14ac:dyDescent="0.2"/>
    <row r="19771" ht="9.9499999999999993" hidden="1" customHeight="1" x14ac:dyDescent="0.2"/>
    <row r="19772" ht="9.9499999999999993" hidden="1" customHeight="1" x14ac:dyDescent="0.2"/>
    <row r="19773" ht="9.9499999999999993" hidden="1" customHeight="1" x14ac:dyDescent="0.2"/>
    <row r="19774" ht="9.9499999999999993" hidden="1" customHeight="1" x14ac:dyDescent="0.2"/>
    <row r="19775" ht="9.9499999999999993" hidden="1" customHeight="1" x14ac:dyDescent="0.2"/>
    <row r="19776" ht="9.9499999999999993" hidden="1" customHeight="1" x14ac:dyDescent="0.2"/>
    <row r="19777" ht="9.9499999999999993" hidden="1" customHeight="1" x14ac:dyDescent="0.2"/>
    <row r="19778" ht="9.9499999999999993" hidden="1" customHeight="1" x14ac:dyDescent="0.2"/>
    <row r="19779" ht="9.9499999999999993" hidden="1" customHeight="1" x14ac:dyDescent="0.2"/>
    <row r="19780" ht="9.9499999999999993" hidden="1" customHeight="1" x14ac:dyDescent="0.2"/>
    <row r="19781" ht="9.9499999999999993" hidden="1" customHeight="1" x14ac:dyDescent="0.2"/>
    <row r="19782" ht="9.9499999999999993" hidden="1" customHeight="1" x14ac:dyDescent="0.2"/>
    <row r="19783" ht="9.9499999999999993" hidden="1" customHeight="1" x14ac:dyDescent="0.2"/>
    <row r="19784" ht="9.9499999999999993" hidden="1" customHeight="1" x14ac:dyDescent="0.2"/>
    <row r="19785" ht="9.9499999999999993" hidden="1" customHeight="1" x14ac:dyDescent="0.2"/>
    <row r="19786" ht="9.9499999999999993" hidden="1" customHeight="1" x14ac:dyDescent="0.2"/>
    <row r="19787" ht="9.9499999999999993" hidden="1" customHeight="1" x14ac:dyDescent="0.2"/>
    <row r="19788" ht="9.9499999999999993" hidden="1" customHeight="1" x14ac:dyDescent="0.2"/>
    <row r="19789" ht="9.9499999999999993" hidden="1" customHeight="1" x14ac:dyDescent="0.2"/>
    <row r="19790" ht="9.9499999999999993" hidden="1" customHeight="1" x14ac:dyDescent="0.2"/>
    <row r="19791" ht="9.9499999999999993" hidden="1" customHeight="1" x14ac:dyDescent="0.2"/>
    <row r="19792" ht="9.9499999999999993" hidden="1" customHeight="1" x14ac:dyDescent="0.2"/>
    <row r="19793" ht="9.9499999999999993" hidden="1" customHeight="1" x14ac:dyDescent="0.2"/>
    <row r="19794" ht="9.9499999999999993" hidden="1" customHeight="1" x14ac:dyDescent="0.2"/>
    <row r="19795" ht="9.9499999999999993" hidden="1" customHeight="1" x14ac:dyDescent="0.2"/>
    <row r="19796" ht="9.9499999999999993" hidden="1" customHeight="1" x14ac:dyDescent="0.2"/>
    <row r="19797" ht="9.9499999999999993" hidden="1" customHeight="1" x14ac:dyDescent="0.2"/>
    <row r="19798" ht="9.9499999999999993" hidden="1" customHeight="1" x14ac:dyDescent="0.2"/>
    <row r="19799" ht="9.9499999999999993" hidden="1" customHeight="1" x14ac:dyDescent="0.2"/>
    <row r="19800" ht="9.9499999999999993" hidden="1" customHeight="1" x14ac:dyDescent="0.2"/>
    <row r="19801" ht="9.9499999999999993" hidden="1" customHeight="1" x14ac:dyDescent="0.2"/>
    <row r="19802" ht="9.9499999999999993" hidden="1" customHeight="1" x14ac:dyDescent="0.2"/>
    <row r="19803" ht="9.9499999999999993" hidden="1" customHeight="1" x14ac:dyDescent="0.2"/>
    <row r="19804" ht="9.9499999999999993" hidden="1" customHeight="1" x14ac:dyDescent="0.2"/>
    <row r="19805" ht="9.9499999999999993" hidden="1" customHeight="1" x14ac:dyDescent="0.2"/>
    <row r="19806" ht="9.9499999999999993" hidden="1" customHeight="1" x14ac:dyDescent="0.2"/>
    <row r="19807" ht="9.9499999999999993" hidden="1" customHeight="1" x14ac:dyDescent="0.2"/>
    <row r="19808" ht="9.9499999999999993" hidden="1" customHeight="1" x14ac:dyDescent="0.2"/>
    <row r="19809" ht="9.9499999999999993" hidden="1" customHeight="1" x14ac:dyDescent="0.2"/>
    <row r="19810" ht="9.9499999999999993" hidden="1" customHeight="1" x14ac:dyDescent="0.2"/>
    <row r="19811" ht="9.9499999999999993" hidden="1" customHeight="1" x14ac:dyDescent="0.2"/>
    <row r="19812" ht="9.9499999999999993" hidden="1" customHeight="1" x14ac:dyDescent="0.2"/>
    <row r="19813" ht="9.9499999999999993" hidden="1" customHeight="1" x14ac:dyDescent="0.2"/>
    <row r="19814" ht="9.9499999999999993" hidden="1" customHeight="1" x14ac:dyDescent="0.2"/>
    <row r="19815" ht="9.9499999999999993" hidden="1" customHeight="1" x14ac:dyDescent="0.2"/>
    <row r="19816" ht="9.9499999999999993" hidden="1" customHeight="1" x14ac:dyDescent="0.2"/>
    <row r="19817" ht="9.9499999999999993" hidden="1" customHeight="1" x14ac:dyDescent="0.2"/>
    <row r="19818" ht="9.9499999999999993" hidden="1" customHeight="1" x14ac:dyDescent="0.2"/>
    <row r="19819" ht="9.9499999999999993" hidden="1" customHeight="1" x14ac:dyDescent="0.2"/>
    <row r="19820" ht="9.9499999999999993" hidden="1" customHeight="1" x14ac:dyDescent="0.2"/>
    <row r="19821" ht="9.9499999999999993" hidden="1" customHeight="1" x14ac:dyDescent="0.2"/>
    <row r="19822" ht="9.9499999999999993" hidden="1" customHeight="1" x14ac:dyDescent="0.2"/>
    <row r="19823" ht="9.9499999999999993" hidden="1" customHeight="1" x14ac:dyDescent="0.2"/>
    <row r="19824" ht="9.9499999999999993" hidden="1" customHeight="1" x14ac:dyDescent="0.2"/>
    <row r="19825" ht="9.9499999999999993" hidden="1" customHeight="1" x14ac:dyDescent="0.2"/>
    <row r="19826" ht="9.9499999999999993" hidden="1" customHeight="1" x14ac:dyDescent="0.2"/>
    <row r="19827" ht="9.9499999999999993" hidden="1" customHeight="1" x14ac:dyDescent="0.2"/>
    <row r="19828" ht="9.9499999999999993" hidden="1" customHeight="1" x14ac:dyDescent="0.2"/>
    <row r="19829" ht="9.9499999999999993" hidden="1" customHeight="1" x14ac:dyDescent="0.2"/>
    <row r="19830" ht="9.9499999999999993" hidden="1" customHeight="1" x14ac:dyDescent="0.2"/>
    <row r="19831" ht="9.9499999999999993" hidden="1" customHeight="1" x14ac:dyDescent="0.2"/>
    <row r="19832" ht="9.9499999999999993" hidden="1" customHeight="1" x14ac:dyDescent="0.2"/>
    <row r="19833" ht="9.9499999999999993" hidden="1" customHeight="1" x14ac:dyDescent="0.2"/>
    <row r="19834" ht="9.9499999999999993" hidden="1" customHeight="1" x14ac:dyDescent="0.2"/>
    <row r="19835" ht="9.9499999999999993" hidden="1" customHeight="1" x14ac:dyDescent="0.2"/>
    <row r="19836" ht="9.9499999999999993" hidden="1" customHeight="1" x14ac:dyDescent="0.2"/>
    <row r="19837" ht="9.9499999999999993" hidden="1" customHeight="1" x14ac:dyDescent="0.2"/>
    <row r="19838" ht="9.9499999999999993" hidden="1" customHeight="1" x14ac:dyDescent="0.2"/>
    <row r="19839" ht="9.9499999999999993" hidden="1" customHeight="1" x14ac:dyDescent="0.2"/>
    <row r="19840" ht="9.9499999999999993" hidden="1" customHeight="1" x14ac:dyDescent="0.2"/>
    <row r="19841" ht="9.9499999999999993" hidden="1" customHeight="1" x14ac:dyDescent="0.2"/>
    <row r="19842" ht="9.9499999999999993" hidden="1" customHeight="1" x14ac:dyDescent="0.2"/>
    <row r="19843" ht="9.9499999999999993" hidden="1" customHeight="1" x14ac:dyDescent="0.2"/>
    <row r="19844" ht="9.9499999999999993" hidden="1" customHeight="1" x14ac:dyDescent="0.2"/>
    <row r="19845" ht="9.9499999999999993" hidden="1" customHeight="1" x14ac:dyDescent="0.2"/>
    <row r="19846" ht="9.9499999999999993" hidden="1" customHeight="1" x14ac:dyDescent="0.2"/>
    <row r="19847" ht="9.9499999999999993" hidden="1" customHeight="1" x14ac:dyDescent="0.2"/>
    <row r="19848" ht="9.9499999999999993" hidden="1" customHeight="1" x14ac:dyDescent="0.2"/>
    <row r="19849" ht="9.9499999999999993" hidden="1" customHeight="1" x14ac:dyDescent="0.2"/>
    <row r="19850" ht="9.9499999999999993" hidden="1" customHeight="1" x14ac:dyDescent="0.2"/>
    <row r="19851" ht="9.9499999999999993" hidden="1" customHeight="1" x14ac:dyDescent="0.2"/>
    <row r="19852" ht="9.9499999999999993" hidden="1" customHeight="1" x14ac:dyDescent="0.2"/>
    <row r="19853" ht="9.9499999999999993" hidden="1" customHeight="1" x14ac:dyDescent="0.2"/>
    <row r="19854" ht="9.9499999999999993" hidden="1" customHeight="1" x14ac:dyDescent="0.2"/>
    <row r="19855" ht="9.9499999999999993" hidden="1" customHeight="1" x14ac:dyDescent="0.2"/>
    <row r="19856" ht="9.9499999999999993" hidden="1" customHeight="1" x14ac:dyDescent="0.2"/>
    <row r="19857" ht="9.9499999999999993" hidden="1" customHeight="1" x14ac:dyDescent="0.2"/>
    <row r="19858" ht="9.9499999999999993" hidden="1" customHeight="1" x14ac:dyDescent="0.2"/>
    <row r="19859" ht="9.9499999999999993" hidden="1" customHeight="1" x14ac:dyDescent="0.2"/>
    <row r="19860" ht="9.9499999999999993" hidden="1" customHeight="1" x14ac:dyDescent="0.2"/>
    <row r="19861" ht="9.9499999999999993" hidden="1" customHeight="1" x14ac:dyDescent="0.2"/>
    <row r="19862" ht="9.9499999999999993" hidden="1" customHeight="1" x14ac:dyDescent="0.2"/>
    <row r="19863" ht="9.9499999999999993" hidden="1" customHeight="1" x14ac:dyDescent="0.2"/>
    <row r="19864" ht="9.9499999999999993" hidden="1" customHeight="1" x14ac:dyDescent="0.2"/>
    <row r="19865" ht="9.9499999999999993" hidden="1" customHeight="1" x14ac:dyDescent="0.2"/>
    <row r="19866" ht="9.9499999999999993" hidden="1" customHeight="1" x14ac:dyDescent="0.2"/>
    <row r="19867" ht="9.9499999999999993" hidden="1" customHeight="1" x14ac:dyDescent="0.2"/>
    <row r="19868" ht="9.9499999999999993" hidden="1" customHeight="1" x14ac:dyDescent="0.2"/>
    <row r="19869" ht="9.9499999999999993" hidden="1" customHeight="1" x14ac:dyDescent="0.2"/>
    <row r="19870" ht="9.9499999999999993" hidden="1" customHeight="1" x14ac:dyDescent="0.2"/>
    <row r="19871" ht="9.9499999999999993" hidden="1" customHeight="1" x14ac:dyDescent="0.2"/>
    <row r="19872" ht="9.9499999999999993" hidden="1" customHeight="1" x14ac:dyDescent="0.2"/>
    <row r="19873" ht="9.9499999999999993" hidden="1" customHeight="1" x14ac:dyDescent="0.2"/>
    <row r="19874" ht="9.9499999999999993" hidden="1" customHeight="1" x14ac:dyDescent="0.2"/>
    <row r="19875" ht="9.9499999999999993" hidden="1" customHeight="1" x14ac:dyDescent="0.2"/>
    <row r="19876" ht="9.9499999999999993" hidden="1" customHeight="1" x14ac:dyDescent="0.2"/>
    <row r="19877" ht="9.9499999999999993" hidden="1" customHeight="1" x14ac:dyDescent="0.2"/>
    <row r="19878" ht="9.9499999999999993" hidden="1" customHeight="1" x14ac:dyDescent="0.2"/>
    <row r="19879" ht="9.9499999999999993" hidden="1" customHeight="1" x14ac:dyDescent="0.2"/>
    <row r="19880" ht="9.9499999999999993" hidden="1" customHeight="1" x14ac:dyDescent="0.2"/>
    <row r="19881" ht="9.9499999999999993" hidden="1" customHeight="1" x14ac:dyDescent="0.2"/>
    <row r="19882" ht="9.9499999999999993" hidden="1" customHeight="1" x14ac:dyDescent="0.2"/>
    <row r="19883" ht="9.9499999999999993" hidden="1" customHeight="1" x14ac:dyDescent="0.2"/>
    <row r="19884" ht="9.9499999999999993" hidden="1" customHeight="1" x14ac:dyDescent="0.2"/>
    <row r="19885" ht="9.9499999999999993" hidden="1" customHeight="1" x14ac:dyDescent="0.2"/>
    <row r="19886" ht="9.9499999999999993" hidden="1" customHeight="1" x14ac:dyDescent="0.2"/>
    <row r="19887" ht="9.9499999999999993" hidden="1" customHeight="1" x14ac:dyDescent="0.2"/>
    <row r="19888" ht="9.9499999999999993" hidden="1" customHeight="1" x14ac:dyDescent="0.2"/>
    <row r="19889" ht="9.9499999999999993" hidden="1" customHeight="1" x14ac:dyDescent="0.2"/>
    <row r="19890" ht="9.9499999999999993" hidden="1" customHeight="1" x14ac:dyDescent="0.2"/>
    <row r="19891" ht="9.9499999999999993" hidden="1" customHeight="1" x14ac:dyDescent="0.2"/>
    <row r="19892" ht="9.9499999999999993" hidden="1" customHeight="1" x14ac:dyDescent="0.2"/>
    <row r="19893" ht="9.9499999999999993" hidden="1" customHeight="1" x14ac:dyDescent="0.2"/>
    <row r="19894" ht="9.9499999999999993" hidden="1" customHeight="1" x14ac:dyDescent="0.2"/>
    <row r="19895" ht="9.9499999999999993" hidden="1" customHeight="1" x14ac:dyDescent="0.2"/>
    <row r="19896" ht="9.9499999999999993" hidden="1" customHeight="1" x14ac:dyDescent="0.2"/>
    <row r="19897" ht="9.9499999999999993" hidden="1" customHeight="1" x14ac:dyDescent="0.2"/>
    <row r="19898" ht="9.9499999999999993" hidden="1" customHeight="1" x14ac:dyDescent="0.2"/>
    <row r="19899" ht="9.9499999999999993" hidden="1" customHeight="1" x14ac:dyDescent="0.2"/>
    <row r="19900" ht="9.9499999999999993" hidden="1" customHeight="1" x14ac:dyDescent="0.2"/>
    <row r="19901" ht="9.9499999999999993" hidden="1" customHeight="1" x14ac:dyDescent="0.2"/>
    <row r="19902" ht="9.9499999999999993" hidden="1" customHeight="1" x14ac:dyDescent="0.2"/>
    <row r="19903" ht="9.9499999999999993" hidden="1" customHeight="1" x14ac:dyDescent="0.2"/>
    <row r="19904" ht="9.9499999999999993" hidden="1" customHeight="1" x14ac:dyDescent="0.2"/>
    <row r="19905" ht="9.9499999999999993" hidden="1" customHeight="1" x14ac:dyDescent="0.2"/>
    <row r="19906" ht="9.9499999999999993" hidden="1" customHeight="1" x14ac:dyDescent="0.2"/>
    <row r="19907" ht="9.9499999999999993" hidden="1" customHeight="1" x14ac:dyDescent="0.2"/>
    <row r="19908" ht="9.9499999999999993" hidden="1" customHeight="1" x14ac:dyDescent="0.2"/>
    <row r="19909" ht="9.9499999999999993" hidden="1" customHeight="1" x14ac:dyDescent="0.2"/>
    <row r="19910" ht="9.9499999999999993" hidden="1" customHeight="1" x14ac:dyDescent="0.2"/>
    <row r="19911" ht="9.9499999999999993" hidden="1" customHeight="1" x14ac:dyDescent="0.2"/>
    <row r="19912" ht="9.9499999999999993" hidden="1" customHeight="1" x14ac:dyDescent="0.2"/>
    <row r="19913" ht="9.9499999999999993" hidden="1" customHeight="1" x14ac:dyDescent="0.2"/>
    <row r="19914" ht="9.9499999999999993" hidden="1" customHeight="1" x14ac:dyDescent="0.2"/>
    <row r="19915" ht="9.9499999999999993" hidden="1" customHeight="1" x14ac:dyDescent="0.2"/>
    <row r="19916" ht="9.9499999999999993" hidden="1" customHeight="1" x14ac:dyDescent="0.2"/>
    <row r="19917" ht="9.9499999999999993" hidden="1" customHeight="1" x14ac:dyDescent="0.2"/>
    <row r="19918" ht="9.9499999999999993" hidden="1" customHeight="1" x14ac:dyDescent="0.2"/>
    <row r="19919" ht="9.9499999999999993" hidden="1" customHeight="1" x14ac:dyDescent="0.2"/>
    <row r="19920" ht="9.9499999999999993" hidden="1" customHeight="1" x14ac:dyDescent="0.2"/>
    <row r="19921" ht="9.9499999999999993" hidden="1" customHeight="1" x14ac:dyDescent="0.2"/>
    <row r="19922" ht="9.9499999999999993" hidden="1" customHeight="1" x14ac:dyDescent="0.2"/>
    <row r="19923" ht="9.9499999999999993" hidden="1" customHeight="1" x14ac:dyDescent="0.2"/>
    <row r="19924" ht="9.9499999999999993" hidden="1" customHeight="1" x14ac:dyDescent="0.2"/>
    <row r="19925" ht="9.9499999999999993" hidden="1" customHeight="1" x14ac:dyDescent="0.2"/>
    <row r="19926" ht="9.9499999999999993" hidden="1" customHeight="1" x14ac:dyDescent="0.2"/>
    <row r="19927" ht="9.9499999999999993" hidden="1" customHeight="1" x14ac:dyDescent="0.2"/>
    <row r="19928" ht="9.9499999999999993" hidden="1" customHeight="1" x14ac:dyDescent="0.2"/>
    <row r="19929" ht="9.9499999999999993" hidden="1" customHeight="1" x14ac:dyDescent="0.2"/>
    <row r="19930" ht="9.9499999999999993" hidden="1" customHeight="1" x14ac:dyDescent="0.2"/>
    <row r="19931" ht="9.9499999999999993" hidden="1" customHeight="1" x14ac:dyDescent="0.2"/>
    <row r="19932" ht="9.9499999999999993" hidden="1" customHeight="1" x14ac:dyDescent="0.2"/>
    <row r="19933" ht="9.9499999999999993" hidden="1" customHeight="1" x14ac:dyDescent="0.2"/>
    <row r="19934" ht="9.9499999999999993" hidden="1" customHeight="1" x14ac:dyDescent="0.2"/>
    <row r="19935" ht="9.9499999999999993" hidden="1" customHeight="1" x14ac:dyDescent="0.2"/>
    <row r="19936" ht="9.9499999999999993" hidden="1" customHeight="1" x14ac:dyDescent="0.2"/>
    <row r="19937" ht="9.9499999999999993" hidden="1" customHeight="1" x14ac:dyDescent="0.2"/>
    <row r="19938" ht="9.9499999999999993" hidden="1" customHeight="1" x14ac:dyDescent="0.2"/>
    <row r="19939" ht="9.9499999999999993" hidden="1" customHeight="1" x14ac:dyDescent="0.2"/>
    <row r="19940" ht="9.9499999999999993" hidden="1" customHeight="1" x14ac:dyDescent="0.2"/>
    <row r="19941" ht="9.9499999999999993" hidden="1" customHeight="1" x14ac:dyDescent="0.2"/>
    <row r="19942" ht="9.9499999999999993" hidden="1" customHeight="1" x14ac:dyDescent="0.2"/>
    <row r="19943" ht="9.9499999999999993" hidden="1" customHeight="1" x14ac:dyDescent="0.2"/>
    <row r="19944" ht="9.9499999999999993" hidden="1" customHeight="1" x14ac:dyDescent="0.2"/>
    <row r="19945" ht="9.9499999999999993" hidden="1" customHeight="1" x14ac:dyDescent="0.2"/>
    <row r="19946" ht="9.9499999999999993" hidden="1" customHeight="1" x14ac:dyDescent="0.2"/>
    <row r="19947" ht="9.9499999999999993" hidden="1" customHeight="1" x14ac:dyDescent="0.2"/>
    <row r="19948" ht="9.9499999999999993" hidden="1" customHeight="1" x14ac:dyDescent="0.2"/>
    <row r="19949" ht="9.9499999999999993" hidden="1" customHeight="1" x14ac:dyDescent="0.2"/>
    <row r="19950" ht="9.9499999999999993" hidden="1" customHeight="1" x14ac:dyDescent="0.2"/>
    <row r="19951" ht="9.9499999999999993" hidden="1" customHeight="1" x14ac:dyDescent="0.2"/>
    <row r="19952" ht="9.9499999999999993" hidden="1" customHeight="1" x14ac:dyDescent="0.2"/>
    <row r="19953" ht="9.9499999999999993" hidden="1" customHeight="1" x14ac:dyDescent="0.2"/>
    <row r="19954" ht="9.9499999999999993" hidden="1" customHeight="1" x14ac:dyDescent="0.2"/>
    <row r="19955" ht="9.9499999999999993" hidden="1" customHeight="1" x14ac:dyDescent="0.2"/>
    <row r="19956" ht="9.9499999999999993" hidden="1" customHeight="1" x14ac:dyDescent="0.2"/>
    <row r="19957" ht="9.9499999999999993" hidden="1" customHeight="1" x14ac:dyDescent="0.2"/>
    <row r="19958" ht="9.9499999999999993" hidden="1" customHeight="1" x14ac:dyDescent="0.2"/>
    <row r="19959" ht="9.9499999999999993" hidden="1" customHeight="1" x14ac:dyDescent="0.2"/>
    <row r="19960" ht="9.9499999999999993" hidden="1" customHeight="1" x14ac:dyDescent="0.2"/>
    <row r="19961" ht="9.9499999999999993" hidden="1" customHeight="1" x14ac:dyDescent="0.2"/>
    <row r="19962" ht="9.9499999999999993" hidden="1" customHeight="1" x14ac:dyDescent="0.2"/>
    <row r="19963" ht="9.9499999999999993" hidden="1" customHeight="1" x14ac:dyDescent="0.2"/>
    <row r="19964" ht="9.9499999999999993" hidden="1" customHeight="1" x14ac:dyDescent="0.2"/>
    <row r="19965" ht="9.9499999999999993" hidden="1" customHeight="1" x14ac:dyDescent="0.2"/>
    <row r="19966" ht="9.9499999999999993" hidden="1" customHeight="1" x14ac:dyDescent="0.2"/>
    <row r="19967" ht="9.9499999999999993" hidden="1" customHeight="1" x14ac:dyDescent="0.2"/>
    <row r="19968" ht="9.9499999999999993" hidden="1" customHeight="1" x14ac:dyDescent="0.2"/>
    <row r="19969" ht="9.9499999999999993" hidden="1" customHeight="1" x14ac:dyDescent="0.2"/>
    <row r="19970" ht="9.9499999999999993" hidden="1" customHeight="1" x14ac:dyDescent="0.2"/>
    <row r="19971" ht="9.9499999999999993" hidden="1" customHeight="1" x14ac:dyDescent="0.2"/>
    <row r="19972" ht="9.9499999999999993" hidden="1" customHeight="1" x14ac:dyDescent="0.2"/>
    <row r="19973" ht="9.9499999999999993" hidden="1" customHeight="1" x14ac:dyDescent="0.2"/>
    <row r="19974" ht="9.9499999999999993" hidden="1" customHeight="1" x14ac:dyDescent="0.2"/>
    <row r="19975" ht="9.9499999999999993" hidden="1" customHeight="1" x14ac:dyDescent="0.2"/>
    <row r="19976" ht="9.9499999999999993" hidden="1" customHeight="1" x14ac:dyDescent="0.2"/>
    <row r="19977" ht="9.9499999999999993" hidden="1" customHeight="1" x14ac:dyDescent="0.2"/>
    <row r="19978" ht="9.9499999999999993" hidden="1" customHeight="1" x14ac:dyDescent="0.2"/>
    <row r="19979" ht="9.9499999999999993" hidden="1" customHeight="1" x14ac:dyDescent="0.2"/>
    <row r="19980" ht="9.9499999999999993" hidden="1" customHeight="1" x14ac:dyDescent="0.2"/>
    <row r="19981" ht="9.9499999999999993" hidden="1" customHeight="1" x14ac:dyDescent="0.2"/>
    <row r="19982" ht="9.9499999999999993" hidden="1" customHeight="1" x14ac:dyDescent="0.2"/>
    <row r="19983" ht="9.9499999999999993" hidden="1" customHeight="1" x14ac:dyDescent="0.2"/>
    <row r="19984" ht="9.9499999999999993" hidden="1" customHeight="1" x14ac:dyDescent="0.2"/>
    <row r="19985" ht="9.9499999999999993" hidden="1" customHeight="1" x14ac:dyDescent="0.2"/>
    <row r="19986" ht="9.9499999999999993" hidden="1" customHeight="1" x14ac:dyDescent="0.2"/>
    <row r="19987" ht="9.9499999999999993" hidden="1" customHeight="1" x14ac:dyDescent="0.2"/>
    <row r="19988" ht="9.9499999999999993" hidden="1" customHeight="1" x14ac:dyDescent="0.2"/>
    <row r="19989" ht="9.9499999999999993" hidden="1" customHeight="1" x14ac:dyDescent="0.2"/>
    <row r="19990" ht="9.9499999999999993" hidden="1" customHeight="1" x14ac:dyDescent="0.2"/>
    <row r="19991" ht="9.9499999999999993" hidden="1" customHeight="1" x14ac:dyDescent="0.2"/>
    <row r="19992" ht="9.9499999999999993" hidden="1" customHeight="1" x14ac:dyDescent="0.2"/>
    <row r="19993" ht="9.9499999999999993" hidden="1" customHeight="1" x14ac:dyDescent="0.2"/>
    <row r="19994" ht="9.9499999999999993" hidden="1" customHeight="1" x14ac:dyDescent="0.2"/>
    <row r="19995" ht="9.9499999999999993" hidden="1" customHeight="1" x14ac:dyDescent="0.2"/>
    <row r="19996" ht="9.9499999999999993" hidden="1" customHeight="1" x14ac:dyDescent="0.2"/>
    <row r="19997" ht="9.9499999999999993" hidden="1" customHeight="1" x14ac:dyDescent="0.2"/>
    <row r="19998" ht="9.9499999999999993" hidden="1" customHeight="1" x14ac:dyDescent="0.2"/>
    <row r="19999" ht="9.9499999999999993" hidden="1" customHeight="1" x14ac:dyDescent="0.2"/>
    <row r="20000" ht="9.9499999999999993" hidden="1" customHeight="1" x14ac:dyDescent="0.2"/>
    <row r="20001" ht="9.9499999999999993" hidden="1" customHeight="1" x14ac:dyDescent="0.2"/>
    <row r="20002" ht="9.9499999999999993" hidden="1" customHeight="1" x14ac:dyDescent="0.2"/>
    <row r="20003" ht="9.9499999999999993" hidden="1" customHeight="1" x14ac:dyDescent="0.2"/>
    <row r="20004" ht="9.9499999999999993" hidden="1" customHeight="1" x14ac:dyDescent="0.2"/>
    <row r="20005" ht="9.9499999999999993" hidden="1" customHeight="1" x14ac:dyDescent="0.2"/>
    <row r="20006" ht="9.9499999999999993" hidden="1" customHeight="1" x14ac:dyDescent="0.2"/>
    <row r="20007" ht="9.9499999999999993" hidden="1" customHeight="1" x14ac:dyDescent="0.2"/>
    <row r="20008" ht="9.9499999999999993" hidden="1" customHeight="1" x14ac:dyDescent="0.2"/>
    <row r="20009" ht="9.9499999999999993" hidden="1" customHeight="1" x14ac:dyDescent="0.2"/>
    <row r="20010" ht="9.9499999999999993" hidden="1" customHeight="1" x14ac:dyDescent="0.2"/>
    <row r="20011" ht="9.9499999999999993" hidden="1" customHeight="1" x14ac:dyDescent="0.2"/>
    <row r="20012" ht="9.9499999999999993" hidden="1" customHeight="1" x14ac:dyDescent="0.2"/>
    <row r="20013" ht="9.9499999999999993" hidden="1" customHeight="1" x14ac:dyDescent="0.2"/>
    <row r="20014" ht="9.9499999999999993" hidden="1" customHeight="1" x14ac:dyDescent="0.2"/>
    <row r="20015" ht="9.9499999999999993" hidden="1" customHeight="1" x14ac:dyDescent="0.2"/>
    <row r="20016" ht="9.9499999999999993" hidden="1" customHeight="1" x14ac:dyDescent="0.2"/>
    <row r="20017" ht="9.9499999999999993" hidden="1" customHeight="1" x14ac:dyDescent="0.2"/>
    <row r="20018" ht="9.9499999999999993" hidden="1" customHeight="1" x14ac:dyDescent="0.2"/>
    <row r="20019" ht="9.9499999999999993" hidden="1" customHeight="1" x14ac:dyDescent="0.2"/>
    <row r="20020" ht="9.9499999999999993" hidden="1" customHeight="1" x14ac:dyDescent="0.2"/>
    <row r="20021" ht="9.9499999999999993" hidden="1" customHeight="1" x14ac:dyDescent="0.2"/>
    <row r="20022" ht="9.9499999999999993" hidden="1" customHeight="1" x14ac:dyDescent="0.2"/>
    <row r="20023" ht="9.9499999999999993" hidden="1" customHeight="1" x14ac:dyDescent="0.2"/>
    <row r="20024" ht="9.9499999999999993" hidden="1" customHeight="1" x14ac:dyDescent="0.2"/>
    <row r="20025" ht="9.9499999999999993" hidden="1" customHeight="1" x14ac:dyDescent="0.2"/>
    <row r="20026" ht="9.9499999999999993" hidden="1" customHeight="1" x14ac:dyDescent="0.2"/>
    <row r="20027" ht="9.9499999999999993" hidden="1" customHeight="1" x14ac:dyDescent="0.2"/>
    <row r="20028" ht="9.9499999999999993" hidden="1" customHeight="1" x14ac:dyDescent="0.2"/>
    <row r="20029" ht="9.9499999999999993" hidden="1" customHeight="1" x14ac:dyDescent="0.2"/>
    <row r="20030" ht="9.9499999999999993" hidden="1" customHeight="1" x14ac:dyDescent="0.2"/>
    <row r="20031" ht="9.9499999999999993" hidden="1" customHeight="1" x14ac:dyDescent="0.2"/>
    <row r="20032" ht="9.9499999999999993" hidden="1" customHeight="1" x14ac:dyDescent="0.2"/>
    <row r="20033" ht="9.9499999999999993" hidden="1" customHeight="1" x14ac:dyDescent="0.2"/>
    <row r="20034" ht="9.9499999999999993" hidden="1" customHeight="1" x14ac:dyDescent="0.2"/>
    <row r="20035" ht="9.9499999999999993" hidden="1" customHeight="1" x14ac:dyDescent="0.2"/>
    <row r="20036" ht="9.9499999999999993" hidden="1" customHeight="1" x14ac:dyDescent="0.2"/>
    <row r="20037" ht="9.9499999999999993" hidden="1" customHeight="1" x14ac:dyDescent="0.2"/>
    <row r="20038" ht="9.9499999999999993" hidden="1" customHeight="1" x14ac:dyDescent="0.2"/>
    <row r="20039" ht="9.9499999999999993" hidden="1" customHeight="1" x14ac:dyDescent="0.2"/>
    <row r="20040" ht="9.9499999999999993" hidden="1" customHeight="1" x14ac:dyDescent="0.2"/>
    <row r="20041" ht="9.9499999999999993" hidden="1" customHeight="1" x14ac:dyDescent="0.2"/>
    <row r="20042" ht="9.9499999999999993" hidden="1" customHeight="1" x14ac:dyDescent="0.2"/>
    <row r="20043" ht="9.9499999999999993" hidden="1" customHeight="1" x14ac:dyDescent="0.2"/>
    <row r="20044" ht="9.9499999999999993" hidden="1" customHeight="1" x14ac:dyDescent="0.2"/>
    <row r="20045" ht="9.9499999999999993" hidden="1" customHeight="1" x14ac:dyDescent="0.2"/>
    <row r="20046" ht="9.9499999999999993" hidden="1" customHeight="1" x14ac:dyDescent="0.2"/>
    <row r="20047" ht="9.9499999999999993" hidden="1" customHeight="1" x14ac:dyDescent="0.2"/>
    <row r="20048" ht="9.9499999999999993" hidden="1" customHeight="1" x14ac:dyDescent="0.2"/>
    <row r="20049" ht="9.9499999999999993" hidden="1" customHeight="1" x14ac:dyDescent="0.2"/>
    <row r="20050" ht="9.9499999999999993" hidden="1" customHeight="1" x14ac:dyDescent="0.2"/>
    <row r="20051" ht="9.9499999999999993" hidden="1" customHeight="1" x14ac:dyDescent="0.2"/>
    <row r="20052" ht="9.9499999999999993" hidden="1" customHeight="1" x14ac:dyDescent="0.2"/>
    <row r="20053" ht="9.9499999999999993" hidden="1" customHeight="1" x14ac:dyDescent="0.2"/>
    <row r="20054" ht="9.9499999999999993" hidden="1" customHeight="1" x14ac:dyDescent="0.2"/>
    <row r="20055" ht="9.9499999999999993" hidden="1" customHeight="1" x14ac:dyDescent="0.2"/>
    <row r="20056" ht="9.9499999999999993" hidden="1" customHeight="1" x14ac:dyDescent="0.2"/>
    <row r="20057" ht="9.9499999999999993" hidden="1" customHeight="1" x14ac:dyDescent="0.2"/>
    <row r="20058" ht="9.9499999999999993" hidden="1" customHeight="1" x14ac:dyDescent="0.2"/>
    <row r="20059" ht="9.9499999999999993" hidden="1" customHeight="1" x14ac:dyDescent="0.2"/>
    <row r="20060" ht="9.9499999999999993" hidden="1" customHeight="1" x14ac:dyDescent="0.2"/>
    <row r="20061" ht="9.9499999999999993" hidden="1" customHeight="1" x14ac:dyDescent="0.2"/>
    <row r="20062" ht="9.9499999999999993" hidden="1" customHeight="1" x14ac:dyDescent="0.2"/>
    <row r="20063" ht="9.9499999999999993" hidden="1" customHeight="1" x14ac:dyDescent="0.2"/>
    <row r="20064" ht="9.9499999999999993" hidden="1" customHeight="1" x14ac:dyDescent="0.2"/>
    <row r="20065" ht="9.9499999999999993" hidden="1" customHeight="1" x14ac:dyDescent="0.2"/>
    <row r="20066" ht="9.9499999999999993" hidden="1" customHeight="1" x14ac:dyDescent="0.2"/>
    <row r="20067" ht="9.9499999999999993" hidden="1" customHeight="1" x14ac:dyDescent="0.2"/>
    <row r="20068" ht="9.9499999999999993" hidden="1" customHeight="1" x14ac:dyDescent="0.2"/>
    <row r="20069" ht="9.9499999999999993" hidden="1" customHeight="1" x14ac:dyDescent="0.2"/>
    <row r="20070" ht="9.9499999999999993" hidden="1" customHeight="1" x14ac:dyDescent="0.2"/>
    <row r="20071" ht="9.9499999999999993" hidden="1" customHeight="1" x14ac:dyDescent="0.2"/>
    <row r="20072" ht="9.9499999999999993" hidden="1" customHeight="1" x14ac:dyDescent="0.2"/>
    <row r="20073" ht="9.9499999999999993" hidden="1" customHeight="1" x14ac:dyDescent="0.2"/>
    <row r="20074" ht="9.9499999999999993" hidden="1" customHeight="1" x14ac:dyDescent="0.2"/>
    <row r="20075" ht="9.9499999999999993" hidden="1" customHeight="1" x14ac:dyDescent="0.2"/>
    <row r="20076" ht="9.9499999999999993" hidden="1" customHeight="1" x14ac:dyDescent="0.2"/>
    <row r="20077" ht="9.9499999999999993" hidden="1" customHeight="1" x14ac:dyDescent="0.2"/>
    <row r="20078" ht="9.9499999999999993" hidden="1" customHeight="1" x14ac:dyDescent="0.2"/>
    <row r="20079" ht="9.9499999999999993" hidden="1" customHeight="1" x14ac:dyDescent="0.2"/>
    <row r="20080" ht="9.9499999999999993" hidden="1" customHeight="1" x14ac:dyDescent="0.2"/>
    <row r="20081" ht="9.9499999999999993" hidden="1" customHeight="1" x14ac:dyDescent="0.2"/>
    <row r="20082" ht="9.9499999999999993" hidden="1" customHeight="1" x14ac:dyDescent="0.2"/>
    <row r="20083" ht="9.9499999999999993" hidden="1" customHeight="1" x14ac:dyDescent="0.2"/>
    <row r="20084" ht="9.9499999999999993" hidden="1" customHeight="1" x14ac:dyDescent="0.2"/>
    <row r="20085" ht="9.9499999999999993" hidden="1" customHeight="1" x14ac:dyDescent="0.2"/>
    <row r="20086" ht="9.9499999999999993" hidden="1" customHeight="1" x14ac:dyDescent="0.2"/>
    <row r="20087" ht="9.9499999999999993" hidden="1" customHeight="1" x14ac:dyDescent="0.2"/>
    <row r="20088" ht="9.9499999999999993" hidden="1" customHeight="1" x14ac:dyDescent="0.2"/>
    <row r="20089" ht="9.9499999999999993" hidden="1" customHeight="1" x14ac:dyDescent="0.2"/>
    <row r="20090" ht="9.9499999999999993" hidden="1" customHeight="1" x14ac:dyDescent="0.2"/>
    <row r="20091" ht="9.9499999999999993" hidden="1" customHeight="1" x14ac:dyDescent="0.2"/>
    <row r="20092" ht="9.9499999999999993" hidden="1" customHeight="1" x14ac:dyDescent="0.2"/>
    <row r="20093" ht="9.9499999999999993" hidden="1" customHeight="1" x14ac:dyDescent="0.2"/>
    <row r="20094" ht="9.9499999999999993" hidden="1" customHeight="1" x14ac:dyDescent="0.2"/>
    <row r="20095" ht="9.9499999999999993" hidden="1" customHeight="1" x14ac:dyDescent="0.2"/>
    <row r="20096" ht="9.9499999999999993" hidden="1" customHeight="1" x14ac:dyDescent="0.2"/>
    <row r="20097" ht="9.9499999999999993" hidden="1" customHeight="1" x14ac:dyDescent="0.2"/>
    <row r="20098" ht="9.9499999999999993" hidden="1" customHeight="1" x14ac:dyDescent="0.2"/>
    <row r="20099" ht="9.9499999999999993" hidden="1" customHeight="1" x14ac:dyDescent="0.2"/>
    <row r="20100" ht="9.9499999999999993" hidden="1" customHeight="1" x14ac:dyDescent="0.2"/>
    <row r="20101" ht="9.9499999999999993" hidden="1" customHeight="1" x14ac:dyDescent="0.2"/>
    <row r="20102" ht="9.9499999999999993" hidden="1" customHeight="1" x14ac:dyDescent="0.2"/>
    <row r="20103" ht="9.9499999999999993" hidden="1" customHeight="1" x14ac:dyDescent="0.2"/>
    <row r="20104" ht="9.9499999999999993" hidden="1" customHeight="1" x14ac:dyDescent="0.2"/>
    <row r="20105" ht="9.9499999999999993" hidden="1" customHeight="1" x14ac:dyDescent="0.2"/>
    <row r="20106" ht="9.9499999999999993" hidden="1" customHeight="1" x14ac:dyDescent="0.2"/>
    <row r="20107" ht="9.9499999999999993" hidden="1" customHeight="1" x14ac:dyDescent="0.2"/>
    <row r="20108" ht="9.9499999999999993" hidden="1" customHeight="1" x14ac:dyDescent="0.2"/>
    <row r="20109" ht="9.9499999999999993" hidden="1" customHeight="1" x14ac:dyDescent="0.2"/>
    <row r="20110" ht="9.9499999999999993" hidden="1" customHeight="1" x14ac:dyDescent="0.2"/>
    <row r="20111" ht="9.9499999999999993" hidden="1" customHeight="1" x14ac:dyDescent="0.2"/>
    <row r="20112" ht="9.9499999999999993" hidden="1" customHeight="1" x14ac:dyDescent="0.2"/>
    <row r="20113" ht="9.9499999999999993" hidden="1" customHeight="1" x14ac:dyDescent="0.2"/>
    <row r="20114" ht="9.9499999999999993" hidden="1" customHeight="1" x14ac:dyDescent="0.2"/>
    <row r="20115" ht="9.9499999999999993" hidden="1" customHeight="1" x14ac:dyDescent="0.2"/>
    <row r="20116" ht="9.9499999999999993" hidden="1" customHeight="1" x14ac:dyDescent="0.2"/>
    <row r="20117" ht="9.9499999999999993" hidden="1" customHeight="1" x14ac:dyDescent="0.2"/>
    <row r="20118" ht="9.9499999999999993" hidden="1" customHeight="1" x14ac:dyDescent="0.2"/>
    <row r="20119" ht="9.9499999999999993" hidden="1" customHeight="1" x14ac:dyDescent="0.2"/>
    <row r="20120" ht="9.9499999999999993" hidden="1" customHeight="1" x14ac:dyDescent="0.2"/>
    <row r="20121" ht="9.9499999999999993" hidden="1" customHeight="1" x14ac:dyDescent="0.2"/>
    <row r="20122" ht="9.9499999999999993" hidden="1" customHeight="1" x14ac:dyDescent="0.2"/>
    <row r="20123" ht="9.9499999999999993" hidden="1" customHeight="1" x14ac:dyDescent="0.2"/>
    <row r="20124" ht="9.9499999999999993" hidden="1" customHeight="1" x14ac:dyDescent="0.2"/>
    <row r="20125" ht="9.9499999999999993" hidden="1" customHeight="1" x14ac:dyDescent="0.2"/>
    <row r="20126" ht="9.9499999999999993" hidden="1" customHeight="1" x14ac:dyDescent="0.2"/>
    <row r="20127" ht="9.9499999999999993" hidden="1" customHeight="1" x14ac:dyDescent="0.2"/>
    <row r="20128" ht="9.9499999999999993" hidden="1" customHeight="1" x14ac:dyDescent="0.2"/>
    <row r="20129" ht="9.9499999999999993" hidden="1" customHeight="1" x14ac:dyDescent="0.2"/>
    <row r="20130" ht="9.9499999999999993" hidden="1" customHeight="1" x14ac:dyDescent="0.2"/>
    <row r="20131" ht="9.9499999999999993" hidden="1" customHeight="1" x14ac:dyDescent="0.2"/>
    <row r="20132" ht="9.9499999999999993" hidden="1" customHeight="1" x14ac:dyDescent="0.2"/>
    <row r="20133" ht="9.9499999999999993" hidden="1" customHeight="1" x14ac:dyDescent="0.2"/>
    <row r="20134" ht="9.9499999999999993" hidden="1" customHeight="1" x14ac:dyDescent="0.2"/>
    <row r="20135" ht="9.9499999999999993" hidden="1" customHeight="1" x14ac:dyDescent="0.2"/>
    <row r="20136" ht="9.9499999999999993" hidden="1" customHeight="1" x14ac:dyDescent="0.2"/>
    <row r="20137" ht="9.9499999999999993" hidden="1" customHeight="1" x14ac:dyDescent="0.2"/>
    <row r="20138" ht="9.9499999999999993" hidden="1" customHeight="1" x14ac:dyDescent="0.2"/>
    <row r="20139" ht="9.9499999999999993" hidden="1" customHeight="1" x14ac:dyDescent="0.2"/>
    <row r="20140" ht="9.9499999999999993" hidden="1" customHeight="1" x14ac:dyDescent="0.2"/>
    <row r="20141" ht="9.9499999999999993" hidden="1" customHeight="1" x14ac:dyDescent="0.2"/>
    <row r="20142" ht="9.9499999999999993" hidden="1" customHeight="1" x14ac:dyDescent="0.2"/>
    <row r="20143" ht="9.9499999999999993" hidden="1" customHeight="1" x14ac:dyDescent="0.2"/>
    <row r="20144" ht="9.9499999999999993" hidden="1" customHeight="1" x14ac:dyDescent="0.2"/>
    <row r="20145" ht="9.9499999999999993" hidden="1" customHeight="1" x14ac:dyDescent="0.2"/>
    <row r="20146" ht="9.9499999999999993" hidden="1" customHeight="1" x14ac:dyDescent="0.2"/>
    <row r="20147" ht="9.9499999999999993" hidden="1" customHeight="1" x14ac:dyDescent="0.2"/>
    <row r="20148" ht="9.9499999999999993" hidden="1" customHeight="1" x14ac:dyDescent="0.2"/>
    <row r="20149" ht="9.9499999999999993" hidden="1" customHeight="1" x14ac:dyDescent="0.2"/>
    <row r="20150" ht="9.9499999999999993" hidden="1" customHeight="1" x14ac:dyDescent="0.2"/>
    <row r="20151" ht="9.9499999999999993" hidden="1" customHeight="1" x14ac:dyDescent="0.2"/>
    <row r="20152" ht="9.9499999999999993" hidden="1" customHeight="1" x14ac:dyDescent="0.2"/>
    <row r="20153" ht="9.9499999999999993" hidden="1" customHeight="1" x14ac:dyDescent="0.2"/>
    <row r="20154" ht="9.9499999999999993" hidden="1" customHeight="1" x14ac:dyDescent="0.2"/>
    <row r="20155" ht="9.9499999999999993" hidden="1" customHeight="1" x14ac:dyDescent="0.2"/>
    <row r="20156" ht="9.9499999999999993" hidden="1" customHeight="1" x14ac:dyDescent="0.2"/>
    <row r="20157" ht="9.9499999999999993" hidden="1" customHeight="1" x14ac:dyDescent="0.2"/>
    <row r="20158" ht="9.9499999999999993" hidden="1" customHeight="1" x14ac:dyDescent="0.2"/>
    <row r="20159" ht="9.9499999999999993" hidden="1" customHeight="1" x14ac:dyDescent="0.2"/>
    <row r="20160" ht="9.9499999999999993" hidden="1" customHeight="1" x14ac:dyDescent="0.2"/>
    <row r="20161" ht="9.9499999999999993" hidden="1" customHeight="1" x14ac:dyDescent="0.2"/>
    <row r="20162" ht="9.9499999999999993" hidden="1" customHeight="1" x14ac:dyDescent="0.2"/>
    <row r="20163" ht="9.9499999999999993" hidden="1" customHeight="1" x14ac:dyDescent="0.2"/>
    <row r="20164" ht="9.9499999999999993" hidden="1" customHeight="1" x14ac:dyDescent="0.2"/>
    <row r="20165" ht="9.9499999999999993" hidden="1" customHeight="1" x14ac:dyDescent="0.2"/>
    <row r="20166" ht="9.9499999999999993" hidden="1" customHeight="1" x14ac:dyDescent="0.2"/>
    <row r="20167" ht="9.9499999999999993" hidden="1" customHeight="1" x14ac:dyDescent="0.2"/>
    <row r="20168" ht="9.9499999999999993" hidden="1" customHeight="1" x14ac:dyDescent="0.2"/>
    <row r="20169" ht="9.9499999999999993" hidden="1" customHeight="1" x14ac:dyDescent="0.2"/>
    <row r="20170" ht="9.9499999999999993" hidden="1" customHeight="1" x14ac:dyDescent="0.2"/>
    <row r="20171" ht="9.9499999999999993" hidden="1" customHeight="1" x14ac:dyDescent="0.2"/>
    <row r="20172" ht="9.9499999999999993" hidden="1" customHeight="1" x14ac:dyDescent="0.2"/>
    <row r="20173" ht="9.9499999999999993" hidden="1" customHeight="1" x14ac:dyDescent="0.2"/>
    <row r="20174" ht="9.9499999999999993" hidden="1" customHeight="1" x14ac:dyDescent="0.2"/>
    <row r="20175" ht="9.9499999999999993" hidden="1" customHeight="1" x14ac:dyDescent="0.2"/>
    <row r="20176" ht="9.9499999999999993" hidden="1" customHeight="1" x14ac:dyDescent="0.2"/>
    <row r="20177" ht="9.9499999999999993" hidden="1" customHeight="1" x14ac:dyDescent="0.2"/>
    <row r="20178" ht="9.9499999999999993" hidden="1" customHeight="1" x14ac:dyDescent="0.2"/>
    <row r="20179" ht="9.9499999999999993" hidden="1" customHeight="1" x14ac:dyDescent="0.2"/>
    <row r="20180" ht="9.9499999999999993" hidden="1" customHeight="1" x14ac:dyDescent="0.2"/>
    <row r="20181" ht="9.9499999999999993" hidden="1" customHeight="1" x14ac:dyDescent="0.2"/>
    <row r="20182" ht="9.9499999999999993" hidden="1" customHeight="1" x14ac:dyDescent="0.2"/>
    <row r="20183" ht="9.9499999999999993" hidden="1" customHeight="1" x14ac:dyDescent="0.2"/>
    <row r="20184" ht="9.9499999999999993" hidden="1" customHeight="1" x14ac:dyDescent="0.2"/>
    <row r="20185" ht="9.9499999999999993" hidden="1" customHeight="1" x14ac:dyDescent="0.2"/>
    <row r="20186" ht="9.9499999999999993" hidden="1" customHeight="1" x14ac:dyDescent="0.2"/>
    <row r="20187" ht="9.9499999999999993" hidden="1" customHeight="1" x14ac:dyDescent="0.2"/>
    <row r="20188" ht="9.9499999999999993" hidden="1" customHeight="1" x14ac:dyDescent="0.2"/>
    <row r="20189" ht="9.9499999999999993" hidden="1" customHeight="1" x14ac:dyDescent="0.2"/>
    <row r="20190" ht="9.9499999999999993" hidden="1" customHeight="1" x14ac:dyDescent="0.2"/>
    <row r="20191" ht="9.9499999999999993" hidden="1" customHeight="1" x14ac:dyDescent="0.2"/>
    <row r="20192" ht="9.9499999999999993" hidden="1" customHeight="1" x14ac:dyDescent="0.2"/>
    <row r="20193" ht="9.9499999999999993" hidden="1" customHeight="1" x14ac:dyDescent="0.2"/>
    <row r="20194" ht="9.9499999999999993" hidden="1" customHeight="1" x14ac:dyDescent="0.2"/>
    <row r="20195" ht="9.9499999999999993" hidden="1" customHeight="1" x14ac:dyDescent="0.2"/>
    <row r="20196" ht="9.9499999999999993" hidden="1" customHeight="1" x14ac:dyDescent="0.2"/>
    <row r="20197" ht="9.9499999999999993" hidden="1" customHeight="1" x14ac:dyDescent="0.2"/>
    <row r="20198" ht="9.9499999999999993" hidden="1" customHeight="1" x14ac:dyDescent="0.2"/>
    <row r="20199" ht="9.9499999999999993" hidden="1" customHeight="1" x14ac:dyDescent="0.2"/>
    <row r="20200" ht="9.9499999999999993" hidden="1" customHeight="1" x14ac:dyDescent="0.2"/>
    <row r="20201" ht="9.9499999999999993" hidden="1" customHeight="1" x14ac:dyDescent="0.2"/>
    <row r="20202" ht="9.9499999999999993" hidden="1" customHeight="1" x14ac:dyDescent="0.2"/>
    <row r="20203" ht="9.9499999999999993" hidden="1" customHeight="1" x14ac:dyDescent="0.2"/>
    <row r="20204" ht="9.9499999999999993" hidden="1" customHeight="1" x14ac:dyDescent="0.2"/>
    <row r="20205" ht="9.9499999999999993" hidden="1" customHeight="1" x14ac:dyDescent="0.2"/>
    <row r="20206" ht="9.9499999999999993" hidden="1" customHeight="1" x14ac:dyDescent="0.2"/>
    <row r="20207" ht="9.9499999999999993" hidden="1" customHeight="1" x14ac:dyDescent="0.2"/>
    <row r="20208" ht="9.9499999999999993" hidden="1" customHeight="1" x14ac:dyDescent="0.2"/>
    <row r="20209" ht="9.9499999999999993" hidden="1" customHeight="1" x14ac:dyDescent="0.2"/>
    <row r="20210" ht="9.9499999999999993" hidden="1" customHeight="1" x14ac:dyDescent="0.2"/>
    <row r="20211" ht="9.9499999999999993" hidden="1" customHeight="1" x14ac:dyDescent="0.2"/>
    <row r="20212" ht="9.9499999999999993" hidden="1" customHeight="1" x14ac:dyDescent="0.2"/>
    <row r="20213" ht="9.9499999999999993" hidden="1" customHeight="1" x14ac:dyDescent="0.2"/>
    <row r="20214" ht="9.9499999999999993" hidden="1" customHeight="1" x14ac:dyDescent="0.2"/>
    <row r="20215" ht="9.9499999999999993" hidden="1" customHeight="1" x14ac:dyDescent="0.2"/>
    <row r="20216" ht="9.9499999999999993" hidden="1" customHeight="1" x14ac:dyDescent="0.2"/>
    <row r="20217" ht="9.9499999999999993" hidden="1" customHeight="1" x14ac:dyDescent="0.2"/>
    <row r="20218" ht="9.9499999999999993" hidden="1" customHeight="1" x14ac:dyDescent="0.2"/>
    <row r="20219" ht="9.9499999999999993" hidden="1" customHeight="1" x14ac:dyDescent="0.2"/>
    <row r="20220" ht="9.9499999999999993" hidden="1" customHeight="1" x14ac:dyDescent="0.2"/>
    <row r="20221" ht="9.9499999999999993" hidden="1" customHeight="1" x14ac:dyDescent="0.2"/>
    <row r="20222" ht="9.9499999999999993" hidden="1" customHeight="1" x14ac:dyDescent="0.2"/>
    <row r="20223" ht="9.9499999999999993" hidden="1" customHeight="1" x14ac:dyDescent="0.2"/>
    <row r="20224" ht="9.9499999999999993" hidden="1" customHeight="1" x14ac:dyDescent="0.2"/>
    <row r="20225" ht="9.9499999999999993" hidden="1" customHeight="1" x14ac:dyDescent="0.2"/>
    <row r="20226" ht="9.9499999999999993" hidden="1" customHeight="1" x14ac:dyDescent="0.2"/>
    <row r="20227" ht="9.9499999999999993" hidden="1" customHeight="1" x14ac:dyDescent="0.2"/>
    <row r="20228" ht="9.9499999999999993" hidden="1" customHeight="1" x14ac:dyDescent="0.2"/>
    <row r="20229" ht="9.9499999999999993" hidden="1" customHeight="1" x14ac:dyDescent="0.2"/>
    <row r="20230" ht="9.9499999999999993" hidden="1" customHeight="1" x14ac:dyDescent="0.2"/>
    <row r="20231" ht="9.9499999999999993" hidden="1" customHeight="1" x14ac:dyDescent="0.2"/>
    <row r="20232" ht="9.9499999999999993" hidden="1" customHeight="1" x14ac:dyDescent="0.2"/>
    <row r="20233" ht="9.9499999999999993" hidden="1" customHeight="1" x14ac:dyDescent="0.2"/>
    <row r="20234" ht="9.9499999999999993" hidden="1" customHeight="1" x14ac:dyDescent="0.2"/>
    <row r="20235" ht="9.9499999999999993" hidden="1" customHeight="1" x14ac:dyDescent="0.2"/>
    <row r="20236" ht="9.9499999999999993" hidden="1" customHeight="1" x14ac:dyDescent="0.2"/>
    <row r="20237" ht="9.9499999999999993" hidden="1" customHeight="1" x14ac:dyDescent="0.2"/>
    <row r="20238" ht="9.9499999999999993" hidden="1" customHeight="1" x14ac:dyDescent="0.2"/>
    <row r="20239" ht="9.9499999999999993" hidden="1" customHeight="1" x14ac:dyDescent="0.2"/>
    <row r="20240" ht="9.9499999999999993" hidden="1" customHeight="1" x14ac:dyDescent="0.2"/>
    <row r="20241" ht="9.9499999999999993" hidden="1" customHeight="1" x14ac:dyDescent="0.2"/>
    <row r="20242" ht="9.9499999999999993" hidden="1" customHeight="1" x14ac:dyDescent="0.2"/>
    <row r="20243" ht="9.9499999999999993" hidden="1" customHeight="1" x14ac:dyDescent="0.2"/>
    <row r="20244" ht="9.9499999999999993" hidden="1" customHeight="1" x14ac:dyDescent="0.2"/>
    <row r="20245" ht="9.9499999999999993" hidden="1" customHeight="1" x14ac:dyDescent="0.2"/>
    <row r="20246" ht="9.9499999999999993" hidden="1" customHeight="1" x14ac:dyDescent="0.2"/>
    <row r="20247" ht="9.9499999999999993" hidden="1" customHeight="1" x14ac:dyDescent="0.2"/>
    <row r="20248" ht="9.9499999999999993" hidden="1" customHeight="1" x14ac:dyDescent="0.2"/>
    <row r="20249" ht="9.9499999999999993" hidden="1" customHeight="1" x14ac:dyDescent="0.2"/>
    <row r="20250" ht="9.9499999999999993" hidden="1" customHeight="1" x14ac:dyDescent="0.2"/>
    <row r="20251" ht="9.9499999999999993" hidden="1" customHeight="1" x14ac:dyDescent="0.2"/>
    <row r="20252" ht="9.9499999999999993" hidden="1" customHeight="1" x14ac:dyDescent="0.2"/>
    <row r="20253" ht="9.9499999999999993" hidden="1" customHeight="1" x14ac:dyDescent="0.2"/>
    <row r="20254" ht="9.9499999999999993" hidden="1" customHeight="1" x14ac:dyDescent="0.2"/>
    <row r="20255" ht="9.9499999999999993" hidden="1" customHeight="1" x14ac:dyDescent="0.2"/>
    <row r="20256" ht="9.9499999999999993" hidden="1" customHeight="1" x14ac:dyDescent="0.2"/>
    <row r="20257" ht="9.9499999999999993" hidden="1" customHeight="1" x14ac:dyDescent="0.2"/>
    <row r="20258" ht="9.9499999999999993" hidden="1" customHeight="1" x14ac:dyDescent="0.2"/>
    <row r="20259" ht="9.9499999999999993" hidden="1" customHeight="1" x14ac:dyDescent="0.2"/>
    <row r="20260" ht="9.9499999999999993" hidden="1" customHeight="1" x14ac:dyDescent="0.2"/>
    <row r="20261" ht="9.9499999999999993" hidden="1" customHeight="1" x14ac:dyDescent="0.2"/>
    <row r="20262" ht="9.9499999999999993" hidden="1" customHeight="1" x14ac:dyDescent="0.2"/>
    <row r="20263" ht="9.9499999999999993" hidden="1" customHeight="1" x14ac:dyDescent="0.2"/>
    <row r="20264" ht="9.9499999999999993" hidden="1" customHeight="1" x14ac:dyDescent="0.2"/>
    <row r="20265" ht="9.9499999999999993" hidden="1" customHeight="1" x14ac:dyDescent="0.2"/>
    <row r="20266" ht="9.9499999999999993" hidden="1" customHeight="1" x14ac:dyDescent="0.2"/>
    <row r="20267" ht="9.9499999999999993" hidden="1" customHeight="1" x14ac:dyDescent="0.2"/>
    <row r="20268" ht="9.9499999999999993" hidden="1" customHeight="1" x14ac:dyDescent="0.2"/>
    <row r="20269" ht="9.9499999999999993" hidden="1" customHeight="1" x14ac:dyDescent="0.2"/>
    <row r="20270" ht="9.9499999999999993" hidden="1" customHeight="1" x14ac:dyDescent="0.2"/>
    <row r="20271" ht="9.9499999999999993" hidden="1" customHeight="1" x14ac:dyDescent="0.2"/>
    <row r="20272" ht="9.9499999999999993" hidden="1" customHeight="1" x14ac:dyDescent="0.2"/>
    <row r="20273" ht="9.9499999999999993" hidden="1" customHeight="1" x14ac:dyDescent="0.2"/>
    <row r="20274" ht="9.9499999999999993" hidden="1" customHeight="1" x14ac:dyDescent="0.2"/>
    <row r="20275" ht="9.9499999999999993" hidden="1" customHeight="1" x14ac:dyDescent="0.2"/>
    <row r="20276" ht="9.9499999999999993" hidden="1" customHeight="1" x14ac:dyDescent="0.2"/>
    <row r="20277" ht="9.9499999999999993" hidden="1" customHeight="1" x14ac:dyDescent="0.2"/>
    <row r="20278" ht="9.9499999999999993" hidden="1" customHeight="1" x14ac:dyDescent="0.2"/>
    <row r="20279" ht="9.9499999999999993" hidden="1" customHeight="1" x14ac:dyDescent="0.2"/>
    <row r="20280" ht="9.9499999999999993" hidden="1" customHeight="1" x14ac:dyDescent="0.2"/>
    <row r="20281" ht="9.9499999999999993" hidden="1" customHeight="1" x14ac:dyDescent="0.2"/>
    <row r="20282" ht="9.9499999999999993" hidden="1" customHeight="1" x14ac:dyDescent="0.2"/>
    <row r="20283" ht="9.9499999999999993" hidden="1" customHeight="1" x14ac:dyDescent="0.2"/>
    <row r="20284" ht="9.9499999999999993" hidden="1" customHeight="1" x14ac:dyDescent="0.2"/>
    <row r="20285" ht="9.9499999999999993" hidden="1" customHeight="1" x14ac:dyDescent="0.2"/>
    <row r="20286" ht="9.9499999999999993" hidden="1" customHeight="1" x14ac:dyDescent="0.2"/>
    <row r="20287" ht="9.9499999999999993" hidden="1" customHeight="1" x14ac:dyDescent="0.2"/>
    <row r="20288" ht="9.9499999999999993" hidden="1" customHeight="1" x14ac:dyDescent="0.2"/>
    <row r="20289" ht="9.9499999999999993" hidden="1" customHeight="1" x14ac:dyDescent="0.2"/>
    <row r="20290" ht="9.9499999999999993" hidden="1" customHeight="1" x14ac:dyDescent="0.2"/>
    <row r="20291" ht="9.9499999999999993" hidden="1" customHeight="1" x14ac:dyDescent="0.2"/>
    <row r="20292" ht="9.9499999999999993" hidden="1" customHeight="1" x14ac:dyDescent="0.2"/>
    <row r="20293" ht="9.9499999999999993" hidden="1" customHeight="1" x14ac:dyDescent="0.2"/>
    <row r="20294" ht="9.9499999999999993" hidden="1" customHeight="1" x14ac:dyDescent="0.2"/>
    <row r="20295" ht="9.9499999999999993" hidden="1" customHeight="1" x14ac:dyDescent="0.2"/>
    <row r="20296" ht="9.9499999999999993" hidden="1" customHeight="1" x14ac:dyDescent="0.2"/>
    <row r="20297" ht="9.9499999999999993" hidden="1" customHeight="1" x14ac:dyDescent="0.2"/>
    <row r="20298" ht="9.9499999999999993" hidden="1" customHeight="1" x14ac:dyDescent="0.2"/>
    <row r="20299" ht="9.9499999999999993" hidden="1" customHeight="1" x14ac:dyDescent="0.2"/>
    <row r="20300" ht="9.9499999999999993" hidden="1" customHeight="1" x14ac:dyDescent="0.2"/>
    <row r="20301" ht="9.9499999999999993" hidden="1" customHeight="1" x14ac:dyDescent="0.2"/>
    <row r="20302" ht="9.9499999999999993" hidden="1" customHeight="1" x14ac:dyDescent="0.2"/>
    <row r="20303" ht="9.9499999999999993" hidden="1" customHeight="1" x14ac:dyDescent="0.2"/>
    <row r="20304" ht="9.9499999999999993" hidden="1" customHeight="1" x14ac:dyDescent="0.2"/>
    <row r="20305" ht="9.9499999999999993" hidden="1" customHeight="1" x14ac:dyDescent="0.2"/>
    <row r="20306" ht="9.9499999999999993" hidden="1" customHeight="1" x14ac:dyDescent="0.2"/>
    <row r="20307" ht="9.9499999999999993" hidden="1" customHeight="1" x14ac:dyDescent="0.2"/>
    <row r="20308" ht="9.9499999999999993" hidden="1" customHeight="1" x14ac:dyDescent="0.2"/>
    <row r="20309" ht="9.9499999999999993" hidden="1" customHeight="1" x14ac:dyDescent="0.2"/>
    <row r="20310" ht="9.9499999999999993" hidden="1" customHeight="1" x14ac:dyDescent="0.2"/>
    <row r="20311" ht="9.9499999999999993" hidden="1" customHeight="1" x14ac:dyDescent="0.2"/>
    <row r="20312" ht="9.9499999999999993" hidden="1" customHeight="1" x14ac:dyDescent="0.2"/>
    <row r="20313" ht="9.9499999999999993" hidden="1" customHeight="1" x14ac:dyDescent="0.2"/>
    <row r="20314" ht="9.9499999999999993" hidden="1" customHeight="1" x14ac:dyDescent="0.2"/>
    <row r="20315" ht="9.9499999999999993" hidden="1" customHeight="1" x14ac:dyDescent="0.2"/>
    <row r="20316" ht="9.9499999999999993" hidden="1" customHeight="1" x14ac:dyDescent="0.2"/>
    <row r="20317" ht="9.9499999999999993" hidden="1" customHeight="1" x14ac:dyDescent="0.2"/>
    <row r="20318" ht="9.9499999999999993" hidden="1" customHeight="1" x14ac:dyDescent="0.2"/>
    <row r="20319" ht="9.9499999999999993" hidden="1" customHeight="1" x14ac:dyDescent="0.2"/>
    <row r="20320" ht="9.9499999999999993" hidden="1" customHeight="1" x14ac:dyDescent="0.2"/>
    <row r="20321" ht="9.9499999999999993" hidden="1" customHeight="1" x14ac:dyDescent="0.2"/>
    <row r="20322" ht="9.9499999999999993" hidden="1" customHeight="1" x14ac:dyDescent="0.2"/>
    <row r="20323" ht="9.9499999999999993" hidden="1" customHeight="1" x14ac:dyDescent="0.2"/>
    <row r="20324" ht="9.9499999999999993" hidden="1" customHeight="1" x14ac:dyDescent="0.2"/>
    <row r="20325" ht="9.9499999999999993" hidden="1" customHeight="1" x14ac:dyDescent="0.2"/>
    <row r="20326" ht="9.9499999999999993" hidden="1" customHeight="1" x14ac:dyDescent="0.2"/>
    <row r="20327" ht="9.9499999999999993" hidden="1" customHeight="1" x14ac:dyDescent="0.2"/>
    <row r="20328" ht="9.9499999999999993" hidden="1" customHeight="1" x14ac:dyDescent="0.2"/>
    <row r="20329" ht="9.9499999999999993" hidden="1" customHeight="1" x14ac:dyDescent="0.2"/>
    <row r="20330" ht="9.9499999999999993" hidden="1" customHeight="1" x14ac:dyDescent="0.2"/>
    <row r="20331" ht="9.9499999999999993" hidden="1" customHeight="1" x14ac:dyDescent="0.2"/>
    <row r="20332" ht="9.9499999999999993" hidden="1" customHeight="1" x14ac:dyDescent="0.2"/>
    <row r="20333" ht="9.9499999999999993" hidden="1" customHeight="1" x14ac:dyDescent="0.2"/>
    <row r="20334" ht="9.9499999999999993" hidden="1" customHeight="1" x14ac:dyDescent="0.2"/>
    <row r="20335" ht="9.9499999999999993" hidden="1" customHeight="1" x14ac:dyDescent="0.2"/>
    <row r="20336" ht="9.9499999999999993" hidden="1" customHeight="1" x14ac:dyDescent="0.2"/>
    <row r="20337" ht="9.9499999999999993" hidden="1" customHeight="1" x14ac:dyDescent="0.2"/>
    <row r="20338" ht="9.9499999999999993" hidden="1" customHeight="1" x14ac:dyDescent="0.2"/>
    <row r="20339" ht="9.9499999999999993" hidden="1" customHeight="1" x14ac:dyDescent="0.2"/>
    <row r="20340" ht="9.9499999999999993" hidden="1" customHeight="1" x14ac:dyDescent="0.2"/>
    <row r="20341" ht="9.9499999999999993" hidden="1" customHeight="1" x14ac:dyDescent="0.2"/>
    <row r="20342" ht="9.9499999999999993" hidden="1" customHeight="1" x14ac:dyDescent="0.2"/>
    <row r="20343" ht="9.9499999999999993" hidden="1" customHeight="1" x14ac:dyDescent="0.2"/>
    <row r="20344" ht="9.9499999999999993" hidden="1" customHeight="1" x14ac:dyDescent="0.2"/>
    <row r="20345" ht="9.9499999999999993" hidden="1" customHeight="1" x14ac:dyDescent="0.2"/>
    <row r="20346" ht="9.9499999999999993" hidden="1" customHeight="1" x14ac:dyDescent="0.2"/>
    <row r="20347" ht="9.9499999999999993" hidden="1" customHeight="1" x14ac:dyDescent="0.2"/>
    <row r="20348" ht="9.9499999999999993" hidden="1" customHeight="1" x14ac:dyDescent="0.2"/>
    <row r="20349" ht="9.9499999999999993" hidden="1" customHeight="1" x14ac:dyDescent="0.2"/>
    <row r="20350" ht="9.9499999999999993" hidden="1" customHeight="1" x14ac:dyDescent="0.2"/>
    <row r="20351" ht="9.9499999999999993" hidden="1" customHeight="1" x14ac:dyDescent="0.2"/>
    <row r="20352" ht="9.9499999999999993" hidden="1" customHeight="1" x14ac:dyDescent="0.2"/>
    <row r="20353" ht="9.9499999999999993" hidden="1" customHeight="1" x14ac:dyDescent="0.2"/>
    <row r="20354" ht="9.9499999999999993" hidden="1" customHeight="1" x14ac:dyDescent="0.2"/>
    <row r="20355" ht="9.9499999999999993" hidden="1" customHeight="1" x14ac:dyDescent="0.2"/>
    <row r="20356" ht="9.9499999999999993" hidden="1" customHeight="1" x14ac:dyDescent="0.2"/>
    <row r="20357" ht="9.9499999999999993" hidden="1" customHeight="1" x14ac:dyDescent="0.2"/>
    <row r="20358" ht="9.9499999999999993" hidden="1" customHeight="1" x14ac:dyDescent="0.2"/>
    <row r="20359" ht="9.9499999999999993" hidden="1" customHeight="1" x14ac:dyDescent="0.2"/>
    <row r="20360" ht="9.9499999999999993" hidden="1" customHeight="1" x14ac:dyDescent="0.2"/>
    <row r="20361" ht="9.9499999999999993" hidden="1" customHeight="1" x14ac:dyDescent="0.2"/>
    <row r="20362" ht="9.9499999999999993" hidden="1" customHeight="1" x14ac:dyDescent="0.2"/>
    <row r="20363" ht="9.9499999999999993" hidden="1" customHeight="1" x14ac:dyDescent="0.2"/>
    <row r="20364" ht="9.9499999999999993" hidden="1" customHeight="1" x14ac:dyDescent="0.2"/>
    <row r="20365" ht="9.9499999999999993" hidden="1" customHeight="1" x14ac:dyDescent="0.2"/>
    <row r="20366" ht="9.9499999999999993" hidden="1" customHeight="1" x14ac:dyDescent="0.2"/>
    <row r="20367" ht="9.9499999999999993" hidden="1" customHeight="1" x14ac:dyDescent="0.2"/>
    <row r="20368" ht="9.9499999999999993" hidden="1" customHeight="1" x14ac:dyDescent="0.2"/>
    <row r="20369" ht="9.9499999999999993" hidden="1" customHeight="1" x14ac:dyDescent="0.2"/>
    <row r="20370" ht="9.9499999999999993" hidden="1" customHeight="1" x14ac:dyDescent="0.2"/>
    <row r="20371" ht="9.9499999999999993" hidden="1" customHeight="1" x14ac:dyDescent="0.2"/>
    <row r="20372" ht="9.9499999999999993" hidden="1" customHeight="1" x14ac:dyDescent="0.2"/>
    <row r="20373" ht="9.9499999999999993" hidden="1" customHeight="1" x14ac:dyDescent="0.2"/>
    <row r="20374" ht="9.9499999999999993" hidden="1" customHeight="1" x14ac:dyDescent="0.2"/>
    <row r="20375" ht="9.9499999999999993" hidden="1" customHeight="1" x14ac:dyDescent="0.2"/>
    <row r="20376" ht="9.9499999999999993" hidden="1" customHeight="1" x14ac:dyDescent="0.2"/>
    <row r="20377" ht="9.9499999999999993" hidden="1" customHeight="1" x14ac:dyDescent="0.2"/>
    <row r="20378" ht="9.9499999999999993" hidden="1" customHeight="1" x14ac:dyDescent="0.2"/>
    <row r="20379" ht="9.9499999999999993" hidden="1" customHeight="1" x14ac:dyDescent="0.2"/>
    <row r="20380" ht="9.9499999999999993" hidden="1" customHeight="1" x14ac:dyDescent="0.2"/>
    <row r="20381" ht="9.9499999999999993" hidden="1" customHeight="1" x14ac:dyDescent="0.2"/>
    <row r="20382" ht="9.9499999999999993" hidden="1" customHeight="1" x14ac:dyDescent="0.2"/>
    <row r="20383" ht="9.9499999999999993" hidden="1" customHeight="1" x14ac:dyDescent="0.2"/>
    <row r="20384" ht="9.9499999999999993" hidden="1" customHeight="1" x14ac:dyDescent="0.2"/>
    <row r="20385" ht="9.9499999999999993" hidden="1" customHeight="1" x14ac:dyDescent="0.2"/>
    <row r="20386" ht="9.9499999999999993" hidden="1" customHeight="1" x14ac:dyDescent="0.2"/>
    <row r="20387" ht="9.9499999999999993" hidden="1" customHeight="1" x14ac:dyDescent="0.2"/>
    <row r="20388" ht="9.9499999999999993" hidden="1" customHeight="1" x14ac:dyDescent="0.2"/>
    <row r="20389" ht="9.9499999999999993" hidden="1" customHeight="1" x14ac:dyDescent="0.2"/>
    <row r="20390" ht="9.9499999999999993" hidden="1" customHeight="1" x14ac:dyDescent="0.2"/>
    <row r="20391" ht="9.9499999999999993" hidden="1" customHeight="1" x14ac:dyDescent="0.2"/>
    <row r="20392" ht="9.9499999999999993" hidden="1" customHeight="1" x14ac:dyDescent="0.2"/>
    <row r="20393" ht="9.9499999999999993" hidden="1" customHeight="1" x14ac:dyDescent="0.2"/>
    <row r="20394" ht="9.9499999999999993" hidden="1" customHeight="1" x14ac:dyDescent="0.2"/>
    <row r="20395" ht="9.9499999999999993" hidden="1" customHeight="1" x14ac:dyDescent="0.2"/>
    <row r="20396" ht="9.9499999999999993" hidden="1" customHeight="1" x14ac:dyDescent="0.2"/>
    <row r="20397" ht="9.9499999999999993" hidden="1" customHeight="1" x14ac:dyDescent="0.2"/>
    <row r="20398" ht="9.9499999999999993" hidden="1" customHeight="1" x14ac:dyDescent="0.2"/>
    <row r="20399" ht="9.9499999999999993" hidden="1" customHeight="1" x14ac:dyDescent="0.2"/>
    <row r="20400" ht="9.9499999999999993" hidden="1" customHeight="1" x14ac:dyDescent="0.2"/>
    <row r="20401" ht="9.9499999999999993" hidden="1" customHeight="1" x14ac:dyDescent="0.2"/>
    <row r="20402" ht="9.9499999999999993" hidden="1" customHeight="1" x14ac:dyDescent="0.2"/>
    <row r="20403" ht="9.9499999999999993" hidden="1" customHeight="1" x14ac:dyDescent="0.2"/>
    <row r="20404" ht="9.9499999999999993" hidden="1" customHeight="1" x14ac:dyDescent="0.2"/>
    <row r="20405" ht="9.9499999999999993" hidden="1" customHeight="1" x14ac:dyDescent="0.2"/>
    <row r="20406" ht="9.9499999999999993" hidden="1" customHeight="1" x14ac:dyDescent="0.2"/>
    <row r="20407" ht="9.9499999999999993" hidden="1" customHeight="1" x14ac:dyDescent="0.2"/>
    <row r="20408" ht="9.9499999999999993" hidden="1" customHeight="1" x14ac:dyDescent="0.2"/>
    <row r="20409" ht="9.9499999999999993" hidden="1" customHeight="1" x14ac:dyDescent="0.2"/>
    <row r="20410" ht="9.9499999999999993" hidden="1" customHeight="1" x14ac:dyDescent="0.2"/>
    <row r="20411" ht="9.9499999999999993" hidden="1" customHeight="1" x14ac:dyDescent="0.2"/>
    <row r="20412" ht="9.9499999999999993" hidden="1" customHeight="1" x14ac:dyDescent="0.2"/>
    <row r="20413" ht="9.9499999999999993" hidden="1" customHeight="1" x14ac:dyDescent="0.2"/>
    <row r="20414" ht="9.9499999999999993" hidden="1" customHeight="1" x14ac:dyDescent="0.2"/>
    <row r="20415" ht="9.9499999999999993" hidden="1" customHeight="1" x14ac:dyDescent="0.2"/>
    <row r="20416" ht="9.9499999999999993" hidden="1" customHeight="1" x14ac:dyDescent="0.2"/>
    <row r="20417" ht="9.9499999999999993" hidden="1" customHeight="1" x14ac:dyDescent="0.2"/>
    <row r="20418" ht="9.9499999999999993" hidden="1" customHeight="1" x14ac:dyDescent="0.2"/>
    <row r="20419" ht="9.9499999999999993" hidden="1" customHeight="1" x14ac:dyDescent="0.2"/>
    <row r="20420" ht="9.9499999999999993" hidden="1" customHeight="1" x14ac:dyDescent="0.2"/>
    <row r="20421" ht="9.9499999999999993" hidden="1" customHeight="1" x14ac:dyDescent="0.2"/>
    <row r="20422" ht="9.9499999999999993" hidden="1" customHeight="1" x14ac:dyDescent="0.2"/>
    <row r="20423" ht="9.9499999999999993" hidden="1" customHeight="1" x14ac:dyDescent="0.2"/>
    <row r="20424" ht="9.9499999999999993" hidden="1" customHeight="1" x14ac:dyDescent="0.2"/>
    <row r="20425" ht="9.9499999999999993" hidden="1" customHeight="1" x14ac:dyDescent="0.2"/>
    <row r="20426" ht="9.9499999999999993" hidden="1" customHeight="1" x14ac:dyDescent="0.2"/>
    <row r="20427" ht="9.9499999999999993" hidden="1" customHeight="1" x14ac:dyDescent="0.2"/>
    <row r="20428" ht="9.9499999999999993" hidden="1" customHeight="1" x14ac:dyDescent="0.2"/>
    <row r="20429" ht="9.9499999999999993" hidden="1" customHeight="1" x14ac:dyDescent="0.2"/>
    <row r="20430" ht="9.9499999999999993" hidden="1" customHeight="1" x14ac:dyDescent="0.2"/>
    <row r="20431" ht="9.9499999999999993" hidden="1" customHeight="1" x14ac:dyDescent="0.2"/>
    <row r="20432" ht="9.9499999999999993" hidden="1" customHeight="1" x14ac:dyDescent="0.2"/>
    <row r="20433" ht="9.9499999999999993" hidden="1" customHeight="1" x14ac:dyDescent="0.2"/>
    <row r="20434" ht="9.9499999999999993" hidden="1" customHeight="1" x14ac:dyDescent="0.2"/>
    <row r="20435" ht="9.9499999999999993" hidden="1" customHeight="1" x14ac:dyDescent="0.2"/>
    <row r="20436" ht="9.9499999999999993" hidden="1" customHeight="1" x14ac:dyDescent="0.2"/>
    <row r="20437" ht="9.9499999999999993" hidden="1" customHeight="1" x14ac:dyDescent="0.2"/>
    <row r="20438" ht="9.9499999999999993" hidden="1" customHeight="1" x14ac:dyDescent="0.2"/>
    <row r="20439" ht="9.9499999999999993" hidden="1" customHeight="1" x14ac:dyDescent="0.2"/>
    <row r="20440" ht="9.9499999999999993" hidden="1" customHeight="1" x14ac:dyDescent="0.2"/>
    <row r="20441" ht="9.9499999999999993" hidden="1" customHeight="1" x14ac:dyDescent="0.2"/>
    <row r="20442" ht="9.9499999999999993" hidden="1" customHeight="1" x14ac:dyDescent="0.2"/>
    <row r="20443" ht="9.9499999999999993" hidden="1" customHeight="1" x14ac:dyDescent="0.2"/>
    <row r="20444" ht="9.9499999999999993" hidden="1" customHeight="1" x14ac:dyDescent="0.2"/>
    <row r="20445" ht="9.9499999999999993" hidden="1" customHeight="1" x14ac:dyDescent="0.2"/>
    <row r="20446" ht="9.9499999999999993" hidden="1" customHeight="1" x14ac:dyDescent="0.2"/>
    <row r="20447" ht="9.9499999999999993" hidden="1" customHeight="1" x14ac:dyDescent="0.2"/>
    <row r="20448" ht="9.9499999999999993" hidden="1" customHeight="1" x14ac:dyDescent="0.2"/>
    <row r="20449" ht="9.9499999999999993" hidden="1" customHeight="1" x14ac:dyDescent="0.2"/>
    <row r="20450" ht="9.9499999999999993" hidden="1" customHeight="1" x14ac:dyDescent="0.2"/>
    <row r="20451" ht="9.9499999999999993" hidden="1" customHeight="1" x14ac:dyDescent="0.2"/>
    <row r="20452" ht="9.9499999999999993" hidden="1" customHeight="1" x14ac:dyDescent="0.2"/>
    <row r="20453" ht="9.9499999999999993" hidden="1" customHeight="1" x14ac:dyDescent="0.2"/>
    <row r="20454" ht="9.9499999999999993" hidden="1" customHeight="1" x14ac:dyDescent="0.2"/>
    <row r="20455" ht="9.9499999999999993" hidden="1" customHeight="1" x14ac:dyDescent="0.2"/>
    <row r="20456" ht="9.9499999999999993" hidden="1" customHeight="1" x14ac:dyDescent="0.2"/>
    <row r="20457" ht="9.9499999999999993" hidden="1" customHeight="1" x14ac:dyDescent="0.2"/>
    <row r="20458" ht="9.9499999999999993" hidden="1" customHeight="1" x14ac:dyDescent="0.2"/>
    <row r="20459" ht="9.9499999999999993" hidden="1" customHeight="1" x14ac:dyDescent="0.2"/>
    <row r="20460" ht="9.9499999999999993" hidden="1" customHeight="1" x14ac:dyDescent="0.2"/>
    <row r="20461" ht="9.9499999999999993" hidden="1" customHeight="1" x14ac:dyDescent="0.2"/>
    <row r="20462" ht="9.9499999999999993" hidden="1" customHeight="1" x14ac:dyDescent="0.2"/>
    <row r="20463" ht="9.9499999999999993" hidden="1" customHeight="1" x14ac:dyDescent="0.2"/>
    <row r="20464" ht="9.9499999999999993" hidden="1" customHeight="1" x14ac:dyDescent="0.2"/>
    <row r="20465" ht="9.9499999999999993" hidden="1" customHeight="1" x14ac:dyDescent="0.2"/>
    <row r="20466" ht="9.9499999999999993" hidden="1" customHeight="1" x14ac:dyDescent="0.2"/>
    <row r="20467" ht="9.9499999999999993" hidden="1" customHeight="1" x14ac:dyDescent="0.2"/>
    <row r="20468" ht="9.9499999999999993" hidden="1" customHeight="1" x14ac:dyDescent="0.2"/>
    <row r="20469" ht="9.9499999999999993" hidden="1" customHeight="1" x14ac:dyDescent="0.2"/>
    <row r="20470" ht="9.9499999999999993" hidden="1" customHeight="1" x14ac:dyDescent="0.2"/>
    <row r="20471" ht="9.9499999999999993" hidden="1" customHeight="1" x14ac:dyDescent="0.2"/>
    <row r="20472" ht="9.9499999999999993" hidden="1" customHeight="1" x14ac:dyDescent="0.2"/>
    <row r="20473" ht="9.9499999999999993" hidden="1" customHeight="1" x14ac:dyDescent="0.2"/>
    <row r="20474" ht="9.9499999999999993" hidden="1" customHeight="1" x14ac:dyDescent="0.2"/>
    <row r="20475" ht="9.9499999999999993" hidden="1" customHeight="1" x14ac:dyDescent="0.2"/>
    <row r="20476" ht="9.9499999999999993" hidden="1" customHeight="1" x14ac:dyDescent="0.2"/>
    <row r="20477" ht="9.9499999999999993" hidden="1" customHeight="1" x14ac:dyDescent="0.2"/>
    <row r="20478" ht="9.9499999999999993" hidden="1" customHeight="1" x14ac:dyDescent="0.2"/>
    <row r="20479" ht="9.9499999999999993" hidden="1" customHeight="1" x14ac:dyDescent="0.2"/>
    <row r="20480" ht="9.9499999999999993" hidden="1" customHeight="1" x14ac:dyDescent="0.2"/>
    <row r="20481" ht="9.9499999999999993" hidden="1" customHeight="1" x14ac:dyDescent="0.2"/>
    <row r="20482" ht="9.9499999999999993" hidden="1" customHeight="1" x14ac:dyDescent="0.2"/>
    <row r="20483" ht="9.9499999999999993" hidden="1" customHeight="1" x14ac:dyDescent="0.2"/>
    <row r="20484" ht="9.9499999999999993" hidden="1" customHeight="1" x14ac:dyDescent="0.2"/>
    <row r="20485" ht="9.9499999999999993" hidden="1" customHeight="1" x14ac:dyDescent="0.2"/>
    <row r="20486" ht="9.9499999999999993" hidden="1" customHeight="1" x14ac:dyDescent="0.2"/>
    <row r="20487" ht="9.9499999999999993" hidden="1" customHeight="1" x14ac:dyDescent="0.2"/>
    <row r="20488" ht="9.9499999999999993" hidden="1" customHeight="1" x14ac:dyDescent="0.2"/>
    <row r="20489" ht="9.9499999999999993" hidden="1" customHeight="1" x14ac:dyDescent="0.2"/>
    <row r="20490" ht="9.9499999999999993" hidden="1" customHeight="1" x14ac:dyDescent="0.2"/>
    <row r="20491" ht="9.9499999999999993" hidden="1" customHeight="1" x14ac:dyDescent="0.2"/>
    <row r="20492" ht="9.9499999999999993" hidden="1" customHeight="1" x14ac:dyDescent="0.2"/>
    <row r="20493" ht="9.9499999999999993" hidden="1" customHeight="1" x14ac:dyDescent="0.2"/>
    <row r="20494" ht="9.9499999999999993" hidden="1" customHeight="1" x14ac:dyDescent="0.2"/>
    <row r="20495" ht="9.9499999999999993" hidden="1" customHeight="1" x14ac:dyDescent="0.2"/>
    <row r="20496" ht="9.9499999999999993" hidden="1" customHeight="1" x14ac:dyDescent="0.2"/>
    <row r="20497" ht="9.9499999999999993" hidden="1" customHeight="1" x14ac:dyDescent="0.2"/>
    <row r="20498" ht="9.9499999999999993" hidden="1" customHeight="1" x14ac:dyDescent="0.2"/>
    <row r="20499" ht="9.9499999999999993" hidden="1" customHeight="1" x14ac:dyDescent="0.2"/>
    <row r="20500" ht="9.9499999999999993" hidden="1" customHeight="1" x14ac:dyDescent="0.2"/>
    <row r="20501" ht="9.9499999999999993" hidden="1" customHeight="1" x14ac:dyDescent="0.2"/>
    <row r="20502" ht="9.9499999999999993" hidden="1" customHeight="1" x14ac:dyDescent="0.2"/>
    <row r="20503" ht="9.9499999999999993" hidden="1" customHeight="1" x14ac:dyDescent="0.2"/>
    <row r="20504" ht="9.9499999999999993" hidden="1" customHeight="1" x14ac:dyDescent="0.2"/>
    <row r="20505" ht="9.9499999999999993" hidden="1" customHeight="1" x14ac:dyDescent="0.2"/>
    <row r="20506" ht="9.9499999999999993" hidden="1" customHeight="1" x14ac:dyDescent="0.2"/>
    <row r="20507" ht="9.9499999999999993" hidden="1" customHeight="1" x14ac:dyDescent="0.2"/>
    <row r="20508" ht="9.9499999999999993" hidden="1" customHeight="1" x14ac:dyDescent="0.2"/>
    <row r="20509" ht="9.9499999999999993" hidden="1" customHeight="1" x14ac:dyDescent="0.2"/>
    <row r="20510" ht="9.9499999999999993" hidden="1" customHeight="1" x14ac:dyDescent="0.2"/>
    <row r="20511" ht="9.9499999999999993" hidden="1" customHeight="1" x14ac:dyDescent="0.2"/>
    <row r="20512" ht="9.9499999999999993" hidden="1" customHeight="1" x14ac:dyDescent="0.2"/>
    <row r="20513" ht="9.9499999999999993" hidden="1" customHeight="1" x14ac:dyDescent="0.2"/>
    <row r="20514" ht="9.9499999999999993" hidden="1" customHeight="1" x14ac:dyDescent="0.2"/>
    <row r="20515" ht="9.9499999999999993" hidden="1" customHeight="1" x14ac:dyDescent="0.2"/>
    <row r="20516" ht="9.9499999999999993" hidden="1" customHeight="1" x14ac:dyDescent="0.2"/>
    <row r="20517" ht="9.9499999999999993" hidden="1" customHeight="1" x14ac:dyDescent="0.2"/>
    <row r="20518" ht="9.9499999999999993" hidden="1" customHeight="1" x14ac:dyDescent="0.2"/>
    <row r="20519" ht="9.9499999999999993" hidden="1" customHeight="1" x14ac:dyDescent="0.2"/>
    <row r="20520" ht="9.9499999999999993" hidden="1" customHeight="1" x14ac:dyDescent="0.2"/>
    <row r="20521" ht="9.9499999999999993" hidden="1" customHeight="1" x14ac:dyDescent="0.2"/>
    <row r="20522" ht="9.9499999999999993" hidden="1" customHeight="1" x14ac:dyDescent="0.2"/>
    <row r="20523" ht="9.9499999999999993" hidden="1" customHeight="1" x14ac:dyDescent="0.2"/>
    <row r="20524" ht="9.9499999999999993" hidden="1" customHeight="1" x14ac:dyDescent="0.2"/>
    <row r="20525" ht="9.9499999999999993" hidden="1" customHeight="1" x14ac:dyDescent="0.2"/>
    <row r="20526" ht="9.9499999999999993" hidden="1" customHeight="1" x14ac:dyDescent="0.2"/>
    <row r="20527" ht="9.9499999999999993" hidden="1" customHeight="1" x14ac:dyDescent="0.2"/>
    <row r="20528" ht="9.9499999999999993" hidden="1" customHeight="1" x14ac:dyDescent="0.2"/>
    <row r="20529" ht="9.9499999999999993" hidden="1" customHeight="1" x14ac:dyDescent="0.2"/>
    <row r="20530" ht="9.9499999999999993" hidden="1" customHeight="1" x14ac:dyDescent="0.2"/>
    <row r="20531" ht="9.9499999999999993" hidden="1" customHeight="1" x14ac:dyDescent="0.2"/>
    <row r="20532" ht="9.9499999999999993" hidden="1" customHeight="1" x14ac:dyDescent="0.2"/>
    <row r="20533" ht="9.9499999999999993" hidden="1" customHeight="1" x14ac:dyDescent="0.2"/>
    <row r="20534" ht="9.9499999999999993" hidden="1" customHeight="1" x14ac:dyDescent="0.2"/>
    <row r="20535" ht="9.9499999999999993" hidden="1" customHeight="1" x14ac:dyDescent="0.2"/>
    <row r="20536" ht="9.9499999999999993" hidden="1" customHeight="1" x14ac:dyDescent="0.2"/>
    <row r="20537" ht="9.9499999999999993" hidden="1" customHeight="1" x14ac:dyDescent="0.2"/>
    <row r="20538" ht="9.9499999999999993" hidden="1" customHeight="1" x14ac:dyDescent="0.2"/>
    <row r="20539" ht="9.9499999999999993" hidden="1" customHeight="1" x14ac:dyDescent="0.2"/>
    <row r="20540" ht="9.9499999999999993" hidden="1" customHeight="1" x14ac:dyDescent="0.2"/>
    <row r="20541" ht="9.9499999999999993" hidden="1" customHeight="1" x14ac:dyDescent="0.2"/>
    <row r="20542" ht="9.9499999999999993" hidden="1" customHeight="1" x14ac:dyDescent="0.2"/>
    <row r="20543" ht="9.9499999999999993" hidden="1" customHeight="1" x14ac:dyDescent="0.2"/>
    <row r="20544" ht="9.9499999999999993" hidden="1" customHeight="1" x14ac:dyDescent="0.2"/>
    <row r="20545" ht="9.9499999999999993" hidden="1" customHeight="1" x14ac:dyDescent="0.2"/>
    <row r="20546" ht="9.9499999999999993" hidden="1" customHeight="1" x14ac:dyDescent="0.2"/>
    <row r="20547" ht="9.9499999999999993" hidden="1" customHeight="1" x14ac:dyDescent="0.2"/>
    <row r="20548" ht="9.9499999999999993" hidden="1" customHeight="1" x14ac:dyDescent="0.2"/>
    <row r="20549" ht="9.9499999999999993" hidden="1" customHeight="1" x14ac:dyDescent="0.2"/>
    <row r="20550" ht="9.9499999999999993" hidden="1" customHeight="1" x14ac:dyDescent="0.2"/>
    <row r="20551" ht="9.9499999999999993" hidden="1" customHeight="1" x14ac:dyDescent="0.2"/>
    <row r="20552" ht="9.9499999999999993" hidden="1" customHeight="1" x14ac:dyDescent="0.2"/>
    <row r="20553" ht="9.9499999999999993" hidden="1" customHeight="1" x14ac:dyDescent="0.2"/>
    <row r="20554" ht="9.9499999999999993" hidden="1" customHeight="1" x14ac:dyDescent="0.2"/>
    <row r="20555" ht="9.9499999999999993" hidden="1" customHeight="1" x14ac:dyDescent="0.2"/>
    <row r="20556" ht="9.9499999999999993" hidden="1" customHeight="1" x14ac:dyDescent="0.2"/>
    <row r="20557" ht="9.9499999999999993" hidden="1" customHeight="1" x14ac:dyDescent="0.2"/>
    <row r="20558" ht="9.9499999999999993" hidden="1" customHeight="1" x14ac:dyDescent="0.2"/>
    <row r="20559" ht="9.9499999999999993" hidden="1" customHeight="1" x14ac:dyDescent="0.2"/>
    <row r="20560" ht="9.9499999999999993" hidden="1" customHeight="1" x14ac:dyDescent="0.2"/>
    <row r="20561" ht="9.9499999999999993" hidden="1" customHeight="1" x14ac:dyDescent="0.2"/>
    <row r="20562" ht="9.9499999999999993" hidden="1" customHeight="1" x14ac:dyDescent="0.2"/>
    <row r="20563" ht="9.9499999999999993" hidden="1" customHeight="1" x14ac:dyDescent="0.2"/>
    <row r="20564" ht="9.9499999999999993" hidden="1" customHeight="1" x14ac:dyDescent="0.2"/>
    <row r="20565" ht="9.9499999999999993" hidden="1" customHeight="1" x14ac:dyDescent="0.2"/>
    <row r="20566" ht="9.9499999999999993" hidden="1" customHeight="1" x14ac:dyDescent="0.2"/>
    <row r="20567" ht="9.9499999999999993" hidden="1" customHeight="1" x14ac:dyDescent="0.2"/>
    <row r="20568" ht="9.9499999999999993" hidden="1" customHeight="1" x14ac:dyDescent="0.2"/>
    <row r="20569" ht="9.9499999999999993" hidden="1" customHeight="1" x14ac:dyDescent="0.2"/>
    <row r="20570" ht="9.9499999999999993" hidden="1" customHeight="1" x14ac:dyDescent="0.2"/>
    <row r="20571" ht="9.9499999999999993" hidden="1" customHeight="1" x14ac:dyDescent="0.2"/>
    <row r="20572" ht="9.9499999999999993" hidden="1" customHeight="1" x14ac:dyDescent="0.2"/>
    <row r="20573" ht="9.9499999999999993" hidden="1" customHeight="1" x14ac:dyDescent="0.2"/>
    <row r="20574" ht="9.9499999999999993" hidden="1" customHeight="1" x14ac:dyDescent="0.2"/>
    <row r="20575" ht="9.9499999999999993" hidden="1" customHeight="1" x14ac:dyDescent="0.2"/>
    <row r="20576" ht="9.9499999999999993" hidden="1" customHeight="1" x14ac:dyDescent="0.2"/>
    <row r="20577" ht="9.9499999999999993" hidden="1" customHeight="1" x14ac:dyDescent="0.2"/>
    <row r="20578" ht="9.9499999999999993" hidden="1" customHeight="1" x14ac:dyDescent="0.2"/>
    <row r="20579" ht="9.9499999999999993" hidden="1" customHeight="1" x14ac:dyDescent="0.2"/>
    <row r="20580" ht="9.9499999999999993" hidden="1" customHeight="1" x14ac:dyDescent="0.2"/>
    <row r="20581" ht="9.9499999999999993" hidden="1" customHeight="1" x14ac:dyDescent="0.2"/>
    <row r="20582" ht="9.9499999999999993" hidden="1" customHeight="1" x14ac:dyDescent="0.2"/>
    <row r="20583" ht="9.9499999999999993" hidden="1" customHeight="1" x14ac:dyDescent="0.2"/>
    <row r="20584" ht="9.9499999999999993" hidden="1" customHeight="1" x14ac:dyDescent="0.2"/>
    <row r="20585" ht="9.9499999999999993" hidden="1" customHeight="1" x14ac:dyDescent="0.2"/>
    <row r="20586" ht="9.9499999999999993" hidden="1" customHeight="1" x14ac:dyDescent="0.2"/>
    <row r="20587" ht="9.9499999999999993" hidden="1" customHeight="1" x14ac:dyDescent="0.2"/>
    <row r="20588" ht="9.9499999999999993" hidden="1" customHeight="1" x14ac:dyDescent="0.2"/>
    <row r="20589" ht="9.9499999999999993" hidden="1" customHeight="1" x14ac:dyDescent="0.2"/>
    <row r="20590" ht="9.9499999999999993" hidden="1" customHeight="1" x14ac:dyDescent="0.2"/>
    <row r="20591" ht="9.9499999999999993" hidden="1" customHeight="1" x14ac:dyDescent="0.2"/>
    <row r="20592" ht="9.9499999999999993" hidden="1" customHeight="1" x14ac:dyDescent="0.2"/>
    <row r="20593" ht="9.9499999999999993" hidden="1" customHeight="1" x14ac:dyDescent="0.2"/>
    <row r="20594" ht="9.9499999999999993" hidden="1" customHeight="1" x14ac:dyDescent="0.2"/>
    <row r="20595" ht="9.9499999999999993" hidden="1" customHeight="1" x14ac:dyDescent="0.2"/>
    <row r="20596" ht="9.9499999999999993" hidden="1" customHeight="1" x14ac:dyDescent="0.2"/>
    <row r="20597" ht="9.9499999999999993" hidden="1" customHeight="1" x14ac:dyDescent="0.2"/>
    <row r="20598" ht="9.9499999999999993" hidden="1" customHeight="1" x14ac:dyDescent="0.2"/>
    <row r="20599" ht="9.9499999999999993" hidden="1" customHeight="1" x14ac:dyDescent="0.2"/>
    <row r="20600" ht="9.9499999999999993" hidden="1" customHeight="1" x14ac:dyDescent="0.2"/>
    <row r="20601" ht="9.9499999999999993" hidden="1" customHeight="1" x14ac:dyDescent="0.2"/>
    <row r="20602" ht="9.9499999999999993" hidden="1" customHeight="1" x14ac:dyDescent="0.2"/>
    <row r="20603" ht="9.9499999999999993" hidden="1" customHeight="1" x14ac:dyDescent="0.2"/>
    <row r="20604" ht="9.9499999999999993" hidden="1" customHeight="1" x14ac:dyDescent="0.2"/>
    <row r="20605" ht="9.9499999999999993" hidden="1" customHeight="1" x14ac:dyDescent="0.2"/>
    <row r="20606" ht="9.9499999999999993" hidden="1" customHeight="1" x14ac:dyDescent="0.2"/>
    <row r="20607" ht="9.9499999999999993" hidden="1" customHeight="1" x14ac:dyDescent="0.2"/>
    <row r="20608" ht="9.9499999999999993" hidden="1" customHeight="1" x14ac:dyDescent="0.2"/>
    <row r="20609" ht="9.9499999999999993" hidden="1" customHeight="1" x14ac:dyDescent="0.2"/>
    <row r="20610" ht="9.9499999999999993" hidden="1" customHeight="1" x14ac:dyDescent="0.2"/>
    <row r="20611" ht="9.9499999999999993" hidden="1" customHeight="1" x14ac:dyDescent="0.2"/>
    <row r="20612" ht="9.9499999999999993" hidden="1" customHeight="1" x14ac:dyDescent="0.2"/>
    <row r="20613" ht="9.9499999999999993" hidden="1" customHeight="1" x14ac:dyDescent="0.2"/>
    <row r="20614" ht="9.9499999999999993" hidden="1" customHeight="1" x14ac:dyDescent="0.2"/>
    <row r="20615" ht="9.9499999999999993" hidden="1" customHeight="1" x14ac:dyDescent="0.2"/>
    <row r="20616" ht="9.9499999999999993" hidden="1" customHeight="1" x14ac:dyDescent="0.2"/>
    <row r="20617" ht="9.9499999999999993" hidden="1" customHeight="1" x14ac:dyDescent="0.2"/>
    <row r="20618" ht="9.9499999999999993" hidden="1" customHeight="1" x14ac:dyDescent="0.2"/>
    <row r="20619" ht="9.9499999999999993" hidden="1" customHeight="1" x14ac:dyDescent="0.2"/>
    <row r="20620" ht="9.9499999999999993" hidden="1" customHeight="1" x14ac:dyDescent="0.2"/>
    <row r="20621" ht="9.9499999999999993" hidden="1" customHeight="1" x14ac:dyDescent="0.2"/>
    <row r="20622" ht="9.9499999999999993" hidden="1" customHeight="1" x14ac:dyDescent="0.2"/>
    <row r="20623" ht="9.9499999999999993" hidden="1" customHeight="1" x14ac:dyDescent="0.2"/>
    <row r="20624" ht="9.9499999999999993" hidden="1" customHeight="1" x14ac:dyDescent="0.2"/>
    <row r="20625" ht="9.9499999999999993" hidden="1" customHeight="1" x14ac:dyDescent="0.2"/>
    <row r="20626" ht="9.9499999999999993" hidden="1" customHeight="1" x14ac:dyDescent="0.2"/>
    <row r="20627" ht="9.9499999999999993" hidden="1" customHeight="1" x14ac:dyDescent="0.2"/>
    <row r="20628" ht="9.9499999999999993" hidden="1" customHeight="1" x14ac:dyDescent="0.2"/>
    <row r="20629" ht="9.9499999999999993" hidden="1" customHeight="1" x14ac:dyDescent="0.2"/>
    <row r="20630" ht="9.9499999999999993" hidden="1" customHeight="1" x14ac:dyDescent="0.2"/>
    <row r="20631" ht="9.9499999999999993" hidden="1" customHeight="1" x14ac:dyDescent="0.2"/>
    <row r="20632" ht="9.9499999999999993" hidden="1" customHeight="1" x14ac:dyDescent="0.2"/>
    <row r="20633" ht="9.9499999999999993" hidden="1" customHeight="1" x14ac:dyDescent="0.2"/>
    <row r="20634" ht="9.9499999999999993" hidden="1" customHeight="1" x14ac:dyDescent="0.2"/>
    <row r="20635" ht="9.9499999999999993" hidden="1" customHeight="1" x14ac:dyDescent="0.2"/>
    <row r="20636" ht="9.9499999999999993" hidden="1" customHeight="1" x14ac:dyDescent="0.2"/>
    <row r="20637" ht="9.9499999999999993" hidden="1" customHeight="1" x14ac:dyDescent="0.2"/>
    <row r="20638" ht="9.9499999999999993" hidden="1" customHeight="1" x14ac:dyDescent="0.2"/>
    <row r="20639" ht="9.9499999999999993" hidden="1" customHeight="1" x14ac:dyDescent="0.2"/>
    <row r="20640" ht="9.9499999999999993" hidden="1" customHeight="1" x14ac:dyDescent="0.2"/>
    <row r="20641" ht="9.9499999999999993" hidden="1" customHeight="1" x14ac:dyDescent="0.2"/>
    <row r="20642" ht="9.9499999999999993" hidden="1" customHeight="1" x14ac:dyDescent="0.2"/>
    <row r="20643" ht="9.9499999999999993" hidden="1" customHeight="1" x14ac:dyDescent="0.2"/>
    <row r="20644" ht="9.9499999999999993" hidden="1" customHeight="1" x14ac:dyDescent="0.2"/>
    <row r="20645" ht="9.9499999999999993" hidden="1" customHeight="1" x14ac:dyDescent="0.2"/>
    <row r="20646" ht="9.9499999999999993" hidden="1" customHeight="1" x14ac:dyDescent="0.2"/>
    <row r="20647" ht="9.9499999999999993" hidden="1" customHeight="1" x14ac:dyDescent="0.2"/>
    <row r="20648" ht="9.9499999999999993" hidden="1" customHeight="1" x14ac:dyDescent="0.2"/>
    <row r="20649" ht="9.9499999999999993" hidden="1" customHeight="1" x14ac:dyDescent="0.2"/>
    <row r="20650" ht="9.9499999999999993" hidden="1" customHeight="1" x14ac:dyDescent="0.2"/>
    <row r="20651" ht="9.9499999999999993" hidden="1" customHeight="1" x14ac:dyDescent="0.2"/>
    <row r="20652" ht="9.9499999999999993" hidden="1" customHeight="1" x14ac:dyDescent="0.2"/>
    <row r="20653" ht="9.9499999999999993" hidden="1" customHeight="1" x14ac:dyDescent="0.2"/>
    <row r="20654" ht="9.9499999999999993" hidden="1" customHeight="1" x14ac:dyDescent="0.2"/>
    <row r="20655" ht="9.9499999999999993" hidden="1" customHeight="1" x14ac:dyDescent="0.2"/>
    <row r="20656" ht="9.9499999999999993" hidden="1" customHeight="1" x14ac:dyDescent="0.2"/>
    <row r="20657" ht="9.9499999999999993" hidden="1" customHeight="1" x14ac:dyDescent="0.2"/>
    <row r="20658" ht="9.9499999999999993" hidden="1" customHeight="1" x14ac:dyDescent="0.2"/>
    <row r="20659" ht="9.9499999999999993" hidden="1" customHeight="1" x14ac:dyDescent="0.2"/>
    <row r="20660" ht="9.9499999999999993" hidden="1" customHeight="1" x14ac:dyDescent="0.2"/>
    <row r="20661" ht="9.9499999999999993" hidden="1" customHeight="1" x14ac:dyDescent="0.2"/>
    <row r="20662" ht="9.9499999999999993" hidden="1" customHeight="1" x14ac:dyDescent="0.2"/>
    <row r="20663" ht="9.9499999999999993" hidden="1" customHeight="1" x14ac:dyDescent="0.2"/>
    <row r="20664" ht="9.9499999999999993" hidden="1" customHeight="1" x14ac:dyDescent="0.2"/>
    <row r="20665" ht="9.9499999999999993" hidden="1" customHeight="1" x14ac:dyDescent="0.2"/>
    <row r="20666" ht="9.9499999999999993" hidden="1" customHeight="1" x14ac:dyDescent="0.2"/>
    <row r="20667" ht="9.9499999999999993" hidden="1" customHeight="1" x14ac:dyDescent="0.2"/>
    <row r="20668" ht="9.9499999999999993" hidden="1" customHeight="1" x14ac:dyDescent="0.2"/>
    <row r="20669" ht="9.9499999999999993" hidden="1" customHeight="1" x14ac:dyDescent="0.2"/>
    <row r="20670" ht="9.9499999999999993" hidden="1" customHeight="1" x14ac:dyDescent="0.2"/>
    <row r="20671" ht="9.9499999999999993" hidden="1" customHeight="1" x14ac:dyDescent="0.2"/>
    <row r="20672" ht="9.9499999999999993" hidden="1" customHeight="1" x14ac:dyDescent="0.2"/>
    <row r="20673" ht="9.9499999999999993" hidden="1" customHeight="1" x14ac:dyDescent="0.2"/>
    <row r="20674" ht="9.9499999999999993" hidden="1" customHeight="1" x14ac:dyDescent="0.2"/>
    <row r="20675" ht="9.9499999999999993" hidden="1" customHeight="1" x14ac:dyDescent="0.2"/>
    <row r="20676" ht="9.9499999999999993" hidden="1" customHeight="1" x14ac:dyDescent="0.2"/>
    <row r="20677" ht="9.9499999999999993" hidden="1" customHeight="1" x14ac:dyDescent="0.2"/>
    <row r="20678" ht="9.9499999999999993" hidden="1" customHeight="1" x14ac:dyDescent="0.2"/>
    <row r="20679" ht="9.9499999999999993" hidden="1" customHeight="1" x14ac:dyDescent="0.2"/>
    <row r="20680" ht="9.9499999999999993" hidden="1" customHeight="1" x14ac:dyDescent="0.2"/>
    <row r="20681" ht="9.9499999999999993" hidden="1" customHeight="1" x14ac:dyDescent="0.2"/>
    <row r="20682" ht="9.9499999999999993" hidden="1" customHeight="1" x14ac:dyDescent="0.2"/>
    <row r="20683" ht="9.9499999999999993" hidden="1" customHeight="1" x14ac:dyDescent="0.2"/>
    <row r="20684" ht="9.9499999999999993" hidden="1" customHeight="1" x14ac:dyDescent="0.2"/>
    <row r="20685" ht="9.9499999999999993" hidden="1" customHeight="1" x14ac:dyDescent="0.2"/>
    <row r="20686" ht="9.9499999999999993" hidden="1" customHeight="1" x14ac:dyDescent="0.2"/>
    <row r="20687" ht="9.9499999999999993" hidden="1" customHeight="1" x14ac:dyDescent="0.2"/>
    <row r="20688" ht="9.9499999999999993" hidden="1" customHeight="1" x14ac:dyDescent="0.2"/>
    <row r="20689" ht="9.9499999999999993" hidden="1" customHeight="1" x14ac:dyDescent="0.2"/>
    <row r="20690" ht="9.9499999999999993" hidden="1" customHeight="1" x14ac:dyDescent="0.2"/>
    <row r="20691" ht="9.9499999999999993" hidden="1" customHeight="1" x14ac:dyDescent="0.2"/>
    <row r="20692" ht="9.9499999999999993" hidden="1" customHeight="1" x14ac:dyDescent="0.2"/>
    <row r="20693" ht="9.9499999999999993" hidden="1" customHeight="1" x14ac:dyDescent="0.2"/>
    <row r="20694" ht="9.9499999999999993" hidden="1" customHeight="1" x14ac:dyDescent="0.2"/>
    <row r="20695" ht="9.9499999999999993" hidden="1" customHeight="1" x14ac:dyDescent="0.2"/>
    <row r="20696" ht="9.9499999999999993" hidden="1" customHeight="1" x14ac:dyDescent="0.2"/>
    <row r="20697" ht="9.9499999999999993" hidden="1" customHeight="1" x14ac:dyDescent="0.2"/>
    <row r="20698" ht="9.9499999999999993" hidden="1" customHeight="1" x14ac:dyDescent="0.2"/>
    <row r="20699" ht="9.9499999999999993" hidden="1" customHeight="1" x14ac:dyDescent="0.2"/>
    <row r="20700" ht="9.9499999999999993" hidden="1" customHeight="1" x14ac:dyDescent="0.2"/>
    <row r="20701" ht="9.9499999999999993" hidden="1" customHeight="1" x14ac:dyDescent="0.2"/>
    <row r="20702" ht="9.9499999999999993" hidden="1" customHeight="1" x14ac:dyDescent="0.2"/>
    <row r="20703" ht="9.9499999999999993" hidden="1" customHeight="1" x14ac:dyDescent="0.2"/>
    <row r="20704" ht="9.9499999999999993" hidden="1" customHeight="1" x14ac:dyDescent="0.2"/>
    <row r="20705" ht="9.9499999999999993" hidden="1" customHeight="1" x14ac:dyDescent="0.2"/>
    <row r="20706" ht="9.9499999999999993" hidden="1" customHeight="1" x14ac:dyDescent="0.2"/>
    <row r="20707" ht="9.9499999999999993" hidden="1" customHeight="1" x14ac:dyDescent="0.2"/>
    <row r="20708" ht="9.9499999999999993" hidden="1" customHeight="1" x14ac:dyDescent="0.2"/>
    <row r="20709" ht="9.9499999999999993" hidden="1" customHeight="1" x14ac:dyDescent="0.2"/>
    <row r="20710" ht="9.9499999999999993" hidden="1" customHeight="1" x14ac:dyDescent="0.2"/>
    <row r="20711" ht="9.9499999999999993" hidden="1" customHeight="1" x14ac:dyDescent="0.2"/>
    <row r="20712" ht="9.9499999999999993" hidden="1" customHeight="1" x14ac:dyDescent="0.2"/>
    <row r="20713" ht="9.9499999999999993" hidden="1" customHeight="1" x14ac:dyDescent="0.2"/>
    <row r="20714" ht="9.9499999999999993" hidden="1" customHeight="1" x14ac:dyDescent="0.2"/>
    <row r="20715" ht="9.9499999999999993" hidden="1" customHeight="1" x14ac:dyDescent="0.2"/>
    <row r="20716" ht="9.9499999999999993" hidden="1" customHeight="1" x14ac:dyDescent="0.2"/>
    <row r="20717" ht="9.9499999999999993" hidden="1" customHeight="1" x14ac:dyDescent="0.2"/>
    <row r="20718" ht="9.9499999999999993" hidden="1" customHeight="1" x14ac:dyDescent="0.2"/>
    <row r="20719" ht="9.9499999999999993" hidden="1" customHeight="1" x14ac:dyDescent="0.2"/>
    <row r="20720" ht="9.9499999999999993" hidden="1" customHeight="1" x14ac:dyDescent="0.2"/>
    <row r="20721" ht="9.9499999999999993" hidden="1" customHeight="1" x14ac:dyDescent="0.2"/>
    <row r="20722" ht="9.9499999999999993" hidden="1" customHeight="1" x14ac:dyDescent="0.2"/>
    <row r="20723" ht="9.9499999999999993" hidden="1" customHeight="1" x14ac:dyDescent="0.2"/>
    <row r="20724" ht="9.9499999999999993" hidden="1" customHeight="1" x14ac:dyDescent="0.2"/>
    <row r="20725" ht="9.9499999999999993" hidden="1" customHeight="1" x14ac:dyDescent="0.2"/>
    <row r="20726" ht="9.9499999999999993" hidden="1" customHeight="1" x14ac:dyDescent="0.2"/>
    <row r="20727" ht="9.9499999999999993" hidden="1" customHeight="1" x14ac:dyDescent="0.2"/>
    <row r="20728" ht="9.9499999999999993" hidden="1" customHeight="1" x14ac:dyDescent="0.2"/>
    <row r="20729" ht="9.9499999999999993" hidden="1" customHeight="1" x14ac:dyDescent="0.2"/>
    <row r="20730" ht="9.9499999999999993" hidden="1" customHeight="1" x14ac:dyDescent="0.2"/>
    <row r="20731" ht="9.9499999999999993" hidden="1" customHeight="1" x14ac:dyDescent="0.2"/>
    <row r="20732" ht="9.9499999999999993" hidden="1" customHeight="1" x14ac:dyDescent="0.2"/>
    <row r="20733" ht="9.9499999999999993" hidden="1" customHeight="1" x14ac:dyDescent="0.2"/>
    <row r="20734" ht="9.9499999999999993" hidden="1" customHeight="1" x14ac:dyDescent="0.2"/>
    <row r="20735" ht="9.9499999999999993" hidden="1" customHeight="1" x14ac:dyDescent="0.2"/>
    <row r="20736" ht="9.9499999999999993" hidden="1" customHeight="1" x14ac:dyDescent="0.2"/>
    <row r="20737" ht="9.9499999999999993" hidden="1" customHeight="1" x14ac:dyDescent="0.2"/>
    <row r="20738" ht="9.9499999999999993" hidden="1" customHeight="1" x14ac:dyDescent="0.2"/>
    <row r="20739" ht="9.9499999999999993" hidden="1" customHeight="1" x14ac:dyDescent="0.2"/>
    <row r="20740" ht="9.9499999999999993" hidden="1" customHeight="1" x14ac:dyDescent="0.2"/>
    <row r="20741" ht="9.9499999999999993" hidden="1" customHeight="1" x14ac:dyDescent="0.2"/>
    <row r="20742" ht="9.9499999999999993" hidden="1" customHeight="1" x14ac:dyDescent="0.2"/>
    <row r="20743" ht="9.9499999999999993" hidden="1" customHeight="1" x14ac:dyDescent="0.2"/>
    <row r="20744" ht="9.9499999999999993" hidden="1" customHeight="1" x14ac:dyDescent="0.2"/>
    <row r="20745" ht="9.9499999999999993" hidden="1" customHeight="1" x14ac:dyDescent="0.2"/>
    <row r="20746" ht="9.9499999999999993" hidden="1" customHeight="1" x14ac:dyDescent="0.2"/>
    <row r="20747" ht="9.9499999999999993" hidden="1" customHeight="1" x14ac:dyDescent="0.2"/>
    <row r="20748" ht="9.9499999999999993" hidden="1" customHeight="1" x14ac:dyDescent="0.2"/>
    <row r="20749" ht="9.9499999999999993" hidden="1" customHeight="1" x14ac:dyDescent="0.2"/>
    <row r="20750" ht="9.9499999999999993" hidden="1" customHeight="1" x14ac:dyDescent="0.2"/>
    <row r="20751" ht="9.9499999999999993" hidden="1" customHeight="1" x14ac:dyDescent="0.2"/>
    <row r="20752" ht="9.9499999999999993" hidden="1" customHeight="1" x14ac:dyDescent="0.2"/>
    <row r="20753" ht="9.9499999999999993" hidden="1" customHeight="1" x14ac:dyDescent="0.2"/>
    <row r="20754" ht="9.9499999999999993" hidden="1" customHeight="1" x14ac:dyDescent="0.2"/>
    <row r="20755" ht="9.9499999999999993" hidden="1" customHeight="1" x14ac:dyDescent="0.2"/>
    <row r="20756" ht="9.9499999999999993" hidden="1" customHeight="1" x14ac:dyDescent="0.2"/>
    <row r="20757" ht="9.9499999999999993" hidden="1" customHeight="1" x14ac:dyDescent="0.2"/>
    <row r="20758" ht="9.9499999999999993" hidden="1" customHeight="1" x14ac:dyDescent="0.2"/>
    <row r="20759" ht="9.9499999999999993" hidden="1" customHeight="1" x14ac:dyDescent="0.2"/>
    <row r="20760" ht="9.9499999999999993" hidden="1" customHeight="1" x14ac:dyDescent="0.2"/>
    <row r="20761" ht="9.9499999999999993" hidden="1" customHeight="1" x14ac:dyDescent="0.2"/>
    <row r="20762" ht="9.9499999999999993" hidden="1" customHeight="1" x14ac:dyDescent="0.2"/>
    <row r="20763" ht="9.9499999999999993" hidden="1" customHeight="1" x14ac:dyDescent="0.2"/>
    <row r="20764" ht="9.9499999999999993" hidden="1" customHeight="1" x14ac:dyDescent="0.2"/>
    <row r="20765" ht="9.9499999999999993" hidden="1" customHeight="1" x14ac:dyDescent="0.2"/>
    <row r="20766" ht="9.9499999999999993" hidden="1" customHeight="1" x14ac:dyDescent="0.2"/>
    <row r="20767" ht="9.9499999999999993" hidden="1" customHeight="1" x14ac:dyDescent="0.2"/>
    <row r="20768" ht="9.9499999999999993" hidden="1" customHeight="1" x14ac:dyDescent="0.2"/>
    <row r="20769" ht="9.9499999999999993" hidden="1" customHeight="1" x14ac:dyDescent="0.2"/>
    <row r="20770" ht="9.9499999999999993" hidden="1" customHeight="1" x14ac:dyDescent="0.2"/>
    <row r="20771" ht="9.9499999999999993" hidden="1" customHeight="1" x14ac:dyDescent="0.2"/>
    <row r="20772" ht="9.9499999999999993" hidden="1" customHeight="1" x14ac:dyDescent="0.2"/>
    <row r="20773" ht="9.9499999999999993" hidden="1" customHeight="1" x14ac:dyDescent="0.2"/>
    <row r="20774" ht="9.9499999999999993" hidden="1" customHeight="1" x14ac:dyDescent="0.2"/>
    <row r="20775" ht="9.9499999999999993" hidden="1" customHeight="1" x14ac:dyDescent="0.2"/>
    <row r="20776" ht="9.9499999999999993" hidden="1" customHeight="1" x14ac:dyDescent="0.2"/>
    <row r="20777" ht="9.9499999999999993" hidden="1" customHeight="1" x14ac:dyDescent="0.2"/>
    <row r="20778" ht="9.9499999999999993" hidden="1" customHeight="1" x14ac:dyDescent="0.2"/>
    <row r="20779" ht="9.9499999999999993" hidden="1" customHeight="1" x14ac:dyDescent="0.2"/>
    <row r="20780" ht="9.9499999999999993" hidden="1" customHeight="1" x14ac:dyDescent="0.2"/>
    <row r="20781" ht="9.9499999999999993" hidden="1" customHeight="1" x14ac:dyDescent="0.2"/>
    <row r="20782" ht="9.9499999999999993" hidden="1" customHeight="1" x14ac:dyDescent="0.2"/>
    <row r="20783" ht="9.9499999999999993" hidden="1" customHeight="1" x14ac:dyDescent="0.2"/>
    <row r="20784" ht="9.9499999999999993" hidden="1" customHeight="1" x14ac:dyDescent="0.2"/>
    <row r="20785" ht="9.9499999999999993" hidden="1" customHeight="1" x14ac:dyDescent="0.2"/>
    <row r="20786" ht="9.9499999999999993" hidden="1" customHeight="1" x14ac:dyDescent="0.2"/>
    <row r="20787" ht="9.9499999999999993" hidden="1" customHeight="1" x14ac:dyDescent="0.2"/>
    <row r="20788" ht="9.9499999999999993" hidden="1" customHeight="1" x14ac:dyDescent="0.2"/>
    <row r="20789" ht="9.9499999999999993" hidden="1" customHeight="1" x14ac:dyDescent="0.2"/>
    <row r="20790" ht="9.9499999999999993" hidden="1" customHeight="1" x14ac:dyDescent="0.2"/>
    <row r="20791" ht="9.9499999999999993" hidden="1" customHeight="1" x14ac:dyDescent="0.2"/>
    <row r="20792" ht="9.9499999999999993" hidden="1" customHeight="1" x14ac:dyDescent="0.2"/>
    <row r="20793" ht="9.9499999999999993" hidden="1" customHeight="1" x14ac:dyDescent="0.2"/>
    <row r="20794" ht="9.9499999999999993" hidden="1" customHeight="1" x14ac:dyDescent="0.2"/>
    <row r="20795" ht="9.9499999999999993" hidden="1" customHeight="1" x14ac:dyDescent="0.2"/>
    <row r="20796" ht="9.9499999999999993" hidden="1" customHeight="1" x14ac:dyDescent="0.2"/>
    <row r="20797" ht="9.9499999999999993" hidden="1" customHeight="1" x14ac:dyDescent="0.2"/>
    <row r="20798" ht="9.9499999999999993" hidden="1" customHeight="1" x14ac:dyDescent="0.2"/>
    <row r="20799" ht="9.9499999999999993" hidden="1" customHeight="1" x14ac:dyDescent="0.2"/>
    <row r="20800" ht="9.9499999999999993" hidden="1" customHeight="1" x14ac:dyDescent="0.2"/>
    <row r="20801" ht="9.9499999999999993" hidden="1" customHeight="1" x14ac:dyDescent="0.2"/>
    <row r="20802" ht="9.9499999999999993" hidden="1" customHeight="1" x14ac:dyDescent="0.2"/>
    <row r="20803" ht="9.9499999999999993" hidden="1" customHeight="1" x14ac:dyDescent="0.2"/>
    <row r="20804" ht="9.9499999999999993" hidden="1" customHeight="1" x14ac:dyDescent="0.2"/>
    <row r="20805" ht="9.9499999999999993" hidden="1" customHeight="1" x14ac:dyDescent="0.2"/>
    <row r="20806" ht="9.9499999999999993" hidden="1" customHeight="1" x14ac:dyDescent="0.2"/>
    <row r="20807" ht="9.9499999999999993" hidden="1" customHeight="1" x14ac:dyDescent="0.2"/>
    <row r="20808" ht="9.9499999999999993" hidden="1" customHeight="1" x14ac:dyDescent="0.2"/>
    <row r="20809" ht="9.9499999999999993" hidden="1" customHeight="1" x14ac:dyDescent="0.2"/>
    <row r="20810" ht="9.9499999999999993" hidden="1" customHeight="1" x14ac:dyDescent="0.2"/>
    <row r="20811" ht="9.9499999999999993" hidden="1" customHeight="1" x14ac:dyDescent="0.2"/>
    <row r="20812" ht="9.9499999999999993" hidden="1" customHeight="1" x14ac:dyDescent="0.2"/>
    <row r="20813" ht="9.9499999999999993" hidden="1" customHeight="1" x14ac:dyDescent="0.2"/>
    <row r="20814" ht="9.9499999999999993" hidden="1" customHeight="1" x14ac:dyDescent="0.2"/>
    <row r="20815" ht="9.9499999999999993" hidden="1" customHeight="1" x14ac:dyDescent="0.2"/>
    <row r="20816" ht="9.9499999999999993" hidden="1" customHeight="1" x14ac:dyDescent="0.2"/>
    <row r="20817" ht="9.9499999999999993" hidden="1" customHeight="1" x14ac:dyDescent="0.2"/>
    <row r="20818" ht="9.9499999999999993" hidden="1" customHeight="1" x14ac:dyDescent="0.2"/>
    <row r="20819" ht="9.9499999999999993" hidden="1" customHeight="1" x14ac:dyDescent="0.2"/>
    <row r="20820" ht="9.9499999999999993" hidden="1" customHeight="1" x14ac:dyDescent="0.2"/>
    <row r="20821" ht="9.9499999999999993" hidden="1" customHeight="1" x14ac:dyDescent="0.2"/>
    <row r="20822" ht="9.9499999999999993" hidden="1" customHeight="1" x14ac:dyDescent="0.2"/>
    <row r="20823" ht="9.9499999999999993" hidden="1" customHeight="1" x14ac:dyDescent="0.2"/>
    <row r="20824" ht="9.9499999999999993" hidden="1" customHeight="1" x14ac:dyDescent="0.2"/>
    <row r="20825" ht="9.9499999999999993" hidden="1" customHeight="1" x14ac:dyDescent="0.2"/>
    <row r="20826" ht="9.9499999999999993" hidden="1" customHeight="1" x14ac:dyDescent="0.2"/>
    <row r="20827" ht="9.9499999999999993" hidden="1" customHeight="1" x14ac:dyDescent="0.2"/>
    <row r="20828" ht="9.9499999999999993" hidden="1" customHeight="1" x14ac:dyDescent="0.2"/>
    <row r="20829" ht="9.9499999999999993" hidden="1" customHeight="1" x14ac:dyDescent="0.2"/>
    <row r="20830" ht="9.9499999999999993" hidden="1" customHeight="1" x14ac:dyDescent="0.2"/>
    <row r="20831" ht="9.9499999999999993" hidden="1" customHeight="1" x14ac:dyDescent="0.2"/>
    <row r="20832" ht="9.9499999999999993" hidden="1" customHeight="1" x14ac:dyDescent="0.2"/>
    <row r="20833" ht="9.9499999999999993" hidden="1" customHeight="1" x14ac:dyDescent="0.2"/>
    <row r="20834" ht="9.9499999999999993" hidden="1" customHeight="1" x14ac:dyDescent="0.2"/>
    <row r="20835" ht="9.9499999999999993" hidden="1" customHeight="1" x14ac:dyDescent="0.2"/>
    <row r="20836" ht="9.9499999999999993" hidden="1" customHeight="1" x14ac:dyDescent="0.2"/>
    <row r="20837" ht="9.9499999999999993" hidden="1" customHeight="1" x14ac:dyDescent="0.2"/>
    <row r="20838" ht="9.9499999999999993" hidden="1" customHeight="1" x14ac:dyDescent="0.2"/>
    <row r="20839" ht="9.9499999999999993" hidden="1" customHeight="1" x14ac:dyDescent="0.2"/>
    <row r="20840" ht="9.9499999999999993" hidden="1" customHeight="1" x14ac:dyDescent="0.2"/>
    <row r="20841" ht="9.9499999999999993" hidden="1" customHeight="1" x14ac:dyDescent="0.2"/>
    <row r="20842" ht="9.9499999999999993" hidden="1" customHeight="1" x14ac:dyDescent="0.2"/>
    <row r="20843" ht="9.9499999999999993" hidden="1" customHeight="1" x14ac:dyDescent="0.2"/>
    <row r="20844" ht="9.9499999999999993" hidden="1" customHeight="1" x14ac:dyDescent="0.2"/>
    <row r="20845" ht="9.9499999999999993" hidden="1" customHeight="1" x14ac:dyDescent="0.2"/>
    <row r="20846" ht="9.9499999999999993" hidden="1" customHeight="1" x14ac:dyDescent="0.2"/>
    <row r="20847" ht="9.9499999999999993" hidden="1" customHeight="1" x14ac:dyDescent="0.2"/>
    <row r="20848" ht="9.9499999999999993" hidden="1" customHeight="1" x14ac:dyDescent="0.2"/>
    <row r="20849" ht="9.9499999999999993" hidden="1" customHeight="1" x14ac:dyDescent="0.2"/>
    <row r="20850" ht="9.9499999999999993" hidden="1" customHeight="1" x14ac:dyDescent="0.2"/>
    <row r="20851" ht="9.9499999999999993" hidden="1" customHeight="1" x14ac:dyDescent="0.2"/>
    <row r="20852" ht="9.9499999999999993" hidden="1" customHeight="1" x14ac:dyDescent="0.2"/>
    <row r="20853" ht="9.9499999999999993" hidden="1" customHeight="1" x14ac:dyDescent="0.2"/>
    <row r="20854" ht="9.9499999999999993" hidden="1" customHeight="1" x14ac:dyDescent="0.2"/>
    <row r="20855" ht="9.9499999999999993" hidden="1" customHeight="1" x14ac:dyDescent="0.2"/>
    <row r="20856" ht="9.9499999999999993" hidden="1" customHeight="1" x14ac:dyDescent="0.2"/>
    <row r="20857" ht="9.9499999999999993" hidden="1" customHeight="1" x14ac:dyDescent="0.2"/>
    <row r="20858" ht="9.9499999999999993" hidden="1" customHeight="1" x14ac:dyDescent="0.2"/>
    <row r="20859" ht="9.9499999999999993" hidden="1" customHeight="1" x14ac:dyDescent="0.2"/>
    <row r="20860" ht="9.9499999999999993" hidden="1" customHeight="1" x14ac:dyDescent="0.2"/>
    <row r="20861" ht="9.9499999999999993" hidden="1" customHeight="1" x14ac:dyDescent="0.2"/>
    <row r="20862" ht="9.9499999999999993" hidden="1" customHeight="1" x14ac:dyDescent="0.2"/>
    <row r="20863" ht="9.9499999999999993" hidden="1" customHeight="1" x14ac:dyDescent="0.2"/>
    <row r="20864" ht="9.9499999999999993" hidden="1" customHeight="1" x14ac:dyDescent="0.2"/>
    <row r="20865" ht="9.9499999999999993" hidden="1" customHeight="1" x14ac:dyDescent="0.2"/>
    <row r="20866" ht="9.9499999999999993" hidden="1" customHeight="1" x14ac:dyDescent="0.2"/>
    <row r="20867" ht="9.9499999999999993" hidden="1" customHeight="1" x14ac:dyDescent="0.2"/>
    <row r="20868" ht="9.9499999999999993" hidden="1" customHeight="1" x14ac:dyDescent="0.2"/>
    <row r="20869" ht="9.9499999999999993" hidden="1" customHeight="1" x14ac:dyDescent="0.2"/>
    <row r="20870" ht="9.9499999999999993" hidden="1" customHeight="1" x14ac:dyDescent="0.2"/>
    <row r="20871" ht="9.9499999999999993" hidden="1" customHeight="1" x14ac:dyDescent="0.2"/>
    <row r="20872" ht="9.9499999999999993" hidden="1" customHeight="1" x14ac:dyDescent="0.2"/>
    <row r="20873" ht="9.9499999999999993" hidden="1" customHeight="1" x14ac:dyDescent="0.2"/>
    <row r="20874" ht="9.9499999999999993" hidden="1" customHeight="1" x14ac:dyDescent="0.2"/>
    <row r="20875" ht="9.9499999999999993" hidden="1" customHeight="1" x14ac:dyDescent="0.2"/>
    <row r="20876" ht="9.9499999999999993" hidden="1" customHeight="1" x14ac:dyDescent="0.2"/>
    <row r="20877" ht="9.9499999999999993" hidden="1" customHeight="1" x14ac:dyDescent="0.2"/>
    <row r="20878" ht="9.9499999999999993" hidden="1" customHeight="1" x14ac:dyDescent="0.2"/>
    <row r="20879" ht="9.9499999999999993" hidden="1" customHeight="1" x14ac:dyDescent="0.2"/>
    <row r="20880" ht="9.9499999999999993" hidden="1" customHeight="1" x14ac:dyDescent="0.2"/>
    <row r="20881" ht="9.9499999999999993" hidden="1" customHeight="1" x14ac:dyDescent="0.2"/>
    <row r="20882" ht="9.9499999999999993" hidden="1" customHeight="1" x14ac:dyDescent="0.2"/>
    <row r="20883" ht="9.9499999999999993" hidden="1" customHeight="1" x14ac:dyDescent="0.2"/>
    <row r="20884" ht="9.9499999999999993" hidden="1" customHeight="1" x14ac:dyDescent="0.2"/>
    <row r="20885" ht="9.9499999999999993" hidden="1" customHeight="1" x14ac:dyDescent="0.2"/>
    <row r="20886" ht="9.9499999999999993" hidden="1" customHeight="1" x14ac:dyDescent="0.2"/>
    <row r="20887" ht="9.9499999999999993" hidden="1" customHeight="1" x14ac:dyDescent="0.2"/>
    <row r="20888" ht="9.9499999999999993" hidden="1" customHeight="1" x14ac:dyDescent="0.2"/>
    <row r="20889" ht="9.9499999999999993" hidden="1" customHeight="1" x14ac:dyDescent="0.2"/>
    <row r="20890" ht="9.9499999999999993" hidden="1" customHeight="1" x14ac:dyDescent="0.2"/>
    <row r="20891" ht="9.9499999999999993" hidden="1" customHeight="1" x14ac:dyDescent="0.2"/>
    <row r="20892" ht="9.9499999999999993" hidden="1" customHeight="1" x14ac:dyDescent="0.2"/>
    <row r="20893" ht="9.9499999999999993" hidden="1" customHeight="1" x14ac:dyDescent="0.2"/>
    <row r="20894" ht="9.9499999999999993" hidden="1" customHeight="1" x14ac:dyDescent="0.2"/>
    <row r="20895" ht="9.9499999999999993" hidden="1" customHeight="1" x14ac:dyDescent="0.2"/>
    <row r="20896" ht="9.9499999999999993" hidden="1" customHeight="1" x14ac:dyDescent="0.2"/>
    <row r="20897" ht="9.9499999999999993" hidden="1" customHeight="1" x14ac:dyDescent="0.2"/>
    <row r="20898" ht="9.9499999999999993" hidden="1" customHeight="1" x14ac:dyDescent="0.2"/>
    <row r="20899" ht="9.9499999999999993" hidden="1" customHeight="1" x14ac:dyDescent="0.2"/>
    <row r="20900" ht="9.9499999999999993" hidden="1" customHeight="1" x14ac:dyDescent="0.2"/>
    <row r="20901" ht="9.9499999999999993" hidden="1" customHeight="1" x14ac:dyDescent="0.2"/>
    <row r="20902" ht="9.9499999999999993" hidden="1" customHeight="1" x14ac:dyDescent="0.2"/>
    <row r="20903" ht="9.9499999999999993" hidden="1" customHeight="1" x14ac:dyDescent="0.2"/>
    <row r="20904" ht="9.9499999999999993" hidden="1" customHeight="1" x14ac:dyDescent="0.2"/>
    <row r="20905" ht="9.9499999999999993" hidden="1" customHeight="1" x14ac:dyDescent="0.2"/>
    <row r="20906" ht="9.9499999999999993" hidden="1" customHeight="1" x14ac:dyDescent="0.2"/>
    <row r="20907" ht="9.9499999999999993" hidden="1" customHeight="1" x14ac:dyDescent="0.2"/>
    <row r="20908" ht="9.9499999999999993" hidden="1" customHeight="1" x14ac:dyDescent="0.2"/>
    <row r="20909" ht="9.9499999999999993" hidden="1" customHeight="1" x14ac:dyDescent="0.2"/>
    <row r="20910" ht="9.9499999999999993" hidden="1" customHeight="1" x14ac:dyDescent="0.2"/>
    <row r="20911" ht="9.9499999999999993" hidden="1" customHeight="1" x14ac:dyDescent="0.2"/>
    <row r="20912" ht="9.9499999999999993" hidden="1" customHeight="1" x14ac:dyDescent="0.2"/>
    <row r="20913" ht="9.9499999999999993" hidden="1" customHeight="1" x14ac:dyDescent="0.2"/>
    <row r="20914" ht="9.9499999999999993" hidden="1" customHeight="1" x14ac:dyDescent="0.2"/>
    <row r="20915" ht="9.9499999999999993" hidden="1" customHeight="1" x14ac:dyDescent="0.2"/>
    <row r="20916" ht="9.9499999999999993" hidden="1" customHeight="1" x14ac:dyDescent="0.2"/>
    <row r="20917" ht="9.9499999999999993" hidden="1" customHeight="1" x14ac:dyDescent="0.2"/>
    <row r="20918" ht="9.9499999999999993" hidden="1" customHeight="1" x14ac:dyDescent="0.2"/>
    <row r="20919" ht="9.9499999999999993" hidden="1" customHeight="1" x14ac:dyDescent="0.2"/>
    <row r="20920" ht="9.9499999999999993" hidden="1" customHeight="1" x14ac:dyDescent="0.2"/>
    <row r="20921" ht="9.9499999999999993" hidden="1" customHeight="1" x14ac:dyDescent="0.2"/>
    <row r="20922" ht="9.9499999999999993" hidden="1" customHeight="1" x14ac:dyDescent="0.2"/>
    <row r="20923" ht="9.9499999999999993" hidden="1" customHeight="1" x14ac:dyDescent="0.2"/>
    <row r="20924" ht="9.9499999999999993" hidden="1" customHeight="1" x14ac:dyDescent="0.2"/>
    <row r="20925" ht="9.9499999999999993" hidden="1" customHeight="1" x14ac:dyDescent="0.2"/>
    <row r="20926" ht="9.9499999999999993" hidden="1" customHeight="1" x14ac:dyDescent="0.2"/>
    <row r="20927" ht="9.9499999999999993" hidden="1" customHeight="1" x14ac:dyDescent="0.2"/>
    <row r="20928" ht="9.9499999999999993" hidden="1" customHeight="1" x14ac:dyDescent="0.2"/>
    <row r="20929" ht="9.9499999999999993" hidden="1" customHeight="1" x14ac:dyDescent="0.2"/>
    <row r="20930" ht="9.9499999999999993" hidden="1" customHeight="1" x14ac:dyDescent="0.2"/>
    <row r="20931" ht="9.9499999999999993" hidden="1" customHeight="1" x14ac:dyDescent="0.2"/>
    <row r="20932" ht="9.9499999999999993" hidden="1" customHeight="1" x14ac:dyDescent="0.2"/>
    <row r="20933" ht="9.9499999999999993" hidden="1" customHeight="1" x14ac:dyDescent="0.2"/>
    <row r="20934" ht="9.9499999999999993" hidden="1" customHeight="1" x14ac:dyDescent="0.2"/>
    <row r="20935" ht="9.9499999999999993" hidden="1" customHeight="1" x14ac:dyDescent="0.2"/>
    <row r="20936" ht="9.9499999999999993" hidden="1" customHeight="1" x14ac:dyDescent="0.2"/>
    <row r="20937" ht="9.9499999999999993" hidden="1" customHeight="1" x14ac:dyDescent="0.2"/>
    <row r="20938" ht="9.9499999999999993" hidden="1" customHeight="1" x14ac:dyDescent="0.2"/>
    <row r="20939" ht="9.9499999999999993" hidden="1" customHeight="1" x14ac:dyDescent="0.2"/>
    <row r="20940" ht="9.9499999999999993" hidden="1" customHeight="1" x14ac:dyDescent="0.2"/>
    <row r="20941" ht="9.9499999999999993" hidden="1" customHeight="1" x14ac:dyDescent="0.2"/>
    <row r="20942" ht="9.9499999999999993" hidden="1" customHeight="1" x14ac:dyDescent="0.2"/>
    <row r="20943" ht="9.9499999999999993" hidden="1" customHeight="1" x14ac:dyDescent="0.2"/>
    <row r="20944" ht="9.9499999999999993" hidden="1" customHeight="1" x14ac:dyDescent="0.2"/>
    <row r="20945" ht="9.9499999999999993" hidden="1" customHeight="1" x14ac:dyDescent="0.2"/>
    <row r="20946" ht="9.9499999999999993" hidden="1" customHeight="1" x14ac:dyDescent="0.2"/>
    <row r="20947" ht="9.9499999999999993" hidden="1" customHeight="1" x14ac:dyDescent="0.2"/>
    <row r="20948" ht="9.9499999999999993" hidden="1" customHeight="1" x14ac:dyDescent="0.2"/>
    <row r="20949" ht="9.9499999999999993" hidden="1" customHeight="1" x14ac:dyDescent="0.2"/>
    <row r="20950" ht="9.9499999999999993" hidden="1" customHeight="1" x14ac:dyDescent="0.2"/>
    <row r="20951" ht="9.9499999999999993" hidden="1" customHeight="1" x14ac:dyDescent="0.2"/>
    <row r="20952" ht="9.9499999999999993" hidden="1" customHeight="1" x14ac:dyDescent="0.2"/>
    <row r="20953" ht="9.9499999999999993" hidden="1" customHeight="1" x14ac:dyDescent="0.2"/>
    <row r="20954" ht="9.9499999999999993" hidden="1" customHeight="1" x14ac:dyDescent="0.2"/>
    <row r="20955" ht="9.9499999999999993" hidden="1" customHeight="1" x14ac:dyDescent="0.2"/>
    <row r="20956" ht="9.9499999999999993" hidden="1" customHeight="1" x14ac:dyDescent="0.2"/>
    <row r="20957" ht="9.9499999999999993" hidden="1" customHeight="1" x14ac:dyDescent="0.2"/>
    <row r="20958" ht="9.9499999999999993" hidden="1" customHeight="1" x14ac:dyDescent="0.2"/>
    <row r="20959" ht="9.9499999999999993" hidden="1" customHeight="1" x14ac:dyDescent="0.2"/>
    <row r="20960" ht="9.9499999999999993" hidden="1" customHeight="1" x14ac:dyDescent="0.2"/>
    <row r="20961" ht="9.9499999999999993" hidden="1" customHeight="1" x14ac:dyDescent="0.2"/>
    <row r="20962" ht="9.9499999999999993" hidden="1" customHeight="1" x14ac:dyDescent="0.2"/>
    <row r="20963" ht="9.9499999999999993" hidden="1" customHeight="1" x14ac:dyDescent="0.2"/>
    <row r="20964" ht="9.9499999999999993" hidden="1" customHeight="1" x14ac:dyDescent="0.2"/>
    <row r="20965" ht="9.9499999999999993" hidden="1" customHeight="1" x14ac:dyDescent="0.2"/>
    <row r="20966" ht="9.9499999999999993" hidden="1" customHeight="1" x14ac:dyDescent="0.2"/>
    <row r="20967" ht="9.9499999999999993" hidden="1" customHeight="1" x14ac:dyDescent="0.2"/>
    <row r="20968" ht="9.9499999999999993" hidden="1" customHeight="1" x14ac:dyDescent="0.2"/>
    <row r="20969" ht="9.9499999999999993" hidden="1" customHeight="1" x14ac:dyDescent="0.2"/>
    <row r="20970" ht="9.9499999999999993" hidden="1" customHeight="1" x14ac:dyDescent="0.2"/>
    <row r="20971" ht="9.9499999999999993" hidden="1" customHeight="1" x14ac:dyDescent="0.2"/>
    <row r="20972" ht="9.9499999999999993" hidden="1" customHeight="1" x14ac:dyDescent="0.2"/>
    <row r="20973" ht="9.9499999999999993" hidden="1" customHeight="1" x14ac:dyDescent="0.2"/>
    <row r="20974" ht="9.9499999999999993" hidden="1" customHeight="1" x14ac:dyDescent="0.2"/>
    <row r="20975" ht="9.9499999999999993" hidden="1" customHeight="1" x14ac:dyDescent="0.2"/>
    <row r="20976" ht="9.9499999999999993" hidden="1" customHeight="1" x14ac:dyDescent="0.2"/>
    <row r="20977" ht="9.9499999999999993" hidden="1" customHeight="1" x14ac:dyDescent="0.2"/>
    <row r="20978" ht="9.9499999999999993" hidden="1" customHeight="1" x14ac:dyDescent="0.2"/>
    <row r="20979" ht="9.9499999999999993" hidden="1" customHeight="1" x14ac:dyDescent="0.2"/>
    <row r="20980" ht="9.9499999999999993" hidden="1" customHeight="1" x14ac:dyDescent="0.2"/>
    <row r="20981" ht="9.9499999999999993" hidden="1" customHeight="1" x14ac:dyDescent="0.2"/>
    <row r="20982" ht="9.9499999999999993" hidden="1" customHeight="1" x14ac:dyDescent="0.2"/>
    <row r="20983" ht="9.9499999999999993" hidden="1" customHeight="1" x14ac:dyDescent="0.2"/>
    <row r="20984" ht="9.9499999999999993" hidden="1" customHeight="1" x14ac:dyDescent="0.2"/>
    <row r="20985" ht="9.9499999999999993" hidden="1" customHeight="1" x14ac:dyDescent="0.2"/>
    <row r="20986" ht="9.9499999999999993" hidden="1" customHeight="1" x14ac:dyDescent="0.2"/>
    <row r="20987" ht="9.9499999999999993" hidden="1" customHeight="1" x14ac:dyDescent="0.2"/>
    <row r="20988" ht="9.9499999999999993" hidden="1" customHeight="1" x14ac:dyDescent="0.2"/>
    <row r="20989" ht="9.9499999999999993" hidden="1" customHeight="1" x14ac:dyDescent="0.2"/>
    <row r="20990" ht="9.9499999999999993" hidden="1" customHeight="1" x14ac:dyDescent="0.2"/>
    <row r="20991" ht="9.9499999999999993" hidden="1" customHeight="1" x14ac:dyDescent="0.2"/>
    <row r="20992" ht="9.9499999999999993" hidden="1" customHeight="1" x14ac:dyDescent="0.2"/>
    <row r="20993" ht="9.9499999999999993" hidden="1" customHeight="1" x14ac:dyDescent="0.2"/>
    <row r="20994" ht="9.9499999999999993" hidden="1" customHeight="1" x14ac:dyDescent="0.2"/>
    <row r="20995" ht="9.9499999999999993" hidden="1" customHeight="1" x14ac:dyDescent="0.2"/>
    <row r="20996" ht="9.9499999999999993" hidden="1" customHeight="1" x14ac:dyDescent="0.2"/>
    <row r="20997" ht="9.9499999999999993" hidden="1" customHeight="1" x14ac:dyDescent="0.2"/>
    <row r="20998" ht="9.9499999999999993" hidden="1" customHeight="1" x14ac:dyDescent="0.2"/>
    <row r="20999" ht="9.9499999999999993" hidden="1" customHeight="1" x14ac:dyDescent="0.2"/>
    <row r="21000" ht="9.9499999999999993" hidden="1" customHeight="1" x14ac:dyDescent="0.2"/>
    <row r="21001" ht="9.9499999999999993" hidden="1" customHeight="1" x14ac:dyDescent="0.2"/>
    <row r="21002" ht="9.9499999999999993" hidden="1" customHeight="1" x14ac:dyDescent="0.2"/>
    <row r="21003" ht="9.9499999999999993" hidden="1" customHeight="1" x14ac:dyDescent="0.2"/>
    <row r="21004" ht="9.9499999999999993" hidden="1" customHeight="1" x14ac:dyDescent="0.2"/>
    <row r="21005" ht="9.9499999999999993" hidden="1" customHeight="1" x14ac:dyDescent="0.2"/>
    <row r="21006" ht="9.9499999999999993" hidden="1" customHeight="1" x14ac:dyDescent="0.2"/>
    <row r="21007" ht="9.9499999999999993" hidden="1" customHeight="1" x14ac:dyDescent="0.2"/>
    <row r="21008" ht="9.9499999999999993" hidden="1" customHeight="1" x14ac:dyDescent="0.2"/>
    <row r="21009" ht="9.9499999999999993" hidden="1" customHeight="1" x14ac:dyDescent="0.2"/>
    <row r="21010" ht="9.9499999999999993" hidden="1" customHeight="1" x14ac:dyDescent="0.2"/>
    <row r="21011" ht="9.9499999999999993" hidden="1" customHeight="1" x14ac:dyDescent="0.2"/>
    <row r="21012" ht="9.9499999999999993" hidden="1" customHeight="1" x14ac:dyDescent="0.2"/>
    <row r="21013" ht="9.9499999999999993" hidden="1" customHeight="1" x14ac:dyDescent="0.2"/>
    <row r="21014" ht="9.9499999999999993" hidden="1" customHeight="1" x14ac:dyDescent="0.2"/>
    <row r="21015" ht="9.9499999999999993" hidden="1" customHeight="1" x14ac:dyDescent="0.2"/>
    <row r="21016" ht="9.9499999999999993" hidden="1" customHeight="1" x14ac:dyDescent="0.2"/>
    <row r="21017" ht="9.9499999999999993" hidden="1" customHeight="1" x14ac:dyDescent="0.2"/>
    <row r="21018" ht="9.9499999999999993" hidden="1" customHeight="1" x14ac:dyDescent="0.2"/>
    <row r="21019" ht="9.9499999999999993" hidden="1" customHeight="1" x14ac:dyDescent="0.2"/>
    <row r="21020" ht="9.9499999999999993" hidden="1" customHeight="1" x14ac:dyDescent="0.2"/>
    <row r="21021" ht="9.9499999999999993" hidden="1" customHeight="1" x14ac:dyDescent="0.2"/>
    <row r="21022" ht="9.9499999999999993" hidden="1" customHeight="1" x14ac:dyDescent="0.2"/>
    <row r="21023" ht="9.9499999999999993" hidden="1" customHeight="1" x14ac:dyDescent="0.2"/>
    <row r="21024" ht="9.9499999999999993" hidden="1" customHeight="1" x14ac:dyDescent="0.2"/>
    <row r="21025" ht="9.9499999999999993" hidden="1" customHeight="1" x14ac:dyDescent="0.2"/>
    <row r="21026" ht="9.9499999999999993" hidden="1" customHeight="1" x14ac:dyDescent="0.2"/>
    <row r="21027" ht="9.9499999999999993" hidden="1" customHeight="1" x14ac:dyDescent="0.2"/>
    <row r="21028" ht="9.9499999999999993" hidden="1" customHeight="1" x14ac:dyDescent="0.2"/>
    <row r="21029" ht="9.9499999999999993" hidden="1" customHeight="1" x14ac:dyDescent="0.2"/>
    <row r="21030" ht="9.9499999999999993" hidden="1" customHeight="1" x14ac:dyDescent="0.2"/>
    <row r="21031" ht="9.9499999999999993" hidden="1" customHeight="1" x14ac:dyDescent="0.2"/>
    <row r="21032" ht="9.9499999999999993" hidden="1" customHeight="1" x14ac:dyDescent="0.2"/>
    <row r="21033" ht="9.9499999999999993" hidden="1" customHeight="1" x14ac:dyDescent="0.2"/>
    <row r="21034" ht="9.9499999999999993" hidden="1" customHeight="1" x14ac:dyDescent="0.2"/>
    <row r="21035" ht="9.9499999999999993" hidden="1" customHeight="1" x14ac:dyDescent="0.2"/>
    <row r="21036" ht="9.9499999999999993" hidden="1" customHeight="1" x14ac:dyDescent="0.2"/>
    <row r="21037" ht="9.9499999999999993" hidden="1" customHeight="1" x14ac:dyDescent="0.2"/>
    <row r="21038" ht="9.9499999999999993" hidden="1" customHeight="1" x14ac:dyDescent="0.2"/>
    <row r="21039" ht="9.9499999999999993" hidden="1" customHeight="1" x14ac:dyDescent="0.2"/>
    <row r="21040" ht="9.9499999999999993" hidden="1" customHeight="1" x14ac:dyDescent="0.2"/>
    <row r="21041" ht="9.9499999999999993" hidden="1" customHeight="1" x14ac:dyDescent="0.2"/>
    <row r="21042" ht="9.9499999999999993" hidden="1" customHeight="1" x14ac:dyDescent="0.2"/>
    <row r="21043" ht="9.9499999999999993" hidden="1" customHeight="1" x14ac:dyDescent="0.2"/>
    <row r="21044" ht="9.9499999999999993" hidden="1" customHeight="1" x14ac:dyDescent="0.2"/>
    <row r="21045" ht="9.9499999999999993" hidden="1" customHeight="1" x14ac:dyDescent="0.2"/>
    <row r="21046" ht="9.9499999999999993" hidden="1" customHeight="1" x14ac:dyDescent="0.2"/>
    <row r="21047" ht="9.9499999999999993" hidden="1" customHeight="1" x14ac:dyDescent="0.2"/>
    <row r="21048" ht="9.9499999999999993" hidden="1" customHeight="1" x14ac:dyDescent="0.2"/>
    <row r="21049" ht="9.9499999999999993" hidden="1" customHeight="1" x14ac:dyDescent="0.2"/>
    <row r="21050" ht="9.9499999999999993" hidden="1" customHeight="1" x14ac:dyDescent="0.2"/>
    <row r="21051" ht="9.9499999999999993" hidden="1" customHeight="1" x14ac:dyDescent="0.2"/>
    <row r="21052" ht="9.9499999999999993" hidden="1" customHeight="1" x14ac:dyDescent="0.2"/>
    <row r="21053" ht="9.9499999999999993" hidden="1" customHeight="1" x14ac:dyDescent="0.2"/>
    <row r="21054" ht="9.9499999999999993" hidden="1" customHeight="1" x14ac:dyDescent="0.2"/>
    <row r="21055" ht="9.9499999999999993" hidden="1" customHeight="1" x14ac:dyDescent="0.2"/>
    <row r="21056" ht="9.9499999999999993" hidden="1" customHeight="1" x14ac:dyDescent="0.2"/>
    <row r="21057" ht="9.9499999999999993" hidden="1" customHeight="1" x14ac:dyDescent="0.2"/>
    <row r="21058" ht="9.9499999999999993" hidden="1" customHeight="1" x14ac:dyDescent="0.2"/>
    <row r="21059" ht="9.9499999999999993" hidden="1" customHeight="1" x14ac:dyDescent="0.2"/>
    <row r="21060" ht="9.9499999999999993" hidden="1" customHeight="1" x14ac:dyDescent="0.2"/>
    <row r="21061" ht="9.9499999999999993" hidden="1" customHeight="1" x14ac:dyDescent="0.2"/>
    <row r="21062" ht="9.9499999999999993" hidden="1" customHeight="1" x14ac:dyDescent="0.2"/>
    <row r="21063" ht="9.9499999999999993" hidden="1" customHeight="1" x14ac:dyDescent="0.2"/>
    <row r="21064" ht="9.9499999999999993" hidden="1" customHeight="1" x14ac:dyDescent="0.2"/>
    <row r="21065" ht="9.9499999999999993" hidden="1" customHeight="1" x14ac:dyDescent="0.2"/>
    <row r="21066" ht="9.9499999999999993" hidden="1" customHeight="1" x14ac:dyDescent="0.2"/>
    <row r="21067" ht="9.9499999999999993" hidden="1" customHeight="1" x14ac:dyDescent="0.2"/>
    <row r="21068" ht="9.9499999999999993" hidden="1" customHeight="1" x14ac:dyDescent="0.2"/>
    <row r="21069" ht="9.9499999999999993" hidden="1" customHeight="1" x14ac:dyDescent="0.2"/>
    <row r="21070" ht="9.9499999999999993" hidden="1" customHeight="1" x14ac:dyDescent="0.2"/>
    <row r="21071" ht="9.9499999999999993" hidden="1" customHeight="1" x14ac:dyDescent="0.2"/>
    <row r="21072" ht="9.9499999999999993" hidden="1" customHeight="1" x14ac:dyDescent="0.2"/>
    <row r="21073" ht="9.9499999999999993" hidden="1" customHeight="1" x14ac:dyDescent="0.2"/>
    <row r="21074" ht="9.9499999999999993" hidden="1" customHeight="1" x14ac:dyDescent="0.2"/>
    <row r="21075" ht="9.9499999999999993" hidden="1" customHeight="1" x14ac:dyDescent="0.2"/>
    <row r="21076" ht="9.9499999999999993" hidden="1" customHeight="1" x14ac:dyDescent="0.2"/>
    <row r="21077" ht="9.9499999999999993" hidden="1" customHeight="1" x14ac:dyDescent="0.2"/>
    <row r="21078" ht="9.9499999999999993" hidden="1" customHeight="1" x14ac:dyDescent="0.2"/>
    <row r="21079" ht="9.9499999999999993" hidden="1" customHeight="1" x14ac:dyDescent="0.2"/>
    <row r="21080" ht="9.9499999999999993" hidden="1" customHeight="1" x14ac:dyDescent="0.2"/>
    <row r="21081" ht="9.9499999999999993" hidden="1" customHeight="1" x14ac:dyDescent="0.2"/>
    <row r="21082" ht="9.9499999999999993" hidden="1" customHeight="1" x14ac:dyDescent="0.2"/>
    <row r="21083" ht="9.9499999999999993" hidden="1" customHeight="1" x14ac:dyDescent="0.2"/>
    <row r="21084" ht="9.9499999999999993" hidden="1" customHeight="1" x14ac:dyDescent="0.2"/>
    <row r="21085" ht="9.9499999999999993" hidden="1" customHeight="1" x14ac:dyDescent="0.2"/>
    <row r="21086" ht="9.9499999999999993" hidden="1" customHeight="1" x14ac:dyDescent="0.2"/>
    <row r="21087" ht="9.9499999999999993" hidden="1" customHeight="1" x14ac:dyDescent="0.2"/>
    <row r="21088" ht="9.9499999999999993" hidden="1" customHeight="1" x14ac:dyDescent="0.2"/>
    <row r="21089" ht="9.9499999999999993" hidden="1" customHeight="1" x14ac:dyDescent="0.2"/>
    <row r="21090" ht="9.9499999999999993" hidden="1" customHeight="1" x14ac:dyDescent="0.2"/>
    <row r="21091" ht="9.9499999999999993" hidden="1" customHeight="1" x14ac:dyDescent="0.2"/>
    <row r="21092" ht="9.9499999999999993" hidden="1" customHeight="1" x14ac:dyDescent="0.2"/>
    <row r="21093" ht="9.9499999999999993" hidden="1" customHeight="1" x14ac:dyDescent="0.2"/>
    <row r="21094" ht="9.9499999999999993" hidden="1" customHeight="1" x14ac:dyDescent="0.2"/>
    <row r="21095" ht="9.9499999999999993" hidden="1" customHeight="1" x14ac:dyDescent="0.2"/>
    <row r="21096" ht="9.9499999999999993" hidden="1" customHeight="1" x14ac:dyDescent="0.2"/>
    <row r="21097" ht="9.9499999999999993" hidden="1" customHeight="1" x14ac:dyDescent="0.2"/>
    <row r="21098" ht="9.9499999999999993" hidden="1" customHeight="1" x14ac:dyDescent="0.2"/>
    <row r="21099" ht="9.9499999999999993" hidden="1" customHeight="1" x14ac:dyDescent="0.2"/>
    <row r="21100" ht="9.9499999999999993" hidden="1" customHeight="1" x14ac:dyDescent="0.2"/>
    <row r="21101" ht="9.9499999999999993" hidden="1" customHeight="1" x14ac:dyDescent="0.2"/>
    <row r="21102" ht="9.9499999999999993" hidden="1" customHeight="1" x14ac:dyDescent="0.2"/>
    <row r="21103" ht="9.9499999999999993" hidden="1" customHeight="1" x14ac:dyDescent="0.2"/>
    <row r="21104" ht="9.9499999999999993" hidden="1" customHeight="1" x14ac:dyDescent="0.2"/>
    <row r="21105" ht="9.9499999999999993" hidden="1" customHeight="1" x14ac:dyDescent="0.2"/>
    <row r="21106" ht="9.9499999999999993" hidden="1" customHeight="1" x14ac:dyDescent="0.2"/>
    <row r="21107" ht="9.9499999999999993" hidden="1" customHeight="1" x14ac:dyDescent="0.2"/>
    <row r="21108" ht="9.9499999999999993" hidden="1" customHeight="1" x14ac:dyDescent="0.2"/>
    <row r="21109" ht="9.9499999999999993" hidden="1" customHeight="1" x14ac:dyDescent="0.2"/>
    <row r="21110" ht="9.9499999999999993" hidden="1" customHeight="1" x14ac:dyDescent="0.2"/>
    <row r="21111" ht="9.9499999999999993" hidden="1" customHeight="1" x14ac:dyDescent="0.2"/>
    <row r="21112" ht="9.9499999999999993" hidden="1" customHeight="1" x14ac:dyDescent="0.2"/>
    <row r="21113" ht="9.9499999999999993" hidden="1" customHeight="1" x14ac:dyDescent="0.2"/>
    <row r="21114" ht="9.9499999999999993" hidden="1" customHeight="1" x14ac:dyDescent="0.2"/>
    <row r="21115" ht="9.9499999999999993" hidden="1" customHeight="1" x14ac:dyDescent="0.2"/>
    <row r="21116" ht="9.9499999999999993" hidden="1" customHeight="1" x14ac:dyDescent="0.2"/>
    <row r="21117" ht="9.9499999999999993" hidden="1" customHeight="1" x14ac:dyDescent="0.2"/>
    <row r="21118" ht="9.9499999999999993" hidden="1" customHeight="1" x14ac:dyDescent="0.2"/>
    <row r="21119" ht="9.9499999999999993" hidden="1" customHeight="1" x14ac:dyDescent="0.2"/>
    <row r="21120" ht="9.9499999999999993" hidden="1" customHeight="1" x14ac:dyDescent="0.2"/>
    <row r="21121" ht="9.9499999999999993" hidden="1" customHeight="1" x14ac:dyDescent="0.2"/>
    <row r="21122" ht="9.9499999999999993" hidden="1" customHeight="1" x14ac:dyDescent="0.2"/>
    <row r="21123" ht="9.9499999999999993" hidden="1" customHeight="1" x14ac:dyDescent="0.2"/>
    <row r="21124" ht="9.9499999999999993" hidden="1" customHeight="1" x14ac:dyDescent="0.2"/>
    <row r="21125" ht="9.9499999999999993" hidden="1" customHeight="1" x14ac:dyDescent="0.2"/>
    <row r="21126" ht="9.9499999999999993" hidden="1" customHeight="1" x14ac:dyDescent="0.2"/>
    <row r="21127" ht="9.9499999999999993" hidden="1" customHeight="1" x14ac:dyDescent="0.2"/>
    <row r="21128" ht="9.9499999999999993" hidden="1" customHeight="1" x14ac:dyDescent="0.2"/>
    <row r="21129" ht="9.9499999999999993" hidden="1" customHeight="1" x14ac:dyDescent="0.2"/>
    <row r="21130" ht="9.9499999999999993" hidden="1" customHeight="1" x14ac:dyDescent="0.2"/>
    <row r="21131" ht="9.9499999999999993" hidden="1" customHeight="1" x14ac:dyDescent="0.2"/>
    <row r="21132" ht="9.9499999999999993" hidden="1" customHeight="1" x14ac:dyDescent="0.2"/>
    <row r="21133" ht="9.9499999999999993" hidden="1" customHeight="1" x14ac:dyDescent="0.2"/>
    <row r="21134" ht="9.9499999999999993" hidden="1" customHeight="1" x14ac:dyDescent="0.2"/>
    <row r="21135" ht="9.9499999999999993" hidden="1" customHeight="1" x14ac:dyDescent="0.2"/>
    <row r="21136" ht="9.9499999999999993" hidden="1" customHeight="1" x14ac:dyDescent="0.2"/>
    <row r="21137" ht="9.9499999999999993" hidden="1" customHeight="1" x14ac:dyDescent="0.2"/>
    <row r="21138" ht="9.9499999999999993" hidden="1" customHeight="1" x14ac:dyDescent="0.2"/>
    <row r="21139" ht="9.9499999999999993" hidden="1" customHeight="1" x14ac:dyDescent="0.2"/>
    <row r="21140" ht="9.9499999999999993" hidden="1" customHeight="1" x14ac:dyDescent="0.2"/>
    <row r="21141" ht="9.9499999999999993" hidden="1" customHeight="1" x14ac:dyDescent="0.2"/>
    <row r="21142" ht="9.9499999999999993" hidden="1" customHeight="1" x14ac:dyDescent="0.2"/>
    <row r="21143" ht="9.9499999999999993" hidden="1" customHeight="1" x14ac:dyDescent="0.2"/>
    <row r="21144" ht="9.9499999999999993" hidden="1" customHeight="1" x14ac:dyDescent="0.2"/>
    <row r="21145" ht="9.9499999999999993" hidden="1" customHeight="1" x14ac:dyDescent="0.2"/>
    <row r="21146" ht="9.9499999999999993" hidden="1" customHeight="1" x14ac:dyDescent="0.2"/>
    <row r="21147" ht="9.9499999999999993" hidden="1" customHeight="1" x14ac:dyDescent="0.2"/>
    <row r="21148" ht="9.9499999999999993" hidden="1" customHeight="1" x14ac:dyDescent="0.2"/>
    <row r="21149" ht="9.9499999999999993" hidden="1" customHeight="1" x14ac:dyDescent="0.2"/>
    <row r="21150" ht="9.9499999999999993" hidden="1" customHeight="1" x14ac:dyDescent="0.2"/>
    <row r="21151" ht="9.9499999999999993" hidden="1" customHeight="1" x14ac:dyDescent="0.2"/>
    <row r="21152" ht="9.9499999999999993" hidden="1" customHeight="1" x14ac:dyDescent="0.2"/>
    <row r="21153" ht="9.9499999999999993" hidden="1" customHeight="1" x14ac:dyDescent="0.2"/>
    <row r="21154" ht="9.9499999999999993" hidden="1" customHeight="1" x14ac:dyDescent="0.2"/>
    <row r="21155" ht="9.9499999999999993" hidden="1" customHeight="1" x14ac:dyDescent="0.2"/>
    <row r="21156" ht="9.9499999999999993" hidden="1" customHeight="1" x14ac:dyDescent="0.2"/>
    <row r="21157" ht="9.9499999999999993" hidden="1" customHeight="1" x14ac:dyDescent="0.2"/>
    <row r="21158" ht="9.9499999999999993" hidden="1" customHeight="1" x14ac:dyDescent="0.2"/>
    <row r="21159" ht="9.9499999999999993" hidden="1" customHeight="1" x14ac:dyDescent="0.2"/>
    <row r="21160" ht="9.9499999999999993" hidden="1" customHeight="1" x14ac:dyDescent="0.2"/>
    <row r="21161" ht="9.9499999999999993" hidden="1" customHeight="1" x14ac:dyDescent="0.2"/>
    <row r="21162" ht="9.9499999999999993" hidden="1" customHeight="1" x14ac:dyDescent="0.2"/>
    <row r="21163" ht="9.9499999999999993" hidden="1" customHeight="1" x14ac:dyDescent="0.2"/>
    <row r="21164" ht="9.9499999999999993" hidden="1" customHeight="1" x14ac:dyDescent="0.2"/>
    <row r="21165" ht="9.9499999999999993" hidden="1" customHeight="1" x14ac:dyDescent="0.2"/>
    <row r="21166" ht="9.9499999999999993" hidden="1" customHeight="1" x14ac:dyDescent="0.2"/>
    <row r="21167" ht="9.9499999999999993" hidden="1" customHeight="1" x14ac:dyDescent="0.2"/>
    <row r="21168" ht="9.9499999999999993" hidden="1" customHeight="1" x14ac:dyDescent="0.2"/>
    <row r="21169" ht="9.9499999999999993" hidden="1" customHeight="1" x14ac:dyDescent="0.2"/>
    <row r="21170" ht="9.9499999999999993" hidden="1" customHeight="1" x14ac:dyDescent="0.2"/>
    <row r="21171" ht="9.9499999999999993" hidden="1" customHeight="1" x14ac:dyDescent="0.2"/>
    <row r="21172" ht="9.9499999999999993" hidden="1" customHeight="1" x14ac:dyDescent="0.2"/>
    <row r="21173" ht="9.9499999999999993" hidden="1" customHeight="1" x14ac:dyDescent="0.2"/>
    <row r="21174" ht="9.9499999999999993" hidden="1" customHeight="1" x14ac:dyDescent="0.2"/>
    <row r="21175" ht="9.9499999999999993" hidden="1" customHeight="1" x14ac:dyDescent="0.2"/>
    <row r="21176" ht="9.9499999999999993" hidden="1" customHeight="1" x14ac:dyDescent="0.2"/>
    <row r="21177" ht="9.9499999999999993" hidden="1" customHeight="1" x14ac:dyDescent="0.2"/>
    <row r="21178" ht="9.9499999999999993" hidden="1" customHeight="1" x14ac:dyDescent="0.2"/>
    <row r="21179" ht="9.9499999999999993" hidden="1" customHeight="1" x14ac:dyDescent="0.2"/>
    <row r="21180" ht="9.9499999999999993" hidden="1" customHeight="1" x14ac:dyDescent="0.2"/>
    <row r="21181" ht="9.9499999999999993" hidden="1" customHeight="1" x14ac:dyDescent="0.2"/>
    <row r="21182" ht="9.9499999999999993" hidden="1" customHeight="1" x14ac:dyDescent="0.2"/>
    <row r="21183" ht="9.9499999999999993" hidden="1" customHeight="1" x14ac:dyDescent="0.2"/>
    <row r="21184" ht="9.9499999999999993" hidden="1" customHeight="1" x14ac:dyDescent="0.2"/>
    <row r="21185" ht="9.9499999999999993" hidden="1" customHeight="1" x14ac:dyDescent="0.2"/>
    <row r="21186" ht="9.9499999999999993" hidden="1" customHeight="1" x14ac:dyDescent="0.2"/>
    <row r="21187" ht="9.9499999999999993" hidden="1" customHeight="1" x14ac:dyDescent="0.2"/>
    <row r="21188" ht="9.9499999999999993" hidden="1" customHeight="1" x14ac:dyDescent="0.2"/>
    <row r="21189" ht="9.9499999999999993" hidden="1" customHeight="1" x14ac:dyDescent="0.2"/>
    <row r="21190" ht="9.9499999999999993" hidden="1" customHeight="1" x14ac:dyDescent="0.2"/>
    <row r="21191" ht="9.9499999999999993" hidden="1" customHeight="1" x14ac:dyDescent="0.2"/>
    <row r="21192" ht="9.9499999999999993" hidden="1" customHeight="1" x14ac:dyDescent="0.2"/>
    <row r="21193" ht="9.9499999999999993" hidden="1" customHeight="1" x14ac:dyDescent="0.2"/>
    <row r="21194" ht="9.9499999999999993" hidden="1" customHeight="1" x14ac:dyDescent="0.2"/>
    <row r="21195" ht="9.9499999999999993" hidden="1" customHeight="1" x14ac:dyDescent="0.2"/>
    <row r="21196" ht="9.9499999999999993" hidden="1" customHeight="1" x14ac:dyDescent="0.2"/>
    <row r="21197" ht="9.9499999999999993" hidden="1" customHeight="1" x14ac:dyDescent="0.2"/>
    <row r="21198" ht="9.9499999999999993" hidden="1" customHeight="1" x14ac:dyDescent="0.2"/>
    <row r="21199" ht="9.9499999999999993" hidden="1" customHeight="1" x14ac:dyDescent="0.2"/>
    <row r="21200" ht="9.9499999999999993" hidden="1" customHeight="1" x14ac:dyDescent="0.2"/>
    <row r="21201" ht="9.9499999999999993" hidden="1" customHeight="1" x14ac:dyDescent="0.2"/>
    <row r="21202" ht="9.9499999999999993" hidden="1" customHeight="1" x14ac:dyDescent="0.2"/>
    <row r="21203" ht="9.9499999999999993" hidden="1" customHeight="1" x14ac:dyDescent="0.2"/>
    <row r="21204" ht="9.9499999999999993" hidden="1" customHeight="1" x14ac:dyDescent="0.2"/>
    <row r="21205" ht="9.9499999999999993" hidden="1" customHeight="1" x14ac:dyDescent="0.2"/>
    <row r="21206" ht="9.9499999999999993" hidden="1" customHeight="1" x14ac:dyDescent="0.2"/>
    <row r="21207" ht="9.9499999999999993" hidden="1" customHeight="1" x14ac:dyDescent="0.2"/>
    <row r="21208" ht="9.9499999999999993" hidden="1" customHeight="1" x14ac:dyDescent="0.2"/>
    <row r="21209" ht="9.9499999999999993" hidden="1" customHeight="1" x14ac:dyDescent="0.2"/>
    <row r="21210" ht="9.9499999999999993" hidden="1" customHeight="1" x14ac:dyDescent="0.2"/>
    <row r="21211" ht="9.9499999999999993" hidden="1" customHeight="1" x14ac:dyDescent="0.2"/>
    <row r="21212" ht="9.9499999999999993" hidden="1" customHeight="1" x14ac:dyDescent="0.2"/>
    <row r="21213" ht="9.9499999999999993" hidden="1" customHeight="1" x14ac:dyDescent="0.2"/>
    <row r="21214" ht="9.9499999999999993" hidden="1" customHeight="1" x14ac:dyDescent="0.2"/>
    <row r="21215" ht="9.9499999999999993" hidden="1" customHeight="1" x14ac:dyDescent="0.2"/>
    <row r="21216" ht="9.9499999999999993" hidden="1" customHeight="1" x14ac:dyDescent="0.2"/>
    <row r="21217" ht="9.9499999999999993" hidden="1" customHeight="1" x14ac:dyDescent="0.2"/>
    <row r="21218" ht="9.9499999999999993" hidden="1" customHeight="1" x14ac:dyDescent="0.2"/>
    <row r="21219" ht="9.9499999999999993" hidden="1" customHeight="1" x14ac:dyDescent="0.2"/>
    <row r="21220" ht="9.9499999999999993" hidden="1" customHeight="1" x14ac:dyDescent="0.2"/>
    <row r="21221" ht="9.9499999999999993" hidden="1" customHeight="1" x14ac:dyDescent="0.2"/>
    <row r="21222" ht="9.9499999999999993" hidden="1" customHeight="1" x14ac:dyDescent="0.2"/>
    <row r="21223" ht="9.9499999999999993" hidden="1" customHeight="1" x14ac:dyDescent="0.2"/>
    <row r="21224" ht="9.9499999999999993" hidden="1" customHeight="1" x14ac:dyDescent="0.2"/>
    <row r="21225" ht="9.9499999999999993" hidden="1" customHeight="1" x14ac:dyDescent="0.2"/>
    <row r="21226" ht="9.9499999999999993" hidden="1" customHeight="1" x14ac:dyDescent="0.2"/>
    <row r="21227" ht="9.9499999999999993" hidden="1" customHeight="1" x14ac:dyDescent="0.2"/>
    <row r="21228" ht="9.9499999999999993" hidden="1" customHeight="1" x14ac:dyDescent="0.2"/>
    <row r="21229" ht="9.9499999999999993" hidden="1" customHeight="1" x14ac:dyDescent="0.2"/>
    <row r="21230" ht="9.9499999999999993" hidden="1" customHeight="1" x14ac:dyDescent="0.2"/>
    <row r="21231" ht="9.9499999999999993" hidden="1" customHeight="1" x14ac:dyDescent="0.2"/>
    <row r="21232" ht="9.9499999999999993" hidden="1" customHeight="1" x14ac:dyDescent="0.2"/>
    <row r="21233" ht="9.9499999999999993" hidden="1" customHeight="1" x14ac:dyDescent="0.2"/>
    <row r="21234" ht="9.9499999999999993" hidden="1" customHeight="1" x14ac:dyDescent="0.2"/>
    <row r="21235" ht="9.9499999999999993" hidden="1" customHeight="1" x14ac:dyDescent="0.2"/>
    <row r="21236" ht="9.9499999999999993" hidden="1" customHeight="1" x14ac:dyDescent="0.2"/>
    <row r="21237" ht="9.9499999999999993" hidden="1" customHeight="1" x14ac:dyDescent="0.2"/>
    <row r="21238" ht="9.9499999999999993" hidden="1" customHeight="1" x14ac:dyDescent="0.2"/>
    <row r="21239" ht="9.9499999999999993" hidden="1" customHeight="1" x14ac:dyDescent="0.2"/>
    <row r="21240" ht="9.9499999999999993" hidden="1" customHeight="1" x14ac:dyDescent="0.2"/>
    <row r="21241" ht="9.9499999999999993" hidden="1" customHeight="1" x14ac:dyDescent="0.2"/>
    <row r="21242" ht="9.9499999999999993" hidden="1" customHeight="1" x14ac:dyDescent="0.2"/>
    <row r="21243" ht="9.9499999999999993" hidden="1" customHeight="1" x14ac:dyDescent="0.2"/>
    <row r="21244" ht="9.9499999999999993" hidden="1" customHeight="1" x14ac:dyDescent="0.2"/>
    <row r="21245" ht="9.9499999999999993" hidden="1" customHeight="1" x14ac:dyDescent="0.2"/>
    <row r="21246" ht="9.9499999999999993" hidden="1" customHeight="1" x14ac:dyDescent="0.2"/>
    <row r="21247" ht="9.9499999999999993" hidden="1" customHeight="1" x14ac:dyDescent="0.2"/>
    <row r="21248" ht="9.9499999999999993" hidden="1" customHeight="1" x14ac:dyDescent="0.2"/>
    <row r="21249" ht="9.9499999999999993" hidden="1" customHeight="1" x14ac:dyDescent="0.2"/>
    <row r="21250" ht="9.9499999999999993" hidden="1" customHeight="1" x14ac:dyDescent="0.2"/>
    <row r="21251" ht="9.9499999999999993" hidden="1" customHeight="1" x14ac:dyDescent="0.2"/>
    <row r="21252" ht="9.9499999999999993" hidden="1" customHeight="1" x14ac:dyDescent="0.2"/>
    <row r="21253" ht="9.9499999999999993" hidden="1" customHeight="1" x14ac:dyDescent="0.2"/>
    <row r="21254" ht="9.9499999999999993" hidden="1" customHeight="1" x14ac:dyDescent="0.2"/>
    <row r="21255" ht="9.9499999999999993" hidden="1" customHeight="1" x14ac:dyDescent="0.2"/>
    <row r="21256" ht="9.9499999999999993" hidden="1" customHeight="1" x14ac:dyDescent="0.2"/>
    <row r="21257" ht="9.9499999999999993" hidden="1" customHeight="1" x14ac:dyDescent="0.2"/>
    <row r="21258" ht="9.9499999999999993" hidden="1" customHeight="1" x14ac:dyDescent="0.2"/>
    <row r="21259" ht="9.9499999999999993" hidden="1" customHeight="1" x14ac:dyDescent="0.2"/>
    <row r="21260" ht="9.9499999999999993" hidden="1" customHeight="1" x14ac:dyDescent="0.2"/>
    <row r="21261" ht="9.9499999999999993" hidden="1" customHeight="1" x14ac:dyDescent="0.2"/>
    <row r="21262" ht="9.9499999999999993" hidden="1" customHeight="1" x14ac:dyDescent="0.2"/>
    <row r="21263" ht="9.9499999999999993" hidden="1" customHeight="1" x14ac:dyDescent="0.2"/>
    <row r="21264" ht="9.9499999999999993" hidden="1" customHeight="1" x14ac:dyDescent="0.2"/>
    <row r="21265" ht="9.9499999999999993" hidden="1" customHeight="1" x14ac:dyDescent="0.2"/>
    <row r="21266" ht="9.9499999999999993" hidden="1" customHeight="1" x14ac:dyDescent="0.2"/>
    <row r="21267" ht="9.9499999999999993" hidden="1" customHeight="1" x14ac:dyDescent="0.2"/>
    <row r="21268" ht="9.9499999999999993" hidden="1" customHeight="1" x14ac:dyDescent="0.2"/>
    <row r="21269" ht="9.9499999999999993" hidden="1" customHeight="1" x14ac:dyDescent="0.2"/>
    <row r="21270" ht="9.9499999999999993" hidden="1" customHeight="1" x14ac:dyDescent="0.2"/>
    <row r="21271" ht="9.9499999999999993" hidden="1" customHeight="1" x14ac:dyDescent="0.2"/>
    <row r="21272" ht="9.9499999999999993" hidden="1" customHeight="1" x14ac:dyDescent="0.2"/>
    <row r="21273" ht="9.9499999999999993" hidden="1" customHeight="1" x14ac:dyDescent="0.2"/>
    <row r="21274" ht="9.9499999999999993" hidden="1" customHeight="1" x14ac:dyDescent="0.2"/>
    <row r="21275" ht="9.9499999999999993" hidden="1" customHeight="1" x14ac:dyDescent="0.2"/>
    <row r="21276" ht="9.9499999999999993" hidden="1" customHeight="1" x14ac:dyDescent="0.2"/>
    <row r="21277" ht="9.9499999999999993" hidden="1" customHeight="1" x14ac:dyDescent="0.2"/>
    <row r="21278" ht="9.9499999999999993" hidden="1" customHeight="1" x14ac:dyDescent="0.2"/>
    <row r="21279" ht="9.9499999999999993" hidden="1" customHeight="1" x14ac:dyDescent="0.2"/>
    <row r="21280" ht="9.9499999999999993" hidden="1" customHeight="1" x14ac:dyDescent="0.2"/>
    <row r="21281" ht="9.9499999999999993" hidden="1" customHeight="1" x14ac:dyDescent="0.2"/>
    <row r="21282" ht="9.9499999999999993" hidden="1" customHeight="1" x14ac:dyDescent="0.2"/>
    <row r="21283" ht="9.9499999999999993" hidden="1" customHeight="1" x14ac:dyDescent="0.2"/>
    <row r="21284" ht="9.9499999999999993" hidden="1" customHeight="1" x14ac:dyDescent="0.2"/>
    <row r="21285" ht="9.9499999999999993" hidden="1" customHeight="1" x14ac:dyDescent="0.2"/>
    <row r="21286" ht="9.9499999999999993" hidden="1" customHeight="1" x14ac:dyDescent="0.2"/>
    <row r="21287" ht="9.9499999999999993" hidden="1" customHeight="1" x14ac:dyDescent="0.2"/>
    <row r="21288" ht="9.9499999999999993" hidden="1" customHeight="1" x14ac:dyDescent="0.2"/>
    <row r="21289" ht="9.9499999999999993" hidden="1" customHeight="1" x14ac:dyDescent="0.2"/>
    <row r="21290" ht="9.9499999999999993" hidden="1" customHeight="1" x14ac:dyDescent="0.2"/>
    <row r="21291" ht="9.9499999999999993" hidden="1" customHeight="1" x14ac:dyDescent="0.2"/>
    <row r="21292" ht="9.9499999999999993" hidden="1" customHeight="1" x14ac:dyDescent="0.2"/>
    <row r="21293" ht="9.9499999999999993" hidden="1" customHeight="1" x14ac:dyDescent="0.2"/>
    <row r="21294" ht="9.9499999999999993" hidden="1" customHeight="1" x14ac:dyDescent="0.2"/>
    <row r="21295" ht="9.9499999999999993" hidden="1" customHeight="1" x14ac:dyDescent="0.2"/>
    <row r="21296" ht="9.9499999999999993" hidden="1" customHeight="1" x14ac:dyDescent="0.2"/>
    <row r="21297" ht="9.9499999999999993" hidden="1" customHeight="1" x14ac:dyDescent="0.2"/>
    <row r="21298" ht="9.9499999999999993" hidden="1" customHeight="1" x14ac:dyDescent="0.2"/>
    <row r="21299" ht="9.9499999999999993" hidden="1" customHeight="1" x14ac:dyDescent="0.2"/>
    <row r="21300" ht="9.9499999999999993" hidden="1" customHeight="1" x14ac:dyDescent="0.2"/>
    <row r="21301" ht="9.9499999999999993" hidden="1" customHeight="1" x14ac:dyDescent="0.2"/>
    <row r="21302" ht="9.9499999999999993" hidden="1" customHeight="1" x14ac:dyDescent="0.2"/>
    <row r="21303" ht="9.9499999999999993" hidden="1" customHeight="1" x14ac:dyDescent="0.2"/>
    <row r="21304" ht="9.9499999999999993" hidden="1" customHeight="1" x14ac:dyDescent="0.2"/>
    <row r="21305" ht="9.9499999999999993" hidden="1" customHeight="1" x14ac:dyDescent="0.2"/>
    <row r="21306" ht="9.9499999999999993" hidden="1" customHeight="1" x14ac:dyDescent="0.2"/>
    <row r="21307" ht="9.9499999999999993" hidden="1" customHeight="1" x14ac:dyDescent="0.2"/>
    <row r="21308" ht="9.9499999999999993" hidden="1" customHeight="1" x14ac:dyDescent="0.2"/>
    <row r="21309" ht="9.9499999999999993" hidden="1" customHeight="1" x14ac:dyDescent="0.2"/>
    <row r="21310" ht="9.9499999999999993" hidden="1" customHeight="1" x14ac:dyDescent="0.2"/>
    <row r="21311" ht="9.9499999999999993" hidden="1" customHeight="1" x14ac:dyDescent="0.2"/>
    <row r="21312" ht="9.9499999999999993" hidden="1" customHeight="1" x14ac:dyDescent="0.2"/>
    <row r="21313" ht="9.9499999999999993" hidden="1" customHeight="1" x14ac:dyDescent="0.2"/>
    <row r="21314" ht="9.9499999999999993" hidden="1" customHeight="1" x14ac:dyDescent="0.2"/>
    <row r="21315" ht="9.9499999999999993" hidden="1" customHeight="1" x14ac:dyDescent="0.2"/>
    <row r="21316" ht="9.9499999999999993" hidden="1" customHeight="1" x14ac:dyDescent="0.2"/>
    <row r="21317" ht="9.9499999999999993" hidden="1" customHeight="1" x14ac:dyDescent="0.2"/>
    <row r="21318" ht="9.9499999999999993" hidden="1" customHeight="1" x14ac:dyDescent="0.2"/>
    <row r="21319" ht="9.9499999999999993" hidden="1" customHeight="1" x14ac:dyDescent="0.2"/>
    <row r="21320" ht="9.9499999999999993" hidden="1" customHeight="1" x14ac:dyDescent="0.2"/>
    <row r="21321" ht="9.9499999999999993" hidden="1" customHeight="1" x14ac:dyDescent="0.2"/>
    <row r="21322" ht="9.9499999999999993" hidden="1" customHeight="1" x14ac:dyDescent="0.2"/>
    <row r="21323" ht="9.9499999999999993" hidden="1" customHeight="1" x14ac:dyDescent="0.2"/>
    <row r="21324" ht="9.9499999999999993" hidden="1" customHeight="1" x14ac:dyDescent="0.2"/>
    <row r="21325" ht="9.9499999999999993" hidden="1" customHeight="1" x14ac:dyDescent="0.2"/>
    <row r="21326" ht="9.9499999999999993" hidden="1" customHeight="1" x14ac:dyDescent="0.2"/>
    <row r="21327" ht="9.9499999999999993" hidden="1" customHeight="1" x14ac:dyDescent="0.2"/>
    <row r="21328" ht="9.9499999999999993" hidden="1" customHeight="1" x14ac:dyDescent="0.2"/>
    <row r="21329" ht="9.9499999999999993" hidden="1" customHeight="1" x14ac:dyDescent="0.2"/>
    <row r="21330" ht="9.9499999999999993" hidden="1" customHeight="1" x14ac:dyDescent="0.2"/>
    <row r="21331" ht="9.9499999999999993" hidden="1" customHeight="1" x14ac:dyDescent="0.2"/>
    <row r="21332" ht="9.9499999999999993" hidden="1" customHeight="1" x14ac:dyDescent="0.2"/>
    <row r="21333" ht="9.9499999999999993" hidden="1" customHeight="1" x14ac:dyDescent="0.2"/>
    <row r="21334" ht="9.9499999999999993" hidden="1" customHeight="1" x14ac:dyDescent="0.2"/>
    <row r="21335" ht="9.9499999999999993" hidden="1" customHeight="1" x14ac:dyDescent="0.2"/>
    <row r="21336" ht="9.9499999999999993" hidden="1" customHeight="1" x14ac:dyDescent="0.2"/>
    <row r="21337" ht="9.9499999999999993" hidden="1" customHeight="1" x14ac:dyDescent="0.2"/>
    <row r="21338" ht="9.9499999999999993" hidden="1" customHeight="1" x14ac:dyDescent="0.2"/>
    <row r="21339" ht="9.9499999999999993" hidden="1" customHeight="1" x14ac:dyDescent="0.2"/>
    <row r="21340" ht="9.9499999999999993" hidden="1" customHeight="1" x14ac:dyDescent="0.2"/>
    <row r="21341" ht="9.9499999999999993" hidden="1" customHeight="1" x14ac:dyDescent="0.2"/>
    <row r="21342" ht="9.9499999999999993" hidden="1" customHeight="1" x14ac:dyDescent="0.2"/>
    <row r="21343" ht="9.9499999999999993" hidden="1" customHeight="1" x14ac:dyDescent="0.2"/>
    <row r="21344" ht="9.9499999999999993" hidden="1" customHeight="1" x14ac:dyDescent="0.2"/>
    <row r="21345" ht="9.9499999999999993" hidden="1" customHeight="1" x14ac:dyDescent="0.2"/>
    <row r="21346" ht="9.9499999999999993" hidden="1" customHeight="1" x14ac:dyDescent="0.2"/>
    <row r="21347" ht="9.9499999999999993" hidden="1" customHeight="1" x14ac:dyDescent="0.2"/>
    <row r="21348" ht="9.9499999999999993" hidden="1" customHeight="1" x14ac:dyDescent="0.2"/>
    <row r="21349" ht="9.9499999999999993" hidden="1" customHeight="1" x14ac:dyDescent="0.2"/>
    <row r="21350" ht="9.9499999999999993" hidden="1" customHeight="1" x14ac:dyDescent="0.2"/>
    <row r="21351" ht="9.9499999999999993" hidden="1" customHeight="1" x14ac:dyDescent="0.2"/>
    <row r="21352" ht="9.9499999999999993" hidden="1" customHeight="1" x14ac:dyDescent="0.2"/>
    <row r="21353" ht="9.9499999999999993" hidden="1" customHeight="1" x14ac:dyDescent="0.2"/>
    <row r="21354" ht="9.9499999999999993" hidden="1" customHeight="1" x14ac:dyDescent="0.2"/>
    <row r="21355" ht="9.9499999999999993" hidden="1" customHeight="1" x14ac:dyDescent="0.2"/>
    <row r="21356" ht="9.9499999999999993" hidden="1" customHeight="1" x14ac:dyDescent="0.2"/>
    <row r="21357" ht="9.9499999999999993" hidden="1" customHeight="1" x14ac:dyDescent="0.2"/>
    <row r="21358" ht="9.9499999999999993" hidden="1" customHeight="1" x14ac:dyDescent="0.2"/>
    <row r="21359" ht="9.9499999999999993" hidden="1" customHeight="1" x14ac:dyDescent="0.2"/>
    <row r="21360" ht="9.9499999999999993" hidden="1" customHeight="1" x14ac:dyDescent="0.2"/>
    <row r="21361" ht="9.9499999999999993" hidden="1" customHeight="1" x14ac:dyDescent="0.2"/>
    <row r="21362" ht="9.9499999999999993" hidden="1" customHeight="1" x14ac:dyDescent="0.2"/>
    <row r="21363" ht="9.9499999999999993" hidden="1" customHeight="1" x14ac:dyDescent="0.2"/>
    <row r="21364" ht="9.9499999999999993" hidden="1" customHeight="1" x14ac:dyDescent="0.2"/>
    <row r="21365" ht="9.9499999999999993" hidden="1" customHeight="1" x14ac:dyDescent="0.2"/>
    <row r="21366" ht="9.9499999999999993" hidden="1" customHeight="1" x14ac:dyDescent="0.2"/>
    <row r="21367" ht="9.9499999999999993" hidden="1" customHeight="1" x14ac:dyDescent="0.2"/>
    <row r="21368" ht="9.9499999999999993" hidden="1" customHeight="1" x14ac:dyDescent="0.2"/>
    <row r="21369" ht="9.9499999999999993" hidden="1" customHeight="1" x14ac:dyDescent="0.2"/>
    <row r="21370" ht="9.9499999999999993" hidden="1" customHeight="1" x14ac:dyDescent="0.2"/>
    <row r="21371" ht="9.9499999999999993" hidden="1" customHeight="1" x14ac:dyDescent="0.2"/>
    <row r="21372" ht="9.9499999999999993" hidden="1" customHeight="1" x14ac:dyDescent="0.2"/>
    <row r="21373" ht="9.9499999999999993" hidden="1" customHeight="1" x14ac:dyDescent="0.2"/>
    <row r="21374" ht="9.9499999999999993" hidden="1" customHeight="1" x14ac:dyDescent="0.2"/>
    <row r="21375" ht="9.9499999999999993" hidden="1" customHeight="1" x14ac:dyDescent="0.2"/>
    <row r="21376" ht="9.9499999999999993" hidden="1" customHeight="1" x14ac:dyDescent="0.2"/>
    <row r="21377" ht="9.9499999999999993" hidden="1" customHeight="1" x14ac:dyDescent="0.2"/>
    <row r="21378" ht="9.9499999999999993" hidden="1" customHeight="1" x14ac:dyDescent="0.2"/>
    <row r="21379" ht="9.9499999999999993" hidden="1" customHeight="1" x14ac:dyDescent="0.2"/>
    <row r="21380" ht="9.9499999999999993" hidden="1" customHeight="1" x14ac:dyDescent="0.2"/>
    <row r="21381" ht="9.9499999999999993" hidden="1" customHeight="1" x14ac:dyDescent="0.2"/>
    <row r="21382" ht="9.9499999999999993" hidden="1" customHeight="1" x14ac:dyDescent="0.2"/>
    <row r="21383" ht="9.9499999999999993" hidden="1" customHeight="1" x14ac:dyDescent="0.2"/>
    <row r="21384" ht="9.9499999999999993" hidden="1" customHeight="1" x14ac:dyDescent="0.2"/>
    <row r="21385" ht="9.9499999999999993" hidden="1" customHeight="1" x14ac:dyDescent="0.2"/>
    <row r="21386" ht="9.9499999999999993" hidden="1" customHeight="1" x14ac:dyDescent="0.2"/>
    <row r="21387" ht="9.9499999999999993" hidden="1" customHeight="1" x14ac:dyDescent="0.2"/>
    <row r="21388" ht="9.9499999999999993" hidden="1" customHeight="1" x14ac:dyDescent="0.2"/>
    <row r="21389" ht="9.9499999999999993" hidden="1" customHeight="1" x14ac:dyDescent="0.2"/>
    <row r="21390" ht="9.9499999999999993" hidden="1" customHeight="1" x14ac:dyDescent="0.2"/>
    <row r="21391" ht="9.9499999999999993" hidden="1" customHeight="1" x14ac:dyDescent="0.2"/>
    <row r="21392" ht="9.9499999999999993" hidden="1" customHeight="1" x14ac:dyDescent="0.2"/>
    <row r="21393" ht="9.9499999999999993" hidden="1" customHeight="1" x14ac:dyDescent="0.2"/>
    <row r="21394" ht="9.9499999999999993" hidden="1" customHeight="1" x14ac:dyDescent="0.2"/>
    <row r="21395" ht="9.9499999999999993" hidden="1" customHeight="1" x14ac:dyDescent="0.2"/>
    <row r="21396" ht="9.9499999999999993" hidden="1" customHeight="1" x14ac:dyDescent="0.2"/>
    <row r="21397" ht="9.9499999999999993" hidden="1" customHeight="1" x14ac:dyDescent="0.2"/>
    <row r="21398" ht="9.9499999999999993" hidden="1" customHeight="1" x14ac:dyDescent="0.2"/>
    <row r="21399" ht="9.9499999999999993" hidden="1" customHeight="1" x14ac:dyDescent="0.2"/>
    <row r="21400" ht="9.9499999999999993" hidden="1" customHeight="1" x14ac:dyDescent="0.2"/>
    <row r="21401" ht="9.9499999999999993" hidden="1" customHeight="1" x14ac:dyDescent="0.2"/>
    <row r="21402" ht="9.9499999999999993" hidden="1" customHeight="1" x14ac:dyDescent="0.2"/>
    <row r="21403" ht="9.9499999999999993" hidden="1" customHeight="1" x14ac:dyDescent="0.2"/>
    <row r="21404" ht="9.9499999999999993" hidden="1" customHeight="1" x14ac:dyDescent="0.2"/>
    <row r="21405" ht="9.9499999999999993" hidden="1" customHeight="1" x14ac:dyDescent="0.2"/>
    <row r="21406" ht="9.9499999999999993" hidden="1" customHeight="1" x14ac:dyDescent="0.2"/>
    <row r="21407" ht="9.9499999999999993" hidden="1" customHeight="1" x14ac:dyDescent="0.2"/>
    <row r="21408" ht="9.9499999999999993" hidden="1" customHeight="1" x14ac:dyDescent="0.2"/>
    <row r="21409" ht="9.9499999999999993" hidden="1" customHeight="1" x14ac:dyDescent="0.2"/>
    <row r="21410" ht="9.9499999999999993" hidden="1" customHeight="1" x14ac:dyDescent="0.2"/>
    <row r="21411" ht="9.9499999999999993" hidden="1" customHeight="1" x14ac:dyDescent="0.2"/>
    <row r="21412" ht="9.9499999999999993" hidden="1" customHeight="1" x14ac:dyDescent="0.2"/>
    <row r="21413" ht="9.9499999999999993" hidden="1" customHeight="1" x14ac:dyDescent="0.2"/>
    <row r="21414" ht="9.9499999999999993" hidden="1" customHeight="1" x14ac:dyDescent="0.2"/>
    <row r="21415" ht="9.9499999999999993" hidden="1" customHeight="1" x14ac:dyDescent="0.2"/>
    <row r="21416" ht="9.9499999999999993" hidden="1" customHeight="1" x14ac:dyDescent="0.2"/>
    <row r="21417" ht="9.9499999999999993" hidden="1" customHeight="1" x14ac:dyDescent="0.2"/>
    <row r="21418" ht="9.9499999999999993" hidden="1" customHeight="1" x14ac:dyDescent="0.2"/>
    <row r="21419" ht="9.9499999999999993" hidden="1" customHeight="1" x14ac:dyDescent="0.2"/>
    <row r="21420" ht="9.9499999999999993" hidden="1" customHeight="1" x14ac:dyDescent="0.2"/>
    <row r="21421" ht="9.9499999999999993" hidden="1" customHeight="1" x14ac:dyDescent="0.2"/>
    <row r="21422" ht="9.9499999999999993" hidden="1" customHeight="1" x14ac:dyDescent="0.2"/>
    <row r="21423" ht="9.9499999999999993" hidden="1" customHeight="1" x14ac:dyDescent="0.2"/>
    <row r="21424" ht="9.9499999999999993" hidden="1" customHeight="1" x14ac:dyDescent="0.2"/>
    <row r="21425" ht="9.9499999999999993" hidden="1" customHeight="1" x14ac:dyDescent="0.2"/>
    <row r="21426" ht="9.9499999999999993" hidden="1" customHeight="1" x14ac:dyDescent="0.2"/>
    <row r="21427" ht="9.9499999999999993" hidden="1" customHeight="1" x14ac:dyDescent="0.2"/>
    <row r="21428" ht="9.9499999999999993" hidden="1" customHeight="1" x14ac:dyDescent="0.2"/>
    <row r="21429" ht="9.9499999999999993" hidden="1" customHeight="1" x14ac:dyDescent="0.2"/>
    <row r="21430" ht="9.9499999999999993" hidden="1" customHeight="1" x14ac:dyDescent="0.2"/>
    <row r="21431" ht="9.9499999999999993" hidden="1" customHeight="1" x14ac:dyDescent="0.2"/>
    <row r="21432" ht="9.9499999999999993" hidden="1" customHeight="1" x14ac:dyDescent="0.2"/>
    <row r="21433" ht="9.9499999999999993" hidden="1" customHeight="1" x14ac:dyDescent="0.2"/>
    <row r="21434" ht="9.9499999999999993" hidden="1" customHeight="1" x14ac:dyDescent="0.2"/>
    <row r="21435" ht="9.9499999999999993" hidden="1" customHeight="1" x14ac:dyDescent="0.2"/>
    <row r="21436" ht="9.9499999999999993" hidden="1" customHeight="1" x14ac:dyDescent="0.2"/>
    <row r="21437" ht="9.9499999999999993" hidden="1" customHeight="1" x14ac:dyDescent="0.2"/>
    <row r="21438" ht="9.9499999999999993" hidden="1" customHeight="1" x14ac:dyDescent="0.2"/>
    <row r="21439" ht="9.9499999999999993" hidden="1" customHeight="1" x14ac:dyDescent="0.2"/>
    <row r="21440" ht="9.9499999999999993" hidden="1" customHeight="1" x14ac:dyDescent="0.2"/>
    <row r="21441" ht="9.9499999999999993" hidden="1" customHeight="1" x14ac:dyDescent="0.2"/>
    <row r="21442" ht="9.9499999999999993" hidden="1" customHeight="1" x14ac:dyDescent="0.2"/>
    <row r="21443" ht="9.9499999999999993" hidden="1" customHeight="1" x14ac:dyDescent="0.2"/>
    <row r="21444" ht="9.9499999999999993" hidden="1" customHeight="1" x14ac:dyDescent="0.2"/>
    <row r="21445" ht="9.9499999999999993" hidden="1" customHeight="1" x14ac:dyDescent="0.2"/>
    <row r="21446" ht="9.9499999999999993" hidden="1" customHeight="1" x14ac:dyDescent="0.2"/>
    <row r="21447" ht="9.9499999999999993" hidden="1" customHeight="1" x14ac:dyDescent="0.2"/>
    <row r="21448" ht="9.9499999999999993" hidden="1" customHeight="1" x14ac:dyDescent="0.2"/>
    <row r="21449" ht="9.9499999999999993" hidden="1" customHeight="1" x14ac:dyDescent="0.2"/>
    <row r="21450" ht="9.9499999999999993" hidden="1" customHeight="1" x14ac:dyDescent="0.2"/>
    <row r="21451" ht="9.9499999999999993" hidden="1" customHeight="1" x14ac:dyDescent="0.2"/>
    <row r="21452" ht="9.9499999999999993" hidden="1" customHeight="1" x14ac:dyDescent="0.2"/>
    <row r="21453" ht="9.9499999999999993" hidden="1" customHeight="1" x14ac:dyDescent="0.2"/>
    <row r="21454" ht="9.9499999999999993" hidden="1" customHeight="1" x14ac:dyDescent="0.2"/>
    <row r="21455" ht="9.9499999999999993" hidden="1" customHeight="1" x14ac:dyDescent="0.2"/>
    <row r="21456" ht="9.9499999999999993" hidden="1" customHeight="1" x14ac:dyDescent="0.2"/>
    <row r="21457" ht="9.9499999999999993" hidden="1" customHeight="1" x14ac:dyDescent="0.2"/>
    <row r="21458" ht="9.9499999999999993" hidden="1" customHeight="1" x14ac:dyDescent="0.2"/>
    <row r="21459" ht="9.9499999999999993" hidden="1" customHeight="1" x14ac:dyDescent="0.2"/>
    <row r="21460" ht="9.9499999999999993" hidden="1" customHeight="1" x14ac:dyDescent="0.2"/>
    <row r="21461" ht="9.9499999999999993" hidden="1" customHeight="1" x14ac:dyDescent="0.2"/>
    <row r="21462" ht="9.9499999999999993" hidden="1" customHeight="1" x14ac:dyDescent="0.2"/>
    <row r="21463" ht="9.9499999999999993" hidden="1" customHeight="1" x14ac:dyDescent="0.2"/>
    <row r="21464" ht="9.9499999999999993" hidden="1" customHeight="1" x14ac:dyDescent="0.2"/>
    <row r="21465" ht="9.9499999999999993" hidden="1" customHeight="1" x14ac:dyDescent="0.2"/>
    <row r="21466" ht="9.9499999999999993" hidden="1" customHeight="1" x14ac:dyDescent="0.2"/>
    <row r="21467" ht="9.9499999999999993" hidden="1" customHeight="1" x14ac:dyDescent="0.2"/>
    <row r="21468" ht="9.9499999999999993" hidden="1" customHeight="1" x14ac:dyDescent="0.2"/>
    <row r="21469" ht="9.9499999999999993" hidden="1" customHeight="1" x14ac:dyDescent="0.2"/>
    <row r="21470" ht="9.9499999999999993" hidden="1" customHeight="1" x14ac:dyDescent="0.2"/>
    <row r="21471" ht="9.9499999999999993" hidden="1" customHeight="1" x14ac:dyDescent="0.2"/>
    <row r="21472" ht="9.9499999999999993" hidden="1" customHeight="1" x14ac:dyDescent="0.2"/>
    <row r="21473" ht="9.9499999999999993" hidden="1" customHeight="1" x14ac:dyDescent="0.2"/>
    <row r="21474" ht="9.9499999999999993" hidden="1" customHeight="1" x14ac:dyDescent="0.2"/>
    <row r="21475" ht="9.9499999999999993" hidden="1" customHeight="1" x14ac:dyDescent="0.2"/>
    <row r="21476" ht="9.9499999999999993" hidden="1" customHeight="1" x14ac:dyDescent="0.2"/>
    <row r="21477" ht="9.9499999999999993" hidden="1" customHeight="1" x14ac:dyDescent="0.2"/>
    <row r="21478" ht="9.9499999999999993" hidden="1" customHeight="1" x14ac:dyDescent="0.2"/>
    <row r="21479" ht="9.9499999999999993" hidden="1" customHeight="1" x14ac:dyDescent="0.2"/>
    <row r="21480" ht="9.9499999999999993" hidden="1" customHeight="1" x14ac:dyDescent="0.2"/>
    <row r="21481" ht="9.9499999999999993" hidden="1" customHeight="1" x14ac:dyDescent="0.2"/>
    <row r="21482" ht="9.9499999999999993" hidden="1" customHeight="1" x14ac:dyDescent="0.2"/>
    <row r="21483" ht="9.9499999999999993" hidden="1" customHeight="1" x14ac:dyDescent="0.2"/>
    <row r="21484" ht="9.9499999999999993" hidden="1" customHeight="1" x14ac:dyDescent="0.2"/>
    <row r="21485" ht="9.9499999999999993" hidden="1" customHeight="1" x14ac:dyDescent="0.2"/>
    <row r="21486" ht="9.9499999999999993" hidden="1" customHeight="1" x14ac:dyDescent="0.2"/>
    <row r="21487" ht="9.9499999999999993" hidden="1" customHeight="1" x14ac:dyDescent="0.2"/>
    <row r="21488" ht="9.9499999999999993" hidden="1" customHeight="1" x14ac:dyDescent="0.2"/>
    <row r="21489" ht="9.9499999999999993" hidden="1" customHeight="1" x14ac:dyDescent="0.2"/>
    <row r="21490" ht="9.9499999999999993" hidden="1" customHeight="1" x14ac:dyDescent="0.2"/>
    <row r="21491" ht="9.9499999999999993" hidden="1" customHeight="1" x14ac:dyDescent="0.2"/>
    <row r="21492" ht="9.9499999999999993" hidden="1" customHeight="1" x14ac:dyDescent="0.2"/>
    <row r="21493" ht="9.9499999999999993" hidden="1" customHeight="1" x14ac:dyDescent="0.2"/>
    <row r="21494" ht="9.9499999999999993" hidden="1" customHeight="1" x14ac:dyDescent="0.2"/>
    <row r="21495" ht="9.9499999999999993" hidden="1" customHeight="1" x14ac:dyDescent="0.2"/>
    <row r="21496" ht="9.9499999999999993" hidden="1" customHeight="1" x14ac:dyDescent="0.2"/>
    <row r="21497" ht="9.9499999999999993" hidden="1" customHeight="1" x14ac:dyDescent="0.2"/>
    <row r="21498" ht="9.9499999999999993" hidden="1" customHeight="1" x14ac:dyDescent="0.2"/>
    <row r="21499" ht="9.9499999999999993" hidden="1" customHeight="1" x14ac:dyDescent="0.2"/>
    <row r="21500" ht="9.9499999999999993" hidden="1" customHeight="1" x14ac:dyDescent="0.2"/>
    <row r="21501" ht="9.9499999999999993" hidden="1" customHeight="1" x14ac:dyDescent="0.2"/>
    <row r="21502" ht="9.9499999999999993" hidden="1" customHeight="1" x14ac:dyDescent="0.2"/>
    <row r="21503" ht="9.9499999999999993" hidden="1" customHeight="1" x14ac:dyDescent="0.2"/>
    <row r="21504" ht="9.9499999999999993" hidden="1" customHeight="1" x14ac:dyDescent="0.2"/>
    <row r="21505" ht="9.9499999999999993" hidden="1" customHeight="1" x14ac:dyDescent="0.2"/>
    <row r="21506" ht="9.9499999999999993" hidden="1" customHeight="1" x14ac:dyDescent="0.2"/>
    <row r="21507" ht="9.9499999999999993" hidden="1" customHeight="1" x14ac:dyDescent="0.2"/>
    <row r="21508" ht="9.9499999999999993" hidden="1" customHeight="1" x14ac:dyDescent="0.2"/>
    <row r="21509" ht="9.9499999999999993" hidden="1" customHeight="1" x14ac:dyDescent="0.2"/>
    <row r="21510" ht="9.9499999999999993" hidden="1" customHeight="1" x14ac:dyDescent="0.2"/>
    <row r="21511" ht="9.9499999999999993" hidden="1" customHeight="1" x14ac:dyDescent="0.2"/>
    <row r="21512" ht="9.9499999999999993" hidden="1" customHeight="1" x14ac:dyDescent="0.2"/>
    <row r="21513" ht="9.9499999999999993" hidden="1" customHeight="1" x14ac:dyDescent="0.2"/>
    <row r="21514" ht="9.9499999999999993" hidden="1" customHeight="1" x14ac:dyDescent="0.2"/>
    <row r="21515" ht="9.9499999999999993" hidden="1" customHeight="1" x14ac:dyDescent="0.2"/>
    <row r="21516" ht="9.9499999999999993" hidden="1" customHeight="1" x14ac:dyDescent="0.2"/>
    <row r="21517" ht="9.9499999999999993" hidden="1" customHeight="1" x14ac:dyDescent="0.2"/>
    <row r="21518" ht="9.9499999999999993" hidden="1" customHeight="1" x14ac:dyDescent="0.2"/>
    <row r="21519" ht="9.9499999999999993" hidden="1" customHeight="1" x14ac:dyDescent="0.2"/>
    <row r="21520" ht="9.9499999999999993" hidden="1" customHeight="1" x14ac:dyDescent="0.2"/>
    <row r="21521" ht="9.9499999999999993" hidden="1" customHeight="1" x14ac:dyDescent="0.2"/>
    <row r="21522" ht="9.9499999999999993" hidden="1" customHeight="1" x14ac:dyDescent="0.2"/>
    <row r="21523" ht="9.9499999999999993" hidden="1" customHeight="1" x14ac:dyDescent="0.2"/>
    <row r="21524" ht="9.9499999999999993" hidden="1" customHeight="1" x14ac:dyDescent="0.2"/>
    <row r="21525" ht="9.9499999999999993" hidden="1" customHeight="1" x14ac:dyDescent="0.2"/>
    <row r="21526" ht="9.9499999999999993" hidden="1" customHeight="1" x14ac:dyDescent="0.2"/>
    <row r="21527" ht="9.9499999999999993" hidden="1" customHeight="1" x14ac:dyDescent="0.2"/>
    <row r="21528" ht="9.9499999999999993" hidden="1" customHeight="1" x14ac:dyDescent="0.2"/>
    <row r="21529" ht="9.9499999999999993" hidden="1" customHeight="1" x14ac:dyDescent="0.2"/>
    <row r="21530" ht="9.9499999999999993" hidden="1" customHeight="1" x14ac:dyDescent="0.2"/>
    <row r="21531" ht="9.9499999999999993" hidden="1" customHeight="1" x14ac:dyDescent="0.2"/>
    <row r="21532" ht="9.9499999999999993" hidden="1" customHeight="1" x14ac:dyDescent="0.2"/>
    <row r="21533" ht="9.9499999999999993" hidden="1" customHeight="1" x14ac:dyDescent="0.2"/>
    <row r="21534" ht="9.9499999999999993" hidden="1" customHeight="1" x14ac:dyDescent="0.2"/>
    <row r="21535" ht="9.9499999999999993" hidden="1" customHeight="1" x14ac:dyDescent="0.2"/>
    <row r="21536" ht="9.9499999999999993" hidden="1" customHeight="1" x14ac:dyDescent="0.2"/>
    <row r="21537" ht="9.9499999999999993" hidden="1" customHeight="1" x14ac:dyDescent="0.2"/>
    <row r="21538" ht="9.9499999999999993" hidden="1" customHeight="1" x14ac:dyDescent="0.2"/>
    <row r="21539" ht="9.9499999999999993" hidden="1" customHeight="1" x14ac:dyDescent="0.2"/>
    <row r="21540" ht="9.9499999999999993" hidden="1" customHeight="1" x14ac:dyDescent="0.2"/>
    <row r="21541" ht="9.9499999999999993" hidden="1" customHeight="1" x14ac:dyDescent="0.2"/>
    <row r="21542" ht="9.9499999999999993" hidden="1" customHeight="1" x14ac:dyDescent="0.2"/>
    <row r="21543" ht="9.9499999999999993" hidden="1" customHeight="1" x14ac:dyDescent="0.2"/>
    <row r="21544" ht="9.9499999999999993" hidden="1" customHeight="1" x14ac:dyDescent="0.2"/>
    <row r="21545" ht="9.9499999999999993" hidden="1" customHeight="1" x14ac:dyDescent="0.2"/>
    <row r="21546" ht="9.9499999999999993" hidden="1" customHeight="1" x14ac:dyDescent="0.2"/>
    <row r="21547" ht="9.9499999999999993" hidden="1" customHeight="1" x14ac:dyDescent="0.2"/>
    <row r="21548" ht="9.9499999999999993" hidden="1" customHeight="1" x14ac:dyDescent="0.2"/>
    <row r="21549" ht="9.9499999999999993" hidden="1" customHeight="1" x14ac:dyDescent="0.2"/>
    <row r="21550" ht="9.9499999999999993" hidden="1" customHeight="1" x14ac:dyDescent="0.2"/>
    <row r="21551" ht="9.9499999999999993" hidden="1" customHeight="1" x14ac:dyDescent="0.2"/>
    <row r="21552" ht="9.9499999999999993" hidden="1" customHeight="1" x14ac:dyDescent="0.2"/>
    <row r="21553" ht="9.9499999999999993" hidden="1" customHeight="1" x14ac:dyDescent="0.2"/>
    <row r="21554" ht="9.9499999999999993" hidden="1" customHeight="1" x14ac:dyDescent="0.2"/>
    <row r="21555" ht="9.9499999999999993" hidden="1" customHeight="1" x14ac:dyDescent="0.2"/>
    <row r="21556" ht="9.9499999999999993" hidden="1" customHeight="1" x14ac:dyDescent="0.2"/>
    <row r="21557" ht="9.9499999999999993" hidden="1" customHeight="1" x14ac:dyDescent="0.2"/>
    <row r="21558" ht="9.9499999999999993" hidden="1" customHeight="1" x14ac:dyDescent="0.2"/>
    <row r="21559" ht="9.9499999999999993" hidden="1" customHeight="1" x14ac:dyDescent="0.2"/>
    <row r="21560" ht="9.9499999999999993" hidden="1" customHeight="1" x14ac:dyDescent="0.2"/>
    <row r="21561" ht="9.9499999999999993" hidden="1" customHeight="1" x14ac:dyDescent="0.2"/>
    <row r="21562" ht="9.9499999999999993" hidden="1" customHeight="1" x14ac:dyDescent="0.2"/>
    <row r="21563" ht="9.9499999999999993" hidden="1" customHeight="1" x14ac:dyDescent="0.2"/>
    <row r="21564" ht="9.9499999999999993" hidden="1" customHeight="1" x14ac:dyDescent="0.2"/>
    <row r="21565" ht="9.9499999999999993" hidden="1" customHeight="1" x14ac:dyDescent="0.2"/>
    <row r="21566" ht="9.9499999999999993" hidden="1" customHeight="1" x14ac:dyDescent="0.2"/>
    <row r="21567" ht="9.9499999999999993" hidden="1" customHeight="1" x14ac:dyDescent="0.2"/>
    <row r="21568" ht="9.9499999999999993" hidden="1" customHeight="1" x14ac:dyDescent="0.2"/>
    <row r="21569" ht="9.9499999999999993" hidden="1" customHeight="1" x14ac:dyDescent="0.2"/>
    <row r="21570" ht="9.9499999999999993" hidden="1" customHeight="1" x14ac:dyDescent="0.2"/>
    <row r="21571" ht="9.9499999999999993" hidden="1" customHeight="1" x14ac:dyDescent="0.2"/>
    <row r="21572" ht="9.9499999999999993" hidden="1" customHeight="1" x14ac:dyDescent="0.2"/>
    <row r="21573" ht="9.9499999999999993" hidden="1" customHeight="1" x14ac:dyDescent="0.2"/>
    <row r="21574" ht="9.9499999999999993" hidden="1" customHeight="1" x14ac:dyDescent="0.2"/>
    <row r="21575" ht="9.9499999999999993" hidden="1" customHeight="1" x14ac:dyDescent="0.2"/>
    <row r="21576" ht="9.9499999999999993" hidden="1" customHeight="1" x14ac:dyDescent="0.2"/>
    <row r="21577" ht="9.9499999999999993" hidden="1" customHeight="1" x14ac:dyDescent="0.2"/>
    <row r="21578" ht="9.9499999999999993" hidden="1" customHeight="1" x14ac:dyDescent="0.2"/>
    <row r="21579" ht="9.9499999999999993" hidden="1" customHeight="1" x14ac:dyDescent="0.2"/>
    <row r="21580" ht="9.9499999999999993" hidden="1" customHeight="1" x14ac:dyDescent="0.2"/>
    <row r="21581" ht="9.9499999999999993" hidden="1" customHeight="1" x14ac:dyDescent="0.2"/>
    <row r="21582" ht="9.9499999999999993" hidden="1" customHeight="1" x14ac:dyDescent="0.2"/>
    <row r="21583" ht="9.9499999999999993" hidden="1" customHeight="1" x14ac:dyDescent="0.2"/>
    <row r="21584" ht="9.9499999999999993" hidden="1" customHeight="1" x14ac:dyDescent="0.2"/>
    <row r="21585" ht="9.9499999999999993" hidden="1" customHeight="1" x14ac:dyDescent="0.2"/>
    <row r="21586" ht="9.9499999999999993" hidden="1" customHeight="1" x14ac:dyDescent="0.2"/>
    <row r="21587" ht="9.9499999999999993" hidden="1" customHeight="1" x14ac:dyDescent="0.2"/>
    <row r="21588" ht="9.9499999999999993" hidden="1" customHeight="1" x14ac:dyDescent="0.2"/>
    <row r="21589" ht="9.9499999999999993" hidden="1" customHeight="1" x14ac:dyDescent="0.2"/>
    <row r="21590" ht="9.9499999999999993" hidden="1" customHeight="1" x14ac:dyDescent="0.2"/>
    <row r="21591" ht="9.9499999999999993" hidden="1" customHeight="1" x14ac:dyDescent="0.2"/>
    <row r="21592" ht="9.9499999999999993" hidden="1" customHeight="1" x14ac:dyDescent="0.2"/>
    <row r="21593" ht="9.9499999999999993" hidden="1" customHeight="1" x14ac:dyDescent="0.2"/>
    <row r="21594" ht="9.9499999999999993" hidden="1" customHeight="1" x14ac:dyDescent="0.2"/>
    <row r="21595" ht="9.9499999999999993" hidden="1" customHeight="1" x14ac:dyDescent="0.2"/>
    <row r="21596" ht="9.9499999999999993" hidden="1" customHeight="1" x14ac:dyDescent="0.2"/>
    <row r="21597" ht="9.9499999999999993" hidden="1" customHeight="1" x14ac:dyDescent="0.2"/>
    <row r="21598" ht="9.9499999999999993" hidden="1" customHeight="1" x14ac:dyDescent="0.2"/>
    <row r="21599" ht="9.9499999999999993" hidden="1" customHeight="1" x14ac:dyDescent="0.2"/>
    <row r="21600" ht="9.9499999999999993" hidden="1" customHeight="1" x14ac:dyDescent="0.2"/>
    <row r="21601" ht="9.9499999999999993" hidden="1" customHeight="1" x14ac:dyDescent="0.2"/>
    <row r="21602" ht="9.9499999999999993" hidden="1" customHeight="1" x14ac:dyDescent="0.2"/>
    <row r="21603" ht="9.9499999999999993" hidden="1" customHeight="1" x14ac:dyDescent="0.2"/>
    <row r="21604" ht="9.9499999999999993" hidden="1" customHeight="1" x14ac:dyDescent="0.2"/>
    <row r="21605" ht="9.9499999999999993" hidden="1" customHeight="1" x14ac:dyDescent="0.2"/>
    <row r="21606" ht="9.9499999999999993" hidden="1" customHeight="1" x14ac:dyDescent="0.2"/>
    <row r="21607" ht="9.9499999999999993" hidden="1" customHeight="1" x14ac:dyDescent="0.2"/>
    <row r="21608" ht="9.9499999999999993" hidden="1" customHeight="1" x14ac:dyDescent="0.2"/>
    <row r="21609" ht="9.9499999999999993" hidden="1" customHeight="1" x14ac:dyDescent="0.2"/>
    <row r="21610" ht="9.9499999999999993" hidden="1" customHeight="1" x14ac:dyDescent="0.2"/>
    <row r="21611" ht="9.9499999999999993" hidden="1" customHeight="1" x14ac:dyDescent="0.2"/>
    <row r="21612" ht="9.9499999999999993" hidden="1" customHeight="1" x14ac:dyDescent="0.2"/>
    <row r="21613" ht="9.9499999999999993" hidden="1" customHeight="1" x14ac:dyDescent="0.2"/>
    <row r="21614" ht="9.9499999999999993" hidden="1" customHeight="1" x14ac:dyDescent="0.2"/>
    <row r="21615" ht="9.9499999999999993" hidden="1" customHeight="1" x14ac:dyDescent="0.2"/>
    <row r="21616" ht="9.9499999999999993" hidden="1" customHeight="1" x14ac:dyDescent="0.2"/>
    <row r="21617" ht="9.9499999999999993" hidden="1" customHeight="1" x14ac:dyDescent="0.2"/>
    <row r="21618" ht="9.9499999999999993" hidden="1" customHeight="1" x14ac:dyDescent="0.2"/>
    <row r="21619" ht="9.9499999999999993" hidden="1" customHeight="1" x14ac:dyDescent="0.2"/>
    <row r="21620" ht="9.9499999999999993" hidden="1" customHeight="1" x14ac:dyDescent="0.2"/>
    <row r="21621" ht="9.9499999999999993" hidden="1" customHeight="1" x14ac:dyDescent="0.2"/>
    <row r="21622" ht="9.9499999999999993" hidden="1" customHeight="1" x14ac:dyDescent="0.2"/>
    <row r="21623" ht="9.9499999999999993" hidden="1" customHeight="1" x14ac:dyDescent="0.2"/>
    <row r="21624" ht="9.9499999999999993" hidden="1" customHeight="1" x14ac:dyDescent="0.2"/>
    <row r="21625" ht="9.9499999999999993" hidden="1" customHeight="1" x14ac:dyDescent="0.2"/>
    <row r="21626" ht="9.9499999999999993" hidden="1" customHeight="1" x14ac:dyDescent="0.2"/>
    <row r="21627" ht="9.9499999999999993" hidden="1" customHeight="1" x14ac:dyDescent="0.2"/>
    <row r="21628" ht="9.9499999999999993" hidden="1" customHeight="1" x14ac:dyDescent="0.2"/>
    <row r="21629" ht="9.9499999999999993" hidden="1" customHeight="1" x14ac:dyDescent="0.2"/>
    <row r="21630" ht="9.9499999999999993" hidden="1" customHeight="1" x14ac:dyDescent="0.2"/>
    <row r="21631" ht="9.9499999999999993" hidden="1" customHeight="1" x14ac:dyDescent="0.2"/>
    <row r="21632" ht="9.9499999999999993" hidden="1" customHeight="1" x14ac:dyDescent="0.2"/>
    <row r="21633" ht="9.9499999999999993" hidden="1" customHeight="1" x14ac:dyDescent="0.2"/>
    <row r="21634" ht="9.9499999999999993" hidden="1" customHeight="1" x14ac:dyDescent="0.2"/>
    <row r="21635" ht="9.9499999999999993" hidden="1" customHeight="1" x14ac:dyDescent="0.2"/>
    <row r="21636" ht="9.9499999999999993" hidden="1" customHeight="1" x14ac:dyDescent="0.2"/>
    <row r="21637" ht="9.9499999999999993" hidden="1" customHeight="1" x14ac:dyDescent="0.2"/>
    <row r="21638" ht="9.9499999999999993" hidden="1" customHeight="1" x14ac:dyDescent="0.2"/>
    <row r="21639" ht="9.9499999999999993" hidden="1" customHeight="1" x14ac:dyDescent="0.2"/>
    <row r="21640" ht="9.9499999999999993" hidden="1" customHeight="1" x14ac:dyDescent="0.2"/>
    <row r="21641" ht="9.9499999999999993" hidden="1" customHeight="1" x14ac:dyDescent="0.2"/>
    <row r="21642" ht="9.9499999999999993" hidden="1" customHeight="1" x14ac:dyDescent="0.2"/>
    <row r="21643" ht="9.9499999999999993" hidden="1" customHeight="1" x14ac:dyDescent="0.2"/>
    <row r="21644" ht="9.9499999999999993" hidden="1" customHeight="1" x14ac:dyDescent="0.2"/>
    <row r="21645" ht="9.9499999999999993" hidden="1" customHeight="1" x14ac:dyDescent="0.2"/>
    <row r="21646" ht="9.9499999999999993" hidden="1" customHeight="1" x14ac:dyDescent="0.2"/>
    <row r="21647" ht="9.9499999999999993" hidden="1" customHeight="1" x14ac:dyDescent="0.2"/>
    <row r="21648" ht="9.9499999999999993" hidden="1" customHeight="1" x14ac:dyDescent="0.2"/>
    <row r="21649" ht="9.9499999999999993" hidden="1" customHeight="1" x14ac:dyDescent="0.2"/>
    <row r="21650" ht="9.9499999999999993" hidden="1" customHeight="1" x14ac:dyDescent="0.2"/>
    <row r="21651" ht="9.9499999999999993" hidden="1" customHeight="1" x14ac:dyDescent="0.2"/>
    <row r="21652" ht="9.9499999999999993" hidden="1" customHeight="1" x14ac:dyDescent="0.2"/>
    <row r="21653" ht="9.9499999999999993" hidden="1" customHeight="1" x14ac:dyDescent="0.2"/>
    <row r="21654" ht="9.9499999999999993" hidden="1" customHeight="1" x14ac:dyDescent="0.2"/>
    <row r="21655" ht="9.9499999999999993" hidden="1" customHeight="1" x14ac:dyDescent="0.2"/>
    <row r="21656" ht="9.9499999999999993" hidden="1" customHeight="1" x14ac:dyDescent="0.2"/>
    <row r="21657" ht="9.9499999999999993" hidden="1" customHeight="1" x14ac:dyDescent="0.2"/>
    <row r="21658" ht="9.9499999999999993" hidden="1" customHeight="1" x14ac:dyDescent="0.2"/>
    <row r="21659" ht="9.9499999999999993" hidden="1" customHeight="1" x14ac:dyDescent="0.2"/>
    <row r="21660" ht="9.9499999999999993" hidden="1" customHeight="1" x14ac:dyDescent="0.2"/>
    <row r="21661" ht="9.9499999999999993" hidden="1" customHeight="1" x14ac:dyDescent="0.2"/>
    <row r="21662" ht="9.9499999999999993" hidden="1" customHeight="1" x14ac:dyDescent="0.2"/>
    <row r="21663" ht="9.9499999999999993" hidden="1" customHeight="1" x14ac:dyDescent="0.2"/>
    <row r="21664" ht="9.9499999999999993" hidden="1" customHeight="1" x14ac:dyDescent="0.2"/>
    <row r="21665" ht="9.9499999999999993" hidden="1" customHeight="1" x14ac:dyDescent="0.2"/>
    <row r="21666" ht="9.9499999999999993" hidden="1" customHeight="1" x14ac:dyDescent="0.2"/>
    <row r="21667" ht="9.9499999999999993" hidden="1" customHeight="1" x14ac:dyDescent="0.2"/>
    <row r="21668" ht="9.9499999999999993" hidden="1" customHeight="1" x14ac:dyDescent="0.2"/>
    <row r="21669" ht="9.9499999999999993" hidden="1" customHeight="1" x14ac:dyDescent="0.2"/>
    <row r="21670" ht="9.9499999999999993" hidden="1" customHeight="1" x14ac:dyDescent="0.2"/>
    <row r="21671" ht="9.9499999999999993" hidden="1" customHeight="1" x14ac:dyDescent="0.2"/>
    <row r="21672" ht="9.9499999999999993" hidden="1" customHeight="1" x14ac:dyDescent="0.2"/>
    <row r="21673" ht="9.9499999999999993" hidden="1" customHeight="1" x14ac:dyDescent="0.2"/>
    <row r="21674" ht="9.9499999999999993" hidden="1" customHeight="1" x14ac:dyDescent="0.2"/>
    <row r="21675" ht="9.9499999999999993" hidden="1" customHeight="1" x14ac:dyDescent="0.2"/>
    <row r="21676" ht="9.9499999999999993" hidden="1" customHeight="1" x14ac:dyDescent="0.2"/>
    <row r="21677" ht="9.9499999999999993" hidden="1" customHeight="1" x14ac:dyDescent="0.2"/>
    <row r="21678" ht="9.9499999999999993" hidden="1" customHeight="1" x14ac:dyDescent="0.2"/>
    <row r="21679" ht="9.9499999999999993" hidden="1" customHeight="1" x14ac:dyDescent="0.2"/>
    <row r="21680" ht="9.9499999999999993" hidden="1" customHeight="1" x14ac:dyDescent="0.2"/>
    <row r="21681" ht="9.9499999999999993" hidden="1" customHeight="1" x14ac:dyDescent="0.2"/>
    <row r="21682" ht="9.9499999999999993" hidden="1" customHeight="1" x14ac:dyDescent="0.2"/>
    <row r="21683" ht="9.9499999999999993" hidden="1" customHeight="1" x14ac:dyDescent="0.2"/>
    <row r="21684" ht="9.9499999999999993" hidden="1" customHeight="1" x14ac:dyDescent="0.2"/>
    <row r="21685" ht="9.9499999999999993" hidden="1" customHeight="1" x14ac:dyDescent="0.2"/>
    <row r="21686" ht="9.9499999999999993" hidden="1" customHeight="1" x14ac:dyDescent="0.2"/>
    <row r="21687" ht="9.9499999999999993" hidden="1" customHeight="1" x14ac:dyDescent="0.2"/>
    <row r="21688" ht="9.9499999999999993" hidden="1" customHeight="1" x14ac:dyDescent="0.2"/>
    <row r="21689" ht="9.9499999999999993" hidden="1" customHeight="1" x14ac:dyDescent="0.2"/>
    <row r="21690" ht="9.9499999999999993" hidden="1" customHeight="1" x14ac:dyDescent="0.2"/>
    <row r="21691" ht="9.9499999999999993" hidden="1" customHeight="1" x14ac:dyDescent="0.2"/>
    <row r="21692" ht="9.9499999999999993" hidden="1" customHeight="1" x14ac:dyDescent="0.2"/>
    <row r="21693" ht="9.9499999999999993" hidden="1" customHeight="1" x14ac:dyDescent="0.2"/>
    <row r="21694" ht="9.9499999999999993" hidden="1" customHeight="1" x14ac:dyDescent="0.2"/>
    <row r="21695" ht="9.9499999999999993" hidden="1" customHeight="1" x14ac:dyDescent="0.2"/>
    <row r="21696" ht="9.9499999999999993" hidden="1" customHeight="1" x14ac:dyDescent="0.2"/>
    <row r="21697" ht="9.9499999999999993" hidden="1" customHeight="1" x14ac:dyDescent="0.2"/>
    <row r="21698" ht="9.9499999999999993" hidden="1" customHeight="1" x14ac:dyDescent="0.2"/>
    <row r="21699" ht="9.9499999999999993" hidden="1" customHeight="1" x14ac:dyDescent="0.2"/>
    <row r="21700" ht="9.9499999999999993" hidden="1" customHeight="1" x14ac:dyDescent="0.2"/>
    <row r="21701" ht="9.9499999999999993" hidden="1" customHeight="1" x14ac:dyDescent="0.2"/>
    <row r="21702" ht="9.9499999999999993" hidden="1" customHeight="1" x14ac:dyDescent="0.2"/>
    <row r="21703" ht="9.9499999999999993" hidden="1" customHeight="1" x14ac:dyDescent="0.2"/>
    <row r="21704" ht="9.9499999999999993" hidden="1" customHeight="1" x14ac:dyDescent="0.2"/>
    <row r="21705" ht="9.9499999999999993" hidden="1" customHeight="1" x14ac:dyDescent="0.2"/>
    <row r="21706" ht="9.9499999999999993" hidden="1" customHeight="1" x14ac:dyDescent="0.2"/>
    <row r="21707" ht="9.9499999999999993" hidden="1" customHeight="1" x14ac:dyDescent="0.2"/>
    <row r="21708" ht="9.9499999999999993" hidden="1" customHeight="1" x14ac:dyDescent="0.2"/>
    <row r="21709" ht="9.9499999999999993" hidden="1" customHeight="1" x14ac:dyDescent="0.2"/>
    <row r="21710" ht="9.9499999999999993" hidden="1" customHeight="1" x14ac:dyDescent="0.2"/>
    <row r="21711" ht="9.9499999999999993" hidden="1" customHeight="1" x14ac:dyDescent="0.2"/>
    <row r="21712" ht="9.9499999999999993" hidden="1" customHeight="1" x14ac:dyDescent="0.2"/>
    <row r="21713" ht="9.9499999999999993" hidden="1" customHeight="1" x14ac:dyDescent="0.2"/>
    <row r="21714" ht="9.9499999999999993" hidden="1" customHeight="1" x14ac:dyDescent="0.2"/>
    <row r="21715" ht="9.9499999999999993" hidden="1" customHeight="1" x14ac:dyDescent="0.2"/>
    <row r="21716" ht="9.9499999999999993" hidden="1" customHeight="1" x14ac:dyDescent="0.2"/>
    <row r="21717" ht="9.9499999999999993" hidden="1" customHeight="1" x14ac:dyDescent="0.2"/>
    <row r="21718" ht="9.9499999999999993" hidden="1" customHeight="1" x14ac:dyDescent="0.2"/>
    <row r="21719" ht="9.9499999999999993" hidden="1" customHeight="1" x14ac:dyDescent="0.2"/>
    <row r="21720" ht="9.9499999999999993" hidden="1" customHeight="1" x14ac:dyDescent="0.2"/>
    <row r="21721" ht="9.9499999999999993" hidden="1" customHeight="1" x14ac:dyDescent="0.2"/>
    <row r="21722" ht="9.9499999999999993" hidden="1" customHeight="1" x14ac:dyDescent="0.2"/>
    <row r="21723" ht="9.9499999999999993" hidden="1" customHeight="1" x14ac:dyDescent="0.2"/>
    <row r="21724" ht="9.9499999999999993" hidden="1" customHeight="1" x14ac:dyDescent="0.2"/>
    <row r="21725" ht="9.9499999999999993" hidden="1" customHeight="1" x14ac:dyDescent="0.2"/>
    <row r="21726" ht="9.9499999999999993" hidden="1" customHeight="1" x14ac:dyDescent="0.2"/>
    <row r="21727" ht="9.9499999999999993" hidden="1" customHeight="1" x14ac:dyDescent="0.2"/>
    <row r="21728" ht="9.9499999999999993" hidden="1" customHeight="1" x14ac:dyDescent="0.2"/>
    <row r="21729" ht="9.9499999999999993" hidden="1" customHeight="1" x14ac:dyDescent="0.2"/>
    <row r="21730" ht="9.9499999999999993" hidden="1" customHeight="1" x14ac:dyDescent="0.2"/>
    <row r="21731" ht="9.9499999999999993" hidden="1" customHeight="1" x14ac:dyDescent="0.2"/>
    <row r="21732" ht="9.9499999999999993" hidden="1" customHeight="1" x14ac:dyDescent="0.2"/>
    <row r="21733" ht="9.9499999999999993" hidden="1" customHeight="1" x14ac:dyDescent="0.2"/>
    <row r="21734" ht="9.9499999999999993" hidden="1" customHeight="1" x14ac:dyDescent="0.2"/>
    <row r="21735" ht="9.9499999999999993" hidden="1" customHeight="1" x14ac:dyDescent="0.2"/>
    <row r="21736" ht="9.9499999999999993" hidden="1" customHeight="1" x14ac:dyDescent="0.2"/>
    <row r="21737" ht="9.9499999999999993" hidden="1" customHeight="1" x14ac:dyDescent="0.2"/>
    <row r="21738" ht="9.9499999999999993" hidden="1" customHeight="1" x14ac:dyDescent="0.2"/>
    <row r="21739" ht="9.9499999999999993" hidden="1" customHeight="1" x14ac:dyDescent="0.2"/>
    <row r="21740" ht="9.9499999999999993" hidden="1" customHeight="1" x14ac:dyDescent="0.2"/>
    <row r="21741" ht="9.9499999999999993" hidden="1" customHeight="1" x14ac:dyDescent="0.2"/>
    <row r="21742" ht="9.9499999999999993" hidden="1" customHeight="1" x14ac:dyDescent="0.2"/>
    <row r="21743" ht="9.9499999999999993" hidden="1" customHeight="1" x14ac:dyDescent="0.2"/>
    <row r="21744" ht="9.9499999999999993" hidden="1" customHeight="1" x14ac:dyDescent="0.2"/>
    <row r="21745" ht="9.9499999999999993" hidden="1" customHeight="1" x14ac:dyDescent="0.2"/>
    <row r="21746" ht="9.9499999999999993" hidden="1" customHeight="1" x14ac:dyDescent="0.2"/>
    <row r="21747" ht="9.9499999999999993" hidden="1" customHeight="1" x14ac:dyDescent="0.2"/>
    <row r="21748" ht="9.9499999999999993" hidden="1" customHeight="1" x14ac:dyDescent="0.2"/>
    <row r="21749" ht="9.9499999999999993" hidden="1" customHeight="1" x14ac:dyDescent="0.2"/>
    <row r="21750" ht="9.9499999999999993" hidden="1" customHeight="1" x14ac:dyDescent="0.2"/>
    <row r="21751" ht="9.9499999999999993" hidden="1" customHeight="1" x14ac:dyDescent="0.2"/>
    <row r="21752" ht="9.9499999999999993" hidden="1" customHeight="1" x14ac:dyDescent="0.2"/>
    <row r="21753" ht="9.9499999999999993" hidden="1" customHeight="1" x14ac:dyDescent="0.2"/>
    <row r="21754" ht="9.9499999999999993" hidden="1" customHeight="1" x14ac:dyDescent="0.2"/>
    <row r="21755" ht="9.9499999999999993" hidden="1" customHeight="1" x14ac:dyDescent="0.2"/>
    <row r="21756" ht="9.9499999999999993" hidden="1" customHeight="1" x14ac:dyDescent="0.2"/>
    <row r="21757" ht="9.9499999999999993" hidden="1" customHeight="1" x14ac:dyDescent="0.2"/>
    <row r="21758" ht="9.9499999999999993" hidden="1" customHeight="1" x14ac:dyDescent="0.2"/>
    <row r="21759" ht="9.9499999999999993" hidden="1" customHeight="1" x14ac:dyDescent="0.2"/>
    <row r="21760" ht="9.9499999999999993" hidden="1" customHeight="1" x14ac:dyDescent="0.2"/>
    <row r="21761" ht="9.9499999999999993" hidden="1" customHeight="1" x14ac:dyDescent="0.2"/>
    <row r="21762" ht="9.9499999999999993" hidden="1" customHeight="1" x14ac:dyDescent="0.2"/>
    <row r="21763" ht="9.9499999999999993" hidden="1" customHeight="1" x14ac:dyDescent="0.2"/>
    <row r="21764" ht="9.9499999999999993" hidden="1" customHeight="1" x14ac:dyDescent="0.2"/>
    <row r="21765" ht="9.9499999999999993" hidden="1" customHeight="1" x14ac:dyDescent="0.2"/>
    <row r="21766" ht="9.9499999999999993" hidden="1" customHeight="1" x14ac:dyDescent="0.2"/>
    <row r="21767" ht="9.9499999999999993" hidden="1" customHeight="1" x14ac:dyDescent="0.2"/>
    <row r="21768" ht="9.9499999999999993" hidden="1" customHeight="1" x14ac:dyDescent="0.2"/>
    <row r="21769" ht="9.9499999999999993" hidden="1" customHeight="1" x14ac:dyDescent="0.2"/>
    <row r="21770" ht="9.9499999999999993" hidden="1" customHeight="1" x14ac:dyDescent="0.2"/>
    <row r="21771" ht="9.9499999999999993" hidden="1" customHeight="1" x14ac:dyDescent="0.2"/>
    <row r="21772" ht="9.9499999999999993" hidden="1" customHeight="1" x14ac:dyDescent="0.2"/>
    <row r="21773" ht="9.9499999999999993" hidden="1" customHeight="1" x14ac:dyDescent="0.2"/>
    <row r="21774" ht="9.9499999999999993" hidden="1" customHeight="1" x14ac:dyDescent="0.2"/>
    <row r="21775" ht="9.9499999999999993" hidden="1" customHeight="1" x14ac:dyDescent="0.2"/>
    <row r="21776" ht="9.9499999999999993" hidden="1" customHeight="1" x14ac:dyDescent="0.2"/>
    <row r="21777" ht="9.9499999999999993" hidden="1" customHeight="1" x14ac:dyDescent="0.2"/>
    <row r="21778" ht="9.9499999999999993" hidden="1" customHeight="1" x14ac:dyDescent="0.2"/>
    <row r="21779" ht="9.9499999999999993" hidden="1" customHeight="1" x14ac:dyDescent="0.2"/>
    <row r="21780" ht="9.9499999999999993" hidden="1" customHeight="1" x14ac:dyDescent="0.2"/>
    <row r="21781" ht="9.9499999999999993" hidden="1" customHeight="1" x14ac:dyDescent="0.2"/>
    <row r="21782" ht="9.9499999999999993" hidden="1" customHeight="1" x14ac:dyDescent="0.2"/>
    <row r="21783" ht="9.9499999999999993" hidden="1" customHeight="1" x14ac:dyDescent="0.2"/>
    <row r="21784" ht="9.9499999999999993" hidden="1" customHeight="1" x14ac:dyDescent="0.2"/>
    <row r="21785" ht="9.9499999999999993" hidden="1" customHeight="1" x14ac:dyDescent="0.2"/>
    <row r="21786" ht="9.9499999999999993" hidden="1" customHeight="1" x14ac:dyDescent="0.2"/>
    <row r="21787" ht="9.9499999999999993" hidden="1" customHeight="1" x14ac:dyDescent="0.2"/>
    <row r="21788" ht="9.9499999999999993" hidden="1" customHeight="1" x14ac:dyDescent="0.2"/>
    <row r="21789" ht="9.9499999999999993" hidden="1" customHeight="1" x14ac:dyDescent="0.2"/>
    <row r="21790" ht="9.9499999999999993" hidden="1" customHeight="1" x14ac:dyDescent="0.2"/>
    <row r="21791" ht="9.9499999999999993" hidden="1" customHeight="1" x14ac:dyDescent="0.2"/>
    <row r="21792" ht="9.9499999999999993" hidden="1" customHeight="1" x14ac:dyDescent="0.2"/>
    <row r="21793" ht="9.9499999999999993" hidden="1" customHeight="1" x14ac:dyDescent="0.2"/>
    <row r="21794" ht="9.9499999999999993" hidden="1" customHeight="1" x14ac:dyDescent="0.2"/>
    <row r="21795" ht="9.9499999999999993" hidden="1" customHeight="1" x14ac:dyDescent="0.2"/>
    <row r="21796" ht="9.9499999999999993" hidden="1" customHeight="1" x14ac:dyDescent="0.2"/>
    <row r="21797" ht="9.9499999999999993" hidden="1" customHeight="1" x14ac:dyDescent="0.2"/>
    <row r="21798" ht="9.9499999999999993" hidden="1" customHeight="1" x14ac:dyDescent="0.2"/>
    <row r="21799" ht="9.9499999999999993" hidden="1" customHeight="1" x14ac:dyDescent="0.2"/>
    <row r="21800" ht="9.9499999999999993" hidden="1" customHeight="1" x14ac:dyDescent="0.2"/>
    <row r="21801" ht="9.9499999999999993" hidden="1" customHeight="1" x14ac:dyDescent="0.2"/>
    <row r="21802" ht="9.9499999999999993" hidden="1" customHeight="1" x14ac:dyDescent="0.2"/>
    <row r="21803" ht="9.9499999999999993" hidden="1" customHeight="1" x14ac:dyDescent="0.2"/>
    <row r="21804" ht="9.9499999999999993" hidden="1" customHeight="1" x14ac:dyDescent="0.2"/>
    <row r="21805" ht="9.9499999999999993" hidden="1" customHeight="1" x14ac:dyDescent="0.2"/>
    <row r="21806" ht="9.9499999999999993" hidden="1" customHeight="1" x14ac:dyDescent="0.2"/>
    <row r="21807" ht="9.9499999999999993" hidden="1" customHeight="1" x14ac:dyDescent="0.2"/>
    <row r="21808" ht="9.9499999999999993" hidden="1" customHeight="1" x14ac:dyDescent="0.2"/>
    <row r="21809" ht="9.9499999999999993" hidden="1" customHeight="1" x14ac:dyDescent="0.2"/>
    <row r="21810" ht="9.9499999999999993" hidden="1" customHeight="1" x14ac:dyDescent="0.2"/>
    <row r="21811" ht="9.9499999999999993" hidden="1" customHeight="1" x14ac:dyDescent="0.2"/>
    <row r="21812" ht="9.9499999999999993" hidden="1" customHeight="1" x14ac:dyDescent="0.2"/>
    <row r="21813" ht="9.9499999999999993" hidden="1" customHeight="1" x14ac:dyDescent="0.2"/>
    <row r="21814" ht="9.9499999999999993" hidden="1" customHeight="1" x14ac:dyDescent="0.2"/>
    <row r="21815" ht="9.9499999999999993" hidden="1" customHeight="1" x14ac:dyDescent="0.2"/>
    <row r="21816" ht="9.9499999999999993" hidden="1" customHeight="1" x14ac:dyDescent="0.2"/>
    <row r="21817" ht="9.9499999999999993" hidden="1" customHeight="1" x14ac:dyDescent="0.2"/>
    <row r="21818" ht="9.9499999999999993" hidden="1" customHeight="1" x14ac:dyDescent="0.2"/>
    <row r="21819" ht="9.9499999999999993" hidden="1" customHeight="1" x14ac:dyDescent="0.2"/>
    <row r="21820" ht="9.9499999999999993" hidden="1" customHeight="1" x14ac:dyDescent="0.2"/>
    <row r="21821" ht="9.9499999999999993" hidden="1" customHeight="1" x14ac:dyDescent="0.2"/>
    <row r="21822" ht="9.9499999999999993" hidden="1" customHeight="1" x14ac:dyDescent="0.2"/>
    <row r="21823" ht="9.9499999999999993" hidden="1" customHeight="1" x14ac:dyDescent="0.2"/>
    <row r="21824" ht="9.9499999999999993" hidden="1" customHeight="1" x14ac:dyDescent="0.2"/>
    <row r="21825" ht="9.9499999999999993" hidden="1" customHeight="1" x14ac:dyDescent="0.2"/>
    <row r="21826" ht="9.9499999999999993" hidden="1" customHeight="1" x14ac:dyDescent="0.2"/>
    <row r="21827" ht="9.9499999999999993" hidden="1" customHeight="1" x14ac:dyDescent="0.2"/>
    <row r="21828" ht="9.9499999999999993" hidden="1" customHeight="1" x14ac:dyDescent="0.2"/>
    <row r="21829" ht="9.9499999999999993" hidden="1" customHeight="1" x14ac:dyDescent="0.2"/>
    <row r="21830" ht="9.9499999999999993" hidden="1" customHeight="1" x14ac:dyDescent="0.2"/>
    <row r="21831" ht="9.9499999999999993" hidden="1" customHeight="1" x14ac:dyDescent="0.2"/>
    <row r="21832" ht="9.9499999999999993" hidden="1" customHeight="1" x14ac:dyDescent="0.2"/>
    <row r="21833" ht="9.9499999999999993" hidden="1" customHeight="1" x14ac:dyDescent="0.2"/>
    <row r="21834" ht="9.9499999999999993" hidden="1" customHeight="1" x14ac:dyDescent="0.2"/>
    <row r="21835" ht="9.9499999999999993" hidden="1" customHeight="1" x14ac:dyDescent="0.2"/>
    <row r="21836" ht="9.9499999999999993" hidden="1" customHeight="1" x14ac:dyDescent="0.2"/>
    <row r="21837" ht="9.9499999999999993" hidden="1" customHeight="1" x14ac:dyDescent="0.2"/>
    <row r="21838" ht="9.9499999999999993" hidden="1" customHeight="1" x14ac:dyDescent="0.2"/>
    <row r="21839" ht="9.9499999999999993" hidden="1" customHeight="1" x14ac:dyDescent="0.2"/>
    <row r="21840" ht="9.9499999999999993" hidden="1" customHeight="1" x14ac:dyDescent="0.2"/>
    <row r="21841" ht="9.9499999999999993" hidden="1" customHeight="1" x14ac:dyDescent="0.2"/>
    <row r="21842" ht="9.9499999999999993" hidden="1" customHeight="1" x14ac:dyDescent="0.2"/>
    <row r="21843" ht="9.9499999999999993" hidden="1" customHeight="1" x14ac:dyDescent="0.2"/>
    <row r="21844" ht="9.9499999999999993" hidden="1" customHeight="1" x14ac:dyDescent="0.2"/>
    <row r="21845" ht="9.9499999999999993" hidden="1" customHeight="1" x14ac:dyDescent="0.2"/>
    <row r="21846" ht="9.9499999999999993" hidden="1" customHeight="1" x14ac:dyDescent="0.2"/>
    <row r="21847" ht="9.9499999999999993" hidden="1" customHeight="1" x14ac:dyDescent="0.2"/>
    <row r="21848" ht="9.9499999999999993" hidden="1" customHeight="1" x14ac:dyDescent="0.2"/>
    <row r="21849" ht="9.9499999999999993" hidden="1" customHeight="1" x14ac:dyDescent="0.2"/>
    <row r="21850" ht="9.9499999999999993" hidden="1" customHeight="1" x14ac:dyDescent="0.2"/>
    <row r="21851" ht="9.9499999999999993" hidden="1" customHeight="1" x14ac:dyDescent="0.2"/>
    <row r="21852" ht="9.9499999999999993" hidden="1" customHeight="1" x14ac:dyDescent="0.2"/>
    <row r="21853" ht="9.9499999999999993" hidden="1" customHeight="1" x14ac:dyDescent="0.2"/>
    <row r="21854" ht="9.9499999999999993" hidden="1" customHeight="1" x14ac:dyDescent="0.2"/>
    <row r="21855" ht="9.9499999999999993" hidden="1" customHeight="1" x14ac:dyDescent="0.2"/>
    <row r="21856" ht="9.9499999999999993" hidden="1" customHeight="1" x14ac:dyDescent="0.2"/>
    <row r="21857" ht="9.9499999999999993" hidden="1" customHeight="1" x14ac:dyDescent="0.2"/>
    <row r="21858" ht="9.9499999999999993" hidden="1" customHeight="1" x14ac:dyDescent="0.2"/>
    <row r="21859" ht="9.9499999999999993" hidden="1" customHeight="1" x14ac:dyDescent="0.2"/>
    <row r="21860" ht="9.9499999999999993" hidden="1" customHeight="1" x14ac:dyDescent="0.2"/>
    <row r="21861" ht="9.9499999999999993" hidden="1" customHeight="1" x14ac:dyDescent="0.2"/>
    <row r="21862" ht="9.9499999999999993" hidden="1" customHeight="1" x14ac:dyDescent="0.2"/>
    <row r="21863" ht="9.9499999999999993" hidden="1" customHeight="1" x14ac:dyDescent="0.2"/>
    <row r="21864" ht="9.9499999999999993" hidden="1" customHeight="1" x14ac:dyDescent="0.2"/>
    <row r="21865" ht="9.9499999999999993" hidden="1" customHeight="1" x14ac:dyDescent="0.2"/>
    <row r="21866" ht="9.9499999999999993" hidden="1" customHeight="1" x14ac:dyDescent="0.2"/>
    <row r="21867" ht="9.9499999999999993" hidden="1" customHeight="1" x14ac:dyDescent="0.2"/>
    <row r="21868" ht="9.9499999999999993" hidden="1" customHeight="1" x14ac:dyDescent="0.2"/>
    <row r="21869" ht="9.9499999999999993" hidden="1" customHeight="1" x14ac:dyDescent="0.2"/>
    <row r="21870" ht="9.9499999999999993" hidden="1" customHeight="1" x14ac:dyDescent="0.2"/>
    <row r="21871" ht="9.9499999999999993" hidden="1" customHeight="1" x14ac:dyDescent="0.2"/>
    <row r="21872" ht="9.9499999999999993" hidden="1" customHeight="1" x14ac:dyDescent="0.2"/>
    <row r="21873" ht="9.9499999999999993" hidden="1" customHeight="1" x14ac:dyDescent="0.2"/>
    <row r="21874" ht="9.9499999999999993" hidden="1" customHeight="1" x14ac:dyDescent="0.2"/>
    <row r="21875" ht="9.9499999999999993" hidden="1" customHeight="1" x14ac:dyDescent="0.2"/>
    <row r="21876" ht="9.9499999999999993" hidden="1" customHeight="1" x14ac:dyDescent="0.2"/>
    <row r="21877" ht="9.9499999999999993" hidden="1" customHeight="1" x14ac:dyDescent="0.2"/>
    <row r="21878" ht="9.9499999999999993" hidden="1" customHeight="1" x14ac:dyDescent="0.2"/>
    <row r="21879" ht="9.9499999999999993" hidden="1" customHeight="1" x14ac:dyDescent="0.2"/>
    <row r="21880" ht="9.9499999999999993" hidden="1" customHeight="1" x14ac:dyDescent="0.2"/>
    <row r="21881" ht="9.9499999999999993" hidden="1" customHeight="1" x14ac:dyDescent="0.2"/>
    <row r="21882" ht="9.9499999999999993" hidden="1" customHeight="1" x14ac:dyDescent="0.2"/>
    <row r="21883" ht="9.9499999999999993" hidden="1" customHeight="1" x14ac:dyDescent="0.2"/>
    <row r="21884" ht="9.9499999999999993" hidden="1" customHeight="1" x14ac:dyDescent="0.2"/>
    <row r="21885" ht="9.9499999999999993" hidden="1" customHeight="1" x14ac:dyDescent="0.2"/>
    <row r="21886" ht="9.9499999999999993" hidden="1" customHeight="1" x14ac:dyDescent="0.2"/>
    <row r="21887" ht="9.9499999999999993" hidden="1" customHeight="1" x14ac:dyDescent="0.2"/>
    <row r="21888" ht="9.9499999999999993" hidden="1" customHeight="1" x14ac:dyDescent="0.2"/>
    <row r="21889" ht="9.9499999999999993" hidden="1" customHeight="1" x14ac:dyDescent="0.2"/>
    <row r="21890" ht="9.9499999999999993" hidden="1" customHeight="1" x14ac:dyDescent="0.2"/>
    <row r="21891" ht="9.9499999999999993" hidden="1" customHeight="1" x14ac:dyDescent="0.2"/>
    <row r="21892" ht="9.9499999999999993" hidden="1" customHeight="1" x14ac:dyDescent="0.2"/>
    <row r="21893" ht="9.9499999999999993" hidden="1" customHeight="1" x14ac:dyDescent="0.2"/>
    <row r="21894" ht="9.9499999999999993" hidden="1" customHeight="1" x14ac:dyDescent="0.2"/>
    <row r="21895" ht="9.9499999999999993" hidden="1" customHeight="1" x14ac:dyDescent="0.2"/>
    <row r="21896" ht="9.9499999999999993" hidden="1" customHeight="1" x14ac:dyDescent="0.2"/>
    <row r="21897" ht="9.9499999999999993" hidden="1" customHeight="1" x14ac:dyDescent="0.2"/>
    <row r="21898" ht="9.9499999999999993" hidden="1" customHeight="1" x14ac:dyDescent="0.2"/>
    <row r="21899" ht="9.9499999999999993" hidden="1" customHeight="1" x14ac:dyDescent="0.2"/>
    <row r="21900" ht="9.9499999999999993" hidden="1" customHeight="1" x14ac:dyDescent="0.2"/>
    <row r="21901" ht="9.9499999999999993" hidden="1" customHeight="1" x14ac:dyDescent="0.2"/>
    <row r="21902" ht="9.9499999999999993" hidden="1" customHeight="1" x14ac:dyDescent="0.2"/>
    <row r="21903" ht="9.9499999999999993" hidden="1" customHeight="1" x14ac:dyDescent="0.2"/>
    <row r="21904" ht="9.9499999999999993" hidden="1" customHeight="1" x14ac:dyDescent="0.2"/>
    <row r="21905" ht="9.9499999999999993" hidden="1" customHeight="1" x14ac:dyDescent="0.2"/>
    <row r="21906" ht="9.9499999999999993" hidden="1" customHeight="1" x14ac:dyDescent="0.2"/>
    <row r="21907" ht="9.9499999999999993" hidden="1" customHeight="1" x14ac:dyDescent="0.2"/>
    <row r="21908" ht="9.9499999999999993" hidden="1" customHeight="1" x14ac:dyDescent="0.2"/>
    <row r="21909" ht="9.9499999999999993" hidden="1" customHeight="1" x14ac:dyDescent="0.2"/>
    <row r="21910" ht="9.9499999999999993" hidden="1" customHeight="1" x14ac:dyDescent="0.2"/>
    <row r="21911" ht="9.9499999999999993" hidden="1" customHeight="1" x14ac:dyDescent="0.2"/>
    <row r="21912" ht="9.9499999999999993" hidden="1" customHeight="1" x14ac:dyDescent="0.2"/>
    <row r="21913" ht="9.9499999999999993" hidden="1" customHeight="1" x14ac:dyDescent="0.2"/>
    <row r="21914" ht="9.9499999999999993" hidden="1" customHeight="1" x14ac:dyDescent="0.2"/>
    <row r="21915" ht="9.9499999999999993" hidden="1" customHeight="1" x14ac:dyDescent="0.2"/>
    <row r="21916" ht="9.9499999999999993" hidden="1" customHeight="1" x14ac:dyDescent="0.2"/>
    <row r="21917" ht="9.9499999999999993" hidden="1" customHeight="1" x14ac:dyDescent="0.2"/>
    <row r="21918" ht="9.9499999999999993" hidden="1" customHeight="1" x14ac:dyDescent="0.2"/>
    <row r="21919" ht="9.9499999999999993" hidden="1" customHeight="1" x14ac:dyDescent="0.2"/>
    <row r="21920" ht="9.9499999999999993" hidden="1" customHeight="1" x14ac:dyDescent="0.2"/>
    <row r="21921" ht="9.9499999999999993" hidden="1" customHeight="1" x14ac:dyDescent="0.2"/>
    <row r="21922" ht="9.9499999999999993" hidden="1" customHeight="1" x14ac:dyDescent="0.2"/>
    <row r="21923" ht="9.9499999999999993" hidden="1" customHeight="1" x14ac:dyDescent="0.2"/>
    <row r="21924" ht="9.9499999999999993" hidden="1" customHeight="1" x14ac:dyDescent="0.2"/>
    <row r="21925" ht="9.9499999999999993" hidden="1" customHeight="1" x14ac:dyDescent="0.2"/>
    <row r="21926" ht="9.9499999999999993" hidden="1" customHeight="1" x14ac:dyDescent="0.2"/>
    <row r="21927" ht="9.9499999999999993" hidden="1" customHeight="1" x14ac:dyDescent="0.2"/>
    <row r="21928" ht="9.9499999999999993" hidden="1" customHeight="1" x14ac:dyDescent="0.2"/>
    <row r="21929" ht="9.9499999999999993" hidden="1" customHeight="1" x14ac:dyDescent="0.2"/>
    <row r="21930" ht="9.9499999999999993" hidden="1" customHeight="1" x14ac:dyDescent="0.2"/>
    <row r="21931" ht="9.9499999999999993" hidden="1" customHeight="1" x14ac:dyDescent="0.2"/>
    <row r="21932" ht="9.9499999999999993" hidden="1" customHeight="1" x14ac:dyDescent="0.2"/>
    <row r="21933" ht="9.9499999999999993" hidden="1" customHeight="1" x14ac:dyDescent="0.2"/>
    <row r="21934" ht="9.9499999999999993" hidden="1" customHeight="1" x14ac:dyDescent="0.2"/>
    <row r="21935" ht="9.9499999999999993" hidden="1" customHeight="1" x14ac:dyDescent="0.2"/>
    <row r="21936" ht="9.9499999999999993" hidden="1" customHeight="1" x14ac:dyDescent="0.2"/>
    <row r="21937" ht="9.9499999999999993" hidden="1" customHeight="1" x14ac:dyDescent="0.2"/>
    <row r="21938" ht="9.9499999999999993" hidden="1" customHeight="1" x14ac:dyDescent="0.2"/>
    <row r="21939" ht="9.9499999999999993" hidden="1" customHeight="1" x14ac:dyDescent="0.2"/>
    <row r="21940" ht="9.9499999999999993" hidden="1" customHeight="1" x14ac:dyDescent="0.2"/>
    <row r="21941" ht="9.9499999999999993" hidden="1" customHeight="1" x14ac:dyDescent="0.2"/>
    <row r="21942" ht="9.9499999999999993" hidden="1" customHeight="1" x14ac:dyDescent="0.2"/>
    <row r="21943" ht="9.9499999999999993" hidden="1" customHeight="1" x14ac:dyDescent="0.2"/>
    <row r="21944" ht="9.9499999999999993" hidden="1" customHeight="1" x14ac:dyDescent="0.2"/>
    <row r="21945" ht="9.9499999999999993" hidden="1" customHeight="1" x14ac:dyDescent="0.2"/>
    <row r="21946" ht="9.9499999999999993" hidden="1" customHeight="1" x14ac:dyDescent="0.2"/>
    <row r="21947" ht="9.9499999999999993" hidden="1" customHeight="1" x14ac:dyDescent="0.2"/>
    <row r="21948" ht="9.9499999999999993" hidden="1" customHeight="1" x14ac:dyDescent="0.2"/>
    <row r="21949" ht="9.9499999999999993" hidden="1" customHeight="1" x14ac:dyDescent="0.2"/>
    <row r="21950" ht="9.9499999999999993" hidden="1" customHeight="1" x14ac:dyDescent="0.2"/>
    <row r="21951" ht="9.9499999999999993" hidden="1" customHeight="1" x14ac:dyDescent="0.2"/>
    <row r="21952" ht="9.9499999999999993" hidden="1" customHeight="1" x14ac:dyDescent="0.2"/>
    <row r="21953" ht="9.9499999999999993" hidden="1" customHeight="1" x14ac:dyDescent="0.2"/>
    <row r="21954" ht="9.9499999999999993" hidden="1" customHeight="1" x14ac:dyDescent="0.2"/>
    <row r="21955" ht="9.9499999999999993" hidden="1" customHeight="1" x14ac:dyDescent="0.2"/>
    <row r="21956" ht="9.9499999999999993" hidden="1" customHeight="1" x14ac:dyDescent="0.2"/>
    <row r="21957" ht="9.9499999999999993" hidden="1" customHeight="1" x14ac:dyDescent="0.2"/>
    <row r="21958" ht="9.9499999999999993" hidden="1" customHeight="1" x14ac:dyDescent="0.2"/>
    <row r="21959" ht="9.9499999999999993" hidden="1" customHeight="1" x14ac:dyDescent="0.2"/>
    <row r="21960" ht="9.9499999999999993" hidden="1" customHeight="1" x14ac:dyDescent="0.2"/>
    <row r="21961" ht="9.9499999999999993" hidden="1" customHeight="1" x14ac:dyDescent="0.2"/>
    <row r="21962" ht="9.9499999999999993" hidden="1" customHeight="1" x14ac:dyDescent="0.2"/>
    <row r="21963" ht="9.9499999999999993" hidden="1" customHeight="1" x14ac:dyDescent="0.2"/>
    <row r="21964" ht="9.9499999999999993" hidden="1" customHeight="1" x14ac:dyDescent="0.2"/>
    <row r="21965" ht="9.9499999999999993" hidden="1" customHeight="1" x14ac:dyDescent="0.2"/>
    <row r="21966" ht="9.9499999999999993" hidden="1" customHeight="1" x14ac:dyDescent="0.2"/>
    <row r="21967" ht="9.9499999999999993" hidden="1" customHeight="1" x14ac:dyDescent="0.2"/>
    <row r="21968" ht="9.9499999999999993" hidden="1" customHeight="1" x14ac:dyDescent="0.2"/>
    <row r="21969" ht="9.9499999999999993" hidden="1" customHeight="1" x14ac:dyDescent="0.2"/>
    <row r="21970" ht="9.9499999999999993" hidden="1" customHeight="1" x14ac:dyDescent="0.2"/>
    <row r="21971" ht="9.9499999999999993" hidden="1" customHeight="1" x14ac:dyDescent="0.2"/>
    <row r="21972" ht="9.9499999999999993" hidden="1" customHeight="1" x14ac:dyDescent="0.2"/>
    <row r="21973" ht="9.9499999999999993" hidden="1" customHeight="1" x14ac:dyDescent="0.2"/>
    <row r="21974" ht="9.9499999999999993" hidden="1" customHeight="1" x14ac:dyDescent="0.2"/>
    <row r="21975" ht="9.9499999999999993" hidden="1" customHeight="1" x14ac:dyDescent="0.2"/>
    <row r="21976" ht="9.9499999999999993" hidden="1" customHeight="1" x14ac:dyDescent="0.2"/>
    <row r="21977" ht="9.9499999999999993" hidden="1" customHeight="1" x14ac:dyDescent="0.2"/>
    <row r="21978" ht="9.9499999999999993" hidden="1" customHeight="1" x14ac:dyDescent="0.2"/>
    <row r="21979" ht="9.9499999999999993" hidden="1" customHeight="1" x14ac:dyDescent="0.2"/>
    <row r="21980" ht="9.9499999999999993" hidden="1" customHeight="1" x14ac:dyDescent="0.2"/>
    <row r="21981" ht="9.9499999999999993" hidden="1" customHeight="1" x14ac:dyDescent="0.2"/>
    <row r="21982" ht="9.9499999999999993" hidden="1" customHeight="1" x14ac:dyDescent="0.2"/>
    <row r="21983" ht="9.9499999999999993" hidden="1" customHeight="1" x14ac:dyDescent="0.2"/>
    <row r="21984" ht="9.9499999999999993" hidden="1" customHeight="1" x14ac:dyDescent="0.2"/>
    <row r="21985" ht="9.9499999999999993" hidden="1" customHeight="1" x14ac:dyDescent="0.2"/>
    <row r="21986" ht="9.9499999999999993" hidden="1" customHeight="1" x14ac:dyDescent="0.2"/>
    <row r="21987" ht="9.9499999999999993" hidden="1" customHeight="1" x14ac:dyDescent="0.2"/>
    <row r="21988" ht="9.9499999999999993" hidden="1" customHeight="1" x14ac:dyDescent="0.2"/>
    <row r="21989" ht="9.9499999999999993" hidden="1" customHeight="1" x14ac:dyDescent="0.2"/>
    <row r="21990" ht="9.9499999999999993" hidden="1" customHeight="1" x14ac:dyDescent="0.2"/>
    <row r="21991" ht="9.9499999999999993" hidden="1" customHeight="1" x14ac:dyDescent="0.2"/>
    <row r="21992" ht="9.9499999999999993" hidden="1" customHeight="1" x14ac:dyDescent="0.2"/>
    <row r="21993" ht="9.9499999999999993" hidden="1" customHeight="1" x14ac:dyDescent="0.2"/>
    <row r="21994" ht="9.9499999999999993" hidden="1" customHeight="1" x14ac:dyDescent="0.2"/>
    <row r="21995" ht="9.9499999999999993" hidden="1" customHeight="1" x14ac:dyDescent="0.2"/>
    <row r="21996" ht="9.9499999999999993" hidden="1" customHeight="1" x14ac:dyDescent="0.2"/>
    <row r="21997" ht="9.9499999999999993" hidden="1" customHeight="1" x14ac:dyDescent="0.2"/>
    <row r="21998" ht="9.9499999999999993" hidden="1" customHeight="1" x14ac:dyDescent="0.2"/>
    <row r="21999" ht="9.9499999999999993" hidden="1" customHeight="1" x14ac:dyDescent="0.2"/>
    <row r="22000" ht="9.9499999999999993" hidden="1" customHeight="1" x14ac:dyDescent="0.2"/>
    <row r="22001" ht="9.9499999999999993" hidden="1" customHeight="1" x14ac:dyDescent="0.2"/>
    <row r="22002" ht="9.9499999999999993" hidden="1" customHeight="1" x14ac:dyDescent="0.2"/>
    <row r="22003" ht="9.9499999999999993" hidden="1" customHeight="1" x14ac:dyDescent="0.2"/>
    <row r="22004" ht="9.9499999999999993" hidden="1" customHeight="1" x14ac:dyDescent="0.2"/>
    <row r="22005" ht="9.9499999999999993" hidden="1" customHeight="1" x14ac:dyDescent="0.2"/>
    <row r="22006" ht="9.9499999999999993" hidden="1" customHeight="1" x14ac:dyDescent="0.2"/>
    <row r="22007" ht="9.9499999999999993" hidden="1" customHeight="1" x14ac:dyDescent="0.2"/>
    <row r="22008" ht="9.9499999999999993" hidden="1" customHeight="1" x14ac:dyDescent="0.2"/>
    <row r="22009" ht="9.9499999999999993" hidden="1" customHeight="1" x14ac:dyDescent="0.2"/>
    <row r="22010" ht="9.9499999999999993" hidden="1" customHeight="1" x14ac:dyDescent="0.2"/>
    <row r="22011" ht="9.9499999999999993" hidden="1" customHeight="1" x14ac:dyDescent="0.2"/>
    <row r="22012" ht="9.9499999999999993" hidden="1" customHeight="1" x14ac:dyDescent="0.2"/>
    <row r="22013" ht="9.9499999999999993" hidden="1" customHeight="1" x14ac:dyDescent="0.2"/>
    <row r="22014" ht="9.9499999999999993" hidden="1" customHeight="1" x14ac:dyDescent="0.2"/>
    <row r="22015" ht="9.9499999999999993" hidden="1" customHeight="1" x14ac:dyDescent="0.2"/>
    <row r="22016" ht="9.9499999999999993" hidden="1" customHeight="1" x14ac:dyDescent="0.2"/>
    <row r="22017" ht="9.9499999999999993" hidden="1" customHeight="1" x14ac:dyDescent="0.2"/>
    <row r="22018" ht="9.9499999999999993" hidden="1" customHeight="1" x14ac:dyDescent="0.2"/>
    <row r="22019" ht="9.9499999999999993" hidden="1" customHeight="1" x14ac:dyDescent="0.2"/>
    <row r="22020" ht="9.9499999999999993" hidden="1" customHeight="1" x14ac:dyDescent="0.2"/>
    <row r="22021" ht="9.9499999999999993" hidden="1" customHeight="1" x14ac:dyDescent="0.2"/>
    <row r="22022" ht="9.9499999999999993" hidden="1" customHeight="1" x14ac:dyDescent="0.2"/>
    <row r="22023" ht="9.9499999999999993" hidden="1" customHeight="1" x14ac:dyDescent="0.2"/>
    <row r="22024" ht="9.9499999999999993" hidden="1" customHeight="1" x14ac:dyDescent="0.2"/>
    <row r="22025" ht="9.9499999999999993" hidden="1" customHeight="1" x14ac:dyDescent="0.2"/>
    <row r="22026" ht="9.9499999999999993" hidden="1" customHeight="1" x14ac:dyDescent="0.2"/>
    <row r="22027" ht="9.9499999999999993" hidden="1" customHeight="1" x14ac:dyDescent="0.2"/>
    <row r="22028" ht="9.9499999999999993" hidden="1" customHeight="1" x14ac:dyDescent="0.2"/>
    <row r="22029" ht="9.9499999999999993" hidden="1" customHeight="1" x14ac:dyDescent="0.2"/>
    <row r="22030" ht="9.9499999999999993" hidden="1" customHeight="1" x14ac:dyDescent="0.2"/>
    <row r="22031" ht="9.9499999999999993" hidden="1" customHeight="1" x14ac:dyDescent="0.2"/>
    <row r="22032" ht="9.9499999999999993" hidden="1" customHeight="1" x14ac:dyDescent="0.2"/>
    <row r="22033" ht="9.9499999999999993" hidden="1" customHeight="1" x14ac:dyDescent="0.2"/>
    <row r="22034" ht="9.9499999999999993" hidden="1" customHeight="1" x14ac:dyDescent="0.2"/>
    <row r="22035" ht="9.9499999999999993" hidden="1" customHeight="1" x14ac:dyDescent="0.2"/>
    <row r="22036" ht="9.9499999999999993" hidden="1" customHeight="1" x14ac:dyDescent="0.2"/>
    <row r="22037" ht="9.9499999999999993" hidden="1" customHeight="1" x14ac:dyDescent="0.2"/>
    <row r="22038" ht="9.9499999999999993" hidden="1" customHeight="1" x14ac:dyDescent="0.2"/>
    <row r="22039" ht="9.9499999999999993" hidden="1" customHeight="1" x14ac:dyDescent="0.2"/>
    <row r="22040" ht="9.9499999999999993" hidden="1" customHeight="1" x14ac:dyDescent="0.2"/>
    <row r="22041" ht="9.9499999999999993" hidden="1" customHeight="1" x14ac:dyDescent="0.2"/>
    <row r="22042" ht="9.9499999999999993" hidden="1" customHeight="1" x14ac:dyDescent="0.2"/>
    <row r="22043" ht="9.9499999999999993" hidden="1" customHeight="1" x14ac:dyDescent="0.2"/>
    <row r="22044" ht="9.9499999999999993" hidden="1" customHeight="1" x14ac:dyDescent="0.2"/>
    <row r="22045" ht="9.9499999999999993" hidden="1" customHeight="1" x14ac:dyDescent="0.2"/>
    <row r="22046" ht="9.9499999999999993" hidden="1" customHeight="1" x14ac:dyDescent="0.2"/>
    <row r="22047" ht="9.9499999999999993" hidden="1" customHeight="1" x14ac:dyDescent="0.2"/>
    <row r="22048" ht="9.9499999999999993" hidden="1" customHeight="1" x14ac:dyDescent="0.2"/>
    <row r="22049" ht="9.9499999999999993" hidden="1" customHeight="1" x14ac:dyDescent="0.2"/>
    <row r="22050" ht="9.9499999999999993" hidden="1" customHeight="1" x14ac:dyDescent="0.2"/>
    <row r="22051" ht="9.9499999999999993" hidden="1" customHeight="1" x14ac:dyDescent="0.2"/>
    <row r="22052" ht="9.9499999999999993" hidden="1" customHeight="1" x14ac:dyDescent="0.2"/>
    <row r="22053" ht="9.9499999999999993" hidden="1" customHeight="1" x14ac:dyDescent="0.2"/>
    <row r="22054" ht="9.9499999999999993" hidden="1" customHeight="1" x14ac:dyDescent="0.2"/>
    <row r="22055" ht="9.9499999999999993" hidden="1" customHeight="1" x14ac:dyDescent="0.2"/>
    <row r="22056" ht="9.9499999999999993" hidden="1" customHeight="1" x14ac:dyDescent="0.2"/>
    <row r="22057" ht="9.9499999999999993" hidden="1" customHeight="1" x14ac:dyDescent="0.2"/>
    <row r="22058" ht="9.9499999999999993" hidden="1" customHeight="1" x14ac:dyDescent="0.2"/>
    <row r="22059" ht="9.9499999999999993" hidden="1" customHeight="1" x14ac:dyDescent="0.2"/>
    <row r="22060" ht="9.9499999999999993" hidden="1" customHeight="1" x14ac:dyDescent="0.2"/>
    <row r="22061" ht="9.9499999999999993" hidden="1" customHeight="1" x14ac:dyDescent="0.2"/>
    <row r="22062" ht="9.9499999999999993" hidden="1" customHeight="1" x14ac:dyDescent="0.2"/>
    <row r="22063" ht="9.9499999999999993" hidden="1" customHeight="1" x14ac:dyDescent="0.2"/>
    <row r="22064" ht="9.9499999999999993" hidden="1" customHeight="1" x14ac:dyDescent="0.2"/>
    <row r="22065" ht="9.9499999999999993" hidden="1" customHeight="1" x14ac:dyDescent="0.2"/>
    <row r="22066" ht="9.9499999999999993" hidden="1" customHeight="1" x14ac:dyDescent="0.2"/>
    <row r="22067" ht="9.9499999999999993" hidden="1" customHeight="1" x14ac:dyDescent="0.2"/>
    <row r="22068" ht="9.9499999999999993" hidden="1" customHeight="1" x14ac:dyDescent="0.2"/>
    <row r="22069" ht="9.9499999999999993" hidden="1" customHeight="1" x14ac:dyDescent="0.2"/>
    <row r="22070" ht="9.9499999999999993" hidden="1" customHeight="1" x14ac:dyDescent="0.2"/>
    <row r="22071" ht="9.9499999999999993" hidden="1" customHeight="1" x14ac:dyDescent="0.2"/>
    <row r="22072" ht="9.9499999999999993" hidden="1" customHeight="1" x14ac:dyDescent="0.2"/>
    <row r="22073" ht="9.9499999999999993" hidden="1" customHeight="1" x14ac:dyDescent="0.2"/>
    <row r="22074" ht="9.9499999999999993" hidden="1" customHeight="1" x14ac:dyDescent="0.2"/>
    <row r="22075" ht="9.9499999999999993" hidden="1" customHeight="1" x14ac:dyDescent="0.2"/>
    <row r="22076" ht="9.9499999999999993" hidden="1" customHeight="1" x14ac:dyDescent="0.2"/>
    <row r="22077" ht="9.9499999999999993" hidden="1" customHeight="1" x14ac:dyDescent="0.2"/>
    <row r="22078" ht="9.9499999999999993" hidden="1" customHeight="1" x14ac:dyDescent="0.2"/>
    <row r="22079" ht="9.9499999999999993" hidden="1" customHeight="1" x14ac:dyDescent="0.2"/>
    <row r="22080" ht="9.9499999999999993" hidden="1" customHeight="1" x14ac:dyDescent="0.2"/>
    <row r="22081" ht="9.9499999999999993" hidden="1" customHeight="1" x14ac:dyDescent="0.2"/>
    <row r="22082" ht="9.9499999999999993" hidden="1" customHeight="1" x14ac:dyDescent="0.2"/>
    <row r="22083" ht="9.9499999999999993" hidden="1" customHeight="1" x14ac:dyDescent="0.2"/>
    <row r="22084" ht="9.9499999999999993" hidden="1" customHeight="1" x14ac:dyDescent="0.2"/>
    <row r="22085" ht="9.9499999999999993" hidden="1" customHeight="1" x14ac:dyDescent="0.2"/>
    <row r="22086" ht="9.9499999999999993" hidden="1" customHeight="1" x14ac:dyDescent="0.2"/>
    <row r="22087" ht="9.9499999999999993" hidden="1" customHeight="1" x14ac:dyDescent="0.2"/>
    <row r="22088" ht="9.9499999999999993" hidden="1" customHeight="1" x14ac:dyDescent="0.2"/>
    <row r="22089" ht="9.9499999999999993" hidden="1" customHeight="1" x14ac:dyDescent="0.2"/>
    <row r="22090" ht="9.9499999999999993" hidden="1" customHeight="1" x14ac:dyDescent="0.2"/>
    <row r="22091" ht="9.9499999999999993" hidden="1" customHeight="1" x14ac:dyDescent="0.2"/>
    <row r="22092" ht="9.9499999999999993" hidden="1" customHeight="1" x14ac:dyDescent="0.2"/>
    <row r="22093" ht="9.9499999999999993" hidden="1" customHeight="1" x14ac:dyDescent="0.2"/>
    <row r="22094" ht="9.9499999999999993" hidden="1" customHeight="1" x14ac:dyDescent="0.2"/>
    <row r="22095" ht="9.9499999999999993" hidden="1" customHeight="1" x14ac:dyDescent="0.2"/>
    <row r="22096" ht="9.9499999999999993" hidden="1" customHeight="1" x14ac:dyDescent="0.2"/>
    <row r="22097" ht="9.9499999999999993" hidden="1" customHeight="1" x14ac:dyDescent="0.2"/>
    <row r="22098" ht="9.9499999999999993" hidden="1" customHeight="1" x14ac:dyDescent="0.2"/>
    <row r="22099" ht="9.9499999999999993" hidden="1" customHeight="1" x14ac:dyDescent="0.2"/>
    <row r="22100" ht="9.9499999999999993" hidden="1" customHeight="1" x14ac:dyDescent="0.2"/>
    <row r="22101" ht="9.9499999999999993" hidden="1" customHeight="1" x14ac:dyDescent="0.2"/>
    <row r="22102" ht="9.9499999999999993" hidden="1" customHeight="1" x14ac:dyDescent="0.2"/>
    <row r="22103" ht="9.9499999999999993" hidden="1" customHeight="1" x14ac:dyDescent="0.2"/>
    <row r="22104" ht="9.9499999999999993" hidden="1" customHeight="1" x14ac:dyDescent="0.2"/>
    <row r="22105" ht="9.9499999999999993" hidden="1" customHeight="1" x14ac:dyDescent="0.2"/>
    <row r="22106" ht="9.9499999999999993" hidden="1" customHeight="1" x14ac:dyDescent="0.2"/>
    <row r="22107" ht="9.9499999999999993" hidden="1" customHeight="1" x14ac:dyDescent="0.2"/>
    <row r="22108" ht="9.9499999999999993" hidden="1" customHeight="1" x14ac:dyDescent="0.2"/>
    <row r="22109" ht="9.9499999999999993" hidden="1" customHeight="1" x14ac:dyDescent="0.2"/>
    <row r="22110" ht="9.9499999999999993" hidden="1" customHeight="1" x14ac:dyDescent="0.2"/>
    <row r="22111" ht="9.9499999999999993" hidden="1" customHeight="1" x14ac:dyDescent="0.2"/>
    <row r="22112" ht="9.9499999999999993" hidden="1" customHeight="1" x14ac:dyDescent="0.2"/>
    <row r="22113" ht="9.9499999999999993" hidden="1" customHeight="1" x14ac:dyDescent="0.2"/>
    <row r="22114" ht="9.9499999999999993" hidden="1" customHeight="1" x14ac:dyDescent="0.2"/>
    <row r="22115" ht="9.9499999999999993" hidden="1" customHeight="1" x14ac:dyDescent="0.2"/>
    <row r="22116" ht="9.9499999999999993" hidden="1" customHeight="1" x14ac:dyDescent="0.2"/>
    <row r="22117" ht="9.9499999999999993" hidden="1" customHeight="1" x14ac:dyDescent="0.2"/>
    <row r="22118" ht="9.9499999999999993" hidden="1" customHeight="1" x14ac:dyDescent="0.2"/>
    <row r="22119" ht="9.9499999999999993" hidden="1" customHeight="1" x14ac:dyDescent="0.2"/>
    <row r="22120" ht="9.9499999999999993" hidden="1" customHeight="1" x14ac:dyDescent="0.2"/>
    <row r="22121" ht="9.9499999999999993" hidden="1" customHeight="1" x14ac:dyDescent="0.2"/>
    <row r="22122" ht="9.9499999999999993" hidden="1" customHeight="1" x14ac:dyDescent="0.2"/>
    <row r="22123" ht="9.9499999999999993" hidden="1" customHeight="1" x14ac:dyDescent="0.2"/>
    <row r="22124" ht="9.9499999999999993" hidden="1" customHeight="1" x14ac:dyDescent="0.2"/>
    <row r="22125" ht="9.9499999999999993" hidden="1" customHeight="1" x14ac:dyDescent="0.2"/>
    <row r="22126" ht="9.9499999999999993" hidden="1" customHeight="1" x14ac:dyDescent="0.2"/>
    <row r="22127" ht="9.9499999999999993" hidden="1" customHeight="1" x14ac:dyDescent="0.2"/>
    <row r="22128" ht="9.9499999999999993" hidden="1" customHeight="1" x14ac:dyDescent="0.2"/>
    <row r="22129" ht="9.9499999999999993" hidden="1" customHeight="1" x14ac:dyDescent="0.2"/>
    <row r="22130" ht="9.9499999999999993" hidden="1" customHeight="1" x14ac:dyDescent="0.2"/>
    <row r="22131" ht="9.9499999999999993" hidden="1" customHeight="1" x14ac:dyDescent="0.2"/>
    <row r="22132" ht="9.9499999999999993" hidden="1" customHeight="1" x14ac:dyDescent="0.2"/>
    <row r="22133" ht="9.9499999999999993" hidden="1" customHeight="1" x14ac:dyDescent="0.2"/>
    <row r="22134" ht="9.9499999999999993" hidden="1" customHeight="1" x14ac:dyDescent="0.2"/>
    <row r="22135" ht="9.9499999999999993" hidden="1" customHeight="1" x14ac:dyDescent="0.2"/>
    <row r="22136" ht="9.9499999999999993" hidden="1" customHeight="1" x14ac:dyDescent="0.2"/>
    <row r="22137" ht="9.9499999999999993" hidden="1" customHeight="1" x14ac:dyDescent="0.2"/>
    <row r="22138" ht="9.9499999999999993" hidden="1" customHeight="1" x14ac:dyDescent="0.2"/>
    <row r="22139" ht="9.9499999999999993" hidden="1" customHeight="1" x14ac:dyDescent="0.2"/>
    <row r="22140" ht="9.9499999999999993" hidden="1" customHeight="1" x14ac:dyDescent="0.2"/>
    <row r="22141" ht="9.9499999999999993" hidden="1" customHeight="1" x14ac:dyDescent="0.2"/>
    <row r="22142" ht="9.9499999999999993" hidden="1" customHeight="1" x14ac:dyDescent="0.2"/>
    <row r="22143" ht="9.9499999999999993" hidden="1" customHeight="1" x14ac:dyDescent="0.2"/>
    <row r="22144" ht="9.9499999999999993" hidden="1" customHeight="1" x14ac:dyDescent="0.2"/>
    <row r="22145" ht="9.9499999999999993" hidden="1" customHeight="1" x14ac:dyDescent="0.2"/>
    <row r="22146" ht="9.9499999999999993" hidden="1" customHeight="1" x14ac:dyDescent="0.2"/>
    <row r="22147" ht="9.9499999999999993" hidden="1" customHeight="1" x14ac:dyDescent="0.2"/>
    <row r="22148" ht="9.9499999999999993" hidden="1" customHeight="1" x14ac:dyDescent="0.2"/>
    <row r="22149" ht="9.9499999999999993" hidden="1" customHeight="1" x14ac:dyDescent="0.2"/>
    <row r="22150" ht="9.9499999999999993" hidden="1" customHeight="1" x14ac:dyDescent="0.2"/>
    <row r="22151" ht="9.9499999999999993" hidden="1" customHeight="1" x14ac:dyDescent="0.2"/>
    <row r="22152" ht="9.9499999999999993" hidden="1" customHeight="1" x14ac:dyDescent="0.2"/>
    <row r="22153" ht="9.9499999999999993" hidden="1" customHeight="1" x14ac:dyDescent="0.2"/>
    <row r="22154" ht="9.9499999999999993" hidden="1" customHeight="1" x14ac:dyDescent="0.2"/>
    <row r="22155" ht="9.9499999999999993" hidden="1" customHeight="1" x14ac:dyDescent="0.2"/>
    <row r="22156" ht="9.9499999999999993" hidden="1" customHeight="1" x14ac:dyDescent="0.2"/>
    <row r="22157" ht="9.9499999999999993" hidden="1" customHeight="1" x14ac:dyDescent="0.2"/>
    <row r="22158" ht="9.9499999999999993" hidden="1" customHeight="1" x14ac:dyDescent="0.2"/>
    <row r="22159" ht="9.9499999999999993" hidden="1" customHeight="1" x14ac:dyDescent="0.2"/>
    <row r="22160" ht="9.9499999999999993" hidden="1" customHeight="1" x14ac:dyDescent="0.2"/>
    <row r="22161" ht="9.9499999999999993" hidden="1" customHeight="1" x14ac:dyDescent="0.2"/>
    <row r="22162" ht="9.9499999999999993" hidden="1" customHeight="1" x14ac:dyDescent="0.2"/>
    <row r="22163" ht="9.9499999999999993" hidden="1" customHeight="1" x14ac:dyDescent="0.2"/>
    <row r="22164" ht="9.9499999999999993" hidden="1" customHeight="1" x14ac:dyDescent="0.2"/>
    <row r="22165" ht="9.9499999999999993" hidden="1" customHeight="1" x14ac:dyDescent="0.2"/>
    <row r="22166" ht="9.9499999999999993" hidden="1" customHeight="1" x14ac:dyDescent="0.2"/>
    <row r="22167" ht="9.9499999999999993" hidden="1" customHeight="1" x14ac:dyDescent="0.2"/>
    <row r="22168" ht="9.9499999999999993" hidden="1" customHeight="1" x14ac:dyDescent="0.2"/>
    <row r="22169" ht="9.9499999999999993" hidden="1" customHeight="1" x14ac:dyDescent="0.2"/>
    <row r="22170" ht="9.9499999999999993" hidden="1" customHeight="1" x14ac:dyDescent="0.2"/>
    <row r="22171" ht="9.9499999999999993" hidden="1" customHeight="1" x14ac:dyDescent="0.2"/>
    <row r="22172" ht="9.9499999999999993" hidden="1" customHeight="1" x14ac:dyDescent="0.2"/>
    <row r="22173" ht="9.9499999999999993" hidden="1" customHeight="1" x14ac:dyDescent="0.2"/>
    <row r="22174" ht="9.9499999999999993" hidden="1" customHeight="1" x14ac:dyDescent="0.2"/>
    <row r="22175" ht="9.9499999999999993" hidden="1" customHeight="1" x14ac:dyDescent="0.2"/>
    <row r="22176" ht="9.9499999999999993" hidden="1" customHeight="1" x14ac:dyDescent="0.2"/>
    <row r="22177" ht="9.9499999999999993" hidden="1" customHeight="1" x14ac:dyDescent="0.2"/>
    <row r="22178" ht="9.9499999999999993" hidden="1" customHeight="1" x14ac:dyDescent="0.2"/>
    <row r="22179" ht="9.9499999999999993" hidden="1" customHeight="1" x14ac:dyDescent="0.2"/>
    <row r="22180" ht="9.9499999999999993" hidden="1" customHeight="1" x14ac:dyDescent="0.2"/>
    <row r="22181" ht="9.9499999999999993" hidden="1" customHeight="1" x14ac:dyDescent="0.2"/>
    <row r="22182" ht="9.9499999999999993" hidden="1" customHeight="1" x14ac:dyDescent="0.2"/>
    <row r="22183" ht="9.9499999999999993" hidden="1" customHeight="1" x14ac:dyDescent="0.2"/>
    <row r="22184" ht="9.9499999999999993" hidden="1" customHeight="1" x14ac:dyDescent="0.2"/>
    <row r="22185" ht="9.9499999999999993" hidden="1" customHeight="1" x14ac:dyDescent="0.2"/>
    <row r="22186" ht="9.9499999999999993" hidden="1" customHeight="1" x14ac:dyDescent="0.2"/>
    <row r="22187" ht="9.9499999999999993" hidden="1" customHeight="1" x14ac:dyDescent="0.2"/>
    <row r="22188" ht="9.9499999999999993" hidden="1" customHeight="1" x14ac:dyDescent="0.2"/>
    <row r="22189" ht="9.9499999999999993" hidden="1" customHeight="1" x14ac:dyDescent="0.2"/>
    <row r="22190" ht="9.9499999999999993" hidden="1" customHeight="1" x14ac:dyDescent="0.2"/>
    <row r="22191" ht="9.9499999999999993" hidden="1" customHeight="1" x14ac:dyDescent="0.2"/>
    <row r="22192" ht="9.9499999999999993" hidden="1" customHeight="1" x14ac:dyDescent="0.2"/>
    <row r="22193" ht="9.9499999999999993" hidden="1" customHeight="1" x14ac:dyDescent="0.2"/>
    <row r="22194" ht="9.9499999999999993" hidden="1" customHeight="1" x14ac:dyDescent="0.2"/>
    <row r="22195" ht="9.9499999999999993" hidden="1" customHeight="1" x14ac:dyDescent="0.2"/>
    <row r="22196" ht="9.9499999999999993" hidden="1" customHeight="1" x14ac:dyDescent="0.2"/>
    <row r="22197" ht="9.9499999999999993" hidden="1" customHeight="1" x14ac:dyDescent="0.2"/>
    <row r="22198" ht="9.9499999999999993" hidden="1" customHeight="1" x14ac:dyDescent="0.2"/>
    <row r="22199" ht="9.9499999999999993" hidden="1" customHeight="1" x14ac:dyDescent="0.2"/>
    <row r="22200" ht="9.9499999999999993" hidden="1" customHeight="1" x14ac:dyDescent="0.2"/>
    <row r="22201" ht="9.9499999999999993" hidden="1" customHeight="1" x14ac:dyDescent="0.2"/>
    <row r="22202" ht="9.9499999999999993" hidden="1" customHeight="1" x14ac:dyDescent="0.2"/>
    <row r="22203" ht="9.9499999999999993" hidden="1" customHeight="1" x14ac:dyDescent="0.2"/>
    <row r="22204" ht="9.9499999999999993" hidden="1" customHeight="1" x14ac:dyDescent="0.2"/>
    <row r="22205" ht="9.9499999999999993" hidden="1" customHeight="1" x14ac:dyDescent="0.2"/>
    <row r="22206" ht="9.9499999999999993" hidden="1" customHeight="1" x14ac:dyDescent="0.2"/>
    <row r="22207" ht="9.9499999999999993" hidden="1" customHeight="1" x14ac:dyDescent="0.2"/>
    <row r="22208" ht="9.9499999999999993" hidden="1" customHeight="1" x14ac:dyDescent="0.2"/>
    <row r="22209" ht="9.9499999999999993" hidden="1" customHeight="1" x14ac:dyDescent="0.2"/>
    <row r="22210" ht="9.9499999999999993" hidden="1" customHeight="1" x14ac:dyDescent="0.2"/>
    <row r="22211" ht="9.9499999999999993" hidden="1" customHeight="1" x14ac:dyDescent="0.2"/>
    <row r="22212" ht="9.9499999999999993" hidden="1" customHeight="1" x14ac:dyDescent="0.2"/>
    <row r="22213" ht="9.9499999999999993" hidden="1" customHeight="1" x14ac:dyDescent="0.2"/>
    <row r="22214" ht="9.9499999999999993" hidden="1" customHeight="1" x14ac:dyDescent="0.2"/>
    <row r="22215" ht="9.9499999999999993" hidden="1" customHeight="1" x14ac:dyDescent="0.2"/>
    <row r="22216" ht="9.9499999999999993" hidden="1" customHeight="1" x14ac:dyDescent="0.2"/>
    <row r="22217" ht="9.9499999999999993" hidden="1" customHeight="1" x14ac:dyDescent="0.2"/>
    <row r="22218" ht="9.9499999999999993" hidden="1" customHeight="1" x14ac:dyDescent="0.2"/>
    <row r="22219" ht="9.9499999999999993" hidden="1" customHeight="1" x14ac:dyDescent="0.2"/>
    <row r="22220" ht="9.9499999999999993" hidden="1" customHeight="1" x14ac:dyDescent="0.2"/>
    <row r="22221" ht="9.9499999999999993" hidden="1" customHeight="1" x14ac:dyDescent="0.2"/>
    <row r="22222" ht="9.9499999999999993" hidden="1" customHeight="1" x14ac:dyDescent="0.2"/>
    <row r="22223" ht="9.9499999999999993" hidden="1" customHeight="1" x14ac:dyDescent="0.2"/>
    <row r="22224" ht="9.9499999999999993" hidden="1" customHeight="1" x14ac:dyDescent="0.2"/>
    <row r="22225" ht="9.9499999999999993" hidden="1" customHeight="1" x14ac:dyDescent="0.2"/>
    <row r="22226" ht="9.9499999999999993" hidden="1" customHeight="1" x14ac:dyDescent="0.2"/>
    <row r="22227" ht="9.9499999999999993" hidden="1" customHeight="1" x14ac:dyDescent="0.2"/>
    <row r="22228" ht="9.9499999999999993" hidden="1" customHeight="1" x14ac:dyDescent="0.2"/>
    <row r="22229" ht="9.9499999999999993" hidden="1" customHeight="1" x14ac:dyDescent="0.2"/>
    <row r="22230" ht="9.9499999999999993" hidden="1" customHeight="1" x14ac:dyDescent="0.2"/>
    <row r="22231" ht="9.9499999999999993" hidden="1" customHeight="1" x14ac:dyDescent="0.2"/>
    <row r="22232" ht="9.9499999999999993" hidden="1" customHeight="1" x14ac:dyDescent="0.2"/>
    <row r="22233" ht="9.9499999999999993" hidden="1" customHeight="1" x14ac:dyDescent="0.2"/>
    <row r="22234" ht="9.9499999999999993" hidden="1" customHeight="1" x14ac:dyDescent="0.2"/>
    <row r="22235" ht="9.9499999999999993" hidden="1" customHeight="1" x14ac:dyDescent="0.2"/>
    <row r="22236" ht="9.9499999999999993" hidden="1" customHeight="1" x14ac:dyDescent="0.2"/>
    <row r="22237" ht="9.9499999999999993" hidden="1" customHeight="1" x14ac:dyDescent="0.2"/>
    <row r="22238" ht="9.9499999999999993" hidden="1" customHeight="1" x14ac:dyDescent="0.2"/>
    <row r="22239" ht="9.9499999999999993" hidden="1" customHeight="1" x14ac:dyDescent="0.2"/>
    <row r="22240" ht="9.9499999999999993" hidden="1" customHeight="1" x14ac:dyDescent="0.2"/>
    <row r="22241" ht="9.9499999999999993" hidden="1" customHeight="1" x14ac:dyDescent="0.2"/>
    <row r="22242" ht="9.9499999999999993" hidden="1" customHeight="1" x14ac:dyDescent="0.2"/>
    <row r="22243" ht="9.9499999999999993" hidden="1" customHeight="1" x14ac:dyDescent="0.2"/>
    <row r="22244" ht="9.9499999999999993" hidden="1" customHeight="1" x14ac:dyDescent="0.2"/>
    <row r="22245" ht="9.9499999999999993" hidden="1" customHeight="1" x14ac:dyDescent="0.2"/>
    <row r="22246" ht="9.9499999999999993" hidden="1" customHeight="1" x14ac:dyDescent="0.2"/>
    <row r="22247" ht="9.9499999999999993" hidden="1" customHeight="1" x14ac:dyDescent="0.2"/>
    <row r="22248" ht="9.9499999999999993" hidden="1" customHeight="1" x14ac:dyDescent="0.2"/>
    <row r="22249" ht="9.9499999999999993" hidden="1" customHeight="1" x14ac:dyDescent="0.2"/>
    <row r="22250" ht="9.9499999999999993" hidden="1" customHeight="1" x14ac:dyDescent="0.2"/>
    <row r="22251" ht="9.9499999999999993" hidden="1" customHeight="1" x14ac:dyDescent="0.2"/>
    <row r="22252" ht="9.9499999999999993" hidden="1" customHeight="1" x14ac:dyDescent="0.2"/>
    <row r="22253" ht="9.9499999999999993" hidden="1" customHeight="1" x14ac:dyDescent="0.2"/>
    <row r="22254" ht="9.9499999999999993" hidden="1" customHeight="1" x14ac:dyDescent="0.2"/>
    <row r="22255" ht="9.9499999999999993" hidden="1" customHeight="1" x14ac:dyDescent="0.2"/>
    <row r="22256" ht="9.9499999999999993" hidden="1" customHeight="1" x14ac:dyDescent="0.2"/>
    <row r="22257" ht="9.9499999999999993" hidden="1" customHeight="1" x14ac:dyDescent="0.2"/>
    <row r="22258" ht="9.9499999999999993" hidden="1" customHeight="1" x14ac:dyDescent="0.2"/>
    <row r="22259" ht="9.9499999999999993" hidden="1" customHeight="1" x14ac:dyDescent="0.2"/>
    <row r="22260" ht="9.9499999999999993" hidden="1" customHeight="1" x14ac:dyDescent="0.2"/>
    <row r="22261" ht="9.9499999999999993" hidden="1" customHeight="1" x14ac:dyDescent="0.2"/>
    <row r="22262" ht="9.9499999999999993" hidden="1" customHeight="1" x14ac:dyDescent="0.2"/>
    <row r="22263" ht="9.9499999999999993" hidden="1" customHeight="1" x14ac:dyDescent="0.2"/>
    <row r="22264" ht="9.9499999999999993" hidden="1" customHeight="1" x14ac:dyDescent="0.2"/>
    <row r="22265" ht="9.9499999999999993" hidden="1" customHeight="1" x14ac:dyDescent="0.2"/>
    <row r="22266" ht="9.9499999999999993" hidden="1" customHeight="1" x14ac:dyDescent="0.2"/>
    <row r="22267" ht="9.9499999999999993" hidden="1" customHeight="1" x14ac:dyDescent="0.2"/>
    <row r="22268" ht="9.9499999999999993" hidden="1" customHeight="1" x14ac:dyDescent="0.2"/>
    <row r="22269" ht="9.9499999999999993" hidden="1" customHeight="1" x14ac:dyDescent="0.2"/>
    <row r="22270" ht="9.9499999999999993" hidden="1" customHeight="1" x14ac:dyDescent="0.2"/>
    <row r="22271" ht="9.9499999999999993" hidden="1" customHeight="1" x14ac:dyDescent="0.2"/>
    <row r="22272" ht="9.9499999999999993" hidden="1" customHeight="1" x14ac:dyDescent="0.2"/>
    <row r="22273" ht="9.9499999999999993" hidden="1" customHeight="1" x14ac:dyDescent="0.2"/>
    <row r="22274" ht="9.9499999999999993" hidden="1" customHeight="1" x14ac:dyDescent="0.2"/>
    <row r="22275" ht="9.9499999999999993" hidden="1" customHeight="1" x14ac:dyDescent="0.2"/>
    <row r="22276" ht="9.9499999999999993" hidden="1" customHeight="1" x14ac:dyDescent="0.2"/>
    <row r="22277" ht="9.9499999999999993" hidden="1" customHeight="1" x14ac:dyDescent="0.2"/>
    <row r="22278" ht="9.9499999999999993" hidden="1" customHeight="1" x14ac:dyDescent="0.2"/>
    <row r="22279" ht="9.9499999999999993" hidden="1" customHeight="1" x14ac:dyDescent="0.2"/>
    <row r="22280" ht="9.9499999999999993" hidden="1" customHeight="1" x14ac:dyDescent="0.2"/>
    <row r="22281" ht="9.9499999999999993" hidden="1" customHeight="1" x14ac:dyDescent="0.2"/>
    <row r="22282" ht="9.9499999999999993" hidden="1" customHeight="1" x14ac:dyDescent="0.2"/>
    <row r="22283" ht="9.9499999999999993" hidden="1" customHeight="1" x14ac:dyDescent="0.2"/>
    <row r="22284" ht="9.9499999999999993" hidden="1" customHeight="1" x14ac:dyDescent="0.2"/>
    <row r="22285" ht="9.9499999999999993" hidden="1" customHeight="1" x14ac:dyDescent="0.2"/>
    <row r="22286" ht="9.9499999999999993" hidden="1" customHeight="1" x14ac:dyDescent="0.2"/>
    <row r="22287" ht="9.9499999999999993" hidden="1" customHeight="1" x14ac:dyDescent="0.2"/>
    <row r="22288" ht="9.9499999999999993" hidden="1" customHeight="1" x14ac:dyDescent="0.2"/>
    <row r="22289" ht="9.9499999999999993" hidden="1" customHeight="1" x14ac:dyDescent="0.2"/>
    <row r="22290" ht="9.9499999999999993" hidden="1" customHeight="1" x14ac:dyDescent="0.2"/>
    <row r="22291" ht="9.9499999999999993" hidden="1" customHeight="1" x14ac:dyDescent="0.2"/>
    <row r="22292" ht="9.9499999999999993" hidden="1" customHeight="1" x14ac:dyDescent="0.2"/>
    <row r="22293" ht="9.9499999999999993" hidden="1" customHeight="1" x14ac:dyDescent="0.2"/>
    <row r="22294" ht="9.9499999999999993" hidden="1" customHeight="1" x14ac:dyDescent="0.2"/>
    <row r="22295" ht="9.9499999999999993" hidden="1" customHeight="1" x14ac:dyDescent="0.2"/>
    <row r="22296" ht="9.9499999999999993" hidden="1" customHeight="1" x14ac:dyDescent="0.2"/>
    <row r="22297" ht="9.9499999999999993" hidden="1" customHeight="1" x14ac:dyDescent="0.2"/>
    <row r="22298" ht="9.9499999999999993" hidden="1" customHeight="1" x14ac:dyDescent="0.2"/>
    <row r="22299" ht="9.9499999999999993" hidden="1" customHeight="1" x14ac:dyDescent="0.2"/>
    <row r="22300" ht="9.9499999999999993" hidden="1" customHeight="1" x14ac:dyDescent="0.2"/>
    <row r="22301" ht="9.9499999999999993" hidden="1" customHeight="1" x14ac:dyDescent="0.2"/>
    <row r="22302" ht="9.9499999999999993" hidden="1" customHeight="1" x14ac:dyDescent="0.2"/>
    <row r="22303" ht="9.9499999999999993" hidden="1" customHeight="1" x14ac:dyDescent="0.2"/>
    <row r="22304" ht="9.9499999999999993" hidden="1" customHeight="1" x14ac:dyDescent="0.2"/>
    <row r="22305" ht="9.9499999999999993" hidden="1" customHeight="1" x14ac:dyDescent="0.2"/>
    <row r="22306" ht="9.9499999999999993" hidden="1" customHeight="1" x14ac:dyDescent="0.2"/>
    <row r="22307" ht="9.9499999999999993" hidden="1" customHeight="1" x14ac:dyDescent="0.2"/>
    <row r="22308" ht="9.9499999999999993" hidden="1" customHeight="1" x14ac:dyDescent="0.2"/>
    <row r="22309" ht="9.9499999999999993" hidden="1" customHeight="1" x14ac:dyDescent="0.2"/>
    <row r="22310" ht="9.9499999999999993" hidden="1" customHeight="1" x14ac:dyDescent="0.2"/>
    <row r="22311" ht="9.9499999999999993" hidden="1" customHeight="1" x14ac:dyDescent="0.2"/>
    <row r="22312" ht="9.9499999999999993" hidden="1" customHeight="1" x14ac:dyDescent="0.2"/>
    <row r="22313" ht="9.9499999999999993" hidden="1" customHeight="1" x14ac:dyDescent="0.2"/>
    <row r="22314" ht="9.9499999999999993" hidden="1" customHeight="1" x14ac:dyDescent="0.2"/>
    <row r="22315" ht="9.9499999999999993" hidden="1" customHeight="1" x14ac:dyDescent="0.2"/>
    <row r="22316" ht="9.9499999999999993" hidden="1" customHeight="1" x14ac:dyDescent="0.2"/>
    <row r="22317" ht="9.9499999999999993" hidden="1" customHeight="1" x14ac:dyDescent="0.2"/>
    <row r="22318" ht="9.9499999999999993" hidden="1" customHeight="1" x14ac:dyDescent="0.2"/>
    <row r="22319" ht="9.9499999999999993" hidden="1" customHeight="1" x14ac:dyDescent="0.2"/>
    <row r="22320" ht="9.9499999999999993" hidden="1" customHeight="1" x14ac:dyDescent="0.2"/>
    <row r="22321" ht="9.9499999999999993" hidden="1" customHeight="1" x14ac:dyDescent="0.2"/>
    <row r="22322" ht="9.9499999999999993" hidden="1" customHeight="1" x14ac:dyDescent="0.2"/>
    <row r="22323" ht="9.9499999999999993" hidden="1" customHeight="1" x14ac:dyDescent="0.2"/>
    <row r="22324" ht="9.9499999999999993" hidden="1" customHeight="1" x14ac:dyDescent="0.2"/>
    <row r="22325" ht="9.9499999999999993" hidden="1" customHeight="1" x14ac:dyDescent="0.2"/>
    <row r="22326" ht="9.9499999999999993" hidden="1" customHeight="1" x14ac:dyDescent="0.2"/>
    <row r="22327" ht="9.9499999999999993" hidden="1" customHeight="1" x14ac:dyDescent="0.2"/>
    <row r="22328" ht="9.9499999999999993" hidden="1" customHeight="1" x14ac:dyDescent="0.2"/>
    <row r="22329" ht="9.9499999999999993" hidden="1" customHeight="1" x14ac:dyDescent="0.2"/>
    <row r="22330" ht="9.9499999999999993" hidden="1" customHeight="1" x14ac:dyDescent="0.2"/>
    <row r="22331" ht="9.9499999999999993" hidden="1" customHeight="1" x14ac:dyDescent="0.2"/>
    <row r="22332" ht="9.9499999999999993" hidden="1" customHeight="1" x14ac:dyDescent="0.2"/>
    <row r="22333" ht="9.9499999999999993" hidden="1" customHeight="1" x14ac:dyDescent="0.2"/>
    <row r="22334" ht="9.9499999999999993" hidden="1" customHeight="1" x14ac:dyDescent="0.2"/>
    <row r="22335" ht="9.9499999999999993" hidden="1" customHeight="1" x14ac:dyDescent="0.2"/>
    <row r="22336" ht="9.9499999999999993" hidden="1" customHeight="1" x14ac:dyDescent="0.2"/>
    <row r="22337" ht="9.9499999999999993" hidden="1" customHeight="1" x14ac:dyDescent="0.2"/>
    <row r="22338" ht="9.9499999999999993" hidden="1" customHeight="1" x14ac:dyDescent="0.2"/>
    <row r="22339" ht="9.9499999999999993" hidden="1" customHeight="1" x14ac:dyDescent="0.2"/>
    <row r="22340" ht="9.9499999999999993" hidden="1" customHeight="1" x14ac:dyDescent="0.2"/>
    <row r="22341" ht="9.9499999999999993" hidden="1" customHeight="1" x14ac:dyDescent="0.2"/>
    <row r="22342" ht="9.9499999999999993" hidden="1" customHeight="1" x14ac:dyDescent="0.2"/>
    <row r="22343" ht="9.9499999999999993" hidden="1" customHeight="1" x14ac:dyDescent="0.2"/>
    <row r="22344" ht="9.9499999999999993" hidden="1" customHeight="1" x14ac:dyDescent="0.2"/>
    <row r="22345" ht="9.9499999999999993" hidden="1" customHeight="1" x14ac:dyDescent="0.2"/>
    <row r="22346" ht="9.9499999999999993" hidden="1" customHeight="1" x14ac:dyDescent="0.2"/>
    <row r="22347" ht="9.9499999999999993" hidden="1" customHeight="1" x14ac:dyDescent="0.2"/>
    <row r="22348" ht="9.9499999999999993" hidden="1" customHeight="1" x14ac:dyDescent="0.2"/>
    <row r="22349" ht="9.9499999999999993" hidden="1" customHeight="1" x14ac:dyDescent="0.2"/>
    <row r="22350" ht="9.9499999999999993" hidden="1" customHeight="1" x14ac:dyDescent="0.2"/>
    <row r="22351" ht="9.9499999999999993" hidden="1" customHeight="1" x14ac:dyDescent="0.2"/>
    <row r="22352" ht="9.9499999999999993" hidden="1" customHeight="1" x14ac:dyDescent="0.2"/>
    <row r="22353" ht="9.9499999999999993" hidden="1" customHeight="1" x14ac:dyDescent="0.2"/>
    <row r="22354" ht="9.9499999999999993" hidden="1" customHeight="1" x14ac:dyDescent="0.2"/>
    <row r="22355" ht="9.9499999999999993" hidden="1" customHeight="1" x14ac:dyDescent="0.2"/>
    <row r="22356" ht="9.9499999999999993" hidden="1" customHeight="1" x14ac:dyDescent="0.2"/>
    <row r="22357" ht="9.9499999999999993" hidden="1" customHeight="1" x14ac:dyDescent="0.2"/>
    <row r="22358" ht="9.9499999999999993" hidden="1" customHeight="1" x14ac:dyDescent="0.2"/>
    <row r="22359" ht="9.9499999999999993" hidden="1" customHeight="1" x14ac:dyDescent="0.2"/>
    <row r="22360" ht="9.9499999999999993" hidden="1" customHeight="1" x14ac:dyDescent="0.2"/>
    <row r="22361" ht="9.9499999999999993" hidden="1" customHeight="1" x14ac:dyDescent="0.2"/>
    <row r="22362" ht="9.9499999999999993" hidden="1" customHeight="1" x14ac:dyDescent="0.2"/>
    <row r="22363" ht="9.9499999999999993" hidden="1" customHeight="1" x14ac:dyDescent="0.2"/>
    <row r="22364" ht="9.9499999999999993" hidden="1" customHeight="1" x14ac:dyDescent="0.2"/>
    <row r="22365" ht="9.9499999999999993" hidden="1" customHeight="1" x14ac:dyDescent="0.2"/>
    <row r="22366" ht="9.9499999999999993" hidden="1" customHeight="1" x14ac:dyDescent="0.2"/>
    <row r="22367" ht="9.9499999999999993" hidden="1" customHeight="1" x14ac:dyDescent="0.2"/>
    <row r="22368" ht="9.9499999999999993" hidden="1" customHeight="1" x14ac:dyDescent="0.2"/>
    <row r="22369" ht="9.9499999999999993" hidden="1" customHeight="1" x14ac:dyDescent="0.2"/>
    <row r="22370" ht="9.9499999999999993" hidden="1" customHeight="1" x14ac:dyDescent="0.2"/>
    <row r="22371" ht="9.9499999999999993" hidden="1" customHeight="1" x14ac:dyDescent="0.2"/>
    <row r="22372" ht="9.9499999999999993" hidden="1" customHeight="1" x14ac:dyDescent="0.2"/>
    <row r="22373" ht="9.9499999999999993" hidden="1" customHeight="1" x14ac:dyDescent="0.2"/>
    <row r="22374" ht="9.9499999999999993" hidden="1" customHeight="1" x14ac:dyDescent="0.2"/>
    <row r="22375" ht="9.9499999999999993" hidden="1" customHeight="1" x14ac:dyDescent="0.2"/>
    <row r="22376" ht="9.9499999999999993" hidden="1" customHeight="1" x14ac:dyDescent="0.2"/>
    <row r="22377" ht="9.9499999999999993" hidden="1" customHeight="1" x14ac:dyDescent="0.2"/>
    <row r="22378" ht="9.9499999999999993" hidden="1" customHeight="1" x14ac:dyDescent="0.2"/>
    <row r="22379" ht="9.9499999999999993" hidden="1" customHeight="1" x14ac:dyDescent="0.2"/>
    <row r="22380" ht="9.9499999999999993" hidden="1" customHeight="1" x14ac:dyDescent="0.2"/>
    <row r="22381" ht="9.9499999999999993" hidden="1" customHeight="1" x14ac:dyDescent="0.2"/>
    <row r="22382" ht="9.9499999999999993" hidden="1" customHeight="1" x14ac:dyDescent="0.2"/>
    <row r="22383" ht="9.9499999999999993" hidden="1" customHeight="1" x14ac:dyDescent="0.2"/>
    <row r="22384" ht="9.9499999999999993" hidden="1" customHeight="1" x14ac:dyDescent="0.2"/>
    <row r="22385" ht="9.9499999999999993" hidden="1" customHeight="1" x14ac:dyDescent="0.2"/>
    <row r="22386" ht="9.9499999999999993" hidden="1" customHeight="1" x14ac:dyDescent="0.2"/>
    <row r="22387" ht="9.9499999999999993" hidden="1" customHeight="1" x14ac:dyDescent="0.2"/>
    <row r="22388" ht="9.9499999999999993" hidden="1" customHeight="1" x14ac:dyDescent="0.2"/>
    <row r="22389" ht="9.9499999999999993" hidden="1" customHeight="1" x14ac:dyDescent="0.2"/>
    <row r="22390" ht="9.9499999999999993" hidden="1" customHeight="1" x14ac:dyDescent="0.2"/>
    <row r="22391" ht="9.9499999999999993" hidden="1" customHeight="1" x14ac:dyDescent="0.2"/>
    <row r="22392" ht="9.9499999999999993" hidden="1" customHeight="1" x14ac:dyDescent="0.2"/>
    <row r="22393" ht="9.9499999999999993" hidden="1" customHeight="1" x14ac:dyDescent="0.2"/>
    <row r="22394" ht="9.9499999999999993" hidden="1" customHeight="1" x14ac:dyDescent="0.2"/>
    <row r="22395" ht="9.9499999999999993" hidden="1" customHeight="1" x14ac:dyDescent="0.2"/>
    <row r="22396" ht="9.9499999999999993" hidden="1" customHeight="1" x14ac:dyDescent="0.2"/>
    <row r="22397" ht="9.9499999999999993" hidden="1" customHeight="1" x14ac:dyDescent="0.2"/>
    <row r="22398" ht="9.9499999999999993" hidden="1" customHeight="1" x14ac:dyDescent="0.2"/>
    <row r="22399" ht="9.9499999999999993" hidden="1" customHeight="1" x14ac:dyDescent="0.2"/>
    <row r="22400" ht="9.9499999999999993" hidden="1" customHeight="1" x14ac:dyDescent="0.2"/>
    <row r="22401" ht="9.9499999999999993" hidden="1" customHeight="1" x14ac:dyDescent="0.2"/>
    <row r="22402" ht="9.9499999999999993" hidden="1" customHeight="1" x14ac:dyDescent="0.2"/>
    <row r="22403" ht="9.9499999999999993" hidden="1" customHeight="1" x14ac:dyDescent="0.2"/>
    <row r="22404" ht="9.9499999999999993" hidden="1" customHeight="1" x14ac:dyDescent="0.2"/>
    <row r="22405" ht="9.9499999999999993" hidden="1" customHeight="1" x14ac:dyDescent="0.2"/>
    <row r="22406" ht="9.9499999999999993" hidden="1" customHeight="1" x14ac:dyDescent="0.2"/>
    <row r="22407" ht="9.9499999999999993" hidden="1" customHeight="1" x14ac:dyDescent="0.2"/>
    <row r="22408" ht="9.9499999999999993" hidden="1" customHeight="1" x14ac:dyDescent="0.2"/>
    <row r="22409" ht="9.9499999999999993" hidden="1" customHeight="1" x14ac:dyDescent="0.2"/>
    <row r="22410" ht="9.9499999999999993" hidden="1" customHeight="1" x14ac:dyDescent="0.2"/>
    <row r="22411" ht="9.9499999999999993" hidden="1" customHeight="1" x14ac:dyDescent="0.2"/>
    <row r="22412" ht="9.9499999999999993" hidden="1" customHeight="1" x14ac:dyDescent="0.2"/>
    <row r="22413" ht="9.9499999999999993" hidden="1" customHeight="1" x14ac:dyDescent="0.2"/>
    <row r="22414" ht="9.9499999999999993" hidden="1" customHeight="1" x14ac:dyDescent="0.2"/>
    <row r="22415" ht="9.9499999999999993" hidden="1" customHeight="1" x14ac:dyDescent="0.2"/>
    <row r="22416" ht="9.9499999999999993" hidden="1" customHeight="1" x14ac:dyDescent="0.2"/>
    <row r="22417" ht="9.9499999999999993" hidden="1" customHeight="1" x14ac:dyDescent="0.2"/>
    <row r="22418" ht="9.9499999999999993" hidden="1" customHeight="1" x14ac:dyDescent="0.2"/>
    <row r="22419" ht="9.9499999999999993" hidden="1" customHeight="1" x14ac:dyDescent="0.2"/>
    <row r="22420" ht="9.9499999999999993" hidden="1" customHeight="1" x14ac:dyDescent="0.2"/>
    <row r="22421" ht="9.9499999999999993" hidden="1" customHeight="1" x14ac:dyDescent="0.2"/>
    <row r="22422" ht="9.9499999999999993" hidden="1" customHeight="1" x14ac:dyDescent="0.2"/>
    <row r="22423" ht="9.9499999999999993" hidden="1" customHeight="1" x14ac:dyDescent="0.2"/>
    <row r="22424" ht="9.9499999999999993" hidden="1" customHeight="1" x14ac:dyDescent="0.2"/>
    <row r="22425" ht="9.9499999999999993" hidden="1" customHeight="1" x14ac:dyDescent="0.2"/>
    <row r="22426" ht="9.9499999999999993" hidden="1" customHeight="1" x14ac:dyDescent="0.2"/>
    <row r="22427" ht="9.9499999999999993" hidden="1" customHeight="1" x14ac:dyDescent="0.2"/>
    <row r="22428" ht="9.9499999999999993" hidden="1" customHeight="1" x14ac:dyDescent="0.2"/>
    <row r="22429" ht="9.9499999999999993" hidden="1" customHeight="1" x14ac:dyDescent="0.2"/>
    <row r="22430" ht="9.9499999999999993" hidden="1" customHeight="1" x14ac:dyDescent="0.2"/>
    <row r="22431" ht="9.9499999999999993" hidden="1" customHeight="1" x14ac:dyDescent="0.2"/>
    <row r="22432" ht="9.9499999999999993" hidden="1" customHeight="1" x14ac:dyDescent="0.2"/>
    <row r="22433" ht="9.9499999999999993" hidden="1" customHeight="1" x14ac:dyDescent="0.2"/>
    <row r="22434" ht="9.9499999999999993" hidden="1" customHeight="1" x14ac:dyDescent="0.2"/>
    <row r="22435" ht="9.9499999999999993" hidden="1" customHeight="1" x14ac:dyDescent="0.2"/>
    <row r="22436" ht="9.9499999999999993" hidden="1" customHeight="1" x14ac:dyDescent="0.2"/>
    <row r="22437" ht="9.9499999999999993" hidden="1" customHeight="1" x14ac:dyDescent="0.2"/>
    <row r="22438" ht="9.9499999999999993" hidden="1" customHeight="1" x14ac:dyDescent="0.2"/>
    <row r="22439" ht="9.9499999999999993" hidden="1" customHeight="1" x14ac:dyDescent="0.2"/>
    <row r="22440" ht="9.9499999999999993" hidden="1" customHeight="1" x14ac:dyDescent="0.2"/>
    <row r="22441" ht="9.9499999999999993" hidden="1" customHeight="1" x14ac:dyDescent="0.2"/>
    <row r="22442" ht="9.9499999999999993" hidden="1" customHeight="1" x14ac:dyDescent="0.2"/>
    <row r="22443" ht="9.9499999999999993" hidden="1" customHeight="1" x14ac:dyDescent="0.2"/>
    <row r="22444" ht="9.9499999999999993" hidden="1" customHeight="1" x14ac:dyDescent="0.2"/>
    <row r="22445" ht="9.9499999999999993" hidden="1" customHeight="1" x14ac:dyDescent="0.2"/>
    <row r="22446" ht="9.9499999999999993" hidden="1" customHeight="1" x14ac:dyDescent="0.2"/>
    <row r="22447" ht="9.9499999999999993" hidden="1" customHeight="1" x14ac:dyDescent="0.2"/>
    <row r="22448" ht="9.9499999999999993" hidden="1" customHeight="1" x14ac:dyDescent="0.2"/>
    <row r="22449" ht="9.9499999999999993" hidden="1" customHeight="1" x14ac:dyDescent="0.2"/>
    <row r="22450" ht="9.9499999999999993" hidden="1" customHeight="1" x14ac:dyDescent="0.2"/>
    <row r="22451" ht="9.9499999999999993" hidden="1" customHeight="1" x14ac:dyDescent="0.2"/>
    <row r="22452" ht="9.9499999999999993" hidden="1" customHeight="1" x14ac:dyDescent="0.2"/>
    <row r="22453" ht="9.9499999999999993" hidden="1" customHeight="1" x14ac:dyDescent="0.2"/>
    <row r="22454" ht="9.9499999999999993" hidden="1" customHeight="1" x14ac:dyDescent="0.2"/>
    <row r="22455" ht="9.9499999999999993" hidden="1" customHeight="1" x14ac:dyDescent="0.2"/>
    <row r="22456" ht="9.9499999999999993" hidden="1" customHeight="1" x14ac:dyDescent="0.2"/>
    <row r="22457" ht="9.9499999999999993" hidden="1" customHeight="1" x14ac:dyDescent="0.2"/>
    <row r="22458" ht="9.9499999999999993" hidden="1" customHeight="1" x14ac:dyDescent="0.2"/>
    <row r="22459" ht="9.9499999999999993" hidden="1" customHeight="1" x14ac:dyDescent="0.2"/>
    <row r="22460" ht="9.9499999999999993" hidden="1" customHeight="1" x14ac:dyDescent="0.2"/>
    <row r="22461" ht="9.9499999999999993" hidden="1" customHeight="1" x14ac:dyDescent="0.2"/>
    <row r="22462" ht="9.9499999999999993" hidden="1" customHeight="1" x14ac:dyDescent="0.2"/>
    <row r="22463" ht="9.9499999999999993" hidden="1" customHeight="1" x14ac:dyDescent="0.2"/>
    <row r="22464" ht="9.9499999999999993" hidden="1" customHeight="1" x14ac:dyDescent="0.2"/>
    <row r="22465" ht="9.9499999999999993" hidden="1" customHeight="1" x14ac:dyDescent="0.2"/>
    <row r="22466" ht="9.9499999999999993" hidden="1" customHeight="1" x14ac:dyDescent="0.2"/>
    <row r="22467" ht="9.9499999999999993" hidden="1" customHeight="1" x14ac:dyDescent="0.2"/>
    <row r="22468" ht="9.9499999999999993" hidden="1" customHeight="1" x14ac:dyDescent="0.2"/>
    <row r="22469" ht="9.9499999999999993" hidden="1" customHeight="1" x14ac:dyDescent="0.2"/>
    <row r="22470" ht="9.9499999999999993" hidden="1" customHeight="1" x14ac:dyDescent="0.2"/>
    <row r="22471" ht="9.9499999999999993" hidden="1" customHeight="1" x14ac:dyDescent="0.2"/>
    <row r="22472" ht="9.9499999999999993" hidden="1" customHeight="1" x14ac:dyDescent="0.2"/>
    <row r="22473" ht="9.9499999999999993" hidden="1" customHeight="1" x14ac:dyDescent="0.2"/>
    <row r="22474" ht="9.9499999999999993" hidden="1" customHeight="1" x14ac:dyDescent="0.2"/>
    <row r="22475" ht="9.9499999999999993" hidden="1" customHeight="1" x14ac:dyDescent="0.2"/>
    <row r="22476" ht="9.9499999999999993" hidden="1" customHeight="1" x14ac:dyDescent="0.2"/>
    <row r="22477" ht="9.9499999999999993" hidden="1" customHeight="1" x14ac:dyDescent="0.2"/>
    <row r="22478" ht="9.9499999999999993" hidden="1" customHeight="1" x14ac:dyDescent="0.2"/>
    <row r="22479" ht="9.9499999999999993" hidden="1" customHeight="1" x14ac:dyDescent="0.2"/>
    <row r="22480" ht="9.9499999999999993" hidden="1" customHeight="1" x14ac:dyDescent="0.2"/>
    <row r="22481" ht="9.9499999999999993" hidden="1" customHeight="1" x14ac:dyDescent="0.2"/>
    <row r="22482" ht="9.9499999999999993" hidden="1" customHeight="1" x14ac:dyDescent="0.2"/>
    <row r="22483" ht="9.9499999999999993" hidden="1" customHeight="1" x14ac:dyDescent="0.2"/>
    <row r="22484" ht="9.9499999999999993" hidden="1" customHeight="1" x14ac:dyDescent="0.2"/>
    <row r="22485" ht="9.9499999999999993" hidden="1" customHeight="1" x14ac:dyDescent="0.2"/>
    <row r="22486" ht="9.9499999999999993" hidden="1" customHeight="1" x14ac:dyDescent="0.2"/>
    <row r="22487" ht="9.9499999999999993" hidden="1" customHeight="1" x14ac:dyDescent="0.2"/>
    <row r="22488" ht="9.9499999999999993" hidden="1" customHeight="1" x14ac:dyDescent="0.2"/>
    <row r="22489" ht="9.9499999999999993" hidden="1" customHeight="1" x14ac:dyDescent="0.2"/>
    <row r="22490" ht="9.9499999999999993" hidden="1" customHeight="1" x14ac:dyDescent="0.2"/>
    <row r="22491" ht="9.9499999999999993" hidden="1" customHeight="1" x14ac:dyDescent="0.2"/>
    <row r="22492" ht="9.9499999999999993" hidden="1" customHeight="1" x14ac:dyDescent="0.2"/>
    <row r="22493" ht="9.9499999999999993" hidden="1" customHeight="1" x14ac:dyDescent="0.2"/>
    <row r="22494" ht="9.9499999999999993" hidden="1" customHeight="1" x14ac:dyDescent="0.2"/>
    <row r="22495" ht="9.9499999999999993" hidden="1" customHeight="1" x14ac:dyDescent="0.2"/>
    <row r="22496" ht="9.9499999999999993" hidden="1" customHeight="1" x14ac:dyDescent="0.2"/>
    <row r="22497" ht="9.9499999999999993" hidden="1" customHeight="1" x14ac:dyDescent="0.2"/>
    <row r="22498" ht="9.9499999999999993" hidden="1" customHeight="1" x14ac:dyDescent="0.2"/>
    <row r="22499" ht="9.9499999999999993" hidden="1" customHeight="1" x14ac:dyDescent="0.2"/>
    <row r="22500" ht="9.9499999999999993" hidden="1" customHeight="1" x14ac:dyDescent="0.2"/>
    <row r="22501" ht="9.9499999999999993" hidden="1" customHeight="1" x14ac:dyDescent="0.2"/>
    <row r="22502" ht="9.9499999999999993" hidden="1" customHeight="1" x14ac:dyDescent="0.2"/>
    <row r="22503" ht="9.9499999999999993" hidden="1" customHeight="1" x14ac:dyDescent="0.2"/>
    <row r="22504" ht="9.9499999999999993" hidden="1" customHeight="1" x14ac:dyDescent="0.2"/>
    <row r="22505" ht="9.9499999999999993" hidden="1" customHeight="1" x14ac:dyDescent="0.2"/>
    <row r="22506" ht="9.9499999999999993" hidden="1" customHeight="1" x14ac:dyDescent="0.2"/>
    <row r="22507" ht="9.9499999999999993" hidden="1" customHeight="1" x14ac:dyDescent="0.2"/>
    <row r="22508" ht="9.9499999999999993" hidden="1" customHeight="1" x14ac:dyDescent="0.2"/>
    <row r="22509" ht="9.9499999999999993" hidden="1" customHeight="1" x14ac:dyDescent="0.2"/>
    <row r="22510" ht="9.9499999999999993" hidden="1" customHeight="1" x14ac:dyDescent="0.2"/>
    <row r="22511" ht="9.9499999999999993" hidden="1" customHeight="1" x14ac:dyDescent="0.2"/>
    <row r="22512" ht="9.9499999999999993" hidden="1" customHeight="1" x14ac:dyDescent="0.2"/>
    <row r="22513" ht="9.9499999999999993" hidden="1" customHeight="1" x14ac:dyDescent="0.2"/>
    <row r="22514" ht="9.9499999999999993" hidden="1" customHeight="1" x14ac:dyDescent="0.2"/>
    <row r="22515" ht="9.9499999999999993" hidden="1" customHeight="1" x14ac:dyDescent="0.2"/>
    <row r="22516" ht="9.9499999999999993" hidden="1" customHeight="1" x14ac:dyDescent="0.2"/>
    <row r="22517" ht="9.9499999999999993" hidden="1" customHeight="1" x14ac:dyDescent="0.2"/>
    <row r="22518" ht="9.9499999999999993" hidden="1" customHeight="1" x14ac:dyDescent="0.2"/>
    <row r="22519" ht="9.9499999999999993" hidden="1" customHeight="1" x14ac:dyDescent="0.2"/>
    <row r="22520" ht="9.9499999999999993" hidden="1" customHeight="1" x14ac:dyDescent="0.2"/>
    <row r="22521" ht="9.9499999999999993" hidden="1" customHeight="1" x14ac:dyDescent="0.2"/>
    <row r="22522" ht="9.9499999999999993" hidden="1" customHeight="1" x14ac:dyDescent="0.2"/>
    <row r="22523" ht="9.9499999999999993" hidden="1" customHeight="1" x14ac:dyDescent="0.2"/>
    <row r="22524" ht="9.9499999999999993" hidden="1" customHeight="1" x14ac:dyDescent="0.2"/>
    <row r="22525" ht="9.9499999999999993" hidden="1" customHeight="1" x14ac:dyDescent="0.2"/>
    <row r="22526" ht="9.9499999999999993" hidden="1" customHeight="1" x14ac:dyDescent="0.2"/>
    <row r="22527" ht="9.9499999999999993" hidden="1" customHeight="1" x14ac:dyDescent="0.2"/>
    <row r="22528" ht="9.9499999999999993" hidden="1" customHeight="1" x14ac:dyDescent="0.2"/>
    <row r="22529" ht="9.9499999999999993" hidden="1" customHeight="1" x14ac:dyDescent="0.2"/>
    <row r="22530" ht="9.9499999999999993" hidden="1" customHeight="1" x14ac:dyDescent="0.2"/>
    <row r="22531" ht="9.9499999999999993" hidden="1" customHeight="1" x14ac:dyDescent="0.2"/>
    <row r="22532" ht="9.9499999999999993" hidden="1" customHeight="1" x14ac:dyDescent="0.2"/>
    <row r="22533" ht="9.9499999999999993" hidden="1" customHeight="1" x14ac:dyDescent="0.2"/>
    <row r="22534" ht="9.9499999999999993" hidden="1" customHeight="1" x14ac:dyDescent="0.2"/>
    <row r="22535" ht="9.9499999999999993" hidden="1" customHeight="1" x14ac:dyDescent="0.2"/>
    <row r="22536" ht="9.9499999999999993" hidden="1" customHeight="1" x14ac:dyDescent="0.2"/>
    <row r="22537" ht="9.9499999999999993" hidden="1" customHeight="1" x14ac:dyDescent="0.2"/>
    <row r="22538" ht="9.9499999999999993" hidden="1" customHeight="1" x14ac:dyDescent="0.2"/>
    <row r="22539" ht="9.9499999999999993" hidden="1" customHeight="1" x14ac:dyDescent="0.2"/>
    <row r="22540" ht="9.9499999999999993" hidden="1" customHeight="1" x14ac:dyDescent="0.2"/>
    <row r="22541" ht="9.9499999999999993" hidden="1" customHeight="1" x14ac:dyDescent="0.2"/>
    <row r="22542" ht="9.9499999999999993" hidden="1" customHeight="1" x14ac:dyDescent="0.2"/>
    <row r="22543" ht="9.9499999999999993" hidden="1" customHeight="1" x14ac:dyDescent="0.2"/>
    <row r="22544" ht="9.9499999999999993" hidden="1" customHeight="1" x14ac:dyDescent="0.2"/>
    <row r="22545" ht="9.9499999999999993" hidden="1" customHeight="1" x14ac:dyDescent="0.2"/>
    <row r="22546" ht="9.9499999999999993" hidden="1" customHeight="1" x14ac:dyDescent="0.2"/>
    <row r="22547" ht="9.9499999999999993" hidden="1" customHeight="1" x14ac:dyDescent="0.2"/>
    <row r="22548" ht="9.9499999999999993" hidden="1" customHeight="1" x14ac:dyDescent="0.2"/>
    <row r="22549" ht="9.9499999999999993" hidden="1" customHeight="1" x14ac:dyDescent="0.2"/>
    <row r="22550" ht="9.9499999999999993" hidden="1" customHeight="1" x14ac:dyDescent="0.2"/>
    <row r="22551" ht="9.9499999999999993" hidden="1" customHeight="1" x14ac:dyDescent="0.2"/>
    <row r="22552" ht="9.9499999999999993" hidden="1" customHeight="1" x14ac:dyDescent="0.2"/>
    <row r="22553" ht="9.9499999999999993" hidden="1" customHeight="1" x14ac:dyDescent="0.2"/>
    <row r="22554" ht="9.9499999999999993" hidden="1" customHeight="1" x14ac:dyDescent="0.2"/>
    <row r="22555" ht="9.9499999999999993" hidden="1" customHeight="1" x14ac:dyDescent="0.2"/>
    <row r="22556" ht="9.9499999999999993" hidden="1" customHeight="1" x14ac:dyDescent="0.2"/>
    <row r="22557" ht="9.9499999999999993" hidden="1" customHeight="1" x14ac:dyDescent="0.2"/>
    <row r="22558" ht="9.9499999999999993" hidden="1" customHeight="1" x14ac:dyDescent="0.2"/>
    <row r="22559" ht="9.9499999999999993" hidden="1" customHeight="1" x14ac:dyDescent="0.2"/>
    <row r="22560" ht="9.9499999999999993" hidden="1" customHeight="1" x14ac:dyDescent="0.2"/>
    <row r="22561" ht="9.9499999999999993" hidden="1" customHeight="1" x14ac:dyDescent="0.2"/>
    <row r="22562" ht="9.9499999999999993" hidden="1" customHeight="1" x14ac:dyDescent="0.2"/>
    <row r="22563" ht="9.9499999999999993" hidden="1" customHeight="1" x14ac:dyDescent="0.2"/>
    <row r="22564" ht="9.9499999999999993" hidden="1" customHeight="1" x14ac:dyDescent="0.2"/>
    <row r="22565" ht="9.9499999999999993" hidden="1" customHeight="1" x14ac:dyDescent="0.2"/>
    <row r="22566" ht="9.9499999999999993" hidden="1" customHeight="1" x14ac:dyDescent="0.2"/>
    <row r="22567" ht="9.9499999999999993" hidden="1" customHeight="1" x14ac:dyDescent="0.2"/>
    <row r="22568" ht="9.9499999999999993" hidden="1" customHeight="1" x14ac:dyDescent="0.2"/>
    <row r="22569" ht="9.9499999999999993" hidden="1" customHeight="1" x14ac:dyDescent="0.2"/>
    <row r="22570" ht="9.9499999999999993" hidden="1" customHeight="1" x14ac:dyDescent="0.2"/>
    <row r="22571" ht="9.9499999999999993" hidden="1" customHeight="1" x14ac:dyDescent="0.2"/>
    <row r="22572" ht="9.9499999999999993" hidden="1" customHeight="1" x14ac:dyDescent="0.2"/>
    <row r="22573" ht="9.9499999999999993" hidden="1" customHeight="1" x14ac:dyDescent="0.2"/>
    <row r="22574" ht="9.9499999999999993" hidden="1" customHeight="1" x14ac:dyDescent="0.2"/>
    <row r="22575" ht="9.9499999999999993" hidden="1" customHeight="1" x14ac:dyDescent="0.2"/>
    <row r="22576" ht="9.9499999999999993" hidden="1" customHeight="1" x14ac:dyDescent="0.2"/>
    <row r="22577" ht="9.9499999999999993" hidden="1" customHeight="1" x14ac:dyDescent="0.2"/>
    <row r="22578" ht="9.9499999999999993" hidden="1" customHeight="1" x14ac:dyDescent="0.2"/>
    <row r="22579" ht="9.9499999999999993" hidden="1" customHeight="1" x14ac:dyDescent="0.2"/>
    <row r="22580" ht="9.9499999999999993" hidden="1" customHeight="1" x14ac:dyDescent="0.2"/>
    <row r="22581" ht="9.9499999999999993" hidden="1" customHeight="1" x14ac:dyDescent="0.2"/>
    <row r="22582" ht="9.9499999999999993" hidden="1" customHeight="1" x14ac:dyDescent="0.2"/>
    <row r="22583" ht="9.9499999999999993" hidden="1" customHeight="1" x14ac:dyDescent="0.2"/>
    <row r="22584" ht="9.9499999999999993" hidden="1" customHeight="1" x14ac:dyDescent="0.2"/>
    <row r="22585" ht="9.9499999999999993" hidden="1" customHeight="1" x14ac:dyDescent="0.2"/>
    <row r="22586" ht="9.9499999999999993" hidden="1" customHeight="1" x14ac:dyDescent="0.2"/>
    <row r="22587" ht="9.9499999999999993" hidden="1" customHeight="1" x14ac:dyDescent="0.2"/>
    <row r="22588" ht="9.9499999999999993" hidden="1" customHeight="1" x14ac:dyDescent="0.2"/>
    <row r="22589" ht="9.9499999999999993" hidden="1" customHeight="1" x14ac:dyDescent="0.2"/>
    <row r="22590" ht="9.9499999999999993" hidden="1" customHeight="1" x14ac:dyDescent="0.2"/>
    <row r="22591" ht="9.9499999999999993" hidden="1" customHeight="1" x14ac:dyDescent="0.2"/>
    <row r="22592" ht="9.9499999999999993" hidden="1" customHeight="1" x14ac:dyDescent="0.2"/>
    <row r="22593" ht="9.9499999999999993" hidden="1" customHeight="1" x14ac:dyDescent="0.2"/>
    <row r="22594" ht="9.9499999999999993" hidden="1" customHeight="1" x14ac:dyDescent="0.2"/>
    <row r="22595" ht="9.9499999999999993" hidden="1" customHeight="1" x14ac:dyDescent="0.2"/>
    <row r="22596" ht="9.9499999999999993" hidden="1" customHeight="1" x14ac:dyDescent="0.2"/>
    <row r="22597" ht="9.9499999999999993" hidden="1" customHeight="1" x14ac:dyDescent="0.2"/>
    <row r="22598" ht="9.9499999999999993" hidden="1" customHeight="1" x14ac:dyDescent="0.2"/>
    <row r="22599" ht="9.9499999999999993" hidden="1" customHeight="1" x14ac:dyDescent="0.2"/>
    <row r="22600" ht="9.9499999999999993" hidden="1" customHeight="1" x14ac:dyDescent="0.2"/>
    <row r="22601" ht="9.9499999999999993" hidden="1" customHeight="1" x14ac:dyDescent="0.2"/>
    <row r="22602" ht="9.9499999999999993" hidden="1" customHeight="1" x14ac:dyDescent="0.2"/>
    <row r="22603" ht="9.9499999999999993" hidden="1" customHeight="1" x14ac:dyDescent="0.2"/>
    <row r="22604" ht="9.9499999999999993" hidden="1" customHeight="1" x14ac:dyDescent="0.2"/>
    <row r="22605" ht="9.9499999999999993" hidden="1" customHeight="1" x14ac:dyDescent="0.2"/>
    <row r="22606" ht="9.9499999999999993" hidden="1" customHeight="1" x14ac:dyDescent="0.2"/>
    <row r="22607" ht="9.9499999999999993" hidden="1" customHeight="1" x14ac:dyDescent="0.2"/>
    <row r="22608" ht="9.9499999999999993" hidden="1" customHeight="1" x14ac:dyDescent="0.2"/>
    <row r="22609" ht="9.9499999999999993" hidden="1" customHeight="1" x14ac:dyDescent="0.2"/>
    <row r="22610" ht="9.9499999999999993" hidden="1" customHeight="1" x14ac:dyDescent="0.2"/>
    <row r="22611" ht="9.9499999999999993" hidden="1" customHeight="1" x14ac:dyDescent="0.2"/>
    <row r="22612" ht="9.9499999999999993" hidden="1" customHeight="1" x14ac:dyDescent="0.2"/>
    <row r="22613" ht="9.9499999999999993" hidden="1" customHeight="1" x14ac:dyDescent="0.2"/>
    <row r="22614" ht="9.9499999999999993" hidden="1" customHeight="1" x14ac:dyDescent="0.2"/>
    <row r="22615" ht="9.9499999999999993" hidden="1" customHeight="1" x14ac:dyDescent="0.2"/>
    <row r="22616" ht="9.9499999999999993" hidden="1" customHeight="1" x14ac:dyDescent="0.2"/>
    <row r="22617" ht="9.9499999999999993" hidden="1" customHeight="1" x14ac:dyDescent="0.2"/>
    <row r="22618" ht="9.9499999999999993" hidden="1" customHeight="1" x14ac:dyDescent="0.2"/>
    <row r="22619" ht="9.9499999999999993" hidden="1" customHeight="1" x14ac:dyDescent="0.2"/>
    <row r="22620" ht="9.9499999999999993" hidden="1" customHeight="1" x14ac:dyDescent="0.2"/>
    <row r="22621" ht="9.9499999999999993" hidden="1" customHeight="1" x14ac:dyDescent="0.2"/>
    <row r="22622" ht="9.9499999999999993" hidden="1" customHeight="1" x14ac:dyDescent="0.2"/>
    <row r="22623" ht="9.9499999999999993" hidden="1" customHeight="1" x14ac:dyDescent="0.2"/>
    <row r="22624" ht="9.9499999999999993" hidden="1" customHeight="1" x14ac:dyDescent="0.2"/>
    <row r="22625" ht="9.9499999999999993" hidden="1" customHeight="1" x14ac:dyDescent="0.2"/>
    <row r="22626" ht="9.9499999999999993" hidden="1" customHeight="1" x14ac:dyDescent="0.2"/>
    <row r="22627" ht="9.9499999999999993" hidden="1" customHeight="1" x14ac:dyDescent="0.2"/>
    <row r="22628" ht="9.9499999999999993" hidden="1" customHeight="1" x14ac:dyDescent="0.2"/>
    <row r="22629" ht="9.9499999999999993" hidden="1" customHeight="1" x14ac:dyDescent="0.2"/>
    <row r="22630" ht="9.9499999999999993" hidden="1" customHeight="1" x14ac:dyDescent="0.2"/>
    <row r="22631" ht="9.9499999999999993" hidden="1" customHeight="1" x14ac:dyDescent="0.2"/>
    <row r="22632" ht="9.9499999999999993" hidden="1" customHeight="1" x14ac:dyDescent="0.2"/>
    <row r="22633" ht="9.9499999999999993" hidden="1" customHeight="1" x14ac:dyDescent="0.2"/>
    <row r="22634" ht="9.9499999999999993" hidden="1" customHeight="1" x14ac:dyDescent="0.2"/>
    <row r="22635" ht="9.9499999999999993" hidden="1" customHeight="1" x14ac:dyDescent="0.2"/>
    <row r="22636" ht="9.9499999999999993" hidden="1" customHeight="1" x14ac:dyDescent="0.2"/>
    <row r="22637" ht="9.9499999999999993" hidden="1" customHeight="1" x14ac:dyDescent="0.2"/>
    <row r="22638" ht="9.9499999999999993" hidden="1" customHeight="1" x14ac:dyDescent="0.2"/>
    <row r="22639" ht="9.9499999999999993" hidden="1" customHeight="1" x14ac:dyDescent="0.2"/>
    <row r="22640" ht="9.9499999999999993" hidden="1" customHeight="1" x14ac:dyDescent="0.2"/>
    <row r="22641" ht="9.9499999999999993" hidden="1" customHeight="1" x14ac:dyDescent="0.2"/>
    <row r="22642" ht="9.9499999999999993" hidden="1" customHeight="1" x14ac:dyDescent="0.2"/>
    <row r="22643" ht="9.9499999999999993" hidden="1" customHeight="1" x14ac:dyDescent="0.2"/>
    <row r="22644" ht="9.9499999999999993" hidden="1" customHeight="1" x14ac:dyDescent="0.2"/>
    <row r="22645" ht="9.9499999999999993" hidden="1" customHeight="1" x14ac:dyDescent="0.2"/>
    <row r="22646" ht="9.9499999999999993" hidden="1" customHeight="1" x14ac:dyDescent="0.2"/>
    <row r="22647" ht="9.9499999999999993" hidden="1" customHeight="1" x14ac:dyDescent="0.2"/>
    <row r="22648" ht="9.9499999999999993" hidden="1" customHeight="1" x14ac:dyDescent="0.2"/>
    <row r="22649" ht="9.9499999999999993" hidden="1" customHeight="1" x14ac:dyDescent="0.2"/>
    <row r="22650" ht="9.9499999999999993" hidden="1" customHeight="1" x14ac:dyDescent="0.2"/>
    <row r="22651" ht="9.9499999999999993" hidden="1" customHeight="1" x14ac:dyDescent="0.2"/>
    <row r="22652" ht="9.9499999999999993" hidden="1" customHeight="1" x14ac:dyDescent="0.2"/>
    <row r="22653" ht="9.9499999999999993" hidden="1" customHeight="1" x14ac:dyDescent="0.2"/>
    <row r="22654" ht="9.9499999999999993" hidden="1" customHeight="1" x14ac:dyDescent="0.2"/>
    <row r="22655" ht="9.9499999999999993" hidden="1" customHeight="1" x14ac:dyDescent="0.2"/>
    <row r="22656" ht="9.9499999999999993" hidden="1" customHeight="1" x14ac:dyDescent="0.2"/>
    <row r="22657" ht="9.9499999999999993" hidden="1" customHeight="1" x14ac:dyDescent="0.2"/>
    <row r="22658" ht="9.9499999999999993" hidden="1" customHeight="1" x14ac:dyDescent="0.2"/>
    <row r="22659" ht="9.9499999999999993" hidden="1" customHeight="1" x14ac:dyDescent="0.2"/>
    <row r="22660" ht="9.9499999999999993" hidden="1" customHeight="1" x14ac:dyDescent="0.2"/>
    <row r="22661" ht="9.9499999999999993" hidden="1" customHeight="1" x14ac:dyDescent="0.2"/>
    <row r="22662" ht="9.9499999999999993" hidden="1" customHeight="1" x14ac:dyDescent="0.2"/>
    <row r="22663" ht="9.9499999999999993" hidden="1" customHeight="1" x14ac:dyDescent="0.2"/>
    <row r="22664" ht="9.9499999999999993" hidden="1" customHeight="1" x14ac:dyDescent="0.2"/>
    <row r="22665" ht="9.9499999999999993" hidden="1" customHeight="1" x14ac:dyDescent="0.2"/>
    <row r="22666" ht="9.9499999999999993" hidden="1" customHeight="1" x14ac:dyDescent="0.2"/>
    <row r="22667" ht="9.9499999999999993" hidden="1" customHeight="1" x14ac:dyDescent="0.2"/>
    <row r="22668" ht="9.9499999999999993" hidden="1" customHeight="1" x14ac:dyDescent="0.2"/>
    <row r="22669" ht="9.9499999999999993" hidden="1" customHeight="1" x14ac:dyDescent="0.2"/>
    <row r="22670" ht="9.9499999999999993" hidden="1" customHeight="1" x14ac:dyDescent="0.2"/>
    <row r="22671" ht="9.9499999999999993" hidden="1" customHeight="1" x14ac:dyDescent="0.2"/>
    <row r="22672" ht="9.9499999999999993" hidden="1" customHeight="1" x14ac:dyDescent="0.2"/>
    <row r="22673" ht="9.9499999999999993" hidden="1" customHeight="1" x14ac:dyDescent="0.2"/>
    <row r="22674" ht="9.9499999999999993" hidden="1" customHeight="1" x14ac:dyDescent="0.2"/>
    <row r="22675" ht="9.9499999999999993" hidden="1" customHeight="1" x14ac:dyDescent="0.2"/>
    <row r="22676" ht="9.9499999999999993" hidden="1" customHeight="1" x14ac:dyDescent="0.2"/>
    <row r="22677" ht="9.9499999999999993" hidden="1" customHeight="1" x14ac:dyDescent="0.2"/>
    <row r="22678" ht="9.9499999999999993" hidden="1" customHeight="1" x14ac:dyDescent="0.2"/>
    <row r="22679" ht="9.9499999999999993" hidden="1" customHeight="1" x14ac:dyDescent="0.2"/>
    <row r="22680" ht="9.9499999999999993" hidden="1" customHeight="1" x14ac:dyDescent="0.2"/>
    <row r="22681" ht="9.9499999999999993" hidden="1" customHeight="1" x14ac:dyDescent="0.2"/>
    <row r="22682" ht="9.9499999999999993" hidden="1" customHeight="1" x14ac:dyDescent="0.2"/>
    <row r="22683" ht="9.9499999999999993" hidden="1" customHeight="1" x14ac:dyDescent="0.2"/>
    <row r="22684" ht="9.9499999999999993" hidden="1" customHeight="1" x14ac:dyDescent="0.2"/>
    <row r="22685" ht="9.9499999999999993" hidden="1" customHeight="1" x14ac:dyDescent="0.2"/>
    <row r="22686" ht="9.9499999999999993" hidden="1" customHeight="1" x14ac:dyDescent="0.2"/>
    <row r="22687" ht="9.9499999999999993" hidden="1" customHeight="1" x14ac:dyDescent="0.2"/>
    <row r="22688" ht="9.9499999999999993" hidden="1" customHeight="1" x14ac:dyDescent="0.2"/>
    <row r="22689" ht="9.9499999999999993" hidden="1" customHeight="1" x14ac:dyDescent="0.2"/>
    <row r="22690" ht="9.9499999999999993" hidden="1" customHeight="1" x14ac:dyDescent="0.2"/>
    <row r="22691" ht="9.9499999999999993" hidden="1" customHeight="1" x14ac:dyDescent="0.2"/>
    <row r="22692" ht="9.9499999999999993" hidden="1" customHeight="1" x14ac:dyDescent="0.2"/>
    <row r="22693" ht="9.9499999999999993" hidden="1" customHeight="1" x14ac:dyDescent="0.2"/>
    <row r="22694" ht="9.9499999999999993" hidden="1" customHeight="1" x14ac:dyDescent="0.2"/>
    <row r="22695" ht="9.9499999999999993" hidden="1" customHeight="1" x14ac:dyDescent="0.2"/>
    <row r="22696" ht="9.9499999999999993" hidden="1" customHeight="1" x14ac:dyDescent="0.2"/>
    <row r="22697" ht="9.9499999999999993" hidden="1" customHeight="1" x14ac:dyDescent="0.2"/>
    <row r="22698" ht="9.9499999999999993" hidden="1" customHeight="1" x14ac:dyDescent="0.2"/>
    <row r="22699" ht="9.9499999999999993" hidden="1" customHeight="1" x14ac:dyDescent="0.2"/>
    <row r="22700" ht="9.9499999999999993" hidden="1" customHeight="1" x14ac:dyDescent="0.2"/>
    <row r="22701" ht="9.9499999999999993" hidden="1" customHeight="1" x14ac:dyDescent="0.2"/>
    <row r="22702" ht="9.9499999999999993" hidden="1" customHeight="1" x14ac:dyDescent="0.2"/>
    <row r="22703" ht="9.9499999999999993" hidden="1" customHeight="1" x14ac:dyDescent="0.2"/>
    <row r="22704" ht="9.9499999999999993" hidden="1" customHeight="1" x14ac:dyDescent="0.2"/>
    <row r="22705" ht="9.9499999999999993" hidden="1" customHeight="1" x14ac:dyDescent="0.2"/>
    <row r="22706" ht="9.9499999999999993" hidden="1" customHeight="1" x14ac:dyDescent="0.2"/>
    <row r="22707" ht="9.9499999999999993" hidden="1" customHeight="1" x14ac:dyDescent="0.2"/>
    <row r="22708" ht="9.9499999999999993" hidden="1" customHeight="1" x14ac:dyDescent="0.2"/>
    <row r="22709" ht="9.9499999999999993" hidden="1" customHeight="1" x14ac:dyDescent="0.2"/>
    <row r="22710" ht="9.9499999999999993" hidden="1" customHeight="1" x14ac:dyDescent="0.2"/>
    <row r="22711" ht="9.9499999999999993" hidden="1" customHeight="1" x14ac:dyDescent="0.2"/>
    <row r="22712" ht="9.9499999999999993" hidden="1" customHeight="1" x14ac:dyDescent="0.2"/>
    <row r="22713" ht="9.9499999999999993" hidden="1" customHeight="1" x14ac:dyDescent="0.2"/>
    <row r="22714" ht="9.9499999999999993" hidden="1" customHeight="1" x14ac:dyDescent="0.2"/>
    <row r="22715" ht="9.9499999999999993" hidden="1" customHeight="1" x14ac:dyDescent="0.2"/>
    <row r="22716" ht="9.9499999999999993" hidden="1" customHeight="1" x14ac:dyDescent="0.2"/>
    <row r="22717" ht="9.9499999999999993" hidden="1" customHeight="1" x14ac:dyDescent="0.2"/>
    <row r="22718" ht="9.9499999999999993" hidden="1" customHeight="1" x14ac:dyDescent="0.2"/>
    <row r="22719" ht="9.9499999999999993" hidden="1" customHeight="1" x14ac:dyDescent="0.2"/>
    <row r="22720" ht="9.9499999999999993" hidden="1" customHeight="1" x14ac:dyDescent="0.2"/>
    <row r="22721" ht="9.9499999999999993" hidden="1" customHeight="1" x14ac:dyDescent="0.2"/>
    <row r="22722" ht="9.9499999999999993" hidden="1" customHeight="1" x14ac:dyDescent="0.2"/>
    <row r="22723" ht="9.9499999999999993" hidden="1" customHeight="1" x14ac:dyDescent="0.2"/>
    <row r="22724" ht="9.9499999999999993" hidden="1" customHeight="1" x14ac:dyDescent="0.2"/>
    <row r="22725" ht="9.9499999999999993" hidden="1" customHeight="1" x14ac:dyDescent="0.2"/>
    <row r="22726" ht="9.9499999999999993" hidden="1" customHeight="1" x14ac:dyDescent="0.2"/>
    <row r="22727" ht="9.9499999999999993" hidden="1" customHeight="1" x14ac:dyDescent="0.2"/>
    <row r="22728" ht="9.9499999999999993" hidden="1" customHeight="1" x14ac:dyDescent="0.2"/>
    <row r="22729" ht="9.9499999999999993" hidden="1" customHeight="1" x14ac:dyDescent="0.2"/>
    <row r="22730" ht="9.9499999999999993" hidden="1" customHeight="1" x14ac:dyDescent="0.2"/>
    <row r="22731" ht="9.9499999999999993" hidden="1" customHeight="1" x14ac:dyDescent="0.2"/>
    <row r="22732" ht="9.9499999999999993" hidden="1" customHeight="1" x14ac:dyDescent="0.2"/>
    <row r="22733" ht="9.9499999999999993" hidden="1" customHeight="1" x14ac:dyDescent="0.2"/>
    <row r="22734" ht="9.9499999999999993" hidden="1" customHeight="1" x14ac:dyDescent="0.2"/>
    <row r="22735" ht="9.9499999999999993" hidden="1" customHeight="1" x14ac:dyDescent="0.2"/>
    <row r="22736" ht="9.9499999999999993" hidden="1" customHeight="1" x14ac:dyDescent="0.2"/>
    <row r="22737" ht="9.9499999999999993" hidden="1" customHeight="1" x14ac:dyDescent="0.2"/>
    <row r="22738" ht="9.9499999999999993" hidden="1" customHeight="1" x14ac:dyDescent="0.2"/>
    <row r="22739" ht="9.9499999999999993" hidden="1" customHeight="1" x14ac:dyDescent="0.2"/>
    <row r="22740" ht="9.9499999999999993" hidden="1" customHeight="1" x14ac:dyDescent="0.2"/>
    <row r="22741" ht="9.9499999999999993" hidden="1" customHeight="1" x14ac:dyDescent="0.2"/>
    <row r="22742" ht="9.9499999999999993" hidden="1" customHeight="1" x14ac:dyDescent="0.2"/>
    <row r="22743" ht="9.9499999999999993" hidden="1" customHeight="1" x14ac:dyDescent="0.2"/>
    <row r="22744" ht="9.9499999999999993" hidden="1" customHeight="1" x14ac:dyDescent="0.2"/>
    <row r="22745" ht="9.9499999999999993" hidden="1" customHeight="1" x14ac:dyDescent="0.2"/>
    <row r="22746" ht="9.9499999999999993" hidden="1" customHeight="1" x14ac:dyDescent="0.2"/>
    <row r="22747" ht="9.9499999999999993" hidden="1" customHeight="1" x14ac:dyDescent="0.2"/>
    <row r="22748" ht="9.9499999999999993" hidden="1" customHeight="1" x14ac:dyDescent="0.2"/>
    <row r="22749" ht="9.9499999999999993" hidden="1" customHeight="1" x14ac:dyDescent="0.2"/>
    <row r="22750" ht="9.9499999999999993" hidden="1" customHeight="1" x14ac:dyDescent="0.2"/>
    <row r="22751" ht="9.9499999999999993" hidden="1" customHeight="1" x14ac:dyDescent="0.2"/>
    <row r="22752" ht="9.9499999999999993" hidden="1" customHeight="1" x14ac:dyDescent="0.2"/>
    <row r="22753" ht="9.9499999999999993" hidden="1" customHeight="1" x14ac:dyDescent="0.2"/>
    <row r="22754" ht="9.9499999999999993" hidden="1" customHeight="1" x14ac:dyDescent="0.2"/>
    <row r="22755" ht="9.9499999999999993" hidden="1" customHeight="1" x14ac:dyDescent="0.2"/>
    <row r="22756" ht="9.9499999999999993" hidden="1" customHeight="1" x14ac:dyDescent="0.2"/>
    <row r="22757" ht="9.9499999999999993" hidden="1" customHeight="1" x14ac:dyDescent="0.2"/>
    <row r="22758" ht="9.9499999999999993" hidden="1" customHeight="1" x14ac:dyDescent="0.2"/>
    <row r="22759" ht="9.9499999999999993" hidden="1" customHeight="1" x14ac:dyDescent="0.2"/>
    <row r="22760" ht="9.9499999999999993" hidden="1" customHeight="1" x14ac:dyDescent="0.2"/>
    <row r="22761" ht="9.9499999999999993" hidden="1" customHeight="1" x14ac:dyDescent="0.2"/>
    <row r="22762" ht="9.9499999999999993" hidden="1" customHeight="1" x14ac:dyDescent="0.2"/>
    <row r="22763" ht="9.9499999999999993" hidden="1" customHeight="1" x14ac:dyDescent="0.2"/>
    <row r="22764" ht="9.9499999999999993" hidden="1" customHeight="1" x14ac:dyDescent="0.2"/>
    <row r="22765" ht="9.9499999999999993" hidden="1" customHeight="1" x14ac:dyDescent="0.2"/>
    <row r="22766" ht="9.9499999999999993" hidden="1" customHeight="1" x14ac:dyDescent="0.2"/>
    <row r="22767" ht="9.9499999999999993" hidden="1" customHeight="1" x14ac:dyDescent="0.2"/>
    <row r="22768" ht="9.9499999999999993" hidden="1" customHeight="1" x14ac:dyDescent="0.2"/>
    <row r="22769" ht="9.9499999999999993" hidden="1" customHeight="1" x14ac:dyDescent="0.2"/>
    <row r="22770" ht="9.9499999999999993" hidden="1" customHeight="1" x14ac:dyDescent="0.2"/>
    <row r="22771" ht="9.9499999999999993" hidden="1" customHeight="1" x14ac:dyDescent="0.2"/>
    <row r="22772" ht="9.9499999999999993" hidden="1" customHeight="1" x14ac:dyDescent="0.2"/>
    <row r="22773" ht="9.9499999999999993" hidden="1" customHeight="1" x14ac:dyDescent="0.2"/>
    <row r="22774" ht="9.9499999999999993" hidden="1" customHeight="1" x14ac:dyDescent="0.2"/>
    <row r="22775" ht="9.9499999999999993" hidden="1" customHeight="1" x14ac:dyDescent="0.2"/>
    <row r="22776" ht="9.9499999999999993" hidden="1" customHeight="1" x14ac:dyDescent="0.2"/>
    <row r="22777" ht="9.9499999999999993" hidden="1" customHeight="1" x14ac:dyDescent="0.2"/>
    <row r="22778" ht="9.9499999999999993" hidden="1" customHeight="1" x14ac:dyDescent="0.2"/>
    <row r="22779" ht="9.9499999999999993" hidden="1" customHeight="1" x14ac:dyDescent="0.2"/>
    <row r="22780" ht="9.9499999999999993" hidden="1" customHeight="1" x14ac:dyDescent="0.2"/>
    <row r="22781" ht="9.9499999999999993" hidden="1" customHeight="1" x14ac:dyDescent="0.2"/>
    <row r="22782" ht="9.9499999999999993" hidden="1" customHeight="1" x14ac:dyDescent="0.2"/>
    <row r="22783" ht="9.9499999999999993" hidden="1" customHeight="1" x14ac:dyDescent="0.2"/>
    <row r="22784" ht="9.9499999999999993" hidden="1" customHeight="1" x14ac:dyDescent="0.2"/>
    <row r="22785" ht="9.9499999999999993" hidden="1" customHeight="1" x14ac:dyDescent="0.2"/>
    <row r="22786" ht="9.9499999999999993" hidden="1" customHeight="1" x14ac:dyDescent="0.2"/>
    <row r="22787" ht="9.9499999999999993" hidden="1" customHeight="1" x14ac:dyDescent="0.2"/>
    <row r="22788" ht="9.9499999999999993" hidden="1" customHeight="1" x14ac:dyDescent="0.2"/>
    <row r="22789" ht="9.9499999999999993" hidden="1" customHeight="1" x14ac:dyDescent="0.2"/>
    <row r="22790" ht="9.9499999999999993" hidden="1" customHeight="1" x14ac:dyDescent="0.2"/>
    <row r="22791" ht="9.9499999999999993" hidden="1" customHeight="1" x14ac:dyDescent="0.2"/>
    <row r="22792" ht="9.9499999999999993" hidden="1" customHeight="1" x14ac:dyDescent="0.2"/>
    <row r="22793" ht="9.9499999999999993" hidden="1" customHeight="1" x14ac:dyDescent="0.2"/>
    <row r="22794" ht="9.9499999999999993" hidden="1" customHeight="1" x14ac:dyDescent="0.2"/>
    <row r="22795" ht="9.9499999999999993" hidden="1" customHeight="1" x14ac:dyDescent="0.2"/>
    <row r="22796" ht="9.9499999999999993" hidden="1" customHeight="1" x14ac:dyDescent="0.2"/>
    <row r="22797" ht="9.9499999999999993" hidden="1" customHeight="1" x14ac:dyDescent="0.2"/>
    <row r="22798" ht="9.9499999999999993" hidden="1" customHeight="1" x14ac:dyDescent="0.2"/>
    <row r="22799" ht="9.9499999999999993" hidden="1" customHeight="1" x14ac:dyDescent="0.2"/>
    <row r="22800" ht="9.9499999999999993" hidden="1" customHeight="1" x14ac:dyDescent="0.2"/>
    <row r="22801" ht="9.9499999999999993" hidden="1" customHeight="1" x14ac:dyDescent="0.2"/>
    <row r="22802" ht="9.9499999999999993" hidden="1" customHeight="1" x14ac:dyDescent="0.2"/>
    <row r="22803" ht="9.9499999999999993" hidden="1" customHeight="1" x14ac:dyDescent="0.2"/>
    <row r="22804" ht="9.9499999999999993" hidden="1" customHeight="1" x14ac:dyDescent="0.2"/>
    <row r="22805" ht="9.9499999999999993" hidden="1" customHeight="1" x14ac:dyDescent="0.2"/>
    <row r="22806" ht="9.9499999999999993" hidden="1" customHeight="1" x14ac:dyDescent="0.2"/>
    <row r="22807" ht="9.9499999999999993" hidden="1" customHeight="1" x14ac:dyDescent="0.2"/>
    <row r="22808" ht="9.9499999999999993" hidden="1" customHeight="1" x14ac:dyDescent="0.2"/>
    <row r="22809" ht="9.9499999999999993" hidden="1" customHeight="1" x14ac:dyDescent="0.2"/>
    <row r="22810" ht="9.9499999999999993" hidden="1" customHeight="1" x14ac:dyDescent="0.2"/>
    <row r="22811" ht="9.9499999999999993" hidden="1" customHeight="1" x14ac:dyDescent="0.2"/>
    <row r="22812" ht="9.9499999999999993" hidden="1" customHeight="1" x14ac:dyDescent="0.2"/>
    <row r="22813" ht="9.9499999999999993" hidden="1" customHeight="1" x14ac:dyDescent="0.2"/>
    <row r="22814" ht="9.9499999999999993" hidden="1" customHeight="1" x14ac:dyDescent="0.2"/>
    <row r="22815" ht="9.9499999999999993" hidden="1" customHeight="1" x14ac:dyDescent="0.2"/>
    <row r="22816" ht="9.9499999999999993" hidden="1" customHeight="1" x14ac:dyDescent="0.2"/>
    <row r="22817" ht="9.9499999999999993" hidden="1" customHeight="1" x14ac:dyDescent="0.2"/>
    <row r="22818" ht="9.9499999999999993" hidden="1" customHeight="1" x14ac:dyDescent="0.2"/>
    <row r="22819" ht="9.9499999999999993" hidden="1" customHeight="1" x14ac:dyDescent="0.2"/>
    <row r="22820" ht="9.9499999999999993" hidden="1" customHeight="1" x14ac:dyDescent="0.2"/>
    <row r="22821" ht="9.9499999999999993" hidden="1" customHeight="1" x14ac:dyDescent="0.2"/>
    <row r="22822" ht="9.9499999999999993" hidden="1" customHeight="1" x14ac:dyDescent="0.2"/>
    <row r="22823" ht="9.9499999999999993" hidden="1" customHeight="1" x14ac:dyDescent="0.2"/>
    <row r="22824" ht="9.9499999999999993" hidden="1" customHeight="1" x14ac:dyDescent="0.2"/>
    <row r="22825" ht="9.9499999999999993" hidden="1" customHeight="1" x14ac:dyDescent="0.2"/>
    <row r="22826" ht="9.9499999999999993" hidden="1" customHeight="1" x14ac:dyDescent="0.2"/>
    <row r="22827" ht="9.9499999999999993" hidden="1" customHeight="1" x14ac:dyDescent="0.2"/>
    <row r="22828" ht="9.9499999999999993" hidden="1" customHeight="1" x14ac:dyDescent="0.2"/>
    <row r="22829" ht="9.9499999999999993" hidden="1" customHeight="1" x14ac:dyDescent="0.2"/>
    <row r="22830" ht="9.9499999999999993" hidden="1" customHeight="1" x14ac:dyDescent="0.2"/>
    <row r="22831" ht="9.9499999999999993" hidden="1" customHeight="1" x14ac:dyDescent="0.2"/>
    <row r="22832" ht="9.9499999999999993" hidden="1" customHeight="1" x14ac:dyDescent="0.2"/>
    <row r="22833" ht="9.9499999999999993" hidden="1" customHeight="1" x14ac:dyDescent="0.2"/>
    <row r="22834" ht="9.9499999999999993" hidden="1" customHeight="1" x14ac:dyDescent="0.2"/>
    <row r="22835" ht="9.9499999999999993" hidden="1" customHeight="1" x14ac:dyDescent="0.2"/>
    <row r="22836" ht="9.9499999999999993" hidden="1" customHeight="1" x14ac:dyDescent="0.2"/>
    <row r="22837" ht="9.9499999999999993" hidden="1" customHeight="1" x14ac:dyDescent="0.2"/>
    <row r="22838" ht="9.9499999999999993" hidden="1" customHeight="1" x14ac:dyDescent="0.2"/>
    <row r="22839" ht="9.9499999999999993" hidden="1" customHeight="1" x14ac:dyDescent="0.2"/>
    <row r="22840" ht="9.9499999999999993" hidden="1" customHeight="1" x14ac:dyDescent="0.2"/>
    <row r="22841" ht="9.9499999999999993" hidden="1" customHeight="1" x14ac:dyDescent="0.2"/>
    <row r="22842" ht="9.9499999999999993" hidden="1" customHeight="1" x14ac:dyDescent="0.2"/>
    <row r="22843" ht="9.9499999999999993" hidden="1" customHeight="1" x14ac:dyDescent="0.2"/>
    <row r="22844" ht="9.9499999999999993" hidden="1" customHeight="1" x14ac:dyDescent="0.2"/>
    <row r="22845" ht="9.9499999999999993" hidden="1" customHeight="1" x14ac:dyDescent="0.2"/>
    <row r="22846" ht="9.9499999999999993" hidden="1" customHeight="1" x14ac:dyDescent="0.2"/>
    <row r="22847" ht="9.9499999999999993" hidden="1" customHeight="1" x14ac:dyDescent="0.2"/>
    <row r="22848" ht="9.9499999999999993" hidden="1" customHeight="1" x14ac:dyDescent="0.2"/>
    <row r="22849" ht="9.9499999999999993" hidden="1" customHeight="1" x14ac:dyDescent="0.2"/>
    <row r="22850" ht="9.9499999999999993" hidden="1" customHeight="1" x14ac:dyDescent="0.2"/>
    <row r="22851" ht="9.9499999999999993" hidden="1" customHeight="1" x14ac:dyDescent="0.2"/>
    <row r="22852" ht="9.9499999999999993" hidden="1" customHeight="1" x14ac:dyDescent="0.2"/>
    <row r="22853" ht="9.9499999999999993" hidden="1" customHeight="1" x14ac:dyDescent="0.2"/>
    <row r="22854" ht="9.9499999999999993" hidden="1" customHeight="1" x14ac:dyDescent="0.2"/>
    <row r="22855" ht="9.9499999999999993" hidden="1" customHeight="1" x14ac:dyDescent="0.2"/>
    <row r="22856" ht="9.9499999999999993" hidden="1" customHeight="1" x14ac:dyDescent="0.2"/>
    <row r="22857" ht="9.9499999999999993" hidden="1" customHeight="1" x14ac:dyDescent="0.2"/>
    <row r="22858" ht="9.9499999999999993" hidden="1" customHeight="1" x14ac:dyDescent="0.2"/>
    <row r="22859" ht="9.9499999999999993" hidden="1" customHeight="1" x14ac:dyDescent="0.2"/>
    <row r="22860" ht="9.9499999999999993" hidden="1" customHeight="1" x14ac:dyDescent="0.2"/>
    <row r="22861" ht="9.9499999999999993" hidden="1" customHeight="1" x14ac:dyDescent="0.2"/>
    <row r="22862" ht="9.9499999999999993" hidden="1" customHeight="1" x14ac:dyDescent="0.2"/>
    <row r="22863" ht="9.9499999999999993" hidden="1" customHeight="1" x14ac:dyDescent="0.2"/>
    <row r="22864" ht="9.9499999999999993" hidden="1" customHeight="1" x14ac:dyDescent="0.2"/>
    <row r="22865" ht="9.9499999999999993" hidden="1" customHeight="1" x14ac:dyDescent="0.2"/>
    <row r="22866" ht="9.9499999999999993" hidden="1" customHeight="1" x14ac:dyDescent="0.2"/>
    <row r="22867" ht="9.9499999999999993" hidden="1" customHeight="1" x14ac:dyDescent="0.2"/>
    <row r="22868" ht="9.9499999999999993" hidden="1" customHeight="1" x14ac:dyDescent="0.2"/>
    <row r="22869" ht="9.9499999999999993" hidden="1" customHeight="1" x14ac:dyDescent="0.2"/>
    <row r="22870" ht="9.9499999999999993" hidden="1" customHeight="1" x14ac:dyDescent="0.2"/>
    <row r="22871" ht="9.9499999999999993" hidden="1" customHeight="1" x14ac:dyDescent="0.2"/>
    <row r="22872" ht="9.9499999999999993" hidden="1" customHeight="1" x14ac:dyDescent="0.2"/>
    <row r="22873" ht="9.9499999999999993" hidden="1" customHeight="1" x14ac:dyDescent="0.2"/>
    <row r="22874" ht="9.9499999999999993" hidden="1" customHeight="1" x14ac:dyDescent="0.2"/>
    <row r="22875" ht="9.9499999999999993" hidden="1" customHeight="1" x14ac:dyDescent="0.2"/>
    <row r="22876" ht="9.9499999999999993" hidden="1" customHeight="1" x14ac:dyDescent="0.2"/>
    <row r="22877" ht="9.9499999999999993" hidden="1" customHeight="1" x14ac:dyDescent="0.2"/>
    <row r="22878" ht="9.9499999999999993" hidden="1" customHeight="1" x14ac:dyDescent="0.2"/>
    <row r="22879" ht="9.9499999999999993" hidden="1" customHeight="1" x14ac:dyDescent="0.2"/>
    <row r="22880" ht="9.9499999999999993" hidden="1" customHeight="1" x14ac:dyDescent="0.2"/>
    <row r="22881" ht="9.9499999999999993" hidden="1" customHeight="1" x14ac:dyDescent="0.2"/>
    <row r="22882" ht="9.9499999999999993" hidden="1" customHeight="1" x14ac:dyDescent="0.2"/>
    <row r="22883" ht="9.9499999999999993" hidden="1" customHeight="1" x14ac:dyDescent="0.2"/>
    <row r="22884" ht="9.9499999999999993" hidden="1" customHeight="1" x14ac:dyDescent="0.2"/>
    <row r="22885" ht="9.9499999999999993" hidden="1" customHeight="1" x14ac:dyDescent="0.2"/>
    <row r="22886" ht="9.9499999999999993" hidden="1" customHeight="1" x14ac:dyDescent="0.2"/>
    <row r="22887" ht="9.9499999999999993" hidden="1" customHeight="1" x14ac:dyDescent="0.2"/>
    <row r="22888" ht="9.9499999999999993" hidden="1" customHeight="1" x14ac:dyDescent="0.2"/>
    <row r="22889" ht="9.9499999999999993" hidden="1" customHeight="1" x14ac:dyDescent="0.2"/>
    <row r="22890" ht="9.9499999999999993" hidden="1" customHeight="1" x14ac:dyDescent="0.2"/>
    <row r="22891" ht="9.9499999999999993" hidden="1" customHeight="1" x14ac:dyDescent="0.2"/>
    <row r="22892" ht="9.9499999999999993" hidden="1" customHeight="1" x14ac:dyDescent="0.2"/>
    <row r="22893" ht="9.9499999999999993" hidden="1" customHeight="1" x14ac:dyDescent="0.2"/>
    <row r="22894" ht="9.9499999999999993" hidden="1" customHeight="1" x14ac:dyDescent="0.2"/>
    <row r="22895" ht="9.9499999999999993" hidden="1" customHeight="1" x14ac:dyDescent="0.2"/>
    <row r="22896" ht="9.9499999999999993" hidden="1" customHeight="1" x14ac:dyDescent="0.2"/>
    <row r="22897" ht="9.9499999999999993" hidden="1" customHeight="1" x14ac:dyDescent="0.2"/>
    <row r="22898" ht="9.9499999999999993" hidden="1" customHeight="1" x14ac:dyDescent="0.2"/>
    <row r="22899" ht="9.9499999999999993" hidden="1" customHeight="1" x14ac:dyDescent="0.2"/>
    <row r="22900" ht="9.9499999999999993" hidden="1" customHeight="1" x14ac:dyDescent="0.2"/>
    <row r="22901" ht="9.9499999999999993" hidden="1" customHeight="1" x14ac:dyDescent="0.2"/>
    <row r="22902" ht="9.9499999999999993" hidden="1" customHeight="1" x14ac:dyDescent="0.2"/>
    <row r="22903" ht="9.9499999999999993" hidden="1" customHeight="1" x14ac:dyDescent="0.2"/>
    <row r="22904" ht="9.9499999999999993" hidden="1" customHeight="1" x14ac:dyDescent="0.2"/>
    <row r="22905" ht="9.9499999999999993" hidden="1" customHeight="1" x14ac:dyDescent="0.2"/>
    <row r="22906" ht="9.9499999999999993" hidden="1" customHeight="1" x14ac:dyDescent="0.2"/>
    <row r="22907" ht="9.9499999999999993" hidden="1" customHeight="1" x14ac:dyDescent="0.2"/>
    <row r="22908" ht="9.9499999999999993" hidden="1" customHeight="1" x14ac:dyDescent="0.2"/>
    <row r="22909" ht="9.9499999999999993" hidden="1" customHeight="1" x14ac:dyDescent="0.2"/>
    <row r="22910" ht="9.9499999999999993" hidden="1" customHeight="1" x14ac:dyDescent="0.2"/>
    <row r="22911" ht="9.9499999999999993" hidden="1" customHeight="1" x14ac:dyDescent="0.2"/>
    <row r="22912" ht="9.9499999999999993" hidden="1" customHeight="1" x14ac:dyDescent="0.2"/>
    <row r="22913" ht="9.9499999999999993" hidden="1" customHeight="1" x14ac:dyDescent="0.2"/>
    <row r="22914" ht="9.9499999999999993" hidden="1" customHeight="1" x14ac:dyDescent="0.2"/>
    <row r="22915" ht="9.9499999999999993" hidden="1" customHeight="1" x14ac:dyDescent="0.2"/>
    <row r="22916" ht="9.9499999999999993" hidden="1" customHeight="1" x14ac:dyDescent="0.2"/>
    <row r="22917" ht="9.9499999999999993" hidden="1" customHeight="1" x14ac:dyDescent="0.2"/>
    <row r="22918" ht="9.9499999999999993" hidden="1" customHeight="1" x14ac:dyDescent="0.2"/>
    <row r="22919" ht="9.9499999999999993" hidden="1" customHeight="1" x14ac:dyDescent="0.2"/>
    <row r="22920" ht="9.9499999999999993" hidden="1" customHeight="1" x14ac:dyDescent="0.2"/>
    <row r="22921" ht="9.9499999999999993" hidden="1" customHeight="1" x14ac:dyDescent="0.2"/>
    <row r="22922" ht="9.9499999999999993" hidden="1" customHeight="1" x14ac:dyDescent="0.2"/>
    <row r="22923" ht="9.9499999999999993" hidden="1" customHeight="1" x14ac:dyDescent="0.2"/>
    <row r="22924" ht="9.9499999999999993" hidden="1" customHeight="1" x14ac:dyDescent="0.2"/>
    <row r="22925" ht="9.9499999999999993" hidden="1" customHeight="1" x14ac:dyDescent="0.2"/>
    <row r="22926" ht="9.9499999999999993" hidden="1" customHeight="1" x14ac:dyDescent="0.2"/>
    <row r="22927" ht="9.9499999999999993" hidden="1" customHeight="1" x14ac:dyDescent="0.2"/>
    <row r="22928" ht="9.9499999999999993" hidden="1" customHeight="1" x14ac:dyDescent="0.2"/>
    <row r="22929" ht="9.9499999999999993" hidden="1" customHeight="1" x14ac:dyDescent="0.2"/>
    <row r="22930" ht="9.9499999999999993" hidden="1" customHeight="1" x14ac:dyDescent="0.2"/>
    <row r="22931" ht="9.9499999999999993" hidden="1" customHeight="1" x14ac:dyDescent="0.2"/>
    <row r="22932" ht="9.9499999999999993" hidden="1" customHeight="1" x14ac:dyDescent="0.2"/>
    <row r="22933" ht="9.9499999999999993" hidden="1" customHeight="1" x14ac:dyDescent="0.2"/>
    <row r="22934" ht="9.9499999999999993" hidden="1" customHeight="1" x14ac:dyDescent="0.2"/>
    <row r="22935" ht="9.9499999999999993" hidden="1" customHeight="1" x14ac:dyDescent="0.2"/>
    <row r="22936" ht="9.9499999999999993" hidden="1" customHeight="1" x14ac:dyDescent="0.2"/>
    <row r="22937" ht="9.9499999999999993" hidden="1" customHeight="1" x14ac:dyDescent="0.2"/>
    <row r="22938" ht="9.9499999999999993" hidden="1" customHeight="1" x14ac:dyDescent="0.2"/>
    <row r="22939" ht="9.9499999999999993" hidden="1" customHeight="1" x14ac:dyDescent="0.2"/>
    <row r="22940" ht="9.9499999999999993" hidden="1" customHeight="1" x14ac:dyDescent="0.2"/>
    <row r="22941" ht="9.9499999999999993" hidden="1" customHeight="1" x14ac:dyDescent="0.2"/>
    <row r="22942" ht="9.9499999999999993" hidden="1" customHeight="1" x14ac:dyDescent="0.2"/>
    <row r="22943" ht="9.9499999999999993" hidden="1" customHeight="1" x14ac:dyDescent="0.2"/>
    <row r="22944" ht="9.9499999999999993" hidden="1" customHeight="1" x14ac:dyDescent="0.2"/>
    <row r="22945" ht="9.9499999999999993" hidden="1" customHeight="1" x14ac:dyDescent="0.2"/>
    <row r="22946" ht="9.9499999999999993" hidden="1" customHeight="1" x14ac:dyDescent="0.2"/>
    <row r="22947" ht="9.9499999999999993" hidden="1" customHeight="1" x14ac:dyDescent="0.2"/>
    <row r="22948" ht="9.9499999999999993" hidden="1" customHeight="1" x14ac:dyDescent="0.2"/>
    <row r="22949" ht="9.9499999999999993" hidden="1" customHeight="1" x14ac:dyDescent="0.2"/>
    <row r="22950" ht="9.9499999999999993" hidden="1" customHeight="1" x14ac:dyDescent="0.2"/>
    <row r="22951" ht="9.9499999999999993" hidden="1" customHeight="1" x14ac:dyDescent="0.2"/>
    <row r="22952" ht="9.9499999999999993" hidden="1" customHeight="1" x14ac:dyDescent="0.2"/>
    <row r="22953" ht="9.9499999999999993" hidden="1" customHeight="1" x14ac:dyDescent="0.2"/>
    <row r="22954" ht="9.9499999999999993" hidden="1" customHeight="1" x14ac:dyDescent="0.2"/>
    <row r="22955" ht="9.9499999999999993" hidden="1" customHeight="1" x14ac:dyDescent="0.2"/>
    <row r="22956" ht="9.9499999999999993" hidden="1" customHeight="1" x14ac:dyDescent="0.2"/>
    <row r="22957" ht="9.9499999999999993" hidden="1" customHeight="1" x14ac:dyDescent="0.2"/>
    <row r="22958" ht="9.9499999999999993" hidden="1" customHeight="1" x14ac:dyDescent="0.2"/>
    <row r="22959" ht="9.9499999999999993" hidden="1" customHeight="1" x14ac:dyDescent="0.2"/>
    <row r="22960" ht="9.9499999999999993" hidden="1" customHeight="1" x14ac:dyDescent="0.2"/>
    <row r="22961" ht="9.9499999999999993" hidden="1" customHeight="1" x14ac:dyDescent="0.2"/>
    <row r="22962" ht="9.9499999999999993" hidden="1" customHeight="1" x14ac:dyDescent="0.2"/>
    <row r="22963" ht="9.9499999999999993" hidden="1" customHeight="1" x14ac:dyDescent="0.2"/>
    <row r="22964" ht="9.9499999999999993" hidden="1" customHeight="1" x14ac:dyDescent="0.2"/>
    <row r="22965" ht="9.9499999999999993" hidden="1" customHeight="1" x14ac:dyDescent="0.2"/>
    <row r="22966" ht="9.9499999999999993" hidden="1" customHeight="1" x14ac:dyDescent="0.2"/>
    <row r="22967" ht="9.9499999999999993" hidden="1" customHeight="1" x14ac:dyDescent="0.2"/>
    <row r="22968" ht="9.9499999999999993" hidden="1" customHeight="1" x14ac:dyDescent="0.2"/>
    <row r="22969" ht="9.9499999999999993" hidden="1" customHeight="1" x14ac:dyDescent="0.2"/>
    <row r="22970" ht="9.9499999999999993" hidden="1" customHeight="1" x14ac:dyDescent="0.2"/>
    <row r="22971" ht="9.9499999999999993" hidden="1" customHeight="1" x14ac:dyDescent="0.2"/>
    <row r="22972" ht="9.9499999999999993" hidden="1" customHeight="1" x14ac:dyDescent="0.2"/>
    <row r="22973" ht="9.9499999999999993" hidden="1" customHeight="1" x14ac:dyDescent="0.2"/>
    <row r="22974" ht="9.9499999999999993" hidden="1" customHeight="1" x14ac:dyDescent="0.2"/>
    <row r="22975" ht="9.9499999999999993" hidden="1" customHeight="1" x14ac:dyDescent="0.2"/>
    <row r="22976" ht="9.9499999999999993" hidden="1" customHeight="1" x14ac:dyDescent="0.2"/>
    <row r="22977" ht="9.9499999999999993" hidden="1" customHeight="1" x14ac:dyDescent="0.2"/>
    <row r="22978" ht="9.9499999999999993" hidden="1" customHeight="1" x14ac:dyDescent="0.2"/>
    <row r="22979" ht="9.9499999999999993" hidden="1" customHeight="1" x14ac:dyDescent="0.2"/>
    <row r="22980" ht="9.9499999999999993" hidden="1" customHeight="1" x14ac:dyDescent="0.2"/>
    <row r="22981" ht="9.9499999999999993" hidden="1" customHeight="1" x14ac:dyDescent="0.2"/>
    <row r="22982" ht="9.9499999999999993" hidden="1" customHeight="1" x14ac:dyDescent="0.2"/>
    <row r="22983" ht="9.9499999999999993" hidden="1" customHeight="1" x14ac:dyDescent="0.2"/>
    <row r="22984" ht="9.9499999999999993" hidden="1" customHeight="1" x14ac:dyDescent="0.2"/>
    <row r="22985" ht="9.9499999999999993" hidden="1" customHeight="1" x14ac:dyDescent="0.2"/>
    <row r="22986" ht="9.9499999999999993" hidden="1" customHeight="1" x14ac:dyDescent="0.2"/>
    <row r="22987" ht="9.9499999999999993" hidden="1" customHeight="1" x14ac:dyDescent="0.2"/>
    <row r="22988" ht="9.9499999999999993" hidden="1" customHeight="1" x14ac:dyDescent="0.2"/>
    <row r="22989" ht="9.9499999999999993" hidden="1" customHeight="1" x14ac:dyDescent="0.2"/>
    <row r="22990" ht="9.9499999999999993" hidden="1" customHeight="1" x14ac:dyDescent="0.2"/>
    <row r="22991" ht="9.9499999999999993" hidden="1" customHeight="1" x14ac:dyDescent="0.2"/>
    <row r="22992" ht="9.9499999999999993" hidden="1" customHeight="1" x14ac:dyDescent="0.2"/>
    <row r="22993" ht="9.9499999999999993" hidden="1" customHeight="1" x14ac:dyDescent="0.2"/>
    <row r="22994" ht="9.9499999999999993" hidden="1" customHeight="1" x14ac:dyDescent="0.2"/>
    <row r="22995" ht="9.9499999999999993" hidden="1" customHeight="1" x14ac:dyDescent="0.2"/>
    <row r="22996" ht="9.9499999999999993" hidden="1" customHeight="1" x14ac:dyDescent="0.2"/>
    <row r="22997" ht="9.9499999999999993" hidden="1" customHeight="1" x14ac:dyDescent="0.2"/>
    <row r="22998" ht="9.9499999999999993" hidden="1" customHeight="1" x14ac:dyDescent="0.2"/>
    <row r="22999" ht="9.9499999999999993" hidden="1" customHeight="1" x14ac:dyDescent="0.2"/>
    <row r="23000" ht="9.9499999999999993" hidden="1" customHeight="1" x14ac:dyDescent="0.2"/>
    <row r="23001" ht="9.9499999999999993" hidden="1" customHeight="1" x14ac:dyDescent="0.2"/>
    <row r="23002" ht="9.9499999999999993" hidden="1" customHeight="1" x14ac:dyDescent="0.2"/>
    <row r="23003" ht="9.9499999999999993" hidden="1" customHeight="1" x14ac:dyDescent="0.2"/>
    <row r="23004" ht="9.9499999999999993" hidden="1" customHeight="1" x14ac:dyDescent="0.2"/>
    <row r="23005" ht="9.9499999999999993" hidden="1" customHeight="1" x14ac:dyDescent="0.2"/>
    <row r="23006" ht="9.9499999999999993" hidden="1" customHeight="1" x14ac:dyDescent="0.2"/>
    <row r="23007" ht="9.9499999999999993" hidden="1" customHeight="1" x14ac:dyDescent="0.2"/>
    <row r="23008" ht="9.9499999999999993" hidden="1" customHeight="1" x14ac:dyDescent="0.2"/>
    <row r="23009" ht="9.9499999999999993" hidden="1" customHeight="1" x14ac:dyDescent="0.2"/>
    <row r="23010" ht="9.9499999999999993" hidden="1" customHeight="1" x14ac:dyDescent="0.2"/>
    <row r="23011" ht="9.9499999999999993" hidden="1" customHeight="1" x14ac:dyDescent="0.2"/>
    <row r="23012" ht="9.9499999999999993" hidden="1" customHeight="1" x14ac:dyDescent="0.2"/>
    <row r="23013" ht="9.9499999999999993" hidden="1" customHeight="1" x14ac:dyDescent="0.2"/>
    <row r="23014" ht="9.9499999999999993" hidden="1" customHeight="1" x14ac:dyDescent="0.2"/>
    <row r="23015" ht="9.9499999999999993" hidden="1" customHeight="1" x14ac:dyDescent="0.2"/>
    <row r="23016" ht="9.9499999999999993" hidden="1" customHeight="1" x14ac:dyDescent="0.2"/>
    <row r="23017" ht="9.9499999999999993" hidden="1" customHeight="1" x14ac:dyDescent="0.2"/>
    <row r="23018" ht="9.9499999999999993" hidden="1" customHeight="1" x14ac:dyDescent="0.2"/>
    <row r="23019" ht="9.9499999999999993" hidden="1" customHeight="1" x14ac:dyDescent="0.2"/>
    <row r="23020" ht="9.9499999999999993" hidden="1" customHeight="1" x14ac:dyDescent="0.2"/>
    <row r="23021" ht="9.9499999999999993" hidden="1" customHeight="1" x14ac:dyDescent="0.2"/>
    <row r="23022" ht="9.9499999999999993" hidden="1" customHeight="1" x14ac:dyDescent="0.2"/>
    <row r="23023" ht="9.9499999999999993" hidden="1" customHeight="1" x14ac:dyDescent="0.2"/>
    <row r="23024" ht="9.9499999999999993" hidden="1" customHeight="1" x14ac:dyDescent="0.2"/>
    <row r="23025" ht="9.9499999999999993" hidden="1" customHeight="1" x14ac:dyDescent="0.2"/>
    <row r="23026" ht="9.9499999999999993" hidden="1" customHeight="1" x14ac:dyDescent="0.2"/>
    <row r="23027" ht="9.9499999999999993" hidden="1" customHeight="1" x14ac:dyDescent="0.2"/>
    <row r="23028" ht="9.9499999999999993" hidden="1" customHeight="1" x14ac:dyDescent="0.2"/>
    <row r="23029" ht="9.9499999999999993" hidden="1" customHeight="1" x14ac:dyDescent="0.2"/>
    <row r="23030" ht="9.9499999999999993" hidden="1" customHeight="1" x14ac:dyDescent="0.2"/>
    <row r="23031" ht="9.9499999999999993" hidden="1" customHeight="1" x14ac:dyDescent="0.2"/>
    <row r="23032" ht="9.9499999999999993" hidden="1" customHeight="1" x14ac:dyDescent="0.2"/>
    <row r="23033" ht="9.9499999999999993" hidden="1" customHeight="1" x14ac:dyDescent="0.2"/>
    <row r="23034" ht="9.9499999999999993" hidden="1" customHeight="1" x14ac:dyDescent="0.2"/>
    <row r="23035" ht="9.9499999999999993" hidden="1" customHeight="1" x14ac:dyDescent="0.2"/>
    <row r="23036" ht="9.9499999999999993" hidden="1" customHeight="1" x14ac:dyDescent="0.2"/>
    <row r="23037" ht="9.9499999999999993" hidden="1" customHeight="1" x14ac:dyDescent="0.2"/>
    <row r="23038" ht="9.9499999999999993" hidden="1" customHeight="1" x14ac:dyDescent="0.2"/>
    <row r="23039" ht="9.9499999999999993" hidden="1" customHeight="1" x14ac:dyDescent="0.2"/>
    <row r="23040" ht="9.9499999999999993" hidden="1" customHeight="1" x14ac:dyDescent="0.2"/>
    <row r="23041" ht="9.9499999999999993" hidden="1" customHeight="1" x14ac:dyDescent="0.2"/>
    <row r="23042" ht="9.9499999999999993" hidden="1" customHeight="1" x14ac:dyDescent="0.2"/>
    <row r="23043" ht="9.9499999999999993" hidden="1" customHeight="1" x14ac:dyDescent="0.2"/>
    <row r="23044" ht="9.9499999999999993" hidden="1" customHeight="1" x14ac:dyDescent="0.2"/>
    <row r="23045" ht="9.9499999999999993" hidden="1" customHeight="1" x14ac:dyDescent="0.2"/>
    <row r="23046" ht="9.9499999999999993" hidden="1" customHeight="1" x14ac:dyDescent="0.2"/>
    <row r="23047" ht="9.9499999999999993" hidden="1" customHeight="1" x14ac:dyDescent="0.2"/>
    <row r="23048" ht="9.9499999999999993" hidden="1" customHeight="1" x14ac:dyDescent="0.2"/>
    <row r="23049" ht="9.9499999999999993" hidden="1" customHeight="1" x14ac:dyDescent="0.2"/>
    <row r="23050" ht="9.9499999999999993" hidden="1" customHeight="1" x14ac:dyDescent="0.2"/>
    <row r="23051" ht="9.9499999999999993" hidden="1" customHeight="1" x14ac:dyDescent="0.2"/>
    <row r="23052" ht="9.9499999999999993" hidden="1" customHeight="1" x14ac:dyDescent="0.2"/>
    <row r="23053" ht="9.9499999999999993" hidden="1" customHeight="1" x14ac:dyDescent="0.2"/>
    <row r="23054" ht="9.9499999999999993" hidden="1" customHeight="1" x14ac:dyDescent="0.2"/>
    <row r="23055" ht="9.9499999999999993" hidden="1" customHeight="1" x14ac:dyDescent="0.2"/>
    <row r="23056" ht="9.9499999999999993" hidden="1" customHeight="1" x14ac:dyDescent="0.2"/>
    <row r="23057" ht="9.9499999999999993" hidden="1" customHeight="1" x14ac:dyDescent="0.2"/>
    <row r="23058" ht="9.9499999999999993" hidden="1" customHeight="1" x14ac:dyDescent="0.2"/>
    <row r="23059" ht="9.9499999999999993" hidden="1" customHeight="1" x14ac:dyDescent="0.2"/>
    <row r="23060" ht="9.9499999999999993" hidden="1" customHeight="1" x14ac:dyDescent="0.2"/>
    <row r="23061" ht="9.9499999999999993" hidden="1" customHeight="1" x14ac:dyDescent="0.2"/>
    <row r="23062" ht="9.9499999999999993" hidden="1" customHeight="1" x14ac:dyDescent="0.2"/>
    <row r="23063" ht="9.9499999999999993" hidden="1" customHeight="1" x14ac:dyDescent="0.2"/>
    <row r="23064" ht="9.9499999999999993" hidden="1" customHeight="1" x14ac:dyDescent="0.2"/>
    <row r="23065" ht="9.9499999999999993" hidden="1" customHeight="1" x14ac:dyDescent="0.2"/>
    <row r="23066" ht="9.9499999999999993" hidden="1" customHeight="1" x14ac:dyDescent="0.2"/>
    <row r="23067" ht="9.9499999999999993" hidden="1" customHeight="1" x14ac:dyDescent="0.2"/>
    <row r="23068" ht="9.9499999999999993" hidden="1" customHeight="1" x14ac:dyDescent="0.2"/>
    <row r="23069" ht="9.9499999999999993" hidden="1" customHeight="1" x14ac:dyDescent="0.2"/>
    <row r="23070" ht="9.9499999999999993" hidden="1" customHeight="1" x14ac:dyDescent="0.2"/>
    <row r="23071" ht="9.9499999999999993" hidden="1" customHeight="1" x14ac:dyDescent="0.2"/>
    <row r="23072" ht="9.9499999999999993" hidden="1" customHeight="1" x14ac:dyDescent="0.2"/>
    <row r="23073" ht="9.9499999999999993" hidden="1" customHeight="1" x14ac:dyDescent="0.2"/>
    <row r="23074" ht="9.9499999999999993" hidden="1" customHeight="1" x14ac:dyDescent="0.2"/>
    <row r="23075" ht="9.9499999999999993" hidden="1" customHeight="1" x14ac:dyDescent="0.2"/>
    <row r="23076" ht="9.9499999999999993" hidden="1" customHeight="1" x14ac:dyDescent="0.2"/>
    <row r="23077" ht="9.9499999999999993" hidden="1" customHeight="1" x14ac:dyDescent="0.2"/>
    <row r="23078" ht="9.9499999999999993" hidden="1" customHeight="1" x14ac:dyDescent="0.2"/>
    <row r="23079" ht="9.9499999999999993" hidden="1" customHeight="1" x14ac:dyDescent="0.2"/>
    <row r="23080" ht="9.9499999999999993" hidden="1" customHeight="1" x14ac:dyDescent="0.2"/>
    <row r="23081" ht="9.9499999999999993" hidden="1" customHeight="1" x14ac:dyDescent="0.2"/>
    <row r="23082" ht="9.9499999999999993" hidden="1" customHeight="1" x14ac:dyDescent="0.2"/>
    <row r="23083" ht="9.9499999999999993" hidden="1" customHeight="1" x14ac:dyDescent="0.2"/>
    <row r="23084" ht="9.9499999999999993" hidden="1" customHeight="1" x14ac:dyDescent="0.2"/>
    <row r="23085" ht="9.9499999999999993" hidden="1" customHeight="1" x14ac:dyDescent="0.2"/>
    <row r="23086" ht="9.9499999999999993" hidden="1" customHeight="1" x14ac:dyDescent="0.2"/>
    <row r="23087" ht="9.9499999999999993" hidden="1" customHeight="1" x14ac:dyDescent="0.2"/>
    <row r="23088" ht="9.9499999999999993" hidden="1" customHeight="1" x14ac:dyDescent="0.2"/>
    <row r="23089" ht="9.9499999999999993" hidden="1" customHeight="1" x14ac:dyDescent="0.2"/>
    <row r="23090" ht="9.9499999999999993" hidden="1" customHeight="1" x14ac:dyDescent="0.2"/>
    <row r="23091" ht="9.9499999999999993" hidden="1" customHeight="1" x14ac:dyDescent="0.2"/>
    <row r="23092" ht="9.9499999999999993" hidden="1" customHeight="1" x14ac:dyDescent="0.2"/>
    <row r="23093" ht="9.9499999999999993" hidden="1" customHeight="1" x14ac:dyDescent="0.2"/>
    <row r="23094" ht="9.9499999999999993" hidden="1" customHeight="1" x14ac:dyDescent="0.2"/>
    <row r="23095" ht="9.9499999999999993" hidden="1" customHeight="1" x14ac:dyDescent="0.2"/>
    <row r="23096" ht="9.9499999999999993" hidden="1" customHeight="1" x14ac:dyDescent="0.2"/>
    <row r="23097" ht="9.9499999999999993" hidden="1" customHeight="1" x14ac:dyDescent="0.2"/>
    <row r="23098" ht="9.9499999999999993" hidden="1" customHeight="1" x14ac:dyDescent="0.2"/>
    <row r="23099" ht="9.9499999999999993" hidden="1" customHeight="1" x14ac:dyDescent="0.2"/>
    <row r="23100" ht="9.9499999999999993" hidden="1" customHeight="1" x14ac:dyDescent="0.2"/>
    <row r="23101" ht="9.9499999999999993" hidden="1" customHeight="1" x14ac:dyDescent="0.2"/>
    <row r="23102" ht="9.9499999999999993" hidden="1" customHeight="1" x14ac:dyDescent="0.2"/>
    <row r="23103" ht="9.9499999999999993" hidden="1" customHeight="1" x14ac:dyDescent="0.2"/>
    <row r="23104" ht="9.9499999999999993" hidden="1" customHeight="1" x14ac:dyDescent="0.2"/>
    <row r="23105" ht="9.9499999999999993" hidden="1" customHeight="1" x14ac:dyDescent="0.2"/>
    <row r="23106" ht="9.9499999999999993" hidden="1" customHeight="1" x14ac:dyDescent="0.2"/>
    <row r="23107" ht="9.9499999999999993" hidden="1" customHeight="1" x14ac:dyDescent="0.2"/>
    <row r="23108" ht="9.9499999999999993" hidden="1" customHeight="1" x14ac:dyDescent="0.2"/>
    <row r="23109" ht="9.9499999999999993" hidden="1" customHeight="1" x14ac:dyDescent="0.2"/>
    <row r="23110" ht="9.9499999999999993" hidden="1" customHeight="1" x14ac:dyDescent="0.2"/>
    <row r="23111" ht="9.9499999999999993" hidden="1" customHeight="1" x14ac:dyDescent="0.2"/>
    <row r="23112" ht="9.9499999999999993" hidden="1" customHeight="1" x14ac:dyDescent="0.2"/>
    <row r="23113" ht="9.9499999999999993" hidden="1" customHeight="1" x14ac:dyDescent="0.2"/>
    <row r="23114" ht="9.9499999999999993" hidden="1" customHeight="1" x14ac:dyDescent="0.2"/>
    <row r="23115" ht="9.9499999999999993" hidden="1" customHeight="1" x14ac:dyDescent="0.2"/>
    <row r="23116" ht="9.9499999999999993" hidden="1" customHeight="1" x14ac:dyDescent="0.2"/>
    <row r="23117" ht="9.9499999999999993" hidden="1" customHeight="1" x14ac:dyDescent="0.2"/>
    <row r="23118" ht="9.9499999999999993" hidden="1" customHeight="1" x14ac:dyDescent="0.2"/>
    <row r="23119" ht="9.9499999999999993" hidden="1" customHeight="1" x14ac:dyDescent="0.2"/>
    <row r="23120" ht="9.9499999999999993" hidden="1" customHeight="1" x14ac:dyDescent="0.2"/>
    <row r="23121" ht="9.9499999999999993" hidden="1" customHeight="1" x14ac:dyDescent="0.2"/>
    <row r="23122" ht="9.9499999999999993" hidden="1" customHeight="1" x14ac:dyDescent="0.2"/>
    <row r="23123" ht="9.9499999999999993" hidden="1" customHeight="1" x14ac:dyDescent="0.2"/>
    <row r="23124" ht="9.9499999999999993" hidden="1" customHeight="1" x14ac:dyDescent="0.2"/>
    <row r="23125" ht="9.9499999999999993" hidden="1" customHeight="1" x14ac:dyDescent="0.2"/>
    <row r="23126" ht="9.9499999999999993" hidden="1" customHeight="1" x14ac:dyDescent="0.2"/>
    <row r="23127" ht="9.9499999999999993" hidden="1" customHeight="1" x14ac:dyDescent="0.2"/>
    <row r="23128" ht="9.9499999999999993" hidden="1" customHeight="1" x14ac:dyDescent="0.2"/>
    <row r="23129" ht="9.9499999999999993" hidden="1" customHeight="1" x14ac:dyDescent="0.2"/>
    <row r="23130" ht="9.9499999999999993" hidden="1" customHeight="1" x14ac:dyDescent="0.2"/>
    <row r="23131" ht="9.9499999999999993" hidden="1" customHeight="1" x14ac:dyDescent="0.2"/>
    <row r="23132" ht="9.9499999999999993" hidden="1" customHeight="1" x14ac:dyDescent="0.2"/>
    <row r="23133" ht="9.9499999999999993" hidden="1" customHeight="1" x14ac:dyDescent="0.2"/>
    <row r="23134" ht="9.9499999999999993" hidden="1" customHeight="1" x14ac:dyDescent="0.2"/>
    <row r="23135" ht="9.9499999999999993" hidden="1" customHeight="1" x14ac:dyDescent="0.2"/>
    <row r="23136" ht="9.9499999999999993" hidden="1" customHeight="1" x14ac:dyDescent="0.2"/>
    <row r="23137" ht="9.9499999999999993" hidden="1" customHeight="1" x14ac:dyDescent="0.2"/>
    <row r="23138" ht="9.9499999999999993" hidden="1" customHeight="1" x14ac:dyDescent="0.2"/>
    <row r="23139" ht="9.9499999999999993" hidden="1" customHeight="1" x14ac:dyDescent="0.2"/>
    <row r="23140" ht="9.9499999999999993" hidden="1" customHeight="1" x14ac:dyDescent="0.2"/>
    <row r="23141" ht="9.9499999999999993" hidden="1" customHeight="1" x14ac:dyDescent="0.2"/>
    <row r="23142" ht="9.9499999999999993" hidden="1" customHeight="1" x14ac:dyDescent="0.2"/>
    <row r="23143" ht="9.9499999999999993" hidden="1" customHeight="1" x14ac:dyDescent="0.2"/>
    <row r="23144" ht="9.9499999999999993" hidden="1" customHeight="1" x14ac:dyDescent="0.2"/>
    <row r="23145" ht="9.9499999999999993" hidden="1" customHeight="1" x14ac:dyDescent="0.2"/>
    <row r="23146" ht="9.9499999999999993" hidden="1" customHeight="1" x14ac:dyDescent="0.2"/>
    <row r="23147" ht="9.9499999999999993" hidden="1" customHeight="1" x14ac:dyDescent="0.2"/>
    <row r="23148" ht="9.9499999999999993" hidden="1" customHeight="1" x14ac:dyDescent="0.2"/>
    <row r="23149" ht="9.9499999999999993" hidden="1" customHeight="1" x14ac:dyDescent="0.2"/>
    <row r="23150" ht="9.9499999999999993" hidden="1" customHeight="1" x14ac:dyDescent="0.2"/>
    <row r="23151" ht="9.9499999999999993" hidden="1" customHeight="1" x14ac:dyDescent="0.2"/>
    <row r="23152" ht="9.9499999999999993" hidden="1" customHeight="1" x14ac:dyDescent="0.2"/>
    <row r="23153" ht="9.9499999999999993" hidden="1" customHeight="1" x14ac:dyDescent="0.2"/>
    <row r="23154" ht="9.9499999999999993" hidden="1" customHeight="1" x14ac:dyDescent="0.2"/>
    <row r="23155" ht="9.9499999999999993" hidden="1" customHeight="1" x14ac:dyDescent="0.2"/>
    <row r="23156" ht="9.9499999999999993" hidden="1" customHeight="1" x14ac:dyDescent="0.2"/>
    <row r="23157" ht="9.9499999999999993" hidden="1" customHeight="1" x14ac:dyDescent="0.2"/>
    <row r="23158" ht="9.9499999999999993" hidden="1" customHeight="1" x14ac:dyDescent="0.2"/>
    <row r="23159" ht="9.9499999999999993" hidden="1" customHeight="1" x14ac:dyDescent="0.2"/>
    <row r="23160" ht="9.9499999999999993" hidden="1" customHeight="1" x14ac:dyDescent="0.2"/>
    <row r="23161" ht="9.9499999999999993" hidden="1" customHeight="1" x14ac:dyDescent="0.2"/>
    <row r="23162" ht="9.9499999999999993" hidden="1" customHeight="1" x14ac:dyDescent="0.2"/>
    <row r="23163" ht="9.9499999999999993" hidden="1" customHeight="1" x14ac:dyDescent="0.2"/>
    <row r="23164" ht="9.9499999999999993" hidden="1" customHeight="1" x14ac:dyDescent="0.2"/>
    <row r="23165" ht="9.9499999999999993" hidden="1" customHeight="1" x14ac:dyDescent="0.2"/>
    <row r="23166" ht="9.9499999999999993" hidden="1" customHeight="1" x14ac:dyDescent="0.2"/>
    <row r="23167" ht="9.9499999999999993" hidden="1" customHeight="1" x14ac:dyDescent="0.2"/>
    <row r="23168" ht="9.9499999999999993" hidden="1" customHeight="1" x14ac:dyDescent="0.2"/>
    <row r="23169" ht="9.9499999999999993" hidden="1" customHeight="1" x14ac:dyDescent="0.2"/>
    <row r="23170" ht="9.9499999999999993" hidden="1" customHeight="1" x14ac:dyDescent="0.2"/>
    <row r="23171" ht="9.9499999999999993" hidden="1" customHeight="1" x14ac:dyDescent="0.2"/>
    <row r="23172" ht="9.9499999999999993" hidden="1" customHeight="1" x14ac:dyDescent="0.2"/>
    <row r="23173" ht="9.9499999999999993" hidden="1" customHeight="1" x14ac:dyDescent="0.2"/>
    <row r="23174" ht="9.9499999999999993" hidden="1" customHeight="1" x14ac:dyDescent="0.2"/>
    <row r="23175" ht="9.9499999999999993" hidden="1" customHeight="1" x14ac:dyDescent="0.2"/>
    <row r="23176" ht="9.9499999999999993" hidden="1" customHeight="1" x14ac:dyDescent="0.2"/>
    <row r="23177" ht="9.9499999999999993" hidden="1" customHeight="1" x14ac:dyDescent="0.2"/>
    <row r="23178" ht="9.9499999999999993" hidden="1" customHeight="1" x14ac:dyDescent="0.2"/>
    <row r="23179" ht="9.9499999999999993" hidden="1" customHeight="1" x14ac:dyDescent="0.2"/>
    <row r="23180" ht="9.9499999999999993" hidden="1" customHeight="1" x14ac:dyDescent="0.2"/>
    <row r="23181" ht="9.9499999999999993" hidden="1" customHeight="1" x14ac:dyDescent="0.2"/>
    <row r="23182" ht="9.9499999999999993" hidden="1" customHeight="1" x14ac:dyDescent="0.2"/>
    <row r="23183" ht="9.9499999999999993" hidden="1" customHeight="1" x14ac:dyDescent="0.2"/>
    <row r="23184" ht="9.9499999999999993" hidden="1" customHeight="1" x14ac:dyDescent="0.2"/>
    <row r="23185" ht="9.9499999999999993" hidden="1" customHeight="1" x14ac:dyDescent="0.2"/>
    <row r="23186" ht="9.9499999999999993" hidden="1" customHeight="1" x14ac:dyDescent="0.2"/>
    <row r="23187" ht="9.9499999999999993" hidden="1" customHeight="1" x14ac:dyDescent="0.2"/>
    <row r="23188" ht="9.9499999999999993" hidden="1" customHeight="1" x14ac:dyDescent="0.2"/>
    <row r="23189" ht="9.9499999999999993" hidden="1" customHeight="1" x14ac:dyDescent="0.2"/>
    <row r="23190" ht="9.9499999999999993" hidden="1" customHeight="1" x14ac:dyDescent="0.2"/>
    <row r="23191" ht="9.9499999999999993" hidden="1" customHeight="1" x14ac:dyDescent="0.2"/>
    <row r="23192" ht="9.9499999999999993" hidden="1" customHeight="1" x14ac:dyDescent="0.2"/>
    <row r="23193" ht="9.9499999999999993" hidden="1" customHeight="1" x14ac:dyDescent="0.2"/>
    <row r="23194" ht="9.9499999999999993" hidden="1" customHeight="1" x14ac:dyDescent="0.2"/>
    <row r="23195" ht="9.9499999999999993" hidden="1" customHeight="1" x14ac:dyDescent="0.2"/>
    <row r="23196" ht="9.9499999999999993" hidden="1" customHeight="1" x14ac:dyDescent="0.2"/>
    <row r="23197" ht="9.9499999999999993" hidden="1" customHeight="1" x14ac:dyDescent="0.2"/>
    <row r="23198" ht="9.9499999999999993" hidden="1" customHeight="1" x14ac:dyDescent="0.2"/>
    <row r="23199" ht="9.9499999999999993" hidden="1" customHeight="1" x14ac:dyDescent="0.2"/>
    <row r="23200" ht="9.9499999999999993" hidden="1" customHeight="1" x14ac:dyDescent="0.2"/>
    <row r="23201" ht="9.9499999999999993" hidden="1" customHeight="1" x14ac:dyDescent="0.2"/>
    <row r="23202" ht="9.9499999999999993" hidden="1" customHeight="1" x14ac:dyDescent="0.2"/>
    <row r="23203" ht="9.9499999999999993" hidden="1" customHeight="1" x14ac:dyDescent="0.2"/>
    <row r="23204" ht="9.9499999999999993" hidden="1" customHeight="1" x14ac:dyDescent="0.2"/>
    <row r="23205" ht="9.9499999999999993" hidden="1" customHeight="1" x14ac:dyDescent="0.2"/>
    <row r="23206" ht="9.9499999999999993" hidden="1" customHeight="1" x14ac:dyDescent="0.2"/>
    <row r="23207" ht="9.9499999999999993" hidden="1" customHeight="1" x14ac:dyDescent="0.2"/>
    <row r="23208" ht="9.9499999999999993" hidden="1" customHeight="1" x14ac:dyDescent="0.2"/>
    <row r="23209" ht="9.9499999999999993" hidden="1" customHeight="1" x14ac:dyDescent="0.2"/>
    <row r="23210" ht="9.9499999999999993" hidden="1" customHeight="1" x14ac:dyDescent="0.2"/>
    <row r="23211" ht="9.9499999999999993" hidden="1" customHeight="1" x14ac:dyDescent="0.2"/>
    <row r="23212" ht="9.9499999999999993" hidden="1" customHeight="1" x14ac:dyDescent="0.2"/>
    <row r="23213" ht="9.9499999999999993" hidden="1" customHeight="1" x14ac:dyDescent="0.2"/>
    <row r="23214" ht="9.9499999999999993" hidden="1" customHeight="1" x14ac:dyDescent="0.2"/>
    <row r="23215" ht="9.9499999999999993" hidden="1" customHeight="1" x14ac:dyDescent="0.2"/>
    <row r="23216" ht="9.9499999999999993" hidden="1" customHeight="1" x14ac:dyDescent="0.2"/>
    <row r="23217" ht="9.9499999999999993" hidden="1" customHeight="1" x14ac:dyDescent="0.2"/>
    <row r="23218" ht="9.9499999999999993" hidden="1" customHeight="1" x14ac:dyDescent="0.2"/>
    <row r="23219" ht="9.9499999999999993" hidden="1" customHeight="1" x14ac:dyDescent="0.2"/>
    <row r="23220" ht="9.9499999999999993" hidden="1" customHeight="1" x14ac:dyDescent="0.2"/>
    <row r="23221" ht="9.9499999999999993" hidden="1" customHeight="1" x14ac:dyDescent="0.2"/>
    <row r="23222" ht="9.9499999999999993" hidden="1" customHeight="1" x14ac:dyDescent="0.2"/>
    <row r="23223" ht="9.9499999999999993" hidden="1" customHeight="1" x14ac:dyDescent="0.2"/>
    <row r="23224" ht="9.9499999999999993" hidden="1" customHeight="1" x14ac:dyDescent="0.2"/>
    <row r="23225" ht="9.9499999999999993" hidden="1" customHeight="1" x14ac:dyDescent="0.2"/>
    <row r="23226" ht="9.9499999999999993" hidden="1" customHeight="1" x14ac:dyDescent="0.2"/>
    <row r="23227" ht="9.9499999999999993" hidden="1" customHeight="1" x14ac:dyDescent="0.2"/>
    <row r="23228" ht="9.9499999999999993" hidden="1" customHeight="1" x14ac:dyDescent="0.2"/>
    <row r="23229" ht="9.9499999999999993" hidden="1" customHeight="1" x14ac:dyDescent="0.2"/>
    <row r="23230" ht="9.9499999999999993" hidden="1" customHeight="1" x14ac:dyDescent="0.2"/>
    <row r="23231" ht="9.9499999999999993" hidden="1" customHeight="1" x14ac:dyDescent="0.2"/>
    <row r="23232" ht="9.9499999999999993" hidden="1" customHeight="1" x14ac:dyDescent="0.2"/>
    <row r="23233" ht="9.9499999999999993" hidden="1" customHeight="1" x14ac:dyDescent="0.2"/>
    <row r="23234" ht="9.9499999999999993" hidden="1" customHeight="1" x14ac:dyDescent="0.2"/>
    <row r="23235" ht="9.9499999999999993" hidden="1" customHeight="1" x14ac:dyDescent="0.2"/>
    <row r="23236" ht="9.9499999999999993" hidden="1" customHeight="1" x14ac:dyDescent="0.2"/>
    <row r="23237" ht="9.9499999999999993" hidden="1" customHeight="1" x14ac:dyDescent="0.2"/>
    <row r="23238" ht="9.9499999999999993" hidden="1" customHeight="1" x14ac:dyDescent="0.2"/>
    <row r="23239" ht="9.9499999999999993" hidden="1" customHeight="1" x14ac:dyDescent="0.2"/>
    <row r="23240" ht="9.9499999999999993" hidden="1" customHeight="1" x14ac:dyDescent="0.2"/>
    <row r="23241" ht="9.9499999999999993" hidden="1" customHeight="1" x14ac:dyDescent="0.2"/>
    <row r="23242" ht="9.9499999999999993" hidden="1" customHeight="1" x14ac:dyDescent="0.2"/>
    <row r="23243" ht="9.9499999999999993" hidden="1" customHeight="1" x14ac:dyDescent="0.2"/>
    <row r="23244" ht="9.9499999999999993" hidden="1" customHeight="1" x14ac:dyDescent="0.2"/>
    <row r="23245" ht="9.9499999999999993" hidden="1" customHeight="1" x14ac:dyDescent="0.2"/>
    <row r="23246" ht="9.9499999999999993" hidden="1" customHeight="1" x14ac:dyDescent="0.2"/>
    <row r="23247" ht="9.9499999999999993" hidden="1" customHeight="1" x14ac:dyDescent="0.2"/>
    <row r="23248" ht="9.9499999999999993" hidden="1" customHeight="1" x14ac:dyDescent="0.2"/>
    <row r="23249" ht="9.9499999999999993" hidden="1" customHeight="1" x14ac:dyDescent="0.2"/>
    <row r="23250" ht="9.9499999999999993" hidden="1" customHeight="1" x14ac:dyDescent="0.2"/>
    <row r="23251" ht="9.9499999999999993" hidden="1" customHeight="1" x14ac:dyDescent="0.2"/>
    <row r="23252" ht="9.9499999999999993" hidden="1" customHeight="1" x14ac:dyDescent="0.2"/>
    <row r="23253" ht="9.9499999999999993" hidden="1" customHeight="1" x14ac:dyDescent="0.2"/>
    <row r="23254" ht="9.9499999999999993" hidden="1" customHeight="1" x14ac:dyDescent="0.2"/>
    <row r="23255" ht="9.9499999999999993" hidden="1" customHeight="1" x14ac:dyDescent="0.2"/>
    <row r="23256" ht="9.9499999999999993" hidden="1" customHeight="1" x14ac:dyDescent="0.2"/>
    <row r="23257" ht="9.9499999999999993" hidden="1" customHeight="1" x14ac:dyDescent="0.2"/>
    <row r="23258" ht="9.9499999999999993" hidden="1" customHeight="1" x14ac:dyDescent="0.2"/>
    <row r="23259" ht="9.9499999999999993" hidden="1" customHeight="1" x14ac:dyDescent="0.2"/>
    <row r="23260" ht="9.9499999999999993" hidden="1" customHeight="1" x14ac:dyDescent="0.2"/>
    <row r="23261" ht="9.9499999999999993" hidden="1" customHeight="1" x14ac:dyDescent="0.2"/>
    <row r="23262" ht="9.9499999999999993" hidden="1" customHeight="1" x14ac:dyDescent="0.2"/>
    <row r="23263" ht="9.9499999999999993" hidden="1" customHeight="1" x14ac:dyDescent="0.2"/>
    <row r="23264" ht="9.9499999999999993" hidden="1" customHeight="1" x14ac:dyDescent="0.2"/>
    <row r="23265" ht="9.9499999999999993" hidden="1" customHeight="1" x14ac:dyDescent="0.2"/>
    <row r="23266" ht="9.9499999999999993" hidden="1" customHeight="1" x14ac:dyDescent="0.2"/>
    <row r="23267" ht="9.9499999999999993" hidden="1" customHeight="1" x14ac:dyDescent="0.2"/>
    <row r="23268" ht="9.9499999999999993" hidden="1" customHeight="1" x14ac:dyDescent="0.2"/>
    <row r="23269" ht="9.9499999999999993" hidden="1" customHeight="1" x14ac:dyDescent="0.2"/>
    <row r="23270" ht="9.9499999999999993" hidden="1" customHeight="1" x14ac:dyDescent="0.2"/>
    <row r="23271" ht="9.9499999999999993" hidden="1" customHeight="1" x14ac:dyDescent="0.2"/>
    <row r="23272" ht="9.9499999999999993" hidden="1" customHeight="1" x14ac:dyDescent="0.2"/>
    <row r="23273" ht="9.9499999999999993" hidden="1" customHeight="1" x14ac:dyDescent="0.2"/>
    <row r="23274" ht="9.9499999999999993" hidden="1" customHeight="1" x14ac:dyDescent="0.2"/>
    <row r="23275" ht="9.9499999999999993" hidden="1" customHeight="1" x14ac:dyDescent="0.2"/>
    <row r="23276" ht="9.9499999999999993" hidden="1" customHeight="1" x14ac:dyDescent="0.2"/>
    <row r="23277" ht="9.9499999999999993" hidden="1" customHeight="1" x14ac:dyDescent="0.2"/>
    <row r="23278" ht="9.9499999999999993" hidden="1" customHeight="1" x14ac:dyDescent="0.2"/>
    <row r="23279" ht="9.9499999999999993" hidden="1" customHeight="1" x14ac:dyDescent="0.2"/>
    <row r="23280" ht="9.9499999999999993" hidden="1" customHeight="1" x14ac:dyDescent="0.2"/>
    <row r="23281" ht="9.9499999999999993" hidden="1" customHeight="1" x14ac:dyDescent="0.2"/>
    <row r="23282" ht="9.9499999999999993" hidden="1" customHeight="1" x14ac:dyDescent="0.2"/>
    <row r="23283" ht="9.9499999999999993" hidden="1" customHeight="1" x14ac:dyDescent="0.2"/>
    <row r="23284" ht="9.9499999999999993" hidden="1" customHeight="1" x14ac:dyDescent="0.2"/>
    <row r="23285" ht="9.9499999999999993" hidden="1" customHeight="1" x14ac:dyDescent="0.2"/>
    <row r="23286" ht="9.9499999999999993" hidden="1" customHeight="1" x14ac:dyDescent="0.2"/>
    <row r="23287" ht="9.9499999999999993" hidden="1" customHeight="1" x14ac:dyDescent="0.2"/>
    <row r="23288" ht="9.9499999999999993" hidden="1" customHeight="1" x14ac:dyDescent="0.2"/>
    <row r="23289" ht="9.9499999999999993" hidden="1" customHeight="1" x14ac:dyDescent="0.2"/>
    <row r="23290" ht="9.9499999999999993" hidden="1" customHeight="1" x14ac:dyDescent="0.2"/>
    <row r="23291" ht="9.9499999999999993" hidden="1" customHeight="1" x14ac:dyDescent="0.2"/>
    <row r="23292" ht="9.9499999999999993" hidden="1" customHeight="1" x14ac:dyDescent="0.2"/>
    <row r="23293" ht="9.9499999999999993" hidden="1" customHeight="1" x14ac:dyDescent="0.2"/>
    <row r="23294" ht="9.9499999999999993" hidden="1" customHeight="1" x14ac:dyDescent="0.2"/>
    <row r="23295" ht="9.9499999999999993" hidden="1" customHeight="1" x14ac:dyDescent="0.2"/>
    <row r="23296" ht="9.9499999999999993" hidden="1" customHeight="1" x14ac:dyDescent="0.2"/>
    <row r="23297" ht="9.9499999999999993" hidden="1" customHeight="1" x14ac:dyDescent="0.2"/>
    <row r="23298" ht="9.9499999999999993" hidden="1" customHeight="1" x14ac:dyDescent="0.2"/>
    <row r="23299" ht="9.9499999999999993" hidden="1" customHeight="1" x14ac:dyDescent="0.2"/>
    <row r="23300" ht="9.9499999999999993" hidden="1" customHeight="1" x14ac:dyDescent="0.2"/>
    <row r="23301" ht="9.9499999999999993" hidden="1" customHeight="1" x14ac:dyDescent="0.2"/>
    <row r="23302" ht="9.9499999999999993" hidden="1" customHeight="1" x14ac:dyDescent="0.2"/>
    <row r="23303" ht="9.9499999999999993" hidden="1" customHeight="1" x14ac:dyDescent="0.2"/>
    <row r="23304" ht="9.9499999999999993" hidden="1" customHeight="1" x14ac:dyDescent="0.2"/>
    <row r="23305" ht="9.9499999999999993" hidden="1" customHeight="1" x14ac:dyDescent="0.2"/>
    <row r="23306" ht="9.9499999999999993" hidden="1" customHeight="1" x14ac:dyDescent="0.2"/>
    <row r="23307" ht="9.9499999999999993" hidden="1" customHeight="1" x14ac:dyDescent="0.2"/>
    <row r="23308" ht="9.9499999999999993" hidden="1" customHeight="1" x14ac:dyDescent="0.2"/>
    <row r="23309" ht="9.9499999999999993" hidden="1" customHeight="1" x14ac:dyDescent="0.2"/>
    <row r="23310" ht="9.9499999999999993" hidden="1" customHeight="1" x14ac:dyDescent="0.2"/>
    <row r="23311" ht="9.9499999999999993" hidden="1" customHeight="1" x14ac:dyDescent="0.2"/>
    <row r="23312" ht="9.9499999999999993" hidden="1" customHeight="1" x14ac:dyDescent="0.2"/>
    <row r="23313" ht="9.9499999999999993" hidden="1" customHeight="1" x14ac:dyDescent="0.2"/>
    <row r="23314" ht="9.9499999999999993" hidden="1" customHeight="1" x14ac:dyDescent="0.2"/>
    <row r="23315" ht="9.9499999999999993" hidden="1" customHeight="1" x14ac:dyDescent="0.2"/>
    <row r="23316" ht="9.9499999999999993" hidden="1" customHeight="1" x14ac:dyDescent="0.2"/>
    <row r="23317" ht="9.9499999999999993" hidden="1" customHeight="1" x14ac:dyDescent="0.2"/>
    <row r="23318" ht="9.9499999999999993" hidden="1" customHeight="1" x14ac:dyDescent="0.2"/>
    <row r="23319" ht="9.9499999999999993" hidden="1" customHeight="1" x14ac:dyDescent="0.2"/>
    <row r="23320" ht="9.9499999999999993" hidden="1" customHeight="1" x14ac:dyDescent="0.2"/>
    <row r="23321" ht="9.9499999999999993" hidden="1" customHeight="1" x14ac:dyDescent="0.2"/>
    <row r="23322" ht="9.9499999999999993" hidden="1" customHeight="1" x14ac:dyDescent="0.2"/>
    <row r="23323" ht="9.9499999999999993" hidden="1" customHeight="1" x14ac:dyDescent="0.2"/>
    <row r="23324" ht="9.9499999999999993" hidden="1" customHeight="1" x14ac:dyDescent="0.2"/>
    <row r="23325" ht="9.9499999999999993" hidden="1" customHeight="1" x14ac:dyDescent="0.2"/>
    <row r="23326" ht="9.9499999999999993" hidden="1" customHeight="1" x14ac:dyDescent="0.2"/>
    <row r="23327" ht="9.9499999999999993" hidden="1" customHeight="1" x14ac:dyDescent="0.2"/>
    <row r="23328" ht="9.9499999999999993" hidden="1" customHeight="1" x14ac:dyDescent="0.2"/>
    <row r="23329" ht="9.9499999999999993" hidden="1" customHeight="1" x14ac:dyDescent="0.2"/>
    <row r="23330" ht="9.9499999999999993" hidden="1" customHeight="1" x14ac:dyDescent="0.2"/>
    <row r="23331" ht="9.9499999999999993" hidden="1" customHeight="1" x14ac:dyDescent="0.2"/>
    <row r="23332" ht="9.9499999999999993" hidden="1" customHeight="1" x14ac:dyDescent="0.2"/>
    <row r="23333" ht="9.9499999999999993" hidden="1" customHeight="1" x14ac:dyDescent="0.2"/>
    <row r="23334" ht="9.9499999999999993" hidden="1" customHeight="1" x14ac:dyDescent="0.2"/>
    <row r="23335" ht="9.9499999999999993" hidden="1" customHeight="1" x14ac:dyDescent="0.2"/>
    <row r="23336" ht="9.9499999999999993" hidden="1" customHeight="1" x14ac:dyDescent="0.2"/>
    <row r="23337" ht="9.9499999999999993" hidden="1" customHeight="1" x14ac:dyDescent="0.2"/>
    <row r="23338" ht="9.9499999999999993" hidden="1" customHeight="1" x14ac:dyDescent="0.2"/>
    <row r="23339" ht="9.9499999999999993" hidden="1" customHeight="1" x14ac:dyDescent="0.2"/>
    <row r="23340" ht="9.9499999999999993" hidden="1" customHeight="1" x14ac:dyDescent="0.2"/>
    <row r="23341" ht="9.9499999999999993" hidden="1" customHeight="1" x14ac:dyDescent="0.2"/>
    <row r="23342" ht="9.9499999999999993" hidden="1" customHeight="1" x14ac:dyDescent="0.2"/>
    <row r="23343" ht="9.9499999999999993" hidden="1" customHeight="1" x14ac:dyDescent="0.2"/>
    <row r="23344" ht="9.9499999999999993" hidden="1" customHeight="1" x14ac:dyDescent="0.2"/>
    <row r="23345" ht="9.9499999999999993" hidden="1" customHeight="1" x14ac:dyDescent="0.2"/>
    <row r="23346" ht="9.9499999999999993" hidden="1" customHeight="1" x14ac:dyDescent="0.2"/>
    <row r="23347" ht="9.9499999999999993" hidden="1" customHeight="1" x14ac:dyDescent="0.2"/>
    <row r="23348" ht="9.9499999999999993" hidden="1" customHeight="1" x14ac:dyDescent="0.2"/>
    <row r="23349" ht="9.9499999999999993" hidden="1" customHeight="1" x14ac:dyDescent="0.2"/>
    <row r="23350" ht="9.9499999999999993" hidden="1" customHeight="1" x14ac:dyDescent="0.2"/>
    <row r="23351" ht="9.9499999999999993" hidden="1" customHeight="1" x14ac:dyDescent="0.2"/>
    <row r="23352" ht="9.9499999999999993" hidden="1" customHeight="1" x14ac:dyDescent="0.2"/>
    <row r="23353" ht="9.9499999999999993" hidden="1" customHeight="1" x14ac:dyDescent="0.2"/>
    <row r="23354" ht="9.9499999999999993" hidden="1" customHeight="1" x14ac:dyDescent="0.2"/>
    <row r="23355" ht="9.9499999999999993" hidden="1" customHeight="1" x14ac:dyDescent="0.2"/>
    <row r="23356" ht="9.9499999999999993" hidden="1" customHeight="1" x14ac:dyDescent="0.2"/>
    <row r="23357" ht="9.9499999999999993" hidden="1" customHeight="1" x14ac:dyDescent="0.2"/>
    <row r="23358" ht="9.9499999999999993" hidden="1" customHeight="1" x14ac:dyDescent="0.2"/>
    <row r="23359" ht="9.9499999999999993" hidden="1" customHeight="1" x14ac:dyDescent="0.2"/>
    <row r="23360" ht="9.9499999999999993" hidden="1" customHeight="1" x14ac:dyDescent="0.2"/>
    <row r="23361" ht="9.9499999999999993" hidden="1" customHeight="1" x14ac:dyDescent="0.2"/>
    <row r="23362" ht="9.9499999999999993" hidden="1" customHeight="1" x14ac:dyDescent="0.2"/>
    <row r="23363" ht="9.9499999999999993" hidden="1" customHeight="1" x14ac:dyDescent="0.2"/>
    <row r="23364" ht="9.9499999999999993" hidden="1" customHeight="1" x14ac:dyDescent="0.2"/>
    <row r="23365" ht="9.9499999999999993" hidden="1" customHeight="1" x14ac:dyDescent="0.2"/>
    <row r="23366" ht="9.9499999999999993" hidden="1" customHeight="1" x14ac:dyDescent="0.2"/>
    <row r="23367" ht="9.9499999999999993" hidden="1" customHeight="1" x14ac:dyDescent="0.2"/>
    <row r="23368" ht="9.9499999999999993" hidden="1" customHeight="1" x14ac:dyDescent="0.2"/>
    <row r="23369" ht="9.9499999999999993" hidden="1" customHeight="1" x14ac:dyDescent="0.2"/>
    <row r="23370" ht="9.9499999999999993" hidden="1" customHeight="1" x14ac:dyDescent="0.2"/>
    <row r="23371" ht="9.9499999999999993" hidden="1" customHeight="1" x14ac:dyDescent="0.2"/>
    <row r="23372" ht="9.9499999999999993" hidden="1" customHeight="1" x14ac:dyDescent="0.2"/>
    <row r="23373" ht="9.9499999999999993" hidden="1" customHeight="1" x14ac:dyDescent="0.2"/>
    <row r="23374" ht="9.9499999999999993" hidden="1" customHeight="1" x14ac:dyDescent="0.2"/>
    <row r="23375" ht="9.9499999999999993" hidden="1" customHeight="1" x14ac:dyDescent="0.2"/>
    <row r="23376" ht="9.9499999999999993" hidden="1" customHeight="1" x14ac:dyDescent="0.2"/>
    <row r="23377" ht="9.9499999999999993" hidden="1" customHeight="1" x14ac:dyDescent="0.2"/>
    <row r="23378" ht="9.9499999999999993" hidden="1" customHeight="1" x14ac:dyDescent="0.2"/>
    <row r="23379" ht="9.9499999999999993" hidden="1" customHeight="1" x14ac:dyDescent="0.2"/>
    <row r="23380" ht="9.9499999999999993" hidden="1" customHeight="1" x14ac:dyDescent="0.2"/>
    <row r="23381" ht="9.9499999999999993" hidden="1" customHeight="1" x14ac:dyDescent="0.2"/>
    <row r="23382" ht="9.9499999999999993" hidden="1" customHeight="1" x14ac:dyDescent="0.2"/>
    <row r="23383" ht="9.9499999999999993" hidden="1" customHeight="1" x14ac:dyDescent="0.2"/>
    <row r="23384" ht="9.9499999999999993" hidden="1" customHeight="1" x14ac:dyDescent="0.2"/>
    <row r="23385" ht="9.9499999999999993" hidden="1" customHeight="1" x14ac:dyDescent="0.2"/>
    <row r="23386" ht="9.9499999999999993" hidden="1" customHeight="1" x14ac:dyDescent="0.2"/>
    <row r="23387" ht="9.9499999999999993" hidden="1" customHeight="1" x14ac:dyDescent="0.2"/>
    <row r="23388" ht="9.9499999999999993" hidden="1" customHeight="1" x14ac:dyDescent="0.2"/>
    <row r="23389" ht="9.9499999999999993" hidden="1" customHeight="1" x14ac:dyDescent="0.2"/>
    <row r="23390" ht="9.9499999999999993" hidden="1" customHeight="1" x14ac:dyDescent="0.2"/>
    <row r="23391" ht="9.9499999999999993" hidden="1" customHeight="1" x14ac:dyDescent="0.2"/>
    <row r="23392" ht="9.9499999999999993" hidden="1" customHeight="1" x14ac:dyDescent="0.2"/>
    <row r="23393" ht="9.9499999999999993" hidden="1" customHeight="1" x14ac:dyDescent="0.2"/>
    <row r="23394" ht="9.9499999999999993" hidden="1" customHeight="1" x14ac:dyDescent="0.2"/>
    <row r="23395" ht="9.9499999999999993" hidden="1" customHeight="1" x14ac:dyDescent="0.2"/>
    <row r="23396" ht="9.9499999999999993" hidden="1" customHeight="1" x14ac:dyDescent="0.2"/>
    <row r="23397" ht="9.9499999999999993" hidden="1" customHeight="1" x14ac:dyDescent="0.2"/>
    <row r="23398" ht="9.9499999999999993" hidden="1" customHeight="1" x14ac:dyDescent="0.2"/>
    <row r="23399" ht="9.9499999999999993" hidden="1" customHeight="1" x14ac:dyDescent="0.2"/>
    <row r="23400" ht="9.9499999999999993" hidden="1" customHeight="1" x14ac:dyDescent="0.2"/>
    <row r="23401" ht="9.9499999999999993" hidden="1" customHeight="1" x14ac:dyDescent="0.2"/>
    <row r="23402" ht="9.9499999999999993" hidden="1" customHeight="1" x14ac:dyDescent="0.2"/>
    <row r="23403" ht="9.9499999999999993" hidden="1" customHeight="1" x14ac:dyDescent="0.2"/>
    <row r="23404" ht="9.9499999999999993" hidden="1" customHeight="1" x14ac:dyDescent="0.2"/>
    <row r="23405" ht="9.9499999999999993" hidden="1" customHeight="1" x14ac:dyDescent="0.2"/>
    <row r="23406" ht="9.9499999999999993" hidden="1" customHeight="1" x14ac:dyDescent="0.2"/>
    <row r="23407" ht="9.9499999999999993" hidden="1" customHeight="1" x14ac:dyDescent="0.2"/>
    <row r="23408" ht="9.9499999999999993" hidden="1" customHeight="1" x14ac:dyDescent="0.2"/>
    <row r="23409" ht="9.9499999999999993" hidden="1" customHeight="1" x14ac:dyDescent="0.2"/>
    <row r="23410" ht="9.9499999999999993" hidden="1" customHeight="1" x14ac:dyDescent="0.2"/>
    <row r="23411" ht="9.9499999999999993" hidden="1" customHeight="1" x14ac:dyDescent="0.2"/>
    <row r="23412" ht="9.9499999999999993" hidden="1" customHeight="1" x14ac:dyDescent="0.2"/>
    <row r="23413" ht="9.9499999999999993" hidden="1" customHeight="1" x14ac:dyDescent="0.2"/>
    <row r="23414" ht="9.9499999999999993" hidden="1" customHeight="1" x14ac:dyDescent="0.2"/>
    <row r="23415" ht="9.9499999999999993" hidden="1" customHeight="1" x14ac:dyDescent="0.2"/>
    <row r="23416" ht="9.9499999999999993" hidden="1" customHeight="1" x14ac:dyDescent="0.2"/>
    <row r="23417" ht="9.9499999999999993" hidden="1" customHeight="1" x14ac:dyDescent="0.2"/>
    <row r="23418" ht="9.9499999999999993" hidden="1" customHeight="1" x14ac:dyDescent="0.2"/>
    <row r="23419" ht="9.9499999999999993" hidden="1" customHeight="1" x14ac:dyDescent="0.2"/>
    <row r="23420" ht="9.9499999999999993" hidden="1" customHeight="1" x14ac:dyDescent="0.2"/>
    <row r="23421" ht="9.9499999999999993" hidden="1" customHeight="1" x14ac:dyDescent="0.2"/>
    <row r="23422" ht="9.9499999999999993" hidden="1" customHeight="1" x14ac:dyDescent="0.2"/>
    <row r="23423" ht="9.9499999999999993" hidden="1" customHeight="1" x14ac:dyDescent="0.2"/>
    <row r="23424" ht="9.9499999999999993" hidden="1" customHeight="1" x14ac:dyDescent="0.2"/>
    <row r="23425" ht="9.9499999999999993" hidden="1" customHeight="1" x14ac:dyDescent="0.2"/>
    <row r="23426" ht="9.9499999999999993" hidden="1" customHeight="1" x14ac:dyDescent="0.2"/>
    <row r="23427" ht="9.9499999999999993" hidden="1" customHeight="1" x14ac:dyDescent="0.2"/>
    <row r="23428" ht="9.9499999999999993" hidden="1" customHeight="1" x14ac:dyDescent="0.2"/>
    <row r="23429" ht="9.9499999999999993" hidden="1" customHeight="1" x14ac:dyDescent="0.2"/>
    <row r="23430" ht="9.9499999999999993" hidden="1" customHeight="1" x14ac:dyDescent="0.2"/>
    <row r="23431" ht="9.9499999999999993" hidden="1" customHeight="1" x14ac:dyDescent="0.2"/>
    <row r="23432" ht="9.9499999999999993" hidden="1" customHeight="1" x14ac:dyDescent="0.2"/>
    <row r="23433" ht="9.9499999999999993" hidden="1" customHeight="1" x14ac:dyDescent="0.2"/>
    <row r="23434" ht="9.9499999999999993" hidden="1" customHeight="1" x14ac:dyDescent="0.2"/>
    <row r="23435" ht="9.9499999999999993" hidden="1" customHeight="1" x14ac:dyDescent="0.2"/>
    <row r="23436" ht="9.9499999999999993" hidden="1" customHeight="1" x14ac:dyDescent="0.2"/>
    <row r="23437" ht="9.9499999999999993" hidden="1" customHeight="1" x14ac:dyDescent="0.2"/>
    <row r="23438" ht="9.9499999999999993" hidden="1" customHeight="1" x14ac:dyDescent="0.2"/>
    <row r="23439" ht="9.9499999999999993" hidden="1" customHeight="1" x14ac:dyDescent="0.2"/>
    <row r="23440" ht="9.9499999999999993" hidden="1" customHeight="1" x14ac:dyDescent="0.2"/>
    <row r="23441" ht="9.9499999999999993" hidden="1" customHeight="1" x14ac:dyDescent="0.2"/>
    <row r="23442" ht="9.9499999999999993" hidden="1" customHeight="1" x14ac:dyDescent="0.2"/>
    <row r="23443" ht="9.9499999999999993" hidden="1" customHeight="1" x14ac:dyDescent="0.2"/>
    <row r="23444" ht="9.9499999999999993" hidden="1" customHeight="1" x14ac:dyDescent="0.2"/>
    <row r="23445" ht="9.9499999999999993" hidden="1" customHeight="1" x14ac:dyDescent="0.2"/>
    <row r="23446" ht="9.9499999999999993" hidden="1" customHeight="1" x14ac:dyDescent="0.2"/>
    <row r="23447" ht="9.9499999999999993" hidden="1" customHeight="1" x14ac:dyDescent="0.2"/>
    <row r="23448" ht="9.9499999999999993" hidden="1" customHeight="1" x14ac:dyDescent="0.2"/>
    <row r="23449" ht="9.9499999999999993" hidden="1" customHeight="1" x14ac:dyDescent="0.2"/>
    <row r="23450" ht="9.9499999999999993" hidden="1" customHeight="1" x14ac:dyDescent="0.2"/>
    <row r="23451" ht="9.9499999999999993" hidden="1" customHeight="1" x14ac:dyDescent="0.2"/>
    <row r="23452" ht="9.9499999999999993" hidden="1" customHeight="1" x14ac:dyDescent="0.2"/>
    <row r="23453" ht="9.9499999999999993" hidden="1" customHeight="1" x14ac:dyDescent="0.2"/>
    <row r="23454" ht="9.9499999999999993" hidden="1" customHeight="1" x14ac:dyDescent="0.2"/>
    <row r="23455" ht="9.9499999999999993" hidden="1" customHeight="1" x14ac:dyDescent="0.2"/>
    <row r="23456" ht="9.9499999999999993" hidden="1" customHeight="1" x14ac:dyDescent="0.2"/>
    <row r="23457" ht="9.9499999999999993" hidden="1" customHeight="1" x14ac:dyDescent="0.2"/>
    <row r="23458" ht="9.9499999999999993" hidden="1" customHeight="1" x14ac:dyDescent="0.2"/>
    <row r="23459" ht="9.9499999999999993" hidden="1" customHeight="1" x14ac:dyDescent="0.2"/>
    <row r="23460" ht="9.9499999999999993" hidden="1" customHeight="1" x14ac:dyDescent="0.2"/>
    <row r="23461" ht="9.9499999999999993" hidden="1" customHeight="1" x14ac:dyDescent="0.2"/>
    <row r="23462" ht="9.9499999999999993" hidden="1" customHeight="1" x14ac:dyDescent="0.2"/>
    <row r="23463" ht="9.9499999999999993" hidden="1" customHeight="1" x14ac:dyDescent="0.2"/>
    <row r="23464" ht="9.9499999999999993" hidden="1" customHeight="1" x14ac:dyDescent="0.2"/>
    <row r="23465" ht="9.9499999999999993" hidden="1" customHeight="1" x14ac:dyDescent="0.2"/>
    <row r="23466" ht="9.9499999999999993" hidden="1" customHeight="1" x14ac:dyDescent="0.2"/>
    <row r="23467" ht="9.9499999999999993" hidden="1" customHeight="1" x14ac:dyDescent="0.2"/>
    <row r="23468" ht="9.9499999999999993" hidden="1" customHeight="1" x14ac:dyDescent="0.2"/>
    <row r="23469" ht="9.9499999999999993" hidden="1" customHeight="1" x14ac:dyDescent="0.2"/>
    <row r="23470" ht="9.9499999999999993" hidden="1" customHeight="1" x14ac:dyDescent="0.2"/>
    <row r="23471" ht="9.9499999999999993" hidden="1" customHeight="1" x14ac:dyDescent="0.2"/>
    <row r="23472" ht="9.9499999999999993" hidden="1" customHeight="1" x14ac:dyDescent="0.2"/>
    <row r="23473" ht="9.9499999999999993" hidden="1" customHeight="1" x14ac:dyDescent="0.2"/>
    <row r="23474" ht="9.9499999999999993" hidden="1" customHeight="1" x14ac:dyDescent="0.2"/>
    <row r="23475" ht="9.9499999999999993" hidden="1" customHeight="1" x14ac:dyDescent="0.2"/>
    <row r="23476" ht="9.9499999999999993" hidden="1" customHeight="1" x14ac:dyDescent="0.2"/>
    <row r="23477" ht="9.9499999999999993" hidden="1" customHeight="1" x14ac:dyDescent="0.2"/>
    <row r="23478" ht="9.9499999999999993" hidden="1" customHeight="1" x14ac:dyDescent="0.2"/>
    <row r="23479" ht="9.9499999999999993" hidden="1" customHeight="1" x14ac:dyDescent="0.2"/>
    <row r="23480" ht="9.9499999999999993" hidden="1" customHeight="1" x14ac:dyDescent="0.2"/>
    <row r="23481" ht="9.9499999999999993" hidden="1" customHeight="1" x14ac:dyDescent="0.2"/>
    <row r="23482" ht="9.9499999999999993" hidden="1" customHeight="1" x14ac:dyDescent="0.2"/>
    <row r="23483" ht="9.9499999999999993" hidden="1" customHeight="1" x14ac:dyDescent="0.2"/>
    <row r="23484" ht="9.9499999999999993" hidden="1" customHeight="1" x14ac:dyDescent="0.2"/>
    <row r="23485" ht="9.9499999999999993" hidden="1" customHeight="1" x14ac:dyDescent="0.2"/>
    <row r="23486" ht="9.9499999999999993" hidden="1" customHeight="1" x14ac:dyDescent="0.2"/>
    <row r="23487" ht="9.9499999999999993" hidden="1" customHeight="1" x14ac:dyDescent="0.2"/>
    <row r="23488" ht="9.9499999999999993" hidden="1" customHeight="1" x14ac:dyDescent="0.2"/>
    <row r="23489" ht="9.9499999999999993" hidden="1" customHeight="1" x14ac:dyDescent="0.2"/>
    <row r="23490" ht="9.9499999999999993" hidden="1" customHeight="1" x14ac:dyDescent="0.2"/>
    <row r="23491" ht="9.9499999999999993" hidden="1" customHeight="1" x14ac:dyDescent="0.2"/>
    <row r="23492" ht="9.9499999999999993" hidden="1" customHeight="1" x14ac:dyDescent="0.2"/>
    <row r="23493" ht="9.9499999999999993" hidden="1" customHeight="1" x14ac:dyDescent="0.2"/>
    <row r="23494" ht="9.9499999999999993" hidden="1" customHeight="1" x14ac:dyDescent="0.2"/>
    <row r="23495" ht="9.9499999999999993" hidden="1" customHeight="1" x14ac:dyDescent="0.2"/>
    <row r="23496" ht="9.9499999999999993" hidden="1" customHeight="1" x14ac:dyDescent="0.2"/>
    <row r="23497" ht="9.9499999999999993" hidden="1" customHeight="1" x14ac:dyDescent="0.2"/>
    <row r="23498" ht="9.9499999999999993" hidden="1" customHeight="1" x14ac:dyDescent="0.2"/>
    <row r="23499" ht="9.9499999999999993" hidden="1" customHeight="1" x14ac:dyDescent="0.2"/>
    <row r="23500" ht="9.9499999999999993" hidden="1" customHeight="1" x14ac:dyDescent="0.2"/>
    <row r="23501" ht="9.9499999999999993" hidden="1" customHeight="1" x14ac:dyDescent="0.2"/>
    <row r="23502" ht="9.9499999999999993" hidden="1" customHeight="1" x14ac:dyDescent="0.2"/>
    <row r="23503" ht="9.9499999999999993" hidden="1" customHeight="1" x14ac:dyDescent="0.2"/>
    <row r="23504" ht="9.9499999999999993" hidden="1" customHeight="1" x14ac:dyDescent="0.2"/>
    <row r="23505" ht="9.9499999999999993" hidden="1" customHeight="1" x14ac:dyDescent="0.2"/>
    <row r="23506" ht="9.9499999999999993" hidden="1" customHeight="1" x14ac:dyDescent="0.2"/>
    <row r="23507" ht="9.9499999999999993" hidden="1" customHeight="1" x14ac:dyDescent="0.2"/>
    <row r="23508" ht="9.9499999999999993" hidden="1" customHeight="1" x14ac:dyDescent="0.2"/>
    <row r="23509" ht="9.9499999999999993" hidden="1" customHeight="1" x14ac:dyDescent="0.2"/>
    <row r="23510" ht="9.9499999999999993" hidden="1" customHeight="1" x14ac:dyDescent="0.2"/>
    <row r="23511" ht="9.9499999999999993" hidden="1" customHeight="1" x14ac:dyDescent="0.2"/>
    <row r="23512" ht="9.9499999999999993" hidden="1" customHeight="1" x14ac:dyDescent="0.2"/>
    <row r="23513" ht="9.9499999999999993" hidden="1" customHeight="1" x14ac:dyDescent="0.2"/>
    <row r="23514" ht="9.9499999999999993" hidden="1" customHeight="1" x14ac:dyDescent="0.2"/>
    <row r="23515" ht="9.9499999999999993" hidden="1" customHeight="1" x14ac:dyDescent="0.2"/>
    <row r="23516" ht="9.9499999999999993" hidden="1" customHeight="1" x14ac:dyDescent="0.2"/>
    <row r="23517" ht="9.9499999999999993" hidden="1" customHeight="1" x14ac:dyDescent="0.2"/>
    <row r="23518" ht="9.9499999999999993" hidden="1" customHeight="1" x14ac:dyDescent="0.2"/>
    <row r="23519" ht="9.9499999999999993" hidden="1" customHeight="1" x14ac:dyDescent="0.2"/>
    <row r="23520" ht="9.9499999999999993" hidden="1" customHeight="1" x14ac:dyDescent="0.2"/>
    <row r="23521" ht="9.9499999999999993" hidden="1" customHeight="1" x14ac:dyDescent="0.2"/>
    <row r="23522" ht="9.9499999999999993" hidden="1" customHeight="1" x14ac:dyDescent="0.2"/>
    <row r="23523" ht="9.9499999999999993" hidden="1" customHeight="1" x14ac:dyDescent="0.2"/>
    <row r="23524" ht="9.9499999999999993" hidden="1" customHeight="1" x14ac:dyDescent="0.2"/>
    <row r="23525" ht="9.9499999999999993" hidden="1" customHeight="1" x14ac:dyDescent="0.2"/>
    <row r="23526" ht="9.9499999999999993" hidden="1" customHeight="1" x14ac:dyDescent="0.2"/>
    <row r="23527" ht="9.9499999999999993" hidden="1" customHeight="1" x14ac:dyDescent="0.2"/>
    <row r="23528" ht="9.9499999999999993" hidden="1" customHeight="1" x14ac:dyDescent="0.2"/>
    <row r="23529" ht="9.9499999999999993" hidden="1" customHeight="1" x14ac:dyDescent="0.2"/>
    <row r="23530" ht="9.9499999999999993" hidden="1" customHeight="1" x14ac:dyDescent="0.2"/>
    <row r="23531" ht="9.9499999999999993" hidden="1" customHeight="1" x14ac:dyDescent="0.2"/>
    <row r="23532" ht="9.9499999999999993" hidden="1" customHeight="1" x14ac:dyDescent="0.2"/>
    <row r="23533" ht="9.9499999999999993" hidden="1" customHeight="1" x14ac:dyDescent="0.2"/>
    <row r="23534" ht="9.9499999999999993" hidden="1" customHeight="1" x14ac:dyDescent="0.2"/>
    <row r="23535" ht="9.9499999999999993" hidden="1" customHeight="1" x14ac:dyDescent="0.2"/>
    <row r="23536" ht="9.9499999999999993" hidden="1" customHeight="1" x14ac:dyDescent="0.2"/>
    <row r="23537" ht="9.9499999999999993" hidden="1" customHeight="1" x14ac:dyDescent="0.2"/>
    <row r="23538" ht="9.9499999999999993" hidden="1" customHeight="1" x14ac:dyDescent="0.2"/>
    <row r="23539" ht="9.9499999999999993" hidden="1" customHeight="1" x14ac:dyDescent="0.2"/>
    <row r="23540" ht="9.9499999999999993" hidden="1" customHeight="1" x14ac:dyDescent="0.2"/>
    <row r="23541" ht="9.9499999999999993" hidden="1" customHeight="1" x14ac:dyDescent="0.2"/>
    <row r="23542" ht="9.9499999999999993" hidden="1" customHeight="1" x14ac:dyDescent="0.2"/>
    <row r="23543" ht="9.9499999999999993" hidden="1" customHeight="1" x14ac:dyDescent="0.2"/>
    <row r="23544" ht="9.9499999999999993" hidden="1" customHeight="1" x14ac:dyDescent="0.2"/>
    <row r="23545" ht="9.9499999999999993" hidden="1" customHeight="1" x14ac:dyDescent="0.2"/>
    <row r="23546" ht="9.9499999999999993" hidden="1" customHeight="1" x14ac:dyDescent="0.2"/>
    <row r="23547" ht="9.9499999999999993" hidden="1" customHeight="1" x14ac:dyDescent="0.2"/>
    <row r="23548" ht="9.9499999999999993" hidden="1" customHeight="1" x14ac:dyDescent="0.2"/>
    <row r="23549" ht="9.9499999999999993" hidden="1" customHeight="1" x14ac:dyDescent="0.2"/>
    <row r="23550" ht="9.9499999999999993" hidden="1" customHeight="1" x14ac:dyDescent="0.2"/>
    <row r="23551" ht="9.9499999999999993" hidden="1" customHeight="1" x14ac:dyDescent="0.2"/>
    <row r="23552" ht="9.9499999999999993" hidden="1" customHeight="1" x14ac:dyDescent="0.2"/>
    <row r="23553" ht="9.9499999999999993" hidden="1" customHeight="1" x14ac:dyDescent="0.2"/>
    <row r="23554" ht="9.9499999999999993" hidden="1" customHeight="1" x14ac:dyDescent="0.2"/>
    <row r="23555" ht="9.9499999999999993" hidden="1" customHeight="1" x14ac:dyDescent="0.2"/>
    <row r="23556" ht="9.9499999999999993" hidden="1" customHeight="1" x14ac:dyDescent="0.2"/>
    <row r="23557" ht="9.9499999999999993" hidden="1" customHeight="1" x14ac:dyDescent="0.2"/>
    <row r="23558" ht="9.9499999999999993" hidden="1" customHeight="1" x14ac:dyDescent="0.2"/>
    <row r="23559" ht="9.9499999999999993" hidden="1" customHeight="1" x14ac:dyDescent="0.2"/>
    <row r="23560" ht="9.9499999999999993" hidden="1" customHeight="1" x14ac:dyDescent="0.2"/>
    <row r="23561" ht="9.9499999999999993" hidden="1" customHeight="1" x14ac:dyDescent="0.2"/>
    <row r="23562" ht="9.9499999999999993" hidden="1" customHeight="1" x14ac:dyDescent="0.2"/>
    <row r="23563" ht="9.9499999999999993" hidden="1" customHeight="1" x14ac:dyDescent="0.2"/>
    <row r="23564" ht="9.9499999999999993" hidden="1" customHeight="1" x14ac:dyDescent="0.2"/>
    <row r="23565" ht="9.9499999999999993" hidden="1" customHeight="1" x14ac:dyDescent="0.2"/>
    <row r="23566" ht="9.9499999999999993" hidden="1" customHeight="1" x14ac:dyDescent="0.2"/>
    <row r="23567" ht="9.9499999999999993" hidden="1" customHeight="1" x14ac:dyDescent="0.2"/>
    <row r="23568" ht="9.9499999999999993" hidden="1" customHeight="1" x14ac:dyDescent="0.2"/>
    <row r="23569" ht="9.9499999999999993" hidden="1" customHeight="1" x14ac:dyDescent="0.2"/>
    <row r="23570" ht="9.9499999999999993" hidden="1" customHeight="1" x14ac:dyDescent="0.2"/>
    <row r="23571" ht="9.9499999999999993" hidden="1" customHeight="1" x14ac:dyDescent="0.2"/>
    <row r="23572" ht="9.9499999999999993" hidden="1" customHeight="1" x14ac:dyDescent="0.2"/>
    <row r="23573" ht="9.9499999999999993" hidden="1" customHeight="1" x14ac:dyDescent="0.2"/>
    <row r="23574" ht="9.9499999999999993" hidden="1" customHeight="1" x14ac:dyDescent="0.2"/>
    <row r="23575" ht="9.9499999999999993" hidden="1" customHeight="1" x14ac:dyDescent="0.2"/>
    <row r="23576" ht="9.9499999999999993" hidden="1" customHeight="1" x14ac:dyDescent="0.2"/>
    <row r="23577" ht="9.9499999999999993" hidden="1" customHeight="1" x14ac:dyDescent="0.2"/>
    <row r="23578" ht="9.9499999999999993" hidden="1" customHeight="1" x14ac:dyDescent="0.2"/>
    <row r="23579" ht="9.9499999999999993" hidden="1" customHeight="1" x14ac:dyDescent="0.2"/>
    <row r="23580" ht="9.9499999999999993" hidden="1" customHeight="1" x14ac:dyDescent="0.2"/>
    <row r="23581" ht="9.9499999999999993" hidden="1" customHeight="1" x14ac:dyDescent="0.2"/>
    <row r="23582" ht="9.9499999999999993" hidden="1" customHeight="1" x14ac:dyDescent="0.2"/>
    <row r="23583" ht="9.9499999999999993" hidden="1" customHeight="1" x14ac:dyDescent="0.2"/>
    <row r="23584" ht="9.9499999999999993" hidden="1" customHeight="1" x14ac:dyDescent="0.2"/>
    <row r="23585" ht="9.9499999999999993" hidden="1" customHeight="1" x14ac:dyDescent="0.2"/>
    <row r="23586" ht="9.9499999999999993" hidden="1" customHeight="1" x14ac:dyDescent="0.2"/>
    <row r="23587" ht="9.9499999999999993" hidden="1" customHeight="1" x14ac:dyDescent="0.2"/>
    <row r="23588" ht="9.9499999999999993" hidden="1" customHeight="1" x14ac:dyDescent="0.2"/>
    <row r="23589" ht="9.9499999999999993" hidden="1" customHeight="1" x14ac:dyDescent="0.2"/>
    <row r="23590" ht="9.9499999999999993" hidden="1" customHeight="1" x14ac:dyDescent="0.2"/>
    <row r="23591" ht="9.9499999999999993" hidden="1" customHeight="1" x14ac:dyDescent="0.2"/>
    <row r="23592" ht="9.9499999999999993" hidden="1" customHeight="1" x14ac:dyDescent="0.2"/>
    <row r="23593" ht="9.9499999999999993" hidden="1" customHeight="1" x14ac:dyDescent="0.2"/>
    <row r="23594" ht="9.9499999999999993" hidden="1" customHeight="1" x14ac:dyDescent="0.2"/>
    <row r="23595" ht="9.9499999999999993" hidden="1" customHeight="1" x14ac:dyDescent="0.2"/>
    <row r="23596" ht="9.9499999999999993" hidden="1" customHeight="1" x14ac:dyDescent="0.2"/>
    <row r="23597" ht="9.9499999999999993" hidden="1" customHeight="1" x14ac:dyDescent="0.2"/>
    <row r="23598" ht="9.9499999999999993" hidden="1" customHeight="1" x14ac:dyDescent="0.2"/>
    <row r="23599" ht="9.9499999999999993" hidden="1" customHeight="1" x14ac:dyDescent="0.2"/>
    <row r="23600" ht="9.9499999999999993" hidden="1" customHeight="1" x14ac:dyDescent="0.2"/>
    <row r="23601" ht="9.9499999999999993" hidden="1" customHeight="1" x14ac:dyDescent="0.2"/>
    <row r="23602" ht="9.9499999999999993" hidden="1" customHeight="1" x14ac:dyDescent="0.2"/>
    <row r="23603" ht="9.9499999999999993" hidden="1" customHeight="1" x14ac:dyDescent="0.2"/>
    <row r="23604" ht="9.9499999999999993" hidden="1" customHeight="1" x14ac:dyDescent="0.2"/>
    <row r="23605" ht="9.9499999999999993" hidden="1" customHeight="1" x14ac:dyDescent="0.2"/>
    <row r="23606" ht="9.9499999999999993" hidden="1" customHeight="1" x14ac:dyDescent="0.2"/>
    <row r="23607" ht="9.9499999999999993" hidden="1" customHeight="1" x14ac:dyDescent="0.2"/>
    <row r="23608" ht="9.9499999999999993" hidden="1" customHeight="1" x14ac:dyDescent="0.2"/>
    <row r="23609" ht="9.9499999999999993" hidden="1" customHeight="1" x14ac:dyDescent="0.2"/>
    <row r="23610" ht="9.9499999999999993" hidden="1" customHeight="1" x14ac:dyDescent="0.2"/>
    <row r="23611" ht="9.9499999999999993" hidden="1" customHeight="1" x14ac:dyDescent="0.2"/>
    <row r="23612" ht="9.9499999999999993" hidden="1" customHeight="1" x14ac:dyDescent="0.2"/>
    <row r="23613" ht="9.9499999999999993" hidden="1" customHeight="1" x14ac:dyDescent="0.2"/>
    <row r="23614" ht="9.9499999999999993" hidden="1" customHeight="1" x14ac:dyDescent="0.2"/>
    <row r="23615" ht="9.9499999999999993" hidden="1" customHeight="1" x14ac:dyDescent="0.2"/>
    <row r="23616" ht="9.9499999999999993" hidden="1" customHeight="1" x14ac:dyDescent="0.2"/>
    <row r="23617" ht="9.9499999999999993" hidden="1" customHeight="1" x14ac:dyDescent="0.2"/>
    <row r="23618" ht="9.9499999999999993" hidden="1" customHeight="1" x14ac:dyDescent="0.2"/>
    <row r="23619" ht="9.9499999999999993" hidden="1" customHeight="1" x14ac:dyDescent="0.2"/>
    <row r="23620" ht="9.9499999999999993" hidden="1" customHeight="1" x14ac:dyDescent="0.2"/>
    <row r="23621" ht="9.9499999999999993" hidden="1" customHeight="1" x14ac:dyDescent="0.2"/>
    <row r="23622" ht="9.9499999999999993" hidden="1" customHeight="1" x14ac:dyDescent="0.2"/>
    <row r="23623" ht="9.9499999999999993" hidden="1" customHeight="1" x14ac:dyDescent="0.2"/>
    <row r="23624" ht="9.9499999999999993" hidden="1" customHeight="1" x14ac:dyDescent="0.2"/>
    <row r="23625" ht="9.9499999999999993" hidden="1" customHeight="1" x14ac:dyDescent="0.2"/>
    <row r="23626" ht="9.9499999999999993" hidden="1" customHeight="1" x14ac:dyDescent="0.2"/>
    <row r="23627" ht="9.9499999999999993" hidden="1" customHeight="1" x14ac:dyDescent="0.2"/>
    <row r="23628" ht="9.9499999999999993" hidden="1" customHeight="1" x14ac:dyDescent="0.2"/>
    <row r="23629" ht="9.9499999999999993" hidden="1" customHeight="1" x14ac:dyDescent="0.2"/>
    <row r="23630" ht="9.9499999999999993" hidden="1" customHeight="1" x14ac:dyDescent="0.2"/>
    <row r="23631" ht="9.9499999999999993" hidden="1" customHeight="1" x14ac:dyDescent="0.2"/>
    <row r="23632" ht="9.9499999999999993" hidden="1" customHeight="1" x14ac:dyDescent="0.2"/>
    <row r="23633" ht="9.9499999999999993" hidden="1" customHeight="1" x14ac:dyDescent="0.2"/>
    <row r="23634" ht="9.9499999999999993" hidden="1" customHeight="1" x14ac:dyDescent="0.2"/>
    <row r="23635" ht="9.9499999999999993" hidden="1" customHeight="1" x14ac:dyDescent="0.2"/>
    <row r="23636" ht="9.9499999999999993" hidden="1" customHeight="1" x14ac:dyDescent="0.2"/>
    <row r="23637" ht="9.9499999999999993" hidden="1" customHeight="1" x14ac:dyDescent="0.2"/>
    <row r="23638" ht="9.9499999999999993" hidden="1" customHeight="1" x14ac:dyDescent="0.2"/>
    <row r="23639" ht="9.9499999999999993" hidden="1" customHeight="1" x14ac:dyDescent="0.2"/>
    <row r="23640" ht="9.9499999999999993" hidden="1" customHeight="1" x14ac:dyDescent="0.2"/>
    <row r="23641" ht="9.9499999999999993" hidden="1" customHeight="1" x14ac:dyDescent="0.2"/>
    <row r="23642" ht="9.9499999999999993" hidden="1" customHeight="1" x14ac:dyDescent="0.2"/>
    <row r="23643" ht="9.9499999999999993" hidden="1" customHeight="1" x14ac:dyDescent="0.2"/>
    <row r="23644" ht="9.9499999999999993" hidden="1" customHeight="1" x14ac:dyDescent="0.2"/>
    <row r="23645" ht="9.9499999999999993" hidden="1" customHeight="1" x14ac:dyDescent="0.2"/>
    <row r="23646" ht="9.9499999999999993" hidden="1" customHeight="1" x14ac:dyDescent="0.2"/>
    <row r="23647" ht="9.9499999999999993" hidden="1" customHeight="1" x14ac:dyDescent="0.2"/>
    <row r="23648" ht="9.9499999999999993" hidden="1" customHeight="1" x14ac:dyDescent="0.2"/>
    <row r="23649" ht="9.9499999999999993" hidden="1" customHeight="1" x14ac:dyDescent="0.2"/>
    <row r="23650" ht="9.9499999999999993" hidden="1" customHeight="1" x14ac:dyDescent="0.2"/>
    <row r="23651" ht="9.9499999999999993" hidden="1" customHeight="1" x14ac:dyDescent="0.2"/>
    <row r="23652" ht="9.9499999999999993" hidden="1" customHeight="1" x14ac:dyDescent="0.2"/>
    <row r="23653" ht="9.9499999999999993" hidden="1" customHeight="1" x14ac:dyDescent="0.2"/>
    <row r="23654" ht="9.9499999999999993" hidden="1" customHeight="1" x14ac:dyDescent="0.2"/>
    <row r="23655" ht="9.9499999999999993" hidden="1" customHeight="1" x14ac:dyDescent="0.2"/>
    <row r="23656" ht="9.9499999999999993" hidden="1" customHeight="1" x14ac:dyDescent="0.2"/>
    <row r="23657" ht="9.9499999999999993" hidden="1" customHeight="1" x14ac:dyDescent="0.2"/>
    <row r="23658" ht="9.9499999999999993" hidden="1" customHeight="1" x14ac:dyDescent="0.2"/>
    <row r="23659" ht="9.9499999999999993" hidden="1" customHeight="1" x14ac:dyDescent="0.2"/>
    <row r="23660" ht="9.9499999999999993" hidden="1" customHeight="1" x14ac:dyDescent="0.2"/>
    <row r="23661" ht="9.9499999999999993" hidden="1" customHeight="1" x14ac:dyDescent="0.2"/>
    <row r="23662" ht="9.9499999999999993" hidden="1" customHeight="1" x14ac:dyDescent="0.2"/>
    <row r="23663" ht="9.9499999999999993" hidden="1" customHeight="1" x14ac:dyDescent="0.2"/>
    <row r="23664" ht="9.9499999999999993" hidden="1" customHeight="1" x14ac:dyDescent="0.2"/>
    <row r="23665" ht="9.9499999999999993" hidden="1" customHeight="1" x14ac:dyDescent="0.2"/>
    <row r="23666" ht="9.9499999999999993" hidden="1" customHeight="1" x14ac:dyDescent="0.2"/>
    <row r="23667" ht="9.9499999999999993" hidden="1" customHeight="1" x14ac:dyDescent="0.2"/>
    <row r="23668" ht="9.9499999999999993" hidden="1" customHeight="1" x14ac:dyDescent="0.2"/>
    <row r="23669" ht="9.9499999999999993" hidden="1" customHeight="1" x14ac:dyDescent="0.2"/>
    <row r="23670" ht="9.9499999999999993" hidden="1" customHeight="1" x14ac:dyDescent="0.2"/>
    <row r="23671" ht="9.9499999999999993" hidden="1" customHeight="1" x14ac:dyDescent="0.2"/>
    <row r="23672" ht="9.9499999999999993" hidden="1" customHeight="1" x14ac:dyDescent="0.2"/>
    <row r="23673" ht="9.9499999999999993" hidden="1" customHeight="1" x14ac:dyDescent="0.2"/>
    <row r="23674" ht="9.9499999999999993" hidden="1" customHeight="1" x14ac:dyDescent="0.2"/>
    <row r="23675" ht="9.9499999999999993" hidden="1" customHeight="1" x14ac:dyDescent="0.2"/>
    <row r="23676" ht="9.9499999999999993" hidden="1" customHeight="1" x14ac:dyDescent="0.2"/>
    <row r="23677" ht="9.9499999999999993" hidden="1" customHeight="1" x14ac:dyDescent="0.2"/>
    <row r="23678" ht="9.9499999999999993" hidden="1" customHeight="1" x14ac:dyDescent="0.2"/>
    <row r="23679" ht="9.9499999999999993" hidden="1" customHeight="1" x14ac:dyDescent="0.2"/>
    <row r="23680" ht="9.9499999999999993" hidden="1" customHeight="1" x14ac:dyDescent="0.2"/>
    <row r="23681" ht="9.9499999999999993" hidden="1" customHeight="1" x14ac:dyDescent="0.2"/>
    <row r="23682" ht="9.9499999999999993" hidden="1" customHeight="1" x14ac:dyDescent="0.2"/>
    <row r="23683" ht="9.9499999999999993" hidden="1" customHeight="1" x14ac:dyDescent="0.2"/>
    <row r="23684" ht="9.9499999999999993" hidden="1" customHeight="1" x14ac:dyDescent="0.2"/>
    <row r="23685" ht="9.9499999999999993" hidden="1" customHeight="1" x14ac:dyDescent="0.2"/>
    <row r="23686" ht="9.9499999999999993" hidden="1" customHeight="1" x14ac:dyDescent="0.2"/>
    <row r="23687" ht="9.9499999999999993" hidden="1" customHeight="1" x14ac:dyDescent="0.2"/>
    <row r="23688" ht="9.9499999999999993" hidden="1" customHeight="1" x14ac:dyDescent="0.2"/>
    <row r="23689" ht="9.9499999999999993" hidden="1" customHeight="1" x14ac:dyDescent="0.2"/>
    <row r="23690" ht="9.9499999999999993" hidden="1" customHeight="1" x14ac:dyDescent="0.2"/>
    <row r="23691" ht="9.9499999999999993" hidden="1" customHeight="1" x14ac:dyDescent="0.2"/>
    <row r="23692" ht="9.9499999999999993" hidden="1" customHeight="1" x14ac:dyDescent="0.2"/>
    <row r="23693" ht="9.9499999999999993" hidden="1" customHeight="1" x14ac:dyDescent="0.2"/>
    <row r="23694" ht="9.9499999999999993" hidden="1" customHeight="1" x14ac:dyDescent="0.2"/>
    <row r="23695" ht="9.9499999999999993" hidden="1" customHeight="1" x14ac:dyDescent="0.2"/>
    <row r="23696" ht="9.9499999999999993" hidden="1" customHeight="1" x14ac:dyDescent="0.2"/>
    <row r="23697" ht="9.9499999999999993" hidden="1" customHeight="1" x14ac:dyDescent="0.2"/>
    <row r="23698" ht="9.9499999999999993" hidden="1" customHeight="1" x14ac:dyDescent="0.2"/>
    <row r="23699" ht="9.9499999999999993" hidden="1" customHeight="1" x14ac:dyDescent="0.2"/>
    <row r="23700" ht="9.9499999999999993" hidden="1" customHeight="1" x14ac:dyDescent="0.2"/>
    <row r="23701" ht="9.9499999999999993" hidden="1" customHeight="1" x14ac:dyDescent="0.2"/>
    <row r="23702" ht="9.9499999999999993" hidden="1" customHeight="1" x14ac:dyDescent="0.2"/>
    <row r="23703" ht="9.9499999999999993" hidden="1" customHeight="1" x14ac:dyDescent="0.2"/>
    <row r="23704" ht="9.9499999999999993" hidden="1" customHeight="1" x14ac:dyDescent="0.2"/>
    <row r="23705" ht="9.9499999999999993" hidden="1" customHeight="1" x14ac:dyDescent="0.2"/>
    <row r="23706" ht="9.9499999999999993" hidden="1" customHeight="1" x14ac:dyDescent="0.2"/>
    <row r="23707" ht="9.9499999999999993" hidden="1" customHeight="1" x14ac:dyDescent="0.2"/>
    <row r="23708" ht="9.9499999999999993" hidden="1" customHeight="1" x14ac:dyDescent="0.2"/>
    <row r="23709" ht="9.9499999999999993" hidden="1" customHeight="1" x14ac:dyDescent="0.2"/>
    <row r="23710" ht="9.9499999999999993" hidden="1" customHeight="1" x14ac:dyDescent="0.2"/>
    <row r="23711" ht="9.9499999999999993" hidden="1" customHeight="1" x14ac:dyDescent="0.2"/>
    <row r="23712" ht="9.9499999999999993" hidden="1" customHeight="1" x14ac:dyDescent="0.2"/>
    <row r="23713" ht="9.9499999999999993" hidden="1" customHeight="1" x14ac:dyDescent="0.2"/>
    <row r="23714" ht="9.9499999999999993" hidden="1" customHeight="1" x14ac:dyDescent="0.2"/>
    <row r="23715" ht="9.9499999999999993" hidden="1" customHeight="1" x14ac:dyDescent="0.2"/>
    <row r="23716" ht="9.9499999999999993" hidden="1" customHeight="1" x14ac:dyDescent="0.2"/>
    <row r="23717" ht="9.9499999999999993" hidden="1" customHeight="1" x14ac:dyDescent="0.2"/>
    <row r="23718" ht="9.9499999999999993" hidden="1" customHeight="1" x14ac:dyDescent="0.2"/>
    <row r="23719" ht="9.9499999999999993" hidden="1" customHeight="1" x14ac:dyDescent="0.2"/>
    <row r="23720" ht="9.9499999999999993" hidden="1" customHeight="1" x14ac:dyDescent="0.2"/>
    <row r="23721" ht="9.9499999999999993" hidden="1" customHeight="1" x14ac:dyDescent="0.2"/>
    <row r="23722" ht="9.9499999999999993" hidden="1" customHeight="1" x14ac:dyDescent="0.2"/>
    <row r="23723" ht="9.9499999999999993" hidden="1" customHeight="1" x14ac:dyDescent="0.2"/>
    <row r="23724" ht="9.9499999999999993" hidden="1" customHeight="1" x14ac:dyDescent="0.2"/>
    <row r="23725" ht="9.9499999999999993" hidden="1" customHeight="1" x14ac:dyDescent="0.2"/>
    <row r="23726" ht="9.9499999999999993" hidden="1" customHeight="1" x14ac:dyDescent="0.2"/>
    <row r="23727" ht="9.9499999999999993" hidden="1" customHeight="1" x14ac:dyDescent="0.2"/>
    <row r="23728" ht="9.9499999999999993" hidden="1" customHeight="1" x14ac:dyDescent="0.2"/>
    <row r="23729" ht="9.9499999999999993" hidden="1" customHeight="1" x14ac:dyDescent="0.2"/>
    <row r="23730" ht="9.9499999999999993" hidden="1" customHeight="1" x14ac:dyDescent="0.2"/>
    <row r="23731" ht="9.9499999999999993" hidden="1" customHeight="1" x14ac:dyDescent="0.2"/>
    <row r="23732" ht="9.9499999999999993" hidden="1" customHeight="1" x14ac:dyDescent="0.2"/>
    <row r="23733" ht="9.9499999999999993" hidden="1" customHeight="1" x14ac:dyDescent="0.2"/>
    <row r="23734" ht="9.9499999999999993" hidden="1" customHeight="1" x14ac:dyDescent="0.2"/>
    <row r="23735" ht="9.9499999999999993" hidden="1" customHeight="1" x14ac:dyDescent="0.2"/>
    <row r="23736" ht="9.9499999999999993" hidden="1" customHeight="1" x14ac:dyDescent="0.2"/>
    <row r="23737" ht="9.9499999999999993" hidden="1" customHeight="1" x14ac:dyDescent="0.2"/>
    <row r="23738" ht="9.9499999999999993" hidden="1" customHeight="1" x14ac:dyDescent="0.2"/>
    <row r="23739" ht="9.9499999999999993" hidden="1" customHeight="1" x14ac:dyDescent="0.2"/>
    <row r="23740" ht="9.9499999999999993" hidden="1" customHeight="1" x14ac:dyDescent="0.2"/>
    <row r="23741" ht="9.9499999999999993" hidden="1" customHeight="1" x14ac:dyDescent="0.2"/>
    <row r="23742" ht="9.9499999999999993" hidden="1" customHeight="1" x14ac:dyDescent="0.2"/>
    <row r="23743" ht="9.9499999999999993" hidden="1" customHeight="1" x14ac:dyDescent="0.2"/>
    <row r="23744" ht="9.9499999999999993" hidden="1" customHeight="1" x14ac:dyDescent="0.2"/>
    <row r="23745" ht="9.9499999999999993" hidden="1" customHeight="1" x14ac:dyDescent="0.2"/>
    <row r="23746" ht="9.9499999999999993" hidden="1" customHeight="1" x14ac:dyDescent="0.2"/>
    <row r="23747" ht="9.9499999999999993" hidden="1" customHeight="1" x14ac:dyDescent="0.2"/>
    <row r="23748" ht="9.9499999999999993" hidden="1" customHeight="1" x14ac:dyDescent="0.2"/>
    <row r="23749" ht="9.9499999999999993" hidden="1" customHeight="1" x14ac:dyDescent="0.2"/>
    <row r="23750" ht="9.9499999999999993" hidden="1" customHeight="1" x14ac:dyDescent="0.2"/>
    <row r="23751" ht="9.9499999999999993" hidden="1" customHeight="1" x14ac:dyDescent="0.2"/>
    <row r="23752" ht="9.9499999999999993" hidden="1" customHeight="1" x14ac:dyDescent="0.2"/>
    <row r="23753" ht="9.9499999999999993" hidden="1" customHeight="1" x14ac:dyDescent="0.2"/>
    <row r="23754" ht="9.9499999999999993" hidden="1" customHeight="1" x14ac:dyDescent="0.2"/>
    <row r="23755" ht="9.9499999999999993" hidden="1" customHeight="1" x14ac:dyDescent="0.2"/>
    <row r="23756" ht="9.9499999999999993" hidden="1" customHeight="1" x14ac:dyDescent="0.2"/>
    <row r="23757" ht="9.9499999999999993" hidden="1" customHeight="1" x14ac:dyDescent="0.2"/>
    <row r="23758" ht="9.9499999999999993" hidden="1" customHeight="1" x14ac:dyDescent="0.2"/>
    <row r="23759" ht="9.9499999999999993" hidden="1" customHeight="1" x14ac:dyDescent="0.2"/>
    <row r="23760" ht="9.9499999999999993" hidden="1" customHeight="1" x14ac:dyDescent="0.2"/>
    <row r="23761" ht="9.9499999999999993" hidden="1" customHeight="1" x14ac:dyDescent="0.2"/>
    <row r="23762" ht="9.9499999999999993" hidden="1" customHeight="1" x14ac:dyDescent="0.2"/>
    <row r="23763" ht="9.9499999999999993" hidden="1" customHeight="1" x14ac:dyDescent="0.2"/>
    <row r="23764" ht="9.9499999999999993" hidden="1" customHeight="1" x14ac:dyDescent="0.2"/>
    <row r="23765" ht="9.9499999999999993" hidden="1" customHeight="1" x14ac:dyDescent="0.2"/>
    <row r="23766" ht="9.9499999999999993" hidden="1" customHeight="1" x14ac:dyDescent="0.2"/>
    <row r="23767" ht="9.9499999999999993" hidden="1" customHeight="1" x14ac:dyDescent="0.2"/>
    <row r="23768" ht="9.9499999999999993" hidden="1" customHeight="1" x14ac:dyDescent="0.2"/>
    <row r="23769" ht="9.9499999999999993" hidden="1" customHeight="1" x14ac:dyDescent="0.2"/>
    <row r="23770" ht="9.9499999999999993" hidden="1" customHeight="1" x14ac:dyDescent="0.2"/>
    <row r="23771" ht="9.9499999999999993" hidden="1" customHeight="1" x14ac:dyDescent="0.2"/>
    <row r="23772" ht="9.9499999999999993" hidden="1" customHeight="1" x14ac:dyDescent="0.2"/>
    <row r="23773" ht="9.9499999999999993" hidden="1" customHeight="1" x14ac:dyDescent="0.2"/>
    <row r="23774" ht="9.9499999999999993" hidden="1" customHeight="1" x14ac:dyDescent="0.2"/>
    <row r="23775" ht="9.9499999999999993" hidden="1" customHeight="1" x14ac:dyDescent="0.2"/>
    <row r="23776" ht="9.9499999999999993" hidden="1" customHeight="1" x14ac:dyDescent="0.2"/>
    <row r="23777" ht="9.9499999999999993" hidden="1" customHeight="1" x14ac:dyDescent="0.2"/>
    <row r="23778" ht="9.9499999999999993" hidden="1" customHeight="1" x14ac:dyDescent="0.2"/>
    <row r="23779" ht="9.9499999999999993" hidden="1" customHeight="1" x14ac:dyDescent="0.2"/>
    <row r="23780" ht="9.9499999999999993" hidden="1" customHeight="1" x14ac:dyDescent="0.2"/>
    <row r="23781" ht="9.9499999999999993" hidden="1" customHeight="1" x14ac:dyDescent="0.2"/>
    <row r="23782" ht="9.9499999999999993" hidden="1" customHeight="1" x14ac:dyDescent="0.2"/>
    <row r="23783" ht="9.9499999999999993" hidden="1" customHeight="1" x14ac:dyDescent="0.2"/>
    <row r="23784" ht="9.9499999999999993" hidden="1" customHeight="1" x14ac:dyDescent="0.2"/>
    <row r="23785" ht="9.9499999999999993" hidden="1" customHeight="1" x14ac:dyDescent="0.2"/>
    <row r="23786" ht="9.9499999999999993" hidden="1" customHeight="1" x14ac:dyDescent="0.2"/>
    <row r="23787" ht="9.9499999999999993" hidden="1" customHeight="1" x14ac:dyDescent="0.2"/>
    <row r="23788" ht="9.9499999999999993" hidden="1" customHeight="1" x14ac:dyDescent="0.2"/>
    <row r="23789" ht="9.9499999999999993" hidden="1" customHeight="1" x14ac:dyDescent="0.2"/>
    <row r="23790" ht="9.9499999999999993" hidden="1" customHeight="1" x14ac:dyDescent="0.2"/>
    <row r="23791" ht="9.9499999999999993" hidden="1" customHeight="1" x14ac:dyDescent="0.2"/>
    <row r="23792" ht="9.9499999999999993" hidden="1" customHeight="1" x14ac:dyDescent="0.2"/>
    <row r="23793" ht="9.9499999999999993" hidden="1" customHeight="1" x14ac:dyDescent="0.2"/>
    <row r="23794" ht="9.9499999999999993" hidden="1" customHeight="1" x14ac:dyDescent="0.2"/>
    <row r="23795" ht="9.9499999999999993" hidden="1" customHeight="1" x14ac:dyDescent="0.2"/>
    <row r="23796" ht="9.9499999999999993" hidden="1" customHeight="1" x14ac:dyDescent="0.2"/>
    <row r="23797" ht="9.9499999999999993" hidden="1" customHeight="1" x14ac:dyDescent="0.2"/>
    <row r="23798" ht="9.9499999999999993" hidden="1" customHeight="1" x14ac:dyDescent="0.2"/>
    <row r="23799" ht="9.9499999999999993" hidden="1" customHeight="1" x14ac:dyDescent="0.2"/>
    <row r="23800" ht="9.9499999999999993" hidden="1" customHeight="1" x14ac:dyDescent="0.2"/>
    <row r="23801" ht="9.9499999999999993" hidden="1" customHeight="1" x14ac:dyDescent="0.2"/>
    <row r="23802" ht="9.9499999999999993" hidden="1" customHeight="1" x14ac:dyDescent="0.2"/>
    <row r="23803" ht="9.9499999999999993" hidden="1" customHeight="1" x14ac:dyDescent="0.2"/>
    <row r="23804" ht="9.9499999999999993" hidden="1" customHeight="1" x14ac:dyDescent="0.2"/>
    <row r="23805" ht="9.9499999999999993" hidden="1" customHeight="1" x14ac:dyDescent="0.2"/>
    <row r="23806" ht="9.9499999999999993" hidden="1" customHeight="1" x14ac:dyDescent="0.2"/>
    <row r="23807" ht="9.9499999999999993" hidden="1" customHeight="1" x14ac:dyDescent="0.2"/>
    <row r="23808" ht="9.9499999999999993" hidden="1" customHeight="1" x14ac:dyDescent="0.2"/>
    <row r="23809" ht="9.9499999999999993" hidden="1" customHeight="1" x14ac:dyDescent="0.2"/>
    <row r="23810" ht="9.9499999999999993" hidden="1" customHeight="1" x14ac:dyDescent="0.2"/>
    <row r="23811" ht="9.9499999999999993" hidden="1" customHeight="1" x14ac:dyDescent="0.2"/>
    <row r="23812" ht="9.9499999999999993" hidden="1" customHeight="1" x14ac:dyDescent="0.2"/>
    <row r="23813" ht="9.9499999999999993" hidden="1" customHeight="1" x14ac:dyDescent="0.2"/>
    <row r="23814" ht="9.9499999999999993" hidden="1" customHeight="1" x14ac:dyDescent="0.2"/>
    <row r="23815" ht="9.9499999999999993" hidden="1" customHeight="1" x14ac:dyDescent="0.2"/>
    <row r="23816" ht="9.9499999999999993" hidden="1" customHeight="1" x14ac:dyDescent="0.2"/>
    <row r="23817" ht="9.9499999999999993" hidden="1" customHeight="1" x14ac:dyDescent="0.2"/>
    <row r="23818" ht="9.9499999999999993" hidden="1" customHeight="1" x14ac:dyDescent="0.2"/>
    <row r="23819" ht="9.9499999999999993" hidden="1" customHeight="1" x14ac:dyDescent="0.2"/>
    <row r="23820" ht="9.9499999999999993" hidden="1" customHeight="1" x14ac:dyDescent="0.2"/>
    <row r="23821" ht="9.9499999999999993" hidden="1" customHeight="1" x14ac:dyDescent="0.2"/>
    <row r="23822" ht="9.9499999999999993" hidden="1" customHeight="1" x14ac:dyDescent="0.2"/>
    <row r="23823" ht="9.9499999999999993" hidden="1" customHeight="1" x14ac:dyDescent="0.2"/>
    <row r="23824" ht="9.9499999999999993" hidden="1" customHeight="1" x14ac:dyDescent="0.2"/>
    <row r="23825" ht="9.9499999999999993" hidden="1" customHeight="1" x14ac:dyDescent="0.2"/>
    <row r="23826" ht="9.9499999999999993" hidden="1" customHeight="1" x14ac:dyDescent="0.2"/>
    <row r="23827" ht="9.9499999999999993" hidden="1" customHeight="1" x14ac:dyDescent="0.2"/>
    <row r="23828" ht="9.9499999999999993" hidden="1" customHeight="1" x14ac:dyDescent="0.2"/>
    <row r="23829" ht="9.9499999999999993" hidden="1" customHeight="1" x14ac:dyDescent="0.2"/>
    <row r="23830" ht="9.9499999999999993" hidden="1" customHeight="1" x14ac:dyDescent="0.2"/>
    <row r="23831" ht="9.9499999999999993" hidden="1" customHeight="1" x14ac:dyDescent="0.2"/>
    <row r="23832" ht="9.9499999999999993" hidden="1" customHeight="1" x14ac:dyDescent="0.2"/>
    <row r="23833" ht="9.9499999999999993" hidden="1" customHeight="1" x14ac:dyDescent="0.2"/>
    <row r="23834" ht="9.9499999999999993" hidden="1" customHeight="1" x14ac:dyDescent="0.2"/>
    <row r="23835" ht="9.9499999999999993" hidden="1" customHeight="1" x14ac:dyDescent="0.2"/>
    <row r="23836" ht="9.9499999999999993" hidden="1" customHeight="1" x14ac:dyDescent="0.2"/>
    <row r="23837" ht="9.9499999999999993" hidden="1" customHeight="1" x14ac:dyDescent="0.2"/>
    <row r="23838" ht="9.9499999999999993" hidden="1" customHeight="1" x14ac:dyDescent="0.2"/>
    <row r="23839" ht="9.9499999999999993" hidden="1" customHeight="1" x14ac:dyDescent="0.2"/>
    <row r="23840" ht="9.9499999999999993" hidden="1" customHeight="1" x14ac:dyDescent="0.2"/>
    <row r="23841" ht="9.9499999999999993" hidden="1" customHeight="1" x14ac:dyDescent="0.2"/>
    <row r="23842" ht="9.9499999999999993" hidden="1" customHeight="1" x14ac:dyDescent="0.2"/>
    <row r="23843" ht="9.9499999999999993" hidden="1" customHeight="1" x14ac:dyDescent="0.2"/>
    <row r="23844" ht="9.9499999999999993" hidden="1" customHeight="1" x14ac:dyDescent="0.2"/>
    <row r="23845" ht="9.9499999999999993" hidden="1" customHeight="1" x14ac:dyDescent="0.2"/>
    <row r="23846" ht="9.9499999999999993" hidden="1" customHeight="1" x14ac:dyDescent="0.2"/>
    <row r="23847" ht="9.9499999999999993" hidden="1" customHeight="1" x14ac:dyDescent="0.2"/>
    <row r="23848" ht="9.9499999999999993" hidden="1" customHeight="1" x14ac:dyDescent="0.2"/>
    <row r="23849" ht="9.9499999999999993" hidden="1" customHeight="1" x14ac:dyDescent="0.2"/>
    <row r="23850" ht="9.9499999999999993" hidden="1" customHeight="1" x14ac:dyDescent="0.2"/>
    <row r="23851" ht="9.9499999999999993" hidden="1" customHeight="1" x14ac:dyDescent="0.2"/>
    <row r="23852" ht="9.9499999999999993" hidden="1" customHeight="1" x14ac:dyDescent="0.2"/>
    <row r="23853" ht="9.9499999999999993" hidden="1" customHeight="1" x14ac:dyDescent="0.2"/>
    <row r="23854" ht="9.9499999999999993" hidden="1" customHeight="1" x14ac:dyDescent="0.2"/>
    <row r="23855" ht="9.9499999999999993" hidden="1" customHeight="1" x14ac:dyDescent="0.2"/>
    <row r="23856" ht="9.9499999999999993" hidden="1" customHeight="1" x14ac:dyDescent="0.2"/>
    <row r="23857" ht="9.9499999999999993" hidden="1" customHeight="1" x14ac:dyDescent="0.2"/>
    <row r="23858" ht="9.9499999999999993" hidden="1" customHeight="1" x14ac:dyDescent="0.2"/>
    <row r="23859" ht="9.9499999999999993" hidden="1" customHeight="1" x14ac:dyDescent="0.2"/>
    <row r="23860" ht="9.9499999999999993" hidden="1" customHeight="1" x14ac:dyDescent="0.2"/>
    <row r="23861" ht="9.9499999999999993" hidden="1" customHeight="1" x14ac:dyDescent="0.2"/>
    <row r="23862" ht="9.9499999999999993" hidden="1" customHeight="1" x14ac:dyDescent="0.2"/>
    <row r="23863" ht="9.9499999999999993" hidden="1" customHeight="1" x14ac:dyDescent="0.2"/>
    <row r="23864" ht="9.9499999999999993" hidden="1" customHeight="1" x14ac:dyDescent="0.2"/>
    <row r="23865" ht="9.9499999999999993" hidden="1" customHeight="1" x14ac:dyDescent="0.2"/>
    <row r="23866" ht="9.9499999999999993" hidden="1" customHeight="1" x14ac:dyDescent="0.2"/>
    <row r="23867" ht="9.9499999999999993" hidden="1" customHeight="1" x14ac:dyDescent="0.2"/>
    <row r="23868" ht="9.9499999999999993" hidden="1" customHeight="1" x14ac:dyDescent="0.2"/>
    <row r="23869" ht="9.9499999999999993" hidden="1" customHeight="1" x14ac:dyDescent="0.2"/>
    <row r="23870" ht="9.9499999999999993" hidden="1" customHeight="1" x14ac:dyDescent="0.2"/>
    <row r="23871" ht="9.9499999999999993" hidden="1" customHeight="1" x14ac:dyDescent="0.2"/>
    <row r="23872" ht="9.9499999999999993" hidden="1" customHeight="1" x14ac:dyDescent="0.2"/>
    <row r="23873" ht="9.9499999999999993" hidden="1" customHeight="1" x14ac:dyDescent="0.2"/>
    <row r="23874" ht="9.9499999999999993" hidden="1" customHeight="1" x14ac:dyDescent="0.2"/>
    <row r="23875" ht="9.9499999999999993" hidden="1" customHeight="1" x14ac:dyDescent="0.2"/>
    <row r="23876" ht="9.9499999999999993" hidden="1" customHeight="1" x14ac:dyDescent="0.2"/>
    <row r="23877" ht="9.9499999999999993" hidden="1" customHeight="1" x14ac:dyDescent="0.2"/>
    <row r="23878" ht="9.9499999999999993" hidden="1" customHeight="1" x14ac:dyDescent="0.2"/>
    <row r="23879" ht="9.9499999999999993" hidden="1" customHeight="1" x14ac:dyDescent="0.2"/>
    <row r="23880" ht="9.9499999999999993" hidden="1" customHeight="1" x14ac:dyDescent="0.2"/>
    <row r="23881" ht="9.9499999999999993" hidden="1" customHeight="1" x14ac:dyDescent="0.2"/>
    <row r="23882" ht="9.9499999999999993" hidden="1" customHeight="1" x14ac:dyDescent="0.2"/>
    <row r="23883" ht="9.9499999999999993" hidden="1" customHeight="1" x14ac:dyDescent="0.2"/>
    <row r="23884" ht="9.9499999999999993" hidden="1" customHeight="1" x14ac:dyDescent="0.2"/>
    <row r="23885" ht="9.9499999999999993" hidden="1" customHeight="1" x14ac:dyDescent="0.2"/>
    <row r="23886" ht="9.9499999999999993" hidden="1" customHeight="1" x14ac:dyDescent="0.2"/>
    <row r="23887" ht="9.9499999999999993" hidden="1" customHeight="1" x14ac:dyDescent="0.2"/>
    <row r="23888" ht="9.9499999999999993" hidden="1" customHeight="1" x14ac:dyDescent="0.2"/>
    <row r="23889" ht="9.9499999999999993" hidden="1" customHeight="1" x14ac:dyDescent="0.2"/>
    <row r="23890" ht="9.9499999999999993" hidden="1" customHeight="1" x14ac:dyDescent="0.2"/>
    <row r="23891" ht="9.9499999999999993" hidden="1" customHeight="1" x14ac:dyDescent="0.2"/>
    <row r="23892" ht="9.9499999999999993" hidden="1" customHeight="1" x14ac:dyDescent="0.2"/>
    <row r="23893" ht="9.9499999999999993" hidden="1" customHeight="1" x14ac:dyDescent="0.2"/>
    <row r="23894" ht="9.9499999999999993" hidden="1" customHeight="1" x14ac:dyDescent="0.2"/>
    <row r="23895" ht="9.9499999999999993" hidden="1" customHeight="1" x14ac:dyDescent="0.2"/>
    <row r="23896" ht="9.9499999999999993" hidden="1" customHeight="1" x14ac:dyDescent="0.2"/>
    <row r="23897" ht="9.9499999999999993" hidden="1" customHeight="1" x14ac:dyDescent="0.2"/>
    <row r="23898" ht="9.9499999999999993" hidden="1" customHeight="1" x14ac:dyDescent="0.2"/>
    <row r="23899" ht="9.9499999999999993" hidden="1" customHeight="1" x14ac:dyDescent="0.2"/>
    <row r="23900" ht="9.9499999999999993" hidden="1" customHeight="1" x14ac:dyDescent="0.2"/>
    <row r="23901" ht="9.9499999999999993" hidden="1" customHeight="1" x14ac:dyDescent="0.2"/>
    <row r="23902" ht="9.9499999999999993" hidden="1" customHeight="1" x14ac:dyDescent="0.2"/>
    <row r="23903" ht="9.9499999999999993" hidden="1" customHeight="1" x14ac:dyDescent="0.2"/>
    <row r="23904" ht="9.9499999999999993" hidden="1" customHeight="1" x14ac:dyDescent="0.2"/>
    <row r="23905" ht="9.9499999999999993" hidden="1" customHeight="1" x14ac:dyDescent="0.2"/>
    <row r="23906" ht="9.9499999999999993" hidden="1" customHeight="1" x14ac:dyDescent="0.2"/>
    <row r="23907" ht="9.9499999999999993" hidden="1" customHeight="1" x14ac:dyDescent="0.2"/>
    <row r="23908" ht="9.9499999999999993" hidden="1" customHeight="1" x14ac:dyDescent="0.2"/>
    <row r="23909" ht="9.9499999999999993" hidden="1" customHeight="1" x14ac:dyDescent="0.2"/>
    <row r="23910" ht="9.9499999999999993" hidden="1" customHeight="1" x14ac:dyDescent="0.2"/>
    <row r="23911" ht="9.9499999999999993" hidden="1" customHeight="1" x14ac:dyDescent="0.2"/>
    <row r="23912" ht="9.9499999999999993" hidden="1" customHeight="1" x14ac:dyDescent="0.2"/>
    <row r="23913" ht="9.9499999999999993" hidden="1" customHeight="1" x14ac:dyDescent="0.2"/>
    <row r="23914" ht="9.9499999999999993" hidden="1" customHeight="1" x14ac:dyDescent="0.2"/>
    <row r="23915" ht="9.9499999999999993" hidden="1" customHeight="1" x14ac:dyDescent="0.2"/>
    <row r="23916" ht="9.9499999999999993" hidden="1" customHeight="1" x14ac:dyDescent="0.2"/>
    <row r="23917" ht="9.9499999999999993" hidden="1" customHeight="1" x14ac:dyDescent="0.2"/>
    <row r="23918" ht="9.9499999999999993" hidden="1" customHeight="1" x14ac:dyDescent="0.2"/>
    <row r="23919" ht="9.9499999999999993" hidden="1" customHeight="1" x14ac:dyDescent="0.2"/>
    <row r="23920" ht="9.9499999999999993" hidden="1" customHeight="1" x14ac:dyDescent="0.2"/>
    <row r="23921" ht="9.9499999999999993" hidden="1" customHeight="1" x14ac:dyDescent="0.2"/>
    <row r="23922" ht="9.9499999999999993" hidden="1" customHeight="1" x14ac:dyDescent="0.2"/>
    <row r="23923" ht="9.9499999999999993" hidden="1" customHeight="1" x14ac:dyDescent="0.2"/>
    <row r="23924" ht="9.9499999999999993" hidden="1" customHeight="1" x14ac:dyDescent="0.2"/>
    <row r="23925" ht="9.9499999999999993" hidden="1" customHeight="1" x14ac:dyDescent="0.2"/>
    <row r="23926" ht="9.9499999999999993" hidden="1" customHeight="1" x14ac:dyDescent="0.2"/>
    <row r="23927" ht="9.9499999999999993" hidden="1" customHeight="1" x14ac:dyDescent="0.2"/>
    <row r="23928" ht="9.9499999999999993" hidden="1" customHeight="1" x14ac:dyDescent="0.2"/>
    <row r="23929" ht="9.9499999999999993" hidden="1" customHeight="1" x14ac:dyDescent="0.2"/>
    <row r="23930" ht="9.9499999999999993" hidden="1" customHeight="1" x14ac:dyDescent="0.2"/>
    <row r="23931" ht="9.9499999999999993" hidden="1" customHeight="1" x14ac:dyDescent="0.2"/>
    <row r="23932" ht="9.9499999999999993" hidden="1" customHeight="1" x14ac:dyDescent="0.2"/>
    <row r="23933" ht="9.9499999999999993" hidden="1" customHeight="1" x14ac:dyDescent="0.2"/>
    <row r="23934" ht="9.9499999999999993" hidden="1" customHeight="1" x14ac:dyDescent="0.2"/>
    <row r="23935" ht="9.9499999999999993" hidden="1" customHeight="1" x14ac:dyDescent="0.2"/>
    <row r="23936" ht="9.9499999999999993" hidden="1" customHeight="1" x14ac:dyDescent="0.2"/>
    <row r="23937" ht="9.9499999999999993" hidden="1" customHeight="1" x14ac:dyDescent="0.2"/>
    <row r="23938" ht="9.9499999999999993" hidden="1" customHeight="1" x14ac:dyDescent="0.2"/>
    <row r="23939" ht="9.9499999999999993" hidden="1" customHeight="1" x14ac:dyDescent="0.2"/>
    <row r="23940" ht="9.9499999999999993" hidden="1" customHeight="1" x14ac:dyDescent="0.2"/>
    <row r="23941" ht="9.9499999999999993" hidden="1" customHeight="1" x14ac:dyDescent="0.2"/>
    <row r="23942" ht="9.9499999999999993" hidden="1" customHeight="1" x14ac:dyDescent="0.2"/>
    <row r="23943" ht="9.9499999999999993" hidden="1" customHeight="1" x14ac:dyDescent="0.2"/>
    <row r="23944" ht="9.9499999999999993" hidden="1" customHeight="1" x14ac:dyDescent="0.2"/>
    <row r="23945" ht="9.9499999999999993" hidden="1" customHeight="1" x14ac:dyDescent="0.2"/>
    <row r="23946" ht="9.9499999999999993" hidden="1" customHeight="1" x14ac:dyDescent="0.2"/>
    <row r="23947" ht="9.9499999999999993" hidden="1" customHeight="1" x14ac:dyDescent="0.2"/>
    <row r="23948" ht="9.9499999999999993" hidden="1" customHeight="1" x14ac:dyDescent="0.2"/>
    <row r="23949" ht="9.9499999999999993" hidden="1" customHeight="1" x14ac:dyDescent="0.2"/>
    <row r="23950" ht="9.9499999999999993" hidden="1" customHeight="1" x14ac:dyDescent="0.2"/>
    <row r="23951" ht="9.9499999999999993" hidden="1" customHeight="1" x14ac:dyDescent="0.2"/>
    <row r="23952" ht="9.9499999999999993" hidden="1" customHeight="1" x14ac:dyDescent="0.2"/>
    <row r="23953" ht="9.9499999999999993" hidden="1" customHeight="1" x14ac:dyDescent="0.2"/>
    <row r="23954" ht="9.9499999999999993" hidden="1" customHeight="1" x14ac:dyDescent="0.2"/>
    <row r="23955" ht="9.9499999999999993" hidden="1" customHeight="1" x14ac:dyDescent="0.2"/>
    <row r="23956" ht="9.9499999999999993" hidden="1" customHeight="1" x14ac:dyDescent="0.2"/>
    <row r="23957" ht="9.9499999999999993" hidden="1" customHeight="1" x14ac:dyDescent="0.2"/>
    <row r="23958" ht="9.9499999999999993" hidden="1" customHeight="1" x14ac:dyDescent="0.2"/>
    <row r="23959" ht="9.9499999999999993" hidden="1" customHeight="1" x14ac:dyDescent="0.2"/>
    <row r="23960" ht="9.9499999999999993" hidden="1" customHeight="1" x14ac:dyDescent="0.2"/>
    <row r="23961" ht="9.9499999999999993" hidden="1" customHeight="1" x14ac:dyDescent="0.2"/>
    <row r="23962" ht="9.9499999999999993" hidden="1" customHeight="1" x14ac:dyDescent="0.2"/>
    <row r="23963" ht="9.9499999999999993" hidden="1" customHeight="1" x14ac:dyDescent="0.2"/>
    <row r="23964" ht="9.9499999999999993" hidden="1" customHeight="1" x14ac:dyDescent="0.2"/>
    <row r="23965" ht="9.9499999999999993" hidden="1" customHeight="1" x14ac:dyDescent="0.2"/>
    <row r="23966" ht="9.9499999999999993" hidden="1" customHeight="1" x14ac:dyDescent="0.2"/>
    <row r="23967" ht="9.9499999999999993" hidden="1" customHeight="1" x14ac:dyDescent="0.2"/>
    <row r="23968" ht="9.9499999999999993" hidden="1" customHeight="1" x14ac:dyDescent="0.2"/>
    <row r="23969" ht="9.9499999999999993" hidden="1" customHeight="1" x14ac:dyDescent="0.2"/>
    <row r="23970" ht="9.9499999999999993" hidden="1" customHeight="1" x14ac:dyDescent="0.2"/>
    <row r="23971" ht="9.9499999999999993" hidden="1" customHeight="1" x14ac:dyDescent="0.2"/>
    <row r="23972" ht="9.9499999999999993" hidden="1" customHeight="1" x14ac:dyDescent="0.2"/>
    <row r="23973" ht="9.9499999999999993" hidden="1" customHeight="1" x14ac:dyDescent="0.2"/>
    <row r="23974" ht="9.9499999999999993" hidden="1" customHeight="1" x14ac:dyDescent="0.2"/>
    <row r="23975" ht="9.9499999999999993" hidden="1" customHeight="1" x14ac:dyDescent="0.2"/>
    <row r="23976" ht="9.9499999999999993" hidden="1" customHeight="1" x14ac:dyDescent="0.2"/>
    <row r="23977" ht="9.9499999999999993" hidden="1" customHeight="1" x14ac:dyDescent="0.2"/>
    <row r="23978" ht="9.9499999999999993" hidden="1" customHeight="1" x14ac:dyDescent="0.2"/>
    <row r="23979" ht="9.9499999999999993" hidden="1" customHeight="1" x14ac:dyDescent="0.2"/>
    <row r="23980" ht="9.9499999999999993" hidden="1" customHeight="1" x14ac:dyDescent="0.2"/>
    <row r="23981" ht="9.9499999999999993" hidden="1" customHeight="1" x14ac:dyDescent="0.2"/>
    <row r="23982" ht="9.9499999999999993" hidden="1" customHeight="1" x14ac:dyDescent="0.2"/>
    <row r="23983" ht="9.9499999999999993" hidden="1" customHeight="1" x14ac:dyDescent="0.2"/>
    <row r="23984" ht="9.9499999999999993" hidden="1" customHeight="1" x14ac:dyDescent="0.2"/>
    <row r="23985" ht="9.9499999999999993" hidden="1" customHeight="1" x14ac:dyDescent="0.2"/>
    <row r="23986" ht="9.9499999999999993" hidden="1" customHeight="1" x14ac:dyDescent="0.2"/>
    <row r="23987" ht="9.9499999999999993" hidden="1" customHeight="1" x14ac:dyDescent="0.2"/>
    <row r="23988" ht="9.9499999999999993" hidden="1" customHeight="1" x14ac:dyDescent="0.2"/>
    <row r="23989" ht="9.9499999999999993" hidden="1" customHeight="1" x14ac:dyDescent="0.2"/>
    <row r="23990" ht="9.9499999999999993" hidden="1" customHeight="1" x14ac:dyDescent="0.2"/>
    <row r="23991" ht="9.9499999999999993" hidden="1" customHeight="1" x14ac:dyDescent="0.2"/>
    <row r="23992" ht="9.9499999999999993" hidden="1" customHeight="1" x14ac:dyDescent="0.2"/>
    <row r="23993" ht="9.9499999999999993" hidden="1" customHeight="1" x14ac:dyDescent="0.2"/>
    <row r="23994" ht="9.9499999999999993" hidden="1" customHeight="1" x14ac:dyDescent="0.2"/>
    <row r="23995" ht="9.9499999999999993" hidden="1" customHeight="1" x14ac:dyDescent="0.2"/>
    <row r="23996" ht="9.9499999999999993" hidden="1" customHeight="1" x14ac:dyDescent="0.2"/>
    <row r="23997" ht="9.9499999999999993" hidden="1" customHeight="1" x14ac:dyDescent="0.2"/>
    <row r="23998" ht="9.9499999999999993" hidden="1" customHeight="1" x14ac:dyDescent="0.2"/>
    <row r="23999" ht="9.9499999999999993" hidden="1" customHeight="1" x14ac:dyDescent="0.2"/>
    <row r="24000" ht="9.9499999999999993" hidden="1" customHeight="1" x14ac:dyDescent="0.2"/>
    <row r="24001" ht="9.9499999999999993" hidden="1" customHeight="1" x14ac:dyDescent="0.2"/>
    <row r="24002" ht="9.9499999999999993" hidden="1" customHeight="1" x14ac:dyDescent="0.2"/>
    <row r="24003" ht="9.9499999999999993" hidden="1" customHeight="1" x14ac:dyDescent="0.2"/>
    <row r="24004" ht="9.9499999999999993" hidden="1" customHeight="1" x14ac:dyDescent="0.2"/>
    <row r="24005" ht="9.9499999999999993" hidden="1" customHeight="1" x14ac:dyDescent="0.2"/>
    <row r="24006" ht="9.9499999999999993" hidden="1" customHeight="1" x14ac:dyDescent="0.2"/>
    <row r="24007" ht="9.9499999999999993" hidden="1" customHeight="1" x14ac:dyDescent="0.2"/>
    <row r="24008" ht="9.9499999999999993" hidden="1" customHeight="1" x14ac:dyDescent="0.2"/>
    <row r="24009" ht="9.9499999999999993" hidden="1" customHeight="1" x14ac:dyDescent="0.2"/>
    <row r="24010" ht="9.9499999999999993" hidden="1" customHeight="1" x14ac:dyDescent="0.2"/>
    <row r="24011" ht="9.9499999999999993" hidden="1" customHeight="1" x14ac:dyDescent="0.2"/>
    <row r="24012" ht="9.9499999999999993" hidden="1" customHeight="1" x14ac:dyDescent="0.2"/>
    <row r="24013" ht="9.9499999999999993" hidden="1" customHeight="1" x14ac:dyDescent="0.2"/>
    <row r="24014" ht="9.9499999999999993" hidden="1" customHeight="1" x14ac:dyDescent="0.2"/>
    <row r="24015" ht="9.9499999999999993" hidden="1" customHeight="1" x14ac:dyDescent="0.2"/>
    <row r="24016" ht="9.9499999999999993" hidden="1" customHeight="1" x14ac:dyDescent="0.2"/>
    <row r="24017" ht="9.9499999999999993" hidden="1" customHeight="1" x14ac:dyDescent="0.2"/>
    <row r="24018" ht="9.9499999999999993" hidden="1" customHeight="1" x14ac:dyDescent="0.2"/>
    <row r="24019" ht="9.9499999999999993" hidden="1" customHeight="1" x14ac:dyDescent="0.2"/>
    <row r="24020" ht="9.9499999999999993" hidden="1" customHeight="1" x14ac:dyDescent="0.2"/>
    <row r="24021" ht="9.9499999999999993" hidden="1" customHeight="1" x14ac:dyDescent="0.2"/>
    <row r="24022" ht="9.9499999999999993" hidden="1" customHeight="1" x14ac:dyDescent="0.2"/>
    <row r="24023" ht="9.9499999999999993" hidden="1" customHeight="1" x14ac:dyDescent="0.2"/>
    <row r="24024" ht="9.9499999999999993" hidden="1" customHeight="1" x14ac:dyDescent="0.2"/>
    <row r="24025" ht="9.9499999999999993" hidden="1" customHeight="1" x14ac:dyDescent="0.2"/>
    <row r="24026" ht="9.9499999999999993" hidden="1" customHeight="1" x14ac:dyDescent="0.2"/>
    <row r="24027" ht="9.9499999999999993" hidden="1" customHeight="1" x14ac:dyDescent="0.2"/>
    <row r="24028" ht="9.9499999999999993" hidden="1" customHeight="1" x14ac:dyDescent="0.2"/>
    <row r="24029" ht="9.9499999999999993" hidden="1" customHeight="1" x14ac:dyDescent="0.2"/>
    <row r="24030" ht="9.9499999999999993" hidden="1" customHeight="1" x14ac:dyDescent="0.2"/>
    <row r="24031" ht="9.9499999999999993" hidden="1" customHeight="1" x14ac:dyDescent="0.2"/>
    <row r="24032" ht="9.9499999999999993" hidden="1" customHeight="1" x14ac:dyDescent="0.2"/>
    <row r="24033" ht="9.9499999999999993" hidden="1" customHeight="1" x14ac:dyDescent="0.2"/>
    <row r="24034" ht="9.9499999999999993" hidden="1" customHeight="1" x14ac:dyDescent="0.2"/>
    <row r="24035" ht="9.9499999999999993" hidden="1" customHeight="1" x14ac:dyDescent="0.2"/>
    <row r="24036" ht="9.9499999999999993" hidden="1" customHeight="1" x14ac:dyDescent="0.2"/>
    <row r="24037" ht="9.9499999999999993" hidden="1" customHeight="1" x14ac:dyDescent="0.2"/>
    <row r="24038" ht="9.9499999999999993" hidden="1" customHeight="1" x14ac:dyDescent="0.2"/>
    <row r="24039" ht="9.9499999999999993" hidden="1" customHeight="1" x14ac:dyDescent="0.2"/>
    <row r="24040" ht="9.9499999999999993" hidden="1" customHeight="1" x14ac:dyDescent="0.2"/>
    <row r="24041" ht="9.9499999999999993" hidden="1" customHeight="1" x14ac:dyDescent="0.2"/>
    <row r="24042" ht="9.9499999999999993" hidden="1" customHeight="1" x14ac:dyDescent="0.2"/>
    <row r="24043" ht="9.9499999999999993" hidden="1" customHeight="1" x14ac:dyDescent="0.2"/>
    <row r="24044" ht="9.9499999999999993" hidden="1" customHeight="1" x14ac:dyDescent="0.2"/>
    <row r="24045" ht="9.9499999999999993" hidden="1" customHeight="1" x14ac:dyDescent="0.2"/>
    <row r="24046" ht="9.9499999999999993" hidden="1" customHeight="1" x14ac:dyDescent="0.2"/>
    <row r="24047" ht="9.9499999999999993" hidden="1" customHeight="1" x14ac:dyDescent="0.2"/>
    <row r="24048" ht="9.9499999999999993" hidden="1" customHeight="1" x14ac:dyDescent="0.2"/>
    <row r="24049" ht="9.9499999999999993" hidden="1" customHeight="1" x14ac:dyDescent="0.2"/>
    <row r="24050" ht="9.9499999999999993" hidden="1" customHeight="1" x14ac:dyDescent="0.2"/>
    <row r="24051" ht="9.9499999999999993" hidden="1" customHeight="1" x14ac:dyDescent="0.2"/>
    <row r="24052" ht="9.9499999999999993" hidden="1" customHeight="1" x14ac:dyDescent="0.2"/>
    <row r="24053" ht="9.9499999999999993" hidden="1" customHeight="1" x14ac:dyDescent="0.2"/>
    <row r="24054" ht="9.9499999999999993" hidden="1" customHeight="1" x14ac:dyDescent="0.2"/>
    <row r="24055" ht="9.9499999999999993" hidden="1" customHeight="1" x14ac:dyDescent="0.2"/>
    <row r="24056" ht="9.9499999999999993" hidden="1" customHeight="1" x14ac:dyDescent="0.2"/>
    <row r="24057" ht="9.9499999999999993" hidden="1" customHeight="1" x14ac:dyDescent="0.2"/>
    <row r="24058" ht="9.9499999999999993" hidden="1" customHeight="1" x14ac:dyDescent="0.2"/>
    <row r="24059" ht="9.9499999999999993" hidden="1" customHeight="1" x14ac:dyDescent="0.2"/>
    <row r="24060" ht="9.9499999999999993" hidden="1" customHeight="1" x14ac:dyDescent="0.2"/>
    <row r="24061" ht="9.9499999999999993" hidden="1" customHeight="1" x14ac:dyDescent="0.2"/>
    <row r="24062" ht="9.9499999999999993" hidden="1" customHeight="1" x14ac:dyDescent="0.2"/>
    <row r="24063" ht="9.9499999999999993" hidden="1" customHeight="1" x14ac:dyDescent="0.2"/>
    <row r="24064" ht="9.9499999999999993" hidden="1" customHeight="1" x14ac:dyDescent="0.2"/>
    <row r="24065" ht="9.9499999999999993" hidden="1" customHeight="1" x14ac:dyDescent="0.2"/>
    <row r="24066" ht="9.9499999999999993" hidden="1" customHeight="1" x14ac:dyDescent="0.2"/>
    <row r="24067" ht="9.9499999999999993" hidden="1" customHeight="1" x14ac:dyDescent="0.2"/>
    <row r="24068" ht="9.9499999999999993" hidden="1" customHeight="1" x14ac:dyDescent="0.2"/>
    <row r="24069" ht="9.9499999999999993" hidden="1" customHeight="1" x14ac:dyDescent="0.2"/>
    <row r="24070" ht="9.9499999999999993" hidden="1" customHeight="1" x14ac:dyDescent="0.2"/>
    <row r="24071" ht="9.9499999999999993" hidden="1" customHeight="1" x14ac:dyDescent="0.2"/>
    <row r="24072" ht="9.9499999999999993" hidden="1" customHeight="1" x14ac:dyDescent="0.2"/>
    <row r="24073" ht="9.9499999999999993" hidden="1" customHeight="1" x14ac:dyDescent="0.2"/>
    <row r="24074" ht="9.9499999999999993" hidden="1" customHeight="1" x14ac:dyDescent="0.2"/>
    <row r="24075" ht="9.9499999999999993" hidden="1" customHeight="1" x14ac:dyDescent="0.2"/>
    <row r="24076" ht="9.9499999999999993" hidden="1" customHeight="1" x14ac:dyDescent="0.2"/>
    <row r="24077" ht="9.9499999999999993" hidden="1" customHeight="1" x14ac:dyDescent="0.2"/>
    <row r="24078" ht="9.9499999999999993" hidden="1" customHeight="1" x14ac:dyDescent="0.2"/>
    <row r="24079" ht="9.9499999999999993" hidden="1" customHeight="1" x14ac:dyDescent="0.2"/>
    <row r="24080" ht="9.9499999999999993" hidden="1" customHeight="1" x14ac:dyDescent="0.2"/>
    <row r="24081" ht="9.9499999999999993" hidden="1" customHeight="1" x14ac:dyDescent="0.2"/>
    <row r="24082" ht="9.9499999999999993" hidden="1" customHeight="1" x14ac:dyDescent="0.2"/>
    <row r="24083" ht="9.9499999999999993" hidden="1" customHeight="1" x14ac:dyDescent="0.2"/>
    <row r="24084" ht="9.9499999999999993" hidden="1" customHeight="1" x14ac:dyDescent="0.2"/>
    <row r="24085" ht="9.9499999999999993" hidden="1" customHeight="1" x14ac:dyDescent="0.2"/>
    <row r="24086" ht="9.9499999999999993" hidden="1" customHeight="1" x14ac:dyDescent="0.2"/>
    <row r="24087" ht="9.9499999999999993" hidden="1" customHeight="1" x14ac:dyDescent="0.2"/>
    <row r="24088" ht="9.9499999999999993" hidden="1" customHeight="1" x14ac:dyDescent="0.2"/>
    <row r="24089" ht="9.9499999999999993" hidden="1" customHeight="1" x14ac:dyDescent="0.2"/>
    <row r="24090" ht="9.9499999999999993" hidden="1" customHeight="1" x14ac:dyDescent="0.2"/>
    <row r="24091" ht="9.9499999999999993" hidden="1" customHeight="1" x14ac:dyDescent="0.2"/>
    <row r="24092" ht="9.9499999999999993" hidden="1" customHeight="1" x14ac:dyDescent="0.2"/>
    <row r="24093" ht="9.9499999999999993" hidden="1" customHeight="1" x14ac:dyDescent="0.2"/>
    <row r="24094" ht="9.9499999999999993" hidden="1" customHeight="1" x14ac:dyDescent="0.2"/>
    <row r="24095" ht="9.9499999999999993" hidden="1" customHeight="1" x14ac:dyDescent="0.2"/>
    <row r="24096" ht="9.9499999999999993" hidden="1" customHeight="1" x14ac:dyDescent="0.2"/>
    <row r="24097" ht="9.9499999999999993" hidden="1" customHeight="1" x14ac:dyDescent="0.2"/>
    <row r="24098" ht="9.9499999999999993" hidden="1" customHeight="1" x14ac:dyDescent="0.2"/>
    <row r="24099" ht="9.9499999999999993" hidden="1" customHeight="1" x14ac:dyDescent="0.2"/>
    <row r="24100" ht="9.9499999999999993" hidden="1" customHeight="1" x14ac:dyDescent="0.2"/>
    <row r="24101" ht="9.9499999999999993" hidden="1" customHeight="1" x14ac:dyDescent="0.2"/>
    <row r="24102" ht="9.9499999999999993" hidden="1" customHeight="1" x14ac:dyDescent="0.2"/>
    <row r="24103" ht="9.9499999999999993" hidden="1" customHeight="1" x14ac:dyDescent="0.2"/>
    <row r="24104" ht="9.9499999999999993" hidden="1" customHeight="1" x14ac:dyDescent="0.2"/>
    <row r="24105" ht="9.9499999999999993" hidden="1" customHeight="1" x14ac:dyDescent="0.2"/>
    <row r="24106" ht="9.9499999999999993" hidden="1" customHeight="1" x14ac:dyDescent="0.2"/>
    <row r="24107" ht="9.9499999999999993" hidden="1" customHeight="1" x14ac:dyDescent="0.2"/>
    <row r="24108" ht="9.9499999999999993" hidden="1" customHeight="1" x14ac:dyDescent="0.2"/>
    <row r="24109" ht="9.9499999999999993" hidden="1" customHeight="1" x14ac:dyDescent="0.2"/>
    <row r="24110" ht="9.9499999999999993" hidden="1" customHeight="1" x14ac:dyDescent="0.2"/>
    <row r="24111" ht="9.9499999999999993" hidden="1" customHeight="1" x14ac:dyDescent="0.2"/>
    <row r="24112" ht="9.9499999999999993" hidden="1" customHeight="1" x14ac:dyDescent="0.2"/>
    <row r="24113" ht="9.9499999999999993" hidden="1" customHeight="1" x14ac:dyDescent="0.2"/>
    <row r="24114" ht="9.9499999999999993" hidden="1" customHeight="1" x14ac:dyDescent="0.2"/>
    <row r="24115" ht="9.9499999999999993" hidden="1" customHeight="1" x14ac:dyDescent="0.2"/>
    <row r="24116" ht="9.9499999999999993" hidden="1" customHeight="1" x14ac:dyDescent="0.2"/>
    <row r="24117" ht="9.9499999999999993" hidden="1" customHeight="1" x14ac:dyDescent="0.2"/>
    <row r="24118" ht="9.9499999999999993" hidden="1" customHeight="1" x14ac:dyDescent="0.2"/>
    <row r="24119" ht="9.9499999999999993" hidden="1" customHeight="1" x14ac:dyDescent="0.2"/>
    <row r="24120" ht="9.9499999999999993" hidden="1" customHeight="1" x14ac:dyDescent="0.2"/>
    <row r="24121" ht="9.9499999999999993" hidden="1" customHeight="1" x14ac:dyDescent="0.2"/>
    <row r="24122" ht="9.9499999999999993" hidden="1" customHeight="1" x14ac:dyDescent="0.2"/>
    <row r="24123" ht="9.9499999999999993" hidden="1" customHeight="1" x14ac:dyDescent="0.2"/>
    <row r="24124" ht="9.9499999999999993" hidden="1" customHeight="1" x14ac:dyDescent="0.2"/>
    <row r="24125" ht="9.9499999999999993" hidden="1" customHeight="1" x14ac:dyDescent="0.2"/>
    <row r="24126" ht="9.9499999999999993" hidden="1" customHeight="1" x14ac:dyDescent="0.2"/>
    <row r="24127" ht="9.9499999999999993" hidden="1" customHeight="1" x14ac:dyDescent="0.2"/>
    <row r="24128" ht="9.9499999999999993" hidden="1" customHeight="1" x14ac:dyDescent="0.2"/>
    <row r="24129" ht="9.9499999999999993" hidden="1" customHeight="1" x14ac:dyDescent="0.2"/>
    <row r="24130" ht="9.9499999999999993" hidden="1" customHeight="1" x14ac:dyDescent="0.2"/>
    <row r="24131" ht="9.9499999999999993" hidden="1" customHeight="1" x14ac:dyDescent="0.2"/>
    <row r="24132" ht="9.9499999999999993" hidden="1" customHeight="1" x14ac:dyDescent="0.2"/>
    <row r="24133" ht="9.9499999999999993" hidden="1" customHeight="1" x14ac:dyDescent="0.2"/>
    <row r="24134" ht="9.9499999999999993" hidden="1" customHeight="1" x14ac:dyDescent="0.2"/>
    <row r="24135" ht="9.9499999999999993" hidden="1" customHeight="1" x14ac:dyDescent="0.2"/>
    <row r="24136" ht="9.9499999999999993" hidden="1" customHeight="1" x14ac:dyDescent="0.2"/>
    <row r="24137" ht="9.9499999999999993" hidden="1" customHeight="1" x14ac:dyDescent="0.2"/>
    <row r="24138" ht="9.9499999999999993" hidden="1" customHeight="1" x14ac:dyDescent="0.2"/>
    <row r="24139" ht="9.9499999999999993" hidden="1" customHeight="1" x14ac:dyDescent="0.2"/>
    <row r="24140" ht="9.9499999999999993" hidden="1" customHeight="1" x14ac:dyDescent="0.2"/>
    <row r="24141" ht="9.9499999999999993" hidden="1" customHeight="1" x14ac:dyDescent="0.2"/>
    <row r="24142" ht="9.9499999999999993" hidden="1" customHeight="1" x14ac:dyDescent="0.2"/>
    <row r="24143" ht="9.9499999999999993" hidden="1" customHeight="1" x14ac:dyDescent="0.2"/>
    <row r="24144" ht="9.9499999999999993" hidden="1" customHeight="1" x14ac:dyDescent="0.2"/>
    <row r="24145" ht="9.9499999999999993" hidden="1" customHeight="1" x14ac:dyDescent="0.2"/>
    <row r="24146" ht="9.9499999999999993" hidden="1" customHeight="1" x14ac:dyDescent="0.2"/>
    <row r="24147" ht="9.9499999999999993" hidden="1" customHeight="1" x14ac:dyDescent="0.2"/>
    <row r="24148" ht="9.9499999999999993" hidden="1" customHeight="1" x14ac:dyDescent="0.2"/>
    <row r="24149" ht="9.9499999999999993" hidden="1" customHeight="1" x14ac:dyDescent="0.2"/>
    <row r="24150" ht="9.9499999999999993" hidden="1" customHeight="1" x14ac:dyDescent="0.2"/>
    <row r="24151" ht="9.9499999999999993" hidden="1" customHeight="1" x14ac:dyDescent="0.2"/>
    <row r="24152" ht="9.9499999999999993" hidden="1" customHeight="1" x14ac:dyDescent="0.2"/>
    <row r="24153" ht="9.9499999999999993" hidden="1" customHeight="1" x14ac:dyDescent="0.2"/>
    <row r="24154" ht="9.9499999999999993" hidden="1" customHeight="1" x14ac:dyDescent="0.2"/>
    <row r="24155" ht="9.9499999999999993" hidden="1" customHeight="1" x14ac:dyDescent="0.2"/>
    <row r="24156" ht="9.9499999999999993" hidden="1" customHeight="1" x14ac:dyDescent="0.2"/>
    <row r="24157" ht="9.9499999999999993" hidden="1" customHeight="1" x14ac:dyDescent="0.2"/>
    <row r="24158" ht="9.9499999999999993" hidden="1" customHeight="1" x14ac:dyDescent="0.2"/>
    <row r="24159" ht="9.9499999999999993" hidden="1" customHeight="1" x14ac:dyDescent="0.2"/>
    <row r="24160" ht="9.9499999999999993" hidden="1" customHeight="1" x14ac:dyDescent="0.2"/>
    <row r="24161" ht="9.9499999999999993" hidden="1" customHeight="1" x14ac:dyDescent="0.2"/>
    <row r="24162" ht="9.9499999999999993" hidden="1" customHeight="1" x14ac:dyDescent="0.2"/>
    <row r="24163" ht="9.9499999999999993" hidden="1" customHeight="1" x14ac:dyDescent="0.2"/>
    <row r="24164" ht="9.9499999999999993" hidden="1" customHeight="1" x14ac:dyDescent="0.2"/>
    <row r="24165" ht="9.9499999999999993" hidden="1" customHeight="1" x14ac:dyDescent="0.2"/>
    <row r="24166" ht="9.9499999999999993" hidden="1" customHeight="1" x14ac:dyDescent="0.2"/>
    <row r="24167" ht="9.9499999999999993" hidden="1" customHeight="1" x14ac:dyDescent="0.2"/>
    <row r="24168" ht="9.9499999999999993" hidden="1" customHeight="1" x14ac:dyDescent="0.2"/>
    <row r="24169" ht="9.9499999999999993" hidden="1" customHeight="1" x14ac:dyDescent="0.2"/>
    <row r="24170" ht="9.9499999999999993" hidden="1" customHeight="1" x14ac:dyDescent="0.2"/>
    <row r="24171" ht="9.9499999999999993" hidden="1" customHeight="1" x14ac:dyDescent="0.2"/>
    <row r="24172" ht="9.9499999999999993" hidden="1" customHeight="1" x14ac:dyDescent="0.2"/>
    <row r="24173" ht="9.9499999999999993" hidden="1" customHeight="1" x14ac:dyDescent="0.2"/>
    <row r="24174" ht="9.9499999999999993" hidden="1" customHeight="1" x14ac:dyDescent="0.2"/>
    <row r="24175" ht="9.9499999999999993" hidden="1" customHeight="1" x14ac:dyDescent="0.2"/>
    <row r="24176" ht="9.9499999999999993" hidden="1" customHeight="1" x14ac:dyDescent="0.2"/>
    <row r="24177" ht="9.9499999999999993" hidden="1" customHeight="1" x14ac:dyDescent="0.2"/>
    <row r="24178" ht="9.9499999999999993" hidden="1" customHeight="1" x14ac:dyDescent="0.2"/>
    <row r="24179" ht="9.9499999999999993" hidden="1" customHeight="1" x14ac:dyDescent="0.2"/>
    <row r="24180" ht="9.9499999999999993" hidden="1" customHeight="1" x14ac:dyDescent="0.2"/>
    <row r="24181" ht="9.9499999999999993" hidden="1" customHeight="1" x14ac:dyDescent="0.2"/>
    <row r="24182" ht="9.9499999999999993" hidden="1" customHeight="1" x14ac:dyDescent="0.2"/>
    <row r="24183" ht="9.9499999999999993" hidden="1" customHeight="1" x14ac:dyDescent="0.2"/>
    <row r="24184" ht="9.9499999999999993" hidden="1" customHeight="1" x14ac:dyDescent="0.2"/>
    <row r="24185" ht="9.9499999999999993" hidden="1" customHeight="1" x14ac:dyDescent="0.2"/>
    <row r="24186" ht="9.9499999999999993" hidden="1" customHeight="1" x14ac:dyDescent="0.2"/>
    <row r="24187" ht="9.9499999999999993" hidden="1" customHeight="1" x14ac:dyDescent="0.2"/>
    <row r="24188" ht="9.9499999999999993" hidden="1" customHeight="1" x14ac:dyDescent="0.2"/>
    <row r="24189" ht="9.9499999999999993" hidden="1" customHeight="1" x14ac:dyDescent="0.2"/>
    <row r="24190" ht="9.9499999999999993" hidden="1" customHeight="1" x14ac:dyDescent="0.2"/>
    <row r="24191" ht="9.9499999999999993" hidden="1" customHeight="1" x14ac:dyDescent="0.2"/>
    <row r="24192" ht="9.9499999999999993" hidden="1" customHeight="1" x14ac:dyDescent="0.2"/>
    <row r="24193" ht="9.9499999999999993" hidden="1" customHeight="1" x14ac:dyDescent="0.2"/>
    <row r="24194" ht="9.9499999999999993" hidden="1" customHeight="1" x14ac:dyDescent="0.2"/>
    <row r="24195" ht="9.9499999999999993" hidden="1" customHeight="1" x14ac:dyDescent="0.2"/>
    <row r="24196" ht="9.9499999999999993" hidden="1" customHeight="1" x14ac:dyDescent="0.2"/>
    <row r="24197" ht="9.9499999999999993" hidden="1" customHeight="1" x14ac:dyDescent="0.2"/>
    <row r="24198" ht="9.9499999999999993" hidden="1" customHeight="1" x14ac:dyDescent="0.2"/>
    <row r="24199" ht="9.9499999999999993" hidden="1" customHeight="1" x14ac:dyDescent="0.2"/>
    <row r="24200" ht="9.9499999999999993" hidden="1" customHeight="1" x14ac:dyDescent="0.2"/>
    <row r="24201" ht="9.9499999999999993" hidden="1" customHeight="1" x14ac:dyDescent="0.2"/>
    <row r="24202" ht="9.9499999999999993" hidden="1" customHeight="1" x14ac:dyDescent="0.2"/>
    <row r="24203" ht="9.9499999999999993" hidden="1" customHeight="1" x14ac:dyDescent="0.2"/>
    <row r="24204" ht="9.9499999999999993" hidden="1" customHeight="1" x14ac:dyDescent="0.2"/>
    <row r="24205" ht="9.9499999999999993" hidden="1" customHeight="1" x14ac:dyDescent="0.2"/>
    <row r="24206" ht="9.9499999999999993" hidden="1" customHeight="1" x14ac:dyDescent="0.2"/>
    <row r="24207" ht="9.9499999999999993" hidden="1" customHeight="1" x14ac:dyDescent="0.2"/>
    <row r="24208" ht="9.9499999999999993" hidden="1" customHeight="1" x14ac:dyDescent="0.2"/>
    <row r="24209" ht="9.9499999999999993" hidden="1" customHeight="1" x14ac:dyDescent="0.2"/>
    <row r="24210" ht="9.9499999999999993" hidden="1" customHeight="1" x14ac:dyDescent="0.2"/>
    <row r="24211" ht="9.9499999999999993" hidden="1" customHeight="1" x14ac:dyDescent="0.2"/>
    <row r="24212" ht="9.9499999999999993" hidden="1" customHeight="1" x14ac:dyDescent="0.2"/>
    <row r="24213" ht="9.9499999999999993" hidden="1" customHeight="1" x14ac:dyDescent="0.2"/>
    <row r="24214" ht="9.9499999999999993" hidden="1" customHeight="1" x14ac:dyDescent="0.2"/>
    <row r="24215" ht="9.9499999999999993" hidden="1" customHeight="1" x14ac:dyDescent="0.2"/>
    <row r="24216" ht="9.9499999999999993" hidden="1" customHeight="1" x14ac:dyDescent="0.2"/>
    <row r="24217" ht="9.9499999999999993" hidden="1" customHeight="1" x14ac:dyDescent="0.2"/>
    <row r="24218" ht="9.9499999999999993" hidden="1" customHeight="1" x14ac:dyDescent="0.2"/>
    <row r="24219" ht="9.9499999999999993" hidden="1" customHeight="1" x14ac:dyDescent="0.2"/>
    <row r="24220" ht="9.9499999999999993" hidden="1" customHeight="1" x14ac:dyDescent="0.2"/>
    <row r="24221" ht="9.9499999999999993" hidden="1" customHeight="1" x14ac:dyDescent="0.2"/>
    <row r="24222" ht="9.9499999999999993" hidden="1" customHeight="1" x14ac:dyDescent="0.2"/>
    <row r="24223" ht="9.9499999999999993" hidden="1" customHeight="1" x14ac:dyDescent="0.2"/>
    <row r="24224" ht="9.9499999999999993" hidden="1" customHeight="1" x14ac:dyDescent="0.2"/>
    <row r="24225" ht="9.9499999999999993" hidden="1" customHeight="1" x14ac:dyDescent="0.2"/>
    <row r="24226" ht="9.9499999999999993" hidden="1" customHeight="1" x14ac:dyDescent="0.2"/>
    <row r="24227" ht="9.9499999999999993" hidden="1" customHeight="1" x14ac:dyDescent="0.2"/>
    <row r="24228" ht="9.9499999999999993" hidden="1" customHeight="1" x14ac:dyDescent="0.2"/>
    <row r="24229" ht="9.9499999999999993" hidden="1" customHeight="1" x14ac:dyDescent="0.2"/>
    <row r="24230" ht="9.9499999999999993" hidden="1" customHeight="1" x14ac:dyDescent="0.2"/>
    <row r="24231" ht="9.9499999999999993" hidden="1" customHeight="1" x14ac:dyDescent="0.2"/>
    <row r="24232" ht="9.9499999999999993" hidden="1" customHeight="1" x14ac:dyDescent="0.2"/>
    <row r="24233" ht="9.9499999999999993" hidden="1" customHeight="1" x14ac:dyDescent="0.2"/>
    <row r="24234" ht="9.9499999999999993" hidden="1" customHeight="1" x14ac:dyDescent="0.2"/>
    <row r="24235" ht="9.9499999999999993" hidden="1" customHeight="1" x14ac:dyDescent="0.2"/>
    <row r="24236" ht="9.9499999999999993" hidden="1" customHeight="1" x14ac:dyDescent="0.2"/>
    <row r="24237" ht="9.9499999999999993" hidden="1" customHeight="1" x14ac:dyDescent="0.2"/>
    <row r="24238" ht="9.9499999999999993" hidden="1" customHeight="1" x14ac:dyDescent="0.2"/>
    <row r="24239" ht="9.9499999999999993" hidden="1" customHeight="1" x14ac:dyDescent="0.2"/>
    <row r="24240" ht="9.9499999999999993" hidden="1" customHeight="1" x14ac:dyDescent="0.2"/>
    <row r="24241" ht="9.9499999999999993" hidden="1" customHeight="1" x14ac:dyDescent="0.2"/>
    <row r="24242" ht="9.9499999999999993" hidden="1" customHeight="1" x14ac:dyDescent="0.2"/>
    <row r="24243" ht="9.9499999999999993" hidden="1" customHeight="1" x14ac:dyDescent="0.2"/>
    <row r="24244" ht="9.9499999999999993" hidden="1" customHeight="1" x14ac:dyDescent="0.2"/>
    <row r="24245" ht="9.9499999999999993" hidden="1" customHeight="1" x14ac:dyDescent="0.2"/>
    <row r="24246" ht="9.9499999999999993" hidden="1" customHeight="1" x14ac:dyDescent="0.2"/>
    <row r="24247" ht="9.9499999999999993" hidden="1" customHeight="1" x14ac:dyDescent="0.2"/>
    <row r="24248" ht="9.9499999999999993" hidden="1" customHeight="1" x14ac:dyDescent="0.2"/>
    <row r="24249" ht="9.9499999999999993" hidden="1" customHeight="1" x14ac:dyDescent="0.2"/>
    <row r="24250" ht="9.9499999999999993" hidden="1" customHeight="1" x14ac:dyDescent="0.2"/>
    <row r="24251" ht="9.9499999999999993" hidden="1" customHeight="1" x14ac:dyDescent="0.2"/>
    <row r="24252" ht="9.9499999999999993" hidden="1" customHeight="1" x14ac:dyDescent="0.2"/>
    <row r="24253" ht="9.9499999999999993" hidden="1" customHeight="1" x14ac:dyDescent="0.2"/>
    <row r="24254" ht="9.9499999999999993" hidden="1" customHeight="1" x14ac:dyDescent="0.2"/>
    <row r="24255" ht="9.9499999999999993" hidden="1" customHeight="1" x14ac:dyDescent="0.2"/>
    <row r="24256" ht="9.9499999999999993" hidden="1" customHeight="1" x14ac:dyDescent="0.2"/>
    <row r="24257" ht="9.9499999999999993" hidden="1" customHeight="1" x14ac:dyDescent="0.2"/>
    <row r="24258" ht="9.9499999999999993" hidden="1" customHeight="1" x14ac:dyDescent="0.2"/>
    <row r="24259" ht="9.9499999999999993" hidden="1" customHeight="1" x14ac:dyDescent="0.2"/>
    <row r="24260" ht="9.9499999999999993" hidden="1" customHeight="1" x14ac:dyDescent="0.2"/>
    <row r="24261" ht="9.9499999999999993" hidden="1" customHeight="1" x14ac:dyDescent="0.2"/>
    <row r="24262" ht="9.9499999999999993" hidden="1" customHeight="1" x14ac:dyDescent="0.2"/>
    <row r="24263" ht="9.9499999999999993" hidden="1" customHeight="1" x14ac:dyDescent="0.2"/>
    <row r="24264" ht="9.9499999999999993" hidden="1" customHeight="1" x14ac:dyDescent="0.2"/>
    <row r="24265" ht="9.9499999999999993" hidden="1" customHeight="1" x14ac:dyDescent="0.2"/>
    <row r="24266" ht="9.9499999999999993" hidden="1" customHeight="1" x14ac:dyDescent="0.2"/>
    <row r="24267" ht="9.9499999999999993" hidden="1" customHeight="1" x14ac:dyDescent="0.2"/>
    <row r="24268" ht="9.9499999999999993" hidden="1" customHeight="1" x14ac:dyDescent="0.2"/>
    <row r="24269" ht="9.9499999999999993" hidden="1" customHeight="1" x14ac:dyDescent="0.2"/>
    <row r="24270" ht="9.9499999999999993" hidden="1" customHeight="1" x14ac:dyDescent="0.2"/>
    <row r="24271" ht="9.9499999999999993" hidden="1" customHeight="1" x14ac:dyDescent="0.2"/>
    <row r="24272" ht="9.9499999999999993" hidden="1" customHeight="1" x14ac:dyDescent="0.2"/>
    <row r="24273" ht="9.9499999999999993" hidden="1" customHeight="1" x14ac:dyDescent="0.2"/>
    <row r="24274" ht="9.9499999999999993" hidden="1" customHeight="1" x14ac:dyDescent="0.2"/>
    <row r="24275" ht="9.9499999999999993" hidden="1" customHeight="1" x14ac:dyDescent="0.2"/>
    <row r="24276" ht="9.9499999999999993" hidden="1" customHeight="1" x14ac:dyDescent="0.2"/>
    <row r="24277" ht="9.9499999999999993" hidden="1" customHeight="1" x14ac:dyDescent="0.2"/>
    <row r="24278" ht="9.9499999999999993" hidden="1" customHeight="1" x14ac:dyDescent="0.2"/>
    <row r="24279" ht="9.9499999999999993" hidden="1" customHeight="1" x14ac:dyDescent="0.2"/>
    <row r="24280" ht="9.9499999999999993" hidden="1" customHeight="1" x14ac:dyDescent="0.2"/>
    <row r="24281" ht="9.9499999999999993" hidden="1" customHeight="1" x14ac:dyDescent="0.2"/>
    <row r="24282" ht="9.9499999999999993" hidden="1" customHeight="1" x14ac:dyDescent="0.2"/>
    <row r="24283" ht="9.9499999999999993" hidden="1" customHeight="1" x14ac:dyDescent="0.2"/>
    <row r="24284" ht="9.9499999999999993" hidden="1" customHeight="1" x14ac:dyDescent="0.2"/>
    <row r="24285" ht="9.9499999999999993" hidden="1" customHeight="1" x14ac:dyDescent="0.2"/>
    <row r="24286" ht="9.9499999999999993" hidden="1" customHeight="1" x14ac:dyDescent="0.2"/>
    <row r="24287" ht="9.9499999999999993" hidden="1" customHeight="1" x14ac:dyDescent="0.2"/>
    <row r="24288" ht="9.9499999999999993" hidden="1" customHeight="1" x14ac:dyDescent="0.2"/>
    <row r="24289" ht="9.9499999999999993" hidden="1" customHeight="1" x14ac:dyDescent="0.2"/>
    <row r="24290" ht="9.9499999999999993" hidden="1" customHeight="1" x14ac:dyDescent="0.2"/>
    <row r="24291" ht="9.9499999999999993" hidden="1" customHeight="1" x14ac:dyDescent="0.2"/>
    <row r="24292" ht="9.9499999999999993" hidden="1" customHeight="1" x14ac:dyDescent="0.2"/>
    <row r="24293" ht="9.9499999999999993" hidden="1" customHeight="1" x14ac:dyDescent="0.2"/>
    <row r="24294" ht="9.9499999999999993" hidden="1" customHeight="1" x14ac:dyDescent="0.2"/>
    <row r="24295" ht="9.9499999999999993" hidden="1" customHeight="1" x14ac:dyDescent="0.2"/>
    <row r="24296" ht="9.9499999999999993" hidden="1" customHeight="1" x14ac:dyDescent="0.2"/>
    <row r="24297" ht="9.9499999999999993" hidden="1" customHeight="1" x14ac:dyDescent="0.2"/>
    <row r="24298" ht="9.9499999999999993" hidden="1" customHeight="1" x14ac:dyDescent="0.2"/>
    <row r="24299" ht="9.9499999999999993" hidden="1" customHeight="1" x14ac:dyDescent="0.2"/>
    <row r="24300" ht="9.9499999999999993" hidden="1" customHeight="1" x14ac:dyDescent="0.2"/>
    <row r="24301" ht="9.9499999999999993" hidden="1" customHeight="1" x14ac:dyDescent="0.2"/>
    <row r="24302" ht="9.9499999999999993" hidden="1" customHeight="1" x14ac:dyDescent="0.2"/>
    <row r="24303" ht="9.9499999999999993" hidden="1" customHeight="1" x14ac:dyDescent="0.2"/>
    <row r="24304" ht="9.9499999999999993" hidden="1" customHeight="1" x14ac:dyDescent="0.2"/>
    <row r="24305" ht="9.9499999999999993" hidden="1" customHeight="1" x14ac:dyDescent="0.2"/>
    <row r="24306" ht="9.9499999999999993" hidden="1" customHeight="1" x14ac:dyDescent="0.2"/>
    <row r="24307" ht="9.9499999999999993" hidden="1" customHeight="1" x14ac:dyDescent="0.2"/>
    <row r="24308" ht="9.9499999999999993" hidden="1" customHeight="1" x14ac:dyDescent="0.2"/>
    <row r="24309" ht="9.9499999999999993" hidden="1" customHeight="1" x14ac:dyDescent="0.2"/>
    <row r="24310" ht="9.9499999999999993" hidden="1" customHeight="1" x14ac:dyDescent="0.2"/>
    <row r="24311" ht="9.9499999999999993" hidden="1" customHeight="1" x14ac:dyDescent="0.2"/>
    <row r="24312" ht="9.9499999999999993" hidden="1" customHeight="1" x14ac:dyDescent="0.2"/>
    <row r="24313" ht="9.9499999999999993" hidden="1" customHeight="1" x14ac:dyDescent="0.2"/>
    <row r="24314" ht="9.9499999999999993" hidden="1" customHeight="1" x14ac:dyDescent="0.2"/>
    <row r="24315" ht="9.9499999999999993" hidden="1" customHeight="1" x14ac:dyDescent="0.2"/>
    <row r="24316" ht="9.9499999999999993" hidden="1" customHeight="1" x14ac:dyDescent="0.2"/>
    <row r="24317" ht="9.9499999999999993" hidden="1" customHeight="1" x14ac:dyDescent="0.2"/>
    <row r="24318" ht="9.9499999999999993" hidden="1" customHeight="1" x14ac:dyDescent="0.2"/>
    <row r="24319" ht="9.9499999999999993" hidden="1" customHeight="1" x14ac:dyDescent="0.2"/>
    <row r="24320" ht="9.9499999999999993" hidden="1" customHeight="1" x14ac:dyDescent="0.2"/>
    <row r="24321" ht="9.9499999999999993" hidden="1" customHeight="1" x14ac:dyDescent="0.2"/>
    <row r="24322" ht="9.9499999999999993" hidden="1" customHeight="1" x14ac:dyDescent="0.2"/>
    <row r="24323" ht="9.9499999999999993" hidden="1" customHeight="1" x14ac:dyDescent="0.2"/>
    <row r="24324" ht="9.9499999999999993" hidden="1" customHeight="1" x14ac:dyDescent="0.2"/>
    <row r="24325" ht="9.9499999999999993" hidden="1" customHeight="1" x14ac:dyDescent="0.2"/>
    <row r="24326" ht="9.9499999999999993" hidden="1" customHeight="1" x14ac:dyDescent="0.2"/>
    <row r="24327" ht="9.9499999999999993" hidden="1" customHeight="1" x14ac:dyDescent="0.2"/>
    <row r="24328" ht="9.9499999999999993" hidden="1" customHeight="1" x14ac:dyDescent="0.2"/>
    <row r="24329" ht="9.9499999999999993" hidden="1" customHeight="1" x14ac:dyDescent="0.2"/>
    <row r="24330" ht="9.9499999999999993" hidden="1" customHeight="1" x14ac:dyDescent="0.2"/>
    <row r="24331" ht="9.9499999999999993" hidden="1" customHeight="1" x14ac:dyDescent="0.2"/>
    <row r="24332" ht="9.9499999999999993" hidden="1" customHeight="1" x14ac:dyDescent="0.2"/>
    <row r="24333" ht="9.9499999999999993" hidden="1" customHeight="1" x14ac:dyDescent="0.2"/>
    <row r="24334" ht="9.9499999999999993" hidden="1" customHeight="1" x14ac:dyDescent="0.2"/>
    <row r="24335" ht="9.9499999999999993" hidden="1" customHeight="1" x14ac:dyDescent="0.2"/>
    <row r="24336" ht="9.9499999999999993" hidden="1" customHeight="1" x14ac:dyDescent="0.2"/>
    <row r="24337" ht="9.9499999999999993" hidden="1" customHeight="1" x14ac:dyDescent="0.2"/>
    <row r="24338" ht="9.9499999999999993" hidden="1" customHeight="1" x14ac:dyDescent="0.2"/>
    <row r="24339" ht="9.9499999999999993" hidden="1" customHeight="1" x14ac:dyDescent="0.2"/>
    <row r="24340" ht="9.9499999999999993" hidden="1" customHeight="1" x14ac:dyDescent="0.2"/>
    <row r="24341" ht="9.9499999999999993" hidden="1" customHeight="1" x14ac:dyDescent="0.2"/>
    <row r="24342" ht="9.9499999999999993" hidden="1" customHeight="1" x14ac:dyDescent="0.2"/>
    <row r="24343" ht="9.9499999999999993" hidden="1" customHeight="1" x14ac:dyDescent="0.2"/>
    <row r="24344" ht="9.9499999999999993" hidden="1" customHeight="1" x14ac:dyDescent="0.2"/>
    <row r="24345" ht="9.9499999999999993" hidden="1" customHeight="1" x14ac:dyDescent="0.2"/>
    <row r="24346" ht="9.9499999999999993" hidden="1" customHeight="1" x14ac:dyDescent="0.2"/>
    <row r="24347" ht="9.9499999999999993" hidden="1" customHeight="1" x14ac:dyDescent="0.2"/>
    <row r="24348" ht="9.9499999999999993" hidden="1" customHeight="1" x14ac:dyDescent="0.2"/>
    <row r="24349" ht="9.9499999999999993" hidden="1" customHeight="1" x14ac:dyDescent="0.2"/>
    <row r="24350" ht="9.9499999999999993" hidden="1" customHeight="1" x14ac:dyDescent="0.2"/>
    <row r="24351" ht="9.9499999999999993" hidden="1" customHeight="1" x14ac:dyDescent="0.2"/>
    <row r="24352" ht="9.9499999999999993" hidden="1" customHeight="1" x14ac:dyDescent="0.2"/>
    <row r="24353" ht="9.9499999999999993" hidden="1" customHeight="1" x14ac:dyDescent="0.2"/>
    <row r="24354" ht="9.9499999999999993" hidden="1" customHeight="1" x14ac:dyDescent="0.2"/>
    <row r="24355" ht="9.9499999999999993" hidden="1" customHeight="1" x14ac:dyDescent="0.2"/>
    <row r="24356" ht="9.9499999999999993" hidden="1" customHeight="1" x14ac:dyDescent="0.2"/>
    <row r="24357" ht="9.9499999999999993" hidden="1" customHeight="1" x14ac:dyDescent="0.2"/>
    <row r="24358" ht="9.9499999999999993" hidden="1" customHeight="1" x14ac:dyDescent="0.2"/>
    <row r="24359" ht="9.9499999999999993" hidden="1" customHeight="1" x14ac:dyDescent="0.2"/>
    <row r="24360" ht="9.9499999999999993" hidden="1" customHeight="1" x14ac:dyDescent="0.2"/>
    <row r="24361" ht="9.9499999999999993" hidden="1" customHeight="1" x14ac:dyDescent="0.2"/>
    <row r="24362" ht="9.9499999999999993" hidden="1" customHeight="1" x14ac:dyDescent="0.2"/>
    <row r="24363" ht="9.9499999999999993" hidden="1" customHeight="1" x14ac:dyDescent="0.2"/>
    <row r="24364" ht="9.9499999999999993" hidden="1" customHeight="1" x14ac:dyDescent="0.2"/>
    <row r="24365" ht="9.9499999999999993" hidden="1" customHeight="1" x14ac:dyDescent="0.2"/>
    <row r="24366" ht="9.9499999999999993" hidden="1" customHeight="1" x14ac:dyDescent="0.2"/>
    <row r="24367" ht="9.9499999999999993" hidden="1" customHeight="1" x14ac:dyDescent="0.2"/>
    <row r="24368" ht="9.9499999999999993" hidden="1" customHeight="1" x14ac:dyDescent="0.2"/>
    <row r="24369" ht="9.9499999999999993" hidden="1" customHeight="1" x14ac:dyDescent="0.2"/>
    <row r="24370" ht="9.9499999999999993" hidden="1" customHeight="1" x14ac:dyDescent="0.2"/>
    <row r="24371" ht="9.9499999999999993" hidden="1" customHeight="1" x14ac:dyDescent="0.2"/>
    <row r="24372" ht="9.9499999999999993" hidden="1" customHeight="1" x14ac:dyDescent="0.2"/>
    <row r="24373" ht="9.9499999999999993" hidden="1" customHeight="1" x14ac:dyDescent="0.2"/>
    <row r="24374" ht="9.9499999999999993" hidden="1" customHeight="1" x14ac:dyDescent="0.2"/>
    <row r="24375" ht="9.9499999999999993" hidden="1" customHeight="1" x14ac:dyDescent="0.2"/>
    <row r="24376" ht="9.9499999999999993" hidden="1" customHeight="1" x14ac:dyDescent="0.2"/>
    <row r="24377" ht="9.9499999999999993" hidden="1" customHeight="1" x14ac:dyDescent="0.2"/>
    <row r="24378" ht="9.9499999999999993" hidden="1" customHeight="1" x14ac:dyDescent="0.2"/>
    <row r="24379" ht="9.9499999999999993" hidden="1" customHeight="1" x14ac:dyDescent="0.2"/>
    <row r="24380" ht="9.9499999999999993" hidden="1" customHeight="1" x14ac:dyDescent="0.2"/>
    <row r="24381" ht="9.9499999999999993" hidden="1" customHeight="1" x14ac:dyDescent="0.2"/>
    <row r="24382" ht="9.9499999999999993" hidden="1" customHeight="1" x14ac:dyDescent="0.2"/>
    <row r="24383" ht="9.9499999999999993" hidden="1" customHeight="1" x14ac:dyDescent="0.2"/>
    <row r="24384" ht="9.9499999999999993" hidden="1" customHeight="1" x14ac:dyDescent="0.2"/>
    <row r="24385" ht="9.9499999999999993" hidden="1" customHeight="1" x14ac:dyDescent="0.2"/>
    <row r="24386" ht="9.9499999999999993" hidden="1" customHeight="1" x14ac:dyDescent="0.2"/>
    <row r="24387" ht="9.9499999999999993" hidden="1" customHeight="1" x14ac:dyDescent="0.2"/>
    <row r="24388" ht="9.9499999999999993" hidden="1" customHeight="1" x14ac:dyDescent="0.2"/>
    <row r="24389" ht="9.9499999999999993" hidden="1" customHeight="1" x14ac:dyDescent="0.2"/>
    <row r="24390" ht="9.9499999999999993" hidden="1" customHeight="1" x14ac:dyDescent="0.2"/>
    <row r="24391" ht="9.9499999999999993" hidden="1" customHeight="1" x14ac:dyDescent="0.2"/>
    <row r="24392" ht="9.9499999999999993" hidden="1" customHeight="1" x14ac:dyDescent="0.2"/>
    <row r="24393" ht="9.9499999999999993" hidden="1" customHeight="1" x14ac:dyDescent="0.2"/>
    <row r="24394" ht="9.9499999999999993" hidden="1" customHeight="1" x14ac:dyDescent="0.2"/>
    <row r="24395" ht="9.9499999999999993" hidden="1" customHeight="1" x14ac:dyDescent="0.2"/>
    <row r="24396" ht="9.9499999999999993" hidden="1" customHeight="1" x14ac:dyDescent="0.2"/>
    <row r="24397" ht="9.9499999999999993" hidden="1" customHeight="1" x14ac:dyDescent="0.2"/>
    <row r="24398" ht="9.9499999999999993" hidden="1" customHeight="1" x14ac:dyDescent="0.2"/>
    <row r="24399" ht="9.9499999999999993" hidden="1" customHeight="1" x14ac:dyDescent="0.2"/>
    <row r="24400" ht="9.9499999999999993" hidden="1" customHeight="1" x14ac:dyDescent="0.2"/>
    <row r="24401" ht="9.9499999999999993" hidden="1" customHeight="1" x14ac:dyDescent="0.2"/>
    <row r="24402" ht="9.9499999999999993" hidden="1" customHeight="1" x14ac:dyDescent="0.2"/>
    <row r="24403" ht="9.9499999999999993" hidden="1" customHeight="1" x14ac:dyDescent="0.2"/>
    <row r="24404" ht="9.9499999999999993" hidden="1" customHeight="1" x14ac:dyDescent="0.2"/>
    <row r="24405" ht="9.9499999999999993" hidden="1" customHeight="1" x14ac:dyDescent="0.2"/>
    <row r="24406" ht="9.9499999999999993" hidden="1" customHeight="1" x14ac:dyDescent="0.2"/>
    <row r="24407" ht="9.9499999999999993" hidden="1" customHeight="1" x14ac:dyDescent="0.2"/>
    <row r="24408" ht="9.9499999999999993" hidden="1" customHeight="1" x14ac:dyDescent="0.2"/>
    <row r="24409" ht="9.9499999999999993" hidden="1" customHeight="1" x14ac:dyDescent="0.2"/>
    <row r="24410" ht="9.9499999999999993" hidden="1" customHeight="1" x14ac:dyDescent="0.2"/>
    <row r="24411" ht="9.9499999999999993" hidden="1" customHeight="1" x14ac:dyDescent="0.2"/>
    <row r="24412" ht="9.9499999999999993" hidden="1" customHeight="1" x14ac:dyDescent="0.2"/>
    <row r="24413" ht="9.9499999999999993" hidden="1" customHeight="1" x14ac:dyDescent="0.2"/>
    <row r="24414" ht="9.9499999999999993" hidden="1" customHeight="1" x14ac:dyDescent="0.2"/>
    <row r="24415" ht="9.9499999999999993" hidden="1" customHeight="1" x14ac:dyDescent="0.2"/>
    <row r="24416" ht="9.9499999999999993" hidden="1" customHeight="1" x14ac:dyDescent="0.2"/>
    <row r="24417" ht="9.9499999999999993" hidden="1" customHeight="1" x14ac:dyDescent="0.2"/>
    <row r="24418" ht="9.9499999999999993" hidden="1" customHeight="1" x14ac:dyDescent="0.2"/>
    <row r="24419" ht="9.9499999999999993" hidden="1" customHeight="1" x14ac:dyDescent="0.2"/>
    <row r="24420" ht="9.9499999999999993" hidden="1" customHeight="1" x14ac:dyDescent="0.2"/>
    <row r="24421" ht="9.9499999999999993" hidden="1" customHeight="1" x14ac:dyDescent="0.2"/>
    <row r="24422" ht="9.9499999999999993" hidden="1" customHeight="1" x14ac:dyDescent="0.2"/>
    <row r="24423" ht="9.9499999999999993" hidden="1" customHeight="1" x14ac:dyDescent="0.2"/>
    <row r="24424" ht="9.9499999999999993" hidden="1" customHeight="1" x14ac:dyDescent="0.2"/>
    <row r="24425" ht="9.9499999999999993" hidden="1" customHeight="1" x14ac:dyDescent="0.2"/>
    <row r="24426" ht="9.9499999999999993" hidden="1" customHeight="1" x14ac:dyDescent="0.2"/>
    <row r="24427" ht="9.9499999999999993" hidden="1" customHeight="1" x14ac:dyDescent="0.2"/>
    <row r="24428" ht="9.9499999999999993" hidden="1" customHeight="1" x14ac:dyDescent="0.2"/>
    <row r="24429" ht="9.9499999999999993" hidden="1" customHeight="1" x14ac:dyDescent="0.2"/>
    <row r="24430" ht="9.9499999999999993" hidden="1" customHeight="1" x14ac:dyDescent="0.2"/>
    <row r="24431" ht="9.9499999999999993" hidden="1" customHeight="1" x14ac:dyDescent="0.2"/>
    <row r="24432" ht="9.9499999999999993" hidden="1" customHeight="1" x14ac:dyDescent="0.2"/>
    <row r="24433" ht="9.9499999999999993" hidden="1" customHeight="1" x14ac:dyDescent="0.2"/>
    <row r="24434" ht="9.9499999999999993" hidden="1" customHeight="1" x14ac:dyDescent="0.2"/>
    <row r="24435" ht="9.9499999999999993" hidden="1" customHeight="1" x14ac:dyDescent="0.2"/>
    <row r="24436" ht="9.9499999999999993" hidden="1" customHeight="1" x14ac:dyDescent="0.2"/>
    <row r="24437" ht="9.9499999999999993" hidden="1" customHeight="1" x14ac:dyDescent="0.2"/>
    <row r="24438" ht="9.9499999999999993" hidden="1" customHeight="1" x14ac:dyDescent="0.2"/>
    <row r="24439" ht="9.9499999999999993" hidden="1" customHeight="1" x14ac:dyDescent="0.2"/>
    <row r="24440" ht="9.9499999999999993" hidden="1" customHeight="1" x14ac:dyDescent="0.2"/>
    <row r="24441" ht="9.9499999999999993" hidden="1" customHeight="1" x14ac:dyDescent="0.2"/>
    <row r="24442" ht="9.9499999999999993" hidden="1" customHeight="1" x14ac:dyDescent="0.2"/>
    <row r="24443" ht="9.9499999999999993" hidden="1" customHeight="1" x14ac:dyDescent="0.2"/>
    <row r="24444" ht="9.9499999999999993" hidden="1" customHeight="1" x14ac:dyDescent="0.2"/>
    <row r="24445" ht="9.9499999999999993" hidden="1" customHeight="1" x14ac:dyDescent="0.2"/>
    <row r="24446" ht="9.9499999999999993" hidden="1" customHeight="1" x14ac:dyDescent="0.2"/>
    <row r="24447" ht="9.9499999999999993" hidden="1" customHeight="1" x14ac:dyDescent="0.2"/>
    <row r="24448" ht="9.9499999999999993" hidden="1" customHeight="1" x14ac:dyDescent="0.2"/>
    <row r="24449" ht="9.9499999999999993" hidden="1" customHeight="1" x14ac:dyDescent="0.2"/>
    <row r="24450" ht="9.9499999999999993" hidden="1" customHeight="1" x14ac:dyDescent="0.2"/>
    <row r="24451" ht="9.9499999999999993" hidden="1" customHeight="1" x14ac:dyDescent="0.2"/>
    <row r="24452" ht="9.9499999999999993" hidden="1" customHeight="1" x14ac:dyDescent="0.2"/>
    <row r="24453" ht="9.9499999999999993" hidden="1" customHeight="1" x14ac:dyDescent="0.2"/>
    <row r="24454" ht="9.9499999999999993" hidden="1" customHeight="1" x14ac:dyDescent="0.2"/>
    <row r="24455" ht="9.9499999999999993" hidden="1" customHeight="1" x14ac:dyDescent="0.2"/>
    <row r="24456" ht="9.9499999999999993" hidden="1" customHeight="1" x14ac:dyDescent="0.2"/>
    <row r="24457" ht="9.9499999999999993" hidden="1" customHeight="1" x14ac:dyDescent="0.2"/>
    <row r="24458" ht="9.9499999999999993" hidden="1" customHeight="1" x14ac:dyDescent="0.2"/>
    <row r="24459" ht="9.9499999999999993" hidden="1" customHeight="1" x14ac:dyDescent="0.2"/>
    <row r="24460" ht="9.9499999999999993" hidden="1" customHeight="1" x14ac:dyDescent="0.2"/>
    <row r="24461" ht="9.9499999999999993" hidden="1" customHeight="1" x14ac:dyDescent="0.2"/>
    <row r="24462" ht="9.9499999999999993" hidden="1" customHeight="1" x14ac:dyDescent="0.2"/>
    <row r="24463" ht="9.9499999999999993" hidden="1" customHeight="1" x14ac:dyDescent="0.2"/>
    <row r="24464" ht="9.9499999999999993" hidden="1" customHeight="1" x14ac:dyDescent="0.2"/>
    <row r="24465" ht="9.9499999999999993" hidden="1" customHeight="1" x14ac:dyDescent="0.2"/>
    <row r="24466" ht="9.9499999999999993" hidden="1" customHeight="1" x14ac:dyDescent="0.2"/>
    <row r="24467" ht="9.9499999999999993" hidden="1" customHeight="1" x14ac:dyDescent="0.2"/>
    <row r="24468" ht="9.9499999999999993" hidden="1" customHeight="1" x14ac:dyDescent="0.2"/>
    <row r="24469" ht="9.9499999999999993" hidden="1" customHeight="1" x14ac:dyDescent="0.2"/>
    <row r="24470" ht="9.9499999999999993" hidden="1" customHeight="1" x14ac:dyDescent="0.2"/>
    <row r="24471" ht="9.9499999999999993" hidden="1" customHeight="1" x14ac:dyDescent="0.2"/>
    <row r="24472" ht="9.9499999999999993" hidden="1" customHeight="1" x14ac:dyDescent="0.2"/>
    <row r="24473" ht="9.9499999999999993" hidden="1" customHeight="1" x14ac:dyDescent="0.2"/>
    <row r="24474" ht="9.9499999999999993" hidden="1" customHeight="1" x14ac:dyDescent="0.2"/>
    <row r="24475" ht="9.9499999999999993" hidden="1" customHeight="1" x14ac:dyDescent="0.2"/>
    <row r="24476" ht="9.9499999999999993" hidden="1" customHeight="1" x14ac:dyDescent="0.2"/>
    <row r="24477" ht="9.9499999999999993" hidden="1" customHeight="1" x14ac:dyDescent="0.2"/>
    <row r="24478" ht="9.9499999999999993" hidden="1" customHeight="1" x14ac:dyDescent="0.2"/>
    <row r="24479" ht="9.9499999999999993" hidden="1" customHeight="1" x14ac:dyDescent="0.2"/>
    <row r="24480" ht="9.9499999999999993" hidden="1" customHeight="1" x14ac:dyDescent="0.2"/>
    <row r="24481" ht="9.9499999999999993" hidden="1" customHeight="1" x14ac:dyDescent="0.2"/>
    <row r="24482" ht="9.9499999999999993" hidden="1" customHeight="1" x14ac:dyDescent="0.2"/>
    <row r="24483" ht="9.9499999999999993" hidden="1" customHeight="1" x14ac:dyDescent="0.2"/>
    <row r="24484" ht="9.9499999999999993" hidden="1" customHeight="1" x14ac:dyDescent="0.2"/>
    <row r="24485" ht="9.9499999999999993" hidden="1" customHeight="1" x14ac:dyDescent="0.2"/>
    <row r="24486" ht="9.9499999999999993" hidden="1" customHeight="1" x14ac:dyDescent="0.2"/>
    <row r="24487" ht="9.9499999999999993" hidden="1" customHeight="1" x14ac:dyDescent="0.2"/>
    <row r="24488" ht="9.9499999999999993" hidden="1" customHeight="1" x14ac:dyDescent="0.2"/>
    <row r="24489" ht="9.9499999999999993" hidden="1" customHeight="1" x14ac:dyDescent="0.2"/>
    <row r="24490" ht="9.9499999999999993" hidden="1" customHeight="1" x14ac:dyDescent="0.2"/>
    <row r="24491" ht="9.9499999999999993" hidden="1" customHeight="1" x14ac:dyDescent="0.2"/>
    <row r="24492" ht="9.9499999999999993" hidden="1" customHeight="1" x14ac:dyDescent="0.2"/>
    <row r="24493" ht="9.9499999999999993" hidden="1" customHeight="1" x14ac:dyDescent="0.2"/>
    <row r="24494" ht="9.9499999999999993" hidden="1" customHeight="1" x14ac:dyDescent="0.2"/>
    <row r="24495" ht="9.9499999999999993" hidden="1" customHeight="1" x14ac:dyDescent="0.2"/>
    <row r="24496" ht="9.9499999999999993" hidden="1" customHeight="1" x14ac:dyDescent="0.2"/>
    <row r="24497" ht="9.9499999999999993" hidden="1" customHeight="1" x14ac:dyDescent="0.2"/>
    <row r="24498" ht="9.9499999999999993" hidden="1" customHeight="1" x14ac:dyDescent="0.2"/>
    <row r="24499" ht="9.9499999999999993" hidden="1" customHeight="1" x14ac:dyDescent="0.2"/>
    <row r="24500" ht="9.9499999999999993" hidden="1" customHeight="1" x14ac:dyDescent="0.2"/>
    <row r="24501" ht="9.9499999999999993" hidden="1" customHeight="1" x14ac:dyDescent="0.2"/>
    <row r="24502" ht="9.9499999999999993" hidden="1" customHeight="1" x14ac:dyDescent="0.2"/>
    <row r="24503" ht="9.9499999999999993" hidden="1" customHeight="1" x14ac:dyDescent="0.2"/>
    <row r="24504" ht="9.9499999999999993" hidden="1" customHeight="1" x14ac:dyDescent="0.2"/>
    <row r="24505" ht="9.9499999999999993" hidden="1" customHeight="1" x14ac:dyDescent="0.2"/>
    <row r="24506" ht="9.9499999999999993" hidden="1" customHeight="1" x14ac:dyDescent="0.2"/>
    <row r="24507" ht="9.9499999999999993" hidden="1" customHeight="1" x14ac:dyDescent="0.2"/>
    <row r="24508" ht="9.9499999999999993" hidden="1" customHeight="1" x14ac:dyDescent="0.2"/>
    <row r="24509" ht="9.9499999999999993" hidden="1" customHeight="1" x14ac:dyDescent="0.2"/>
    <row r="24510" ht="9.9499999999999993" hidden="1" customHeight="1" x14ac:dyDescent="0.2"/>
    <row r="24511" ht="9.9499999999999993" hidden="1" customHeight="1" x14ac:dyDescent="0.2"/>
    <row r="24512" ht="9.9499999999999993" hidden="1" customHeight="1" x14ac:dyDescent="0.2"/>
    <row r="24513" ht="9.9499999999999993" hidden="1" customHeight="1" x14ac:dyDescent="0.2"/>
    <row r="24514" ht="9.9499999999999993" hidden="1" customHeight="1" x14ac:dyDescent="0.2"/>
    <row r="24515" ht="9.9499999999999993" hidden="1" customHeight="1" x14ac:dyDescent="0.2"/>
    <row r="24516" ht="9.9499999999999993" hidden="1" customHeight="1" x14ac:dyDescent="0.2"/>
    <row r="24517" ht="9.9499999999999993" hidden="1" customHeight="1" x14ac:dyDescent="0.2"/>
    <row r="24518" ht="9.9499999999999993" hidden="1" customHeight="1" x14ac:dyDescent="0.2"/>
    <row r="24519" ht="9.9499999999999993" hidden="1" customHeight="1" x14ac:dyDescent="0.2"/>
    <row r="24520" ht="9.9499999999999993" hidden="1" customHeight="1" x14ac:dyDescent="0.2"/>
    <row r="24521" ht="9.9499999999999993" hidden="1" customHeight="1" x14ac:dyDescent="0.2"/>
    <row r="24522" ht="9.9499999999999993" hidden="1" customHeight="1" x14ac:dyDescent="0.2"/>
    <row r="24523" ht="9.9499999999999993" hidden="1" customHeight="1" x14ac:dyDescent="0.2"/>
    <row r="24524" ht="9.9499999999999993" hidden="1" customHeight="1" x14ac:dyDescent="0.2"/>
    <row r="24525" ht="9.9499999999999993" hidden="1" customHeight="1" x14ac:dyDescent="0.2"/>
    <row r="24526" ht="9.9499999999999993" hidden="1" customHeight="1" x14ac:dyDescent="0.2"/>
    <row r="24527" ht="9.9499999999999993" hidden="1" customHeight="1" x14ac:dyDescent="0.2"/>
    <row r="24528" ht="9.9499999999999993" hidden="1" customHeight="1" x14ac:dyDescent="0.2"/>
    <row r="24529" ht="9.9499999999999993" hidden="1" customHeight="1" x14ac:dyDescent="0.2"/>
    <row r="24530" ht="9.9499999999999993" hidden="1" customHeight="1" x14ac:dyDescent="0.2"/>
    <row r="24531" ht="9.9499999999999993" hidden="1" customHeight="1" x14ac:dyDescent="0.2"/>
    <row r="24532" ht="9.9499999999999993" hidden="1" customHeight="1" x14ac:dyDescent="0.2"/>
    <row r="24533" ht="9.9499999999999993" hidden="1" customHeight="1" x14ac:dyDescent="0.2"/>
    <row r="24534" ht="9.9499999999999993" hidden="1" customHeight="1" x14ac:dyDescent="0.2"/>
    <row r="24535" ht="9.9499999999999993" hidden="1" customHeight="1" x14ac:dyDescent="0.2"/>
    <row r="24536" ht="9.9499999999999993" hidden="1" customHeight="1" x14ac:dyDescent="0.2"/>
    <row r="24537" ht="9.9499999999999993" hidden="1" customHeight="1" x14ac:dyDescent="0.2"/>
    <row r="24538" ht="9.9499999999999993" hidden="1" customHeight="1" x14ac:dyDescent="0.2"/>
    <row r="24539" ht="9.9499999999999993" hidden="1" customHeight="1" x14ac:dyDescent="0.2"/>
    <row r="24540" ht="9.9499999999999993" hidden="1" customHeight="1" x14ac:dyDescent="0.2"/>
    <row r="24541" ht="9.9499999999999993" hidden="1" customHeight="1" x14ac:dyDescent="0.2"/>
    <row r="24542" ht="9.9499999999999993" hidden="1" customHeight="1" x14ac:dyDescent="0.2"/>
    <row r="24543" ht="9.9499999999999993" hidden="1" customHeight="1" x14ac:dyDescent="0.2"/>
    <row r="24544" ht="9.9499999999999993" hidden="1" customHeight="1" x14ac:dyDescent="0.2"/>
    <row r="24545" ht="9.9499999999999993" hidden="1" customHeight="1" x14ac:dyDescent="0.2"/>
    <row r="24546" ht="9.9499999999999993" hidden="1" customHeight="1" x14ac:dyDescent="0.2"/>
    <row r="24547" ht="9.9499999999999993" hidden="1" customHeight="1" x14ac:dyDescent="0.2"/>
    <row r="24548" ht="9.9499999999999993" hidden="1" customHeight="1" x14ac:dyDescent="0.2"/>
    <row r="24549" ht="9.9499999999999993" hidden="1" customHeight="1" x14ac:dyDescent="0.2"/>
    <row r="24550" ht="9.9499999999999993" hidden="1" customHeight="1" x14ac:dyDescent="0.2"/>
    <row r="24551" ht="9.9499999999999993" hidden="1" customHeight="1" x14ac:dyDescent="0.2"/>
    <row r="24552" ht="9.9499999999999993" hidden="1" customHeight="1" x14ac:dyDescent="0.2"/>
    <row r="24553" ht="9.9499999999999993" hidden="1" customHeight="1" x14ac:dyDescent="0.2"/>
    <row r="24554" ht="9.9499999999999993" hidden="1" customHeight="1" x14ac:dyDescent="0.2"/>
    <row r="24555" ht="9.9499999999999993" hidden="1" customHeight="1" x14ac:dyDescent="0.2"/>
    <row r="24556" ht="9.9499999999999993" hidden="1" customHeight="1" x14ac:dyDescent="0.2"/>
    <row r="24557" ht="9.9499999999999993" hidden="1" customHeight="1" x14ac:dyDescent="0.2"/>
    <row r="24558" ht="9.9499999999999993" hidden="1" customHeight="1" x14ac:dyDescent="0.2"/>
    <row r="24559" ht="9.9499999999999993" hidden="1" customHeight="1" x14ac:dyDescent="0.2"/>
    <row r="24560" ht="9.9499999999999993" hidden="1" customHeight="1" x14ac:dyDescent="0.2"/>
    <row r="24561" ht="9.9499999999999993" hidden="1" customHeight="1" x14ac:dyDescent="0.2"/>
    <row r="24562" ht="9.9499999999999993" hidden="1" customHeight="1" x14ac:dyDescent="0.2"/>
    <row r="24563" ht="9.9499999999999993" hidden="1" customHeight="1" x14ac:dyDescent="0.2"/>
    <row r="24564" ht="9.9499999999999993" hidden="1" customHeight="1" x14ac:dyDescent="0.2"/>
    <row r="24565" ht="9.9499999999999993" hidden="1" customHeight="1" x14ac:dyDescent="0.2"/>
    <row r="24566" ht="9.9499999999999993" hidden="1" customHeight="1" x14ac:dyDescent="0.2"/>
    <row r="24567" ht="9.9499999999999993" hidden="1" customHeight="1" x14ac:dyDescent="0.2"/>
    <row r="24568" ht="9.9499999999999993" hidden="1" customHeight="1" x14ac:dyDescent="0.2"/>
    <row r="24569" ht="9.9499999999999993" hidden="1" customHeight="1" x14ac:dyDescent="0.2"/>
    <row r="24570" ht="9.9499999999999993" hidden="1" customHeight="1" x14ac:dyDescent="0.2"/>
    <row r="24571" ht="9.9499999999999993" hidden="1" customHeight="1" x14ac:dyDescent="0.2"/>
    <row r="24572" ht="9.9499999999999993" hidden="1" customHeight="1" x14ac:dyDescent="0.2"/>
    <row r="24573" ht="9.9499999999999993" hidden="1" customHeight="1" x14ac:dyDescent="0.2"/>
    <row r="24574" ht="9.9499999999999993" hidden="1" customHeight="1" x14ac:dyDescent="0.2"/>
    <row r="24575" ht="9.9499999999999993" hidden="1" customHeight="1" x14ac:dyDescent="0.2"/>
    <row r="24576" ht="9.9499999999999993" hidden="1" customHeight="1" x14ac:dyDescent="0.2"/>
    <row r="24577" ht="9.9499999999999993" hidden="1" customHeight="1" x14ac:dyDescent="0.2"/>
    <row r="24578" ht="9.9499999999999993" hidden="1" customHeight="1" x14ac:dyDescent="0.2"/>
    <row r="24579" ht="9.9499999999999993" hidden="1" customHeight="1" x14ac:dyDescent="0.2"/>
    <row r="24580" ht="9.9499999999999993" hidden="1" customHeight="1" x14ac:dyDescent="0.2"/>
    <row r="24581" ht="9.9499999999999993" hidden="1" customHeight="1" x14ac:dyDescent="0.2"/>
    <row r="24582" ht="9.9499999999999993" hidden="1" customHeight="1" x14ac:dyDescent="0.2"/>
    <row r="24583" ht="9.9499999999999993" hidden="1" customHeight="1" x14ac:dyDescent="0.2"/>
    <row r="24584" ht="9.9499999999999993" hidden="1" customHeight="1" x14ac:dyDescent="0.2"/>
    <row r="24585" ht="9.9499999999999993" hidden="1" customHeight="1" x14ac:dyDescent="0.2"/>
    <row r="24586" ht="9.9499999999999993" hidden="1" customHeight="1" x14ac:dyDescent="0.2"/>
    <row r="24587" ht="9.9499999999999993" hidden="1" customHeight="1" x14ac:dyDescent="0.2"/>
    <row r="24588" ht="9.9499999999999993" hidden="1" customHeight="1" x14ac:dyDescent="0.2"/>
    <row r="24589" ht="9.9499999999999993" hidden="1" customHeight="1" x14ac:dyDescent="0.2"/>
    <row r="24590" ht="9.9499999999999993" hidden="1" customHeight="1" x14ac:dyDescent="0.2"/>
    <row r="24591" ht="9.9499999999999993" hidden="1" customHeight="1" x14ac:dyDescent="0.2"/>
    <row r="24592" ht="9.9499999999999993" hidden="1" customHeight="1" x14ac:dyDescent="0.2"/>
    <row r="24593" ht="9.9499999999999993" hidden="1" customHeight="1" x14ac:dyDescent="0.2"/>
    <row r="24594" ht="9.9499999999999993" hidden="1" customHeight="1" x14ac:dyDescent="0.2"/>
    <row r="24595" ht="9.9499999999999993" hidden="1" customHeight="1" x14ac:dyDescent="0.2"/>
    <row r="24596" ht="9.9499999999999993" hidden="1" customHeight="1" x14ac:dyDescent="0.2"/>
    <row r="24597" ht="9.9499999999999993" hidden="1" customHeight="1" x14ac:dyDescent="0.2"/>
    <row r="24598" ht="9.9499999999999993" hidden="1" customHeight="1" x14ac:dyDescent="0.2"/>
    <row r="24599" ht="9.9499999999999993" hidden="1" customHeight="1" x14ac:dyDescent="0.2"/>
    <row r="24600" ht="9.9499999999999993" hidden="1" customHeight="1" x14ac:dyDescent="0.2"/>
    <row r="24601" ht="9.9499999999999993" hidden="1" customHeight="1" x14ac:dyDescent="0.2"/>
    <row r="24602" ht="9.9499999999999993" hidden="1" customHeight="1" x14ac:dyDescent="0.2"/>
    <row r="24603" ht="9.9499999999999993" hidden="1" customHeight="1" x14ac:dyDescent="0.2"/>
    <row r="24604" ht="9.9499999999999993" hidden="1" customHeight="1" x14ac:dyDescent="0.2"/>
    <row r="24605" ht="9.9499999999999993" hidden="1" customHeight="1" x14ac:dyDescent="0.2"/>
    <row r="24606" ht="9.9499999999999993" hidden="1" customHeight="1" x14ac:dyDescent="0.2"/>
    <row r="24607" ht="9.9499999999999993" hidden="1" customHeight="1" x14ac:dyDescent="0.2"/>
    <row r="24608" ht="9.9499999999999993" hidden="1" customHeight="1" x14ac:dyDescent="0.2"/>
    <row r="24609" ht="9.9499999999999993" hidden="1" customHeight="1" x14ac:dyDescent="0.2"/>
    <row r="24610" ht="9.9499999999999993" hidden="1" customHeight="1" x14ac:dyDescent="0.2"/>
    <row r="24611" ht="9.9499999999999993" hidden="1" customHeight="1" x14ac:dyDescent="0.2"/>
    <row r="24612" ht="9.9499999999999993" hidden="1" customHeight="1" x14ac:dyDescent="0.2"/>
    <row r="24613" ht="9.9499999999999993" hidden="1" customHeight="1" x14ac:dyDescent="0.2"/>
    <row r="24614" ht="9.9499999999999993" hidden="1" customHeight="1" x14ac:dyDescent="0.2"/>
    <row r="24615" ht="9.9499999999999993" hidden="1" customHeight="1" x14ac:dyDescent="0.2"/>
    <row r="24616" ht="9.9499999999999993" hidden="1" customHeight="1" x14ac:dyDescent="0.2"/>
    <row r="24617" ht="9.9499999999999993" hidden="1" customHeight="1" x14ac:dyDescent="0.2"/>
    <row r="24618" ht="9.9499999999999993" hidden="1" customHeight="1" x14ac:dyDescent="0.2"/>
    <row r="24619" ht="9.9499999999999993" hidden="1" customHeight="1" x14ac:dyDescent="0.2"/>
    <row r="24620" ht="9.9499999999999993" hidden="1" customHeight="1" x14ac:dyDescent="0.2"/>
    <row r="24621" ht="9.9499999999999993" hidden="1" customHeight="1" x14ac:dyDescent="0.2"/>
    <row r="24622" ht="9.9499999999999993" hidden="1" customHeight="1" x14ac:dyDescent="0.2"/>
    <row r="24623" ht="9.9499999999999993" hidden="1" customHeight="1" x14ac:dyDescent="0.2"/>
    <row r="24624" ht="9.9499999999999993" hidden="1" customHeight="1" x14ac:dyDescent="0.2"/>
    <row r="24625" ht="9.9499999999999993" hidden="1" customHeight="1" x14ac:dyDescent="0.2"/>
    <row r="24626" ht="9.9499999999999993" hidden="1" customHeight="1" x14ac:dyDescent="0.2"/>
    <row r="24627" ht="9.9499999999999993" hidden="1" customHeight="1" x14ac:dyDescent="0.2"/>
    <row r="24628" ht="9.9499999999999993" hidden="1" customHeight="1" x14ac:dyDescent="0.2"/>
    <row r="24629" ht="9.9499999999999993" hidden="1" customHeight="1" x14ac:dyDescent="0.2"/>
    <row r="24630" ht="9.9499999999999993" hidden="1" customHeight="1" x14ac:dyDescent="0.2"/>
    <row r="24631" ht="9.9499999999999993" hidden="1" customHeight="1" x14ac:dyDescent="0.2"/>
    <row r="24632" ht="9.9499999999999993" hidden="1" customHeight="1" x14ac:dyDescent="0.2"/>
    <row r="24633" ht="9.9499999999999993" hidden="1" customHeight="1" x14ac:dyDescent="0.2"/>
    <row r="24634" ht="9.9499999999999993" hidden="1" customHeight="1" x14ac:dyDescent="0.2"/>
    <row r="24635" ht="9.9499999999999993" hidden="1" customHeight="1" x14ac:dyDescent="0.2"/>
    <row r="24636" ht="9.9499999999999993" hidden="1" customHeight="1" x14ac:dyDescent="0.2"/>
    <row r="24637" ht="9.9499999999999993" hidden="1" customHeight="1" x14ac:dyDescent="0.2"/>
    <row r="24638" ht="9.9499999999999993" hidden="1" customHeight="1" x14ac:dyDescent="0.2"/>
    <row r="24639" ht="9.9499999999999993" hidden="1" customHeight="1" x14ac:dyDescent="0.2"/>
    <row r="24640" ht="9.9499999999999993" hidden="1" customHeight="1" x14ac:dyDescent="0.2"/>
    <row r="24641" ht="9.9499999999999993" hidden="1" customHeight="1" x14ac:dyDescent="0.2"/>
    <row r="24642" ht="9.9499999999999993" hidden="1" customHeight="1" x14ac:dyDescent="0.2"/>
    <row r="24643" ht="9.9499999999999993" hidden="1" customHeight="1" x14ac:dyDescent="0.2"/>
    <row r="24644" ht="9.9499999999999993" hidden="1" customHeight="1" x14ac:dyDescent="0.2"/>
    <row r="24645" ht="9.9499999999999993" hidden="1" customHeight="1" x14ac:dyDescent="0.2"/>
    <row r="24646" ht="9.9499999999999993" hidden="1" customHeight="1" x14ac:dyDescent="0.2"/>
    <row r="24647" ht="9.9499999999999993" hidden="1" customHeight="1" x14ac:dyDescent="0.2"/>
    <row r="24648" ht="9.9499999999999993" hidden="1" customHeight="1" x14ac:dyDescent="0.2"/>
    <row r="24649" ht="9.9499999999999993" hidden="1" customHeight="1" x14ac:dyDescent="0.2"/>
    <row r="24650" ht="9.9499999999999993" hidden="1" customHeight="1" x14ac:dyDescent="0.2"/>
    <row r="24651" ht="9.9499999999999993" hidden="1" customHeight="1" x14ac:dyDescent="0.2"/>
    <row r="24652" ht="9.9499999999999993" hidden="1" customHeight="1" x14ac:dyDescent="0.2"/>
    <row r="24653" ht="9.9499999999999993" hidden="1" customHeight="1" x14ac:dyDescent="0.2"/>
    <row r="24654" ht="9.9499999999999993" hidden="1" customHeight="1" x14ac:dyDescent="0.2"/>
    <row r="24655" ht="9.9499999999999993" hidden="1" customHeight="1" x14ac:dyDescent="0.2"/>
    <row r="24656" ht="9.9499999999999993" hidden="1" customHeight="1" x14ac:dyDescent="0.2"/>
    <row r="24657" ht="9.9499999999999993" hidden="1" customHeight="1" x14ac:dyDescent="0.2"/>
    <row r="24658" ht="9.9499999999999993" hidden="1" customHeight="1" x14ac:dyDescent="0.2"/>
    <row r="24659" ht="9.9499999999999993" hidden="1" customHeight="1" x14ac:dyDescent="0.2"/>
    <row r="24660" ht="9.9499999999999993" hidden="1" customHeight="1" x14ac:dyDescent="0.2"/>
    <row r="24661" ht="9.9499999999999993" hidden="1" customHeight="1" x14ac:dyDescent="0.2"/>
    <row r="24662" ht="9.9499999999999993" hidden="1" customHeight="1" x14ac:dyDescent="0.2"/>
    <row r="24663" ht="9.9499999999999993" hidden="1" customHeight="1" x14ac:dyDescent="0.2"/>
    <row r="24664" ht="9.9499999999999993" hidden="1" customHeight="1" x14ac:dyDescent="0.2"/>
    <row r="24665" ht="9.9499999999999993" hidden="1" customHeight="1" x14ac:dyDescent="0.2"/>
    <row r="24666" ht="9.9499999999999993" hidden="1" customHeight="1" x14ac:dyDescent="0.2"/>
    <row r="24667" ht="9.9499999999999993" hidden="1" customHeight="1" x14ac:dyDescent="0.2"/>
    <row r="24668" ht="9.9499999999999993" hidden="1" customHeight="1" x14ac:dyDescent="0.2"/>
    <row r="24669" ht="9.9499999999999993" hidden="1" customHeight="1" x14ac:dyDescent="0.2"/>
    <row r="24670" ht="9.9499999999999993" hidden="1" customHeight="1" x14ac:dyDescent="0.2"/>
    <row r="24671" ht="9.9499999999999993" hidden="1" customHeight="1" x14ac:dyDescent="0.2"/>
    <row r="24672" ht="9.9499999999999993" hidden="1" customHeight="1" x14ac:dyDescent="0.2"/>
    <row r="24673" ht="9.9499999999999993" hidden="1" customHeight="1" x14ac:dyDescent="0.2"/>
    <row r="24674" ht="9.9499999999999993" hidden="1" customHeight="1" x14ac:dyDescent="0.2"/>
    <row r="24675" ht="9.9499999999999993" hidden="1" customHeight="1" x14ac:dyDescent="0.2"/>
    <row r="24676" ht="9.9499999999999993" hidden="1" customHeight="1" x14ac:dyDescent="0.2"/>
    <row r="24677" ht="9.9499999999999993" hidden="1" customHeight="1" x14ac:dyDescent="0.2"/>
    <row r="24678" ht="9.9499999999999993" hidden="1" customHeight="1" x14ac:dyDescent="0.2"/>
    <row r="24679" ht="9.9499999999999993" hidden="1" customHeight="1" x14ac:dyDescent="0.2"/>
    <row r="24680" ht="9.9499999999999993" hidden="1" customHeight="1" x14ac:dyDescent="0.2"/>
    <row r="24681" ht="9.9499999999999993" hidden="1" customHeight="1" x14ac:dyDescent="0.2"/>
    <row r="24682" ht="9.9499999999999993" hidden="1" customHeight="1" x14ac:dyDescent="0.2"/>
    <row r="24683" ht="9.9499999999999993" hidden="1" customHeight="1" x14ac:dyDescent="0.2"/>
    <row r="24684" ht="9.9499999999999993" hidden="1" customHeight="1" x14ac:dyDescent="0.2"/>
    <row r="24685" ht="9.9499999999999993" hidden="1" customHeight="1" x14ac:dyDescent="0.2"/>
    <row r="24686" ht="9.9499999999999993" hidden="1" customHeight="1" x14ac:dyDescent="0.2"/>
    <row r="24687" ht="9.9499999999999993" hidden="1" customHeight="1" x14ac:dyDescent="0.2"/>
    <row r="24688" ht="9.9499999999999993" hidden="1" customHeight="1" x14ac:dyDescent="0.2"/>
    <row r="24689" ht="9.9499999999999993" hidden="1" customHeight="1" x14ac:dyDescent="0.2"/>
    <row r="24690" ht="9.9499999999999993" hidden="1" customHeight="1" x14ac:dyDescent="0.2"/>
    <row r="24691" ht="9.9499999999999993" hidden="1" customHeight="1" x14ac:dyDescent="0.2"/>
    <row r="24692" ht="9.9499999999999993" hidden="1" customHeight="1" x14ac:dyDescent="0.2"/>
    <row r="24693" ht="9.9499999999999993" hidden="1" customHeight="1" x14ac:dyDescent="0.2"/>
    <row r="24694" ht="9.9499999999999993" hidden="1" customHeight="1" x14ac:dyDescent="0.2"/>
    <row r="24695" ht="9.9499999999999993" hidden="1" customHeight="1" x14ac:dyDescent="0.2"/>
    <row r="24696" ht="9.9499999999999993" hidden="1" customHeight="1" x14ac:dyDescent="0.2"/>
    <row r="24697" ht="9.9499999999999993" hidden="1" customHeight="1" x14ac:dyDescent="0.2"/>
    <row r="24698" ht="9.9499999999999993" hidden="1" customHeight="1" x14ac:dyDescent="0.2"/>
    <row r="24699" ht="9.9499999999999993" hidden="1" customHeight="1" x14ac:dyDescent="0.2"/>
    <row r="24700" ht="9.9499999999999993" hidden="1" customHeight="1" x14ac:dyDescent="0.2"/>
    <row r="24701" ht="9.9499999999999993" hidden="1" customHeight="1" x14ac:dyDescent="0.2"/>
    <row r="24702" ht="9.9499999999999993" hidden="1" customHeight="1" x14ac:dyDescent="0.2"/>
    <row r="24703" ht="9.9499999999999993" hidden="1" customHeight="1" x14ac:dyDescent="0.2"/>
    <row r="24704" ht="9.9499999999999993" hidden="1" customHeight="1" x14ac:dyDescent="0.2"/>
    <row r="24705" ht="9.9499999999999993" hidden="1" customHeight="1" x14ac:dyDescent="0.2"/>
    <row r="24706" ht="9.9499999999999993" hidden="1" customHeight="1" x14ac:dyDescent="0.2"/>
    <row r="24707" ht="9.9499999999999993" hidden="1" customHeight="1" x14ac:dyDescent="0.2"/>
    <row r="24708" ht="9.9499999999999993" hidden="1" customHeight="1" x14ac:dyDescent="0.2"/>
    <row r="24709" ht="9.9499999999999993" hidden="1" customHeight="1" x14ac:dyDescent="0.2"/>
    <row r="24710" ht="9.9499999999999993" hidden="1" customHeight="1" x14ac:dyDescent="0.2"/>
    <row r="24711" ht="9.9499999999999993" hidden="1" customHeight="1" x14ac:dyDescent="0.2"/>
    <row r="24712" ht="9.9499999999999993" hidden="1" customHeight="1" x14ac:dyDescent="0.2"/>
    <row r="24713" ht="9.9499999999999993" hidden="1" customHeight="1" x14ac:dyDescent="0.2"/>
    <row r="24714" ht="9.9499999999999993" hidden="1" customHeight="1" x14ac:dyDescent="0.2"/>
    <row r="24715" ht="9.9499999999999993" hidden="1" customHeight="1" x14ac:dyDescent="0.2"/>
    <row r="24716" ht="9.9499999999999993" hidden="1" customHeight="1" x14ac:dyDescent="0.2"/>
    <row r="24717" ht="9.9499999999999993" hidden="1" customHeight="1" x14ac:dyDescent="0.2"/>
    <row r="24718" ht="9.9499999999999993" hidden="1" customHeight="1" x14ac:dyDescent="0.2"/>
    <row r="24719" ht="9.9499999999999993" hidden="1" customHeight="1" x14ac:dyDescent="0.2"/>
    <row r="24720" ht="9.9499999999999993" hidden="1" customHeight="1" x14ac:dyDescent="0.2"/>
    <row r="24721" ht="9.9499999999999993" hidden="1" customHeight="1" x14ac:dyDescent="0.2"/>
    <row r="24722" ht="9.9499999999999993" hidden="1" customHeight="1" x14ac:dyDescent="0.2"/>
    <row r="24723" ht="9.9499999999999993" hidden="1" customHeight="1" x14ac:dyDescent="0.2"/>
    <row r="24724" ht="9.9499999999999993" hidden="1" customHeight="1" x14ac:dyDescent="0.2"/>
    <row r="24725" ht="9.9499999999999993" hidden="1" customHeight="1" x14ac:dyDescent="0.2"/>
    <row r="24726" ht="9.9499999999999993" hidden="1" customHeight="1" x14ac:dyDescent="0.2"/>
    <row r="24727" ht="9.9499999999999993" hidden="1" customHeight="1" x14ac:dyDescent="0.2"/>
    <row r="24728" ht="9.9499999999999993" hidden="1" customHeight="1" x14ac:dyDescent="0.2"/>
    <row r="24729" ht="9.9499999999999993" hidden="1" customHeight="1" x14ac:dyDescent="0.2"/>
    <row r="24730" ht="9.9499999999999993" hidden="1" customHeight="1" x14ac:dyDescent="0.2"/>
    <row r="24731" ht="9.9499999999999993" hidden="1" customHeight="1" x14ac:dyDescent="0.2"/>
    <row r="24732" ht="9.9499999999999993" hidden="1" customHeight="1" x14ac:dyDescent="0.2"/>
    <row r="24733" ht="9.9499999999999993" hidden="1" customHeight="1" x14ac:dyDescent="0.2"/>
    <row r="24734" ht="9.9499999999999993" hidden="1" customHeight="1" x14ac:dyDescent="0.2"/>
    <row r="24735" ht="9.9499999999999993" hidden="1" customHeight="1" x14ac:dyDescent="0.2"/>
    <row r="24736" ht="9.9499999999999993" hidden="1" customHeight="1" x14ac:dyDescent="0.2"/>
    <row r="24737" ht="9.9499999999999993" hidden="1" customHeight="1" x14ac:dyDescent="0.2"/>
    <row r="24738" ht="9.9499999999999993" hidden="1" customHeight="1" x14ac:dyDescent="0.2"/>
    <row r="24739" ht="9.9499999999999993" hidden="1" customHeight="1" x14ac:dyDescent="0.2"/>
    <row r="24740" ht="9.9499999999999993" hidden="1" customHeight="1" x14ac:dyDescent="0.2"/>
    <row r="24741" ht="9.9499999999999993" hidden="1" customHeight="1" x14ac:dyDescent="0.2"/>
    <row r="24742" ht="9.9499999999999993" hidden="1" customHeight="1" x14ac:dyDescent="0.2"/>
    <row r="24743" ht="9.9499999999999993" hidden="1" customHeight="1" x14ac:dyDescent="0.2"/>
    <row r="24744" ht="9.9499999999999993" hidden="1" customHeight="1" x14ac:dyDescent="0.2"/>
    <row r="24745" ht="9.9499999999999993" hidden="1" customHeight="1" x14ac:dyDescent="0.2"/>
    <row r="24746" ht="9.9499999999999993" hidden="1" customHeight="1" x14ac:dyDescent="0.2"/>
    <row r="24747" ht="9.9499999999999993" hidden="1" customHeight="1" x14ac:dyDescent="0.2"/>
    <row r="24748" ht="9.9499999999999993" hidden="1" customHeight="1" x14ac:dyDescent="0.2"/>
    <row r="24749" ht="9.9499999999999993" hidden="1" customHeight="1" x14ac:dyDescent="0.2"/>
    <row r="24750" ht="9.9499999999999993" hidden="1" customHeight="1" x14ac:dyDescent="0.2"/>
    <row r="24751" ht="9.9499999999999993" hidden="1" customHeight="1" x14ac:dyDescent="0.2"/>
    <row r="24752" ht="9.9499999999999993" hidden="1" customHeight="1" x14ac:dyDescent="0.2"/>
    <row r="24753" ht="9.9499999999999993" hidden="1" customHeight="1" x14ac:dyDescent="0.2"/>
    <row r="24754" ht="9.9499999999999993" hidden="1" customHeight="1" x14ac:dyDescent="0.2"/>
    <row r="24755" ht="9.9499999999999993" hidden="1" customHeight="1" x14ac:dyDescent="0.2"/>
    <row r="24756" ht="9.9499999999999993" hidden="1" customHeight="1" x14ac:dyDescent="0.2"/>
    <row r="24757" ht="9.9499999999999993" hidden="1" customHeight="1" x14ac:dyDescent="0.2"/>
    <row r="24758" ht="9.9499999999999993" hidden="1" customHeight="1" x14ac:dyDescent="0.2"/>
    <row r="24759" ht="9.9499999999999993" hidden="1" customHeight="1" x14ac:dyDescent="0.2"/>
    <row r="24760" ht="9.9499999999999993" hidden="1" customHeight="1" x14ac:dyDescent="0.2"/>
    <row r="24761" ht="9.9499999999999993" hidden="1" customHeight="1" x14ac:dyDescent="0.2"/>
    <row r="24762" ht="9.9499999999999993" hidden="1" customHeight="1" x14ac:dyDescent="0.2"/>
    <row r="24763" ht="9.9499999999999993" hidden="1" customHeight="1" x14ac:dyDescent="0.2"/>
    <row r="24764" ht="9.9499999999999993" hidden="1" customHeight="1" x14ac:dyDescent="0.2"/>
    <row r="24765" ht="9.9499999999999993" hidden="1" customHeight="1" x14ac:dyDescent="0.2"/>
    <row r="24766" ht="9.9499999999999993" hidden="1" customHeight="1" x14ac:dyDescent="0.2"/>
    <row r="24767" ht="9.9499999999999993" hidden="1" customHeight="1" x14ac:dyDescent="0.2"/>
    <row r="24768" ht="9.9499999999999993" hidden="1" customHeight="1" x14ac:dyDescent="0.2"/>
    <row r="24769" ht="9.9499999999999993" hidden="1" customHeight="1" x14ac:dyDescent="0.2"/>
    <row r="24770" ht="9.9499999999999993" hidden="1" customHeight="1" x14ac:dyDescent="0.2"/>
    <row r="24771" ht="9.9499999999999993" hidden="1" customHeight="1" x14ac:dyDescent="0.2"/>
    <row r="24772" ht="9.9499999999999993" hidden="1" customHeight="1" x14ac:dyDescent="0.2"/>
    <row r="24773" ht="9.9499999999999993" hidden="1" customHeight="1" x14ac:dyDescent="0.2"/>
    <row r="24774" ht="9.9499999999999993" hidden="1" customHeight="1" x14ac:dyDescent="0.2"/>
    <row r="24775" ht="9.9499999999999993" hidden="1" customHeight="1" x14ac:dyDescent="0.2"/>
    <row r="24776" ht="9.9499999999999993" hidden="1" customHeight="1" x14ac:dyDescent="0.2"/>
    <row r="24777" ht="9.9499999999999993" hidden="1" customHeight="1" x14ac:dyDescent="0.2"/>
    <row r="24778" ht="9.9499999999999993" hidden="1" customHeight="1" x14ac:dyDescent="0.2"/>
    <row r="24779" ht="9.9499999999999993" hidden="1" customHeight="1" x14ac:dyDescent="0.2"/>
    <row r="24780" ht="9.9499999999999993" hidden="1" customHeight="1" x14ac:dyDescent="0.2"/>
    <row r="24781" ht="9.9499999999999993" hidden="1" customHeight="1" x14ac:dyDescent="0.2"/>
    <row r="24782" ht="9.9499999999999993" hidden="1" customHeight="1" x14ac:dyDescent="0.2"/>
    <row r="24783" ht="9.9499999999999993" hidden="1" customHeight="1" x14ac:dyDescent="0.2"/>
    <row r="24784" ht="9.9499999999999993" hidden="1" customHeight="1" x14ac:dyDescent="0.2"/>
    <row r="24785" ht="9.9499999999999993" hidden="1" customHeight="1" x14ac:dyDescent="0.2"/>
    <row r="24786" ht="9.9499999999999993" hidden="1" customHeight="1" x14ac:dyDescent="0.2"/>
    <row r="24787" ht="9.9499999999999993" hidden="1" customHeight="1" x14ac:dyDescent="0.2"/>
    <row r="24788" ht="9.9499999999999993" hidden="1" customHeight="1" x14ac:dyDescent="0.2"/>
    <row r="24789" ht="9.9499999999999993" hidden="1" customHeight="1" x14ac:dyDescent="0.2"/>
    <row r="24790" ht="9.9499999999999993" hidden="1" customHeight="1" x14ac:dyDescent="0.2"/>
    <row r="24791" ht="9.9499999999999993" hidden="1" customHeight="1" x14ac:dyDescent="0.2"/>
    <row r="24792" ht="9.9499999999999993" hidden="1" customHeight="1" x14ac:dyDescent="0.2"/>
    <row r="24793" ht="9.9499999999999993" hidden="1" customHeight="1" x14ac:dyDescent="0.2"/>
    <row r="24794" ht="9.9499999999999993" hidden="1" customHeight="1" x14ac:dyDescent="0.2"/>
    <row r="24795" ht="9.9499999999999993" hidden="1" customHeight="1" x14ac:dyDescent="0.2"/>
    <row r="24796" ht="9.9499999999999993" hidden="1" customHeight="1" x14ac:dyDescent="0.2"/>
    <row r="24797" ht="9.9499999999999993" hidden="1" customHeight="1" x14ac:dyDescent="0.2"/>
    <row r="24798" ht="9.9499999999999993" hidden="1" customHeight="1" x14ac:dyDescent="0.2"/>
    <row r="24799" ht="9.9499999999999993" hidden="1" customHeight="1" x14ac:dyDescent="0.2"/>
    <row r="24800" ht="9.9499999999999993" hidden="1" customHeight="1" x14ac:dyDescent="0.2"/>
    <row r="24801" ht="9.9499999999999993" hidden="1" customHeight="1" x14ac:dyDescent="0.2"/>
    <row r="24802" ht="9.9499999999999993" hidden="1" customHeight="1" x14ac:dyDescent="0.2"/>
    <row r="24803" ht="9.9499999999999993" hidden="1" customHeight="1" x14ac:dyDescent="0.2"/>
    <row r="24804" ht="9.9499999999999993" hidden="1" customHeight="1" x14ac:dyDescent="0.2"/>
    <row r="24805" ht="9.9499999999999993" hidden="1" customHeight="1" x14ac:dyDescent="0.2"/>
    <row r="24806" ht="9.9499999999999993" hidden="1" customHeight="1" x14ac:dyDescent="0.2"/>
    <row r="24807" ht="9.9499999999999993" hidden="1" customHeight="1" x14ac:dyDescent="0.2"/>
    <row r="24808" ht="9.9499999999999993" hidden="1" customHeight="1" x14ac:dyDescent="0.2"/>
    <row r="24809" ht="9.9499999999999993" hidden="1" customHeight="1" x14ac:dyDescent="0.2"/>
    <row r="24810" ht="9.9499999999999993" hidden="1" customHeight="1" x14ac:dyDescent="0.2"/>
    <row r="24811" ht="9.9499999999999993" hidden="1" customHeight="1" x14ac:dyDescent="0.2"/>
    <row r="24812" ht="9.9499999999999993" hidden="1" customHeight="1" x14ac:dyDescent="0.2"/>
    <row r="24813" ht="9.9499999999999993" hidden="1" customHeight="1" x14ac:dyDescent="0.2"/>
    <row r="24814" ht="9.9499999999999993" hidden="1" customHeight="1" x14ac:dyDescent="0.2"/>
    <row r="24815" ht="9.9499999999999993" hidden="1" customHeight="1" x14ac:dyDescent="0.2"/>
    <row r="24816" ht="9.9499999999999993" hidden="1" customHeight="1" x14ac:dyDescent="0.2"/>
    <row r="24817" ht="9.9499999999999993" hidden="1" customHeight="1" x14ac:dyDescent="0.2"/>
    <row r="24818" ht="9.9499999999999993" hidden="1" customHeight="1" x14ac:dyDescent="0.2"/>
    <row r="24819" ht="9.9499999999999993" hidden="1" customHeight="1" x14ac:dyDescent="0.2"/>
    <row r="24820" ht="9.9499999999999993" hidden="1" customHeight="1" x14ac:dyDescent="0.2"/>
    <row r="24821" ht="9.9499999999999993" hidden="1" customHeight="1" x14ac:dyDescent="0.2"/>
    <row r="24822" ht="9.9499999999999993" hidden="1" customHeight="1" x14ac:dyDescent="0.2"/>
    <row r="24823" ht="9.9499999999999993" hidden="1" customHeight="1" x14ac:dyDescent="0.2"/>
    <row r="24824" ht="9.9499999999999993" hidden="1" customHeight="1" x14ac:dyDescent="0.2"/>
    <row r="24825" ht="9.9499999999999993" hidden="1" customHeight="1" x14ac:dyDescent="0.2"/>
    <row r="24826" ht="9.9499999999999993" hidden="1" customHeight="1" x14ac:dyDescent="0.2"/>
    <row r="24827" ht="9.9499999999999993" hidden="1" customHeight="1" x14ac:dyDescent="0.2"/>
    <row r="24828" ht="9.9499999999999993" hidden="1" customHeight="1" x14ac:dyDescent="0.2"/>
    <row r="24829" ht="9.9499999999999993" hidden="1" customHeight="1" x14ac:dyDescent="0.2"/>
    <row r="24830" ht="9.9499999999999993" hidden="1" customHeight="1" x14ac:dyDescent="0.2"/>
    <row r="24831" ht="9.9499999999999993" hidden="1" customHeight="1" x14ac:dyDescent="0.2"/>
    <row r="24832" ht="9.9499999999999993" hidden="1" customHeight="1" x14ac:dyDescent="0.2"/>
    <row r="24833" ht="9.9499999999999993" hidden="1" customHeight="1" x14ac:dyDescent="0.2"/>
    <row r="24834" ht="9.9499999999999993" hidden="1" customHeight="1" x14ac:dyDescent="0.2"/>
    <row r="24835" ht="9.9499999999999993" hidden="1" customHeight="1" x14ac:dyDescent="0.2"/>
    <row r="24836" ht="9.9499999999999993" hidden="1" customHeight="1" x14ac:dyDescent="0.2"/>
    <row r="24837" ht="9.9499999999999993" hidden="1" customHeight="1" x14ac:dyDescent="0.2"/>
    <row r="24838" ht="9.9499999999999993" hidden="1" customHeight="1" x14ac:dyDescent="0.2"/>
    <row r="24839" ht="9.9499999999999993" hidden="1" customHeight="1" x14ac:dyDescent="0.2"/>
    <row r="24840" ht="9.9499999999999993" hidden="1" customHeight="1" x14ac:dyDescent="0.2"/>
    <row r="24841" ht="9.9499999999999993" hidden="1" customHeight="1" x14ac:dyDescent="0.2"/>
    <row r="24842" ht="9.9499999999999993" hidden="1" customHeight="1" x14ac:dyDescent="0.2"/>
    <row r="24843" ht="9.9499999999999993" hidden="1" customHeight="1" x14ac:dyDescent="0.2"/>
    <row r="24844" ht="9.9499999999999993" hidden="1" customHeight="1" x14ac:dyDescent="0.2"/>
    <row r="24845" ht="9.9499999999999993" hidden="1" customHeight="1" x14ac:dyDescent="0.2"/>
    <row r="24846" ht="9.9499999999999993" hidden="1" customHeight="1" x14ac:dyDescent="0.2"/>
    <row r="24847" ht="9.9499999999999993" hidden="1" customHeight="1" x14ac:dyDescent="0.2"/>
    <row r="24848" ht="9.9499999999999993" hidden="1" customHeight="1" x14ac:dyDescent="0.2"/>
    <row r="24849" ht="9.9499999999999993" hidden="1" customHeight="1" x14ac:dyDescent="0.2"/>
    <row r="24850" ht="9.9499999999999993" hidden="1" customHeight="1" x14ac:dyDescent="0.2"/>
    <row r="24851" ht="9.9499999999999993" hidden="1" customHeight="1" x14ac:dyDescent="0.2"/>
    <row r="24852" ht="9.9499999999999993" hidden="1" customHeight="1" x14ac:dyDescent="0.2"/>
    <row r="24853" ht="9.9499999999999993" hidden="1" customHeight="1" x14ac:dyDescent="0.2"/>
    <row r="24854" ht="9.9499999999999993" hidden="1" customHeight="1" x14ac:dyDescent="0.2"/>
    <row r="24855" ht="9.9499999999999993" hidden="1" customHeight="1" x14ac:dyDescent="0.2"/>
    <row r="24856" ht="9.9499999999999993" hidden="1" customHeight="1" x14ac:dyDescent="0.2"/>
    <row r="24857" ht="9.9499999999999993" hidden="1" customHeight="1" x14ac:dyDescent="0.2"/>
    <row r="24858" ht="9.9499999999999993" hidden="1" customHeight="1" x14ac:dyDescent="0.2"/>
    <row r="24859" ht="9.9499999999999993" hidden="1" customHeight="1" x14ac:dyDescent="0.2"/>
    <row r="24860" ht="9.9499999999999993" hidden="1" customHeight="1" x14ac:dyDescent="0.2"/>
    <row r="24861" ht="9.9499999999999993" hidden="1" customHeight="1" x14ac:dyDescent="0.2"/>
    <row r="24862" ht="9.9499999999999993" hidden="1" customHeight="1" x14ac:dyDescent="0.2"/>
    <row r="24863" ht="9.9499999999999993" hidden="1" customHeight="1" x14ac:dyDescent="0.2"/>
    <row r="24864" ht="9.9499999999999993" hidden="1" customHeight="1" x14ac:dyDescent="0.2"/>
    <row r="24865" ht="9.9499999999999993" hidden="1" customHeight="1" x14ac:dyDescent="0.2"/>
    <row r="24866" ht="9.9499999999999993" hidden="1" customHeight="1" x14ac:dyDescent="0.2"/>
    <row r="24867" ht="9.9499999999999993" hidden="1" customHeight="1" x14ac:dyDescent="0.2"/>
    <row r="24868" ht="9.9499999999999993" hidden="1" customHeight="1" x14ac:dyDescent="0.2"/>
    <row r="24869" ht="9.9499999999999993" hidden="1" customHeight="1" x14ac:dyDescent="0.2"/>
    <row r="24870" ht="9.9499999999999993" hidden="1" customHeight="1" x14ac:dyDescent="0.2"/>
    <row r="24871" ht="9.9499999999999993" hidden="1" customHeight="1" x14ac:dyDescent="0.2"/>
    <row r="24872" ht="9.9499999999999993" hidden="1" customHeight="1" x14ac:dyDescent="0.2"/>
    <row r="24873" ht="9.9499999999999993" hidden="1" customHeight="1" x14ac:dyDescent="0.2"/>
    <row r="24874" ht="9.9499999999999993" hidden="1" customHeight="1" x14ac:dyDescent="0.2"/>
    <row r="24875" ht="9.9499999999999993" hidden="1" customHeight="1" x14ac:dyDescent="0.2"/>
    <row r="24876" ht="9.9499999999999993" hidden="1" customHeight="1" x14ac:dyDescent="0.2"/>
    <row r="24877" ht="9.9499999999999993" hidden="1" customHeight="1" x14ac:dyDescent="0.2"/>
    <row r="24878" ht="9.9499999999999993" hidden="1" customHeight="1" x14ac:dyDescent="0.2"/>
    <row r="24879" ht="9.9499999999999993" hidden="1" customHeight="1" x14ac:dyDescent="0.2"/>
    <row r="24880" ht="9.9499999999999993" hidden="1" customHeight="1" x14ac:dyDescent="0.2"/>
    <row r="24881" ht="9.9499999999999993" hidden="1" customHeight="1" x14ac:dyDescent="0.2"/>
    <row r="24882" ht="9.9499999999999993" hidden="1" customHeight="1" x14ac:dyDescent="0.2"/>
    <row r="24883" ht="9.9499999999999993" hidden="1" customHeight="1" x14ac:dyDescent="0.2"/>
    <row r="24884" ht="9.9499999999999993" hidden="1" customHeight="1" x14ac:dyDescent="0.2"/>
    <row r="24885" ht="9.9499999999999993" hidden="1" customHeight="1" x14ac:dyDescent="0.2"/>
    <row r="24886" ht="9.9499999999999993" hidden="1" customHeight="1" x14ac:dyDescent="0.2"/>
    <row r="24887" ht="9.9499999999999993" hidden="1" customHeight="1" x14ac:dyDescent="0.2"/>
    <row r="24888" ht="9.9499999999999993" hidden="1" customHeight="1" x14ac:dyDescent="0.2"/>
    <row r="24889" ht="9.9499999999999993" hidden="1" customHeight="1" x14ac:dyDescent="0.2"/>
    <row r="24890" ht="9.9499999999999993" hidden="1" customHeight="1" x14ac:dyDescent="0.2"/>
    <row r="24891" ht="9.9499999999999993" hidden="1" customHeight="1" x14ac:dyDescent="0.2"/>
    <row r="24892" ht="9.9499999999999993" hidden="1" customHeight="1" x14ac:dyDescent="0.2"/>
    <row r="24893" ht="9.9499999999999993" hidden="1" customHeight="1" x14ac:dyDescent="0.2"/>
    <row r="24894" ht="9.9499999999999993" hidden="1" customHeight="1" x14ac:dyDescent="0.2"/>
    <row r="24895" ht="9.9499999999999993" hidden="1" customHeight="1" x14ac:dyDescent="0.2"/>
    <row r="24896" ht="9.9499999999999993" hidden="1" customHeight="1" x14ac:dyDescent="0.2"/>
    <row r="24897" ht="9.9499999999999993" hidden="1" customHeight="1" x14ac:dyDescent="0.2"/>
    <row r="24898" ht="9.9499999999999993" hidden="1" customHeight="1" x14ac:dyDescent="0.2"/>
    <row r="24899" ht="9.9499999999999993" hidden="1" customHeight="1" x14ac:dyDescent="0.2"/>
    <row r="24900" ht="9.9499999999999993" hidden="1" customHeight="1" x14ac:dyDescent="0.2"/>
    <row r="24901" ht="9.9499999999999993" hidden="1" customHeight="1" x14ac:dyDescent="0.2"/>
    <row r="24902" ht="9.9499999999999993" hidden="1" customHeight="1" x14ac:dyDescent="0.2"/>
    <row r="24903" ht="9.9499999999999993" hidden="1" customHeight="1" x14ac:dyDescent="0.2"/>
    <row r="24904" ht="9.9499999999999993" hidden="1" customHeight="1" x14ac:dyDescent="0.2"/>
    <row r="24905" ht="9.9499999999999993" hidden="1" customHeight="1" x14ac:dyDescent="0.2"/>
    <row r="24906" ht="9.9499999999999993" hidden="1" customHeight="1" x14ac:dyDescent="0.2"/>
    <row r="24907" ht="9.9499999999999993" hidden="1" customHeight="1" x14ac:dyDescent="0.2"/>
    <row r="24908" ht="9.9499999999999993" hidden="1" customHeight="1" x14ac:dyDescent="0.2"/>
    <row r="24909" ht="9.9499999999999993" hidden="1" customHeight="1" x14ac:dyDescent="0.2"/>
    <row r="24910" ht="9.9499999999999993" hidden="1" customHeight="1" x14ac:dyDescent="0.2"/>
    <row r="24911" ht="9.9499999999999993" hidden="1" customHeight="1" x14ac:dyDescent="0.2"/>
    <row r="24912" ht="9.9499999999999993" hidden="1" customHeight="1" x14ac:dyDescent="0.2"/>
    <row r="24913" ht="9.9499999999999993" hidden="1" customHeight="1" x14ac:dyDescent="0.2"/>
    <row r="24914" ht="9.9499999999999993" hidden="1" customHeight="1" x14ac:dyDescent="0.2"/>
    <row r="24915" ht="9.9499999999999993" hidden="1" customHeight="1" x14ac:dyDescent="0.2"/>
    <row r="24916" ht="9.9499999999999993" hidden="1" customHeight="1" x14ac:dyDescent="0.2"/>
    <row r="24917" ht="9.9499999999999993" hidden="1" customHeight="1" x14ac:dyDescent="0.2"/>
    <row r="24918" ht="9.9499999999999993" hidden="1" customHeight="1" x14ac:dyDescent="0.2"/>
    <row r="24919" ht="9.9499999999999993" hidden="1" customHeight="1" x14ac:dyDescent="0.2"/>
    <row r="24920" ht="9.9499999999999993" hidden="1" customHeight="1" x14ac:dyDescent="0.2"/>
    <row r="24921" ht="9.9499999999999993" hidden="1" customHeight="1" x14ac:dyDescent="0.2"/>
    <row r="24922" ht="9.9499999999999993" hidden="1" customHeight="1" x14ac:dyDescent="0.2"/>
    <row r="24923" ht="9.9499999999999993" hidden="1" customHeight="1" x14ac:dyDescent="0.2"/>
    <row r="24924" ht="9.9499999999999993" hidden="1" customHeight="1" x14ac:dyDescent="0.2"/>
    <row r="24925" ht="9.9499999999999993" hidden="1" customHeight="1" x14ac:dyDescent="0.2"/>
    <row r="24926" ht="9.9499999999999993" hidden="1" customHeight="1" x14ac:dyDescent="0.2"/>
    <row r="24927" ht="9.9499999999999993" hidden="1" customHeight="1" x14ac:dyDescent="0.2"/>
    <row r="24928" ht="9.9499999999999993" hidden="1" customHeight="1" x14ac:dyDescent="0.2"/>
    <row r="24929" ht="9.9499999999999993" hidden="1" customHeight="1" x14ac:dyDescent="0.2"/>
    <row r="24930" ht="9.9499999999999993" hidden="1" customHeight="1" x14ac:dyDescent="0.2"/>
    <row r="24931" ht="9.9499999999999993" hidden="1" customHeight="1" x14ac:dyDescent="0.2"/>
    <row r="24932" ht="9.9499999999999993" hidden="1" customHeight="1" x14ac:dyDescent="0.2"/>
    <row r="24933" ht="9.9499999999999993" hidden="1" customHeight="1" x14ac:dyDescent="0.2"/>
    <row r="24934" ht="9.9499999999999993" hidden="1" customHeight="1" x14ac:dyDescent="0.2"/>
    <row r="24935" ht="9.9499999999999993" hidden="1" customHeight="1" x14ac:dyDescent="0.2"/>
    <row r="24936" ht="9.9499999999999993" hidden="1" customHeight="1" x14ac:dyDescent="0.2"/>
    <row r="24937" ht="9.9499999999999993" hidden="1" customHeight="1" x14ac:dyDescent="0.2"/>
    <row r="24938" ht="9.9499999999999993" hidden="1" customHeight="1" x14ac:dyDescent="0.2"/>
    <row r="24939" ht="9.9499999999999993" hidden="1" customHeight="1" x14ac:dyDescent="0.2"/>
    <row r="24940" ht="9.9499999999999993" hidden="1" customHeight="1" x14ac:dyDescent="0.2"/>
    <row r="24941" ht="9.9499999999999993" hidden="1" customHeight="1" x14ac:dyDescent="0.2"/>
    <row r="24942" ht="9.9499999999999993" hidden="1" customHeight="1" x14ac:dyDescent="0.2"/>
    <row r="24943" ht="9.9499999999999993" hidden="1" customHeight="1" x14ac:dyDescent="0.2"/>
    <row r="24944" ht="9.9499999999999993" hidden="1" customHeight="1" x14ac:dyDescent="0.2"/>
    <row r="24945" ht="9.9499999999999993" hidden="1" customHeight="1" x14ac:dyDescent="0.2"/>
    <row r="24946" ht="9.9499999999999993" hidden="1" customHeight="1" x14ac:dyDescent="0.2"/>
    <row r="24947" ht="9.9499999999999993" hidden="1" customHeight="1" x14ac:dyDescent="0.2"/>
    <row r="24948" ht="9.9499999999999993" hidden="1" customHeight="1" x14ac:dyDescent="0.2"/>
    <row r="24949" ht="9.9499999999999993" hidden="1" customHeight="1" x14ac:dyDescent="0.2"/>
    <row r="24950" ht="9.9499999999999993" hidden="1" customHeight="1" x14ac:dyDescent="0.2"/>
    <row r="24951" ht="9.9499999999999993" hidden="1" customHeight="1" x14ac:dyDescent="0.2"/>
    <row r="24952" ht="9.9499999999999993" hidden="1" customHeight="1" x14ac:dyDescent="0.2"/>
    <row r="24953" ht="9.9499999999999993" hidden="1" customHeight="1" x14ac:dyDescent="0.2"/>
    <row r="24954" ht="9.9499999999999993" hidden="1" customHeight="1" x14ac:dyDescent="0.2"/>
    <row r="24955" ht="9.9499999999999993" hidden="1" customHeight="1" x14ac:dyDescent="0.2"/>
    <row r="24956" ht="9.9499999999999993" hidden="1" customHeight="1" x14ac:dyDescent="0.2"/>
    <row r="24957" ht="9.9499999999999993" hidden="1" customHeight="1" x14ac:dyDescent="0.2"/>
    <row r="24958" ht="9.9499999999999993" hidden="1" customHeight="1" x14ac:dyDescent="0.2"/>
    <row r="24959" ht="9.9499999999999993" hidden="1" customHeight="1" x14ac:dyDescent="0.2"/>
    <row r="24960" ht="9.9499999999999993" hidden="1" customHeight="1" x14ac:dyDescent="0.2"/>
    <row r="24961" ht="9.9499999999999993" hidden="1" customHeight="1" x14ac:dyDescent="0.2"/>
    <row r="24962" ht="9.9499999999999993" hidden="1" customHeight="1" x14ac:dyDescent="0.2"/>
    <row r="24963" ht="9.9499999999999993" hidden="1" customHeight="1" x14ac:dyDescent="0.2"/>
    <row r="24964" ht="9.9499999999999993" hidden="1" customHeight="1" x14ac:dyDescent="0.2"/>
    <row r="24965" ht="9.9499999999999993" hidden="1" customHeight="1" x14ac:dyDescent="0.2"/>
    <row r="24966" ht="9.9499999999999993" hidden="1" customHeight="1" x14ac:dyDescent="0.2"/>
    <row r="24967" ht="9.9499999999999993" hidden="1" customHeight="1" x14ac:dyDescent="0.2"/>
    <row r="24968" ht="9.9499999999999993" hidden="1" customHeight="1" x14ac:dyDescent="0.2"/>
    <row r="24969" ht="9.9499999999999993" hidden="1" customHeight="1" x14ac:dyDescent="0.2"/>
    <row r="24970" ht="9.9499999999999993" hidden="1" customHeight="1" x14ac:dyDescent="0.2"/>
    <row r="24971" ht="9.9499999999999993" hidden="1" customHeight="1" x14ac:dyDescent="0.2"/>
    <row r="24972" ht="9.9499999999999993" hidden="1" customHeight="1" x14ac:dyDescent="0.2"/>
    <row r="24973" ht="9.9499999999999993" hidden="1" customHeight="1" x14ac:dyDescent="0.2"/>
    <row r="24974" ht="9.9499999999999993" hidden="1" customHeight="1" x14ac:dyDescent="0.2"/>
    <row r="24975" ht="9.9499999999999993" hidden="1" customHeight="1" x14ac:dyDescent="0.2"/>
    <row r="24976" ht="9.9499999999999993" hidden="1" customHeight="1" x14ac:dyDescent="0.2"/>
    <row r="24977" ht="9.9499999999999993" hidden="1" customHeight="1" x14ac:dyDescent="0.2"/>
    <row r="24978" ht="9.9499999999999993" hidden="1" customHeight="1" x14ac:dyDescent="0.2"/>
    <row r="24979" ht="9.9499999999999993" hidden="1" customHeight="1" x14ac:dyDescent="0.2"/>
    <row r="24980" ht="9.9499999999999993" hidden="1" customHeight="1" x14ac:dyDescent="0.2"/>
    <row r="24981" ht="9.9499999999999993" hidden="1" customHeight="1" x14ac:dyDescent="0.2"/>
    <row r="24982" ht="9.9499999999999993" hidden="1" customHeight="1" x14ac:dyDescent="0.2"/>
    <row r="24983" ht="9.9499999999999993" hidden="1" customHeight="1" x14ac:dyDescent="0.2"/>
    <row r="24984" ht="9.9499999999999993" hidden="1" customHeight="1" x14ac:dyDescent="0.2"/>
    <row r="24985" ht="9.9499999999999993" hidden="1" customHeight="1" x14ac:dyDescent="0.2"/>
    <row r="24986" ht="9.9499999999999993" hidden="1" customHeight="1" x14ac:dyDescent="0.2"/>
    <row r="24987" ht="9.9499999999999993" hidden="1" customHeight="1" x14ac:dyDescent="0.2"/>
    <row r="24988" ht="9.9499999999999993" hidden="1" customHeight="1" x14ac:dyDescent="0.2"/>
    <row r="24989" ht="9.9499999999999993" hidden="1" customHeight="1" x14ac:dyDescent="0.2"/>
    <row r="24990" ht="9.9499999999999993" hidden="1" customHeight="1" x14ac:dyDescent="0.2"/>
    <row r="24991" ht="9.9499999999999993" hidden="1" customHeight="1" x14ac:dyDescent="0.2"/>
    <row r="24992" ht="9.9499999999999993" hidden="1" customHeight="1" x14ac:dyDescent="0.2"/>
    <row r="24993" ht="9.9499999999999993" hidden="1" customHeight="1" x14ac:dyDescent="0.2"/>
    <row r="24994" ht="9.9499999999999993" hidden="1" customHeight="1" x14ac:dyDescent="0.2"/>
    <row r="24995" ht="9.9499999999999993" hidden="1" customHeight="1" x14ac:dyDescent="0.2"/>
    <row r="24996" ht="9.9499999999999993" hidden="1" customHeight="1" x14ac:dyDescent="0.2"/>
    <row r="24997" ht="9.9499999999999993" hidden="1" customHeight="1" x14ac:dyDescent="0.2"/>
    <row r="24998" ht="9.9499999999999993" hidden="1" customHeight="1" x14ac:dyDescent="0.2"/>
    <row r="24999" ht="9.9499999999999993" hidden="1" customHeight="1" x14ac:dyDescent="0.2"/>
    <row r="25000" ht="9.9499999999999993" hidden="1" customHeight="1" x14ac:dyDescent="0.2"/>
    <row r="25001" ht="9.9499999999999993" hidden="1" customHeight="1" x14ac:dyDescent="0.2"/>
    <row r="25002" ht="9.9499999999999993" hidden="1" customHeight="1" x14ac:dyDescent="0.2"/>
    <row r="25003" ht="9.9499999999999993" hidden="1" customHeight="1" x14ac:dyDescent="0.2"/>
    <row r="25004" ht="9.9499999999999993" hidden="1" customHeight="1" x14ac:dyDescent="0.2"/>
    <row r="25005" ht="9.9499999999999993" hidden="1" customHeight="1" x14ac:dyDescent="0.2"/>
    <row r="25006" ht="9.9499999999999993" hidden="1" customHeight="1" x14ac:dyDescent="0.2"/>
    <row r="25007" ht="9.9499999999999993" hidden="1" customHeight="1" x14ac:dyDescent="0.2"/>
    <row r="25008" ht="9.9499999999999993" hidden="1" customHeight="1" x14ac:dyDescent="0.2"/>
    <row r="25009" ht="9.9499999999999993" hidden="1" customHeight="1" x14ac:dyDescent="0.2"/>
    <row r="25010" ht="9.9499999999999993" hidden="1" customHeight="1" x14ac:dyDescent="0.2"/>
    <row r="25011" ht="9.9499999999999993" hidden="1" customHeight="1" x14ac:dyDescent="0.2"/>
    <row r="25012" ht="9.9499999999999993" hidden="1" customHeight="1" x14ac:dyDescent="0.2"/>
    <row r="25013" ht="9.9499999999999993" hidden="1" customHeight="1" x14ac:dyDescent="0.2"/>
    <row r="25014" ht="9.9499999999999993" hidden="1" customHeight="1" x14ac:dyDescent="0.2"/>
    <row r="25015" ht="9.9499999999999993" hidden="1" customHeight="1" x14ac:dyDescent="0.2"/>
    <row r="25016" ht="9.9499999999999993" hidden="1" customHeight="1" x14ac:dyDescent="0.2"/>
    <row r="25017" ht="9.9499999999999993" hidden="1" customHeight="1" x14ac:dyDescent="0.2"/>
    <row r="25018" ht="9.9499999999999993" hidden="1" customHeight="1" x14ac:dyDescent="0.2"/>
    <row r="25019" ht="9.9499999999999993" hidden="1" customHeight="1" x14ac:dyDescent="0.2"/>
    <row r="25020" ht="9.9499999999999993" hidden="1" customHeight="1" x14ac:dyDescent="0.2"/>
    <row r="25021" ht="9.9499999999999993" hidden="1" customHeight="1" x14ac:dyDescent="0.2"/>
    <row r="25022" ht="9.9499999999999993" hidden="1" customHeight="1" x14ac:dyDescent="0.2"/>
    <row r="25023" ht="9.9499999999999993" hidden="1" customHeight="1" x14ac:dyDescent="0.2"/>
    <row r="25024" ht="9.9499999999999993" hidden="1" customHeight="1" x14ac:dyDescent="0.2"/>
    <row r="25025" ht="9.9499999999999993" hidden="1" customHeight="1" x14ac:dyDescent="0.2"/>
    <row r="25026" ht="9.9499999999999993" hidden="1" customHeight="1" x14ac:dyDescent="0.2"/>
    <row r="25027" ht="9.9499999999999993" hidden="1" customHeight="1" x14ac:dyDescent="0.2"/>
    <row r="25028" ht="9.9499999999999993" hidden="1" customHeight="1" x14ac:dyDescent="0.2"/>
    <row r="25029" ht="9.9499999999999993" hidden="1" customHeight="1" x14ac:dyDescent="0.2"/>
    <row r="25030" ht="9.9499999999999993" hidden="1" customHeight="1" x14ac:dyDescent="0.2"/>
    <row r="25031" ht="9.9499999999999993" hidden="1" customHeight="1" x14ac:dyDescent="0.2"/>
    <row r="25032" ht="9.9499999999999993" hidden="1" customHeight="1" x14ac:dyDescent="0.2"/>
    <row r="25033" ht="9.9499999999999993" hidden="1" customHeight="1" x14ac:dyDescent="0.2"/>
    <row r="25034" ht="9.9499999999999993" hidden="1" customHeight="1" x14ac:dyDescent="0.2"/>
    <row r="25035" ht="9.9499999999999993" hidden="1" customHeight="1" x14ac:dyDescent="0.2"/>
    <row r="25036" ht="9.9499999999999993" hidden="1" customHeight="1" x14ac:dyDescent="0.2"/>
    <row r="25037" ht="9.9499999999999993" hidden="1" customHeight="1" x14ac:dyDescent="0.2"/>
    <row r="25038" ht="9.9499999999999993" hidden="1" customHeight="1" x14ac:dyDescent="0.2"/>
    <row r="25039" ht="9.9499999999999993" hidden="1" customHeight="1" x14ac:dyDescent="0.2"/>
    <row r="25040" ht="9.9499999999999993" hidden="1" customHeight="1" x14ac:dyDescent="0.2"/>
    <row r="25041" ht="9.9499999999999993" hidden="1" customHeight="1" x14ac:dyDescent="0.2"/>
    <row r="25042" ht="9.9499999999999993" hidden="1" customHeight="1" x14ac:dyDescent="0.2"/>
    <row r="25043" ht="9.9499999999999993" hidden="1" customHeight="1" x14ac:dyDescent="0.2"/>
    <row r="25044" ht="9.9499999999999993" hidden="1" customHeight="1" x14ac:dyDescent="0.2"/>
    <row r="25045" ht="9.9499999999999993" hidden="1" customHeight="1" x14ac:dyDescent="0.2"/>
    <row r="25046" ht="9.9499999999999993" hidden="1" customHeight="1" x14ac:dyDescent="0.2"/>
    <row r="25047" ht="9.9499999999999993" hidden="1" customHeight="1" x14ac:dyDescent="0.2"/>
    <row r="25048" ht="9.9499999999999993" hidden="1" customHeight="1" x14ac:dyDescent="0.2"/>
    <row r="25049" ht="9.9499999999999993" hidden="1" customHeight="1" x14ac:dyDescent="0.2"/>
    <row r="25050" ht="9.9499999999999993" hidden="1" customHeight="1" x14ac:dyDescent="0.2"/>
    <row r="25051" ht="9.9499999999999993" hidden="1" customHeight="1" x14ac:dyDescent="0.2"/>
    <row r="25052" ht="9.9499999999999993" hidden="1" customHeight="1" x14ac:dyDescent="0.2"/>
    <row r="25053" ht="9.9499999999999993" hidden="1" customHeight="1" x14ac:dyDescent="0.2"/>
    <row r="25054" ht="9.9499999999999993" hidden="1" customHeight="1" x14ac:dyDescent="0.2"/>
    <row r="25055" ht="9.9499999999999993" hidden="1" customHeight="1" x14ac:dyDescent="0.2"/>
    <row r="25056" ht="9.9499999999999993" hidden="1" customHeight="1" x14ac:dyDescent="0.2"/>
    <row r="25057" ht="9.9499999999999993" hidden="1" customHeight="1" x14ac:dyDescent="0.2"/>
    <row r="25058" ht="9.9499999999999993" hidden="1" customHeight="1" x14ac:dyDescent="0.2"/>
    <row r="25059" ht="9.9499999999999993" hidden="1" customHeight="1" x14ac:dyDescent="0.2"/>
    <row r="25060" ht="9.9499999999999993" hidden="1" customHeight="1" x14ac:dyDescent="0.2"/>
    <row r="25061" ht="9.9499999999999993" hidden="1" customHeight="1" x14ac:dyDescent="0.2"/>
    <row r="25062" ht="9.9499999999999993" hidden="1" customHeight="1" x14ac:dyDescent="0.2"/>
    <row r="25063" ht="9.9499999999999993" hidden="1" customHeight="1" x14ac:dyDescent="0.2"/>
    <row r="25064" ht="9.9499999999999993" hidden="1" customHeight="1" x14ac:dyDescent="0.2"/>
    <row r="25065" ht="9.9499999999999993" hidden="1" customHeight="1" x14ac:dyDescent="0.2"/>
    <row r="25066" ht="9.9499999999999993" hidden="1" customHeight="1" x14ac:dyDescent="0.2"/>
    <row r="25067" ht="9.9499999999999993" hidden="1" customHeight="1" x14ac:dyDescent="0.2"/>
    <row r="25068" ht="9.9499999999999993" hidden="1" customHeight="1" x14ac:dyDescent="0.2"/>
    <row r="25069" ht="9.9499999999999993" hidden="1" customHeight="1" x14ac:dyDescent="0.2"/>
    <row r="25070" ht="9.9499999999999993" hidden="1" customHeight="1" x14ac:dyDescent="0.2"/>
    <row r="25071" ht="9.9499999999999993" hidden="1" customHeight="1" x14ac:dyDescent="0.2"/>
    <row r="25072" ht="9.9499999999999993" hidden="1" customHeight="1" x14ac:dyDescent="0.2"/>
    <row r="25073" ht="9.9499999999999993" hidden="1" customHeight="1" x14ac:dyDescent="0.2"/>
    <row r="25074" ht="9.9499999999999993" hidden="1" customHeight="1" x14ac:dyDescent="0.2"/>
    <row r="25075" ht="9.9499999999999993" hidden="1" customHeight="1" x14ac:dyDescent="0.2"/>
    <row r="25076" ht="9.9499999999999993" hidden="1" customHeight="1" x14ac:dyDescent="0.2"/>
    <row r="25077" ht="9.9499999999999993" hidden="1" customHeight="1" x14ac:dyDescent="0.2"/>
    <row r="25078" ht="9.9499999999999993" hidden="1" customHeight="1" x14ac:dyDescent="0.2"/>
    <row r="25079" ht="9.9499999999999993" hidden="1" customHeight="1" x14ac:dyDescent="0.2"/>
    <row r="25080" ht="9.9499999999999993" hidden="1" customHeight="1" x14ac:dyDescent="0.2"/>
    <row r="25081" ht="9.9499999999999993" hidden="1" customHeight="1" x14ac:dyDescent="0.2"/>
    <row r="25082" ht="9.9499999999999993" hidden="1" customHeight="1" x14ac:dyDescent="0.2"/>
    <row r="25083" ht="9.9499999999999993" hidden="1" customHeight="1" x14ac:dyDescent="0.2"/>
    <row r="25084" ht="9.9499999999999993" hidden="1" customHeight="1" x14ac:dyDescent="0.2"/>
    <row r="25085" ht="9.9499999999999993" hidden="1" customHeight="1" x14ac:dyDescent="0.2"/>
    <row r="25086" ht="9.9499999999999993" hidden="1" customHeight="1" x14ac:dyDescent="0.2"/>
    <row r="25087" ht="9.9499999999999993" hidden="1" customHeight="1" x14ac:dyDescent="0.2"/>
    <row r="25088" ht="9.9499999999999993" hidden="1" customHeight="1" x14ac:dyDescent="0.2"/>
    <row r="25089" ht="9.9499999999999993" hidden="1" customHeight="1" x14ac:dyDescent="0.2"/>
    <row r="25090" ht="9.9499999999999993" hidden="1" customHeight="1" x14ac:dyDescent="0.2"/>
    <row r="25091" ht="9.9499999999999993" hidden="1" customHeight="1" x14ac:dyDescent="0.2"/>
    <row r="25092" ht="9.9499999999999993" hidden="1" customHeight="1" x14ac:dyDescent="0.2"/>
    <row r="25093" ht="9.9499999999999993" hidden="1" customHeight="1" x14ac:dyDescent="0.2"/>
    <row r="25094" ht="9.9499999999999993" hidden="1" customHeight="1" x14ac:dyDescent="0.2"/>
    <row r="25095" ht="9.9499999999999993" hidden="1" customHeight="1" x14ac:dyDescent="0.2"/>
    <row r="25096" ht="9.9499999999999993" hidden="1" customHeight="1" x14ac:dyDescent="0.2"/>
    <row r="25097" ht="9.9499999999999993" hidden="1" customHeight="1" x14ac:dyDescent="0.2"/>
    <row r="25098" ht="9.9499999999999993" hidden="1" customHeight="1" x14ac:dyDescent="0.2"/>
    <row r="25099" ht="9.9499999999999993" hidden="1" customHeight="1" x14ac:dyDescent="0.2"/>
    <row r="25100" ht="9.9499999999999993" hidden="1" customHeight="1" x14ac:dyDescent="0.2"/>
    <row r="25101" ht="9.9499999999999993" hidden="1" customHeight="1" x14ac:dyDescent="0.2"/>
    <row r="25102" ht="9.9499999999999993" hidden="1" customHeight="1" x14ac:dyDescent="0.2"/>
    <row r="25103" ht="9.9499999999999993" hidden="1" customHeight="1" x14ac:dyDescent="0.2"/>
    <row r="25104" ht="9.9499999999999993" hidden="1" customHeight="1" x14ac:dyDescent="0.2"/>
    <row r="25105" ht="9.9499999999999993" hidden="1" customHeight="1" x14ac:dyDescent="0.2"/>
    <row r="25106" ht="9.9499999999999993" hidden="1" customHeight="1" x14ac:dyDescent="0.2"/>
    <row r="25107" ht="9.9499999999999993" hidden="1" customHeight="1" x14ac:dyDescent="0.2"/>
    <row r="25108" ht="9.9499999999999993" hidden="1" customHeight="1" x14ac:dyDescent="0.2"/>
    <row r="25109" ht="9.9499999999999993" hidden="1" customHeight="1" x14ac:dyDescent="0.2"/>
    <row r="25110" ht="9.9499999999999993" hidden="1" customHeight="1" x14ac:dyDescent="0.2"/>
    <row r="25111" ht="9.9499999999999993" hidden="1" customHeight="1" x14ac:dyDescent="0.2"/>
    <row r="25112" ht="9.9499999999999993" hidden="1" customHeight="1" x14ac:dyDescent="0.2"/>
    <row r="25113" ht="9.9499999999999993" hidden="1" customHeight="1" x14ac:dyDescent="0.2"/>
    <row r="25114" ht="9.9499999999999993" hidden="1" customHeight="1" x14ac:dyDescent="0.2"/>
    <row r="25115" ht="9.9499999999999993" hidden="1" customHeight="1" x14ac:dyDescent="0.2"/>
    <row r="25116" ht="9.9499999999999993" hidden="1" customHeight="1" x14ac:dyDescent="0.2"/>
    <row r="25117" ht="9.9499999999999993" hidden="1" customHeight="1" x14ac:dyDescent="0.2"/>
    <row r="25118" ht="9.9499999999999993" hidden="1" customHeight="1" x14ac:dyDescent="0.2"/>
    <row r="25119" ht="9.9499999999999993" hidden="1" customHeight="1" x14ac:dyDescent="0.2"/>
    <row r="25120" ht="9.9499999999999993" hidden="1" customHeight="1" x14ac:dyDescent="0.2"/>
    <row r="25121" ht="9.9499999999999993" hidden="1" customHeight="1" x14ac:dyDescent="0.2"/>
    <row r="25122" ht="9.9499999999999993" hidden="1" customHeight="1" x14ac:dyDescent="0.2"/>
    <row r="25123" ht="9.9499999999999993" hidden="1" customHeight="1" x14ac:dyDescent="0.2"/>
    <row r="25124" ht="9.9499999999999993" hidden="1" customHeight="1" x14ac:dyDescent="0.2"/>
    <row r="25125" ht="9.9499999999999993" hidden="1" customHeight="1" x14ac:dyDescent="0.2"/>
    <row r="25126" ht="9.9499999999999993" hidden="1" customHeight="1" x14ac:dyDescent="0.2"/>
    <row r="25127" ht="9.9499999999999993" hidden="1" customHeight="1" x14ac:dyDescent="0.2"/>
    <row r="25128" ht="9.9499999999999993" hidden="1" customHeight="1" x14ac:dyDescent="0.2"/>
    <row r="25129" ht="9.9499999999999993" hidden="1" customHeight="1" x14ac:dyDescent="0.2"/>
    <row r="25130" ht="9.9499999999999993" hidden="1" customHeight="1" x14ac:dyDescent="0.2"/>
    <row r="25131" ht="9.9499999999999993" hidden="1" customHeight="1" x14ac:dyDescent="0.2"/>
    <row r="25132" ht="9.9499999999999993" hidden="1" customHeight="1" x14ac:dyDescent="0.2"/>
    <row r="25133" ht="9.9499999999999993" hidden="1" customHeight="1" x14ac:dyDescent="0.2"/>
    <row r="25134" ht="9.9499999999999993" hidden="1" customHeight="1" x14ac:dyDescent="0.2"/>
    <row r="25135" ht="9.9499999999999993" hidden="1" customHeight="1" x14ac:dyDescent="0.2"/>
    <row r="25136" ht="9.9499999999999993" hidden="1" customHeight="1" x14ac:dyDescent="0.2"/>
    <row r="25137" ht="9.9499999999999993" hidden="1" customHeight="1" x14ac:dyDescent="0.2"/>
    <row r="25138" ht="9.9499999999999993" hidden="1" customHeight="1" x14ac:dyDescent="0.2"/>
    <row r="25139" ht="9.9499999999999993" hidden="1" customHeight="1" x14ac:dyDescent="0.2"/>
    <row r="25140" ht="9.9499999999999993" hidden="1" customHeight="1" x14ac:dyDescent="0.2"/>
    <row r="25141" ht="9.9499999999999993" hidden="1" customHeight="1" x14ac:dyDescent="0.2"/>
    <row r="25142" ht="9.9499999999999993" hidden="1" customHeight="1" x14ac:dyDescent="0.2"/>
    <row r="25143" ht="9.9499999999999993" hidden="1" customHeight="1" x14ac:dyDescent="0.2"/>
    <row r="25144" ht="9.9499999999999993" hidden="1" customHeight="1" x14ac:dyDescent="0.2"/>
    <row r="25145" ht="9.9499999999999993" hidden="1" customHeight="1" x14ac:dyDescent="0.2"/>
    <row r="25146" ht="9.9499999999999993" hidden="1" customHeight="1" x14ac:dyDescent="0.2"/>
    <row r="25147" ht="9.9499999999999993" hidden="1" customHeight="1" x14ac:dyDescent="0.2"/>
    <row r="25148" ht="9.9499999999999993" hidden="1" customHeight="1" x14ac:dyDescent="0.2"/>
    <row r="25149" ht="9.9499999999999993" hidden="1" customHeight="1" x14ac:dyDescent="0.2"/>
    <row r="25150" ht="9.9499999999999993" hidden="1" customHeight="1" x14ac:dyDescent="0.2"/>
    <row r="25151" ht="9.9499999999999993" hidden="1" customHeight="1" x14ac:dyDescent="0.2"/>
    <row r="25152" ht="9.9499999999999993" hidden="1" customHeight="1" x14ac:dyDescent="0.2"/>
    <row r="25153" ht="9.9499999999999993" hidden="1" customHeight="1" x14ac:dyDescent="0.2"/>
    <row r="25154" ht="9.9499999999999993" hidden="1" customHeight="1" x14ac:dyDescent="0.2"/>
    <row r="25155" ht="9.9499999999999993" hidden="1" customHeight="1" x14ac:dyDescent="0.2"/>
    <row r="25156" ht="9.9499999999999993" hidden="1" customHeight="1" x14ac:dyDescent="0.2"/>
    <row r="25157" ht="9.9499999999999993" hidden="1" customHeight="1" x14ac:dyDescent="0.2"/>
    <row r="25158" ht="9.9499999999999993" hidden="1" customHeight="1" x14ac:dyDescent="0.2"/>
    <row r="25159" ht="9.9499999999999993" hidden="1" customHeight="1" x14ac:dyDescent="0.2"/>
    <row r="25160" ht="9.9499999999999993" hidden="1" customHeight="1" x14ac:dyDescent="0.2"/>
    <row r="25161" ht="9.9499999999999993" hidden="1" customHeight="1" x14ac:dyDescent="0.2"/>
    <row r="25162" ht="9.9499999999999993" hidden="1" customHeight="1" x14ac:dyDescent="0.2"/>
    <row r="25163" ht="9.9499999999999993" hidden="1" customHeight="1" x14ac:dyDescent="0.2"/>
    <row r="25164" ht="9.9499999999999993" hidden="1" customHeight="1" x14ac:dyDescent="0.2"/>
    <row r="25165" ht="9.9499999999999993" hidden="1" customHeight="1" x14ac:dyDescent="0.2"/>
    <row r="25166" ht="9.9499999999999993" hidden="1" customHeight="1" x14ac:dyDescent="0.2"/>
    <row r="25167" ht="9.9499999999999993" hidden="1" customHeight="1" x14ac:dyDescent="0.2"/>
    <row r="25168" ht="9.9499999999999993" hidden="1" customHeight="1" x14ac:dyDescent="0.2"/>
    <row r="25169" ht="9.9499999999999993" hidden="1" customHeight="1" x14ac:dyDescent="0.2"/>
    <row r="25170" ht="9.9499999999999993" hidden="1" customHeight="1" x14ac:dyDescent="0.2"/>
    <row r="25171" ht="9.9499999999999993" hidden="1" customHeight="1" x14ac:dyDescent="0.2"/>
    <row r="25172" ht="9.9499999999999993" hidden="1" customHeight="1" x14ac:dyDescent="0.2"/>
    <row r="25173" ht="9.9499999999999993" hidden="1" customHeight="1" x14ac:dyDescent="0.2"/>
    <row r="25174" ht="9.9499999999999993" hidden="1" customHeight="1" x14ac:dyDescent="0.2"/>
    <row r="25175" ht="9.9499999999999993" hidden="1" customHeight="1" x14ac:dyDescent="0.2"/>
    <row r="25176" ht="9.9499999999999993" hidden="1" customHeight="1" x14ac:dyDescent="0.2"/>
    <row r="25177" ht="9.9499999999999993" hidden="1" customHeight="1" x14ac:dyDescent="0.2"/>
    <row r="25178" ht="9.9499999999999993" hidden="1" customHeight="1" x14ac:dyDescent="0.2"/>
    <row r="25179" ht="9.9499999999999993" hidden="1" customHeight="1" x14ac:dyDescent="0.2"/>
    <row r="25180" ht="9.9499999999999993" hidden="1" customHeight="1" x14ac:dyDescent="0.2"/>
    <row r="25181" ht="9.9499999999999993" hidden="1" customHeight="1" x14ac:dyDescent="0.2"/>
    <row r="25182" ht="9.9499999999999993" hidden="1" customHeight="1" x14ac:dyDescent="0.2"/>
    <row r="25183" ht="9.9499999999999993" hidden="1" customHeight="1" x14ac:dyDescent="0.2"/>
    <row r="25184" ht="9.9499999999999993" hidden="1" customHeight="1" x14ac:dyDescent="0.2"/>
    <row r="25185" ht="9.9499999999999993" hidden="1" customHeight="1" x14ac:dyDescent="0.2"/>
    <row r="25186" ht="9.9499999999999993" hidden="1" customHeight="1" x14ac:dyDescent="0.2"/>
    <row r="25187" ht="9.9499999999999993" hidden="1" customHeight="1" x14ac:dyDescent="0.2"/>
    <row r="25188" ht="9.9499999999999993" hidden="1" customHeight="1" x14ac:dyDescent="0.2"/>
    <row r="25189" ht="9.9499999999999993" hidden="1" customHeight="1" x14ac:dyDescent="0.2"/>
    <row r="25190" ht="9.9499999999999993" hidden="1" customHeight="1" x14ac:dyDescent="0.2"/>
    <row r="25191" ht="9.9499999999999993" hidden="1" customHeight="1" x14ac:dyDescent="0.2"/>
    <row r="25192" ht="9.9499999999999993" hidden="1" customHeight="1" x14ac:dyDescent="0.2"/>
    <row r="25193" ht="9.9499999999999993" hidden="1" customHeight="1" x14ac:dyDescent="0.2"/>
    <row r="25194" ht="9.9499999999999993" hidden="1" customHeight="1" x14ac:dyDescent="0.2"/>
    <row r="25195" ht="9.9499999999999993" hidden="1" customHeight="1" x14ac:dyDescent="0.2"/>
    <row r="25196" ht="9.9499999999999993" hidden="1" customHeight="1" x14ac:dyDescent="0.2"/>
    <row r="25197" ht="9.9499999999999993" hidden="1" customHeight="1" x14ac:dyDescent="0.2"/>
    <row r="25198" ht="9.9499999999999993" hidden="1" customHeight="1" x14ac:dyDescent="0.2"/>
    <row r="25199" ht="9.9499999999999993" hidden="1" customHeight="1" x14ac:dyDescent="0.2"/>
    <row r="25200" ht="9.9499999999999993" hidden="1" customHeight="1" x14ac:dyDescent="0.2"/>
    <row r="25201" ht="9.9499999999999993" hidden="1" customHeight="1" x14ac:dyDescent="0.2"/>
    <row r="25202" ht="9.9499999999999993" hidden="1" customHeight="1" x14ac:dyDescent="0.2"/>
    <row r="25203" ht="9.9499999999999993" hidden="1" customHeight="1" x14ac:dyDescent="0.2"/>
    <row r="25204" ht="9.9499999999999993" hidden="1" customHeight="1" x14ac:dyDescent="0.2"/>
    <row r="25205" ht="9.9499999999999993" hidden="1" customHeight="1" x14ac:dyDescent="0.2"/>
    <row r="25206" ht="9.9499999999999993" hidden="1" customHeight="1" x14ac:dyDescent="0.2"/>
    <row r="25207" ht="9.9499999999999993" hidden="1" customHeight="1" x14ac:dyDescent="0.2"/>
    <row r="25208" ht="9.9499999999999993" hidden="1" customHeight="1" x14ac:dyDescent="0.2"/>
    <row r="25209" ht="9.9499999999999993" hidden="1" customHeight="1" x14ac:dyDescent="0.2"/>
    <row r="25210" ht="9.9499999999999993" hidden="1" customHeight="1" x14ac:dyDescent="0.2"/>
    <row r="25211" ht="9.9499999999999993" hidden="1" customHeight="1" x14ac:dyDescent="0.2"/>
    <row r="25212" ht="9.9499999999999993" hidden="1" customHeight="1" x14ac:dyDescent="0.2"/>
    <row r="25213" ht="9.9499999999999993" hidden="1" customHeight="1" x14ac:dyDescent="0.2"/>
    <row r="25214" ht="9.9499999999999993" hidden="1" customHeight="1" x14ac:dyDescent="0.2"/>
    <row r="25215" ht="9.9499999999999993" hidden="1" customHeight="1" x14ac:dyDescent="0.2"/>
    <row r="25216" ht="9.9499999999999993" hidden="1" customHeight="1" x14ac:dyDescent="0.2"/>
    <row r="25217" ht="9.9499999999999993" hidden="1" customHeight="1" x14ac:dyDescent="0.2"/>
    <row r="25218" ht="9.9499999999999993" hidden="1" customHeight="1" x14ac:dyDescent="0.2"/>
    <row r="25219" ht="9.9499999999999993" hidden="1" customHeight="1" x14ac:dyDescent="0.2"/>
    <row r="25220" ht="9.9499999999999993" hidden="1" customHeight="1" x14ac:dyDescent="0.2"/>
    <row r="25221" ht="9.9499999999999993" hidden="1" customHeight="1" x14ac:dyDescent="0.2"/>
    <row r="25222" ht="9.9499999999999993" hidden="1" customHeight="1" x14ac:dyDescent="0.2"/>
    <row r="25223" ht="9.9499999999999993" hidden="1" customHeight="1" x14ac:dyDescent="0.2"/>
    <row r="25224" ht="9.9499999999999993" hidden="1" customHeight="1" x14ac:dyDescent="0.2"/>
    <row r="25225" ht="9.9499999999999993" hidden="1" customHeight="1" x14ac:dyDescent="0.2"/>
    <row r="25226" ht="9.9499999999999993" hidden="1" customHeight="1" x14ac:dyDescent="0.2"/>
    <row r="25227" ht="9.9499999999999993" hidden="1" customHeight="1" x14ac:dyDescent="0.2"/>
    <row r="25228" ht="9.9499999999999993" hidden="1" customHeight="1" x14ac:dyDescent="0.2"/>
    <row r="25229" ht="9.9499999999999993" hidden="1" customHeight="1" x14ac:dyDescent="0.2"/>
    <row r="25230" ht="9.9499999999999993" hidden="1" customHeight="1" x14ac:dyDescent="0.2"/>
    <row r="25231" ht="9.9499999999999993" hidden="1" customHeight="1" x14ac:dyDescent="0.2"/>
    <row r="25232" ht="9.9499999999999993" hidden="1" customHeight="1" x14ac:dyDescent="0.2"/>
    <row r="25233" ht="9.9499999999999993" hidden="1" customHeight="1" x14ac:dyDescent="0.2"/>
    <row r="25234" ht="9.9499999999999993" hidden="1" customHeight="1" x14ac:dyDescent="0.2"/>
    <row r="25235" ht="9.9499999999999993" hidden="1" customHeight="1" x14ac:dyDescent="0.2"/>
    <row r="25236" ht="9.9499999999999993" hidden="1" customHeight="1" x14ac:dyDescent="0.2"/>
    <row r="25237" ht="9.9499999999999993" hidden="1" customHeight="1" x14ac:dyDescent="0.2"/>
    <row r="25238" ht="9.9499999999999993" hidden="1" customHeight="1" x14ac:dyDescent="0.2"/>
    <row r="25239" ht="9.9499999999999993" hidden="1" customHeight="1" x14ac:dyDescent="0.2"/>
    <row r="25240" ht="9.9499999999999993" hidden="1" customHeight="1" x14ac:dyDescent="0.2"/>
    <row r="25241" ht="9.9499999999999993" hidden="1" customHeight="1" x14ac:dyDescent="0.2"/>
    <row r="25242" ht="9.9499999999999993" hidden="1" customHeight="1" x14ac:dyDescent="0.2"/>
    <row r="25243" ht="9.9499999999999993" hidden="1" customHeight="1" x14ac:dyDescent="0.2"/>
    <row r="25244" ht="9.9499999999999993" hidden="1" customHeight="1" x14ac:dyDescent="0.2"/>
    <row r="25245" ht="9.9499999999999993" hidden="1" customHeight="1" x14ac:dyDescent="0.2"/>
    <row r="25246" ht="9.9499999999999993" hidden="1" customHeight="1" x14ac:dyDescent="0.2"/>
    <row r="25247" ht="9.9499999999999993" hidden="1" customHeight="1" x14ac:dyDescent="0.2"/>
    <row r="25248" ht="9.9499999999999993" hidden="1" customHeight="1" x14ac:dyDescent="0.2"/>
    <row r="25249" ht="9.9499999999999993" hidden="1" customHeight="1" x14ac:dyDescent="0.2"/>
    <row r="25250" ht="9.9499999999999993" hidden="1" customHeight="1" x14ac:dyDescent="0.2"/>
    <row r="25251" ht="9.9499999999999993" hidden="1" customHeight="1" x14ac:dyDescent="0.2"/>
    <row r="25252" ht="9.9499999999999993" hidden="1" customHeight="1" x14ac:dyDescent="0.2"/>
    <row r="25253" ht="9.9499999999999993" hidden="1" customHeight="1" x14ac:dyDescent="0.2"/>
    <row r="25254" ht="9.9499999999999993" hidden="1" customHeight="1" x14ac:dyDescent="0.2"/>
    <row r="25255" ht="9.9499999999999993" hidden="1" customHeight="1" x14ac:dyDescent="0.2"/>
    <row r="25256" ht="9.9499999999999993" hidden="1" customHeight="1" x14ac:dyDescent="0.2"/>
    <row r="25257" ht="9.9499999999999993" hidden="1" customHeight="1" x14ac:dyDescent="0.2"/>
    <row r="25258" ht="9.9499999999999993" hidden="1" customHeight="1" x14ac:dyDescent="0.2"/>
    <row r="25259" ht="9.9499999999999993" hidden="1" customHeight="1" x14ac:dyDescent="0.2"/>
    <row r="25260" ht="9.9499999999999993" hidden="1" customHeight="1" x14ac:dyDescent="0.2"/>
    <row r="25261" ht="9.9499999999999993" hidden="1" customHeight="1" x14ac:dyDescent="0.2"/>
    <row r="25262" ht="9.9499999999999993" hidden="1" customHeight="1" x14ac:dyDescent="0.2"/>
    <row r="25263" ht="9.9499999999999993" hidden="1" customHeight="1" x14ac:dyDescent="0.2"/>
    <row r="25264" ht="9.9499999999999993" hidden="1" customHeight="1" x14ac:dyDescent="0.2"/>
    <row r="25265" ht="9.9499999999999993" hidden="1" customHeight="1" x14ac:dyDescent="0.2"/>
    <row r="25266" ht="9.9499999999999993" hidden="1" customHeight="1" x14ac:dyDescent="0.2"/>
    <row r="25267" ht="9.9499999999999993" hidden="1" customHeight="1" x14ac:dyDescent="0.2"/>
    <row r="25268" ht="9.9499999999999993" hidden="1" customHeight="1" x14ac:dyDescent="0.2"/>
    <row r="25269" ht="9.9499999999999993" hidden="1" customHeight="1" x14ac:dyDescent="0.2"/>
    <row r="25270" ht="9.9499999999999993" hidden="1" customHeight="1" x14ac:dyDescent="0.2"/>
    <row r="25271" ht="9.9499999999999993" hidden="1" customHeight="1" x14ac:dyDescent="0.2"/>
    <row r="25272" ht="9.9499999999999993" hidden="1" customHeight="1" x14ac:dyDescent="0.2"/>
    <row r="25273" ht="9.9499999999999993" hidden="1" customHeight="1" x14ac:dyDescent="0.2"/>
    <row r="25274" ht="9.9499999999999993" hidden="1" customHeight="1" x14ac:dyDescent="0.2"/>
    <row r="25275" ht="9.9499999999999993" hidden="1" customHeight="1" x14ac:dyDescent="0.2"/>
    <row r="25276" ht="9.9499999999999993" hidden="1" customHeight="1" x14ac:dyDescent="0.2"/>
    <row r="25277" ht="9.9499999999999993" hidden="1" customHeight="1" x14ac:dyDescent="0.2"/>
    <row r="25278" ht="9.9499999999999993" hidden="1" customHeight="1" x14ac:dyDescent="0.2"/>
    <row r="25279" ht="9.9499999999999993" hidden="1" customHeight="1" x14ac:dyDescent="0.2"/>
    <row r="25280" ht="9.9499999999999993" hidden="1" customHeight="1" x14ac:dyDescent="0.2"/>
    <row r="25281" ht="9.9499999999999993" hidden="1" customHeight="1" x14ac:dyDescent="0.2"/>
    <row r="25282" ht="9.9499999999999993" hidden="1" customHeight="1" x14ac:dyDescent="0.2"/>
    <row r="25283" ht="9.9499999999999993" hidden="1" customHeight="1" x14ac:dyDescent="0.2"/>
    <row r="25284" ht="9.9499999999999993" hidden="1" customHeight="1" x14ac:dyDescent="0.2"/>
    <row r="25285" ht="9.9499999999999993" hidden="1" customHeight="1" x14ac:dyDescent="0.2"/>
    <row r="25286" ht="9.9499999999999993" hidden="1" customHeight="1" x14ac:dyDescent="0.2"/>
    <row r="25287" ht="9.9499999999999993" hidden="1" customHeight="1" x14ac:dyDescent="0.2"/>
    <row r="25288" ht="9.9499999999999993" hidden="1" customHeight="1" x14ac:dyDescent="0.2"/>
    <row r="25289" ht="9.9499999999999993" hidden="1" customHeight="1" x14ac:dyDescent="0.2"/>
    <row r="25290" ht="9.9499999999999993" hidden="1" customHeight="1" x14ac:dyDescent="0.2"/>
    <row r="25291" ht="9.9499999999999993" hidden="1" customHeight="1" x14ac:dyDescent="0.2"/>
    <row r="25292" ht="9.9499999999999993" hidden="1" customHeight="1" x14ac:dyDescent="0.2"/>
    <row r="25293" ht="9.9499999999999993" hidden="1" customHeight="1" x14ac:dyDescent="0.2"/>
    <row r="25294" ht="9.9499999999999993" hidden="1" customHeight="1" x14ac:dyDescent="0.2"/>
    <row r="25295" ht="9.9499999999999993" hidden="1" customHeight="1" x14ac:dyDescent="0.2"/>
    <row r="25296" ht="9.9499999999999993" hidden="1" customHeight="1" x14ac:dyDescent="0.2"/>
    <row r="25297" ht="9.9499999999999993" hidden="1" customHeight="1" x14ac:dyDescent="0.2"/>
    <row r="25298" ht="9.9499999999999993" hidden="1" customHeight="1" x14ac:dyDescent="0.2"/>
    <row r="25299" ht="9.9499999999999993" hidden="1" customHeight="1" x14ac:dyDescent="0.2"/>
    <row r="25300" ht="9.9499999999999993" hidden="1" customHeight="1" x14ac:dyDescent="0.2"/>
    <row r="25301" ht="9.9499999999999993" hidden="1" customHeight="1" x14ac:dyDescent="0.2"/>
    <row r="25302" ht="9.9499999999999993" hidden="1" customHeight="1" x14ac:dyDescent="0.2"/>
    <row r="25303" ht="9.9499999999999993" hidden="1" customHeight="1" x14ac:dyDescent="0.2"/>
    <row r="25304" ht="9.9499999999999993" hidden="1" customHeight="1" x14ac:dyDescent="0.2"/>
    <row r="25305" ht="9.9499999999999993" hidden="1" customHeight="1" x14ac:dyDescent="0.2"/>
    <row r="25306" ht="9.9499999999999993" hidden="1" customHeight="1" x14ac:dyDescent="0.2"/>
    <row r="25307" ht="9.9499999999999993" hidden="1" customHeight="1" x14ac:dyDescent="0.2"/>
    <row r="25308" ht="9.9499999999999993" hidden="1" customHeight="1" x14ac:dyDescent="0.2"/>
    <row r="25309" ht="9.9499999999999993" hidden="1" customHeight="1" x14ac:dyDescent="0.2"/>
    <row r="25310" ht="9.9499999999999993" hidden="1" customHeight="1" x14ac:dyDescent="0.2"/>
    <row r="25311" ht="9.9499999999999993" hidden="1" customHeight="1" x14ac:dyDescent="0.2"/>
    <row r="25312" ht="9.9499999999999993" hidden="1" customHeight="1" x14ac:dyDescent="0.2"/>
    <row r="25313" ht="9.9499999999999993" hidden="1" customHeight="1" x14ac:dyDescent="0.2"/>
    <row r="25314" ht="9.9499999999999993" hidden="1" customHeight="1" x14ac:dyDescent="0.2"/>
    <row r="25315" ht="9.9499999999999993" hidden="1" customHeight="1" x14ac:dyDescent="0.2"/>
    <row r="25316" ht="9.9499999999999993" hidden="1" customHeight="1" x14ac:dyDescent="0.2"/>
    <row r="25317" ht="9.9499999999999993" hidden="1" customHeight="1" x14ac:dyDescent="0.2"/>
    <row r="25318" ht="9.9499999999999993" hidden="1" customHeight="1" x14ac:dyDescent="0.2"/>
    <row r="25319" ht="9.9499999999999993" hidden="1" customHeight="1" x14ac:dyDescent="0.2"/>
    <row r="25320" ht="9.9499999999999993" hidden="1" customHeight="1" x14ac:dyDescent="0.2"/>
    <row r="25321" ht="9.9499999999999993" hidden="1" customHeight="1" x14ac:dyDescent="0.2"/>
    <row r="25322" ht="9.9499999999999993" hidden="1" customHeight="1" x14ac:dyDescent="0.2"/>
    <row r="25323" ht="9.9499999999999993" hidden="1" customHeight="1" x14ac:dyDescent="0.2"/>
    <row r="25324" ht="9.9499999999999993" hidden="1" customHeight="1" x14ac:dyDescent="0.2"/>
    <row r="25325" ht="9.9499999999999993" hidden="1" customHeight="1" x14ac:dyDescent="0.2"/>
    <row r="25326" ht="9.9499999999999993" hidden="1" customHeight="1" x14ac:dyDescent="0.2"/>
    <row r="25327" ht="9.9499999999999993" hidden="1" customHeight="1" x14ac:dyDescent="0.2"/>
    <row r="25328" ht="9.9499999999999993" hidden="1" customHeight="1" x14ac:dyDescent="0.2"/>
    <row r="25329" ht="9.9499999999999993" hidden="1" customHeight="1" x14ac:dyDescent="0.2"/>
    <row r="25330" ht="9.9499999999999993" hidden="1" customHeight="1" x14ac:dyDescent="0.2"/>
    <row r="25331" ht="9.9499999999999993" hidden="1" customHeight="1" x14ac:dyDescent="0.2"/>
    <row r="25332" ht="9.9499999999999993" hidden="1" customHeight="1" x14ac:dyDescent="0.2"/>
    <row r="25333" ht="9.9499999999999993" hidden="1" customHeight="1" x14ac:dyDescent="0.2"/>
    <row r="25334" ht="9.9499999999999993" hidden="1" customHeight="1" x14ac:dyDescent="0.2"/>
    <row r="25335" ht="9.9499999999999993" hidden="1" customHeight="1" x14ac:dyDescent="0.2"/>
    <row r="25336" ht="9.9499999999999993" hidden="1" customHeight="1" x14ac:dyDescent="0.2"/>
    <row r="25337" ht="9.9499999999999993" hidden="1" customHeight="1" x14ac:dyDescent="0.2"/>
    <row r="25338" ht="9.9499999999999993" hidden="1" customHeight="1" x14ac:dyDescent="0.2"/>
    <row r="25339" ht="9.9499999999999993" hidden="1" customHeight="1" x14ac:dyDescent="0.2"/>
    <row r="25340" ht="9.9499999999999993" hidden="1" customHeight="1" x14ac:dyDescent="0.2"/>
    <row r="25341" ht="9.9499999999999993" hidden="1" customHeight="1" x14ac:dyDescent="0.2"/>
    <row r="25342" ht="9.9499999999999993" hidden="1" customHeight="1" x14ac:dyDescent="0.2"/>
    <row r="25343" ht="9.9499999999999993" hidden="1" customHeight="1" x14ac:dyDescent="0.2"/>
    <row r="25344" ht="9.9499999999999993" hidden="1" customHeight="1" x14ac:dyDescent="0.2"/>
    <row r="25345" ht="9.9499999999999993" hidden="1" customHeight="1" x14ac:dyDescent="0.2"/>
    <row r="25346" ht="9.9499999999999993" hidden="1" customHeight="1" x14ac:dyDescent="0.2"/>
    <row r="25347" ht="9.9499999999999993" hidden="1" customHeight="1" x14ac:dyDescent="0.2"/>
    <row r="25348" ht="9.9499999999999993" hidden="1" customHeight="1" x14ac:dyDescent="0.2"/>
    <row r="25349" ht="9.9499999999999993" hidden="1" customHeight="1" x14ac:dyDescent="0.2"/>
    <row r="25350" ht="9.9499999999999993" hidden="1" customHeight="1" x14ac:dyDescent="0.2"/>
    <row r="25351" ht="9.9499999999999993" hidden="1" customHeight="1" x14ac:dyDescent="0.2"/>
    <row r="25352" ht="9.9499999999999993" hidden="1" customHeight="1" x14ac:dyDescent="0.2"/>
    <row r="25353" ht="9.9499999999999993" hidden="1" customHeight="1" x14ac:dyDescent="0.2"/>
    <row r="25354" ht="9.9499999999999993" hidden="1" customHeight="1" x14ac:dyDescent="0.2"/>
    <row r="25355" ht="9.9499999999999993" hidden="1" customHeight="1" x14ac:dyDescent="0.2"/>
    <row r="25356" ht="9.9499999999999993" hidden="1" customHeight="1" x14ac:dyDescent="0.2"/>
    <row r="25357" ht="9.9499999999999993" hidden="1" customHeight="1" x14ac:dyDescent="0.2"/>
    <row r="25358" ht="9.9499999999999993" hidden="1" customHeight="1" x14ac:dyDescent="0.2"/>
    <row r="25359" ht="9.9499999999999993" hidden="1" customHeight="1" x14ac:dyDescent="0.2"/>
    <row r="25360" ht="9.9499999999999993" hidden="1" customHeight="1" x14ac:dyDescent="0.2"/>
    <row r="25361" ht="9.9499999999999993" hidden="1" customHeight="1" x14ac:dyDescent="0.2"/>
    <row r="25362" ht="9.9499999999999993" hidden="1" customHeight="1" x14ac:dyDescent="0.2"/>
    <row r="25363" ht="9.9499999999999993" hidden="1" customHeight="1" x14ac:dyDescent="0.2"/>
    <row r="25364" ht="9.9499999999999993" hidden="1" customHeight="1" x14ac:dyDescent="0.2"/>
    <row r="25365" ht="9.9499999999999993" hidden="1" customHeight="1" x14ac:dyDescent="0.2"/>
    <row r="25366" ht="9.9499999999999993" hidden="1" customHeight="1" x14ac:dyDescent="0.2"/>
    <row r="25367" ht="9.9499999999999993" hidden="1" customHeight="1" x14ac:dyDescent="0.2"/>
    <row r="25368" ht="9.9499999999999993" hidden="1" customHeight="1" x14ac:dyDescent="0.2"/>
    <row r="25369" ht="9.9499999999999993" hidden="1" customHeight="1" x14ac:dyDescent="0.2"/>
    <row r="25370" ht="9.9499999999999993" hidden="1" customHeight="1" x14ac:dyDescent="0.2"/>
    <row r="25371" ht="9.9499999999999993" hidden="1" customHeight="1" x14ac:dyDescent="0.2"/>
    <row r="25372" ht="9.9499999999999993" hidden="1" customHeight="1" x14ac:dyDescent="0.2"/>
    <row r="25373" ht="9.9499999999999993" hidden="1" customHeight="1" x14ac:dyDescent="0.2"/>
    <row r="25374" ht="9.9499999999999993" hidden="1" customHeight="1" x14ac:dyDescent="0.2"/>
    <row r="25375" ht="9.9499999999999993" hidden="1" customHeight="1" x14ac:dyDescent="0.2"/>
    <row r="25376" ht="9.9499999999999993" hidden="1" customHeight="1" x14ac:dyDescent="0.2"/>
    <row r="25377" ht="9.9499999999999993" hidden="1" customHeight="1" x14ac:dyDescent="0.2"/>
    <row r="25378" ht="9.9499999999999993" hidden="1" customHeight="1" x14ac:dyDescent="0.2"/>
    <row r="25379" ht="9.9499999999999993" hidden="1" customHeight="1" x14ac:dyDescent="0.2"/>
    <row r="25380" ht="9.9499999999999993" hidden="1" customHeight="1" x14ac:dyDescent="0.2"/>
    <row r="25381" ht="9.9499999999999993" hidden="1" customHeight="1" x14ac:dyDescent="0.2"/>
    <row r="25382" ht="9.9499999999999993" hidden="1" customHeight="1" x14ac:dyDescent="0.2"/>
    <row r="25383" ht="9.9499999999999993" hidden="1" customHeight="1" x14ac:dyDescent="0.2"/>
    <row r="25384" ht="9.9499999999999993" hidden="1" customHeight="1" x14ac:dyDescent="0.2"/>
    <row r="25385" ht="9.9499999999999993" hidden="1" customHeight="1" x14ac:dyDescent="0.2"/>
    <row r="25386" ht="9.9499999999999993" hidden="1" customHeight="1" x14ac:dyDescent="0.2"/>
    <row r="25387" ht="9.9499999999999993" hidden="1" customHeight="1" x14ac:dyDescent="0.2"/>
    <row r="25388" ht="9.9499999999999993" hidden="1" customHeight="1" x14ac:dyDescent="0.2"/>
    <row r="25389" ht="9.9499999999999993" hidden="1" customHeight="1" x14ac:dyDescent="0.2"/>
    <row r="25390" ht="9.9499999999999993" hidden="1" customHeight="1" x14ac:dyDescent="0.2"/>
    <row r="25391" ht="9.9499999999999993" hidden="1" customHeight="1" x14ac:dyDescent="0.2"/>
    <row r="25392" ht="9.9499999999999993" hidden="1" customHeight="1" x14ac:dyDescent="0.2"/>
    <row r="25393" ht="9.9499999999999993" hidden="1" customHeight="1" x14ac:dyDescent="0.2"/>
    <row r="25394" ht="9.9499999999999993" hidden="1" customHeight="1" x14ac:dyDescent="0.2"/>
    <row r="25395" ht="9.9499999999999993" hidden="1" customHeight="1" x14ac:dyDescent="0.2"/>
    <row r="25396" ht="9.9499999999999993" hidden="1" customHeight="1" x14ac:dyDescent="0.2"/>
    <row r="25397" ht="9.9499999999999993" hidden="1" customHeight="1" x14ac:dyDescent="0.2"/>
    <row r="25398" ht="9.9499999999999993" hidden="1" customHeight="1" x14ac:dyDescent="0.2"/>
    <row r="25399" ht="9.9499999999999993" hidden="1" customHeight="1" x14ac:dyDescent="0.2"/>
    <row r="25400" ht="9.9499999999999993" hidden="1" customHeight="1" x14ac:dyDescent="0.2"/>
    <row r="25401" ht="9.9499999999999993" hidden="1" customHeight="1" x14ac:dyDescent="0.2"/>
    <row r="25402" ht="9.9499999999999993" hidden="1" customHeight="1" x14ac:dyDescent="0.2"/>
    <row r="25403" ht="9.9499999999999993" hidden="1" customHeight="1" x14ac:dyDescent="0.2"/>
    <row r="25404" ht="9.9499999999999993" hidden="1" customHeight="1" x14ac:dyDescent="0.2"/>
    <row r="25405" ht="9.9499999999999993" hidden="1" customHeight="1" x14ac:dyDescent="0.2"/>
    <row r="25406" ht="9.9499999999999993" hidden="1" customHeight="1" x14ac:dyDescent="0.2"/>
    <row r="25407" ht="9.9499999999999993" hidden="1" customHeight="1" x14ac:dyDescent="0.2"/>
    <row r="25408" ht="9.9499999999999993" hidden="1" customHeight="1" x14ac:dyDescent="0.2"/>
    <row r="25409" ht="9.9499999999999993" hidden="1" customHeight="1" x14ac:dyDescent="0.2"/>
    <row r="25410" ht="9.9499999999999993" hidden="1" customHeight="1" x14ac:dyDescent="0.2"/>
    <row r="25411" ht="9.9499999999999993" hidden="1" customHeight="1" x14ac:dyDescent="0.2"/>
    <row r="25412" ht="9.9499999999999993" hidden="1" customHeight="1" x14ac:dyDescent="0.2"/>
    <row r="25413" ht="9.9499999999999993" hidden="1" customHeight="1" x14ac:dyDescent="0.2"/>
    <row r="25414" ht="9.9499999999999993" hidden="1" customHeight="1" x14ac:dyDescent="0.2"/>
    <row r="25415" ht="9.9499999999999993" hidden="1" customHeight="1" x14ac:dyDescent="0.2"/>
    <row r="25416" ht="9.9499999999999993" hidden="1" customHeight="1" x14ac:dyDescent="0.2"/>
    <row r="25417" ht="9.9499999999999993" hidden="1" customHeight="1" x14ac:dyDescent="0.2"/>
    <row r="25418" ht="9.9499999999999993" hidden="1" customHeight="1" x14ac:dyDescent="0.2"/>
    <row r="25419" ht="9.9499999999999993" hidden="1" customHeight="1" x14ac:dyDescent="0.2"/>
    <row r="25420" ht="9.9499999999999993" hidden="1" customHeight="1" x14ac:dyDescent="0.2"/>
    <row r="25421" ht="9.9499999999999993" hidden="1" customHeight="1" x14ac:dyDescent="0.2"/>
    <row r="25422" ht="9.9499999999999993" hidden="1" customHeight="1" x14ac:dyDescent="0.2"/>
    <row r="25423" ht="9.9499999999999993" hidden="1" customHeight="1" x14ac:dyDescent="0.2"/>
    <row r="25424" ht="9.9499999999999993" hidden="1" customHeight="1" x14ac:dyDescent="0.2"/>
    <row r="25425" ht="9.9499999999999993" hidden="1" customHeight="1" x14ac:dyDescent="0.2"/>
    <row r="25426" ht="9.9499999999999993" hidden="1" customHeight="1" x14ac:dyDescent="0.2"/>
    <row r="25427" ht="9.9499999999999993" hidden="1" customHeight="1" x14ac:dyDescent="0.2"/>
    <row r="25428" ht="9.9499999999999993" hidden="1" customHeight="1" x14ac:dyDescent="0.2"/>
    <row r="25429" ht="9.9499999999999993" hidden="1" customHeight="1" x14ac:dyDescent="0.2"/>
    <row r="25430" ht="9.9499999999999993" hidden="1" customHeight="1" x14ac:dyDescent="0.2"/>
    <row r="25431" ht="9.9499999999999993" hidden="1" customHeight="1" x14ac:dyDescent="0.2"/>
    <row r="25432" ht="9.9499999999999993" hidden="1" customHeight="1" x14ac:dyDescent="0.2"/>
    <row r="25433" ht="9.9499999999999993" hidden="1" customHeight="1" x14ac:dyDescent="0.2"/>
    <row r="25434" ht="9.9499999999999993" hidden="1" customHeight="1" x14ac:dyDescent="0.2"/>
    <row r="25435" ht="9.9499999999999993" hidden="1" customHeight="1" x14ac:dyDescent="0.2"/>
    <row r="25436" ht="9.9499999999999993" hidden="1" customHeight="1" x14ac:dyDescent="0.2"/>
    <row r="25437" ht="9.9499999999999993" hidden="1" customHeight="1" x14ac:dyDescent="0.2"/>
    <row r="25438" ht="9.9499999999999993" hidden="1" customHeight="1" x14ac:dyDescent="0.2"/>
    <row r="25439" ht="9.9499999999999993" hidden="1" customHeight="1" x14ac:dyDescent="0.2"/>
    <row r="25440" ht="9.9499999999999993" hidden="1" customHeight="1" x14ac:dyDescent="0.2"/>
    <row r="25441" ht="9.9499999999999993" hidden="1" customHeight="1" x14ac:dyDescent="0.2"/>
    <row r="25442" ht="9.9499999999999993" hidden="1" customHeight="1" x14ac:dyDescent="0.2"/>
    <row r="25443" ht="9.9499999999999993" hidden="1" customHeight="1" x14ac:dyDescent="0.2"/>
    <row r="25444" ht="9.9499999999999993" hidden="1" customHeight="1" x14ac:dyDescent="0.2"/>
    <row r="25445" ht="9.9499999999999993" hidden="1" customHeight="1" x14ac:dyDescent="0.2"/>
    <row r="25446" ht="9.9499999999999993" hidden="1" customHeight="1" x14ac:dyDescent="0.2"/>
    <row r="25447" ht="9.9499999999999993" hidden="1" customHeight="1" x14ac:dyDescent="0.2"/>
    <row r="25448" ht="9.9499999999999993" hidden="1" customHeight="1" x14ac:dyDescent="0.2"/>
    <row r="25449" ht="9.9499999999999993" hidden="1" customHeight="1" x14ac:dyDescent="0.2"/>
    <row r="25450" ht="9.9499999999999993" hidden="1" customHeight="1" x14ac:dyDescent="0.2"/>
    <row r="25451" ht="9.9499999999999993" hidden="1" customHeight="1" x14ac:dyDescent="0.2"/>
    <row r="25452" ht="9.9499999999999993" hidden="1" customHeight="1" x14ac:dyDescent="0.2"/>
    <row r="25453" ht="9.9499999999999993" hidden="1" customHeight="1" x14ac:dyDescent="0.2"/>
    <row r="25454" ht="9.9499999999999993" hidden="1" customHeight="1" x14ac:dyDescent="0.2"/>
    <row r="25455" ht="9.9499999999999993" hidden="1" customHeight="1" x14ac:dyDescent="0.2"/>
    <row r="25456" ht="9.9499999999999993" hidden="1" customHeight="1" x14ac:dyDescent="0.2"/>
    <row r="25457" ht="9.9499999999999993" hidden="1" customHeight="1" x14ac:dyDescent="0.2"/>
    <row r="25458" ht="9.9499999999999993" hidden="1" customHeight="1" x14ac:dyDescent="0.2"/>
    <row r="25459" ht="9.9499999999999993" hidden="1" customHeight="1" x14ac:dyDescent="0.2"/>
    <row r="25460" ht="9.9499999999999993" hidden="1" customHeight="1" x14ac:dyDescent="0.2"/>
    <row r="25461" ht="9.9499999999999993" hidden="1" customHeight="1" x14ac:dyDescent="0.2"/>
    <row r="25462" ht="9.9499999999999993" hidden="1" customHeight="1" x14ac:dyDescent="0.2"/>
    <row r="25463" ht="9.9499999999999993" hidden="1" customHeight="1" x14ac:dyDescent="0.2"/>
    <row r="25464" ht="9.9499999999999993" hidden="1" customHeight="1" x14ac:dyDescent="0.2"/>
    <row r="25465" ht="9.9499999999999993" hidden="1" customHeight="1" x14ac:dyDescent="0.2"/>
    <row r="25466" ht="9.9499999999999993" hidden="1" customHeight="1" x14ac:dyDescent="0.2"/>
    <row r="25467" ht="9.9499999999999993" hidden="1" customHeight="1" x14ac:dyDescent="0.2"/>
    <row r="25468" ht="9.9499999999999993" hidden="1" customHeight="1" x14ac:dyDescent="0.2"/>
    <row r="25469" ht="9.9499999999999993" hidden="1" customHeight="1" x14ac:dyDescent="0.2"/>
    <row r="25470" ht="9.9499999999999993" hidden="1" customHeight="1" x14ac:dyDescent="0.2"/>
    <row r="25471" ht="9.9499999999999993" hidden="1" customHeight="1" x14ac:dyDescent="0.2"/>
    <row r="25472" ht="9.9499999999999993" hidden="1" customHeight="1" x14ac:dyDescent="0.2"/>
    <row r="25473" ht="9.9499999999999993" hidden="1" customHeight="1" x14ac:dyDescent="0.2"/>
    <row r="25474" ht="9.9499999999999993" hidden="1" customHeight="1" x14ac:dyDescent="0.2"/>
    <row r="25475" ht="9.9499999999999993" hidden="1" customHeight="1" x14ac:dyDescent="0.2"/>
    <row r="25476" ht="9.9499999999999993" hidden="1" customHeight="1" x14ac:dyDescent="0.2"/>
    <row r="25477" ht="9.9499999999999993" hidden="1" customHeight="1" x14ac:dyDescent="0.2"/>
    <row r="25478" ht="9.9499999999999993" hidden="1" customHeight="1" x14ac:dyDescent="0.2"/>
    <row r="25479" ht="9.9499999999999993" hidden="1" customHeight="1" x14ac:dyDescent="0.2"/>
    <row r="25480" ht="9.9499999999999993" hidden="1" customHeight="1" x14ac:dyDescent="0.2"/>
    <row r="25481" ht="9.9499999999999993" hidden="1" customHeight="1" x14ac:dyDescent="0.2"/>
    <row r="25482" ht="9.9499999999999993" hidden="1" customHeight="1" x14ac:dyDescent="0.2"/>
    <row r="25483" ht="9.9499999999999993" hidden="1" customHeight="1" x14ac:dyDescent="0.2"/>
    <row r="25484" ht="9.9499999999999993" hidden="1" customHeight="1" x14ac:dyDescent="0.2"/>
    <row r="25485" ht="9.9499999999999993" hidden="1" customHeight="1" x14ac:dyDescent="0.2"/>
    <row r="25486" ht="9.9499999999999993" hidden="1" customHeight="1" x14ac:dyDescent="0.2"/>
    <row r="25487" ht="9.9499999999999993" hidden="1" customHeight="1" x14ac:dyDescent="0.2"/>
    <row r="25488" ht="9.9499999999999993" hidden="1" customHeight="1" x14ac:dyDescent="0.2"/>
    <row r="25489" ht="9.9499999999999993" hidden="1" customHeight="1" x14ac:dyDescent="0.2"/>
    <row r="25490" ht="9.9499999999999993" hidden="1" customHeight="1" x14ac:dyDescent="0.2"/>
    <row r="25491" ht="9.9499999999999993" hidden="1" customHeight="1" x14ac:dyDescent="0.2"/>
    <row r="25492" ht="9.9499999999999993" hidden="1" customHeight="1" x14ac:dyDescent="0.2"/>
    <row r="25493" ht="9.9499999999999993" hidden="1" customHeight="1" x14ac:dyDescent="0.2"/>
    <row r="25494" ht="9.9499999999999993" hidden="1" customHeight="1" x14ac:dyDescent="0.2"/>
    <row r="25495" ht="9.9499999999999993" hidden="1" customHeight="1" x14ac:dyDescent="0.2"/>
    <row r="25496" ht="9.9499999999999993" hidden="1" customHeight="1" x14ac:dyDescent="0.2"/>
    <row r="25497" ht="9.9499999999999993" hidden="1" customHeight="1" x14ac:dyDescent="0.2"/>
    <row r="25498" ht="9.9499999999999993" hidden="1" customHeight="1" x14ac:dyDescent="0.2"/>
    <row r="25499" ht="9.9499999999999993" hidden="1" customHeight="1" x14ac:dyDescent="0.2"/>
    <row r="25500" ht="9.9499999999999993" hidden="1" customHeight="1" x14ac:dyDescent="0.2"/>
    <row r="25501" ht="9.9499999999999993" hidden="1" customHeight="1" x14ac:dyDescent="0.2"/>
    <row r="25502" ht="9.9499999999999993" hidden="1" customHeight="1" x14ac:dyDescent="0.2"/>
    <row r="25503" ht="9.9499999999999993" hidden="1" customHeight="1" x14ac:dyDescent="0.2"/>
    <row r="25504" ht="9.9499999999999993" hidden="1" customHeight="1" x14ac:dyDescent="0.2"/>
    <row r="25505" ht="9.9499999999999993" hidden="1" customHeight="1" x14ac:dyDescent="0.2"/>
    <row r="25506" ht="9.9499999999999993" hidden="1" customHeight="1" x14ac:dyDescent="0.2"/>
    <row r="25507" ht="9.9499999999999993" hidden="1" customHeight="1" x14ac:dyDescent="0.2"/>
    <row r="25508" ht="9.9499999999999993" hidden="1" customHeight="1" x14ac:dyDescent="0.2"/>
    <row r="25509" ht="9.9499999999999993" hidden="1" customHeight="1" x14ac:dyDescent="0.2"/>
    <row r="25510" ht="9.9499999999999993" hidden="1" customHeight="1" x14ac:dyDescent="0.2"/>
    <row r="25511" ht="9.9499999999999993" hidden="1" customHeight="1" x14ac:dyDescent="0.2"/>
    <row r="25512" ht="9.9499999999999993" hidden="1" customHeight="1" x14ac:dyDescent="0.2"/>
    <row r="25513" ht="9.9499999999999993" hidden="1" customHeight="1" x14ac:dyDescent="0.2"/>
    <row r="25514" ht="9.9499999999999993" hidden="1" customHeight="1" x14ac:dyDescent="0.2"/>
    <row r="25515" ht="9.9499999999999993" hidden="1" customHeight="1" x14ac:dyDescent="0.2"/>
    <row r="25516" ht="9.9499999999999993" hidden="1" customHeight="1" x14ac:dyDescent="0.2"/>
    <row r="25517" ht="9.9499999999999993" hidden="1" customHeight="1" x14ac:dyDescent="0.2"/>
    <row r="25518" ht="9.9499999999999993" hidden="1" customHeight="1" x14ac:dyDescent="0.2"/>
    <row r="25519" ht="9.9499999999999993" hidden="1" customHeight="1" x14ac:dyDescent="0.2"/>
    <row r="25520" ht="9.9499999999999993" hidden="1" customHeight="1" x14ac:dyDescent="0.2"/>
    <row r="25521" ht="9.9499999999999993" hidden="1" customHeight="1" x14ac:dyDescent="0.2"/>
    <row r="25522" ht="9.9499999999999993" hidden="1" customHeight="1" x14ac:dyDescent="0.2"/>
    <row r="25523" ht="9.9499999999999993" hidden="1" customHeight="1" x14ac:dyDescent="0.2"/>
    <row r="25524" ht="9.9499999999999993" hidden="1" customHeight="1" x14ac:dyDescent="0.2"/>
    <row r="25525" ht="9.9499999999999993" hidden="1" customHeight="1" x14ac:dyDescent="0.2"/>
    <row r="25526" ht="9.9499999999999993" hidden="1" customHeight="1" x14ac:dyDescent="0.2"/>
    <row r="25527" ht="9.9499999999999993" hidden="1" customHeight="1" x14ac:dyDescent="0.2"/>
    <row r="25528" ht="9.9499999999999993" hidden="1" customHeight="1" x14ac:dyDescent="0.2"/>
    <row r="25529" ht="9.9499999999999993" hidden="1" customHeight="1" x14ac:dyDescent="0.2"/>
    <row r="25530" ht="9.9499999999999993" hidden="1" customHeight="1" x14ac:dyDescent="0.2"/>
    <row r="25531" ht="9.9499999999999993" hidden="1" customHeight="1" x14ac:dyDescent="0.2"/>
    <row r="25532" ht="9.9499999999999993" hidden="1" customHeight="1" x14ac:dyDescent="0.2"/>
    <row r="25533" ht="9.9499999999999993" hidden="1" customHeight="1" x14ac:dyDescent="0.2"/>
    <row r="25534" ht="9.9499999999999993" hidden="1" customHeight="1" x14ac:dyDescent="0.2"/>
    <row r="25535" ht="9.9499999999999993" hidden="1" customHeight="1" x14ac:dyDescent="0.2"/>
    <row r="25536" ht="9.9499999999999993" hidden="1" customHeight="1" x14ac:dyDescent="0.2"/>
    <row r="25537" ht="9.9499999999999993" hidden="1" customHeight="1" x14ac:dyDescent="0.2"/>
    <row r="25538" ht="9.9499999999999993" hidden="1" customHeight="1" x14ac:dyDescent="0.2"/>
    <row r="25539" ht="9.9499999999999993" hidden="1" customHeight="1" x14ac:dyDescent="0.2"/>
    <row r="25540" ht="9.9499999999999993" hidden="1" customHeight="1" x14ac:dyDescent="0.2"/>
    <row r="25541" ht="9.9499999999999993" hidden="1" customHeight="1" x14ac:dyDescent="0.2"/>
    <row r="25542" ht="9.9499999999999993" hidden="1" customHeight="1" x14ac:dyDescent="0.2"/>
    <row r="25543" ht="9.9499999999999993" hidden="1" customHeight="1" x14ac:dyDescent="0.2"/>
    <row r="25544" ht="9.9499999999999993" hidden="1" customHeight="1" x14ac:dyDescent="0.2"/>
    <row r="25545" ht="9.9499999999999993" hidden="1" customHeight="1" x14ac:dyDescent="0.2"/>
    <row r="25546" ht="9.9499999999999993" hidden="1" customHeight="1" x14ac:dyDescent="0.2"/>
    <row r="25547" ht="9.9499999999999993" hidden="1" customHeight="1" x14ac:dyDescent="0.2"/>
    <row r="25548" ht="9.9499999999999993" hidden="1" customHeight="1" x14ac:dyDescent="0.2"/>
    <row r="25549" ht="9.9499999999999993" hidden="1" customHeight="1" x14ac:dyDescent="0.2"/>
    <row r="25550" ht="9.9499999999999993" hidden="1" customHeight="1" x14ac:dyDescent="0.2"/>
    <row r="25551" ht="9.9499999999999993" hidden="1" customHeight="1" x14ac:dyDescent="0.2"/>
    <row r="25552" ht="9.9499999999999993" hidden="1" customHeight="1" x14ac:dyDescent="0.2"/>
    <row r="25553" ht="9.9499999999999993" hidden="1" customHeight="1" x14ac:dyDescent="0.2"/>
    <row r="25554" ht="9.9499999999999993" hidden="1" customHeight="1" x14ac:dyDescent="0.2"/>
    <row r="25555" ht="9.9499999999999993" hidden="1" customHeight="1" x14ac:dyDescent="0.2"/>
    <row r="25556" ht="9.9499999999999993" hidden="1" customHeight="1" x14ac:dyDescent="0.2"/>
    <row r="25557" ht="9.9499999999999993" hidden="1" customHeight="1" x14ac:dyDescent="0.2"/>
    <row r="25558" ht="9.9499999999999993" hidden="1" customHeight="1" x14ac:dyDescent="0.2"/>
    <row r="25559" ht="9.9499999999999993" hidden="1" customHeight="1" x14ac:dyDescent="0.2"/>
    <row r="25560" ht="9.9499999999999993" hidden="1" customHeight="1" x14ac:dyDescent="0.2"/>
    <row r="25561" ht="9.9499999999999993" hidden="1" customHeight="1" x14ac:dyDescent="0.2"/>
    <row r="25562" ht="9.9499999999999993" hidden="1" customHeight="1" x14ac:dyDescent="0.2"/>
    <row r="25563" ht="9.9499999999999993" hidden="1" customHeight="1" x14ac:dyDescent="0.2"/>
    <row r="25564" ht="9.9499999999999993" hidden="1" customHeight="1" x14ac:dyDescent="0.2"/>
    <row r="25565" ht="9.9499999999999993" hidden="1" customHeight="1" x14ac:dyDescent="0.2"/>
    <row r="25566" ht="9.9499999999999993" hidden="1" customHeight="1" x14ac:dyDescent="0.2"/>
    <row r="25567" ht="9.9499999999999993" hidden="1" customHeight="1" x14ac:dyDescent="0.2"/>
    <row r="25568" ht="9.9499999999999993" hidden="1" customHeight="1" x14ac:dyDescent="0.2"/>
    <row r="25569" ht="9.9499999999999993" hidden="1" customHeight="1" x14ac:dyDescent="0.2"/>
    <row r="25570" ht="9.9499999999999993" hidden="1" customHeight="1" x14ac:dyDescent="0.2"/>
    <row r="25571" ht="9.9499999999999993" hidden="1" customHeight="1" x14ac:dyDescent="0.2"/>
    <row r="25572" ht="9.9499999999999993" hidden="1" customHeight="1" x14ac:dyDescent="0.2"/>
    <row r="25573" ht="9.9499999999999993" hidden="1" customHeight="1" x14ac:dyDescent="0.2"/>
    <row r="25574" ht="9.9499999999999993" hidden="1" customHeight="1" x14ac:dyDescent="0.2"/>
    <row r="25575" ht="9.9499999999999993" hidden="1" customHeight="1" x14ac:dyDescent="0.2"/>
    <row r="25576" ht="9.9499999999999993" hidden="1" customHeight="1" x14ac:dyDescent="0.2"/>
    <row r="25577" ht="9.9499999999999993" hidden="1" customHeight="1" x14ac:dyDescent="0.2"/>
    <row r="25578" ht="9.9499999999999993" hidden="1" customHeight="1" x14ac:dyDescent="0.2"/>
    <row r="25579" ht="9.9499999999999993" hidden="1" customHeight="1" x14ac:dyDescent="0.2"/>
    <row r="25580" ht="9.9499999999999993" hidden="1" customHeight="1" x14ac:dyDescent="0.2"/>
    <row r="25581" ht="9.9499999999999993" hidden="1" customHeight="1" x14ac:dyDescent="0.2"/>
    <row r="25582" ht="9.9499999999999993" hidden="1" customHeight="1" x14ac:dyDescent="0.2"/>
    <row r="25583" ht="9.9499999999999993" hidden="1" customHeight="1" x14ac:dyDescent="0.2"/>
    <row r="25584" ht="9.9499999999999993" hidden="1" customHeight="1" x14ac:dyDescent="0.2"/>
    <row r="25585" ht="9.9499999999999993" hidden="1" customHeight="1" x14ac:dyDescent="0.2"/>
    <row r="25586" ht="9.9499999999999993" hidden="1" customHeight="1" x14ac:dyDescent="0.2"/>
    <row r="25587" ht="9.9499999999999993" hidden="1" customHeight="1" x14ac:dyDescent="0.2"/>
    <row r="25588" ht="9.9499999999999993" hidden="1" customHeight="1" x14ac:dyDescent="0.2"/>
    <row r="25589" ht="9.9499999999999993" hidden="1" customHeight="1" x14ac:dyDescent="0.2"/>
    <row r="25590" ht="9.9499999999999993" hidden="1" customHeight="1" x14ac:dyDescent="0.2"/>
    <row r="25591" ht="9.9499999999999993" hidden="1" customHeight="1" x14ac:dyDescent="0.2"/>
    <row r="25592" ht="9.9499999999999993" hidden="1" customHeight="1" x14ac:dyDescent="0.2"/>
    <row r="25593" ht="9.9499999999999993" hidden="1" customHeight="1" x14ac:dyDescent="0.2"/>
    <row r="25594" ht="9.9499999999999993" hidden="1" customHeight="1" x14ac:dyDescent="0.2"/>
    <row r="25595" ht="9.9499999999999993" hidden="1" customHeight="1" x14ac:dyDescent="0.2"/>
    <row r="25596" ht="9.9499999999999993" hidden="1" customHeight="1" x14ac:dyDescent="0.2"/>
    <row r="25597" ht="9.9499999999999993" hidden="1" customHeight="1" x14ac:dyDescent="0.2"/>
    <row r="25598" ht="9.9499999999999993" hidden="1" customHeight="1" x14ac:dyDescent="0.2"/>
    <row r="25599" ht="9.9499999999999993" hidden="1" customHeight="1" x14ac:dyDescent="0.2"/>
    <row r="25600" ht="9.9499999999999993" hidden="1" customHeight="1" x14ac:dyDescent="0.2"/>
    <row r="25601" ht="9.9499999999999993" hidden="1" customHeight="1" x14ac:dyDescent="0.2"/>
    <row r="25602" ht="9.9499999999999993" hidden="1" customHeight="1" x14ac:dyDescent="0.2"/>
    <row r="25603" ht="9.9499999999999993" hidden="1" customHeight="1" x14ac:dyDescent="0.2"/>
    <row r="25604" ht="9.9499999999999993" hidden="1" customHeight="1" x14ac:dyDescent="0.2"/>
    <row r="25605" ht="9.9499999999999993" hidden="1" customHeight="1" x14ac:dyDescent="0.2"/>
    <row r="25606" ht="9.9499999999999993" hidden="1" customHeight="1" x14ac:dyDescent="0.2"/>
    <row r="25607" ht="9.9499999999999993" hidden="1" customHeight="1" x14ac:dyDescent="0.2"/>
    <row r="25608" ht="9.9499999999999993" hidden="1" customHeight="1" x14ac:dyDescent="0.2"/>
    <row r="25609" ht="9.9499999999999993" hidden="1" customHeight="1" x14ac:dyDescent="0.2"/>
    <row r="25610" ht="9.9499999999999993" hidden="1" customHeight="1" x14ac:dyDescent="0.2"/>
    <row r="25611" ht="9.9499999999999993" hidden="1" customHeight="1" x14ac:dyDescent="0.2"/>
    <row r="25612" ht="9.9499999999999993" hidden="1" customHeight="1" x14ac:dyDescent="0.2"/>
    <row r="25613" ht="9.9499999999999993" hidden="1" customHeight="1" x14ac:dyDescent="0.2"/>
    <row r="25614" ht="9.9499999999999993" hidden="1" customHeight="1" x14ac:dyDescent="0.2"/>
    <row r="25615" ht="9.9499999999999993" hidden="1" customHeight="1" x14ac:dyDescent="0.2"/>
    <row r="25616" ht="9.9499999999999993" hidden="1" customHeight="1" x14ac:dyDescent="0.2"/>
    <row r="25617" ht="9.9499999999999993" hidden="1" customHeight="1" x14ac:dyDescent="0.2"/>
    <row r="25618" ht="9.9499999999999993" hidden="1" customHeight="1" x14ac:dyDescent="0.2"/>
    <row r="25619" ht="9.9499999999999993" hidden="1" customHeight="1" x14ac:dyDescent="0.2"/>
    <row r="25620" ht="9.9499999999999993" hidden="1" customHeight="1" x14ac:dyDescent="0.2"/>
    <row r="25621" ht="9.9499999999999993" hidden="1" customHeight="1" x14ac:dyDescent="0.2"/>
    <row r="25622" ht="9.9499999999999993" hidden="1" customHeight="1" x14ac:dyDescent="0.2"/>
    <row r="25623" ht="9.9499999999999993" hidden="1" customHeight="1" x14ac:dyDescent="0.2"/>
    <row r="25624" ht="9.9499999999999993" hidden="1" customHeight="1" x14ac:dyDescent="0.2"/>
    <row r="25625" ht="9.9499999999999993" hidden="1" customHeight="1" x14ac:dyDescent="0.2"/>
    <row r="25626" ht="9.9499999999999993" hidden="1" customHeight="1" x14ac:dyDescent="0.2"/>
    <row r="25627" ht="9.9499999999999993" hidden="1" customHeight="1" x14ac:dyDescent="0.2"/>
    <row r="25628" ht="9.9499999999999993" hidden="1" customHeight="1" x14ac:dyDescent="0.2"/>
    <row r="25629" ht="9.9499999999999993" hidden="1" customHeight="1" x14ac:dyDescent="0.2"/>
    <row r="25630" ht="9.9499999999999993" hidden="1" customHeight="1" x14ac:dyDescent="0.2"/>
    <row r="25631" ht="9.9499999999999993" hidden="1" customHeight="1" x14ac:dyDescent="0.2"/>
    <row r="25632" ht="9.9499999999999993" hidden="1" customHeight="1" x14ac:dyDescent="0.2"/>
    <row r="25633" ht="9.9499999999999993" hidden="1" customHeight="1" x14ac:dyDescent="0.2"/>
    <row r="25634" ht="9.9499999999999993" hidden="1" customHeight="1" x14ac:dyDescent="0.2"/>
    <row r="25635" ht="9.9499999999999993" hidden="1" customHeight="1" x14ac:dyDescent="0.2"/>
    <row r="25636" ht="9.9499999999999993" hidden="1" customHeight="1" x14ac:dyDescent="0.2"/>
    <row r="25637" ht="9.9499999999999993" hidden="1" customHeight="1" x14ac:dyDescent="0.2"/>
    <row r="25638" ht="9.9499999999999993" hidden="1" customHeight="1" x14ac:dyDescent="0.2"/>
    <row r="25639" ht="9.9499999999999993" hidden="1" customHeight="1" x14ac:dyDescent="0.2"/>
    <row r="25640" ht="9.9499999999999993" hidden="1" customHeight="1" x14ac:dyDescent="0.2"/>
    <row r="25641" ht="9.9499999999999993" hidden="1" customHeight="1" x14ac:dyDescent="0.2"/>
    <row r="25642" ht="9.9499999999999993" hidden="1" customHeight="1" x14ac:dyDescent="0.2"/>
    <row r="25643" ht="9.9499999999999993" hidden="1" customHeight="1" x14ac:dyDescent="0.2"/>
    <row r="25644" ht="9.9499999999999993" hidden="1" customHeight="1" x14ac:dyDescent="0.2"/>
    <row r="25645" ht="9.9499999999999993" hidden="1" customHeight="1" x14ac:dyDescent="0.2"/>
    <row r="25646" ht="9.9499999999999993" hidden="1" customHeight="1" x14ac:dyDescent="0.2"/>
    <row r="25647" ht="9.9499999999999993" hidden="1" customHeight="1" x14ac:dyDescent="0.2"/>
    <row r="25648" ht="9.9499999999999993" hidden="1" customHeight="1" x14ac:dyDescent="0.2"/>
    <row r="25649" ht="9.9499999999999993" hidden="1" customHeight="1" x14ac:dyDescent="0.2"/>
    <row r="25650" ht="9.9499999999999993" hidden="1" customHeight="1" x14ac:dyDescent="0.2"/>
    <row r="25651" ht="9.9499999999999993" hidden="1" customHeight="1" x14ac:dyDescent="0.2"/>
    <row r="25652" ht="9.9499999999999993" hidden="1" customHeight="1" x14ac:dyDescent="0.2"/>
    <row r="25653" ht="9.9499999999999993" hidden="1" customHeight="1" x14ac:dyDescent="0.2"/>
    <row r="25654" ht="9.9499999999999993" hidden="1" customHeight="1" x14ac:dyDescent="0.2"/>
    <row r="25655" ht="9.9499999999999993" hidden="1" customHeight="1" x14ac:dyDescent="0.2"/>
    <row r="25656" ht="9.9499999999999993" hidden="1" customHeight="1" x14ac:dyDescent="0.2"/>
    <row r="25657" ht="9.9499999999999993" hidden="1" customHeight="1" x14ac:dyDescent="0.2"/>
    <row r="25658" ht="9.9499999999999993" hidden="1" customHeight="1" x14ac:dyDescent="0.2"/>
    <row r="25659" ht="9.9499999999999993" hidden="1" customHeight="1" x14ac:dyDescent="0.2"/>
    <row r="25660" ht="9.9499999999999993" hidden="1" customHeight="1" x14ac:dyDescent="0.2"/>
    <row r="25661" ht="9.9499999999999993" hidden="1" customHeight="1" x14ac:dyDescent="0.2"/>
    <row r="25662" ht="9.9499999999999993" hidden="1" customHeight="1" x14ac:dyDescent="0.2"/>
    <row r="25663" ht="9.9499999999999993" hidden="1" customHeight="1" x14ac:dyDescent="0.2"/>
    <row r="25664" ht="9.9499999999999993" hidden="1" customHeight="1" x14ac:dyDescent="0.2"/>
    <row r="25665" ht="9.9499999999999993" hidden="1" customHeight="1" x14ac:dyDescent="0.2"/>
    <row r="25666" ht="9.9499999999999993" hidden="1" customHeight="1" x14ac:dyDescent="0.2"/>
    <row r="25667" ht="9.9499999999999993" hidden="1" customHeight="1" x14ac:dyDescent="0.2"/>
    <row r="25668" ht="9.9499999999999993" hidden="1" customHeight="1" x14ac:dyDescent="0.2"/>
    <row r="25669" ht="9.9499999999999993" hidden="1" customHeight="1" x14ac:dyDescent="0.2"/>
    <row r="25670" ht="9.9499999999999993" hidden="1" customHeight="1" x14ac:dyDescent="0.2"/>
    <row r="25671" ht="9.9499999999999993" hidden="1" customHeight="1" x14ac:dyDescent="0.2"/>
    <row r="25672" ht="9.9499999999999993" hidden="1" customHeight="1" x14ac:dyDescent="0.2"/>
    <row r="25673" ht="9.9499999999999993" hidden="1" customHeight="1" x14ac:dyDescent="0.2"/>
    <row r="25674" ht="9.9499999999999993" hidden="1" customHeight="1" x14ac:dyDescent="0.2"/>
    <row r="25675" ht="9.9499999999999993" hidden="1" customHeight="1" x14ac:dyDescent="0.2"/>
    <row r="25676" ht="9.9499999999999993" hidden="1" customHeight="1" x14ac:dyDescent="0.2"/>
    <row r="25677" ht="9.9499999999999993" hidden="1" customHeight="1" x14ac:dyDescent="0.2"/>
    <row r="25678" ht="9.9499999999999993" hidden="1" customHeight="1" x14ac:dyDescent="0.2"/>
    <row r="25679" ht="9.9499999999999993" hidden="1" customHeight="1" x14ac:dyDescent="0.2"/>
    <row r="25680" ht="9.9499999999999993" hidden="1" customHeight="1" x14ac:dyDescent="0.2"/>
    <row r="25681" ht="9.9499999999999993" hidden="1" customHeight="1" x14ac:dyDescent="0.2"/>
    <row r="25682" ht="9.9499999999999993" hidden="1" customHeight="1" x14ac:dyDescent="0.2"/>
    <row r="25683" ht="9.9499999999999993" hidden="1" customHeight="1" x14ac:dyDescent="0.2"/>
    <row r="25684" ht="9.9499999999999993" hidden="1" customHeight="1" x14ac:dyDescent="0.2"/>
    <row r="25685" ht="9.9499999999999993" hidden="1" customHeight="1" x14ac:dyDescent="0.2"/>
    <row r="25686" ht="9.9499999999999993" hidden="1" customHeight="1" x14ac:dyDescent="0.2"/>
    <row r="25687" ht="9.9499999999999993" hidden="1" customHeight="1" x14ac:dyDescent="0.2"/>
    <row r="25688" ht="9.9499999999999993" hidden="1" customHeight="1" x14ac:dyDescent="0.2"/>
    <row r="25689" ht="9.9499999999999993" hidden="1" customHeight="1" x14ac:dyDescent="0.2"/>
    <row r="25690" ht="9.9499999999999993" hidden="1" customHeight="1" x14ac:dyDescent="0.2"/>
    <row r="25691" ht="9.9499999999999993" hidden="1" customHeight="1" x14ac:dyDescent="0.2"/>
    <row r="25692" ht="9.9499999999999993" hidden="1" customHeight="1" x14ac:dyDescent="0.2"/>
    <row r="25693" ht="9.9499999999999993" hidden="1" customHeight="1" x14ac:dyDescent="0.2"/>
    <row r="25694" ht="9.9499999999999993" hidden="1" customHeight="1" x14ac:dyDescent="0.2"/>
    <row r="25695" ht="9.9499999999999993" hidden="1" customHeight="1" x14ac:dyDescent="0.2"/>
    <row r="25696" ht="9.9499999999999993" hidden="1" customHeight="1" x14ac:dyDescent="0.2"/>
    <row r="25697" ht="9.9499999999999993" hidden="1" customHeight="1" x14ac:dyDescent="0.2"/>
    <row r="25698" ht="9.9499999999999993" hidden="1" customHeight="1" x14ac:dyDescent="0.2"/>
    <row r="25699" ht="9.9499999999999993" hidden="1" customHeight="1" x14ac:dyDescent="0.2"/>
    <row r="25700" ht="9.9499999999999993" hidden="1" customHeight="1" x14ac:dyDescent="0.2"/>
    <row r="25701" ht="9.9499999999999993" hidden="1" customHeight="1" x14ac:dyDescent="0.2"/>
    <row r="25702" ht="9.9499999999999993" hidden="1" customHeight="1" x14ac:dyDescent="0.2"/>
    <row r="25703" ht="9.9499999999999993" hidden="1" customHeight="1" x14ac:dyDescent="0.2"/>
    <row r="25704" ht="9.9499999999999993" hidden="1" customHeight="1" x14ac:dyDescent="0.2"/>
    <row r="25705" ht="9.9499999999999993" hidden="1" customHeight="1" x14ac:dyDescent="0.2"/>
    <row r="25706" ht="9.9499999999999993" hidden="1" customHeight="1" x14ac:dyDescent="0.2"/>
    <row r="25707" ht="9.9499999999999993" hidden="1" customHeight="1" x14ac:dyDescent="0.2"/>
    <row r="25708" ht="9.9499999999999993" hidden="1" customHeight="1" x14ac:dyDescent="0.2"/>
    <row r="25709" ht="9.9499999999999993" hidden="1" customHeight="1" x14ac:dyDescent="0.2"/>
    <row r="25710" ht="9.9499999999999993" hidden="1" customHeight="1" x14ac:dyDescent="0.2"/>
    <row r="25711" ht="9.9499999999999993" hidden="1" customHeight="1" x14ac:dyDescent="0.2"/>
    <row r="25712" ht="9.9499999999999993" hidden="1" customHeight="1" x14ac:dyDescent="0.2"/>
    <row r="25713" ht="9.9499999999999993" hidden="1" customHeight="1" x14ac:dyDescent="0.2"/>
    <row r="25714" ht="9.9499999999999993" hidden="1" customHeight="1" x14ac:dyDescent="0.2"/>
    <row r="25715" ht="9.9499999999999993" hidden="1" customHeight="1" x14ac:dyDescent="0.2"/>
    <row r="25716" ht="9.9499999999999993" hidden="1" customHeight="1" x14ac:dyDescent="0.2"/>
    <row r="25717" ht="9.9499999999999993" hidden="1" customHeight="1" x14ac:dyDescent="0.2"/>
    <row r="25718" ht="9.9499999999999993" hidden="1" customHeight="1" x14ac:dyDescent="0.2"/>
    <row r="25719" ht="9.9499999999999993" hidden="1" customHeight="1" x14ac:dyDescent="0.2"/>
    <row r="25720" ht="9.9499999999999993" hidden="1" customHeight="1" x14ac:dyDescent="0.2"/>
    <row r="25721" ht="9.9499999999999993" hidden="1" customHeight="1" x14ac:dyDescent="0.2"/>
    <row r="25722" ht="9.9499999999999993" hidden="1" customHeight="1" x14ac:dyDescent="0.2"/>
    <row r="25723" ht="9.9499999999999993" hidden="1" customHeight="1" x14ac:dyDescent="0.2"/>
    <row r="25724" ht="9.9499999999999993" hidden="1" customHeight="1" x14ac:dyDescent="0.2"/>
    <row r="25725" ht="9.9499999999999993" hidden="1" customHeight="1" x14ac:dyDescent="0.2"/>
    <row r="25726" ht="9.9499999999999993" hidden="1" customHeight="1" x14ac:dyDescent="0.2"/>
    <row r="25727" ht="9.9499999999999993" hidden="1" customHeight="1" x14ac:dyDescent="0.2"/>
    <row r="25728" ht="9.9499999999999993" hidden="1" customHeight="1" x14ac:dyDescent="0.2"/>
    <row r="25729" ht="9.9499999999999993" hidden="1" customHeight="1" x14ac:dyDescent="0.2"/>
    <row r="25730" ht="9.9499999999999993" hidden="1" customHeight="1" x14ac:dyDescent="0.2"/>
    <row r="25731" ht="9.9499999999999993" hidden="1" customHeight="1" x14ac:dyDescent="0.2"/>
    <row r="25732" ht="9.9499999999999993" hidden="1" customHeight="1" x14ac:dyDescent="0.2"/>
    <row r="25733" ht="9.9499999999999993" hidden="1" customHeight="1" x14ac:dyDescent="0.2"/>
    <row r="25734" ht="9.9499999999999993" hidden="1" customHeight="1" x14ac:dyDescent="0.2"/>
    <row r="25735" ht="9.9499999999999993" hidden="1" customHeight="1" x14ac:dyDescent="0.2"/>
    <row r="25736" ht="9.9499999999999993" hidden="1" customHeight="1" x14ac:dyDescent="0.2"/>
    <row r="25737" ht="9.9499999999999993" hidden="1" customHeight="1" x14ac:dyDescent="0.2"/>
    <row r="25738" ht="9.9499999999999993" hidden="1" customHeight="1" x14ac:dyDescent="0.2"/>
    <row r="25739" ht="9.9499999999999993" hidden="1" customHeight="1" x14ac:dyDescent="0.2"/>
    <row r="25740" ht="9.9499999999999993" hidden="1" customHeight="1" x14ac:dyDescent="0.2"/>
    <row r="25741" ht="9.9499999999999993" hidden="1" customHeight="1" x14ac:dyDescent="0.2"/>
    <row r="25742" ht="9.9499999999999993" hidden="1" customHeight="1" x14ac:dyDescent="0.2"/>
    <row r="25743" ht="9.9499999999999993" hidden="1" customHeight="1" x14ac:dyDescent="0.2"/>
    <row r="25744" ht="9.9499999999999993" hidden="1" customHeight="1" x14ac:dyDescent="0.2"/>
    <row r="25745" ht="9.9499999999999993" hidden="1" customHeight="1" x14ac:dyDescent="0.2"/>
    <row r="25746" ht="9.9499999999999993" hidden="1" customHeight="1" x14ac:dyDescent="0.2"/>
    <row r="25747" ht="9.9499999999999993" hidden="1" customHeight="1" x14ac:dyDescent="0.2"/>
    <row r="25748" ht="9.9499999999999993" hidden="1" customHeight="1" x14ac:dyDescent="0.2"/>
    <row r="25749" ht="9.9499999999999993" hidden="1" customHeight="1" x14ac:dyDescent="0.2"/>
    <row r="25750" ht="9.9499999999999993" hidden="1" customHeight="1" x14ac:dyDescent="0.2"/>
    <row r="25751" ht="9.9499999999999993" hidden="1" customHeight="1" x14ac:dyDescent="0.2"/>
    <row r="25752" ht="9.9499999999999993" hidden="1" customHeight="1" x14ac:dyDescent="0.2"/>
    <row r="25753" ht="9.9499999999999993" hidden="1" customHeight="1" x14ac:dyDescent="0.2"/>
    <row r="25754" ht="9.9499999999999993" hidden="1" customHeight="1" x14ac:dyDescent="0.2"/>
    <row r="25755" ht="9.9499999999999993" hidden="1" customHeight="1" x14ac:dyDescent="0.2"/>
    <row r="25756" ht="9.9499999999999993" hidden="1" customHeight="1" x14ac:dyDescent="0.2"/>
    <row r="25757" ht="9.9499999999999993" hidden="1" customHeight="1" x14ac:dyDescent="0.2"/>
    <row r="25758" ht="9.9499999999999993" hidden="1" customHeight="1" x14ac:dyDescent="0.2"/>
    <row r="25759" ht="9.9499999999999993" hidden="1" customHeight="1" x14ac:dyDescent="0.2"/>
    <row r="25760" ht="9.9499999999999993" hidden="1" customHeight="1" x14ac:dyDescent="0.2"/>
    <row r="25761" ht="9.9499999999999993" hidden="1" customHeight="1" x14ac:dyDescent="0.2"/>
    <row r="25762" ht="9.9499999999999993" hidden="1" customHeight="1" x14ac:dyDescent="0.2"/>
    <row r="25763" ht="9.9499999999999993" hidden="1" customHeight="1" x14ac:dyDescent="0.2"/>
    <row r="25764" ht="9.9499999999999993" hidden="1" customHeight="1" x14ac:dyDescent="0.2"/>
    <row r="25765" ht="9.9499999999999993" hidden="1" customHeight="1" x14ac:dyDescent="0.2"/>
    <row r="25766" ht="9.9499999999999993" hidden="1" customHeight="1" x14ac:dyDescent="0.2"/>
    <row r="25767" ht="9.9499999999999993" hidden="1" customHeight="1" x14ac:dyDescent="0.2"/>
    <row r="25768" ht="9.9499999999999993" hidden="1" customHeight="1" x14ac:dyDescent="0.2"/>
    <row r="25769" ht="9.9499999999999993" hidden="1" customHeight="1" x14ac:dyDescent="0.2"/>
    <row r="25770" ht="9.9499999999999993" hidden="1" customHeight="1" x14ac:dyDescent="0.2"/>
    <row r="25771" ht="9.9499999999999993" hidden="1" customHeight="1" x14ac:dyDescent="0.2"/>
    <row r="25772" ht="9.9499999999999993" hidden="1" customHeight="1" x14ac:dyDescent="0.2"/>
    <row r="25773" ht="9.9499999999999993" hidden="1" customHeight="1" x14ac:dyDescent="0.2"/>
    <row r="25774" ht="9.9499999999999993" hidden="1" customHeight="1" x14ac:dyDescent="0.2"/>
    <row r="25775" ht="9.9499999999999993" hidden="1" customHeight="1" x14ac:dyDescent="0.2"/>
    <row r="25776" ht="9.9499999999999993" hidden="1" customHeight="1" x14ac:dyDescent="0.2"/>
    <row r="25777" ht="9.9499999999999993" hidden="1" customHeight="1" x14ac:dyDescent="0.2"/>
    <row r="25778" ht="9.9499999999999993" hidden="1" customHeight="1" x14ac:dyDescent="0.2"/>
    <row r="25779" ht="9.9499999999999993" hidden="1" customHeight="1" x14ac:dyDescent="0.2"/>
    <row r="25780" ht="9.9499999999999993" hidden="1" customHeight="1" x14ac:dyDescent="0.2"/>
    <row r="25781" ht="9.9499999999999993" hidden="1" customHeight="1" x14ac:dyDescent="0.2"/>
    <row r="25782" ht="9.9499999999999993" hidden="1" customHeight="1" x14ac:dyDescent="0.2"/>
    <row r="25783" ht="9.9499999999999993" hidden="1" customHeight="1" x14ac:dyDescent="0.2"/>
    <row r="25784" ht="9.9499999999999993" hidden="1" customHeight="1" x14ac:dyDescent="0.2"/>
    <row r="25785" ht="9.9499999999999993" hidden="1" customHeight="1" x14ac:dyDescent="0.2"/>
    <row r="25786" ht="9.9499999999999993" hidden="1" customHeight="1" x14ac:dyDescent="0.2"/>
    <row r="25787" ht="9.9499999999999993" hidden="1" customHeight="1" x14ac:dyDescent="0.2"/>
    <row r="25788" ht="9.9499999999999993" hidden="1" customHeight="1" x14ac:dyDescent="0.2"/>
    <row r="25789" ht="9.9499999999999993" hidden="1" customHeight="1" x14ac:dyDescent="0.2"/>
    <row r="25790" ht="9.9499999999999993" hidden="1" customHeight="1" x14ac:dyDescent="0.2"/>
    <row r="25791" ht="9.9499999999999993" hidden="1" customHeight="1" x14ac:dyDescent="0.2"/>
    <row r="25792" ht="9.9499999999999993" hidden="1" customHeight="1" x14ac:dyDescent="0.2"/>
    <row r="25793" ht="9.9499999999999993" hidden="1" customHeight="1" x14ac:dyDescent="0.2"/>
    <row r="25794" ht="9.9499999999999993" hidden="1" customHeight="1" x14ac:dyDescent="0.2"/>
    <row r="25795" ht="9.9499999999999993" hidden="1" customHeight="1" x14ac:dyDescent="0.2"/>
    <row r="25796" ht="9.9499999999999993" hidden="1" customHeight="1" x14ac:dyDescent="0.2"/>
    <row r="25797" ht="9.9499999999999993" hidden="1" customHeight="1" x14ac:dyDescent="0.2"/>
    <row r="25798" ht="9.9499999999999993" hidden="1" customHeight="1" x14ac:dyDescent="0.2"/>
    <row r="25799" ht="9.9499999999999993" hidden="1" customHeight="1" x14ac:dyDescent="0.2"/>
    <row r="25800" ht="9.9499999999999993" hidden="1" customHeight="1" x14ac:dyDescent="0.2"/>
    <row r="25801" ht="9.9499999999999993" hidden="1" customHeight="1" x14ac:dyDescent="0.2"/>
    <row r="25802" ht="9.9499999999999993" hidden="1" customHeight="1" x14ac:dyDescent="0.2"/>
    <row r="25803" ht="9.9499999999999993" hidden="1" customHeight="1" x14ac:dyDescent="0.2"/>
    <row r="25804" ht="9.9499999999999993" hidden="1" customHeight="1" x14ac:dyDescent="0.2"/>
    <row r="25805" ht="9.9499999999999993" hidden="1" customHeight="1" x14ac:dyDescent="0.2"/>
    <row r="25806" ht="9.9499999999999993" hidden="1" customHeight="1" x14ac:dyDescent="0.2"/>
    <row r="25807" ht="9.9499999999999993" hidden="1" customHeight="1" x14ac:dyDescent="0.2"/>
    <row r="25808" ht="9.9499999999999993" hidden="1" customHeight="1" x14ac:dyDescent="0.2"/>
    <row r="25809" ht="9.9499999999999993" hidden="1" customHeight="1" x14ac:dyDescent="0.2"/>
    <row r="25810" ht="9.9499999999999993" hidden="1" customHeight="1" x14ac:dyDescent="0.2"/>
    <row r="25811" ht="9.9499999999999993" hidden="1" customHeight="1" x14ac:dyDescent="0.2"/>
    <row r="25812" ht="9.9499999999999993" hidden="1" customHeight="1" x14ac:dyDescent="0.2"/>
    <row r="25813" ht="9.9499999999999993" hidden="1" customHeight="1" x14ac:dyDescent="0.2"/>
    <row r="25814" ht="9.9499999999999993" hidden="1" customHeight="1" x14ac:dyDescent="0.2"/>
    <row r="25815" ht="9.9499999999999993" hidden="1" customHeight="1" x14ac:dyDescent="0.2"/>
    <row r="25816" ht="9.9499999999999993" hidden="1" customHeight="1" x14ac:dyDescent="0.2"/>
    <row r="25817" ht="9.9499999999999993" hidden="1" customHeight="1" x14ac:dyDescent="0.2"/>
    <row r="25818" ht="9.9499999999999993" hidden="1" customHeight="1" x14ac:dyDescent="0.2"/>
    <row r="25819" ht="9.9499999999999993" hidden="1" customHeight="1" x14ac:dyDescent="0.2"/>
    <row r="25820" ht="9.9499999999999993" hidden="1" customHeight="1" x14ac:dyDescent="0.2"/>
    <row r="25821" ht="9.9499999999999993" hidden="1" customHeight="1" x14ac:dyDescent="0.2"/>
    <row r="25822" ht="9.9499999999999993" hidden="1" customHeight="1" x14ac:dyDescent="0.2"/>
    <row r="25823" ht="9.9499999999999993" hidden="1" customHeight="1" x14ac:dyDescent="0.2"/>
    <row r="25824" ht="9.9499999999999993" hidden="1" customHeight="1" x14ac:dyDescent="0.2"/>
    <row r="25825" ht="9.9499999999999993" hidden="1" customHeight="1" x14ac:dyDescent="0.2"/>
    <row r="25826" ht="9.9499999999999993" hidden="1" customHeight="1" x14ac:dyDescent="0.2"/>
    <row r="25827" ht="9.9499999999999993" hidden="1" customHeight="1" x14ac:dyDescent="0.2"/>
    <row r="25828" ht="9.9499999999999993" hidden="1" customHeight="1" x14ac:dyDescent="0.2"/>
    <row r="25829" ht="9.9499999999999993" hidden="1" customHeight="1" x14ac:dyDescent="0.2"/>
    <row r="25830" ht="9.9499999999999993" hidden="1" customHeight="1" x14ac:dyDescent="0.2"/>
    <row r="25831" ht="9.9499999999999993" hidden="1" customHeight="1" x14ac:dyDescent="0.2"/>
    <row r="25832" ht="9.9499999999999993" hidden="1" customHeight="1" x14ac:dyDescent="0.2"/>
    <row r="25833" ht="9.9499999999999993" hidden="1" customHeight="1" x14ac:dyDescent="0.2"/>
    <row r="25834" ht="9.9499999999999993" hidden="1" customHeight="1" x14ac:dyDescent="0.2"/>
    <row r="25835" ht="9.9499999999999993" hidden="1" customHeight="1" x14ac:dyDescent="0.2"/>
    <row r="25836" ht="9.9499999999999993" hidden="1" customHeight="1" x14ac:dyDescent="0.2"/>
    <row r="25837" ht="9.9499999999999993" hidden="1" customHeight="1" x14ac:dyDescent="0.2"/>
    <row r="25838" ht="9.9499999999999993" hidden="1" customHeight="1" x14ac:dyDescent="0.2"/>
    <row r="25839" ht="9.9499999999999993" hidden="1" customHeight="1" x14ac:dyDescent="0.2"/>
    <row r="25840" ht="9.9499999999999993" hidden="1" customHeight="1" x14ac:dyDescent="0.2"/>
    <row r="25841" ht="9.9499999999999993" hidden="1" customHeight="1" x14ac:dyDescent="0.2"/>
    <row r="25842" ht="9.9499999999999993" hidden="1" customHeight="1" x14ac:dyDescent="0.2"/>
    <row r="25843" ht="9.9499999999999993" hidden="1" customHeight="1" x14ac:dyDescent="0.2"/>
    <row r="25844" ht="9.9499999999999993" hidden="1" customHeight="1" x14ac:dyDescent="0.2"/>
    <row r="25845" ht="9.9499999999999993" hidden="1" customHeight="1" x14ac:dyDescent="0.2"/>
    <row r="25846" ht="9.9499999999999993" hidden="1" customHeight="1" x14ac:dyDescent="0.2"/>
    <row r="25847" ht="9.9499999999999993" hidden="1" customHeight="1" x14ac:dyDescent="0.2"/>
    <row r="25848" ht="9.9499999999999993" hidden="1" customHeight="1" x14ac:dyDescent="0.2"/>
    <row r="25849" ht="9.9499999999999993" hidden="1" customHeight="1" x14ac:dyDescent="0.2"/>
    <row r="25850" ht="9.9499999999999993" hidden="1" customHeight="1" x14ac:dyDescent="0.2"/>
    <row r="25851" ht="9.9499999999999993" hidden="1" customHeight="1" x14ac:dyDescent="0.2"/>
    <row r="25852" ht="9.9499999999999993" hidden="1" customHeight="1" x14ac:dyDescent="0.2"/>
    <row r="25853" ht="9.9499999999999993" hidden="1" customHeight="1" x14ac:dyDescent="0.2"/>
    <row r="25854" ht="9.9499999999999993" hidden="1" customHeight="1" x14ac:dyDescent="0.2"/>
    <row r="25855" ht="9.9499999999999993" hidden="1" customHeight="1" x14ac:dyDescent="0.2"/>
    <row r="25856" ht="9.9499999999999993" hidden="1" customHeight="1" x14ac:dyDescent="0.2"/>
    <row r="25857" ht="9.9499999999999993" hidden="1" customHeight="1" x14ac:dyDescent="0.2"/>
    <row r="25858" ht="9.9499999999999993" hidden="1" customHeight="1" x14ac:dyDescent="0.2"/>
    <row r="25859" ht="9.9499999999999993" hidden="1" customHeight="1" x14ac:dyDescent="0.2"/>
    <row r="25860" ht="9.9499999999999993" hidden="1" customHeight="1" x14ac:dyDescent="0.2"/>
    <row r="25861" ht="9.9499999999999993" hidden="1" customHeight="1" x14ac:dyDescent="0.2"/>
    <row r="25862" ht="9.9499999999999993" hidden="1" customHeight="1" x14ac:dyDescent="0.2"/>
    <row r="25863" ht="9.9499999999999993" hidden="1" customHeight="1" x14ac:dyDescent="0.2"/>
    <row r="25864" ht="9.9499999999999993" hidden="1" customHeight="1" x14ac:dyDescent="0.2"/>
    <row r="25865" ht="9.9499999999999993" hidden="1" customHeight="1" x14ac:dyDescent="0.2"/>
    <row r="25866" ht="9.9499999999999993" hidden="1" customHeight="1" x14ac:dyDescent="0.2"/>
    <row r="25867" ht="9.9499999999999993" hidden="1" customHeight="1" x14ac:dyDescent="0.2"/>
    <row r="25868" ht="9.9499999999999993" hidden="1" customHeight="1" x14ac:dyDescent="0.2"/>
    <row r="25869" ht="9.9499999999999993" hidden="1" customHeight="1" x14ac:dyDescent="0.2"/>
    <row r="25870" ht="9.9499999999999993" hidden="1" customHeight="1" x14ac:dyDescent="0.2"/>
    <row r="25871" ht="9.9499999999999993" hidden="1" customHeight="1" x14ac:dyDescent="0.2"/>
    <row r="25872" ht="9.9499999999999993" hidden="1" customHeight="1" x14ac:dyDescent="0.2"/>
    <row r="25873" ht="9.9499999999999993" hidden="1" customHeight="1" x14ac:dyDescent="0.2"/>
    <row r="25874" ht="9.9499999999999993" hidden="1" customHeight="1" x14ac:dyDescent="0.2"/>
    <row r="25875" ht="9.9499999999999993" hidden="1" customHeight="1" x14ac:dyDescent="0.2"/>
    <row r="25876" ht="9.9499999999999993" hidden="1" customHeight="1" x14ac:dyDescent="0.2"/>
    <row r="25877" ht="9.9499999999999993" hidden="1" customHeight="1" x14ac:dyDescent="0.2"/>
    <row r="25878" ht="9.9499999999999993" hidden="1" customHeight="1" x14ac:dyDescent="0.2"/>
    <row r="25879" ht="9.9499999999999993" hidden="1" customHeight="1" x14ac:dyDescent="0.2"/>
    <row r="25880" ht="9.9499999999999993" hidden="1" customHeight="1" x14ac:dyDescent="0.2"/>
    <row r="25881" ht="9.9499999999999993" hidden="1" customHeight="1" x14ac:dyDescent="0.2"/>
    <row r="25882" ht="9.9499999999999993" hidden="1" customHeight="1" x14ac:dyDescent="0.2"/>
    <row r="25883" ht="9.9499999999999993" hidden="1" customHeight="1" x14ac:dyDescent="0.2"/>
    <row r="25884" ht="9.9499999999999993" hidden="1" customHeight="1" x14ac:dyDescent="0.2"/>
    <row r="25885" ht="9.9499999999999993" hidden="1" customHeight="1" x14ac:dyDescent="0.2"/>
    <row r="25886" ht="9.9499999999999993" hidden="1" customHeight="1" x14ac:dyDescent="0.2"/>
    <row r="25887" ht="9.9499999999999993" hidden="1" customHeight="1" x14ac:dyDescent="0.2"/>
    <row r="25888" ht="9.9499999999999993" hidden="1" customHeight="1" x14ac:dyDescent="0.2"/>
    <row r="25889" ht="9.9499999999999993" hidden="1" customHeight="1" x14ac:dyDescent="0.2"/>
    <row r="25890" ht="9.9499999999999993" hidden="1" customHeight="1" x14ac:dyDescent="0.2"/>
    <row r="25891" ht="9.9499999999999993" hidden="1" customHeight="1" x14ac:dyDescent="0.2"/>
    <row r="25892" ht="9.9499999999999993" hidden="1" customHeight="1" x14ac:dyDescent="0.2"/>
    <row r="25893" ht="9.9499999999999993" hidden="1" customHeight="1" x14ac:dyDescent="0.2"/>
    <row r="25894" ht="9.9499999999999993" hidden="1" customHeight="1" x14ac:dyDescent="0.2"/>
    <row r="25895" ht="9.9499999999999993" hidden="1" customHeight="1" x14ac:dyDescent="0.2"/>
    <row r="25896" ht="9.9499999999999993" hidden="1" customHeight="1" x14ac:dyDescent="0.2"/>
    <row r="25897" ht="9.9499999999999993" hidden="1" customHeight="1" x14ac:dyDescent="0.2"/>
    <row r="25898" ht="9.9499999999999993" hidden="1" customHeight="1" x14ac:dyDescent="0.2"/>
    <row r="25899" ht="9.9499999999999993" hidden="1" customHeight="1" x14ac:dyDescent="0.2"/>
    <row r="25900" ht="9.9499999999999993" hidden="1" customHeight="1" x14ac:dyDescent="0.2"/>
    <row r="25901" ht="9.9499999999999993" hidden="1" customHeight="1" x14ac:dyDescent="0.2"/>
    <row r="25902" ht="9.9499999999999993" hidden="1" customHeight="1" x14ac:dyDescent="0.2"/>
    <row r="25903" ht="9.9499999999999993" hidden="1" customHeight="1" x14ac:dyDescent="0.2"/>
    <row r="25904" ht="9.9499999999999993" hidden="1" customHeight="1" x14ac:dyDescent="0.2"/>
    <row r="25905" ht="9.9499999999999993" hidden="1" customHeight="1" x14ac:dyDescent="0.2"/>
    <row r="25906" ht="9.9499999999999993" hidden="1" customHeight="1" x14ac:dyDescent="0.2"/>
    <row r="25907" ht="9.9499999999999993" hidden="1" customHeight="1" x14ac:dyDescent="0.2"/>
    <row r="25908" ht="9.9499999999999993" hidden="1" customHeight="1" x14ac:dyDescent="0.2"/>
    <row r="25909" ht="9.9499999999999993" hidden="1" customHeight="1" x14ac:dyDescent="0.2"/>
    <row r="25910" ht="9.9499999999999993" hidden="1" customHeight="1" x14ac:dyDescent="0.2"/>
    <row r="25911" ht="9.9499999999999993" hidden="1" customHeight="1" x14ac:dyDescent="0.2"/>
    <row r="25912" ht="9.9499999999999993" hidden="1" customHeight="1" x14ac:dyDescent="0.2"/>
    <row r="25913" ht="9.9499999999999993" hidden="1" customHeight="1" x14ac:dyDescent="0.2"/>
    <row r="25914" ht="9.9499999999999993" hidden="1" customHeight="1" x14ac:dyDescent="0.2"/>
    <row r="25915" ht="9.9499999999999993" hidden="1" customHeight="1" x14ac:dyDescent="0.2"/>
    <row r="25916" ht="9.9499999999999993" hidden="1" customHeight="1" x14ac:dyDescent="0.2"/>
    <row r="25917" ht="9.9499999999999993" hidden="1" customHeight="1" x14ac:dyDescent="0.2"/>
    <row r="25918" ht="9.9499999999999993" hidden="1" customHeight="1" x14ac:dyDescent="0.2"/>
    <row r="25919" ht="9.9499999999999993" hidden="1" customHeight="1" x14ac:dyDescent="0.2"/>
    <row r="25920" ht="9.9499999999999993" hidden="1" customHeight="1" x14ac:dyDescent="0.2"/>
    <row r="25921" ht="9.9499999999999993" hidden="1" customHeight="1" x14ac:dyDescent="0.2"/>
    <row r="25922" ht="9.9499999999999993" hidden="1" customHeight="1" x14ac:dyDescent="0.2"/>
    <row r="25923" ht="9.9499999999999993" hidden="1" customHeight="1" x14ac:dyDescent="0.2"/>
    <row r="25924" ht="9.9499999999999993" hidden="1" customHeight="1" x14ac:dyDescent="0.2"/>
    <row r="25925" ht="9.9499999999999993" hidden="1" customHeight="1" x14ac:dyDescent="0.2"/>
    <row r="25926" ht="9.9499999999999993" hidden="1" customHeight="1" x14ac:dyDescent="0.2"/>
    <row r="25927" ht="9.9499999999999993" hidden="1" customHeight="1" x14ac:dyDescent="0.2"/>
    <row r="25928" ht="9.9499999999999993" hidden="1" customHeight="1" x14ac:dyDescent="0.2"/>
    <row r="25929" ht="9.9499999999999993" hidden="1" customHeight="1" x14ac:dyDescent="0.2"/>
    <row r="25930" ht="9.9499999999999993" hidden="1" customHeight="1" x14ac:dyDescent="0.2"/>
    <row r="25931" ht="9.9499999999999993" hidden="1" customHeight="1" x14ac:dyDescent="0.2"/>
    <row r="25932" ht="9.9499999999999993" hidden="1" customHeight="1" x14ac:dyDescent="0.2"/>
    <row r="25933" ht="9.9499999999999993" hidden="1" customHeight="1" x14ac:dyDescent="0.2"/>
    <row r="25934" ht="9.9499999999999993" hidden="1" customHeight="1" x14ac:dyDescent="0.2"/>
    <row r="25935" ht="9.9499999999999993" hidden="1" customHeight="1" x14ac:dyDescent="0.2"/>
    <row r="25936" ht="9.9499999999999993" hidden="1" customHeight="1" x14ac:dyDescent="0.2"/>
    <row r="25937" ht="9.9499999999999993" hidden="1" customHeight="1" x14ac:dyDescent="0.2"/>
    <row r="25938" ht="9.9499999999999993" hidden="1" customHeight="1" x14ac:dyDescent="0.2"/>
    <row r="25939" ht="9.9499999999999993" hidden="1" customHeight="1" x14ac:dyDescent="0.2"/>
    <row r="25940" ht="9.9499999999999993" hidden="1" customHeight="1" x14ac:dyDescent="0.2"/>
    <row r="25941" ht="9.9499999999999993" hidden="1" customHeight="1" x14ac:dyDescent="0.2"/>
    <row r="25942" ht="9.9499999999999993" hidden="1" customHeight="1" x14ac:dyDescent="0.2"/>
    <row r="25943" ht="9.9499999999999993" hidden="1" customHeight="1" x14ac:dyDescent="0.2"/>
    <row r="25944" ht="9.9499999999999993" hidden="1" customHeight="1" x14ac:dyDescent="0.2"/>
    <row r="25945" ht="9.9499999999999993" hidden="1" customHeight="1" x14ac:dyDescent="0.2"/>
    <row r="25946" ht="9.9499999999999993" hidden="1" customHeight="1" x14ac:dyDescent="0.2"/>
    <row r="25947" ht="9.9499999999999993" hidden="1" customHeight="1" x14ac:dyDescent="0.2"/>
    <row r="25948" ht="9.9499999999999993" hidden="1" customHeight="1" x14ac:dyDescent="0.2"/>
    <row r="25949" ht="9.9499999999999993" hidden="1" customHeight="1" x14ac:dyDescent="0.2"/>
    <row r="25950" ht="9.9499999999999993" hidden="1" customHeight="1" x14ac:dyDescent="0.2"/>
    <row r="25951" ht="9.9499999999999993" hidden="1" customHeight="1" x14ac:dyDescent="0.2"/>
    <row r="25952" ht="9.9499999999999993" hidden="1" customHeight="1" x14ac:dyDescent="0.2"/>
    <row r="25953" ht="9.9499999999999993" hidden="1" customHeight="1" x14ac:dyDescent="0.2"/>
    <row r="25954" ht="9.9499999999999993" hidden="1" customHeight="1" x14ac:dyDescent="0.2"/>
    <row r="25955" ht="9.9499999999999993" hidden="1" customHeight="1" x14ac:dyDescent="0.2"/>
    <row r="25956" ht="9.9499999999999993" hidden="1" customHeight="1" x14ac:dyDescent="0.2"/>
    <row r="25957" ht="9.9499999999999993" hidden="1" customHeight="1" x14ac:dyDescent="0.2"/>
    <row r="25958" ht="9.9499999999999993" hidden="1" customHeight="1" x14ac:dyDescent="0.2"/>
    <row r="25959" ht="9.9499999999999993" hidden="1" customHeight="1" x14ac:dyDescent="0.2"/>
    <row r="25960" ht="9.9499999999999993" hidden="1" customHeight="1" x14ac:dyDescent="0.2"/>
    <row r="25961" ht="9.9499999999999993" hidden="1" customHeight="1" x14ac:dyDescent="0.2"/>
    <row r="25962" ht="9.9499999999999993" hidden="1" customHeight="1" x14ac:dyDescent="0.2"/>
    <row r="25963" ht="9.9499999999999993" hidden="1" customHeight="1" x14ac:dyDescent="0.2"/>
    <row r="25964" ht="9.9499999999999993" hidden="1" customHeight="1" x14ac:dyDescent="0.2"/>
    <row r="25965" ht="9.9499999999999993" hidden="1" customHeight="1" x14ac:dyDescent="0.2"/>
    <row r="25966" ht="9.9499999999999993" hidden="1" customHeight="1" x14ac:dyDescent="0.2"/>
    <row r="25967" ht="9.9499999999999993" hidden="1" customHeight="1" x14ac:dyDescent="0.2"/>
    <row r="25968" ht="9.9499999999999993" hidden="1" customHeight="1" x14ac:dyDescent="0.2"/>
    <row r="25969" ht="9.9499999999999993" hidden="1" customHeight="1" x14ac:dyDescent="0.2"/>
    <row r="25970" ht="9.9499999999999993" hidden="1" customHeight="1" x14ac:dyDescent="0.2"/>
    <row r="25971" ht="9.9499999999999993" hidden="1" customHeight="1" x14ac:dyDescent="0.2"/>
    <row r="25972" ht="9.9499999999999993" hidden="1" customHeight="1" x14ac:dyDescent="0.2"/>
    <row r="25973" ht="9.9499999999999993" hidden="1" customHeight="1" x14ac:dyDescent="0.2"/>
    <row r="25974" ht="9.9499999999999993" hidden="1" customHeight="1" x14ac:dyDescent="0.2"/>
    <row r="25975" ht="9.9499999999999993" hidden="1" customHeight="1" x14ac:dyDescent="0.2"/>
    <row r="25976" ht="9.9499999999999993" hidden="1" customHeight="1" x14ac:dyDescent="0.2"/>
    <row r="25977" ht="9.9499999999999993" hidden="1" customHeight="1" x14ac:dyDescent="0.2"/>
    <row r="25978" ht="9.9499999999999993" hidden="1" customHeight="1" x14ac:dyDescent="0.2"/>
    <row r="25979" ht="9.9499999999999993" hidden="1" customHeight="1" x14ac:dyDescent="0.2"/>
    <row r="25980" ht="9.9499999999999993" hidden="1" customHeight="1" x14ac:dyDescent="0.2"/>
    <row r="25981" ht="9.9499999999999993" hidden="1" customHeight="1" x14ac:dyDescent="0.2"/>
    <row r="25982" ht="9.9499999999999993" hidden="1" customHeight="1" x14ac:dyDescent="0.2"/>
    <row r="25983" ht="9.9499999999999993" hidden="1" customHeight="1" x14ac:dyDescent="0.2"/>
    <row r="25984" ht="9.9499999999999993" hidden="1" customHeight="1" x14ac:dyDescent="0.2"/>
    <row r="25985" ht="9.9499999999999993" hidden="1" customHeight="1" x14ac:dyDescent="0.2"/>
    <row r="25986" ht="9.9499999999999993" hidden="1" customHeight="1" x14ac:dyDescent="0.2"/>
    <row r="25987" ht="9.9499999999999993" hidden="1" customHeight="1" x14ac:dyDescent="0.2"/>
    <row r="25988" ht="9.9499999999999993" hidden="1" customHeight="1" x14ac:dyDescent="0.2"/>
    <row r="25989" ht="9.9499999999999993" hidden="1" customHeight="1" x14ac:dyDescent="0.2"/>
    <row r="25990" ht="9.9499999999999993" hidden="1" customHeight="1" x14ac:dyDescent="0.2"/>
    <row r="25991" ht="9.9499999999999993" hidden="1" customHeight="1" x14ac:dyDescent="0.2"/>
    <row r="25992" ht="9.9499999999999993" hidden="1" customHeight="1" x14ac:dyDescent="0.2"/>
    <row r="25993" ht="9.9499999999999993" hidden="1" customHeight="1" x14ac:dyDescent="0.2"/>
    <row r="25994" ht="9.9499999999999993" hidden="1" customHeight="1" x14ac:dyDescent="0.2"/>
    <row r="25995" ht="9.9499999999999993" hidden="1" customHeight="1" x14ac:dyDescent="0.2"/>
    <row r="25996" ht="9.9499999999999993" hidden="1" customHeight="1" x14ac:dyDescent="0.2"/>
    <row r="25997" ht="9.9499999999999993" hidden="1" customHeight="1" x14ac:dyDescent="0.2"/>
    <row r="25998" ht="9.9499999999999993" hidden="1" customHeight="1" x14ac:dyDescent="0.2"/>
    <row r="25999" ht="9.9499999999999993" hidden="1" customHeight="1" x14ac:dyDescent="0.2"/>
    <row r="26000" ht="9.9499999999999993" hidden="1" customHeight="1" x14ac:dyDescent="0.2"/>
    <row r="26001" ht="9.9499999999999993" hidden="1" customHeight="1" x14ac:dyDescent="0.2"/>
    <row r="26002" ht="9.9499999999999993" hidden="1" customHeight="1" x14ac:dyDescent="0.2"/>
    <row r="26003" ht="9.9499999999999993" hidden="1" customHeight="1" x14ac:dyDescent="0.2"/>
    <row r="26004" ht="9.9499999999999993" hidden="1" customHeight="1" x14ac:dyDescent="0.2"/>
    <row r="26005" ht="9.9499999999999993" hidden="1" customHeight="1" x14ac:dyDescent="0.2"/>
    <row r="26006" ht="9.9499999999999993" hidden="1" customHeight="1" x14ac:dyDescent="0.2"/>
    <row r="26007" ht="9.9499999999999993" hidden="1" customHeight="1" x14ac:dyDescent="0.2"/>
    <row r="26008" ht="9.9499999999999993" hidden="1" customHeight="1" x14ac:dyDescent="0.2"/>
    <row r="26009" ht="9.9499999999999993" hidden="1" customHeight="1" x14ac:dyDescent="0.2"/>
    <row r="26010" ht="9.9499999999999993" hidden="1" customHeight="1" x14ac:dyDescent="0.2"/>
    <row r="26011" ht="9.9499999999999993" hidden="1" customHeight="1" x14ac:dyDescent="0.2"/>
    <row r="26012" ht="9.9499999999999993" hidden="1" customHeight="1" x14ac:dyDescent="0.2"/>
    <row r="26013" ht="9.9499999999999993" hidden="1" customHeight="1" x14ac:dyDescent="0.2"/>
    <row r="26014" ht="9.9499999999999993" hidden="1" customHeight="1" x14ac:dyDescent="0.2"/>
    <row r="26015" ht="9.9499999999999993" hidden="1" customHeight="1" x14ac:dyDescent="0.2"/>
    <row r="26016" ht="9.9499999999999993" hidden="1" customHeight="1" x14ac:dyDescent="0.2"/>
    <row r="26017" ht="9.9499999999999993" hidden="1" customHeight="1" x14ac:dyDescent="0.2"/>
    <row r="26018" ht="9.9499999999999993" hidden="1" customHeight="1" x14ac:dyDescent="0.2"/>
    <row r="26019" ht="9.9499999999999993" hidden="1" customHeight="1" x14ac:dyDescent="0.2"/>
    <row r="26020" ht="9.9499999999999993" hidden="1" customHeight="1" x14ac:dyDescent="0.2"/>
    <row r="26021" ht="9.9499999999999993" hidden="1" customHeight="1" x14ac:dyDescent="0.2"/>
    <row r="26022" ht="9.9499999999999993" hidden="1" customHeight="1" x14ac:dyDescent="0.2"/>
    <row r="26023" ht="9.9499999999999993" hidden="1" customHeight="1" x14ac:dyDescent="0.2"/>
    <row r="26024" ht="9.9499999999999993" hidden="1" customHeight="1" x14ac:dyDescent="0.2"/>
    <row r="26025" ht="9.9499999999999993" hidden="1" customHeight="1" x14ac:dyDescent="0.2"/>
    <row r="26026" ht="9.9499999999999993" hidden="1" customHeight="1" x14ac:dyDescent="0.2"/>
    <row r="26027" ht="9.9499999999999993" hidden="1" customHeight="1" x14ac:dyDescent="0.2"/>
    <row r="26028" ht="9.9499999999999993" hidden="1" customHeight="1" x14ac:dyDescent="0.2"/>
    <row r="26029" ht="9.9499999999999993" hidden="1" customHeight="1" x14ac:dyDescent="0.2"/>
    <row r="26030" ht="9.9499999999999993" hidden="1" customHeight="1" x14ac:dyDescent="0.2"/>
    <row r="26031" ht="9.9499999999999993" hidden="1" customHeight="1" x14ac:dyDescent="0.2"/>
    <row r="26032" ht="9.9499999999999993" hidden="1" customHeight="1" x14ac:dyDescent="0.2"/>
    <row r="26033" ht="9.9499999999999993" hidden="1" customHeight="1" x14ac:dyDescent="0.2"/>
    <row r="26034" ht="9.9499999999999993" hidden="1" customHeight="1" x14ac:dyDescent="0.2"/>
    <row r="26035" ht="9.9499999999999993" hidden="1" customHeight="1" x14ac:dyDescent="0.2"/>
    <row r="26036" ht="9.9499999999999993" hidden="1" customHeight="1" x14ac:dyDescent="0.2"/>
    <row r="26037" ht="9.9499999999999993" hidden="1" customHeight="1" x14ac:dyDescent="0.2"/>
    <row r="26038" ht="9.9499999999999993" hidden="1" customHeight="1" x14ac:dyDescent="0.2"/>
    <row r="26039" ht="9.9499999999999993" hidden="1" customHeight="1" x14ac:dyDescent="0.2"/>
    <row r="26040" ht="9.9499999999999993" hidden="1" customHeight="1" x14ac:dyDescent="0.2"/>
    <row r="26041" ht="9.9499999999999993" hidden="1" customHeight="1" x14ac:dyDescent="0.2"/>
    <row r="26042" ht="9.9499999999999993" hidden="1" customHeight="1" x14ac:dyDescent="0.2"/>
    <row r="26043" ht="9.9499999999999993" hidden="1" customHeight="1" x14ac:dyDescent="0.2"/>
    <row r="26044" ht="9.9499999999999993" hidden="1" customHeight="1" x14ac:dyDescent="0.2"/>
    <row r="26045" ht="9.9499999999999993" hidden="1" customHeight="1" x14ac:dyDescent="0.2"/>
    <row r="26046" ht="9.9499999999999993" hidden="1" customHeight="1" x14ac:dyDescent="0.2"/>
    <row r="26047" ht="9.9499999999999993" hidden="1" customHeight="1" x14ac:dyDescent="0.2"/>
    <row r="26048" ht="9.9499999999999993" hidden="1" customHeight="1" x14ac:dyDescent="0.2"/>
    <row r="26049" ht="9.9499999999999993" hidden="1" customHeight="1" x14ac:dyDescent="0.2"/>
    <row r="26050" ht="9.9499999999999993" hidden="1" customHeight="1" x14ac:dyDescent="0.2"/>
    <row r="26051" ht="9.9499999999999993" hidden="1" customHeight="1" x14ac:dyDescent="0.2"/>
    <row r="26052" ht="9.9499999999999993" hidden="1" customHeight="1" x14ac:dyDescent="0.2"/>
    <row r="26053" ht="9.9499999999999993" hidden="1" customHeight="1" x14ac:dyDescent="0.2"/>
    <row r="26054" ht="9.9499999999999993" hidden="1" customHeight="1" x14ac:dyDescent="0.2"/>
    <row r="26055" ht="9.9499999999999993" hidden="1" customHeight="1" x14ac:dyDescent="0.2"/>
    <row r="26056" ht="9.9499999999999993" hidden="1" customHeight="1" x14ac:dyDescent="0.2"/>
    <row r="26057" ht="9.9499999999999993" hidden="1" customHeight="1" x14ac:dyDescent="0.2"/>
    <row r="26058" ht="9.9499999999999993" hidden="1" customHeight="1" x14ac:dyDescent="0.2"/>
    <row r="26059" ht="9.9499999999999993" hidden="1" customHeight="1" x14ac:dyDescent="0.2"/>
    <row r="26060" ht="9.9499999999999993" hidden="1" customHeight="1" x14ac:dyDescent="0.2"/>
    <row r="26061" ht="9.9499999999999993" hidden="1" customHeight="1" x14ac:dyDescent="0.2"/>
    <row r="26062" ht="9.9499999999999993" hidden="1" customHeight="1" x14ac:dyDescent="0.2"/>
    <row r="26063" ht="9.9499999999999993" hidden="1" customHeight="1" x14ac:dyDescent="0.2"/>
    <row r="26064" ht="9.9499999999999993" hidden="1" customHeight="1" x14ac:dyDescent="0.2"/>
    <row r="26065" ht="9.9499999999999993" hidden="1" customHeight="1" x14ac:dyDescent="0.2"/>
    <row r="26066" ht="9.9499999999999993" hidden="1" customHeight="1" x14ac:dyDescent="0.2"/>
    <row r="26067" ht="9.9499999999999993" hidden="1" customHeight="1" x14ac:dyDescent="0.2"/>
    <row r="26068" ht="9.9499999999999993" hidden="1" customHeight="1" x14ac:dyDescent="0.2"/>
    <row r="26069" ht="9.9499999999999993" hidden="1" customHeight="1" x14ac:dyDescent="0.2"/>
    <row r="26070" ht="9.9499999999999993" hidden="1" customHeight="1" x14ac:dyDescent="0.2"/>
    <row r="26071" ht="9.9499999999999993" hidden="1" customHeight="1" x14ac:dyDescent="0.2"/>
    <row r="26072" ht="9.9499999999999993" hidden="1" customHeight="1" x14ac:dyDescent="0.2"/>
    <row r="26073" ht="9.9499999999999993" hidden="1" customHeight="1" x14ac:dyDescent="0.2"/>
    <row r="26074" ht="9.9499999999999993" hidden="1" customHeight="1" x14ac:dyDescent="0.2"/>
    <row r="26075" ht="9.9499999999999993" hidden="1" customHeight="1" x14ac:dyDescent="0.2"/>
    <row r="26076" ht="9.9499999999999993" hidden="1" customHeight="1" x14ac:dyDescent="0.2"/>
    <row r="26077" ht="9.9499999999999993" hidden="1" customHeight="1" x14ac:dyDescent="0.2"/>
    <row r="26078" ht="9.9499999999999993" hidden="1" customHeight="1" x14ac:dyDescent="0.2"/>
    <row r="26079" ht="9.9499999999999993" hidden="1" customHeight="1" x14ac:dyDescent="0.2"/>
    <row r="26080" ht="9.9499999999999993" hidden="1" customHeight="1" x14ac:dyDescent="0.2"/>
    <row r="26081" ht="9.9499999999999993" hidden="1" customHeight="1" x14ac:dyDescent="0.2"/>
    <row r="26082" ht="9.9499999999999993" hidden="1" customHeight="1" x14ac:dyDescent="0.2"/>
    <row r="26083" ht="9.9499999999999993" hidden="1" customHeight="1" x14ac:dyDescent="0.2"/>
    <row r="26084" ht="9.9499999999999993" hidden="1" customHeight="1" x14ac:dyDescent="0.2"/>
    <row r="26085" ht="9.9499999999999993" hidden="1" customHeight="1" x14ac:dyDescent="0.2"/>
    <row r="26086" ht="9.9499999999999993" hidden="1" customHeight="1" x14ac:dyDescent="0.2"/>
    <row r="26087" ht="9.9499999999999993" hidden="1" customHeight="1" x14ac:dyDescent="0.2"/>
    <row r="26088" ht="9.9499999999999993" hidden="1" customHeight="1" x14ac:dyDescent="0.2"/>
    <row r="26089" ht="9.9499999999999993" hidden="1" customHeight="1" x14ac:dyDescent="0.2"/>
    <row r="26090" ht="9.9499999999999993" hidden="1" customHeight="1" x14ac:dyDescent="0.2"/>
    <row r="26091" ht="9.9499999999999993" hidden="1" customHeight="1" x14ac:dyDescent="0.2"/>
    <row r="26092" ht="9.9499999999999993" hidden="1" customHeight="1" x14ac:dyDescent="0.2"/>
    <row r="26093" ht="9.9499999999999993" hidden="1" customHeight="1" x14ac:dyDescent="0.2"/>
    <row r="26094" ht="9.9499999999999993" hidden="1" customHeight="1" x14ac:dyDescent="0.2"/>
    <row r="26095" ht="9.9499999999999993" hidden="1" customHeight="1" x14ac:dyDescent="0.2"/>
    <row r="26096" ht="9.9499999999999993" hidden="1" customHeight="1" x14ac:dyDescent="0.2"/>
    <row r="26097" ht="9.9499999999999993" hidden="1" customHeight="1" x14ac:dyDescent="0.2"/>
    <row r="26098" ht="9.9499999999999993" hidden="1" customHeight="1" x14ac:dyDescent="0.2"/>
    <row r="26099" ht="9.9499999999999993" hidden="1" customHeight="1" x14ac:dyDescent="0.2"/>
    <row r="26100" ht="9.9499999999999993" hidden="1" customHeight="1" x14ac:dyDescent="0.2"/>
    <row r="26101" ht="9.9499999999999993" hidden="1" customHeight="1" x14ac:dyDescent="0.2"/>
    <row r="26102" ht="9.9499999999999993" hidden="1" customHeight="1" x14ac:dyDescent="0.2"/>
    <row r="26103" ht="9.9499999999999993" hidden="1" customHeight="1" x14ac:dyDescent="0.2"/>
    <row r="26104" ht="9.9499999999999993" hidden="1" customHeight="1" x14ac:dyDescent="0.2"/>
    <row r="26105" ht="9.9499999999999993" hidden="1" customHeight="1" x14ac:dyDescent="0.2"/>
    <row r="26106" ht="9.9499999999999993" hidden="1" customHeight="1" x14ac:dyDescent="0.2"/>
    <row r="26107" ht="9.9499999999999993" hidden="1" customHeight="1" x14ac:dyDescent="0.2"/>
    <row r="26108" ht="9.9499999999999993" hidden="1" customHeight="1" x14ac:dyDescent="0.2"/>
    <row r="26109" ht="9.9499999999999993" hidden="1" customHeight="1" x14ac:dyDescent="0.2"/>
    <row r="26110" ht="9.9499999999999993" hidden="1" customHeight="1" x14ac:dyDescent="0.2"/>
    <row r="26111" ht="9.9499999999999993" hidden="1" customHeight="1" x14ac:dyDescent="0.2"/>
    <row r="26112" ht="9.9499999999999993" hidden="1" customHeight="1" x14ac:dyDescent="0.2"/>
    <row r="26113" ht="9.9499999999999993" hidden="1" customHeight="1" x14ac:dyDescent="0.2"/>
    <row r="26114" ht="9.9499999999999993" hidden="1" customHeight="1" x14ac:dyDescent="0.2"/>
    <row r="26115" ht="9.9499999999999993" hidden="1" customHeight="1" x14ac:dyDescent="0.2"/>
    <row r="26116" ht="9.9499999999999993" hidden="1" customHeight="1" x14ac:dyDescent="0.2"/>
    <row r="26117" ht="9.9499999999999993" hidden="1" customHeight="1" x14ac:dyDescent="0.2"/>
    <row r="26118" ht="9.9499999999999993" hidden="1" customHeight="1" x14ac:dyDescent="0.2"/>
    <row r="26119" ht="9.9499999999999993" hidden="1" customHeight="1" x14ac:dyDescent="0.2"/>
    <row r="26120" ht="9.9499999999999993" hidden="1" customHeight="1" x14ac:dyDescent="0.2"/>
    <row r="26121" ht="9.9499999999999993" hidden="1" customHeight="1" x14ac:dyDescent="0.2"/>
    <row r="26122" ht="9.9499999999999993" hidden="1" customHeight="1" x14ac:dyDescent="0.2"/>
    <row r="26123" ht="9.9499999999999993" hidden="1" customHeight="1" x14ac:dyDescent="0.2"/>
    <row r="26124" ht="9.9499999999999993" hidden="1" customHeight="1" x14ac:dyDescent="0.2"/>
    <row r="26125" ht="9.9499999999999993" hidden="1" customHeight="1" x14ac:dyDescent="0.2"/>
    <row r="26126" ht="9.9499999999999993" hidden="1" customHeight="1" x14ac:dyDescent="0.2"/>
    <row r="26127" ht="9.9499999999999993" hidden="1" customHeight="1" x14ac:dyDescent="0.2"/>
    <row r="26128" ht="9.9499999999999993" hidden="1" customHeight="1" x14ac:dyDescent="0.2"/>
    <row r="26129" ht="9.9499999999999993" hidden="1" customHeight="1" x14ac:dyDescent="0.2"/>
    <row r="26130" ht="9.9499999999999993" hidden="1" customHeight="1" x14ac:dyDescent="0.2"/>
    <row r="26131" ht="9.9499999999999993" hidden="1" customHeight="1" x14ac:dyDescent="0.2"/>
    <row r="26132" ht="9.9499999999999993" hidden="1" customHeight="1" x14ac:dyDescent="0.2"/>
    <row r="26133" ht="9.9499999999999993" hidden="1" customHeight="1" x14ac:dyDescent="0.2"/>
    <row r="26134" ht="9.9499999999999993" hidden="1" customHeight="1" x14ac:dyDescent="0.2"/>
    <row r="26135" ht="9.9499999999999993" hidden="1" customHeight="1" x14ac:dyDescent="0.2"/>
    <row r="26136" ht="9.9499999999999993" hidden="1" customHeight="1" x14ac:dyDescent="0.2"/>
    <row r="26137" ht="9.9499999999999993" hidden="1" customHeight="1" x14ac:dyDescent="0.2"/>
    <row r="26138" ht="9.9499999999999993" hidden="1" customHeight="1" x14ac:dyDescent="0.2"/>
    <row r="26139" ht="9.9499999999999993" hidden="1" customHeight="1" x14ac:dyDescent="0.2"/>
    <row r="26140" ht="9.9499999999999993" hidden="1" customHeight="1" x14ac:dyDescent="0.2"/>
    <row r="26141" ht="9.9499999999999993" hidden="1" customHeight="1" x14ac:dyDescent="0.2"/>
    <row r="26142" ht="9.9499999999999993" hidden="1" customHeight="1" x14ac:dyDescent="0.2"/>
    <row r="26143" ht="9.9499999999999993" hidden="1" customHeight="1" x14ac:dyDescent="0.2"/>
    <row r="26144" ht="9.9499999999999993" hidden="1" customHeight="1" x14ac:dyDescent="0.2"/>
    <row r="26145" ht="9.9499999999999993" hidden="1" customHeight="1" x14ac:dyDescent="0.2"/>
    <row r="26146" ht="9.9499999999999993" hidden="1" customHeight="1" x14ac:dyDescent="0.2"/>
    <row r="26147" ht="9.9499999999999993" hidden="1" customHeight="1" x14ac:dyDescent="0.2"/>
    <row r="26148" ht="9.9499999999999993" hidden="1" customHeight="1" x14ac:dyDescent="0.2"/>
    <row r="26149" ht="9.9499999999999993" hidden="1" customHeight="1" x14ac:dyDescent="0.2"/>
    <row r="26150" ht="9.9499999999999993" hidden="1" customHeight="1" x14ac:dyDescent="0.2"/>
    <row r="26151" ht="9.9499999999999993" hidden="1" customHeight="1" x14ac:dyDescent="0.2"/>
    <row r="26152" ht="9.9499999999999993" hidden="1" customHeight="1" x14ac:dyDescent="0.2"/>
    <row r="26153" ht="9.9499999999999993" hidden="1" customHeight="1" x14ac:dyDescent="0.2"/>
    <row r="26154" ht="9.9499999999999993" hidden="1" customHeight="1" x14ac:dyDescent="0.2"/>
    <row r="26155" ht="9.9499999999999993" hidden="1" customHeight="1" x14ac:dyDescent="0.2"/>
    <row r="26156" ht="9.9499999999999993" hidden="1" customHeight="1" x14ac:dyDescent="0.2"/>
    <row r="26157" ht="9.9499999999999993" hidden="1" customHeight="1" x14ac:dyDescent="0.2"/>
    <row r="26158" ht="9.9499999999999993" hidden="1" customHeight="1" x14ac:dyDescent="0.2"/>
    <row r="26159" ht="9.9499999999999993" hidden="1" customHeight="1" x14ac:dyDescent="0.2"/>
    <row r="26160" ht="9.9499999999999993" hidden="1" customHeight="1" x14ac:dyDescent="0.2"/>
    <row r="26161" ht="9.9499999999999993" hidden="1" customHeight="1" x14ac:dyDescent="0.2"/>
    <row r="26162" ht="9.9499999999999993" hidden="1" customHeight="1" x14ac:dyDescent="0.2"/>
    <row r="26163" ht="9.9499999999999993" hidden="1" customHeight="1" x14ac:dyDescent="0.2"/>
    <row r="26164" ht="9.9499999999999993" hidden="1" customHeight="1" x14ac:dyDescent="0.2"/>
    <row r="26165" ht="9.9499999999999993" hidden="1" customHeight="1" x14ac:dyDescent="0.2"/>
    <row r="26166" ht="9.9499999999999993" hidden="1" customHeight="1" x14ac:dyDescent="0.2"/>
    <row r="26167" ht="9.9499999999999993" hidden="1" customHeight="1" x14ac:dyDescent="0.2"/>
    <row r="26168" ht="9.9499999999999993" hidden="1" customHeight="1" x14ac:dyDescent="0.2"/>
    <row r="26169" ht="9.9499999999999993" hidden="1" customHeight="1" x14ac:dyDescent="0.2"/>
    <row r="26170" ht="9.9499999999999993" hidden="1" customHeight="1" x14ac:dyDescent="0.2"/>
    <row r="26171" ht="9.9499999999999993" hidden="1" customHeight="1" x14ac:dyDescent="0.2"/>
    <row r="26172" ht="9.9499999999999993" hidden="1" customHeight="1" x14ac:dyDescent="0.2"/>
    <row r="26173" ht="9.9499999999999993" hidden="1" customHeight="1" x14ac:dyDescent="0.2"/>
    <row r="26174" ht="9.9499999999999993" hidden="1" customHeight="1" x14ac:dyDescent="0.2"/>
    <row r="26175" ht="9.9499999999999993" hidden="1" customHeight="1" x14ac:dyDescent="0.2"/>
    <row r="26176" ht="9.9499999999999993" hidden="1" customHeight="1" x14ac:dyDescent="0.2"/>
    <row r="26177" ht="9.9499999999999993" hidden="1" customHeight="1" x14ac:dyDescent="0.2"/>
    <row r="26178" ht="9.9499999999999993" hidden="1" customHeight="1" x14ac:dyDescent="0.2"/>
    <row r="26179" ht="9.9499999999999993" hidden="1" customHeight="1" x14ac:dyDescent="0.2"/>
    <row r="26180" ht="9.9499999999999993" hidden="1" customHeight="1" x14ac:dyDescent="0.2"/>
    <row r="26181" ht="9.9499999999999993" hidden="1" customHeight="1" x14ac:dyDescent="0.2"/>
    <row r="26182" ht="9.9499999999999993" hidden="1" customHeight="1" x14ac:dyDescent="0.2"/>
    <row r="26183" ht="9.9499999999999993" hidden="1" customHeight="1" x14ac:dyDescent="0.2"/>
    <row r="26184" ht="9.9499999999999993" hidden="1" customHeight="1" x14ac:dyDescent="0.2"/>
    <row r="26185" ht="9.9499999999999993" hidden="1" customHeight="1" x14ac:dyDescent="0.2"/>
    <row r="26186" ht="9.9499999999999993" hidden="1" customHeight="1" x14ac:dyDescent="0.2"/>
    <row r="26187" ht="9.9499999999999993" hidden="1" customHeight="1" x14ac:dyDescent="0.2"/>
    <row r="26188" ht="9.9499999999999993" hidden="1" customHeight="1" x14ac:dyDescent="0.2"/>
    <row r="26189" ht="9.9499999999999993" hidden="1" customHeight="1" x14ac:dyDescent="0.2"/>
    <row r="26190" ht="9.9499999999999993" hidden="1" customHeight="1" x14ac:dyDescent="0.2"/>
    <row r="26191" ht="9.9499999999999993" hidden="1" customHeight="1" x14ac:dyDescent="0.2"/>
    <row r="26192" ht="9.9499999999999993" hidden="1" customHeight="1" x14ac:dyDescent="0.2"/>
    <row r="26193" ht="9.9499999999999993" hidden="1" customHeight="1" x14ac:dyDescent="0.2"/>
    <row r="26194" ht="9.9499999999999993" hidden="1" customHeight="1" x14ac:dyDescent="0.2"/>
    <row r="26195" ht="9.9499999999999993" hidden="1" customHeight="1" x14ac:dyDescent="0.2"/>
    <row r="26196" ht="9.9499999999999993" hidden="1" customHeight="1" x14ac:dyDescent="0.2"/>
    <row r="26197" ht="9.9499999999999993" hidden="1" customHeight="1" x14ac:dyDescent="0.2"/>
    <row r="26198" ht="9.9499999999999993" hidden="1" customHeight="1" x14ac:dyDescent="0.2"/>
    <row r="26199" ht="9.9499999999999993" hidden="1" customHeight="1" x14ac:dyDescent="0.2"/>
    <row r="26200" ht="9.9499999999999993" hidden="1" customHeight="1" x14ac:dyDescent="0.2"/>
    <row r="26201" ht="9.9499999999999993" hidden="1" customHeight="1" x14ac:dyDescent="0.2"/>
    <row r="26202" ht="9.9499999999999993" hidden="1" customHeight="1" x14ac:dyDescent="0.2"/>
    <row r="26203" ht="9.9499999999999993" hidden="1" customHeight="1" x14ac:dyDescent="0.2"/>
    <row r="26204" ht="9.9499999999999993" hidden="1" customHeight="1" x14ac:dyDescent="0.2"/>
    <row r="26205" ht="9.9499999999999993" hidden="1" customHeight="1" x14ac:dyDescent="0.2"/>
    <row r="26206" ht="9.9499999999999993" hidden="1" customHeight="1" x14ac:dyDescent="0.2"/>
    <row r="26207" ht="9.9499999999999993" hidden="1" customHeight="1" x14ac:dyDescent="0.2"/>
    <row r="26208" ht="9.9499999999999993" hidden="1" customHeight="1" x14ac:dyDescent="0.2"/>
    <row r="26209" ht="9.9499999999999993" hidden="1" customHeight="1" x14ac:dyDescent="0.2"/>
    <row r="26210" ht="9.9499999999999993" hidden="1" customHeight="1" x14ac:dyDescent="0.2"/>
    <row r="26211" ht="9.9499999999999993" hidden="1" customHeight="1" x14ac:dyDescent="0.2"/>
    <row r="26212" ht="9.9499999999999993" hidden="1" customHeight="1" x14ac:dyDescent="0.2"/>
    <row r="26213" ht="9.9499999999999993" hidden="1" customHeight="1" x14ac:dyDescent="0.2"/>
    <row r="26214" ht="9.9499999999999993" hidden="1" customHeight="1" x14ac:dyDescent="0.2"/>
    <row r="26215" ht="9.9499999999999993" hidden="1" customHeight="1" x14ac:dyDescent="0.2"/>
    <row r="26216" ht="9.9499999999999993" hidden="1" customHeight="1" x14ac:dyDescent="0.2"/>
    <row r="26217" ht="9.9499999999999993" hidden="1" customHeight="1" x14ac:dyDescent="0.2"/>
    <row r="26218" ht="9.9499999999999993" hidden="1" customHeight="1" x14ac:dyDescent="0.2"/>
    <row r="26219" ht="9.9499999999999993" hidden="1" customHeight="1" x14ac:dyDescent="0.2"/>
    <row r="26220" ht="9.9499999999999993" hidden="1" customHeight="1" x14ac:dyDescent="0.2"/>
    <row r="26221" ht="9.9499999999999993" hidden="1" customHeight="1" x14ac:dyDescent="0.2"/>
    <row r="26222" ht="9.9499999999999993" hidden="1" customHeight="1" x14ac:dyDescent="0.2"/>
    <row r="26223" ht="9.9499999999999993" hidden="1" customHeight="1" x14ac:dyDescent="0.2"/>
    <row r="26224" ht="9.9499999999999993" hidden="1" customHeight="1" x14ac:dyDescent="0.2"/>
    <row r="26225" ht="9.9499999999999993" hidden="1" customHeight="1" x14ac:dyDescent="0.2"/>
    <row r="26226" ht="9.9499999999999993" hidden="1" customHeight="1" x14ac:dyDescent="0.2"/>
    <row r="26227" ht="9.9499999999999993" hidden="1" customHeight="1" x14ac:dyDescent="0.2"/>
    <row r="26228" ht="9.9499999999999993" hidden="1" customHeight="1" x14ac:dyDescent="0.2"/>
    <row r="26229" ht="9.9499999999999993" hidden="1" customHeight="1" x14ac:dyDescent="0.2"/>
    <row r="26230" ht="9.9499999999999993" hidden="1" customHeight="1" x14ac:dyDescent="0.2"/>
    <row r="26231" ht="9.9499999999999993" hidden="1" customHeight="1" x14ac:dyDescent="0.2"/>
    <row r="26232" ht="9.9499999999999993" hidden="1" customHeight="1" x14ac:dyDescent="0.2"/>
    <row r="26233" ht="9.9499999999999993" hidden="1" customHeight="1" x14ac:dyDescent="0.2"/>
    <row r="26234" ht="9.9499999999999993" hidden="1" customHeight="1" x14ac:dyDescent="0.2"/>
    <row r="26235" ht="9.9499999999999993" hidden="1" customHeight="1" x14ac:dyDescent="0.2"/>
    <row r="26236" ht="9.9499999999999993" hidden="1" customHeight="1" x14ac:dyDescent="0.2"/>
    <row r="26237" ht="9.9499999999999993" hidden="1" customHeight="1" x14ac:dyDescent="0.2"/>
    <row r="26238" ht="9.9499999999999993" hidden="1" customHeight="1" x14ac:dyDescent="0.2"/>
    <row r="26239" ht="9.9499999999999993" hidden="1" customHeight="1" x14ac:dyDescent="0.2"/>
    <row r="26240" ht="9.9499999999999993" hidden="1" customHeight="1" x14ac:dyDescent="0.2"/>
    <row r="26241" ht="9.9499999999999993" hidden="1" customHeight="1" x14ac:dyDescent="0.2"/>
    <row r="26242" ht="9.9499999999999993" hidden="1" customHeight="1" x14ac:dyDescent="0.2"/>
    <row r="26243" ht="9.9499999999999993" hidden="1" customHeight="1" x14ac:dyDescent="0.2"/>
    <row r="26244" ht="9.9499999999999993" hidden="1" customHeight="1" x14ac:dyDescent="0.2"/>
    <row r="26245" ht="9.9499999999999993" hidden="1" customHeight="1" x14ac:dyDescent="0.2"/>
    <row r="26246" ht="9.9499999999999993" hidden="1" customHeight="1" x14ac:dyDescent="0.2"/>
    <row r="26247" ht="9.9499999999999993" hidden="1" customHeight="1" x14ac:dyDescent="0.2"/>
    <row r="26248" ht="9.9499999999999993" hidden="1" customHeight="1" x14ac:dyDescent="0.2"/>
    <row r="26249" ht="9.9499999999999993" hidden="1" customHeight="1" x14ac:dyDescent="0.2"/>
    <row r="26250" ht="9.9499999999999993" hidden="1" customHeight="1" x14ac:dyDescent="0.2"/>
    <row r="26251" ht="9.9499999999999993" hidden="1" customHeight="1" x14ac:dyDescent="0.2"/>
    <row r="26252" ht="9.9499999999999993" hidden="1" customHeight="1" x14ac:dyDescent="0.2"/>
    <row r="26253" ht="9.9499999999999993" hidden="1" customHeight="1" x14ac:dyDescent="0.2"/>
    <row r="26254" ht="9.9499999999999993" hidden="1" customHeight="1" x14ac:dyDescent="0.2"/>
    <row r="26255" ht="9.9499999999999993" hidden="1" customHeight="1" x14ac:dyDescent="0.2"/>
    <row r="26256" ht="9.9499999999999993" hidden="1" customHeight="1" x14ac:dyDescent="0.2"/>
    <row r="26257" ht="9.9499999999999993" hidden="1" customHeight="1" x14ac:dyDescent="0.2"/>
    <row r="26258" ht="9.9499999999999993" hidden="1" customHeight="1" x14ac:dyDescent="0.2"/>
    <row r="26259" ht="9.9499999999999993" hidden="1" customHeight="1" x14ac:dyDescent="0.2"/>
    <row r="26260" ht="9.9499999999999993" hidden="1" customHeight="1" x14ac:dyDescent="0.2"/>
    <row r="26261" ht="9.9499999999999993" hidden="1" customHeight="1" x14ac:dyDescent="0.2"/>
    <row r="26262" ht="9.9499999999999993" hidden="1" customHeight="1" x14ac:dyDescent="0.2"/>
    <row r="26263" ht="9.9499999999999993" hidden="1" customHeight="1" x14ac:dyDescent="0.2"/>
    <row r="26264" ht="9.9499999999999993" hidden="1" customHeight="1" x14ac:dyDescent="0.2"/>
    <row r="26265" ht="9.9499999999999993" hidden="1" customHeight="1" x14ac:dyDescent="0.2"/>
    <row r="26266" ht="9.9499999999999993" hidden="1" customHeight="1" x14ac:dyDescent="0.2"/>
    <row r="26267" ht="9.9499999999999993" hidden="1" customHeight="1" x14ac:dyDescent="0.2"/>
    <row r="26268" ht="9.9499999999999993" hidden="1" customHeight="1" x14ac:dyDescent="0.2"/>
    <row r="26269" ht="9.9499999999999993" hidden="1" customHeight="1" x14ac:dyDescent="0.2"/>
    <row r="26270" ht="9.9499999999999993" hidden="1" customHeight="1" x14ac:dyDescent="0.2"/>
    <row r="26271" ht="9.9499999999999993" hidden="1" customHeight="1" x14ac:dyDescent="0.2"/>
    <row r="26272" ht="9.9499999999999993" hidden="1" customHeight="1" x14ac:dyDescent="0.2"/>
    <row r="26273" ht="9.9499999999999993" hidden="1" customHeight="1" x14ac:dyDescent="0.2"/>
    <row r="26274" ht="9.9499999999999993" hidden="1" customHeight="1" x14ac:dyDescent="0.2"/>
    <row r="26275" ht="9.9499999999999993" hidden="1" customHeight="1" x14ac:dyDescent="0.2"/>
    <row r="26276" ht="9.9499999999999993" hidden="1" customHeight="1" x14ac:dyDescent="0.2"/>
    <row r="26277" ht="9.9499999999999993" hidden="1" customHeight="1" x14ac:dyDescent="0.2"/>
    <row r="26278" ht="9.9499999999999993" hidden="1" customHeight="1" x14ac:dyDescent="0.2"/>
    <row r="26279" ht="9.9499999999999993" hidden="1" customHeight="1" x14ac:dyDescent="0.2"/>
    <row r="26280" ht="9.9499999999999993" hidden="1" customHeight="1" x14ac:dyDescent="0.2"/>
    <row r="26281" ht="9.9499999999999993" hidden="1" customHeight="1" x14ac:dyDescent="0.2"/>
    <row r="26282" ht="9.9499999999999993" hidden="1" customHeight="1" x14ac:dyDescent="0.2"/>
    <row r="26283" ht="9.9499999999999993" hidden="1" customHeight="1" x14ac:dyDescent="0.2"/>
    <row r="26284" ht="9.9499999999999993" hidden="1" customHeight="1" x14ac:dyDescent="0.2"/>
    <row r="26285" ht="9.9499999999999993" hidden="1" customHeight="1" x14ac:dyDescent="0.2"/>
    <row r="26286" ht="9.9499999999999993" hidden="1" customHeight="1" x14ac:dyDescent="0.2"/>
    <row r="26287" ht="9.9499999999999993" hidden="1" customHeight="1" x14ac:dyDescent="0.2"/>
    <row r="26288" ht="9.9499999999999993" hidden="1" customHeight="1" x14ac:dyDescent="0.2"/>
    <row r="26289" ht="9.9499999999999993" hidden="1" customHeight="1" x14ac:dyDescent="0.2"/>
    <row r="26290" ht="9.9499999999999993" hidden="1" customHeight="1" x14ac:dyDescent="0.2"/>
    <row r="26291" ht="9.9499999999999993" hidden="1" customHeight="1" x14ac:dyDescent="0.2"/>
    <row r="26292" ht="9.9499999999999993" hidden="1" customHeight="1" x14ac:dyDescent="0.2"/>
    <row r="26293" ht="9.9499999999999993" hidden="1" customHeight="1" x14ac:dyDescent="0.2"/>
    <row r="26294" ht="9.9499999999999993" hidden="1" customHeight="1" x14ac:dyDescent="0.2"/>
    <row r="26295" ht="9.9499999999999993" hidden="1" customHeight="1" x14ac:dyDescent="0.2"/>
    <row r="26296" ht="9.9499999999999993" hidden="1" customHeight="1" x14ac:dyDescent="0.2"/>
    <row r="26297" ht="9.9499999999999993" hidden="1" customHeight="1" x14ac:dyDescent="0.2"/>
    <row r="26298" ht="9.9499999999999993" hidden="1" customHeight="1" x14ac:dyDescent="0.2"/>
    <row r="26299" ht="9.9499999999999993" hidden="1" customHeight="1" x14ac:dyDescent="0.2"/>
    <row r="26300" ht="9.9499999999999993" hidden="1" customHeight="1" x14ac:dyDescent="0.2"/>
    <row r="26301" ht="9.9499999999999993" hidden="1" customHeight="1" x14ac:dyDescent="0.2"/>
    <row r="26302" ht="9.9499999999999993" hidden="1" customHeight="1" x14ac:dyDescent="0.2"/>
    <row r="26303" ht="9.9499999999999993" hidden="1" customHeight="1" x14ac:dyDescent="0.2"/>
    <row r="26304" ht="9.9499999999999993" hidden="1" customHeight="1" x14ac:dyDescent="0.2"/>
    <row r="26305" ht="9.9499999999999993" hidden="1" customHeight="1" x14ac:dyDescent="0.2"/>
    <row r="26306" ht="9.9499999999999993" hidden="1" customHeight="1" x14ac:dyDescent="0.2"/>
    <row r="26307" ht="9.9499999999999993" hidden="1" customHeight="1" x14ac:dyDescent="0.2"/>
    <row r="26308" ht="9.9499999999999993" hidden="1" customHeight="1" x14ac:dyDescent="0.2"/>
    <row r="26309" ht="9.9499999999999993" hidden="1" customHeight="1" x14ac:dyDescent="0.2"/>
    <row r="26310" ht="9.9499999999999993" hidden="1" customHeight="1" x14ac:dyDescent="0.2"/>
    <row r="26311" ht="9.9499999999999993" hidden="1" customHeight="1" x14ac:dyDescent="0.2"/>
    <row r="26312" ht="9.9499999999999993" hidden="1" customHeight="1" x14ac:dyDescent="0.2"/>
    <row r="26313" ht="9.9499999999999993" hidden="1" customHeight="1" x14ac:dyDescent="0.2"/>
    <row r="26314" ht="9.9499999999999993" hidden="1" customHeight="1" x14ac:dyDescent="0.2"/>
    <row r="26315" ht="9.9499999999999993" hidden="1" customHeight="1" x14ac:dyDescent="0.2"/>
    <row r="26316" ht="9.9499999999999993" hidden="1" customHeight="1" x14ac:dyDescent="0.2"/>
    <row r="26317" ht="9.9499999999999993" hidden="1" customHeight="1" x14ac:dyDescent="0.2"/>
    <row r="26318" ht="9.9499999999999993" hidden="1" customHeight="1" x14ac:dyDescent="0.2"/>
    <row r="26319" ht="9.9499999999999993" hidden="1" customHeight="1" x14ac:dyDescent="0.2"/>
    <row r="26320" ht="9.9499999999999993" hidden="1" customHeight="1" x14ac:dyDescent="0.2"/>
    <row r="26321" ht="9.9499999999999993" hidden="1" customHeight="1" x14ac:dyDescent="0.2"/>
    <row r="26322" ht="9.9499999999999993" hidden="1" customHeight="1" x14ac:dyDescent="0.2"/>
    <row r="26323" ht="9.9499999999999993" hidden="1" customHeight="1" x14ac:dyDescent="0.2"/>
    <row r="26324" ht="9.9499999999999993" hidden="1" customHeight="1" x14ac:dyDescent="0.2"/>
    <row r="26325" ht="9.9499999999999993" hidden="1" customHeight="1" x14ac:dyDescent="0.2"/>
    <row r="26326" ht="9.9499999999999993" hidden="1" customHeight="1" x14ac:dyDescent="0.2"/>
    <row r="26327" ht="9.9499999999999993" hidden="1" customHeight="1" x14ac:dyDescent="0.2"/>
    <row r="26328" ht="9.9499999999999993" hidden="1" customHeight="1" x14ac:dyDescent="0.2"/>
    <row r="26329" ht="9.9499999999999993" hidden="1" customHeight="1" x14ac:dyDescent="0.2"/>
    <row r="26330" ht="9.9499999999999993" hidden="1" customHeight="1" x14ac:dyDescent="0.2"/>
    <row r="26331" ht="9.9499999999999993" hidden="1" customHeight="1" x14ac:dyDescent="0.2"/>
    <row r="26332" ht="9.9499999999999993" hidden="1" customHeight="1" x14ac:dyDescent="0.2"/>
    <row r="26333" ht="9.9499999999999993" hidden="1" customHeight="1" x14ac:dyDescent="0.2"/>
    <row r="26334" ht="9.9499999999999993" hidden="1" customHeight="1" x14ac:dyDescent="0.2"/>
    <row r="26335" ht="9.9499999999999993" hidden="1" customHeight="1" x14ac:dyDescent="0.2"/>
    <row r="26336" ht="9.9499999999999993" hidden="1" customHeight="1" x14ac:dyDescent="0.2"/>
    <row r="26337" ht="9.9499999999999993" hidden="1" customHeight="1" x14ac:dyDescent="0.2"/>
    <row r="26338" ht="9.9499999999999993" hidden="1" customHeight="1" x14ac:dyDescent="0.2"/>
    <row r="26339" ht="9.9499999999999993" hidden="1" customHeight="1" x14ac:dyDescent="0.2"/>
    <row r="26340" ht="9.9499999999999993" hidden="1" customHeight="1" x14ac:dyDescent="0.2"/>
    <row r="26341" ht="9.9499999999999993" hidden="1" customHeight="1" x14ac:dyDescent="0.2"/>
    <row r="26342" ht="9.9499999999999993" hidden="1" customHeight="1" x14ac:dyDescent="0.2"/>
    <row r="26343" ht="9.9499999999999993" hidden="1" customHeight="1" x14ac:dyDescent="0.2"/>
    <row r="26344" ht="9.9499999999999993" hidden="1" customHeight="1" x14ac:dyDescent="0.2"/>
    <row r="26345" ht="9.9499999999999993" hidden="1" customHeight="1" x14ac:dyDescent="0.2"/>
    <row r="26346" ht="9.9499999999999993" hidden="1" customHeight="1" x14ac:dyDescent="0.2"/>
    <row r="26347" ht="9.9499999999999993" hidden="1" customHeight="1" x14ac:dyDescent="0.2"/>
    <row r="26348" ht="9.9499999999999993" hidden="1" customHeight="1" x14ac:dyDescent="0.2"/>
    <row r="26349" ht="9.9499999999999993" hidden="1" customHeight="1" x14ac:dyDescent="0.2"/>
    <row r="26350" ht="9.9499999999999993" hidden="1" customHeight="1" x14ac:dyDescent="0.2"/>
    <row r="26351" ht="9.9499999999999993" hidden="1" customHeight="1" x14ac:dyDescent="0.2"/>
    <row r="26352" ht="9.9499999999999993" hidden="1" customHeight="1" x14ac:dyDescent="0.2"/>
    <row r="26353" ht="9.9499999999999993" hidden="1" customHeight="1" x14ac:dyDescent="0.2"/>
    <row r="26354" ht="9.9499999999999993" hidden="1" customHeight="1" x14ac:dyDescent="0.2"/>
    <row r="26355" ht="9.9499999999999993" hidden="1" customHeight="1" x14ac:dyDescent="0.2"/>
    <row r="26356" ht="9.9499999999999993" hidden="1" customHeight="1" x14ac:dyDescent="0.2"/>
    <row r="26357" ht="9.9499999999999993" hidden="1" customHeight="1" x14ac:dyDescent="0.2"/>
    <row r="26358" ht="9.9499999999999993" hidden="1" customHeight="1" x14ac:dyDescent="0.2"/>
    <row r="26359" ht="9.9499999999999993" hidden="1" customHeight="1" x14ac:dyDescent="0.2"/>
    <row r="26360" ht="9.9499999999999993" hidden="1" customHeight="1" x14ac:dyDescent="0.2"/>
    <row r="26361" ht="9.9499999999999993" hidden="1" customHeight="1" x14ac:dyDescent="0.2"/>
    <row r="26362" ht="9.9499999999999993" hidden="1" customHeight="1" x14ac:dyDescent="0.2"/>
    <row r="26363" ht="9.9499999999999993" hidden="1" customHeight="1" x14ac:dyDescent="0.2"/>
    <row r="26364" ht="9.9499999999999993" hidden="1" customHeight="1" x14ac:dyDescent="0.2"/>
    <row r="26365" ht="9.9499999999999993" hidden="1" customHeight="1" x14ac:dyDescent="0.2"/>
    <row r="26366" ht="9.9499999999999993" hidden="1" customHeight="1" x14ac:dyDescent="0.2"/>
    <row r="26367" ht="9.9499999999999993" hidden="1" customHeight="1" x14ac:dyDescent="0.2"/>
    <row r="26368" ht="9.9499999999999993" hidden="1" customHeight="1" x14ac:dyDescent="0.2"/>
    <row r="26369" ht="9.9499999999999993" hidden="1" customHeight="1" x14ac:dyDescent="0.2"/>
    <row r="26370" ht="9.9499999999999993" hidden="1" customHeight="1" x14ac:dyDescent="0.2"/>
    <row r="26371" ht="9.9499999999999993" hidden="1" customHeight="1" x14ac:dyDescent="0.2"/>
    <row r="26372" ht="9.9499999999999993" hidden="1" customHeight="1" x14ac:dyDescent="0.2"/>
    <row r="26373" ht="9.9499999999999993" hidden="1" customHeight="1" x14ac:dyDescent="0.2"/>
    <row r="26374" ht="9.9499999999999993" hidden="1" customHeight="1" x14ac:dyDescent="0.2"/>
    <row r="26375" ht="9.9499999999999993" hidden="1" customHeight="1" x14ac:dyDescent="0.2"/>
    <row r="26376" ht="9.9499999999999993" hidden="1" customHeight="1" x14ac:dyDescent="0.2"/>
    <row r="26377" ht="9.9499999999999993" hidden="1" customHeight="1" x14ac:dyDescent="0.2"/>
    <row r="26378" ht="9.9499999999999993" hidden="1" customHeight="1" x14ac:dyDescent="0.2"/>
    <row r="26379" ht="9.9499999999999993" hidden="1" customHeight="1" x14ac:dyDescent="0.2"/>
    <row r="26380" ht="9.9499999999999993" hidden="1" customHeight="1" x14ac:dyDescent="0.2"/>
    <row r="26381" ht="9.9499999999999993" hidden="1" customHeight="1" x14ac:dyDescent="0.2"/>
    <row r="26382" ht="9.9499999999999993" hidden="1" customHeight="1" x14ac:dyDescent="0.2"/>
    <row r="26383" ht="9.9499999999999993" hidden="1" customHeight="1" x14ac:dyDescent="0.2"/>
    <row r="26384" ht="9.9499999999999993" hidden="1" customHeight="1" x14ac:dyDescent="0.2"/>
    <row r="26385" ht="9.9499999999999993" hidden="1" customHeight="1" x14ac:dyDescent="0.2"/>
    <row r="26386" ht="9.9499999999999993" hidden="1" customHeight="1" x14ac:dyDescent="0.2"/>
    <row r="26387" ht="9.9499999999999993" hidden="1" customHeight="1" x14ac:dyDescent="0.2"/>
    <row r="26388" ht="9.9499999999999993" hidden="1" customHeight="1" x14ac:dyDescent="0.2"/>
    <row r="26389" ht="9.9499999999999993" hidden="1" customHeight="1" x14ac:dyDescent="0.2"/>
    <row r="26390" ht="9.9499999999999993" hidden="1" customHeight="1" x14ac:dyDescent="0.2"/>
    <row r="26391" ht="9.9499999999999993" hidden="1" customHeight="1" x14ac:dyDescent="0.2"/>
    <row r="26392" ht="9.9499999999999993" hidden="1" customHeight="1" x14ac:dyDescent="0.2"/>
    <row r="26393" ht="9.9499999999999993" hidden="1" customHeight="1" x14ac:dyDescent="0.2"/>
    <row r="26394" ht="9.9499999999999993" hidden="1" customHeight="1" x14ac:dyDescent="0.2"/>
    <row r="26395" ht="9.9499999999999993" hidden="1" customHeight="1" x14ac:dyDescent="0.2"/>
    <row r="26396" ht="9.9499999999999993" hidden="1" customHeight="1" x14ac:dyDescent="0.2"/>
    <row r="26397" ht="9.9499999999999993" hidden="1" customHeight="1" x14ac:dyDescent="0.2"/>
    <row r="26398" ht="9.9499999999999993" hidden="1" customHeight="1" x14ac:dyDescent="0.2"/>
    <row r="26399" ht="9.9499999999999993" hidden="1" customHeight="1" x14ac:dyDescent="0.2"/>
    <row r="26400" ht="9.9499999999999993" hidden="1" customHeight="1" x14ac:dyDescent="0.2"/>
    <row r="26401" ht="9.9499999999999993" hidden="1" customHeight="1" x14ac:dyDescent="0.2"/>
    <row r="26402" ht="9.9499999999999993" hidden="1" customHeight="1" x14ac:dyDescent="0.2"/>
    <row r="26403" ht="9.9499999999999993" hidden="1" customHeight="1" x14ac:dyDescent="0.2"/>
    <row r="26404" ht="9.9499999999999993" hidden="1" customHeight="1" x14ac:dyDescent="0.2"/>
    <row r="26405" ht="9.9499999999999993" hidden="1" customHeight="1" x14ac:dyDescent="0.2"/>
    <row r="26406" ht="9.9499999999999993" hidden="1" customHeight="1" x14ac:dyDescent="0.2"/>
    <row r="26407" ht="9.9499999999999993" hidden="1" customHeight="1" x14ac:dyDescent="0.2"/>
    <row r="26408" ht="9.9499999999999993" hidden="1" customHeight="1" x14ac:dyDescent="0.2"/>
    <row r="26409" ht="9.9499999999999993" hidden="1" customHeight="1" x14ac:dyDescent="0.2"/>
    <row r="26410" ht="9.9499999999999993" hidden="1" customHeight="1" x14ac:dyDescent="0.2"/>
    <row r="26411" ht="9.9499999999999993" hidden="1" customHeight="1" x14ac:dyDescent="0.2"/>
    <row r="26412" ht="9.9499999999999993" hidden="1" customHeight="1" x14ac:dyDescent="0.2"/>
    <row r="26413" ht="9.9499999999999993" hidden="1" customHeight="1" x14ac:dyDescent="0.2"/>
    <row r="26414" ht="9.9499999999999993" hidden="1" customHeight="1" x14ac:dyDescent="0.2"/>
    <row r="26415" ht="9.9499999999999993" hidden="1" customHeight="1" x14ac:dyDescent="0.2"/>
    <row r="26416" ht="9.9499999999999993" hidden="1" customHeight="1" x14ac:dyDescent="0.2"/>
    <row r="26417" ht="9.9499999999999993" hidden="1" customHeight="1" x14ac:dyDescent="0.2"/>
    <row r="26418" ht="9.9499999999999993" hidden="1" customHeight="1" x14ac:dyDescent="0.2"/>
    <row r="26419" ht="9.9499999999999993" hidden="1" customHeight="1" x14ac:dyDescent="0.2"/>
    <row r="26420" ht="9.9499999999999993" hidden="1" customHeight="1" x14ac:dyDescent="0.2"/>
    <row r="26421" ht="9.9499999999999993" hidden="1" customHeight="1" x14ac:dyDescent="0.2"/>
    <row r="26422" ht="9.9499999999999993" hidden="1" customHeight="1" x14ac:dyDescent="0.2"/>
    <row r="26423" ht="9.9499999999999993" hidden="1" customHeight="1" x14ac:dyDescent="0.2"/>
    <row r="26424" ht="9.9499999999999993" hidden="1" customHeight="1" x14ac:dyDescent="0.2"/>
    <row r="26425" ht="9.9499999999999993" hidden="1" customHeight="1" x14ac:dyDescent="0.2"/>
    <row r="26426" ht="9.9499999999999993" hidden="1" customHeight="1" x14ac:dyDescent="0.2"/>
    <row r="26427" ht="9.9499999999999993" hidden="1" customHeight="1" x14ac:dyDescent="0.2"/>
    <row r="26428" ht="9.9499999999999993" hidden="1" customHeight="1" x14ac:dyDescent="0.2"/>
    <row r="26429" ht="9.9499999999999993" hidden="1" customHeight="1" x14ac:dyDescent="0.2"/>
    <row r="26430" ht="9.9499999999999993" hidden="1" customHeight="1" x14ac:dyDescent="0.2"/>
    <row r="26431" ht="9.9499999999999993" hidden="1" customHeight="1" x14ac:dyDescent="0.2"/>
    <row r="26432" ht="9.9499999999999993" hidden="1" customHeight="1" x14ac:dyDescent="0.2"/>
    <row r="26433" ht="9.9499999999999993" hidden="1" customHeight="1" x14ac:dyDescent="0.2"/>
    <row r="26434" ht="9.9499999999999993" hidden="1" customHeight="1" x14ac:dyDescent="0.2"/>
    <row r="26435" ht="9.9499999999999993" hidden="1" customHeight="1" x14ac:dyDescent="0.2"/>
    <row r="26436" ht="9.9499999999999993" hidden="1" customHeight="1" x14ac:dyDescent="0.2"/>
    <row r="26437" ht="9.9499999999999993" hidden="1" customHeight="1" x14ac:dyDescent="0.2"/>
    <row r="26438" ht="9.9499999999999993" hidden="1" customHeight="1" x14ac:dyDescent="0.2"/>
    <row r="26439" ht="9.9499999999999993" hidden="1" customHeight="1" x14ac:dyDescent="0.2"/>
    <row r="26440" ht="9.9499999999999993" hidden="1" customHeight="1" x14ac:dyDescent="0.2"/>
    <row r="26441" ht="9.9499999999999993" hidden="1" customHeight="1" x14ac:dyDescent="0.2"/>
    <row r="26442" ht="9.9499999999999993" hidden="1" customHeight="1" x14ac:dyDescent="0.2"/>
    <row r="26443" ht="9.9499999999999993" hidden="1" customHeight="1" x14ac:dyDescent="0.2"/>
    <row r="26444" ht="9.9499999999999993" hidden="1" customHeight="1" x14ac:dyDescent="0.2"/>
    <row r="26445" ht="9.9499999999999993" hidden="1" customHeight="1" x14ac:dyDescent="0.2"/>
    <row r="26446" ht="9.9499999999999993" hidden="1" customHeight="1" x14ac:dyDescent="0.2"/>
    <row r="26447" ht="9.9499999999999993" hidden="1" customHeight="1" x14ac:dyDescent="0.2"/>
    <row r="26448" ht="9.9499999999999993" hidden="1" customHeight="1" x14ac:dyDescent="0.2"/>
    <row r="26449" ht="9.9499999999999993" hidden="1" customHeight="1" x14ac:dyDescent="0.2"/>
    <row r="26450" ht="9.9499999999999993" hidden="1" customHeight="1" x14ac:dyDescent="0.2"/>
    <row r="26451" ht="9.9499999999999993" hidden="1" customHeight="1" x14ac:dyDescent="0.2"/>
    <row r="26452" ht="9.9499999999999993" hidden="1" customHeight="1" x14ac:dyDescent="0.2"/>
    <row r="26453" ht="9.9499999999999993" hidden="1" customHeight="1" x14ac:dyDescent="0.2"/>
    <row r="26454" ht="9.9499999999999993" hidden="1" customHeight="1" x14ac:dyDescent="0.2"/>
    <row r="26455" ht="9.9499999999999993" hidden="1" customHeight="1" x14ac:dyDescent="0.2"/>
    <row r="26456" ht="9.9499999999999993" hidden="1" customHeight="1" x14ac:dyDescent="0.2"/>
    <row r="26457" ht="9.9499999999999993" hidden="1" customHeight="1" x14ac:dyDescent="0.2"/>
    <row r="26458" ht="9.9499999999999993" hidden="1" customHeight="1" x14ac:dyDescent="0.2"/>
    <row r="26459" ht="9.9499999999999993" hidden="1" customHeight="1" x14ac:dyDescent="0.2"/>
    <row r="26460" ht="9.9499999999999993" hidden="1" customHeight="1" x14ac:dyDescent="0.2"/>
    <row r="26461" ht="9.9499999999999993" hidden="1" customHeight="1" x14ac:dyDescent="0.2"/>
    <row r="26462" ht="9.9499999999999993" hidden="1" customHeight="1" x14ac:dyDescent="0.2"/>
    <row r="26463" ht="9.9499999999999993" hidden="1" customHeight="1" x14ac:dyDescent="0.2"/>
    <row r="26464" ht="9.9499999999999993" hidden="1" customHeight="1" x14ac:dyDescent="0.2"/>
    <row r="26465" ht="9.9499999999999993" hidden="1" customHeight="1" x14ac:dyDescent="0.2"/>
    <row r="26466" ht="9.9499999999999993" hidden="1" customHeight="1" x14ac:dyDescent="0.2"/>
    <row r="26467" ht="9.9499999999999993" hidden="1" customHeight="1" x14ac:dyDescent="0.2"/>
    <row r="26468" ht="9.9499999999999993" hidden="1" customHeight="1" x14ac:dyDescent="0.2"/>
    <row r="26469" ht="9.9499999999999993" hidden="1" customHeight="1" x14ac:dyDescent="0.2"/>
    <row r="26470" ht="9.9499999999999993" hidden="1" customHeight="1" x14ac:dyDescent="0.2"/>
    <row r="26471" ht="9.9499999999999993" hidden="1" customHeight="1" x14ac:dyDescent="0.2"/>
    <row r="26472" ht="9.9499999999999993" hidden="1" customHeight="1" x14ac:dyDescent="0.2"/>
    <row r="26473" ht="9.9499999999999993" hidden="1" customHeight="1" x14ac:dyDescent="0.2"/>
    <row r="26474" ht="9.9499999999999993" hidden="1" customHeight="1" x14ac:dyDescent="0.2"/>
    <row r="26475" ht="9.9499999999999993" hidden="1" customHeight="1" x14ac:dyDescent="0.2"/>
    <row r="26476" ht="9.9499999999999993" hidden="1" customHeight="1" x14ac:dyDescent="0.2"/>
    <row r="26477" ht="9.9499999999999993" hidden="1" customHeight="1" x14ac:dyDescent="0.2"/>
    <row r="26478" ht="9.9499999999999993" hidden="1" customHeight="1" x14ac:dyDescent="0.2"/>
    <row r="26479" ht="9.9499999999999993" hidden="1" customHeight="1" x14ac:dyDescent="0.2"/>
    <row r="26480" ht="9.9499999999999993" hidden="1" customHeight="1" x14ac:dyDescent="0.2"/>
    <row r="26481" ht="9.9499999999999993" hidden="1" customHeight="1" x14ac:dyDescent="0.2"/>
    <row r="26482" ht="9.9499999999999993" hidden="1" customHeight="1" x14ac:dyDescent="0.2"/>
    <row r="26483" ht="9.9499999999999993" hidden="1" customHeight="1" x14ac:dyDescent="0.2"/>
    <row r="26484" ht="9.9499999999999993" hidden="1" customHeight="1" x14ac:dyDescent="0.2"/>
    <row r="26485" ht="9.9499999999999993" hidden="1" customHeight="1" x14ac:dyDescent="0.2"/>
    <row r="26486" ht="9.9499999999999993" hidden="1" customHeight="1" x14ac:dyDescent="0.2"/>
    <row r="26487" ht="9.9499999999999993" hidden="1" customHeight="1" x14ac:dyDescent="0.2"/>
    <row r="26488" ht="9.9499999999999993" hidden="1" customHeight="1" x14ac:dyDescent="0.2"/>
    <row r="26489" ht="9.9499999999999993" hidden="1" customHeight="1" x14ac:dyDescent="0.2"/>
    <row r="26490" ht="9.9499999999999993" hidden="1" customHeight="1" x14ac:dyDescent="0.2"/>
    <row r="26491" ht="9.9499999999999993" hidden="1" customHeight="1" x14ac:dyDescent="0.2"/>
    <row r="26492" ht="9.9499999999999993" hidden="1" customHeight="1" x14ac:dyDescent="0.2"/>
    <row r="26493" ht="9.9499999999999993" hidden="1" customHeight="1" x14ac:dyDescent="0.2"/>
    <row r="26494" ht="9.9499999999999993" hidden="1" customHeight="1" x14ac:dyDescent="0.2"/>
    <row r="26495" ht="9.9499999999999993" hidden="1" customHeight="1" x14ac:dyDescent="0.2"/>
    <row r="26496" ht="9.9499999999999993" hidden="1" customHeight="1" x14ac:dyDescent="0.2"/>
    <row r="26497" ht="9.9499999999999993" hidden="1" customHeight="1" x14ac:dyDescent="0.2"/>
    <row r="26498" ht="9.9499999999999993" hidden="1" customHeight="1" x14ac:dyDescent="0.2"/>
    <row r="26499" ht="9.9499999999999993" hidden="1" customHeight="1" x14ac:dyDescent="0.2"/>
    <row r="26500" ht="9.9499999999999993" hidden="1" customHeight="1" x14ac:dyDescent="0.2"/>
    <row r="26501" ht="9.9499999999999993" hidden="1" customHeight="1" x14ac:dyDescent="0.2"/>
    <row r="26502" ht="9.9499999999999993" hidden="1" customHeight="1" x14ac:dyDescent="0.2"/>
    <row r="26503" ht="9.9499999999999993" hidden="1" customHeight="1" x14ac:dyDescent="0.2"/>
    <row r="26504" ht="9.9499999999999993" hidden="1" customHeight="1" x14ac:dyDescent="0.2"/>
    <row r="26505" ht="9.9499999999999993" hidden="1" customHeight="1" x14ac:dyDescent="0.2"/>
    <row r="26506" ht="9.9499999999999993" hidden="1" customHeight="1" x14ac:dyDescent="0.2"/>
    <row r="26507" ht="9.9499999999999993" hidden="1" customHeight="1" x14ac:dyDescent="0.2"/>
    <row r="26508" ht="9.9499999999999993" hidden="1" customHeight="1" x14ac:dyDescent="0.2"/>
    <row r="26509" ht="9.9499999999999993" hidden="1" customHeight="1" x14ac:dyDescent="0.2"/>
    <row r="26510" ht="9.9499999999999993" hidden="1" customHeight="1" x14ac:dyDescent="0.2"/>
    <row r="26511" ht="9.9499999999999993" hidden="1" customHeight="1" x14ac:dyDescent="0.2"/>
    <row r="26512" ht="9.9499999999999993" hidden="1" customHeight="1" x14ac:dyDescent="0.2"/>
    <row r="26513" ht="9.9499999999999993" hidden="1" customHeight="1" x14ac:dyDescent="0.2"/>
    <row r="26514" ht="9.9499999999999993" hidden="1" customHeight="1" x14ac:dyDescent="0.2"/>
    <row r="26515" ht="9.9499999999999993" hidden="1" customHeight="1" x14ac:dyDescent="0.2"/>
    <row r="26516" ht="9.9499999999999993" hidden="1" customHeight="1" x14ac:dyDescent="0.2"/>
    <row r="26517" ht="9.9499999999999993" hidden="1" customHeight="1" x14ac:dyDescent="0.2"/>
    <row r="26518" ht="9.9499999999999993" hidden="1" customHeight="1" x14ac:dyDescent="0.2"/>
    <row r="26519" ht="9.9499999999999993" hidden="1" customHeight="1" x14ac:dyDescent="0.2"/>
    <row r="26520" ht="9.9499999999999993" hidden="1" customHeight="1" x14ac:dyDescent="0.2"/>
    <row r="26521" ht="9.9499999999999993" hidden="1" customHeight="1" x14ac:dyDescent="0.2"/>
    <row r="26522" ht="9.9499999999999993" hidden="1" customHeight="1" x14ac:dyDescent="0.2"/>
    <row r="26523" ht="9.9499999999999993" hidden="1" customHeight="1" x14ac:dyDescent="0.2"/>
    <row r="26524" ht="9.9499999999999993" hidden="1" customHeight="1" x14ac:dyDescent="0.2"/>
    <row r="26525" ht="9.9499999999999993" hidden="1" customHeight="1" x14ac:dyDescent="0.2"/>
    <row r="26526" ht="9.9499999999999993" hidden="1" customHeight="1" x14ac:dyDescent="0.2"/>
    <row r="26527" ht="9.9499999999999993" hidden="1" customHeight="1" x14ac:dyDescent="0.2"/>
    <row r="26528" ht="9.9499999999999993" hidden="1" customHeight="1" x14ac:dyDescent="0.2"/>
    <row r="26529" ht="9.9499999999999993" hidden="1" customHeight="1" x14ac:dyDescent="0.2"/>
    <row r="26530" ht="9.9499999999999993" hidden="1" customHeight="1" x14ac:dyDescent="0.2"/>
    <row r="26531" ht="9.9499999999999993" hidden="1" customHeight="1" x14ac:dyDescent="0.2"/>
    <row r="26532" ht="9.9499999999999993" hidden="1" customHeight="1" x14ac:dyDescent="0.2"/>
    <row r="26533" ht="9.9499999999999993" hidden="1" customHeight="1" x14ac:dyDescent="0.2"/>
    <row r="26534" ht="9.9499999999999993" hidden="1" customHeight="1" x14ac:dyDescent="0.2"/>
    <row r="26535" ht="9.9499999999999993" hidden="1" customHeight="1" x14ac:dyDescent="0.2"/>
    <row r="26536" ht="9.9499999999999993" hidden="1" customHeight="1" x14ac:dyDescent="0.2"/>
    <row r="26537" ht="9.9499999999999993" hidden="1" customHeight="1" x14ac:dyDescent="0.2"/>
    <row r="26538" ht="9.9499999999999993" hidden="1" customHeight="1" x14ac:dyDescent="0.2"/>
    <row r="26539" ht="9.9499999999999993" hidden="1" customHeight="1" x14ac:dyDescent="0.2"/>
    <row r="26540" ht="9.9499999999999993" hidden="1" customHeight="1" x14ac:dyDescent="0.2"/>
    <row r="26541" ht="9.9499999999999993" hidden="1" customHeight="1" x14ac:dyDescent="0.2"/>
    <row r="26542" ht="9.9499999999999993" hidden="1" customHeight="1" x14ac:dyDescent="0.2"/>
    <row r="26543" ht="9.9499999999999993" hidden="1" customHeight="1" x14ac:dyDescent="0.2"/>
    <row r="26544" ht="9.9499999999999993" hidden="1" customHeight="1" x14ac:dyDescent="0.2"/>
    <row r="26545" ht="9.9499999999999993" hidden="1" customHeight="1" x14ac:dyDescent="0.2"/>
    <row r="26546" ht="9.9499999999999993" hidden="1" customHeight="1" x14ac:dyDescent="0.2"/>
    <row r="26547" ht="9.9499999999999993" hidden="1" customHeight="1" x14ac:dyDescent="0.2"/>
    <row r="26548" ht="9.9499999999999993" hidden="1" customHeight="1" x14ac:dyDescent="0.2"/>
    <row r="26549" ht="9.9499999999999993" hidden="1" customHeight="1" x14ac:dyDescent="0.2"/>
    <row r="26550" ht="9.9499999999999993" hidden="1" customHeight="1" x14ac:dyDescent="0.2"/>
    <row r="26551" ht="9.9499999999999993" hidden="1" customHeight="1" x14ac:dyDescent="0.2"/>
    <row r="26552" ht="9.9499999999999993" hidden="1" customHeight="1" x14ac:dyDescent="0.2"/>
    <row r="26553" ht="9.9499999999999993" hidden="1" customHeight="1" x14ac:dyDescent="0.2"/>
    <row r="26554" ht="9.9499999999999993" hidden="1" customHeight="1" x14ac:dyDescent="0.2"/>
    <row r="26555" ht="9.9499999999999993" hidden="1" customHeight="1" x14ac:dyDescent="0.2"/>
    <row r="26556" ht="9.9499999999999993" hidden="1" customHeight="1" x14ac:dyDescent="0.2"/>
    <row r="26557" ht="9.9499999999999993" hidden="1" customHeight="1" x14ac:dyDescent="0.2"/>
    <row r="26558" ht="9.9499999999999993" hidden="1" customHeight="1" x14ac:dyDescent="0.2"/>
    <row r="26559" ht="9.9499999999999993" hidden="1" customHeight="1" x14ac:dyDescent="0.2"/>
    <row r="26560" ht="9.9499999999999993" hidden="1" customHeight="1" x14ac:dyDescent="0.2"/>
    <row r="26561" ht="9.9499999999999993" hidden="1" customHeight="1" x14ac:dyDescent="0.2"/>
    <row r="26562" ht="9.9499999999999993" hidden="1" customHeight="1" x14ac:dyDescent="0.2"/>
    <row r="26563" ht="9.9499999999999993" hidden="1" customHeight="1" x14ac:dyDescent="0.2"/>
    <row r="26564" ht="9.9499999999999993" hidden="1" customHeight="1" x14ac:dyDescent="0.2"/>
    <row r="26565" ht="9.9499999999999993" hidden="1" customHeight="1" x14ac:dyDescent="0.2"/>
    <row r="26566" ht="9.9499999999999993" hidden="1" customHeight="1" x14ac:dyDescent="0.2"/>
    <row r="26567" ht="9.9499999999999993" hidden="1" customHeight="1" x14ac:dyDescent="0.2"/>
    <row r="26568" ht="9.9499999999999993" hidden="1" customHeight="1" x14ac:dyDescent="0.2"/>
    <row r="26569" ht="9.9499999999999993" hidden="1" customHeight="1" x14ac:dyDescent="0.2"/>
    <row r="26570" ht="9.9499999999999993" hidden="1" customHeight="1" x14ac:dyDescent="0.2"/>
    <row r="26571" ht="9.9499999999999993" hidden="1" customHeight="1" x14ac:dyDescent="0.2"/>
    <row r="26572" ht="9.9499999999999993" hidden="1" customHeight="1" x14ac:dyDescent="0.2"/>
    <row r="26573" ht="9.9499999999999993" hidden="1" customHeight="1" x14ac:dyDescent="0.2"/>
    <row r="26574" ht="9.9499999999999993" hidden="1" customHeight="1" x14ac:dyDescent="0.2"/>
    <row r="26575" ht="9.9499999999999993" hidden="1" customHeight="1" x14ac:dyDescent="0.2"/>
    <row r="26576" ht="9.9499999999999993" hidden="1" customHeight="1" x14ac:dyDescent="0.2"/>
    <row r="26577" ht="9.9499999999999993" hidden="1" customHeight="1" x14ac:dyDescent="0.2"/>
    <row r="26578" ht="9.9499999999999993" hidden="1" customHeight="1" x14ac:dyDescent="0.2"/>
    <row r="26579" ht="9.9499999999999993" hidden="1" customHeight="1" x14ac:dyDescent="0.2"/>
    <row r="26580" ht="9.9499999999999993" hidden="1" customHeight="1" x14ac:dyDescent="0.2"/>
    <row r="26581" ht="9.9499999999999993" hidden="1" customHeight="1" x14ac:dyDescent="0.2"/>
    <row r="26582" ht="9.9499999999999993" hidden="1" customHeight="1" x14ac:dyDescent="0.2"/>
    <row r="26583" ht="9.9499999999999993" hidden="1" customHeight="1" x14ac:dyDescent="0.2"/>
    <row r="26584" ht="9.9499999999999993" hidden="1" customHeight="1" x14ac:dyDescent="0.2"/>
    <row r="26585" ht="9.9499999999999993" hidden="1" customHeight="1" x14ac:dyDescent="0.2"/>
    <row r="26586" ht="9.9499999999999993" hidden="1" customHeight="1" x14ac:dyDescent="0.2"/>
    <row r="26587" ht="9.9499999999999993" hidden="1" customHeight="1" x14ac:dyDescent="0.2"/>
    <row r="26588" ht="9.9499999999999993" hidden="1" customHeight="1" x14ac:dyDescent="0.2"/>
    <row r="26589" ht="9.9499999999999993" hidden="1" customHeight="1" x14ac:dyDescent="0.2"/>
    <row r="26590" ht="9.9499999999999993" hidden="1" customHeight="1" x14ac:dyDescent="0.2"/>
    <row r="26591" ht="9.9499999999999993" hidden="1" customHeight="1" x14ac:dyDescent="0.2"/>
    <row r="26592" ht="9.9499999999999993" hidden="1" customHeight="1" x14ac:dyDescent="0.2"/>
    <row r="26593" ht="9.9499999999999993" hidden="1" customHeight="1" x14ac:dyDescent="0.2"/>
    <row r="26594" ht="9.9499999999999993" hidden="1" customHeight="1" x14ac:dyDescent="0.2"/>
    <row r="26595" ht="9.9499999999999993" hidden="1" customHeight="1" x14ac:dyDescent="0.2"/>
    <row r="26596" ht="9.9499999999999993" hidden="1" customHeight="1" x14ac:dyDescent="0.2"/>
    <row r="26597" ht="9.9499999999999993" hidden="1" customHeight="1" x14ac:dyDescent="0.2"/>
    <row r="26598" ht="9.9499999999999993" hidden="1" customHeight="1" x14ac:dyDescent="0.2"/>
    <row r="26599" ht="9.9499999999999993" hidden="1" customHeight="1" x14ac:dyDescent="0.2"/>
    <row r="26600" ht="9.9499999999999993" hidden="1" customHeight="1" x14ac:dyDescent="0.2"/>
    <row r="26601" ht="9.9499999999999993" hidden="1" customHeight="1" x14ac:dyDescent="0.2"/>
    <row r="26602" ht="9.9499999999999993" hidden="1" customHeight="1" x14ac:dyDescent="0.2"/>
    <row r="26603" ht="9.9499999999999993" hidden="1" customHeight="1" x14ac:dyDescent="0.2"/>
    <row r="26604" ht="9.9499999999999993" hidden="1" customHeight="1" x14ac:dyDescent="0.2"/>
    <row r="26605" ht="9.9499999999999993" hidden="1" customHeight="1" x14ac:dyDescent="0.2"/>
    <row r="26606" ht="9.9499999999999993" hidden="1" customHeight="1" x14ac:dyDescent="0.2"/>
    <row r="26607" ht="9.9499999999999993" hidden="1" customHeight="1" x14ac:dyDescent="0.2"/>
    <row r="26608" ht="9.9499999999999993" hidden="1" customHeight="1" x14ac:dyDescent="0.2"/>
    <row r="26609" ht="9.9499999999999993" hidden="1" customHeight="1" x14ac:dyDescent="0.2"/>
    <row r="26610" ht="9.9499999999999993" hidden="1" customHeight="1" x14ac:dyDescent="0.2"/>
    <row r="26611" ht="9.9499999999999993" hidden="1" customHeight="1" x14ac:dyDescent="0.2"/>
    <row r="26612" ht="9.9499999999999993" hidden="1" customHeight="1" x14ac:dyDescent="0.2"/>
    <row r="26613" ht="9.9499999999999993" hidden="1" customHeight="1" x14ac:dyDescent="0.2"/>
    <row r="26614" ht="9.9499999999999993" hidden="1" customHeight="1" x14ac:dyDescent="0.2"/>
    <row r="26615" ht="9.9499999999999993" hidden="1" customHeight="1" x14ac:dyDescent="0.2"/>
    <row r="26616" ht="9.9499999999999993" hidden="1" customHeight="1" x14ac:dyDescent="0.2"/>
    <row r="26617" ht="9.9499999999999993" hidden="1" customHeight="1" x14ac:dyDescent="0.2"/>
    <row r="26618" ht="9.9499999999999993" hidden="1" customHeight="1" x14ac:dyDescent="0.2"/>
    <row r="26619" ht="9.9499999999999993" hidden="1" customHeight="1" x14ac:dyDescent="0.2"/>
    <row r="26620" ht="9.9499999999999993" hidden="1" customHeight="1" x14ac:dyDescent="0.2"/>
    <row r="26621" ht="9.9499999999999993" hidden="1" customHeight="1" x14ac:dyDescent="0.2"/>
    <row r="26622" ht="9.9499999999999993" hidden="1" customHeight="1" x14ac:dyDescent="0.2"/>
    <row r="26623" ht="9.9499999999999993" hidden="1" customHeight="1" x14ac:dyDescent="0.2"/>
    <row r="26624" ht="9.9499999999999993" hidden="1" customHeight="1" x14ac:dyDescent="0.2"/>
    <row r="26625" ht="9.9499999999999993" hidden="1" customHeight="1" x14ac:dyDescent="0.2"/>
    <row r="26626" ht="9.9499999999999993" hidden="1" customHeight="1" x14ac:dyDescent="0.2"/>
    <row r="26627" ht="9.9499999999999993" hidden="1" customHeight="1" x14ac:dyDescent="0.2"/>
    <row r="26628" ht="9.9499999999999993" hidden="1" customHeight="1" x14ac:dyDescent="0.2"/>
    <row r="26629" ht="9.9499999999999993" hidden="1" customHeight="1" x14ac:dyDescent="0.2"/>
    <row r="26630" ht="9.9499999999999993" hidden="1" customHeight="1" x14ac:dyDescent="0.2"/>
    <row r="26631" ht="9.9499999999999993" hidden="1" customHeight="1" x14ac:dyDescent="0.2"/>
    <row r="26632" ht="9.9499999999999993" hidden="1" customHeight="1" x14ac:dyDescent="0.2"/>
    <row r="26633" ht="9.9499999999999993" hidden="1" customHeight="1" x14ac:dyDescent="0.2"/>
    <row r="26634" ht="9.9499999999999993" hidden="1" customHeight="1" x14ac:dyDescent="0.2"/>
    <row r="26635" ht="9.9499999999999993" hidden="1" customHeight="1" x14ac:dyDescent="0.2"/>
    <row r="26636" ht="9.9499999999999993" hidden="1" customHeight="1" x14ac:dyDescent="0.2"/>
    <row r="26637" ht="9.9499999999999993" hidden="1" customHeight="1" x14ac:dyDescent="0.2"/>
    <row r="26638" ht="9.9499999999999993" hidden="1" customHeight="1" x14ac:dyDescent="0.2"/>
    <row r="26639" ht="9.9499999999999993" hidden="1" customHeight="1" x14ac:dyDescent="0.2"/>
    <row r="26640" ht="9.9499999999999993" hidden="1" customHeight="1" x14ac:dyDescent="0.2"/>
    <row r="26641" ht="9.9499999999999993" hidden="1" customHeight="1" x14ac:dyDescent="0.2"/>
    <row r="26642" ht="9.9499999999999993" hidden="1" customHeight="1" x14ac:dyDescent="0.2"/>
    <row r="26643" ht="9.9499999999999993" hidden="1" customHeight="1" x14ac:dyDescent="0.2"/>
    <row r="26644" ht="9.9499999999999993" hidden="1" customHeight="1" x14ac:dyDescent="0.2"/>
    <row r="26645" ht="9.9499999999999993" hidden="1" customHeight="1" x14ac:dyDescent="0.2"/>
    <row r="26646" ht="9.9499999999999993" hidden="1" customHeight="1" x14ac:dyDescent="0.2"/>
    <row r="26647" ht="9.9499999999999993" hidden="1" customHeight="1" x14ac:dyDescent="0.2"/>
    <row r="26648" ht="9.9499999999999993" hidden="1" customHeight="1" x14ac:dyDescent="0.2"/>
    <row r="26649" ht="9.9499999999999993" hidden="1" customHeight="1" x14ac:dyDescent="0.2"/>
    <row r="26650" ht="9.9499999999999993" hidden="1" customHeight="1" x14ac:dyDescent="0.2"/>
    <row r="26651" ht="9.9499999999999993" hidden="1" customHeight="1" x14ac:dyDescent="0.2"/>
    <row r="26652" ht="9.9499999999999993" hidden="1" customHeight="1" x14ac:dyDescent="0.2"/>
    <row r="26653" ht="9.9499999999999993" hidden="1" customHeight="1" x14ac:dyDescent="0.2"/>
    <row r="26654" ht="9.9499999999999993" hidden="1" customHeight="1" x14ac:dyDescent="0.2"/>
    <row r="26655" ht="9.9499999999999993" hidden="1" customHeight="1" x14ac:dyDescent="0.2"/>
    <row r="26656" ht="9.9499999999999993" hidden="1" customHeight="1" x14ac:dyDescent="0.2"/>
    <row r="26657" ht="9.9499999999999993" hidden="1" customHeight="1" x14ac:dyDescent="0.2"/>
    <row r="26658" ht="9.9499999999999993" hidden="1" customHeight="1" x14ac:dyDescent="0.2"/>
    <row r="26659" ht="9.9499999999999993" hidden="1" customHeight="1" x14ac:dyDescent="0.2"/>
    <row r="26660" ht="9.9499999999999993" hidden="1" customHeight="1" x14ac:dyDescent="0.2"/>
    <row r="26661" ht="9.9499999999999993" hidden="1" customHeight="1" x14ac:dyDescent="0.2"/>
    <row r="26662" ht="9.9499999999999993" hidden="1" customHeight="1" x14ac:dyDescent="0.2"/>
    <row r="26663" ht="9.9499999999999993" hidden="1" customHeight="1" x14ac:dyDescent="0.2"/>
    <row r="26664" ht="9.9499999999999993" hidden="1" customHeight="1" x14ac:dyDescent="0.2"/>
    <row r="26665" ht="9.9499999999999993" hidden="1" customHeight="1" x14ac:dyDescent="0.2"/>
    <row r="26666" ht="9.9499999999999993" hidden="1" customHeight="1" x14ac:dyDescent="0.2"/>
    <row r="26667" ht="9.9499999999999993" hidden="1" customHeight="1" x14ac:dyDescent="0.2"/>
    <row r="26668" ht="9.9499999999999993" hidden="1" customHeight="1" x14ac:dyDescent="0.2"/>
    <row r="26669" ht="9.9499999999999993" hidden="1" customHeight="1" x14ac:dyDescent="0.2"/>
    <row r="26670" ht="9.9499999999999993" hidden="1" customHeight="1" x14ac:dyDescent="0.2"/>
    <row r="26671" ht="9.9499999999999993" hidden="1" customHeight="1" x14ac:dyDescent="0.2"/>
    <row r="26672" ht="9.9499999999999993" hidden="1" customHeight="1" x14ac:dyDescent="0.2"/>
    <row r="26673" ht="9.9499999999999993" hidden="1" customHeight="1" x14ac:dyDescent="0.2"/>
    <row r="26674" ht="9.9499999999999993" hidden="1" customHeight="1" x14ac:dyDescent="0.2"/>
    <row r="26675" ht="9.9499999999999993" hidden="1" customHeight="1" x14ac:dyDescent="0.2"/>
    <row r="26676" ht="9.9499999999999993" hidden="1" customHeight="1" x14ac:dyDescent="0.2"/>
    <row r="26677" ht="9.9499999999999993" hidden="1" customHeight="1" x14ac:dyDescent="0.2"/>
    <row r="26678" ht="9.9499999999999993" hidden="1" customHeight="1" x14ac:dyDescent="0.2"/>
    <row r="26679" ht="9.9499999999999993" hidden="1" customHeight="1" x14ac:dyDescent="0.2"/>
    <row r="26680" ht="9.9499999999999993" hidden="1" customHeight="1" x14ac:dyDescent="0.2"/>
    <row r="26681" ht="9.9499999999999993" hidden="1" customHeight="1" x14ac:dyDescent="0.2"/>
    <row r="26682" ht="9.9499999999999993" hidden="1" customHeight="1" x14ac:dyDescent="0.2"/>
    <row r="26683" ht="9.9499999999999993" hidden="1" customHeight="1" x14ac:dyDescent="0.2"/>
    <row r="26684" ht="9.9499999999999993" hidden="1" customHeight="1" x14ac:dyDescent="0.2"/>
    <row r="26685" ht="9.9499999999999993" hidden="1" customHeight="1" x14ac:dyDescent="0.2"/>
    <row r="26686" ht="9.9499999999999993" hidden="1" customHeight="1" x14ac:dyDescent="0.2"/>
    <row r="26687" ht="9.9499999999999993" hidden="1" customHeight="1" x14ac:dyDescent="0.2"/>
    <row r="26688" ht="9.9499999999999993" hidden="1" customHeight="1" x14ac:dyDescent="0.2"/>
    <row r="26689" ht="9.9499999999999993" hidden="1" customHeight="1" x14ac:dyDescent="0.2"/>
    <row r="26690" ht="9.9499999999999993" hidden="1" customHeight="1" x14ac:dyDescent="0.2"/>
    <row r="26691" ht="9.9499999999999993" hidden="1" customHeight="1" x14ac:dyDescent="0.2"/>
    <row r="26692" ht="9.9499999999999993" hidden="1" customHeight="1" x14ac:dyDescent="0.2"/>
    <row r="26693" ht="9.9499999999999993" hidden="1" customHeight="1" x14ac:dyDescent="0.2"/>
    <row r="26694" ht="9.9499999999999993" hidden="1" customHeight="1" x14ac:dyDescent="0.2"/>
    <row r="26695" ht="9.9499999999999993" hidden="1" customHeight="1" x14ac:dyDescent="0.2"/>
    <row r="26696" ht="9.9499999999999993" hidden="1" customHeight="1" x14ac:dyDescent="0.2"/>
    <row r="26697" ht="9.9499999999999993" hidden="1" customHeight="1" x14ac:dyDescent="0.2"/>
    <row r="26698" ht="9.9499999999999993" hidden="1" customHeight="1" x14ac:dyDescent="0.2"/>
    <row r="26699" ht="9.9499999999999993" hidden="1" customHeight="1" x14ac:dyDescent="0.2"/>
    <row r="26700" ht="9.9499999999999993" hidden="1" customHeight="1" x14ac:dyDescent="0.2"/>
    <row r="26701" ht="9.9499999999999993" hidden="1" customHeight="1" x14ac:dyDescent="0.2"/>
    <row r="26702" ht="9.9499999999999993" hidden="1" customHeight="1" x14ac:dyDescent="0.2"/>
    <row r="26703" ht="9.9499999999999993" hidden="1" customHeight="1" x14ac:dyDescent="0.2"/>
    <row r="26704" ht="9.9499999999999993" hidden="1" customHeight="1" x14ac:dyDescent="0.2"/>
    <row r="26705" ht="9.9499999999999993" hidden="1" customHeight="1" x14ac:dyDescent="0.2"/>
    <row r="26706" ht="9.9499999999999993" hidden="1" customHeight="1" x14ac:dyDescent="0.2"/>
    <row r="26707" ht="9.9499999999999993" hidden="1" customHeight="1" x14ac:dyDescent="0.2"/>
    <row r="26708" ht="9.9499999999999993" hidden="1" customHeight="1" x14ac:dyDescent="0.2"/>
    <row r="26709" ht="9.9499999999999993" hidden="1" customHeight="1" x14ac:dyDescent="0.2"/>
    <row r="26710" ht="9.9499999999999993" hidden="1" customHeight="1" x14ac:dyDescent="0.2"/>
    <row r="26711" ht="9.9499999999999993" hidden="1" customHeight="1" x14ac:dyDescent="0.2"/>
    <row r="26712" ht="9.9499999999999993" hidden="1" customHeight="1" x14ac:dyDescent="0.2"/>
    <row r="26713" ht="9.9499999999999993" hidden="1" customHeight="1" x14ac:dyDescent="0.2"/>
    <row r="26714" ht="9.9499999999999993" hidden="1" customHeight="1" x14ac:dyDescent="0.2"/>
    <row r="26715" ht="9.9499999999999993" hidden="1" customHeight="1" x14ac:dyDescent="0.2"/>
    <row r="26716" ht="9.9499999999999993" hidden="1" customHeight="1" x14ac:dyDescent="0.2"/>
    <row r="26717" ht="9.9499999999999993" hidden="1" customHeight="1" x14ac:dyDescent="0.2"/>
    <row r="26718" ht="9.9499999999999993" hidden="1" customHeight="1" x14ac:dyDescent="0.2"/>
    <row r="26719" ht="9.9499999999999993" hidden="1" customHeight="1" x14ac:dyDescent="0.2"/>
    <row r="26720" ht="9.9499999999999993" hidden="1" customHeight="1" x14ac:dyDescent="0.2"/>
    <row r="26721" ht="9.9499999999999993" hidden="1" customHeight="1" x14ac:dyDescent="0.2"/>
    <row r="26722" ht="9.9499999999999993" hidden="1" customHeight="1" x14ac:dyDescent="0.2"/>
    <row r="26723" ht="9.9499999999999993" hidden="1" customHeight="1" x14ac:dyDescent="0.2"/>
    <row r="26724" ht="9.9499999999999993" hidden="1" customHeight="1" x14ac:dyDescent="0.2"/>
    <row r="26725" ht="9.9499999999999993" hidden="1" customHeight="1" x14ac:dyDescent="0.2"/>
    <row r="26726" ht="9.9499999999999993" hidden="1" customHeight="1" x14ac:dyDescent="0.2"/>
    <row r="26727" ht="9.9499999999999993" hidden="1" customHeight="1" x14ac:dyDescent="0.2"/>
    <row r="26728" ht="9.9499999999999993" hidden="1" customHeight="1" x14ac:dyDescent="0.2"/>
    <row r="26729" ht="9.9499999999999993" hidden="1" customHeight="1" x14ac:dyDescent="0.2"/>
    <row r="26730" ht="9.9499999999999993" hidden="1" customHeight="1" x14ac:dyDescent="0.2"/>
    <row r="26731" ht="9.9499999999999993" hidden="1" customHeight="1" x14ac:dyDescent="0.2"/>
    <row r="26732" ht="9.9499999999999993" hidden="1" customHeight="1" x14ac:dyDescent="0.2"/>
    <row r="26733" ht="9.9499999999999993" hidden="1" customHeight="1" x14ac:dyDescent="0.2"/>
    <row r="26734" ht="9.9499999999999993" hidden="1" customHeight="1" x14ac:dyDescent="0.2"/>
    <row r="26735" ht="9.9499999999999993" hidden="1" customHeight="1" x14ac:dyDescent="0.2"/>
    <row r="26736" ht="9.9499999999999993" hidden="1" customHeight="1" x14ac:dyDescent="0.2"/>
    <row r="26737" ht="9.9499999999999993" hidden="1" customHeight="1" x14ac:dyDescent="0.2"/>
    <row r="26738" ht="9.9499999999999993" hidden="1" customHeight="1" x14ac:dyDescent="0.2"/>
    <row r="26739" ht="9.9499999999999993" hidden="1" customHeight="1" x14ac:dyDescent="0.2"/>
    <row r="26740" ht="9.9499999999999993" hidden="1" customHeight="1" x14ac:dyDescent="0.2"/>
    <row r="26741" ht="9.9499999999999993" hidden="1" customHeight="1" x14ac:dyDescent="0.2"/>
    <row r="26742" ht="9.9499999999999993" hidden="1" customHeight="1" x14ac:dyDescent="0.2"/>
    <row r="26743" ht="9.9499999999999993" hidden="1" customHeight="1" x14ac:dyDescent="0.2"/>
    <row r="26744" ht="9.9499999999999993" hidden="1" customHeight="1" x14ac:dyDescent="0.2"/>
    <row r="26745" ht="9.9499999999999993" hidden="1" customHeight="1" x14ac:dyDescent="0.2"/>
    <row r="26746" ht="9.9499999999999993" hidden="1" customHeight="1" x14ac:dyDescent="0.2"/>
    <row r="26747" ht="9.9499999999999993" hidden="1" customHeight="1" x14ac:dyDescent="0.2"/>
    <row r="26748" ht="9.9499999999999993" hidden="1" customHeight="1" x14ac:dyDescent="0.2"/>
    <row r="26749" ht="9.9499999999999993" hidden="1" customHeight="1" x14ac:dyDescent="0.2"/>
    <row r="26750" ht="9.9499999999999993" hidden="1" customHeight="1" x14ac:dyDescent="0.2"/>
    <row r="26751" ht="9.9499999999999993" hidden="1" customHeight="1" x14ac:dyDescent="0.2"/>
    <row r="26752" ht="9.9499999999999993" hidden="1" customHeight="1" x14ac:dyDescent="0.2"/>
    <row r="26753" ht="9.9499999999999993" hidden="1" customHeight="1" x14ac:dyDescent="0.2"/>
    <row r="26754" ht="9.9499999999999993" hidden="1" customHeight="1" x14ac:dyDescent="0.2"/>
    <row r="26755" ht="9.9499999999999993" hidden="1" customHeight="1" x14ac:dyDescent="0.2"/>
    <row r="26756" ht="9.9499999999999993" hidden="1" customHeight="1" x14ac:dyDescent="0.2"/>
    <row r="26757" ht="9.9499999999999993" hidden="1" customHeight="1" x14ac:dyDescent="0.2"/>
    <row r="26758" ht="9.9499999999999993" hidden="1" customHeight="1" x14ac:dyDescent="0.2"/>
    <row r="26759" ht="9.9499999999999993" hidden="1" customHeight="1" x14ac:dyDescent="0.2"/>
    <row r="26760" ht="9.9499999999999993" hidden="1" customHeight="1" x14ac:dyDescent="0.2"/>
    <row r="26761" ht="9.9499999999999993" hidden="1" customHeight="1" x14ac:dyDescent="0.2"/>
    <row r="26762" ht="9.9499999999999993" hidden="1" customHeight="1" x14ac:dyDescent="0.2"/>
    <row r="26763" ht="9.9499999999999993" hidden="1" customHeight="1" x14ac:dyDescent="0.2"/>
    <row r="26764" ht="9.9499999999999993" hidden="1" customHeight="1" x14ac:dyDescent="0.2"/>
    <row r="26765" ht="9.9499999999999993" hidden="1" customHeight="1" x14ac:dyDescent="0.2"/>
    <row r="26766" ht="9.9499999999999993" hidden="1" customHeight="1" x14ac:dyDescent="0.2"/>
    <row r="26767" ht="9.9499999999999993" hidden="1" customHeight="1" x14ac:dyDescent="0.2"/>
    <row r="26768" ht="9.9499999999999993" hidden="1" customHeight="1" x14ac:dyDescent="0.2"/>
    <row r="26769" ht="9.9499999999999993" hidden="1" customHeight="1" x14ac:dyDescent="0.2"/>
    <row r="26770" ht="9.9499999999999993" hidden="1" customHeight="1" x14ac:dyDescent="0.2"/>
    <row r="26771" ht="9.9499999999999993" hidden="1" customHeight="1" x14ac:dyDescent="0.2"/>
    <row r="26772" ht="9.9499999999999993" hidden="1" customHeight="1" x14ac:dyDescent="0.2"/>
    <row r="26773" ht="9.9499999999999993" hidden="1" customHeight="1" x14ac:dyDescent="0.2"/>
    <row r="26774" ht="9.9499999999999993" hidden="1" customHeight="1" x14ac:dyDescent="0.2"/>
    <row r="26775" ht="9.9499999999999993" hidden="1" customHeight="1" x14ac:dyDescent="0.2"/>
    <row r="26776" ht="9.9499999999999993" hidden="1" customHeight="1" x14ac:dyDescent="0.2"/>
    <row r="26777" ht="9.9499999999999993" hidden="1" customHeight="1" x14ac:dyDescent="0.2"/>
    <row r="26778" ht="9.9499999999999993" hidden="1" customHeight="1" x14ac:dyDescent="0.2"/>
    <row r="26779" ht="9.9499999999999993" hidden="1" customHeight="1" x14ac:dyDescent="0.2"/>
    <row r="26780" ht="9.9499999999999993" hidden="1" customHeight="1" x14ac:dyDescent="0.2"/>
    <row r="26781" ht="9.9499999999999993" hidden="1" customHeight="1" x14ac:dyDescent="0.2"/>
    <row r="26782" ht="9.9499999999999993" hidden="1" customHeight="1" x14ac:dyDescent="0.2"/>
    <row r="26783" ht="9.9499999999999993" hidden="1" customHeight="1" x14ac:dyDescent="0.2"/>
    <row r="26784" ht="9.9499999999999993" hidden="1" customHeight="1" x14ac:dyDescent="0.2"/>
    <row r="26785" ht="9.9499999999999993" hidden="1" customHeight="1" x14ac:dyDescent="0.2"/>
    <row r="26786" ht="9.9499999999999993" hidden="1" customHeight="1" x14ac:dyDescent="0.2"/>
    <row r="26787" ht="9.9499999999999993" hidden="1" customHeight="1" x14ac:dyDescent="0.2"/>
    <row r="26788" ht="9.9499999999999993" hidden="1" customHeight="1" x14ac:dyDescent="0.2"/>
    <row r="26789" ht="9.9499999999999993" hidden="1" customHeight="1" x14ac:dyDescent="0.2"/>
    <row r="26790" ht="9.9499999999999993" hidden="1" customHeight="1" x14ac:dyDescent="0.2"/>
    <row r="26791" ht="9.9499999999999993" hidden="1" customHeight="1" x14ac:dyDescent="0.2"/>
    <row r="26792" ht="9.9499999999999993" hidden="1" customHeight="1" x14ac:dyDescent="0.2"/>
    <row r="26793" ht="9.9499999999999993" hidden="1" customHeight="1" x14ac:dyDescent="0.2"/>
    <row r="26794" ht="9.9499999999999993" hidden="1" customHeight="1" x14ac:dyDescent="0.2"/>
    <row r="26795" ht="9.9499999999999993" hidden="1" customHeight="1" x14ac:dyDescent="0.2"/>
    <row r="26796" ht="9.9499999999999993" hidden="1" customHeight="1" x14ac:dyDescent="0.2"/>
    <row r="26797" ht="9.9499999999999993" hidden="1" customHeight="1" x14ac:dyDescent="0.2"/>
    <row r="26798" ht="9.9499999999999993" hidden="1" customHeight="1" x14ac:dyDescent="0.2"/>
    <row r="26799" ht="9.9499999999999993" hidden="1" customHeight="1" x14ac:dyDescent="0.2"/>
    <row r="26800" ht="9.9499999999999993" hidden="1" customHeight="1" x14ac:dyDescent="0.2"/>
    <row r="26801" ht="9.9499999999999993" hidden="1" customHeight="1" x14ac:dyDescent="0.2"/>
    <row r="26802" ht="9.9499999999999993" hidden="1" customHeight="1" x14ac:dyDescent="0.2"/>
    <row r="26803" ht="9.9499999999999993" hidden="1" customHeight="1" x14ac:dyDescent="0.2"/>
    <row r="26804" ht="9.9499999999999993" hidden="1" customHeight="1" x14ac:dyDescent="0.2"/>
    <row r="26805" ht="9.9499999999999993" hidden="1" customHeight="1" x14ac:dyDescent="0.2"/>
    <row r="26806" ht="9.9499999999999993" hidden="1" customHeight="1" x14ac:dyDescent="0.2"/>
    <row r="26807" ht="9.9499999999999993" hidden="1" customHeight="1" x14ac:dyDescent="0.2"/>
    <row r="26808" ht="9.9499999999999993" hidden="1" customHeight="1" x14ac:dyDescent="0.2"/>
    <row r="26809" ht="9.9499999999999993" hidden="1" customHeight="1" x14ac:dyDescent="0.2"/>
    <row r="26810" ht="9.9499999999999993" hidden="1" customHeight="1" x14ac:dyDescent="0.2"/>
    <row r="26811" ht="9.9499999999999993" hidden="1" customHeight="1" x14ac:dyDescent="0.2"/>
    <row r="26812" ht="9.9499999999999993" hidden="1" customHeight="1" x14ac:dyDescent="0.2"/>
    <row r="26813" ht="9.9499999999999993" hidden="1" customHeight="1" x14ac:dyDescent="0.2"/>
    <row r="26814" ht="9.9499999999999993" hidden="1" customHeight="1" x14ac:dyDescent="0.2"/>
    <row r="26815" ht="9.9499999999999993" hidden="1" customHeight="1" x14ac:dyDescent="0.2"/>
    <row r="26816" ht="9.9499999999999993" hidden="1" customHeight="1" x14ac:dyDescent="0.2"/>
    <row r="26817" ht="9.9499999999999993" hidden="1" customHeight="1" x14ac:dyDescent="0.2"/>
    <row r="26818" ht="9.9499999999999993" hidden="1" customHeight="1" x14ac:dyDescent="0.2"/>
    <row r="26819" ht="9.9499999999999993" hidden="1" customHeight="1" x14ac:dyDescent="0.2"/>
    <row r="26820" ht="9.9499999999999993" hidden="1" customHeight="1" x14ac:dyDescent="0.2"/>
    <row r="26821" ht="9.9499999999999993" hidden="1" customHeight="1" x14ac:dyDescent="0.2"/>
    <row r="26822" ht="9.9499999999999993" hidden="1" customHeight="1" x14ac:dyDescent="0.2"/>
    <row r="26823" ht="9.9499999999999993" hidden="1" customHeight="1" x14ac:dyDescent="0.2"/>
    <row r="26824" ht="9.9499999999999993" hidden="1" customHeight="1" x14ac:dyDescent="0.2"/>
    <row r="26825" ht="9.9499999999999993" hidden="1" customHeight="1" x14ac:dyDescent="0.2"/>
    <row r="26826" ht="9.9499999999999993" hidden="1" customHeight="1" x14ac:dyDescent="0.2"/>
    <row r="26827" ht="9.9499999999999993" hidden="1" customHeight="1" x14ac:dyDescent="0.2"/>
    <row r="26828" ht="9.9499999999999993" hidden="1" customHeight="1" x14ac:dyDescent="0.2"/>
    <row r="26829" ht="9.9499999999999993" hidden="1" customHeight="1" x14ac:dyDescent="0.2"/>
    <row r="26830" ht="9.9499999999999993" hidden="1" customHeight="1" x14ac:dyDescent="0.2"/>
    <row r="26831" ht="9.9499999999999993" hidden="1" customHeight="1" x14ac:dyDescent="0.2"/>
    <row r="26832" ht="9.9499999999999993" hidden="1" customHeight="1" x14ac:dyDescent="0.2"/>
    <row r="26833" ht="9.9499999999999993" hidden="1" customHeight="1" x14ac:dyDescent="0.2"/>
    <row r="26834" ht="9.9499999999999993" hidden="1" customHeight="1" x14ac:dyDescent="0.2"/>
    <row r="26835" ht="9.9499999999999993" hidden="1" customHeight="1" x14ac:dyDescent="0.2"/>
    <row r="26836" ht="9.9499999999999993" hidden="1" customHeight="1" x14ac:dyDescent="0.2"/>
    <row r="26837" ht="9.9499999999999993" hidden="1" customHeight="1" x14ac:dyDescent="0.2"/>
    <row r="26838" ht="9.9499999999999993" hidden="1" customHeight="1" x14ac:dyDescent="0.2"/>
    <row r="26839" ht="9.9499999999999993" hidden="1" customHeight="1" x14ac:dyDescent="0.2"/>
    <row r="26840" ht="9.9499999999999993" hidden="1" customHeight="1" x14ac:dyDescent="0.2"/>
    <row r="26841" ht="9.9499999999999993" hidden="1" customHeight="1" x14ac:dyDescent="0.2"/>
    <row r="26842" ht="9.9499999999999993" hidden="1" customHeight="1" x14ac:dyDescent="0.2"/>
    <row r="26843" ht="9.9499999999999993" hidden="1" customHeight="1" x14ac:dyDescent="0.2"/>
    <row r="26844" ht="9.9499999999999993" hidden="1" customHeight="1" x14ac:dyDescent="0.2"/>
    <row r="26845" ht="9.9499999999999993" hidden="1" customHeight="1" x14ac:dyDescent="0.2"/>
    <row r="26846" ht="9.9499999999999993" hidden="1" customHeight="1" x14ac:dyDescent="0.2"/>
    <row r="26847" ht="9.9499999999999993" hidden="1" customHeight="1" x14ac:dyDescent="0.2"/>
    <row r="26848" ht="9.9499999999999993" hidden="1" customHeight="1" x14ac:dyDescent="0.2"/>
    <row r="26849" ht="9.9499999999999993" hidden="1" customHeight="1" x14ac:dyDescent="0.2"/>
    <row r="26850" ht="9.9499999999999993" hidden="1" customHeight="1" x14ac:dyDescent="0.2"/>
    <row r="26851" ht="9.9499999999999993" hidden="1" customHeight="1" x14ac:dyDescent="0.2"/>
    <row r="26852" ht="9.9499999999999993" hidden="1" customHeight="1" x14ac:dyDescent="0.2"/>
    <row r="26853" ht="9.9499999999999993" hidden="1" customHeight="1" x14ac:dyDescent="0.2"/>
    <row r="26854" ht="9.9499999999999993" hidden="1" customHeight="1" x14ac:dyDescent="0.2"/>
    <row r="26855" ht="9.9499999999999993" hidden="1" customHeight="1" x14ac:dyDescent="0.2"/>
    <row r="26856" ht="9.9499999999999993" hidden="1" customHeight="1" x14ac:dyDescent="0.2"/>
    <row r="26857" ht="9.9499999999999993" hidden="1" customHeight="1" x14ac:dyDescent="0.2"/>
    <row r="26858" ht="9.9499999999999993" hidden="1" customHeight="1" x14ac:dyDescent="0.2"/>
    <row r="26859" ht="9.9499999999999993" hidden="1" customHeight="1" x14ac:dyDescent="0.2"/>
    <row r="26860" ht="9.9499999999999993" hidden="1" customHeight="1" x14ac:dyDescent="0.2"/>
    <row r="26861" ht="9.9499999999999993" hidden="1" customHeight="1" x14ac:dyDescent="0.2"/>
    <row r="26862" ht="9.9499999999999993" hidden="1" customHeight="1" x14ac:dyDescent="0.2"/>
    <row r="26863" ht="9.9499999999999993" hidden="1" customHeight="1" x14ac:dyDescent="0.2"/>
    <row r="26864" ht="9.9499999999999993" hidden="1" customHeight="1" x14ac:dyDescent="0.2"/>
    <row r="26865" ht="9.9499999999999993" hidden="1" customHeight="1" x14ac:dyDescent="0.2"/>
    <row r="26866" ht="9.9499999999999993" hidden="1" customHeight="1" x14ac:dyDescent="0.2"/>
    <row r="26867" ht="9.9499999999999993" hidden="1" customHeight="1" x14ac:dyDescent="0.2"/>
    <row r="26868" ht="9.9499999999999993" hidden="1" customHeight="1" x14ac:dyDescent="0.2"/>
    <row r="26869" ht="9.9499999999999993" hidden="1" customHeight="1" x14ac:dyDescent="0.2"/>
    <row r="26870" ht="9.9499999999999993" hidden="1" customHeight="1" x14ac:dyDescent="0.2"/>
    <row r="26871" ht="9.9499999999999993" hidden="1" customHeight="1" x14ac:dyDescent="0.2"/>
    <row r="26872" ht="9.9499999999999993" hidden="1" customHeight="1" x14ac:dyDescent="0.2"/>
    <row r="26873" ht="9.9499999999999993" hidden="1" customHeight="1" x14ac:dyDescent="0.2"/>
    <row r="26874" ht="9.9499999999999993" hidden="1" customHeight="1" x14ac:dyDescent="0.2"/>
    <row r="26875" ht="9.9499999999999993" hidden="1" customHeight="1" x14ac:dyDescent="0.2"/>
    <row r="26876" ht="9.9499999999999993" hidden="1" customHeight="1" x14ac:dyDescent="0.2"/>
    <row r="26877" ht="9.9499999999999993" hidden="1" customHeight="1" x14ac:dyDescent="0.2"/>
    <row r="26878" ht="9.9499999999999993" hidden="1" customHeight="1" x14ac:dyDescent="0.2"/>
    <row r="26879" ht="9.9499999999999993" hidden="1" customHeight="1" x14ac:dyDescent="0.2"/>
    <row r="26880" ht="9.9499999999999993" hidden="1" customHeight="1" x14ac:dyDescent="0.2"/>
    <row r="26881" ht="9.9499999999999993" hidden="1" customHeight="1" x14ac:dyDescent="0.2"/>
    <row r="26882" ht="9.9499999999999993" hidden="1" customHeight="1" x14ac:dyDescent="0.2"/>
    <row r="26883" ht="9.9499999999999993" hidden="1" customHeight="1" x14ac:dyDescent="0.2"/>
    <row r="26884" ht="9.9499999999999993" hidden="1" customHeight="1" x14ac:dyDescent="0.2"/>
    <row r="26885" ht="9.9499999999999993" hidden="1" customHeight="1" x14ac:dyDescent="0.2"/>
    <row r="26886" ht="9.9499999999999993" hidden="1" customHeight="1" x14ac:dyDescent="0.2"/>
    <row r="26887" ht="9.9499999999999993" hidden="1" customHeight="1" x14ac:dyDescent="0.2"/>
    <row r="26888" ht="9.9499999999999993" hidden="1" customHeight="1" x14ac:dyDescent="0.2"/>
    <row r="26889" ht="9.9499999999999993" hidden="1" customHeight="1" x14ac:dyDescent="0.2"/>
    <row r="26890" ht="9.9499999999999993" hidden="1" customHeight="1" x14ac:dyDescent="0.2"/>
    <row r="26891" ht="9.9499999999999993" hidden="1" customHeight="1" x14ac:dyDescent="0.2"/>
    <row r="26892" ht="9.9499999999999993" hidden="1" customHeight="1" x14ac:dyDescent="0.2"/>
    <row r="26893" ht="9.9499999999999993" hidden="1" customHeight="1" x14ac:dyDescent="0.2"/>
    <row r="26894" ht="9.9499999999999993" hidden="1" customHeight="1" x14ac:dyDescent="0.2"/>
    <row r="26895" ht="9.9499999999999993" hidden="1" customHeight="1" x14ac:dyDescent="0.2"/>
    <row r="26896" ht="9.9499999999999993" hidden="1" customHeight="1" x14ac:dyDescent="0.2"/>
    <row r="26897" ht="9.9499999999999993" hidden="1" customHeight="1" x14ac:dyDescent="0.2"/>
    <row r="26898" ht="9.9499999999999993" hidden="1" customHeight="1" x14ac:dyDescent="0.2"/>
    <row r="26899" ht="9.9499999999999993" hidden="1" customHeight="1" x14ac:dyDescent="0.2"/>
    <row r="26900" ht="9.9499999999999993" hidden="1" customHeight="1" x14ac:dyDescent="0.2"/>
    <row r="26901" ht="9.9499999999999993" hidden="1" customHeight="1" x14ac:dyDescent="0.2"/>
    <row r="26902" ht="9.9499999999999993" hidden="1" customHeight="1" x14ac:dyDescent="0.2"/>
    <row r="26903" ht="9.9499999999999993" hidden="1" customHeight="1" x14ac:dyDescent="0.2"/>
    <row r="26904" ht="9.9499999999999993" hidden="1" customHeight="1" x14ac:dyDescent="0.2"/>
    <row r="26905" ht="9.9499999999999993" hidden="1" customHeight="1" x14ac:dyDescent="0.2"/>
    <row r="26906" ht="9.9499999999999993" hidden="1" customHeight="1" x14ac:dyDescent="0.2"/>
    <row r="26907" ht="9.9499999999999993" hidden="1" customHeight="1" x14ac:dyDescent="0.2"/>
    <row r="26908" ht="9.9499999999999993" hidden="1" customHeight="1" x14ac:dyDescent="0.2"/>
    <row r="26909" ht="9.9499999999999993" hidden="1" customHeight="1" x14ac:dyDescent="0.2"/>
    <row r="26910" ht="9.9499999999999993" hidden="1" customHeight="1" x14ac:dyDescent="0.2"/>
    <row r="26911" ht="9.9499999999999993" hidden="1" customHeight="1" x14ac:dyDescent="0.2"/>
    <row r="26912" ht="9.9499999999999993" hidden="1" customHeight="1" x14ac:dyDescent="0.2"/>
    <row r="26913" ht="9.9499999999999993" hidden="1" customHeight="1" x14ac:dyDescent="0.2"/>
    <row r="26914" ht="9.9499999999999993" hidden="1" customHeight="1" x14ac:dyDescent="0.2"/>
    <row r="26915" ht="9.9499999999999993" hidden="1" customHeight="1" x14ac:dyDescent="0.2"/>
    <row r="26916" ht="9.9499999999999993" hidden="1" customHeight="1" x14ac:dyDescent="0.2"/>
    <row r="26917" ht="9.9499999999999993" hidden="1" customHeight="1" x14ac:dyDescent="0.2"/>
    <row r="26918" ht="9.9499999999999993" hidden="1" customHeight="1" x14ac:dyDescent="0.2"/>
    <row r="26919" ht="9.9499999999999993" hidden="1" customHeight="1" x14ac:dyDescent="0.2"/>
    <row r="26920" ht="9.9499999999999993" hidden="1" customHeight="1" x14ac:dyDescent="0.2"/>
    <row r="26921" ht="9.9499999999999993" hidden="1" customHeight="1" x14ac:dyDescent="0.2"/>
    <row r="26922" ht="9.9499999999999993" hidden="1" customHeight="1" x14ac:dyDescent="0.2"/>
    <row r="26923" ht="9.9499999999999993" hidden="1" customHeight="1" x14ac:dyDescent="0.2"/>
    <row r="26924" ht="9.9499999999999993" hidden="1" customHeight="1" x14ac:dyDescent="0.2"/>
    <row r="26925" ht="9.9499999999999993" hidden="1" customHeight="1" x14ac:dyDescent="0.2"/>
    <row r="26926" ht="9.9499999999999993" hidden="1" customHeight="1" x14ac:dyDescent="0.2"/>
    <row r="26927" ht="9.9499999999999993" hidden="1" customHeight="1" x14ac:dyDescent="0.2"/>
    <row r="26928" ht="9.9499999999999993" hidden="1" customHeight="1" x14ac:dyDescent="0.2"/>
    <row r="26929" ht="9.9499999999999993" hidden="1" customHeight="1" x14ac:dyDescent="0.2"/>
    <row r="26930" ht="9.9499999999999993" hidden="1" customHeight="1" x14ac:dyDescent="0.2"/>
    <row r="26931" ht="9.9499999999999993" hidden="1" customHeight="1" x14ac:dyDescent="0.2"/>
    <row r="26932" ht="9.9499999999999993" hidden="1" customHeight="1" x14ac:dyDescent="0.2"/>
    <row r="26933" ht="9.9499999999999993" hidden="1" customHeight="1" x14ac:dyDescent="0.2"/>
    <row r="26934" ht="9.9499999999999993" hidden="1" customHeight="1" x14ac:dyDescent="0.2"/>
    <row r="26935" ht="9.9499999999999993" hidden="1" customHeight="1" x14ac:dyDescent="0.2"/>
    <row r="26936" ht="9.9499999999999993" hidden="1" customHeight="1" x14ac:dyDescent="0.2"/>
    <row r="26937" ht="9.9499999999999993" hidden="1" customHeight="1" x14ac:dyDescent="0.2"/>
    <row r="26938" ht="9.9499999999999993" hidden="1" customHeight="1" x14ac:dyDescent="0.2"/>
    <row r="26939" ht="9.9499999999999993" hidden="1" customHeight="1" x14ac:dyDescent="0.2"/>
    <row r="26940" ht="9.9499999999999993" hidden="1" customHeight="1" x14ac:dyDescent="0.2"/>
    <row r="26941" ht="9.9499999999999993" hidden="1" customHeight="1" x14ac:dyDescent="0.2"/>
    <row r="26942" ht="9.9499999999999993" hidden="1" customHeight="1" x14ac:dyDescent="0.2"/>
    <row r="26943" ht="9.9499999999999993" hidden="1" customHeight="1" x14ac:dyDescent="0.2"/>
    <row r="26944" ht="9.9499999999999993" hidden="1" customHeight="1" x14ac:dyDescent="0.2"/>
    <row r="26945" ht="9.9499999999999993" hidden="1" customHeight="1" x14ac:dyDescent="0.2"/>
    <row r="26946" ht="9.9499999999999993" hidden="1" customHeight="1" x14ac:dyDescent="0.2"/>
    <row r="26947" ht="9.9499999999999993" hidden="1" customHeight="1" x14ac:dyDescent="0.2"/>
    <row r="26948" ht="9.9499999999999993" hidden="1" customHeight="1" x14ac:dyDescent="0.2"/>
    <row r="26949" ht="9.9499999999999993" hidden="1" customHeight="1" x14ac:dyDescent="0.2"/>
    <row r="26950" ht="9.9499999999999993" hidden="1" customHeight="1" x14ac:dyDescent="0.2"/>
    <row r="26951" ht="9.9499999999999993" hidden="1" customHeight="1" x14ac:dyDescent="0.2"/>
    <row r="26952" ht="9.9499999999999993" hidden="1" customHeight="1" x14ac:dyDescent="0.2"/>
    <row r="26953" ht="9.9499999999999993" hidden="1" customHeight="1" x14ac:dyDescent="0.2"/>
    <row r="26954" ht="9.9499999999999993" hidden="1" customHeight="1" x14ac:dyDescent="0.2"/>
    <row r="26955" ht="9.9499999999999993" hidden="1" customHeight="1" x14ac:dyDescent="0.2"/>
    <row r="26956" ht="9.9499999999999993" hidden="1" customHeight="1" x14ac:dyDescent="0.2"/>
    <row r="26957" ht="9.9499999999999993" hidden="1" customHeight="1" x14ac:dyDescent="0.2"/>
    <row r="26958" ht="9.9499999999999993" hidden="1" customHeight="1" x14ac:dyDescent="0.2"/>
    <row r="26959" ht="9.9499999999999993" hidden="1" customHeight="1" x14ac:dyDescent="0.2"/>
    <row r="26960" ht="9.9499999999999993" hidden="1" customHeight="1" x14ac:dyDescent="0.2"/>
    <row r="26961" ht="9.9499999999999993" hidden="1" customHeight="1" x14ac:dyDescent="0.2"/>
    <row r="26962" ht="9.9499999999999993" hidden="1" customHeight="1" x14ac:dyDescent="0.2"/>
    <row r="26963" ht="9.9499999999999993" hidden="1" customHeight="1" x14ac:dyDescent="0.2"/>
    <row r="26964" ht="9.9499999999999993" hidden="1" customHeight="1" x14ac:dyDescent="0.2"/>
    <row r="26965" ht="9.9499999999999993" hidden="1" customHeight="1" x14ac:dyDescent="0.2"/>
    <row r="26966" ht="9.9499999999999993" hidden="1" customHeight="1" x14ac:dyDescent="0.2"/>
    <row r="26967" ht="9.9499999999999993" hidden="1" customHeight="1" x14ac:dyDescent="0.2"/>
    <row r="26968" ht="9.9499999999999993" hidden="1" customHeight="1" x14ac:dyDescent="0.2"/>
    <row r="26969" ht="9.9499999999999993" hidden="1" customHeight="1" x14ac:dyDescent="0.2"/>
    <row r="26970" ht="9.9499999999999993" hidden="1" customHeight="1" x14ac:dyDescent="0.2"/>
    <row r="26971" ht="9.9499999999999993" hidden="1" customHeight="1" x14ac:dyDescent="0.2"/>
    <row r="26972" ht="9.9499999999999993" hidden="1" customHeight="1" x14ac:dyDescent="0.2"/>
    <row r="26973" ht="9.9499999999999993" hidden="1" customHeight="1" x14ac:dyDescent="0.2"/>
    <row r="26974" ht="9.9499999999999993" hidden="1" customHeight="1" x14ac:dyDescent="0.2"/>
    <row r="26975" ht="9.9499999999999993" hidden="1" customHeight="1" x14ac:dyDescent="0.2"/>
    <row r="26976" ht="9.9499999999999993" hidden="1" customHeight="1" x14ac:dyDescent="0.2"/>
    <row r="26977" ht="9.9499999999999993" hidden="1" customHeight="1" x14ac:dyDescent="0.2"/>
    <row r="26978" ht="9.9499999999999993" hidden="1" customHeight="1" x14ac:dyDescent="0.2"/>
    <row r="26979" ht="9.9499999999999993" hidden="1" customHeight="1" x14ac:dyDescent="0.2"/>
    <row r="26980" ht="9.9499999999999993" hidden="1" customHeight="1" x14ac:dyDescent="0.2"/>
    <row r="26981" ht="9.9499999999999993" hidden="1" customHeight="1" x14ac:dyDescent="0.2"/>
    <row r="26982" ht="9.9499999999999993" hidden="1" customHeight="1" x14ac:dyDescent="0.2"/>
    <row r="26983" ht="9.9499999999999993" hidden="1" customHeight="1" x14ac:dyDescent="0.2"/>
    <row r="26984" ht="9.9499999999999993" hidden="1" customHeight="1" x14ac:dyDescent="0.2"/>
    <row r="26985" ht="9.9499999999999993" hidden="1" customHeight="1" x14ac:dyDescent="0.2"/>
    <row r="26986" ht="9.9499999999999993" hidden="1" customHeight="1" x14ac:dyDescent="0.2"/>
    <row r="26987" ht="9.9499999999999993" hidden="1" customHeight="1" x14ac:dyDescent="0.2"/>
    <row r="26988" ht="9.9499999999999993" hidden="1" customHeight="1" x14ac:dyDescent="0.2"/>
    <row r="26989" ht="9.9499999999999993" hidden="1" customHeight="1" x14ac:dyDescent="0.2"/>
    <row r="26990" ht="9.9499999999999993" hidden="1" customHeight="1" x14ac:dyDescent="0.2"/>
    <row r="26991" ht="9.9499999999999993" hidden="1" customHeight="1" x14ac:dyDescent="0.2"/>
    <row r="26992" ht="9.9499999999999993" hidden="1" customHeight="1" x14ac:dyDescent="0.2"/>
    <row r="26993" ht="9.9499999999999993" hidden="1" customHeight="1" x14ac:dyDescent="0.2"/>
    <row r="26994" ht="9.9499999999999993" hidden="1" customHeight="1" x14ac:dyDescent="0.2"/>
    <row r="26995" ht="9.9499999999999993" hidden="1" customHeight="1" x14ac:dyDescent="0.2"/>
    <row r="26996" ht="9.9499999999999993" hidden="1" customHeight="1" x14ac:dyDescent="0.2"/>
    <row r="26997" ht="9.9499999999999993" hidden="1" customHeight="1" x14ac:dyDescent="0.2"/>
    <row r="26998" ht="9.9499999999999993" hidden="1" customHeight="1" x14ac:dyDescent="0.2"/>
    <row r="26999" ht="9.9499999999999993" hidden="1" customHeight="1" x14ac:dyDescent="0.2"/>
    <row r="27000" ht="9.9499999999999993" hidden="1" customHeight="1" x14ac:dyDescent="0.2"/>
    <row r="27001" ht="9.9499999999999993" hidden="1" customHeight="1" x14ac:dyDescent="0.2"/>
    <row r="27002" ht="9.9499999999999993" hidden="1" customHeight="1" x14ac:dyDescent="0.2"/>
    <row r="27003" ht="9.9499999999999993" hidden="1" customHeight="1" x14ac:dyDescent="0.2"/>
    <row r="27004" ht="9.9499999999999993" hidden="1" customHeight="1" x14ac:dyDescent="0.2"/>
    <row r="27005" ht="9.9499999999999993" hidden="1" customHeight="1" x14ac:dyDescent="0.2"/>
    <row r="27006" ht="9.9499999999999993" hidden="1" customHeight="1" x14ac:dyDescent="0.2"/>
    <row r="27007" ht="9.9499999999999993" hidden="1" customHeight="1" x14ac:dyDescent="0.2"/>
    <row r="27008" ht="9.9499999999999993" hidden="1" customHeight="1" x14ac:dyDescent="0.2"/>
    <row r="27009" ht="9.9499999999999993" hidden="1" customHeight="1" x14ac:dyDescent="0.2"/>
    <row r="27010" ht="9.9499999999999993" hidden="1" customHeight="1" x14ac:dyDescent="0.2"/>
    <row r="27011" ht="9.9499999999999993" hidden="1" customHeight="1" x14ac:dyDescent="0.2"/>
    <row r="27012" ht="9.9499999999999993" hidden="1" customHeight="1" x14ac:dyDescent="0.2"/>
    <row r="27013" ht="9.9499999999999993" hidden="1" customHeight="1" x14ac:dyDescent="0.2"/>
    <row r="27014" ht="9.9499999999999993" hidden="1" customHeight="1" x14ac:dyDescent="0.2"/>
    <row r="27015" ht="9.9499999999999993" hidden="1" customHeight="1" x14ac:dyDescent="0.2"/>
    <row r="27016" ht="9.9499999999999993" hidden="1" customHeight="1" x14ac:dyDescent="0.2"/>
    <row r="27017" ht="9.9499999999999993" hidden="1" customHeight="1" x14ac:dyDescent="0.2"/>
    <row r="27018" ht="9.9499999999999993" hidden="1" customHeight="1" x14ac:dyDescent="0.2"/>
    <row r="27019" ht="9.9499999999999993" hidden="1" customHeight="1" x14ac:dyDescent="0.2"/>
    <row r="27020" ht="9.9499999999999993" hidden="1" customHeight="1" x14ac:dyDescent="0.2"/>
    <row r="27021" ht="9.9499999999999993" hidden="1" customHeight="1" x14ac:dyDescent="0.2"/>
    <row r="27022" ht="9.9499999999999993" hidden="1" customHeight="1" x14ac:dyDescent="0.2"/>
    <row r="27023" ht="9.9499999999999993" hidden="1" customHeight="1" x14ac:dyDescent="0.2"/>
    <row r="27024" ht="9.9499999999999993" hidden="1" customHeight="1" x14ac:dyDescent="0.2"/>
    <row r="27025" ht="9.9499999999999993" hidden="1" customHeight="1" x14ac:dyDescent="0.2"/>
    <row r="27026" ht="9.9499999999999993" hidden="1" customHeight="1" x14ac:dyDescent="0.2"/>
    <row r="27027" ht="9.9499999999999993" hidden="1" customHeight="1" x14ac:dyDescent="0.2"/>
    <row r="27028" ht="9.9499999999999993" hidden="1" customHeight="1" x14ac:dyDescent="0.2"/>
    <row r="27029" ht="9.9499999999999993" hidden="1" customHeight="1" x14ac:dyDescent="0.2"/>
    <row r="27030" ht="9.9499999999999993" hidden="1" customHeight="1" x14ac:dyDescent="0.2"/>
    <row r="27031" ht="9.9499999999999993" hidden="1" customHeight="1" x14ac:dyDescent="0.2"/>
    <row r="27032" ht="9.9499999999999993" hidden="1" customHeight="1" x14ac:dyDescent="0.2"/>
    <row r="27033" ht="9.9499999999999993" hidden="1" customHeight="1" x14ac:dyDescent="0.2"/>
    <row r="27034" ht="9.9499999999999993" hidden="1" customHeight="1" x14ac:dyDescent="0.2"/>
    <row r="27035" ht="9.9499999999999993" hidden="1" customHeight="1" x14ac:dyDescent="0.2"/>
    <row r="27036" ht="9.9499999999999993" hidden="1" customHeight="1" x14ac:dyDescent="0.2"/>
    <row r="27037" ht="9.9499999999999993" hidden="1" customHeight="1" x14ac:dyDescent="0.2"/>
    <row r="27038" ht="9.9499999999999993" hidden="1" customHeight="1" x14ac:dyDescent="0.2"/>
    <row r="27039" ht="9.9499999999999993" hidden="1" customHeight="1" x14ac:dyDescent="0.2"/>
    <row r="27040" ht="9.9499999999999993" hidden="1" customHeight="1" x14ac:dyDescent="0.2"/>
    <row r="27041" ht="9.9499999999999993" hidden="1" customHeight="1" x14ac:dyDescent="0.2"/>
    <row r="27042" ht="9.9499999999999993" hidden="1" customHeight="1" x14ac:dyDescent="0.2"/>
    <row r="27043" ht="9.9499999999999993" hidden="1" customHeight="1" x14ac:dyDescent="0.2"/>
    <row r="27044" ht="9.9499999999999993" hidden="1" customHeight="1" x14ac:dyDescent="0.2"/>
    <row r="27045" ht="9.9499999999999993" hidden="1" customHeight="1" x14ac:dyDescent="0.2"/>
    <row r="27046" ht="9.9499999999999993" hidden="1" customHeight="1" x14ac:dyDescent="0.2"/>
    <row r="27047" ht="9.9499999999999993" hidden="1" customHeight="1" x14ac:dyDescent="0.2"/>
    <row r="27048" ht="9.9499999999999993" hidden="1" customHeight="1" x14ac:dyDescent="0.2"/>
    <row r="27049" ht="9.9499999999999993" hidden="1" customHeight="1" x14ac:dyDescent="0.2"/>
    <row r="27050" ht="9.9499999999999993" hidden="1" customHeight="1" x14ac:dyDescent="0.2"/>
    <row r="27051" ht="9.9499999999999993" hidden="1" customHeight="1" x14ac:dyDescent="0.2"/>
    <row r="27052" ht="9.9499999999999993" hidden="1" customHeight="1" x14ac:dyDescent="0.2"/>
    <row r="27053" ht="9.9499999999999993" hidden="1" customHeight="1" x14ac:dyDescent="0.2"/>
    <row r="27054" ht="9.9499999999999993" hidden="1" customHeight="1" x14ac:dyDescent="0.2"/>
    <row r="27055" ht="9.9499999999999993" hidden="1" customHeight="1" x14ac:dyDescent="0.2"/>
    <row r="27056" ht="9.9499999999999993" hidden="1" customHeight="1" x14ac:dyDescent="0.2"/>
    <row r="27057" ht="9.9499999999999993" hidden="1" customHeight="1" x14ac:dyDescent="0.2"/>
    <row r="27058" ht="9.9499999999999993" hidden="1" customHeight="1" x14ac:dyDescent="0.2"/>
    <row r="27059" ht="9.9499999999999993" hidden="1" customHeight="1" x14ac:dyDescent="0.2"/>
    <row r="27060" ht="9.9499999999999993" hidden="1" customHeight="1" x14ac:dyDescent="0.2"/>
    <row r="27061" ht="9.9499999999999993" hidden="1" customHeight="1" x14ac:dyDescent="0.2"/>
    <row r="27062" ht="9.9499999999999993" hidden="1" customHeight="1" x14ac:dyDescent="0.2"/>
    <row r="27063" ht="9.9499999999999993" hidden="1" customHeight="1" x14ac:dyDescent="0.2"/>
    <row r="27064" ht="9.9499999999999993" hidden="1" customHeight="1" x14ac:dyDescent="0.2"/>
    <row r="27065" ht="9.9499999999999993" hidden="1" customHeight="1" x14ac:dyDescent="0.2"/>
    <row r="27066" ht="9.9499999999999993" hidden="1" customHeight="1" x14ac:dyDescent="0.2"/>
    <row r="27067" ht="9.9499999999999993" hidden="1" customHeight="1" x14ac:dyDescent="0.2"/>
    <row r="27068" ht="9.9499999999999993" hidden="1" customHeight="1" x14ac:dyDescent="0.2"/>
    <row r="27069" ht="9.9499999999999993" hidden="1" customHeight="1" x14ac:dyDescent="0.2"/>
    <row r="27070" ht="9.9499999999999993" hidden="1" customHeight="1" x14ac:dyDescent="0.2"/>
    <row r="27071" ht="9.9499999999999993" hidden="1" customHeight="1" x14ac:dyDescent="0.2"/>
    <row r="27072" ht="9.9499999999999993" hidden="1" customHeight="1" x14ac:dyDescent="0.2"/>
    <row r="27073" ht="9.9499999999999993" hidden="1" customHeight="1" x14ac:dyDescent="0.2"/>
    <row r="27074" ht="9.9499999999999993" hidden="1" customHeight="1" x14ac:dyDescent="0.2"/>
    <row r="27075" ht="9.9499999999999993" hidden="1" customHeight="1" x14ac:dyDescent="0.2"/>
    <row r="27076" ht="9.9499999999999993" hidden="1" customHeight="1" x14ac:dyDescent="0.2"/>
    <row r="27077" ht="9.9499999999999993" hidden="1" customHeight="1" x14ac:dyDescent="0.2"/>
    <row r="27078" ht="9.9499999999999993" hidden="1" customHeight="1" x14ac:dyDescent="0.2"/>
    <row r="27079" ht="9.9499999999999993" hidden="1" customHeight="1" x14ac:dyDescent="0.2"/>
    <row r="27080" ht="9.9499999999999993" hidden="1" customHeight="1" x14ac:dyDescent="0.2"/>
    <row r="27081" ht="9.9499999999999993" hidden="1" customHeight="1" x14ac:dyDescent="0.2"/>
    <row r="27082" ht="9.9499999999999993" hidden="1" customHeight="1" x14ac:dyDescent="0.2"/>
    <row r="27083" ht="9.9499999999999993" hidden="1" customHeight="1" x14ac:dyDescent="0.2"/>
    <row r="27084" ht="9.9499999999999993" hidden="1" customHeight="1" x14ac:dyDescent="0.2"/>
    <row r="27085" ht="9.9499999999999993" hidden="1" customHeight="1" x14ac:dyDescent="0.2"/>
    <row r="27086" ht="9.9499999999999993" hidden="1" customHeight="1" x14ac:dyDescent="0.2"/>
    <row r="27087" ht="9.9499999999999993" hidden="1" customHeight="1" x14ac:dyDescent="0.2"/>
    <row r="27088" ht="9.9499999999999993" hidden="1" customHeight="1" x14ac:dyDescent="0.2"/>
    <row r="27089" ht="9.9499999999999993" hidden="1" customHeight="1" x14ac:dyDescent="0.2"/>
    <row r="27090" ht="9.9499999999999993" hidden="1" customHeight="1" x14ac:dyDescent="0.2"/>
    <row r="27091" ht="9.9499999999999993" hidden="1" customHeight="1" x14ac:dyDescent="0.2"/>
    <row r="27092" ht="9.9499999999999993" hidden="1" customHeight="1" x14ac:dyDescent="0.2"/>
    <row r="27093" ht="9.9499999999999993" hidden="1" customHeight="1" x14ac:dyDescent="0.2"/>
    <row r="27094" ht="9.9499999999999993" hidden="1" customHeight="1" x14ac:dyDescent="0.2"/>
    <row r="27095" ht="9.9499999999999993" hidden="1" customHeight="1" x14ac:dyDescent="0.2"/>
    <row r="27096" ht="9.9499999999999993" hidden="1" customHeight="1" x14ac:dyDescent="0.2"/>
    <row r="27097" ht="9.9499999999999993" hidden="1" customHeight="1" x14ac:dyDescent="0.2"/>
    <row r="27098" ht="9.9499999999999993" hidden="1" customHeight="1" x14ac:dyDescent="0.2"/>
    <row r="27099" ht="9.9499999999999993" hidden="1" customHeight="1" x14ac:dyDescent="0.2"/>
    <row r="27100" ht="9.9499999999999993" hidden="1" customHeight="1" x14ac:dyDescent="0.2"/>
    <row r="27101" ht="9.9499999999999993" hidden="1" customHeight="1" x14ac:dyDescent="0.2"/>
    <row r="27102" ht="9.9499999999999993" hidden="1" customHeight="1" x14ac:dyDescent="0.2"/>
    <row r="27103" ht="9.9499999999999993" hidden="1" customHeight="1" x14ac:dyDescent="0.2"/>
    <row r="27104" ht="9.9499999999999993" hidden="1" customHeight="1" x14ac:dyDescent="0.2"/>
    <row r="27105" ht="9.9499999999999993" hidden="1" customHeight="1" x14ac:dyDescent="0.2"/>
    <row r="27106" ht="9.9499999999999993" hidden="1" customHeight="1" x14ac:dyDescent="0.2"/>
    <row r="27107" ht="9.9499999999999993" hidden="1" customHeight="1" x14ac:dyDescent="0.2"/>
    <row r="27108" ht="9.9499999999999993" hidden="1" customHeight="1" x14ac:dyDescent="0.2"/>
    <row r="27109" ht="9.9499999999999993" hidden="1" customHeight="1" x14ac:dyDescent="0.2"/>
    <row r="27110" ht="9.9499999999999993" hidden="1" customHeight="1" x14ac:dyDescent="0.2"/>
    <row r="27111" ht="9.9499999999999993" hidden="1" customHeight="1" x14ac:dyDescent="0.2"/>
    <row r="27112" ht="9.9499999999999993" hidden="1" customHeight="1" x14ac:dyDescent="0.2"/>
    <row r="27113" ht="9.9499999999999993" hidden="1" customHeight="1" x14ac:dyDescent="0.2"/>
    <row r="27114" ht="9.9499999999999993" hidden="1" customHeight="1" x14ac:dyDescent="0.2"/>
    <row r="27115" ht="9.9499999999999993" hidden="1" customHeight="1" x14ac:dyDescent="0.2"/>
    <row r="27116" ht="9.9499999999999993" hidden="1" customHeight="1" x14ac:dyDescent="0.2"/>
    <row r="27117" ht="9.9499999999999993" hidden="1" customHeight="1" x14ac:dyDescent="0.2"/>
    <row r="27118" ht="9.9499999999999993" hidden="1" customHeight="1" x14ac:dyDescent="0.2"/>
    <row r="27119" ht="9.9499999999999993" hidden="1" customHeight="1" x14ac:dyDescent="0.2"/>
    <row r="27120" ht="9.9499999999999993" hidden="1" customHeight="1" x14ac:dyDescent="0.2"/>
    <row r="27121" ht="9.9499999999999993" hidden="1" customHeight="1" x14ac:dyDescent="0.2"/>
    <row r="27122" ht="9.9499999999999993" hidden="1" customHeight="1" x14ac:dyDescent="0.2"/>
    <row r="27123" ht="9.9499999999999993" hidden="1" customHeight="1" x14ac:dyDescent="0.2"/>
    <row r="27124" ht="9.9499999999999993" hidden="1" customHeight="1" x14ac:dyDescent="0.2"/>
    <row r="27125" ht="9.9499999999999993" hidden="1" customHeight="1" x14ac:dyDescent="0.2"/>
    <row r="27126" ht="9.9499999999999993" hidden="1" customHeight="1" x14ac:dyDescent="0.2"/>
    <row r="27127" ht="9.9499999999999993" hidden="1" customHeight="1" x14ac:dyDescent="0.2"/>
    <row r="27128" ht="9.9499999999999993" hidden="1" customHeight="1" x14ac:dyDescent="0.2"/>
    <row r="27129" ht="9.9499999999999993" hidden="1" customHeight="1" x14ac:dyDescent="0.2"/>
    <row r="27130" ht="9.9499999999999993" hidden="1" customHeight="1" x14ac:dyDescent="0.2"/>
    <row r="27131" ht="9.9499999999999993" hidden="1" customHeight="1" x14ac:dyDescent="0.2"/>
    <row r="27132" ht="9.9499999999999993" hidden="1" customHeight="1" x14ac:dyDescent="0.2"/>
    <row r="27133" ht="9.9499999999999993" hidden="1" customHeight="1" x14ac:dyDescent="0.2"/>
    <row r="27134" ht="9.9499999999999993" hidden="1" customHeight="1" x14ac:dyDescent="0.2"/>
    <row r="27135" ht="9.9499999999999993" hidden="1" customHeight="1" x14ac:dyDescent="0.2"/>
    <row r="27136" ht="9.9499999999999993" hidden="1" customHeight="1" x14ac:dyDescent="0.2"/>
    <row r="27137" ht="9.9499999999999993" hidden="1" customHeight="1" x14ac:dyDescent="0.2"/>
    <row r="27138" ht="9.9499999999999993" hidden="1" customHeight="1" x14ac:dyDescent="0.2"/>
    <row r="27139" ht="9.9499999999999993" hidden="1" customHeight="1" x14ac:dyDescent="0.2"/>
    <row r="27140" ht="9.9499999999999993" hidden="1" customHeight="1" x14ac:dyDescent="0.2"/>
    <row r="27141" ht="9.9499999999999993" hidden="1" customHeight="1" x14ac:dyDescent="0.2"/>
    <row r="27142" ht="9.9499999999999993" hidden="1" customHeight="1" x14ac:dyDescent="0.2"/>
    <row r="27143" ht="9.9499999999999993" hidden="1" customHeight="1" x14ac:dyDescent="0.2"/>
    <row r="27144" ht="9.9499999999999993" hidden="1" customHeight="1" x14ac:dyDescent="0.2"/>
    <row r="27145" ht="9.9499999999999993" hidden="1" customHeight="1" x14ac:dyDescent="0.2"/>
    <row r="27146" ht="9.9499999999999993" hidden="1" customHeight="1" x14ac:dyDescent="0.2"/>
    <row r="27147" ht="9.9499999999999993" hidden="1" customHeight="1" x14ac:dyDescent="0.2"/>
    <row r="27148" ht="9.9499999999999993" hidden="1" customHeight="1" x14ac:dyDescent="0.2"/>
    <row r="27149" ht="9.9499999999999993" hidden="1" customHeight="1" x14ac:dyDescent="0.2"/>
    <row r="27150" ht="9.9499999999999993" hidden="1" customHeight="1" x14ac:dyDescent="0.2"/>
    <row r="27151" ht="9.9499999999999993" hidden="1" customHeight="1" x14ac:dyDescent="0.2"/>
    <row r="27152" ht="9.9499999999999993" hidden="1" customHeight="1" x14ac:dyDescent="0.2"/>
    <row r="27153" ht="9.9499999999999993" hidden="1" customHeight="1" x14ac:dyDescent="0.2"/>
    <row r="27154" ht="9.9499999999999993" hidden="1" customHeight="1" x14ac:dyDescent="0.2"/>
    <row r="27155" ht="9.9499999999999993" hidden="1" customHeight="1" x14ac:dyDescent="0.2"/>
    <row r="27156" ht="9.9499999999999993" hidden="1" customHeight="1" x14ac:dyDescent="0.2"/>
    <row r="27157" ht="9.9499999999999993" hidden="1" customHeight="1" x14ac:dyDescent="0.2"/>
    <row r="27158" ht="9.9499999999999993" hidden="1" customHeight="1" x14ac:dyDescent="0.2"/>
    <row r="27159" ht="9.9499999999999993" hidden="1" customHeight="1" x14ac:dyDescent="0.2"/>
    <row r="27160" ht="9.9499999999999993" hidden="1" customHeight="1" x14ac:dyDescent="0.2"/>
    <row r="27161" ht="9.9499999999999993" hidden="1" customHeight="1" x14ac:dyDescent="0.2"/>
    <row r="27162" ht="9.9499999999999993" hidden="1" customHeight="1" x14ac:dyDescent="0.2"/>
    <row r="27163" ht="9.9499999999999993" hidden="1" customHeight="1" x14ac:dyDescent="0.2"/>
    <row r="27164" ht="9.9499999999999993" hidden="1" customHeight="1" x14ac:dyDescent="0.2"/>
    <row r="27165" ht="9.9499999999999993" hidden="1" customHeight="1" x14ac:dyDescent="0.2"/>
    <row r="27166" ht="9.9499999999999993" hidden="1" customHeight="1" x14ac:dyDescent="0.2"/>
    <row r="27167" ht="9.9499999999999993" hidden="1" customHeight="1" x14ac:dyDescent="0.2"/>
    <row r="27168" ht="9.9499999999999993" hidden="1" customHeight="1" x14ac:dyDescent="0.2"/>
    <row r="27169" ht="9.9499999999999993" hidden="1" customHeight="1" x14ac:dyDescent="0.2"/>
    <row r="27170" ht="9.9499999999999993" hidden="1" customHeight="1" x14ac:dyDescent="0.2"/>
    <row r="27171" ht="9.9499999999999993" hidden="1" customHeight="1" x14ac:dyDescent="0.2"/>
    <row r="27172" ht="9.9499999999999993" hidden="1" customHeight="1" x14ac:dyDescent="0.2"/>
    <row r="27173" ht="9.9499999999999993" hidden="1" customHeight="1" x14ac:dyDescent="0.2"/>
    <row r="27174" ht="9.9499999999999993" hidden="1" customHeight="1" x14ac:dyDescent="0.2"/>
    <row r="27175" ht="9.9499999999999993" hidden="1" customHeight="1" x14ac:dyDescent="0.2"/>
    <row r="27176" ht="9.9499999999999993" hidden="1" customHeight="1" x14ac:dyDescent="0.2"/>
    <row r="27177" ht="9.9499999999999993" hidden="1" customHeight="1" x14ac:dyDescent="0.2"/>
    <row r="27178" ht="9.9499999999999993" hidden="1" customHeight="1" x14ac:dyDescent="0.2"/>
    <row r="27179" ht="9.9499999999999993" hidden="1" customHeight="1" x14ac:dyDescent="0.2"/>
    <row r="27180" ht="9.9499999999999993" hidden="1" customHeight="1" x14ac:dyDescent="0.2"/>
    <row r="27181" ht="9.9499999999999993" hidden="1" customHeight="1" x14ac:dyDescent="0.2"/>
    <row r="27182" ht="9.9499999999999993" hidden="1" customHeight="1" x14ac:dyDescent="0.2"/>
    <row r="27183" ht="9.9499999999999993" hidden="1" customHeight="1" x14ac:dyDescent="0.2"/>
    <row r="27184" ht="9.9499999999999993" hidden="1" customHeight="1" x14ac:dyDescent="0.2"/>
    <row r="27185" ht="9.9499999999999993" hidden="1" customHeight="1" x14ac:dyDescent="0.2"/>
    <row r="27186" ht="9.9499999999999993" hidden="1" customHeight="1" x14ac:dyDescent="0.2"/>
    <row r="27187" ht="9.9499999999999993" hidden="1" customHeight="1" x14ac:dyDescent="0.2"/>
    <row r="27188" ht="9.9499999999999993" hidden="1" customHeight="1" x14ac:dyDescent="0.2"/>
    <row r="27189" ht="9.9499999999999993" hidden="1" customHeight="1" x14ac:dyDescent="0.2"/>
    <row r="27190" ht="9.9499999999999993" hidden="1" customHeight="1" x14ac:dyDescent="0.2"/>
    <row r="27191" ht="9.9499999999999993" hidden="1" customHeight="1" x14ac:dyDescent="0.2"/>
    <row r="27192" ht="9.9499999999999993" hidden="1" customHeight="1" x14ac:dyDescent="0.2"/>
    <row r="27193" ht="9.9499999999999993" hidden="1" customHeight="1" x14ac:dyDescent="0.2"/>
    <row r="27194" ht="9.9499999999999993" hidden="1" customHeight="1" x14ac:dyDescent="0.2"/>
    <row r="27195" ht="9.9499999999999993" hidden="1" customHeight="1" x14ac:dyDescent="0.2"/>
    <row r="27196" ht="9.9499999999999993" hidden="1" customHeight="1" x14ac:dyDescent="0.2"/>
    <row r="27197" ht="9.9499999999999993" hidden="1" customHeight="1" x14ac:dyDescent="0.2"/>
    <row r="27198" ht="9.9499999999999993" hidden="1" customHeight="1" x14ac:dyDescent="0.2"/>
    <row r="27199" ht="9.9499999999999993" hidden="1" customHeight="1" x14ac:dyDescent="0.2"/>
    <row r="27200" ht="9.9499999999999993" hidden="1" customHeight="1" x14ac:dyDescent="0.2"/>
    <row r="27201" ht="9.9499999999999993" hidden="1" customHeight="1" x14ac:dyDescent="0.2"/>
    <row r="27202" ht="9.9499999999999993" hidden="1" customHeight="1" x14ac:dyDescent="0.2"/>
    <row r="27203" ht="9.9499999999999993" hidden="1" customHeight="1" x14ac:dyDescent="0.2"/>
    <row r="27204" ht="9.9499999999999993" hidden="1" customHeight="1" x14ac:dyDescent="0.2"/>
    <row r="27205" ht="9.9499999999999993" hidden="1" customHeight="1" x14ac:dyDescent="0.2"/>
    <row r="27206" ht="9.9499999999999993" hidden="1" customHeight="1" x14ac:dyDescent="0.2"/>
    <row r="27207" ht="9.9499999999999993" hidden="1" customHeight="1" x14ac:dyDescent="0.2"/>
    <row r="27208" ht="9.9499999999999993" hidden="1" customHeight="1" x14ac:dyDescent="0.2"/>
    <row r="27209" ht="9.9499999999999993" hidden="1" customHeight="1" x14ac:dyDescent="0.2"/>
    <row r="27210" ht="9.9499999999999993" hidden="1" customHeight="1" x14ac:dyDescent="0.2"/>
    <row r="27211" ht="9.9499999999999993" hidden="1" customHeight="1" x14ac:dyDescent="0.2"/>
    <row r="27212" ht="9.9499999999999993" hidden="1" customHeight="1" x14ac:dyDescent="0.2"/>
    <row r="27213" ht="9.9499999999999993" hidden="1" customHeight="1" x14ac:dyDescent="0.2"/>
    <row r="27214" ht="9.9499999999999993" hidden="1" customHeight="1" x14ac:dyDescent="0.2"/>
    <row r="27215" ht="9.9499999999999993" hidden="1" customHeight="1" x14ac:dyDescent="0.2"/>
    <row r="27216" ht="9.9499999999999993" hidden="1" customHeight="1" x14ac:dyDescent="0.2"/>
    <row r="27217" ht="9.9499999999999993" hidden="1" customHeight="1" x14ac:dyDescent="0.2"/>
    <row r="27218" ht="9.9499999999999993" hidden="1" customHeight="1" x14ac:dyDescent="0.2"/>
    <row r="27219" ht="9.9499999999999993" hidden="1" customHeight="1" x14ac:dyDescent="0.2"/>
    <row r="27220" ht="9.9499999999999993" hidden="1" customHeight="1" x14ac:dyDescent="0.2"/>
    <row r="27221" ht="9.9499999999999993" hidden="1" customHeight="1" x14ac:dyDescent="0.2"/>
    <row r="27222" ht="9.9499999999999993" hidden="1" customHeight="1" x14ac:dyDescent="0.2"/>
    <row r="27223" ht="9.9499999999999993" hidden="1" customHeight="1" x14ac:dyDescent="0.2"/>
    <row r="27224" ht="9.9499999999999993" hidden="1" customHeight="1" x14ac:dyDescent="0.2"/>
    <row r="27225" ht="9.9499999999999993" hidden="1" customHeight="1" x14ac:dyDescent="0.2"/>
    <row r="27226" ht="9.9499999999999993" hidden="1" customHeight="1" x14ac:dyDescent="0.2"/>
    <row r="27227" ht="9.9499999999999993" hidden="1" customHeight="1" x14ac:dyDescent="0.2"/>
    <row r="27228" ht="9.9499999999999993" hidden="1" customHeight="1" x14ac:dyDescent="0.2"/>
    <row r="27229" ht="9.9499999999999993" hidden="1" customHeight="1" x14ac:dyDescent="0.2"/>
    <row r="27230" ht="9.9499999999999993" hidden="1" customHeight="1" x14ac:dyDescent="0.2"/>
    <row r="27231" ht="9.9499999999999993" hidden="1" customHeight="1" x14ac:dyDescent="0.2"/>
    <row r="27232" ht="9.9499999999999993" hidden="1" customHeight="1" x14ac:dyDescent="0.2"/>
    <row r="27233" ht="9.9499999999999993" hidden="1" customHeight="1" x14ac:dyDescent="0.2"/>
    <row r="27234" ht="9.9499999999999993" hidden="1" customHeight="1" x14ac:dyDescent="0.2"/>
    <row r="27235" ht="9.9499999999999993" hidden="1" customHeight="1" x14ac:dyDescent="0.2"/>
    <row r="27236" ht="9.9499999999999993" hidden="1" customHeight="1" x14ac:dyDescent="0.2"/>
    <row r="27237" ht="9.9499999999999993" hidden="1" customHeight="1" x14ac:dyDescent="0.2"/>
    <row r="27238" ht="9.9499999999999993" hidden="1" customHeight="1" x14ac:dyDescent="0.2"/>
    <row r="27239" ht="9.9499999999999993" hidden="1" customHeight="1" x14ac:dyDescent="0.2"/>
    <row r="27240" ht="9.9499999999999993" hidden="1" customHeight="1" x14ac:dyDescent="0.2"/>
    <row r="27241" ht="9.9499999999999993" hidden="1" customHeight="1" x14ac:dyDescent="0.2"/>
    <row r="27242" ht="9.9499999999999993" hidden="1" customHeight="1" x14ac:dyDescent="0.2"/>
    <row r="27243" ht="9.9499999999999993" hidden="1" customHeight="1" x14ac:dyDescent="0.2"/>
    <row r="27244" ht="9.9499999999999993" hidden="1" customHeight="1" x14ac:dyDescent="0.2"/>
    <row r="27245" ht="9.9499999999999993" hidden="1" customHeight="1" x14ac:dyDescent="0.2"/>
    <row r="27246" ht="9.9499999999999993" hidden="1" customHeight="1" x14ac:dyDescent="0.2"/>
    <row r="27247" ht="9.9499999999999993" hidden="1" customHeight="1" x14ac:dyDescent="0.2"/>
    <row r="27248" ht="9.9499999999999993" hidden="1" customHeight="1" x14ac:dyDescent="0.2"/>
    <row r="27249" ht="9.9499999999999993" hidden="1" customHeight="1" x14ac:dyDescent="0.2"/>
    <row r="27250" ht="9.9499999999999993" hidden="1" customHeight="1" x14ac:dyDescent="0.2"/>
    <row r="27251" ht="9.9499999999999993" hidden="1" customHeight="1" x14ac:dyDescent="0.2"/>
    <row r="27252" ht="9.9499999999999993" hidden="1" customHeight="1" x14ac:dyDescent="0.2"/>
    <row r="27253" ht="9.9499999999999993" hidden="1" customHeight="1" x14ac:dyDescent="0.2"/>
    <row r="27254" ht="9.9499999999999993" hidden="1" customHeight="1" x14ac:dyDescent="0.2"/>
    <row r="27255" ht="9.9499999999999993" hidden="1" customHeight="1" x14ac:dyDescent="0.2"/>
    <row r="27256" ht="9.9499999999999993" hidden="1" customHeight="1" x14ac:dyDescent="0.2"/>
    <row r="27257" ht="9.9499999999999993" hidden="1" customHeight="1" x14ac:dyDescent="0.2"/>
    <row r="27258" ht="9.9499999999999993" hidden="1" customHeight="1" x14ac:dyDescent="0.2"/>
    <row r="27259" ht="9.9499999999999993" hidden="1" customHeight="1" x14ac:dyDescent="0.2"/>
    <row r="27260" ht="9.9499999999999993" hidden="1" customHeight="1" x14ac:dyDescent="0.2"/>
    <row r="27261" ht="9.9499999999999993" hidden="1" customHeight="1" x14ac:dyDescent="0.2"/>
    <row r="27262" ht="9.9499999999999993" hidden="1" customHeight="1" x14ac:dyDescent="0.2"/>
    <row r="27263" ht="9.9499999999999993" hidden="1" customHeight="1" x14ac:dyDescent="0.2"/>
    <row r="27264" ht="9.9499999999999993" hidden="1" customHeight="1" x14ac:dyDescent="0.2"/>
    <row r="27265" ht="9.9499999999999993" hidden="1" customHeight="1" x14ac:dyDescent="0.2"/>
    <row r="27266" ht="9.9499999999999993" hidden="1" customHeight="1" x14ac:dyDescent="0.2"/>
    <row r="27267" ht="9.9499999999999993" hidden="1" customHeight="1" x14ac:dyDescent="0.2"/>
    <row r="27268" ht="9.9499999999999993" hidden="1" customHeight="1" x14ac:dyDescent="0.2"/>
    <row r="27269" ht="9.9499999999999993" hidden="1" customHeight="1" x14ac:dyDescent="0.2"/>
    <row r="27270" ht="9.9499999999999993" hidden="1" customHeight="1" x14ac:dyDescent="0.2"/>
    <row r="27271" ht="9.9499999999999993" hidden="1" customHeight="1" x14ac:dyDescent="0.2"/>
    <row r="27272" ht="9.9499999999999993" hidden="1" customHeight="1" x14ac:dyDescent="0.2"/>
    <row r="27273" ht="9.9499999999999993" hidden="1" customHeight="1" x14ac:dyDescent="0.2"/>
    <row r="27274" ht="9.9499999999999993" hidden="1" customHeight="1" x14ac:dyDescent="0.2"/>
    <row r="27275" ht="9.9499999999999993" hidden="1" customHeight="1" x14ac:dyDescent="0.2"/>
    <row r="27276" ht="9.9499999999999993" hidden="1" customHeight="1" x14ac:dyDescent="0.2"/>
    <row r="27277" ht="9.9499999999999993" hidden="1" customHeight="1" x14ac:dyDescent="0.2"/>
    <row r="27278" ht="9.9499999999999993" hidden="1" customHeight="1" x14ac:dyDescent="0.2"/>
    <row r="27279" ht="9.9499999999999993" hidden="1" customHeight="1" x14ac:dyDescent="0.2"/>
    <row r="27280" ht="9.9499999999999993" hidden="1" customHeight="1" x14ac:dyDescent="0.2"/>
    <row r="27281" ht="9.9499999999999993" hidden="1" customHeight="1" x14ac:dyDescent="0.2"/>
    <row r="27282" ht="9.9499999999999993" hidden="1" customHeight="1" x14ac:dyDescent="0.2"/>
    <row r="27283" ht="9.9499999999999993" hidden="1" customHeight="1" x14ac:dyDescent="0.2"/>
    <row r="27284" ht="9.9499999999999993" hidden="1" customHeight="1" x14ac:dyDescent="0.2"/>
    <row r="27285" ht="9.9499999999999993" hidden="1" customHeight="1" x14ac:dyDescent="0.2"/>
    <row r="27286" ht="9.9499999999999993" hidden="1" customHeight="1" x14ac:dyDescent="0.2"/>
    <row r="27287" ht="9.9499999999999993" hidden="1" customHeight="1" x14ac:dyDescent="0.2"/>
    <row r="27288" ht="9.9499999999999993" hidden="1" customHeight="1" x14ac:dyDescent="0.2"/>
    <row r="27289" ht="9.9499999999999993" hidden="1" customHeight="1" x14ac:dyDescent="0.2"/>
    <row r="27290" ht="9.9499999999999993" hidden="1" customHeight="1" x14ac:dyDescent="0.2"/>
    <row r="27291" ht="9.9499999999999993" hidden="1" customHeight="1" x14ac:dyDescent="0.2"/>
    <row r="27292" ht="9.9499999999999993" hidden="1" customHeight="1" x14ac:dyDescent="0.2"/>
    <row r="27293" ht="9.9499999999999993" hidden="1" customHeight="1" x14ac:dyDescent="0.2"/>
    <row r="27294" ht="9.9499999999999993" hidden="1" customHeight="1" x14ac:dyDescent="0.2"/>
    <row r="27295" ht="9.9499999999999993" hidden="1" customHeight="1" x14ac:dyDescent="0.2"/>
    <row r="27296" ht="9.9499999999999993" hidden="1" customHeight="1" x14ac:dyDescent="0.2"/>
    <row r="27297" ht="9.9499999999999993" hidden="1" customHeight="1" x14ac:dyDescent="0.2"/>
    <row r="27298" ht="9.9499999999999993" hidden="1" customHeight="1" x14ac:dyDescent="0.2"/>
    <row r="27299" ht="9.9499999999999993" hidden="1" customHeight="1" x14ac:dyDescent="0.2"/>
    <row r="27300" ht="9.9499999999999993" hidden="1" customHeight="1" x14ac:dyDescent="0.2"/>
    <row r="27301" ht="9.9499999999999993" hidden="1" customHeight="1" x14ac:dyDescent="0.2"/>
    <row r="27302" ht="9.9499999999999993" hidden="1" customHeight="1" x14ac:dyDescent="0.2"/>
    <row r="27303" ht="9.9499999999999993" hidden="1" customHeight="1" x14ac:dyDescent="0.2"/>
    <row r="27304" ht="9.9499999999999993" hidden="1" customHeight="1" x14ac:dyDescent="0.2"/>
    <row r="27305" ht="9.9499999999999993" hidden="1" customHeight="1" x14ac:dyDescent="0.2"/>
    <row r="27306" ht="9.9499999999999993" hidden="1" customHeight="1" x14ac:dyDescent="0.2"/>
    <row r="27307" ht="9.9499999999999993" hidden="1" customHeight="1" x14ac:dyDescent="0.2"/>
    <row r="27308" ht="9.9499999999999993" hidden="1" customHeight="1" x14ac:dyDescent="0.2"/>
    <row r="27309" ht="9.9499999999999993" hidden="1" customHeight="1" x14ac:dyDescent="0.2"/>
    <row r="27310" ht="9.9499999999999993" hidden="1" customHeight="1" x14ac:dyDescent="0.2"/>
    <row r="27311" ht="9.9499999999999993" hidden="1" customHeight="1" x14ac:dyDescent="0.2"/>
    <row r="27312" ht="9.9499999999999993" hidden="1" customHeight="1" x14ac:dyDescent="0.2"/>
    <row r="27313" ht="9.9499999999999993" hidden="1" customHeight="1" x14ac:dyDescent="0.2"/>
    <row r="27314" ht="9.9499999999999993" hidden="1" customHeight="1" x14ac:dyDescent="0.2"/>
    <row r="27315" ht="9.9499999999999993" hidden="1" customHeight="1" x14ac:dyDescent="0.2"/>
    <row r="27316" ht="9.9499999999999993" hidden="1" customHeight="1" x14ac:dyDescent="0.2"/>
    <row r="27317" ht="9.9499999999999993" hidden="1" customHeight="1" x14ac:dyDescent="0.2"/>
    <row r="27318" ht="9.9499999999999993" hidden="1" customHeight="1" x14ac:dyDescent="0.2"/>
    <row r="27319" ht="9.9499999999999993" hidden="1" customHeight="1" x14ac:dyDescent="0.2"/>
    <row r="27320" ht="9.9499999999999993" hidden="1" customHeight="1" x14ac:dyDescent="0.2"/>
    <row r="27321" ht="9.9499999999999993" hidden="1" customHeight="1" x14ac:dyDescent="0.2"/>
    <row r="27322" ht="9.9499999999999993" hidden="1" customHeight="1" x14ac:dyDescent="0.2"/>
    <row r="27323" ht="9.9499999999999993" hidden="1" customHeight="1" x14ac:dyDescent="0.2"/>
    <row r="27324" ht="9.9499999999999993" hidden="1" customHeight="1" x14ac:dyDescent="0.2"/>
    <row r="27325" ht="9.9499999999999993" hidden="1" customHeight="1" x14ac:dyDescent="0.2"/>
    <row r="27326" ht="9.9499999999999993" hidden="1" customHeight="1" x14ac:dyDescent="0.2"/>
    <row r="27327" ht="9.9499999999999993" hidden="1" customHeight="1" x14ac:dyDescent="0.2"/>
    <row r="27328" ht="9.9499999999999993" hidden="1" customHeight="1" x14ac:dyDescent="0.2"/>
    <row r="27329" ht="9.9499999999999993" hidden="1" customHeight="1" x14ac:dyDescent="0.2"/>
    <row r="27330" ht="9.9499999999999993" hidden="1" customHeight="1" x14ac:dyDescent="0.2"/>
    <row r="27331" ht="9.9499999999999993" hidden="1" customHeight="1" x14ac:dyDescent="0.2"/>
    <row r="27332" ht="9.9499999999999993" hidden="1" customHeight="1" x14ac:dyDescent="0.2"/>
    <row r="27333" ht="9.9499999999999993" hidden="1" customHeight="1" x14ac:dyDescent="0.2"/>
    <row r="27334" ht="9.9499999999999993" hidden="1" customHeight="1" x14ac:dyDescent="0.2"/>
    <row r="27335" ht="9.9499999999999993" hidden="1" customHeight="1" x14ac:dyDescent="0.2"/>
    <row r="27336" ht="9.9499999999999993" hidden="1" customHeight="1" x14ac:dyDescent="0.2"/>
    <row r="27337" ht="9.9499999999999993" hidden="1" customHeight="1" x14ac:dyDescent="0.2"/>
    <row r="27338" ht="9.9499999999999993" hidden="1" customHeight="1" x14ac:dyDescent="0.2"/>
    <row r="27339" ht="9.9499999999999993" hidden="1" customHeight="1" x14ac:dyDescent="0.2"/>
    <row r="27340" ht="9.9499999999999993" hidden="1" customHeight="1" x14ac:dyDescent="0.2"/>
    <row r="27341" ht="9.9499999999999993" hidden="1" customHeight="1" x14ac:dyDescent="0.2"/>
    <row r="27342" ht="9.9499999999999993" hidden="1" customHeight="1" x14ac:dyDescent="0.2"/>
    <row r="27343" ht="9.9499999999999993" hidden="1" customHeight="1" x14ac:dyDescent="0.2"/>
    <row r="27344" ht="9.9499999999999993" hidden="1" customHeight="1" x14ac:dyDescent="0.2"/>
    <row r="27345" ht="9.9499999999999993" hidden="1" customHeight="1" x14ac:dyDescent="0.2"/>
    <row r="27346" ht="9.9499999999999993" hidden="1" customHeight="1" x14ac:dyDescent="0.2"/>
    <row r="27347" ht="9.9499999999999993" hidden="1" customHeight="1" x14ac:dyDescent="0.2"/>
    <row r="27348" ht="9.9499999999999993" hidden="1" customHeight="1" x14ac:dyDescent="0.2"/>
    <row r="27349" ht="9.9499999999999993" hidden="1" customHeight="1" x14ac:dyDescent="0.2"/>
    <row r="27350" ht="9.9499999999999993" hidden="1" customHeight="1" x14ac:dyDescent="0.2"/>
    <row r="27351" ht="9.9499999999999993" hidden="1" customHeight="1" x14ac:dyDescent="0.2"/>
    <row r="27352" ht="9.9499999999999993" hidden="1" customHeight="1" x14ac:dyDescent="0.2"/>
    <row r="27353" ht="9.9499999999999993" hidden="1" customHeight="1" x14ac:dyDescent="0.2"/>
    <row r="27354" ht="9.9499999999999993" hidden="1" customHeight="1" x14ac:dyDescent="0.2"/>
    <row r="27355" ht="9.9499999999999993" hidden="1" customHeight="1" x14ac:dyDescent="0.2"/>
    <row r="27356" ht="9.9499999999999993" hidden="1" customHeight="1" x14ac:dyDescent="0.2"/>
    <row r="27357" ht="9.9499999999999993" hidden="1" customHeight="1" x14ac:dyDescent="0.2"/>
    <row r="27358" ht="9.9499999999999993" hidden="1" customHeight="1" x14ac:dyDescent="0.2"/>
    <row r="27359" ht="9.9499999999999993" hidden="1" customHeight="1" x14ac:dyDescent="0.2"/>
    <row r="27360" ht="9.9499999999999993" hidden="1" customHeight="1" x14ac:dyDescent="0.2"/>
    <row r="27361" ht="9.9499999999999993" hidden="1" customHeight="1" x14ac:dyDescent="0.2"/>
    <row r="27362" ht="9.9499999999999993" hidden="1" customHeight="1" x14ac:dyDescent="0.2"/>
    <row r="27363" ht="9.9499999999999993" hidden="1" customHeight="1" x14ac:dyDescent="0.2"/>
    <row r="27364" ht="9.9499999999999993" hidden="1" customHeight="1" x14ac:dyDescent="0.2"/>
    <row r="27365" ht="9.9499999999999993" hidden="1" customHeight="1" x14ac:dyDescent="0.2"/>
    <row r="27366" ht="9.9499999999999993" hidden="1" customHeight="1" x14ac:dyDescent="0.2"/>
    <row r="27367" ht="9.9499999999999993" hidden="1" customHeight="1" x14ac:dyDescent="0.2"/>
    <row r="27368" ht="9.9499999999999993" hidden="1" customHeight="1" x14ac:dyDescent="0.2"/>
    <row r="27369" ht="9.9499999999999993" hidden="1" customHeight="1" x14ac:dyDescent="0.2"/>
    <row r="27370" ht="9.9499999999999993" hidden="1" customHeight="1" x14ac:dyDescent="0.2"/>
    <row r="27371" ht="9.9499999999999993" hidden="1" customHeight="1" x14ac:dyDescent="0.2"/>
    <row r="27372" ht="9.9499999999999993" hidden="1" customHeight="1" x14ac:dyDescent="0.2"/>
    <row r="27373" ht="9.9499999999999993" hidden="1" customHeight="1" x14ac:dyDescent="0.2"/>
    <row r="27374" ht="9.9499999999999993" hidden="1" customHeight="1" x14ac:dyDescent="0.2"/>
    <row r="27375" ht="9.9499999999999993" hidden="1" customHeight="1" x14ac:dyDescent="0.2"/>
    <row r="27376" ht="9.9499999999999993" hidden="1" customHeight="1" x14ac:dyDescent="0.2"/>
    <row r="27377" ht="9.9499999999999993" hidden="1" customHeight="1" x14ac:dyDescent="0.2"/>
    <row r="27378" ht="9.9499999999999993" hidden="1" customHeight="1" x14ac:dyDescent="0.2"/>
    <row r="27379" ht="9.9499999999999993" hidden="1" customHeight="1" x14ac:dyDescent="0.2"/>
    <row r="27380" ht="9.9499999999999993" hidden="1" customHeight="1" x14ac:dyDescent="0.2"/>
    <row r="27381" ht="9.9499999999999993" hidden="1" customHeight="1" x14ac:dyDescent="0.2"/>
    <row r="27382" ht="9.9499999999999993" hidden="1" customHeight="1" x14ac:dyDescent="0.2"/>
    <row r="27383" ht="9.9499999999999993" hidden="1" customHeight="1" x14ac:dyDescent="0.2"/>
    <row r="27384" ht="9.9499999999999993" hidden="1" customHeight="1" x14ac:dyDescent="0.2"/>
    <row r="27385" ht="9.9499999999999993" hidden="1" customHeight="1" x14ac:dyDescent="0.2"/>
    <row r="27386" ht="9.9499999999999993" hidden="1" customHeight="1" x14ac:dyDescent="0.2"/>
    <row r="27387" ht="9.9499999999999993" hidden="1" customHeight="1" x14ac:dyDescent="0.2"/>
    <row r="27388" ht="9.9499999999999993" hidden="1" customHeight="1" x14ac:dyDescent="0.2"/>
    <row r="27389" ht="9.9499999999999993" hidden="1" customHeight="1" x14ac:dyDescent="0.2"/>
    <row r="27390" ht="9.9499999999999993" hidden="1" customHeight="1" x14ac:dyDescent="0.2"/>
    <row r="27391" ht="9.9499999999999993" hidden="1" customHeight="1" x14ac:dyDescent="0.2"/>
    <row r="27392" ht="9.9499999999999993" hidden="1" customHeight="1" x14ac:dyDescent="0.2"/>
    <row r="27393" ht="9.9499999999999993" hidden="1" customHeight="1" x14ac:dyDescent="0.2"/>
    <row r="27394" ht="9.9499999999999993" hidden="1" customHeight="1" x14ac:dyDescent="0.2"/>
    <row r="27395" ht="9.9499999999999993" hidden="1" customHeight="1" x14ac:dyDescent="0.2"/>
    <row r="27396" ht="9.9499999999999993" hidden="1" customHeight="1" x14ac:dyDescent="0.2"/>
    <row r="27397" ht="9.9499999999999993" hidden="1" customHeight="1" x14ac:dyDescent="0.2"/>
    <row r="27398" ht="9.9499999999999993" hidden="1" customHeight="1" x14ac:dyDescent="0.2"/>
    <row r="27399" ht="9.9499999999999993" hidden="1" customHeight="1" x14ac:dyDescent="0.2"/>
    <row r="27400" ht="9.9499999999999993" hidden="1" customHeight="1" x14ac:dyDescent="0.2"/>
    <row r="27401" ht="9.9499999999999993" hidden="1" customHeight="1" x14ac:dyDescent="0.2"/>
    <row r="27402" ht="9.9499999999999993" hidden="1" customHeight="1" x14ac:dyDescent="0.2"/>
    <row r="27403" ht="9.9499999999999993" hidden="1" customHeight="1" x14ac:dyDescent="0.2"/>
    <row r="27404" ht="9.9499999999999993" hidden="1" customHeight="1" x14ac:dyDescent="0.2"/>
    <row r="27405" ht="9.9499999999999993" hidden="1" customHeight="1" x14ac:dyDescent="0.2"/>
    <row r="27406" ht="9.9499999999999993" hidden="1" customHeight="1" x14ac:dyDescent="0.2"/>
    <row r="27407" ht="9.9499999999999993" hidden="1" customHeight="1" x14ac:dyDescent="0.2"/>
    <row r="27408" ht="9.9499999999999993" hidden="1" customHeight="1" x14ac:dyDescent="0.2"/>
    <row r="27409" ht="9.9499999999999993" hidden="1" customHeight="1" x14ac:dyDescent="0.2"/>
    <row r="27410" ht="9.9499999999999993" hidden="1" customHeight="1" x14ac:dyDescent="0.2"/>
    <row r="27411" ht="9.9499999999999993" hidden="1" customHeight="1" x14ac:dyDescent="0.2"/>
    <row r="27412" ht="9.9499999999999993" hidden="1" customHeight="1" x14ac:dyDescent="0.2"/>
    <row r="27413" ht="9.9499999999999993" hidden="1" customHeight="1" x14ac:dyDescent="0.2"/>
    <row r="27414" ht="9.9499999999999993" hidden="1" customHeight="1" x14ac:dyDescent="0.2"/>
    <row r="27415" ht="9.9499999999999993" hidden="1" customHeight="1" x14ac:dyDescent="0.2"/>
    <row r="27416" ht="9.9499999999999993" hidden="1" customHeight="1" x14ac:dyDescent="0.2"/>
    <row r="27417" ht="9.9499999999999993" hidden="1" customHeight="1" x14ac:dyDescent="0.2"/>
    <row r="27418" ht="9.9499999999999993" hidden="1" customHeight="1" x14ac:dyDescent="0.2"/>
    <row r="27419" ht="9.9499999999999993" hidden="1" customHeight="1" x14ac:dyDescent="0.2"/>
    <row r="27420" ht="9.9499999999999993" hidden="1" customHeight="1" x14ac:dyDescent="0.2"/>
    <row r="27421" ht="9.9499999999999993" hidden="1" customHeight="1" x14ac:dyDescent="0.2"/>
    <row r="27422" ht="9.9499999999999993" hidden="1" customHeight="1" x14ac:dyDescent="0.2"/>
    <row r="27423" ht="9.9499999999999993" hidden="1" customHeight="1" x14ac:dyDescent="0.2"/>
    <row r="27424" ht="9.9499999999999993" hidden="1" customHeight="1" x14ac:dyDescent="0.2"/>
    <row r="27425" ht="9.9499999999999993" hidden="1" customHeight="1" x14ac:dyDescent="0.2"/>
    <row r="27426" ht="9.9499999999999993" hidden="1" customHeight="1" x14ac:dyDescent="0.2"/>
    <row r="27427" ht="9.9499999999999993" hidden="1" customHeight="1" x14ac:dyDescent="0.2"/>
    <row r="27428" ht="9.9499999999999993" hidden="1" customHeight="1" x14ac:dyDescent="0.2"/>
    <row r="27429" ht="9.9499999999999993" hidden="1" customHeight="1" x14ac:dyDescent="0.2"/>
    <row r="27430" ht="9.9499999999999993" hidden="1" customHeight="1" x14ac:dyDescent="0.2"/>
    <row r="27431" ht="9.9499999999999993" hidden="1" customHeight="1" x14ac:dyDescent="0.2"/>
    <row r="27432" ht="9.9499999999999993" hidden="1" customHeight="1" x14ac:dyDescent="0.2"/>
    <row r="27433" ht="9.9499999999999993" hidden="1" customHeight="1" x14ac:dyDescent="0.2"/>
    <row r="27434" ht="9.9499999999999993" hidden="1" customHeight="1" x14ac:dyDescent="0.2"/>
    <row r="27435" ht="9.9499999999999993" hidden="1" customHeight="1" x14ac:dyDescent="0.2"/>
    <row r="27436" ht="9.9499999999999993" hidden="1" customHeight="1" x14ac:dyDescent="0.2"/>
    <row r="27437" ht="9.9499999999999993" hidden="1" customHeight="1" x14ac:dyDescent="0.2"/>
    <row r="27438" ht="9.9499999999999993" hidden="1" customHeight="1" x14ac:dyDescent="0.2"/>
    <row r="27439" ht="9.9499999999999993" hidden="1" customHeight="1" x14ac:dyDescent="0.2"/>
    <row r="27440" ht="9.9499999999999993" hidden="1" customHeight="1" x14ac:dyDescent="0.2"/>
    <row r="27441" ht="9.9499999999999993" hidden="1" customHeight="1" x14ac:dyDescent="0.2"/>
    <row r="27442" ht="9.9499999999999993" hidden="1" customHeight="1" x14ac:dyDescent="0.2"/>
    <row r="27443" ht="9.9499999999999993" hidden="1" customHeight="1" x14ac:dyDescent="0.2"/>
    <row r="27444" ht="9.9499999999999993" hidden="1" customHeight="1" x14ac:dyDescent="0.2"/>
    <row r="27445" ht="9.9499999999999993" hidden="1" customHeight="1" x14ac:dyDescent="0.2"/>
    <row r="27446" ht="9.9499999999999993" hidden="1" customHeight="1" x14ac:dyDescent="0.2"/>
    <row r="27447" ht="9.9499999999999993" hidden="1" customHeight="1" x14ac:dyDescent="0.2"/>
    <row r="27448" ht="9.9499999999999993" hidden="1" customHeight="1" x14ac:dyDescent="0.2"/>
    <row r="27449" ht="9.9499999999999993" hidden="1" customHeight="1" x14ac:dyDescent="0.2"/>
    <row r="27450" ht="9.9499999999999993" hidden="1" customHeight="1" x14ac:dyDescent="0.2"/>
    <row r="27451" ht="9.9499999999999993" hidden="1" customHeight="1" x14ac:dyDescent="0.2"/>
    <row r="27452" ht="9.9499999999999993" hidden="1" customHeight="1" x14ac:dyDescent="0.2"/>
    <row r="27453" ht="9.9499999999999993" hidden="1" customHeight="1" x14ac:dyDescent="0.2"/>
    <row r="27454" ht="9.9499999999999993" hidden="1" customHeight="1" x14ac:dyDescent="0.2"/>
    <row r="27455" ht="9.9499999999999993" hidden="1" customHeight="1" x14ac:dyDescent="0.2"/>
    <row r="27456" ht="9.9499999999999993" hidden="1" customHeight="1" x14ac:dyDescent="0.2"/>
    <row r="27457" ht="9.9499999999999993" hidden="1" customHeight="1" x14ac:dyDescent="0.2"/>
    <row r="27458" ht="9.9499999999999993" hidden="1" customHeight="1" x14ac:dyDescent="0.2"/>
    <row r="27459" ht="9.9499999999999993" hidden="1" customHeight="1" x14ac:dyDescent="0.2"/>
    <row r="27460" ht="9.9499999999999993" hidden="1" customHeight="1" x14ac:dyDescent="0.2"/>
    <row r="27461" ht="9.9499999999999993" hidden="1" customHeight="1" x14ac:dyDescent="0.2"/>
    <row r="27462" ht="9.9499999999999993" hidden="1" customHeight="1" x14ac:dyDescent="0.2"/>
    <row r="27463" ht="9.9499999999999993" hidden="1" customHeight="1" x14ac:dyDescent="0.2"/>
    <row r="27464" ht="9.9499999999999993" hidden="1" customHeight="1" x14ac:dyDescent="0.2"/>
    <row r="27465" ht="9.9499999999999993" hidden="1" customHeight="1" x14ac:dyDescent="0.2"/>
    <row r="27466" ht="9.9499999999999993" hidden="1" customHeight="1" x14ac:dyDescent="0.2"/>
    <row r="27467" ht="9.9499999999999993" hidden="1" customHeight="1" x14ac:dyDescent="0.2"/>
    <row r="27468" ht="9.9499999999999993" hidden="1" customHeight="1" x14ac:dyDescent="0.2"/>
    <row r="27469" ht="9.9499999999999993" hidden="1" customHeight="1" x14ac:dyDescent="0.2"/>
    <row r="27470" ht="9.9499999999999993" hidden="1" customHeight="1" x14ac:dyDescent="0.2"/>
    <row r="27471" ht="9.9499999999999993" hidden="1" customHeight="1" x14ac:dyDescent="0.2"/>
    <row r="27472" ht="9.9499999999999993" hidden="1" customHeight="1" x14ac:dyDescent="0.2"/>
    <row r="27473" ht="9.9499999999999993" hidden="1" customHeight="1" x14ac:dyDescent="0.2"/>
    <row r="27474" ht="9.9499999999999993" hidden="1" customHeight="1" x14ac:dyDescent="0.2"/>
    <row r="27475" ht="9.9499999999999993" hidden="1" customHeight="1" x14ac:dyDescent="0.2"/>
    <row r="27476" ht="9.9499999999999993" hidden="1" customHeight="1" x14ac:dyDescent="0.2"/>
    <row r="27477" ht="9.9499999999999993" hidden="1" customHeight="1" x14ac:dyDescent="0.2"/>
    <row r="27478" ht="9.9499999999999993" hidden="1" customHeight="1" x14ac:dyDescent="0.2"/>
    <row r="27479" ht="9.9499999999999993" hidden="1" customHeight="1" x14ac:dyDescent="0.2"/>
    <row r="27480" ht="9.9499999999999993" hidden="1" customHeight="1" x14ac:dyDescent="0.2"/>
    <row r="27481" ht="9.9499999999999993" hidden="1" customHeight="1" x14ac:dyDescent="0.2"/>
    <row r="27482" ht="9.9499999999999993" hidden="1" customHeight="1" x14ac:dyDescent="0.2"/>
    <row r="27483" ht="9.9499999999999993" hidden="1" customHeight="1" x14ac:dyDescent="0.2"/>
    <row r="27484" ht="9.9499999999999993" hidden="1" customHeight="1" x14ac:dyDescent="0.2"/>
    <row r="27485" ht="9.9499999999999993" hidden="1" customHeight="1" x14ac:dyDescent="0.2"/>
    <row r="27486" ht="9.9499999999999993" hidden="1" customHeight="1" x14ac:dyDescent="0.2"/>
    <row r="27487" ht="9.9499999999999993" hidden="1" customHeight="1" x14ac:dyDescent="0.2"/>
    <row r="27488" ht="9.9499999999999993" hidden="1" customHeight="1" x14ac:dyDescent="0.2"/>
    <row r="27489" ht="9.9499999999999993" hidden="1" customHeight="1" x14ac:dyDescent="0.2"/>
    <row r="27490" ht="9.9499999999999993" hidden="1" customHeight="1" x14ac:dyDescent="0.2"/>
    <row r="27491" ht="9.9499999999999993" hidden="1" customHeight="1" x14ac:dyDescent="0.2"/>
    <row r="27492" ht="9.9499999999999993" hidden="1" customHeight="1" x14ac:dyDescent="0.2"/>
    <row r="27493" ht="9.9499999999999993" hidden="1" customHeight="1" x14ac:dyDescent="0.2"/>
    <row r="27494" ht="9.9499999999999993" hidden="1" customHeight="1" x14ac:dyDescent="0.2"/>
    <row r="27495" ht="9.9499999999999993" hidden="1" customHeight="1" x14ac:dyDescent="0.2"/>
    <row r="27496" ht="9.9499999999999993" hidden="1" customHeight="1" x14ac:dyDescent="0.2"/>
    <row r="27497" ht="9.9499999999999993" hidden="1" customHeight="1" x14ac:dyDescent="0.2"/>
    <row r="27498" ht="9.9499999999999993" hidden="1" customHeight="1" x14ac:dyDescent="0.2"/>
    <row r="27499" ht="9.9499999999999993" hidden="1" customHeight="1" x14ac:dyDescent="0.2"/>
    <row r="27500" ht="9.9499999999999993" hidden="1" customHeight="1" x14ac:dyDescent="0.2"/>
    <row r="27501" ht="9.9499999999999993" hidden="1" customHeight="1" x14ac:dyDescent="0.2"/>
    <row r="27502" ht="9.9499999999999993" hidden="1" customHeight="1" x14ac:dyDescent="0.2"/>
    <row r="27503" ht="9.9499999999999993" hidden="1" customHeight="1" x14ac:dyDescent="0.2"/>
    <row r="27504" ht="9.9499999999999993" hidden="1" customHeight="1" x14ac:dyDescent="0.2"/>
    <row r="27505" ht="9.9499999999999993" hidden="1" customHeight="1" x14ac:dyDescent="0.2"/>
    <row r="27506" ht="9.9499999999999993" hidden="1" customHeight="1" x14ac:dyDescent="0.2"/>
    <row r="27507" ht="9.9499999999999993" hidden="1" customHeight="1" x14ac:dyDescent="0.2"/>
    <row r="27508" ht="9.9499999999999993" hidden="1" customHeight="1" x14ac:dyDescent="0.2"/>
    <row r="27509" ht="9.9499999999999993" hidden="1" customHeight="1" x14ac:dyDescent="0.2"/>
    <row r="27510" ht="9.9499999999999993" hidden="1" customHeight="1" x14ac:dyDescent="0.2"/>
    <row r="27511" ht="9.9499999999999993" hidden="1" customHeight="1" x14ac:dyDescent="0.2"/>
    <row r="27512" ht="9.9499999999999993" hidden="1" customHeight="1" x14ac:dyDescent="0.2"/>
    <row r="27513" ht="9.9499999999999993" hidden="1" customHeight="1" x14ac:dyDescent="0.2"/>
    <row r="27514" ht="9.9499999999999993" hidden="1" customHeight="1" x14ac:dyDescent="0.2"/>
    <row r="27515" ht="9.9499999999999993" hidden="1" customHeight="1" x14ac:dyDescent="0.2"/>
    <row r="27516" ht="9.9499999999999993" hidden="1" customHeight="1" x14ac:dyDescent="0.2"/>
    <row r="27517" ht="9.9499999999999993" hidden="1" customHeight="1" x14ac:dyDescent="0.2"/>
    <row r="27518" ht="9.9499999999999993" hidden="1" customHeight="1" x14ac:dyDescent="0.2"/>
    <row r="27519" ht="9.9499999999999993" hidden="1" customHeight="1" x14ac:dyDescent="0.2"/>
    <row r="27520" ht="9.9499999999999993" hidden="1" customHeight="1" x14ac:dyDescent="0.2"/>
    <row r="27521" ht="9.9499999999999993" hidden="1" customHeight="1" x14ac:dyDescent="0.2"/>
    <row r="27522" ht="9.9499999999999993" hidden="1" customHeight="1" x14ac:dyDescent="0.2"/>
    <row r="27523" ht="9.9499999999999993" hidden="1" customHeight="1" x14ac:dyDescent="0.2"/>
    <row r="27524" ht="9.9499999999999993" hidden="1" customHeight="1" x14ac:dyDescent="0.2"/>
    <row r="27525" ht="9.9499999999999993" hidden="1" customHeight="1" x14ac:dyDescent="0.2"/>
    <row r="27526" ht="9.9499999999999993" hidden="1" customHeight="1" x14ac:dyDescent="0.2"/>
    <row r="27527" ht="9.9499999999999993" hidden="1" customHeight="1" x14ac:dyDescent="0.2"/>
    <row r="27528" ht="9.9499999999999993" hidden="1" customHeight="1" x14ac:dyDescent="0.2"/>
    <row r="27529" ht="9.9499999999999993" hidden="1" customHeight="1" x14ac:dyDescent="0.2"/>
    <row r="27530" ht="9.9499999999999993" hidden="1" customHeight="1" x14ac:dyDescent="0.2"/>
    <row r="27531" ht="9.9499999999999993" hidden="1" customHeight="1" x14ac:dyDescent="0.2"/>
    <row r="27532" ht="9.9499999999999993" hidden="1" customHeight="1" x14ac:dyDescent="0.2"/>
    <row r="27533" ht="9.9499999999999993" hidden="1" customHeight="1" x14ac:dyDescent="0.2"/>
    <row r="27534" ht="9.9499999999999993" hidden="1" customHeight="1" x14ac:dyDescent="0.2"/>
    <row r="27535" ht="9.9499999999999993" hidden="1" customHeight="1" x14ac:dyDescent="0.2"/>
    <row r="27536" ht="9.9499999999999993" hidden="1" customHeight="1" x14ac:dyDescent="0.2"/>
    <row r="27537" ht="9.9499999999999993" hidden="1" customHeight="1" x14ac:dyDescent="0.2"/>
    <row r="27538" ht="9.9499999999999993" hidden="1" customHeight="1" x14ac:dyDescent="0.2"/>
    <row r="27539" ht="9.9499999999999993" hidden="1" customHeight="1" x14ac:dyDescent="0.2"/>
    <row r="27540" ht="9.9499999999999993" hidden="1" customHeight="1" x14ac:dyDescent="0.2"/>
    <row r="27541" ht="9.9499999999999993" hidden="1" customHeight="1" x14ac:dyDescent="0.2"/>
    <row r="27542" ht="9.9499999999999993" hidden="1" customHeight="1" x14ac:dyDescent="0.2"/>
    <row r="27543" ht="9.9499999999999993" hidden="1" customHeight="1" x14ac:dyDescent="0.2"/>
    <row r="27544" ht="9.9499999999999993" hidden="1" customHeight="1" x14ac:dyDescent="0.2"/>
    <row r="27545" ht="9.9499999999999993" hidden="1" customHeight="1" x14ac:dyDescent="0.2"/>
    <row r="27546" ht="9.9499999999999993" hidden="1" customHeight="1" x14ac:dyDescent="0.2"/>
    <row r="27547" ht="9.9499999999999993" hidden="1" customHeight="1" x14ac:dyDescent="0.2"/>
    <row r="27548" ht="9.9499999999999993" hidden="1" customHeight="1" x14ac:dyDescent="0.2"/>
    <row r="27549" ht="9.9499999999999993" hidden="1" customHeight="1" x14ac:dyDescent="0.2"/>
    <row r="27550" ht="9.9499999999999993" hidden="1" customHeight="1" x14ac:dyDescent="0.2"/>
    <row r="27551" ht="9.9499999999999993" hidden="1" customHeight="1" x14ac:dyDescent="0.2"/>
    <row r="27552" ht="9.9499999999999993" hidden="1" customHeight="1" x14ac:dyDescent="0.2"/>
    <row r="27553" ht="9.9499999999999993" hidden="1" customHeight="1" x14ac:dyDescent="0.2"/>
    <row r="27554" ht="9.9499999999999993" hidden="1" customHeight="1" x14ac:dyDescent="0.2"/>
    <row r="27555" ht="9.9499999999999993" hidden="1" customHeight="1" x14ac:dyDescent="0.2"/>
    <row r="27556" ht="9.9499999999999993" hidden="1" customHeight="1" x14ac:dyDescent="0.2"/>
    <row r="27557" ht="9.9499999999999993" hidden="1" customHeight="1" x14ac:dyDescent="0.2"/>
    <row r="27558" ht="9.9499999999999993" hidden="1" customHeight="1" x14ac:dyDescent="0.2"/>
    <row r="27559" ht="9.9499999999999993" hidden="1" customHeight="1" x14ac:dyDescent="0.2"/>
    <row r="27560" ht="9.9499999999999993" hidden="1" customHeight="1" x14ac:dyDescent="0.2"/>
    <row r="27561" ht="9.9499999999999993" hidden="1" customHeight="1" x14ac:dyDescent="0.2"/>
    <row r="27562" ht="9.9499999999999993" hidden="1" customHeight="1" x14ac:dyDescent="0.2"/>
    <row r="27563" ht="9.9499999999999993" hidden="1" customHeight="1" x14ac:dyDescent="0.2"/>
    <row r="27564" ht="9.9499999999999993" hidden="1" customHeight="1" x14ac:dyDescent="0.2"/>
    <row r="27565" ht="9.9499999999999993" hidden="1" customHeight="1" x14ac:dyDescent="0.2"/>
    <row r="27566" ht="9.9499999999999993" hidden="1" customHeight="1" x14ac:dyDescent="0.2"/>
    <row r="27567" ht="9.9499999999999993" hidden="1" customHeight="1" x14ac:dyDescent="0.2"/>
    <row r="27568" ht="9.9499999999999993" hidden="1" customHeight="1" x14ac:dyDescent="0.2"/>
    <row r="27569" ht="9.9499999999999993" hidden="1" customHeight="1" x14ac:dyDescent="0.2"/>
    <row r="27570" ht="9.9499999999999993" hidden="1" customHeight="1" x14ac:dyDescent="0.2"/>
    <row r="27571" ht="9.9499999999999993" hidden="1" customHeight="1" x14ac:dyDescent="0.2"/>
    <row r="27572" ht="9.9499999999999993" hidden="1" customHeight="1" x14ac:dyDescent="0.2"/>
    <row r="27573" ht="9.9499999999999993" hidden="1" customHeight="1" x14ac:dyDescent="0.2"/>
    <row r="27574" ht="9.9499999999999993" hidden="1" customHeight="1" x14ac:dyDescent="0.2"/>
    <row r="27575" ht="9.9499999999999993" hidden="1" customHeight="1" x14ac:dyDescent="0.2"/>
    <row r="27576" ht="9.9499999999999993" hidden="1" customHeight="1" x14ac:dyDescent="0.2"/>
    <row r="27577" ht="9.9499999999999993" hidden="1" customHeight="1" x14ac:dyDescent="0.2"/>
    <row r="27578" ht="9.9499999999999993" hidden="1" customHeight="1" x14ac:dyDescent="0.2"/>
    <row r="27579" ht="9.9499999999999993" hidden="1" customHeight="1" x14ac:dyDescent="0.2"/>
    <row r="27580" ht="9.9499999999999993" hidden="1" customHeight="1" x14ac:dyDescent="0.2"/>
    <row r="27581" ht="9.9499999999999993" hidden="1" customHeight="1" x14ac:dyDescent="0.2"/>
    <row r="27582" ht="9.9499999999999993" hidden="1" customHeight="1" x14ac:dyDescent="0.2"/>
    <row r="27583" ht="9.9499999999999993" hidden="1" customHeight="1" x14ac:dyDescent="0.2"/>
    <row r="27584" ht="9.9499999999999993" hidden="1" customHeight="1" x14ac:dyDescent="0.2"/>
    <row r="27585" ht="9.9499999999999993" hidden="1" customHeight="1" x14ac:dyDescent="0.2"/>
    <row r="27586" ht="9.9499999999999993" hidden="1" customHeight="1" x14ac:dyDescent="0.2"/>
    <row r="27587" ht="9.9499999999999993" hidden="1" customHeight="1" x14ac:dyDescent="0.2"/>
    <row r="27588" ht="9.9499999999999993" hidden="1" customHeight="1" x14ac:dyDescent="0.2"/>
    <row r="27589" ht="9.9499999999999993" hidden="1" customHeight="1" x14ac:dyDescent="0.2"/>
    <row r="27590" ht="9.9499999999999993" hidden="1" customHeight="1" x14ac:dyDescent="0.2"/>
    <row r="27591" ht="9.9499999999999993" hidden="1" customHeight="1" x14ac:dyDescent="0.2"/>
    <row r="27592" ht="9.9499999999999993" hidden="1" customHeight="1" x14ac:dyDescent="0.2"/>
    <row r="27593" ht="9.9499999999999993" hidden="1" customHeight="1" x14ac:dyDescent="0.2"/>
    <row r="27594" ht="9.9499999999999993" hidden="1" customHeight="1" x14ac:dyDescent="0.2"/>
    <row r="27595" ht="9.9499999999999993" hidden="1" customHeight="1" x14ac:dyDescent="0.2"/>
    <row r="27596" ht="9.9499999999999993" hidden="1" customHeight="1" x14ac:dyDescent="0.2"/>
    <row r="27597" ht="9.9499999999999993" hidden="1" customHeight="1" x14ac:dyDescent="0.2"/>
    <row r="27598" ht="9.9499999999999993" hidden="1" customHeight="1" x14ac:dyDescent="0.2"/>
    <row r="27599" ht="9.9499999999999993" hidden="1" customHeight="1" x14ac:dyDescent="0.2"/>
    <row r="27600" ht="9.9499999999999993" hidden="1" customHeight="1" x14ac:dyDescent="0.2"/>
    <row r="27601" ht="9.9499999999999993" hidden="1" customHeight="1" x14ac:dyDescent="0.2"/>
    <row r="27602" ht="9.9499999999999993" hidden="1" customHeight="1" x14ac:dyDescent="0.2"/>
    <row r="27603" ht="9.9499999999999993" hidden="1" customHeight="1" x14ac:dyDescent="0.2"/>
    <row r="27604" ht="9.9499999999999993" hidden="1" customHeight="1" x14ac:dyDescent="0.2"/>
    <row r="27605" ht="9.9499999999999993" hidden="1" customHeight="1" x14ac:dyDescent="0.2"/>
    <row r="27606" ht="9.9499999999999993" hidden="1" customHeight="1" x14ac:dyDescent="0.2"/>
    <row r="27607" ht="9.9499999999999993" hidden="1" customHeight="1" x14ac:dyDescent="0.2"/>
    <row r="27608" ht="9.9499999999999993" hidden="1" customHeight="1" x14ac:dyDescent="0.2"/>
    <row r="27609" ht="9.9499999999999993" hidden="1" customHeight="1" x14ac:dyDescent="0.2"/>
    <row r="27610" ht="9.9499999999999993" hidden="1" customHeight="1" x14ac:dyDescent="0.2"/>
    <row r="27611" ht="9.9499999999999993" hidden="1" customHeight="1" x14ac:dyDescent="0.2"/>
    <row r="27612" ht="9.9499999999999993" hidden="1" customHeight="1" x14ac:dyDescent="0.2"/>
    <row r="27613" ht="9.9499999999999993" hidden="1" customHeight="1" x14ac:dyDescent="0.2"/>
    <row r="27614" ht="9.9499999999999993" hidden="1" customHeight="1" x14ac:dyDescent="0.2"/>
    <row r="27615" ht="9.9499999999999993" hidden="1" customHeight="1" x14ac:dyDescent="0.2"/>
    <row r="27616" ht="9.9499999999999993" hidden="1" customHeight="1" x14ac:dyDescent="0.2"/>
    <row r="27617" ht="9.9499999999999993" hidden="1" customHeight="1" x14ac:dyDescent="0.2"/>
    <row r="27618" ht="9.9499999999999993" hidden="1" customHeight="1" x14ac:dyDescent="0.2"/>
    <row r="27619" ht="9.9499999999999993" hidden="1" customHeight="1" x14ac:dyDescent="0.2"/>
    <row r="27620" ht="9.9499999999999993" hidden="1" customHeight="1" x14ac:dyDescent="0.2"/>
    <row r="27621" ht="9.9499999999999993" hidden="1" customHeight="1" x14ac:dyDescent="0.2"/>
    <row r="27622" ht="9.9499999999999993" hidden="1" customHeight="1" x14ac:dyDescent="0.2"/>
    <row r="27623" ht="9.9499999999999993" hidden="1" customHeight="1" x14ac:dyDescent="0.2"/>
    <row r="27624" ht="9.9499999999999993" hidden="1" customHeight="1" x14ac:dyDescent="0.2"/>
    <row r="27625" ht="9.9499999999999993" hidden="1" customHeight="1" x14ac:dyDescent="0.2"/>
    <row r="27626" ht="9.9499999999999993" hidden="1" customHeight="1" x14ac:dyDescent="0.2"/>
    <row r="27627" ht="9.9499999999999993" hidden="1" customHeight="1" x14ac:dyDescent="0.2"/>
    <row r="27628" ht="9.9499999999999993" hidden="1" customHeight="1" x14ac:dyDescent="0.2"/>
    <row r="27629" ht="9.9499999999999993" hidden="1" customHeight="1" x14ac:dyDescent="0.2"/>
    <row r="27630" ht="9.9499999999999993" hidden="1" customHeight="1" x14ac:dyDescent="0.2"/>
    <row r="27631" ht="9.9499999999999993" hidden="1" customHeight="1" x14ac:dyDescent="0.2"/>
    <row r="27632" ht="9.9499999999999993" hidden="1" customHeight="1" x14ac:dyDescent="0.2"/>
    <row r="27633" ht="9.9499999999999993" hidden="1" customHeight="1" x14ac:dyDescent="0.2"/>
    <row r="27634" ht="9.9499999999999993" hidden="1" customHeight="1" x14ac:dyDescent="0.2"/>
    <row r="27635" ht="9.9499999999999993" hidden="1" customHeight="1" x14ac:dyDescent="0.2"/>
    <row r="27636" ht="9.9499999999999993" hidden="1" customHeight="1" x14ac:dyDescent="0.2"/>
    <row r="27637" ht="9.9499999999999993" hidden="1" customHeight="1" x14ac:dyDescent="0.2"/>
    <row r="27638" ht="9.9499999999999993" hidden="1" customHeight="1" x14ac:dyDescent="0.2"/>
    <row r="27639" ht="9.9499999999999993" hidden="1" customHeight="1" x14ac:dyDescent="0.2"/>
    <row r="27640" ht="9.9499999999999993" hidden="1" customHeight="1" x14ac:dyDescent="0.2"/>
    <row r="27641" ht="9.9499999999999993" hidden="1" customHeight="1" x14ac:dyDescent="0.2"/>
    <row r="27642" ht="9.9499999999999993" hidden="1" customHeight="1" x14ac:dyDescent="0.2"/>
    <row r="27643" ht="9.9499999999999993" hidden="1" customHeight="1" x14ac:dyDescent="0.2"/>
    <row r="27644" ht="9.9499999999999993" hidden="1" customHeight="1" x14ac:dyDescent="0.2"/>
    <row r="27645" ht="9.9499999999999993" hidden="1" customHeight="1" x14ac:dyDescent="0.2"/>
    <row r="27646" ht="9.9499999999999993" hidden="1" customHeight="1" x14ac:dyDescent="0.2"/>
    <row r="27647" ht="9.9499999999999993" hidden="1" customHeight="1" x14ac:dyDescent="0.2"/>
    <row r="27648" ht="9.9499999999999993" hidden="1" customHeight="1" x14ac:dyDescent="0.2"/>
    <row r="27649" ht="9.9499999999999993" hidden="1" customHeight="1" x14ac:dyDescent="0.2"/>
    <row r="27650" ht="9.9499999999999993" hidden="1" customHeight="1" x14ac:dyDescent="0.2"/>
    <row r="27651" ht="9.9499999999999993" hidden="1" customHeight="1" x14ac:dyDescent="0.2"/>
    <row r="27652" ht="9.9499999999999993" hidden="1" customHeight="1" x14ac:dyDescent="0.2"/>
    <row r="27653" ht="9.9499999999999993" hidden="1" customHeight="1" x14ac:dyDescent="0.2"/>
    <row r="27654" ht="9.9499999999999993" hidden="1" customHeight="1" x14ac:dyDescent="0.2"/>
    <row r="27655" ht="9.9499999999999993" hidden="1" customHeight="1" x14ac:dyDescent="0.2"/>
    <row r="27656" ht="9.9499999999999993" hidden="1" customHeight="1" x14ac:dyDescent="0.2"/>
    <row r="27657" ht="9.9499999999999993" hidden="1" customHeight="1" x14ac:dyDescent="0.2"/>
    <row r="27658" ht="9.9499999999999993" hidden="1" customHeight="1" x14ac:dyDescent="0.2"/>
    <row r="27659" ht="9.9499999999999993" hidden="1" customHeight="1" x14ac:dyDescent="0.2"/>
    <row r="27660" ht="9.9499999999999993" hidden="1" customHeight="1" x14ac:dyDescent="0.2"/>
    <row r="27661" ht="9.9499999999999993" hidden="1" customHeight="1" x14ac:dyDescent="0.2"/>
    <row r="27662" ht="9.9499999999999993" hidden="1" customHeight="1" x14ac:dyDescent="0.2"/>
    <row r="27663" ht="9.9499999999999993" hidden="1" customHeight="1" x14ac:dyDescent="0.2"/>
    <row r="27664" ht="9.9499999999999993" hidden="1" customHeight="1" x14ac:dyDescent="0.2"/>
    <row r="27665" ht="9.9499999999999993" hidden="1" customHeight="1" x14ac:dyDescent="0.2"/>
    <row r="27666" ht="9.9499999999999993" hidden="1" customHeight="1" x14ac:dyDescent="0.2"/>
    <row r="27667" ht="9.9499999999999993" hidden="1" customHeight="1" x14ac:dyDescent="0.2"/>
    <row r="27668" ht="9.9499999999999993" hidden="1" customHeight="1" x14ac:dyDescent="0.2"/>
    <row r="27669" ht="9.9499999999999993" hidden="1" customHeight="1" x14ac:dyDescent="0.2"/>
    <row r="27670" ht="9.9499999999999993" hidden="1" customHeight="1" x14ac:dyDescent="0.2"/>
    <row r="27671" ht="9.9499999999999993" hidden="1" customHeight="1" x14ac:dyDescent="0.2"/>
    <row r="27672" ht="9.9499999999999993" hidden="1" customHeight="1" x14ac:dyDescent="0.2"/>
    <row r="27673" ht="9.9499999999999993" hidden="1" customHeight="1" x14ac:dyDescent="0.2"/>
    <row r="27674" ht="9.9499999999999993" hidden="1" customHeight="1" x14ac:dyDescent="0.2"/>
    <row r="27675" ht="9.9499999999999993" hidden="1" customHeight="1" x14ac:dyDescent="0.2"/>
    <row r="27676" ht="9.9499999999999993" hidden="1" customHeight="1" x14ac:dyDescent="0.2"/>
    <row r="27677" ht="9.9499999999999993" hidden="1" customHeight="1" x14ac:dyDescent="0.2"/>
    <row r="27678" ht="9.9499999999999993" hidden="1" customHeight="1" x14ac:dyDescent="0.2"/>
    <row r="27679" ht="9.9499999999999993" hidden="1" customHeight="1" x14ac:dyDescent="0.2"/>
    <row r="27680" ht="9.9499999999999993" hidden="1" customHeight="1" x14ac:dyDescent="0.2"/>
    <row r="27681" ht="9.9499999999999993" hidden="1" customHeight="1" x14ac:dyDescent="0.2"/>
    <row r="27682" ht="9.9499999999999993" hidden="1" customHeight="1" x14ac:dyDescent="0.2"/>
    <row r="27683" ht="9.9499999999999993" hidden="1" customHeight="1" x14ac:dyDescent="0.2"/>
    <row r="27684" ht="9.9499999999999993" hidden="1" customHeight="1" x14ac:dyDescent="0.2"/>
    <row r="27685" ht="9.9499999999999993" hidden="1" customHeight="1" x14ac:dyDescent="0.2"/>
    <row r="27686" ht="9.9499999999999993" hidden="1" customHeight="1" x14ac:dyDescent="0.2"/>
    <row r="27687" ht="9.9499999999999993" hidden="1" customHeight="1" x14ac:dyDescent="0.2"/>
    <row r="27688" ht="9.9499999999999993" hidden="1" customHeight="1" x14ac:dyDescent="0.2"/>
    <row r="27689" ht="9.9499999999999993" hidden="1" customHeight="1" x14ac:dyDescent="0.2"/>
    <row r="27690" ht="9.9499999999999993" hidden="1" customHeight="1" x14ac:dyDescent="0.2"/>
    <row r="27691" ht="9.9499999999999993" hidden="1" customHeight="1" x14ac:dyDescent="0.2"/>
    <row r="27692" ht="9.9499999999999993" hidden="1" customHeight="1" x14ac:dyDescent="0.2"/>
    <row r="27693" ht="9.9499999999999993" hidden="1" customHeight="1" x14ac:dyDescent="0.2"/>
    <row r="27694" ht="9.9499999999999993" hidden="1" customHeight="1" x14ac:dyDescent="0.2"/>
    <row r="27695" ht="9.9499999999999993" hidden="1" customHeight="1" x14ac:dyDescent="0.2"/>
    <row r="27696" ht="9.9499999999999993" hidden="1" customHeight="1" x14ac:dyDescent="0.2"/>
    <row r="27697" ht="9.9499999999999993" hidden="1" customHeight="1" x14ac:dyDescent="0.2"/>
    <row r="27698" ht="9.9499999999999993" hidden="1" customHeight="1" x14ac:dyDescent="0.2"/>
    <row r="27699" ht="9.9499999999999993" hidden="1" customHeight="1" x14ac:dyDescent="0.2"/>
    <row r="27700" ht="9.9499999999999993" hidden="1" customHeight="1" x14ac:dyDescent="0.2"/>
    <row r="27701" ht="9.9499999999999993" hidden="1" customHeight="1" x14ac:dyDescent="0.2"/>
    <row r="27702" ht="9.9499999999999993" hidden="1" customHeight="1" x14ac:dyDescent="0.2"/>
    <row r="27703" ht="9.9499999999999993" hidden="1" customHeight="1" x14ac:dyDescent="0.2"/>
    <row r="27704" ht="9.9499999999999993" hidden="1" customHeight="1" x14ac:dyDescent="0.2"/>
    <row r="27705" ht="9.9499999999999993" hidden="1" customHeight="1" x14ac:dyDescent="0.2"/>
    <row r="27706" ht="9.9499999999999993" hidden="1" customHeight="1" x14ac:dyDescent="0.2"/>
    <row r="27707" ht="9.9499999999999993" hidden="1" customHeight="1" x14ac:dyDescent="0.2"/>
    <row r="27708" ht="9.9499999999999993" hidden="1" customHeight="1" x14ac:dyDescent="0.2"/>
    <row r="27709" ht="9.9499999999999993" hidden="1" customHeight="1" x14ac:dyDescent="0.2"/>
    <row r="27710" ht="9.9499999999999993" hidden="1" customHeight="1" x14ac:dyDescent="0.2"/>
    <row r="27711" ht="9.9499999999999993" hidden="1" customHeight="1" x14ac:dyDescent="0.2"/>
    <row r="27712" ht="9.9499999999999993" hidden="1" customHeight="1" x14ac:dyDescent="0.2"/>
    <row r="27713" ht="9.9499999999999993" hidden="1" customHeight="1" x14ac:dyDescent="0.2"/>
    <row r="27714" ht="9.9499999999999993" hidden="1" customHeight="1" x14ac:dyDescent="0.2"/>
    <row r="27715" ht="9.9499999999999993" hidden="1" customHeight="1" x14ac:dyDescent="0.2"/>
    <row r="27716" ht="9.9499999999999993" hidden="1" customHeight="1" x14ac:dyDescent="0.2"/>
    <row r="27717" ht="9.9499999999999993" hidden="1" customHeight="1" x14ac:dyDescent="0.2"/>
    <row r="27718" ht="9.9499999999999993" hidden="1" customHeight="1" x14ac:dyDescent="0.2"/>
    <row r="27719" ht="9.9499999999999993" hidden="1" customHeight="1" x14ac:dyDescent="0.2"/>
    <row r="27720" ht="9.9499999999999993" hidden="1" customHeight="1" x14ac:dyDescent="0.2"/>
    <row r="27721" ht="9.9499999999999993" hidden="1" customHeight="1" x14ac:dyDescent="0.2"/>
    <row r="27722" ht="9.9499999999999993" hidden="1" customHeight="1" x14ac:dyDescent="0.2"/>
    <row r="27723" ht="9.9499999999999993" hidden="1" customHeight="1" x14ac:dyDescent="0.2"/>
    <row r="27724" ht="9.9499999999999993" hidden="1" customHeight="1" x14ac:dyDescent="0.2"/>
    <row r="27725" ht="9.9499999999999993" hidden="1" customHeight="1" x14ac:dyDescent="0.2"/>
    <row r="27726" ht="9.9499999999999993" hidden="1" customHeight="1" x14ac:dyDescent="0.2"/>
    <row r="27727" ht="9.9499999999999993" hidden="1" customHeight="1" x14ac:dyDescent="0.2"/>
    <row r="27728" ht="9.9499999999999993" hidden="1" customHeight="1" x14ac:dyDescent="0.2"/>
    <row r="27729" ht="9.9499999999999993" hidden="1" customHeight="1" x14ac:dyDescent="0.2"/>
    <row r="27730" ht="9.9499999999999993" hidden="1" customHeight="1" x14ac:dyDescent="0.2"/>
    <row r="27731" ht="9.9499999999999993" hidden="1" customHeight="1" x14ac:dyDescent="0.2"/>
    <row r="27732" ht="9.9499999999999993" hidden="1" customHeight="1" x14ac:dyDescent="0.2"/>
    <row r="27733" ht="9.9499999999999993" hidden="1" customHeight="1" x14ac:dyDescent="0.2"/>
    <row r="27734" ht="9.9499999999999993" hidden="1" customHeight="1" x14ac:dyDescent="0.2"/>
    <row r="27735" ht="9.9499999999999993" hidden="1" customHeight="1" x14ac:dyDescent="0.2"/>
    <row r="27736" ht="9.9499999999999993" hidden="1" customHeight="1" x14ac:dyDescent="0.2"/>
    <row r="27737" ht="9.9499999999999993" hidden="1" customHeight="1" x14ac:dyDescent="0.2"/>
    <row r="27738" ht="9.9499999999999993" hidden="1" customHeight="1" x14ac:dyDescent="0.2"/>
    <row r="27739" ht="9.9499999999999993" hidden="1" customHeight="1" x14ac:dyDescent="0.2"/>
    <row r="27740" ht="9.9499999999999993" hidden="1" customHeight="1" x14ac:dyDescent="0.2"/>
    <row r="27741" ht="9.9499999999999993" hidden="1" customHeight="1" x14ac:dyDescent="0.2"/>
    <row r="27742" ht="9.9499999999999993" hidden="1" customHeight="1" x14ac:dyDescent="0.2"/>
    <row r="27743" ht="9.9499999999999993" hidden="1" customHeight="1" x14ac:dyDescent="0.2"/>
    <row r="27744" ht="9.9499999999999993" hidden="1" customHeight="1" x14ac:dyDescent="0.2"/>
    <row r="27745" ht="9.9499999999999993" hidden="1" customHeight="1" x14ac:dyDescent="0.2"/>
    <row r="27746" ht="9.9499999999999993" hidden="1" customHeight="1" x14ac:dyDescent="0.2"/>
    <row r="27747" ht="9.9499999999999993" hidden="1" customHeight="1" x14ac:dyDescent="0.2"/>
    <row r="27748" ht="9.9499999999999993" hidden="1" customHeight="1" x14ac:dyDescent="0.2"/>
    <row r="27749" ht="9.9499999999999993" hidden="1" customHeight="1" x14ac:dyDescent="0.2"/>
    <row r="27750" ht="9.9499999999999993" hidden="1" customHeight="1" x14ac:dyDescent="0.2"/>
    <row r="27751" ht="9.9499999999999993" hidden="1" customHeight="1" x14ac:dyDescent="0.2"/>
    <row r="27752" ht="9.9499999999999993" hidden="1" customHeight="1" x14ac:dyDescent="0.2"/>
    <row r="27753" ht="9.9499999999999993" hidden="1" customHeight="1" x14ac:dyDescent="0.2"/>
    <row r="27754" ht="9.9499999999999993" hidden="1" customHeight="1" x14ac:dyDescent="0.2"/>
    <row r="27755" ht="9.9499999999999993" hidden="1" customHeight="1" x14ac:dyDescent="0.2"/>
    <row r="27756" ht="9.9499999999999993" hidden="1" customHeight="1" x14ac:dyDescent="0.2"/>
    <row r="27757" ht="9.9499999999999993" hidden="1" customHeight="1" x14ac:dyDescent="0.2"/>
    <row r="27758" ht="9.9499999999999993" hidden="1" customHeight="1" x14ac:dyDescent="0.2"/>
    <row r="27759" ht="9.9499999999999993" hidden="1" customHeight="1" x14ac:dyDescent="0.2"/>
    <row r="27760" ht="9.9499999999999993" hidden="1" customHeight="1" x14ac:dyDescent="0.2"/>
    <row r="27761" ht="9.9499999999999993" hidden="1" customHeight="1" x14ac:dyDescent="0.2"/>
    <row r="27762" ht="9.9499999999999993" hidden="1" customHeight="1" x14ac:dyDescent="0.2"/>
    <row r="27763" ht="9.9499999999999993" hidden="1" customHeight="1" x14ac:dyDescent="0.2"/>
    <row r="27764" ht="9.9499999999999993" hidden="1" customHeight="1" x14ac:dyDescent="0.2"/>
    <row r="27765" ht="9.9499999999999993" hidden="1" customHeight="1" x14ac:dyDescent="0.2"/>
    <row r="27766" ht="9.9499999999999993" hidden="1" customHeight="1" x14ac:dyDescent="0.2"/>
    <row r="27767" ht="9.9499999999999993" hidden="1" customHeight="1" x14ac:dyDescent="0.2"/>
    <row r="27768" ht="9.9499999999999993" hidden="1" customHeight="1" x14ac:dyDescent="0.2"/>
    <row r="27769" ht="9.9499999999999993" hidden="1" customHeight="1" x14ac:dyDescent="0.2"/>
    <row r="27770" ht="9.9499999999999993" hidden="1" customHeight="1" x14ac:dyDescent="0.2"/>
    <row r="27771" ht="9.9499999999999993" hidden="1" customHeight="1" x14ac:dyDescent="0.2"/>
    <row r="27772" ht="9.9499999999999993" hidden="1" customHeight="1" x14ac:dyDescent="0.2"/>
    <row r="27773" ht="9.9499999999999993" hidden="1" customHeight="1" x14ac:dyDescent="0.2"/>
    <row r="27774" ht="9.9499999999999993" hidden="1" customHeight="1" x14ac:dyDescent="0.2"/>
    <row r="27775" ht="9.9499999999999993" hidden="1" customHeight="1" x14ac:dyDescent="0.2"/>
    <row r="27776" ht="9.9499999999999993" hidden="1" customHeight="1" x14ac:dyDescent="0.2"/>
    <row r="27777" ht="9.9499999999999993" hidden="1" customHeight="1" x14ac:dyDescent="0.2"/>
    <row r="27778" ht="9.9499999999999993" hidden="1" customHeight="1" x14ac:dyDescent="0.2"/>
    <row r="27779" ht="9.9499999999999993" hidden="1" customHeight="1" x14ac:dyDescent="0.2"/>
    <row r="27780" ht="9.9499999999999993" hidden="1" customHeight="1" x14ac:dyDescent="0.2"/>
    <row r="27781" ht="9.9499999999999993" hidden="1" customHeight="1" x14ac:dyDescent="0.2"/>
    <row r="27782" ht="9.9499999999999993" hidden="1" customHeight="1" x14ac:dyDescent="0.2"/>
    <row r="27783" ht="9.9499999999999993" hidden="1" customHeight="1" x14ac:dyDescent="0.2"/>
    <row r="27784" ht="9.9499999999999993" hidden="1" customHeight="1" x14ac:dyDescent="0.2"/>
    <row r="27785" ht="9.9499999999999993" hidden="1" customHeight="1" x14ac:dyDescent="0.2"/>
    <row r="27786" ht="9.9499999999999993" hidden="1" customHeight="1" x14ac:dyDescent="0.2"/>
    <row r="27787" ht="9.9499999999999993" hidden="1" customHeight="1" x14ac:dyDescent="0.2"/>
    <row r="27788" ht="9.9499999999999993" hidden="1" customHeight="1" x14ac:dyDescent="0.2"/>
    <row r="27789" ht="9.9499999999999993" hidden="1" customHeight="1" x14ac:dyDescent="0.2"/>
    <row r="27790" ht="9.9499999999999993" hidden="1" customHeight="1" x14ac:dyDescent="0.2"/>
    <row r="27791" ht="9.9499999999999993" hidden="1" customHeight="1" x14ac:dyDescent="0.2"/>
    <row r="27792" ht="9.9499999999999993" hidden="1" customHeight="1" x14ac:dyDescent="0.2"/>
    <row r="27793" ht="9.9499999999999993" hidden="1" customHeight="1" x14ac:dyDescent="0.2"/>
    <row r="27794" ht="9.9499999999999993" hidden="1" customHeight="1" x14ac:dyDescent="0.2"/>
    <row r="27795" ht="9.9499999999999993" hidden="1" customHeight="1" x14ac:dyDescent="0.2"/>
    <row r="27796" ht="9.9499999999999993" hidden="1" customHeight="1" x14ac:dyDescent="0.2"/>
    <row r="27797" ht="9.9499999999999993" hidden="1" customHeight="1" x14ac:dyDescent="0.2"/>
    <row r="27798" ht="9.9499999999999993" hidden="1" customHeight="1" x14ac:dyDescent="0.2"/>
    <row r="27799" ht="9.9499999999999993" hidden="1" customHeight="1" x14ac:dyDescent="0.2"/>
    <row r="27800" ht="9.9499999999999993" hidden="1" customHeight="1" x14ac:dyDescent="0.2"/>
    <row r="27801" ht="9.9499999999999993" hidden="1" customHeight="1" x14ac:dyDescent="0.2"/>
    <row r="27802" ht="9.9499999999999993" hidden="1" customHeight="1" x14ac:dyDescent="0.2"/>
    <row r="27803" ht="9.9499999999999993" hidden="1" customHeight="1" x14ac:dyDescent="0.2"/>
    <row r="27804" ht="9.9499999999999993" hidden="1" customHeight="1" x14ac:dyDescent="0.2"/>
    <row r="27805" ht="9.9499999999999993" hidden="1" customHeight="1" x14ac:dyDescent="0.2"/>
    <row r="27806" ht="9.9499999999999993" hidden="1" customHeight="1" x14ac:dyDescent="0.2"/>
    <row r="27807" ht="9.9499999999999993" hidden="1" customHeight="1" x14ac:dyDescent="0.2"/>
    <row r="27808" ht="9.9499999999999993" hidden="1" customHeight="1" x14ac:dyDescent="0.2"/>
    <row r="27809" ht="9.9499999999999993" hidden="1" customHeight="1" x14ac:dyDescent="0.2"/>
    <row r="27810" ht="9.9499999999999993" hidden="1" customHeight="1" x14ac:dyDescent="0.2"/>
    <row r="27811" ht="9.9499999999999993" hidden="1" customHeight="1" x14ac:dyDescent="0.2"/>
    <row r="27812" ht="9.9499999999999993" hidden="1" customHeight="1" x14ac:dyDescent="0.2"/>
    <row r="27813" ht="9.9499999999999993" hidden="1" customHeight="1" x14ac:dyDescent="0.2"/>
    <row r="27814" ht="9.9499999999999993" hidden="1" customHeight="1" x14ac:dyDescent="0.2"/>
    <row r="27815" ht="9.9499999999999993" hidden="1" customHeight="1" x14ac:dyDescent="0.2"/>
    <row r="27816" ht="9.9499999999999993" hidden="1" customHeight="1" x14ac:dyDescent="0.2"/>
    <row r="27817" ht="9.9499999999999993" hidden="1" customHeight="1" x14ac:dyDescent="0.2"/>
    <row r="27818" ht="9.9499999999999993" hidden="1" customHeight="1" x14ac:dyDescent="0.2"/>
    <row r="27819" ht="9.9499999999999993" hidden="1" customHeight="1" x14ac:dyDescent="0.2"/>
    <row r="27820" ht="9.9499999999999993" hidden="1" customHeight="1" x14ac:dyDescent="0.2"/>
    <row r="27821" ht="9.9499999999999993" hidden="1" customHeight="1" x14ac:dyDescent="0.2"/>
    <row r="27822" ht="9.9499999999999993" hidden="1" customHeight="1" x14ac:dyDescent="0.2"/>
    <row r="27823" ht="9.9499999999999993" hidden="1" customHeight="1" x14ac:dyDescent="0.2"/>
    <row r="27824" ht="9.9499999999999993" hidden="1" customHeight="1" x14ac:dyDescent="0.2"/>
    <row r="27825" ht="9.9499999999999993" hidden="1" customHeight="1" x14ac:dyDescent="0.2"/>
    <row r="27826" ht="9.9499999999999993" hidden="1" customHeight="1" x14ac:dyDescent="0.2"/>
    <row r="27827" ht="9.9499999999999993" hidden="1" customHeight="1" x14ac:dyDescent="0.2"/>
    <row r="27828" ht="9.9499999999999993" hidden="1" customHeight="1" x14ac:dyDescent="0.2"/>
    <row r="27829" ht="9.9499999999999993" hidden="1" customHeight="1" x14ac:dyDescent="0.2"/>
    <row r="27830" ht="9.9499999999999993" hidden="1" customHeight="1" x14ac:dyDescent="0.2"/>
    <row r="27831" ht="9.9499999999999993" hidden="1" customHeight="1" x14ac:dyDescent="0.2"/>
    <row r="27832" ht="9.9499999999999993" hidden="1" customHeight="1" x14ac:dyDescent="0.2"/>
    <row r="27833" ht="9.9499999999999993" hidden="1" customHeight="1" x14ac:dyDescent="0.2"/>
    <row r="27834" ht="9.9499999999999993" hidden="1" customHeight="1" x14ac:dyDescent="0.2"/>
    <row r="27835" ht="9.9499999999999993" hidden="1" customHeight="1" x14ac:dyDescent="0.2"/>
    <row r="27836" ht="9.9499999999999993" hidden="1" customHeight="1" x14ac:dyDescent="0.2"/>
    <row r="27837" ht="9.9499999999999993" hidden="1" customHeight="1" x14ac:dyDescent="0.2"/>
    <row r="27838" ht="9.9499999999999993" hidden="1" customHeight="1" x14ac:dyDescent="0.2"/>
    <row r="27839" ht="9.9499999999999993" hidden="1" customHeight="1" x14ac:dyDescent="0.2"/>
    <row r="27840" ht="9.9499999999999993" hidden="1" customHeight="1" x14ac:dyDescent="0.2"/>
    <row r="27841" ht="9.9499999999999993" hidden="1" customHeight="1" x14ac:dyDescent="0.2"/>
    <row r="27842" ht="9.9499999999999993" hidden="1" customHeight="1" x14ac:dyDescent="0.2"/>
    <row r="27843" ht="9.9499999999999993" hidden="1" customHeight="1" x14ac:dyDescent="0.2"/>
    <row r="27844" ht="9.9499999999999993" hidden="1" customHeight="1" x14ac:dyDescent="0.2"/>
    <row r="27845" ht="9.9499999999999993" hidden="1" customHeight="1" x14ac:dyDescent="0.2"/>
    <row r="27846" ht="9.9499999999999993" hidden="1" customHeight="1" x14ac:dyDescent="0.2"/>
    <row r="27847" ht="9.9499999999999993" hidden="1" customHeight="1" x14ac:dyDescent="0.2"/>
    <row r="27848" ht="9.9499999999999993" hidden="1" customHeight="1" x14ac:dyDescent="0.2"/>
    <row r="27849" ht="9.9499999999999993" hidden="1" customHeight="1" x14ac:dyDescent="0.2"/>
    <row r="27850" ht="9.9499999999999993" hidden="1" customHeight="1" x14ac:dyDescent="0.2"/>
    <row r="27851" ht="9.9499999999999993" hidden="1" customHeight="1" x14ac:dyDescent="0.2"/>
    <row r="27852" ht="9.9499999999999993" hidden="1" customHeight="1" x14ac:dyDescent="0.2"/>
    <row r="27853" ht="9.9499999999999993" hidden="1" customHeight="1" x14ac:dyDescent="0.2"/>
    <row r="27854" ht="9.9499999999999993" hidden="1" customHeight="1" x14ac:dyDescent="0.2"/>
    <row r="27855" ht="9.9499999999999993" hidden="1" customHeight="1" x14ac:dyDescent="0.2"/>
    <row r="27856" ht="9.9499999999999993" hidden="1" customHeight="1" x14ac:dyDescent="0.2"/>
    <row r="27857" ht="9.9499999999999993" hidden="1" customHeight="1" x14ac:dyDescent="0.2"/>
    <row r="27858" ht="9.9499999999999993" hidden="1" customHeight="1" x14ac:dyDescent="0.2"/>
    <row r="27859" ht="9.9499999999999993" hidden="1" customHeight="1" x14ac:dyDescent="0.2"/>
    <row r="27860" ht="9.9499999999999993" hidden="1" customHeight="1" x14ac:dyDescent="0.2"/>
    <row r="27861" ht="9.9499999999999993" hidden="1" customHeight="1" x14ac:dyDescent="0.2"/>
    <row r="27862" ht="9.9499999999999993" hidden="1" customHeight="1" x14ac:dyDescent="0.2"/>
    <row r="27863" ht="9.9499999999999993" hidden="1" customHeight="1" x14ac:dyDescent="0.2"/>
    <row r="27864" ht="9.9499999999999993" hidden="1" customHeight="1" x14ac:dyDescent="0.2"/>
    <row r="27865" ht="9.9499999999999993" hidden="1" customHeight="1" x14ac:dyDescent="0.2"/>
    <row r="27866" ht="9.9499999999999993" hidden="1" customHeight="1" x14ac:dyDescent="0.2"/>
    <row r="27867" ht="9.9499999999999993" hidden="1" customHeight="1" x14ac:dyDescent="0.2"/>
    <row r="27868" ht="9.9499999999999993" hidden="1" customHeight="1" x14ac:dyDescent="0.2"/>
    <row r="27869" ht="9.9499999999999993" hidden="1" customHeight="1" x14ac:dyDescent="0.2"/>
    <row r="27870" ht="9.9499999999999993" hidden="1" customHeight="1" x14ac:dyDescent="0.2"/>
    <row r="27871" ht="9.9499999999999993" hidden="1" customHeight="1" x14ac:dyDescent="0.2"/>
    <row r="27872" ht="9.9499999999999993" hidden="1" customHeight="1" x14ac:dyDescent="0.2"/>
    <row r="27873" ht="9.9499999999999993" hidden="1" customHeight="1" x14ac:dyDescent="0.2"/>
    <row r="27874" ht="9.9499999999999993" hidden="1" customHeight="1" x14ac:dyDescent="0.2"/>
    <row r="27875" ht="9.9499999999999993" hidden="1" customHeight="1" x14ac:dyDescent="0.2"/>
    <row r="27876" ht="9.9499999999999993" hidden="1" customHeight="1" x14ac:dyDescent="0.2"/>
    <row r="27877" ht="9.9499999999999993" hidden="1" customHeight="1" x14ac:dyDescent="0.2"/>
    <row r="27878" ht="9.9499999999999993" hidden="1" customHeight="1" x14ac:dyDescent="0.2"/>
    <row r="27879" ht="9.9499999999999993" hidden="1" customHeight="1" x14ac:dyDescent="0.2"/>
    <row r="27880" ht="9.9499999999999993" hidden="1" customHeight="1" x14ac:dyDescent="0.2"/>
    <row r="27881" ht="9.9499999999999993" hidden="1" customHeight="1" x14ac:dyDescent="0.2"/>
    <row r="27882" ht="9.9499999999999993" hidden="1" customHeight="1" x14ac:dyDescent="0.2"/>
    <row r="27883" ht="9.9499999999999993" hidden="1" customHeight="1" x14ac:dyDescent="0.2"/>
    <row r="27884" ht="9.9499999999999993" hidden="1" customHeight="1" x14ac:dyDescent="0.2"/>
    <row r="27885" ht="9.9499999999999993" hidden="1" customHeight="1" x14ac:dyDescent="0.2"/>
    <row r="27886" ht="9.9499999999999993" hidden="1" customHeight="1" x14ac:dyDescent="0.2"/>
    <row r="27887" ht="9.9499999999999993" hidden="1" customHeight="1" x14ac:dyDescent="0.2"/>
    <row r="27888" ht="9.9499999999999993" hidden="1" customHeight="1" x14ac:dyDescent="0.2"/>
    <row r="27889" ht="9.9499999999999993" hidden="1" customHeight="1" x14ac:dyDescent="0.2"/>
    <row r="27890" ht="9.9499999999999993" hidden="1" customHeight="1" x14ac:dyDescent="0.2"/>
    <row r="27891" ht="9.9499999999999993" hidden="1" customHeight="1" x14ac:dyDescent="0.2"/>
    <row r="27892" ht="9.9499999999999993" hidden="1" customHeight="1" x14ac:dyDescent="0.2"/>
    <row r="27893" ht="9.9499999999999993" hidden="1" customHeight="1" x14ac:dyDescent="0.2"/>
    <row r="27894" ht="9.9499999999999993" hidden="1" customHeight="1" x14ac:dyDescent="0.2"/>
    <row r="27895" ht="9.9499999999999993" hidden="1" customHeight="1" x14ac:dyDescent="0.2"/>
    <row r="27896" ht="9.9499999999999993" hidden="1" customHeight="1" x14ac:dyDescent="0.2"/>
    <row r="27897" ht="9.9499999999999993" hidden="1" customHeight="1" x14ac:dyDescent="0.2"/>
    <row r="27898" ht="9.9499999999999993" hidden="1" customHeight="1" x14ac:dyDescent="0.2"/>
    <row r="27899" ht="9.9499999999999993" hidden="1" customHeight="1" x14ac:dyDescent="0.2"/>
    <row r="27900" ht="9.9499999999999993" hidden="1" customHeight="1" x14ac:dyDescent="0.2"/>
    <row r="27901" ht="9.9499999999999993" hidden="1" customHeight="1" x14ac:dyDescent="0.2"/>
    <row r="27902" ht="9.9499999999999993" hidden="1" customHeight="1" x14ac:dyDescent="0.2"/>
    <row r="27903" ht="9.9499999999999993" hidden="1" customHeight="1" x14ac:dyDescent="0.2"/>
    <row r="27904" ht="9.9499999999999993" hidden="1" customHeight="1" x14ac:dyDescent="0.2"/>
    <row r="27905" ht="9.9499999999999993" hidden="1" customHeight="1" x14ac:dyDescent="0.2"/>
    <row r="27906" ht="9.9499999999999993" hidden="1" customHeight="1" x14ac:dyDescent="0.2"/>
    <row r="27907" ht="9.9499999999999993" hidden="1" customHeight="1" x14ac:dyDescent="0.2"/>
    <row r="27908" ht="9.9499999999999993" hidden="1" customHeight="1" x14ac:dyDescent="0.2"/>
    <row r="27909" ht="9.9499999999999993" hidden="1" customHeight="1" x14ac:dyDescent="0.2"/>
    <row r="27910" ht="9.9499999999999993" hidden="1" customHeight="1" x14ac:dyDescent="0.2"/>
    <row r="27911" ht="9.9499999999999993" hidden="1" customHeight="1" x14ac:dyDescent="0.2"/>
    <row r="27912" ht="9.9499999999999993" hidden="1" customHeight="1" x14ac:dyDescent="0.2"/>
    <row r="27913" ht="9.9499999999999993" hidden="1" customHeight="1" x14ac:dyDescent="0.2"/>
    <row r="27914" ht="9.9499999999999993" hidden="1" customHeight="1" x14ac:dyDescent="0.2"/>
    <row r="27915" ht="9.9499999999999993" hidden="1" customHeight="1" x14ac:dyDescent="0.2"/>
    <row r="27916" ht="9.9499999999999993" hidden="1" customHeight="1" x14ac:dyDescent="0.2"/>
    <row r="27917" ht="9.9499999999999993" hidden="1" customHeight="1" x14ac:dyDescent="0.2"/>
    <row r="27918" ht="9.9499999999999993" hidden="1" customHeight="1" x14ac:dyDescent="0.2"/>
    <row r="27919" ht="9.9499999999999993" hidden="1" customHeight="1" x14ac:dyDescent="0.2"/>
    <row r="27920" ht="9.9499999999999993" hidden="1" customHeight="1" x14ac:dyDescent="0.2"/>
    <row r="27921" ht="9.9499999999999993" hidden="1" customHeight="1" x14ac:dyDescent="0.2"/>
    <row r="27922" ht="9.9499999999999993" hidden="1" customHeight="1" x14ac:dyDescent="0.2"/>
    <row r="27923" ht="9.9499999999999993" hidden="1" customHeight="1" x14ac:dyDescent="0.2"/>
    <row r="27924" ht="9.9499999999999993" hidden="1" customHeight="1" x14ac:dyDescent="0.2"/>
    <row r="27925" ht="9.9499999999999993" hidden="1" customHeight="1" x14ac:dyDescent="0.2"/>
    <row r="27926" ht="9.9499999999999993" hidden="1" customHeight="1" x14ac:dyDescent="0.2"/>
    <row r="27927" ht="9.9499999999999993" hidden="1" customHeight="1" x14ac:dyDescent="0.2"/>
    <row r="27928" ht="9.9499999999999993" hidden="1" customHeight="1" x14ac:dyDescent="0.2"/>
    <row r="27929" ht="9.9499999999999993" hidden="1" customHeight="1" x14ac:dyDescent="0.2"/>
    <row r="27930" ht="9.9499999999999993" hidden="1" customHeight="1" x14ac:dyDescent="0.2"/>
    <row r="27931" ht="9.9499999999999993" hidden="1" customHeight="1" x14ac:dyDescent="0.2"/>
    <row r="27932" ht="9.9499999999999993" hidden="1" customHeight="1" x14ac:dyDescent="0.2"/>
    <row r="27933" ht="9.9499999999999993" hidden="1" customHeight="1" x14ac:dyDescent="0.2"/>
    <row r="27934" ht="9.9499999999999993" hidden="1" customHeight="1" x14ac:dyDescent="0.2"/>
    <row r="27935" ht="9.9499999999999993" hidden="1" customHeight="1" x14ac:dyDescent="0.2"/>
    <row r="27936" ht="9.9499999999999993" hidden="1" customHeight="1" x14ac:dyDescent="0.2"/>
    <row r="27937" ht="9.9499999999999993" hidden="1" customHeight="1" x14ac:dyDescent="0.2"/>
    <row r="27938" ht="9.9499999999999993" hidden="1" customHeight="1" x14ac:dyDescent="0.2"/>
    <row r="27939" ht="9.9499999999999993" hidden="1" customHeight="1" x14ac:dyDescent="0.2"/>
    <row r="27940" ht="9.9499999999999993" hidden="1" customHeight="1" x14ac:dyDescent="0.2"/>
    <row r="27941" ht="9.9499999999999993" hidden="1" customHeight="1" x14ac:dyDescent="0.2"/>
    <row r="27942" ht="9.9499999999999993" hidden="1" customHeight="1" x14ac:dyDescent="0.2"/>
    <row r="27943" ht="9.9499999999999993" hidden="1" customHeight="1" x14ac:dyDescent="0.2"/>
    <row r="27944" ht="9.9499999999999993" hidden="1" customHeight="1" x14ac:dyDescent="0.2"/>
    <row r="27945" ht="9.9499999999999993" hidden="1" customHeight="1" x14ac:dyDescent="0.2"/>
    <row r="27946" ht="9.9499999999999993" hidden="1" customHeight="1" x14ac:dyDescent="0.2"/>
    <row r="27947" ht="9.9499999999999993" hidden="1" customHeight="1" x14ac:dyDescent="0.2"/>
    <row r="27948" ht="9.9499999999999993" hidden="1" customHeight="1" x14ac:dyDescent="0.2"/>
    <row r="27949" ht="9.9499999999999993" hidden="1" customHeight="1" x14ac:dyDescent="0.2"/>
    <row r="27950" ht="9.9499999999999993" hidden="1" customHeight="1" x14ac:dyDescent="0.2"/>
    <row r="27951" ht="9.9499999999999993" hidden="1" customHeight="1" x14ac:dyDescent="0.2"/>
    <row r="27952" ht="9.9499999999999993" hidden="1" customHeight="1" x14ac:dyDescent="0.2"/>
    <row r="27953" ht="9.9499999999999993" hidden="1" customHeight="1" x14ac:dyDescent="0.2"/>
    <row r="27954" ht="9.9499999999999993" hidden="1" customHeight="1" x14ac:dyDescent="0.2"/>
    <row r="27955" ht="9.9499999999999993" hidden="1" customHeight="1" x14ac:dyDescent="0.2"/>
    <row r="27956" ht="9.9499999999999993" hidden="1" customHeight="1" x14ac:dyDescent="0.2"/>
    <row r="27957" ht="9.9499999999999993" hidden="1" customHeight="1" x14ac:dyDescent="0.2"/>
    <row r="27958" ht="9.9499999999999993" hidden="1" customHeight="1" x14ac:dyDescent="0.2"/>
    <row r="27959" ht="9.9499999999999993" hidden="1" customHeight="1" x14ac:dyDescent="0.2"/>
    <row r="27960" ht="9.9499999999999993" hidden="1" customHeight="1" x14ac:dyDescent="0.2"/>
    <row r="27961" ht="9.9499999999999993" hidden="1" customHeight="1" x14ac:dyDescent="0.2"/>
    <row r="27962" ht="9.9499999999999993" hidden="1" customHeight="1" x14ac:dyDescent="0.2"/>
    <row r="27963" ht="9.9499999999999993" hidden="1" customHeight="1" x14ac:dyDescent="0.2"/>
    <row r="27964" ht="9.9499999999999993" hidden="1" customHeight="1" x14ac:dyDescent="0.2"/>
    <row r="27965" ht="9.9499999999999993" hidden="1" customHeight="1" x14ac:dyDescent="0.2"/>
    <row r="27966" ht="9.9499999999999993" hidden="1" customHeight="1" x14ac:dyDescent="0.2"/>
    <row r="27967" ht="9.9499999999999993" hidden="1" customHeight="1" x14ac:dyDescent="0.2"/>
    <row r="27968" ht="9.9499999999999993" hidden="1" customHeight="1" x14ac:dyDescent="0.2"/>
    <row r="27969" ht="9.9499999999999993" hidden="1" customHeight="1" x14ac:dyDescent="0.2"/>
    <row r="27970" ht="9.9499999999999993" hidden="1" customHeight="1" x14ac:dyDescent="0.2"/>
    <row r="27971" ht="9.9499999999999993" hidden="1" customHeight="1" x14ac:dyDescent="0.2"/>
    <row r="27972" ht="9.9499999999999993" hidden="1" customHeight="1" x14ac:dyDescent="0.2"/>
    <row r="27973" ht="9.9499999999999993" hidden="1" customHeight="1" x14ac:dyDescent="0.2"/>
    <row r="27974" ht="9.9499999999999993" hidden="1" customHeight="1" x14ac:dyDescent="0.2"/>
    <row r="27975" ht="9.9499999999999993" hidden="1" customHeight="1" x14ac:dyDescent="0.2"/>
    <row r="27976" ht="9.9499999999999993" hidden="1" customHeight="1" x14ac:dyDescent="0.2"/>
    <row r="27977" ht="9.9499999999999993" hidden="1" customHeight="1" x14ac:dyDescent="0.2"/>
    <row r="27978" ht="9.9499999999999993" hidden="1" customHeight="1" x14ac:dyDescent="0.2"/>
    <row r="27979" ht="9.9499999999999993" hidden="1" customHeight="1" x14ac:dyDescent="0.2"/>
    <row r="27980" ht="9.9499999999999993" hidden="1" customHeight="1" x14ac:dyDescent="0.2"/>
    <row r="27981" ht="9.9499999999999993" hidden="1" customHeight="1" x14ac:dyDescent="0.2"/>
    <row r="27982" ht="9.9499999999999993" hidden="1" customHeight="1" x14ac:dyDescent="0.2"/>
    <row r="27983" ht="9.9499999999999993" hidden="1" customHeight="1" x14ac:dyDescent="0.2"/>
    <row r="27984" ht="9.9499999999999993" hidden="1" customHeight="1" x14ac:dyDescent="0.2"/>
    <row r="27985" ht="9.9499999999999993" hidden="1" customHeight="1" x14ac:dyDescent="0.2"/>
    <row r="27986" ht="9.9499999999999993" hidden="1" customHeight="1" x14ac:dyDescent="0.2"/>
    <row r="27987" ht="9.9499999999999993" hidden="1" customHeight="1" x14ac:dyDescent="0.2"/>
    <row r="27988" ht="9.9499999999999993" hidden="1" customHeight="1" x14ac:dyDescent="0.2"/>
    <row r="27989" ht="9.9499999999999993" hidden="1" customHeight="1" x14ac:dyDescent="0.2"/>
    <row r="27990" ht="9.9499999999999993" hidden="1" customHeight="1" x14ac:dyDescent="0.2"/>
    <row r="27991" ht="9.9499999999999993" hidden="1" customHeight="1" x14ac:dyDescent="0.2"/>
    <row r="27992" ht="9.9499999999999993" hidden="1" customHeight="1" x14ac:dyDescent="0.2"/>
    <row r="27993" ht="9.9499999999999993" hidden="1" customHeight="1" x14ac:dyDescent="0.2"/>
    <row r="27994" ht="9.9499999999999993" hidden="1" customHeight="1" x14ac:dyDescent="0.2"/>
    <row r="27995" ht="9.9499999999999993" hidden="1" customHeight="1" x14ac:dyDescent="0.2"/>
    <row r="27996" ht="9.9499999999999993" hidden="1" customHeight="1" x14ac:dyDescent="0.2"/>
    <row r="27997" ht="9.9499999999999993" hidden="1" customHeight="1" x14ac:dyDescent="0.2"/>
    <row r="27998" ht="9.9499999999999993" hidden="1" customHeight="1" x14ac:dyDescent="0.2"/>
    <row r="27999" ht="9.9499999999999993" hidden="1" customHeight="1" x14ac:dyDescent="0.2"/>
    <row r="28000" ht="9.9499999999999993" hidden="1" customHeight="1" x14ac:dyDescent="0.2"/>
    <row r="28001" ht="9.9499999999999993" hidden="1" customHeight="1" x14ac:dyDescent="0.2"/>
    <row r="28002" ht="9.9499999999999993" hidden="1" customHeight="1" x14ac:dyDescent="0.2"/>
    <row r="28003" ht="9.9499999999999993" hidden="1" customHeight="1" x14ac:dyDescent="0.2"/>
    <row r="28004" ht="9.9499999999999993" hidden="1" customHeight="1" x14ac:dyDescent="0.2"/>
    <row r="28005" ht="9.9499999999999993" hidden="1" customHeight="1" x14ac:dyDescent="0.2"/>
    <row r="28006" ht="9.9499999999999993" hidden="1" customHeight="1" x14ac:dyDescent="0.2"/>
    <row r="28007" ht="9.9499999999999993" hidden="1" customHeight="1" x14ac:dyDescent="0.2"/>
    <row r="28008" ht="9.9499999999999993" hidden="1" customHeight="1" x14ac:dyDescent="0.2"/>
    <row r="28009" ht="9.9499999999999993" hidden="1" customHeight="1" x14ac:dyDescent="0.2"/>
    <row r="28010" ht="9.9499999999999993" hidden="1" customHeight="1" x14ac:dyDescent="0.2"/>
    <row r="28011" ht="9.9499999999999993" hidden="1" customHeight="1" x14ac:dyDescent="0.2"/>
    <row r="28012" ht="9.9499999999999993" hidden="1" customHeight="1" x14ac:dyDescent="0.2"/>
    <row r="28013" ht="9.9499999999999993" hidden="1" customHeight="1" x14ac:dyDescent="0.2"/>
    <row r="28014" ht="9.9499999999999993" hidden="1" customHeight="1" x14ac:dyDescent="0.2"/>
    <row r="28015" ht="9.9499999999999993" hidden="1" customHeight="1" x14ac:dyDescent="0.2"/>
    <row r="28016" ht="9.9499999999999993" hidden="1" customHeight="1" x14ac:dyDescent="0.2"/>
    <row r="28017" ht="9.9499999999999993" hidden="1" customHeight="1" x14ac:dyDescent="0.2"/>
    <row r="28018" ht="9.9499999999999993" hidden="1" customHeight="1" x14ac:dyDescent="0.2"/>
    <row r="28019" ht="9.9499999999999993" hidden="1" customHeight="1" x14ac:dyDescent="0.2"/>
    <row r="28020" ht="9.9499999999999993" hidden="1" customHeight="1" x14ac:dyDescent="0.2"/>
    <row r="28021" ht="9.9499999999999993" hidden="1" customHeight="1" x14ac:dyDescent="0.2"/>
    <row r="28022" ht="9.9499999999999993" hidden="1" customHeight="1" x14ac:dyDescent="0.2"/>
    <row r="28023" ht="9.9499999999999993" hidden="1" customHeight="1" x14ac:dyDescent="0.2"/>
    <row r="28024" ht="9.9499999999999993" hidden="1" customHeight="1" x14ac:dyDescent="0.2"/>
    <row r="28025" ht="9.9499999999999993" hidden="1" customHeight="1" x14ac:dyDescent="0.2"/>
    <row r="28026" ht="9.9499999999999993" hidden="1" customHeight="1" x14ac:dyDescent="0.2"/>
    <row r="28027" ht="9.9499999999999993" hidden="1" customHeight="1" x14ac:dyDescent="0.2"/>
    <row r="28028" ht="9.9499999999999993" hidden="1" customHeight="1" x14ac:dyDescent="0.2"/>
    <row r="28029" ht="9.9499999999999993" hidden="1" customHeight="1" x14ac:dyDescent="0.2"/>
    <row r="28030" ht="9.9499999999999993" hidden="1" customHeight="1" x14ac:dyDescent="0.2"/>
    <row r="28031" ht="9.9499999999999993" hidden="1" customHeight="1" x14ac:dyDescent="0.2"/>
    <row r="28032" ht="9.9499999999999993" hidden="1" customHeight="1" x14ac:dyDescent="0.2"/>
    <row r="28033" ht="9.9499999999999993" hidden="1" customHeight="1" x14ac:dyDescent="0.2"/>
    <row r="28034" ht="9.9499999999999993" hidden="1" customHeight="1" x14ac:dyDescent="0.2"/>
    <row r="28035" ht="9.9499999999999993" hidden="1" customHeight="1" x14ac:dyDescent="0.2"/>
    <row r="28036" ht="9.9499999999999993" hidden="1" customHeight="1" x14ac:dyDescent="0.2"/>
    <row r="28037" ht="9.9499999999999993" hidden="1" customHeight="1" x14ac:dyDescent="0.2"/>
    <row r="28038" ht="9.9499999999999993" hidden="1" customHeight="1" x14ac:dyDescent="0.2"/>
    <row r="28039" ht="9.9499999999999993" hidden="1" customHeight="1" x14ac:dyDescent="0.2"/>
    <row r="28040" ht="9.9499999999999993" hidden="1" customHeight="1" x14ac:dyDescent="0.2"/>
    <row r="28041" ht="9.9499999999999993" hidden="1" customHeight="1" x14ac:dyDescent="0.2"/>
    <row r="28042" ht="9.9499999999999993" hidden="1" customHeight="1" x14ac:dyDescent="0.2"/>
    <row r="28043" ht="9.9499999999999993" hidden="1" customHeight="1" x14ac:dyDescent="0.2"/>
    <row r="28044" ht="9.9499999999999993" hidden="1" customHeight="1" x14ac:dyDescent="0.2"/>
    <row r="28045" ht="9.9499999999999993" hidden="1" customHeight="1" x14ac:dyDescent="0.2"/>
    <row r="28046" ht="9.9499999999999993" hidden="1" customHeight="1" x14ac:dyDescent="0.2"/>
    <row r="28047" ht="9.9499999999999993" hidden="1" customHeight="1" x14ac:dyDescent="0.2"/>
    <row r="28048" ht="9.9499999999999993" hidden="1" customHeight="1" x14ac:dyDescent="0.2"/>
    <row r="28049" ht="9.9499999999999993" hidden="1" customHeight="1" x14ac:dyDescent="0.2"/>
    <row r="28050" ht="9.9499999999999993" hidden="1" customHeight="1" x14ac:dyDescent="0.2"/>
    <row r="28051" ht="9.9499999999999993" hidden="1" customHeight="1" x14ac:dyDescent="0.2"/>
    <row r="28052" ht="9.9499999999999993" hidden="1" customHeight="1" x14ac:dyDescent="0.2"/>
    <row r="28053" ht="9.9499999999999993" hidden="1" customHeight="1" x14ac:dyDescent="0.2"/>
    <row r="28054" ht="9.9499999999999993" hidden="1" customHeight="1" x14ac:dyDescent="0.2"/>
    <row r="28055" ht="9.9499999999999993" hidden="1" customHeight="1" x14ac:dyDescent="0.2"/>
    <row r="28056" ht="9.9499999999999993" hidden="1" customHeight="1" x14ac:dyDescent="0.2"/>
    <row r="28057" ht="9.9499999999999993" hidden="1" customHeight="1" x14ac:dyDescent="0.2"/>
    <row r="28058" ht="9.9499999999999993" hidden="1" customHeight="1" x14ac:dyDescent="0.2"/>
    <row r="28059" ht="9.9499999999999993" hidden="1" customHeight="1" x14ac:dyDescent="0.2"/>
    <row r="28060" ht="9.9499999999999993" hidden="1" customHeight="1" x14ac:dyDescent="0.2"/>
    <row r="28061" ht="9.9499999999999993" hidden="1" customHeight="1" x14ac:dyDescent="0.2"/>
    <row r="28062" ht="9.9499999999999993" hidden="1" customHeight="1" x14ac:dyDescent="0.2"/>
    <row r="28063" ht="9.9499999999999993" hidden="1" customHeight="1" x14ac:dyDescent="0.2"/>
    <row r="28064" ht="9.9499999999999993" hidden="1" customHeight="1" x14ac:dyDescent="0.2"/>
    <row r="28065" ht="9.9499999999999993" hidden="1" customHeight="1" x14ac:dyDescent="0.2"/>
    <row r="28066" ht="9.9499999999999993" hidden="1" customHeight="1" x14ac:dyDescent="0.2"/>
    <row r="28067" ht="9.9499999999999993" hidden="1" customHeight="1" x14ac:dyDescent="0.2"/>
    <row r="28068" ht="9.9499999999999993" hidden="1" customHeight="1" x14ac:dyDescent="0.2"/>
    <row r="28069" ht="9.9499999999999993" hidden="1" customHeight="1" x14ac:dyDescent="0.2"/>
    <row r="28070" ht="9.9499999999999993" hidden="1" customHeight="1" x14ac:dyDescent="0.2"/>
    <row r="28071" ht="9.9499999999999993" hidden="1" customHeight="1" x14ac:dyDescent="0.2"/>
    <row r="28072" ht="9.9499999999999993" hidden="1" customHeight="1" x14ac:dyDescent="0.2"/>
    <row r="28073" ht="9.9499999999999993" hidden="1" customHeight="1" x14ac:dyDescent="0.2"/>
    <row r="28074" ht="9.9499999999999993" hidden="1" customHeight="1" x14ac:dyDescent="0.2"/>
    <row r="28075" ht="9.9499999999999993" hidden="1" customHeight="1" x14ac:dyDescent="0.2"/>
    <row r="28076" ht="9.9499999999999993" hidden="1" customHeight="1" x14ac:dyDescent="0.2"/>
    <row r="28077" ht="9.9499999999999993" hidden="1" customHeight="1" x14ac:dyDescent="0.2"/>
    <row r="28078" ht="9.9499999999999993" hidden="1" customHeight="1" x14ac:dyDescent="0.2"/>
    <row r="28079" ht="9.9499999999999993" hidden="1" customHeight="1" x14ac:dyDescent="0.2"/>
    <row r="28080" ht="9.9499999999999993" hidden="1" customHeight="1" x14ac:dyDescent="0.2"/>
    <row r="28081" ht="9.9499999999999993" hidden="1" customHeight="1" x14ac:dyDescent="0.2"/>
    <row r="28082" ht="9.9499999999999993" hidden="1" customHeight="1" x14ac:dyDescent="0.2"/>
    <row r="28083" ht="9.9499999999999993" hidden="1" customHeight="1" x14ac:dyDescent="0.2"/>
    <row r="28084" ht="9.9499999999999993" hidden="1" customHeight="1" x14ac:dyDescent="0.2"/>
    <row r="28085" ht="9.9499999999999993" hidden="1" customHeight="1" x14ac:dyDescent="0.2"/>
    <row r="28086" ht="9.9499999999999993" hidden="1" customHeight="1" x14ac:dyDescent="0.2"/>
    <row r="28087" ht="9.9499999999999993" hidden="1" customHeight="1" x14ac:dyDescent="0.2"/>
    <row r="28088" ht="9.9499999999999993" hidden="1" customHeight="1" x14ac:dyDescent="0.2"/>
    <row r="28089" ht="9.9499999999999993" hidden="1" customHeight="1" x14ac:dyDescent="0.2"/>
    <row r="28090" ht="9.9499999999999993" hidden="1" customHeight="1" x14ac:dyDescent="0.2"/>
    <row r="28091" ht="9.9499999999999993" hidden="1" customHeight="1" x14ac:dyDescent="0.2"/>
    <row r="28092" ht="9.9499999999999993" hidden="1" customHeight="1" x14ac:dyDescent="0.2"/>
    <row r="28093" ht="9.9499999999999993" hidden="1" customHeight="1" x14ac:dyDescent="0.2"/>
    <row r="28094" ht="9.9499999999999993" hidden="1" customHeight="1" x14ac:dyDescent="0.2"/>
    <row r="28095" ht="9.9499999999999993" hidden="1" customHeight="1" x14ac:dyDescent="0.2"/>
    <row r="28096" ht="9.9499999999999993" hidden="1" customHeight="1" x14ac:dyDescent="0.2"/>
    <row r="28097" ht="9.9499999999999993" hidden="1" customHeight="1" x14ac:dyDescent="0.2"/>
    <row r="28098" ht="9.9499999999999993" hidden="1" customHeight="1" x14ac:dyDescent="0.2"/>
    <row r="28099" ht="9.9499999999999993" hidden="1" customHeight="1" x14ac:dyDescent="0.2"/>
    <row r="28100" ht="9.9499999999999993" hidden="1" customHeight="1" x14ac:dyDescent="0.2"/>
    <row r="28101" ht="9.9499999999999993" hidden="1" customHeight="1" x14ac:dyDescent="0.2"/>
    <row r="28102" ht="9.9499999999999993" hidden="1" customHeight="1" x14ac:dyDescent="0.2"/>
    <row r="28103" ht="9.9499999999999993" hidden="1" customHeight="1" x14ac:dyDescent="0.2"/>
    <row r="28104" ht="9.9499999999999993" hidden="1" customHeight="1" x14ac:dyDescent="0.2"/>
    <row r="28105" ht="9.9499999999999993" hidden="1" customHeight="1" x14ac:dyDescent="0.2"/>
    <row r="28106" ht="9.9499999999999993" hidden="1" customHeight="1" x14ac:dyDescent="0.2"/>
    <row r="28107" ht="9.9499999999999993" hidden="1" customHeight="1" x14ac:dyDescent="0.2"/>
    <row r="28108" ht="9.9499999999999993" hidden="1" customHeight="1" x14ac:dyDescent="0.2"/>
    <row r="28109" ht="9.9499999999999993" hidden="1" customHeight="1" x14ac:dyDescent="0.2"/>
    <row r="28110" ht="9.9499999999999993" hidden="1" customHeight="1" x14ac:dyDescent="0.2"/>
    <row r="28111" ht="9.9499999999999993" hidden="1" customHeight="1" x14ac:dyDescent="0.2"/>
    <row r="28112" ht="9.9499999999999993" hidden="1" customHeight="1" x14ac:dyDescent="0.2"/>
    <row r="28113" ht="9.9499999999999993" hidden="1" customHeight="1" x14ac:dyDescent="0.2"/>
    <row r="28114" ht="9.9499999999999993" hidden="1" customHeight="1" x14ac:dyDescent="0.2"/>
    <row r="28115" ht="9.9499999999999993" hidden="1" customHeight="1" x14ac:dyDescent="0.2"/>
    <row r="28116" ht="9.9499999999999993" hidden="1" customHeight="1" x14ac:dyDescent="0.2"/>
    <row r="28117" ht="9.9499999999999993" hidden="1" customHeight="1" x14ac:dyDescent="0.2"/>
    <row r="28118" ht="9.9499999999999993" hidden="1" customHeight="1" x14ac:dyDescent="0.2"/>
    <row r="28119" ht="9.9499999999999993" hidden="1" customHeight="1" x14ac:dyDescent="0.2"/>
    <row r="28120" ht="9.9499999999999993" hidden="1" customHeight="1" x14ac:dyDescent="0.2"/>
    <row r="28121" ht="9.9499999999999993" hidden="1" customHeight="1" x14ac:dyDescent="0.2"/>
    <row r="28122" ht="9.9499999999999993" hidden="1" customHeight="1" x14ac:dyDescent="0.2"/>
    <row r="28123" ht="9.9499999999999993" hidden="1" customHeight="1" x14ac:dyDescent="0.2"/>
    <row r="28124" ht="9.9499999999999993" hidden="1" customHeight="1" x14ac:dyDescent="0.2"/>
    <row r="28125" ht="9.9499999999999993" hidden="1" customHeight="1" x14ac:dyDescent="0.2"/>
    <row r="28126" ht="9.9499999999999993" hidden="1" customHeight="1" x14ac:dyDescent="0.2"/>
    <row r="28127" ht="9.9499999999999993" hidden="1" customHeight="1" x14ac:dyDescent="0.2"/>
    <row r="28128" ht="9.9499999999999993" hidden="1" customHeight="1" x14ac:dyDescent="0.2"/>
    <row r="28129" ht="9.9499999999999993" hidden="1" customHeight="1" x14ac:dyDescent="0.2"/>
    <row r="28130" ht="9.9499999999999993" hidden="1" customHeight="1" x14ac:dyDescent="0.2"/>
    <row r="28131" ht="9.9499999999999993" hidden="1" customHeight="1" x14ac:dyDescent="0.2"/>
    <row r="28132" ht="9.9499999999999993" hidden="1" customHeight="1" x14ac:dyDescent="0.2"/>
    <row r="28133" ht="9.9499999999999993" hidden="1" customHeight="1" x14ac:dyDescent="0.2"/>
    <row r="28134" ht="9.9499999999999993" hidden="1" customHeight="1" x14ac:dyDescent="0.2"/>
    <row r="28135" ht="9.9499999999999993" hidden="1" customHeight="1" x14ac:dyDescent="0.2"/>
    <row r="28136" ht="9.9499999999999993" hidden="1" customHeight="1" x14ac:dyDescent="0.2"/>
    <row r="28137" ht="9.9499999999999993" hidden="1" customHeight="1" x14ac:dyDescent="0.2"/>
    <row r="28138" ht="9.9499999999999993" hidden="1" customHeight="1" x14ac:dyDescent="0.2"/>
    <row r="28139" ht="9.9499999999999993" hidden="1" customHeight="1" x14ac:dyDescent="0.2"/>
    <row r="28140" ht="9.9499999999999993" hidden="1" customHeight="1" x14ac:dyDescent="0.2"/>
    <row r="28141" ht="9.9499999999999993" hidden="1" customHeight="1" x14ac:dyDescent="0.2"/>
    <row r="28142" ht="9.9499999999999993" hidden="1" customHeight="1" x14ac:dyDescent="0.2"/>
    <row r="28143" ht="9.9499999999999993" hidden="1" customHeight="1" x14ac:dyDescent="0.2"/>
    <row r="28144" ht="9.9499999999999993" hidden="1" customHeight="1" x14ac:dyDescent="0.2"/>
    <row r="28145" ht="9.9499999999999993" hidden="1" customHeight="1" x14ac:dyDescent="0.2"/>
    <row r="28146" ht="9.9499999999999993" hidden="1" customHeight="1" x14ac:dyDescent="0.2"/>
    <row r="28147" ht="9.9499999999999993" hidden="1" customHeight="1" x14ac:dyDescent="0.2"/>
    <row r="28148" ht="9.9499999999999993" hidden="1" customHeight="1" x14ac:dyDescent="0.2"/>
    <row r="28149" ht="9.9499999999999993" hidden="1" customHeight="1" x14ac:dyDescent="0.2"/>
    <row r="28150" ht="9.9499999999999993" hidden="1" customHeight="1" x14ac:dyDescent="0.2"/>
    <row r="28151" ht="9.9499999999999993" hidden="1" customHeight="1" x14ac:dyDescent="0.2"/>
    <row r="28152" ht="9.9499999999999993" hidden="1" customHeight="1" x14ac:dyDescent="0.2"/>
    <row r="28153" ht="9.9499999999999993" hidden="1" customHeight="1" x14ac:dyDescent="0.2"/>
    <row r="28154" ht="9.9499999999999993" hidden="1" customHeight="1" x14ac:dyDescent="0.2"/>
    <row r="28155" ht="9.9499999999999993" hidden="1" customHeight="1" x14ac:dyDescent="0.2"/>
    <row r="28156" ht="9.9499999999999993" hidden="1" customHeight="1" x14ac:dyDescent="0.2"/>
    <row r="28157" ht="9.9499999999999993" hidden="1" customHeight="1" x14ac:dyDescent="0.2"/>
    <row r="28158" ht="9.9499999999999993" hidden="1" customHeight="1" x14ac:dyDescent="0.2"/>
    <row r="28159" ht="9.9499999999999993" hidden="1" customHeight="1" x14ac:dyDescent="0.2"/>
    <row r="28160" ht="9.9499999999999993" hidden="1" customHeight="1" x14ac:dyDescent="0.2"/>
    <row r="28161" ht="9.9499999999999993" hidden="1" customHeight="1" x14ac:dyDescent="0.2"/>
    <row r="28162" ht="9.9499999999999993" hidden="1" customHeight="1" x14ac:dyDescent="0.2"/>
    <row r="28163" ht="9.9499999999999993" hidden="1" customHeight="1" x14ac:dyDescent="0.2"/>
    <row r="28164" ht="9.9499999999999993" hidden="1" customHeight="1" x14ac:dyDescent="0.2"/>
    <row r="28165" ht="9.9499999999999993" hidden="1" customHeight="1" x14ac:dyDescent="0.2"/>
    <row r="28166" ht="9.9499999999999993" hidden="1" customHeight="1" x14ac:dyDescent="0.2"/>
    <row r="28167" ht="9.9499999999999993" hidden="1" customHeight="1" x14ac:dyDescent="0.2"/>
    <row r="28168" ht="9.9499999999999993" hidden="1" customHeight="1" x14ac:dyDescent="0.2"/>
    <row r="28169" ht="9.9499999999999993" hidden="1" customHeight="1" x14ac:dyDescent="0.2"/>
    <row r="28170" ht="9.9499999999999993" hidden="1" customHeight="1" x14ac:dyDescent="0.2"/>
    <row r="28171" ht="9.9499999999999993" hidden="1" customHeight="1" x14ac:dyDescent="0.2"/>
    <row r="28172" ht="9.9499999999999993" hidden="1" customHeight="1" x14ac:dyDescent="0.2"/>
    <row r="28173" ht="9.9499999999999993" hidden="1" customHeight="1" x14ac:dyDescent="0.2"/>
    <row r="28174" ht="9.9499999999999993" hidden="1" customHeight="1" x14ac:dyDescent="0.2"/>
    <row r="28175" ht="9.9499999999999993" hidden="1" customHeight="1" x14ac:dyDescent="0.2"/>
    <row r="28176" ht="9.9499999999999993" hidden="1" customHeight="1" x14ac:dyDescent="0.2"/>
    <row r="28177" ht="9.9499999999999993" hidden="1" customHeight="1" x14ac:dyDescent="0.2"/>
    <row r="28178" ht="9.9499999999999993" hidden="1" customHeight="1" x14ac:dyDescent="0.2"/>
    <row r="28179" ht="9.9499999999999993" hidden="1" customHeight="1" x14ac:dyDescent="0.2"/>
    <row r="28180" ht="9.9499999999999993" hidden="1" customHeight="1" x14ac:dyDescent="0.2"/>
    <row r="28181" ht="9.9499999999999993" hidden="1" customHeight="1" x14ac:dyDescent="0.2"/>
    <row r="28182" ht="9.9499999999999993" hidden="1" customHeight="1" x14ac:dyDescent="0.2"/>
    <row r="28183" ht="9.9499999999999993" hidden="1" customHeight="1" x14ac:dyDescent="0.2"/>
    <row r="28184" ht="9.9499999999999993" hidden="1" customHeight="1" x14ac:dyDescent="0.2"/>
    <row r="28185" ht="9.9499999999999993" hidden="1" customHeight="1" x14ac:dyDescent="0.2"/>
    <row r="28186" ht="9.9499999999999993" hidden="1" customHeight="1" x14ac:dyDescent="0.2"/>
    <row r="28187" ht="9.9499999999999993" hidden="1" customHeight="1" x14ac:dyDescent="0.2"/>
    <row r="28188" ht="9.9499999999999993" hidden="1" customHeight="1" x14ac:dyDescent="0.2"/>
    <row r="28189" ht="9.9499999999999993" hidden="1" customHeight="1" x14ac:dyDescent="0.2"/>
    <row r="28190" ht="9.9499999999999993" hidden="1" customHeight="1" x14ac:dyDescent="0.2"/>
    <row r="28191" ht="9.9499999999999993" hidden="1" customHeight="1" x14ac:dyDescent="0.2"/>
    <row r="28192" ht="9.9499999999999993" hidden="1" customHeight="1" x14ac:dyDescent="0.2"/>
    <row r="28193" ht="9.9499999999999993" hidden="1" customHeight="1" x14ac:dyDescent="0.2"/>
    <row r="28194" ht="9.9499999999999993" hidden="1" customHeight="1" x14ac:dyDescent="0.2"/>
    <row r="28195" ht="9.9499999999999993" hidden="1" customHeight="1" x14ac:dyDescent="0.2"/>
    <row r="28196" ht="9.9499999999999993" hidden="1" customHeight="1" x14ac:dyDescent="0.2"/>
    <row r="28197" ht="9.9499999999999993" hidden="1" customHeight="1" x14ac:dyDescent="0.2"/>
    <row r="28198" ht="9.9499999999999993" hidden="1" customHeight="1" x14ac:dyDescent="0.2"/>
    <row r="28199" ht="9.9499999999999993" hidden="1" customHeight="1" x14ac:dyDescent="0.2"/>
    <row r="28200" ht="9.9499999999999993" hidden="1" customHeight="1" x14ac:dyDescent="0.2"/>
    <row r="28201" ht="9.9499999999999993" hidden="1" customHeight="1" x14ac:dyDescent="0.2"/>
    <row r="28202" ht="9.9499999999999993" hidden="1" customHeight="1" x14ac:dyDescent="0.2"/>
    <row r="28203" ht="9.9499999999999993" hidden="1" customHeight="1" x14ac:dyDescent="0.2"/>
    <row r="28204" ht="9.9499999999999993" hidden="1" customHeight="1" x14ac:dyDescent="0.2"/>
    <row r="28205" ht="9.9499999999999993" hidden="1" customHeight="1" x14ac:dyDescent="0.2"/>
    <row r="28206" ht="9.9499999999999993" hidden="1" customHeight="1" x14ac:dyDescent="0.2"/>
    <row r="28207" ht="9.9499999999999993" hidden="1" customHeight="1" x14ac:dyDescent="0.2"/>
    <row r="28208" ht="9.9499999999999993" hidden="1" customHeight="1" x14ac:dyDescent="0.2"/>
    <row r="28209" ht="9.9499999999999993" hidden="1" customHeight="1" x14ac:dyDescent="0.2"/>
    <row r="28210" ht="9.9499999999999993" hidden="1" customHeight="1" x14ac:dyDescent="0.2"/>
    <row r="28211" ht="9.9499999999999993" hidden="1" customHeight="1" x14ac:dyDescent="0.2"/>
    <row r="28212" ht="9.9499999999999993" hidden="1" customHeight="1" x14ac:dyDescent="0.2"/>
    <row r="28213" ht="9.9499999999999993" hidden="1" customHeight="1" x14ac:dyDescent="0.2"/>
    <row r="28214" ht="9.9499999999999993" hidden="1" customHeight="1" x14ac:dyDescent="0.2"/>
    <row r="28215" ht="9.9499999999999993" hidden="1" customHeight="1" x14ac:dyDescent="0.2"/>
    <row r="28216" ht="9.9499999999999993" hidden="1" customHeight="1" x14ac:dyDescent="0.2"/>
    <row r="28217" ht="9.9499999999999993" hidden="1" customHeight="1" x14ac:dyDescent="0.2"/>
    <row r="28218" ht="9.9499999999999993" hidden="1" customHeight="1" x14ac:dyDescent="0.2"/>
    <row r="28219" ht="9.9499999999999993" hidden="1" customHeight="1" x14ac:dyDescent="0.2"/>
    <row r="28220" ht="9.9499999999999993" hidden="1" customHeight="1" x14ac:dyDescent="0.2"/>
    <row r="28221" ht="9.9499999999999993" hidden="1" customHeight="1" x14ac:dyDescent="0.2"/>
    <row r="28222" ht="9.9499999999999993" hidden="1" customHeight="1" x14ac:dyDescent="0.2"/>
    <row r="28223" ht="9.9499999999999993" hidden="1" customHeight="1" x14ac:dyDescent="0.2"/>
    <row r="28224" ht="9.9499999999999993" hidden="1" customHeight="1" x14ac:dyDescent="0.2"/>
    <row r="28225" ht="9.9499999999999993" hidden="1" customHeight="1" x14ac:dyDescent="0.2"/>
    <row r="28226" ht="9.9499999999999993" hidden="1" customHeight="1" x14ac:dyDescent="0.2"/>
    <row r="28227" ht="9.9499999999999993" hidden="1" customHeight="1" x14ac:dyDescent="0.2"/>
    <row r="28228" ht="9.9499999999999993" hidden="1" customHeight="1" x14ac:dyDescent="0.2"/>
    <row r="28229" ht="9.9499999999999993" hidden="1" customHeight="1" x14ac:dyDescent="0.2"/>
    <row r="28230" ht="9.9499999999999993" hidden="1" customHeight="1" x14ac:dyDescent="0.2"/>
    <row r="28231" ht="9.9499999999999993" hidden="1" customHeight="1" x14ac:dyDescent="0.2"/>
    <row r="28232" ht="9.9499999999999993" hidden="1" customHeight="1" x14ac:dyDescent="0.2"/>
    <row r="28233" ht="9.9499999999999993" hidden="1" customHeight="1" x14ac:dyDescent="0.2"/>
    <row r="28234" ht="9.9499999999999993" hidden="1" customHeight="1" x14ac:dyDescent="0.2"/>
    <row r="28235" ht="9.9499999999999993" hidden="1" customHeight="1" x14ac:dyDescent="0.2"/>
    <row r="28236" ht="9.9499999999999993" hidden="1" customHeight="1" x14ac:dyDescent="0.2"/>
    <row r="28237" ht="9.9499999999999993" hidden="1" customHeight="1" x14ac:dyDescent="0.2"/>
    <row r="28238" ht="9.9499999999999993" hidden="1" customHeight="1" x14ac:dyDescent="0.2"/>
    <row r="28239" ht="9.9499999999999993" hidden="1" customHeight="1" x14ac:dyDescent="0.2"/>
    <row r="28240" ht="9.9499999999999993" hidden="1" customHeight="1" x14ac:dyDescent="0.2"/>
    <row r="28241" ht="9.9499999999999993" hidden="1" customHeight="1" x14ac:dyDescent="0.2"/>
    <row r="28242" ht="9.9499999999999993" hidden="1" customHeight="1" x14ac:dyDescent="0.2"/>
    <row r="28243" ht="9.9499999999999993" hidden="1" customHeight="1" x14ac:dyDescent="0.2"/>
    <row r="28244" ht="9.9499999999999993" hidden="1" customHeight="1" x14ac:dyDescent="0.2"/>
    <row r="28245" ht="9.9499999999999993" hidden="1" customHeight="1" x14ac:dyDescent="0.2"/>
    <row r="28246" ht="9.9499999999999993" hidden="1" customHeight="1" x14ac:dyDescent="0.2"/>
    <row r="28247" ht="9.9499999999999993" hidden="1" customHeight="1" x14ac:dyDescent="0.2"/>
    <row r="28248" ht="9.9499999999999993" hidden="1" customHeight="1" x14ac:dyDescent="0.2"/>
    <row r="28249" ht="9.9499999999999993" hidden="1" customHeight="1" x14ac:dyDescent="0.2"/>
    <row r="28250" ht="9.9499999999999993" hidden="1" customHeight="1" x14ac:dyDescent="0.2"/>
    <row r="28251" ht="9.9499999999999993" hidden="1" customHeight="1" x14ac:dyDescent="0.2"/>
    <row r="28252" ht="9.9499999999999993" hidden="1" customHeight="1" x14ac:dyDescent="0.2"/>
    <row r="28253" ht="9.9499999999999993" hidden="1" customHeight="1" x14ac:dyDescent="0.2"/>
    <row r="28254" ht="9.9499999999999993" hidden="1" customHeight="1" x14ac:dyDescent="0.2"/>
    <row r="28255" ht="9.9499999999999993" hidden="1" customHeight="1" x14ac:dyDescent="0.2"/>
    <row r="28256" ht="9.9499999999999993" hidden="1" customHeight="1" x14ac:dyDescent="0.2"/>
    <row r="28257" ht="9.9499999999999993" hidden="1" customHeight="1" x14ac:dyDescent="0.2"/>
    <row r="28258" ht="9.9499999999999993" hidden="1" customHeight="1" x14ac:dyDescent="0.2"/>
    <row r="28259" ht="9.9499999999999993" hidden="1" customHeight="1" x14ac:dyDescent="0.2"/>
    <row r="28260" ht="9.9499999999999993" hidden="1" customHeight="1" x14ac:dyDescent="0.2"/>
    <row r="28261" ht="9.9499999999999993" hidden="1" customHeight="1" x14ac:dyDescent="0.2"/>
    <row r="28262" ht="9.9499999999999993" hidden="1" customHeight="1" x14ac:dyDescent="0.2"/>
    <row r="28263" ht="9.9499999999999993" hidden="1" customHeight="1" x14ac:dyDescent="0.2"/>
    <row r="28264" ht="9.9499999999999993" hidden="1" customHeight="1" x14ac:dyDescent="0.2"/>
    <row r="28265" ht="9.9499999999999993" hidden="1" customHeight="1" x14ac:dyDescent="0.2"/>
    <row r="28266" ht="9.9499999999999993" hidden="1" customHeight="1" x14ac:dyDescent="0.2"/>
    <row r="28267" ht="9.9499999999999993" hidden="1" customHeight="1" x14ac:dyDescent="0.2"/>
    <row r="28268" ht="9.9499999999999993" hidden="1" customHeight="1" x14ac:dyDescent="0.2"/>
    <row r="28269" ht="9.9499999999999993" hidden="1" customHeight="1" x14ac:dyDescent="0.2"/>
    <row r="28270" ht="9.9499999999999993" hidden="1" customHeight="1" x14ac:dyDescent="0.2"/>
    <row r="28271" ht="9.9499999999999993" hidden="1" customHeight="1" x14ac:dyDescent="0.2"/>
    <row r="28272" ht="9.9499999999999993" hidden="1" customHeight="1" x14ac:dyDescent="0.2"/>
    <row r="28273" ht="9.9499999999999993" hidden="1" customHeight="1" x14ac:dyDescent="0.2"/>
    <row r="28274" ht="9.9499999999999993" hidden="1" customHeight="1" x14ac:dyDescent="0.2"/>
    <row r="28275" ht="9.9499999999999993" hidden="1" customHeight="1" x14ac:dyDescent="0.2"/>
    <row r="28276" ht="9.9499999999999993" hidden="1" customHeight="1" x14ac:dyDescent="0.2"/>
    <row r="28277" ht="9.9499999999999993" hidden="1" customHeight="1" x14ac:dyDescent="0.2"/>
    <row r="28278" ht="9.9499999999999993" hidden="1" customHeight="1" x14ac:dyDescent="0.2"/>
    <row r="28279" ht="9.9499999999999993" hidden="1" customHeight="1" x14ac:dyDescent="0.2"/>
    <row r="28280" ht="9.9499999999999993" hidden="1" customHeight="1" x14ac:dyDescent="0.2"/>
    <row r="28281" ht="9.9499999999999993" hidden="1" customHeight="1" x14ac:dyDescent="0.2"/>
    <row r="28282" ht="9.9499999999999993" hidden="1" customHeight="1" x14ac:dyDescent="0.2"/>
    <row r="28283" ht="9.9499999999999993" hidden="1" customHeight="1" x14ac:dyDescent="0.2"/>
    <row r="28284" ht="9.9499999999999993" hidden="1" customHeight="1" x14ac:dyDescent="0.2"/>
    <row r="28285" ht="9.9499999999999993" hidden="1" customHeight="1" x14ac:dyDescent="0.2"/>
    <row r="28286" ht="9.9499999999999993" hidden="1" customHeight="1" x14ac:dyDescent="0.2"/>
    <row r="28287" ht="9.9499999999999993" hidden="1" customHeight="1" x14ac:dyDescent="0.2"/>
    <row r="28288" ht="9.9499999999999993" hidden="1" customHeight="1" x14ac:dyDescent="0.2"/>
    <row r="28289" ht="9.9499999999999993" hidden="1" customHeight="1" x14ac:dyDescent="0.2"/>
    <row r="28290" ht="9.9499999999999993" hidden="1" customHeight="1" x14ac:dyDescent="0.2"/>
    <row r="28291" ht="9.9499999999999993" hidden="1" customHeight="1" x14ac:dyDescent="0.2"/>
    <row r="28292" ht="9.9499999999999993" hidden="1" customHeight="1" x14ac:dyDescent="0.2"/>
    <row r="28293" ht="9.9499999999999993" hidden="1" customHeight="1" x14ac:dyDescent="0.2"/>
    <row r="28294" ht="9.9499999999999993" hidden="1" customHeight="1" x14ac:dyDescent="0.2"/>
    <row r="28295" ht="9.9499999999999993" hidden="1" customHeight="1" x14ac:dyDescent="0.2"/>
    <row r="28296" ht="9.9499999999999993" hidden="1" customHeight="1" x14ac:dyDescent="0.2"/>
    <row r="28297" ht="9.9499999999999993" hidden="1" customHeight="1" x14ac:dyDescent="0.2"/>
    <row r="28298" ht="9.9499999999999993" hidden="1" customHeight="1" x14ac:dyDescent="0.2"/>
    <row r="28299" ht="9.9499999999999993" hidden="1" customHeight="1" x14ac:dyDescent="0.2"/>
    <row r="28300" ht="9.9499999999999993" hidden="1" customHeight="1" x14ac:dyDescent="0.2"/>
    <row r="28301" ht="9.9499999999999993" hidden="1" customHeight="1" x14ac:dyDescent="0.2"/>
    <row r="28302" ht="9.9499999999999993" hidden="1" customHeight="1" x14ac:dyDescent="0.2"/>
    <row r="28303" ht="9.9499999999999993" hidden="1" customHeight="1" x14ac:dyDescent="0.2"/>
    <row r="28304" ht="9.9499999999999993" hidden="1" customHeight="1" x14ac:dyDescent="0.2"/>
    <row r="28305" ht="9.9499999999999993" hidden="1" customHeight="1" x14ac:dyDescent="0.2"/>
    <row r="28306" ht="9.9499999999999993" hidden="1" customHeight="1" x14ac:dyDescent="0.2"/>
    <row r="28307" ht="9.9499999999999993" hidden="1" customHeight="1" x14ac:dyDescent="0.2"/>
    <row r="28308" ht="9.9499999999999993" hidden="1" customHeight="1" x14ac:dyDescent="0.2"/>
    <row r="28309" ht="9.9499999999999993" hidden="1" customHeight="1" x14ac:dyDescent="0.2"/>
    <row r="28310" ht="9.9499999999999993" hidden="1" customHeight="1" x14ac:dyDescent="0.2"/>
    <row r="28311" ht="9.9499999999999993" hidden="1" customHeight="1" x14ac:dyDescent="0.2"/>
    <row r="28312" ht="9.9499999999999993" hidden="1" customHeight="1" x14ac:dyDescent="0.2"/>
    <row r="28313" ht="9.9499999999999993" hidden="1" customHeight="1" x14ac:dyDescent="0.2"/>
    <row r="28314" ht="9.9499999999999993" hidden="1" customHeight="1" x14ac:dyDescent="0.2"/>
    <row r="28315" ht="9.9499999999999993" hidden="1" customHeight="1" x14ac:dyDescent="0.2"/>
    <row r="28316" ht="9.9499999999999993" hidden="1" customHeight="1" x14ac:dyDescent="0.2"/>
    <row r="28317" ht="9.9499999999999993" hidden="1" customHeight="1" x14ac:dyDescent="0.2"/>
    <row r="28318" ht="9.9499999999999993" hidden="1" customHeight="1" x14ac:dyDescent="0.2"/>
    <row r="28319" ht="9.9499999999999993" hidden="1" customHeight="1" x14ac:dyDescent="0.2"/>
    <row r="28320" ht="9.9499999999999993" hidden="1" customHeight="1" x14ac:dyDescent="0.2"/>
    <row r="28321" ht="9.9499999999999993" hidden="1" customHeight="1" x14ac:dyDescent="0.2"/>
    <row r="28322" ht="9.9499999999999993" hidden="1" customHeight="1" x14ac:dyDescent="0.2"/>
    <row r="28323" ht="9.9499999999999993" hidden="1" customHeight="1" x14ac:dyDescent="0.2"/>
    <row r="28324" ht="9.9499999999999993" hidden="1" customHeight="1" x14ac:dyDescent="0.2"/>
    <row r="28325" ht="9.9499999999999993" hidden="1" customHeight="1" x14ac:dyDescent="0.2"/>
    <row r="28326" ht="9.9499999999999993" hidden="1" customHeight="1" x14ac:dyDescent="0.2"/>
    <row r="28327" ht="9.9499999999999993" hidden="1" customHeight="1" x14ac:dyDescent="0.2"/>
    <row r="28328" ht="9.9499999999999993" hidden="1" customHeight="1" x14ac:dyDescent="0.2"/>
    <row r="28329" ht="9.9499999999999993" hidden="1" customHeight="1" x14ac:dyDescent="0.2"/>
    <row r="28330" ht="9.9499999999999993" hidden="1" customHeight="1" x14ac:dyDescent="0.2"/>
    <row r="28331" ht="9.9499999999999993" hidden="1" customHeight="1" x14ac:dyDescent="0.2"/>
    <row r="28332" ht="9.9499999999999993" hidden="1" customHeight="1" x14ac:dyDescent="0.2"/>
    <row r="28333" ht="9.9499999999999993" hidden="1" customHeight="1" x14ac:dyDescent="0.2"/>
    <row r="28334" ht="9.9499999999999993" hidden="1" customHeight="1" x14ac:dyDescent="0.2"/>
    <row r="28335" ht="9.9499999999999993" hidden="1" customHeight="1" x14ac:dyDescent="0.2"/>
    <row r="28336" ht="9.9499999999999993" hidden="1" customHeight="1" x14ac:dyDescent="0.2"/>
    <row r="28337" ht="9.9499999999999993" hidden="1" customHeight="1" x14ac:dyDescent="0.2"/>
    <row r="28338" ht="9.9499999999999993" hidden="1" customHeight="1" x14ac:dyDescent="0.2"/>
    <row r="28339" ht="9.9499999999999993" hidden="1" customHeight="1" x14ac:dyDescent="0.2"/>
    <row r="28340" ht="9.9499999999999993" hidden="1" customHeight="1" x14ac:dyDescent="0.2"/>
    <row r="28341" ht="9.9499999999999993" hidden="1" customHeight="1" x14ac:dyDescent="0.2"/>
    <row r="28342" ht="9.9499999999999993" hidden="1" customHeight="1" x14ac:dyDescent="0.2"/>
    <row r="28343" ht="9.9499999999999993" hidden="1" customHeight="1" x14ac:dyDescent="0.2"/>
    <row r="28344" ht="9.9499999999999993" hidden="1" customHeight="1" x14ac:dyDescent="0.2"/>
    <row r="28345" ht="9.9499999999999993" hidden="1" customHeight="1" x14ac:dyDescent="0.2"/>
    <row r="28346" ht="9.9499999999999993" hidden="1" customHeight="1" x14ac:dyDescent="0.2"/>
    <row r="28347" ht="9.9499999999999993" hidden="1" customHeight="1" x14ac:dyDescent="0.2"/>
    <row r="28348" ht="9.9499999999999993" hidden="1" customHeight="1" x14ac:dyDescent="0.2"/>
    <row r="28349" ht="9.9499999999999993" hidden="1" customHeight="1" x14ac:dyDescent="0.2"/>
    <row r="28350" ht="9.9499999999999993" hidden="1" customHeight="1" x14ac:dyDescent="0.2"/>
    <row r="28351" ht="9.9499999999999993" hidden="1" customHeight="1" x14ac:dyDescent="0.2"/>
    <row r="28352" ht="9.9499999999999993" hidden="1" customHeight="1" x14ac:dyDescent="0.2"/>
    <row r="28353" ht="9.9499999999999993" hidden="1" customHeight="1" x14ac:dyDescent="0.2"/>
    <row r="28354" ht="9.9499999999999993" hidden="1" customHeight="1" x14ac:dyDescent="0.2"/>
    <row r="28355" ht="9.9499999999999993" hidden="1" customHeight="1" x14ac:dyDescent="0.2"/>
    <row r="28356" ht="9.9499999999999993" hidden="1" customHeight="1" x14ac:dyDescent="0.2"/>
    <row r="28357" ht="9.9499999999999993" hidden="1" customHeight="1" x14ac:dyDescent="0.2"/>
    <row r="28358" ht="9.9499999999999993" hidden="1" customHeight="1" x14ac:dyDescent="0.2"/>
    <row r="28359" ht="9.9499999999999993" hidden="1" customHeight="1" x14ac:dyDescent="0.2"/>
    <row r="28360" ht="9.9499999999999993" hidden="1" customHeight="1" x14ac:dyDescent="0.2"/>
    <row r="28361" ht="9.9499999999999993" hidden="1" customHeight="1" x14ac:dyDescent="0.2"/>
    <row r="28362" ht="9.9499999999999993" hidden="1" customHeight="1" x14ac:dyDescent="0.2"/>
    <row r="28363" ht="9.9499999999999993" hidden="1" customHeight="1" x14ac:dyDescent="0.2"/>
    <row r="28364" ht="9.9499999999999993" hidden="1" customHeight="1" x14ac:dyDescent="0.2"/>
    <row r="28365" ht="9.9499999999999993" hidden="1" customHeight="1" x14ac:dyDescent="0.2"/>
    <row r="28366" ht="9.9499999999999993" hidden="1" customHeight="1" x14ac:dyDescent="0.2"/>
    <row r="28367" ht="9.9499999999999993" hidden="1" customHeight="1" x14ac:dyDescent="0.2"/>
    <row r="28368" ht="9.9499999999999993" hidden="1" customHeight="1" x14ac:dyDescent="0.2"/>
    <row r="28369" ht="9.9499999999999993" hidden="1" customHeight="1" x14ac:dyDescent="0.2"/>
    <row r="28370" ht="9.9499999999999993" hidden="1" customHeight="1" x14ac:dyDescent="0.2"/>
    <row r="28371" ht="9.9499999999999993" hidden="1" customHeight="1" x14ac:dyDescent="0.2"/>
    <row r="28372" ht="9.9499999999999993" hidden="1" customHeight="1" x14ac:dyDescent="0.2"/>
    <row r="28373" ht="9.9499999999999993" hidden="1" customHeight="1" x14ac:dyDescent="0.2"/>
    <row r="28374" ht="9.9499999999999993" hidden="1" customHeight="1" x14ac:dyDescent="0.2"/>
    <row r="28375" ht="9.9499999999999993" hidden="1" customHeight="1" x14ac:dyDescent="0.2"/>
    <row r="28376" ht="9.9499999999999993" hidden="1" customHeight="1" x14ac:dyDescent="0.2"/>
    <row r="28377" ht="9.9499999999999993" hidden="1" customHeight="1" x14ac:dyDescent="0.2"/>
    <row r="28378" ht="9.9499999999999993" hidden="1" customHeight="1" x14ac:dyDescent="0.2"/>
    <row r="28379" ht="9.9499999999999993" hidden="1" customHeight="1" x14ac:dyDescent="0.2"/>
    <row r="28380" ht="9.9499999999999993" hidden="1" customHeight="1" x14ac:dyDescent="0.2"/>
    <row r="28381" ht="9.9499999999999993" hidden="1" customHeight="1" x14ac:dyDescent="0.2"/>
    <row r="28382" ht="9.9499999999999993" hidden="1" customHeight="1" x14ac:dyDescent="0.2"/>
    <row r="28383" ht="9.9499999999999993" hidden="1" customHeight="1" x14ac:dyDescent="0.2"/>
    <row r="28384" ht="9.9499999999999993" hidden="1" customHeight="1" x14ac:dyDescent="0.2"/>
    <row r="28385" ht="9.9499999999999993" hidden="1" customHeight="1" x14ac:dyDescent="0.2"/>
    <row r="28386" ht="9.9499999999999993" hidden="1" customHeight="1" x14ac:dyDescent="0.2"/>
    <row r="28387" ht="9.9499999999999993" hidden="1" customHeight="1" x14ac:dyDescent="0.2"/>
    <row r="28388" ht="9.9499999999999993" hidden="1" customHeight="1" x14ac:dyDescent="0.2"/>
    <row r="28389" ht="9.9499999999999993" hidden="1" customHeight="1" x14ac:dyDescent="0.2"/>
    <row r="28390" ht="9.9499999999999993" hidden="1" customHeight="1" x14ac:dyDescent="0.2"/>
    <row r="28391" ht="9.9499999999999993" hidden="1" customHeight="1" x14ac:dyDescent="0.2"/>
    <row r="28392" ht="9.9499999999999993" hidden="1" customHeight="1" x14ac:dyDescent="0.2"/>
    <row r="28393" ht="9.9499999999999993" hidden="1" customHeight="1" x14ac:dyDescent="0.2"/>
    <row r="28394" ht="9.9499999999999993" hidden="1" customHeight="1" x14ac:dyDescent="0.2"/>
    <row r="28395" ht="9.9499999999999993" hidden="1" customHeight="1" x14ac:dyDescent="0.2"/>
    <row r="28396" ht="9.9499999999999993" hidden="1" customHeight="1" x14ac:dyDescent="0.2"/>
    <row r="28397" ht="9.9499999999999993" hidden="1" customHeight="1" x14ac:dyDescent="0.2"/>
    <row r="28398" ht="9.9499999999999993" hidden="1" customHeight="1" x14ac:dyDescent="0.2"/>
    <row r="28399" ht="9.9499999999999993" hidden="1" customHeight="1" x14ac:dyDescent="0.2"/>
    <row r="28400" ht="9.9499999999999993" hidden="1" customHeight="1" x14ac:dyDescent="0.2"/>
    <row r="28401" ht="9.9499999999999993" hidden="1" customHeight="1" x14ac:dyDescent="0.2"/>
    <row r="28402" ht="9.9499999999999993" hidden="1" customHeight="1" x14ac:dyDescent="0.2"/>
    <row r="28403" ht="9.9499999999999993" hidden="1" customHeight="1" x14ac:dyDescent="0.2"/>
    <row r="28404" ht="9.9499999999999993" hidden="1" customHeight="1" x14ac:dyDescent="0.2"/>
    <row r="28405" ht="9.9499999999999993" hidden="1" customHeight="1" x14ac:dyDescent="0.2"/>
    <row r="28406" ht="9.9499999999999993" hidden="1" customHeight="1" x14ac:dyDescent="0.2"/>
    <row r="28407" ht="9.9499999999999993" hidden="1" customHeight="1" x14ac:dyDescent="0.2"/>
    <row r="28408" ht="9.9499999999999993" hidden="1" customHeight="1" x14ac:dyDescent="0.2"/>
    <row r="28409" ht="9.9499999999999993" hidden="1" customHeight="1" x14ac:dyDescent="0.2"/>
    <row r="28410" ht="9.9499999999999993" hidden="1" customHeight="1" x14ac:dyDescent="0.2"/>
    <row r="28411" ht="9.9499999999999993" hidden="1" customHeight="1" x14ac:dyDescent="0.2"/>
    <row r="28412" ht="9.9499999999999993" hidden="1" customHeight="1" x14ac:dyDescent="0.2"/>
    <row r="28413" ht="9.9499999999999993" hidden="1" customHeight="1" x14ac:dyDescent="0.2"/>
    <row r="28414" ht="9.9499999999999993" hidden="1" customHeight="1" x14ac:dyDescent="0.2"/>
    <row r="28415" ht="9.9499999999999993" hidden="1" customHeight="1" x14ac:dyDescent="0.2"/>
    <row r="28416" ht="9.9499999999999993" hidden="1" customHeight="1" x14ac:dyDescent="0.2"/>
    <row r="28417" ht="9.9499999999999993" hidden="1" customHeight="1" x14ac:dyDescent="0.2"/>
    <row r="28418" ht="9.9499999999999993" hidden="1" customHeight="1" x14ac:dyDescent="0.2"/>
    <row r="28419" ht="9.9499999999999993" hidden="1" customHeight="1" x14ac:dyDescent="0.2"/>
    <row r="28420" ht="9.9499999999999993" hidden="1" customHeight="1" x14ac:dyDescent="0.2"/>
    <row r="28421" ht="9.9499999999999993" hidden="1" customHeight="1" x14ac:dyDescent="0.2"/>
    <row r="28422" ht="9.9499999999999993" hidden="1" customHeight="1" x14ac:dyDescent="0.2"/>
    <row r="28423" ht="9.9499999999999993" hidden="1" customHeight="1" x14ac:dyDescent="0.2"/>
    <row r="28424" ht="9.9499999999999993" hidden="1" customHeight="1" x14ac:dyDescent="0.2"/>
    <row r="28425" ht="9.9499999999999993" hidden="1" customHeight="1" x14ac:dyDescent="0.2"/>
    <row r="28426" ht="9.9499999999999993" hidden="1" customHeight="1" x14ac:dyDescent="0.2"/>
    <row r="28427" ht="9.9499999999999993" hidden="1" customHeight="1" x14ac:dyDescent="0.2"/>
    <row r="28428" ht="9.9499999999999993" hidden="1" customHeight="1" x14ac:dyDescent="0.2"/>
    <row r="28429" ht="9.9499999999999993" hidden="1" customHeight="1" x14ac:dyDescent="0.2"/>
    <row r="28430" ht="9.9499999999999993" hidden="1" customHeight="1" x14ac:dyDescent="0.2"/>
    <row r="28431" ht="9.9499999999999993" hidden="1" customHeight="1" x14ac:dyDescent="0.2"/>
    <row r="28432" ht="9.9499999999999993" hidden="1" customHeight="1" x14ac:dyDescent="0.2"/>
    <row r="28433" ht="9.9499999999999993" hidden="1" customHeight="1" x14ac:dyDescent="0.2"/>
    <row r="28434" ht="9.9499999999999993" hidden="1" customHeight="1" x14ac:dyDescent="0.2"/>
    <row r="28435" ht="9.9499999999999993" hidden="1" customHeight="1" x14ac:dyDescent="0.2"/>
    <row r="28436" ht="9.9499999999999993" hidden="1" customHeight="1" x14ac:dyDescent="0.2"/>
    <row r="28437" ht="9.9499999999999993" hidden="1" customHeight="1" x14ac:dyDescent="0.2"/>
    <row r="28438" ht="9.9499999999999993" hidden="1" customHeight="1" x14ac:dyDescent="0.2"/>
    <row r="28439" ht="9.9499999999999993" hidden="1" customHeight="1" x14ac:dyDescent="0.2"/>
    <row r="28440" ht="9.9499999999999993" hidden="1" customHeight="1" x14ac:dyDescent="0.2"/>
    <row r="28441" ht="9.9499999999999993" hidden="1" customHeight="1" x14ac:dyDescent="0.2"/>
    <row r="28442" ht="9.9499999999999993" hidden="1" customHeight="1" x14ac:dyDescent="0.2"/>
    <row r="28443" ht="9.9499999999999993" hidden="1" customHeight="1" x14ac:dyDescent="0.2"/>
    <row r="28444" ht="9.9499999999999993" hidden="1" customHeight="1" x14ac:dyDescent="0.2"/>
    <row r="28445" ht="9.9499999999999993" hidden="1" customHeight="1" x14ac:dyDescent="0.2"/>
    <row r="28446" ht="9.9499999999999993" hidden="1" customHeight="1" x14ac:dyDescent="0.2"/>
    <row r="28447" ht="9.9499999999999993" hidden="1" customHeight="1" x14ac:dyDescent="0.2"/>
    <row r="28448" ht="9.9499999999999993" hidden="1" customHeight="1" x14ac:dyDescent="0.2"/>
    <row r="28449" ht="9.9499999999999993" hidden="1" customHeight="1" x14ac:dyDescent="0.2"/>
    <row r="28450" ht="9.9499999999999993" hidden="1" customHeight="1" x14ac:dyDescent="0.2"/>
    <row r="28451" ht="9.9499999999999993" hidden="1" customHeight="1" x14ac:dyDescent="0.2"/>
    <row r="28452" ht="9.9499999999999993" hidden="1" customHeight="1" x14ac:dyDescent="0.2"/>
    <row r="28453" ht="9.9499999999999993" hidden="1" customHeight="1" x14ac:dyDescent="0.2"/>
    <row r="28454" ht="9.9499999999999993" hidden="1" customHeight="1" x14ac:dyDescent="0.2"/>
    <row r="28455" ht="9.9499999999999993" hidden="1" customHeight="1" x14ac:dyDescent="0.2"/>
    <row r="28456" ht="9.9499999999999993" hidden="1" customHeight="1" x14ac:dyDescent="0.2"/>
    <row r="28457" ht="9.9499999999999993" hidden="1" customHeight="1" x14ac:dyDescent="0.2"/>
    <row r="28458" ht="9.9499999999999993" hidden="1" customHeight="1" x14ac:dyDescent="0.2"/>
    <row r="28459" ht="9.9499999999999993" hidden="1" customHeight="1" x14ac:dyDescent="0.2"/>
    <row r="28460" ht="9.9499999999999993" hidden="1" customHeight="1" x14ac:dyDescent="0.2"/>
    <row r="28461" ht="9.9499999999999993" hidden="1" customHeight="1" x14ac:dyDescent="0.2"/>
    <row r="28462" ht="9.9499999999999993" hidden="1" customHeight="1" x14ac:dyDescent="0.2"/>
    <row r="28463" ht="9.9499999999999993" hidden="1" customHeight="1" x14ac:dyDescent="0.2"/>
    <row r="28464" ht="9.9499999999999993" hidden="1" customHeight="1" x14ac:dyDescent="0.2"/>
    <row r="28465" ht="9.9499999999999993" hidden="1" customHeight="1" x14ac:dyDescent="0.2"/>
    <row r="28466" ht="9.9499999999999993" hidden="1" customHeight="1" x14ac:dyDescent="0.2"/>
    <row r="28467" ht="9.9499999999999993" hidden="1" customHeight="1" x14ac:dyDescent="0.2"/>
    <row r="28468" ht="9.9499999999999993" hidden="1" customHeight="1" x14ac:dyDescent="0.2"/>
    <row r="28469" ht="9.9499999999999993" hidden="1" customHeight="1" x14ac:dyDescent="0.2"/>
    <row r="28470" ht="9.9499999999999993" hidden="1" customHeight="1" x14ac:dyDescent="0.2"/>
    <row r="28471" ht="9.9499999999999993" hidden="1" customHeight="1" x14ac:dyDescent="0.2"/>
    <row r="28472" ht="9.9499999999999993" hidden="1" customHeight="1" x14ac:dyDescent="0.2"/>
    <row r="28473" ht="9.9499999999999993" hidden="1" customHeight="1" x14ac:dyDescent="0.2"/>
    <row r="28474" ht="9.9499999999999993" hidden="1" customHeight="1" x14ac:dyDescent="0.2"/>
    <row r="28475" ht="9.9499999999999993" hidden="1" customHeight="1" x14ac:dyDescent="0.2"/>
    <row r="28476" ht="9.9499999999999993" hidden="1" customHeight="1" x14ac:dyDescent="0.2"/>
    <row r="28477" ht="9.9499999999999993" hidden="1" customHeight="1" x14ac:dyDescent="0.2"/>
    <row r="28478" ht="9.9499999999999993" hidden="1" customHeight="1" x14ac:dyDescent="0.2"/>
    <row r="28479" ht="9.9499999999999993" hidden="1" customHeight="1" x14ac:dyDescent="0.2"/>
    <row r="28480" ht="9.9499999999999993" hidden="1" customHeight="1" x14ac:dyDescent="0.2"/>
    <row r="28481" ht="9.9499999999999993" hidden="1" customHeight="1" x14ac:dyDescent="0.2"/>
    <row r="28482" ht="9.9499999999999993" hidden="1" customHeight="1" x14ac:dyDescent="0.2"/>
    <row r="28483" ht="9.9499999999999993" hidden="1" customHeight="1" x14ac:dyDescent="0.2"/>
    <row r="28484" ht="9.9499999999999993" hidden="1" customHeight="1" x14ac:dyDescent="0.2"/>
    <row r="28485" ht="9.9499999999999993" hidden="1" customHeight="1" x14ac:dyDescent="0.2"/>
    <row r="28486" ht="9.9499999999999993" hidden="1" customHeight="1" x14ac:dyDescent="0.2"/>
    <row r="28487" ht="9.9499999999999993" hidden="1" customHeight="1" x14ac:dyDescent="0.2"/>
    <row r="28488" ht="9.9499999999999993" hidden="1" customHeight="1" x14ac:dyDescent="0.2"/>
    <row r="28489" ht="9.9499999999999993" hidden="1" customHeight="1" x14ac:dyDescent="0.2"/>
    <row r="28490" ht="9.9499999999999993" hidden="1" customHeight="1" x14ac:dyDescent="0.2"/>
    <row r="28491" ht="9.9499999999999993" hidden="1" customHeight="1" x14ac:dyDescent="0.2"/>
    <row r="28492" ht="9.9499999999999993" hidden="1" customHeight="1" x14ac:dyDescent="0.2"/>
    <row r="28493" ht="9.9499999999999993" hidden="1" customHeight="1" x14ac:dyDescent="0.2"/>
    <row r="28494" ht="9.9499999999999993" hidden="1" customHeight="1" x14ac:dyDescent="0.2"/>
    <row r="28495" ht="9.9499999999999993" hidden="1" customHeight="1" x14ac:dyDescent="0.2"/>
    <row r="28496" ht="9.9499999999999993" hidden="1" customHeight="1" x14ac:dyDescent="0.2"/>
    <row r="28497" ht="9.9499999999999993" hidden="1" customHeight="1" x14ac:dyDescent="0.2"/>
    <row r="28498" ht="9.9499999999999993" hidden="1" customHeight="1" x14ac:dyDescent="0.2"/>
    <row r="28499" ht="9.9499999999999993" hidden="1" customHeight="1" x14ac:dyDescent="0.2"/>
    <row r="28500" ht="9.9499999999999993" hidden="1" customHeight="1" x14ac:dyDescent="0.2"/>
    <row r="28501" ht="9.9499999999999993" hidden="1" customHeight="1" x14ac:dyDescent="0.2"/>
    <row r="28502" ht="9.9499999999999993" hidden="1" customHeight="1" x14ac:dyDescent="0.2"/>
    <row r="28503" ht="9.9499999999999993" hidden="1" customHeight="1" x14ac:dyDescent="0.2"/>
    <row r="28504" ht="9.9499999999999993" hidden="1" customHeight="1" x14ac:dyDescent="0.2"/>
    <row r="28505" ht="9.9499999999999993" hidden="1" customHeight="1" x14ac:dyDescent="0.2"/>
    <row r="28506" ht="9.9499999999999993" hidden="1" customHeight="1" x14ac:dyDescent="0.2"/>
    <row r="28507" ht="9.9499999999999993" hidden="1" customHeight="1" x14ac:dyDescent="0.2"/>
    <row r="28508" ht="9.9499999999999993" hidden="1" customHeight="1" x14ac:dyDescent="0.2"/>
    <row r="28509" ht="9.9499999999999993" hidden="1" customHeight="1" x14ac:dyDescent="0.2"/>
    <row r="28510" ht="9.9499999999999993" hidden="1" customHeight="1" x14ac:dyDescent="0.2"/>
    <row r="28511" ht="9.9499999999999993" hidden="1" customHeight="1" x14ac:dyDescent="0.2"/>
    <row r="28512" ht="9.9499999999999993" hidden="1" customHeight="1" x14ac:dyDescent="0.2"/>
    <row r="28513" ht="9.9499999999999993" hidden="1" customHeight="1" x14ac:dyDescent="0.2"/>
    <row r="28514" ht="9.9499999999999993" hidden="1" customHeight="1" x14ac:dyDescent="0.2"/>
    <row r="28515" ht="9.9499999999999993" hidden="1" customHeight="1" x14ac:dyDescent="0.2"/>
    <row r="28516" ht="9.9499999999999993" hidden="1" customHeight="1" x14ac:dyDescent="0.2"/>
    <row r="28517" ht="9.9499999999999993" hidden="1" customHeight="1" x14ac:dyDescent="0.2"/>
    <row r="28518" ht="9.9499999999999993" hidden="1" customHeight="1" x14ac:dyDescent="0.2"/>
    <row r="28519" ht="9.9499999999999993" hidden="1" customHeight="1" x14ac:dyDescent="0.2"/>
    <row r="28520" ht="9.9499999999999993" hidden="1" customHeight="1" x14ac:dyDescent="0.2"/>
    <row r="28521" ht="9.9499999999999993" hidden="1" customHeight="1" x14ac:dyDescent="0.2"/>
    <row r="28522" ht="9.9499999999999993" hidden="1" customHeight="1" x14ac:dyDescent="0.2"/>
    <row r="28523" ht="9.9499999999999993" hidden="1" customHeight="1" x14ac:dyDescent="0.2"/>
    <row r="28524" ht="9.9499999999999993" hidden="1" customHeight="1" x14ac:dyDescent="0.2"/>
    <row r="28525" ht="9.9499999999999993" hidden="1" customHeight="1" x14ac:dyDescent="0.2"/>
    <row r="28526" ht="9.9499999999999993" hidden="1" customHeight="1" x14ac:dyDescent="0.2"/>
    <row r="28527" ht="9.9499999999999993" hidden="1" customHeight="1" x14ac:dyDescent="0.2"/>
    <row r="28528" ht="9.9499999999999993" hidden="1" customHeight="1" x14ac:dyDescent="0.2"/>
    <row r="28529" ht="9.9499999999999993" hidden="1" customHeight="1" x14ac:dyDescent="0.2"/>
    <row r="28530" ht="9.9499999999999993" hidden="1" customHeight="1" x14ac:dyDescent="0.2"/>
    <row r="28531" ht="9.9499999999999993" hidden="1" customHeight="1" x14ac:dyDescent="0.2"/>
    <row r="28532" ht="9.9499999999999993" hidden="1" customHeight="1" x14ac:dyDescent="0.2"/>
    <row r="28533" ht="9.9499999999999993" hidden="1" customHeight="1" x14ac:dyDescent="0.2"/>
    <row r="28534" ht="9.9499999999999993" hidden="1" customHeight="1" x14ac:dyDescent="0.2"/>
    <row r="28535" ht="9.9499999999999993" hidden="1" customHeight="1" x14ac:dyDescent="0.2"/>
    <row r="28536" ht="9.9499999999999993" hidden="1" customHeight="1" x14ac:dyDescent="0.2"/>
    <row r="28537" ht="9.9499999999999993" hidden="1" customHeight="1" x14ac:dyDescent="0.2"/>
    <row r="28538" ht="9.9499999999999993" hidden="1" customHeight="1" x14ac:dyDescent="0.2"/>
    <row r="28539" ht="9.9499999999999993" hidden="1" customHeight="1" x14ac:dyDescent="0.2"/>
    <row r="28540" ht="9.9499999999999993" hidden="1" customHeight="1" x14ac:dyDescent="0.2"/>
    <row r="28541" ht="9.9499999999999993" hidden="1" customHeight="1" x14ac:dyDescent="0.2"/>
    <row r="28542" ht="9.9499999999999993" hidden="1" customHeight="1" x14ac:dyDescent="0.2"/>
    <row r="28543" ht="9.9499999999999993" hidden="1" customHeight="1" x14ac:dyDescent="0.2"/>
    <row r="28544" ht="9.9499999999999993" hidden="1" customHeight="1" x14ac:dyDescent="0.2"/>
    <row r="28545" ht="9.9499999999999993" hidden="1" customHeight="1" x14ac:dyDescent="0.2"/>
    <row r="28546" ht="9.9499999999999993" hidden="1" customHeight="1" x14ac:dyDescent="0.2"/>
    <row r="28547" ht="9.9499999999999993" hidden="1" customHeight="1" x14ac:dyDescent="0.2"/>
    <row r="28548" ht="9.9499999999999993" hidden="1" customHeight="1" x14ac:dyDescent="0.2"/>
    <row r="28549" ht="9.9499999999999993" hidden="1" customHeight="1" x14ac:dyDescent="0.2"/>
    <row r="28550" ht="9.9499999999999993" hidden="1" customHeight="1" x14ac:dyDescent="0.2"/>
    <row r="28551" ht="9.9499999999999993" hidden="1" customHeight="1" x14ac:dyDescent="0.2"/>
    <row r="28552" ht="9.9499999999999993" hidden="1" customHeight="1" x14ac:dyDescent="0.2"/>
    <row r="28553" ht="9.9499999999999993" hidden="1" customHeight="1" x14ac:dyDescent="0.2"/>
    <row r="28554" ht="9.9499999999999993" hidden="1" customHeight="1" x14ac:dyDescent="0.2"/>
    <row r="28555" ht="9.9499999999999993" hidden="1" customHeight="1" x14ac:dyDescent="0.2"/>
    <row r="28556" ht="9.9499999999999993" hidden="1" customHeight="1" x14ac:dyDescent="0.2"/>
    <row r="28557" ht="9.9499999999999993" hidden="1" customHeight="1" x14ac:dyDescent="0.2"/>
    <row r="28558" ht="9.9499999999999993" hidden="1" customHeight="1" x14ac:dyDescent="0.2"/>
    <row r="28559" ht="9.9499999999999993" hidden="1" customHeight="1" x14ac:dyDescent="0.2"/>
    <row r="28560" ht="9.9499999999999993" hidden="1" customHeight="1" x14ac:dyDescent="0.2"/>
    <row r="28561" ht="9.9499999999999993" hidden="1" customHeight="1" x14ac:dyDescent="0.2"/>
    <row r="28562" ht="9.9499999999999993" hidden="1" customHeight="1" x14ac:dyDescent="0.2"/>
    <row r="28563" ht="9.9499999999999993" hidden="1" customHeight="1" x14ac:dyDescent="0.2"/>
    <row r="28564" ht="9.9499999999999993" hidden="1" customHeight="1" x14ac:dyDescent="0.2"/>
    <row r="28565" ht="9.9499999999999993" hidden="1" customHeight="1" x14ac:dyDescent="0.2"/>
    <row r="28566" ht="9.9499999999999993" hidden="1" customHeight="1" x14ac:dyDescent="0.2"/>
    <row r="28567" ht="9.9499999999999993" hidden="1" customHeight="1" x14ac:dyDescent="0.2"/>
    <row r="28568" ht="9.9499999999999993" hidden="1" customHeight="1" x14ac:dyDescent="0.2"/>
    <row r="28569" ht="9.9499999999999993" hidden="1" customHeight="1" x14ac:dyDescent="0.2"/>
    <row r="28570" ht="9.9499999999999993" hidden="1" customHeight="1" x14ac:dyDescent="0.2"/>
    <row r="28571" ht="9.9499999999999993" hidden="1" customHeight="1" x14ac:dyDescent="0.2"/>
    <row r="28572" ht="9.9499999999999993" hidden="1" customHeight="1" x14ac:dyDescent="0.2"/>
    <row r="28573" ht="9.9499999999999993" hidden="1" customHeight="1" x14ac:dyDescent="0.2"/>
    <row r="28574" ht="9.9499999999999993" hidden="1" customHeight="1" x14ac:dyDescent="0.2"/>
    <row r="28575" ht="9.9499999999999993" hidden="1" customHeight="1" x14ac:dyDescent="0.2"/>
    <row r="28576" ht="9.9499999999999993" hidden="1" customHeight="1" x14ac:dyDescent="0.2"/>
    <row r="28577" ht="9.9499999999999993" hidden="1" customHeight="1" x14ac:dyDescent="0.2"/>
    <row r="28578" ht="9.9499999999999993" hidden="1" customHeight="1" x14ac:dyDescent="0.2"/>
    <row r="28579" ht="9.9499999999999993" hidden="1" customHeight="1" x14ac:dyDescent="0.2"/>
    <row r="28580" ht="9.9499999999999993" hidden="1" customHeight="1" x14ac:dyDescent="0.2"/>
    <row r="28581" ht="9.9499999999999993" hidden="1" customHeight="1" x14ac:dyDescent="0.2"/>
    <row r="28582" ht="9.9499999999999993" hidden="1" customHeight="1" x14ac:dyDescent="0.2"/>
    <row r="28583" ht="9.9499999999999993" hidden="1" customHeight="1" x14ac:dyDescent="0.2"/>
    <row r="28584" ht="9.9499999999999993" hidden="1" customHeight="1" x14ac:dyDescent="0.2"/>
    <row r="28585" ht="9.9499999999999993" hidden="1" customHeight="1" x14ac:dyDescent="0.2"/>
    <row r="28586" ht="9.9499999999999993" hidden="1" customHeight="1" x14ac:dyDescent="0.2"/>
    <row r="28587" ht="9.9499999999999993" hidden="1" customHeight="1" x14ac:dyDescent="0.2"/>
    <row r="28588" ht="9.9499999999999993" hidden="1" customHeight="1" x14ac:dyDescent="0.2"/>
    <row r="28589" ht="9.9499999999999993" hidden="1" customHeight="1" x14ac:dyDescent="0.2"/>
    <row r="28590" ht="9.9499999999999993" hidden="1" customHeight="1" x14ac:dyDescent="0.2"/>
    <row r="28591" ht="9.9499999999999993" hidden="1" customHeight="1" x14ac:dyDescent="0.2"/>
    <row r="28592" ht="9.9499999999999993" hidden="1" customHeight="1" x14ac:dyDescent="0.2"/>
    <row r="28593" ht="9.9499999999999993" hidden="1" customHeight="1" x14ac:dyDescent="0.2"/>
    <row r="28594" ht="9.9499999999999993" hidden="1" customHeight="1" x14ac:dyDescent="0.2"/>
    <row r="28595" ht="9.9499999999999993" hidden="1" customHeight="1" x14ac:dyDescent="0.2"/>
    <row r="28596" ht="9.9499999999999993" hidden="1" customHeight="1" x14ac:dyDescent="0.2"/>
    <row r="28597" ht="9.9499999999999993" hidden="1" customHeight="1" x14ac:dyDescent="0.2"/>
    <row r="28598" ht="9.9499999999999993" hidden="1" customHeight="1" x14ac:dyDescent="0.2"/>
    <row r="28599" ht="9.9499999999999993" hidden="1" customHeight="1" x14ac:dyDescent="0.2"/>
    <row r="28600" ht="9.9499999999999993" hidden="1" customHeight="1" x14ac:dyDescent="0.2"/>
    <row r="28601" ht="9.9499999999999993" hidden="1" customHeight="1" x14ac:dyDescent="0.2"/>
    <row r="28602" ht="9.9499999999999993" hidden="1" customHeight="1" x14ac:dyDescent="0.2"/>
    <row r="28603" ht="9.9499999999999993" hidden="1" customHeight="1" x14ac:dyDescent="0.2"/>
    <row r="28604" ht="9.9499999999999993" hidden="1" customHeight="1" x14ac:dyDescent="0.2"/>
    <row r="28605" ht="9.9499999999999993" hidden="1" customHeight="1" x14ac:dyDescent="0.2"/>
    <row r="28606" ht="9.9499999999999993" hidden="1" customHeight="1" x14ac:dyDescent="0.2"/>
    <row r="28607" ht="9.9499999999999993" hidden="1" customHeight="1" x14ac:dyDescent="0.2"/>
    <row r="28608" ht="9.9499999999999993" hidden="1" customHeight="1" x14ac:dyDescent="0.2"/>
    <row r="28609" ht="9.9499999999999993" hidden="1" customHeight="1" x14ac:dyDescent="0.2"/>
    <row r="28610" ht="9.9499999999999993" hidden="1" customHeight="1" x14ac:dyDescent="0.2"/>
    <row r="28611" ht="9.9499999999999993" hidden="1" customHeight="1" x14ac:dyDescent="0.2"/>
    <row r="28612" ht="9.9499999999999993" hidden="1" customHeight="1" x14ac:dyDescent="0.2"/>
    <row r="28613" ht="9.9499999999999993" hidden="1" customHeight="1" x14ac:dyDescent="0.2"/>
    <row r="28614" ht="9.9499999999999993" hidden="1" customHeight="1" x14ac:dyDescent="0.2"/>
    <row r="28615" ht="9.9499999999999993" hidden="1" customHeight="1" x14ac:dyDescent="0.2"/>
    <row r="28616" ht="9.9499999999999993" hidden="1" customHeight="1" x14ac:dyDescent="0.2"/>
    <row r="28617" ht="9.9499999999999993" hidden="1" customHeight="1" x14ac:dyDescent="0.2"/>
    <row r="28618" ht="9.9499999999999993" hidden="1" customHeight="1" x14ac:dyDescent="0.2"/>
    <row r="28619" ht="9.9499999999999993" hidden="1" customHeight="1" x14ac:dyDescent="0.2"/>
    <row r="28620" ht="9.9499999999999993" hidden="1" customHeight="1" x14ac:dyDescent="0.2"/>
    <row r="28621" ht="9.9499999999999993" hidden="1" customHeight="1" x14ac:dyDescent="0.2"/>
    <row r="28622" ht="9.9499999999999993" hidden="1" customHeight="1" x14ac:dyDescent="0.2"/>
    <row r="28623" ht="9.9499999999999993" hidden="1" customHeight="1" x14ac:dyDescent="0.2"/>
    <row r="28624" ht="9.9499999999999993" hidden="1" customHeight="1" x14ac:dyDescent="0.2"/>
    <row r="28625" ht="9.9499999999999993" hidden="1" customHeight="1" x14ac:dyDescent="0.2"/>
    <row r="28626" ht="9.9499999999999993" hidden="1" customHeight="1" x14ac:dyDescent="0.2"/>
    <row r="28627" ht="9.9499999999999993" hidden="1" customHeight="1" x14ac:dyDescent="0.2"/>
    <row r="28628" ht="9.9499999999999993" hidden="1" customHeight="1" x14ac:dyDescent="0.2"/>
    <row r="28629" ht="9.9499999999999993" hidden="1" customHeight="1" x14ac:dyDescent="0.2"/>
    <row r="28630" ht="9.9499999999999993" hidden="1" customHeight="1" x14ac:dyDescent="0.2"/>
    <row r="28631" ht="9.9499999999999993" hidden="1" customHeight="1" x14ac:dyDescent="0.2"/>
    <row r="28632" ht="9.9499999999999993" hidden="1" customHeight="1" x14ac:dyDescent="0.2"/>
    <row r="28633" ht="9.9499999999999993" hidden="1" customHeight="1" x14ac:dyDescent="0.2"/>
    <row r="28634" ht="9.9499999999999993" hidden="1" customHeight="1" x14ac:dyDescent="0.2"/>
    <row r="28635" ht="9.9499999999999993" hidden="1" customHeight="1" x14ac:dyDescent="0.2"/>
    <row r="28636" ht="9.9499999999999993" hidden="1" customHeight="1" x14ac:dyDescent="0.2"/>
    <row r="28637" ht="9.9499999999999993" hidden="1" customHeight="1" x14ac:dyDescent="0.2"/>
    <row r="28638" ht="9.9499999999999993" hidden="1" customHeight="1" x14ac:dyDescent="0.2"/>
    <row r="28639" ht="9.9499999999999993" hidden="1" customHeight="1" x14ac:dyDescent="0.2"/>
    <row r="28640" ht="9.9499999999999993" hidden="1" customHeight="1" x14ac:dyDescent="0.2"/>
    <row r="28641" ht="9.9499999999999993" hidden="1" customHeight="1" x14ac:dyDescent="0.2"/>
    <row r="28642" ht="9.9499999999999993" hidden="1" customHeight="1" x14ac:dyDescent="0.2"/>
    <row r="28643" ht="9.9499999999999993" hidden="1" customHeight="1" x14ac:dyDescent="0.2"/>
    <row r="28644" ht="9.9499999999999993" hidden="1" customHeight="1" x14ac:dyDescent="0.2"/>
    <row r="28645" ht="9.9499999999999993" hidden="1" customHeight="1" x14ac:dyDescent="0.2"/>
    <row r="28646" ht="9.9499999999999993" hidden="1" customHeight="1" x14ac:dyDescent="0.2"/>
    <row r="28647" ht="9.9499999999999993" hidden="1" customHeight="1" x14ac:dyDescent="0.2"/>
    <row r="28648" ht="9.9499999999999993" hidden="1" customHeight="1" x14ac:dyDescent="0.2"/>
    <row r="28649" ht="9.9499999999999993" hidden="1" customHeight="1" x14ac:dyDescent="0.2"/>
    <row r="28650" ht="9.9499999999999993" hidden="1" customHeight="1" x14ac:dyDescent="0.2"/>
    <row r="28651" ht="9.9499999999999993" hidden="1" customHeight="1" x14ac:dyDescent="0.2"/>
    <row r="28652" ht="9.9499999999999993" hidden="1" customHeight="1" x14ac:dyDescent="0.2"/>
    <row r="28653" ht="9.9499999999999993" hidden="1" customHeight="1" x14ac:dyDescent="0.2"/>
    <row r="28654" ht="9.9499999999999993" hidden="1" customHeight="1" x14ac:dyDescent="0.2"/>
    <row r="28655" ht="9.9499999999999993" hidden="1" customHeight="1" x14ac:dyDescent="0.2"/>
    <row r="28656" ht="9.9499999999999993" hidden="1" customHeight="1" x14ac:dyDescent="0.2"/>
    <row r="28657" ht="9.9499999999999993" hidden="1" customHeight="1" x14ac:dyDescent="0.2"/>
    <row r="28658" ht="9.9499999999999993" hidden="1" customHeight="1" x14ac:dyDescent="0.2"/>
    <row r="28659" ht="9.9499999999999993" hidden="1" customHeight="1" x14ac:dyDescent="0.2"/>
    <row r="28660" ht="9.9499999999999993" hidden="1" customHeight="1" x14ac:dyDescent="0.2"/>
    <row r="28661" ht="9.9499999999999993" hidden="1" customHeight="1" x14ac:dyDescent="0.2"/>
    <row r="28662" ht="9.9499999999999993" hidden="1" customHeight="1" x14ac:dyDescent="0.2"/>
    <row r="28663" ht="9.9499999999999993" hidden="1" customHeight="1" x14ac:dyDescent="0.2"/>
    <row r="28664" ht="9.9499999999999993" hidden="1" customHeight="1" x14ac:dyDescent="0.2"/>
    <row r="28665" ht="9.9499999999999993" hidden="1" customHeight="1" x14ac:dyDescent="0.2"/>
    <row r="28666" ht="9.9499999999999993" hidden="1" customHeight="1" x14ac:dyDescent="0.2"/>
    <row r="28667" ht="9.9499999999999993" hidden="1" customHeight="1" x14ac:dyDescent="0.2"/>
    <row r="28668" ht="9.9499999999999993" hidden="1" customHeight="1" x14ac:dyDescent="0.2"/>
    <row r="28669" ht="9.9499999999999993" hidden="1" customHeight="1" x14ac:dyDescent="0.2"/>
    <row r="28670" ht="9.9499999999999993" hidden="1" customHeight="1" x14ac:dyDescent="0.2"/>
    <row r="28671" ht="9.9499999999999993" hidden="1" customHeight="1" x14ac:dyDescent="0.2"/>
    <row r="28672" ht="9.9499999999999993" hidden="1" customHeight="1" x14ac:dyDescent="0.2"/>
    <row r="28673" ht="9.9499999999999993" hidden="1" customHeight="1" x14ac:dyDescent="0.2"/>
    <row r="28674" ht="9.9499999999999993" hidden="1" customHeight="1" x14ac:dyDescent="0.2"/>
    <row r="28675" ht="9.9499999999999993" hidden="1" customHeight="1" x14ac:dyDescent="0.2"/>
    <row r="28676" ht="9.9499999999999993" hidden="1" customHeight="1" x14ac:dyDescent="0.2"/>
    <row r="28677" ht="9.9499999999999993" hidden="1" customHeight="1" x14ac:dyDescent="0.2"/>
    <row r="28678" ht="9.9499999999999993" hidden="1" customHeight="1" x14ac:dyDescent="0.2"/>
    <row r="28679" ht="9.9499999999999993" hidden="1" customHeight="1" x14ac:dyDescent="0.2"/>
    <row r="28680" ht="9.9499999999999993" hidden="1" customHeight="1" x14ac:dyDescent="0.2"/>
    <row r="28681" ht="9.9499999999999993" hidden="1" customHeight="1" x14ac:dyDescent="0.2"/>
    <row r="28682" ht="9.9499999999999993" hidden="1" customHeight="1" x14ac:dyDescent="0.2"/>
    <row r="28683" ht="9.9499999999999993" hidden="1" customHeight="1" x14ac:dyDescent="0.2"/>
    <row r="28684" ht="9.9499999999999993" hidden="1" customHeight="1" x14ac:dyDescent="0.2"/>
    <row r="28685" ht="9.9499999999999993" hidden="1" customHeight="1" x14ac:dyDescent="0.2"/>
    <row r="28686" ht="9.9499999999999993" hidden="1" customHeight="1" x14ac:dyDescent="0.2"/>
    <row r="28687" ht="9.9499999999999993" hidden="1" customHeight="1" x14ac:dyDescent="0.2"/>
    <row r="28688" ht="9.9499999999999993" hidden="1" customHeight="1" x14ac:dyDescent="0.2"/>
    <row r="28689" ht="9.9499999999999993" hidden="1" customHeight="1" x14ac:dyDescent="0.2"/>
    <row r="28690" ht="9.9499999999999993" hidden="1" customHeight="1" x14ac:dyDescent="0.2"/>
    <row r="28691" ht="9.9499999999999993" hidden="1" customHeight="1" x14ac:dyDescent="0.2"/>
    <row r="28692" ht="9.9499999999999993" hidden="1" customHeight="1" x14ac:dyDescent="0.2"/>
    <row r="28693" ht="9.9499999999999993" hidden="1" customHeight="1" x14ac:dyDescent="0.2"/>
    <row r="28694" ht="9.9499999999999993" hidden="1" customHeight="1" x14ac:dyDescent="0.2"/>
    <row r="28695" ht="9.9499999999999993" hidden="1" customHeight="1" x14ac:dyDescent="0.2"/>
    <row r="28696" ht="9.9499999999999993" hidden="1" customHeight="1" x14ac:dyDescent="0.2"/>
    <row r="28697" ht="9.9499999999999993" hidden="1" customHeight="1" x14ac:dyDescent="0.2"/>
    <row r="28698" ht="9.9499999999999993" hidden="1" customHeight="1" x14ac:dyDescent="0.2"/>
    <row r="28699" ht="9.9499999999999993" hidden="1" customHeight="1" x14ac:dyDescent="0.2"/>
    <row r="28700" ht="9.9499999999999993" hidden="1" customHeight="1" x14ac:dyDescent="0.2"/>
    <row r="28701" ht="9.9499999999999993" hidden="1" customHeight="1" x14ac:dyDescent="0.2"/>
    <row r="28702" ht="9.9499999999999993" hidden="1" customHeight="1" x14ac:dyDescent="0.2"/>
    <row r="28703" ht="9.9499999999999993" hidden="1" customHeight="1" x14ac:dyDescent="0.2"/>
    <row r="28704" ht="9.9499999999999993" hidden="1" customHeight="1" x14ac:dyDescent="0.2"/>
    <row r="28705" ht="9.9499999999999993" hidden="1" customHeight="1" x14ac:dyDescent="0.2"/>
    <row r="28706" ht="9.9499999999999993" hidden="1" customHeight="1" x14ac:dyDescent="0.2"/>
    <row r="28707" ht="9.9499999999999993" hidden="1" customHeight="1" x14ac:dyDescent="0.2"/>
    <row r="28708" ht="9.9499999999999993" hidden="1" customHeight="1" x14ac:dyDescent="0.2"/>
    <row r="28709" ht="9.9499999999999993" hidden="1" customHeight="1" x14ac:dyDescent="0.2"/>
    <row r="28710" ht="9.9499999999999993" hidden="1" customHeight="1" x14ac:dyDescent="0.2"/>
    <row r="28711" ht="9.9499999999999993" hidden="1" customHeight="1" x14ac:dyDescent="0.2"/>
    <row r="28712" ht="9.9499999999999993" hidden="1" customHeight="1" x14ac:dyDescent="0.2"/>
    <row r="28713" ht="9.9499999999999993" hidden="1" customHeight="1" x14ac:dyDescent="0.2"/>
    <row r="28714" ht="9.9499999999999993" hidden="1" customHeight="1" x14ac:dyDescent="0.2"/>
    <row r="28715" ht="9.9499999999999993" hidden="1" customHeight="1" x14ac:dyDescent="0.2"/>
    <row r="28716" ht="9.9499999999999993" hidden="1" customHeight="1" x14ac:dyDescent="0.2"/>
    <row r="28717" ht="9.9499999999999993" hidden="1" customHeight="1" x14ac:dyDescent="0.2"/>
    <row r="28718" ht="9.9499999999999993" hidden="1" customHeight="1" x14ac:dyDescent="0.2"/>
    <row r="28719" ht="9.9499999999999993" hidden="1" customHeight="1" x14ac:dyDescent="0.2"/>
    <row r="28720" ht="9.9499999999999993" hidden="1" customHeight="1" x14ac:dyDescent="0.2"/>
    <row r="28721" ht="9.9499999999999993" hidden="1" customHeight="1" x14ac:dyDescent="0.2"/>
    <row r="28722" ht="9.9499999999999993" hidden="1" customHeight="1" x14ac:dyDescent="0.2"/>
    <row r="28723" ht="9.9499999999999993" hidden="1" customHeight="1" x14ac:dyDescent="0.2"/>
    <row r="28724" ht="9.9499999999999993" hidden="1" customHeight="1" x14ac:dyDescent="0.2"/>
    <row r="28725" ht="9.9499999999999993" hidden="1" customHeight="1" x14ac:dyDescent="0.2"/>
    <row r="28726" ht="9.9499999999999993" hidden="1" customHeight="1" x14ac:dyDescent="0.2"/>
    <row r="28727" ht="9.9499999999999993" hidden="1" customHeight="1" x14ac:dyDescent="0.2"/>
    <row r="28728" ht="9.9499999999999993" hidden="1" customHeight="1" x14ac:dyDescent="0.2"/>
    <row r="28729" ht="9.9499999999999993" hidden="1" customHeight="1" x14ac:dyDescent="0.2"/>
    <row r="28730" ht="9.9499999999999993" hidden="1" customHeight="1" x14ac:dyDescent="0.2"/>
    <row r="28731" ht="9.9499999999999993" hidden="1" customHeight="1" x14ac:dyDescent="0.2"/>
    <row r="28732" ht="9.9499999999999993" hidden="1" customHeight="1" x14ac:dyDescent="0.2"/>
    <row r="28733" ht="9.9499999999999993" hidden="1" customHeight="1" x14ac:dyDescent="0.2"/>
    <row r="28734" ht="9.9499999999999993" hidden="1" customHeight="1" x14ac:dyDescent="0.2"/>
    <row r="28735" ht="9.9499999999999993" hidden="1" customHeight="1" x14ac:dyDescent="0.2"/>
    <row r="28736" ht="9.9499999999999993" hidden="1" customHeight="1" x14ac:dyDescent="0.2"/>
    <row r="28737" ht="9.9499999999999993" hidden="1" customHeight="1" x14ac:dyDescent="0.2"/>
    <row r="28738" ht="9.9499999999999993" hidden="1" customHeight="1" x14ac:dyDescent="0.2"/>
    <row r="28739" ht="9.9499999999999993" hidden="1" customHeight="1" x14ac:dyDescent="0.2"/>
    <row r="28740" ht="9.9499999999999993" hidden="1" customHeight="1" x14ac:dyDescent="0.2"/>
    <row r="28741" ht="9.9499999999999993" hidden="1" customHeight="1" x14ac:dyDescent="0.2"/>
    <row r="28742" ht="9.9499999999999993" hidden="1" customHeight="1" x14ac:dyDescent="0.2"/>
    <row r="28743" ht="9.9499999999999993" hidden="1" customHeight="1" x14ac:dyDescent="0.2"/>
    <row r="28744" ht="9.9499999999999993" hidden="1" customHeight="1" x14ac:dyDescent="0.2"/>
    <row r="28745" ht="9.9499999999999993" hidden="1" customHeight="1" x14ac:dyDescent="0.2"/>
    <row r="28746" ht="9.9499999999999993" hidden="1" customHeight="1" x14ac:dyDescent="0.2"/>
    <row r="28747" ht="9.9499999999999993" hidden="1" customHeight="1" x14ac:dyDescent="0.2"/>
    <row r="28748" ht="9.9499999999999993" hidden="1" customHeight="1" x14ac:dyDescent="0.2"/>
    <row r="28749" ht="9.9499999999999993" hidden="1" customHeight="1" x14ac:dyDescent="0.2"/>
    <row r="28750" ht="9.9499999999999993" hidden="1" customHeight="1" x14ac:dyDescent="0.2"/>
    <row r="28751" ht="9.9499999999999993" hidden="1" customHeight="1" x14ac:dyDescent="0.2"/>
    <row r="28752" ht="9.9499999999999993" hidden="1" customHeight="1" x14ac:dyDescent="0.2"/>
    <row r="28753" ht="9.9499999999999993" hidden="1" customHeight="1" x14ac:dyDescent="0.2"/>
    <row r="28754" ht="9.9499999999999993" hidden="1" customHeight="1" x14ac:dyDescent="0.2"/>
    <row r="28755" ht="9.9499999999999993" hidden="1" customHeight="1" x14ac:dyDescent="0.2"/>
    <row r="28756" ht="9.9499999999999993" hidden="1" customHeight="1" x14ac:dyDescent="0.2"/>
    <row r="28757" ht="9.9499999999999993" hidden="1" customHeight="1" x14ac:dyDescent="0.2"/>
    <row r="28758" ht="9.9499999999999993" hidden="1" customHeight="1" x14ac:dyDescent="0.2"/>
    <row r="28759" ht="9.9499999999999993" hidden="1" customHeight="1" x14ac:dyDescent="0.2"/>
    <row r="28760" ht="9.9499999999999993" hidden="1" customHeight="1" x14ac:dyDescent="0.2"/>
    <row r="28761" ht="9.9499999999999993" hidden="1" customHeight="1" x14ac:dyDescent="0.2"/>
    <row r="28762" ht="9.9499999999999993" hidden="1" customHeight="1" x14ac:dyDescent="0.2"/>
    <row r="28763" ht="9.9499999999999993" hidden="1" customHeight="1" x14ac:dyDescent="0.2"/>
    <row r="28764" ht="9.9499999999999993" hidden="1" customHeight="1" x14ac:dyDescent="0.2"/>
    <row r="28765" ht="9.9499999999999993" hidden="1" customHeight="1" x14ac:dyDescent="0.2"/>
    <row r="28766" ht="9.9499999999999993" hidden="1" customHeight="1" x14ac:dyDescent="0.2"/>
    <row r="28767" ht="9.9499999999999993" hidden="1" customHeight="1" x14ac:dyDescent="0.2"/>
    <row r="28768" ht="9.9499999999999993" hidden="1" customHeight="1" x14ac:dyDescent="0.2"/>
    <row r="28769" ht="9.9499999999999993" hidden="1" customHeight="1" x14ac:dyDescent="0.2"/>
    <row r="28770" ht="9.9499999999999993" hidden="1" customHeight="1" x14ac:dyDescent="0.2"/>
    <row r="28771" ht="9.9499999999999993" hidden="1" customHeight="1" x14ac:dyDescent="0.2"/>
    <row r="28772" ht="9.9499999999999993" hidden="1" customHeight="1" x14ac:dyDescent="0.2"/>
    <row r="28773" ht="9.9499999999999993" hidden="1" customHeight="1" x14ac:dyDescent="0.2"/>
    <row r="28774" ht="9.9499999999999993" hidden="1" customHeight="1" x14ac:dyDescent="0.2"/>
    <row r="28775" ht="9.9499999999999993" hidden="1" customHeight="1" x14ac:dyDescent="0.2"/>
    <row r="28776" ht="9.9499999999999993" hidden="1" customHeight="1" x14ac:dyDescent="0.2"/>
    <row r="28777" ht="9.9499999999999993" hidden="1" customHeight="1" x14ac:dyDescent="0.2"/>
    <row r="28778" ht="9.9499999999999993" hidden="1" customHeight="1" x14ac:dyDescent="0.2"/>
    <row r="28779" ht="9.9499999999999993" hidden="1" customHeight="1" x14ac:dyDescent="0.2"/>
    <row r="28780" ht="9.9499999999999993" hidden="1" customHeight="1" x14ac:dyDescent="0.2"/>
    <row r="28781" ht="9.9499999999999993" hidden="1" customHeight="1" x14ac:dyDescent="0.2"/>
    <row r="28782" ht="9.9499999999999993" hidden="1" customHeight="1" x14ac:dyDescent="0.2"/>
    <row r="28783" ht="9.9499999999999993" hidden="1" customHeight="1" x14ac:dyDescent="0.2"/>
    <row r="28784" ht="9.9499999999999993" hidden="1" customHeight="1" x14ac:dyDescent="0.2"/>
    <row r="28785" ht="9.9499999999999993" hidden="1" customHeight="1" x14ac:dyDescent="0.2"/>
    <row r="28786" ht="9.9499999999999993" hidden="1" customHeight="1" x14ac:dyDescent="0.2"/>
    <row r="28787" ht="9.9499999999999993" hidden="1" customHeight="1" x14ac:dyDescent="0.2"/>
    <row r="28788" ht="9.9499999999999993" hidden="1" customHeight="1" x14ac:dyDescent="0.2"/>
    <row r="28789" ht="9.9499999999999993" hidden="1" customHeight="1" x14ac:dyDescent="0.2"/>
    <row r="28790" ht="9.9499999999999993" hidden="1" customHeight="1" x14ac:dyDescent="0.2"/>
    <row r="28791" ht="9.9499999999999993" hidden="1" customHeight="1" x14ac:dyDescent="0.2"/>
    <row r="28792" ht="9.9499999999999993" hidden="1" customHeight="1" x14ac:dyDescent="0.2"/>
    <row r="28793" ht="9.9499999999999993" hidden="1" customHeight="1" x14ac:dyDescent="0.2"/>
    <row r="28794" ht="9.9499999999999993" hidden="1" customHeight="1" x14ac:dyDescent="0.2"/>
    <row r="28795" ht="9.9499999999999993" hidden="1" customHeight="1" x14ac:dyDescent="0.2"/>
    <row r="28796" ht="9.9499999999999993" hidden="1" customHeight="1" x14ac:dyDescent="0.2"/>
    <row r="28797" ht="9.9499999999999993" hidden="1" customHeight="1" x14ac:dyDescent="0.2"/>
    <row r="28798" ht="9.9499999999999993" hidden="1" customHeight="1" x14ac:dyDescent="0.2"/>
    <row r="28799" ht="9.9499999999999993" hidden="1" customHeight="1" x14ac:dyDescent="0.2"/>
    <row r="28800" ht="9.9499999999999993" hidden="1" customHeight="1" x14ac:dyDescent="0.2"/>
    <row r="28801" ht="9.9499999999999993" hidden="1" customHeight="1" x14ac:dyDescent="0.2"/>
    <row r="28802" ht="9.9499999999999993" hidden="1" customHeight="1" x14ac:dyDescent="0.2"/>
    <row r="28803" ht="9.9499999999999993" hidden="1" customHeight="1" x14ac:dyDescent="0.2"/>
    <row r="28804" ht="9.9499999999999993" hidden="1" customHeight="1" x14ac:dyDescent="0.2"/>
    <row r="28805" ht="9.9499999999999993" hidden="1" customHeight="1" x14ac:dyDescent="0.2"/>
    <row r="28806" ht="9.9499999999999993" hidden="1" customHeight="1" x14ac:dyDescent="0.2"/>
    <row r="28807" ht="9.9499999999999993" hidden="1" customHeight="1" x14ac:dyDescent="0.2"/>
    <row r="28808" ht="9.9499999999999993" hidden="1" customHeight="1" x14ac:dyDescent="0.2"/>
    <row r="28809" ht="9.9499999999999993" hidden="1" customHeight="1" x14ac:dyDescent="0.2"/>
    <row r="28810" ht="9.9499999999999993" hidden="1" customHeight="1" x14ac:dyDescent="0.2"/>
    <row r="28811" ht="9.9499999999999993" hidden="1" customHeight="1" x14ac:dyDescent="0.2"/>
    <row r="28812" ht="9.9499999999999993" hidden="1" customHeight="1" x14ac:dyDescent="0.2"/>
    <row r="28813" ht="9.9499999999999993" hidden="1" customHeight="1" x14ac:dyDescent="0.2"/>
    <row r="28814" ht="9.9499999999999993" hidden="1" customHeight="1" x14ac:dyDescent="0.2"/>
    <row r="28815" ht="9.9499999999999993" hidden="1" customHeight="1" x14ac:dyDescent="0.2"/>
    <row r="28816" ht="9.9499999999999993" hidden="1" customHeight="1" x14ac:dyDescent="0.2"/>
    <row r="28817" ht="9.9499999999999993" hidden="1" customHeight="1" x14ac:dyDescent="0.2"/>
    <row r="28818" ht="9.9499999999999993" hidden="1" customHeight="1" x14ac:dyDescent="0.2"/>
    <row r="28819" ht="9.9499999999999993" hidden="1" customHeight="1" x14ac:dyDescent="0.2"/>
    <row r="28820" ht="9.9499999999999993" hidden="1" customHeight="1" x14ac:dyDescent="0.2"/>
    <row r="28821" ht="9.9499999999999993" hidden="1" customHeight="1" x14ac:dyDescent="0.2"/>
    <row r="28822" ht="9.9499999999999993" hidden="1" customHeight="1" x14ac:dyDescent="0.2"/>
    <row r="28823" ht="9.9499999999999993" hidden="1" customHeight="1" x14ac:dyDescent="0.2"/>
    <row r="28824" ht="9.9499999999999993" hidden="1" customHeight="1" x14ac:dyDescent="0.2"/>
    <row r="28825" ht="9.9499999999999993" hidden="1" customHeight="1" x14ac:dyDescent="0.2"/>
    <row r="28826" ht="9.9499999999999993" hidden="1" customHeight="1" x14ac:dyDescent="0.2"/>
    <row r="28827" ht="9.9499999999999993" hidden="1" customHeight="1" x14ac:dyDescent="0.2"/>
    <row r="28828" ht="9.9499999999999993" hidden="1" customHeight="1" x14ac:dyDescent="0.2"/>
    <row r="28829" ht="9.9499999999999993" hidden="1" customHeight="1" x14ac:dyDescent="0.2"/>
    <row r="28830" ht="9.9499999999999993" hidden="1" customHeight="1" x14ac:dyDescent="0.2"/>
    <row r="28831" ht="9.9499999999999993" hidden="1" customHeight="1" x14ac:dyDescent="0.2"/>
    <row r="28832" ht="9.9499999999999993" hidden="1" customHeight="1" x14ac:dyDescent="0.2"/>
    <row r="28833" ht="9.9499999999999993" hidden="1" customHeight="1" x14ac:dyDescent="0.2"/>
    <row r="28834" ht="9.9499999999999993" hidden="1" customHeight="1" x14ac:dyDescent="0.2"/>
    <row r="28835" ht="9.9499999999999993" hidden="1" customHeight="1" x14ac:dyDescent="0.2"/>
    <row r="28836" ht="9.9499999999999993" hidden="1" customHeight="1" x14ac:dyDescent="0.2"/>
    <row r="28837" ht="9.9499999999999993" hidden="1" customHeight="1" x14ac:dyDescent="0.2"/>
    <row r="28838" ht="9.9499999999999993" hidden="1" customHeight="1" x14ac:dyDescent="0.2"/>
    <row r="28839" ht="9.9499999999999993" hidden="1" customHeight="1" x14ac:dyDescent="0.2"/>
    <row r="28840" ht="9.9499999999999993" hidden="1" customHeight="1" x14ac:dyDescent="0.2"/>
    <row r="28841" ht="9.9499999999999993" hidden="1" customHeight="1" x14ac:dyDescent="0.2"/>
    <row r="28842" ht="9.9499999999999993" hidden="1" customHeight="1" x14ac:dyDescent="0.2"/>
    <row r="28843" ht="9.9499999999999993" hidden="1" customHeight="1" x14ac:dyDescent="0.2"/>
    <row r="28844" ht="9.9499999999999993" hidden="1" customHeight="1" x14ac:dyDescent="0.2"/>
    <row r="28845" ht="9.9499999999999993" hidden="1" customHeight="1" x14ac:dyDescent="0.2"/>
    <row r="28846" ht="9.9499999999999993" hidden="1" customHeight="1" x14ac:dyDescent="0.2"/>
    <row r="28847" ht="9.9499999999999993" hidden="1" customHeight="1" x14ac:dyDescent="0.2"/>
    <row r="28848" ht="9.9499999999999993" hidden="1" customHeight="1" x14ac:dyDescent="0.2"/>
    <row r="28849" ht="9.9499999999999993" hidden="1" customHeight="1" x14ac:dyDescent="0.2"/>
    <row r="28850" ht="9.9499999999999993" hidden="1" customHeight="1" x14ac:dyDescent="0.2"/>
    <row r="28851" ht="9.9499999999999993" hidden="1" customHeight="1" x14ac:dyDescent="0.2"/>
    <row r="28852" ht="9.9499999999999993" hidden="1" customHeight="1" x14ac:dyDescent="0.2"/>
    <row r="28853" ht="9.9499999999999993" hidden="1" customHeight="1" x14ac:dyDescent="0.2"/>
    <row r="28854" ht="9.9499999999999993" hidden="1" customHeight="1" x14ac:dyDescent="0.2"/>
    <row r="28855" ht="9.9499999999999993" hidden="1" customHeight="1" x14ac:dyDescent="0.2"/>
    <row r="28856" ht="9.9499999999999993" hidden="1" customHeight="1" x14ac:dyDescent="0.2"/>
    <row r="28857" ht="9.9499999999999993" hidden="1" customHeight="1" x14ac:dyDescent="0.2"/>
    <row r="28858" ht="9.9499999999999993" hidden="1" customHeight="1" x14ac:dyDescent="0.2"/>
    <row r="28859" ht="9.9499999999999993" hidden="1" customHeight="1" x14ac:dyDescent="0.2"/>
    <row r="28860" ht="9.9499999999999993" hidden="1" customHeight="1" x14ac:dyDescent="0.2"/>
    <row r="28861" ht="9.9499999999999993" hidden="1" customHeight="1" x14ac:dyDescent="0.2"/>
    <row r="28862" ht="9.9499999999999993" hidden="1" customHeight="1" x14ac:dyDescent="0.2"/>
    <row r="28863" ht="9.9499999999999993" hidden="1" customHeight="1" x14ac:dyDescent="0.2"/>
    <row r="28864" ht="9.9499999999999993" hidden="1" customHeight="1" x14ac:dyDescent="0.2"/>
    <row r="28865" ht="9.9499999999999993" hidden="1" customHeight="1" x14ac:dyDescent="0.2"/>
    <row r="28866" ht="9.9499999999999993" hidden="1" customHeight="1" x14ac:dyDescent="0.2"/>
    <row r="28867" ht="9.9499999999999993" hidden="1" customHeight="1" x14ac:dyDescent="0.2"/>
    <row r="28868" ht="9.9499999999999993" hidden="1" customHeight="1" x14ac:dyDescent="0.2"/>
    <row r="28869" ht="9.9499999999999993" hidden="1" customHeight="1" x14ac:dyDescent="0.2"/>
    <row r="28870" ht="9.9499999999999993" hidden="1" customHeight="1" x14ac:dyDescent="0.2"/>
    <row r="28871" ht="9.9499999999999993" hidden="1" customHeight="1" x14ac:dyDescent="0.2"/>
    <row r="28872" ht="9.9499999999999993" hidden="1" customHeight="1" x14ac:dyDescent="0.2"/>
    <row r="28873" ht="9.9499999999999993" hidden="1" customHeight="1" x14ac:dyDescent="0.2"/>
    <row r="28874" ht="9.9499999999999993" hidden="1" customHeight="1" x14ac:dyDescent="0.2"/>
    <row r="28875" ht="9.9499999999999993" hidden="1" customHeight="1" x14ac:dyDescent="0.2"/>
    <row r="28876" ht="9.9499999999999993" hidden="1" customHeight="1" x14ac:dyDescent="0.2"/>
    <row r="28877" ht="9.9499999999999993" hidden="1" customHeight="1" x14ac:dyDescent="0.2"/>
    <row r="28878" ht="9.9499999999999993" hidden="1" customHeight="1" x14ac:dyDescent="0.2"/>
    <row r="28879" ht="9.9499999999999993" hidden="1" customHeight="1" x14ac:dyDescent="0.2"/>
    <row r="28880" ht="9.9499999999999993" hidden="1" customHeight="1" x14ac:dyDescent="0.2"/>
    <row r="28881" ht="9.9499999999999993" hidden="1" customHeight="1" x14ac:dyDescent="0.2"/>
    <row r="28882" ht="9.9499999999999993" hidden="1" customHeight="1" x14ac:dyDescent="0.2"/>
    <row r="28883" ht="9.9499999999999993" hidden="1" customHeight="1" x14ac:dyDescent="0.2"/>
    <row r="28884" ht="9.9499999999999993" hidden="1" customHeight="1" x14ac:dyDescent="0.2"/>
    <row r="28885" ht="9.9499999999999993" hidden="1" customHeight="1" x14ac:dyDescent="0.2"/>
    <row r="28886" ht="9.9499999999999993" hidden="1" customHeight="1" x14ac:dyDescent="0.2"/>
    <row r="28887" ht="9.9499999999999993" hidden="1" customHeight="1" x14ac:dyDescent="0.2"/>
    <row r="28888" ht="9.9499999999999993" hidden="1" customHeight="1" x14ac:dyDescent="0.2"/>
    <row r="28889" ht="9.9499999999999993" hidden="1" customHeight="1" x14ac:dyDescent="0.2"/>
    <row r="28890" ht="9.9499999999999993" hidden="1" customHeight="1" x14ac:dyDescent="0.2"/>
    <row r="28891" ht="9.9499999999999993" hidden="1" customHeight="1" x14ac:dyDescent="0.2"/>
    <row r="28892" ht="9.9499999999999993" hidden="1" customHeight="1" x14ac:dyDescent="0.2"/>
    <row r="28893" ht="9.9499999999999993" hidden="1" customHeight="1" x14ac:dyDescent="0.2"/>
    <row r="28894" ht="9.9499999999999993" hidden="1" customHeight="1" x14ac:dyDescent="0.2"/>
    <row r="28895" ht="9.9499999999999993" hidden="1" customHeight="1" x14ac:dyDescent="0.2"/>
    <row r="28896" ht="9.9499999999999993" hidden="1" customHeight="1" x14ac:dyDescent="0.2"/>
    <row r="28897" ht="9.9499999999999993" hidden="1" customHeight="1" x14ac:dyDescent="0.2"/>
    <row r="28898" ht="9.9499999999999993" hidden="1" customHeight="1" x14ac:dyDescent="0.2"/>
    <row r="28899" ht="9.9499999999999993" hidden="1" customHeight="1" x14ac:dyDescent="0.2"/>
    <row r="28900" ht="9.9499999999999993" hidden="1" customHeight="1" x14ac:dyDescent="0.2"/>
    <row r="28901" ht="9.9499999999999993" hidden="1" customHeight="1" x14ac:dyDescent="0.2"/>
    <row r="28902" ht="9.9499999999999993" hidden="1" customHeight="1" x14ac:dyDescent="0.2"/>
    <row r="28903" ht="9.9499999999999993" hidden="1" customHeight="1" x14ac:dyDescent="0.2"/>
    <row r="28904" ht="9.9499999999999993" hidden="1" customHeight="1" x14ac:dyDescent="0.2"/>
    <row r="28905" ht="9.9499999999999993" hidden="1" customHeight="1" x14ac:dyDescent="0.2"/>
    <row r="28906" ht="9.9499999999999993" hidden="1" customHeight="1" x14ac:dyDescent="0.2"/>
    <row r="28907" ht="9.9499999999999993" hidden="1" customHeight="1" x14ac:dyDescent="0.2"/>
    <row r="28908" ht="9.9499999999999993" hidden="1" customHeight="1" x14ac:dyDescent="0.2"/>
    <row r="28909" ht="9.9499999999999993" hidden="1" customHeight="1" x14ac:dyDescent="0.2"/>
    <row r="28910" ht="9.9499999999999993" hidden="1" customHeight="1" x14ac:dyDescent="0.2"/>
    <row r="28911" ht="9.9499999999999993" hidden="1" customHeight="1" x14ac:dyDescent="0.2"/>
    <row r="28912" ht="9.9499999999999993" hidden="1" customHeight="1" x14ac:dyDescent="0.2"/>
    <row r="28913" ht="9.9499999999999993" hidden="1" customHeight="1" x14ac:dyDescent="0.2"/>
    <row r="28914" ht="9.9499999999999993" hidden="1" customHeight="1" x14ac:dyDescent="0.2"/>
    <row r="28915" ht="9.9499999999999993" hidden="1" customHeight="1" x14ac:dyDescent="0.2"/>
    <row r="28916" ht="9.9499999999999993" hidden="1" customHeight="1" x14ac:dyDescent="0.2"/>
    <row r="28917" ht="9.9499999999999993" hidden="1" customHeight="1" x14ac:dyDescent="0.2"/>
    <row r="28918" ht="9.9499999999999993" hidden="1" customHeight="1" x14ac:dyDescent="0.2"/>
    <row r="28919" ht="9.9499999999999993" hidden="1" customHeight="1" x14ac:dyDescent="0.2"/>
    <row r="28920" ht="9.9499999999999993" hidden="1" customHeight="1" x14ac:dyDescent="0.2"/>
    <row r="28921" ht="9.9499999999999993" hidden="1" customHeight="1" x14ac:dyDescent="0.2"/>
    <row r="28922" ht="9.9499999999999993" hidden="1" customHeight="1" x14ac:dyDescent="0.2"/>
    <row r="28923" ht="9.9499999999999993" hidden="1" customHeight="1" x14ac:dyDescent="0.2"/>
    <row r="28924" ht="9.9499999999999993" hidden="1" customHeight="1" x14ac:dyDescent="0.2"/>
    <row r="28925" ht="9.9499999999999993" hidden="1" customHeight="1" x14ac:dyDescent="0.2"/>
    <row r="28926" ht="9.9499999999999993" hidden="1" customHeight="1" x14ac:dyDescent="0.2"/>
    <row r="28927" ht="9.9499999999999993" hidden="1" customHeight="1" x14ac:dyDescent="0.2"/>
    <row r="28928" ht="9.9499999999999993" hidden="1" customHeight="1" x14ac:dyDescent="0.2"/>
    <row r="28929" ht="9.9499999999999993" hidden="1" customHeight="1" x14ac:dyDescent="0.2"/>
    <row r="28930" ht="9.9499999999999993" hidden="1" customHeight="1" x14ac:dyDescent="0.2"/>
    <row r="28931" ht="9.9499999999999993" hidden="1" customHeight="1" x14ac:dyDescent="0.2"/>
    <row r="28932" ht="9.9499999999999993" hidden="1" customHeight="1" x14ac:dyDescent="0.2"/>
    <row r="28933" ht="9.9499999999999993" hidden="1" customHeight="1" x14ac:dyDescent="0.2"/>
    <row r="28934" ht="9.9499999999999993" hidden="1" customHeight="1" x14ac:dyDescent="0.2"/>
    <row r="28935" ht="9.9499999999999993" hidden="1" customHeight="1" x14ac:dyDescent="0.2"/>
    <row r="28936" ht="9.9499999999999993" hidden="1" customHeight="1" x14ac:dyDescent="0.2"/>
    <row r="28937" ht="9.9499999999999993" hidden="1" customHeight="1" x14ac:dyDescent="0.2"/>
    <row r="28938" ht="9.9499999999999993" hidden="1" customHeight="1" x14ac:dyDescent="0.2"/>
    <row r="28939" ht="9.9499999999999993" hidden="1" customHeight="1" x14ac:dyDescent="0.2"/>
    <row r="28940" ht="9.9499999999999993" hidden="1" customHeight="1" x14ac:dyDescent="0.2"/>
    <row r="28941" ht="9.9499999999999993" hidden="1" customHeight="1" x14ac:dyDescent="0.2"/>
    <row r="28942" ht="9.9499999999999993" hidden="1" customHeight="1" x14ac:dyDescent="0.2"/>
    <row r="28943" ht="9.9499999999999993" hidden="1" customHeight="1" x14ac:dyDescent="0.2"/>
    <row r="28944" ht="9.9499999999999993" hidden="1" customHeight="1" x14ac:dyDescent="0.2"/>
    <row r="28945" ht="9.9499999999999993" hidden="1" customHeight="1" x14ac:dyDescent="0.2"/>
    <row r="28946" ht="9.9499999999999993" hidden="1" customHeight="1" x14ac:dyDescent="0.2"/>
    <row r="28947" ht="9.9499999999999993" hidden="1" customHeight="1" x14ac:dyDescent="0.2"/>
    <row r="28948" ht="9.9499999999999993" hidden="1" customHeight="1" x14ac:dyDescent="0.2"/>
    <row r="28949" ht="9.9499999999999993" hidden="1" customHeight="1" x14ac:dyDescent="0.2"/>
    <row r="28950" ht="9.9499999999999993" hidden="1" customHeight="1" x14ac:dyDescent="0.2"/>
    <row r="28951" ht="9.9499999999999993" hidden="1" customHeight="1" x14ac:dyDescent="0.2"/>
    <row r="28952" ht="9.9499999999999993" hidden="1" customHeight="1" x14ac:dyDescent="0.2"/>
    <row r="28953" ht="9.9499999999999993" hidden="1" customHeight="1" x14ac:dyDescent="0.2"/>
    <row r="28954" ht="9.9499999999999993" hidden="1" customHeight="1" x14ac:dyDescent="0.2"/>
    <row r="28955" ht="9.9499999999999993" hidden="1" customHeight="1" x14ac:dyDescent="0.2"/>
    <row r="28956" ht="9.9499999999999993" hidden="1" customHeight="1" x14ac:dyDescent="0.2"/>
    <row r="28957" ht="9.9499999999999993" hidden="1" customHeight="1" x14ac:dyDescent="0.2"/>
    <row r="28958" ht="9.9499999999999993" hidden="1" customHeight="1" x14ac:dyDescent="0.2"/>
    <row r="28959" ht="9.9499999999999993" hidden="1" customHeight="1" x14ac:dyDescent="0.2"/>
    <row r="28960" ht="9.9499999999999993" hidden="1" customHeight="1" x14ac:dyDescent="0.2"/>
    <row r="28961" ht="9.9499999999999993" hidden="1" customHeight="1" x14ac:dyDescent="0.2"/>
    <row r="28962" ht="9.9499999999999993" hidden="1" customHeight="1" x14ac:dyDescent="0.2"/>
    <row r="28963" ht="9.9499999999999993" hidden="1" customHeight="1" x14ac:dyDescent="0.2"/>
    <row r="28964" ht="9.9499999999999993" hidden="1" customHeight="1" x14ac:dyDescent="0.2"/>
    <row r="28965" ht="9.9499999999999993" hidden="1" customHeight="1" x14ac:dyDescent="0.2"/>
    <row r="28966" ht="9.9499999999999993" hidden="1" customHeight="1" x14ac:dyDescent="0.2"/>
    <row r="28967" ht="9.9499999999999993" hidden="1" customHeight="1" x14ac:dyDescent="0.2"/>
    <row r="28968" ht="9.9499999999999993" hidden="1" customHeight="1" x14ac:dyDescent="0.2"/>
    <row r="28969" ht="9.9499999999999993" hidden="1" customHeight="1" x14ac:dyDescent="0.2"/>
    <row r="28970" ht="9.9499999999999993" hidden="1" customHeight="1" x14ac:dyDescent="0.2"/>
    <row r="28971" ht="9.9499999999999993" hidden="1" customHeight="1" x14ac:dyDescent="0.2"/>
    <row r="28972" ht="9.9499999999999993" hidden="1" customHeight="1" x14ac:dyDescent="0.2"/>
    <row r="28973" ht="9.9499999999999993" hidden="1" customHeight="1" x14ac:dyDescent="0.2"/>
    <row r="28974" ht="9.9499999999999993" hidden="1" customHeight="1" x14ac:dyDescent="0.2"/>
    <row r="28975" ht="9.9499999999999993" hidden="1" customHeight="1" x14ac:dyDescent="0.2"/>
    <row r="28976" ht="9.9499999999999993" hidden="1" customHeight="1" x14ac:dyDescent="0.2"/>
    <row r="28977" ht="9.9499999999999993" hidden="1" customHeight="1" x14ac:dyDescent="0.2"/>
    <row r="28978" ht="9.9499999999999993" hidden="1" customHeight="1" x14ac:dyDescent="0.2"/>
    <row r="28979" ht="9.9499999999999993" hidden="1" customHeight="1" x14ac:dyDescent="0.2"/>
    <row r="28980" ht="9.9499999999999993" hidden="1" customHeight="1" x14ac:dyDescent="0.2"/>
    <row r="28981" ht="9.9499999999999993" hidden="1" customHeight="1" x14ac:dyDescent="0.2"/>
    <row r="28982" ht="9.9499999999999993" hidden="1" customHeight="1" x14ac:dyDescent="0.2"/>
    <row r="28983" ht="9.9499999999999993" hidden="1" customHeight="1" x14ac:dyDescent="0.2"/>
    <row r="28984" ht="9.9499999999999993" hidden="1" customHeight="1" x14ac:dyDescent="0.2"/>
    <row r="28985" ht="9.9499999999999993" hidden="1" customHeight="1" x14ac:dyDescent="0.2"/>
    <row r="28986" ht="9.9499999999999993" hidden="1" customHeight="1" x14ac:dyDescent="0.2"/>
    <row r="28987" ht="9.9499999999999993" hidden="1" customHeight="1" x14ac:dyDescent="0.2"/>
    <row r="28988" ht="9.9499999999999993" hidden="1" customHeight="1" x14ac:dyDescent="0.2"/>
    <row r="28989" ht="9.9499999999999993" hidden="1" customHeight="1" x14ac:dyDescent="0.2"/>
    <row r="28990" ht="9.9499999999999993" hidden="1" customHeight="1" x14ac:dyDescent="0.2"/>
    <row r="28991" ht="9.9499999999999993" hidden="1" customHeight="1" x14ac:dyDescent="0.2"/>
    <row r="28992" ht="9.9499999999999993" hidden="1" customHeight="1" x14ac:dyDescent="0.2"/>
    <row r="28993" ht="9.9499999999999993" hidden="1" customHeight="1" x14ac:dyDescent="0.2"/>
    <row r="28994" ht="9.9499999999999993" hidden="1" customHeight="1" x14ac:dyDescent="0.2"/>
    <row r="28995" ht="9.9499999999999993" hidden="1" customHeight="1" x14ac:dyDescent="0.2"/>
    <row r="28996" ht="9.9499999999999993" hidden="1" customHeight="1" x14ac:dyDescent="0.2"/>
    <row r="28997" ht="9.9499999999999993" hidden="1" customHeight="1" x14ac:dyDescent="0.2"/>
    <row r="28998" ht="9.9499999999999993" hidden="1" customHeight="1" x14ac:dyDescent="0.2"/>
    <row r="28999" ht="9.9499999999999993" hidden="1" customHeight="1" x14ac:dyDescent="0.2"/>
    <row r="29000" ht="9.9499999999999993" hidden="1" customHeight="1" x14ac:dyDescent="0.2"/>
    <row r="29001" ht="9.9499999999999993" hidden="1" customHeight="1" x14ac:dyDescent="0.2"/>
    <row r="29002" ht="9.9499999999999993" hidden="1" customHeight="1" x14ac:dyDescent="0.2"/>
    <row r="29003" ht="9.9499999999999993" hidden="1" customHeight="1" x14ac:dyDescent="0.2"/>
    <row r="29004" ht="9.9499999999999993" hidden="1" customHeight="1" x14ac:dyDescent="0.2"/>
    <row r="29005" ht="9.9499999999999993" hidden="1" customHeight="1" x14ac:dyDescent="0.2"/>
    <row r="29006" ht="9.9499999999999993" hidden="1" customHeight="1" x14ac:dyDescent="0.2"/>
    <row r="29007" ht="9.9499999999999993" hidden="1" customHeight="1" x14ac:dyDescent="0.2"/>
    <row r="29008" ht="9.9499999999999993" hidden="1" customHeight="1" x14ac:dyDescent="0.2"/>
    <row r="29009" ht="9.9499999999999993" hidden="1" customHeight="1" x14ac:dyDescent="0.2"/>
    <row r="29010" ht="9.9499999999999993" hidden="1" customHeight="1" x14ac:dyDescent="0.2"/>
    <row r="29011" ht="9.9499999999999993" hidden="1" customHeight="1" x14ac:dyDescent="0.2"/>
    <row r="29012" ht="9.9499999999999993" hidden="1" customHeight="1" x14ac:dyDescent="0.2"/>
    <row r="29013" ht="9.9499999999999993" hidden="1" customHeight="1" x14ac:dyDescent="0.2"/>
    <row r="29014" ht="9.9499999999999993" hidden="1" customHeight="1" x14ac:dyDescent="0.2"/>
    <row r="29015" ht="9.9499999999999993" hidden="1" customHeight="1" x14ac:dyDescent="0.2"/>
    <row r="29016" ht="9.9499999999999993" hidden="1" customHeight="1" x14ac:dyDescent="0.2"/>
    <row r="29017" ht="9.9499999999999993" hidden="1" customHeight="1" x14ac:dyDescent="0.2"/>
    <row r="29018" ht="9.9499999999999993" hidden="1" customHeight="1" x14ac:dyDescent="0.2"/>
    <row r="29019" ht="9.9499999999999993" hidden="1" customHeight="1" x14ac:dyDescent="0.2"/>
    <row r="29020" ht="9.9499999999999993" hidden="1" customHeight="1" x14ac:dyDescent="0.2"/>
    <row r="29021" ht="9.9499999999999993" hidden="1" customHeight="1" x14ac:dyDescent="0.2"/>
    <row r="29022" ht="9.9499999999999993" hidden="1" customHeight="1" x14ac:dyDescent="0.2"/>
    <row r="29023" ht="9.9499999999999993" hidden="1" customHeight="1" x14ac:dyDescent="0.2"/>
    <row r="29024" ht="9.9499999999999993" hidden="1" customHeight="1" x14ac:dyDescent="0.2"/>
    <row r="29025" ht="9.9499999999999993" hidden="1" customHeight="1" x14ac:dyDescent="0.2"/>
    <row r="29026" ht="9.9499999999999993" hidden="1" customHeight="1" x14ac:dyDescent="0.2"/>
    <row r="29027" ht="9.9499999999999993" hidden="1" customHeight="1" x14ac:dyDescent="0.2"/>
    <row r="29028" ht="9.9499999999999993" hidden="1" customHeight="1" x14ac:dyDescent="0.2"/>
    <row r="29029" ht="9.9499999999999993" hidden="1" customHeight="1" x14ac:dyDescent="0.2"/>
    <row r="29030" ht="9.9499999999999993" hidden="1" customHeight="1" x14ac:dyDescent="0.2"/>
    <row r="29031" ht="9.9499999999999993" hidden="1" customHeight="1" x14ac:dyDescent="0.2"/>
    <row r="29032" ht="9.9499999999999993" hidden="1" customHeight="1" x14ac:dyDescent="0.2"/>
    <row r="29033" ht="9.9499999999999993" hidden="1" customHeight="1" x14ac:dyDescent="0.2"/>
    <row r="29034" ht="9.9499999999999993" hidden="1" customHeight="1" x14ac:dyDescent="0.2"/>
    <row r="29035" ht="9.9499999999999993" hidden="1" customHeight="1" x14ac:dyDescent="0.2"/>
    <row r="29036" ht="9.9499999999999993" hidden="1" customHeight="1" x14ac:dyDescent="0.2"/>
    <row r="29037" ht="9.9499999999999993" hidden="1" customHeight="1" x14ac:dyDescent="0.2"/>
    <row r="29038" ht="9.9499999999999993" hidden="1" customHeight="1" x14ac:dyDescent="0.2"/>
    <row r="29039" ht="9.9499999999999993" hidden="1" customHeight="1" x14ac:dyDescent="0.2"/>
    <row r="29040" ht="9.9499999999999993" hidden="1" customHeight="1" x14ac:dyDescent="0.2"/>
    <row r="29041" ht="9.9499999999999993" hidden="1" customHeight="1" x14ac:dyDescent="0.2"/>
    <row r="29042" ht="9.9499999999999993" hidden="1" customHeight="1" x14ac:dyDescent="0.2"/>
    <row r="29043" ht="9.9499999999999993" hidden="1" customHeight="1" x14ac:dyDescent="0.2"/>
    <row r="29044" ht="9.9499999999999993" hidden="1" customHeight="1" x14ac:dyDescent="0.2"/>
    <row r="29045" ht="9.9499999999999993" hidden="1" customHeight="1" x14ac:dyDescent="0.2"/>
    <row r="29046" ht="9.9499999999999993" hidden="1" customHeight="1" x14ac:dyDescent="0.2"/>
    <row r="29047" ht="9.9499999999999993" hidden="1" customHeight="1" x14ac:dyDescent="0.2"/>
    <row r="29048" ht="9.9499999999999993" hidden="1" customHeight="1" x14ac:dyDescent="0.2"/>
    <row r="29049" ht="9.9499999999999993" hidden="1" customHeight="1" x14ac:dyDescent="0.2"/>
    <row r="29050" ht="9.9499999999999993" hidden="1" customHeight="1" x14ac:dyDescent="0.2"/>
    <row r="29051" ht="9.9499999999999993" hidden="1" customHeight="1" x14ac:dyDescent="0.2"/>
    <row r="29052" ht="9.9499999999999993" hidden="1" customHeight="1" x14ac:dyDescent="0.2"/>
    <row r="29053" ht="9.9499999999999993" hidden="1" customHeight="1" x14ac:dyDescent="0.2"/>
    <row r="29054" ht="9.9499999999999993" hidden="1" customHeight="1" x14ac:dyDescent="0.2"/>
    <row r="29055" ht="9.9499999999999993" hidden="1" customHeight="1" x14ac:dyDescent="0.2"/>
    <row r="29056" ht="9.9499999999999993" hidden="1" customHeight="1" x14ac:dyDescent="0.2"/>
    <row r="29057" ht="9.9499999999999993" hidden="1" customHeight="1" x14ac:dyDescent="0.2"/>
    <row r="29058" ht="9.9499999999999993" hidden="1" customHeight="1" x14ac:dyDescent="0.2"/>
    <row r="29059" ht="9.9499999999999993" hidden="1" customHeight="1" x14ac:dyDescent="0.2"/>
    <row r="29060" ht="9.9499999999999993" hidden="1" customHeight="1" x14ac:dyDescent="0.2"/>
    <row r="29061" ht="9.9499999999999993" hidden="1" customHeight="1" x14ac:dyDescent="0.2"/>
    <row r="29062" ht="9.9499999999999993" hidden="1" customHeight="1" x14ac:dyDescent="0.2"/>
    <row r="29063" ht="9.9499999999999993" hidden="1" customHeight="1" x14ac:dyDescent="0.2"/>
    <row r="29064" ht="9.9499999999999993" hidden="1" customHeight="1" x14ac:dyDescent="0.2"/>
    <row r="29065" ht="9.9499999999999993" hidden="1" customHeight="1" x14ac:dyDescent="0.2"/>
    <row r="29066" ht="9.9499999999999993" hidden="1" customHeight="1" x14ac:dyDescent="0.2"/>
    <row r="29067" ht="9.9499999999999993" hidden="1" customHeight="1" x14ac:dyDescent="0.2"/>
    <row r="29068" ht="9.9499999999999993" hidden="1" customHeight="1" x14ac:dyDescent="0.2"/>
    <row r="29069" ht="9.9499999999999993" hidden="1" customHeight="1" x14ac:dyDescent="0.2"/>
    <row r="29070" ht="9.9499999999999993" hidden="1" customHeight="1" x14ac:dyDescent="0.2"/>
    <row r="29071" ht="9.9499999999999993" hidden="1" customHeight="1" x14ac:dyDescent="0.2"/>
    <row r="29072" ht="9.9499999999999993" hidden="1" customHeight="1" x14ac:dyDescent="0.2"/>
    <row r="29073" ht="9.9499999999999993" hidden="1" customHeight="1" x14ac:dyDescent="0.2"/>
    <row r="29074" ht="9.9499999999999993" hidden="1" customHeight="1" x14ac:dyDescent="0.2"/>
    <row r="29075" ht="9.9499999999999993" hidden="1" customHeight="1" x14ac:dyDescent="0.2"/>
    <row r="29076" ht="9.9499999999999993" hidden="1" customHeight="1" x14ac:dyDescent="0.2"/>
    <row r="29077" ht="9.9499999999999993" hidden="1" customHeight="1" x14ac:dyDescent="0.2"/>
    <row r="29078" ht="9.9499999999999993" hidden="1" customHeight="1" x14ac:dyDescent="0.2"/>
    <row r="29079" ht="9.9499999999999993" hidden="1" customHeight="1" x14ac:dyDescent="0.2"/>
    <row r="29080" ht="9.9499999999999993" hidden="1" customHeight="1" x14ac:dyDescent="0.2"/>
    <row r="29081" ht="9.9499999999999993" hidden="1" customHeight="1" x14ac:dyDescent="0.2"/>
    <row r="29082" ht="9.9499999999999993" hidden="1" customHeight="1" x14ac:dyDescent="0.2"/>
    <row r="29083" ht="9.9499999999999993" hidden="1" customHeight="1" x14ac:dyDescent="0.2"/>
    <row r="29084" ht="9.9499999999999993" hidden="1" customHeight="1" x14ac:dyDescent="0.2"/>
    <row r="29085" ht="9.9499999999999993" hidden="1" customHeight="1" x14ac:dyDescent="0.2"/>
    <row r="29086" ht="9.9499999999999993" hidden="1" customHeight="1" x14ac:dyDescent="0.2"/>
    <row r="29087" ht="9.9499999999999993" hidden="1" customHeight="1" x14ac:dyDescent="0.2"/>
    <row r="29088" ht="9.9499999999999993" hidden="1" customHeight="1" x14ac:dyDescent="0.2"/>
    <row r="29089" ht="9.9499999999999993" hidden="1" customHeight="1" x14ac:dyDescent="0.2"/>
    <row r="29090" ht="9.9499999999999993" hidden="1" customHeight="1" x14ac:dyDescent="0.2"/>
    <row r="29091" ht="9.9499999999999993" hidden="1" customHeight="1" x14ac:dyDescent="0.2"/>
    <row r="29092" ht="9.9499999999999993" hidden="1" customHeight="1" x14ac:dyDescent="0.2"/>
    <row r="29093" ht="9.9499999999999993" hidden="1" customHeight="1" x14ac:dyDescent="0.2"/>
    <row r="29094" ht="9.9499999999999993" hidden="1" customHeight="1" x14ac:dyDescent="0.2"/>
    <row r="29095" ht="9.9499999999999993" hidden="1" customHeight="1" x14ac:dyDescent="0.2"/>
    <row r="29096" ht="9.9499999999999993" hidden="1" customHeight="1" x14ac:dyDescent="0.2"/>
    <row r="29097" ht="9.9499999999999993" hidden="1" customHeight="1" x14ac:dyDescent="0.2"/>
    <row r="29098" ht="9.9499999999999993" hidden="1" customHeight="1" x14ac:dyDescent="0.2"/>
    <row r="29099" ht="9.9499999999999993" hidden="1" customHeight="1" x14ac:dyDescent="0.2"/>
    <row r="29100" ht="9.9499999999999993" hidden="1" customHeight="1" x14ac:dyDescent="0.2"/>
    <row r="29101" ht="9.9499999999999993" hidden="1" customHeight="1" x14ac:dyDescent="0.2"/>
    <row r="29102" ht="9.9499999999999993" hidden="1" customHeight="1" x14ac:dyDescent="0.2"/>
    <row r="29103" ht="9.9499999999999993" hidden="1" customHeight="1" x14ac:dyDescent="0.2"/>
    <row r="29104" ht="9.9499999999999993" hidden="1" customHeight="1" x14ac:dyDescent="0.2"/>
    <row r="29105" ht="9.9499999999999993" hidden="1" customHeight="1" x14ac:dyDescent="0.2"/>
    <row r="29106" ht="9.9499999999999993" hidden="1" customHeight="1" x14ac:dyDescent="0.2"/>
    <row r="29107" ht="9.9499999999999993" hidden="1" customHeight="1" x14ac:dyDescent="0.2"/>
    <row r="29108" ht="9.9499999999999993" hidden="1" customHeight="1" x14ac:dyDescent="0.2"/>
    <row r="29109" ht="9.9499999999999993" hidden="1" customHeight="1" x14ac:dyDescent="0.2"/>
    <row r="29110" ht="9.9499999999999993" hidden="1" customHeight="1" x14ac:dyDescent="0.2"/>
    <row r="29111" ht="9.9499999999999993" hidden="1" customHeight="1" x14ac:dyDescent="0.2"/>
    <row r="29112" ht="9.9499999999999993" hidden="1" customHeight="1" x14ac:dyDescent="0.2"/>
    <row r="29113" ht="9.9499999999999993" hidden="1" customHeight="1" x14ac:dyDescent="0.2"/>
    <row r="29114" ht="9.9499999999999993" hidden="1" customHeight="1" x14ac:dyDescent="0.2"/>
    <row r="29115" ht="9.9499999999999993" hidden="1" customHeight="1" x14ac:dyDescent="0.2"/>
    <row r="29116" ht="9.9499999999999993" hidden="1" customHeight="1" x14ac:dyDescent="0.2"/>
    <row r="29117" ht="9.9499999999999993" hidden="1" customHeight="1" x14ac:dyDescent="0.2"/>
    <row r="29118" ht="9.9499999999999993" hidden="1" customHeight="1" x14ac:dyDescent="0.2"/>
    <row r="29119" ht="9.9499999999999993" hidden="1" customHeight="1" x14ac:dyDescent="0.2"/>
    <row r="29120" ht="9.9499999999999993" hidden="1" customHeight="1" x14ac:dyDescent="0.2"/>
    <row r="29121" ht="9.9499999999999993" hidden="1" customHeight="1" x14ac:dyDescent="0.2"/>
    <row r="29122" ht="9.9499999999999993" hidden="1" customHeight="1" x14ac:dyDescent="0.2"/>
    <row r="29123" ht="9.9499999999999993" hidden="1" customHeight="1" x14ac:dyDescent="0.2"/>
    <row r="29124" ht="9.9499999999999993" hidden="1" customHeight="1" x14ac:dyDescent="0.2"/>
    <row r="29125" ht="9.9499999999999993" hidden="1" customHeight="1" x14ac:dyDescent="0.2"/>
    <row r="29126" ht="9.9499999999999993" hidden="1" customHeight="1" x14ac:dyDescent="0.2"/>
    <row r="29127" ht="9.9499999999999993" hidden="1" customHeight="1" x14ac:dyDescent="0.2"/>
    <row r="29128" ht="9.9499999999999993" hidden="1" customHeight="1" x14ac:dyDescent="0.2"/>
    <row r="29129" ht="9.9499999999999993" hidden="1" customHeight="1" x14ac:dyDescent="0.2"/>
    <row r="29130" ht="9.9499999999999993" hidden="1" customHeight="1" x14ac:dyDescent="0.2"/>
    <row r="29131" ht="9.9499999999999993" hidden="1" customHeight="1" x14ac:dyDescent="0.2"/>
    <row r="29132" ht="9.9499999999999993" hidden="1" customHeight="1" x14ac:dyDescent="0.2"/>
    <row r="29133" ht="9.9499999999999993" hidden="1" customHeight="1" x14ac:dyDescent="0.2"/>
    <row r="29134" ht="9.9499999999999993" hidden="1" customHeight="1" x14ac:dyDescent="0.2"/>
    <row r="29135" ht="9.9499999999999993" hidden="1" customHeight="1" x14ac:dyDescent="0.2"/>
    <row r="29136" ht="9.9499999999999993" hidden="1" customHeight="1" x14ac:dyDescent="0.2"/>
    <row r="29137" ht="9.9499999999999993" hidden="1" customHeight="1" x14ac:dyDescent="0.2"/>
    <row r="29138" ht="9.9499999999999993" hidden="1" customHeight="1" x14ac:dyDescent="0.2"/>
    <row r="29139" ht="9.9499999999999993" hidden="1" customHeight="1" x14ac:dyDescent="0.2"/>
    <row r="29140" ht="9.9499999999999993" hidden="1" customHeight="1" x14ac:dyDescent="0.2"/>
    <row r="29141" ht="9.9499999999999993" hidden="1" customHeight="1" x14ac:dyDescent="0.2"/>
    <row r="29142" ht="9.9499999999999993" hidden="1" customHeight="1" x14ac:dyDescent="0.2"/>
    <row r="29143" ht="9.9499999999999993" hidden="1" customHeight="1" x14ac:dyDescent="0.2"/>
    <row r="29144" ht="9.9499999999999993" hidden="1" customHeight="1" x14ac:dyDescent="0.2"/>
    <row r="29145" ht="9.9499999999999993" hidden="1" customHeight="1" x14ac:dyDescent="0.2"/>
    <row r="29146" ht="9.9499999999999993" hidden="1" customHeight="1" x14ac:dyDescent="0.2"/>
    <row r="29147" ht="9.9499999999999993" hidden="1" customHeight="1" x14ac:dyDescent="0.2"/>
    <row r="29148" ht="9.9499999999999993" hidden="1" customHeight="1" x14ac:dyDescent="0.2"/>
    <row r="29149" ht="9.9499999999999993" hidden="1" customHeight="1" x14ac:dyDescent="0.2"/>
    <row r="29150" ht="9.9499999999999993" hidden="1" customHeight="1" x14ac:dyDescent="0.2"/>
    <row r="29151" ht="9.9499999999999993" hidden="1" customHeight="1" x14ac:dyDescent="0.2"/>
    <row r="29152" ht="9.9499999999999993" hidden="1" customHeight="1" x14ac:dyDescent="0.2"/>
    <row r="29153" ht="9.9499999999999993" hidden="1" customHeight="1" x14ac:dyDescent="0.2"/>
    <row r="29154" ht="9.9499999999999993" hidden="1" customHeight="1" x14ac:dyDescent="0.2"/>
    <row r="29155" ht="9.9499999999999993" hidden="1" customHeight="1" x14ac:dyDescent="0.2"/>
    <row r="29156" ht="9.9499999999999993" hidden="1" customHeight="1" x14ac:dyDescent="0.2"/>
    <row r="29157" ht="9.9499999999999993" hidden="1" customHeight="1" x14ac:dyDescent="0.2"/>
    <row r="29158" ht="9.9499999999999993" hidden="1" customHeight="1" x14ac:dyDescent="0.2"/>
    <row r="29159" ht="9.9499999999999993" hidden="1" customHeight="1" x14ac:dyDescent="0.2"/>
    <row r="29160" ht="9.9499999999999993" hidden="1" customHeight="1" x14ac:dyDescent="0.2"/>
    <row r="29161" ht="9.9499999999999993" hidden="1" customHeight="1" x14ac:dyDescent="0.2"/>
    <row r="29162" ht="9.9499999999999993" hidden="1" customHeight="1" x14ac:dyDescent="0.2"/>
    <row r="29163" ht="9.9499999999999993" hidden="1" customHeight="1" x14ac:dyDescent="0.2"/>
    <row r="29164" ht="9.9499999999999993" hidden="1" customHeight="1" x14ac:dyDescent="0.2"/>
    <row r="29165" ht="9.9499999999999993" hidden="1" customHeight="1" x14ac:dyDescent="0.2"/>
    <row r="29166" ht="9.9499999999999993" hidden="1" customHeight="1" x14ac:dyDescent="0.2"/>
    <row r="29167" ht="9.9499999999999993" hidden="1" customHeight="1" x14ac:dyDescent="0.2"/>
    <row r="29168" ht="9.9499999999999993" hidden="1" customHeight="1" x14ac:dyDescent="0.2"/>
    <row r="29169" ht="9.9499999999999993" hidden="1" customHeight="1" x14ac:dyDescent="0.2"/>
    <row r="29170" ht="9.9499999999999993" hidden="1" customHeight="1" x14ac:dyDescent="0.2"/>
    <row r="29171" ht="9.9499999999999993" hidden="1" customHeight="1" x14ac:dyDescent="0.2"/>
    <row r="29172" ht="9.9499999999999993" hidden="1" customHeight="1" x14ac:dyDescent="0.2"/>
    <row r="29173" ht="9.9499999999999993" hidden="1" customHeight="1" x14ac:dyDescent="0.2"/>
    <row r="29174" ht="9.9499999999999993" hidden="1" customHeight="1" x14ac:dyDescent="0.2"/>
    <row r="29175" ht="9.9499999999999993" hidden="1" customHeight="1" x14ac:dyDescent="0.2"/>
    <row r="29176" ht="9.9499999999999993" hidden="1" customHeight="1" x14ac:dyDescent="0.2"/>
    <row r="29177" ht="9.9499999999999993" hidden="1" customHeight="1" x14ac:dyDescent="0.2"/>
    <row r="29178" ht="9.9499999999999993" hidden="1" customHeight="1" x14ac:dyDescent="0.2"/>
    <row r="29179" ht="9.9499999999999993" hidden="1" customHeight="1" x14ac:dyDescent="0.2"/>
    <row r="29180" ht="9.9499999999999993" hidden="1" customHeight="1" x14ac:dyDescent="0.2"/>
    <row r="29181" ht="9.9499999999999993" hidden="1" customHeight="1" x14ac:dyDescent="0.2"/>
    <row r="29182" ht="9.9499999999999993" hidden="1" customHeight="1" x14ac:dyDescent="0.2"/>
    <row r="29183" ht="9.9499999999999993" hidden="1" customHeight="1" x14ac:dyDescent="0.2"/>
    <row r="29184" ht="9.9499999999999993" hidden="1" customHeight="1" x14ac:dyDescent="0.2"/>
    <row r="29185" ht="9.9499999999999993" hidden="1" customHeight="1" x14ac:dyDescent="0.2"/>
    <row r="29186" ht="9.9499999999999993" hidden="1" customHeight="1" x14ac:dyDescent="0.2"/>
    <row r="29187" ht="9.9499999999999993" hidden="1" customHeight="1" x14ac:dyDescent="0.2"/>
    <row r="29188" ht="9.9499999999999993" hidden="1" customHeight="1" x14ac:dyDescent="0.2"/>
    <row r="29189" ht="9.9499999999999993" hidden="1" customHeight="1" x14ac:dyDescent="0.2"/>
    <row r="29190" ht="9.9499999999999993" hidden="1" customHeight="1" x14ac:dyDescent="0.2"/>
    <row r="29191" ht="9.9499999999999993" hidden="1" customHeight="1" x14ac:dyDescent="0.2"/>
    <row r="29192" ht="9.9499999999999993" hidden="1" customHeight="1" x14ac:dyDescent="0.2"/>
    <row r="29193" ht="9.9499999999999993" hidden="1" customHeight="1" x14ac:dyDescent="0.2"/>
    <row r="29194" ht="9.9499999999999993" hidden="1" customHeight="1" x14ac:dyDescent="0.2"/>
    <row r="29195" ht="9.9499999999999993" hidden="1" customHeight="1" x14ac:dyDescent="0.2"/>
    <row r="29196" ht="9.9499999999999993" hidden="1" customHeight="1" x14ac:dyDescent="0.2"/>
    <row r="29197" ht="9.9499999999999993" hidden="1" customHeight="1" x14ac:dyDescent="0.2"/>
    <row r="29198" ht="9.9499999999999993" hidden="1" customHeight="1" x14ac:dyDescent="0.2"/>
    <row r="29199" ht="9.9499999999999993" hidden="1" customHeight="1" x14ac:dyDescent="0.2"/>
    <row r="29200" ht="9.9499999999999993" hidden="1" customHeight="1" x14ac:dyDescent="0.2"/>
    <row r="29201" ht="9.9499999999999993" hidden="1" customHeight="1" x14ac:dyDescent="0.2"/>
    <row r="29202" ht="9.9499999999999993" hidden="1" customHeight="1" x14ac:dyDescent="0.2"/>
    <row r="29203" ht="9.9499999999999993" hidden="1" customHeight="1" x14ac:dyDescent="0.2"/>
    <row r="29204" ht="9.9499999999999993" hidden="1" customHeight="1" x14ac:dyDescent="0.2"/>
    <row r="29205" ht="9.9499999999999993" hidden="1" customHeight="1" x14ac:dyDescent="0.2"/>
    <row r="29206" ht="9.9499999999999993" hidden="1" customHeight="1" x14ac:dyDescent="0.2"/>
    <row r="29207" ht="9.9499999999999993" hidden="1" customHeight="1" x14ac:dyDescent="0.2"/>
    <row r="29208" ht="9.9499999999999993" hidden="1" customHeight="1" x14ac:dyDescent="0.2"/>
    <row r="29209" ht="9.9499999999999993" hidden="1" customHeight="1" x14ac:dyDescent="0.2"/>
    <row r="29210" ht="9.9499999999999993" hidden="1" customHeight="1" x14ac:dyDescent="0.2"/>
    <row r="29211" ht="9.9499999999999993" hidden="1" customHeight="1" x14ac:dyDescent="0.2"/>
    <row r="29212" ht="9.9499999999999993" hidden="1" customHeight="1" x14ac:dyDescent="0.2"/>
    <row r="29213" ht="9.9499999999999993" hidden="1" customHeight="1" x14ac:dyDescent="0.2"/>
    <row r="29214" ht="9.9499999999999993" hidden="1" customHeight="1" x14ac:dyDescent="0.2"/>
    <row r="29215" ht="9.9499999999999993" hidden="1" customHeight="1" x14ac:dyDescent="0.2"/>
    <row r="29216" ht="9.9499999999999993" hidden="1" customHeight="1" x14ac:dyDescent="0.2"/>
    <row r="29217" ht="9.9499999999999993" hidden="1" customHeight="1" x14ac:dyDescent="0.2"/>
    <row r="29218" ht="9.9499999999999993" hidden="1" customHeight="1" x14ac:dyDescent="0.2"/>
    <row r="29219" ht="9.9499999999999993" hidden="1" customHeight="1" x14ac:dyDescent="0.2"/>
    <row r="29220" ht="9.9499999999999993" hidden="1" customHeight="1" x14ac:dyDescent="0.2"/>
    <row r="29221" ht="9.9499999999999993" hidden="1" customHeight="1" x14ac:dyDescent="0.2"/>
    <row r="29222" ht="9.9499999999999993" hidden="1" customHeight="1" x14ac:dyDescent="0.2"/>
    <row r="29223" ht="9.9499999999999993" hidden="1" customHeight="1" x14ac:dyDescent="0.2"/>
    <row r="29224" ht="9.9499999999999993" hidden="1" customHeight="1" x14ac:dyDescent="0.2"/>
    <row r="29225" ht="9.9499999999999993" hidden="1" customHeight="1" x14ac:dyDescent="0.2"/>
    <row r="29226" ht="9.9499999999999993" hidden="1" customHeight="1" x14ac:dyDescent="0.2"/>
    <row r="29227" ht="9.9499999999999993" hidden="1" customHeight="1" x14ac:dyDescent="0.2"/>
    <row r="29228" ht="9.9499999999999993" hidden="1" customHeight="1" x14ac:dyDescent="0.2"/>
    <row r="29229" ht="9.9499999999999993" hidden="1" customHeight="1" x14ac:dyDescent="0.2"/>
    <row r="29230" ht="9.9499999999999993" hidden="1" customHeight="1" x14ac:dyDescent="0.2"/>
    <row r="29231" ht="9.9499999999999993" hidden="1" customHeight="1" x14ac:dyDescent="0.2"/>
    <row r="29232" ht="9.9499999999999993" hidden="1" customHeight="1" x14ac:dyDescent="0.2"/>
    <row r="29233" ht="9.9499999999999993" hidden="1" customHeight="1" x14ac:dyDescent="0.2"/>
    <row r="29234" ht="9.9499999999999993" hidden="1" customHeight="1" x14ac:dyDescent="0.2"/>
    <row r="29235" ht="9.9499999999999993" hidden="1" customHeight="1" x14ac:dyDescent="0.2"/>
    <row r="29236" ht="9.9499999999999993" hidden="1" customHeight="1" x14ac:dyDescent="0.2"/>
    <row r="29237" ht="9.9499999999999993" hidden="1" customHeight="1" x14ac:dyDescent="0.2"/>
    <row r="29238" ht="9.9499999999999993" hidden="1" customHeight="1" x14ac:dyDescent="0.2"/>
    <row r="29239" ht="9.9499999999999993" hidden="1" customHeight="1" x14ac:dyDescent="0.2"/>
    <row r="29240" ht="9.9499999999999993" hidden="1" customHeight="1" x14ac:dyDescent="0.2"/>
    <row r="29241" ht="9.9499999999999993" hidden="1" customHeight="1" x14ac:dyDescent="0.2"/>
    <row r="29242" ht="9.9499999999999993" hidden="1" customHeight="1" x14ac:dyDescent="0.2"/>
    <row r="29243" ht="9.9499999999999993" hidden="1" customHeight="1" x14ac:dyDescent="0.2"/>
    <row r="29244" ht="9.9499999999999993" hidden="1" customHeight="1" x14ac:dyDescent="0.2"/>
    <row r="29245" ht="9.9499999999999993" hidden="1" customHeight="1" x14ac:dyDescent="0.2"/>
    <row r="29246" ht="9.9499999999999993" hidden="1" customHeight="1" x14ac:dyDescent="0.2"/>
    <row r="29247" ht="9.9499999999999993" hidden="1" customHeight="1" x14ac:dyDescent="0.2"/>
    <row r="29248" ht="9.9499999999999993" hidden="1" customHeight="1" x14ac:dyDescent="0.2"/>
    <row r="29249" ht="9.9499999999999993" hidden="1" customHeight="1" x14ac:dyDescent="0.2"/>
    <row r="29250" ht="9.9499999999999993" hidden="1" customHeight="1" x14ac:dyDescent="0.2"/>
    <row r="29251" ht="9.9499999999999993" hidden="1" customHeight="1" x14ac:dyDescent="0.2"/>
    <row r="29252" ht="9.9499999999999993" hidden="1" customHeight="1" x14ac:dyDescent="0.2"/>
    <row r="29253" ht="9.9499999999999993" hidden="1" customHeight="1" x14ac:dyDescent="0.2"/>
    <row r="29254" ht="9.9499999999999993" hidden="1" customHeight="1" x14ac:dyDescent="0.2"/>
    <row r="29255" ht="9.9499999999999993" hidden="1" customHeight="1" x14ac:dyDescent="0.2"/>
    <row r="29256" ht="9.9499999999999993" hidden="1" customHeight="1" x14ac:dyDescent="0.2"/>
    <row r="29257" ht="9.9499999999999993" hidden="1" customHeight="1" x14ac:dyDescent="0.2"/>
    <row r="29258" ht="9.9499999999999993" hidden="1" customHeight="1" x14ac:dyDescent="0.2"/>
    <row r="29259" ht="9.9499999999999993" hidden="1" customHeight="1" x14ac:dyDescent="0.2"/>
    <row r="29260" ht="9.9499999999999993" hidden="1" customHeight="1" x14ac:dyDescent="0.2"/>
    <row r="29261" ht="9.9499999999999993" hidden="1" customHeight="1" x14ac:dyDescent="0.2"/>
    <row r="29262" ht="9.9499999999999993" hidden="1" customHeight="1" x14ac:dyDescent="0.2"/>
    <row r="29263" ht="9.9499999999999993" hidden="1" customHeight="1" x14ac:dyDescent="0.2"/>
    <row r="29264" ht="9.9499999999999993" hidden="1" customHeight="1" x14ac:dyDescent="0.2"/>
    <row r="29265" ht="9.9499999999999993" hidden="1" customHeight="1" x14ac:dyDescent="0.2"/>
    <row r="29266" ht="9.9499999999999993" hidden="1" customHeight="1" x14ac:dyDescent="0.2"/>
    <row r="29267" ht="9.9499999999999993" hidden="1" customHeight="1" x14ac:dyDescent="0.2"/>
    <row r="29268" ht="9.9499999999999993" hidden="1" customHeight="1" x14ac:dyDescent="0.2"/>
    <row r="29269" ht="9.9499999999999993" hidden="1" customHeight="1" x14ac:dyDescent="0.2"/>
    <row r="29270" ht="9.9499999999999993" hidden="1" customHeight="1" x14ac:dyDescent="0.2"/>
    <row r="29271" ht="9.9499999999999993" hidden="1" customHeight="1" x14ac:dyDescent="0.2"/>
    <row r="29272" ht="9.9499999999999993" hidden="1" customHeight="1" x14ac:dyDescent="0.2"/>
    <row r="29273" ht="9.9499999999999993" hidden="1" customHeight="1" x14ac:dyDescent="0.2"/>
    <row r="29274" ht="9.9499999999999993" hidden="1" customHeight="1" x14ac:dyDescent="0.2"/>
    <row r="29275" ht="9.9499999999999993" hidden="1" customHeight="1" x14ac:dyDescent="0.2"/>
    <row r="29276" ht="9.9499999999999993" hidden="1" customHeight="1" x14ac:dyDescent="0.2"/>
    <row r="29277" ht="9.9499999999999993" hidden="1" customHeight="1" x14ac:dyDescent="0.2"/>
    <row r="29278" ht="9.9499999999999993" hidden="1" customHeight="1" x14ac:dyDescent="0.2"/>
    <row r="29279" ht="9.9499999999999993" hidden="1" customHeight="1" x14ac:dyDescent="0.2"/>
    <row r="29280" ht="9.9499999999999993" hidden="1" customHeight="1" x14ac:dyDescent="0.2"/>
    <row r="29281" ht="9.9499999999999993" hidden="1" customHeight="1" x14ac:dyDescent="0.2"/>
    <row r="29282" ht="9.9499999999999993" hidden="1" customHeight="1" x14ac:dyDescent="0.2"/>
    <row r="29283" ht="9.9499999999999993" hidden="1" customHeight="1" x14ac:dyDescent="0.2"/>
    <row r="29284" ht="9.9499999999999993" hidden="1" customHeight="1" x14ac:dyDescent="0.2"/>
    <row r="29285" ht="9.9499999999999993" hidden="1" customHeight="1" x14ac:dyDescent="0.2"/>
    <row r="29286" ht="9.9499999999999993" hidden="1" customHeight="1" x14ac:dyDescent="0.2"/>
    <row r="29287" ht="9.9499999999999993" hidden="1" customHeight="1" x14ac:dyDescent="0.2"/>
    <row r="29288" ht="9.9499999999999993" hidden="1" customHeight="1" x14ac:dyDescent="0.2"/>
    <row r="29289" ht="9.9499999999999993" hidden="1" customHeight="1" x14ac:dyDescent="0.2"/>
    <row r="29290" ht="9.9499999999999993" hidden="1" customHeight="1" x14ac:dyDescent="0.2"/>
    <row r="29291" ht="9.9499999999999993" hidden="1" customHeight="1" x14ac:dyDescent="0.2"/>
    <row r="29292" ht="9.9499999999999993" hidden="1" customHeight="1" x14ac:dyDescent="0.2"/>
    <row r="29293" ht="9.9499999999999993" hidden="1" customHeight="1" x14ac:dyDescent="0.2"/>
    <row r="29294" ht="9.9499999999999993" hidden="1" customHeight="1" x14ac:dyDescent="0.2"/>
    <row r="29295" ht="9.9499999999999993" hidden="1" customHeight="1" x14ac:dyDescent="0.2"/>
    <row r="29296" ht="9.9499999999999993" hidden="1" customHeight="1" x14ac:dyDescent="0.2"/>
    <row r="29297" ht="9.9499999999999993" hidden="1" customHeight="1" x14ac:dyDescent="0.2"/>
    <row r="29298" ht="9.9499999999999993" hidden="1" customHeight="1" x14ac:dyDescent="0.2"/>
    <row r="29299" ht="9.9499999999999993" hidden="1" customHeight="1" x14ac:dyDescent="0.2"/>
    <row r="29300" ht="9.9499999999999993" hidden="1" customHeight="1" x14ac:dyDescent="0.2"/>
    <row r="29301" ht="9.9499999999999993" hidden="1" customHeight="1" x14ac:dyDescent="0.2"/>
    <row r="29302" ht="9.9499999999999993" hidden="1" customHeight="1" x14ac:dyDescent="0.2"/>
    <row r="29303" ht="9.9499999999999993" hidden="1" customHeight="1" x14ac:dyDescent="0.2"/>
    <row r="29304" ht="9.9499999999999993" hidden="1" customHeight="1" x14ac:dyDescent="0.2"/>
    <row r="29305" ht="9.9499999999999993" hidden="1" customHeight="1" x14ac:dyDescent="0.2"/>
    <row r="29306" ht="9.9499999999999993" hidden="1" customHeight="1" x14ac:dyDescent="0.2"/>
    <row r="29307" ht="9.9499999999999993" hidden="1" customHeight="1" x14ac:dyDescent="0.2"/>
    <row r="29308" ht="9.9499999999999993" hidden="1" customHeight="1" x14ac:dyDescent="0.2"/>
    <row r="29309" ht="9.9499999999999993" hidden="1" customHeight="1" x14ac:dyDescent="0.2"/>
    <row r="29310" ht="9.9499999999999993" hidden="1" customHeight="1" x14ac:dyDescent="0.2"/>
    <row r="29311" ht="9.9499999999999993" hidden="1" customHeight="1" x14ac:dyDescent="0.2"/>
    <row r="29312" ht="9.9499999999999993" hidden="1" customHeight="1" x14ac:dyDescent="0.2"/>
    <row r="29313" ht="9.9499999999999993" hidden="1" customHeight="1" x14ac:dyDescent="0.2"/>
    <row r="29314" ht="9.9499999999999993" hidden="1" customHeight="1" x14ac:dyDescent="0.2"/>
    <row r="29315" ht="9.9499999999999993" hidden="1" customHeight="1" x14ac:dyDescent="0.2"/>
    <row r="29316" ht="9.9499999999999993" hidden="1" customHeight="1" x14ac:dyDescent="0.2"/>
    <row r="29317" ht="9.9499999999999993" hidden="1" customHeight="1" x14ac:dyDescent="0.2"/>
    <row r="29318" ht="9.9499999999999993" hidden="1" customHeight="1" x14ac:dyDescent="0.2"/>
    <row r="29319" ht="9.9499999999999993" hidden="1" customHeight="1" x14ac:dyDescent="0.2"/>
    <row r="29320" ht="9.9499999999999993" hidden="1" customHeight="1" x14ac:dyDescent="0.2"/>
    <row r="29321" ht="9.9499999999999993" hidden="1" customHeight="1" x14ac:dyDescent="0.2"/>
    <row r="29322" ht="9.9499999999999993" hidden="1" customHeight="1" x14ac:dyDescent="0.2"/>
    <row r="29323" ht="9.9499999999999993" hidden="1" customHeight="1" x14ac:dyDescent="0.2"/>
    <row r="29324" ht="9.9499999999999993" hidden="1" customHeight="1" x14ac:dyDescent="0.2"/>
    <row r="29325" ht="9.9499999999999993" hidden="1" customHeight="1" x14ac:dyDescent="0.2"/>
    <row r="29326" ht="9.9499999999999993" hidden="1" customHeight="1" x14ac:dyDescent="0.2"/>
    <row r="29327" ht="9.9499999999999993" hidden="1" customHeight="1" x14ac:dyDescent="0.2"/>
    <row r="29328" ht="9.9499999999999993" hidden="1" customHeight="1" x14ac:dyDescent="0.2"/>
    <row r="29329" ht="9.9499999999999993" hidden="1" customHeight="1" x14ac:dyDescent="0.2"/>
    <row r="29330" ht="9.9499999999999993" hidden="1" customHeight="1" x14ac:dyDescent="0.2"/>
    <row r="29331" ht="9.9499999999999993" hidden="1" customHeight="1" x14ac:dyDescent="0.2"/>
    <row r="29332" ht="9.9499999999999993" hidden="1" customHeight="1" x14ac:dyDescent="0.2"/>
    <row r="29333" ht="9.9499999999999993" hidden="1" customHeight="1" x14ac:dyDescent="0.2"/>
    <row r="29334" ht="9.9499999999999993" hidden="1" customHeight="1" x14ac:dyDescent="0.2"/>
    <row r="29335" ht="9.9499999999999993" hidden="1" customHeight="1" x14ac:dyDescent="0.2"/>
    <row r="29336" ht="9.9499999999999993" hidden="1" customHeight="1" x14ac:dyDescent="0.2"/>
    <row r="29337" ht="9.9499999999999993" hidden="1" customHeight="1" x14ac:dyDescent="0.2"/>
    <row r="29338" ht="9.9499999999999993" hidden="1" customHeight="1" x14ac:dyDescent="0.2"/>
    <row r="29339" ht="9.9499999999999993" hidden="1" customHeight="1" x14ac:dyDescent="0.2"/>
    <row r="29340" ht="9.9499999999999993" hidden="1" customHeight="1" x14ac:dyDescent="0.2"/>
    <row r="29341" ht="9.9499999999999993" hidden="1" customHeight="1" x14ac:dyDescent="0.2"/>
    <row r="29342" ht="9.9499999999999993" hidden="1" customHeight="1" x14ac:dyDescent="0.2"/>
    <row r="29343" ht="9.9499999999999993" hidden="1" customHeight="1" x14ac:dyDescent="0.2"/>
    <row r="29344" ht="9.9499999999999993" hidden="1" customHeight="1" x14ac:dyDescent="0.2"/>
    <row r="29345" ht="9.9499999999999993" hidden="1" customHeight="1" x14ac:dyDescent="0.2"/>
    <row r="29346" ht="9.9499999999999993" hidden="1" customHeight="1" x14ac:dyDescent="0.2"/>
    <row r="29347" ht="9.9499999999999993" hidden="1" customHeight="1" x14ac:dyDescent="0.2"/>
    <row r="29348" ht="9.9499999999999993" hidden="1" customHeight="1" x14ac:dyDescent="0.2"/>
    <row r="29349" ht="9.9499999999999993" hidden="1" customHeight="1" x14ac:dyDescent="0.2"/>
    <row r="29350" ht="9.9499999999999993" hidden="1" customHeight="1" x14ac:dyDescent="0.2"/>
    <row r="29351" ht="9.9499999999999993" hidden="1" customHeight="1" x14ac:dyDescent="0.2"/>
    <row r="29352" ht="9.9499999999999993" hidden="1" customHeight="1" x14ac:dyDescent="0.2"/>
    <row r="29353" ht="9.9499999999999993" hidden="1" customHeight="1" x14ac:dyDescent="0.2"/>
    <row r="29354" ht="9.9499999999999993" hidden="1" customHeight="1" x14ac:dyDescent="0.2"/>
    <row r="29355" ht="9.9499999999999993" hidden="1" customHeight="1" x14ac:dyDescent="0.2"/>
    <row r="29356" ht="9.9499999999999993" hidden="1" customHeight="1" x14ac:dyDescent="0.2"/>
    <row r="29357" ht="9.9499999999999993" hidden="1" customHeight="1" x14ac:dyDescent="0.2"/>
    <row r="29358" ht="9.9499999999999993" hidden="1" customHeight="1" x14ac:dyDescent="0.2"/>
    <row r="29359" ht="9.9499999999999993" hidden="1" customHeight="1" x14ac:dyDescent="0.2"/>
    <row r="29360" ht="9.9499999999999993" hidden="1" customHeight="1" x14ac:dyDescent="0.2"/>
    <row r="29361" ht="9.9499999999999993" hidden="1" customHeight="1" x14ac:dyDescent="0.2"/>
    <row r="29362" ht="9.9499999999999993" hidden="1" customHeight="1" x14ac:dyDescent="0.2"/>
    <row r="29363" ht="9.9499999999999993" hidden="1" customHeight="1" x14ac:dyDescent="0.2"/>
    <row r="29364" ht="9.9499999999999993" hidden="1" customHeight="1" x14ac:dyDescent="0.2"/>
    <row r="29365" ht="9.9499999999999993" hidden="1" customHeight="1" x14ac:dyDescent="0.2"/>
    <row r="29366" ht="9.9499999999999993" hidden="1" customHeight="1" x14ac:dyDescent="0.2"/>
    <row r="29367" ht="9.9499999999999993" hidden="1" customHeight="1" x14ac:dyDescent="0.2"/>
    <row r="29368" ht="9.9499999999999993" hidden="1" customHeight="1" x14ac:dyDescent="0.2"/>
    <row r="29369" ht="9.9499999999999993" hidden="1" customHeight="1" x14ac:dyDescent="0.2"/>
    <row r="29370" ht="9.9499999999999993" hidden="1" customHeight="1" x14ac:dyDescent="0.2"/>
    <row r="29371" ht="9.9499999999999993" hidden="1" customHeight="1" x14ac:dyDescent="0.2"/>
    <row r="29372" ht="9.9499999999999993" hidden="1" customHeight="1" x14ac:dyDescent="0.2"/>
    <row r="29373" ht="9.9499999999999993" hidden="1" customHeight="1" x14ac:dyDescent="0.2"/>
    <row r="29374" ht="9.9499999999999993" hidden="1" customHeight="1" x14ac:dyDescent="0.2"/>
    <row r="29375" ht="9.9499999999999993" hidden="1" customHeight="1" x14ac:dyDescent="0.2"/>
    <row r="29376" ht="9.9499999999999993" hidden="1" customHeight="1" x14ac:dyDescent="0.2"/>
    <row r="29377" ht="9.9499999999999993" hidden="1" customHeight="1" x14ac:dyDescent="0.2"/>
    <row r="29378" ht="9.9499999999999993" hidden="1" customHeight="1" x14ac:dyDescent="0.2"/>
    <row r="29379" ht="9.9499999999999993" hidden="1" customHeight="1" x14ac:dyDescent="0.2"/>
    <row r="29380" ht="9.9499999999999993" hidden="1" customHeight="1" x14ac:dyDescent="0.2"/>
    <row r="29381" ht="9.9499999999999993" hidden="1" customHeight="1" x14ac:dyDescent="0.2"/>
    <row r="29382" ht="9.9499999999999993" hidden="1" customHeight="1" x14ac:dyDescent="0.2"/>
    <row r="29383" ht="9.9499999999999993" hidden="1" customHeight="1" x14ac:dyDescent="0.2"/>
    <row r="29384" ht="9.9499999999999993" hidden="1" customHeight="1" x14ac:dyDescent="0.2"/>
    <row r="29385" ht="9.9499999999999993" hidden="1" customHeight="1" x14ac:dyDescent="0.2"/>
    <row r="29386" ht="9.9499999999999993" hidden="1" customHeight="1" x14ac:dyDescent="0.2"/>
    <row r="29387" ht="9.9499999999999993" hidden="1" customHeight="1" x14ac:dyDescent="0.2"/>
    <row r="29388" ht="9.9499999999999993" hidden="1" customHeight="1" x14ac:dyDescent="0.2"/>
    <row r="29389" ht="9.9499999999999993" hidden="1" customHeight="1" x14ac:dyDescent="0.2"/>
    <row r="29390" ht="9.9499999999999993" hidden="1" customHeight="1" x14ac:dyDescent="0.2"/>
    <row r="29391" ht="9.9499999999999993" hidden="1" customHeight="1" x14ac:dyDescent="0.2"/>
    <row r="29392" ht="9.9499999999999993" hidden="1" customHeight="1" x14ac:dyDescent="0.2"/>
    <row r="29393" ht="9.9499999999999993" hidden="1" customHeight="1" x14ac:dyDescent="0.2"/>
    <row r="29394" ht="9.9499999999999993" hidden="1" customHeight="1" x14ac:dyDescent="0.2"/>
    <row r="29395" ht="9.9499999999999993" hidden="1" customHeight="1" x14ac:dyDescent="0.2"/>
    <row r="29396" ht="9.9499999999999993" hidden="1" customHeight="1" x14ac:dyDescent="0.2"/>
    <row r="29397" ht="9.9499999999999993" hidden="1" customHeight="1" x14ac:dyDescent="0.2"/>
    <row r="29398" ht="9.9499999999999993" hidden="1" customHeight="1" x14ac:dyDescent="0.2"/>
    <row r="29399" ht="9.9499999999999993" hidden="1" customHeight="1" x14ac:dyDescent="0.2"/>
    <row r="29400" ht="9.9499999999999993" hidden="1" customHeight="1" x14ac:dyDescent="0.2"/>
    <row r="29401" ht="9.9499999999999993" hidden="1" customHeight="1" x14ac:dyDescent="0.2"/>
    <row r="29402" ht="9.9499999999999993" hidden="1" customHeight="1" x14ac:dyDescent="0.2"/>
    <row r="29403" ht="9.9499999999999993" hidden="1" customHeight="1" x14ac:dyDescent="0.2"/>
    <row r="29404" ht="9.9499999999999993" hidden="1" customHeight="1" x14ac:dyDescent="0.2"/>
    <row r="29405" ht="9.9499999999999993" hidden="1" customHeight="1" x14ac:dyDescent="0.2"/>
    <row r="29406" ht="9.9499999999999993" hidden="1" customHeight="1" x14ac:dyDescent="0.2"/>
    <row r="29407" ht="9.9499999999999993" hidden="1" customHeight="1" x14ac:dyDescent="0.2"/>
    <row r="29408" ht="9.9499999999999993" hidden="1" customHeight="1" x14ac:dyDescent="0.2"/>
    <row r="29409" ht="9.9499999999999993" hidden="1" customHeight="1" x14ac:dyDescent="0.2"/>
    <row r="29410" ht="9.9499999999999993" hidden="1" customHeight="1" x14ac:dyDescent="0.2"/>
    <row r="29411" ht="9.9499999999999993" hidden="1" customHeight="1" x14ac:dyDescent="0.2"/>
    <row r="29412" ht="9.9499999999999993" hidden="1" customHeight="1" x14ac:dyDescent="0.2"/>
    <row r="29413" ht="9.9499999999999993" hidden="1" customHeight="1" x14ac:dyDescent="0.2"/>
    <row r="29414" ht="9.9499999999999993" hidden="1" customHeight="1" x14ac:dyDescent="0.2"/>
    <row r="29415" ht="9.9499999999999993" hidden="1" customHeight="1" x14ac:dyDescent="0.2"/>
    <row r="29416" ht="9.9499999999999993" hidden="1" customHeight="1" x14ac:dyDescent="0.2"/>
    <row r="29417" ht="9.9499999999999993" hidden="1" customHeight="1" x14ac:dyDescent="0.2"/>
    <row r="29418" ht="9.9499999999999993" hidden="1" customHeight="1" x14ac:dyDescent="0.2"/>
    <row r="29419" ht="9.9499999999999993" hidden="1" customHeight="1" x14ac:dyDescent="0.2"/>
    <row r="29420" ht="9.9499999999999993" hidden="1" customHeight="1" x14ac:dyDescent="0.2"/>
    <row r="29421" ht="9.9499999999999993" hidden="1" customHeight="1" x14ac:dyDescent="0.2"/>
    <row r="29422" ht="9.9499999999999993" hidden="1" customHeight="1" x14ac:dyDescent="0.2"/>
    <row r="29423" ht="9.9499999999999993" hidden="1" customHeight="1" x14ac:dyDescent="0.2"/>
    <row r="29424" ht="9.9499999999999993" hidden="1" customHeight="1" x14ac:dyDescent="0.2"/>
    <row r="29425" ht="9.9499999999999993" hidden="1" customHeight="1" x14ac:dyDescent="0.2"/>
    <row r="29426" ht="9.9499999999999993" hidden="1" customHeight="1" x14ac:dyDescent="0.2"/>
    <row r="29427" ht="9.9499999999999993" hidden="1" customHeight="1" x14ac:dyDescent="0.2"/>
    <row r="29428" ht="9.9499999999999993" hidden="1" customHeight="1" x14ac:dyDescent="0.2"/>
    <row r="29429" ht="9.9499999999999993" hidden="1" customHeight="1" x14ac:dyDescent="0.2"/>
    <row r="29430" ht="9.9499999999999993" hidden="1" customHeight="1" x14ac:dyDescent="0.2"/>
    <row r="29431" ht="9.9499999999999993" hidden="1" customHeight="1" x14ac:dyDescent="0.2"/>
    <row r="29432" ht="9.9499999999999993" hidden="1" customHeight="1" x14ac:dyDescent="0.2"/>
    <row r="29433" ht="9.9499999999999993" hidden="1" customHeight="1" x14ac:dyDescent="0.2"/>
    <row r="29434" ht="9.9499999999999993" hidden="1" customHeight="1" x14ac:dyDescent="0.2"/>
    <row r="29435" ht="9.9499999999999993" hidden="1" customHeight="1" x14ac:dyDescent="0.2"/>
    <row r="29436" ht="9.9499999999999993" hidden="1" customHeight="1" x14ac:dyDescent="0.2"/>
    <row r="29437" ht="9.9499999999999993" hidden="1" customHeight="1" x14ac:dyDescent="0.2"/>
    <row r="29438" ht="9.9499999999999993" hidden="1" customHeight="1" x14ac:dyDescent="0.2"/>
    <row r="29439" ht="9.9499999999999993" hidden="1" customHeight="1" x14ac:dyDescent="0.2"/>
    <row r="29440" ht="9.9499999999999993" hidden="1" customHeight="1" x14ac:dyDescent="0.2"/>
    <row r="29441" ht="9.9499999999999993" hidden="1" customHeight="1" x14ac:dyDescent="0.2"/>
    <row r="29442" ht="9.9499999999999993" hidden="1" customHeight="1" x14ac:dyDescent="0.2"/>
    <row r="29443" ht="9.9499999999999993" hidden="1" customHeight="1" x14ac:dyDescent="0.2"/>
    <row r="29444" ht="9.9499999999999993" hidden="1" customHeight="1" x14ac:dyDescent="0.2"/>
    <row r="29445" ht="9.9499999999999993" hidden="1" customHeight="1" x14ac:dyDescent="0.2"/>
    <row r="29446" ht="9.9499999999999993" hidden="1" customHeight="1" x14ac:dyDescent="0.2"/>
    <row r="29447" ht="9.9499999999999993" hidden="1" customHeight="1" x14ac:dyDescent="0.2"/>
    <row r="29448" ht="9.9499999999999993" hidden="1" customHeight="1" x14ac:dyDescent="0.2"/>
    <row r="29449" ht="9.9499999999999993" hidden="1" customHeight="1" x14ac:dyDescent="0.2"/>
    <row r="29450" ht="9.9499999999999993" hidden="1" customHeight="1" x14ac:dyDescent="0.2"/>
    <row r="29451" ht="9.9499999999999993" hidden="1" customHeight="1" x14ac:dyDescent="0.2"/>
    <row r="29452" ht="9.9499999999999993" hidden="1" customHeight="1" x14ac:dyDescent="0.2"/>
    <row r="29453" ht="9.9499999999999993" hidden="1" customHeight="1" x14ac:dyDescent="0.2"/>
    <row r="29454" ht="9.9499999999999993" hidden="1" customHeight="1" x14ac:dyDescent="0.2"/>
    <row r="29455" ht="9.9499999999999993" hidden="1" customHeight="1" x14ac:dyDescent="0.2"/>
    <row r="29456" ht="9.9499999999999993" hidden="1" customHeight="1" x14ac:dyDescent="0.2"/>
    <row r="29457" ht="9.9499999999999993" hidden="1" customHeight="1" x14ac:dyDescent="0.2"/>
    <row r="29458" ht="9.9499999999999993" hidden="1" customHeight="1" x14ac:dyDescent="0.2"/>
    <row r="29459" ht="9.9499999999999993" hidden="1" customHeight="1" x14ac:dyDescent="0.2"/>
    <row r="29460" ht="9.9499999999999993" hidden="1" customHeight="1" x14ac:dyDescent="0.2"/>
    <row r="29461" ht="9.9499999999999993" hidden="1" customHeight="1" x14ac:dyDescent="0.2"/>
    <row r="29462" ht="9.9499999999999993" hidden="1" customHeight="1" x14ac:dyDescent="0.2"/>
    <row r="29463" ht="9.9499999999999993" hidden="1" customHeight="1" x14ac:dyDescent="0.2"/>
    <row r="29464" ht="9.9499999999999993" hidden="1" customHeight="1" x14ac:dyDescent="0.2"/>
    <row r="29465" ht="9.9499999999999993" hidden="1" customHeight="1" x14ac:dyDescent="0.2"/>
    <row r="29466" ht="9.9499999999999993" hidden="1" customHeight="1" x14ac:dyDescent="0.2"/>
    <row r="29467" ht="9.9499999999999993" hidden="1" customHeight="1" x14ac:dyDescent="0.2"/>
    <row r="29468" ht="9.9499999999999993" hidden="1" customHeight="1" x14ac:dyDescent="0.2"/>
    <row r="29469" ht="9.9499999999999993" hidden="1" customHeight="1" x14ac:dyDescent="0.2"/>
    <row r="29470" ht="9.9499999999999993" hidden="1" customHeight="1" x14ac:dyDescent="0.2"/>
    <row r="29471" ht="9.9499999999999993" hidden="1" customHeight="1" x14ac:dyDescent="0.2"/>
    <row r="29472" ht="9.9499999999999993" hidden="1" customHeight="1" x14ac:dyDescent="0.2"/>
    <row r="29473" ht="9.9499999999999993" hidden="1" customHeight="1" x14ac:dyDescent="0.2"/>
    <row r="29474" ht="9.9499999999999993" hidden="1" customHeight="1" x14ac:dyDescent="0.2"/>
    <row r="29475" ht="9.9499999999999993" hidden="1" customHeight="1" x14ac:dyDescent="0.2"/>
    <row r="29476" ht="9.9499999999999993" hidden="1" customHeight="1" x14ac:dyDescent="0.2"/>
    <row r="29477" ht="9.9499999999999993" hidden="1" customHeight="1" x14ac:dyDescent="0.2"/>
    <row r="29478" ht="9.9499999999999993" hidden="1" customHeight="1" x14ac:dyDescent="0.2"/>
    <row r="29479" ht="9.9499999999999993" hidden="1" customHeight="1" x14ac:dyDescent="0.2"/>
    <row r="29480" ht="9.9499999999999993" hidden="1" customHeight="1" x14ac:dyDescent="0.2"/>
    <row r="29481" ht="9.9499999999999993" hidden="1" customHeight="1" x14ac:dyDescent="0.2"/>
    <row r="29482" ht="9.9499999999999993" hidden="1" customHeight="1" x14ac:dyDescent="0.2"/>
    <row r="29483" ht="9.9499999999999993" hidden="1" customHeight="1" x14ac:dyDescent="0.2"/>
    <row r="29484" ht="9.9499999999999993" hidden="1" customHeight="1" x14ac:dyDescent="0.2"/>
    <row r="29485" ht="9.9499999999999993" hidden="1" customHeight="1" x14ac:dyDescent="0.2"/>
    <row r="29486" ht="9.9499999999999993" hidden="1" customHeight="1" x14ac:dyDescent="0.2"/>
    <row r="29487" ht="9.9499999999999993" hidden="1" customHeight="1" x14ac:dyDescent="0.2"/>
    <row r="29488" ht="9.9499999999999993" hidden="1" customHeight="1" x14ac:dyDescent="0.2"/>
    <row r="29489" ht="9.9499999999999993" hidden="1" customHeight="1" x14ac:dyDescent="0.2"/>
    <row r="29490" ht="9.9499999999999993" hidden="1" customHeight="1" x14ac:dyDescent="0.2"/>
    <row r="29491" ht="9.9499999999999993" hidden="1" customHeight="1" x14ac:dyDescent="0.2"/>
    <row r="29492" ht="9.9499999999999993" hidden="1" customHeight="1" x14ac:dyDescent="0.2"/>
    <row r="29493" ht="9.9499999999999993" hidden="1" customHeight="1" x14ac:dyDescent="0.2"/>
    <row r="29494" ht="9.9499999999999993" hidden="1" customHeight="1" x14ac:dyDescent="0.2"/>
    <row r="29495" ht="9.9499999999999993" hidden="1" customHeight="1" x14ac:dyDescent="0.2"/>
    <row r="29496" ht="9.9499999999999993" hidden="1" customHeight="1" x14ac:dyDescent="0.2"/>
    <row r="29497" ht="9.9499999999999993" hidden="1" customHeight="1" x14ac:dyDescent="0.2"/>
    <row r="29498" ht="9.9499999999999993" hidden="1" customHeight="1" x14ac:dyDescent="0.2"/>
    <row r="29499" ht="9.9499999999999993" hidden="1" customHeight="1" x14ac:dyDescent="0.2"/>
    <row r="29500" ht="9.9499999999999993" hidden="1" customHeight="1" x14ac:dyDescent="0.2"/>
    <row r="29501" ht="9.9499999999999993" hidden="1" customHeight="1" x14ac:dyDescent="0.2"/>
    <row r="29502" ht="9.9499999999999993" hidden="1" customHeight="1" x14ac:dyDescent="0.2"/>
    <row r="29503" ht="9.9499999999999993" hidden="1" customHeight="1" x14ac:dyDescent="0.2"/>
    <row r="29504" ht="9.9499999999999993" hidden="1" customHeight="1" x14ac:dyDescent="0.2"/>
    <row r="29505" ht="9.9499999999999993" hidden="1" customHeight="1" x14ac:dyDescent="0.2"/>
    <row r="29506" ht="9.9499999999999993" hidden="1" customHeight="1" x14ac:dyDescent="0.2"/>
    <row r="29507" ht="9.9499999999999993" hidden="1" customHeight="1" x14ac:dyDescent="0.2"/>
    <row r="29508" ht="9.9499999999999993" hidden="1" customHeight="1" x14ac:dyDescent="0.2"/>
    <row r="29509" ht="9.9499999999999993" hidden="1" customHeight="1" x14ac:dyDescent="0.2"/>
    <row r="29510" ht="9.9499999999999993" hidden="1" customHeight="1" x14ac:dyDescent="0.2"/>
    <row r="29511" ht="9.9499999999999993" hidden="1" customHeight="1" x14ac:dyDescent="0.2"/>
    <row r="29512" ht="9.9499999999999993" hidden="1" customHeight="1" x14ac:dyDescent="0.2"/>
    <row r="29513" ht="9.9499999999999993" hidden="1" customHeight="1" x14ac:dyDescent="0.2"/>
    <row r="29514" ht="9.9499999999999993" hidden="1" customHeight="1" x14ac:dyDescent="0.2"/>
    <row r="29515" ht="9.9499999999999993" hidden="1" customHeight="1" x14ac:dyDescent="0.2"/>
    <row r="29516" ht="9.9499999999999993" hidden="1" customHeight="1" x14ac:dyDescent="0.2"/>
    <row r="29517" ht="9.9499999999999993" hidden="1" customHeight="1" x14ac:dyDescent="0.2"/>
    <row r="29518" ht="9.9499999999999993" hidden="1" customHeight="1" x14ac:dyDescent="0.2"/>
    <row r="29519" ht="9.9499999999999993" hidden="1" customHeight="1" x14ac:dyDescent="0.2"/>
    <row r="29520" ht="9.9499999999999993" hidden="1" customHeight="1" x14ac:dyDescent="0.2"/>
    <row r="29521" ht="9.9499999999999993" hidden="1" customHeight="1" x14ac:dyDescent="0.2"/>
    <row r="29522" ht="9.9499999999999993" hidden="1" customHeight="1" x14ac:dyDescent="0.2"/>
    <row r="29523" ht="9.9499999999999993" hidden="1" customHeight="1" x14ac:dyDescent="0.2"/>
    <row r="29524" ht="9.9499999999999993" hidden="1" customHeight="1" x14ac:dyDescent="0.2"/>
    <row r="29525" ht="9.9499999999999993" hidden="1" customHeight="1" x14ac:dyDescent="0.2"/>
    <row r="29526" ht="9.9499999999999993" hidden="1" customHeight="1" x14ac:dyDescent="0.2"/>
    <row r="29527" ht="9.9499999999999993" hidden="1" customHeight="1" x14ac:dyDescent="0.2"/>
    <row r="29528" ht="9.9499999999999993" hidden="1" customHeight="1" x14ac:dyDescent="0.2"/>
    <row r="29529" ht="9.9499999999999993" hidden="1" customHeight="1" x14ac:dyDescent="0.2"/>
    <row r="29530" ht="9.9499999999999993" hidden="1" customHeight="1" x14ac:dyDescent="0.2"/>
    <row r="29531" ht="9.9499999999999993" hidden="1" customHeight="1" x14ac:dyDescent="0.2"/>
    <row r="29532" ht="9.9499999999999993" hidden="1" customHeight="1" x14ac:dyDescent="0.2"/>
    <row r="29533" ht="9.9499999999999993" hidden="1" customHeight="1" x14ac:dyDescent="0.2"/>
    <row r="29534" ht="9.9499999999999993" hidden="1" customHeight="1" x14ac:dyDescent="0.2"/>
    <row r="29535" ht="9.9499999999999993" hidden="1" customHeight="1" x14ac:dyDescent="0.2"/>
    <row r="29536" ht="9.9499999999999993" hidden="1" customHeight="1" x14ac:dyDescent="0.2"/>
    <row r="29537" ht="9.9499999999999993" hidden="1" customHeight="1" x14ac:dyDescent="0.2"/>
    <row r="29538" ht="9.9499999999999993" hidden="1" customHeight="1" x14ac:dyDescent="0.2"/>
    <row r="29539" ht="9.9499999999999993" hidden="1" customHeight="1" x14ac:dyDescent="0.2"/>
    <row r="29540" ht="9.9499999999999993" hidden="1" customHeight="1" x14ac:dyDescent="0.2"/>
    <row r="29541" ht="9.9499999999999993" hidden="1" customHeight="1" x14ac:dyDescent="0.2"/>
    <row r="29542" ht="9.9499999999999993" hidden="1" customHeight="1" x14ac:dyDescent="0.2"/>
    <row r="29543" ht="9.9499999999999993" hidden="1" customHeight="1" x14ac:dyDescent="0.2"/>
    <row r="29544" ht="9.9499999999999993" hidden="1" customHeight="1" x14ac:dyDescent="0.2"/>
    <row r="29545" ht="9.9499999999999993" hidden="1" customHeight="1" x14ac:dyDescent="0.2"/>
    <row r="29546" ht="9.9499999999999993" hidden="1" customHeight="1" x14ac:dyDescent="0.2"/>
    <row r="29547" ht="9.9499999999999993" hidden="1" customHeight="1" x14ac:dyDescent="0.2"/>
    <row r="29548" ht="9.9499999999999993" hidden="1" customHeight="1" x14ac:dyDescent="0.2"/>
    <row r="29549" ht="9.9499999999999993" hidden="1" customHeight="1" x14ac:dyDescent="0.2"/>
    <row r="29550" ht="9.9499999999999993" hidden="1" customHeight="1" x14ac:dyDescent="0.2"/>
    <row r="29551" ht="9.9499999999999993" hidden="1" customHeight="1" x14ac:dyDescent="0.2"/>
    <row r="29552" ht="9.9499999999999993" hidden="1" customHeight="1" x14ac:dyDescent="0.2"/>
    <row r="29553" ht="9.9499999999999993" hidden="1" customHeight="1" x14ac:dyDescent="0.2"/>
    <row r="29554" ht="9.9499999999999993" hidden="1" customHeight="1" x14ac:dyDescent="0.2"/>
    <row r="29555" ht="9.9499999999999993" hidden="1" customHeight="1" x14ac:dyDescent="0.2"/>
    <row r="29556" ht="9.9499999999999993" hidden="1" customHeight="1" x14ac:dyDescent="0.2"/>
    <row r="29557" ht="9.9499999999999993" hidden="1" customHeight="1" x14ac:dyDescent="0.2"/>
    <row r="29558" ht="9.9499999999999993" hidden="1" customHeight="1" x14ac:dyDescent="0.2"/>
    <row r="29559" ht="9.9499999999999993" hidden="1" customHeight="1" x14ac:dyDescent="0.2"/>
    <row r="29560" ht="9.9499999999999993" hidden="1" customHeight="1" x14ac:dyDescent="0.2"/>
    <row r="29561" ht="9.9499999999999993" hidden="1" customHeight="1" x14ac:dyDescent="0.2"/>
    <row r="29562" ht="9.9499999999999993" hidden="1" customHeight="1" x14ac:dyDescent="0.2"/>
    <row r="29563" ht="9.9499999999999993" hidden="1" customHeight="1" x14ac:dyDescent="0.2"/>
    <row r="29564" ht="9.9499999999999993" hidden="1" customHeight="1" x14ac:dyDescent="0.2"/>
    <row r="29565" ht="9.9499999999999993" hidden="1" customHeight="1" x14ac:dyDescent="0.2"/>
    <row r="29566" ht="9.9499999999999993" hidden="1" customHeight="1" x14ac:dyDescent="0.2"/>
    <row r="29567" ht="9.9499999999999993" hidden="1" customHeight="1" x14ac:dyDescent="0.2"/>
    <row r="29568" ht="9.9499999999999993" hidden="1" customHeight="1" x14ac:dyDescent="0.2"/>
    <row r="29569" ht="9.9499999999999993" hidden="1" customHeight="1" x14ac:dyDescent="0.2"/>
    <row r="29570" ht="9.9499999999999993" hidden="1" customHeight="1" x14ac:dyDescent="0.2"/>
    <row r="29571" ht="9.9499999999999993" hidden="1" customHeight="1" x14ac:dyDescent="0.2"/>
    <row r="29572" ht="9.9499999999999993" hidden="1" customHeight="1" x14ac:dyDescent="0.2"/>
    <row r="29573" ht="9.9499999999999993" hidden="1" customHeight="1" x14ac:dyDescent="0.2"/>
    <row r="29574" ht="9.9499999999999993" hidden="1" customHeight="1" x14ac:dyDescent="0.2"/>
    <row r="29575" ht="9.9499999999999993" hidden="1" customHeight="1" x14ac:dyDescent="0.2"/>
    <row r="29576" ht="9.9499999999999993" hidden="1" customHeight="1" x14ac:dyDescent="0.2"/>
    <row r="29577" ht="9.9499999999999993" hidden="1" customHeight="1" x14ac:dyDescent="0.2"/>
    <row r="29578" ht="9.9499999999999993" hidden="1" customHeight="1" x14ac:dyDescent="0.2"/>
    <row r="29579" ht="9.9499999999999993" hidden="1" customHeight="1" x14ac:dyDescent="0.2"/>
    <row r="29580" ht="9.9499999999999993" hidden="1" customHeight="1" x14ac:dyDescent="0.2"/>
    <row r="29581" ht="9.9499999999999993" hidden="1" customHeight="1" x14ac:dyDescent="0.2"/>
    <row r="29582" ht="9.9499999999999993" hidden="1" customHeight="1" x14ac:dyDescent="0.2"/>
    <row r="29583" ht="9.9499999999999993" hidden="1" customHeight="1" x14ac:dyDescent="0.2"/>
    <row r="29584" ht="9.9499999999999993" hidden="1" customHeight="1" x14ac:dyDescent="0.2"/>
    <row r="29585" ht="9.9499999999999993" hidden="1" customHeight="1" x14ac:dyDescent="0.2"/>
    <row r="29586" ht="9.9499999999999993" hidden="1" customHeight="1" x14ac:dyDescent="0.2"/>
    <row r="29587" ht="9.9499999999999993" hidden="1" customHeight="1" x14ac:dyDescent="0.2"/>
    <row r="29588" ht="9.9499999999999993" hidden="1" customHeight="1" x14ac:dyDescent="0.2"/>
    <row r="29589" ht="9.9499999999999993" hidden="1" customHeight="1" x14ac:dyDescent="0.2"/>
    <row r="29590" ht="9.9499999999999993" hidden="1" customHeight="1" x14ac:dyDescent="0.2"/>
    <row r="29591" ht="9.9499999999999993" hidden="1" customHeight="1" x14ac:dyDescent="0.2"/>
    <row r="29592" ht="9.9499999999999993" hidden="1" customHeight="1" x14ac:dyDescent="0.2"/>
    <row r="29593" ht="9.9499999999999993" hidden="1" customHeight="1" x14ac:dyDescent="0.2"/>
    <row r="29594" ht="9.9499999999999993" hidden="1" customHeight="1" x14ac:dyDescent="0.2"/>
    <row r="29595" ht="9.9499999999999993" hidden="1" customHeight="1" x14ac:dyDescent="0.2"/>
    <row r="29596" ht="9.9499999999999993" hidden="1" customHeight="1" x14ac:dyDescent="0.2"/>
    <row r="29597" ht="9.9499999999999993" hidden="1" customHeight="1" x14ac:dyDescent="0.2"/>
    <row r="29598" ht="9.9499999999999993" hidden="1" customHeight="1" x14ac:dyDescent="0.2"/>
    <row r="29599" ht="9.9499999999999993" hidden="1" customHeight="1" x14ac:dyDescent="0.2"/>
    <row r="29600" ht="9.9499999999999993" hidden="1" customHeight="1" x14ac:dyDescent="0.2"/>
    <row r="29601" ht="9.9499999999999993" hidden="1" customHeight="1" x14ac:dyDescent="0.2"/>
    <row r="29602" ht="9.9499999999999993" hidden="1" customHeight="1" x14ac:dyDescent="0.2"/>
    <row r="29603" ht="9.9499999999999993" hidden="1" customHeight="1" x14ac:dyDescent="0.2"/>
    <row r="29604" ht="9.9499999999999993" hidden="1" customHeight="1" x14ac:dyDescent="0.2"/>
    <row r="29605" ht="9.9499999999999993" hidden="1" customHeight="1" x14ac:dyDescent="0.2"/>
    <row r="29606" ht="9.9499999999999993" hidden="1" customHeight="1" x14ac:dyDescent="0.2"/>
    <row r="29607" ht="9.9499999999999993" hidden="1" customHeight="1" x14ac:dyDescent="0.2"/>
    <row r="29608" ht="9.9499999999999993" hidden="1" customHeight="1" x14ac:dyDescent="0.2"/>
    <row r="29609" ht="9.9499999999999993" hidden="1" customHeight="1" x14ac:dyDescent="0.2"/>
    <row r="29610" ht="9.9499999999999993" hidden="1" customHeight="1" x14ac:dyDescent="0.2"/>
    <row r="29611" ht="9.9499999999999993" hidden="1" customHeight="1" x14ac:dyDescent="0.2"/>
    <row r="29612" ht="9.9499999999999993" hidden="1" customHeight="1" x14ac:dyDescent="0.2"/>
    <row r="29613" ht="9.9499999999999993" hidden="1" customHeight="1" x14ac:dyDescent="0.2"/>
    <row r="29614" ht="9.9499999999999993" hidden="1" customHeight="1" x14ac:dyDescent="0.2"/>
    <row r="29615" ht="9.9499999999999993" hidden="1" customHeight="1" x14ac:dyDescent="0.2"/>
    <row r="29616" ht="9.9499999999999993" hidden="1" customHeight="1" x14ac:dyDescent="0.2"/>
    <row r="29617" ht="9.9499999999999993" hidden="1" customHeight="1" x14ac:dyDescent="0.2"/>
    <row r="29618" ht="9.9499999999999993" hidden="1" customHeight="1" x14ac:dyDescent="0.2"/>
    <row r="29619" ht="9.9499999999999993" hidden="1" customHeight="1" x14ac:dyDescent="0.2"/>
    <row r="29620" ht="9.9499999999999993" hidden="1" customHeight="1" x14ac:dyDescent="0.2"/>
    <row r="29621" ht="9.9499999999999993" hidden="1" customHeight="1" x14ac:dyDescent="0.2"/>
    <row r="29622" ht="9.9499999999999993" hidden="1" customHeight="1" x14ac:dyDescent="0.2"/>
    <row r="29623" ht="9.9499999999999993" hidden="1" customHeight="1" x14ac:dyDescent="0.2"/>
    <row r="29624" ht="9.9499999999999993" hidden="1" customHeight="1" x14ac:dyDescent="0.2"/>
    <row r="29625" ht="9.9499999999999993" hidden="1" customHeight="1" x14ac:dyDescent="0.2"/>
    <row r="29626" ht="9.9499999999999993" hidden="1" customHeight="1" x14ac:dyDescent="0.2"/>
    <row r="29627" ht="9.9499999999999993" hidden="1" customHeight="1" x14ac:dyDescent="0.2"/>
    <row r="29628" ht="9.9499999999999993" hidden="1" customHeight="1" x14ac:dyDescent="0.2"/>
    <row r="29629" ht="9.9499999999999993" hidden="1" customHeight="1" x14ac:dyDescent="0.2"/>
    <row r="29630" ht="9.9499999999999993" hidden="1" customHeight="1" x14ac:dyDescent="0.2"/>
    <row r="29631" ht="9.9499999999999993" hidden="1" customHeight="1" x14ac:dyDescent="0.2"/>
    <row r="29632" ht="9.9499999999999993" hidden="1" customHeight="1" x14ac:dyDescent="0.2"/>
    <row r="29633" ht="9.9499999999999993" hidden="1" customHeight="1" x14ac:dyDescent="0.2"/>
    <row r="29634" ht="9.9499999999999993" hidden="1" customHeight="1" x14ac:dyDescent="0.2"/>
    <row r="29635" ht="9.9499999999999993" hidden="1" customHeight="1" x14ac:dyDescent="0.2"/>
    <row r="29636" ht="9.9499999999999993" hidden="1" customHeight="1" x14ac:dyDescent="0.2"/>
    <row r="29637" ht="9.9499999999999993" hidden="1" customHeight="1" x14ac:dyDescent="0.2"/>
    <row r="29638" ht="9.9499999999999993" hidden="1" customHeight="1" x14ac:dyDescent="0.2"/>
    <row r="29639" ht="9.9499999999999993" hidden="1" customHeight="1" x14ac:dyDescent="0.2"/>
    <row r="29640" ht="9.9499999999999993" hidden="1" customHeight="1" x14ac:dyDescent="0.2"/>
    <row r="29641" ht="9.9499999999999993" hidden="1" customHeight="1" x14ac:dyDescent="0.2"/>
    <row r="29642" ht="9.9499999999999993" hidden="1" customHeight="1" x14ac:dyDescent="0.2"/>
    <row r="29643" ht="9.9499999999999993" hidden="1" customHeight="1" x14ac:dyDescent="0.2"/>
    <row r="29644" ht="9.9499999999999993" hidden="1" customHeight="1" x14ac:dyDescent="0.2"/>
    <row r="29645" ht="9.9499999999999993" hidden="1" customHeight="1" x14ac:dyDescent="0.2"/>
    <row r="29646" ht="9.9499999999999993" hidden="1" customHeight="1" x14ac:dyDescent="0.2"/>
    <row r="29647" ht="9.9499999999999993" hidden="1" customHeight="1" x14ac:dyDescent="0.2"/>
    <row r="29648" ht="9.9499999999999993" hidden="1" customHeight="1" x14ac:dyDescent="0.2"/>
    <row r="29649" ht="9.9499999999999993" hidden="1" customHeight="1" x14ac:dyDescent="0.2"/>
    <row r="29650" ht="9.9499999999999993" hidden="1" customHeight="1" x14ac:dyDescent="0.2"/>
    <row r="29651" ht="9.9499999999999993" hidden="1" customHeight="1" x14ac:dyDescent="0.2"/>
    <row r="29652" ht="9.9499999999999993" hidden="1" customHeight="1" x14ac:dyDescent="0.2"/>
    <row r="29653" ht="9.9499999999999993" hidden="1" customHeight="1" x14ac:dyDescent="0.2"/>
    <row r="29654" ht="9.9499999999999993" hidden="1" customHeight="1" x14ac:dyDescent="0.2"/>
    <row r="29655" ht="9.9499999999999993" hidden="1" customHeight="1" x14ac:dyDescent="0.2"/>
    <row r="29656" ht="9.9499999999999993" hidden="1" customHeight="1" x14ac:dyDescent="0.2"/>
    <row r="29657" ht="9.9499999999999993" hidden="1" customHeight="1" x14ac:dyDescent="0.2"/>
    <row r="29658" ht="9.9499999999999993" hidden="1" customHeight="1" x14ac:dyDescent="0.2"/>
    <row r="29659" ht="9.9499999999999993" hidden="1" customHeight="1" x14ac:dyDescent="0.2"/>
    <row r="29660" ht="9.9499999999999993" hidden="1" customHeight="1" x14ac:dyDescent="0.2"/>
    <row r="29661" ht="9.9499999999999993" hidden="1" customHeight="1" x14ac:dyDescent="0.2"/>
    <row r="29662" ht="9.9499999999999993" hidden="1" customHeight="1" x14ac:dyDescent="0.2"/>
    <row r="29663" ht="9.9499999999999993" hidden="1" customHeight="1" x14ac:dyDescent="0.2"/>
    <row r="29664" ht="9.9499999999999993" hidden="1" customHeight="1" x14ac:dyDescent="0.2"/>
    <row r="29665" ht="9.9499999999999993" hidden="1" customHeight="1" x14ac:dyDescent="0.2"/>
    <row r="29666" ht="9.9499999999999993" hidden="1" customHeight="1" x14ac:dyDescent="0.2"/>
    <row r="29667" ht="9.9499999999999993" hidden="1" customHeight="1" x14ac:dyDescent="0.2"/>
    <row r="29668" ht="9.9499999999999993" hidden="1" customHeight="1" x14ac:dyDescent="0.2"/>
    <row r="29669" ht="9.9499999999999993" hidden="1" customHeight="1" x14ac:dyDescent="0.2"/>
    <row r="29670" ht="9.9499999999999993" hidden="1" customHeight="1" x14ac:dyDescent="0.2"/>
    <row r="29671" ht="9.9499999999999993" hidden="1" customHeight="1" x14ac:dyDescent="0.2"/>
    <row r="29672" ht="9.9499999999999993" hidden="1" customHeight="1" x14ac:dyDescent="0.2"/>
    <row r="29673" ht="9.9499999999999993" hidden="1" customHeight="1" x14ac:dyDescent="0.2"/>
    <row r="29674" ht="9.9499999999999993" hidden="1" customHeight="1" x14ac:dyDescent="0.2"/>
    <row r="29675" ht="9.9499999999999993" hidden="1" customHeight="1" x14ac:dyDescent="0.2"/>
    <row r="29676" ht="9.9499999999999993" hidden="1" customHeight="1" x14ac:dyDescent="0.2"/>
    <row r="29677" ht="9.9499999999999993" hidden="1" customHeight="1" x14ac:dyDescent="0.2"/>
    <row r="29678" ht="9.9499999999999993" hidden="1" customHeight="1" x14ac:dyDescent="0.2"/>
    <row r="29679" ht="9.9499999999999993" hidden="1" customHeight="1" x14ac:dyDescent="0.2"/>
    <row r="29680" ht="9.9499999999999993" hidden="1" customHeight="1" x14ac:dyDescent="0.2"/>
    <row r="29681" ht="9.9499999999999993" hidden="1" customHeight="1" x14ac:dyDescent="0.2"/>
    <row r="29682" ht="9.9499999999999993" hidden="1" customHeight="1" x14ac:dyDescent="0.2"/>
    <row r="29683" ht="9.9499999999999993" hidden="1" customHeight="1" x14ac:dyDescent="0.2"/>
    <row r="29684" ht="9.9499999999999993" hidden="1" customHeight="1" x14ac:dyDescent="0.2"/>
    <row r="29685" ht="9.9499999999999993" hidden="1" customHeight="1" x14ac:dyDescent="0.2"/>
    <row r="29686" ht="9.9499999999999993" hidden="1" customHeight="1" x14ac:dyDescent="0.2"/>
    <row r="29687" ht="9.9499999999999993" hidden="1" customHeight="1" x14ac:dyDescent="0.2"/>
    <row r="29688" ht="9.9499999999999993" hidden="1" customHeight="1" x14ac:dyDescent="0.2"/>
    <row r="29689" ht="9.9499999999999993" hidden="1" customHeight="1" x14ac:dyDescent="0.2"/>
    <row r="29690" ht="9.9499999999999993" hidden="1" customHeight="1" x14ac:dyDescent="0.2"/>
    <row r="29691" ht="9.9499999999999993" hidden="1" customHeight="1" x14ac:dyDescent="0.2"/>
    <row r="29692" ht="9.9499999999999993" hidden="1" customHeight="1" x14ac:dyDescent="0.2"/>
    <row r="29693" ht="9.9499999999999993" hidden="1" customHeight="1" x14ac:dyDescent="0.2"/>
    <row r="29694" ht="9.9499999999999993" hidden="1" customHeight="1" x14ac:dyDescent="0.2"/>
    <row r="29695" ht="9.9499999999999993" hidden="1" customHeight="1" x14ac:dyDescent="0.2"/>
    <row r="29696" ht="9.9499999999999993" hidden="1" customHeight="1" x14ac:dyDescent="0.2"/>
    <row r="29697" ht="9.9499999999999993" hidden="1" customHeight="1" x14ac:dyDescent="0.2"/>
    <row r="29698" ht="9.9499999999999993" hidden="1" customHeight="1" x14ac:dyDescent="0.2"/>
    <row r="29699" ht="9.9499999999999993" hidden="1" customHeight="1" x14ac:dyDescent="0.2"/>
    <row r="29700" ht="9.9499999999999993" hidden="1" customHeight="1" x14ac:dyDescent="0.2"/>
    <row r="29701" ht="9.9499999999999993" hidden="1" customHeight="1" x14ac:dyDescent="0.2"/>
    <row r="29702" ht="9.9499999999999993" hidden="1" customHeight="1" x14ac:dyDescent="0.2"/>
    <row r="29703" ht="9.9499999999999993" hidden="1" customHeight="1" x14ac:dyDescent="0.2"/>
    <row r="29704" ht="9.9499999999999993" hidden="1" customHeight="1" x14ac:dyDescent="0.2"/>
    <row r="29705" ht="9.9499999999999993" hidden="1" customHeight="1" x14ac:dyDescent="0.2"/>
    <row r="29706" ht="9.9499999999999993" hidden="1" customHeight="1" x14ac:dyDescent="0.2"/>
    <row r="29707" ht="9.9499999999999993" hidden="1" customHeight="1" x14ac:dyDescent="0.2"/>
    <row r="29708" ht="9.9499999999999993" hidden="1" customHeight="1" x14ac:dyDescent="0.2"/>
    <row r="29709" ht="9.9499999999999993" hidden="1" customHeight="1" x14ac:dyDescent="0.2"/>
    <row r="29710" ht="9.9499999999999993" hidden="1" customHeight="1" x14ac:dyDescent="0.2"/>
    <row r="29711" ht="9.9499999999999993" hidden="1" customHeight="1" x14ac:dyDescent="0.2"/>
    <row r="29712" ht="9.9499999999999993" hidden="1" customHeight="1" x14ac:dyDescent="0.2"/>
    <row r="29713" ht="9.9499999999999993" hidden="1" customHeight="1" x14ac:dyDescent="0.2"/>
    <row r="29714" ht="9.9499999999999993" hidden="1" customHeight="1" x14ac:dyDescent="0.2"/>
    <row r="29715" ht="9.9499999999999993" hidden="1" customHeight="1" x14ac:dyDescent="0.2"/>
    <row r="29716" ht="9.9499999999999993" hidden="1" customHeight="1" x14ac:dyDescent="0.2"/>
    <row r="29717" ht="9.9499999999999993" hidden="1" customHeight="1" x14ac:dyDescent="0.2"/>
    <row r="29718" ht="9.9499999999999993" hidden="1" customHeight="1" x14ac:dyDescent="0.2"/>
    <row r="29719" ht="9.9499999999999993" hidden="1" customHeight="1" x14ac:dyDescent="0.2"/>
    <row r="29720" ht="9.9499999999999993" hidden="1" customHeight="1" x14ac:dyDescent="0.2"/>
    <row r="29721" ht="9.9499999999999993" hidden="1" customHeight="1" x14ac:dyDescent="0.2"/>
    <row r="29722" ht="9.9499999999999993" hidden="1" customHeight="1" x14ac:dyDescent="0.2"/>
    <row r="29723" ht="9.9499999999999993" hidden="1" customHeight="1" x14ac:dyDescent="0.2"/>
    <row r="29724" ht="9.9499999999999993" hidden="1" customHeight="1" x14ac:dyDescent="0.2"/>
    <row r="29725" ht="9.9499999999999993" hidden="1" customHeight="1" x14ac:dyDescent="0.2"/>
    <row r="29726" ht="9.9499999999999993" hidden="1" customHeight="1" x14ac:dyDescent="0.2"/>
    <row r="29727" ht="9.9499999999999993" hidden="1" customHeight="1" x14ac:dyDescent="0.2"/>
    <row r="29728" ht="9.9499999999999993" hidden="1" customHeight="1" x14ac:dyDescent="0.2"/>
    <row r="29729" ht="9.9499999999999993" hidden="1" customHeight="1" x14ac:dyDescent="0.2"/>
    <row r="29730" ht="9.9499999999999993" hidden="1" customHeight="1" x14ac:dyDescent="0.2"/>
    <row r="29731" ht="9.9499999999999993" hidden="1" customHeight="1" x14ac:dyDescent="0.2"/>
    <row r="29732" ht="9.9499999999999993" hidden="1" customHeight="1" x14ac:dyDescent="0.2"/>
    <row r="29733" ht="9.9499999999999993" hidden="1" customHeight="1" x14ac:dyDescent="0.2"/>
    <row r="29734" ht="9.9499999999999993" hidden="1" customHeight="1" x14ac:dyDescent="0.2"/>
    <row r="29735" ht="9.9499999999999993" hidden="1" customHeight="1" x14ac:dyDescent="0.2"/>
    <row r="29736" ht="9.9499999999999993" hidden="1" customHeight="1" x14ac:dyDescent="0.2"/>
    <row r="29737" ht="9.9499999999999993" hidden="1" customHeight="1" x14ac:dyDescent="0.2"/>
    <row r="29738" ht="9.9499999999999993" hidden="1" customHeight="1" x14ac:dyDescent="0.2"/>
    <row r="29739" ht="9.9499999999999993" hidden="1" customHeight="1" x14ac:dyDescent="0.2"/>
    <row r="29740" ht="9.9499999999999993" hidden="1" customHeight="1" x14ac:dyDescent="0.2"/>
    <row r="29741" ht="9.9499999999999993" hidden="1" customHeight="1" x14ac:dyDescent="0.2"/>
    <row r="29742" ht="9.9499999999999993" hidden="1" customHeight="1" x14ac:dyDescent="0.2"/>
    <row r="29743" ht="9.9499999999999993" hidden="1" customHeight="1" x14ac:dyDescent="0.2"/>
    <row r="29744" ht="9.9499999999999993" hidden="1" customHeight="1" x14ac:dyDescent="0.2"/>
    <row r="29745" ht="9.9499999999999993" hidden="1" customHeight="1" x14ac:dyDescent="0.2"/>
    <row r="29746" ht="9.9499999999999993" hidden="1" customHeight="1" x14ac:dyDescent="0.2"/>
    <row r="29747" ht="9.9499999999999993" hidden="1" customHeight="1" x14ac:dyDescent="0.2"/>
    <row r="29748" ht="9.9499999999999993" hidden="1" customHeight="1" x14ac:dyDescent="0.2"/>
    <row r="29749" ht="9.9499999999999993" hidden="1" customHeight="1" x14ac:dyDescent="0.2"/>
    <row r="29750" ht="9.9499999999999993" hidden="1" customHeight="1" x14ac:dyDescent="0.2"/>
    <row r="29751" ht="9.9499999999999993" hidden="1" customHeight="1" x14ac:dyDescent="0.2"/>
    <row r="29752" ht="9.9499999999999993" hidden="1" customHeight="1" x14ac:dyDescent="0.2"/>
    <row r="29753" ht="9.9499999999999993" hidden="1" customHeight="1" x14ac:dyDescent="0.2"/>
    <row r="29754" ht="9.9499999999999993" hidden="1" customHeight="1" x14ac:dyDescent="0.2"/>
    <row r="29755" ht="9.9499999999999993" hidden="1" customHeight="1" x14ac:dyDescent="0.2"/>
    <row r="29756" ht="9.9499999999999993" hidden="1" customHeight="1" x14ac:dyDescent="0.2"/>
    <row r="29757" ht="9.9499999999999993" hidden="1" customHeight="1" x14ac:dyDescent="0.2"/>
    <row r="29758" ht="9.9499999999999993" hidden="1" customHeight="1" x14ac:dyDescent="0.2"/>
    <row r="29759" ht="9.9499999999999993" hidden="1" customHeight="1" x14ac:dyDescent="0.2"/>
    <row r="29760" ht="9.9499999999999993" hidden="1" customHeight="1" x14ac:dyDescent="0.2"/>
    <row r="29761" ht="9.9499999999999993" hidden="1" customHeight="1" x14ac:dyDescent="0.2"/>
    <row r="29762" ht="9.9499999999999993" hidden="1" customHeight="1" x14ac:dyDescent="0.2"/>
    <row r="29763" ht="9.9499999999999993" hidden="1" customHeight="1" x14ac:dyDescent="0.2"/>
    <row r="29764" ht="9.9499999999999993" hidden="1" customHeight="1" x14ac:dyDescent="0.2"/>
    <row r="29765" ht="9.9499999999999993" hidden="1" customHeight="1" x14ac:dyDescent="0.2"/>
    <row r="29766" ht="9.9499999999999993" hidden="1" customHeight="1" x14ac:dyDescent="0.2"/>
    <row r="29767" ht="9.9499999999999993" hidden="1" customHeight="1" x14ac:dyDescent="0.2"/>
    <row r="29768" ht="9.9499999999999993" hidden="1" customHeight="1" x14ac:dyDescent="0.2"/>
    <row r="29769" ht="9.9499999999999993" hidden="1" customHeight="1" x14ac:dyDescent="0.2"/>
    <row r="29770" ht="9.9499999999999993" hidden="1" customHeight="1" x14ac:dyDescent="0.2"/>
    <row r="29771" ht="9.9499999999999993" hidden="1" customHeight="1" x14ac:dyDescent="0.2"/>
    <row r="29772" ht="9.9499999999999993" hidden="1" customHeight="1" x14ac:dyDescent="0.2"/>
    <row r="29773" ht="9.9499999999999993" hidden="1" customHeight="1" x14ac:dyDescent="0.2"/>
    <row r="29774" ht="9.9499999999999993" hidden="1" customHeight="1" x14ac:dyDescent="0.2"/>
    <row r="29775" ht="9.9499999999999993" hidden="1" customHeight="1" x14ac:dyDescent="0.2"/>
    <row r="29776" ht="9.9499999999999993" hidden="1" customHeight="1" x14ac:dyDescent="0.2"/>
    <row r="29777" ht="9.9499999999999993" hidden="1" customHeight="1" x14ac:dyDescent="0.2"/>
    <row r="29778" ht="9.9499999999999993" hidden="1" customHeight="1" x14ac:dyDescent="0.2"/>
    <row r="29779" ht="9.9499999999999993" hidden="1" customHeight="1" x14ac:dyDescent="0.2"/>
    <row r="29780" ht="9.9499999999999993" hidden="1" customHeight="1" x14ac:dyDescent="0.2"/>
    <row r="29781" ht="9.9499999999999993" hidden="1" customHeight="1" x14ac:dyDescent="0.2"/>
    <row r="29782" ht="9.9499999999999993" hidden="1" customHeight="1" x14ac:dyDescent="0.2"/>
    <row r="29783" ht="9.9499999999999993" hidden="1" customHeight="1" x14ac:dyDescent="0.2"/>
    <row r="29784" ht="9.9499999999999993" hidden="1" customHeight="1" x14ac:dyDescent="0.2"/>
    <row r="29785" ht="9.9499999999999993" hidden="1" customHeight="1" x14ac:dyDescent="0.2"/>
    <row r="29786" ht="9.9499999999999993" hidden="1" customHeight="1" x14ac:dyDescent="0.2"/>
    <row r="29787" ht="9.9499999999999993" hidden="1" customHeight="1" x14ac:dyDescent="0.2"/>
    <row r="29788" ht="9.9499999999999993" hidden="1" customHeight="1" x14ac:dyDescent="0.2"/>
    <row r="29789" ht="9.9499999999999993" hidden="1" customHeight="1" x14ac:dyDescent="0.2"/>
    <row r="29790" ht="9.9499999999999993" hidden="1" customHeight="1" x14ac:dyDescent="0.2"/>
    <row r="29791" ht="9.9499999999999993" hidden="1" customHeight="1" x14ac:dyDescent="0.2"/>
    <row r="29792" ht="9.9499999999999993" hidden="1" customHeight="1" x14ac:dyDescent="0.2"/>
    <row r="29793" ht="9.9499999999999993" hidden="1" customHeight="1" x14ac:dyDescent="0.2"/>
    <row r="29794" ht="9.9499999999999993" hidden="1" customHeight="1" x14ac:dyDescent="0.2"/>
    <row r="29795" ht="9.9499999999999993" hidden="1" customHeight="1" x14ac:dyDescent="0.2"/>
    <row r="29796" ht="9.9499999999999993" hidden="1" customHeight="1" x14ac:dyDescent="0.2"/>
    <row r="29797" ht="9.9499999999999993" hidden="1" customHeight="1" x14ac:dyDescent="0.2"/>
    <row r="29798" ht="9.9499999999999993" hidden="1" customHeight="1" x14ac:dyDescent="0.2"/>
    <row r="29799" ht="9.9499999999999993" hidden="1" customHeight="1" x14ac:dyDescent="0.2"/>
    <row r="29800" ht="9.9499999999999993" hidden="1" customHeight="1" x14ac:dyDescent="0.2"/>
    <row r="29801" ht="9.9499999999999993" hidden="1" customHeight="1" x14ac:dyDescent="0.2"/>
    <row r="29802" ht="9.9499999999999993" hidden="1" customHeight="1" x14ac:dyDescent="0.2"/>
    <row r="29803" ht="9.9499999999999993" hidden="1" customHeight="1" x14ac:dyDescent="0.2"/>
    <row r="29804" ht="9.9499999999999993" hidden="1" customHeight="1" x14ac:dyDescent="0.2"/>
    <row r="29805" ht="9.9499999999999993" hidden="1" customHeight="1" x14ac:dyDescent="0.2"/>
    <row r="29806" ht="9.9499999999999993" hidden="1" customHeight="1" x14ac:dyDescent="0.2"/>
    <row r="29807" ht="9.9499999999999993" hidden="1" customHeight="1" x14ac:dyDescent="0.2"/>
    <row r="29808" ht="9.9499999999999993" hidden="1" customHeight="1" x14ac:dyDescent="0.2"/>
    <row r="29809" ht="9.9499999999999993" hidden="1" customHeight="1" x14ac:dyDescent="0.2"/>
    <row r="29810" ht="9.9499999999999993" hidden="1" customHeight="1" x14ac:dyDescent="0.2"/>
    <row r="29811" ht="9.9499999999999993" hidden="1" customHeight="1" x14ac:dyDescent="0.2"/>
    <row r="29812" ht="9.9499999999999993" hidden="1" customHeight="1" x14ac:dyDescent="0.2"/>
    <row r="29813" ht="9.9499999999999993" hidden="1" customHeight="1" x14ac:dyDescent="0.2"/>
    <row r="29814" ht="9.9499999999999993" hidden="1" customHeight="1" x14ac:dyDescent="0.2"/>
    <row r="29815" ht="9.9499999999999993" hidden="1" customHeight="1" x14ac:dyDescent="0.2"/>
    <row r="29816" ht="9.9499999999999993" hidden="1" customHeight="1" x14ac:dyDescent="0.2"/>
    <row r="29817" ht="9.9499999999999993" hidden="1" customHeight="1" x14ac:dyDescent="0.2"/>
    <row r="29818" ht="9.9499999999999993" hidden="1" customHeight="1" x14ac:dyDescent="0.2"/>
    <row r="29819" ht="9.9499999999999993" hidden="1" customHeight="1" x14ac:dyDescent="0.2"/>
    <row r="29820" ht="9.9499999999999993" hidden="1" customHeight="1" x14ac:dyDescent="0.2"/>
    <row r="29821" ht="9.9499999999999993" hidden="1" customHeight="1" x14ac:dyDescent="0.2"/>
    <row r="29822" ht="9.9499999999999993" hidden="1" customHeight="1" x14ac:dyDescent="0.2"/>
    <row r="29823" ht="9.9499999999999993" hidden="1" customHeight="1" x14ac:dyDescent="0.2"/>
    <row r="29824" ht="9.9499999999999993" hidden="1" customHeight="1" x14ac:dyDescent="0.2"/>
    <row r="29825" ht="9.9499999999999993" hidden="1" customHeight="1" x14ac:dyDescent="0.2"/>
    <row r="29826" ht="9.9499999999999993" hidden="1" customHeight="1" x14ac:dyDescent="0.2"/>
    <row r="29827" ht="9.9499999999999993" hidden="1" customHeight="1" x14ac:dyDescent="0.2"/>
    <row r="29828" ht="9.9499999999999993" hidden="1" customHeight="1" x14ac:dyDescent="0.2"/>
    <row r="29829" ht="9.9499999999999993" hidden="1" customHeight="1" x14ac:dyDescent="0.2"/>
    <row r="29830" ht="9.9499999999999993" hidden="1" customHeight="1" x14ac:dyDescent="0.2"/>
    <row r="29831" ht="9.9499999999999993" hidden="1" customHeight="1" x14ac:dyDescent="0.2"/>
    <row r="29832" ht="9.9499999999999993" hidden="1" customHeight="1" x14ac:dyDescent="0.2"/>
    <row r="29833" ht="9.9499999999999993" hidden="1" customHeight="1" x14ac:dyDescent="0.2"/>
    <row r="29834" ht="9.9499999999999993" hidden="1" customHeight="1" x14ac:dyDescent="0.2"/>
    <row r="29835" ht="9.9499999999999993" hidden="1" customHeight="1" x14ac:dyDescent="0.2"/>
    <row r="29836" ht="9.9499999999999993" hidden="1" customHeight="1" x14ac:dyDescent="0.2"/>
    <row r="29837" ht="9.9499999999999993" hidden="1" customHeight="1" x14ac:dyDescent="0.2"/>
    <row r="29838" ht="9.9499999999999993" hidden="1" customHeight="1" x14ac:dyDescent="0.2"/>
    <row r="29839" ht="9.9499999999999993" hidden="1" customHeight="1" x14ac:dyDescent="0.2"/>
    <row r="29840" ht="9.9499999999999993" hidden="1" customHeight="1" x14ac:dyDescent="0.2"/>
    <row r="29841" ht="9.9499999999999993" hidden="1" customHeight="1" x14ac:dyDescent="0.2"/>
    <row r="29842" ht="9.9499999999999993" hidden="1" customHeight="1" x14ac:dyDescent="0.2"/>
    <row r="29843" ht="9.9499999999999993" hidden="1" customHeight="1" x14ac:dyDescent="0.2"/>
    <row r="29844" ht="9.9499999999999993" hidden="1" customHeight="1" x14ac:dyDescent="0.2"/>
    <row r="29845" ht="9.9499999999999993" hidden="1" customHeight="1" x14ac:dyDescent="0.2"/>
    <row r="29846" ht="9.9499999999999993" hidden="1" customHeight="1" x14ac:dyDescent="0.2"/>
    <row r="29847" ht="9.9499999999999993" hidden="1" customHeight="1" x14ac:dyDescent="0.2"/>
    <row r="29848" ht="9.9499999999999993" hidden="1" customHeight="1" x14ac:dyDescent="0.2"/>
    <row r="29849" ht="9.9499999999999993" hidden="1" customHeight="1" x14ac:dyDescent="0.2"/>
    <row r="29850" ht="9.9499999999999993" hidden="1" customHeight="1" x14ac:dyDescent="0.2"/>
    <row r="29851" ht="9.9499999999999993" hidden="1" customHeight="1" x14ac:dyDescent="0.2"/>
    <row r="29852" ht="9.9499999999999993" hidden="1" customHeight="1" x14ac:dyDescent="0.2"/>
    <row r="29853" ht="9.9499999999999993" hidden="1" customHeight="1" x14ac:dyDescent="0.2"/>
    <row r="29854" ht="9.9499999999999993" hidden="1" customHeight="1" x14ac:dyDescent="0.2"/>
    <row r="29855" ht="9.9499999999999993" hidden="1" customHeight="1" x14ac:dyDescent="0.2"/>
    <row r="29856" ht="9.9499999999999993" hidden="1" customHeight="1" x14ac:dyDescent="0.2"/>
    <row r="29857" ht="9.9499999999999993" hidden="1" customHeight="1" x14ac:dyDescent="0.2"/>
    <row r="29858" ht="9.9499999999999993" hidden="1" customHeight="1" x14ac:dyDescent="0.2"/>
    <row r="29859" ht="9.9499999999999993" hidden="1" customHeight="1" x14ac:dyDescent="0.2"/>
    <row r="29860" ht="9.9499999999999993" hidden="1" customHeight="1" x14ac:dyDescent="0.2"/>
    <row r="29861" ht="9.9499999999999993" hidden="1" customHeight="1" x14ac:dyDescent="0.2"/>
    <row r="29862" ht="9.9499999999999993" hidden="1" customHeight="1" x14ac:dyDescent="0.2"/>
    <row r="29863" ht="9.9499999999999993" hidden="1" customHeight="1" x14ac:dyDescent="0.2"/>
    <row r="29864" ht="9.9499999999999993" hidden="1" customHeight="1" x14ac:dyDescent="0.2"/>
    <row r="29865" ht="9.9499999999999993" hidden="1" customHeight="1" x14ac:dyDescent="0.2"/>
    <row r="29866" ht="9.9499999999999993" hidden="1" customHeight="1" x14ac:dyDescent="0.2"/>
    <row r="29867" ht="9.9499999999999993" hidden="1" customHeight="1" x14ac:dyDescent="0.2"/>
    <row r="29868" ht="9.9499999999999993" hidden="1" customHeight="1" x14ac:dyDescent="0.2"/>
    <row r="29869" ht="9.9499999999999993" hidden="1" customHeight="1" x14ac:dyDescent="0.2"/>
    <row r="29870" ht="9.9499999999999993" hidden="1" customHeight="1" x14ac:dyDescent="0.2"/>
    <row r="29871" ht="9.9499999999999993" hidden="1" customHeight="1" x14ac:dyDescent="0.2"/>
    <row r="29872" ht="9.9499999999999993" hidden="1" customHeight="1" x14ac:dyDescent="0.2"/>
    <row r="29873" ht="9.9499999999999993" hidden="1" customHeight="1" x14ac:dyDescent="0.2"/>
    <row r="29874" ht="9.9499999999999993" hidden="1" customHeight="1" x14ac:dyDescent="0.2"/>
    <row r="29875" ht="9.9499999999999993" hidden="1" customHeight="1" x14ac:dyDescent="0.2"/>
    <row r="29876" ht="9.9499999999999993" hidden="1" customHeight="1" x14ac:dyDescent="0.2"/>
    <row r="29877" ht="9.9499999999999993" hidden="1" customHeight="1" x14ac:dyDescent="0.2"/>
    <row r="29878" ht="9.9499999999999993" hidden="1" customHeight="1" x14ac:dyDescent="0.2"/>
    <row r="29879" ht="9.9499999999999993" hidden="1" customHeight="1" x14ac:dyDescent="0.2"/>
    <row r="29880" ht="9.9499999999999993" hidden="1" customHeight="1" x14ac:dyDescent="0.2"/>
    <row r="29881" ht="9.9499999999999993" hidden="1" customHeight="1" x14ac:dyDescent="0.2"/>
    <row r="29882" ht="9.9499999999999993" hidden="1" customHeight="1" x14ac:dyDescent="0.2"/>
    <row r="29883" ht="9.9499999999999993" hidden="1" customHeight="1" x14ac:dyDescent="0.2"/>
    <row r="29884" ht="9.9499999999999993" hidden="1" customHeight="1" x14ac:dyDescent="0.2"/>
    <row r="29885" ht="9.9499999999999993" hidden="1" customHeight="1" x14ac:dyDescent="0.2"/>
    <row r="29886" ht="9.9499999999999993" hidden="1" customHeight="1" x14ac:dyDescent="0.2"/>
    <row r="29887" ht="9.9499999999999993" hidden="1" customHeight="1" x14ac:dyDescent="0.2"/>
    <row r="29888" ht="9.9499999999999993" hidden="1" customHeight="1" x14ac:dyDescent="0.2"/>
    <row r="29889" ht="9.9499999999999993" hidden="1" customHeight="1" x14ac:dyDescent="0.2"/>
    <row r="29890" ht="9.9499999999999993" hidden="1" customHeight="1" x14ac:dyDescent="0.2"/>
    <row r="29891" ht="9.9499999999999993" hidden="1" customHeight="1" x14ac:dyDescent="0.2"/>
    <row r="29892" ht="9.9499999999999993" hidden="1" customHeight="1" x14ac:dyDescent="0.2"/>
    <row r="29893" ht="9.9499999999999993" hidden="1" customHeight="1" x14ac:dyDescent="0.2"/>
    <row r="29894" ht="9.9499999999999993" hidden="1" customHeight="1" x14ac:dyDescent="0.2"/>
    <row r="29895" ht="9.9499999999999993" hidden="1" customHeight="1" x14ac:dyDescent="0.2"/>
    <row r="29896" ht="9.9499999999999993" hidden="1" customHeight="1" x14ac:dyDescent="0.2"/>
    <row r="29897" ht="9.9499999999999993" hidden="1" customHeight="1" x14ac:dyDescent="0.2"/>
    <row r="29898" ht="9.9499999999999993" hidden="1" customHeight="1" x14ac:dyDescent="0.2"/>
    <row r="29899" ht="9.9499999999999993" hidden="1" customHeight="1" x14ac:dyDescent="0.2"/>
    <row r="29900" ht="9.9499999999999993" hidden="1" customHeight="1" x14ac:dyDescent="0.2"/>
    <row r="29901" ht="9.9499999999999993" hidden="1" customHeight="1" x14ac:dyDescent="0.2"/>
    <row r="29902" ht="9.9499999999999993" hidden="1" customHeight="1" x14ac:dyDescent="0.2"/>
    <row r="29903" ht="9.9499999999999993" hidden="1" customHeight="1" x14ac:dyDescent="0.2"/>
    <row r="29904" ht="9.9499999999999993" hidden="1" customHeight="1" x14ac:dyDescent="0.2"/>
    <row r="29905" ht="9.9499999999999993" hidden="1" customHeight="1" x14ac:dyDescent="0.2"/>
    <row r="29906" ht="9.9499999999999993" hidden="1" customHeight="1" x14ac:dyDescent="0.2"/>
    <row r="29907" ht="9.9499999999999993" hidden="1" customHeight="1" x14ac:dyDescent="0.2"/>
    <row r="29908" ht="9.9499999999999993" hidden="1" customHeight="1" x14ac:dyDescent="0.2"/>
    <row r="29909" ht="9.9499999999999993" hidden="1" customHeight="1" x14ac:dyDescent="0.2"/>
    <row r="29910" ht="9.9499999999999993" hidden="1" customHeight="1" x14ac:dyDescent="0.2"/>
    <row r="29911" ht="9.9499999999999993" hidden="1" customHeight="1" x14ac:dyDescent="0.2"/>
    <row r="29912" ht="9.9499999999999993" hidden="1" customHeight="1" x14ac:dyDescent="0.2"/>
    <row r="29913" ht="9.9499999999999993" hidden="1" customHeight="1" x14ac:dyDescent="0.2"/>
    <row r="29914" ht="9.9499999999999993" hidden="1" customHeight="1" x14ac:dyDescent="0.2"/>
    <row r="29915" ht="9.9499999999999993" hidden="1" customHeight="1" x14ac:dyDescent="0.2"/>
    <row r="29916" ht="9.9499999999999993" hidden="1" customHeight="1" x14ac:dyDescent="0.2"/>
    <row r="29917" ht="9.9499999999999993" hidden="1" customHeight="1" x14ac:dyDescent="0.2"/>
    <row r="29918" ht="9.9499999999999993" hidden="1" customHeight="1" x14ac:dyDescent="0.2"/>
    <row r="29919" ht="9.9499999999999993" hidden="1" customHeight="1" x14ac:dyDescent="0.2"/>
    <row r="29920" ht="9.9499999999999993" hidden="1" customHeight="1" x14ac:dyDescent="0.2"/>
    <row r="29921" ht="9.9499999999999993" hidden="1" customHeight="1" x14ac:dyDescent="0.2"/>
    <row r="29922" ht="9.9499999999999993" hidden="1" customHeight="1" x14ac:dyDescent="0.2"/>
    <row r="29923" ht="9.9499999999999993" hidden="1" customHeight="1" x14ac:dyDescent="0.2"/>
    <row r="29924" ht="9.9499999999999993" hidden="1" customHeight="1" x14ac:dyDescent="0.2"/>
    <row r="29925" ht="9.9499999999999993" hidden="1" customHeight="1" x14ac:dyDescent="0.2"/>
    <row r="29926" ht="9.9499999999999993" hidden="1" customHeight="1" x14ac:dyDescent="0.2"/>
    <row r="29927" ht="9.9499999999999993" hidden="1" customHeight="1" x14ac:dyDescent="0.2"/>
    <row r="29928" ht="9.9499999999999993" hidden="1" customHeight="1" x14ac:dyDescent="0.2"/>
    <row r="29929" ht="9.9499999999999993" hidden="1" customHeight="1" x14ac:dyDescent="0.2"/>
    <row r="29930" ht="9.9499999999999993" hidden="1" customHeight="1" x14ac:dyDescent="0.2"/>
    <row r="29931" ht="9.9499999999999993" hidden="1" customHeight="1" x14ac:dyDescent="0.2"/>
    <row r="29932" ht="9.9499999999999993" hidden="1" customHeight="1" x14ac:dyDescent="0.2"/>
    <row r="29933" ht="9.9499999999999993" hidden="1" customHeight="1" x14ac:dyDescent="0.2"/>
    <row r="29934" ht="9.9499999999999993" hidden="1" customHeight="1" x14ac:dyDescent="0.2"/>
    <row r="29935" ht="9.9499999999999993" hidden="1" customHeight="1" x14ac:dyDescent="0.2"/>
    <row r="29936" ht="9.9499999999999993" hidden="1" customHeight="1" x14ac:dyDescent="0.2"/>
    <row r="29937" ht="9.9499999999999993" hidden="1" customHeight="1" x14ac:dyDescent="0.2"/>
    <row r="29938" ht="9.9499999999999993" hidden="1" customHeight="1" x14ac:dyDescent="0.2"/>
    <row r="29939" ht="9.9499999999999993" hidden="1" customHeight="1" x14ac:dyDescent="0.2"/>
    <row r="29940" ht="9.9499999999999993" hidden="1" customHeight="1" x14ac:dyDescent="0.2"/>
    <row r="29941" ht="9.9499999999999993" hidden="1" customHeight="1" x14ac:dyDescent="0.2"/>
    <row r="29942" ht="9.9499999999999993" hidden="1" customHeight="1" x14ac:dyDescent="0.2"/>
    <row r="29943" ht="9.9499999999999993" hidden="1" customHeight="1" x14ac:dyDescent="0.2"/>
    <row r="29944" ht="9.9499999999999993" hidden="1" customHeight="1" x14ac:dyDescent="0.2"/>
    <row r="29945" ht="9.9499999999999993" hidden="1" customHeight="1" x14ac:dyDescent="0.2"/>
    <row r="29946" ht="9.9499999999999993" hidden="1" customHeight="1" x14ac:dyDescent="0.2"/>
    <row r="29947" ht="9.9499999999999993" hidden="1" customHeight="1" x14ac:dyDescent="0.2"/>
    <row r="29948" ht="9.9499999999999993" hidden="1" customHeight="1" x14ac:dyDescent="0.2"/>
    <row r="29949" ht="9.9499999999999993" hidden="1" customHeight="1" x14ac:dyDescent="0.2"/>
    <row r="29950" ht="9.9499999999999993" hidden="1" customHeight="1" x14ac:dyDescent="0.2"/>
    <row r="29951" ht="9.9499999999999993" hidden="1" customHeight="1" x14ac:dyDescent="0.2"/>
    <row r="29952" ht="9.9499999999999993" hidden="1" customHeight="1" x14ac:dyDescent="0.2"/>
    <row r="29953" ht="9.9499999999999993" hidden="1" customHeight="1" x14ac:dyDescent="0.2"/>
    <row r="29954" ht="9.9499999999999993" hidden="1" customHeight="1" x14ac:dyDescent="0.2"/>
    <row r="29955" ht="9.9499999999999993" hidden="1" customHeight="1" x14ac:dyDescent="0.2"/>
    <row r="29956" ht="9.9499999999999993" hidden="1" customHeight="1" x14ac:dyDescent="0.2"/>
    <row r="29957" ht="9.9499999999999993" hidden="1" customHeight="1" x14ac:dyDescent="0.2"/>
    <row r="29958" ht="9.9499999999999993" hidden="1" customHeight="1" x14ac:dyDescent="0.2"/>
    <row r="29959" ht="9.9499999999999993" hidden="1" customHeight="1" x14ac:dyDescent="0.2"/>
    <row r="29960" ht="9.9499999999999993" hidden="1" customHeight="1" x14ac:dyDescent="0.2"/>
    <row r="29961" ht="9.9499999999999993" hidden="1" customHeight="1" x14ac:dyDescent="0.2"/>
    <row r="29962" ht="9.9499999999999993" hidden="1" customHeight="1" x14ac:dyDescent="0.2"/>
    <row r="29963" ht="9.9499999999999993" hidden="1" customHeight="1" x14ac:dyDescent="0.2"/>
    <row r="29964" ht="9.9499999999999993" hidden="1" customHeight="1" x14ac:dyDescent="0.2"/>
    <row r="29965" ht="9.9499999999999993" hidden="1" customHeight="1" x14ac:dyDescent="0.2"/>
    <row r="29966" ht="9.9499999999999993" hidden="1" customHeight="1" x14ac:dyDescent="0.2"/>
    <row r="29967" ht="9.9499999999999993" hidden="1" customHeight="1" x14ac:dyDescent="0.2"/>
    <row r="29968" ht="9.9499999999999993" hidden="1" customHeight="1" x14ac:dyDescent="0.2"/>
    <row r="29969" ht="9.9499999999999993" hidden="1" customHeight="1" x14ac:dyDescent="0.2"/>
    <row r="29970" ht="9.9499999999999993" hidden="1" customHeight="1" x14ac:dyDescent="0.2"/>
    <row r="29971" ht="9.9499999999999993" hidden="1" customHeight="1" x14ac:dyDescent="0.2"/>
    <row r="29972" ht="9.9499999999999993" hidden="1" customHeight="1" x14ac:dyDescent="0.2"/>
    <row r="29973" ht="9.9499999999999993" hidden="1" customHeight="1" x14ac:dyDescent="0.2"/>
    <row r="29974" ht="9.9499999999999993" hidden="1" customHeight="1" x14ac:dyDescent="0.2"/>
    <row r="29975" ht="9.9499999999999993" hidden="1" customHeight="1" x14ac:dyDescent="0.2"/>
    <row r="29976" ht="9.9499999999999993" hidden="1" customHeight="1" x14ac:dyDescent="0.2"/>
    <row r="29977" ht="9.9499999999999993" hidden="1" customHeight="1" x14ac:dyDescent="0.2"/>
    <row r="29978" ht="9.9499999999999993" hidden="1" customHeight="1" x14ac:dyDescent="0.2"/>
    <row r="29979" ht="9.9499999999999993" hidden="1" customHeight="1" x14ac:dyDescent="0.2"/>
    <row r="29980" ht="9.9499999999999993" hidden="1" customHeight="1" x14ac:dyDescent="0.2"/>
    <row r="29981" ht="9.9499999999999993" hidden="1" customHeight="1" x14ac:dyDescent="0.2"/>
    <row r="29982" ht="9.9499999999999993" hidden="1" customHeight="1" x14ac:dyDescent="0.2"/>
    <row r="29983" ht="9.9499999999999993" hidden="1" customHeight="1" x14ac:dyDescent="0.2"/>
    <row r="29984" ht="9.9499999999999993" hidden="1" customHeight="1" x14ac:dyDescent="0.2"/>
    <row r="29985" ht="9.9499999999999993" hidden="1" customHeight="1" x14ac:dyDescent="0.2"/>
    <row r="29986" ht="9.9499999999999993" hidden="1" customHeight="1" x14ac:dyDescent="0.2"/>
    <row r="29987" ht="9.9499999999999993" hidden="1" customHeight="1" x14ac:dyDescent="0.2"/>
    <row r="29988" ht="9.9499999999999993" hidden="1" customHeight="1" x14ac:dyDescent="0.2"/>
    <row r="29989" ht="9.9499999999999993" hidden="1" customHeight="1" x14ac:dyDescent="0.2"/>
    <row r="29990" ht="9.9499999999999993" hidden="1" customHeight="1" x14ac:dyDescent="0.2"/>
    <row r="29991" ht="9.9499999999999993" hidden="1" customHeight="1" x14ac:dyDescent="0.2"/>
    <row r="29992" ht="9.9499999999999993" hidden="1" customHeight="1" x14ac:dyDescent="0.2"/>
    <row r="29993" ht="9.9499999999999993" hidden="1" customHeight="1" x14ac:dyDescent="0.2"/>
    <row r="29994" ht="9.9499999999999993" hidden="1" customHeight="1" x14ac:dyDescent="0.2"/>
    <row r="29995" ht="9.9499999999999993" hidden="1" customHeight="1" x14ac:dyDescent="0.2"/>
    <row r="29996" ht="9.9499999999999993" hidden="1" customHeight="1" x14ac:dyDescent="0.2"/>
    <row r="29997" ht="9.9499999999999993" hidden="1" customHeight="1" x14ac:dyDescent="0.2"/>
    <row r="29998" ht="9.9499999999999993" hidden="1" customHeight="1" x14ac:dyDescent="0.2"/>
    <row r="29999" ht="9.9499999999999993" hidden="1" customHeight="1" x14ac:dyDescent="0.2"/>
    <row r="30000" ht="9.9499999999999993" hidden="1" customHeight="1" x14ac:dyDescent="0.2"/>
    <row r="30001" ht="9.9499999999999993" hidden="1" customHeight="1" x14ac:dyDescent="0.2"/>
    <row r="30002" ht="9.9499999999999993" hidden="1" customHeight="1" x14ac:dyDescent="0.2"/>
    <row r="30003" ht="9.9499999999999993" hidden="1" customHeight="1" x14ac:dyDescent="0.2"/>
    <row r="30004" ht="9.9499999999999993" hidden="1" customHeight="1" x14ac:dyDescent="0.2"/>
    <row r="30005" ht="9.9499999999999993" hidden="1" customHeight="1" x14ac:dyDescent="0.2"/>
    <row r="30006" ht="9.9499999999999993" hidden="1" customHeight="1" x14ac:dyDescent="0.2"/>
    <row r="30007" ht="9.9499999999999993" hidden="1" customHeight="1" x14ac:dyDescent="0.2"/>
    <row r="30008" ht="9.9499999999999993" hidden="1" customHeight="1" x14ac:dyDescent="0.2"/>
    <row r="30009" ht="9.9499999999999993" hidden="1" customHeight="1" x14ac:dyDescent="0.2"/>
    <row r="30010" ht="9.9499999999999993" hidden="1" customHeight="1" x14ac:dyDescent="0.2"/>
    <row r="30011" ht="9.9499999999999993" hidden="1" customHeight="1" x14ac:dyDescent="0.2"/>
    <row r="30012" ht="9.9499999999999993" hidden="1" customHeight="1" x14ac:dyDescent="0.2"/>
    <row r="30013" ht="9.9499999999999993" hidden="1" customHeight="1" x14ac:dyDescent="0.2"/>
    <row r="30014" ht="9.9499999999999993" hidden="1" customHeight="1" x14ac:dyDescent="0.2"/>
    <row r="30015" ht="9.9499999999999993" hidden="1" customHeight="1" x14ac:dyDescent="0.2"/>
    <row r="30016" ht="9.9499999999999993" hidden="1" customHeight="1" x14ac:dyDescent="0.2"/>
    <row r="30017" ht="9.9499999999999993" hidden="1" customHeight="1" x14ac:dyDescent="0.2"/>
    <row r="30018" ht="9.9499999999999993" hidden="1" customHeight="1" x14ac:dyDescent="0.2"/>
    <row r="30019" ht="9.9499999999999993" hidden="1" customHeight="1" x14ac:dyDescent="0.2"/>
    <row r="30020" ht="9.9499999999999993" hidden="1" customHeight="1" x14ac:dyDescent="0.2"/>
    <row r="30021" ht="9.9499999999999993" hidden="1" customHeight="1" x14ac:dyDescent="0.2"/>
    <row r="30022" ht="9.9499999999999993" hidden="1" customHeight="1" x14ac:dyDescent="0.2"/>
    <row r="30023" ht="9.9499999999999993" hidden="1" customHeight="1" x14ac:dyDescent="0.2"/>
    <row r="30024" ht="9.9499999999999993" hidden="1" customHeight="1" x14ac:dyDescent="0.2"/>
    <row r="30025" ht="9.9499999999999993" hidden="1" customHeight="1" x14ac:dyDescent="0.2"/>
    <row r="30026" ht="9.9499999999999993" hidden="1" customHeight="1" x14ac:dyDescent="0.2"/>
    <row r="30027" ht="9.9499999999999993" hidden="1" customHeight="1" x14ac:dyDescent="0.2"/>
    <row r="30028" ht="9.9499999999999993" hidden="1" customHeight="1" x14ac:dyDescent="0.2"/>
    <row r="30029" ht="9.9499999999999993" hidden="1" customHeight="1" x14ac:dyDescent="0.2"/>
    <row r="30030" ht="9.9499999999999993" hidden="1" customHeight="1" x14ac:dyDescent="0.2"/>
    <row r="30031" ht="9.9499999999999993" hidden="1" customHeight="1" x14ac:dyDescent="0.2"/>
    <row r="30032" ht="9.9499999999999993" hidden="1" customHeight="1" x14ac:dyDescent="0.2"/>
    <row r="30033" ht="9.9499999999999993" hidden="1" customHeight="1" x14ac:dyDescent="0.2"/>
    <row r="30034" ht="9.9499999999999993" hidden="1" customHeight="1" x14ac:dyDescent="0.2"/>
    <row r="30035" ht="9.9499999999999993" hidden="1" customHeight="1" x14ac:dyDescent="0.2"/>
    <row r="30036" ht="9.9499999999999993" hidden="1" customHeight="1" x14ac:dyDescent="0.2"/>
    <row r="30037" ht="9.9499999999999993" hidden="1" customHeight="1" x14ac:dyDescent="0.2"/>
    <row r="30038" ht="9.9499999999999993" hidden="1" customHeight="1" x14ac:dyDescent="0.2"/>
    <row r="30039" ht="9.9499999999999993" hidden="1" customHeight="1" x14ac:dyDescent="0.2"/>
    <row r="30040" ht="9.9499999999999993" hidden="1" customHeight="1" x14ac:dyDescent="0.2"/>
    <row r="30041" ht="9.9499999999999993" hidden="1" customHeight="1" x14ac:dyDescent="0.2"/>
    <row r="30042" ht="9.9499999999999993" hidden="1" customHeight="1" x14ac:dyDescent="0.2"/>
    <row r="30043" ht="9.9499999999999993" hidden="1" customHeight="1" x14ac:dyDescent="0.2"/>
    <row r="30044" ht="9.9499999999999993" hidden="1" customHeight="1" x14ac:dyDescent="0.2"/>
    <row r="30045" ht="9.9499999999999993" hidden="1" customHeight="1" x14ac:dyDescent="0.2"/>
    <row r="30046" ht="9.9499999999999993" hidden="1" customHeight="1" x14ac:dyDescent="0.2"/>
    <row r="30047" ht="9.9499999999999993" hidden="1" customHeight="1" x14ac:dyDescent="0.2"/>
    <row r="30048" ht="9.9499999999999993" hidden="1" customHeight="1" x14ac:dyDescent="0.2"/>
    <row r="30049" ht="9.9499999999999993" hidden="1" customHeight="1" x14ac:dyDescent="0.2"/>
    <row r="30050" ht="9.9499999999999993" hidden="1" customHeight="1" x14ac:dyDescent="0.2"/>
    <row r="30051" ht="9.9499999999999993" hidden="1" customHeight="1" x14ac:dyDescent="0.2"/>
    <row r="30052" ht="9.9499999999999993" hidden="1" customHeight="1" x14ac:dyDescent="0.2"/>
    <row r="30053" ht="9.9499999999999993" hidden="1" customHeight="1" x14ac:dyDescent="0.2"/>
    <row r="30054" ht="9.9499999999999993" hidden="1" customHeight="1" x14ac:dyDescent="0.2"/>
    <row r="30055" ht="9.9499999999999993" hidden="1" customHeight="1" x14ac:dyDescent="0.2"/>
    <row r="30056" ht="9.9499999999999993" hidden="1" customHeight="1" x14ac:dyDescent="0.2"/>
    <row r="30057" ht="9.9499999999999993" hidden="1" customHeight="1" x14ac:dyDescent="0.2"/>
    <row r="30058" ht="9.9499999999999993" hidden="1" customHeight="1" x14ac:dyDescent="0.2"/>
    <row r="30059" ht="9.9499999999999993" hidden="1" customHeight="1" x14ac:dyDescent="0.2"/>
    <row r="30060" ht="9.9499999999999993" hidden="1" customHeight="1" x14ac:dyDescent="0.2"/>
    <row r="30061" ht="9.9499999999999993" hidden="1" customHeight="1" x14ac:dyDescent="0.2"/>
    <row r="30062" ht="9.9499999999999993" hidden="1" customHeight="1" x14ac:dyDescent="0.2"/>
    <row r="30063" ht="9.9499999999999993" hidden="1" customHeight="1" x14ac:dyDescent="0.2"/>
    <row r="30064" ht="9.9499999999999993" hidden="1" customHeight="1" x14ac:dyDescent="0.2"/>
    <row r="30065" ht="9.9499999999999993" hidden="1" customHeight="1" x14ac:dyDescent="0.2"/>
    <row r="30066" ht="9.9499999999999993" hidden="1" customHeight="1" x14ac:dyDescent="0.2"/>
    <row r="30067" ht="9.9499999999999993" hidden="1" customHeight="1" x14ac:dyDescent="0.2"/>
    <row r="30068" ht="9.9499999999999993" hidden="1" customHeight="1" x14ac:dyDescent="0.2"/>
    <row r="30069" ht="9.9499999999999993" hidden="1" customHeight="1" x14ac:dyDescent="0.2"/>
    <row r="30070" ht="9.9499999999999993" hidden="1" customHeight="1" x14ac:dyDescent="0.2"/>
    <row r="30071" ht="9.9499999999999993" hidden="1" customHeight="1" x14ac:dyDescent="0.2"/>
    <row r="30072" ht="9.9499999999999993" hidden="1" customHeight="1" x14ac:dyDescent="0.2"/>
    <row r="30073" ht="9.9499999999999993" hidden="1" customHeight="1" x14ac:dyDescent="0.2"/>
    <row r="30074" ht="9.9499999999999993" hidden="1" customHeight="1" x14ac:dyDescent="0.2"/>
    <row r="30075" ht="9.9499999999999993" hidden="1" customHeight="1" x14ac:dyDescent="0.2"/>
    <row r="30076" ht="9.9499999999999993" hidden="1" customHeight="1" x14ac:dyDescent="0.2"/>
    <row r="30077" ht="9.9499999999999993" hidden="1" customHeight="1" x14ac:dyDescent="0.2"/>
    <row r="30078" ht="9.9499999999999993" hidden="1" customHeight="1" x14ac:dyDescent="0.2"/>
    <row r="30079" ht="9.9499999999999993" hidden="1" customHeight="1" x14ac:dyDescent="0.2"/>
    <row r="30080" ht="9.9499999999999993" hidden="1" customHeight="1" x14ac:dyDescent="0.2"/>
    <row r="30081" ht="9.9499999999999993" hidden="1" customHeight="1" x14ac:dyDescent="0.2"/>
    <row r="30082" ht="9.9499999999999993" hidden="1" customHeight="1" x14ac:dyDescent="0.2"/>
    <row r="30083" ht="9.9499999999999993" hidden="1" customHeight="1" x14ac:dyDescent="0.2"/>
    <row r="30084" ht="9.9499999999999993" hidden="1" customHeight="1" x14ac:dyDescent="0.2"/>
    <row r="30085" ht="9.9499999999999993" hidden="1" customHeight="1" x14ac:dyDescent="0.2"/>
    <row r="30086" ht="9.9499999999999993" hidden="1" customHeight="1" x14ac:dyDescent="0.2"/>
    <row r="30087" ht="9.9499999999999993" hidden="1" customHeight="1" x14ac:dyDescent="0.2"/>
    <row r="30088" ht="9.9499999999999993" hidden="1" customHeight="1" x14ac:dyDescent="0.2"/>
    <row r="30089" ht="9.9499999999999993" hidden="1" customHeight="1" x14ac:dyDescent="0.2"/>
    <row r="30090" ht="9.9499999999999993" hidden="1" customHeight="1" x14ac:dyDescent="0.2"/>
    <row r="30091" ht="9.9499999999999993" hidden="1" customHeight="1" x14ac:dyDescent="0.2"/>
    <row r="30092" ht="9.9499999999999993" hidden="1" customHeight="1" x14ac:dyDescent="0.2"/>
    <row r="30093" ht="9.9499999999999993" hidden="1" customHeight="1" x14ac:dyDescent="0.2"/>
    <row r="30094" ht="9.9499999999999993" hidden="1" customHeight="1" x14ac:dyDescent="0.2"/>
    <row r="30095" ht="9.9499999999999993" hidden="1" customHeight="1" x14ac:dyDescent="0.2"/>
    <row r="30096" ht="9.9499999999999993" hidden="1" customHeight="1" x14ac:dyDescent="0.2"/>
    <row r="30097" ht="9.9499999999999993" hidden="1" customHeight="1" x14ac:dyDescent="0.2"/>
    <row r="30098" ht="9.9499999999999993" hidden="1" customHeight="1" x14ac:dyDescent="0.2"/>
    <row r="30099" ht="9.9499999999999993" hidden="1" customHeight="1" x14ac:dyDescent="0.2"/>
    <row r="30100" ht="9.9499999999999993" hidden="1" customHeight="1" x14ac:dyDescent="0.2"/>
    <row r="30101" ht="9.9499999999999993" hidden="1" customHeight="1" x14ac:dyDescent="0.2"/>
    <row r="30102" ht="9.9499999999999993" hidden="1" customHeight="1" x14ac:dyDescent="0.2"/>
    <row r="30103" ht="9.9499999999999993" hidden="1" customHeight="1" x14ac:dyDescent="0.2"/>
    <row r="30104" ht="9.9499999999999993" hidden="1" customHeight="1" x14ac:dyDescent="0.2"/>
    <row r="30105" ht="9.9499999999999993" hidden="1" customHeight="1" x14ac:dyDescent="0.2"/>
    <row r="30106" ht="9.9499999999999993" hidden="1" customHeight="1" x14ac:dyDescent="0.2"/>
    <row r="30107" ht="9.9499999999999993" hidden="1" customHeight="1" x14ac:dyDescent="0.2"/>
    <row r="30108" ht="9.9499999999999993" hidden="1" customHeight="1" x14ac:dyDescent="0.2"/>
    <row r="30109" ht="9.9499999999999993" hidden="1" customHeight="1" x14ac:dyDescent="0.2"/>
    <row r="30110" ht="9.9499999999999993" hidden="1" customHeight="1" x14ac:dyDescent="0.2"/>
    <row r="30111" ht="9.9499999999999993" hidden="1" customHeight="1" x14ac:dyDescent="0.2"/>
    <row r="30112" ht="9.9499999999999993" hidden="1" customHeight="1" x14ac:dyDescent="0.2"/>
    <row r="30113" ht="9.9499999999999993" hidden="1" customHeight="1" x14ac:dyDescent="0.2"/>
    <row r="30114" ht="9.9499999999999993" hidden="1" customHeight="1" x14ac:dyDescent="0.2"/>
    <row r="30115" ht="9.9499999999999993" hidden="1" customHeight="1" x14ac:dyDescent="0.2"/>
    <row r="30116" ht="9.9499999999999993" hidden="1" customHeight="1" x14ac:dyDescent="0.2"/>
    <row r="30117" ht="9.9499999999999993" hidden="1" customHeight="1" x14ac:dyDescent="0.2"/>
    <row r="30118" ht="9.9499999999999993" hidden="1" customHeight="1" x14ac:dyDescent="0.2"/>
    <row r="30119" ht="9.9499999999999993" hidden="1" customHeight="1" x14ac:dyDescent="0.2"/>
    <row r="30120" ht="9.9499999999999993" hidden="1" customHeight="1" x14ac:dyDescent="0.2"/>
    <row r="30121" ht="9.9499999999999993" hidden="1" customHeight="1" x14ac:dyDescent="0.2"/>
    <row r="30122" ht="9.9499999999999993" hidden="1" customHeight="1" x14ac:dyDescent="0.2"/>
    <row r="30123" ht="9.9499999999999993" hidden="1" customHeight="1" x14ac:dyDescent="0.2"/>
    <row r="30124" ht="9.9499999999999993" hidden="1" customHeight="1" x14ac:dyDescent="0.2"/>
    <row r="30125" ht="9.9499999999999993" hidden="1" customHeight="1" x14ac:dyDescent="0.2"/>
    <row r="30126" ht="9.9499999999999993" hidden="1" customHeight="1" x14ac:dyDescent="0.2"/>
    <row r="30127" ht="9.9499999999999993" hidden="1" customHeight="1" x14ac:dyDescent="0.2"/>
    <row r="30128" ht="9.9499999999999993" hidden="1" customHeight="1" x14ac:dyDescent="0.2"/>
    <row r="30129" ht="9.9499999999999993" hidden="1" customHeight="1" x14ac:dyDescent="0.2"/>
    <row r="30130" ht="9.9499999999999993" hidden="1" customHeight="1" x14ac:dyDescent="0.2"/>
    <row r="30131" ht="9.9499999999999993" hidden="1" customHeight="1" x14ac:dyDescent="0.2"/>
    <row r="30132" ht="9.9499999999999993" hidden="1" customHeight="1" x14ac:dyDescent="0.2"/>
    <row r="30133" ht="9.9499999999999993" hidden="1" customHeight="1" x14ac:dyDescent="0.2"/>
    <row r="30134" ht="9.9499999999999993" hidden="1" customHeight="1" x14ac:dyDescent="0.2"/>
    <row r="30135" ht="9.9499999999999993" hidden="1" customHeight="1" x14ac:dyDescent="0.2"/>
    <row r="30136" ht="9.9499999999999993" hidden="1" customHeight="1" x14ac:dyDescent="0.2"/>
    <row r="30137" ht="9.9499999999999993" hidden="1" customHeight="1" x14ac:dyDescent="0.2"/>
    <row r="30138" ht="9.9499999999999993" hidden="1" customHeight="1" x14ac:dyDescent="0.2"/>
    <row r="30139" ht="9.9499999999999993" hidden="1" customHeight="1" x14ac:dyDescent="0.2"/>
    <row r="30140" ht="9.9499999999999993" hidden="1" customHeight="1" x14ac:dyDescent="0.2"/>
    <row r="30141" ht="9.9499999999999993" hidden="1" customHeight="1" x14ac:dyDescent="0.2"/>
    <row r="30142" ht="9.9499999999999993" hidden="1" customHeight="1" x14ac:dyDescent="0.2"/>
    <row r="30143" ht="9.9499999999999993" hidden="1" customHeight="1" x14ac:dyDescent="0.2"/>
    <row r="30144" ht="9.9499999999999993" hidden="1" customHeight="1" x14ac:dyDescent="0.2"/>
    <row r="30145" ht="9.9499999999999993" hidden="1" customHeight="1" x14ac:dyDescent="0.2"/>
    <row r="30146" ht="9.9499999999999993" hidden="1" customHeight="1" x14ac:dyDescent="0.2"/>
    <row r="30147" ht="9.9499999999999993" hidden="1" customHeight="1" x14ac:dyDescent="0.2"/>
    <row r="30148" ht="9.9499999999999993" hidden="1" customHeight="1" x14ac:dyDescent="0.2"/>
    <row r="30149" ht="9.9499999999999993" hidden="1" customHeight="1" x14ac:dyDescent="0.2"/>
    <row r="30150" ht="9.9499999999999993" hidden="1" customHeight="1" x14ac:dyDescent="0.2"/>
    <row r="30151" ht="9.9499999999999993" hidden="1" customHeight="1" x14ac:dyDescent="0.2"/>
    <row r="30152" ht="9.9499999999999993" hidden="1" customHeight="1" x14ac:dyDescent="0.2"/>
    <row r="30153" ht="9.9499999999999993" hidden="1" customHeight="1" x14ac:dyDescent="0.2"/>
    <row r="30154" ht="9.9499999999999993" hidden="1" customHeight="1" x14ac:dyDescent="0.2"/>
    <row r="30155" ht="9.9499999999999993" hidden="1" customHeight="1" x14ac:dyDescent="0.2"/>
    <row r="30156" ht="9.9499999999999993" hidden="1" customHeight="1" x14ac:dyDescent="0.2"/>
    <row r="30157" ht="9.9499999999999993" hidden="1" customHeight="1" x14ac:dyDescent="0.2"/>
    <row r="30158" ht="9.9499999999999993" hidden="1" customHeight="1" x14ac:dyDescent="0.2"/>
    <row r="30159" ht="9.9499999999999993" hidden="1" customHeight="1" x14ac:dyDescent="0.2"/>
    <row r="30160" ht="9.9499999999999993" hidden="1" customHeight="1" x14ac:dyDescent="0.2"/>
    <row r="30161" ht="9.9499999999999993" hidden="1" customHeight="1" x14ac:dyDescent="0.2"/>
    <row r="30162" ht="9.9499999999999993" hidden="1" customHeight="1" x14ac:dyDescent="0.2"/>
    <row r="30163" ht="9.9499999999999993" hidden="1" customHeight="1" x14ac:dyDescent="0.2"/>
    <row r="30164" ht="9.9499999999999993" hidden="1" customHeight="1" x14ac:dyDescent="0.2"/>
    <row r="30165" ht="9.9499999999999993" hidden="1" customHeight="1" x14ac:dyDescent="0.2"/>
    <row r="30166" ht="9.9499999999999993" hidden="1" customHeight="1" x14ac:dyDescent="0.2"/>
    <row r="30167" ht="9.9499999999999993" hidden="1" customHeight="1" x14ac:dyDescent="0.2"/>
    <row r="30168" ht="9.9499999999999993" hidden="1" customHeight="1" x14ac:dyDescent="0.2"/>
    <row r="30169" ht="9.9499999999999993" hidden="1" customHeight="1" x14ac:dyDescent="0.2"/>
    <row r="30170" ht="9.9499999999999993" hidden="1" customHeight="1" x14ac:dyDescent="0.2"/>
    <row r="30171" ht="9.9499999999999993" hidden="1" customHeight="1" x14ac:dyDescent="0.2"/>
    <row r="30172" ht="9.9499999999999993" hidden="1" customHeight="1" x14ac:dyDescent="0.2"/>
    <row r="30173" ht="9.9499999999999993" hidden="1" customHeight="1" x14ac:dyDescent="0.2"/>
    <row r="30174" ht="9.9499999999999993" hidden="1" customHeight="1" x14ac:dyDescent="0.2"/>
    <row r="30175" ht="9.9499999999999993" hidden="1" customHeight="1" x14ac:dyDescent="0.2"/>
    <row r="30176" ht="9.9499999999999993" hidden="1" customHeight="1" x14ac:dyDescent="0.2"/>
    <row r="30177" ht="9.9499999999999993" hidden="1" customHeight="1" x14ac:dyDescent="0.2"/>
    <row r="30178" ht="9.9499999999999993" hidden="1" customHeight="1" x14ac:dyDescent="0.2"/>
    <row r="30179" ht="9.9499999999999993" hidden="1" customHeight="1" x14ac:dyDescent="0.2"/>
    <row r="30180" ht="9.9499999999999993" hidden="1" customHeight="1" x14ac:dyDescent="0.2"/>
    <row r="30181" ht="9.9499999999999993" hidden="1" customHeight="1" x14ac:dyDescent="0.2"/>
    <row r="30182" ht="9.9499999999999993" hidden="1" customHeight="1" x14ac:dyDescent="0.2"/>
    <row r="30183" ht="9.9499999999999993" hidden="1" customHeight="1" x14ac:dyDescent="0.2"/>
    <row r="30184" ht="9.9499999999999993" hidden="1" customHeight="1" x14ac:dyDescent="0.2"/>
    <row r="30185" ht="9.9499999999999993" hidden="1" customHeight="1" x14ac:dyDescent="0.2"/>
    <row r="30186" ht="9.9499999999999993" hidden="1" customHeight="1" x14ac:dyDescent="0.2"/>
    <row r="30187" ht="9.9499999999999993" hidden="1" customHeight="1" x14ac:dyDescent="0.2"/>
    <row r="30188" ht="9.9499999999999993" hidden="1" customHeight="1" x14ac:dyDescent="0.2"/>
    <row r="30189" ht="9.9499999999999993" hidden="1" customHeight="1" x14ac:dyDescent="0.2"/>
    <row r="30190" ht="9.9499999999999993" hidden="1" customHeight="1" x14ac:dyDescent="0.2"/>
    <row r="30191" ht="9.9499999999999993" hidden="1" customHeight="1" x14ac:dyDescent="0.2"/>
    <row r="30192" ht="9.9499999999999993" hidden="1" customHeight="1" x14ac:dyDescent="0.2"/>
    <row r="30193" ht="9.9499999999999993" hidden="1" customHeight="1" x14ac:dyDescent="0.2"/>
    <row r="30194" ht="9.9499999999999993" hidden="1" customHeight="1" x14ac:dyDescent="0.2"/>
    <row r="30195" ht="9.9499999999999993" hidden="1" customHeight="1" x14ac:dyDescent="0.2"/>
    <row r="30196" ht="9.9499999999999993" hidden="1" customHeight="1" x14ac:dyDescent="0.2"/>
    <row r="30197" ht="9.9499999999999993" hidden="1" customHeight="1" x14ac:dyDescent="0.2"/>
    <row r="30198" ht="9.9499999999999993" hidden="1" customHeight="1" x14ac:dyDescent="0.2"/>
    <row r="30199" ht="9.9499999999999993" hidden="1" customHeight="1" x14ac:dyDescent="0.2"/>
    <row r="30200" ht="9.9499999999999993" hidden="1" customHeight="1" x14ac:dyDescent="0.2"/>
    <row r="30201" ht="9.9499999999999993" hidden="1" customHeight="1" x14ac:dyDescent="0.2"/>
    <row r="30202" ht="9.9499999999999993" hidden="1" customHeight="1" x14ac:dyDescent="0.2"/>
    <row r="30203" ht="9.9499999999999993" hidden="1" customHeight="1" x14ac:dyDescent="0.2"/>
    <row r="30204" ht="9.9499999999999993" hidden="1" customHeight="1" x14ac:dyDescent="0.2"/>
    <row r="30205" ht="9.9499999999999993" hidden="1" customHeight="1" x14ac:dyDescent="0.2"/>
    <row r="30206" ht="9.9499999999999993" hidden="1" customHeight="1" x14ac:dyDescent="0.2"/>
    <row r="30207" ht="9.9499999999999993" hidden="1" customHeight="1" x14ac:dyDescent="0.2"/>
    <row r="30208" ht="9.9499999999999993" hidden="1" customHeight="1" x14ac:dyDescent="0.2"/>
    <row r="30209" ht="9.9499999999999993" hidden="1" customHeight="1" x14ac:dyDescent="0.2"/>
    <row r="30210" ht="9.9499999999999993" hidden="1" customHeight="1" x14ac:dyDescent="0.2"/>
    <row r="30211" ht="9.9499999999999993" hidden="1" customHeight="1" x14ac:dyDescent="0.2"/>
    <row r="30212" ht="9.9499999999999993" hidden="1" customHeight="1" x14ac:dyDescent="0.2"/>
    <row r="30213" ht="9.9499999999999993" hidden="1" customHeight="1" x14ac:dyDescent="0.2"/>
    <row r="30214" ht="9.9499999999999993" hidden="1" customHeight="1" x14ac:dyDescent="0.2"/>
    <row r="30215" ht="9.9499999999999993" hidden="1" customHeight="1" x14ac:dyDescent="0.2"/>
    <row r="30216" ht="9.9499999999999993" hidden="1" customHeight="1" x14ac:dyDescent="0.2"/>
    <row r="30217" ht="9.9499999999999993" hidden="1" customHeight="1" x14ac:dyDescent="0.2"/>
    <row r="30218" ht="9.9499999999999993" hidden="1" customHeight="1" x14ac:dyDescent="0.2"/>
    <row r="30219" ht="9.9499999999999993" hidden="1" customHeight="1" x14ac:dyDescent="0.2"/>
    <row r="30220" ht="9.9499999999999993" hidden="1" customHeight="1" x14ac:dyDescent="0.2"/>
    <row r="30221" ht="9.9499999999999993" hidden="1" customHeight="1" x14ac:dyDescent="0.2"/>
    <row r="30222" ht="9.9499999999999993" hidden="1" customHeight="1" x14ac:dyDescent="0.2"/>
    <row r="30223" ht="9.9499999999999993" hidden="1" customHeight="1" x14ac:dyDescent="0.2"/>
    <row r="30224" ht="9.9499999999999993" hidden="1" customHeight="1" x14ac:dyDescent="0.2"/>
    <row r="30225" ht="9.9499999999999993" hidden="1" customHeight="1" x14ac:dyDescent="0.2"/>
    <row r="30226" ht="9.9499999999999993" hidden="1" customHeight="1" x14ac:dyDescent="0.2"/>
    <row r="30227" ht="9.9499999999999993" hidden="1" customHeight="1" x14ac:dyDescent="0.2"/>
    <row r="30228" ht="9.9499999999999993" hidden="1" customHeight="1" x14ac:dyDescent="0.2"/>
    <row r="30229" ht="9.9499999999999993" hidden="1" customHeight="1" x14ac:dyDescent="0.2"/>
    <row r="30230" ht="9.9499999999999993" hidden="1" customHeight="1" x14ac:dyDescent="0.2"/>
    <row r="30231" ht="9.9499999999999993" hidden="1" customHeight="1" x14ac:dyDescent="0.2"/>
    <row r="30232" ht="9.9499999999999993" hidden="1" customHeight="1" x14ac:dyDescent="0.2"/>
    <row r="30233" ht="9.9499999999999993" hidden="1" customHeight="1" x14ac:dyDescent="0.2"/>
    <row r="30234" ht="9.9499999999999993" hidden="1" customHeight="1" x14ac:dyDescent="0.2"/>
    <row r="30235" ht="9.9499999999999993" hidden="1" customHeight="1" x14ac:dyDescent="0.2"/>
    <row r="30236" ht="9.9499999999999993" hidden="1" customHeight="1" x14ac:dyDescent="0.2"/>
    <row r="30237" ht="9.9499999999999993" hidden="1" customHeight="1" x14ac:dyDescent="0.2"/>
    <row r="30238" ht="9.9499999999999993" hidden="1" customHeight="1" x14ac:dyDescent="0.2"/>
    <row r="30239" ht="9.9499999999999993" hidden="1" customHeight="1" x14ac:dyDescent="0.2"/>
    <row r="30240" ht="9.9499999999999993" hidden="1" customHeight="1" x14ac:dyDescent="0.2"/>
    <row r="30241" ht="9.9499999999999993" hidden="1" customHeight="1" x14ac:dyDescent="0.2"/>
    <row r="30242" ht="9.9499999999999993" hidden="1" customHeight="1" x14ac:dyDescent="0.2"/>
    <row r="30243" ht="9.9499999999999993" hidden="1" customHeight="1" x14ac:dyDescent="0.2"/>
    <row r="30244" ht="9.9499999999999993" hidden="1" customHeight="1" x14ac:dyDescent="0.2"/>
    <row r="30245" ht="9.9499999999999993" hidden="1" customHeight="1" x14ac:dyDescent="0.2"/>
    <row r="30246" ht="9.9499999999999993" hidden="1" customHeight="1" x14ac:dyDescent="0.2"/>
    <row r="30247" ht="9.9499999999999993" hidden="1" customHeight="1" x14ac:dyDescent="0.2"/>
    <row r="30248" ht="9.9499999999999993" hidden="1" customHeight="1" x14ac:dyDescent="0.2"/>
    <row r="30249" ht="9.9499999999999993" hidden="1" customHeight="1" x14ac:dyDescent="0.2"/>
    <row r="30250" ht="9.9499999999999993" hidden="1" customHeight="1" x14ac:dyDescent="0.2"/>
    <row r="30251" ht="9.9499999999999993" hidden="1" customHeight="1" x14ac:dyDescent="0.2"/>
    <row r="30252" ht="9.9499999999999993" hidden="1" customHeight="1" x14ac:dyDescent="0.2"/>
    <row r="30253" ht="9.9499999999999993" hidden="1" customHeight="1" x14ac:dyDescent="0.2"/>
    <row r="30254" ht="9.9499999999999993" hidden="1" customHeight="1" x14ac:dyDescent="0.2"/>
    <row r="30255" ht="9.9499999999999993" hidden="1" customHeight="1" x14ac:dyDescent="0.2"/>
    <row r="30256" ht="9.9499999999999993" hidden="1" customHeight="1" x14ac:dyDescent="0.2"/>
    <row r="30257" ht="9.9499999999999993" hidden="1" customHeight="1" x14ac:dyDescent="0.2"/>
    <row r="30258" ht="9.9499999999999993" hidden="1" customHeight="1" x14ac:dyDescent="0.2"/>
    <row r="30259" ht="9.9499999999999993" hidden="1" customHeight="1" x14ac:dyDescent="0.2"/>
    <row r="30260" ht="9.9499999999999993" hidden="1" customHeight="1" x14ac:dyDescent="0.2"/>
    <row r="30261" ht="9.9499999999999993" hidden="1" customHeight="1" x14ac:dyDescent="0.2"/>
    <row r="30262" ht="9.9499999999999993" hidden="1" customHeight="1" x14ac:dyDescent="0.2"/>
    <row r="30263" ht="9.9499999999999993" hidden="1" customHeight="1" x14ac:dyDescent="0.2"/>
    <row r="30264" ht="9.9499999999999993" hidden="1" customHeight="1" x14ac:dyDescent="0.2"/>
    <row r="30265" ht="9.9499999999999993" hidden="1" customHeight="1" x14ac:dyDescent="0.2"/>
    <row r="30266" ht="9.9499999999999993" hidden="1" customHeight="1" x14ac:dyDescent="0.2"/>
    <row r="30267" ht="9.9499999999999993" hidden="1" customHeight="1" x14ac:dyDescent="0.2"/>
    <row r="30268" ht="9.9499999999999993" hidden="1" customHeight="1" x14ac:dyDescent="0.2"/>
    <row r="30269" ht="9.9499999999999993" hidden="1" customHeight="1" x14ac:dyDescent="0.2"/>
    <row r="30270" ht="9.9499999999999993" hidden="1" customHeight="1" x14ac:dyDescent="0.2"/>
    <row r="30271" ht="9.9499999999999993" hidden="1" customHeight="1" x14ac:dyDescent="0.2"/>
    <row r="30272" ht="9.9499999999999993" hidden="1" customHeight="1" x14ac:dyDescent="0.2"/>
    <row r="30273" ht="9.9499999999999993" hidden="1" customHeight="1" x14ac:dyDescent="0.2"/>
    <row r="30274" ht="9.9499999999999993" hidden="1" customHeight="1" x14ac:dyDescent="0.2"/>
    <row r="30275" ht="9.9499999999999993" hidden="1" customHeight="1" x14ac:dyDescent="0.2"/>
    <row r="30276" ht="9.9499999999999993" hidden="1" customHeight="1" x14ac:dyDescent="0.2"/>
    <row r="30277" ht="9.9499999999999993" hidden="1" customHeight="1" x14ac:dyDescent="0.2"/>
    <row r="30278" ht="9.9499999999999993" hidden="1" customHeight="1" x14ac:dyDescent="0.2"/>
    <row r="30279" ht="9.9499999999999993" hidden="1" customHeight="1" x14ac:dyDescent="0.2"/>
    <row r="30280" ht="9.9499999999999993" hidden="1" customHeight="1" x14ac:dyDescent="0.2"/>
    <row r="30281" ht="9.9499999999999993" hidden="1" customHeight="1" x14ac:dyDescent="0.2"/>
    <row r="30282" ht="9.9499999999999993" hidden="1" customHeight="1" x14ac:dyDescent="0.2"/>
    <row r="30283" ht="9.9499999999999993" hidden="1" customHeight="1" x14ac:dyDescent="0.2"/>
    <row r="30284" ht="9.9499999999999993" hidden="1" customHeight="1" x14ac:dyDescent="0.2"/>
    <row r="30285" ht="9.9499999999999993" hidden="1" customHeight="1" x14ac:dyDescent="0.2"/>
    <row r="30286" ht="9.9499999999999993" hidden="1" customHeight="1" x14ac:dyDescent="0.2"/>
    <row r="30287" ht="9.9499999999999993" hidden="1" customHeight="1" x14ac:dyDescent="0.2"/>
    <row r="30288" ht="9.9499999999999993" hidden="1" customHeight="1" x14ac:dyDescent="0.2"/>
    <row r="30289" ht="9.9499999999999993" hidden="1" customHeight="1" x14ac:dyDescent="0.2"/>
    <row r="30290" ht="9.9499999999999993" hidden="1" customHeight="1" x14ac:dyDescent="0.2"/>
    <row r="30291" ht="9.9499999999999993" hidden="1" customHeight="1" x14ac:dyDescent="0.2"/>
    <row r="30292" ht="9.9499999999999993" hidden="1" customHeight="1" x14ac:dyDescent="0.2"/>
    <row r="30293" ht="9.9499999999999993" hidden="1" customHeight="1" x14ac:dyDescent="0.2"/>
    <row r="30294" ht="9.9499999999999993" hidden="1" customHeight="1" x14ac:dyDescent="0.2"/>
    <row r="30295" ht="9.9499999999999993" hidden="1" customHeight="1" x14ac:dyDescent="0.2"/>
    <row r="30296" ht="9.9499999999999993" hidden="1" customHeight="1" x14ac:dyDescent="0.2"/>
    <row r="30297" ht="9.9499999999999993" hidden="1" customHeight="1" x14ac:dyDescent="0.2"/>
    <row r="30298" ht="9.9499999999999993" hidden="1" customHeight="1" x14ac:dyDescent="0.2"/>
    <row r="30299" ht="9.9499999999999993" hidden="1" customHeight="1" x14ac:dyDescent="0.2"/>
    <row r="30300" ht="9.9499999999999993" hidden="1" customHeight="1" x14ac:dyDescent="0.2"/>
    <row r="30301" ht="9.9499999999999993" hidden="1" customHeight="1" x14ac:dyDescent="0.2"/>
    <row r="30302" ht="9.9499999999999993" hidden="1" customHeight="1" x14ac:dyDescent="0.2"/>
    <row r="30303" ht="9.9499999999999993" hidden="1" customHeight="1" x14ac:dyDescent="0.2"/>
    <row r="30304" ht="9.9499999999999993" hidden="1" customHeight="1" x14ac:dyDescent="0.2"/>
    <row r="30305" ht="9.9499999999999993" hidden="1" customHeight="1" x14ac:dyDescent="0.2"/>
    <row r="30306" ht="9.9499999999999993" hidden="1" customHeight="1" x14ac:dyDescent="0.2"/>
    <row r="30307" ht="9.9499999999999993" hidden="1" customHeight="1" x14ac:dyDescent="0.2"/>
    <row r="30308" ht="9.9499999999999993" hidden="1" customHeight="1" x14ac:dyDescent="0.2"/>
    <row r="30309" ht="9.9499999999999993" hidden="1" customHeight="1" x14ac:dyDescent="0.2"/>
    <row r="30310" ht="9.9499999999999993" hidden="1" customHeight="1" x14ac:dyDescent="0.2"/>
    <row r="30311" ht="9.9499999999999993" hidden="1" customHeight="1" x14ac:dyDescent="0.2"/>
    <row r="30312" ht="9.9499999999999993" hidden="1" customHeight="1" x14ac:dyDescent="0.2"/>
    <row r="30313" ht="9.9499999999999993" hidden="1" customHeight="1" x14ac:dyDescent="0.2"/>
    <row r="30314" ht="9.9499999999999993" hidden="1" customHeight="1" x14ac:dyDescent="0.2"/>
    <row r="30315" ht="9.9499999999999993" hidden="1" customHeight="1" x14ac:dyDescent="0.2"/>
    <row r="30316" ht="9.9499999999999993" hidden="1" customHeight="1" x14ac:dyDescent="0.2"/>
    <row r="30317" ht="9.9499999999999993" hidden="1" customHeight="1" x14ac:dyDescent="0.2"/>
    <row r="30318" ht="9.9499999999999993" hidden="1" customHeight="1" x14ac:dyDescent="0.2"/>
    <row r="30319" ht="9.9499999999999993" hidden="1" customHeight="1" x14ac:dyDescent="0.2"/>
    <row r="30320" ht="9.9499999999999993" hidden="1" customHeight="1" x14ac:dyDescent="0.2"/>
    <row r="30321" ht="9.9499999999999993" hidden="1" customHeight="1" x14ac:dyDescent="0.2"/>
    <row r="30322" ht="9.9499999999999993" hidden="1" customHeight="1" x14ac:dyDescent="0.2"/>
    <row r="30323" ht="9.9499999999999993" hidden="1" customHeight="1" x14ac:dyDescent="0.2"/>
    <row r="30324" ht="9.9499999999999993" hidden="1" customHeight="1" x14ac:dyDescent="0.2"/>
    <row r="30325" ht="9.9499999999999993" hidden="1" customHeight="1" x14ac:dyDescent="0.2"/>
    <row r="30326" ht="9.9499999999999993" hidden="1" customHeight="1" x14ac:dyDescent="0.2"/>
    <row r="30327" ht="9.9499999999999993" hidden="1" customHeight="1" x14ac:dyDescent="0.2"/>
    <row r="30328" ht="9.9499999999999993" hidden="1" customHeight="1" x14ac:dyDescent="0.2"/>
    <row r="30329" ht="9.9499999999999993" hidden="1" customHeight="1" x14ac:dyDescent="0.2"/>
    <row r="30330" ht="9.9499999999999993" hidden="1" customHeight="1" x14ac:dyDescent="0.2"/>
    <row r="30331" ht="9.9499999999999993" hidden="1" customHeight="1" x14ac:dyDescent="0.2"/>
    <row r="30332" ht="9.9499999999999993" hidden="1" customHeight="1" x14ac:dyDescent="0.2"/>
    <row r="30333" ht="9.9499999999999993" hidden="1" customHeight="1" x14ac:dyDescent="0.2"/>
    <row r="30334" ht="9.9499999999999993" hidden="1" customHeight="1" x14ac:dyDescent="0.2"/>
    <row r="30335" ht="9.9499999999999993" hidden="1" customHeight="1" x14ac:dyDescent="0.2"/>
    <row r="30336" ht="9.9499999999999993" hidden="1" customHeight="1" x14ac:dyDescent="0.2"/>
    <row r="30337" ht="9.9499999999999993" hidden="1" customHeight="1" x14ac:dyDescent="0.2"/>
    <row r="30338" ht="9.9499999999999993" hidden="1" customHeight="1" x14ac:dyDescent="0.2"/>
    <row r="30339" ht="9.9499999999999993" hidden="1" customHeight="1" x14ac:dyDescent="0.2"/>
    <row r="30340" ht="9.9499999999999993" hidden="1" customHeight="1" x14ac:dyDescent="0.2"/>
    <row r="30341" ht="9.9499999999999993" hidden="1" customHeight="1" x14ac:dyDescent="0.2"/>
    <row r="30342" ht="9.9499999999999993" hidden="1" customHeight="1" x14ac:dyDescent="0.2"/>
    <row r="30343" ht="9.9499999999999993" hidden="1" customHeight="1" x14ac:dyDescent="0.2"/>
    <row r="30344" ht="9.9499999999999993" hidden="1" customHeight="1" x14ac:dyDescent="0.2"/>
    <row r="30345" ht="9.9499999999999993" hidden="1" customHeight="1" x14ac:dyDescent="0.2"/>
    <row r="30346" ht="9.9499999999999993" hidden="1" customHeight="1" x14ac:dyDescent="0.2"/>
    <row r="30347" ht="9.9499999999999993" hidden="1" customHeight="1" x14ac:dyDescent="0.2"/>
    <row r="30348" ht="9.9499999999999993" hidden="1" customHeight="1" x14ac:dyDescent="0.2"/>
    <row r="30349" ht="9.9499999999999993" hidden="1" customHeight="1" x14ac:dyDescent="0.2"/>
    <row r="30350" ht="9.9499999999999993" hidden="1" customHeight="1" x14ac:dyDescent="0.2"/>
    <row r="30351" ht="9.9499999999999993" hidden="1" customHeight="1" x14ac:dyDescent="0.2"/>
    <row r="30352" ht="9.9499999999999993" hidden="1" customHeight="1" x14ac:dyDescent="0.2"/>
    <row r="30353" ht="9.9499999999999993" hidden="1" customHeight="1" x14ac:dyDescent="0.2"/>
    <row r="30354" ht="9.9499999999999993" hidden="1" customHeight="1" x14ac:dyDescent="0.2"/>
    <row r="30355" ht="9.9499999999999993" hidden="1" customHeight="1" x14ac:dyDescent="0.2"/>
    <row r="30356" ht="9.9499999999999993" hidden="1" customHeight="1" x14ac:dyDescent="0.2"/>
    <row r="30357" ht="9.9499999999999993" hidden="1" customHeight="1" x14ac:dyDescent="0.2"/>
    <row r="30358" ht="9.9499999999999993" hidden="1" customHeight="1" x14ac:dyDescent="0.2"/>
    <row r="30359" ht="9.9499999999999993" hidden="1" customHeight="1" x14ac:dyDescent="0.2"/>
    <row r="30360" ht="9.9499999999999993" hidden="1" customHeight="1" x14ac:dyDescent="0.2"/>
    <row r="30361" ht="9.9499999999999993" hidden="1" customHeight="1" x14ac:dyDescent="0.2"/>
    <row r="30362" ht="9.9499999999999993" hidden="1" customHeight="1" x14ac:dyDescent="0.2"/>
    <row r="30363" ht="9.9499999999999993" hidden="1" customHeight="1" x14ac:dyDescent="0.2"/>
    <row r="30364" ht="9.9499999999999993" hidden="1" customHeight="1" x14ac:dyDescent="0.2"/>
    <row r="30365" ht="9.9499999999999993" hidden="1" customHeight="1" x14ac:dyDescent="0.2"/>
    <row r="30366" ht="9.9499999999999993" hidden="1" customHeight="1" x14ac:dyDescent="0.2"/>
    <row r="30367" ht="9.9499999999999993" hidden="1" customHeight="1" x14ac:dyDescent="0.2"/>
    <row r="30368" ht="9.9499999999999993" hidden="1" customHeight="1" x14ac:dyDescent="0.2"/>
    <row r="30369" ht="9.9499999999999993" hidden="1" customHeight="1" x14ac:dyDescent="0.2"/>
    <row r="30370" ht="9.9499999999999993" hidden="1" customHeight="1" x14ac:dyDescent="0.2"/>
    <row r="30371" ht="9.9499999999999993" hidden="1" customHeight="1" x14ac:dyDescent="0.2"/>
    <row r="30372" ht="9.9499999999999993" hidden="1" customHeight="1" x14ac:dyDescent="0.2"/>
    <row r="30373" ht="9.9499999999999993" hidden="1" customHeight="1" x14ac:dyDescent="0.2"/>
    <row r="30374" ht="9.9499999999999993" hidden="1" customHeight="1" x14ac:dyDescent="0.2"/>
    <row r="30375" ht="9.9499999999999993" hidden="1" customHeight="1" x14ac:dyDescent="0.2"/>
    <row r="30376" ht="9.9499999999999993" hidden="1" customHeight="1" x14ac:dyDescent="0.2"/>
    <row r="30377" ht="9.9499999999999993" hidden="1" customHeight="1" x14ac:dyDescent="0.2"/>
    <row r="30378" ht="9.9499999999999993" hidden="1" customHeight="1" x14ac:dyDescent="0.2"/>
    <row r="30379" ht="9.9499999999999993" hidden="1" customHeight="1" x14ac:dyDescent="0.2"/>
    <row r="30380" ht="9.9499999999999993" hidden="1" customHeight="1" x14ac:dyDescent="0.2"/>
    <row r="30381" ht="9.9499999999999993" hidden="1" customHeight="1" x14ac:dyDescent="0.2"/>
    <row r="30382" ht="9.9499999999999993" hidden="1" customHeight="1" x14ac:dyDescent="0.2"/>
    <row r="30383" ht="9.9499999999999993" hidden="1" customHeight="1" x14ac:dyDescent="0.2"/>
    <row r="30384" ht="9.9499999999999993" hidden="1" customHeight="1" x14ac:dyDescent="0.2"/>
    <row r="30385" ht="9.9499999999999993" hidden="1" customHeight="1" x14ac:dyDescent="0.2"/>
    <row r="30386" ht="9.9499999999999993" hidden="1" customHeight="1" x14ac:dyDescent="0.2"/>
    <row r="30387" ht="9.9499999999999993" hidden="1" customHeight="1" x14ac:dyDescent="0.2"/>
    <row r="30388" ht="9.9499999999999993" hidden="1" customHeight="1" x14ac:dyDescent="0.2"/>
    <row r="30389" ht="9.9499999999999993" hidden="1" customHeight="1" x14ac:dyDescent="0.2"/>
    <row r="30390" ht="9.9499999999999993" hidden="1" customHeight="1" x14ac:dyDescent="0.2"/>
    <row r="30391" ht="9.9499999999999993" hidden="1" customHeight="1" x14ac:dyDescent="0.2"/>
    <row r="30392" ht="9.9499999999999993" hidden="1" customHeight="1" x14ac:dyDescent="0.2"/>
    <row r="30393" ht="9.9499999999999993" hidden="1" customHeight="1" x14ac:dyDescent="0.2"/>
    <row r="30394" ht="9.9499999999999993" hidden="1" customHeight="1" x14ac:dyDescent="0.2"/>
    <row r="30395" ht="9.9499999999999993" hidden="1" customHeight="1" x14ac:dyDescent="0.2"/>
    <row r="30396" ht="9.9499999999999993" hidden="1" customHeight="1" x14ac:dyDescent="0.2"/>
    <row r="30397" ht="9.9499999999999993" hidden="1" customHeight="1" x14ac:dyDescent="0.2"/>
    <row r="30398" ht="9.9499999999999993" hidden="1" customHeight="1" x14ac:dyDescent="0.2"/>
    <row r="30399" ht="9.9499999999999993" hidden="1" customHeight="1" x14ac:dyDescent="0.2"/>
    <row r="30400" ht="9.9499999999999993" hidden="1" customHeight="1" x14ac:dyDescent="0.2"/>
    <row r="30401" ht="9.9499999999999993" hidden="1" customHeight="1" x14ac:dyDescent="0.2"/>
    <row r="30402" ht="9.9499999999999993" hidden="1" customHeight="1" x14ac:dyDescent="0.2"/>
    <row r="30403" ht="9.9499999999999993" hidden="1" customHeight="1" x14ac:dyDescent="0.2"/>
    <row r="30404" ht="9.9499999999999993" hidden="1" customHeight="1" x14ac:dyDescent="0.2"/>
    <row r="30405" ht="9.9499999999999993" hidden="1" customHeight="1" x14ac:dyDescent="0.2"/>
    <row r="30406" ht="9.9499999999999993" hidden="1" customHeight="1" x14ac:dyDescent="0.2"/>
    <row r="30407" ht="9.9499999999999993" hidden="1" customHeight="1" x14ac:dyDescent="0.2"/>
    <row r="30408" ht="9.9499999999999993" hidden="1" customHeight="1" x14ac:dyDescent="0.2"/>
    <row r="30409" ht="9.9499999999999993" hidden="1" customHeight="1" x14ac:dyDescent="0.2"/>
    <row r="30410" ht="9.9499999999999993" hidden="1" customHeight="1" x14ac:dyDescent="0.2"/>
    <row r="30411" ht="9.9499999999999993" hidden="1" customHeight="1" x14ac:dyDescent="0.2"/>
    <row r="30412" ht="9.9499999999999993" hidden="1" customHeight="1" x14ac:dyDescent="0.2"/>
    <row r="30413" ht="9.9499999999999993" hidden="1" customHeight="1" x14ac:dyDescent="0.2"/>
    <row r="30414" ht="9.9499999999999993" hidden="1" customHeight="1" x14ac:dyDescent="0.2"/>
    <row r="30415" ht="9.9499999999999993" hidden="1" customHeight="1" x14ac:dyDescent="0.2"/>
    <row r="30416" ht="9.9499999999999993" hidden="1" customHeight="1" x14ac:dyDescent="0.2"/>
    <row r="30417" ht="9.9499999999999993" hidden="1" customHeight="1" x14ac:dyDescent="0.2"/>
    <row r="30418" ht="9.9499999999999993" hidden="1" customHeight="1" x14ac:dyDescent="0.2"/>
    <row r="30419" ht="9.9499999999999993" hidden="1" customHeight="1" x14ac:dyDescent="0.2"/>
    <row r="30420" ht="9.9499999999999993" hidden="1" customHeight="1" x14ac:dyDescent="0.2"/>
    <row r="30421" ht="9.9499999999999993" hidden="1" customHeight="1" x14ac:dyDescent="0.2"/>
    <row r="30422" ht="9.9499999999999993" hidden="1" customHeight="1" x14ac:dyDescent="0.2"/>
    <row r="30423" ht="9.9499999999999993" hidden="1" customHeight="1" x14ac:dyDescent="0.2"/>
    <row r="30424" ht="9.9499999999999993" hidden="1" customHeight="1" x14ac:dyDescent="0.2"/>
    <row r="30425" ht="9.9499999999999993" hidden="1" customHeight="1" x14ac:dyDescent="0.2"/>
    <row r="30426" ht="9.9499999999999993" hidden="1" customHeight="1" x14ac:dyDescent="0.2"/>
    <row r="30427" ht="9.9499999999999993" hidden="1" customHeight="1" x14ac:dyDescent="0.2"/>
    <row r="30428" ht="9.9499999999999993" hidden="1" customHeight="1" x14ac:dyDescent="0.2"/>
    <row r="30429" ht="9.9499999999999993" hidden="1" customHeight="1" x14ac:dyDescent="0.2"/>
    <row r="30430" ht="9.9499999999999993" hidden="1" customHeight="1" x14ac:dyDescent="0.2"/>
    <row r="30431" ht="9.9499999999999993" hidden="1" customHeight="1" x14ac:dyDescent="0.2"/>
    <row r="30432" ht="9.9499999999999993" hidden="1" customHeight="1" x14ac:dyDescent="0.2"/>
    <row r="30433" ht="9.9499999999999993" hidden="1" customHeight="1" x14ac:dyDescent="0.2"/>
    <row r="30434" ht="9.9499999999999993" hidden="1" customHeight="1" x14ac:dyDescent="0.2"/>
    <row r="30435" ht="9.9499999999999993" hidden="1" customHeight="1" x14ac:dyDescent="0.2"/>
    <row r="30436" ht="9.9499999999999993" hidden="1" customHeight="1" x14ac:dyDescent="0.2"/>
    <row r="30437" ht="9.9499999999999993" hidden="1" customHeight="1" x14ac:dyDescent="0.2"/>
    <row r="30438" ht="9.9499999999999993" hidden="1" customHeight="1" x14ac:dyDescent="0.2"/>
    <row r="30439" ht="9.9499999999999993" hidden="1" customHeight="1" x14ac:dyDescent="0.2"/>
    <row r="30440" ht="9.9499999999999993" hidden="1" customHeight="1" x14ac:dyDescent="0.2"/>
    <row r="30441" ht="9.9499999999999993" hidden="1" customHeight="1" x14ac:dyDescent="0.2"/>
    <row r="30442" ht="9.9499999999999993" hidden="1" customHeight="1" x14ac:dyDescent="0.2"/>
    <row r="30443" ht="9.9499999999999993" hidden="1" customHeight="1" x14ac:dyDescent="0.2"/>
    <row r="30444" ht="9.9499999999999993" hidden="1" customHeight="1" x14ac:dyDescent="0.2"/>
    <row r="30445" ht="9.9499999999999993" hidden="1" customHeight="1" x14ac:dyDescent="0.2"/>
    <row r="30446" ht="9.9499999999999993" hidden="1" customHeight="1" x14ac:dyDescent="0.2"/>
    <row r="30447" ht="9.9499999999999993" hidden="1" customHeight="1" x14ac:dyDescent="0.2"/>
    <row r="30448" ht="9.9499999999999993" hidden="1" customHeight="1" x14ac:dyDescent="0.2"/>
    <row r="30449" ht="9.9499999999999993" hidden="1" customHeight="1" x14ac:dyDescent="0.2"/>
    <row r="30450" ht="9.9499999999999993" hidden="1" customHeight="1" x14ac:dyDescent="0.2"/>
    <row r="30451" ht="9.9499999999999993" hidden="1" customHeight="1" x14ac:dyDescent="0.2"/>
    <row r="30452" ht="9.9499999999999993" hidden="1" customHeight="1" x14ac:dyDescent="0.2"/>
    <row r="30453" ht="9.9499999999999993" hidden="1" customHeight="1" x14ac:dyDescent="0.2"/>
    <row r="30454" ht="9.9499999999999993" hidden="1" customHeight="1" x14ac:dyDescent="0.2"/>
    <row r="30455" ht="9.9499999999999993" hidden="1" customHeight="1" x14ac:dyDescent="0.2"/>
    <row r="30456" ht="9.9499999999999993" hidden="1" customHeight="1" x14ac:dyDescent="0.2"/>
    <row r="30457" ht="9.9499999999999993" hidden="1" customHeight="1" x14ac:dyDescent="0.2"/>
    <row r="30458" ht="9.9499999999999993" hidden="1" customHeight="1" x14ac:dyDescent="0.2"/>
    <row r="30459" ht="9.9499999999999993" hidden="1" customHeight="1" x14ac:dyDescent="0.2"/>
    <row r="30460" ht="9.9499999999999993" hidden="1" customHeight="1" x14ac:dyDescent="0.2"/>
    <row r="30461" ht="9.9499999999999993" hidden="1" customHeight="1" x14ac:dyDescent="0.2"/>
    <row r="30462" ht="9.9499999999999993" hidden="1" customHeight="1" x14ac:dyDescent="0.2"/>
    <row r="30463" ht="9.9499999999999993" hidden="1" customHeight="1" x14ac:dyDescent="0.2"/>
    <row r="30464" ht="9.9499999999999993" hidden="1" customHeight="1" x14ac:dyDescent="0.2"/>
    <row r="30465" ht="9.9499999999999993" hidden="1" customHeight="1" x14ac:dyDescent="0.2"/>
    <row r="30466" ht="9.9499999999999993" hidden="1" customHeight="1" x14ac:dyDescent="0.2"/>
    <row r="30467" ht="9.9499999999999993" hidden="1" customHeight="1" x14ac:dyDescent="0.2"/>
    <row r="30468" ht="9.9499999999999993" hidden="1" customHeight="1" x14ac:dyDescent="0.2"/>
    <row r="30469" ht="9.9499999999999993" hidden="1" customHeight="1" x14ac:dyDescent="0.2"/>
    <row r="30470" ht="9.9499999999999993" hidden="1" customHeight="1" x14ac:dyDescent="0.2"/>
    <row r="30471" ht="9.9499999999999993" hidden="1" customHeight="1" x14ac:dyDescent="0.2"/>
    <row r="30472" ht="9.9499999999999993" hidden="1" customHeight="1" x14ac:dyDescent="0.2"/>
    <row r="30473" ht="9.9499999999999993" hidden="1" customHeight="1" x14ac:dyDescent="0.2"/>
    <row r="30474" ht="9.9499999999999993" hidden="1" customHeight="1" x14ac:dyDescent="0.2"/>
    <row r="30475" ht="9.9499999999999993" hidden="1" customHeight="1" x14ac:dyDescent="0.2"/>
    <row r="30476" ht="9.9499999999999993" hidden="1" customHeight="1" x14ac:dyDescent="0.2"/>
    <row r="30477" ht="9.9499999999999993" hidden="1" customHeight="1" x14ac:dyDescent="0.2"/>
    <row r="30478" ht="9.9499999999999993" hidden="1" customHeight="1" x14ac:dyDescent="0.2"/>
    <row r="30479" ht="9.9499999999999993" hidden="1" customHeight="1" x14ac:dyDescent="0.2"/>
    <row r="30480" ht="9.9499999999999993" hidden="1" customHeight="1" x14ac:dyDescent="0.2"/>
    <row r="30481" ht="9.9499999999999993" hidden="1" customHeight="1" x14ac:dyDescent="0.2"/>
    <row r="30482" ht="9.9499999999999993" hidden="1" customHeight="1" x14ac:dyDescent="0.2"/>
    <row r="30483" ht="9.9499999999999993" hidden="1" customHeight="1" x14ac:dyDescent="0.2"/>
    <row r="30484" ht="9.9499999999999993" hidden="1" customHeight="1" x14ac:dyDescent="0.2"/>
    <row r="30485" ht="9.9499999999999993" hidden="1" customHeight="1" x14ac:dyDescent="0.2"/>
    <row r="30486" ht="9.9499999999999993" hidden="1" customHeight="1" x14ac:dyDescent="0.2"/>
    <row r="30487" ht="9.9499999999999993" hidden="1" customHeight="1" x14ac:dyDescent="0.2"/>
    <row r="30488" ht="9.9499999999999993" hidden="1" customHeight="1" x14ac:dyDescent="0.2"/>
    <row r="30489" ht="9.9499999999999993" hidden="1" customHeight="1" x14ac:dyDescent="0.2"/>
    <row r="30490" ht="9.9499999999999993" hidden="1" customHeight="1" x14ac:dyDescent="0.2"/>
    <row r="30491" ht="9.9499999999999993" hidden="1" customHeight="1" x14ac:dyDescent="0.2"/>
    <row r="30492" ht="9.9499999999999993" hidden="1" customHeight="1" x14ac:dyDescent="0.2"/>
    <row r="30493" ht="9.9499999999999993" hidden="1" customHeight="1" x14ac:dyDescent="0.2"/>
    <row r="30494" ht="9.9499999999999993" hidden="1" customHeight="1" x14ac:dyDescent="0.2"/>
    <row r="30495" ht="9.9499999999999993" hidden="1" customHeight="1" x14ac:dyDescent="0.2"/>
    <row r="30496" ht="9.9499999999999993" hidden="1" customHeight="1" x14ac:dyDescent="0.2"/>
    <row r="30497" ht="9.9499999999999993" hidden="1" customHeight="1" x14ac:dyDescent="0.2"/>
    <row r="30498" ht="9.9499999999999993" hidden="1" customHeight="1" x14ac:dyDescent="0.2"/>
    <row r="30499" ht="9.9499999999999993" hidden="1" customHeight="1" x14ac:dyDescent="0.2"/>
    <row r="30500" ht="9.9499999999999993" hidden="1" customHeight="1" x14ac:dyDescent="0.2"/>
    <row r="30501" ht="9.9499999999999993" hidden="1" customHeight="1" x14ac:dyDescent="0.2"/>
    <row r="30502" ht="9.9499999999999993" hidden="1" customHeight="1" x14ac:dyDescent="0.2"/>
    <row r="30503" ht="9.9499999999999993" hidden="1" customHeight="1" x14ac:dyDescent="0.2"/>
    <row r="30504" ht="9.9499999999999993" hidden="1" customHeight="1" x14ac:dyDescent="0.2"/>
    <row r="30505" ht="9.9499999999999993" hidden="1" customHeight="1" x14ac:dyDescent="0.2"/>
    <row r="30506" ht="9.9499999999999993" hidden="1" customHeight="1" x14ac:dyDescent="0.2"/>
    <row r="30507" ht="9.9499999999999993" hidden="1" customHeight="1" x14ac:dyDescent="0.2"/>
    <row r="30508" ht="9.9499999999999993" hidden="1" customHeight="1" x14ac:dyDescent="0.2"/>
    <row r="30509" ht="9.9499999999999993" hidden="1" customHeight="1" x14ac:dyDescent="0.2"/>
    <row r="30510" ht="9.9499999999999993" hidden="1" customHeight="1" x14ac:dyDescent="0.2"/>
    <row r="30511" ht="9.9499999999999993" hidden="1" customHeight="1" x14ac:dyDescent="0.2"/>
    <row r="30512" ht="9.9499999999999993" hidden="1" customHeight="1" x14ac:dyDescent="0.2"/>
    <row r="30513" ht="9.9499999999999993" hidden="1" customHeight="1" x14ac:dyDescent="0.2"/>
    <row r="30514" ht="9.9499999999999993" hidden="1" customHeight="1" x14ac:dyDescent="0.2"/>
    <row r="30515" ht="9.9499999999999993" hidden="1" customHeight="1" x14ac:dyDescent="0.2"/>
    <row r="30516" ht="9.9499999999999993" hidden="1" customHeight="1" x14ac:dyDescent="0.2"/>
    <row r="30517" ht="9.9499999999999993" hidden="1" customHeight="1" x14ac:dyDescent="0.2"/>
    <row r="30518" ht="9.9499999999999993" hidden="1" customHeight="1" x14ac:dyDescent="0.2"/>
    <row r="30519" ht="9.9499999999999993" hidden="1" customHeight="1" x14ac:dyDescent="0.2"/>
    <row r="30520" ht="9.9499999999999993" hidden="1" customHeight="1" x14ac:dyDescent="0.2"/>
    <row r="30521" ht="9.9499999999999993" hidden="1" customHeight="1" x14ac:dyDescent="0.2"/>
    <row r="30522" ht="9.9499999999999993" hidden="1" customHeight="1" x14ac:dyDescent="0.2"/>
    <row r="30523" ht="9.9499999999999993" hidden="1" customHeight="1" x14ac:dyDescent="0.2"/>
    <row r="30524" ht="9.9499999999999993" hidden="1" customHeight="1" x14ac:dyDescent="0.2"/>
    <row r="30525" ht="9.9499999999999993" hidden="1" customHeight="1" x14ac:dyDescent="0.2"/>
    <row r="30526" ht="9.9499999999999993" hidden="1" customHeight="1" x14ac:dyDescent="0.2"/>
    <row r="30527" ht="9.9499999999999993" hidden="1" customHeight="1" x14ac:dyDescent="0.2"/>
    <row r="30528" ht="9.9499999999999993" hidden="1" customHeight="1" x14ac:dyDescent="0.2"/>
    <row r="30529" ht="9.9499999999999993" hidden="1" customHeight="1" x14ac:dyDescent="0.2"/>
    <row r="30530" ht="9.9499999999999993" hidden="1" customHeight="1" x14ac:dyDescent="0.2"/>
    <row r="30531" ht="9.9499999999999993" hidden="1" customHeight="1" x14ac:dyDescent="0.2"/>
    <row r="30532" ht="9.9499999999999993" hidden="1" customHeight="1" x14ac:dyDescent="0.2"/>
    <row r="30533" ht="9.9499999999999993" hidden="1" customHeight="1" x14ac:dyDescent="0.2"/>
    <row r="30534" ht="9.9499999999999993" hidden="1" customHeight="1" x14ac:dyDescent="0.2"/>
    <row r="30535" ht="9.9499999999999993" hidden="1" customHeight="1" x14ac:dyDescent="0.2"/>
    <row r="30536" ht="9.9499999999999993" hidden="1" customHeight="1" x14ac:dyDescent="0.2"/>
    <row r="30537" ht="9.9499999999999993" hidden="1" customHeight="1" x14ac:dyDescent="0.2"/>
    <row r="30538" ht="9.9499999999999993" hidden="1" customHeight="1" x14ac:dyDescent="0.2"/>
    <row r="30539" ht="9.9499999999999993" hidden="1" customHeight="1" x14ac:dyDescent="0.2"/>
    <row r="30540" ht="9.9499999999999993" hidden="1" customHeight="1" x14ac:dyDescent="0.2"/>
    <row r="30541" ht="9.9499999999999993" hidden="1" customHeight="1" x14ac:dyDescent="0.2"/>
    <row r="30542" ht="9.9499999999999993" hidden="1" customHeight="1" x14ac:dyDescent="0.2"/>
    <row r="30543" ht="9.9499999999999993" hidden="1" customHeight="1" x14ac:dyDescent="0.2"/>
    <row r="30544" ht="9.9499999999999993" hidden="1" customHeight="1" x14ac:dyDescent="0.2"/>
    <row r="30545" ht="9.9499999999999993" hidden="1" customHeight="1" x14ac:dyDescent="0.2"/>
    <row r="30546" ht="9.9499999999999993" hidden="1" customHeight="1" x14ac:dyDescent="0.2"/>
    <row r="30547" ht="9.9499999999999993" hidden="1" customHeight="1" x14ac:dyDescent="0.2"/>
    <row r="30548" ht="9.9499999999999993" hidden="1" customHeight="1" x14ac:dyDescent="0.2"/>
    <row r="30549" ht="9.9499999999999993" hidden="1" customHeight="1" x14ac:dyDescent="0.2"/>
    <row r="30550" ht="9.9499999999999993" hidden="1" customHeight="1" x14ac:dyDescent="0.2"/>
    <row r="30551" ht="9.9499999999999993" hidden="1" customHeight="1" x14ac:dyDescent="0.2"/>
    <row r="30552" ht="9.9499999999999993" hidden="1" customHeight="1" x14ac:dyDescent="0.2"/>
    <row r="30553" ht="9.9499999999999993" hidden="1" customHeight="1" x14ac:dyDescent="0.2"/>
    <row r="30554" ht="9.9499999999999993" hidden="1" customHeight="1" x14ac:dyDescent="0.2"/>
    <row r="30555" ht="9.9499999999999993" hidden="1" customHeight="1" x14ac:dyDescent="0.2"/>
    <row r="30556" ht="9.9499999999999993" hidden="1" customHeight="1" x14ac:dyDescent="0.2"/>
    <row r="30557" ht="9.9499999999999993" hidden="1" customHeight="1" x14ac:dyDescent="0.2"/>
    <row r="30558" ht="9.9499999999999993" hidden="1" customHeight="1" x14ac:dyDescent="0.2"/>
    <row r="30559" ht="9.9499999999999993" hidden="1" customHeight="1" x14ac:dyDescent="0.2"/>
    <row r="30560" ht="9.9499999999999993" hidden="1" customHeight="1" x14ac:dyDescent="0.2"/>
    <row r="30561" ht="9.9499999999999993" hidden="1" customHeight="1" x14ac:dyDescent="0.2"/>
    <row r="30562" ht="9.9499999999999993" hidden="1" customHeight="1" x14ac:dyDescent="0.2"/>
    <row r="30563" ht="9.9499999999999993" hidden="1" customHeight="1" x14ac:dyDescent="0.2"/>
    <row r="30564" ht="9.9499999999999993" hidden="1" customHeight="1" x14ac:dyDescent="0.2"/>
    <row r="30565" ht="9.9499999999999993" hidden="1" customHeight="1" x14ac:dyDescent="0.2"/>
    <row r="30566" ht="9.9499999999999993" hidden="1" customHeight="1" x14ac:dyDescent="0.2"/>
    <row r="30567" ht="9.9499999999999993" hidden="1" customHeight="1" x14ac:dyDescent="0.2"/>
    <row r="30568" ht="9.9499999999999993" hidden="1" customHeight="1" x14ac:dyDescent="0.2"/>
    <row r="30569" ht="9.9499999999999993" hidden="1" customHeight="1" x14ac:dyDescent="0.2"/>
    <row r="30570" ht="9.9499999999999993" hidden="1" customHeight="1" x14ac:dyDescent="0.2"/>
    <row r="30571" ht="9.9499999999999993" hidden="1" customHeight="1" x14ac:dyDescent="0.2"/>
    <row r="30572" ht="9.9499999999999993" hidden="1" customHeight="1" x14ac:dyDescent="0.2"/>
    <row r="30573" ht="9.9499999999999993" hidden="1" customHeight="1" x14ac:dyDescent="0.2"/>
    <row r="30574" ht="9.9499999999999993" hidden="1" customHeight="1" x14ac:dyDescent="0.2"/>
    <row r="30575" ht="9.9499999999999993" hidden="1" customHeight="1" x14ac:dyDescent="0.2"/>
    <row r="30576" ht="9.9499999999999993" hidden="1" customHeight="1" x14ac:dyDescent="0.2"/>
    <row r="30577" ht="9.9499999999999993" hidden="1" customHeight="1" x14ac:dyDescent="0.2"/>
    <row r="30578" ht="9.9499999999999993" hidden="1" customHeight="1" x14ac:dyDescent="0.2"/>
    <row r="30579" ht="9.9499999999999993" hidden="1" customHeight="1" x14ac:dyDescent="0.2"/>
    <row r="30580" ht="9.9499999999999993" hidden="1" customHeight="1" x14ac:dyDescent="0.2"/>
    <row r="30581" ht="9.9499999999999993" hidden="1" customHeight="1" x14ac:dyDescent="0.2"/>
    <row r="30582" ht="9.9499999999999993" hidden="1" customHeight="1" x14ac:dyDescent="0.2"/>
    <row r="30583" ht="9.9499999999999993" hidden="1" customHeight="1" x14ac:dyDescent="0.2"/>
    <row r="30584" ht="9.9499999999999993" hidden="1" customHeight="1" x14ac:dyDescent="0.2"/>
    <row r="30585" ht="9.9499999999999993" hidden="1" customHeight="1" x14ac:dyDescent="0.2"/>
    <row r="30586" ht="9.9499999999999993" hidden="1" customHeight="1" x14ac:dyDescent="0.2"/>
    <row r="30587" ht="9.9499999999999993" hidden="1" customHeight="1" x14ac:dyDescent="0.2"/>
    <row r="30588" ht="9.9499999999999993" hidden="1" customHeight="1" x14ac:dyDescent="0.2"/>
    <row r="30589" ht="9.9499999999999993" hidden="1" customHeight="1" x14ac:dyDescent="0.2"/>
    <row r="30590" ht="9.9499999999999993" hidden="1" customHeight="1" x14ac:dyDescent="0.2"/>
    <row r="30591" ht="9.9499999999999993" hidden="1" customHeight="1" x14ac:dyDescent="0.2"/>
    <row r="30592" ht="9.9499999999999993" hidden="1" customHeight="1" x14ac:dyDescent="0.2"/>
    <row r="30593" ht="9.9499999999999993" hidden="1" customHeight="1" x14ac:dyDescent="0.2"/>
    <row r="30594" ht="9.9499999999999993" hidden="1" customHeight="1" x14ac:dyDescent="0.2"/>
    <row r="30595" ht="9.9499999999999993" hidden="1" customHeight="1" x14ac:dyDescent="0.2"/>
    <row r="30596" ht="9.9499999999999993" hidden="1" customHeight="1" x14ac:dyDescent="0.2"/>
    <row r="30597" ht="9.9499999999999993" hidden="1" customHeight="1" x14ac:dyDescent="0.2"/>
    <row r="30598" ht="9.9499999999999993" hidden="1" customHeight="1" x14ac:dyDescent="0.2"/>
    <row r="30599" ht="9.9499999999999993" hidden="1" customHeight="1" x14ac:dyDescent="0.2"/>
    <row r="30600" ht="9.9499999999999993" hidden="1" customHeight="1" x14ac:dyDescent="0.2"/>
    <row r="30601" ht="9.9499999999999993" hidden="1" customHeight="1" x14ac:dyDescent="0.2"/>
    <row r="30602" ht="9.9499999999999993" hidden="1" customHeight="1" x14ac:dyDescent="0.2"/>
    <row r="30603" ht="9.9499999999999993" hidden="1" customHeight="1" x14ac:dyDescent="0.2"/>
    <row r="30604" ht="9.9499999999999993" hidden="1" customHeight="1" x14ac:dyDescent="0.2"/>
    <row r="30605" ht="9.9499999999999993" hidden="1" customHeight="1" x14ac:dyDescent="0.2"/>
    <row r="30606" ht="9.9499999999999993" hidden="1" customHeight="1" x14ac:dyDescent="0.2"/>
    <row r="30607" ht="9.9499999999999993" hidden="1" customHeight="1" x14ac:dyDescent="0.2"/>
    <row r="30608" ht="9.9499999999999993" hidden="1" customHeight="1" x14ac:dyDescent="0.2"/>
    <row r="30609" ht="9.9499999999999993" hidden="1" customHeight="1" x14ac:dyDescent="0.2"/>
    <row r="30610" ht="9.9499999999999993" hidden="1" customHeight="1" x14ac:dyDescent="0.2"/>
    <row r="30611" ht="9.9499999999999993" hidden="1" customHeight="1" x14ac:dyDescent="0.2"/>
    <row r="30612" ht="9.9499999999999993" hidden="1" customHeight="1" x14ac:dyDescent="0.2"/>
    <row r="30613" ht="9.9499999999999993" hidden="1" customHeight="1" x14ac:dyDescent="0.2"/>
    <row r="30614" ht="9.9499999999999993" hidden="1" customHeight="1" x14ac:dyDescent="0.2"/>
    <row r="30615" ht="9.9499999999999993" hidden="1" customHeight="1" x14ac:dyDescent="0.2"/>
    <row r="30616" ht="9.9499999999999993" hidden="1" customHeight="1" x14ac:dyDescent="0.2"/>
    <row r="30617" ht="9.9499999999999993" hidden="1" customHeight="1" x14ac:dyDescent="0.2"/>
    <row r="30618" ht="9.9499999999999993" hidden="1" customHeight="1" x14ac:dyDescent="0.2"/>
    <row r="30619" ht="9.9499999999999993" hidden="1" customHeight="1" x14ac:dyDescent="0.2"/>
    <row r="30620" ht="9.9499999999999993" hidden="1" customHeight="1" x14ac:dyDescent="0.2"/>
    <row r="30621" ht="9.9499999999999993" hidden="1" customHeight="1" x14ac:dyDescent="0.2"/>
    <row r="30622" ht="9.9499999999999993" hidden="1" customHeight="1" x14ac:dyDescent="0.2"/>
    <row r="30623" ht="9.9499999999999993" hidden="1" customHeight="1" x14ac:dyDescent="0.2"/>
    <row r="30624" ht="9.9499999999999993" hidden="1" customHeight="1" x14ac:dyDescent="0.2"/>
    <row r="30625" ht="9.9499999999999993" hidden="1" customHeight="1" x14ac:dyDescent="0.2"/>
    <row r="30626" ht="9.9499999999999993" hidden="1" customHeight="1" x14ac:dyDescent="0.2"/>
    <row r="30627" ht="9.9499999999999993" hidden="1" customHeight="1" x14ac:dyDescent="0.2"/>
    <row r="30628" ht="9.9499999999999993" hidden="1" customHeight="1" x14ac:dyDescent="0.2"/>
    <row r="30629" ht="9.9499999999999993" hidden="1" customHeight="1" x14ac:dyDescent="0.2"/>
    <row r="30630" ht="9.9499999999999993" hidden="1" customHeight="1" x14ac:dyDescent="0.2"/>
    <row r="30631" ht="9.9499999999999993" hidden="1" customHeight="1" x14ac:dyDescent="0.2"/>
    <row r="30632" ht="9.9499999999999993" hidden="1" customHeight="1" x14ac:dyDescent="0.2"/>
    <row r="30633" ht="9.9499999999999993" hidden="1" customHeight="1" x14ac:dyDescent="0.2"/>
    <row r="30634" ht="9.9499999999999993" hidden="1" customHeight="1" x14ac:dyDescent="0.2"/>
    <row r="30635" ht="9.9499999999999993" hidden="1" customHeight="1" x14ac:dyDescent="0.2"/>
    <row r="30636" ht="9.9499999999999993" hidden="1" customHeight="1" x14ac:dyDescent="0.2"/>
    <row r="30637" ht="9.9499999999999993" hidden="1" customHeight="1" x14ac:dyDescent="0.2"/>
    <row r="30638" ht="9.9499999999999993" hidden="1" customHeight="1" x14ac:dyDescent="0.2"/>
    <row r="30639" ht="9.9499999999999993" hidden="1" customHeight="1" x14ac:dyDescent="0.2"/>
    <row r="30640" ht="9.9499999999999993" hidden="1" customHeight="1" x14ac:dyDescent="0.2"/>
    <row r="30641" ht="9.9499999999999993" hidden="1" customHeight="1" x14ac:dyDescent="0.2"/>
    <row r="30642" ht="9.9499999999999993" hidden="1" customHeight="1" x14ac:dyDescent="0.2"/>
    <row r="30643" ht="9.9499999999999993" hidden="1" customHeight="1" x14ac:dyDescent="0.2"/>
    <row r="30644" ht="9.9499999999999993" hidden="1" customHeight="1" x14ac:dyDescent="0.2"/>
    <row r="30645" ht="9.9499999999999993" hidden="1" customHeight="1" x14ac:dyDescent="0.2"/>
    <row r="30646" ht="9.9499999999999993" hidden="1" customHeight="1" x14ac:dyDescent="0.2"/>
    <row r="30647" ht="9.9499999999999993" hidden="1" customHeight="1" x14ac:dyDescent="0.2"/>
    <row r="30648" ht="9.9499999999999993" hidden="1" customHeight="1" x14ac:dyDescent="0.2"/>
    <row r="30649" ht="9.9499999999999993" hidden="1" customHeight="1" x14ac:dyDescent="0.2"/>
    <row r="30650" ht="9.9499999999999993" hidden="1" customHeight="1" x14ac:dyDescent="0.2"/>
    <row r="30651" ht="9.9499999999999993" hidden="1" customHeight="1" x14ac:dyDescent="0.2"/>
    <row r="30652" ht="9.9499999999999993" hidden="1" customHeight="1" x14ac:dyDescent="0.2"/>
    <row r="30653" ht="9.9499999999999993" hidden="1" customHeight="1" x14ac:dyDescent="0.2"/>
    <row r="30654" ht="9.9499999999999993" hidden="1" customHeight="1" x14ac:dyDescent="0.2"/>
    <row r="30655" ht="9.9499999999999993" hidden="1" customHeight="1" x14ac:dyDescent="0.2"/>
    <row r="30656" ht="9.9499999999999993" hidden="1" customHeight="1" x14ac:dyDescent="0.2"/>
    <row r="30657" ht="9.9499999999999993" hidden="1" customHeight="1" x14ac:dyDescent="0.2"/>
    <row r="30658" ht="9.9499999999999993" hidden="1" customHeight="1" x14ac:dyDescent="0.2"/>
    <row r="30659" ht="9.9499999999999993" hidden="1" customHeight="1" x14ac:dyDescent="0.2"/>
    <row r="30660" ht="9.9499999999999993" hidden="1" customHeight="1" x14ac:dyDescent="0.2"/>
    <row r="30661" ht="9.9499999999999993" hidden="1" customHeight="1" x14ac:dyDescent="0.2"/>
    <row r="30662" ht="9.9499999999999993" hidden="1" customHeight="1" x14ac:dyDescent="0.2"/>
    <row r="30663" ht="9.9499999999999993" hidden="1" customHeight="1" x14ac:dyDescent="0.2"/>
    <row r="30664" ht="9.9499999999999993" hidden="1" customHeight="1" x14ac:dyDescent="0.2"/>
    <row r="30665" ht="9.9499999999999993" hidden="1" customHeight="1" x14ac:dyDescent="0.2"/>
    <row r="30666" ht="9.9499999999999993" hidden="1" customHeight="1" x14ac:dyDescent="0.2"/>
    <row r="30667" ht="9.9499999999999993" hidden="1" customHeight="1" x14ac:dyDescent="0.2"/>
    <row r="30668" ht="9.9499999999999993" hidden="1" customHeight="1" x14ac:dyDescent="0.2"/>
    <row r="30669" ht="9.9499999999999993" hidden="1" customHeight="1" x14ac:dyDescent="0.2"/>
    <row r="30670" ht="9.9499999999999993" hidden="1" customHeight="1" x14ac:dyDescent="0.2"/>
    <row r="30671" ht="9.9499999999999993" hidden="1" customHeight="1" x14ac:dyDescent="0.2"/>
    <row r="30672" ht="9.9499999999999993" hidden="1" customHeight="1" x14ac:dyDescent="0.2"/>
    <row r="30673" ht="9.9499999999999993" hidden="1" customHeight="1" x14ac:dyDescent="0.2"/>
    <row r="30674" ht="9.9499999999999993" hidden="1" customHeight="1" x14ac:dyDescent="0.2"/>
    <row r="30675" ht="9.9499999999999993" hidden="1" customHeight="1" x14ac:dyDescent="0.2"/>
    <row r="30676" ht="9.9499999999999993" hidden="1" customHeight="1" x14ac:dyDescent="0.2"/>
    <row r="30677" ht="9.9499999999999993" hidden="1" customHeight="1" x14ac:dyDescent="0.2"/>
    <row r="30678" ht="9.9499999999999993" hidden="1" customHeight="1" x14ac:dyDescent="0.2"/>
    <row r="30679" ht="9.9499999999999993" hidden="1" customHeight="1" x14ac:dyDescent="0.2"/>
    <row r="30680" ht="9.9499999999999993" hidden="1" customHeight="1" x14ac:dyDescent="0.2"/>
    <row r="30681" ht="9.9499999999999993" hidden="1" customHeight="1" x14ac:dyDescent="0.2"/>
    <row r="30682" ht="9.9499999999999993" hidden="1" customHeight="1" x14ac:dyDescent="0.2"/>
    <row r="30683" ht="9.9499999999999993" hidden="1" customHeight="1" x14ac:dyDescent="0.2"/>
    <row r="30684" ht="9.9499999999999993" hidden="1" customHeight="1" x14ac:dyDescent="0.2"/>
    <row r="30685" ht="9.9499999999999993" hidden="1" customHeight="1" x14ac:dyDescent="0.2"/>
    <row r="30686" ht="9.9499999999999993" hidden="1" customHeight="1" x14ac:dyDescent="0.2"/>
    <row r="30687" ht="9.9499999999999993" hidden="1" customHeight="1" x14ac:dyDescent="0.2"/>
    <row r="30688" ht="9.9499999999999993" hidden="1" customHeight="1" x14ac:dyDescent="0.2"/>
    <row r="30689" ht="9.9499999999999993" hidden="1" customHeight="1" x14ac:dyDescent="0.2"/>
    <row r="30690" ht="9.9499999999999993" hidden="1" customHeight="1" x14ac:dyDescent="0.2"/>
    <row r="30691" ht="9.9499999999999993" hidden="1" customHeight="1" x14ac:dyDescent="0.2"/>
    <row r="30692" ht="9.9499999999999993" hidden="1" customHeight="1" x14ac:dyDescent="0.2"/>
    <row r="30693" ht="9.9499999999999993" hidden="1" customHeight="1" x14ac:dyDescent="0.2"/>
    <row r="30694" ht="9.9499999999999993" hidden="1" customHeight="1" x14ac:dyDescent="0.2"/>
    <row r="30695" ht="9.9499999999999993" hidden="1" customHeight="1" x14ac:dyDescent="0.2"/>
    <row r="30696" ht="9.9499999999999993" hidden="1" customHeight="1" x14ac:dyDescent="0.2"/>
    <row r="30697" ht="9.9499999999999993" hidden="1" customHeight="1" x14ac:dyDescent="0.2"/>
    <row r="30698" ht="9.9499999999999993" hidden="1" customHeight="1" x14ac:dyDescent="0.2"/>
    <row r="30699" ht="9.9499999999999993" hidden="1" customHeight="1" x14ac:dyDescent="0.2"/>
    <row r="30700" ht="9.9499999999999993" hidden="1" customHeight="1" x14ac:dyDescent="0.2"/>
    <row r="30701" ht="9.9499999999999993" hidden="1" customHeight="1" x14ac:dyDescent="0.2"/>
    <row r="30702" ht="9.9499999999999993" hidden="1" customHeight="1" x14ac:dyDescent="0.2"/>
    <row r="30703" ht="9.9499999999999993" hidden="1" customHeight="1" x14ac:dyDescent="0.2"/>
    <row r="30704" ht="9.9499999999999993" hidden="1" customHeight="1" x14ac:dyDescent="0.2"/>
    <row r="30705" ht="9.9499999999999993" hidden="1" customHeight="1" x14ac:dyDescent="0.2"/>
    <row r="30706" ht="9.9499999999999993" hidden="1" customHeight="1" x14ac:dyDescent="0.2"/>
    <row r="30707" ht="9.9499999999999993" hidden="1" customHeight="1" x14ac:dyDescent="0.2"/>
    <row r="30708" ht="9.9499999999999993" hidden="1" customHeight="1" x14ac:dyDescent="0.2"/>
    <row r="30709" ht="9.9499999999999993" hidden="1" customHeight="1" x14ac:dyDescent="0.2"/>
    <row r="30710" ht="9.9499999999999993" hidden="1" customHeight="1" x14ac:dyDescent="0.2"/>
    <row r="30711" ht="9.9499999999999993" hidden="1" customHeight="1" x14ac:dyDescent="0.2"/>
    <row r="30712" ht="9.9499999999999993" hidden="1" customHeight="1" x14ac:dyDescent="0.2"/>
    <row r="30713" ht="9.9499999999999993" hidden="1" customHeight="1" x14ac:dyDescent="0.2"/>
    <row r="30714" ht="9.9499999999999993" hidden="1" customHeight="1" x14ac:dyDescent="0.2"/>
    <row r="30715" ht="9.9499999999999993" hidden="1" customHeight="1" x14ac:dyDescent="0.2"/>
    <row r="30716" ht="9.9499999999999993" hidden="1" customHeight="1" x14ac:dyDescent="0.2"/>
    <row r="30717" ht="9.9499999999999993" hidden="1" customHeight="1" x14ac:dyDescent="0.2"/>
    <row r="30718" ht="9.9499999999999993" hidden="1" customHeight="1" x14ac:dyDescent="0.2"/>
    <row r="30719" ht="9.9499999999999993" hidden="1" customHeight="1" x14ac:dyDescent="0.2"/>
    <row r="30720" ht="9.9499999999999993" hidden="1" customHeight="1" x14ac:dyDescent="0.2"/>
    <row r="30721" ht="9.9499999999999993" hidden="1" customHeight="1" x14ac:dyDescent="0.2"/>
    <row r="30722" ht="9.9499999999999993" hidden="1" customHeight="1" x14ac:dyDescent="0.2"/>
    <row r="30723" ht="9.9499999999999993" hidden="1" customHeight="1" x14ac:dyDescent="0.2"/>
    <row r="30724" ht="9.9499999999999993" hidden="1" customHeight="1" x14ac:dyDescent="0.2"/>
    <row r="30725" ht="9.9499999999999993" hidden="1" customHeight="1" x14ac:dyDescent="0.2"/>
    <row r="30726" ht="9.9499999999999993" hidden="1" customHeight="1" x14ac:dyDescent="0.2"/>
    <row r="30727" ht="9.9499999999999993" hidden="1" customHeight="1" x14ac:dyDescent="0.2"/>
    <row r="30728" ht="9.9499999999999993" hidden="1" customHeight="1" x14ac:dyDescent="0.2"/>
    <row r="30729" ht="9.9499999999999993" hidden="1" customHeight="1" x14ac:dyDescent="0.2"/>
    <row r="30730" ht="9.9499999999999993" hidden="1" customHeight="1" x14ac:dyDescent="0.2"/>
    <row r="30731" ht="9.9499999999999993" hidden="1" customHeight="1" x14ac:dyDescent="0.2"/>
    <row r="30732" ht="9.9499999999999993" hidden="1" customHeight="1" x14ac:dyDescent="0.2"/>
    <row r="30733" ht="9.9499999999999993" hidden="1" customHeight="1" x14ac:dyDescent="0.2"/>
    <row r="30734" ht="9.9499999999999993" hidden="1" customHeight="1" x14ac:dyDescent="0.2"/>
    <row r="30735" ht="9.9499999999999993" hidden="1" customHeight="1" x14ac:dyDescent="0.2"/>
    <row r="30736" ht="9.9499999999999993" hidden="1" customHeight="1" x14ac:dyDescent="0.2"/>
    <row r="30737" ht="9.9499999999999993" hidden="1" customHeight="1" x14ac:dyDescent="0.2"/>
    <row r="30738" ht="9.9499999999999993" hidden="1" customHeight="1" x14ac:dyDescent="0.2"/>
    <row r="30739" ht="9.9499999999999993" hidden="1" customHeight="1" x14ac:dyDescent="0.2"/>
    <row r="30740" ht="9.9499999999999993" hidden="1" customHeight="1" x14ac:dyDescent="0.2"/>
    <row r="30741" ht="9.9499999999999993" hidden="1" customHeight="1" x14ac:dyDescent="0.2"/>
    <row r="30742" ht="9.9499999999999993" hidden="1" customHeight="1" x14ac:dyDescent="0.2"/>
    <row r="30743" ht="9.9499999999999993" hidden="1" customHeight="1" x14ac:dyDescent="0.2"/>
    <row r="30744" ht="9.9499999999999993" hidden="1" customHeight="1" x14ac:dyDescent="0.2"/>
    <row r="30745" ht="9.9499999999999993" hidden="1" customHeight="1" x14ac:dyDescent="0.2"/>
    <row r="30746" ht="9.9499999999999993" hidden="1" customHeight="1" x14ac:dyDescent="0.2"/>
    <row r="30747" ht="9.9499999999999993" hidden="1" customHeight="1" x14ac:dyDescent="0.2"/>
    <row r="30748" ht="9.9499999999999993" hidden="1" customHeight="1" x14ac:dyDescent="0.2"/>
    <row r="30749" ht="9.9499999999999993" hidden="1" customHeight="1" x14ac:dyDescent="0.2"/>
    <row r="30750" ht="9.9499999999999993" hidden="1" customHeight="1" x14ac:dyDescent="0.2"/>
    <row r="30751" ht="9.9499999999999993" hidden="1" customHeight="1" x14ac:dyDescent="0.2"/>
    <row r="30752" ht="9.9499999999999993" hidden="1" customHeight="1" x14ac:dyDescent="0.2"/>
    <row r="30753" ht="9.9499999999999993" hidden="1" customHeight="1" x14ac:dyDescent="0.2"/>
    <row r="30754" ht="9.9499999999999993" hidden="1" customHeight="1" x14ac:dyDescent="0.2"/>
    <row r="30755" ht="9.9499999999999993" hidden="1" customHeight="1" x14ac:dyDescent="0.2"/>
    <row r="30756" ht="9.9499999999999993" hidden="1" customHeight="1" x14ac:dyDescent="0.2"/>
    <row r="30757" ht="9.9499999999999993" hidden="1" customHeight="1" x14ac:dyDescent="0.2"/>
    <row r="30758" ht="9.9499999999999993" hidden="1" customHeight="1" x14ac:dyDescent="0.2"/>
    <row r="30759" ht="9.9499999999999993" hidden="1" customHeight="1" x14ac:dyDescent="0.2"/>
    <row r="30760" ht="9.9499999999999993" hidden="1" customHeight="1" x14ac:dyDescent="0.2"/>
    <row r="30761" ht="9.9499999999999993" hidden="1" customHeight="1" x14ac:dyDescent="0.2"/>
    <row r="30762" ht="9.9499999999999993" hidden="1" customHeight="1" x14ac:dyDescent="0.2"/>
    <row r="30763" ht="9.9499999999999993" hidden="1" customHeight="1" x14ac:dyDescent="0.2"/>
    <row r="30764" ht="9.9499999999999993" hidden="1" customHeight="1" x14ac:dyDescent="0.2"/>
    <row r="30765" ht="9.9499999999999993" hidden="1" customHeight="1" x14ac:dyDescent="0.2"/>
    <row r="30766" ht="9.9499999999999993" hidden="1" customHeight="1" x14ac:dyDescent="0.2"/>
    <row r="30767" ht="9.9499999999999993" hidden="1" customHeight="1" x14ac:dyDescent="0.2"/>
    <row r="30768" ht="9.9499999999999993" hidden="1" customHeight="1" x14ac:dyDescent="0.2"/>
    <row r="30769" ht="9.9499999999999993" hidden="1" customHeight="1" x14ac:dyDescent="0.2"/>
    <row r="30770" ht="9.9499999999999993" hidden="1" customHeight="1" x14ac:dyDescent="0.2"/>
    <row r="30771" ht="9.9499999999999993" hidden="1" customHeight="1" x14ac:dyDescent="0.2"/>
    <row r="30772" ht="9.9499999999999993" hidden="1" customHeight="1" x14ac:dyDescent="0.2"/>
    <row r="30773" ht="9.9499999999999993" hidden="1" customHeight="1" x14ac:dyDescent="0.2"/>
    <row r="30774" ht="9.9499999999999993" hidden="1" customHeight="1" x14ac:dyDescent="0.2"/>
    <row r="30775" ht="9.9499999999999993" hidden="1" customHeight="1" x14ac:dyDescent="0.2"/>
    <row r="30776" ht="9.9499999999999993" hidden="1" customHeight="1" x14ac:dyDescent="0.2"/>
    <row r="30777" ht="9.9499999999999993" hidden="1" customHeight="1" x14ac:dyDescent="0.2"/>
    <row r="30778" ht="9.9499999999999993" hidden="1" customHeight="1" x14ac:dyDescent="0.2"/>
    <row r="30779" ht="9.9499999999999993" hidden="1" customHeight="1" x14ac:dyDescent="0.2"/>
    <row r="30780" ht="9.9499999999999993" hidden="1" customHeight="1" x14ac:dyDescent="0.2"/>
    <row r="30781" ht="9.9499999999999993" hidden="1" customHeight="1" x14ac:dyDescent="0.2"/>
    <row r="30782" ht="9.9499999999999993" hidden="1" customHeight="1" x14ac:dyDescent="0.2"/>
    <row r="30783" ht="9.9499999999999993" hidden="1" customHeight="1" x14ac:dyDescent="0.2"/>
    <row r="30784" ht="9.9499999999999993" hidden="1" customHeight="1" x14ac:dyDescent="0.2"/>
    <row r="30785" ht="9.9499999999999993" hidden="1" customHeight="1" x14ac:dyDescent="0.2"/>
    <row r="30786" ht="9.9499999999999993" hidden="1" customHeight="1" x14ac:dyDescent="0.2"/>
    <row r="30787" ht="9.9499999999999993" hidden="1" customHeight="1" x14ac:dyDescent="0.2"/>
    <row r="30788" ht="9.9499999999999993" hidden="1" customHeight="1" x14ac:dyDescent="0.2"/>
    <row r="30789" ht="9.9499999999999993" hidden="1" customHeight="1" x14ac:dyDescent="0.2"/>
    <row r="30790" ht="9.9499999999999993" hidden="1" customHeight="1" x14ac:dyDescent="0.2"/>
    <row r="30791" ht="9.9499999999999993" hidden="1" customHeight="1" x14ac:dyDescent="0.2"/>
    <row r="30792" ht="9.9499999999999993" hidden="1" customHeight="1" x14ac:dyDescent="0.2"/>
    <row r="30793" ht="9.9499999999999993" hidden="1" customHeight="1" x14ac:dyDescent="0.2"/>
    <row r="30794" ht="9.9499999999999993" hidden="1" customHeight="1" x14ac:dyDescent="0.2"/>
    <row r="30795" ht="9.9499999999999993" hidden="1" customHeight="1" x14ac:dyDescent="0.2"/>
    <row r="30796" ht="9.9499999999999993" hidden="1" customHeight="1" x14ac:dyDescent="0.2"/>
    <row r="30797" ht="9.9499999999999993" hidden="1" customHeight="1" x14ac:dyDescent="0.2"/>
    <row r="30798" ht="9.9499999999999993" hidden="1" customHeight="1" x14ac:dyDescent="0.2"/>
    <row r="30799" ht="9.9499999999999993" hidden="1" customHeight="1" x14ac:dyDescent="0.2"/>
    <row r="30800" ht="9.9499999999999993" hidden="1" customHeight="1" x14ac:dyDescent="0.2"/>
    <row r="30801" ht="9.9499999999999993" hidden="1" customHeight="1" x14ac:dyDescent="0.2"/>
    <row r="30802" ht="9.9499999999999993" hidden="1" customHeight="1" x14ac:dyDescent="0.2"/>
    <row r="30803" ht="9.9499999999999993" hidden="1" customHeight="1" x14ac:dyDescent="0.2"/>
    <row r="30804" ht="9.9499999999999993" hidden="1" customHeight="1" x14ac:dyDescent="0.2"/>
    <row r="30805" ht="9.9499999999999993" hidden="1" customHeight="1" x14ac:dyDescent="0.2"/>
    <row r="30806" ht="9.9499999999999993" hidden="1" customHeight="1" x14ac:dyDescent="0.2"/>
    <row r="30807" ht="9.9499999999999993" hidden="1" customHeight="1" x14ac:dyDescent="0.2"/>
    <row r="30808" ht="9.9499999999999993" hidden="1" customHeight="1" x14ac:dyDescent="0.2"/>
    <row r="30809" ht="9.9499999999999993" hidden="1" customHeight="1" x14ac:dyDescent="0.2"/>
    <row r="30810" ht="9.9499999999999993" hidden="1" customHeight="1" x14ac:dyDescent="0.2"/>
    <row r="30811" ht="9.9499999999999993" hidden="1" customHeight="1" x14ac:dyDescent="0.2"/>
    <row r="30812" ht="9.9499999999999993" hidden="1" customHeight="1" x14ac:dyDescent="0.2"/>
    <row r="30813" ht="9.9499999999999993" hidden="1" customHeight="1" x14ac:dyDescent="0.2"/>
    <row r="30814" ht="9.9499999999999993" hidden="1" customHeight="1" x14ac:dyDescent="0.2"/>
    <row r="30815" ht="9.9499999999999993" hidden="1" customHeight="1" x14ac:dyDescent="0.2"/>
    <row r="30816" ht="9.9499999999999993" hidden="1" customHeight="1" x14ac:dyDescent="0.2"/>
    <row r="30817" ht="9.9499999999999993" hidden="1" customHeight="1" x14ac:dyDescent="0.2"/>
    <row r="30818" ht="9.9499999999999993" hidden="1" customHeight="1" x14ac:dyDescent="0.2"/>
    <row r="30819" ht="9.9499999999999993" hidden="1" customHeight="1" x14ac:dyDescent="0.2"/>
    <row r="30820" ht="9.9499999999999993" hidden="1" customHeight="1" x14ac:dyDescent="0.2"/>
    <row r="30821" ht="9.9499999999999993" hidden="1" customHeight="1" x14ac:dyDescent="0.2"/>
    <row r="30822" ht="9.9499999999999993" hidden="1" customHeight="1" x14ac:dyDescent="0.2"/>
    <row r="30823" ht="9.9499999999999993" hidden="1" customHeight="1" x14ac:dyDescent="0.2"/>
    <row r="30824" ht="9.9499999999999993" hidden="1" customHeight="1" x14ac:dyDescent="0.2"/>
    <row r="30825" ht="9.9499999999999993" hidden="1" customHeight="1" x14ac:dyDescent="0.2"/>
    <row r="30826" ht="9.9499999999999993" hidden="1" customHeight="1" x14ac:dyDescent="0.2"/>
    <row r="30827" ht="9.9499999999999993" hidden="1" customHeight="1" x14ac:dyDescent="0.2"/>
    <row r="30828" ht="9.9499999999999993" hidden="1" customHeight="1" x14ac:dyDescent="0.2"/>
    <row r="30829" ht="9.9499999999999993" hidden="1" customHeight="1" x14ac:dyDescent="0.2"/>
    <row r="30830" ht="9.9499999999999993" hidden="1" customHeight="1" x14ac:dyDescent="0.2"/>
    <row r="30831" ht="9.9499999999999993" hidden="1" customHeight="1" x14ac:dyDescent="0.2"/>
    <row r="30832" ht="9.9499999999999993" hidden="1" customHeight="1" x14ac:dyDescent="0.2"/>
    <row r="30833" ht="9.9499999999999993" hidden="1" customHeight="1" x14ac:dyDescent="0.2"/>
    <row r="30834" ht="9.9499999999999993" hidden="1" customHeight="1" x14ac:dyDescent="0.2"/>
    <row r="30835" ht="9.9499999999999993" hidden="1" customHeight="1" x14ac:dyDescent="0.2"/>
    <row r="30836" ht="9.9499999999999993" hidden="1" customHeight="1" x14ac:dyDescent="0.2"/>
    <row r="30837" ht="9.9499999999999993" hidden="1" customHeight="1" x14ac:dyDescent="0.2"/>
    <row r="30838" ht="9.9499999999999993" hidden="1" customHeight="1" x14ac:dyDescent="0.2"/>
    <row r="30839" ht="9.9499999999999993" hidden="1" customHeight="1" x14ac:dyDescent="0.2"/>
    <row r="30840" ht="9.9499999999999993" hidden="1" customHeight="1" x14ac:dyDescent="0.2"/>
    <row r="30841" ht="9.9499999999999993" hidden="1" customHeight="1" x14ac:dyDescent="0.2"/>
    <row r="30842" ht="9.9499999999999993" hidden="1" customHeight="1" x14ac:dyDescent="0.2"/>
    <row r="30843" ht="9.9499999999999993" hidden="1" customHeight="1" x14ac:dyDescent="0.2"/>
    <row r="30844" ht="9.9499999999999993" hidden="1" customHeight="1" x14ac:dyDescent="0.2"/>
    <row r="30845" ht="9.9499999999999993" hidden="1" customHeight="1" x14ac:dyDescent="0.2"/>
    <row r="30846" ht="9.9499999999999993" hidden="1" customHeight="1" x14ac:dyDescent="0.2"/>
    <row r="30847" ht="9.9499999999999993" hidden="1" customHeight="1" x14ac:dyDescent="0.2"/>
    <row r="30848" ht="9.9499999999999993" hidden="1" customHeight="1" x14ac:dyDescent="0.2"/>
    <row r="30849" ht="9.9499999999999993" hidden="1" customHeight="1" x14ac:dyDescent="0.2"/>
    <row r="30850" ht="9.9499999999999993" hidden="1" customHeight="1" x14ac:dyDescent="0.2"/>
    <row r="30851" ht="9.9499999999999993" hidden="1" customHeight="1" x14ac:dyDescent="0.2"/>
    <row r="30852" ht="9.9499999999999993" hidden="1" customHeight="1" x14ac:dyDescent="0.2"/>
    <row r="30853" ht="9.9499999999999993" hidden="1" customHeight="1" x14ac:dyDescent="0.2"/>
    <row r="30854" ht="9.9499999999999993" hidden="1" customHeight="1" x14ac:dyDescent="0.2"/>
    <row r="30855" ht="9.9499999999999993" hidden="1" customHeight="1" x14ac:dyDescent="0.2"/>
    <row r="30856" ht="9.9499999999999993" hidden="1" customHeight="1" x14ac:dyDescent="0.2"/>
    <row r="30857" ht="9.9499999999999993" hidden="1" customHeight="1" x14ac:dyDescent="0.2"/>
    <row r="30858" ht="9.9499999999999993" hidden="1" customHeight="1" x14ac:dyDescent="0.2"/>
    <row r="30859" ht="9.9499999999999993" hidden="1" customHeight="1" x14ac:dyDescent="0.2"/>
    <row r="30860" ht="9.9499999999999993" hidden="1" customHeight="1" x14ac:dyDescent="0.2"/>
    <row r="30861" ht="9.9499999999999993" hidden="1" customHeight="1" x14ac:dyDescent="0.2"/>
    <row r="30862" ht="9.9499999999999993" hidden="1" customHeight="1" x14ac:dyDescent="0.2"/>
    <row r="30863" ht="9.9499999999999993" hidden="1" customHeight="1" x14ac:dyDescent="0.2"/>
    <row r="30864" ht="9.9499999999999993" hidden="1" customHeight="1" x14ac:dyDescent="0.2"/>
    <row r="30865" ht="9.9499999999999993" hidden="1" customHeight="1" x14ac:dyDescent="0.2"/>
    <row r="30866" ht="9.9499999999999993" hidden="1" customHeight="1" x14ac:dyDescent="0.2"/>
    <row r="30867" ht="9.9499999999999993" hidden="1" customHeight="1" x14ac:dyDescent="0.2"/>
    <row r="30868" ht="9.9499999999999993" hidden="1" customHeight="1" x14ac:dyDescent="0.2"/>
    <row r="30869" ht="9.9499999999999993" hidden="1" customHeight="1" x14ac:dyDescent="0.2"/>
    <row r="30870" ht="9.9499999999999993" hidden="1" customHeight="1" x14ac:dyDescent="0.2"/>
    <row r="30871" ht="9.9499999999999993" hidden="1" customHeight="1" x14ac:dyDescent="0.2"/>
    <row r="30872" ht="9.9499999999999993" hidden="1" customHeight="1" x14ac:dyDescent="0.2"/>
    <row r="30873" ht="9.9499999999999993" hidden="1" customHeight="1" x14ac:dyDescent="0.2"/>
    <row r="30874" ht="9.9499999999999993" hidden="1" customHeight="1" x14ac:dyDescent="0.2"/>
    <row r="30875" ht="9.9499999999999993" hidden="1" customHeight="1" x14ac:dyDescent="0.2"/>
    <row r="30876" ht="9.9499999999999993" hidden="1" customHeight="1" x14ac:dyDescent="0.2"/>
    <row r="30877" ht="9.9499999999999993" hidden="1" customHeight="1" x14ac:dyDescent="0.2"/>
    <row r="30878" ht="9.9499999999999993" hidden="1" customHeight="1" x14ac:dyDescent="0.2"/>
    <row r="30879" ht="9.9499999999999993" hidden="1" customHeight="1" x14ac:dyDescent="0.2"/>
    <row r="30880" ht="9.9499999999999993" hidden="1" customHeight="1" x14ac:dyDescent="0.2"/>
    <row r="30881" ht="9.9499999999999993" hidden="1" customHeight="1" x14ac:dyDescent="0.2"/>
    <row r="30882" ht="9.9499999999999993" hidden="1" customHeight="1" x14ac:dyDescent="0.2"/>
    <row r="30883" ht="9.9499999999999993" hidden="1" customHeight="1" x14ac:dyDescent="0.2"/>
    <row r="30884" ht="9.9499999999999993" hidden="1" customHeight="1" x14ac:dyDescent="0.2"/>
    <row r="30885" ht="9.9499999999999993" hidden="1" customHeight="1" x14ac:dyDescent="0.2"/>
    <row r="30886" ht="9.9499999999999993" hidden="1" customHeight="1" x14ac:dyDescent="0.2"/>
    <row r="30887" ht="9.9499999999999993" hidden="1" customHeight="1" x14ac:dyDescent="0.2"/>
    <row r="30888" ht="9.9499999999999993" hidden="1" customHeight="1" x14ac:dyDescent="0.2"/>
    <row r="30889" ht="9.9499999999999993" hidden="1" customHeight="1" x14ac:dyDescent="0.2"/>
    <row r="30890" ht="9.9499999999999993" hidden="1" customHeight="1" x14ac:dyDescent="0.2"/>
    <row r="30891" ht="9.9499999999999993" hidden="1" customHeight="1" x14ac:dyDescent="0.2"/>
    <row r="30892" ht="9.9499999999999993" hidden="1" customHeight="1" x14ac:dyDescent="0.2"/>
    <row r="30893" ht="9.9499999999999993" hidden="1" customHeight="1" x14ac:dyDescent="0.2"/>
    <row r="30894" ht="9.9499999999999993" hidden="1" customHeight="1" x14ac:dyDescent="0.2"/>
    <row r="30895" ht="9.9499999999999993" hidden="1" customHeight="1" x14ac:dyDescent="0.2"/>
    <row r="30896" ht="9.9499999999999993" hidden="1" customHeight="1" x14ac:dyDescent="0.2"/>
    <row r="30897" ht="9.9499999999999993" hidden="1" customHeight="1" x14ac:dyDescent="0.2"/>
    <row r="30898" ht="9.9499999999999993" hidden="1" customHeight="1" x14ac:dyDescent="0.2"/>
    <row r="30899" ht="9.9499999999999993" hidden="1" customHeight="1" x14ac:dyDescent="0.2"/>
    <row r="30900" ht="9.9499999999999993" hidden="1" customHeight="1" x14ac:dyDescent="0.2"/>
    <row r="30901" ht="9.9499999999999993" hidden="1" customHeight="1" x14ac:dyDescent="0.2"/>
    <row r="30902" ht="9.9499999999999993" hidden="1" customHeight="1" x14ac:dyDescent="0.2"/>
    <row r="30903" ht="9.9499999999999993" hidden="1" customHeight="1" x14ac:dyDescent="0.2"/>
    <row r="30904" ht="9.9499999999999993" hidden="1" customHeight="1" x14ac:dyDescent="0.2"/>
    <row r="30905" ht="9.9499999999999993" hidden="1" customHeight="1" x14ac:dyDescent="0.2"/>
    <row r="30906" ht="9.9499999999999993" hidden="1" customHeight="1" x14ac:dyDescent="0.2"/>
    <row r="30907" ht="9.9499999999999993" hidden="1" customHeight="1" x14ac:dyDescent="0.2"/>
    <row r="30908" ht="9.9499999999999993" hidden="1" customHeight="1" x14ac:dyDescent="0.2"/>
    <row r="30909" ht="9.9499999999999993" hidden="1" customHeight="1" x14ac:dyDescent="0.2"/>
    <row r="30910" ht="9.9499999999999993" hidden="1" customHeight="1" x14ac:dyDescent="0.2"/>
    <row r="30911" ht="9.9499999999999993" hidden="1" customHeight="1" x14ac:dyDescent="0.2"/>
    <row r="30912" ht="9.9499999999999993" hidden="1" customHeight="1" x14ac:dyDescent="0.2"/>
    <row r="30913" ht="9.9499999999999993" hidden="1" customHeight="1" x14ac:dyDescent="0.2"/>
    <row r="30914" ht="9.9499999999999993" hidden="1" customHeight="1" x14ac:dyDescent="0.2"/>
    <row r="30915" ht="9.9499999999999993" hidden="1" customHeight="1" x14ac:dyDescent="0.2"/>
    <row r="30916" ht="9.9499999999999993" hidden="1" customHeight="1" x14ac:dyDescent="0.2"/>
    <row r="30917" ht="9.9499999999999993" hidden="1" customHeight="1" x14ac:dyDescent="0.2"/>
    <row r="30918" ht="9.9499999999999993" hidden="1" customHeight="1" x14ac:dyDescent="0.2"/>
    <row r="30919" ht="9.9499999999999993" hidden="1" customHeight="1" x14ac:dyDescent="0.2"/>
    <row r="30920" ht="9.9499999999999993" hidden="1" customHeight="1" x14ac:dyDescent="0.2"/>
    <row r="30921" ht="9.9499999999999993" hidden="1" customHeight="1" x14ac:dyDescent="0.2"/>
    <row r="30922" ht="9.9499999999999993" hidden="1" customHeight="1" x14ac:dyDescent="0.2"/>
    <row r="30923" ht="9.9499999999999993" hidden="1" customHeight="1" x14ac:dyDescent="0.2"/>
    <row r="30924" ht="9.9499999999999993" hidden="1" customHeight="1" x14ac:dyDescent="0.2"/>
    <row r="30925" ht="9.9499999999999993" hidden="1" customHeight="1" x14ac:dyDescent="0.2"/>
    <row r="30926" ht="9.9499999999999993" hidden="1" customHeight="1" x14ac:dyDescent="0.2"/>
    <row r="30927" ht="9.9499999999999993" hidden="1" customHeight="1" x14ac:dyDescent="0.2"/>
    <row r="30928" ht="9.9499999999999993" hidden="1" customHeight="1" x14ac:dyDescent="0.2"/>
    <row r="30929" ht="9.9499999999999993" hidden="1" customHeight="1" x14ac:dyDescent="0.2"/>
    <row r="30930" ht="9.9499999999999993" hidden="1" customHeight="1" x14ac:dyDescent="0.2"/>
    <row r="30931" ht="9.9499999999999993" hidden="1" customHeight="1" x14ac:dyDescent="0.2"/>
    <row r="30932" ht="9.9499999999999993" hidden="1" customHeight="1" x14ac:dyDescent="0.2"/>
    <row r="30933" ht="9.9499999999999993" hidden="1" customHeight="1" x14ac:dyDescent="0.2"/>
    <row r="30934" ht="9.9499999999999993" hidden="1" customHeight="1" x14ac:dyDescent="0.2"/>
    <row r="30935" ht="9.9499999999999993" hidden="1" customHeight="1" x14ac:dyDescent="0.2"/>
    <row r="30936" ht="9.9499999999999993" hidden="1" customHeight="1" x14ac:dyDescent="0.2"/>
    <row r="30937" ht="9.9499999999999993" hidden="1" customHeight="1" x14ac:dyDescent="0.2"/>
    <row r="30938" ht="9.9499999999999993" hidden="1" customHeight="1" x14ac:dyDescent="0.2"/>
    <row r="30939" ht="9.9499999999999993" hidden="1" customHeight="1" x14ac:dyDescent="0.2"/>
    <row r="30940" ht="9.9499999999999993" hidden="1" customHeight="1" x14ac:dyDescent="0.2"/>
    <row r="30941" ht="9.9499999999999993" hidden="1" customHeight="1" x14ac:dyDescent="0.2"/>
    <row r="30942" ht="9.9499999999999993" hidden="1" customHeight="1" x14ac:dyDescent="0.2"/>
    <row r="30943" ht="9.9499999999999993" hidden="1" customHeight="1" x14ac:dyDescent="0.2"/>
    <row r="30944" ht="9.9499999999999993" hidden="1" customHeight="1" x14ac:dyDescent="0.2"/>
    <row r="30945" ht="9.9499999999999993" hidden="1" customHeight="1" x14ac:dyDescent="0.2"/>
    <row r="30946" ht="9.9499999999999993" hidden="1" customHeight="1" x14ac:dyDescent="0.2"/>
    <row r="30947" ht="9.9499999999999993" hidden="1" customHeight="1" x14ac:dyDescent="0.2"/>
    <row r="30948" ht="9.9499999999999993" hidden="1" customHeight="1" x14ac:dyDescent="0.2"/>
    <row r="30949" ht="9.9499999999999993" hidden="1" customHeight="1" x14ac:dyDescent="0.2"/>
    <row r="30950" ht="9.9499999999999993" hidden="1" customHeight="1" x14ac:dyDescent="0.2"/>
    <row r="30951" ht="9.9499999999999993" hidden="1" customHeight="1" x14ac:dyDescent="0.2"/>
    <row r="30952" ht="9.9499999999999993" hidden="1" customHeight="1" x14ac:dyDescent="0.2"/>
    <row r="30953" ht="9.9499999999999993" hidden="1" customHeight="1" x14ac:dyDescent="0.2"/>
    <row r="30954" ht="9.9499999999999993" hidden="1" customHeight="1" x14ac:dyDescent="0.2"/>
    <row r="30955" ht="9.9499999999999993" hidden="1" customHeight="1" x14ac:dyDescent="0.2"/>
    <row r="30956" ht="9.9499999999999993" hidden="1" customHeight="1" x14ac:dyDescent="0.2"/>
    <row r="30957" ht="9.9499999999999993" hidden="1" customHeight="1" x14ac:dyDescent="0.2"/>
    <row r="30958" ht="9.9499999999999993" hidden="1" customHeight="1" x14ac:dyDescent="0.2"/>
    <row r="30959" ht="9.9499999999999993" hidden="1" customHeight="1" x14ac:dyDescent="0.2"/>
    <row r="30960" ht="9.9499999999999993" hidden="1" customHeight="1" x14ac:dyDescent="0.2"/>
    <row r="30961" ht="9.9499999999999993" hidden="1" customHeight="1" x14ac:dyDescent="0.2"/>
    <row r="30962" ht="9.9499999999999993" hidden="1" customHeight="1" x14ac:dyDescent="0.2"/>
    <row r="30963" ht="9.9499999999999993" hidden="1" customHeight="1" x14ac:dyDescent="0.2"/>
    <row r="30964" ht="9.9499999999999993" hidden="1" customHeight="1" x14ac:dyDescent="0.2"/>
    <row r="30965" ht="9.9499999999999993" hidden="1" customHeight="1" x14ac:dyDescent="0.2"/>
    <row r="30966" ht="9.9499999999999993" hidden="1" customHeight="1" x14ac:dyDescent="0.2"/>
    <row r="30967" ht="9.9499999999999993" hidden="1" customHeight="1" x14ac:dyDescent="0.2"/>
    <row r="30968" ht="9.9499999999999993" hidden="1" customHeight="1" x14ac:dyDescent="0.2"/>
    <row r="30969" ht="9.9499999999999993" hidden="1" customHeight="1" x14ac:dyDescent="0.2"/>
    <row r="30970" ht="9.9499999999999993" hidden="1" customHeight="1" x14ac:dyDescent="0.2"/>
    <row r="30971" ht="9.9499999999999993" hidden="1" customHeight="1" x14ac:dyDescent="0.2"/>
    <row r="30972" ht="9.9499999999999993" hidden="1" customHeight="1" x14ac:dyDescent="0.2"/>
    <row r="30973" ht="9.9499999999999993" hidden="1" customHeight="1" x14ac:dyDescent="0.2"/>
    <row r="30974" ht="9.9499999999999993" hidden="1" customHeight="1" x14ac:dyDescent="0.2"/>
    <row r="30975" ht="9.9499999999999993" hidden="1" customHeight="1" x14ac:dyDescent="0.2"/>
    <row r="30976" ht="9.9499999999999993" hidden="1" customHeight="1" x14ac:dyDescent="0.2"/>
    <row r="30977" ht="9.9499999999999993" hidden="1" customHeight="1" x14ac:dyDescent="0.2"/>
    <row r="30978" ht="9.9499999999999993" hidden="1" customHeight="1" x14ac:dyDescent="0.2"/>
    <row r="30979" ht="9.9499999999999993" hidden="1" customHeight="1" x14ac:dyDescent="0.2"/>
    <row r="30980" ht="9.9499999999999993" hidden="1" customHeight="1" x14ac:dyDescent="0.2"/>
    <row r="30981" ht="9.9499999999999993" hidden="1" customHeight="1" x14ac:dyDescent="0.2"/>
    <row r="30982" ht="9.9499999999999993" hidden="1" customHeight="1" x14ac:dyDescent="0.2"/>
    <row r="30983" ht="9.9499999999999993" hidden="1" customHeight="1" x14ac:dyDescent="0.2"/>
    <row r="30984" ht="9.9499999999999993" hidden="1" customHeight="1" x14ac:dyDescent="0.2"/>
    <row r="30985" ht="9.9499999999999993" hidden="1" customHeight="1" x14ac:dyDescent="0.2"/>
    <row r="30986" ht="9.9499999999999993" hidden="1" customHeight="1" x14ac:dyDescent="0.2"/>
    <row r="30987" ht="9.9499999999999993" hidden="1" customHeight="1" x14ac:dyDescent="0.2"/>
    <row r="30988" ht="9.9499999999999993" hidden="1" customHeight="1" x14ac:dyDescent="0.2"/>
    <row r="30989" ht="9.9499999999999993" hidden="1" customHeight="1" x14ac:dyDescent="0.2"/>
    <row r="30990" ht="9.9499999999999993" hidden="1" customHeight="1" x14ac:dyDescent="0.2"/>
    <row r="30991" ht="9.9499999999999993" hidden="1" customHeight="1" x14ac:dyDescent="0.2"/>
    <row r="30992" ht="9.9499999999999993" hidden="1" customHeight="1" x14ac:dyDescent="0.2"/>
    <row r="30993" ht="9.9499999999999993" hidden="1" customHeight="1" x14ac:dyDescent="0.2"/>
    <row r="30994" ht="9.9499999999999993" hidden="1" customHeight="1" x14ac:dyDescent="0.2"/>
    <row r="30995" ht="9.9499999999999993" hidden="1" customHeight="1" x14ac:dyDescent="0.2"/>
    <row r="30996" ht="9.9499999999999993" hidden="1" customHeight="1" x14ac:dyDescent="0.2"/>
    <row r="30997" ht="9.9499999999999993" hidden="1" customHeight="1" x14ac:dyDescent="0.2"/>
    <row r="30998" ht="9.9499999999999993" hidden="1" customHeight="1" x14ac:dyDescent="0.2"/>
    <row r="30999" ht="9.9499999999999993" hidden="1" customHeight="1" x14ac:dyDescent="0.2"/>
    <row r="31000" ht="9.9499999999999993" hidden="1" customHeight="1" x14ac:dyDescent="0.2"/>
    <row r="31001" ht="9.9499999999999993" hidden="1" customHeight="1" x14ac:dyDescent="0.2"/>
    <row r="31002" ht="9.9499999999999993" hidden="1" customHeight="1" x14ac:dyDescent="0.2"/>
    <row r="31003" ht="9.9499999999999993" hidden="1" customHeight="1" x14ac:dyDescent="0.2"/>
    <row r="31004" ht="9.9499999999999993" hidden="1" customHeight="1" x14ac:dyDescent="0.2"/>
    <row r="31005" ht="9.9499999999999993" hidden="1" customHeight="1" x14ac:dyDescent="0.2"/>
    <row r="31006" ht="9.9499999999999993" hidden="1" customHeight="1" x14ac:dyDescent="0.2"/>
    <row r="31007" ht="9.9499999999999993" hidden="1" customHeight="1" x14ac:dyDescent="0.2"/>
    <row r="31008" ht="9.9499999999999993" hidden="1" customHeight="1" x14ac:dyDescent="0.2"/>
    <row r="31009" ht="9.9499999999999993" hidden="1" customHeight="1" x14ac:dyDescent="0.2"/>
    <row r="31010" ht="9.9499999999999993" hidden="1" customHeight="1" x14ac:dyDescent="0.2"/>
    <row r="31011" ht="9.9499999999999993" hidden="1" customHeight="1" x14ac:dyDescent="0.2"/>
    <row r="31012" ht="9.9499999999999993" hidden="1" customHeight="1" x14ac:dyDescent="0.2"/>
    <row r="31013" ht="9.9499999999999993" hidden="1" customHeight="1" x14ac:dyDescent="0.2"/>
    <row r="31014" ht="9.9499999999999993" hidden="1" customHeight="1" x14ac:dyDescent="0.2"/>
    <row r="31015" ht="9.9499999999999993" hidden="1" customHeight="1" x14ac:dyDescent="0.2"/>
    <row r="31016" ht="9.9499999999999993" hidden="1" customHeight="1" x14ac:dyDescent="0.2"/>
    <row r="31017" ht="9.9499999999999993" hidden="1" customHeight="1" x14ac:dyDescent="0.2"/>
    <row r="31018" ht="9.9499999999999993" hidden="1" customHeight="1" x14ac:dyDescent="0.2"/>
    <row r="31019" ht="9.9499999999999993" hidden="1" customHeight="1" x14ac:dyDescent="0.2"/>
    <row r="31020" ht="9.9499999999999993" hidden="1" customHeight="1" x14ac:dyDescent="0.2"/>
    <row r="31021" ht="9.9499999999999993" hidden="1" customHeight="1" x14ac:dyDescent="0.2"/>
    <row r="31022" ht="9.9499999999999993" hidden="1" customHeight="1" x14ac:dyDescent="0.2"/>
    <row r="31023" ht="9.9499999999999993" hidden="1" customHeight="1" x14ac:dyDescent="0.2"/>
    <row r="31024" ht="9.9499999999999993" hidden="1" customHeight="1" x14ac:dyDescent="0.2"/>
    <row r="31025" ht="9.9499999999999993" hidden="1" customHeight="1" x14ac:dyDescent="0.2"/>
    <row r="31026" ht="9.9499999999999993" hidden="1" customHeight="1" x14ac:dyDescent="0.2"/>
    <row r="31027" ht="9.9499999999999993" hidden="1" customHeight="1" x14ac:dyDescent="0.2"/>
    <row r="31028" ht="9.9499999999999993" hidden="1" customHeight="1" x14ac:dyDescent="0.2"/>
    <row r="31029" ht="9.9499999999999993" hidden="1" customHeight="1" x14ac:dyDescent="0.2"/>
    <row r="31030" ht="9.9499999999999993" hidden="1" customHeight="1" x14ac:dyDescent="0.2"/>
    <row r="31031" ht="9.9499999999999993" hidden="1" customHeight="1" x14ac:dyDescent="0.2"/>
    <row r="31032" ht="9.9499999999999993" hidden="1" customHeight="1" x14ac:dyDescent="0.2"/>
    <row r="31033" ht="9.9499999999999993" hidden="1" customHeight="1" x14ac:dyDescent="0.2"/>
    <row r="31034" ht="9.9499999999999993" hidden="1" customHeight="1" x14ac:dyDescent="0.2"/>
    <row r="31035" ht="9.9499999999999993" hidden="1" customHeight="1" x14ac:dyDescent="0.2"/>
    <row r="31036" ht="9.9499999999999993" hidden="1" customHeight="1" x14ac:dyDescent="0.2"/>
    <row r="31037" ht="9.9499999999999993" hidden="1" customHeight="1" x14ac:dyDescent="0.2"/>
    <row r="31038" ht="9.9499999999999993" hidden="1" customHeight="1" x14ac:dyDescent="0.2"/>
    <row r="31039" ht="9.9499999999999993" hidden="1" customHeight="1" x14ac:dyDescent="0.2"/>
    <row r="31040" ht="9.9499999999999993" hidden="1" customHeight="1" x14ac:dyDescent="0.2"/>
    <row r="31041" ht="9.9499999999999993" hidden="1" customHeight="1" x14ac:dyDescent="0.2"/>
    <row r="31042" ht="9.9499999999999993" hidden="1" customHeight="1" x14ac:dyDescent="0.2"/>
    <row r="31043" ht="9.9499999999999993" hidden="1" customHeight="1" x14ac:dyDescent="0.2"/>
    <row r="31044" ht="9.9499999999999993" hidden="1" customHeight="1" x14ac:dyDescent="0.2"/>
    <row r="31045" ht="9.9499999999999993" hidden="1" customHeight="1" x14ac:dyDescent="0.2"/>
    <row r="31046" ht="9.9499999999999993" hidden="1" customHeight="1" x14ac:dyDescent="0.2"/>
    <row r="31047" ht="9.9499999999999993" hidden="1" customHeight="1" x14ac:dyDescent="0.2"/>
    <row r="31048" ht="9.9499999999999993" hidden="1" customHeight="1" x14ac:dyDescent="0.2"/>
    <row r="31049" ht="9.9499999999999993" hidden="1" customHeight="1" x14ac:dyDescent="0.2"/>
    <row r="31050" ht="9.9499999999999993" hidden="1" customHeight="1" x14ac:dyDescent="0.2"/>
    <row r="31051" ht="9.9499999999999993" hidden="1" customHeight="1" x14ac:dyDescent="0.2"/>
    <row r="31052" ht="9.9499999999999993" hidden="1" customHeight="1" x14ac:dyDescent="0.2"/>
    <row r="31053" ht="9.9499999999999993" hidden="1" customHeight="1" x14ac:dyDescent="0.2"/>
    <row r="31054" ht="9.9499999999999993" hidden="1" customHeight="1" x14ac:dyDescent="0.2"/>
    <row r="31055" ht="9.9499999999999993" hidden="1" customHeight="1" x14ac:dyDescent="0.2"/>
    <row r="31056" ht="9.9499999999999993" hidden="1" customHeight="1" x14ac:dyDescent="0.2"/>
    <row r="31057" ht="9.9499999999999993" hidden="1" customHeight="1" x14ac:dyDescent="0.2"/>
    <row r="31058" ht="9.9499999999999993" hidden="1" customHeight="1" x14ac:dyDescent="0.2"/>
    <row r="31059" ht="9.9499999999999993" hidden="1" customHeight="1" x14ac:dyDescent="0.2"/>
    <row r="31060" ht="9.9499999999999993" hidden="1" customHeight="1" x14ac:dyDescent="0.2"/>
    <row r="31061" ht="9.9499999999999993" hidden="1" customHeight="1" x14ac:dyDescent="0.2"/>
    <row r="31062" ht="9.9499999999999993" hidden="1" customHeight="1" x14ac:dyDescent="0.2"/>
    <row r="31063" ht="9.9499999999999993" hidden="1" customHeight="1" x14ac:dyDescent="0.2"/>
    <row r="31064" ht="9.9499999999999993" hidden="1" customHeight="1" x14ac:dyDescent="0.2"/>
    <row r="31065" ht="9.9499999999999993" hidden="1" customHeight="1" x14ac:dyDescent="0.2"/>
    <row r="31066" ht="9.9499999999999993" hidden="1" customHeight="1" x14ac:dyDescent="0.2"/>
    <row r="31067" ht="9.9499999999999993" hidden="1" customHeight="1" x14ac:dyDescent="0.2"/>
    <row r="31068" ht="9.9499999999999993" hidden="1" customHeight="1" x14ac:dyDescent="0.2"/>
    <row r="31069" ht="9.9499999999999993" hidden="1" customHeight="1" x14ac:dyDescent="0.2"/>
    <row r="31070" ht="9.9499999999999993" hidden="1" customHeight="1" x14ac:dyDescent="0.2"/>
    <row r="31071" ht="9.9499999999999993" hidden="1" customHeight="1" x14ac:dyDescent="0.2"/>
    <row r="31072" ht="9.9499999999999993" hidden="1" customHeight="1" x14ac:dyDescent="0.2"/>
    <row r="31073" ht="9.9499999999999993" hidden="1" customHeight="1" x14ac:dyDescent="0.2"/>
    <row r="31074" ht="9.9499999999999993" hidden="1" customHeight="1" x14ac:dyDescent="0.2"/>
    <row r="31075" ht="9.9499999999999993" hidden="1" customHeight="1" x14ac:dyDescent="0.2"/>
    <row r="31076" ht="9.9499999999999993" hidden="1" customHeight="1" x14ac:dyDescent="0.2"/>
    <row r="31077" ht="9.9499999999999993" hidden="1" customHeight="1" x14ac:dyDescent="0.2"/>
    <row r="31078" ht="9.9499999999999993" hidden="1" customHeight="1" x14ac:dyDescent="0.2"/>
    <row r="31079" ht="9.9499999999999993" hidden="1" customHeight="1" x14ac:dyDescent="0.2"/>
    <row r="31080" ht="9.9499999999999993" hidden="1" customHeight="1" x14ac:dyDescent="0.2"/>
    <row r="31081" ht="9.9499999999999993" hidden="1" customHeight="1" x14ac:dyDescent="0.2"/>
    <row r="31082" ht="9.9499999999999993" hidden="1" customHeight="1" x14ac:dyDescent="0.2"/>
    <row r="31083" ht="9.9499999999999993" hidden="1" customHeight="1" x14ac:dyDescent="0.2"/>
    <row r="31084" ht="9.9499999999999993" hidden="1" customHeight="1" x14ac:dyDescent="0.2"/>
    <row r="31085" ht="9.9499999999999993" hidden="1" customHeight="1" x14ac:dyDescent="0.2"/>
    <row r="31086" ht="9.9499999999999993" hidden="1" customHeight="1" x14ac:dyDescent="0.2"/>
    <row r="31087" ht="9.9499999999999993" hidden="1" customHeight="1" x14ac:dyDescent="0.2"/>
    <row r="31088" ht="9.9499999999999993" hidden="1" customHeight="1" x14ac:dyDescent="0.2"/>
    <row r="31089" ht="9.9499999999999993" hidden="1" customHeight="1" x14ac:dyDescent="0.2"/>
    <row r="31090" ht="9.9499999999999993" hidden="1" customHeight="1" x14ac:dyDescent="0.2"/>
    <row r="31091" ht="9.9499999999999993" hidden="1" customHeight="1" x14ac:dyDescent="0.2"/>
    <row r="31092" ht="9.9499999999999993" hidden="1" customHeight="1" x14ac:dyDescent="0.2"/>
    <row r="31093" ht="9.9499999999999993" hidden="1" customHeight="1" x14ac:dyDescent="0.2"/>
    <row r="31094" ht="9.9499999999999993" hidden="1" customHeight="1" x14ac:dyDescent="0.2"/>
    <row r="31095" ht="9.9499999999999993" hidden="1" customHeight="1" x14ac:dyDescent="0.2"/>
    <row r="31096" ht="9.9499999999999993" hidden="1" customHeight="1" x14ac:dyDescent="0.2"/>
    <row r="31097" ht="9.9499999999999993" hidden="1" customHeight="1" x14ac:dyDescent="0.2"/>
    <row r="31098" ht="9.9499999999999993" hidden="1" customHeight="1" x14ac:dyDescent="0.2"/>
    <row r="31099" ht="9.9499999999999993" hidden="1" customHeight="1" x14ac:dyDescent="0.2"/>
    <row r="31100" ht="9.9499999999999993" hidden="1" customHeight="1" x14ac:dyDescent="0.2"/>
    <row r="31101" ht="9.9499999999999993" hidden="1" customHeight="1" x14ac:dyDescent="0.2"/>
    <row r="31102" ht="9.9499999999999993" hidden="1" customHeight="1" x14ac:dyDescent="0.2"/>
    <row r="31103" ht="9.9499999999999993" hidden="1" customHeight="1" x14ac:dyDescent="0.2"/>
    <row r="31104" ht="9.9499999999999993" hidden="1" customHeight="1" x14ac:dyDescent="0.2"/>
    <row r="31105" ht="9.9499999999999993" hidden="1" customHeight="1" x14ac:dyDescent="0.2"/>
    <row r="31106" ht="9.9499999999999993" hidden="1" customHeight="1" x14ac:dyDescent="0.2"/>
    <row r="31107" ht="9.9499999999999993" hidden="1" customHeight="1" x14ac:dyDescent="0.2"/>
    <row r="31108" ht="9.9499999999999993" hidden="1" customHeight="1" x14ac:dyDescent="0.2"/>
    <row r="31109" ht="9.9499999999999993" hidden="1" customHeight="1" x14ac:dyDescent="0.2"/>
    <row r="31110" ht="9.9499999999999993" hidden="1" customHeight="1" x14ac:dyDescent="0.2"/>
    <row r="31111" ht="9.9499999999999993" hidden="1" customHeight="1" x14ac:dyDescent="0.2"/>
    <row r="31112" ht="9.9499999999999993" hidden="1" customHeight="1" x14ac:dyDescent="0.2"/>
    <row r="31113" ht="9.9499999999999993" hidden="1" customHeight="1" x14ac:dyDescent="0.2"/>
    <row r="31114" ht="9.9499999999999993" hidden="1" customHeight="1" x14ac:dyDescent="0.2"/>
    <row r="31115" ht="9.9499999999999993" hidden="1" customHeight="1" x14ac:dyDescent="0.2"/>
    <row r="31116" ht="9.9499999999999993" hidden="1" customHeight="1" x14ac:dyDescent="0.2"/>
    <row r="31117" ht="9.9499999999999993" hidden="1" customHeight="1" x14ac:dyDescent="0.2"/>
    <row r="31118" ht="9.9499999999999993" hidden="1" customHeight="1" x14ac:dyDescent="0.2"/>
    <row r="31119" ht="9.9499999999999993" hidden="1" customHeight="1" x14ac:dyDescent="0.2"/>
    <row r="31120" ht="9.9499999999999993" hidden="1" customHeight="1" x14ac:dyDescent="0.2"/>
    <row r="31121" ht="9.9499999999999993" hidden="1" customHeight="1" x14ac:dyDescent="0.2"/>
    <row r="31122" ht="9.9499999999999993" hidden="1" customHeight="1" x14ac:dyDescent="0.2"/>
    <row r="31123" ht="9.9499999999999993" hidden="1" customHeight="1" x14ac:dyDescent="0.2"/>
    <row r="31124" ht="9.9499999999999993" hidden="1" customHeight="1" x14ac:dyDescent="0.2"/>
    <row r="31125" ht="9.9499999999999993" hidden="1" customHeight="1" x14ac:dyDescent="0.2"/>
    <row r="31126" ht="9.9499999999999993" hidden="1" customHeight="1" x14ac:dyDescent="0.2"/>
    <row r="31127" ht="9.9499999999999993" hidden="1" customHeight="1" x14ac:dyDescent="0.2"/>
    <row r="31128" ht="9.9499999999999993" hidden="1" customHeight="1" x14ac:dyDescent="0.2"/>
    <row r="31129" ht="9.9499999999999993" hidden="1" customHeight="1" x14ac:dyDescent="0.2"/>
    <row r="31130" ht="9.9499999999999993" hidden="1" customHeight="1" x14ac:dyDescent="0.2"/>
    <row r="31131" ht="9.9499999999999993" hidden="1" customHeight="1" x14ac:dyDescent="0.2"/>
    <row r="31132" ht="9.9499999999999993" hidden="1" customHeight="1" x14ac:dyDescent="0.2"/>
    <row r="31133" ht="9.9499999999999993" hidden="1" customHeight="1" x14ac:dyDescent="0.2"/>
    <row r="31134" ht="9.9499999999999993" hidden="1" customHeight="1" x14ac:dyDescent="0.2"/>
    <row r="31135" ht="9.9499999999999993" hidden="1" customHeight="1" x14ac:dyDescent="0.2"/>
    <row r="31136" ht="9.9499999999999993" hidden="1" customHeight="1" x14ac:dyDescent="0.2"/>
    <row r="31137" ht="9.9499999999999993" hidden="1" customHeight="1" x14ac:dyDescent="0.2"/>
    <row r="31138" ht="9.9499999999999993" hidden="1" customHeight="1" x14ac:dyDescent="0.2"/>
    <row r="31139" ht="9.9499999999999993" hidden="1" customHeight="1" x14ac:dyDescent="0.2"/>
    <row r="31140" ht="9.9499999999999993" hidden="1" customHeight="1" x14ac:dyDescent="0.2"/>
    <row r="31141" ht="9.9499999999999993" hidden="1" customHeight="1" x14ac:dyDescent="0.2"/>
    <row r="31142" ht="9.9499999999999993" hidden="1" customHeight="1" x14ac:dyDescent="0.2"/>
    <row r="31143" ht="9.9499999999999993" hidden="1" customHeight="1" x14ac:dyDescent="0.2"/>
    <row r="31144" ht="9.9499999999999993" hidden="1" customHeight="1" x14ac:dyDescent="0.2"/>
    <row r="31145" ht="9.9499999999999993" hidden="1" customHeight="1" x14ac:dyDescent="0.2"/>
    <row r="31146" ht="9.9499999999999993" hidden="1" customHeight="1" x14ac:dyDescent="0.2"/>
    <row r="31147" ht="9.9499999999999993" hidden="1" customHeight="1" x14ac:dyDescent="0.2"/>
    <row r="31148" ht="9.9499999999999993" hidden="1" customHeight="1" x14ac:dyDescent="0.2"/>
    <row r="31149" ht="9.9499999999999993" hidden="1" customHeight="1" x14ac:dyDescent="0.2"/>
    <row r="31150" ht="9.9499999999999993" hidden="1" customHeight="1" x14ac:dyDescent="0.2"/>
    <row r="31151" ht="9.9499999999999993" hidden="1" customHeight="1" x14ac:dyDescent="0.2"/>
    <row r="31152" ht="9.9499999999999993" hidden="1" customHeight="1" x14ac:dyDescent="0.2"/>
    <row r="31153" ht="9.9499999999999993" hidden="1" customHeight="1" x14ac:dyDescent="0.2"/>
    <row r="31154" ht="9.9499999999999993" hidden="1" customHeight="1" x14ac:dyDescent="0.2"/>
    <row r="31155" ht="9.9499999999999993" hidden="1" customHeight="1" x14ac:dyDescent="0.2"/>
    <row r="31156" ht="9.9499999999999993" hidden="1" customHeight="1" x14ac:dyDescent="0.2"/>
    <row r="31157" ht="9.9499999999999993" hidden="1" customHeight="1" x14ac:dyDescent="0.2"/>
    <row r="31158" ht="9.9499999999999993" hidden="1" customHeight="1" x14ac:dyDescent="0.2"/>
    <row r="31159" ht="9.9499999999999993" hidden="1" customHeight="1" x14ac:dyDescent="0.2"/>
    <row r="31160" ht="9.9499999999999993" hidden="1" customHeight="1" x14ac:dyDescent="0.2"/>
    <row r="31161" ht="9.9499999999999993" hidden="1" customHeight="1" x14ac:dyDescent="0.2"/>
    <row r="31162" ht="9.9499999999999993" hidden="1" customHeight="1" x14ac:dyDescent="0.2"/>
    <row r="31163" ht="9.9499999999999993" hidden="1" customHeight="1" x14ac:dyDescent="0.2"/>
    <row r="31164" ht="9.9499999999999993" hidden="1" customHeight="1" x14ac:dyDescent="0.2"/>
    <row r="31165" ht="9.9499999999999993" hidden="1" customHeight="1" x14ac:dyDescent="0.2"/>
    <row r="31166" ht="9.9499999999999993" hidden="1" customHeight="1" x14ac:dyDescent="0.2"/>
    <row r="31167" ht="9.9499999999999993" hidden="1" customHeight="1" x14ac:dyDescent="0.2"/>
    <row r="31168" ht="9.9499999999999993" hidden="1" customHeight="1" x14ac:dyDescent="0.2"/>
    <row r="31169" ht="9.9499999999999993" hidden="1" customHeight="1" x14ac:dyDescent="0.2"/>
    <row r="31170" ht="9.9499999999999993" hidden="1" customHeight="1" x14ac:dyDescent="0.2"/>
    <row r="31171" ht="9.9499999999999993" hidden="1" customHeight="1" x14ac:dyDescent="0.2"/>
    <row r="31172" ht="9.9499999999999993" hidden="1" customHeight="1" x14ac:dyDescent="0.2"/>
    <row r="31173" ht="9.9499999999999993" hidden="1" customHeight="1" x14ac:dyDescent="0.2"/>
    <row r="31174" ht="9.9499999999999993" hidden="1" customHeight="1" x14ac:dyDescent="0.2"/>
    <row r="31175" ht="9.9499999999999993" hidden="1" customHeight="1" x14ac:dyDescent="0.2"/>
    <row r="31176" ht="9.9499999999999993" hidden="1" customHeight="1" x14ac:dyDescent="0.2"/>
    <row r="31177" ht="9.9499999999999993" hidden="1" customHeight="1" x14ac:dyDescent="0.2"/>
    <row r="31178" ht="9.9499999999999993" hidden="1" customHeight="1" x14ac:dyDescent="0.2"/>
    <row r="31179" ht="9.9499999999999993" hidden="1" customHeight="1" x14ac:dyDescent="0.2"/>
    <row r="31180" ht="9.9499999999999993" hidden="1" customHeight="1" x14ac:dyDescent="0.2"/>
    <row r="31181" ht="9.9499999999999993" hidden="1" customHeight="1" x14ac:dyDescent="0.2"/>
    <row r="31182" ht="9.9499999999999993" hidden="1" customHeight="1" x14ac:dyDescent="0.2"/>
    <row r="31183" ht="9.9499999999999993" hidden="1" customHeight="1" x14ac:dyDescent="0.2"/>
    <row r="31184" ht="9.9499999999999993" hidden="1" customHeight="1" x14ac:dyDescent="0.2"/>
    <row r="31185" ht="9.9499999999999993" hidden="1" customHeight="1" x14ac:dyDescent="0.2"/>
    <row r="31186" ht="9.9499999999999993" hidden="1" customHeight="1" x14ac:dyDescent="0.2"/>
    <row r="31187" ht="9.9499999999999993" hidden="1" customHeight="1" x14ac:dyDescent="0.2"/>
    <row r="31188" ht="9.9499999999999993" hidden="1" customHeight="1" x14ac:dyDescent="0.2"/>
    <row r="31189" ht="9.9499999999999993" hidden="1" customHeight="1" x14ac:dyDescent="0.2"/>
    <row r="31190" ht="9.9499999999999993" hidden="1" customHeight="1" x14ac:dyDescent="0.2"/>
    <row r="31191" ht="9.9499999999999993" hidden="1" customHeight="1" x14ac:dyDescent="0.2"/>
    <row r="31192" ht="9.9499999999999993" hidden="1" customHeight="1" x14ac:dyDescent="0.2"/>
    <row r="31193" ht="9.9499999999999993" hidden="1" customHeight="1" x14ac:dyDescent="0.2"/>
    <row r="31194" ht="9.9499999999999993" hidden="1" customHeight="1" x14ac:dyDescent="0.2"/>
    <row r="31195" ht="9.9499999999999993" hidden="1" customHeight="1" x14ac:dyDescent="0.2"/>
    <row r="31196" ht="9.9499999999999993" hidden="1" customHeight="1" x14ac:dyDescent="0.2"/>
    <row r="31197" ht="9.9499999999999993" hidden="1" customHeight="1" x14ac:dyDescent="0.2"/>
    <row r="31198" ht="9.9499999999999993" hidden="1" customHeight="1" x14ac:dyDescent="0.2"/>
    <row r="31199" ht="9.9499999999999993" hidden="1" customHeight="1" x14ac:dyDescent="0.2"/>
    <row r="31200" ht="9.9499999999999993" hidden="1" customHeight="1" x14ac:dyDescent="0.2"/>
    <row r="31201" ht="9.9499999999999993" hidden="1" customHeight="1" x14ac:dyDescent="0.2"/>
    <row r="31202" ht="9.9499999999999993" hidden="1" customHeight="1" x14ac:dyDescent="0.2"/>
    <row r="31203" ht="9.9499999999999993" hidden="1" customHeight="1" x14ac:dyDescent="0.2"/>
    <row r="31204" ht="9.9499999999999993" hidden="1" customHeight="1" x14ac:dyDescent="0.2"/>
    <row r="31205" ht="9.9499999999999993" hidden="1" customHeight="1" x14ac:dyDescent="0.2"/>
    <row r="31206" ht="9.9499999999999993" hidden="1" customHeight="1" x14ac:dyDescent="0.2"/>
    <row r="31207" ht="9.9499999999999993" hidden="1" customHeight="1" x14ac:dyDescent="0.2"/>
    <row r="31208" ht="9.9499999999999993" hidden="1" customHeight="1" x14ac:dyDescent="0.2"/>
    <row r="31209" ht="9.9499999999999993" hidden="1" customHeight="1" x14ac:dyDescent="0.2"/>
    <row r="31210" ht="9.9499999999999993" hidden="1" customHeight="1" x14ac:dyDescent="0.2"/>
    <row r="31211" ht="9.9499999999999993" hidden="1" customHeight="1" x14ac:dyDescent="0.2"/>
    <row r="31212" ht="9.9499999999999993" hidden="1" customHeight="1" x14ac:dyDescent="0.2"/>
    <row r="31213" ht="9.9499999999999993" hidden="1" customHeight="1" x14ac:dyDescent="0.2"/>
    <row r="31214" ht="9.9499999999999993" hidden="1" customHeight="1" x14ac:dyDescent="0.2"/>
    <row r="31215" ht="9.9499999999999993" hidden="1" customHeight="1" x14ac:dyDescent="0.2"/>
    <row r="31216" ht="9.9499999999999993" hidden="1" customHeight="1" x14ac:dyDescent="0.2"/>
    <row r="31217" ht="9.9499999999999993" hidden="1" customHeight="1" x14ac:dyDescent="0.2"/>
    <row r="31218" ht="9.9499999999999993" hidden="1" customHeight="1" x14ac:dyDescent="0.2"/>
    <row r="31219" ht="9.9499999999999993" hidden="1" customHeight="1" x14ac:dyDescent="0.2"/>
    <row r="31220" ht="9.9499999999999993" hidden="1" customHeight="1" x14ac:dyDescent="0.2"/>
    <row r="31221" ht="9.9499999999999993" hidden="1" customHeight="1" x14ac:dyDescent="0.2"/>
    <row r="31222" ht="9.9499999999999993" hidden="1" customHeight="1" x14ac:dyDescent="0.2"/>
    <row r="31223" ht="9.9499999999999993" hidden="1" customHeight="1" x14ac:dyDescent="0.2"/>
    <row r="31224" ht="9.9499999999999993" hidden="1" customHeight="1" x14ac:dyDescent="0.2"/>
    <row r="31225" ht="9.9499999999999993" hidden="1" customHeight="1" x14ac:dyDescent="0.2"/>
    <row r="31226" ht="9.9499999999999993" hidden="1" customHeight="1" x14ac:dyDescent="0.2"/>
    <row r="31227" ht="9.9499999999999993" hidden="1" customHeight="1" x14ac:dyDescent="0.2"/>
    <row r="31228" ht="9.9499999999999993" hidden="1" customHeight="1" x14ac:dyDescent="0.2"/>
    <row r="31229" ht="9.9499999999999993" hidden="1" customHeight="1" x14ac:dyDescent="0.2"/>
    <row r="31230" ht="9.9499999999999993" hidden="1" customHeight="1" x14ac:dyDescent="0.2"/>
    <row r="31231" ht="9.9499999999999993" hidden="1" customHeight="1" x14ac:dyDescent="0.2"/>
    <row r="31232" ht="9.9499999999999993" hidden="1" customHeight="1" x14ac:dyDescent="0.2"/>
    <row r="31233" ht="9.9499999999999993" hidden="1" customHeight="1" x14ac:dyDescent="0.2"/>
    <row r="31234" ht="9.9499999999999993" hidden="1" customHeight="1" x14ac:dyDescent="0.2"/>
    <row r="31235" ht="9.9499999999999993" hidden="1" customHeight="1" x14ac:dyDescent="0.2"/>
    <row r="31236" ht="9.9499999999999993" hidden="1" customHeight="1" x14ac:dyDescent="0.2"/>
    <row r="31237" ht="9.9499999999999993" hidden="1" customHeight="1" x14ac:dyDescent="0.2"/>
    <row r="31238" ht="9.9499999999999993" hidden="1" customHeight="1" x14ac:dyDescent="0.2"/>
    <row r="31239" ht="9.9499999999999993" hidden="1" customHeight="1" x14ac:dyDescent="0.2"/>
    <row r="31240" ht="9.9499999999999993" hidden="1" customHeight="1" x14ac:dyDescent="0.2"/>
    <row r="31241" ht="9.9499999999999993" hidden="1" customHeight="1" x14ac:dyDescent="0.2"/>
    <row r="31242" ht="9.9499999999999993" hidden="1" customHeight="1" x14ac:dyDescent="0.2"/>
    <row r="31243" ht="9.9499999999999993" hidden="1" customHeight="1" x14ac:dyDescent="0.2"/>
    <row r="31244" ht="9.9499999999999993" hidden="1" customHeight="1" x14ac:dyDescent="0.2"/>
    <row r="31245" ht="9.9499999999999993" hidden="1" customHeight="1" x14ac:dyDescent="0.2"/>
    <row r="31246" ht="9.9499999999999993" hidden="1" customHeight="1" x14ac:dyDescent="0.2"/>
    <row r="31247" ht="9.9499999999999993" hidden="1" customHeight="1" x14ac:dyDescent="0.2"/>
    <row r="31248" ht="9.9499999999999993" hidden="1" customHeight="1" x14ac:dyDescent="0.2"/>
    <row r="31249" ht="9.9499999999999993" hidden="1" customHeight="1" x14ac:dyDescent="0.2"/>
    <row r="31250" ht="9.9499999999999993" hidden="1" customHeight="1" x14ac:dyDescent="0.2"/>
    <row r="31251" ht="9.9499999999999993" hidden="1" customHeight="1" x14ac:dyDescent="0.2"/>
    <row r="31252" ht="9.9499999999999993" hidden="1" customHeight="1" x14ac:dyDescent="0.2"/>
    <row r="31253" ht="9.9499999999999993" hidden="1" customHeight="1" x14ac:dyDescent="0.2"/>
    <row r="31254" ht="9.9499999999999993" hidden="1" customHeight="1" x14ac:dyDescent="0.2"/>
    <row r="31255" ht="9.9499999999999993" hidden="1" customHeight="1" x14ac:dyDescent="0.2"/>
    <row r="31256" ht="9.9499999999999993" hidden="1" customHeight="1" x14ac:dyDescent="0.2"/>
    <row r="31257" ht="9.9499999999999993" hidden="1" customHeight="1" x14ac:dyDescent="0.2"/>
    <row r="31258" ht="9.9499999999999993" hidden="1" customHeight="1" x14ac:dyDescent="0.2"/>
    <row r="31259" ht="9.9499999999999993" hidden="1" customHeight="1" x14ac:dyDescent="0.2"/>
    <row r="31260" ht="9.9499999999999993" hidden="1" customHeight="1" x14ac:dyDescent="0.2"/>
    <row r="31261" ht="9.9499999999999993" hidden="1" customHeight="1" x14ac:dyDescent="0.2"/>
    <row r="31262" ht="9.9499999999999993" hidden="1" customHeight="1" x14ac:dyDescent="0.2"/>
    <row r="31263" ht="9.9499999999999993" hidden="1" customHeight="1" x14ac:dyDescent="0.2"/>
    <row r="31264" ht="9.9499999999999993" hidden="1" customHeight="1" x14ac:dyDescent="0.2"/>
    <row r="31265" ht="9.9499999999999993" hidden="1" customHeight="1" x14ac:dyDescent="0.2"/>
    <row r="31266" ht="9.9499999999999993" hidden="1" customHeight="1" x14ac:dyDescent="0.2"/>
    <row r="31267" ht="9.9499999999999993" hidden="1" customHeight="1" x14ac:dyDescent="0.2"/>
    <row r="31268" ht="9.9499999999999993" hidden="1" customHeight="1" x14ac:dyDescent="0.2"/>
    <row r="31269" ht="9.9499999999999993" hidden="1" customHeight="1" x14ac:dyDescent="0.2"/>
    <row r="31270" ht="9.9499999999999993" hidden="1" customHeight="1" x14ac:dyDescent="0.2"/>
    <row r="31271" ht="9.9499999999999993" hidden="1" customHeight="1" x14ac:dyDescent="0.2"/>
    <row r="31272" ht="9.9499999999999993" hidden="1" customHeight="1" x14ac:dyDescent="0.2"/>
    <row r="31273" ht="9.9499999999999993" hidden="1" customHeight="1" x14ac:dyDescent="0.2"/>
    <row r="31274" ht="9.9499999999999993" hidden="1" customHeight="1" x14ac:dyDescent="0.2"/>
    <row r="31275" ht="9.9499999999999993" hidden="1" customHeight="1" x14ac:dyDescent="0.2"/>
    <row r="31276" ht="9.9499999999999993" hidden="1" customHeight="1" x14ac:dyDescent="0.2"/>
    <row r="31277" ht="9.9499999999999993" hidden="1" customHeight="1" x14ac:dyDescent="0.2"/>
    <row r="31278" ht="9.9499999999999993" hidden="1" customHeight="1" x14ac:dyDescent="0.2"/>
    <row r="31279" ht="9.9499999999999993" hidden="1" customHeight="1" x14ac:dyDescent="0.2"/>
    <row r="31280" ht="9.9499999999999993" hidden="1" customHeight="1" x14ac:dyDescent="0.2"/>
    <row r="31281" ht="9.9499999999999993" hidden="1" customHeight="1" x14ac:dyDescent="0.2"/>
    <row r="31282" ht="9.9499999999999993" hidden="1" customHeight="1" x14ac:dyDescent="0.2"/>
    <row r="31283" ht="9.9499999999999993" hidden="1" customHeight="1" x14ac:dyDescent="0.2"/>
    <row r="31284" ht="9.9499999999999993" hidden="1" customHeight="1" x14ac:dyDescent="0.2"/>
    <row r="31285" ht="9.9499999999999993" hidden="1" customHeight="1" x14ac:dyDescent="0.2"/>
    <row r="31286" ht="9.9499999999999993" hidden="1" customHeight="1" x14ac:dyDescent="0.2"/>
    <row r="31287" ht="9.9499999999999993" hidden="1" customHeight="1" x14ac:dyDescent="0.2"/>
    <row r="31288" ht="9.9499999999999993" hidden="1" customHeight="1" x14ac:dyDescent="0.2"/>
    <row r="31289" ht="9.9499999999999993" hidden="1" customHeight="1" x14ac:dyDescent="0.2"/>
    <row r="31290" ht="9.9499999999999993" hidden="1" customHeight="1" x14ac:dyDescent="0.2"/>
    <row r="31291" ht="9.9499999999999993" hidden="1" customHeight="1" x14ac:dyDescent="0.2"/>
    <row r="31292" ht="9.9499999999999993" hidden="1" customHeight="1" x14ac:dyDescent="0.2"/>
    <row r="31293" ht="9.9499999999999993" hidden="1" customHeight="1" x14ac:dyDescent="0.2"/>
    <row r="31294" ht="9.9499999999999993" hidden="1" customHeight="1" x14ac:dyDescent="0.2"/>
    <row r="31295" ht="9.9499999999999993" hidden="1" customHeight="1" x14ac:dyDescent="0.2"/>
    <row r="31296" ht="9.9499999999999993" hidden="1" customHeight="1" x14ac:dyDescent="0.2"/>
    <row r="31297" ht="9.9499999999999993" hidden="1" customHeight="1" x14ac:dyDescent="0.2"/>
    <row r="31298" ht="9.9499999999999993" hidden="1" customHeight="1" x14ac:dyDescent="0.2"/>
    <row r="31299" ht="9.9499999999999993" hidden="1" customHeight="1" x14ac:dyDescent="0.2"/>
    <row r="31300" ht="9.9499999999999993" hidden="1" customHeight="1" x14ac:dyDescent="0.2"/>
    <row r="31301" ht="9.9499999999999993" hidden="1" customHeight="1" x14ac:dyDescent="0.2"/>
    <row r="31302" ht="9.9499999999999993" hidden="1" customHeight="1" x14ac:dyDescent="0.2"/>
    <row r="31303" ht="9.9499999999999993" hidden="1" customHeight="1" x14ac:dyDescent="0.2"/>
    <row r="31304" ht="9.9499999999999993" hidden="1" customHeight="1" x14ac:dyDescent="0.2"/>
    <row r="31305" ht="9.9499999999999993" hidden="1" customHeight="1" x14ac:dyDescent="0.2"/>
    <row r="31306" ht="9.9499999999999993" hidden="1" customHeight="1" x14ac:dyDescent="0.2"/>
    <row r="31307" ht="9.9499999999999993" hidden="1" customHeight="1" x14ac:dyDescent="0.2"/>
    <row r="31308" ht="9.9499999999999993" hidden="1" customHeight="1" x14ac:dyDescent="0.2"/>
    <row r="31309" ht="9.9499999999999993" hidden="1" customHeight="1" x14ac:dyDescent="0.2"/>
    <row r="31310" ht="9.9499999999999993" hidden="1" customHeight="1" x14ac:dyDescent="0.2"/>
    <row r="31311" ht="9.9499999999999993" hidden="1" customHeight="1" x14ac:dyDescent="0.2"/>
    <row r="31312" ht="9.9499999999999993" hidden="1" customHeight="1" x14ac:dyDescent="0.2"/>
    <row r="31313" ht="9.9499999999999993" hidden="1" customHeight="1" x14ac:dyDescent="0.2"/>
    <row r="31314" ht="9.9499999999999993" hidden="1" customHeight="1" x14ac:dyDescent="0.2"/>
    <row r="31315" ht="9.9499999999999993" hidden="1" customHeight="1" x14ac:dyDescent="0.2"/>
    <row r="31316" ht="9.9499999999999993" hidden="1" customHeight="1" x14ac:dyDescent="0.2"/>
    <row r="31317" ht="9.9499999999999993" hidden="1" customHeight="1" x14ac:dyDescent="0.2"/>
    <row r="31318" ht="9.9499999999999993" hidden="1" customHeight="1" x14ac:dyDescent="0.2"/>
    <row r="31319" ht="9.9499999999999993" hidden="1" customHeight="1" x14ac:dyDescent="0.2"/>
    <row r="31320" ht="9.9499999999999993" hidden="1" customHeight="1" x14ac:dyDescent="0.2"/>
    <row r="31321" ht="9.9499999999999993" hidden="1" customHeight="1" x14ac:dyDescent="0.2"/>
    <row r="31322" ht="9.9499999999999993" hidden="1" customHeight="1" x14ac:dyDescent="0.2"/>
    <row r="31323" ht="9.9499999999999993" hidden="1" customHeight="1" x14ac:dyDescent="0.2"/>
    <row r="31324" ht="9.9499999999999993" hidden="1" customHeight="1" x14ac:dyDescent="0.2"/>
    <row r="31325" ht="9.9499999999999993" hidden="1" customHeight="1" x14ac:dyDescent="0.2"/>
    <row r="31326" ht="9.9499999999999993" hidden="1" customHeight="1" x14ac:dyDescent="0.2"/>
    <row r="31327" ht="9.9499999999999993" hidden="1" customHeight="1" x14ac:dyDescent="0.2"/>
    <row r="31328" ht="9.9499999999999993" hidden="1" customHeight="1" x14ac:dyDescent="0.2"/>
    <row r="31329" ht="9.9499999999999993" hidden="1" customHeight="1" x14ac:dyDescent="0.2"/>
    <row r="31330" ht="9.9499999999999993" hidden="1" customHeight="1" x14ac:dyDescent="0.2"/>
    <row r="31331" ht="9.9499999999999993" hidden="1" customHeight="1" x14ac:dyDescent="0.2"/>
    <row r="31332" ht="9.9499999999999993" hidden="1" customHeight="1" x14ac:dyDescent="0.2"/>
    <row r="31333" ht="9.9499999999999993" hidden="1" customHeight="1" x14ac:dyDescent="0.2"/>
    <row r="31334" ht="9.9499999999999993" hidden="1" customHeight="1" x14ac:dyDescent="0.2"/>
    <row r="31335" ht="9.9499999999999993" hidden="1" customHeight="1" x14ac:dyDescent="0.2"/>
    <row r="31336" ht="9.9499999999999993" hidden="1" customHeight="1" x14ac:dyDescent="0.2"/>
    <row r="31337" ht="9.9499999999999993" hidden="1" customHeight="1" x14ac:dyDescent="0.2"/>
    <row r="31338" ht="9.9499999999999993" hidden="1" customHeight="1" x14ac:dyDescent="0.2"/>
    <row r="31339" ht="9.9499999999999993" hidden="1" customHeight="1" x14ac:dyDescent="0.2"/>
    <row r="31340" ht="9.9499999999999993" hidden="1" customHeight="1" x14ac:dyDescent="0.2"/>
    <row r="31341" ht="9.9499999999999993" hidden="1" customHeight="1" x14ac:dyDescent="0.2"/>
    <row r="31342" ht="9.9499999999999993" hidden="1" customHeight="1" x14ac:dyDescent="0.2"/>
    <row r="31343" ht="9.9499999999999993" hidden="1" customHeight="1" x14ac:dyDescent="0.2"/>
    <row r="31344" ht="9.9499999999999993" hidden="1" customHeight="1" x14ac:dyDescent="0.2"/>
    <row r="31345" ht="9.9499999999999993" hidden="1" customHeight="1" x14ac:dyDescent="0.2"/>
    <row r="31346" ht="9.9499999999999993" hidden="1" customHeight="1" x14ac:dyDescent="0.2"/>
    <row r="31347" ht="9.9499999999999993" hidden="1" customHeight="1" x14ac:dyDescent="0.2"/>
    <row r="31348" ht="9.9499999999999993" hidden="1" customHeight="1" x14ac:dyDescent="0.2"/>
    <row r="31349" ht="9.9499999999999993" hidden="1" customHeight="1" x14ac:dyDescent="0.2"/>
    <row r="31350" ht="9.9499999999999993" hidden="1" customHeight="1" x14ac:dyDescent="0.2"/>
    <row r="31351" ht="9.9499999999999993" hidden="1" customHeight="1" x14ac:dyDescent="0.2"/>
    <row r="31352" ht="9.9499999999999993" hidden="1" customHeight="1" x14ac:dyDescent="0.2"/>
    <row r="31353" ht="9.9499999999999993" hidden="1" customHeight="1" x14ac:dyDescent="0.2"/>
    <row r="31354" ht="9.9499999999999993" hidden="1" customHeight="1" x14ac:dyDescent="0.2"/>
    <row r="31355" ht="9.9499999999999993" hidden="1" customHeight="1" x14ac:dyDescent="0.2"/>
    <row r="31356" ht="9.9499999999999993" hidden="1" customHeight="1" x14ac:dyDescent="0.2"/>
    <row r="31357" ht="9.9499999999999993" hidden="1" customHeight="1" x14ac:dyDescent="0.2"/>
    <row r="31358" ht="9.9499999999999993" hidden="1" customHeight="1" x14ac:dyDescent="0.2"/>
    <row r="31359" ht="9.9499999999999993" hidden="1" customHeight="1" x14ac:dyDescent="0.2"/>
    <row r="31360" ht="9.9499999999999993" hidden="1" customHeight="1" x14ac:dyDescent="0.2"/>
    <row r="31361" ht="9.9499999999999993" hidden="1" customHeight="1" x14ac:dyDescent="0.2"/>
    <row r="31362" ht="9.9499999999999993" hidden="1" customHeight="1" x14ac:dyDescent="0.2"/>
    <row r="31363" ht="9.9499999999999993" hidden="1" customHeight="1" x14ac:dyDescent="0.2"/>
    <row r="31364" ht="9.9499999999999993" hidden="1" customHeight="1" x14ac:dyDescent="0.2"/>
    <row r="31365" ht="9.9499999999999993" hidden="1" customHeight="1" x14ac:dyDescent="0.2"/>
    <row r="31366" ht="9.9499999999999993" hidden="1" customHeight="1" x14ac:dyDescent="0.2"/>
    <row r="31367" ht="9.9499999999999993" hidden="1" customHeight="1" x14ac:dyDescent="0.2"/>
    <row r="31368" ht="9.9499999999999993" hidden="1" customHeight="1" x14ac:dyDescent="0.2"/>
    <row r="31369" ht="9.9499999999999993" hidden="1" customHeight="1" x14ac:dyDescent="0.2"/>
    <row r="31370" ht="9.9499999999999993" hidden="1" customHeight="1" x14ac:dyDescent="0.2"/>
    <row r="31371" ht="9.9499999999999993" hidden="1" customHeight="1" x14ac:dyDescent="0.2"/>
    <row r="31372" ht="9.9499999999999993" hidden="1" customHeight="1" x14ac:dyDescent="0.2"/>
    <row r="31373" ht="9.9499999999999993" hidden="1" customHeight="1" x14ac:dyDescent="0.2"/>
    <row r="31374" ht="9.9499999999999993" hidden="1" customHeight="1" x14ac:dyDescent="0.2"/>
    <row r="31375" ht="9.9499999999999993" hidden="1" customHeight="1" x14ac:dyDescent="0.2"/>
    <row r="31376" ht="9.9499999999999993" hidden="1" customHeight="1" x14ac:dyDescent="0.2"/>
    <row r="31377" ht="9.9499999999999993" hidden="1" customHeight="1" x14ac:dyDescent="0.2"/>
    <row r="31378" ht="9.9499999999999993" hidden="1" customHeight="1" x14ac:dyDescent="0.2"/>
    <row r="31379" ht="9.9499999999999993" hidden="1" customHeight="1" x14ac:dyDescent="0.2"/>
    <row r="31380" ht="9.9499999999999993" hidden="1" customHeight="1" x14ac:dyDescent="0.2"/>
    <row r="31381" ht="9.9499999999999993" hidden="1" customHeight="1" x14ac:dyDescent="0.2"/>
    <row r="31382" ht="9.9499999999999993" hidden="1" customHeight="1" x14ac:dyDescent="0.2"/>
    <row r="31383" ht="9.9499999999999993" hidden="1" customHeight="1" x14ac:dyDescent="0.2"/>
    <row r="31384" ht="9.9499999999999993" hidden="1" customHeight="1" x14ac:dyDescent="0.2"/>
    <row r="31385" ht="9.9499999999999993" hidden="1" customHeight="1" x14ac:dyDescent="0.2"/>
    <row r="31386" ht="9.9499999999999993" hidden="1" customHeight="1" x14ac:dyDescent="0.2"/>
    <row r="31387" ht="9.9499999999999993" hidden="1" customHeight="1" x14ac:dyDescent="0.2"/>
    <row r="31388" ht="9.9499999999999993" hidden="1" customHeight="1" x14ac:dyDescent="0.2"/>
    <row r="31389" ht="9.9499999999999993" hidden="1" customHeight="1" x14ac:dyDescent="0.2"/>
    <row r="31390" ht="9.9499999999999993" hidden="1" customHeight="1" x14ac:dyDescent="0.2"/>
    <row r="31391" ht="9.9499999999999993" hidden="1" customHeight="1" x14ac:dyDescent="0.2"/>
    <row r="31392" ht="9.9499999999999993" hidden="1" customHeight="1" x14ac:dyDescent="0.2"/>
    <row r="31393" ht="9.9499999999999993" hidden="1" customHeight="1" x14ac:dyDescent="0.2"/>
    <row r="31394" ht="9.9499999999999993" hidden="1" customHeight="1" x14ac:dyDescent="0.2"/>
    <row r="31395" ht="9.9499999999999993" hidden="1" customHeight="1" x14ac:dyDescent="0.2"/>
    <row r="31396" ht="9.9499999999999993" hidden="1" customHeight="1" x14ac:dyDescent="0.2"/>
    <row r="31397" ht="9.9499999999999993" hidden="1" customHeight="1" x14ac:dyDescent="0.2"/>
    <row r="31398" ht="9.9499999999999993" hidden="1" customHeight="1" x14ac:dyDescent="0.2"/>
    <row r="31399" ht="9.9499999999999993" hidden="1" customHeight="1" x14ac:dyDescent="0.2"/>
    <row r="31400" ht="9.9499999999999993" hidden="1" customHeight="1" x14ac:dyDescent="0.2"/>
    <row r="31401" ht="9.9499999999999993" hidden="1" customHeight="1" x14ac:dyDescent="0.2"/>
    <row r="31402" ht="9.9499999999999993" hidden="1" customHeight="1" x14ac:dyDescent="0.2"/>
    <row r="31403" ht="9.9499999999999993" hidden="1" customHeight="1" x14ac:dyDescent="0.2"/>
    <row r="31404" ht="9.9499999999999993" hidden="1" customHeight="1" x14ac:dyDescent="0.2"/>
    <row r="31405" ht="9.9499999999999993" hidden="1" customHeight="1" x14ac:dyDescent="0.2"/>
    <row r="31406" ht="9.9499999999999993" hidden="1" customHeight="1" x14ac:dyDescent="0.2"/>
    <row r="31407" ht="9.9499999999999993" hidden="1" customHeight="1" x14ac:dyDescent="0.2"/>
    <row r="31408" ht="9.9499999999999993" hidden="1" customHeight="1" x14ac:dyDescent="0.2"/>
    <row r="31409" ht="9.9499999999999993" hidden="1" customHeight="1" x14ac:dyDescent="0.2"/>
    <row r="31410" ht="9.9499999999999993" hidden="1" customHeight="1" x14ac:dyDescent="0.2"/>
    <row r="31411" ht="9.9499999999999993" hidden="1" customHeight="1" x14ac:dyDescent="0.2"/>
    <row r="31412" ht="9.9499999999999993" hidden="1" customHeight="1" x14ac:dyDescent="0.2"/>
    <row r="31413" ht="9.9499999999999993" hidden="1" customHeight="1" x14ac:dyDescent="0.2"/>
    <row r="31414" ht="9.9499999999999993" hidden="1" customHeight="1" x14ac:dyDescent="0.2"/>
    <row r="31415" ht="9.9499999999999993" hidden="1" customHeight="1" x14ac:dyDescent="0.2"/>
    <row r="31416" ht="9.9499999999999993" hidden="1" customHeight="1" x14ac:dyDescent="0.2"/>
    <row r="31417" ht="9.9499999999999993" hidden="1" customHeight="1" x14ac:dyDescent="0.2"/>
    <row r="31418" ht="9.9499999999999993" hidden="1" customHeight="1" x14ac:dyDescent="0.2"/>
    <row r="31419" ht="9.9499999999999993" hidden="1" customHeight="1" x14ac:dyDescent="0.2"/>
    <row r="31420" ht="9.9499999999999993" hidden="1" customHeight="1" x14ac:dyDescent="0.2"/>
    <row r="31421" ht="9.9499999999999993" hidden="1" customHeight="1" x14ac:dyDescent="0.2"/>
    <row r="31422" ht="9.9499999999999993" hidden="1" customHeight="1" x14ac:dyDescent="0.2"/>
    <row r="31423" ht="9.9499999999999993" hidden="1" customHeight="1" x14ac:dyDescent="0.2"/>
    <row r="31424" ht="9.9499999999999993" hidden="1" customHeight="1" x14ac:dyDescent="0.2"/>
    <row r="31425" ht="9.9499999999999993" hidden="1" customHeight="1" x14ac:dyDescent="0.2"/>
    <row r="31426" ht="9.9499999999999993" hidden="1" customHeight="1" x14ac:dyDescent="0.2"/>
    <row r="31427" ht="9.9499999999999993" hidden="1" customHeight="1" x14ac:dyDescent="0.2"/>
    <row r="31428" ht="9.9499999999999993" hidden="1" customHeight="1" x14ac:dyDescent="0.2"/>
    <row r="31429" ht="9.9499999999999993" hidden="1" customHeight="1" x14ac:dyDescent="0.2"/>
    <row r="31430" ht="9.9499999999999993" hidden="1" customHeight="1" x14ac:dyDescent="0.2"/>
    <row r="31431" ht="9.9499999999999993" hidden="1" customHeight="1" x14ac:dyDescent="0.2"/>
    <row r="31432" ht="9.9499999999999993" hidden="1" customHeight="1" x14ac:dyDescent="0.2"/>
    <row r="31433" ht="9.9499999999999993" hidden="1" customHeight="1" x14ac:dyDescent="0.2"/>
    <row r="31434" ht="9.9499999999999993" hidden="1" customHeight="1" x14ac:dyDescent="0.2"/>
    <row r="31435" ht="9.9499999999999993" hidden="1" customHeight="1" x14ac:dyDescent="0.2"/>
    <row r="31436" ht="9.9499999999999993" hidden="1" customHeight="1" x14ac:dyDescent="0.2"/>
    <row r="31437" ht="9.9499999999999993" hidden="1" customHeight="1" x14ac:dyDescent="0.2"/>
    <row r="31438" ht="9.9499999999999993" hidden="1" customHeight="1" x14ac:dyDescent="0.2"/>
    <row r="31439" ht="9.9499999999999993" hidden="1" customHeight="1" x14ac:dyDescent="0.2"/>
    <row r="31440" ht="9.9499999999999993" hidden="1" customHeight="1" x14ac:dyDescent="0.2"/>
    <row r="31441" ht="9.9499999999999993" hidden="1" customHeight="1" x14ac:dyDescent="0.2"/>
    <row r="31442" ht="9.9499999999999993" hidden="1" customHeight="1" x14ac:dyDescent="0.2"/>
    <row r="31443" ht="9.9499999999999993" hidden="1" customHeight="1" x14ac:dyDescent="0.2"/>
    <row r="31444" ht="9.9499999999999993" hidden="1" customHeight="1" x14ac:dyDescent="0.2"/>
    <row r="31445" ht="9.9499999999999993" hidden="1" customHeight="1" x14ac:dyDescent="0.2"/>
    <row r="31446" ht="9.9499999999999993" hidden="1" customHeight="1" x14ac:dyDescent="0.2"/>
    <row r="31447" ht="9.9499999999999993" hidden="1" customHeight="1" x14ac:dyDescent="0.2"/>
    <row r="31448" ht="9.9499999999999993" hidden="1" customHeight="1" x14ac:dyDescent="0.2"/>
    <row r="31449" ht="9.9499999999999993" hidden="1" customHeight="1" x14ac:dyDescent="0.2"/>
    <row r="31450" ht="9.9499999999999993" hidden="1" customHeight="1" x14ac:dyDescent="0.2"/>
    <row r="31451" ht="9.9499999999999993" hidden="1" customHeight="1" x14ac:dyDescent="0.2"/>
    <row r="31452" ht="9.9499999999999993" hidden="1" customHeight="1" x14ac:dyDescent="0.2"/>
    <row r="31453" ht="9.9499999999999993" hidden="1" customHeight="1" x14ac:dyDescent="0.2"/>
    <row r="31454" ht="9.9499999999999993" hidden="1" customHeight="1" x14ac:dyDescent="0.2"/>
    <row r="31455" ht="9.9499999999999993" hidden="1" customHeight="1" x14ac:dyDescent="0.2"/>
    <row r="31456" ht="9.9499999999999993" hidden="1" customHeight="1" x14ac:dyDescent="0.2"/>
    <row r="31457" ht="9.9499999999999993" hidden="1" customHeight="1" x14ac:dyDescent="0.2"/>
    <row r="31458" ht="9.9499999999999993" hidden="1" customHeight="1" x14ac:dyDescent="0.2"/>
    <row r="31459" ht="9.9499999999999993" hidden="1" customHeight="1" x14ac:dyDescent="0.2"/>
    <row r="31460" ht="9.9499999999999993" hidden="1" customHeight="1" x14ac:dyDescent="0.2"/>
    <row r="31461" ht="9.9499999999999993" hidden="1" customHeight="1" x14ac:dyDescent="0.2"/>
    <row r="31462" ht="9.9499999999999993" hidden="1" customHeight="1" x14ac:dyDescent="0.2"/>
    <row r="31463" ht="9.9499999999999993" hidden="1" customHeight="1" x14ac:dyDescent="0.2"/>
    <row r="31464" ht="9.9499999999999993" hidden="1" customHeight="1" x14ac:dyDescent="0.2"/>
    <row r="31465" ht="9.9499999999999993" hidden="1" customHeight="1" x14ac:dyDescent="0.2"/>
    <row r="31466" ht="9.9499999999999993" hidden="1" customHeight="1" x14ac:dyDescent="0.2"/>
    <row r="31467" ht="9.9499999999999993" hidden="1" customHeight="1" x14ac:dyDescent="0.2"/>
    <row r="31468" ht="9.9499999999999993" hidden="1" customHeight="1" x14ac:dyDescent="0.2"/>
    <row r="31469" ht="9.9499999999999993" hidden="1" customHeight="1" x14ac:dyDescent="0.2"/>
    <row r="31470" ht="9.9499999999999993" hidden="1" customHeight="1" x14ac:dyDescent="0.2"/>
    <row r="31471" ht="9.9499999999999993" hidden="1" customHeight="1" x14ac:dyDescent="0.2"/>
    <row r="31472" ht="9.9499999999999993" hidden="1" customHeight="1" x14ac:dyDescent="0.2"/>
    <row r="31473" ht="9.9499999999999993" hidden="1" customHeight="1" x14ac:dyDescent="0.2"/>
    <row r="31474" ht="9.9499999999999993" hidden="1" customHeight="1" x14ac:dyDescent="0.2"/>
    <row r="31475" ht="9.9499999999999993" hidden="1" customHeight="1" x14ac:dyDescent="0.2"/>
    <row r="31476" ht="9.9499999999999993" hidden="1" customHeight="1" x14ac:dyDescent="0.2"/>
    <row r="31477" ht="9.9499999999999993" hidden="1" customHeight="1" x14ac:dyDescent="0.2"/>
    <row r="31478" ht="9.9499999999999993" hidden="1" customHeight="1" x14ac:dyDescent="0.2"/>
    <row r="31479" ht="9.9499999999999993" hidden="1" customHeight="1" x14ac:dyDescent="0.2"/>
    <row r="31480" ht="9.9499999999999993" hidden="1" customHeight="1" x14ac:dyDescent="0.2"/>
    <row r="31481" ht="9.9499999999999993" hidden="1" customHeight="1" x14ac:dyDescent="0.2"/>
    <row r="31482" ht="9.9499999999999993" hidden="1" customHeight="1" x14ac:dyDescent="0.2"/>
    <row r="31483" ht="9.9499999999999993" hidden="1" customHeight="1" x14ac:dyDescent="0.2"/>
    <row r="31484" ht="9.9499999999999993" hidden="1" customHeight="1" x14ac:dyDescent="0.2"/>
    <row r="31485" ht="9.9499999999999993" hidden="1" customHeight="1" x14ac:dyDescent="0.2"/>
    <row r="31486" ht="9.9499999999999993" hidden="1" customHeight="1" x14ac:dyDescent="0.2"/>
    <row r="31487" ht="9.9499999999999993" hidden="1" customHeight="1" x14ac:dyDescent="0.2"/>
    <row r="31488" ht="9.9499999999999993" hidden="1" customHeight="1" x14ac:dyDescent="0.2"/>
    <row r="31489" ht="9.9499999999999993" hidden="1" customHeight="1" x14ac:dyDescent="0.2"/>
    <row r="31490" ht="9.9499999999999993" hidden="1" customHeight="1" x14ac:dyDescent="0.2"/>
    <row r="31491" ht="9.9499999999999993" hidden="1" customHeight="1" x14ac:dyDescent="0.2"/>
    <row r="31492" ht="9.9499999999999993" hidden="1" customHeight="1" x14ac:dyDescent="0.2"/>
    <row r="31493" ht="9.9499999999999993" hidden="1" customHeight="1" x14ac:dyDescent="0.2"/>
    <row r="31494" ht="9.9499999999999993" hidden="1" customHeight="1" x14ac:dyDescent="0.2"/>
    <row r="31495" ht="9.9499999999999993" hidden="1" customHeight="1" x14ac:dyDescent="0.2"/>
    <row r="31496" ht="9.9499999999999993" hidden="1" customHeight="1" x14ac:dyDescent="0.2"/>
    <row r="31497" ht="9.9499999999999993" hidden="1" customHeight="1" x14ac:dyDescent="0.2"/>
    <row r="31498" ht="9.9499999999999993" hidden="1" customHeight="1" x14ac:dyDescent="0.2"/>
    <row r="31499" ht="9.9499999999999993" hidden="1" customHeight="1" x14ac:dyDescent="0.2"/>
    <row r="31500" ht="9.9499999999999993" hidden="1" customHeight="1" x14ac:dyDescent="0.2"/>
    <row r="31501" ht="9.9499999999999993" hidden="1" customHeight="1" x14ac:dyDescent="0.2"/>
    <row r="31502" ht="9.9499999999999993" hidden="1" customHeight="1" x14ac:dyDescent="0.2"/>
    <row r="31503" ht="9.9499999999999993" hidden="1" customHeight="1" x14ac:dyDescent="0.2"/>
    <row r="31504" ht="9.9499999999999993" hidden="1" customHeight="1" x14ac:dyDescent="0.2"/>
    <row r="31505" ht="9.9499999999999993" hidden="1" customHeight="1" x14ac:dyDescent="0.2"/>
    <row r="31506" ht="9.9499999999999993" hidden="1" customHeight="1" x14ac:dyDescent="0.2"/>
    <row r="31507" ht="9.9499999999999993" hidden="1" customHeight="1" x14ac:dyDescent="0.2"/>
    <row r="31508" ht="9.9499999999999993" hidden="1" customHeight="1" x14ac:dyDescent="0.2"/>
    <row r="31509" ht="9.9499999999999993" hidden="1" customHeight="1" x14ac:dyDescent="0.2"/>
    <row r="31510" ht="9.9499999999999993" hidden="1" customHeight="1" x14ac:dyDescent="0.2"/>
    <row r="31511" ht="9.9499999999999993" hidden="1" customHeight="1" x14ac:dyDescent="0.2"/>
    <row r="31512" ht="9.9499999999999993" hidden="1" customHeight="1" x14ac:dyDescent="0.2"/>
    <row r="31513" ht="9.9499999999999993" hidden="1" customHeight="1" x14ac:dyDescent="0.2"/>
    <row r="31514" ht="9.9499999999999993" hidden="1" customHeight="1" x14ac:dyDescent="0.2"/>
    <row r="31515" ht="9.9499999999999993" hidden="1" customHeight="1" x14ac:dyDescent="0.2"/>
    <row r="31516" ht="9.9499999999999993" hidden="1" customHeight="1" x14ac:dyDescent="0.2"/>
    <row r="31517" ht="9.9499999999999993" hidden="1" customHeight="1" x14ac:dyDescent="0.2"/>
    <row r="31518" ht="9.9499999999999993" hidden="1" customHeight="1" x14ac:dyDescent="0.2"/>
    <row r="31519" ht="9.9499999999999993" hidden="1" customHeight="1" x14ac:dyDescent="0.2"/>
    <row r="31520" ht="9.9499999999999993" hidden="1" customHeight="1" x14ac:dyDescent="0.2"/>
    <row r="31521" ht="9.9499999999999993" hidden="1" customHeight="1" x14ac:dyDescent="0.2"/>
    <row r="31522" ht="9.9499999999999993" hidden="1" customHeight="1" x14ac:dyDescent="0.2"/>
    <row r="31523" ht="9.9499999999999993" hidden="1" customHeight="1" x14ac:dyDescent="0.2"/>
    <row r="31524" ht="9.9499999999999993" hidden="1" customHeight="1" x14ac:dyDescent="0.2"/>
    <row r="31525" ht="9.9499999999999993" hidden="1" customHeight="1" x14ac:dyDescent="0.2"/>
    <row r="31526" ht="9.9499999999999993" hidden="1" customHeight="1" x14ac:dyDescent="0.2"/>
    <row r="31527" ht="9.9499999999999993" hidden="1" customHeight="1" x14ac:dyDescent="0.2"/>
    <row r="31528" ht="9.9499999999999993" hidden="1" customHeight="1" x14ac:dyDescent="0.2"/>
    <row r="31529" ht="9.9499999999999993" hidden="1" customHeight="1" x14ac:dyDescent="0.2"/>
    <row r="31530" ht="9.9499999999999993" hidden="1" customHeight="1" x14ac:dyDescent="0.2"/>
    <row r="31531" ht="9.9499999999999993" hidden="1" customHeight="1" x14ac:dyDescent="0.2"/>
    <row r="31532" ht="9.9499999999999993" hidden="1" customHeight="1" x14ac:dyDescent="0.2"/>
    <row r="31533" ht="9.9499999999999993" hidden="1" customHeight="1" x14ac:dyDescent="0.2"/>
    <row r="31534" ht="9.9499999999999993" hidden="1" customHeight="1" x14ac:dyDescent="0.2"/>
    <row r="31535" ht="9.9499999999999993" hidden="1" customHeight="1" x14ac:dyDescent="0.2"/>
    <row r="31536" ht="9.9499999999999993" hidden="1" customHeight="1" x14ac:dyDescent="0.2"/>
    <row r="31537" ht="9.9499999999999993" hidden="1" customHeight="1" x14ac:dyDescent="0.2"/>
    <row r="31538" ht="9.9499999999999993" hidden="1" customHeight="1" x14ac:dyDescent="0.2"/>
    <row r="31539" ht="9.9499999999999993" hidden="1" customHeight="1" x14ac:dyDescent="0.2"/>
    <row r="31540" ht="9.9499999999999993" hidden="1" customHeight="1" x14ac:dyDescent="0.2"/>
    <row r="31541" ht="9.9499999999999993" hidden="1" customHeight="1" x14ac:dyDescent="0.2"/>
    <row r="31542" ht="9.9499999999999993" hidden="1" customHeight="1" x14ac:dyDescent="0.2"/>
    <row r="31543" ht="9.9499999999999993" hidden="1" customHeight="1" x14ac:dyDescent="0.2"/>
    <row r="31544" ht="9.9499999999999993" hidden="1" customHeight="1" x14ac:dyDescent="0.2"/>
    <row r="31545" ht="9.9499999999999993" hidden="1" customHeight="1" x14ac:dyDescent="0.2"/>
    <row r="31546" ht="9.9499999999999993" hidden="1" customHeight="1" x14ac:dyDescent="0.2"/>
    <row r="31547" ht="9.9499999999999993" hidden="1" customHeight="1" x14ac:dyDescent="0.2"/>
    <row r="31548" ht="9.9499999999999993" hidden="1" customHeight="1" x14ac:dyDescent="0.2"/>
    <row r="31549" ht="9.9499999999999993" hidden="1" customHeight="1" x14ac:dyDescent="0.2"/>
    <row r="31550" ht="9.9499999999999993" hidden="1" customHeight="1" x14ac:dyDescent="0.2"/>
    <row r="31551" ht="9.9499999999999993" hidden="1" customHeight="1" x14ac:dyDescent="0.2"/>
    <row r="31552" ht="9.9499999999999993" hidden="1" customHeight="1" x14ac:dyDescent="0.2"/>
    <row r="31553" ht="9.9499999999999993" hidden="1" customHeight="1" x14ac:dyDescent="0.2"/>
    <row r="31554" ht="9.9499999999999993" hidden="1" customHeight="1" x14ac:dyDescent="0.2"/>
    <row r="31555" ht="9.9499999999999993" hidden="1" customHeight="1" x14ac:dyDescent="0.2"/>
    <row r="31556" ht="9.9499999999999993" hidden="1" customHeight="1" x14ac:dyDescent="0.2"/>
    <row r="31557" ht="9.9499999999999993" hidden="1" customHeight="1" x14ac:dyDescent="0.2"/>
    <row r="31558" ht="9.9499999999999993" hidden="1" customHeight="1" x14ac:dyDescent="0.2"/>
    <row r="31559" ht="9.9499999999999993" hidden="1" customHeight="1" x14ac:dyDescent="0.2"/>
    <row r="31560" ht="9.9499999999999993" hidden="1" customHeight="1" x14ac:dyDescent="0.2"/>
    <row r="31561" ht="9.9499999999999993" hidden="1" customHeight="1" x14ac:dyDescent="0.2"/>
    <row r="31562" ht="9.9499999999999993" hidden="1" customHeight="1" x14ac:dyDescent="0.2"/>
    <row r="31563" ht="9.9499999999999993" hidden="1" customHeight="1" x14ac:dyDescent="0.2"/>
    <row r="31564" ht="9.9499999999999993" hidden="1" customHeight="1" x14ac:dyDescent="0.2"/>
    <row r="31565" ht="9.9499999999999993" hidden="1" customHeight="1" x14ac:dyDescent="0.2"/>
    <row r="31566" ht="9.9499999999999993" hidden="1" customHeight="1" x14ac:dyDescent="0.2"/>
    <row r="31567" ht="9.9499999999999993" hidden="1" customHeight="1" x14ac:dyDescent="0.2"/>
    <row r="31568" ht="9.9499999999999993" hidden="1" customHeight="1" x14ac:dyDescent="0.2"/>
    <row r="31569" ht="9.9499999999999993" hidden="1" customHeight="1" x14ac:dyDescent="0.2"/>
    <row r="31570" ht="9.9499999999999993" hidden="1" customHeight="1" x14ac:dyDescent="0.2"/>
    <row r="31571" ht="9.9499999999999993" hidden="1" customHeight="1" x14ac:dyDescent="0.2"/>
    <row r="31572" ht="9.9499999999999993" hidden="1" customHeight="1" x14ac:dyDescent="0.2"/>
    <row r="31573" ht="9.9499999999999993" hidden="1" customHeight="1" x14ac:dyDescent="0.2"/>
    <row r="31574" ht="9.9499999999999993" hidden="1" customHeight="1" x14ac:dyDescent="0.2"/>
    <row r="31575" ht="9.9499999999999993" hidden="1" customHeight="1" x14ac:dyDescent="0.2"/>
    <row r="31576" ht="9.9499999999999993" hidden="1" customHeight="1" x14ac:dyDescent="0.2"/>
    <row r="31577" ht="9.9499999999999993" hidden="1" customHeight="1" x14ac:dyDescent="0.2"/>
    <row r="31578" ht="9.9499999999999993" hidden="1" customHeight="1" x14ac:dyDescent="0.2"/>
    <row r="31579" ht="9.9499999999999993" hidden="1" customHeight="1" x14ac:dyDescent="0.2"/>
    <row r="31580" ht="9.9499999999999993" hidden="1" customHeight="1" x14ac:dyDescent="0.2"/>
    <row r="31581" ht="9.9499999999999993" hidden="1" customHeight="1" x14ac:dyDescent="0.2"/>
    <row r="31582" ht="9.9499999999999993" hidden="1" customHeight="1" x14ac:dyDescent="0.2"/>
    <row r="31583" ht="9.9499999999999993" hidden="1" customHeight="1" x14ac:dyDescent="0.2"/>
    <row r="31584" ht="9.9499999999999993" hidden="1" customHeight="1" x14ac:dyDescent="0.2"/>
    <row r="31585" ht="9.9499999999999993" hidden="1" customHeight="1" x14ac:dyDescent="0.2"/>
    <row r="31586" ht="9.9499999999999993" hidden="1" customHeight="1" x14ac:dyDescent="0.2"/>
    <row r="31587" ht="9.9499999999999993" hidden="1" customHeight="1" x14ac:dyDescent="0.2"/>
    <row r="31588" ht="9.9499999999999993" hidden="1" customHeight="1" x14ac:dyDescent="0.2"/>
    <row r="31589" ht="9.9499999999999993" hidden="1" customHeight="1" x14ac:dyDescent="0.2"/>
    <row r="31590" ht="9.9499999999999993" hidden="1" customHeight="1" x14ac:dyDescent="0.2"/>
    <row r="31591" ht="9.9499999999999993" hidden="1" customHeight="1" x14ac:dyDescent="0.2"/>
    <row r="31592" ht="9.9499999999999993" hidden="1" customHeight="1" x14ac:dyDescent="0.2"/>
    <row r="31593" ht="9.9499999999999993" hidden="1" customHeight="1" x14ac:dyDescent="0.2"/>
    <row r="31594" ht="9.9499999999999993" hidden="1" customHeight="1" x14ac:dyDescent="0.2"/>
    <row r="31595" ht="9.9499999999999993" hidden="1" customHeight="1" x14ac:dyDescent="0.2"/>
    <row r="31596" ht="9.9499999999999993" hidden="1" customHeight="1" x14ac:dyDescent="0.2"/>
    <row r="31597" ht="9.9499999999999993" hidden="1" customHeight="1" x14ac:dyDescent="0.2"/>
    <row r="31598" ht="9.9499999999999993" hidden="1" customHeight="1" x14ac:dyDescent="0.2"/>
    <row r="31599" ht="9.9499999999999993" hidden="1" customHeight="1" x14ac:dyDescent="0.2"/>
    <row r="31600" ht="9.9499999999999993" hidden="1" customHeight="1" x14ac:dyDescent="0.2"/>
    <row r="31601" ht="9.9499999999999993" hidden="1" customHeight="1" x14ac:dyDescent="0.2"/>
    <row r="31602" ht="9.9499999999999993" hidden="1" customHeight="1" x14ac:dyDescent="0.2"/>
    <row r="31603" ht="9.9499999999999993" hidden="1" customHeight="1" x14ac:dyDescent="0.2"/>
    <row r="31604" ht="9.9499999999999993" hidden="1" customHeight="1" x14ac:dyDescent="0.2"/>
    <row r="31605" ht="9.9499999999999993" hidden="1" customHeight="1" x14ac:dyDescent="0.2"/>
    <row r="31606" ht="9.9499999999999993" hidden="1" customHeight="1" x14ac:dyDescent="0.2"/>
    <row r="31607" ht="9.9499999999999993" hidden="1" customHeight="1" x14ac:dyDescent="0.2"/>
    <row r="31608" ht="9.9499999999999993" hidden="1" customHeight="1" x14ac:dyDescent="0.2"/>
    <row r="31609" ht="9.9499999999999993" hidden="1" customHeight="1" x14ac:dyDescent="0.2"/>
    <row r="31610" ht="9.9499999999999993" hidden="1" customHeight="1" x14ac:dyDescent="0.2"/>
    <row r="31611" ht="9.9499999999999993" hidden="1" customHeight="1" x14ac:dyDescent="0.2"/>
    <row r="31612" ht="9.9499999999999993" hidden="1" customHeight="1" x14ac:dyDescent="0.2"/>
    <row r="31613" ht="9.9499999999999993" hidden="1" customHeight="1" x14ac:dyDescent="0.2"/>
    <row r="31614" ht="9.9499999999999993" hidden="1" customHeight="1" x14ac:dyDescent="0.2"/>
    <row r="31615" ht="9.9499999999999993" hidden="1" customHeight="1" x14ac:dyDescent="0.2"/>
    <row r="31616" ht="9.9499999999999993" hidden="1" customHeight="1" x14ac:dyDescent="0.2"/>
    <row r="31617" ht="9.9499999999999993" hidden="1" customHeight="1" x14ac:dyDescent="0.2"/>
    <row r="31618" ht="9.9499999999999993" hidden="1" customHeight="1" x14ac:dyDescent="0.2"/>
    <row r="31619" ht="9.9499999999999993" hidden="1" customHeight="1" x14ac:dyDescent="0.2"/>
    <row r="31620" ht="9.9499999999999993" hidden="1" customHeight="1" x14ac:dyDescent="0.2"/>
    <row r="31621" ht="9.9499999999999993" hidden="1" customHeight="1" x14ac:dyDescent="0.2"/>
    <row r="31622" ht="9.9499999999999993" hidden="1" customHeight="1" x14ac:dyDescent="0.2"/>
    <row r="31623" ht="9.9499999999999993" hidden="1" customHeight="1" x14ac:dyDescent="0.2"/>
    <row r="31624" ht="9.9499999999999993" hidden="1" customHeight="1" x14ac:dyDescent="0.2"/>
    <row r="31625" ht="9.9499999999999993" hidden="1" customHeight="1" x14ac:dyDescent="0.2"/>
    <row r="31626" ht="9.9499999999999993" hidden="1" customHeight="1" x14ac:dyDescent="0.2"/>
    <row r="31627" ht="9.9499999999999993" hidden="1" customHeight="1" x14ac:dyDescent="0.2"/>
    <row r="31628" ht="9.9499999999999993" hidden="1" customHeight="1" x14ac:dyDescent="0.2"/>
    <row r="31629" ht="9.9499999999999993" hidden="1" customHeight="1" x14ac:dyDescent="0.2"/>
    <row r="31630" ht="9.9499999999999993" hidden="1" customHeight="1" x14ac:dyDescent="0.2"/>
    <row r="31631" ht="9.9499999999999993" hidden="1" customHeight="1" x14ac:dyDescent="0.2"/>
    <row r="31632" ht="9.9499999999999993" hidden="1" customHeight="1" x14ac:dyDescent="0.2"/>
    <row r="31633" ht="9.9499999999999993" hidden="1" customHeight="1" x14ac:dyDescent="0.2"/>
    <row r="31634" ht="9.9499999999999993" hidden="1" customHeight="1" x14ac:dyDescent="0.2"/>
    <row r="31635" ht="9.9499999999999993" hidden="1" customHeight="1" x14ac:dyDescent="0.2"/>
    <row r="31636" ht="9.9499999999999993" hidden="1" customHeight="1" x14ac:dyDescent="0.2"/>
    <row r="31637" ht="9.9499999999999993" hidden="1" customHeight="1" x14ac:dyDescent="0.2"/>
    <row r="31638" ht="9.9499999999999993" hidden="1" customHeight="1" x14ac:dyDescent="0.2"/>
    <row r="31639" ht="9.9499999999999993" hidden="1" customHeight="1" x14ac:dyDescent="0.2"/>
    <row r="31640" ht="9.9499999999999993" hidden="1" customHeight="1" x14ac:dyDescent="0.2"/>
    <row r="31641" ht="9.9499999999999993" hidden="1" customHeight="1" x14ac:dyDescent="0.2"/>
    <row r="31642" ht="9.9499999999999993" hidden="1" customHeight="1" x14ac:dyDescent="0.2"/>
    <row r="31643" ht="9.9499999999999993" hidden="1" customHeight="1" x14ac:dyDescent="0.2"/>
    <row r="31644" ht="9.9499999999999993" hidden="1" customHeight="1" x14ac:dyDescent="0.2"/>
    <row r="31645" ht="9.9499999999999993" hidden="1" customHeight="1" x14ac:dyDescent="0.2"/>
    <row r="31646" ht="9.9499999999999993" hidden="1" customHeight="1" x14ac:dyDescent="0.2"/>
    <row r="31647" ht="9.9499999999999993" hidden="1" customHeight="1" x14ac:dyDescent="0.2"/>
    <row r="31648" ht="9.9499999999999993" hidden="1" customHeight="1" x14ac:dyDescent="0.2"/>
    <row r="31649" ht="9.9499999999999993" hidden="1" customHeight="1" x14ac:dyDescent="0.2"/>
    <row r="31650" ht="9.9499999999999993" hidden="1" customHeight="1" x14ac:dyDescent="0.2"/>
    <row r="31651" ht="9.9499999999999993" hidden="1" customHeight="1" x14ac:dyDescent="0.2"/>
    <row r="31652" ht="9.9499999999999993" hidden="1" customHeight="1" x14ac:dyDescent="0.2"/>
    <row r="31653" ht="9.9499999999999993" hidden="1" customHeight="1" x14ac:dyDescent="0.2"/>
    <row r="31654" ht="9.9499999999999993" hidden="1" customHeight="1" x14ac:dyDescent="0.2"/>
    <row r="31655" ht="9.9499999999999993" hidden="1" customHeight="1" x14ac:dyDescent="0.2"/>
    <row r="31656" ht="9.9499999999999993" hidden="1" customHeight="1" x14ac:dyDescent="0.2"/>
    <row r="31657" ht="9.9499999999999993" hidden="1" customHeight="1" x14ac:dyDescent="0.2"/>
    <row r="31658" ht="9.9499999999999993" hidden="1" customHeight="1" x14ac:dyDescent="0.2"/>
    <row r="31659" ht="9.9499999999999993" hidden="1" customHeight="1" x14ac:dyDescent="0.2"/>
    <row r="31660" ht="9.9499999999999993" hidden="1" customHeight="1" x14ac:dyDescent="0.2"/>
    <row r="31661" ht="9.9499999999999993" hidden="1" customHeight="1" x14ac:dyDescent="0.2"/>
    <row r="31662" ht="9.9499999999999993" hidden="1" customHeight="1" x14ac:dyDescent="0.2"/>
    <row r="31663" ht="9.9499999999999993" hidden="1" customHeight="1" x14ac:dyDescent="0.2"/>
    <row r="31664" ht="9.9499999999999993" hidden="1" customHeight="1" x14ac:dyDescent="0.2"/>
    <row r="31665" ht="9.9499999999999993" hidden="1" customHeight="1" x14ac:dyDescent="0.2"/>
    <row r="31666" ht="9.9499999999999993" hidden="1" customHeight="1" x14ac:dyDescent="0.2"/>
    <row r="31667" ht="9.9499999999999993" hidden="1" customHeight="1" x14ac:dyDescent="0.2"/>
    <row r="31668" ht="9.9499999999999993" hidden="1" customHeight="1" x14ac:dyDescent="0.2"/>
    <row r="31669" ht="9.9499999999999993" hidden="1" customHeight="1" x14ac:dyDescent="0.2"/>
    <row r="31670" ht="9.9499999999999993" hidden="1" customHeight="1" x14ac:dyDescent="0.2"/>
    <row r="31671" ht="9.9499999999999993" hidden="1" customHeight="1" x14ac:dyDescent="0.2"/>
    <row r="31672" ht="9.9499999999999993" hidden="1" customHeight="1" x14ac:dyDescent="0.2"/>
    <row r="31673" ht="9.9499999999999993" hidden="1" customHeight="1" x14ac:dyDescent="0.2"/>
    <row r="31674" ht="9.9499999999999993" hidden="1" customHeight="1" x14ac:dyDescent="0.2"/>
    <row r="31675" ht="9.9499999999999993" hidden="1" customHeight="1" x14ac:dyDescent="0.2"/>
    <row r="31676" ht="9.9499999999999993" hidden="1" customHeight="1" x14ac:dyDescent="0.2"/>
    <row r="31677" ht="9.9499999999999993" hidden="1" customHeight="1" x14ac:dyDescent="0.2"/>
    <row r="31678" ht="9.9499999999999993" hidden="1" customHeight="1" x14ac:dyDescent="0.2"/>
    <row r="31679" ht="9.9499999999999993" hidden="1" customHeight="1" x14ac:dyDescent="0.2"/>
    <row r="31680" ht="9.9499999999999993" hidden="1" customHeight="1" x14ac:dyDescent="0.2"/>
    <row r="31681" ht="9.9499999999999993" hidden="1" customHeight="1" x14ac:dyDescent="0.2"/>
    <row r="31682" ht="9.9499999999999993" hidden="1" customHeight="1" x14ac:dyDescent="0.2"/>
    <row r="31683" ht="9.9499999999999993" hidden="1" customHeight="1" x14ac:dyDescent="0.2"/>
    <row r="31684" ht="9.9499999999999993" hidden="1" customHeight="1" x14ac:dyDescent="0.2"/>
    <row r="31685" ht="9.9499999999999993" hidden="1" customHeight="1" x14ac:dyDescent="0.2"/>
    <row r="31686" ht="9.9499999999999993" hidden="1" customHeight="1" x14ac:dyDescent="0.2"/>
    <row r="31687" ht="9.9499999999999993" hidden="1" customHeight="1" x14ac:dyDescent="0.2"/>
    <row r="31688" ht="9.9499999999999993" hidden="1" customHeight="1" x14ac:dyDescent="0.2"/>
    <row r="31689" ht="9.9499999999999993" hidden="1" customHeight="1" x14ac:dyDescent="0.2"/>
    <row r="31690" ht="9.9499999999999993" hidden="1" customHeight="1" x14ac:dyDescent="0.2"/>
    <row r="31691" ht="9.9499999999999993" hidden="1" customHeight="1" x14ac:dyDescent="0.2"/>
    <row r="31692" ht="9.9499999999999993" hidden="1" customHeight="1" x14ac:dyDescent="0.2"/>
    <row r="31693" ht="9.9499999999999993" hidden="1" customHeight="1" x14ac:dyDescent="0.2"/>
    <row r="31694" ht="9.9499999999999993" hidden="1" customHeight="1" x14ac:dyDescent="0.2"/>
    <row r="31695" ht="9.9499999999999993" hidden="1" customHeight="1" x14ac:dyDescent="0.2"/>
    <row r="31696" ht="9.9499999999999993" hidden="1" customHeight="1" x14ac:dyDescent="0.2"/>
    <row r="31697" ht="9.9499999999999993" hidden="1" customHeight="1" x14ac:dyDescent="0.2"/>
    <row r="31698" ht="9.9499999999999993" hidden="1" customHeight="1" x14ac:dyDescent="0.2"/>
    <row r="31699" ht="9.9499999999999993" hidden="1" customHeight="1" x14ac:dyDescent="0.2"/>
    <row r="31700" ht="9.9499999999999993" hidden="1" customHeight="1" x14ac:dyDescent="0.2"/>
    <row r="31701" ht="9.9499999999999993" hidden="1" customHeight="1" x14ac:dyDescent="0.2"/>
    <row r="31702" ht="9.9499999999999993" hidden="1" customHeight="1" x14ac:dyDescent="0.2"/>
    <row r="31703" ht="9.9499999999999993" hidden="1" customHeight="1" x14ac:dyDescent="0.2"/>
    <row r="31704" ht="9.9499999999999993" hidden="1" customHeight="1" x14ac:dyDescent="0.2"/>
    <row r="31705" ht="9.9499999999999993" hidden="1" customHeight="1" x14ac:dyDescent="0.2"/>
    <row r="31706" ht="9.9499999999999993" hidden="1" customHeight="1" x14ac:dyDescent="0.2"/>
    <row r="31707" ht="9.9499999999999993" hidden="1" customHeight="1" x14ac:dyDescent="0.2"/>
    <row r="31708" ht="9.9499999999999993" hidden="1" customHeight="1" x14ac:dyDescent="0.2"/>
    <row r="31709" ht="9.9499999999999993" hidden="1" customHeight="1" x14ac:dyDescent="0.2"/>
    <row r="31710" ht="9.9499999999999993" hidden="1" customHeight="1" x14ac:dyDescent="0.2"/>
    <row r="31711" ht="9.9499999999999993" hidden="1" customHeight="1" x14ac:dyDescent="0.2"/>
    <row r="31712" ht="9.9499999999999993" hidden="1" customHeight="1" x14ac:dyDescent="0.2"/>
    <row r="31713" ht="9.9499999999999993" hidden="1" customHeight="1" x14ac:dyDescent="0.2"/>
    <row r="31714" ht="9.9499999999999993" hidden="1" customHeight="1" x14ac:dyDescent="0.2"/>
    <row r="31715" ht="9.9499999999999993" hidden="1" customHeight="1" x14ac:dyDescent="0.2"/>
    <row r="31716" ht="9.9499999999999993" hidden="1" customHeight="1" x14ac:dyDescent="0.2"/>
    <row r="31717" ht="9.9499999999999993" hidden="1" customHeight="1" x14ac:dyDescent="0.2"/>
    <row r="31718" ht="9.9499999999999993" hidden="1" customHeight="1" x14ac:dyDescent="0.2"/>
    <row r="31719" ht="9.9499999999999993" hidden="1" customHeight="1" x14ac:dyDescent="0.2"/>
    <row r="31720" ht="9.9499999999999993" hidden="1" customHeight="1" x14ac:dyDescent="0.2"/>
    <row r="31721" ht="9.9499999999999993" hidden="1" customHeight="1" x14ac:dyDescent="0.2"/>
    <row r="31722" ht="9.9499999999999993" hidden="1" customHeight="1" x14ac:dyDescent="0.2"/>
    <row r="31723" ht="9.9499999999999993" hidden="1" customHeight="1" x14ac:dyDescent="0.2"/>
    <row r="31724" ht="9.9499999999999993" hidden="1" customHeight="1" x14ac:dyDescent="0.2"/>
    <row r="31725" ht="9.9499999999999993" hidden="1" customHeight="1" x14ac:dyDescent="0.2"/>
    <row r="31726" ht="9.9499999999999993" hidden="1" customHeight="1" x14ac:dyDescent="0.2"/>
    <row r="31727" ht="9.9499999999999993" hidden="1" customHeight="1" x14ac:dyDescent="0.2"/>
    <row r="31728" ht="9.9499999999999993" hidden="1" customHeight="1" x14ac:dyDescent="0.2"/>
    <row r="31729" ht="9.9499999999999993" hidden="1" customHeight="1" x14ac:dyDescent="0.2"/>
    <row r="31730" ht="9.9499999999999993" hidden="1" customHeight="1" x14ac:dyDescent="0.2"/>
    <row r="31731" ht="9.9499999999999993" hidden="1" customHeight="1" x14ac:dyDescent="0.2"/>
    <row r="31732" ht="9.9499999999999993" hidden="1" customHeight="1" x14ac:dyDescent="0.2"/>
    <row r="31733" ht="9.9499999999999993" hidden="1" customHeight="1" x14ac:dyDescent="0.2"/>
    <row r="31734" ht="9.9499999999999993" hidden="1" customHeight="1" x14ac:dyDescent="0.2"/>
    <row r="31735" ht="9.9499999999999993" hidden="1" customHeight="1" x14ac:dyDescent="0.2"/>
    <row r="31736" ht="9.9499999999999993" hidden="1" customHeight="1" x14ac:dyDescent="0.2"/>
    <row r="31737" ht="9.9499999999999993" hidden="1" customHeight="1" x14ac:dyDescent="0.2"/>
    <row r="31738" ht="9.9499999999999993" hidden="1" customHeight="1" x14ac:dyDescent="0.2"/>
    <row r="31739" ht="9.9499999999999993" hidden="1" customHeight="1" x14ac:dyDescent="0.2"/>
    <row r="31740" ht="9.9499999999999993" hidden="1" customHeight="1" x14ac:dyDescent="0.2"/>
    <row r="31741" ht="9.9499999999999993" hidden="1" customHeight="1" x14ac:dyDescent="0.2"/>
    <row r="31742" ht="9.9499999999999993" hidden="1" customHeight="1" x14ac:dyDescent="0.2"/>
    <row r="31743" ht="9.9499999999999993" hidden="1" customHeight="1" x14ac:dyDescent="0.2"/>
    <row r="31744" ht="9.9499999999999993" hidden="1" customHeight="1" x14ac:dyDescent="0.2"/>
    <row r="31745" ht="9.9499999999999993" hidden="1" customHeight="1" x14ac:dyDescent="0.2"/>
    <row r="31746" ht="9.9499999999999993" hidden="1" customHeight="1" x14ac:dyDescent="0.2"/>
    <row r="31747" ht="9.9499999999999993" hidden="1" customHeight="1" x14ac:dyDescent="0.2"/>
    <row r="31748" ht="9.9499999999999993" hidden="1" customHeight="1" x14ac:dyDescent="0.2"/>
    <row r="31749" ht="9.9499999999999993" hidden="1" customHeight="1" x14ac:dyDescent="0.2"/>
    <row r="31750" ht="9.9499999999999993" hidden="1" customHeight="1" x14ac:dyDescent="0.2"/>
    <row r="31751" ht="9.9499999999999993" hidden="1" customHeight="1" x14ac:dyDescent="0.2"/>
    <row r="31752" ht="9.9499999999999993" hidden="1" customHeight="1" x14ac:dyDescent="0.2"/>
    <row r="31753" ht="9.9499999999999993" hidden="1" customHeight="1" x14ac:dyDescent="0.2"/>
    <row r="31754" ht="9.9499999999999993" hidden="1" customHeight="1" x14ac:dyDescent="0.2"/>
    <row r="31755" ht="9.9499999999999993" hidden="1" customHeight="1" x14ac:dyDescent="0.2"/>
    <row r="31756" ht="9.9499999999999993" hidden="1" customHeight="1" x14ac:dyDescent="0.2"/>
    <row r="31757" ht="9.9499999999999993" hidden="1" customHeight="1" x14ac:dyDescent="0.2"/>
    <row r="31758" ht="9.9499999999999993" hidden="1" customHeight="1" x14ac:dyDescent="0.2"/>
    <row r="31759" ht="9.9499999999999993" hidden="1" customHeight="1" x14ac:dyDescent="0.2"/>
    <row r="31760" ht="9.9499999999999993" hidden="1" customHeight="1" x14ac:dyDescent="0.2"/>
    <row r="31761" ht="9.9499999999999993" hidden="1" customHeight="1" x14ac:dyDescent="0.2"/>
    <row r="31762" ht="9.9499999999999993" hidden="1" customHeight="1" x14ac:dyDescent="0.2"/>
    <row r="31763" ht="9.9499999999999993" hidden="1" customHeight="1" x14ac:dyDescent="0.2"/>
    <row r="31764" ht="9.9499999999999993" hidden="1" customHeight="1" x14ac:dyDescent="0.2"/>
    <row r="31765" ht="9.9499999999999993" hidden="1" customHeight="1" x14ac:dyDescent="0.2"/>
    <row r="31766" ht="9.9499999999999993" hidden="1" customHeight="1" x14ac:dyDescent="0.2"/>
    <row r="31767" ht="9.9499999999999993" hidden="1" customHeight="1" x14ac:dyDescent="0.2"/>
    <row r="31768" ht="9.9499999999999993" hidden="1" customHeight="1" x14ac:dyDescent="0.2"/>
    <row r="31769" ht="9.9499999999999993" hidden="1" customHeight="1" x14ac:dyDescent="0.2"/>
    <row r="31770" ht="9.9499999999999993" hidden="1" customHeight="1" x14ac:dyDescent="0.2"/>
    <row r="31771" ht="9.9499999999999993" hidden="1" customHeight="1" x14ac:dyDescent="0.2"/>
    <row r="31772" ht="9.9499999999999993" hidden="1" customHeight="1" x14ac:dyDescent="0.2"/>
    <row r="31773" ht="9.9499999999999993" hidden="1" customHeight="1" x14ac:dyDescent="0.2"/>
    <row r="31774" ht="9.9499999999999993" hidden="1" customHeight="1" x14ac:dyDescent="0.2"/>
    <row r="31775" ht="9.9499999999999993" hidden="1" customHeight="1" x14ac:dyDescent="0.2"/>
    <row r="31776" ht="9.9499999999999993" hidden="1" customHeight="1" x14ac:dyDescent="0.2"/>
    <row r="31777" ht="9.9499999999999993" hidden="1" customHeight="1" x14ac:dyDescent="0.2"/>
    <row r="31778" ht="9.9499999999999993" hidden="1" customHeight="1" x14ac:dyDescent="0.2"/>
    <row r="31779" ht="9.9499999999999993" hidden="1" customHeight="1" x14ac:dyDescent="0.2"/>
    <row r="31780" ht="9.9499999999999993" hidden="1" customHeight="1" x14ac:dyDescent="0.2"/>
    <row r="31781" ht="9.9499999999999993" hidden="1" customHeight="1" x14ac:dyDescent="0.2"/>
    <row r="31782" ht="9.9499999999999993" hidden="1" customHeight="1" x14ac:dyDescent="0.2"/>
    <row r="31783" ht="9.9499999999999993" hidden="1" customHeight="1" x14ac:dyDescent="0.2"/>
    <row r="31784" ht="9.9499999999999993" hidden="1" customHeight="1" x14ac:dyDescent="0.2"/>
    <row r="31785" ht="9.9499999999999993" hidden="1" customHeight="1" x14ac:dyDescent="0.2"/>
    <row r="31786" ht="9.9499999999999993" hidden="1" customHeight="1" x14ac:dyDescent="0.2"/>
    <row r="31787" ht="9.9499999999999993" hidden="1" customHeight="1" x14ac:dyDescent="0.2"/>
    <row r="31788" ht="9.9499999999999993" hidden="1" customHeight="1" x14ac:dyDescent="0.2"/>
    <row r="31789" ht="9.9499999999999993" hidden="1" customHeight="1" x14ac:dyDescent="0.2"/>
    <row r="31790" ht="9.9499999999999993" hidden="1" customHeight="1" x14ac:dyDescent="0.2"/>
    <row r="31791" ht="9.9499999999999993" hidden="1" customHeight="1" x14ac:dyDescent="0.2"/>
    <row r="31792" ht="9.9499999999999993" hidden="1" customHeight="1" x14ac:dyDescent="0.2"/>
    <row r="31793" ht="9.9499999999999993" hidden="1" customHeight="1" x14ac:dyDescent="0.2"/>
    <row r="31794" ht="9.9499999999999993" hidden="1" customHeight="1" x14ac:dyDescent="0.2"/>
    <row r="31795" ht="9.9499999999999993" hidden="1" customHeight="1" x14ac:dyDescent="0.2"/>
    <row r="31796" ht="9.9499999999999993" hidden="1" customHeight="1" x14ac:dyDescent="0.2"/>
    <row r="31797" ht="9.9499999999999993" hidden="1" customHeight="1" x14ac:dyDescent="0.2"/>
    <row r="31798" ht="9.9499999999999993" hidden="1" customHeight="1" x14ac:dyDescent="0.2"/>
    <row r="31799" ht="9.9499999999999993" hidden="1" customHeight="1" x14ac:dyDescent="0.2"/>
    <row r="31800" ht="9.9499999999999993" hidden="1" customHeight="1" x14ac:dyDescent="0.2"/>
    <row r="31801" ht="9.9499999999999993" hidden="1" customHeight="1" x14ac:dyDescent="0.2"/>
    <row r="31802" ht="9.9499999999999993" hidden="1" customHeight="1" x14ac:dyDescent="0.2"/>
    <row r="31803" ht="9.9499999999999993" hidden="1" customHeight="1" x14ac:dyDescent="0.2"/>
    <row r="31804" ht="9.9499999999999993" hidden="1" customHeight="1" x14ac:dyDescent="0.2"/>
    <row r="31805" ht="9.9499999999999993" hidden="1" customHeight="1" x14ac:dyDescent="0.2"/>
    <row r="31806" ht="9.9499999999999993" hidden="1" customHeight="1" x14ac:dyDescent="0.2"/>
    <row r="31807" ht="9.9499999999999993" hidden="1" customHeight="1" x14ac:dyDescent="0.2"/>
    <row r="31808" ht="9.9499999999999993" hidden="1" customHeight="1" x14ac:dyDescent="0.2"/>
    <row r="31809" ht="9.9499999999999993" hidden="1" customHeight="1" x14ac:dyDescent="0.2"/>
    <row r="31810" ht="9.9499999999999993" hidden="1" customHeight="1" x14ac:dyDescent="0.2"/>
    <row r="31811" ht="9.9499999999999993" hidden="1" customHeight="1" x14ac:dyDescent="0.2"/>
    <row r="31812" ht="9.9499999999999993" hidden="1" customHeight="1" x14ac:dyDescent="0.2"/>
    <row r="31813" ht="9.9499999999999993" hidden="1" customHeight="1" x14ac:dyDescent="0.2"/>
    <row r="31814" ht="9.9499999999999993" hidden="1" customHeight="1" x14ac:dyDescent="0.2"/>
    <row r="31815" ht="9.9499999999999993" hidden="1" customHeight="1" x14ac:dyDescent="0.2"/>
    <row r="31816" ht="9.9499999999999993" hidden="1" customHeight="1" x14ac:dyDescent="0.2"/>
    <row r="31817" ht="9.9499999999999993" hidden="1" customHeight="1" x14ac:dyDescent="0.2"/>
    <row r="31818" ht="9.9499999999999993" hidden="1" customHeight="1" x14ac:dyDescent="0.2"/>
    <row r="31819" ht="9.9499999999999993" hidden="1" customHeight="1" x14ac:dyDescent="0.2"/>
    <row r="31820" ht="9.9499999999999993" hidden="1" customHeight="1" x14ac:dyDescent="0.2"/>
    <row r="31821" ht="9.9499999999999993" hidden="1" customHeight="1" x14ac:dyDescent="0.2"/>
    <row r="31822" ht="9.9499999999999993" hidden="1" customHeight="1" x14ac:dyDescent="0.2"/>
    <row r="31823" ht="9.9499999999999993" hidden="1" customHeight="1" x14ac:dyDescent="0.2"/>
    <row r="31824" ht="9.9499999999999993" hidden="1" customHeight="1" x14ac:dyDescent="0.2"/>
    <row r="31825" ht="9.9499999999999993" hidden="1" customHeight="1" x14ac:dyDescent="0.2"/>
    <row r="31826" ht="9.9499999999999993" hidden="1" customHeight="1" x14ac:dyDescent="0.2"/>
    <row r="31827" ht="9.9499999999999993" hidden="1" customHeight="1" x14ac:dyDescent="0.2"/>
    <row r="31828" ht="9.9499999999999993" hidden="1" customHeight="1" x14ac:dyDescent="0.2"/>
    <row r="31829" ht="9.9499999999999993" hidden="1" customHeight="1" x14ac:dyDescent="0.2"/>
    <row r="31830" ht="9.9499999999999993" hidden="1" customHeight="1" x14ac:dyDescent="0.2"/>
    <row r="31831" ht="9.9499999999999993" hidden="1" customHeight="1" x14ac:dyDescent="0.2"/>
    <row r="31832" ht="9.9499999999999993" hidden="1" customHeight="1" x14ac:dyDescent="0.2"/>
    <row r="31833" ht="9.9499999999999993" hidden="1" customHeight="1" x14ac:dyDescent="0.2"/>
    <row r="31834" ht="9.9499999999999993" hidden="1" customHeight="1" x14ac:dyDescent="0.2"/>
    <row r="31835" ht="9.9499999999999993" hidden="1" customHeight="1" x14ac:dyDescent="0.2"/>
    <row r="31836" ht="9.9499999999999993" hidden="1" customHeight="1" x14ac:dyDescent="0.2"/>
    <row r="31837" ht="9.9499999999999993" hidden="1" customHeight="1" x14ac:dyDescent="0.2"/>
    <row r="31838" ht="9.9499999999999993" hidden="1" customHeight="1" x14ac:dyDescent="0.2"/>
    <row r="31839" ht="9.9499999999999993" hidden="1" customHeight="1" x14ac:dyDescent="0.2"/>
    <row r="31840" ht="9.9499999999999993" hidden="1" customHeight="1" x14ac:dyDescent="0.2"/>
    <row r="31841" ht="9.9499999999999993" hidden="1" customHeight="1" x14ac:dyDescent="0.2"/>
    <row r="31842" ht="9.9499999999999993" hidden="1" customHeight="1" x14ac:dyDescent="0.2"/>
    <row r="31843" ht="9.9499999999999993" hidden="1" customHeight="1" x14ac:dyDescent="0.2"/>
    <row r="31844" ht="9.9499999999999993" hidden="1" customHeight="1" x14ac:dyDescent="0.2"/>
    <row r="31845" ht="9.9499999999999993" hidden="1" customHeight="1" x14ac:dyDescent="0.2"/>
    <row r="31846" ht="9.9499999999999993" hidden="1" customHeight="1" x14ac:dyDescent="0.2"/>
    <row r="31847" ht="9.9499999999999993" hidden="1" customHeight="1" x14ac:dyDescent="0.2"/>
    <row r="31848" ht="9.9499999999999993" hidden="1" customHeight="1" x14ac:dyDescent="0.2"/>
    <row r="31849" ht="9.9499999999999993" hidden="1" customHeight="1" x14ac:dyDescent="0.2"/>
    <row r="31850" ht="9.9499999999999993" hidden="1" customHeight="1" x14ac:dyDescent="0.2"/>
    <row r="31851" ht="9.9499999999999993" hidden="1" customHeight="1" x14ac:dyDescent="0.2"/>
    <row r="31852" ht="9.9499999999999993" hidden="1" customHeight="1" x14ac:dyDescent="0.2"/>
    <row r="31853" ht="9.9499999999999993" hidden="1" customHeight="1" x14ac:dyDescent="0.2"/>
    <row r="31854" ht="9.9499999999999993" hidden="1" customHeight="1" x14ac:dyDescent="0.2"/>
    <row r="31855" ht="9.9499999999999993" hidden="1" customHeight="1" x14ac:dyDescent="0.2"/>
    <row r="31856" ht="9.9499999999999993" hidden="1" customHeight="1" x14ac:dyDescent="0.2"/>
    <row r="31857" ht="9.9499999999999993" hidden="1" customHeight="1" x14ac:dyDescent="0.2"/>
    <row r="31858" ht="9.9499999999999993" hidden="1" customHeight="1" x14ac:dyDescent="0.2"/>
    <row r="31859" ht="9.9499999999999993" hidden="1" customHeight="1" x14ac:dyDescent="0.2"/>
    <row r="31860" ht="9.9499999999999993" hidden="1" customHeight="1" x14ac:dyDescent="0.2"/>
    <row r="31861" ht="9.9499999999999993" hidden="1" customHeight="1" x14ac:dyDescent="0.2"/>
    <row r="31862" ht="9.9499999999999993" hidden="1" customHeight="1" x14ac:dyDescent="0.2"/>
    <row r="31863" ht="9.9499999999999993" hidden="1" customHeight="1" x14ac:dyDescent="0.2"/>
    <row r="31864" ht="9.9499999999999993" hidden="1" customHeight="1" x14ac:dyDescent="0.2"/>
    <row r="31865" ht="9.9499999999999993" hidden="1" customHeight="1" x14ac:dyDescent="0.2"/>
    <row r="31866" ht="9.9499999999999993" hidden="1" customHeight="1" x14ac:dyDescent="0.2"/>
    <row r="31867" ht="9.9499999999999993" hidden="1" customHeight="1" x14ac:dyDescent="0.2"/>
    <row r="31868" ht="9.9499999999999993" hidden="1" customHeight="1" x14ac:dyDescent="0.2"/>
    <row r="31869" ht="9.9499999999999993" hidden="1" customHeight="1" x14ac:dyDescent="0.2"/>
    <row r="31870" ht="9.9499999999999993" hidden="1" customHeight="1" x14ac:dyDescent="0.2"/>
    <row r="31871" ht="9.9499999999999993" hidden="1" customHeight="1" x14ac:dyDescent="0.2"/>
    <row r="31872" ht="9.9499999999999993" hidden="1" customHeight="1" x14ac:dyDescent="0.2"/>
    <row r="31873" ht="9.9499999999999993" hidden="1" customHeight="1" x14ac:dyDescent="0.2"/>
    <row r="31874" ht="9.9499999999999993" hidden="1" customHeight="1" x14ac:dyDescent="0.2"/>
    <row r="31875" ht="9.9499999999999993" hidden="1" customHeight="1" x14ac:dyDescent="0.2"/>
    <row r="31876" ht="9.9499999999999993" hidden="1" customHeight="1" x14ac:dyDescent="0.2"/>
    <row r="31877" ht="9.9499999999999993" hidden="1" customHeight="1" x14ac:dyDescent="0.2"/>
    <row r="31878" ht="9.9499999999999993" hidden="1" customHeight="1" x14ac:dyDescent="0.2"/>
    <row r="31879" ht="9.9499999999999993" hidden="1" customHeight="1" x14ac:dyDescent="0.2"/>
    <row r="31880" ht="9.9499999999999993" hidden="1" customHeight="1" x14ac:dyDescent="0.2"/>
    <row r="31881" ht="9.9499999999999993" hidden="1" customHeight="1" x14ac:dyDescent="0.2"/>
    <row r="31882" ht="9.9499999999999993" hidden="1" customHeight="1" x14ac:dyDescent="0.2"/>
    <row r="31883" ht="9.9499999999999993" hidden="1" customHeight="1" x14ac:dyDescent="0.2"/>
    <row r="31884" ht="9.9499999999999993" hidden="1" customHeight="1" x14ac:dyDescent="0.2"/>
    <row r="31885" ht="9.9499999999999993" hidden="1" customHeight="1" x14ac:dyDescent="0.2"/>
    <row r="31886" ht="9.9499999999999993" hidden="1" customHeight="1" x14ac:dyDescent="0.2"/>
    <row r="31887" ht="9.9499999999999993" hidden="1" customHeight="1" x14ac:dyDescent="0.2"/>
    <row r="31888" ht="9.9499999999999993" hidden="1" customHeight="1" x14ac:dyDescent="0.2"/>
    <row r="31889" ht="9.9499999999999993" hidden="1" customHeight="1" x14ac:dyDescent="0.2"/>
    <row r="31890" ht="9.9499999999999993" hidden="1" customHeight="1" x14ac:dyDescent="0.2"/>
    <row r="31891" ht="9.9499999999999993" hidden="1" customHeight="1" x14ac:dyDescent="0.2"/>
    <row r="31892" ht="9.9499999999999993" hidden="1" customHeight="1" x14ac:dyDescent="0.2"/>
    <row r="31893" ht="9.9499999999999993" hidden="1" customHeight="1" x14ac:dyDescent="0.2"/>
    <row r="31894" ht="9.9499999999999993" hidden="1" customHeight="1" x14ac:dyDescent="0.2"/>
    <row r="31895" ht="9.9499999999999993" hidden="1" customHeight="1" x14ac:dyDescent="0.2"/>
    <row r="31896" ht="9.9499999999999993" hidden="1" customHeight="1" x14ac:dyDescent="0.2"/>
    <row r="31897" ht="9.9499999999999993" hidden="1" customHeight="1" x14ac:dyDescent="0.2"/>
    <row r="31898" ht="9.9499999999999993" hidden="1" customHeight="1" x14ac:dyDescent="0.2"/>
    <row r="31899" ht="9.9499999999999993" hidden="1" customHeight="1" x14ac:dyDescent="0.2"/>
    <row r="31900" ht="9.9499999999999993" hidden="1" customHeight="1" x14ac:dyDescent="0.2"/>
    <row r="31901" ht="9.9499999999999993" hidden="1" customHeight="1" x14ac:dyDescent="0.2"/>
    <row r="31902" ht="9.9499999999999993" hidden="1" customHeight="1" x14ac:dyDescent="0.2"/>
    <row r="31903" ht="9.9499999999999993" hidden="1" customHeight="1" x14ac:dyDescent="0.2"/>
    <row r="31904" ht="9.9499999999999993" hidden="1" customHeight="1" x14ac:dyDescent="0.2"/>
    <row r="31905" ht="9.9499999999999993" hidden="1" customHeight="1" x14ac:dyDescent="0.2"/>
    <row r="31906" ht="9.9499999999999993" hidden="1" customHeight="1" x14ac:dyDescent="0.2"/>
    <row r="31907" ht="9.9499999999999993" hidden="1" customHeight="1" x14ac:dyDescent="0.2"/>
    <row r="31908" ht="9.9499999999999993" hidden="1" customHeight="1" x14ac:dyDescent="0.2"/>
    <row r="31909" ht="9.9499999999999993" hidden="1" customHeight="1" x14ac:dyDescent="0.2"/>
    <row r="31910" ht="9.9499999999999993" hidden="1" customHeight="1" x14ac:dyDescent="0.2"/>
    <row r="31911" ht="9.9499999999999993" hidden="1" customHeight="1" x14ac:dyDescent="0.2"/>
    <row r="31912" ht="9.9499999999999993" hidden="1" customHeight="1" x14ac:dyDescent="0.2"/>
    <row r="31913" ht="9.9499999999999993" hidden="1" customHeight="1" x14ac:dyDescent="0.2"/>
    <row r="31914" ht="9.9499999999999993" hidden="1" customHeight="1" x14ac:dyDescent="0.2"/>
    <row r="31915" ht="9.9499999999999993" hidden="1" customHeight="1" x14ac:dyDescent="0.2"/>
    <row r="31916" ht="9.9499999999999993" hidden="1" customHeight="1" x14ac:dyDescent="0.2"/>
    <row r="31917" ht="9.9499999999999993" hidden="1" customHeight="1" x14ac:dyDescent="0.2"/>
    <row r="31918" ht="9.9499999999999993" hidden="1" customHeight="1" x14ac:dyDescent="0.2"/>
    <row r="31919" ht="9.9499999999999993" hidden="1" customHeight="1" x14ac:dyDescent="0.2"/>
    <row r="31920" ht="9.9499999999999993" hidden="1" customHeight="1" x14ac:dyDescent="0.2"/>
    <row r="31921" ht="9.9499999999999993" hidden="1" customHeight="1" x14ac:dyDescent="0.2"/>
    <row r="31922" ht="9.9499999999999993" hidden="1" customHeight="1" x14ac:dyDescent="0.2"/>
    <row r="31923" ht="9.9499999999999993" hidden="1" customHeight="1" x14ac:dyDescent="0.2"/>
    <row r="31924" ht="9.9499999999999993" hidden="1" customHeight="1" x14ac:dyDescent="0.2"/>
    <row r="31925" ht="9.9499999999999993" hidden="1" customHeight="1" x14ac:dyDescent="0.2"/>
    <row r="31926" ht="9.9499999999999993" hidden="1" customHeight="1" x14ac:dyDescent="0.2"/>
    <row r="31927" ht="9.9499999999999993" hidden="1" customHeight="1" x14ac:dyDescent="0.2"/>
    <row r="31928" ht="9.9499999999999993" hidden="1" customHeight="1" x14ac:dyDescent="0.2"/>
    <row r="31929" ht="9.9499999999999993" hidden="1" customHeight="1" x14ac:dyDescent="0.2"/>
    <row r="31930" ht="9.9499999999999993" hidden="1" customHeight="1" x14ac:dyDescent="0.2"/>
    <row r="31931" ht="9.9499999999999993" hidden="1" customHeight="1" x14ac:dyDescent="0.2"/>
    <row r="31932" ht="9.9499999999999993" hidden="1" customHeight="1" x14ac:dyDescent="0.2"/>
    <row r="31933" ht="9.9499999999999993" hidden="1" customHeight="1" x14ac:dyDescent="0.2"/>
    <row r="31934" ht="9.9499999999999993" hidden="1" customHeight="1" x14ac:dyDescent="0.2"/>
    <row r="31935" ht="9.9499999999999993" hidden="1" customHeight="1" x14ac:dyDescent="0.2"/>
    <row r="31936" ht="9.9499999999999993" hidden="1" customHeight="1" x14ac:dyDescent="0.2"/>
    <row r="31937" ht="9.9499999999999993" hidden="1" customHeight="1" x14ac:dyDescent="0.2"/>
    <row r="31938" ht="9.9499999999999993" hidden="1" customHeight="1" x14ac:dyDescent="0.2"/>
    <row r="31939" ht="9.9499999999999993" hidden="1" customHeight="1" x14ac:dyDescent="0.2"/>
    <row r="31940" ht="9.9499999999999993" hidden="1" customHeight="1" x14ac:dyDescent="0.2"/>
    <row r="31941" ht="9.9499999999999993" hidden="1" customHeight="1" x14ac:dyDescent="0.2"/>
    <row r="31942" ht="9.9499999999999993" hidden="1" customHeight="1" x14ac:dyDescent="0.2"/>
    <row r="31943" ht="9.9499999999999993" hidden="1" customHeight="1" x14ac:dyDescent="0.2"/>
    <row r="31944" ht="9.9499999999999993" hidden="1" customHeight="1" x14ac:dyDescent="0.2"/>
    <row r="31945" ht="9.9499999999999993" hidden="1" customHeight="1" x14ac:dyDescent="0.2"/>
    <row r="31946" ht="9.9499999999999993" hidden="1" customHeight="1" x14ac:dyDescent="0.2"/>
    <row r="31947" ht="9.9499999999999993" hidden="1" customHeight="1" x14ac:dyDescent="0.2"/>
    <row r="31948" ht="9.9499999999999993" hidden="1" customHeight="1" x14ac:dyDescent="0.2"/>
    <row r="31949" ht="9.9499999999999993" hidden="1" customHeight="1" x14ac:dyDescent="0.2"/>
    <row r="31950" ht="9.9499999999999993" hidden="1" customHeight="1" x14ac:dyDescent="0.2"/>
    <row r="31951" ht="9.9499999999999993" hidden="1" customHeight="1" x14ac:dyDescent="0.2"/>
    <row r="31952" ht="9.9499999999999993" hidden="1" customHeight="1" x14ac:dyDescent="0.2"/>
    <row r="31953" ht="9.9499999999999993" hidden="1" customHeight="1" x14ac:dyDescent="0.2"/>
    <row r="31954" ht="9.9499999999999993" hidden="1" customHeight="1" x14ac:dyDescent="0.2"/>
    <row r="31955" ht="9.9499999999999993" hidden="1" customHeight="1" x14ac:dyDescent="0.2"/>
    <row r="31956" ht="9.9499999999999993" hidden="1" customHeight="1" x14ac:dyDescent="0.2"/>
    <row r="31957" ht="9.9499999999999993" hidden="1" customHeight="1" x14ac:dyDescent="0.2"/>
    <row r="31958" ht="9.9499999999999993" hidden="1" customHeight="1" x14ac:dyDescent="0.2"/>
    <row r="31959" ht="9.9499999999999993" hidden="1" customHeight="1" x14ac:dyDescent="0.2"/>
    <row r="31960" ht="9.9499999999999993" hidden="1" customHeight="1" x14ac:dyDescent="0.2"/>
    <row r="31961" ht="9.9499999999999993" hidden="1" customHeight="1" x14ac:dyDescent="0.2"/>
    <row r="31962" ht="9.9499999999999993" hidden="1" customHeight="1" x14ac:dyDescent="0.2"/>
    <row r="31963" ht="9.9499999999999993" hidden="1" customHeight="1" x14ac:dyDescent="0.2"/>
    <row r="31964" ht="9.9499999999999993" hidden="1" customHeight="1" x14ac:dyDescent="0.2"/>
    <row r="31965" ht="9.9499999999999993" hidden="1" customHeight="1" x14ac:dyDescent="0.2"/>
    <row r="31966" ht="9.9499999999999993" hidden="1" customHeight="1" x14ac:dyDescent="0.2"/>
    <row r="31967" ht="9.9499999999999993" hidden="1" customHeight="1" x14ac:dyDescent="0.2"/>
    <row r="31968" ht="9.9499999999999993" hidden="1" customHeight="1" x14ac:dyDescent="0.2"/>
    <row r="31969" ht="9.9499999999999993" hidden="1" customHeight="1" x14ac:dyDescent="0.2"/>
    <row r="31970" ht="9.9499999999999993" hidden="1" customHeight="1" x14ac:dyDescent="0.2"/>
    <row r="31971" ht="9.9499999999999993" hidden="1" customHeight="1" x14ac:dyDescent="0.2"/>
    <row r="31972" ht="9.9499999999999993" hidden="1" customHeight="1" x14ac:dyDescent="0.2"/>
    <row r="31973" ht="9.9499999999999993" hidden="1" customHeight="1" x14ac:dyDescent="0.2"/>
    <row r="31974" ht="9.9499999999999993" hidden="1" customHeight="1" x14ac:dyDescent="0.2"/>
    <row r="31975" ht="9.9499999999999993" hidden="1" customHeight="1" x14ac:dyDescent="0.2"/>
    <row r="31976" ht="9.9499999999999993" hidden="1" customHeight="1" x14ac:dyDescent="0.2"/>
    <row r="31977" ht="9.9499999999999993" hidden="1" customHeight="1" x14ac:dyDescent="0.2"/>
    <row r="31978" ht="9.9499999999999993" hidden="1" customHeight="1" x14ac:dyDescent="0.2"/>
    <row r="31979" ht="9.9499999999999993" hidden="1" customHeight="1" x14ac:dyDescent="0.2"/>
    <row r="31980" ht="9.9499999999999993" hidden="1" customHeight="1" x14ac:dyDescent="0.2"/>
    <row r="31981" ht="9.9499999999999993" hidden="1" customHeight="1" x14ac:dyDescent="0.2"/>
    <row r="31982" ht="9.9499999999999993" hidden="1" customHeight="1" x14ac:dyDescent="0.2"/>
    <row r="31983" ht="9.9499999999999993" hidden="1" customHeight="1" x14ac:dyDescent="0.2"/>
    <row r="31984" ht="9.9499999999999993" hidden="1" customHeight="1" x14ac:dyDescent="0.2"/>
    <row r="31985" ht="9.9499999999999993" hidden="1" customHeight="1" x14ac:dyDescent="0.2"/>
    <row r="31986" ht="9.9499999999999993" hidden="1" customHeight="1" x14ac:dyDescent="0.2"/>
    <row r="31987" ht="9.9499999999999993" hidden="1" customHeight="1" x14ac:dyDescent="0.2"/>
    <row r="31988" ht="9.9499999999999993" hidden="1" customHeight="1" x14ac:dyDescent="0.2"/>
    <row r="31989" ht="9.9499999999999993" hidden="1" customHeight="1" x14ac:dyDescent="0.2"/>
    <row r="31990" ht="9.9499999999999993" hidden="1" customHeight="1" x14ac:dyDescent="0.2"/>
    <row r="31991" ht="9.9499999999999993" hidden="1" customHeight="1" x14ac:dyDescent="0.2"/>
    <row r="31992" ht="9.9499999999999993" hidden="1" customHeight="1" x14ac:dyDescent="0.2"/>
    <row r="31993" ht="9.9499999999999993" hidden="1" customHeight="1" x14ac:dyDescent="0.2"/>
    <row r="31994" ht="9.9499999999999993" hidden="1" customHeight="1" x14ac:dyDescent="0.2"/>
    <row r="31995" ht="9.9499999999999993" hidden="1" customHeight="1" x14ac:dyDescent="0.2"/>
    <row r="31996" ht="9.9499999999999993" hidden="1" customHeight="1" x14ac:dyDescent="0.2"/>
    <row r="31997" ht="9.9499999999999993" hidden="1" customHeight="1" x14ac:dyDescent="0.2"/>
    <row r="31998" ht="9.9499999999999993" hidden="1" customHeight="1" x14ac:dyDescent="0.2"/>
    <row r="31999" ht="9.9499999999999993" hidden="1" customHeight="1" x14ac:dyDescent="0.2"/>
    <row r="32000" ht="9.9499999999999993" hidden="1" customHeight="1" x14ac:dyDescent="0.2"/>
    <row r="32001" ht="9.9499999999999993" hidden="1" customHeight="1" x14ac:dyDescent="0.2"/>
    <row r="32002" ht="9.9499999999999993" hidden="1" customHeight="1" x14ac:dyDescent="0.2"/>
    <row r="32003" ht="9.9499999999999993" hidden="1" customHeight="1" x14ac:dyDescent="0.2"/>
    <row r="32004" ht="9.9499999999999993" hidden="1" customHeight="1" x14ac:dyDescent="0.2"/>
    <row r="32005" ht="9.9499999999999993" hidden="1" customHeight="1" x14ac:dyDescent="0.2"/>
    <row r="32006" ht="9.9499999999999993" hidden="1" customHeight="1" x14ac:dyDescent="0.2"/>
    <row r="32007" ht="9.9499999999999993" hidden="1" customHeight="1" x14ac:dyDescent="0.2"/>
    <row r="32008" ht="9.9499999999999993" hidden="1" customHeight="1" x14ac:dyDescent="0.2"/>
    <row r="32009" ht="9.9499999999999993" hidden="1" customHeight="1" x14ac:dyDescent="0.2"/>
    <row r="32010" ht="9.9499999999999993" hidden="1" customHeight="1" x14ac:dyDescent="0.2"/>
    <row r="32011" ht="9.9499999999999993" hidden="1" customHeight="1" x14ac:dyDescent="0.2"/>
    <row r="32012" ht="9.9499999999999993" hidden="1" customHeight="1" x14ac:dyDescent="0.2"/>
    <row r="32013" ht="9.9499999999999993" hidden="1" customHeight="1" x14ac:dyDescent="0.2"/>
    <row r="32014" ht="9.9499999999999993" hidden="1" customHeight="1" x14ac:dyDescent="0.2"/>
    <row r="32015" ht="9.9499999999999993" hidden="1" customHeight="1" x14ac:dyDescent="0.2"/>
    <row r="32016" ht="9.9499999999999993" hidden="1" customHeight="1" x14ac:dyDescent="0.2"/>
    <row r="32017" ht="9.9499999999999993" hidden="1" customHeight="1" x14ac:dyDescent="0.2"/>
    <row r="32018" ht="9.9499999999999993" hidden="1" customHeight="1" x14ac:dyDescent="0.2"/>
    <row r="32019" ht="9.9499999999999993" hidden="1" customHeight="1" x14ac:dyDescent="0.2"/>
    <row r="32020" ht="9.9499999999999993" hidden="1" customHeight="1" x14ac:dyDescent="0.2"/>
    <row r="32021" ht="9.9499999999999993" hidden="1" customHeight="1" x14ac:dyDescent="0.2"/>
    <row r="32022" ht="9.9499999999999993" hidden="1" customHeight="1" x14ac:dyDescent="0.2"/>
    <row r="32023" ht="9.9499999999999993" hidden="1" customHeight="1" x14ac:dyDescent="0.2"/>
    <row r="32024" ht="9.9499999999999993" hidden="1" customHeight="1" x14ac:dyDescent="0.2"/>
    <row r="32025" ht="9.9499999999999993" hidden="1" customHeight="1" x14ac:dyDescent="0.2"/>
    <row r="32026" ht="9.9499999999999993" hidden="1" customHeight="1" x14ac:dyDescent="0.2"/>
    <row r="32027" ht="9.9499999999999993" hidden="1" customHeight="1" x14ac:dyDescent="0.2"/>
    <row r="32028" ht="9.9499999999999993" hidden="1" customHeight="1" x14ac:dyDescent="0.2"/>
    <row r="32029" ht="9.9499999999999993" hidden="1" customHeight="1" x14ac:dyDescent="0.2"/>
    <row r="32030" ht="9.9499999999999993" hidden="1" customHeight="1" x14ac:dyDescent="0.2"/>
    <row r="32031" ht="9.9499999999999993" hidden="1" customHeight="1" x14ac:dyDescent="0.2"/>
    <row r="32032" ht="9.9499999999999993" hidden="1" customHeight="1" x14ac:dyDescent="0.2"/>
    <row r="32033" ht="9.9499999999999993" hidden="1" customHeight="1" x14ac:dyDescent="0.2"/>
    <row r="32034" ht="9.9499999999999993" hidden="1" customHeight="1" x14ac:dyDescent="0.2"/>
    <row r="32035" ht="9.9499999999999993" hidden="1" customHeight="1" x14ac:dyDescent="0.2"/>
    <row r="32036" ht="9.9499999999999993" hidden="1" customHeight="1" x14ac:dyDescent="0.2"/>
    <row r="32037" ht="9.9499999999999993" hidden="1" customHeight="1" x14ac:dyDescent="0.2"/>
    <row r="32038" ht="9.9499999999999993" hidden="1" customHeight="1" x14ac:dyDescent="0.2"/>
    <row r="32039" ht="9.9499999999999993" hidden="1" customHeight="1" x14ac:dyDescent="0.2"/>
    <row r="32040" ht="9.9499999999999993" hidden="1" customHeight="1" x14ac:dyDescent="0.2"/>
    <row r="32041" ht="9.9499999999999993" hidden="1" customHeight="1" x14ac:dyDescent="0.2"/>
    <row r="32042" ht="9.9499999999999993" hidden="1" customHeight="1" x14ac:dyDescent="0.2"/>
    <row r="32043" ht="9.9499999999999993" hidden="1" customHeight="1" x14ac:dyDescent="0.2"/>
    <row r="32044" ht="9.9499999999999993" hidden="1" customHeight="1" x14ac:dyDescent="0.2"/>
    <row r="32045" ht="9.9499999999999993" hidden="1" customHeight="1" x14ac:dyDescent="0.2"/>
    <row r="32046" ht="9.9499999999999993" hidden="1" customHeight="1" x14ac:dyDescent="0.2"/>
    <row r="32047" ht="9.9499999999999993" hidden="1" customHeight="1" x14ac:dyDescent="0.2"/>
    <row r="32048" ht="9.9499999999999993" hidden="1" customHeight="1" x14ac:dyDescent="0.2"/>
    <row r="32049" ht="9.9499999999999993" hidden="1" customHeight="1" x14ac:dyDescent="0.2"/>
    <row r="32050" ht="9.9499999999999993" hidden="1" customHeight="1" x14ac:dyDescent="0.2"/>
    <row r="32051" ht="9.9499999999999993" hidden="1" customHeight="1" x14ac:dyDescent="0.2"/>
    <row r="32052" ht="9.9499999999999993" hidden="1" customHeight="1" x14ac:dyDescent="0.2"/>
    <row r="32053" ht="9.9499999999999993" hidden="1" customHeight="1" x14ac:dyDescent="0.2"/>
    <row r="32054" ht="9.9499999999999993" hidden="1" customHeight="1" x14ac:dyDescent="0.2"/>
    <row r="32055" ht="9.9499999999999993" hidden="1" customHeight="1" x14ac:dyDescent="0.2"/>
    <row r="32056" ht="9.9499999999999993" hidden="1" customHeight="1" x14ac:dyDescent="0.2"/>
    <row r="32057" ht="9.9499999999999993" hidden="1" customHeight="1" x14ac:dyDescent="0.2"/>
    <row r="32058" ht="9.9499999999999993" hidden="1" customHeight="1" x14ac:dyDescent="0.2"/>
    <row r="32059" ht="9.9499999999999993" hidden="1" customHeight="1" x14ac:dyDescent="0.2"/>
    <row r="32060" ht="9.9499999999999993" hidden="1" customHeight="1" x14ac:dyDescent="0.2"/>
    <row r="32061" ht="9.9499999999999993" hidden="1" customHeight="1" x14ac:dyDescent="0.2"/>
    <row r="32062" ht="9.9499999999999993" hidden="1" customHeight="1" x14ac:dyDescent="0.2"/>
    <row r="32063" ht="9.9499999999999993" hidden="1" customHeight="1" x14ac:dyDescent="0.2"/>
    <row r="32064" ht="9.9499999999999993" hidden="1" customHeight="1" x14ac:dyDescent="0.2"/>
    <row r="32065" ht="9.9499999999999993" hidden="1" customHeight="1" x14ac:dyDescent="0.2"/>
    <row r="32066" ht="9.9499999999999993" hidden="1" customHeight="1" x14ac:dyDescent="0.2"/>
    <row r="32067" ht="9.9499999999999993" hidden="1" customHeight="1" x14ac:dyDescent="0.2"/>
    <row r="32068" ht="9.9499999999999993" hidden="1" customHeight="1" x14ac:dyDescent="0.2"/>
    <row r="32069" ht="9.9499999999999993" hidden="1" customHeight="1" x14ac:dyDescent="0.2"/>
    <row r="32070" ht="9.9499999999999993" hidden="1" customHeight="1" x14ac:dyDescent="0.2"/>
    <row r="32071" ht="9.9499999999999993" hidden="1" customHeight="1" x14ac:dyDescent="0.2"/>
    <row r="32072" ht="9.9499999999999993" hidden="1" customHeight="1" x14ac:dyDescent="0.2"/>
    <row r="32073" ht="9.9499999999999993" hidden="1" customHeight="1" x14ac:dyDescent="0.2"/>
    <row r="32074" ht="9.9499999999999993" hidden="1" customHeight="1" x14ac:dyDescent="0.2"/>
    <row r="32075" ht="9.9499999999999993" hidden="1" customHeight="1" x14ac:dyDescent="0.2"/>
    <row r="32076" ht="9.9499999999999993" hidden="1" customHeight="1" x14ac:dyDescent="0.2"/>
    <row r="32077" ht="9.9499999999999993" hidden="1" customHeight="1" x14ac:dyDescent="0.2"/>
    <row r="32078" ht="9.9499999999999993" hidden="1" customHeight="1" x14ac:dyDescent="0.2"/>
    <row r="32079" ht="9.9499999999999993" hidden="1" customHeight="1" x14ac:dyDescent="0.2"/>
    <row r="32080" ht="9.9499999999999993" hidden="1" customHeight="1" x14ac:dyDescent="0.2"/>
    <row r="32081" ht="9.9499999999999993" hidden="1" customHeight="1" x14ac:dyDescent="0.2"/>
    <row r="32082" ht="9.9499999999999993" hidden="1" customHeight="1" x14ac:dyDescent="0.2"/>
    <row r="32083" ht="9.9499999999999993" hidden="1" customHeight="1" x14ac:dyDescent="0.2"/>
    <row r="32084" ht="9.9499999999999993" hidden="1" customHeight="1" x14ac:dyDescent="0.2"/>
    <row r="32085" ht="9.9499999999999993" hidden="1" customHeight="1" x14ac:dyDescent="0.2"/>
    <row r="32086" ht="9.9499999999999993" hidden="1" customHeight="1" x14ac:dyDescent="0.2"/>
    <row r="32087" ht="9.9499999999999993" hidden="1" customHeight="1" x14ac:dyDescent="0.2"/>
    <row r="32088" ht="9.9499999999999993" hidden="1" customHeight="1" x14ac:dyDescent="0.2"/>
    <row r="32089" ht="9.9499999999999993" hidden="1" customHeight="1" x14ac:dyDescent="0.2"/>
    <row r="32090" ht="9.9499999999999993" hidden="1" customHeight="1" x14ac:dyDescent="0.2"/>
    <row r="32091" ht="9.9499999999999993" hidden="1" customHeight="1" x14ac:dyDescent="0.2"/>
    <row r="32092" ht="9.9499999999999993" hidden="1" customHeight="1" x14ac:dyDescent="0.2"/>
    <row r="32093" ht="9.9499999999999993" hidden="1" customHeight="1" x14ac:dyDescent="0.2"/>
    <row r="32094" ht="9.9499999999999993" hidden="1" customHeight="1" x14ac:dyDescent="0.2"/>
    <row r="32095" ht="9.9499999999999993" hidden="1" customHeight="1" x14ac:dyDescent="0.2"/>
    <row r="32096" ht="9.9499999999999993" hidden="1" customHeight="1" x14ac:dyDescent="0.2"/>
    <row r="32097" ht="9.9499999999999993" hidden="1" customHeight="1" x14ac:dyDescent="0.2"/>
    <row r="32098" ht="9.9499999999999993" hidden="1" customHeight="1" x14ac:dyDescent="0.2"/>
    <row r="32099" ht="9.9499999999999993" hidden="1" customHeight="1" x14ac:dyDescent="0.2"/>
    <row r="32100" ht="9.9499999999999993" hidden="1" customHeight="1" x14ac:dyDescent="0.2"/>
    <row r="32101" ht="9.9499999999999993" hidden="1" customHeight="1" x14ac:dyDescent="0.2"/>
    <row r="32102" ht="9.9499999999999993" hidden="1" customHeight="1" x14ac:dyDescent="0.2"/>
    <row r="32103" ht="9.9499999999999993" hidden="1" customHeight="1" x14ac:dyDescent="0.2"/>
    <row r="32104" ht="9.9499999999999993" hidden="1" customHeight="1" x14ac:dyDescent="0.2"/>
    <row r="32105" ht="9.9499999999999993" hidden="1" customHeight="1" x14ac:dyDescent="0.2"/>
    <row r="32106" ht="9.9499999999999993" hidden="1" customHeight="1" x14ac:dyDescent="0.2"/>
    <row r="32107" ht="9.9499999999999993" hidden="1" customHeight="1" x14ac:dyDescent="0.2"/>
    <row r="32108" ht="9.9499999999999993" hidden="1" customHeight="1" x14ac:dyDescent="0.2"/>
    <row r="32109" ht="9.9499999999999993" hidden="1" customHeight="1" x14ac:dyDescent="0.2"/>
    <row r="32110" ht="9.9499999999999993" hidden="1" customHeight="1" x14ac:dyDescent="0.2"/>
    <row r="32111" ht="9.9499999999999993" hidden="1" customHeight="1" x14ac:dyDescent="0.2"/>
    <row r="32112" ht="9.9499999999999993" hidden="1" customHeight="1" x14ac:dyDescent="0.2"/>
    <row r="32113" ht="9.9499999999999993" hidden="1" customHeight="1" x14ac:dyDescent="0.2"/>
    <row r="32114" ht="9.9499999999999993" hidden="1" customHeight="1" x14ac:dyDescent="0.2"/>
    <row r="32115" ht="9.9499999999999993" hidden="1" customHeight="1" x14ac:dyDescent="0.2"/>
    <row r="32116" ht="9.9499999999999993" hidden="1" customHeight="1" x14ac:dyDescent="0.2"/>
    <row r="32117" ht="9.9499999999999993" hidden="1" customHeight="1" x14ac:dyDescent="0.2"/>
    <row r="32118" ht="9.9499999999999993" hidden="1" customHeight="1" x14ac:dyDescent="0.2"/>
    <row r="32119" ht="9.9499999999999993" hidden="1" customHeight="1" x14ac:dyDescent="0.2"/>
    <row r="32120" ht="9.9499999999999993" hidden="1" customHeight="1" x14ac:dyDescent="0.2"/>
    <row r="32121" ht="9.9499999999999993" hidden="1" customHeight="1" x14ac:dyDescent="0.2"/>
    <row r="32122" ht="9.9499999999999993" hidden="1" customHeight="1" x14ac:dyDescent="0.2"/>
    <row r="32123" ht="9.9499999999999993" hidden="1" customHeight="1" x14ac:dyDescent="0.2"/>
    <row r="32124" ht="9.9499999999999993" hidden="1" customHeight="1" x14ac:dyDescent="0.2"/>
    <row r="32125" ht="9.9499999999999993" hidden="1" customHeight="1" x14ac:dyDescent="0.2"/>
    <row r="32126" ht="9.9499999999999993" hidden="1" customHeight="1" x14ac:dyDescent="0.2"/>
    <row r="32127" ht="9.9499999999999993" hidden="1" customHeight="1" x14ac:dyDescent="0.2"/>
    <row r="32128" ht="9.9499999999999993" hidden="1" customHeight="1" x14ac:dyDescent="0.2"/>
    <row r="32129" ht="9.9499999999999993" hidden="1" customHeight="1" x14ac:dyDescent="0.2"/>
    <row r="32130" ht="9.9499999999999993" hidden="1" customHeight="1" x14ac:dyDescent="0.2"/>
    <row r="32131" ht="9.9499999999999993" hidden="1" customHeight="1" x14ac:dyDescent="0.2"/>
    <row r="32132" ht="9.9499999999999993" hidden="1" customHeight="1" x14ac:dyDescent="0.2"/>
    <row r="32133" ht="9.9499999999999993" hidden="1" customHeight="1" x14ac:dyDescent="0.2"/>
    <row r="32134" ht="9.9499999999999993" hidden="1" customHeight="1" x14ac:dyDescent="0.2"/>
    <row r="32135" ht="9.9499999999999993" hidden="1" customHeight="1" x14ac:dyDescent="0.2"/>
    <row r="32136" ht="9.9499999999999993" hidden="1" customHeight="1" x14ac:dyDescent="0.2"/>
    <row r="32137" ht="9.9499999999999993" hidden="1" customHeight="1" x14ac:dyDescent="0.2"/>
    <row r="32138" ht="9.9499999999999993" hidden="1" customHeight="1" x14ac:dyDescent="0.2"/>
    <row r="32139" ht="9.9499999999999993" hidden="1" customHeight="1" x14ac:dyDescent="0.2"/>
    <row r="32140" ht="9.9499999999999993" hidden="1" customHeight="1" x14ac:dyDescent="0.2"/>
    <row r="32141" ht="9.9499999999999993" hidden="1" customHeight="1" x14ac:dyDescent="0.2"/>
    <row r="32142" ht="9.9499999999999993" hidden="1" customHeight="1" x14ac:dyDescent="0.2"/>
    <row r="32143" ht="9.9499999999999993" hidden="1" customHeight="1" x14ac:dyDescent="0.2"/>
    <row r="32144" ht="9.9499999999999993" hidden="1" customHeight="1" x14ac:dyDescent="0.2"/>
    <row r="32145" ht="9.9499999999999993" hidden="1" customHeight="1" x14ac:dyDescent="0.2"/>
    <row r="32146" ht="9.9499999999999993" hidden="1" customHeight="1" x14ac:dyDescent="0.2"/>
    <row r="32147" ht="9.9499999999999993" hidden="1" customHeight="1" x14ac:dyDescent="0.2"/>
    <row r="32148" ht="9.9499999999999993" hidden="1" customHeight="1" x14ac:dyDescent="0.2"/>
    <row r="32149" ht="9.9499999999999993" hidden="1" customHeight="1" x14ac:dyDescent="0.2"/>
    <row r="32150" ht="9.9499999999999993" hidden="1" customHeight="1" x14ac:dyDescent="0.2"/>
    <row r="32151" ht="9.9499999999999993" hidden="1" customHeight="1" x14ac:dyDescent="0.2"/>
    <row r="32152" ht="9.9499999999999993" hidden="1" customHeight="1" x14ac:dyDescent="0.2"/>
    <row r="32153" ht="9.9499999999999993" hidden="1" customHeight="1" x14ac:dyDescent="0.2"/>
    <row r="32154" ht="9.9499999999999993" hidden="1" customHeight="1" x14ac:dyDescent="0.2"/>
    <row r="32155" ht="9.9499999999999993" hidden="1" customHeight="1" x14ac:dyDescent="0.2"/>
    <row r="32156" ht="9.9499999999999993" hidden="1" customHeight="1" x14ac:dyDescent="0.2"/>
    <row r="32157" ht="9.9499999999999993" hidden="1" customHeight="1" x14ac:dyDescent="0.2"/>
    <row r="32158" ht="9.9499999999999993" hidden="1" customHeight="1" x14ac:dyDescent="0.2"/>
    <row r="32159" ht="9.9499999999999993" hidden="1" customHeight="1" x14ac:dyDescent="0.2"/>
    <row r="32160" ht="9.9499999999999993" hidden="1" customHeight="1" x14ac:dyDescent="0.2"/>
    <row r="32161" ht="9.9499999999999993" hidden="1" customHeight="1" x14ac:dyDescent="0.2"/>
    <row r="32162" ht="9.9499999999999993" hidden="1" customHeight="1" x14ac:dyDescent="0.2"/>
    <row r="32163" ht="9.9499999999999993" hidden="1" customHeight="1" x14ac:dyDescent="0.2"/>
    <row r="32164" ht="9.9499999999999993" hidden="1" customHeight="1" x14ac:dyDescent="0.2"/>
    <row r="32165" ht="9.9499999999999993" hidden="1" customHeight="1" x14ac:dyDescent="0.2"/>
    <row r="32166" ht="9.9499999999999993" hidden="1" customHeight="1" x14ac:dyDescent="0.2"/>
    <row r="32167" ht="9.9499999999999993" hidden="1" customHeight="1" x14ac:dyDescent="0.2"/>
    <row r="32168" ht="9.9499999999999993" hidden="1" customHeight="1" x14ac:dyDescent="0.2"/>
    <row r="32169" ht="9.9499999999999993" hidden="1" customHeight="1" x14ac:dyDescent="0.2"/>
    <row r="32170" ht="9.9499999999999993" hidden="1" customHeight="1" x14ac:dyDescent="0.2"/>
    <row r="32171" ht="9.9499999999999993" hidden="1" customHeight="1" x14ac:dyDescent="0.2"/>
    <row r="32172" ht="9.9499999999999993" hidden="1" customHeight="1" x14ac:dyDescent="0.2"/>
    <row r="32173" ht="9.9499999999999993" hidden="1" customHeight="1" x14ac:dyDescent="0.2"/>
    <row r="32174" ht="9.9499999999999993" hidden="1" customHeight="1" x14ac:dyDescent="0.2"/>
    <row r="32175" ht="9.9499999999999993" hidden="1" customHeight="1" x14ac:dyDescent="0.2"/>
    <row r="32176" ht="9.9499999999999993" hidden="1" customHeight="1" x14ac:dyDescent="0.2"/>
    <row r="32177" ht="9.9499999999999993" hidden="1" customHeight="1" x14ac:dyDescent="0.2"/>
    <row r="32178" ht="9.9499999999999993" hidden="1" customHeight="1" x14ac:dyDescent="0.2"/>
    <row r="32179" ht="9.9499999999999993" hidden="1" customHeight="1" x14ac:dyDescent="0.2"/>
    <row r="32180" ht="9.9499999999999993" hidden="1" customHeight="1" x14ac:dyDescent="0.2"/>
    <row r="32181" ht="9.9499999999999993" hidden="1" customHeight="1" x14ac:dyDescent="0.2"/>
    <row r="32182" ht="9.9499999999999993" hidden="1" customHeight="1" x14ac:dyDescent="0.2"/>
    <row r="32183" ht="9.9499999999999993" hidden="1" customHeight="1" x14ac:dyDescent="0.2"/>
    <row r="32184" ht="9.9499999999999993" hidden="1" customHeight="1" x14ac:dyDescent="0.2"/>
    <row r="32185" ht="9.9499999999999993" hidden="1" customHeight="1" x14ac:dyDescent="0.2"/>
    <row r="32186" ht="9.9499999999999993" hidden="1" customHeight="1" x14ac:dyDescent="0.2"/>
    <row r="32187" ht="9.9499999999999993" hidden="1" customHeight="1" x14ac:dyDescent="0.2"/>
    <row r="32188" ht="9.9499999999999993" hidden="1" customHeight="1" x14ac:dyDescent="0.2"/>
    <row r="32189" ht="9.9499999999999993" hidden="1" customHeight="1" x14ac:dyDescent="0.2"/>
    <row r="32190" ht="9.9499999999999993" hidden="1" customHeight="1" x14ac:dyDescent="0.2"/>
    <row r="32191" ht="9.9499999999999993" hidden="1" customHeight="1" x14ac:dyDescent="0.2"/>
    <row r="32192" ht="9.9499999999999993" hidden="1" customHeight="1" x14ac:dyDescent="0.2"/>
    <row r="32193" ht="9.9499999999999993" hidden="1" customHeight="1" x14ac:dyDescent="0.2"/>
    <row r="32194" ht="9.9499999999999993" hidden="1" customHeight="1" x14ac:dyDescent="0.2"/>
    <row r="32195" ht="9.9499999999999993" hidden="1" customHeight="1" x14ac:dyDescent="0.2"/>
    <row r="32196" ht="9.9499999999999993" hidden="1" customHeight="1" x14ac:dyDescent="0.2"/>
    <row r="32197" ht="9.9499999999999993" hidden="1" customHeight="1" x14ac:dyDescent="0.2"/>
    <row r="32198" ht="9.9499999999999993" hidden="1" customHeight="1" x14ac:dyDescent="0.2"/>
    <row r="32199" ht="9.9499999999999993" hidden="1" customHeight="1" x14ac:dyDescent="0.2"/>
    <row r="32200" ht="9.9499999999999993" hidden="1" customHeight="1" x14ac:dyDescent="0.2"/>
    <row r="32201" ht="9.9499999999999993" hidden="1" customHeight="1" x14ac:dyDescent="0.2"/>
    <row r="32202" ht="9.9499999999999993" hidden="1" customHeight="1" x14ac:dyDescent="0.2"/>
    <row r="32203" ht="9.9499999999999993" hidden="1" customHeight="1" x14ac:dyDescent="0.2"/>
    <row r="32204" ht="9.9499999999999993" hidden="1" customHeight="1" x14ac:dyDescent="0.2"/>
    <row r="32205" ht="9.9499999999999993" hidden="1" customHeight="1" x14ac:dyDescent="0.2"/>
    <row r="32206" ht="9.9499999999999993" hidden="1" customHeight="1" x14ac:dyDescent="0.2"/>
    <row r="32207" ht="9.9499999999999993" hidden="1" customHeight="1" x14ac:dyDescent="0.2"/>
    <row r="32208" ht="9.9499999999999993" hidden="1" customHeight="1" x14ac:dyDescent="0.2"/>
    <row r="32209" ht="9.9499999999999993" hidden="1" customHeight="1" x14ac:dyDescent="0.2"/>
    <row r="32210" ht="9.9499999999999993" hidden="1" customHeight="1" x14ac:dyDescent="0.2"/>
    <row r="32211" ht="9.9499999999999993" hidden="1" customHeight="1" x14ac:dyDescent="0.2"/>
    <row r="32212" ht="9.9499999999999993" hidden="1" customHeight="1" x14ac:dyDescent="0.2"/>
    <row r="32213" ht="9.9499999999999993" hidden="1" customHeight="1" x14ac:dyDescent="0.2"/>
    <row r="32214" ht="9.9499999999999993" hidden="1" customHeight="1" x14ac:dyDescent="0.2"/>
    <row r="32215" ht="9.9499999999999993" hidden="1" customHeight="1" x14ac:dyDescent="0.2"/>
    <row r="32216" ht="9.9499999999999993" hidden="1" customHeight="1" x14ac:dyDescent="0.2"/>
    <row r="32217" ht="9.9499999999999993" hidden="1" customHeight="1" x14ac:dyDescent="0.2"/>
    <row r="32218" ht="9.9499999999999993" hidden="1" customHeight="1" x14ac:dyDescent="0.2"/>
    <row r="32219" ht="9.9499999999999993" hidden="1" customHeight="1" x14ac:dyDescent="0.2"/>
    <row r="32220" ht="9.9499999999999993" hidden="1" customHeight="1" x14ac:dyDescent="0.2"/>
    <row r="32221" ht="9.9499999999999993" hidden="1" customHeight="1" x14ac:dyDescent="0.2"/>
    <row r="32222" ht="9.9499999999999993" hidden="1" customHeight="1" x14ac:dyDescent="0.2"/>
    <row r="32223" ht="9.9499999999999993" hidden="1" customHeight="1" x14ac:dyDescent="0.2"/>
    <row r="32224" ht="9.9499999999999993" hidden="1" customHeight="1" x14ac:dyDescent="0.2"/>
    <row r="32225" ht="9.9499999999999993" hidden="1" customHeight="1" x14ac:dyDescent="0.2"/>
    <row r="32226" ht="9.9499999999999993" hidden="1" customHeight="1" x14ac:dyDescent="0.2"/>
    <row r="32227" ht="9.9499999999999993" hidden="1" customHeight="1" x14ac:dyDescent="0.2"/>
    <row r="32228" ht="9.9499999999999993" hidden="1" customHeight="1" x14ac:dyDescent="0.2"/>
    <row r="32229" ht="9.9499999999999993" hidden="1" customHeight="1" x14ac:dyDescent="0.2"/>
    <row r="32230" ht="9.9499999999999993" hidden="1" customHeight="1" x14ac:dyDescent="0.2"/>
    <row r="32231" ht="9.9499999999999993" hidden="1" customHeight="1" x14ac:dyDescent="0.2"/>
    <row r="32232" ht="9.9499999999999993" hidden="1" customHeight="1" x14ac:dyDescent="0.2"/>
    <row r="32233" ht="9.9499999999999993" hidden="1" customHeight="1" x14ac:dyDescent="0.2"/>
    <row r="32234" ht="9.9499999999999993" hidden="1" customHeight="1" x14ac:dyDescent="0.2"/>
    <row r="32235" ht="9.9499999999999993" hidden="1" customHeight="1" x14ac:dyDescent="0.2"/>
    <row r="32236" ht="9.9499999999999993" hidden="1" customHeight="1" x14ac:dyDescent="0.2"/>
    <row r="32237" ht="9.9499999999999993" hidden="1" customHeight="1" x14ac:dyDescent="0.2"/>
    <row r="32238" ht="9.9499999999999993" hidden="1" customHeight="1" x14ac:dyDescent="0.2"/>
    <row r="32239" ht="9.9499999999999993" hidden="1" customHeight="1" x14ac:dyDescent="0.2"/>
    <row r="32240" ht="9.9499999999999993" hidden="1" customHeight="1" x14ac:dyDescent="0.2"/>
    <row r="32241" ht="9.9499999999999993" hidden="1" customHeight="1" x14ac:dyDescent="0.2"/>
    <row r="32242" ht="9.9499999999999993" hidden="1" customHeight="1" x14ac:dyDescent="0.2"/>
    <row r="32243" ht="9.9499999999999993" hidden="1" customHeight="1" x14ac:dyDescent="0.2"/>
    <row r="32244" ht="9.9499999999999993" hidden="1" customHeight="1" x14ac:dyDescent="0.2"/>
    <row r="32245" ht="9.9499999999999993" hidden="1" customHeight="1" x14ac:dyDescent="0.2"/>
    <row r="32246" ht="9.9499999999999993" hidden="1" customHeight="1" x14ac:dyDescent="0.2"/>
    <row r="32247" ht="9.9499999999999993" hidden="1" customHeight="1" x14ac:dyDescent="0.2"/>
    <row r="32248" ht="9.9499999999999993" hidden="1" customHeight="1" x14ac:dyDescent="0.2"/>
    <row r="32249" ht="9.9499999999999993" hidden="1" customHeight="1" x14ac:dyDescent="0.2"/>
    <row r="32250" ht="9.9499999999999993" hidden="1" customHeight="1" x14ac:dyDescent="0.2"/>
    <row r="32251" ht="9.9499999999999993" hidden="1" customHeight="1" x14ac:dyDescent="0.2"/>
    <row r="32252" ht="9.9499999999999993" hidden="1" customHeight="1" x14ac:dyDescent="0.2"/>
    <row r="32253" ht="9.9499999999999993" hidden="1" customHeight="1" x14ac:dyDescent="0.2"/>
    <row r="32254" ht="9.9499999999999993" hidden="1" customHeight="1" x14ac:dyDescent="0.2"/>
    <row r="32255" ht="9.9499999999999993" hidden="1" customHeight="1" x14ac:dyDescent="0.2"/>
    <row r="32256" ht="9.9499999999999993" hidden="1" customHeight="1" x14ac:dyDescent="0.2"/>
    <row r="32257" ht="9.9499999999999993" hidden="1" customHeight="1" x14ac:dyDescent="0.2"/>
    <row r="32258" ht="9.9499999999999993" hidden="1" customHeight="1" x14ac:dyDescent="0.2"/>
    <row r="32259" ht="9.9499999999999993" hidden="1" customHeight="1" x14ac:dyDescent="0.2"/>
    <row r="32260" ht="9.9499999999999993" hidden="1" customHeight="1" x14ac:dyDescent="0.2"/>
    <row r="32261" ht="9.9499999999999993" hidden="1" customHeight="1" x14ac:dyDescent="0.2"/>
    <row r="32262" ht="9.9499999999999993" hidden="1" customHeight="1" x14ac:dyDescent="0.2"/>
    <row r="32263" ht="9.9499999999999993" hidden="1" customHeight="1" x14ac:dyDescent="0.2"/>
    <row r="32264" ht="9.9499999999999993" hidden="1" customHeight="1" x14ac:dyDescent="0.2"/>
    <row r="32265" ht="9.9499999999999993" hidden="1" customHeight="1" x14ac:dyDescent="0.2"/>
    <row r="32266" ht="9.9499999999999993" hidden="1" customHeight="1" x14ac:dyDescent="0.2"/>
    <row r="32267" ht="9.9499999999999993" hidden="1" customHeight="1" x14ac:dyDescent="0.2"/>
    <row r="32268" ht="9.9499999999999993" hidden="1" customHeight="1" x14ac:dyDescent="0.2"/>
    <row r="32269" ht="9.9499999999999993" hidden="1" customHeight="1" x14ac:dyDescent="0.2"/>
    <row r="32270" ht="9.9499999999999993" hidden="1" customHeight="1" x14ac:dyDescent="0.2"/>
    <row r="32271" ht="9.9499999999999993" hidden="1" customHeight="1" x14ac:dyDescent="0.2"/>
    <row r="32272" ht="9.9499999999999993" hidden="1" customHeight="1" x14ac:dyDescent="0.2"/>
    <row r="32273" ht="9.9499999999999993" hidden="1" customHeight="1" x14ac:dyDescent="0.2"/>
    <row r="32274" ht="9.9499999999999993" hidden="1" customHeight="1" x14ac:dyDescent="0.2"/>
    <row r="32275" ht="9.9499999999999993" hidden="1" customHeight="1" x14ac:dyDescent="0.2"/>
    <row r="32276" ht="9.9499999999999993" hidden="1" customHeight="1" x14ac:dyDescent="0.2"/>
    <row r="32277" ht="9.9499999999999993" hidden="1" customHeight="1" x14ac:dyDescent="0.2"/>
    <row r="32278" ht="9.9499999999999993" hidden="1" customHeight="1" x14ac:dyDescent="0.2"/>
    <row r="32279" ht="9.9499999999999993" hidden="1" customHeight="1" x14ac:dyDescent="0.2"/>
    <row r="32280" ht="9.9499999999999993" hidden="1" customHeight="1" x14ac:dyDescent="0.2"/>
    <row r="32281" ht="9.9499999999999993" hidden="1" customHeight="1" x14ac:dyDescent="0.2"/>
    <row r="32282" ht="9.9499999999999993" hidden="1" customHeight="1" x14ac:dyDescent="0.2"/>
    <row r="32283" ht="9.9499999999999993" hidden="1" customHeight="1" x14ac:dyDescent="0.2"/>
    <row r="32284" ht="9.9499999999999993" hidden="1" customHeight="1" x14ac:dyDescent="0.2"/>
    <row r="32285" ht="9.9499999999999993" hidden="1" customHeight="1" x14ac:dyDescent="0.2"/>
    <row r="32286" ht="9.9499999999999993" hidden="1" customHeight="1" x14ac:dyDescent="0.2"/>
    <row r="32287" ht="9.9499999999999993" hidden="1" customHeight="1" x14ac:dyDescent="0.2"/>
    <row r="32288" ht="9.9499999999999993" hidden="1" customHeight="1" x14ac:dyDescent="0.2"/>
    <row r="32289" ht="9.9499999999999993" hidden="1" customHeight="1" x14ac:dyDescent="0.2"/>
    <row r="32290" ht="9.9499999999999993" hidden="1" customHeight="1" x14ac:dyDescent="0.2"/>
    <row r="32291" ht="9.9499999999999993" hidden="1" customHeight="1" x14ac:dyDescent="0.2"/>
    <row r="32292" ht="9.9499999999999993" hidden="1" customHeight="1" x14ac:dyDescent="0.2"/>
    <row r="32293" ht="9.9499999999999993" hidden="1" customHeight="1" x14ac:dyDescent="0.2"/>
    <row r="32294" ht="9.9499999999999993" hidden="1" customHeight="1" x14ac:dyDescent="0.2"/>
    <row r="32295" ht="9.9499999999999993" hidden="1" customHeight="1" x14ac:dyDescent="0.2"/>
    <row r="32296" ht="9.9499999999999993" hidden="1" customHeight="1" x14ac:dyDescent="0.2"/>
    <row r="32297" ht="9.9499999999999993" hidden="1" customHeight="1" x14ac:dyDescent="0.2"/>
    <row r="32298" ht="9.9499999999999993" hidden="1" customHeight="1" x14ac:dyDescent="0.2"/>
    <row r="32299" ht="9.9499999999999993" hidden="1" customHeight="1" x14ac:dyDescent="0.2"/>
    <row r="32300" ht="9.9499999999999993" hidden="1" customHeight="1" x14ac:dyDescent="0.2"/>
    <row r="32301" ht="9.9499999999999993" hidden="1" customHeight="1" x14ac:dyDescent="0.2"/>
    <row r="32302" ht="9.9499999999999993" hidden="1" customHeight="1" x14ac:dyDescent="0.2"/>
    <row r="32303" ht="9.9499999999999993" hidden="1" customHeight="1" x14ac:dyDescent="0.2"/>
    <row r="32304" ht="9.9499999999999993" hidden="1" customHeight="1" x14ac:dyDescent="0.2"/>
    <row r="32305" ht="9.9499999999999993" hidden="1" customHeight="1" x14ac:dyDescent="0.2"/>
    <row r="32306" ht="9.9499999999999993" hidden="1" customHeight="1" x14ac:dyDescent="0.2"/>
    <row r="32307" ht="9.9499999999999993" hidden="1" customHeight="1" x14ac:dyDescent="0.2"/>
    <row r="32308" ht="9.9499999999999993" hidden="1" customHeight="1" x14ac:dyDescent="0.2"/>
    <row r="32309" ht="9.9499999999999993" hidden="1" customHeight="1" x14ac:dyDescent="0.2"/>
    <row r="32310" ht="9.9499999999999993" hidden="1" customHeight="1" x14ac:dyDescent="0.2"/>
    <row r="32311" ht="9.9499999999999993" hidden="1" customHeight="1" x14ac:dyDescent="0.2"/>
    <row r="32312" ht="9.9499999999999993" hidden="1" customHeight="1" x14ac:dyDescent="0.2"/>
    <row r="32313" ht="9.9499999999999993" hidden="1" customHeight="1" x14ac:dyDescent="0.2"/>
    <row r="32314" ht="9.9499999999999993" hidden="1" customHeight="1" x14ac:dyDescent="0.2"/>
    <row r="32315" ht="9.9499999999999993" hidden="1" customHeight="1" x14ac:dyDescent="0.2"/>
    <row r="32316" ht="9.9499999999999993" hidden="1" customHeight="1" x14ac:dyDescent="0.2"/>
    <row r="32317" ht="9.9499999999999993" hidden="1" customHeight="1" x14ac:dyDescent="0.2"/>
    <row r="32318" ht="9.9499999999999993" hidden="1" customHeight="1" x14ac:dyDescent="0.2"/>
    <row r="32319" ht="9.9499999999999993" hidden="1" customHeight="1" x14ac:dyDescent="0.2"/>
    <row r="32320" ht="9.9499999999999993" hidden="1" customHeight="1" x14ac:dyDescent="0.2"/>
    <row r="32321" ht="9.9499999999999993" hidden="1" customHeight="1" x14ac:dyDescent="0.2"/>
    <row r="32322" ht="9.9499999999999993" hidden="1" customHeight="1" x14ac:dyDescent="0.2"/>
    <row r="32323" ht="9.9499999999999993" hidden="1" customHeight="1" x14ac:dyDescent="0.2"/>
    <row r="32324" ht="9.9499999999999993" hidden="1" customHeight="1" x14ac:dyDescent="0.2"/>
    <row r="32325" ht="9.9499999999999993" hidden="1" customHeight="1" x14ac:dyDescent="0.2"/>
    <row r="32326" ht="9.9499999999999993" hidden="1" customHeight="1" x14ac:dyDescent="0.2"/>
    <row r="32327" ht="9.9499999999999993" hidden="1" customHeight="1" x14ac:dyDescent="0.2"/>
    <row r="32328" ht="9.9499999999999993" hidden="1" customHeight="1" x14ac:dyDescent="0.2"/>
    <row r="32329" ht="9.9499999999999993" hidden="1" customHeight="1" x14ac:dyDescent="0.2"/>
    <row r="32330" ht="9.9499999999999993" hidden="1" customHeight="1" x14ac:dyDescent="0.2"/>
    <row r="32331" ht="9.9499999999999993" hidden="1" customHeight="1" x14ac:dyDescent="0.2"/>
    <row r="32332" ht="9.9499999999999993" hidden="1" customHeight="1" x14ac:dyDescent="0.2"/>
    <row r="32333" ht="9.9499999999999993" hidden="1" customHeight="1" x14ac:dyDescent="0.2"/>
    <row r="32334" ht="9.9499999999999993" hidden="1" customHeight="1" x14ac:dyDescent="0.2"/>
    <row r="32335" ht="9.9499999999999993" hidden="1" customHeight="1" x14ac:dyDescent="0.2"/>
    <row r="32336" ht="9.9499999999999993" hidden="1" customHeight="1" x14ac:dyDescent="0.2"/>
    <row r="32337" ht="9.9499999999999993" hidden="1" customHeight="1" x14ac:dyDescent="0.2"/>
    <row r="32338" ht="9.9499999999999993" hidden="1" customHeight="1" x14ac:dyDescent="0.2"/>
    <row r="32339" ht="9.9499999999999993" hidden="1" customHeight="1" x14ac:dyDescent="0.2"/>
    <row r="32340" ht="9.9499999999999993" hidden="1" customHeight="1" x14ac:dyDescent="0.2"/>
    <row r="32341" ht="9.9499999999999993" hidden="1" customHeight="1" x14ac:dyDescent="0.2"/>
    <row r="32342" ht="9.9499999999999993" hidden="1" customHeight="1" x14ac:dyDescent="0.2"/>
    <row r="32343" ht="9.9499999999999993" hidden="1" customHeight="1" x14ac:dyDescent="0.2"/>
    <row r="32344" ht="9.9499999999999993" hidden="1" customHeight="1" x14ac:dyDescent="0.2"/>
    <row r="32345" ht="9.9499999999999993" hidden="1" customHeight="1" x14ac:dyDescent="0.2"/>
    <row r="32346" ht="9.9499999999999993" hidden="1" customHeight="1" x14ac:dyDescent="0.2"/>
    <row r="32347" ht="9.9499999999999993" hidden="1" customHeight="1" x14ac:dyDescent="0.2"/>
    <row r="32348" ht="9.9499999999999993" hidden="1" customHeight="1" x14ac:dyDescent="0.2"/>
    <row r="32349" ht="9.9499999999999993" hidden="1" customHeight="1" x14ac:dyDescent="0.2"/>
    <row r="32350" ht="9.9499999999999993" hidden="1" customHeight="1" x14ac:dyDescent="0.2"/>
    <row r="32351" ht="9.9499999999999993" hidden="1" customHeight="1" x14ac:dyDescent="0.2"/>
    <row r="32352" ht="9.9499999999999993" hidden="1" customHeight="1" x14ac:dyDescent="0.2"/>
    <row r="32353" ht="9.9499999999999993" hidden="1" customHeight="1" x14ac:dyDescent="0.2"/>
    <row r="32354" ht="9.9499999999999993" hidden="1" customHeight="1" x14ac:dyDescent="0.2"/>
    <row r="32355" ht="9.9499999999999993" hidden="1" customHeight="1" x14ac:dyDescent="0.2"/>
    <row r="32356" ht="9.9499999999999993" hidden="1" customHeight="1" x14ac:dyDescent="0.2"/>
    <row r="32357" ht="9.9499999999999993" hidden="1" customHeight="1" x14ac:dyDescent="0.2"/>
    <row r="32358" ht="9.9499999999999993" hidden="1" customHeight="1" x14ac:dyDescent="0.2"/>
    <row r="32359" ht="9.9499999999999993" hidden="1" customHeight="1" x14ac:dyDescent="0.2"/>
    <row r="32360" ht="9.9499999999999993" hidden="1" customHeight="1" x14ac:dyDescent="0.2"/>
    <row r="32361" ht="9.9499999999999993" hidden="1" customHeight="1" x14ac:dyDescent="0.2"/>
    <row r="32362" ht="9.9499999999999993" hidden="1" customHeight="1" x14ac:dyDescent="0.2"/>
    <row r="32363" ht="9.9499999999999993" hidden="1" customHeight="1" x14ac:dyDescent="0.2"/>
    <row r="32364" ht="9.9499999999999993" hidden="1" customHeight="1" x14ac:dyDescent="0.2"/>
    <row r="32365" ht="9.9499999999999993" hidden="1" customHeight="1" x14ac:dyDescent="0.2"/>
    <row r="32366" ht="9.9499999999999993" hidden="1" customHeight="1" x14ac:dyDescent="0.2"/>
    <row r="32367" ht="9.9499999999999993" hidden="1" customHeight="1" x14ac:dyDescent="0.2"/>
    <row r="32368" ht="9.9499999999999993" hidden="1" customHeight="1" x14ac:dyDescent="0.2"/>
    <row r="32369" ht="9.9499999999999993" hidden="1" customHeight="1" x14ac:dyDescent="0.2"/>
    <row r="32370" ht="9.9499999999999993" hidden="1" customHeight="1" x14ac:dyDescent="0.2"/>
    <row r="32371" ht="9.9499999999999993" hidden="1" customHeight="1" x14ac:dyDescent="0.2"/>
    <row r="32372" ht="9.9499999999999993" hidden="1" customHeight="1" x14ac:dyDescent="0.2"/>
    <row r="32373" ht="9.9499999999999993" hidden="1" customHeight="1" x14ac:dyDescent="0.2"/>
    <row r="32374" ht="9.9499999999999993" hidden="1" customHeight="1" x14ac:dyDescent="0.2"/>
    <row r="32375" ht="9.9499999999999993" hidden="1" customHeight="1" x14ac:dyDescent="0.2"/>
    <row r="32376" ht="9.9499999999999993" hidden="1" customHeight="1" x14ac:dyDescent="0.2"/>
    <row r="32377" ht="9.9499999999999993" hidden="1" customHeight="1" x14ac:dyDescent="0.2"/>
    <row r="32378" ht="9.9499999999999993" hidden="1" customHeight="1" x14ac:dyDescent="0.2"/>
    <row r="32379" ht="9.9499999999999993" hidden="1" customHeight="1" x14ac:dyDescent="0.2"/>
    <row r="32380" ht="9.9499999999999993" hidden="1" customHeight="1" x14ac:dyDescent="0.2"/>
    <row r="32381" ht="9.9499999999999993" hidden="1" customHeight="1" x14ac:dyDescent="0.2"/>
    <row r="32382" ht="9.9499999999999993" hidden="1" customHeight="1" x14ac:dyDescent="0.2"/>
    <row r="32383" ht="9.9499999999999993" hidden="1" customHeight="1" x14ac:dyDescent="0.2"/>
    <row r="32384" ht="9.9499999999999993" hidden="1" customHeight="1" x14ac:dyDescent="0.2"/>
    <row r="32385" ht="9.9499999999999993" hidden="1" customHeight="1" x14ac:dyDescent="0.2"/>
    <row r="32386" ht="9.9499999999999993" hidden="1" customHeight="1" x14ac:dyDescent="0.2"/>
    <row r="32387" ht="9.9499999999999993" hidden="1" customHeight="1" x14ac:dyDescent="0.2"/>
    <row r="32388" ht="9.9499999999999993" hidden="1" customHeight="1" x14ac:dyDescent="0.2"/>
    <row r="32389" ht="9.9499999999999993" hidden="1" customHeight="1" x14ac:dyDescent="0.2"/>
    <row r="32390" ht="9.9499999999999993" hidden="1" customHeight="1" x14ac:dyDescent="0.2"/>
    <row r="32391" ht="9.9499999999999993" hidden="1" customHeight="1" x14ac:dyDescent="0.2"/>
    <row r="32392" ht="9.9499999999999993" hidden="1" customHeight="1" x14ac:dyDescent="0.2"/>
    <row r="32393" ht="9.9499999999999993" hidden="1" customHeight="1" x14ac:dyDescent="0.2"/>
    <row r="32394" ht="9.9499999999999993" hidden="1" customHeight="1" x14ac:dyDescent="0.2"/>
    <row r="32395" ht="9.9499999999999993" hidden="1" customHeight="1" x14ac:dyDescent="0.2"/>
    <row r="32396" ht="9.9499999999999993" hidden="1" customHeight="1" x14ac:dyDescent="0.2"/>
    <row r="32397" ht="9.9499999999999993" hidden="1" customHeight="1" x14ac:dyDescent="0.2"/>
    <row r="32398" ht="9.9499999999999993" hidden="1" customHeight="1" x14ac:dyDescent="0.2"/>
    <row r="32399" ht="9.9499999999999993" hidden="1" customHeight="1" x14ac:dyDescent="0.2"/>
    <row r="32400" ht="9.9499999999999993" hidden="1" customHeight="1" x14ac:dyDescent="0.2"/>
    <row r="32401" ht="9.9499999999999993" hidden="1" customHeight="1" x14ac:dyDescent="0.2"/>
    <row r="32402" ht="9.9499999999999993" hidden="1" customHeight="1" x14ac:dyDescent="0.2"/>
    <row r="32403" ht="9.9499999999999993" hidden="1" customHeight="1" x14ac:dyDescent="0.2"/>
    <row r="32404" ht="9.9499999999999993" hidden="1" customHeight="1" x14ac:dyDescent="0.2"/>
    <row r="32405" ht="9.9499999999999993" hidden="1" customHeight="1" x14ac:dyDescent="0.2"/>
    <row r="32406" ht="9.9499999999999993" hidden="1" customHeight="1" x14ac:dyDescent="0.2"/>
    <row r="32407" ht="9.9499999999999993" hidden="1" customHeight="1" x14ac:dyDescent="0.2"/>
    <row r="32408" ht="9.9499999999999993" hidden="1" customHeight="1" x14ac:dyDescent="0.2"/>
    <row r="32409" ht="9.9499999999999993" hidden="1" customHeight="1" x14ac:dyDescent="0.2"/>
    <row r="32410" ht="9.9499999999999993" hidden="1" customHeight="1" x14ac:dyDescent="0.2"/>
    <row r="32411" ht="9.9499999999999993" hidden="1" customHeight="1" x14ac:dyDescent="0.2"/>
    <row r="32412" ht="9.9499999999999993" hidden="1" customHeight="1" x14ac:dyDescent="0.2"/>
    <row r="32413" ht="9.9499999999999993" hidden="1" customHeight="1" x14ac:dyDescent="0.2"/>
    <row r="32414" ht="9.9499999999999993" hidden="1" customHeight="1" x14ac:dyDescent="0.2"/>
    <row r="32415" ht="9.9499999999999993" hidden="1" customHeight="1" x14ac:dyDescent="0.2"/>
    <row r="32416" ht="9.9499999999999993" hidden="1" customHeight="1" x14ac:dyDescent="0.2"/>
    <row r="32417" ht="9.9499999999999993" hidden="1" customHeight="1" x14ac:dyDescent="0.2"/>
    <row r="32418" ht="9.9499999999999993" hidden="1" customHeight="1" x14ac:dyDescent="0.2"/>
    <row r="32419" ht="9.9499999999999993" hidden="1" customHeight="1" x14ac:dyDescent="0.2"/>
    <row r="32420" ht="9.9499999999999993" hidden="1" customHeight="1" x14ac:dyDescent="0.2"/>
    <row r="32421" ht="9.9499999999999993" hidden="1" customHeight="1" x14ac:dyDescent="0.2"/>
    <row r="32422" ht="9.9499999999999993" hidden="1" customHeight="1" x14ac:dyDescent="0.2"/>
    <row r="32423" ht="9.9499999999999993" hidden="1" customHeight="1" x14ac:dyDescent="0.2"/>
    <row r="32424" ht="9.9499999999999993" hidden="1" customHeight="1" x14ac:dyDescent="0.2"/>
    <row r="32425" ht="9.9499999999999993" hidden="1" customHeight="1" x14ac:dyDescent="0.2"/>
    <row r="32426" ht="9.9499999999999993" hidden="1" customHeight="1" x14ac:dyDescent="0.2"/>
    <row r="32427" ht="9.9499999999999993" hidden="1" customHeight="1" x14ac:dyDescent="0.2"/>
    <row r="32428" ht="9.9499999999999993" hidden="1" customHeight="1" x14ac:dyDescent="0.2"/>
    <row r="32429" ht="9.9499999999999993" hidden="1" customHeight="1" x14ac:dyDescent="0.2"/>
    <row r="32430" ht="9.9499999999999993" hidden="1" customHeight="1" x14ac:dyDescent="0.2"/>
    <row r="32431" ht="9.9499999999999993" hidden="1" customHeight="1" x14ac:dyDescent="0.2"/>
    <row r="32432" ht="9.9499999999999993" hidden="1" customHeight="1" x14ac:dyDescent="0.2"/>
    <row r="32433" ht="9.9499999999999993" hidden="1" customHeight="1" x14ac:dyDescent="0.2"/>
    <row r="32434" ht="9.9499999999999993" hidden="1" customHeight="1" x14ac:dyDescent="0.2"/>
    <row r="32435" ht="9.9499999999999993" hidden="1" customHeight="1" x14ac:dyDescent="0.2"/>
    <row r="32436" ht="9.9499999999999993" hidden="1" customHeight="1" x14ac:dyDescent="0.2"/>
    <row r="32437" ht="9.9499999999999993" hidden="1" customHeight="1" x14ac:dyDescent="0.2"/>
    <row r="32438" ht="9.9499999999999993" hidden="1" customHeight="1" x14ac:dyDescent="0.2"/>
    <row r="32439" ht="9.9499999999999993" hidden="1" customHeight="1" x14ac:dyDescent="0.2"/>
    <row r="32440" ht="9.9499999999999993" hidden="1" customHeight="1" x14ac:dyDescent="0.2"/>
    <row r="32441" ht="9.9499999999999993" hidden="1" customHeight="1" x14ac:dyDescent="0.2"/>
    <row r="32442" ht="9.9499999999999993" hidden="1" customHeight="1" x14ac:dyDescent="0.2"/>
    <row r="32443" ht="9.9499999999999993" hidden="1" customHeight="1" x14ac:dyDescent="0.2"/>
    <row r="32444" ht="9.9499999999999993" hidden="1" customHeight="1" x14ac:dyDescent="0.2"/>
    <row r="32445" ht="9.9499999999999993" hidden="1" customHeight="1" x14ac:dyDescent="0.2"/>
    <row r="32446" ht="9.9499999999999993" hidden="1" customHeight="1" x14ac:dyDescent="0.2"/>
    <row r="32447" ht="9.9499999999999993" hidden="1" customHeight="1" x14ac:dyDescent="0.2"/>
    <row r="32448" ht="9.9499999999999993" hidden="1" customHeight="1" x14ac:dyDescent="0.2"/>
    <row r="32449" ht="9.9499999999999993" hidden="1" customHeight="1" x14ac:dyDescent="0.2"/>
    <row r="32450" ht="9.9499999999999993" hidden="1" customHeight="1" x14ac:dyDescent="0.2"/>
    <row r="32451" ht="9.9499999999999993" hidden="1" customHeight="1" x14ac:dyDescent="0.2"/>
    <row r="32452" ht="9.9499999999999993" hidden="1" customHeight="1" x14ac:dyDescent="0.2"/>
    <row r="32453" ht="9.9499999999999993" hidden="1" customHeight="1" x14ac:dyDescent="0.2"/>
    <row r="32454" ht="9.9499999999999993" hidden="1" customHeight="1" x14ac:dyDescent="0.2"/>
    <row r="32455" ht="9.9499999999999993" hidden="1" customHeight="1" x14ac:dyDescent="0.2"/>
    <row r="32456" ht="9.9499999999999993" hidden="1" customHeight="1" x14ac:dyDescent="0.2"/>
    <row r="32457" ht="9.9499999999999993" hidden="1" customHeight="1" x14ac:dyDescent="0.2"/>
    <row r="32458" ht="9.9499999999999993" hidden="1" customHeight="1" x14ac:dyDescent="0.2"/>
    <row r="32459" ht="9.9499999999999993" hidden="1" customHeight="1" x14ac:dyDescent="0.2"/>
    <row r="32460" ht="9.9499999999999993" hidden="1" customHeight="1" x14ac:dyDescent="0.2"/>
    <row r="32461" ht="9.9499999999999993" hidden="1" customHeight="1" x14ac:dyDescent="0.2"/>
    <row r="32462" ht="9.9499999999999993" hidden="1" customHeight="1" x14ac:dyDescent="0.2"/>
    <row r="32463" ht="9.9499999999999993" hidden="1" customHeight="1" x14ac:dyDescent="0.2"/>
    <row r="32464" ht="9.9499999999999993" hidden="1" customHeight="1" x14ac:dyDescent="0.2"/>
    <row r="32465" ht="9.9499999999999993" hidden="1" customHeight="1" x14ac:dyDescent="0.2"/>
    <row r="32466" ht="9.9499999999999993" hidden="1" customHeight="1" x14ac:dyDescent="0.2"/>
    <row r="32467" ht="9.9499999999999993" hidden="1" customHeight="1" x14ac:dyDescent="0.2"/>
    <row r="32468" ht="9.9499999999999993" hidden="1" customHeight="1" x14ac:dyDescent="0.2"/>
    <row r="32469" ht="9.9499999999999993" hidden="1" customHeight="1" x14ac:dyDescent="0.2"/>
    <row r="32470" ht="9.9499999999999993" hidden="1" customHeight="1" x14ac:dyDescent="0.2"/>
    <row r="32471" ht="9.9499999999999993" hidden="1" customHeight="1" x14ac:dyDescent="0.2"/>
    <row r="32472" ht="9.9499999999999993" hidden="1" customHeight="1" x14ac:dyDescent="0.2"/>
    <row r="32473" ht="9.9499999999999993" hidden="1" customHeight="1" x14ac:dyDescent="0.2"/>
    <row r="32474" ht="9.9499999999999993" hidden="1" customHeight="1" x14ac:dyDescent="0.2"/>
    <row r="32475" ht="9.9499999999999993" hidden="1" customHeight="1" x14ac:dyDescent="0.2"/>
    <row r="32476" ht="9.9499999999999993" hidden="1" customHeight="1" x14ac:dyDescent="0.2"/>
    <row r="32477" ht="9.9499999999999993" hidden="1" customHeight="1" x14ac:dyDescent="0.2"/>
    <row r="32478" ht="9.9499999999999993" hidden="1" customHeight="1" x14ac:dyDescent="0.2"/>
    <row r="32479" ht="9.9499999999999993" hidden="1" customHeight="1" x14ac:dyDescent="0.2"/>
    <row r="32480" ht="9.9499999999999993" hidden="1" customHeight="1" x14ac:dyDescent="0.2"/>
    <row r="32481" ht="9.9499999999999993" hidden="1" customHeight="1" x14ac:dyDescent="0.2"/>
    <row r="32482" ht="9.9499999999999993" hidden="1" customHeight="1" x14ac:dyDescent="0.2"/>
    <row r="32483" ht="9.9499999999999993" hidden="1" customHeight="1" x14ac:dyDescent="0.2"/>
    <row r="32484" ht="9.9499999999999993" hidden="1" customHeight="1" x14ac:dyDescent="0.2"/>
    <row r="32485" ht="9.9499999999999993" hidden="1" customHeight="1" x14ac:dyDescent="0.2"/>
    <row r="32486" ht="9.9499999999999993" hidden="1" customHeight="1" x14ac:dyDescent="0.2"/>
    <row r="32487" ht="9.9499999999999993" hidden="1" customHeight="1" x14ac:dyDescent="0.2"/>
    <row r="32488" ht="9.9499999999999993" hidden="1" customHeight="1" x14ac:dyDescent="0.2"/>
    <row r="32489" ht="9.9499999999999993" hidden="1" customHeight="1" x14ac:dyDescent="0.2"/>
    <row r="32490" ht="9.9499999999999993" hidden="1" customHeight="1" x14ac:dyDescent="0.2"/>
    <row r="32491" ht="9.9499999999999993" hidden="1" customHeight="1" x14ac:dyDescent="0.2"/>
    <row r="32492" ht="9.9499999999999993" hidden="1" customHeight="1" x14ac:dyDescent="0.2"/>
    <row r="32493" ht="9.9499999999999993" hidden="1" customHeight="1" x14ac:dyDescent="0.2"/>
    <row r="32494" ht="9.9499999999999993" hidden="1" customHeight="1" x14ac:dyDescent="0.2"/>
    <row r="32495" ht="9.9499999999999993" hidden="1" customHeight="1" x14ac:dyDescent="0.2"/>
    <row r="32496" ht="9.9499999999999993" hidden="1" customHeight="1" x14ac:dyDescent="0.2"/>
    <row r="32497" ht="9.9499999999999993" hidden="1" customHeight="1" x14ac:dyDescent="0.2"/>
    <row r="32498" ht="9.9499999999999993" hidden="1" customHeight="1" x14ac:dyDescent="0.2"/>
    <row r="32499" ht="9.9499999999999993" hidden="1" customHeight="1" x14ac:dyDescent="0.2"/>
    <row r="32500" ht="9.9499999999999993" hidden="1" customHeight="1" x14ac:dyDescent="0.2"/>
    <row r="32501" ht="9.9499999999999993" hidden="1" customHeight="1" x14ac:dyDescent="0.2"/>
    <row r="32502" ht="9.9499999999999993" hidden="1" customHeight="1" x14ac:dyDescent="0.2"/>
    <row r="32503" ht="9.9499999999999993" hidden="1" customHeight="1" x14ac:dyDescent="0.2"/>
    <row r="32504" ht="9.9499999999999993" hidden="1" customHeight="1" x14ac:dyDescent="0.2"/>
    <row r="32505" ht="9.9499999999999993" hidden="1" customHeight="1" x14ac:dyDescent="0.2"/>
    <row r="32506" ht="9.9499999999999993" hidden="1" customHeight="1" x14ac:dyDescent="0.2"/>
    <row r="32507" ht="9.9499999999999993" hidden="1" customHeight="1" x14ac:dyDescent="0.2"/>
    <row r="32508" ht="9.9499999999999993" hidden="1" customHeight="1" x14ac:dyDescent="0.2"/>
    <row r="32509" ht="9.9499999999999993" hidden="1" customHeight="1" x14ac:dyDescent="0.2"/>
    <row r="32510" ht="9.9499999999999993" hidden="1" customHeight="1" x14ac:dyDescent="0.2"/>
    <row r="32511" ht="9.9499999999999993" hidden="1" customHeight="1" x14ac:dyDescent="0.2"/>
    <row r="32512" ht="9.9499999999999993" hidden="1" customHeight="1" x14ac:dyDescent="0.2"/>
    <row r="32513" ht="9.9499999999999993" hidden="1" customHeight="1" x14ac:dyDescent="0.2"/>
    <row r="32514" ht="9.9499999999999993" hidden="1" customHeight="1" x14ac:dyDescent="0.2"/>
    <row r="32515" ht="9.9499999999999993" hidden="1" customHeight="1" x14ac:dyDescent="0.2"/>
    <row r="32516" ht="9.9499999999999993" hidden="1" customHeight="1" x14ac:dyDescent="0.2"/>
    <row r="32517" ht="9.9499999999999993" hidden="1" customHeight="1" x14ac:dyDescent="0.2"/>
    <row r="32518" ht="9.9499999999999993" hidden="1" customHeight="1" x14ac:dyDescent="0.2"/>
    <row r="32519" ht="9.9499999999999993" hidden="1" customHeight="1" x14ac:dyDescent="0.2"/>
    <row r="32520" ht="9.9499999999999993" hidden="1" customHeight="1" x14ac:dyDescent="0.2"/>
    <row r="32521" ht="9.9499999999999993" hidden="1" customHeight="1" x14ac:dyDescent="0.2"/>
    <row r="32522" ht="9.9499999999999993" hidden="1" customHeight="1" x14ac:dyDescent="0.2"/>
    <row r="32523" ht="9.9499999999999993" hidden="1" customHeight="1" x14ac:dyDescent="0.2"/>
    <row r="32524" ht="9.9499999999999993" hidden="1" customHeight="1" x14ac:dyDescent="0.2"/>
    <row r="32525" ht="9.9499999999999993" hidden="1" customHeight="1" x14ac:dyDescent="0.2"/>
    <row r="32526" ht="9.9499999999999993" hidden="1" customHeight="1" x14ac:dyDescent="0.2"/>
    <row r="32527" ht="9.9499999999999993" hidden="1" customHeight="1" x14ac:dyDescent="0.2"/>
    <row r="32528" ht="9.9499999999999993" hidden="1" customHeight="1" x14ac:dyDescent="0.2"/>
    <row r="32529" ht="9.9499999999999993" hidden="1" customHeight="1" x14ac:dyDescent="0.2"/>
    <row r="32530" ht="9.9499999999999993" hidden="1" customHeight="1" x14ac:dyDescent="0.2"/>
    <row r="32531" ht="9.9499999999999993" hidden="1" customHeight="1" x14ac:dyDescent="0.2"/>
    <row r="32532" ht="9.9499999999999993" hidden="1" customHeight="1" x14ac:dyDescent="0.2"/>
    <row r="32533" ht="9.9499999999999993" hidden="1" customHeight="1" x14ac:dyDescent="0.2"/>
    <row r="32534" ht="9.9499999999999993" hidden="1" customHeight="1" x14ac:dyDescent="0.2"/>
    <row r="32535" ht="9.9499999999999993" hidden="1" customHeight="1" x14ac:dyDescent="0.2"/>
    <row r="32536" ht="9.9499999999999993" hidden="1" customHeight="1" x14ac:dyDescent="0.2"/>
    <row r="32537" ht="9.9499999999999993" hidden="1" customHeight="1" x14ac:dyDescent="0.2"/>
    <row r="32538" ht="9.9499999999999993" hidden="1" customHeight="1" x14ac:dyDescent="0.2"/>
    <row r="32539" ht="9.9499999999999993" hidden="1" customHeight="1" x14ac:dyDescent="0.2"/>
    <row r="32540" ht="9.9499999999999993" hidden="1" customHeight="1" x14ac:dyDescent="0.2"/>
    <row r="32541" ht="9.9499999999999993" hidden="1" customHeight="1" x14ac:dyDescent="0.2"/>
    <row r="32542" ht="9.9499999999999993" hidden="1" customHeight="1" x14ac:dyDescent="0.2"/>
    <row r="32543" ht="9.9499999999999993" hidden="1" customHeight="1" x14ac:dyDescent="0.2"/>
    <row r="32544" ht="9.9499999999999993" hidden="1" customHeight="1" x14ac:dyDescent="0.2"/>
    <row r="32545" ht="9.9499999999999993" hidden="1" customHeight="1" x14ac:dyDescent="0.2"/>
    <row r="32546" ht="9.9499999999999993" hidden="1" customHeight="1" x14ac:dyDescent="0.2"/>
    <row r="32547" ht="9.9499999999999993" hidden="1" customHeight="1" x14ac:dyDescent="0.2"/>
    <row r="32548" ht="9.9499999999999993" hidden="1" customHeight="1" x14ac:dyDescent="0.2"/>
    <row r="32549" ht="9.9499999999999993" hidden="1" customHeight="1" x14ac:dyDescent="0.2"/>
    <row r="32550" ht="9.9499999999999993" hidden="1" customHeight="1" x14ac:dyDescent="0.2"/>
    <row r="32551" ht="9.9499999999999993" hidden="1" customHeight="1" x14ac:dyDescent="0.2"/>
    <row r="32552" ht="9.9499999999999993" hidden="1" customHeight="1" x14ac:dyDescent="0.2"/>
    <row r="32553" ht="9.9499999999999993" hidden="1" customHeight="1" x14ac:dyDescent="0.2"/>
    <row r="32554" ht="9.9499999999999993" hidden="1" customHeight="1" x14ac:dyDescent="0.2"/>
    <row r="32555" ht="9.9499999999999993" hidden="1" customHeight="1" x14ac:dyDescent="0.2"/>
    <row r="32556" ht="9.9499999999999993" hidden="1" customHeight="1" x14ac:dyDescent="0.2"/>
    <row r="32557" ht="9.9499999999999993" hidden="1" customHeight="1" x14ac:dyDescent="0.2"/>
    <row r="32558" ht="9.9499999999999993" hidden="1" customHeight="1" x14ac:dyDescent="0.2"/>
    <row r="32559" ht="9.9499999999999993" hidden="1" customHeight="1" x14ac:dyDescent="0.2"/>
    <row r="32560" ht="9.9499999999999993" hidden="1" customHeight="1" x14ac:dyDescent="0.2"/>
    <row r="32561" ht="9.9499999999999993" hidden="1" customHeight="1" x14ac:dyDescent="0.2"/>
    <row r="32562" ht="9.9499999999999993" hidden="1" customHeight="1" x14ac:dyDescent="0.2"/>
    <row r="32563" ht="9.9499999999999993" hidden="1" customHeight="1" x14ac:dyDescent="0.2"/>
    <row r="32564" ht="9.9499999999999993" hidden="1" customHeight="1" x14ac:dyDescent="0.2"/>
    <row r="32565" ht="9.9499999999999993" hidden="1" customHeight="1" x14ac:dyDescent="0.2"/>
    <row r="32566" ht="9.9499999999999993" hidden="1" customHeight="1" x14ac:dyDescent="0.2"/>
    <row r="32567" ht="9.9499999999999993" hidden="1" customHeight="1" x14ac:dyDescent="0.2"/>
    <row r="32568" ht="9.9499999999999993" hidden="1" customHeight="1" x14ac:dyDescent="0.2"/>
    <row r="32569" ht="9.9499999999999993" hidden="1" customHeight="1" x14ac:dyDescent="0.2"/>
    <row r="32570" ht="9.9499999999999993" hidden="1" customHeight="1" x14ac:dyDescent="0.2"/>
    <row r="32571" ht="9.9499999999999993" hidden="1" customHeight="1" x14ac:dyDescent="0.2"/>
    <row r="32572" ht="9.9499999999999993" hidden="1" customHeight="1" x14ac:dyDescent="0.2"/>
    <row r="32573" ht="9.9499999999999993" hidden="1" customHeight="1" x14ac:dyDescent="0.2"/>
    <row r="32574" ht="9.9499999999999993" hidden="1" customHeight="1" x14ac:dyDescent="0.2"/>
    <row r="32575" ht="9.9499999999999993" hidden="1" customHeight="1" x14ac:dyDescent="0.2"/>
    <row r="32576" ht="9.9499999999999993" hidden="1" customHeight="1" x14ac:dyDescent="0.2"/>
    <row r="32577" ht="9.9499999999999993" hidden="1" customHeight="1" x14ac:dyDescent="0.2"/>
    <row r="32578" ht="9.9499999999999993" hidden="1" customHeight="1" x14ac:dyDescent="0.2"/>
    <row r="32579" ht="9.9499999999999993" hidden="1" customHeight="1" x14ac:dyDescent="0.2"/>
    <row r="32580" ht="9.9499999999999993" hidden="1" customHeight="1" x14ac:dyDescent="0.2"/>
    <row r="32581" ht="9.9499999999999993" hidden="1" customHeight="1" x14ac:dyDescent="0.2"/>
    <row r="32582" ht="9.9499999999999993" hidden="1" customHeight="1" x14ac:dyDescent="0.2"/>
    <row r="32583" ht="9.9499999999999993" hidden="1" customHeight="1" x14ac:dyDescent="0.2"/>
    <row r="32584" ht="9.9499999999999993" hidden="1" customHeight="1" x14ac:dyDescent="0.2"/>
    <row r="32585" ht="9.9499999999999993" hidden="1" customHeight="1" x14ac:dyDescent="0.2"/>
    <row r="32586" ht="9.9499999999999993" hidden="1" customHeight="1" x14ac:dyDescent="0.2"/>
    <row r="32587" ht="9.9499999999999993" hidden="1" customHeight="1" x14ac:dyDescent="0.2"/>
    <row r="32588" ht="9.9499999999999993" hidden="1" customHeight="1" x14ac:dyDescent="0.2"/>
    <row r="32589" ht="9.9499999999999993" hidden="1" customHeight="1" x14ac:dyDescent="0.2"/>
    <row r="32590" ht="9.9499999999999993" hidden="1" customHeight="1" x14ac:dyDescent="0.2"/>
    <row r="32591" ht="9.9499999999999993" hidden="1" customHeight="1" x14ac:dyDescent="0.2"/>
    <row r="32592" ht="9.9499999999999993" hidden="1" customHeight="1" x14ac:dyDescent="0.2"/>
    <row r="32593" ht="9.9499999999999993" hidden="1" customHeight="1" x14ac:dyDescent="0.2"/>
    <row r="32594" ht="9.9499999999999993" hidden="1" customHeight="1" x14ac:dyDescent="0.2"/>
    <row r="32595" ht="9.9499999999999993" hidden="1" customHeight="1" x14ac:dyDescent="0.2"/>
    <row r="32596" ht="9.9499999999999993" hidden="1" customHeight="1" x14ac:dyDescent="0.2"/>
    <row r="32597" ht="9.9499999999999993" hidden="1" customHeight="1" x14ac:dyDescent="0.2"/>
    <row r="32598" ht="9.9499999999999993" hidden="1" customHeight="1" x14ac:dyDescent="0.2"/>
    <row r="32599" ht="9.9499999999999993" hidden="1" customHeight="1" x14ac:dyDescent="0.2"/>
    <row r="32600" ht="9.9499999999999993" hidden="1" customHeight="1" x14ac:dyDescent="0.2"/>
    <row r="32601" ht="9.9499999999999993" hidden="1" customHeight="1" x14ac:dyDescent="0.2"/>
    <row r="32602" ht="9.9499999999999993" hidden="1" customHeight="1" x14ac:dyDescent="0.2"/>
    <row r="32603" ht="9.9499999999999993" hidden="1" customHeight="1" x14ac:dyDescent="0.2"/>
    <row r="32604" ht="9.9499999999999993" hidden="1" customHeight="1" x14ac:dyDescent="0.2"/>
    <row r="32605" ht="9.9499999999999993" hidden="1" customHeight="1" x14ac:dyDescent="0.2"/>
    <row r="32606" ht="9.9499999999999993" hidden="1" customHeight="1" x14ac:dyDescent="0.2"/>
    <row r="32607" ht="9.9499999999999993" hidden="1" customHeight="1" x14ac:dyDescent="0.2"/>
    <row r="32608" ht="9.9499999999999993" hidden="1" customHeight="1" x14ac:dyDescent="0.2"/>
    <row r="32609" ht="9.9499999999999993" hidden="1" customHeight="1" x14ac:dyDescent="0.2"/>
    <row r="32610" ht="9.9499999999999993" hidden="1" customHeight="1" x14ac:dyDescent="0.2"/>
    <row r="32611" ht="9.9499999999999993" hidden="1" customHeight="1" x14ac:dyDescent="0.2"/>
    <row r="32612" ht="9.9499999999999993" hidden="1" customHeight="1" x14ac:dyDescent="0.2"/>
    <row r="32613" ht="9.9499999999999993" hidden="1" customHeight="1" x14ac:dyDescent="0.2"/>
    <row r="32614" ht="9.9499999999999993" hidden="1" customHeight="1" x14ac:dyDescent="0.2"/>
    <row r="32615" ht="9.9499999999999993" hidden="1" customHeight="1" x14ac:dyDescent="0.2"/>
    <row r="32616" ht="9.9499999999999993" hidden="1" customHeight="1" x14ac:dyDescent="0.2"/>
    <row r="32617" ht="9.9499999999999993" hidden="1" customHeight="1" x14ac:dyDescent="0.2"/>
    <row r="32618" ht="9.9499999999999993" hidden="1" customHeight="1" x14ac:dyDescent="0.2"/>
    <row r="32619" ht="9.9499999999999993" hidden="1" customHeight="1" x14ac:dyDescent="0.2"/>
    <row r="32620" ht="9.9499999999999993" hidden="1" customHeight="1" x14ac:dyDescent="0.2"/>
    <row r="32621" ht="9.9499999999999993" hidden="1" customHeight="1" x14ac:dyDescent="0.2"/>
    <row r="32622" ht="9.9499999999999993" hidden="1" customHeight="1" x14ac:dyDescent="0.2"/>
    <row r="32623" ht="9.9499999999999993" hidden="1" customHeight="1" x14ac:dyDescent="0.2"/>
    <row r="32624" ht="9.9499999999999993" hidden="1" customHeight="1" x14ac:dyDescent="0.2"/>
    <row r="32625" ht="9.9499999999999993" hidden="1" customHeight="1" x14ac:dyDescent="0.2"/>
    <row r="32626" ht="9.9499999999999993" hidden="1" customHeight="1" x14ac:dyDescent="0.2"/>
    <row r="32627" ht="9.9499999999999993" hidden="1" customHeight="1" x14ac:dyDescent="0.2"/>
    <row r="32628" ht="9.9499999999999993" hidden="1" customHeight="1" x14ac:dyDescent="0.2"/>
    <row r="32629" ht="9.9499999999999993" hidden="1" customHeight="1" x14ac:dyDescent="0.2"/>
    <row r="32630" ht="9.9499999999999993" hidden="1" customHeight="1" x14ac:dyDescent="0.2"/>
    <row r="32631" ht="9.9499999999999993" hidden="1" customHeight="1" x14ac:dyDescent="0.2"/>
    <row r="32632" ht="9.9499999999999993" hidden="1" customHeight="1" x14ac:dyDescent="0.2"/>
    <row r="32633" ht="9.9499999999999993" hidden="1" customHeight="1" x14ac:dyDescent="0.2"/>
    <row r="32634" ht="9.9499999999999993" hidden="1" customHeight="1" x14ac:dyDescent="0.2"/>
    <row r="32635" ht="9.9499999999999993" hidden="1" customHeight="1" x14ac:dyDescent="0.2"/>
    <row r="32636" ht="9.9499999999999993" hidden="1" customHeight="1" x14ac:dyDescent="0.2"/>
    <row r="32637" ht="9.9499999999999993" hidden="1" customHeight="1" x14ac:dyDescent="0.2"/>
    <row r="32638" ht="9.9499999999999993" hidden="1" customHeight="1" x14ac:dyDescent="0.2"/>
    <row r="32639" ht="9.9499999999999993" hidden="1" customHeight="1" x14ac:dyDescent="0.2"/>
    <row r="32640" ht="9.9499999999999993" hidden="1" customHeight="1" x14ac:dyDescent="0.2"/>
    <row r="32641" ht="9.9499999999999993" hidden="1" customHeight="1" x14ac:dyDescent="0.2"/>
    <row r="32642" ht="9.9499999999999993" hidden="1" customHeight="1" x14ac:dyDescent="0.2"/>
    <row r="32643" ht="9.9499999999999993" hidden="1" customHeight="1" x14ac:dyDescent="0.2"/>
    <row r="32644" ht="9.9499999999999993" hidden="1" customHeight="1" x14ac:dyDescent="0.2"/>
    <row r="32645" ht="9.9499999999999993" hidden="1" customHeight="1" x14ac:dyDescent="0.2"/>
    <row r="32646" ht="9.9499999999999993" hidden="1" customHeight="1" x14ac:dyDescent="0.2"/>
    <row r="32647" ht="9.9499999999999993" hidden="1" customHeight="1" x14ac:dyDescent="0.2"/>
    <row r="32648" ht="9.9499999999999993" hidden="1" customHeight="1" x14ac:dyDescent="0.2"/>
    <row r="32649" ht="9.9499999999999993" hidden="1" customHeight="1" x14ac:dyDescent="0.2"/>
    <row r="32650" ht="9.9499999999999993" hidden="1" customHeight="1" x14ac:dyDescent="0.2"/>
    <row r="32651" ht="9.9499999999999993" hidden="1" customHeight="1" x14ac:dyDescent="0.2"/>
    <row r="32652" ht="9.9499999999999993" hidden="1" customHeight="1" x14ac:dyDescent="0.2"/>
    <row r="32653" ht="9.9499999999999993" hidden="1" customHeight="1" x14ac:dyDescent="0.2"/>
    <row r="32654" ht="9.9499999999999993" hidden="1" customHeight="1" x14ac:dyDescent="0.2"/>
    <row r="32655" ht="9.9499999999999993" hidden="1" customHeight="1" x14ac:dyDescent="0.2"/>
    <row r="32656" ht="9.9499999999999993" hidden="1" customHeight="1" x14ac:dyDescent="0.2"/>
    <row r="32657" ht="9.9499999999999993" hidden="1" customHeight="1" x14ac:dyDescent="0.2"/>
    <row r="32658" ht="9.9499999999999993" hidden="1" customHeight="1" x14ac:dyDescent="0.2"/>
    <row r="32659" ht="9.9499999999999993" hidden="1" customHeight="1" x14ac:dyDescent="0.2"/>
    <row r="32660" ht="9.9499999999999993" hidden="1" customHeight="1" x14ac:dyDescent="0.2"/>
    <row r="32661" ht="9.9499999999999993" hidden="1" customHeight="1" x14ac:dyDescent="0.2"/>
    <row r="32662" ht="9.9499999999999993" hidden="1" customHeight="1" x14ac:dyDescent="0.2"/>
    <row r="32663" ht="9.9499999999999993" hidden="1" customHeight="1" x14ac:dyDescent="0.2"/>
    <row r="32664" ht="9.9499999999999993" hidden="1" customHeight="1" x14ac:dyDescent="0.2"/>
    <row r="32665" ht="9.9499999999999993" hidden="1" customHeight="1" x14ac:dyDescent="0.2"/>
    <row r="32666" ht="9.9499999999999993" hidden="1" customHeight="1" x14ac:dyDescent="0.2"/>
    <row r="32667" ht="9.9499999999999993" hidden="1" customHeight="1" x14ac:dyDescent="0.2"/>
    <row r="32668" ht="9.9499999999999993" hidden="1" customHeight="1" x14ac:dyDescent="0.2"/>
    <row r="32669" ht="9.9499999999999993" hidden="1" customHeight="1" x14ac:dyDescent="0.2"/>
    <row r="32670" ht="9.9499999999999993" hidden="1" customHeight="1" x14ac:dyDescent="0.2"/>
    <row r="32671" ht="9.9499999999999993" hidden="1" customHeight="1" x14ac:dyDescent="0.2"/>
    <row r="32672" ht="9.9499999999999993" hidden="1" customHeight="1" x14ac:dyDescent="0.2"/>
    <row r="32673" ht="9.9499999999999993" hidden="1" customHeight="1" x14ac:dyDescent="0.2"/>
    <row r="32674" ht="9.9499999999999993" hidden="1" customHeight="1" x14ac:dyDescent="0.2"/>
    <row r="32675" ht="9.9499999999999993" hidden="1" customHeight="1" x14ac:dyDescent="0.2"/>
    <row r="32676" ht="9.9499999999999993" hidden="1" customHeight="1" x14ac:dyDescent="0.2"/>
    <row r="32677" ht="9.9499999999999993" hidden="1" customHeight="1" x14ac:dyDescent="0.2"/>
    <row r="32678" ht="9.9499999999999993" hidden="1" customHeight="1" x14ac:dyDescent="0.2"/>
    <row r="32679" ht="9.9499999999999993" hidden="1" customHeight="1" x14ac:dyDescent="0.2"/>
    <row r="32680" ht="9.9499999999999993" hidden="1" customHeight="1" x14ac:dyDescent="0.2"/>
    <row r="32681" ht="9.9499999999999993" hidden="1" customHeight="1" x14ac:dyDescent="0.2"/>
    <row r="32682" ht="9.9499999999999993" hidden="1" customHeight="1" x14ac:dyDescent="0.2"/>
    <row r="32683" ht="9.9499999999999993" hidden="1" customHeight="1" x14ac:dyDescent="0.2"/>
    <row r="32684" ht="9.9499999999999993" hidden="1" customHeight="1" x14ac:dyDescent="0.2"/>
    <row r="32685" ht="9.9499999999999993" hidden="1" customHeight="1" x14ac:dyDescent="0.2"/>
    <row r="32686" ht="9.9499999999999993" hidden="1" customHeight="1" x14ac:dyDescent="0.2"/>
    <row r="32687" ht="9.9499999999999993" hidden="1" customHeight="1" x14ac:dyDescent="0.2"/>
    <row r="32688" ht="9.9499999999999993" hidden="1" customHeight="1" x14ac:dyDescent="0.2"/>
    <row r="32689" ht="9.9499999999999993" hidden="1" customHeight="1" x14ac:dyDescent="0.2"/>
    <row r="32690" ht="9.9499999999999993" hidden="1" customHeight="1" x14ac:dyDescent="0.2"/>
    <row r="32691" ht="9.9499999999999993" hidden="1" customHeight="1" x14ac:dyDescent="0.2"/>
    <row r="32692" ht="9.9499999999999993" hidden="1" customHeight="1" x14ac:dyDescent="0.2"/>
    <row r="32693" ht="9.9499999999999993" hidden="1" customHeight="1" x14ac:dyDescent="0.2"/>
    <row r="32694" ht="9.9499999999999993" hidden="1" customHeight="1" x14ac:dyDescent="0.2"/>
    <row r="32695" ht="9.9499999999999993" hidden="1" customHeight="1" x14ac:dyDescent="0.2"/>
    <row r="32696" ht="9.9499999999999993" hidden="1" customHeight="1" x14ac:dyDescent="0.2"/>
    <row r="32697" ht="9.9499999999999993" hidden="1" customHeight="1" x14ac:dyDescent="0.2"/>
    <row r="32698" ht="9.9499999999999993" hidden="1" customHeight="1" x14ac:dyDescent="0.2"/>
    <row r="32699" ht="9.9499999999999993" hidden="1" customHeight="1" x14ac:dyDescent="0.2"/>
    <row r="32700" ht="9.9499999999999993" hidden="1" customHeight="1" x14ac:dyDescent="0.2"/>
    <row r="32701" ht="9.9499999999999993" hidden="1" customHeight="1" x14ac:dyDescent="0.2"/>
    <row r="32702" ht="9.9499999999999993" hidden="1" customHeight="1" x14ac:dyDescent="0.2"/>
    <row r="32703" ht="9.9499999999999993" hidden="1" customHeight="1" x14ac:dyDescent="0.2"/>
    <row r="32704" ht="9.9499999999999993" hidden="1" customHeight="1" x14ac:dyDescent="0.2"/>
    <row r="32705" ht="9.9499999999999993" hidden="1" customHeight="1" x14ac:dyDescent="0.2"/>
    <row r="32706" ht="9.9499999999999993" hidden="1" customHeight="1" x14ac:dyDescent="0.2"/>
    <row r="32707" ht="9.9499999999999993" hidden="1" customHeight="1" x14ac:dyDescent="0.2"/>
    <row r="32708" ht="9.9499999999999993" hidden="1" customHeight="1" x14ac:dyDescent="0.2"/>
    <row r="32709" ht="9.9499999999999993" hidden="1" customHeight="1" x14ac:dyDescent="0.2"/>
    <row r="32710" ht="9.9499999999999993" hidden="1" customHeight="1" x14ac:dyDescent="0.2"/>
    <row r="32711" ht="9.9499999999999993" hidden="1" customHeight="1" x14ac:dyDescent="0.2"/>
    <row r="32712" ht="9.9499999999999993" hidden="1" customHeight="1" x14ac:dyDescent="0.2"/>
    <row r="32713" ht="9.9499999999999993" hidden="1" customHeight="1" x14ac:dyDescent="0.2"/>
    <row r="32714" ht="9.9499999999999993" hidden="1" customHeight="1" x14ac:dyDescent="0.2"/>
    <row r="32715" ht="9.9499999999999993" hidden="1" customHeight="1" x14ac:dyDescent="0.2"/>
    <row r="32716" ht="9.9499999999999993" hidden="1" customHeight="1" x14ac:dyDescent="0.2"/>
    <row r="32717" ht="9.9499999999999993" hidden="1" customHeight="1" x14ac:dyDescent="0.2"/>
    <row r="32718" ht="9.9499999999999993" hidden="1" customHeight="1" x14ac:dyDescent="0.2"/>
    <row r="32719" ht="9.9499999999999993" hidden="1" customHeight="1" x14ac:dyDescent="0.2"/>
    <row r="32720" ht="9.9499999999999993" hidden="1" customHeight="1" x14ac:dyDescent="0.2"/>
    <row r="32721" ht="9.9499999999999993" hidden="1" customHeight="1" x14ac:dyDescent="0.2"/>
    <row r="32722" ht="9.9499999999999993" hidden="1" customHeight="1" x14ac:dyDescent="0.2"/>
    <row r="32723" ht="9.9499999999999993" hidden="1" customHeight="1" x14ac:dyDescent="0.2"/>
    <row r="32724" ht="9.9499999999999993" hidden="1" customHeight="1" x14ac:dyDescent="0.2"/>
    <row r="32725" ht="9.9499999999999993" hidden="1" customHeight="1" x14ac:dyDescent="0.2"/>
    <row r="32726" ht="9.9499999999999993" hidden="1" customHeight="1" x14ac:dyDescent="0.2"/>
    <row r="32727" ht="9.9499999999999993" hidden="1" customHeight="1" x14ac:dyDescent="0.2"/>
    <row r="32728" ht="9.9499999999999993" hidden="1" customHeight="1" x14ac:dyDescent="0.2"/>
    <row r="32729" ht="9.9499999999999993" hidden="1" customHeight="1" x14ac:dyDescent="0.2"/>
    <row r="32730" ht="9.9499999999999993" hidden="1" customHeight="1" x14ac:dyDescent="0.2"/>
    <row r="32731" ht="9.9499999999999993" hidden="1" customHeight="1" x14ac:dyDescent="0.2"/>
    <row r="32732" ht="9.9499999999999993" hidden="1" customHeight="1" x14ac:dyDescent="0.2"/>
    <row r="32733" ht="9.9499999999999993" hidden="1" customHeight="1" x14ac:dyDescent="0.2"/>
    <row r="32734" ht="9.9499999999999993" hidden="1" customHeight="1" x14ac:dyDescent="0.2"/>
    <row r="32735" ht="9.9499999999999993" hidden="1" customHeight="1" x14ac:dyDescent="0.2"/>
    <row r="32736" ht="9.9499999999999993" hidden="1" customHeight="1" x14ac:dyDescent="0.2"/>
    <row r="32737" ht="9.9499999999999993" hidden="1" customHeight="1" x14ac:dyDescent="0.2"/>
    <row r="32738" ht="9.9499999999999993" hidden="1" customHeight="1" x14ac:dyDescent="0.2"/>
    <row r="32739" ht="9.9499999999999993" hidden="1" customHeight="1" x14ac:dyDescent="0.2"/>
    <row r="32740" ht="9.9499999999999993" hidden="1" customHeight="1" x14ac:dyDescent="0.2"/>
    <row r="32741" ht="9.9499999999999993" hidden="1" customHeight="1" x14ac:dyDescent="0.2"/>
    <row r="32742" ht="9.9499999999999993" hidden="1" customHeight="1" x14ac:dyDescent="0.2"/>
    <row r="32743" ht="9.9499999999999993" hidden="1" customHeight="1" x14ac:dyDescent="0.2"/>
    <row r="32744" ht="9.9499999999999993" hidden="1" customHeight="1" x14ac:dyDescent="0.2"/>
    <row r="32745" ht="9.9499999999999993" hidden="1" customHeight="1" x14ac:dyDescent="0.2"/>
    <row r="32746" ht="9.9499999999999993" hidden="1" customHeight="1" x14ac:dyDescent="0.2"/>
    <row r="32747" ht="9.9499999999999993" hidden="1" customHeight="1" x14ac:dyDescent="0.2"/>
    <row r="32748" ht="9.9499999999999993" hidden="1" customHeight="1" x14ac:dyDescent="0.2"/>
    <row r="32749" ht="9.9499999999999993" hidden="1" customHeight="1" x14ac:dyDescent="0.2"/>
    <row r="32750" ht="9.9499999999999993" hidden="1" customHeight="1" x14ac:dyDescent="0.2"/>
    <row r="32751" ht="9.9499999999999993" hidden="1" customHeight="1" x14ac:dyDescent="0.2"/>
    <row r="32752" ht="9.9499999999999993" hidden="1" customHeight="1" x14ac:dyDescent="0.2"/>
    <row r="32753" ht="9.9499999999999993" hidden="1" customHeight="1" x14ac:dyDescent="0.2"/>
    <row r="32754" ht="9.9499999999999993" hidden="1" customHeight="1" x14ac:dyDescent="0.2"/>
    <row r="32755" ht="9.9499999999999993" hidden="1" customHeight="1" x14ac:dyDescent="0.2"/>
    <row r="32756" ht="9.9499999999999993" hidden="1" customHeight="1" x14ac:dyDescent="0.2"/>
    <row r="32757" ht="9.9499999999999993" hidden="1" customHeight="1" x14ac:dyDescent="0.2"/>
    <row r="32758" ht="9.9499999999999993" hidden="1" customHeight="1" x14ac:dyDescent="0.2"/>
    <row r="32759" ht="9.9499999999999993" hidden="1" customHeight="1" x14ac:dyDescent="0.2"/>
    <row r="32760" ht="9.9499999999999993" hidden="1" customHeight="1" x14ac:dyDescent="0.2"/>
    <row r="32761" ht="9.9499999999999993" hidden="1" customHeight="1" x14ac:dyDescent="0.2"/>
    <row r="32762" ht="9.9499999999999993" hidden="1" customHeight="1" x14ac:dyDescent="0.2"/>
    <row r="32763" ht="9.9499999999999993" hidden="1" customHeight="1" x14ac:dyDescent="0.2"/>
    <row r="32764" ht="9.9499999999999993" hidden="1" customHeight="1" x14ac:dyDescent="0.2"/>
    <row r="32765" ht="9.9499999999999993" hidden="1" customHeight="1" x14ac:dyDescent="0.2"/>
    <row r="32766" ht="9.9499999999999993" hidden="1" customHeight="1" x14ac:dyDescent="0.2"/>
    <row r="32767" ht="9.9499999999999993" hidden="1" customHeight="1" x14ac:dyDescent="0.2"/>
    <row r="32768" ht="9.9499999999999993" hidden="1" customHeight="1" x14ac:dyDescent="0.2"/>
    <row r="32769" ht="9.9499999999999993" hidden="1" customHeight="1" x14ac:dyDescent="0.2"/>
    <row r="32770" ht="9.9499999999999993" hidden="1" customHeight="1" x14ac:dyDescent="0.2"/>
    <row r="32771" ht="9.9499999999999993" hidden="1" customHeight="1" x14ac:dyDescent="0.2"/>
    <row r="32772" ht="9.9499999999999993" hidden="1" customHeight="1" x14ac:dyDescent="0.2"/>
    <row r="32773" ht="9.9499999999999993" hidden="1" customHeight="1" x14ac:dyDescent="0.2"/>
    <row r="32774" ht="9.9499999999999993" hidden="1" customHeight="1" x14ac:dyDescent="0.2"/>
    <row r="32775" ht="9.9499999999999993" hidden="1" customHeight="1" x14ac:dyDescent="0.2"/>
    <row r="32776" ht="9.9499999999999993" hidden="1" customHeight="1" x14ac:dyDescent="0.2"/>
    <row r="32777" ht="9.9499999999999993" hidden="1" customHeight="1" x14ac:dyDescent="0.2"/>
    <row r="32778" ht="9.9499999999999993" hidden="1" customHeight="1" x14ac:dyDescent="0.2"/>
    <row r="32779" ht="9.9499999999999993" hidden="1" customHeight="1" x14ac:dyDescent="0.2"/>
    <row r="32780" ht="9.9499999999999993" hidden="1" customHeight="1" x14ac:dyDescent="0.2"/>
    <row r="32781" ht="9.9499999999999993" hidden="1" customHeight="1" x14ac:dyDescent="0.2"/>
    <row r="32782" ht="9.9499999999999993" hidden="1" customHeight="1" x14ac:dyDescent="0.2"/>
    <row r="32783" ht="9.9499999999999993" hidden="1" customHeight="1" x14ac:dyDescent="0.2"/>
    <row r="32784" ht="9.9499999999999993" hidden="1" customHeight="1" x14ac:dyDescent="0.2"/>
    <row r="32785" ht="9.9499999999999993" hidden="1" customHeight="1" x14ac:dyDescent="0.2"/>
    <row r="32786" ht="9.9499999999999993" hidden="1" customHeight="1" x14ac:dyDescent="0.2"/>
    <row r="32787" ht="9.9499999999999993" hidden="1" customHeight="1" x14ac:dyDescent="0.2"/>
    <row r="32788" ht="9.9499999999999993" hidden="1" customHeight="1" x14ac:dyDescent="0.2"/>
    <row r="32789" ht="9.9499999999999993" hidden="1" customHeight="1" x14ac:dyDescent="0.2"/>
    <row r="32790" ht="9.9499999999999993" hidden="1" customHeight="1" x14ac:dyDescent="0.2"/>
    <row r="32791" ht="9.9499999999999993" hidden="1" customHeight="1" x14ac:dyDescent="0.2"/>
    <row r="32792" ht="9.9499999999999993" hidden="1" customHeight="1" x14ac:dyDescent="0.2"/>
    <row r="32793" ht="9.9499999999999993" hidden="1" customHeight="1" x14ac:dyDescent="0.2"/>
    <row r="32794" ht="9.9499999999999993" hidden="1" customHeight="1" x14ac:dyDescent="0.2"/>
    <row r="32795" ht="9.9499999999999993" hidden="1" customHeight="1" x14ac:dyDescent="0.2"/>
    <row r="32796" ht="9.9499999999999993" hidden="1" customHeight="1" x14ac:dyDescent="0.2"/>
    <row r="32797" ht="9.9499999999999993" hidden="1" customHeight="1" x14ac:dyDescent="0.2"/>
    <row r="32798" ht="9.9499999999999993" hidden="1" customHeight="1" x14ac:dyDescent="0.2"/>
    <row r="32799" ht="9.9499999999999993" hidden="1" customHeight="1" x14ac:dyDescent="0.2"/>
    <row r="32800" ht="9.9499999999999993" hidden="1" customHeight="1" x14ac:dyDescent="0.2"/>
    <row r="32801" ht="9.9499999999999993" hidden="1" customHeight="1" x14ac:dyDescent="0.2"/>
    <row r="32802" ht="9.9499999999999993" hidden="1" customHeight="1" x14ac:dyDescent="0.2"/>
    <row r="32803" ht="9.9499999999999993" hidden="1" customHeight="1" x14ac:dyDescent="0.2"/>
    <row r="32804" ht="9.9499999999999993" hidden="1" customHeight="1" x14ac:dyDescent="0.2"/>
    <row r="32805" ht="9.9499999999999993" hidden="1" customHeight="1" x14ac:dyDescent="0.2"/>
    <row r="32806" ht="9.9499999999999993" hidden="1" customHeight="1" x14ac:dyDescent="0.2"/>
    <row r="32807" ht="9.9499999999999993" hidden="1" customHeight="1" x14ac:dyDescent="0.2"/>
    <row r="32808" ht="9.9499999999999993" hidden="1" customHeight="1" x14ac:dyDescent="0.2"/>
    <row r="32809" ht="9.9499999999999993" hidden="1" customHeight="1" x14ac:dyDescent="0.2"/>
    <row r="32810" ht="9.9499999999999993" hidden="1" customHeight="1" x14ac:dyDescent="0.2"/>
    <row r="32811" ht="9.9499999999999993" hidden="1" customHeight="1" x14ac:dyDescent="0.2"/>
    <row r="32812" ht="9.9499999999999993" hidden="1" customHeight="1" x14ac:dyDescent="0.2"/>
    <row r="32813" ht="9.9499999999999993" hidden="1" customHeight="1" x14ac:dyDescent="0.2"/>
    <row r="32814" ht="9.9499999999999993" hidden="1" customHeight="1" x14ac:dyDescent="0.2"/>
    <row r="32815" ht="9.9499999999999993" hidden="1" customHeight="1" x14ac:dyDescent="0.2"/>
    <row r="32816" ht="9.9499999999999993" hidden="1" customHeight="1" x14ac:dyDescent="0.2"/>
    <row r="32817" ht="9.9499999999999993" hidden="1" customHeight="1" x14ac:dyDescent="0.2"/>
    <row r="32818" ht="9.9499999999999993" hidden="1" customHeight="1" x14ac:dyDescent="0.2"/>
    <row r="32819" ht="9.9499999999999993" hidden="1" customHeight="1" x14ac:dyDescent="0.2"/>
    <row r="32820" ht="9.9499999999999993" hidden="1" customHeight="1" x14ac:dyDescent="0.2"/>
    <row r="32821" ht="9.9499999999999993" hidden="1" customHeight="1" x14ac:dyDescent="0.2"/>
    <row r="32822" ht="9.9499999999999993" hidden="1" customHeight="1" x14ac:dyDescent="0.2"/>
    <row r="32823" ht="9.9499999999999993" hidden="1" customHeight="1" x14ac:dyDescent="0.2"/>
    <row r="32824" ht="9.9499999999999993" hidden="1" customHeight="1" x14ac:dyDescent="0.2"/>
    <row r="32825" ht="9.9499999999999993" hidden="1" customHeight="1" x14ac:dyDescent="0.2"/>
    <row r="32826" ht="9.9499999999999993" hidden="1" customHeight="1" x14ac:dyDescent="0.2"/>
    <row r="32827" ht="9.9499999999999993" hidden="1" customHeight="1" x14ac:dyDescent="0.2"/>
    <row r="32828" ht="9.9499999999999993" hidden="1" customHeight="1" x14ac:dyDescent="0.2"/>
    <row r="32829" ht="9.9499999999999993" hidden="1" customHeight="1" x14ac:dyDescent="0.2"/>
    <row r="32830" ht="9.9499999999999993" hidden="1" customHeight="1" x14ac:dyDescent="0.2"/>
    <row r="32831" ht="9.9499999999999993" hidden="1" customHeight="1" x14ac:dyDescent="0.2"/>
    <row r="32832" ht="9.9499999999999993" hidden="1" customHeight="1" x14ac:dyDescent="0.2"/>
    <row r="32833" ht="9.9499999999999993" hidden="1" customHeight="1" x14ac:dyDescent="0.2"/>
    <row r="32834" ht="9.9499999999999993" hidden="1" customHeight="1" x14ac:dyDescent="0.2"/>
    <row r="32835" ht="9.9499999999999993" hidden="1" customHeight="1" x14ac:dyDescent="0.2"/>
    <row r="32836" ht="9.9499999999999993" hidden="1" customHeight="1" x14ac:dyDescent="0.2"/>
    <row r="32837" ht="9.9499999999999993" hidden="1" customHeight="1" x14ac:dyDescent="0.2"/>
    <row r="32838" ht="9.9499999999999993" hidden="1" customHeight="1" x14ac:dyDescent="0.2"/>
    <row r="32839" ht="9.9499999999999993" hidden="1" customHeight="1" x14ac:dyDescent="0.2"/>
    <row r="32840" ht="9.9499999999999993" hidden="1" customHeight="1" x14ac:dyDescent="0.2"/>
    <row r="32841" ht="9.9499999999999993" hidden="1" customHeight="1" x14ac:dyDescent="0.2"/>
    <row r="32842" ht="9.9499999999999993" hidden="1" customHeight="1" x14ac:dyDescent="0.2"/>
    <row r="32843" ht="9.9499999999999993" hidden="1" customHeight="1" x14ac:dyDescent="0.2"/>
    <row r="32844" ht="9.9499999999999993" hidden="1" customHeight="1" x14ac:dyDescent="0.2"/>
    <row r="32845" ht="9.9499999999999993" hidden="1" customHeight="1" x14ac:dyDescent="0.2"/>
    <row r="32846" ht="9.9499999999999993" hidden="1" customHeight="1" x14ac:dyDescent="0.2"/>
    <row r="32847" ht="9.9499999999999993" hidden="1" customHeight="1" x14ac:dyDescent="0.2"/>
    <row r="32848" ht="9.9499999999999993" hidden="1" customHeight="1" x14ac:dyDescent="0.2"/>
    <row r="32849" ht="9.9499999999999993" hidden="1" customHeight="1" x14ac:dyDescent="0.2"/>
    <row r="32850" ht="9.9499999999999993" hidden="1" customHeight="1" x14ac:dyDescent="0.2"/>
    <row r="32851" ht="9.9499999999999993" hidden="1" customHeight="1" x14ac:dyDescent="0.2"/>
    <row r="32852" ht="9.9499999999999993" hidden="1" customHeight="1" x14ac:dyDescent="0.2"/>
    <row r="32853" ht="9.9499999999999993" hidden="1" customHeight="1" x14ac:dyDescent="0.2"/>
    <row r="32854" ht="9.9499999999999993" hidden="1" customHeight="1" x14ac:dyDescent="0.2"/>
    <row r="32855" ht="9.9499999999999993" hidden="1" customHeight="1" x14ac:dyDescent="0.2"/>
    <row r="32856" ht="9.9499999999999993" hidden="1" customHeight="1" x14ac:dyDescent="0.2"/>
    <row r="32857" ht="9.9499999999999993" hidden="1" customHeight="1" x14ac:dyDescent="0.2"/>
    <row r="32858" ht="9.9499999999999993" hidden="1" customHeight="1" x14ac:dyDescent="0.2"/>
    <row r="32859" ht="9.9499999999999993" hidden="1" customHeight="1" x14ac:dyDescent="0.2"/>
    <row r="32860" ht="9.9499999999999993" hidden="1" customHeight="1" x14ac:dyDescent="0.2"/>
    <row r="32861" ht="9.9499999999999993" hidden="1" customHeight="1" x14ac:dyDescent="0.2"/>
    <row r="32862" ht="9.9499999999999993" hidden="1" customHeight="1" x14ac:dyDescent="0.2"/>
    <row r="32863" ht="9.9499999999999993" hidden="1" customHeight="1" x14ac:dyDescent="0.2"/>
    <row r="32864" ht="9.9499999999999993" hidden="1" customHeight="1" x14ac:dyDescent="0.2"/>
    <row r="32865" ht="9.9499999999999993" hidden="1" customHeight="1" x14ac:dyDescent="0.2"/>
    <row r="32866" ht="9.9499999999999993" hidden="1" customHeight="1" x14ac:dyDescent="0.2"/>
    <row r="32867" ht="9.9499999999999993" hidden="1" customHeight="1" x14ac:dyDescent="0.2"/>
    <row r="32868" ht="9.9499999999999993" hidden="1" customHeight="1" x14ac:dyDescent="0.2"/>
    <row r="32869" ht="9.9499999999999993" hidden="1" customHeight="1" x14ac:dyDescent="0.2"/>
    <row r="32870" ht="9.9499999999999993" hidden="1" customHeight="1" x14ac:dyDescent="0.2"/>
    <row r="32871" ht="9.9499999999999993" hidden="1" customHeight="1" x14ac:dyDescent="0.2"/>
    <row r="32872" ht="9.9499999999999993" hidden="1" customHeight="1" x14ac:dyDescent="0.2"/>
    <row r="32873" ht="9.9499999999999993" hidden="1" customHeight="1" x14ac:dyDescent="0.2"/>
    <row r="32874" ht="9.9499999999999993" hidden="1" customHeight="1" x14ac:dyDescent="0.2"/>
    <row r="32875" ht="9.9499999999999993" hidden="1" customHeight="1" x14ac:dyDescent="0.2"/>
    <row r="32876" ht="9.9499999999999993" hidden="1" customHeight="1" x14ac:dyDescent="0.2"/>
    <row r="32877" ht="9.9499999999999993" hidden="1" customHeight="1" x14ac:dyDescent="0.2"/>
    <row r="32878" ht="9.9499999999999993" hidden="1" customHeight="1" x14ac:dyDescent="0.2"/>
    <row r="32879" ht="9.9499999999999993" hidden="1" customHeight="1" x14ac:dyDescent="0.2"/>
    <row r="32880" ht="9.9499999999999993" hidden="1" customHeight="1" x14ac:dyDescent="0.2"/>
    <row r="32881" ht="9.9499999999999993" hidden="1" customHeight="1" x14ac:dyDescent="0.2"/>
    <row r="32882" ht="9.9499999999999993" hidden="1" customHeight="1" x14ac:dyDescent="0.2"/>
    <row r="32883" ht="9.9499999999999993" hidden="1" customHeight="1" x14ac:dyDescent="0.2"/>
    <row r="32884" ht="9.9499999999999993" hidden="1" customHeight="1" x14ac:dyDescent="0.2"/>
    <row r="32885" ht="9.9499999999999993" hidden="1" customHeight="1" x14ac:dyDescent="0.2"/>
    <row r="32886" ht="9.9499999999999993" hidden="1" customHeight="1" x14ac:dyDescent="0.2"/>
    <row r="32887" ht="9.9499999999999993" hidden="1" customHeight="1" x14ac:dyDescent="0.2"/>
    <row r="32888" ht="9.9499999999999993" hidden="1" customHeight="1" x14ac:dyDescent="0.2"/>
    <row r="32889" ht="9.9499999999999993" hidden="1" customHeight="1" x14ac:dyDescent="0.2"/>
    <row r="32890" ht="9.9499999999999993" hidden="1" customHeight="1" x14ac:dyDescent="0.2"/>
    <row r="32891" ht="9.9499999999999993" hidden="1" customHeight="1" x14ac:dyDescent="0.2"/>
    <row r="32892" ht="9.9499999999999993" hidden="1" customHeight="1" x14ac:dyDescent="0.2"/>
    <row r="32893" ht="9.9499999999999993" hidden="1" customHeight="1" x14ac:dyDescent="0.2"/>
    <row r="32894" ht="9.9499999999999993" hidden="1" customHeight="1" x14ac:dyDescent="0.2"/>
    <row r="32895" ht="9.9499999999999993" hidden="1" customHeight="1" x14ac:dyDescent="0.2"/>
    <row r="32896" ht="9.9499999999999993" hidden="1" customHeight="1" x14ac:dyDescent="0.2"/>
    <row r="32897" ht="9.9499999999999993" hidden="1" customHeight="1" x14ac:dyDescent="0.2"/>
    <row r="32898" ht="9.9499999999999993" hidden="1" customHeight="1" x14ac:dyDescent="0.2"/>
    <row r="32899" ht="9.9499999999999993" hidden="1" customHeight="1" x14ac:dyDescent="0.2"/>
    <row r="32900" ht="9.9499999999999993" hidden="1" customHeight="1" x14ac:dyDescent="0.2"/>
    <row r="32901" ht="9.9499999999999993" hidden="1" customHeight="1" x14ac:dyDescent="0.2"/>
    <row r="32902" ht="9.9499999999999993" hidden="1" customHeight="1" x14ac:dyDescent="0.2"/>
    <row r="32903" ht="9.9499999999999993" hidden="1" customHeight="1" x14ac:dyDescent="0.2"/>
    <row r="32904" ht="9.9499999999999993" hidden="1" customHeight="1" x14ac:dyDescent="0.2"/>
    <row r="32905" ht="9.9499999999999993" hidden="1" customHeight="1" x14ac:dyDescent="0.2"/>
    <row r="32906" ht="9.9499999999999993" hidden="1" customHeight="1" x14ac:dyDescent="0.2"/>
    <row r="32907" ht="9.9499999999999993" hidden="1" customHeight="1" x14ac:dyDescent="0.2"/>
    <row r="32908" ht="9.9499999999999993" hidden="1" customHeight="1" x14ac:dyDescent="0.2"/>
    <row r="32909" ht="9.9499999999999993" hidden="1" customHeight="1" x14ac:dyDescent="0.2"/>
    <row r="32910" ht="9.9499999999999993" hidden="1" customHeight="1" x14ac:dyDescent="0.2"/>
    <row r="32911" ht="9.9499999999999993" hidden="1" customHeight="1" x14ac:dyDescent="0.2"/>
    <row r="32912" ht="9.9499999999999993" hidden="1" customHeight="1" x14ac:dyDescent="0.2"/>
    <row r="32913" ht="9.9499999999999993" hidden="1" customHeight="1" x14ac:dyDescent="0.2"/>
    <row r="32914" ht="9.9499999999999993" hidden="1" customHeight="1" x14ac:dyDescent="0.2"/>
    <row r="32915" ht="9.9499999999999993" hidden="1" customHeight="1" x14ac:dyDescent="0.2"/>
    <row r="32916" ht="9.9499999999999993" hidden="1" customHeight="1" x14ac:dyDescent="0.2"/>
    <row r="32917" ht="9.9499999999999993" hidden="1" customHeight="1" x14ac:dyDescent="0.2"/>
    <row r="32918" ht="9.9499999999999993" hidden="1" customHeight="1" x14ac:dyDescent="0.2"/>
    <row r="32919" ht="9.9499999999999993" hidden="1" customHeight="1" x14ac:dyDescent="0.2"/>
    <row r="32920" ht="9.9499999999999993" hidden="1" customHeight="1" x14ac:dyDescent="0.2"/>
    <row r="32921" ht="9.9499999999999993" hidden="1" customHeight="1" x14ac:dyDescent="0.2"/>
    <row r="32922" ht="9.9499999999999993" hidden="1" customHeight="1" x14ac:dyDescent="0.2"/>
    <row r="32923" ht="9.9499999999999993" hidden="1" customHeight="1" x14ac:dyDescent="0.2"/>
    <row r="32924" ht="9.9499999999999993" hidden="1" customHeight="1" x14ac:dyDescent="0.2"/>
    <row r="32925" ht="9.9499999999999993" hidden="1" customHeight="1" x14ac:dyDescent="0.2"/>
    <row r="32926" ht="9.9499999999999993" hidden="1" customHeight="1" x14ac:dyDescent="0.2"/>
    <row r="32927" ht="9.9499999999999993" hidden="1" customHeight="1" x14ac:dyDescent="0.2"/>
    <row r="32928" ht="9.9499999999999993" hidden="1" customHeight="1" x14ac:dyDescent="0.2"/>
    <row r="32929" ht="9.9499999999999993" hidden="1" customHeight="1" x14ac:dyDescent="0.2"/>
    <row r="32930" ht="9.9499999999999993" hidden="1" customHeight="1" x14ac:dyDescent="0.2"/>
    <row r="32931" ht="9.9499999999999993" hidden="1" customHeight="1" x14ac:dyDescent="0.2"/>
    <row r="32932" ht="9.9499999999999993" hidden="1" customHeight="1" x14ac:dyDescent="0.2"/>
    <row r="32933" ht="9.9499999999999993" hidden="1" customHeight="1" x14ac:dyDescent="0.2"/>
    <row r="32934" ht="9.9499999999999993" hidden="1" customHeight="1" x14ac:dyDescent="0.2"/>
    <row r="32935" ht="9.9499999999999993" hidden="1" customHeight="1" x14ac:dyDescent="0.2"/>
    <row r="32936" ht="9.9499999999999993" hidden="1" customHeight="1" x14ac:dyDescent="0.2"/>
    <row r="32937" ht="9.9499999999999993" hidden="1" customHeight="1" x14ac:dyDescent="0.2"/>
    <row r="32938" ht="9.9499999999999993" hidden="1" customHeight="1" x14ac:dyDescent="0.2"/>
    <row r="32939" ht="9.9499999999999993" hidden="1" customHeight="1" x14ac:dyDescent="0.2"/>
    <row r="32940" ht="9.9499999999999993" hidden="1" customHeight="1" x14ac:dyDescent="0.2"/>
    <row r="32941" ht="9.9499999999999993" hidden="1" customHeight="1" x14ac:dyDescent="0.2"/>
    <row r="32942" ht="9.9499999999999993" hidden="1" customHeight="1" x14ac:dyDescent="0.2"/>
    <row r="32943" ht="9.9499999999999993" hidden="1" customHeight="1" x14ac:dyDescent="0.2"/>
    <row r="32944" ht="9.9499999999999993" hidden="1" customHeight="1" x14ac:dyDescent="0.2"/>
    <row r="32945" ht="9.9499999999999993" hidden="1" customHeight="1" x14ac:dyDescent="0.2"/>
    <row r="32946" ht="9.9499999999999993" hidden="1" customHeight="1" x14ac:dyDescent="0.2"/>
    <row r="32947" ht="9.9499999999999993" hidden="1" customHeight="1" x14ac:dyDescent="0.2"/>
    <row r="32948" ht="9.9499999999999993" hidden="1" customHeight="1" x14ac:dyDescent="0.2"/>
    <row r="32949" ht="9.9499999999999993" hidden="1" customHeight="1" x14ac:dyDescent="0.2"/>
    <row r="32950" ht="9.9499999999999993" hidden="1" customHeight="1" x14ac:dyDescent="0.2"/>
    <row r="32951" ht="9.9499999999999993" hidden="1" customHeight="1" x14ac:dyDescent="0.2"/>
    <row r="32952" ht="9.9499999999999993" hidden="1" customHeight="1" x14ac:dyDescent="0.2"/>
    <row r="32953" ht="9.9499999999999993" hidden="1" customHeight="1" x14ac:dyDescent="0.2"/>
    <row r="32954" ht="9.9499999999999993" hidden="1" customHeight="1" x14ac:dyDescent="0.2"/>
    <row r="32955" ht="9.9499999999999993" hidden="1" customHeight="1" x14ac:dyDescent="0.2"/>
    <row r="32956" ht="9.9499999999999993" hidden="1" customHeight="1" x14ac:dyDescent="0.2"/>
    <row r="32957" ht="9.9499999999999993" hidden="1" customHeight="1" x14ac:dyDescent="0.2"/>
    <row r="32958" ht="9.9499999999999993" hidden="1" customHeight="1" x14ac:dyDescent="0.2"/>
    <row r="32959" ht="9.9499999999999993" hidden="1" customHeight="1" x14ac:dyDescent="0.2"/>
    <row r="32960" ht="9.9499999999999993" hidden="1" customHeight="1" x14ac:dyDescent="0.2"/>
    <row r="32961" ht="9.9499999999999993" hidden="1" customHeight="1" x14ac:dyDescent="0.2"/>
    <row r="32962" ht="9.9499999999999993" hidden="1" customHeight="1" x14ac:dyDescent="0.2"/>
    <row r="32963" ht="9.9499999999999993" hidden="1" customHeight="1" x14ac:dyDescent="0.2"/>
    <row r="32964" ht="9.9499999999999993" hidden="1" customHeight="1" x14ac:dyDescent="0.2"/>
    <row r="32965" ht="9.9499999999999993" hidden="1" customHeight="1" x14ac:dyDescent="0.2"/>
    <row r="32966" ht="9.9499999999999993" hidden="1" customHeight="1" x14ac:dyDescent="0.2"/>
    <row r="32967" ht="9.9499999999999993" hidden="1" customHeight="1" x14ac:dyDescent="0.2"/>
    <row r="32968" ht="9.9499999999999993" hidden="1" customHeight="1" x14ac:dyDescent="0.2"/>
    <row r="32969" ht="9.9499999999999993" hidden="1" customHeight="1" x14ac:dyDescent="0.2"/>
    <row r="32970" ht="9.9499999999999993" hidden="1" customHeight="1" x14ac:dyDescent="0.2"/>
    <row r="32971" ht="9.9499999999999993" hidden="1" customHeight="1" x14ac:dyDescent="0.2"/>
    <row r="32972" ht="9.9499999999999993" hidden="1" customHeight="1" x14ac:dyDescent="0.2"/>
    <row r="32973" ht="9.9499999999999993" hidden="1" customHeight="1" x14ac:dyDescent="0.2"/>
    <row r="32974" ht="9.9499999999999993" hidden="1" customHeight="1" x14ac:dyDescent="0.2"/>
    <row r="32975" ht="9.9499999999999993" hidden="1" customHeight="1" x14ac:dyDescent="0.2"/>
    <row r="32976" ht="9.9499999999999993" hidden="1" customHeight="1" x14ac:dyDescent="0.2"/>
    <row r="32977" ht="9.9499999999999993" hidden="1" customHeight="1" x14ac:dyDescent="0.2"/>
    <row r="32978" ht="9.9499999999999993" hidden="1" customHeight="1" x14ac:dyDescent="0.2"/>
    <row r="32979" ht="9.9499999999999993" hidden="1" customHeight="1" x14ac:dyDescent="0.2"/>
    <row r="32980" ht="9.9499999999999993" hidden="1" customHeight="1" x14ac:dyDescent="0.2"/>
    <row r="32981" ht="9.9499999999999993" hidden="1" customHeight="1" x14ac:dyDescent="0.2"/>
    <row r="32982" ht="9.9499999999999993" hidden="1" customHeight="1" x14ac:dyDescent="0.2"/>
    <row r="32983" ht="9.9499999999999993" hidden="1" customHeight="1" x14ac:dyDescent="0.2"/>
    <row r="32984" ht="9.9499999999999993" hidden="1" customHeight="1" x14ac:dyDescent="0.2"/>
    <row r="32985" ht="9.9499999999999993" hidden="1" customHeight="1" x14ac:dyDescent="0.2"/>
    <row r="32986" ht="9.9499999999999993" hidden="1" customHeight="1" x14ac:dyDescent="0.2"/>
    <row r="32987" ht="9.9499999999999993" hidden="1" customHeight="1" x14ac:dyDescent="0.2"/>
    <row r="32988" ht="9.9499999999999993" hidden="1" customHeight="1" x14ac:dyDescent="0.2"/>
    <row r="32989" ht="9.9499999999999993" hidden="1" customHeight="1" x14ac:dyDescent="0.2"/>
    <row r="32990" ht="9.9499999999999993" hidden="1" customHeight="1" x14ac:dyDescent="0.2"/>
    <row r="32991" ht="9.9499999999999993" hidden="1" customHeight="1" x14ac:dyDescent="0.2"/>
    <row r="32992" ht="9.9499999999999993" hidden="1" customHeight="1" x14ac:dyDescent="0.2"/>
    <row r="32993" ht="9.9499999999999993" hidden="1" customHeight="1" x14ac:dyDescent="0.2"/>
    <row r="32994" ht="9.9499999999999993" hidden="1" customHeight="1" x14ac:dyDescent="0.2"/>
    <row r="32995" ht="9.9499999999999993" hidden="1" customHeight="1" x14ac:dyDescent="0.2"/>
    <row r="32996" ht="9.9499999999999993" hidden="1" customHeight="1" x14ac:dyDescent="0.2"/>
    <row r="32997" ht="9.9499999999999993" hidden="1" customHeight="1" x14ac:dyDescent="0.2"/>
    <row r="32998" ht="9.9499999999999993" hidden="1" customHeight="1" x14ac:dyDescent="0.2"/>
    <row r="32999" ht="9.9499999999999993" hidden="1" customHeight="1" x14ac:dyDescent="0.2"/>
    <row r="33000" ht="9.9499999999999993" hidden="1" customHeight="1" x14ac:dyDescent="0.2"/>
    <row r="33001" ht="9.9499999999999993" hidden="1" customHeight="1" x14ac:dyDescent="0.2"/>
    <row r="33002" ht="9.9499999999999993" hidden="1" customHeight="1" x14ac:dyDescent="0.2"/>
    <row r="33003" ht="9.9499999999999993" hidden="1" customHeight="1" x14ac:dyDescent="0.2"/>
    <row r="33004" ht="9.9499999999999993" hidden="1" customHeight="1" x14ac:dyDescent="0.2"/>
    <row r="33005" ht="9.9499999999999993" hidden="1" customHeight="1" x14ac:dyDescent="0.2"/>
    <row r="33006" ht="9.9499999999999993" hidden="1" customHeight="1" x14ac:dyDescent="0.2"/>
    <row r="33007" ht="9.9499999999999993" hidden="1" customHeight="1" x14ac:dyDescent="0.2"/>
    <row r="33008" ht="9.9499999999999993" hidden="1" customHeight="1" x14ac:dyDescent="0.2"/>
    <row r="33009" ht="9.9499999999999993" hidden="1" customHeight="1" x14ac:dyDescent="0.2"/>
    <row r="33010" ht="9.9499999999999993" hidden="1" customHeight="1" x14ac:dyDescent="0.2"/>
    <row r="33011" ht="9.9499999999999993" hidden="1" customHeight="1" x14ac:dyDescent="0.2"/>
    <row r="33012" ht="9.9499999999999993" hidden="1" customHeight="1" x14ac:dyDescent="0.2"/>
    <row r="33013" ht="9.9499999999999993" hidden="1" customHeight="1" x14ac:dyDescent="0.2"/>
    <row r="33014" ht="9.9499999999999993" hidden="1" customHeight="1" x14ac:dyDescent="0.2"/>
    <row r="33015" ht="9.9499999999999993" hidden="1" customHeight="1" x14ac:dyDescent="0.2"/>
    <row r="33016" ht="9.9499999999999993" hidden="1" customHeight="1" x14ac:dyDescent="0.2"/>
    <row r="33017" ht="9.9499999999999993" hidden="1" customHeight="1" x14ac:dyDescent="0.2"/>
    <row r="33018" ht="9.9499999999999993" hidden="1" customHeight="1" x14ac:dyDescent="0.2"/>
    <row r="33019" ht="9.9499999999999993" hidden="1" customHeight="1" x14ac:dyDescent="0.2"/>
    <row r="33020" ht="9.9499999999999993" hidden="1" customHeight="1" x14ac:dyDescent="0.2"/>
    <row r="33021" ht="9.9499999999999993" hidden="1" customHeight="1" x14ac:dyDescent="0.2"/>
    <row r="33022" ht="9.9499999999999993" hidden="1" customHeight="1" x14ac:dyDescent="0.2"/>
    <row r="33023" ht="9.9499999999999993" hidden="1" customHeight="1" x14ac:dyDescent="0.2"/>
    <row r="33024" ht="9.9499999999999993" hidden="1" customHeight="1" x14ac:dyDescent="0.2"/>
    <row r="33025" ht="9.9499999999999993" hidden="1" customHeight="1" x14ac:dyDescent="0.2"/>
    <row r="33026" ht="9.9499999999999993" hidden="1" customHeight="1" x14ac:dyDescent="0.2"/>
    <row r="33027" ht="9.9499999999999993" hidden="1" customHeight="1" x14ac:dyDescent="0.2"/>
    <row r="33028" ht="9.9499999999999993" hidden="1" customHeight="1" x14ac:dyDescent="0.2"/>
    <row r="33029" ht="9.9499999999999993" hidden="1" customHeight="1" x14ac:dyDescent="0.2"/>
    <row r="33030" ht="9.9499999999999993" hidden="1" customHeight="1" x14ac:dyDescent="0.2"/>
    <row r="33031" ht="9.9499999999999993" hidden="1" customHeight="1" x14ac:dyDescent="0.2"/>
    <row r="33032" ht="9.9499999999999993" hidden="1" customHeight="1" x14ac:dyDescent="0.2"/>
    <row r="33033" ht="9.9499999999999993" hidden="1" customHeight="1" x14ac:dyDescent="0.2"/>
    <row r="33034" ht="9.9499999999999993" hidden="1" customHeight="1" x14ac:dyDescent="0.2"/>
    <row r="33035" ht="9.9499999999999993" hidden="1" customHeight="1" x14ac:dyDescent="0.2"/>
    <row r="33036" ht="9.9499999999999993" hidden="1" customHeight="1" x14ac:dyDescent="0.2"/>
    <row r="33037" ht="9.9499999999999993" hidden="1" customHeight="1" x14ac:dyDescent="0.2"/>
    <row r="33038" ht="9.9499999999999993" hidden="1" customHeight="1" x14ac:dyDescent="0.2"/>
    <row r="33039" ht="9.9499999999999993" hidden="1" customHeight="1" x14ac:dyDescent="0.2"/>
    <row r="33040" ht="9.9499999999999993" hidden="1" customHeight="1" x14ac:dyDescent="0.2"/>
    <row r="33041" ht="9.9499999999999993" hidden="1" customHeight="1" x14ac:dyDescent="0.2"/>
    <row r="33042" ht="9.9499999999999993" hidden="1" customHeight="1" x14ac:dyDescent="0.2"/>
    <row r="33043" ht="9.9499999999999993" hidden="1" customHeight="1" x14ac:dyDescent="0.2"/>
    <row r="33044" ht="9.9499999999999993" hidden="1" customHeight="1" x14ac:dyDescent="0.2"/>
    <row r="33045" ht="9.9499999999999993" hidden="1" customHeight="1" x14ac:dyDescent="0.2"/>
    <row r="33046" ht="9.9499999999999993" hidden="1" customHeight="1" x14ac:dyDescent="0.2"/>
    <row r="33047" ht="9.9499999999999993" hidden="1" customHeight="1" x14ac:dyDescent="0.2"/>
    <row r="33048" ht="9.9499999999999993" hidden="1" customHeight="1" x14ac:dyDescent="0.2"/>
    <row r="33049" ht="9.9499999999999993" hidden="1" customHeight="1" x14ac:dyDescent="0.2"/>
    <row r="33050" ht="9.9499999999999993" hidden="1" customHeight="1" x14ac:dyDescent="0.2"/>
    <row r="33051" ht="9.9499999999999993" hidden="1" customHeight="1" x14ac:dyDescent="0.2"/>
    <row r="33052" ht="9.9499999999999993" hidden="1" customHeight="1" x14ac:dyDescent="0.2"/>
    <row r="33053" ht="9.9499999999999993" hidden="1" customHeight="1" x14ac:dyDescent="0.2"/>
    <row r="33054" ht="9.9499999999999993" hidden="1" customHeight="1" x14ac:dyDescent="0.2"/>
    <row r="33055" ht="9.9499999999999993" hidden="1" customHeight="1" x14ac:dyDescent="0.2"/>
    <row r="33056" ht="9.9499999999999993" hidden="1" customHeight="1" x14ac:dyDescent="0.2"/>
    <row r="33057" ht="9.9499999999999993" hidden="1" customHeight="1" x14ac:dyDescent="0.2"/>
    <row r="33058" ht="9.9499999999999993" hidden="1" customHeight="1" x14ac:dyDescent="0.2"/>
    <row r="33059" ht="9.9499999999999993" hidden="1" customHeight="1" x14ac:dyDescent="0.2"/>
    <row r="33060" ht="9.9499999999999993" hidden="1" customHeight="1" x14ac:dyDescent="0.2"/>
    <row r="33061" ht="9.9499999999999993" hidden="1" customHeight="1" x14ac:dyDescent="0.2"/>
    <row r="33062" ht="9.9499999999999993" hidden="1" customHeight="1" x14ac:dyDescent="0.2"/>
    <row r="33063" ht="9.9499999999999993" hidden="1" customHeight="1" x14ac:dyDescent="0.2"/>
    <row r="33064" ht="9.9499999999999993" hidden="1" customHeight="1" x14ac:dyDescent="0.2"/>
    <row r="33065" ht="9.9499999999999993" hidden="1" customHeight="1" x14ac:dyDescent="0.2"/>
    <row r="33066" ht="9.9499999999999993" hidden="1" customHeight="1" x14ac:dyDescent="0.2"/>
    <row r="33067" ht="9.9499999999999993" hidden="1" customHeight="1" x14ac:dyDescent="0.2"/>
    <row r="33068" ht="9.9499999999999993" hidden="1" customHeight="1" x14ac:dyDescent="0.2"/>
    <row r="33069" ht="9.9499999999999993" hidden="1" customHeight="1" x14ac:dyDescent="0.2"/>
    <row r="33070" ht="9.9499999999999993" hidden="1" customHeight="1" x14ac:dyDescent="0.2"/>
    <row r="33071" ht="9.9499999999999993" hidden="1" customHeight="1" x14ac:dyDescent="0.2"/>
    <row r="33072" ht="9.9499999999999993" hidden="1" customHeight="1" x14ac:dyDescent="0.2"/>
    <row r="33073" ht="9.9499999999999993" hidden="1" customHeight="1" x14ac:dyDescent="0.2"/>
    <row r="33074" ht="9.9499999999999993" hidden="1" customHeight="1" x14ac:dyDescent="0.2"/>
    <row r="33075" ht="9.9499999999999993" hidden="1" customHeight="1" x14ac:dyDescent="0.2"/>
    <row r="33076" ht="9.9499999999999993" hidden="1" customHeight="1" x14ac:dyDescent="0.2"/>
    <row r="33077" ht="9.9499999999999993" hidden="1" customHeight="1" x14ac:dyDescent="0.2"/>
    <row r="33078" ht="9.9499999999999993" hidden="1" customHeight="1" x14ac:dyDescent="0.2"/>
    <row r="33079" ht="9.9499999999999993" hidden="1" customHeight="1" x14ac:dyDescent="0.2"/>
    <row r="33080" ht="9.9499999999999993" hidden="1" customHeight="1" x14ac:dyDescent="0.2"/>
    <row r="33081" ht="9.9499999999999993" hidden="1" customHeight="1" x14ac:dyDescent="0.2"/>
    <row r="33082" ht="9.9499999999999993" hidden="1" customHeight="1" x14ac:dyDescent="0.2"/>
    <row r="33083" ht="9.9499999999999993" hidden="1" customHeight="1" x14ac:dyDescent="0.2"/>
    <row r="33084" ht="9.9499999999999993" hidden="1" customHeight="1" x14ac:dyDescent="0.2"/>
    <row r="33085" ht="9.9499999999999993" hidden="1" customHeight="1" x14ac:dyDescent="0.2"/>
    <row r="33086" ht="9.9499999999999993" hidden="1" customHeight="1" x14ac:dyDescent="0.2"/>
    <row r="33087" ht="9.9499999999999993" hidden="1" customHeight="1" x14ac:dyDescent="0.2"/>
    <row r="33088" ht="9.9499999999999993" hidden="1" customHeight="1" x14ac:dyDescent="0.2"/>
    <row r="33089" ht="9.9499999999999993" hidden="1" customHeight="1" x14ac:dyDescent="0.2"/>
    <row r="33090" ht="9.9499999999999993" hidden="1" customHeight="1" x14ac:dyDescent="0.2"/>
    <row r="33091" ht="9.9499999999999993" hidden="1" customHeight="1" x14ac:dyDescent="0.2"/>
    <row r="33092" ht="9.9499999999999993" hidden="1" customHeight="1" x14ac:dyDescent="0.2"/>
    <row r="33093" ht="9.9499999999999993" hidden="1" customHeight="1" x14ac:dyDescent="0.2"/>
    <row r="33094" ht="9.9499999999999993" hidden="1" customHeight="1" x14ac:dyDescent="0.2"/>
    <row r="33095" ht="9.9499999999999993" hidden="1" customHeight="1" x14ac:dyDescent="0.2"/>
    <row r="33096" ht="9.9499999999999993" hidden="1" customHeight="1" x14ac:dyDescent="0.2"/>
    <row r="33097" ht="9.9499999999999993" hidden="1" customHeight="1" x14ac:dyDescent="0.2"/>
    <row r="33098" ht="9.9499999999999993" hidden="1" customHeight="1" x14ac:dyDescent="0.2"/>
    <row r="33099" ht="9.9499999999999993" hidden="1" customHeight="1" x14ac:dyDescent="0.2"/>
    <row r="33100" ht="9.9499999999999993" hidden="1" customHeight="1" x14ac:dyDescent="0.2"/>
    <row r="33101" ht="9.9499999999999993" hidden="1" customHeight="1" x14ac:dyDescent="0.2"/>
    <row r="33102" ht="9.9499999999999993" hidden="1" customHeight="1" x14ac:dyDescent="0.2"/>
    <row r="33103" ht="9.9499999999999993" hidden="1" customHeight="1" x14ac:dyDescent="0.2"/>
    <row r="33104" ht="9.9499999999999993" hidden="1" customHeight="1" x14ac:dyDescent="0.2"/>
    <row r="33105" ht="9.9499999999999993" hidden="1" customHeight="1" x14ac:dyDescent="0.2"/>
    <row r="33106" ht="9.9499999999999993" hidden="1" customHeight="1" x14ac:dyDescent="0.2"/>
    <row r="33107" ht="9.9499999999999993" hidden="1" customHeight="1" x14ac:dyDescent="0.2"/>
    <row r="33108" ht="9.9499999999999993" hidden="1" customHeight="1" x14ac:dyDescent="0.2"/>
    <row r="33109" ht="9.9499999999999993" hidden="1" customHeight="1" x14ac:dyDescent="0.2"/>
    <row r="33110" ht="9.9499999999999993" hidden="1" customHeight="1" x14ac:dyDescent="0.2"/>
    <row r="33111" ht="9.9499999999999993" hidden="1" customHeight="1" x14ac:dyDescent="0.2"/>
    <row r="33112" ht="9.9499999999999993" hidden="1" customHeight="1" x14ac:dyDescent="0.2"/>
    <row r="33113" ht="9.9499999999999993" hidden="1" customHeight="1" x14ac:dyDescent="0.2"/>
    <row r="33114" ht="9.9499999999999993" hidden="1" customHeight="1" x14ac:dyDescent="0.2"/>
    <row r="33115" ht="9.9499999999999993" hidden="1" customHeight="1" x14ac:dyDescent="0.2"/>
    <row r="33116" ht="9.9499999999999993" hidden="1" customHeight="1" x14ac:dyDescent="0.2"/>
    <row r="33117" ht="9.9499999999999993" hidden="1" customHeight="1" x14ac:dyDescent="0.2"/>
    <row r="33118" ht="9.9499999999999993" hidden="1" customHeight="1" x14ac:dyDescent="0.2"/>
    <row r="33119" ht="9.9499999999999993" hidden="1" customHeight="1" x14ac:dyDescent="0.2"/>
    <row r="33120" ht="9.9499999999999993" hidden="1" customHeight="1" x14ac:dyDescent="0.2"/>
    <row r="33121" ht="9.9499999999999993" hidden="1" customHeight="1" x14ac:dyDescent="0.2"/>
    <row r="33122" ht="9.9499999999999993" hidden="1" customHeight="1" x14ac:dyDescent="0.2"/>
    <row r="33123" ht="9.9499999999999993" hidden="1" customHeight="1" x14ac:dyDescent="0.2"/>
    <row r="33124" ht="9.9499999999999993" hidden="1" customHeight="1" x14ac:dyDescent="0.2"/>
    <row r="33125" ht="9.9499999999999993" hidden="1" customHeight="1" x14ac:dyDescent="0.2"/>
    <row r="33126" ht="9.9499999999999993" hidden="1" customHeight="1" x14ac:dyDescent="0.2"/>
    <row r="33127" ht="9.9499999999999993" hidden="1" customHeight="1" x14ac:dyDescent="0.2"/>
    <row r="33128" ht="9.9499999999999993" hidden="1" customHeight="1" x14ac:dyDescent="0.2"/>
    <row r="33129" ht="9.9499999999999993" hidden="1" customHeight="1" x14ac:dyDescent="0.2"/>
    <row r="33130" ht="9.9499999999999993" hidden="1" customHeight="1" x14ac:dyDescent="0.2"/>
    <row r="33131" ht="9.9499999999999993" hidden="1" customHeight="1" x14ac:dyDescent="0.2"/>
    <row r="33132" ht="9.9499999999999993" hidden="1" customHeight="1" x14ac:dyDescent="0.2"/>
    <row r="33133" ht="9.9499999999999993" hidden="1" customHeight="1" x14ac:dyDescent="0.2"/>
    <row r="33134" ht="9.9499999999999993" hidden="1" customHeight="1" x14ac:dyDescent="0.2"/>
    <row r="33135" ht="9.9499999999999993" hidden="1" customHeight="1" x14ac:dyDescent="0.2"/>
    <row r="33136" ht="9.9499999999999993" hidden="1" customHeight="1" x14ac:dyDescent="0.2"/>
    <row r="33137" ht="9.9499999999999993" hidden="1" customHeight="1" x14ac:dyDescent="0.2"/>
    <row r="33138" ht="9.9499999999999993" hidden="1" customHeight="1" x14ac:dyDescent="0.2"/>
    <row r="33139" ht="9.9499999999999993" hidden="1" customHeight="1" x14ac:dyDescent="0.2"/>
    <row r="33140" ht="9.9499999999999993" hidden="1" customHeight="1" x14ac:dyDescent="0.2"/>
    <row r="33141" ht="9.9499999999999993" hidden="1" customHeight="1" x14ac:dyDescent="0.2"/>
    <row r="33142" ht="9.9499999999999993" hidden="1" customHeight="1" x14ac:dyDescent="0.2"/>
    <row r="33143" ht="9.9499999999999993" hidden="1" customHeight="1" x14ac:dyDescent="0.2"/>
    <row r="33144" ht="9.9499999999999993" hidden="1" customHeight="1" x14ac:dyDescent="0.2"/>
    <row r="33145" ht="9.9499999999999993" hidden="1" customHeight="1" x14ac:dyDescent="0.2"/>
    <row r="33146" ht="9.9499999999999993" hidden="1" customHeight="1" x14ac:dyDescent="0.2"/>
    <row r="33147" ht="9.9499999999999993" hidden="1" customHeight="1" x14ac:dyDescent="0.2"/>
    <row r="33148" ht="9.9499999999999993" hidden="1" customHeight="1" x14ac:dyDescent="0.2"/>
    <row r="33149" ht="9.9499999999999993" hidden="1" customHeight="1" x14ac:dyDescent="0.2"/>
    <row r="33150" ht="9.9499999999999993" hidden="1" customHeight="1" x14ac:dyDescent="0.2"/>
    <row r="33151" ht="9.9499999999999993" hidden="1" customHeight="1" x14ac:dyDescent="0.2"/>
    <row r="33152" ht="9.9499999999999993" hidden="1" customHeight="1" x14ac:dyDescent="0.2"/>
    <row r="33153" ht="9.9499999999999993" hidden="1" customHeight="1" x14ac:dyDescent="0.2"/>
    <row r="33154" ht="9.9499999999999993" hidden="1" customHeight="1" x14ac:dyDescent="0.2"/>
    <row r="33155" ht="9.9499999999999993" hidden="1" customHeight="1" x14ac:dyDescent="0.2"/>
    <row r="33156" ht="9.9499999999999993" hidden="1" customHeight="1" x14ac:dyDescent="0.2"/>
    <row r="33157" ht="9.9499999999999993" hidden="1" customHeight="1" x14ac:dyDescent="0.2"/>
    <row r="33158" ht="9.9499999999999993" hidden="1" customHeight="1" x14ac:dyDescent="0.2"/>
    <row r="33159" ht="9.9499999999999993" hidden="1" customHeight="1" x14ac:dyDescent="0.2"/>
    <row r="33160" ht="9.9499999999999993" hidden="1" customHeight="1" x14ac:dyDescent="0.2"/>
    <row r="33161" ht="9.9499999999999993" hidden="1" customHeight="1" x14ac:dyDescent="0.2"/>
    <row r="33162" ht="9.9499999999999993" hidden="1" customHeight="1" x14ac:dyDescent="0.2"/>
    <row r="33163" ht="9.9499999999999993" hidden="1" customHeight="1" x14ac:dyDescent="0.2"/>
    <row r="33164" ht="9.9499999999999993" hidden="1" customHeight="1" x14ac:dyDescent="0.2"/>
    <row r="33165" ht="9.9499999999999993" hidden="1" customHeight="1" x14ac:dyDescent="0.2"/>
    <row r="33166" ht="9.9499999999999993" hidden="1" customHeight="1" x14ac:dyDescent="0.2"/>
    <row r="33167" ht="9.9499999999999993" hidden="1" customHeight="1" x14ac:dyDescent="0.2"/>
    <row r="33168" ht="9.9499999999999993" hidden="1" customHeight="1" x14ac:dyDescent="0.2"/>
    <row r="33169" ht="9.9499999999999993" hidden="1" customHeight="1" x14ac:dyDescent="0.2"/>
    <row r="33170" ht="9.9499999999999993" hidden="1" customHeight="1" x14ac:dyDescent="0.2"/>
    <row r="33171" ht="9.9499999999999993" hidden="1" customHeight="1" x14ac:dyDescent="0.2"/>
    <row r="33172" ht="9.9499999999999993" hidden="1" customHeight="1" x14ac:dyDescent="0.2"/>
    <row r="33173" ht="9.9499999999999993" hidden="1" customHeight="1" x14ac:dyDescent="0.2"/>
    <row r="33174" ht="9.9499999999999993" hidden="1" customHeight="1" x14ac:dyDescent="0.2"/>
    <row r="33175" ht="9.9499999999999993" hidden="1" customHeight="1" x14ac:dyDescent="0.2"/>
    <row r="33176" ht="9.9499999999999993" hidden="1" customHeight="1" x14ac:dyDescent="0.2"/>
    <row r="33177" ht="9.9499999999999993" hidden="1" customHeight="1" x14ac:dyDescent="0.2"/>
    <row r="33178" ht="9.9499999999999993" hidden="1" customHeight="1" x14ac:dyDescent="0.2"/>
    <row r="33179" ht="9.9499999999999993" hidden="1" customHeight="1" x14ac:dyDescent="0.2"/>
    <row r="33180" ht="9.9499999999999993" hidden="1" customHeight="1" x14ac:dyDescent="0.2"/>
    <row r="33181" ht="9.9499999999999993" hidden="1" customHeight="1" x14ac:dyDescent="0.2"/>
    <row r="33182" ht="9.9499999999999993" hidden="1" customHeight="1" x14ac:dyDescent="0.2"/>
    <row r="33183" ht="9.9499999999999993" hidden="1" customHeight="1" x14ac:dyDescent="0.2"/>
    <row r="33184" ht="9.9499999999999993" hidden="1" customHeight="1" x14ac:dyDescent="0.2"/>
    <row r="33185" ht="9.9499999999999993" hidden="1" customHeight="1" x14ac:dyDescent="0.2"/>
    <row r="33186" ht="9.9499999999999993" hidden="1" customHeight="1" x14ac:dyDescent="0.2"/>
    <row r="33187" ht="9.9499999999999993" hidden="1" customHeight="1" x14ac:dyDescent="0.2"/>
    <row r="33188" ht="9.9499999999999993" hidden="1" customHeight="1" x14ac:dyDescent="0.2"/>
    <row r="33189" ht="9.9499999999999993" hidden="1" customHeight="1" x14ac:dyDescent="0.2"/>
    <row r="33190" ht="9.9499999999999993" hidden="1" customHeight="1" x14ac:dyDescent="0.2"/>
    <row r="33191" ht="9.9499999999999993" hidden="1" customHeight="1" x14ac:dyDescent="0.2"/>
    <row r="33192" ht="9.9499999999999993" hidden="1" customHeight="1" x14ac:dyDescent="0.2"/>
    <row r="33193" ht="9.9499999999999993" hidden="1" customHeight="1" x14ac:dyDescent="0.2"/>
    <row r="33194" ht="9.9499999999999993" hidden="1" customHeight="1" x14ac:dyDescent="0.2"/>
    <row r="33195" ht="9.9499999999999993" hidden="1" customHeight="1" x14ac:dyDescent="0.2"/>
    <row r="33196" ht="9.9499999999999993" hidden="1" customHeight="1" x14ac:dyDescent="0.2"/>
    <row r="33197" ht="9.9499999999999993" hidden="1" customHeight="1" x14ac:dyDescent="0.2"/>
    <row r="33198" ht="9.9499999999999993" hidden="1" customHeight="1" x14ac:dyDescent="0.2"/>
    <row r="33199" ht="9.9499999999999993" hidden="1" customHeight="1" x14ac:dyDescent="0.2"/>
    <row r="33200" ht="9.9499999999999993" hidden="1" customHeight="1" x14ac:dyDescent="0.2"/>
    <row r="33201" ht="9.9499999999999993" hidden="1" customHeight="1" x14ac:dyDescent="0.2"/>
    <row r="33202" ht="9.9499999999999993" hidden="1" customHeight="1" x14ac:dyDescent="0.2"/>
    <row r="33203" ht="9.9499999999999993" hidden="1" customHeight="1" x14ac:dyDescent="0.2"/>
    <row r="33204" ht="9.9499999999999993" hidden="1" customHeight="1" x14ac:dyDescent="0.2"/>
    <row r="33205" ht="9.9499999999999993" hidden="1" customHeight="1" x14ac:dyDescent="0.2"/>
    <row r="33206" ht="9.9499999999999993" hidden="1" customHeight="1" x14ac:dyDescent="0.2"/>
    <row r="33207" ht="9.9499999999999993" hidden="1" customHeight="1" x14ac:dyDescent="0.2"/>
    <row r="33208" ht="9.9499999999999993" hidden="1" customHeight="1" x14ac:dyDescent="0.2"/>
    <row r="33209" ht="9.9499999999999993" hidden="1" customHeight="1" x14ac:dyDescent="0.2"/>
    <row r="33210" ht="9.9499999999999993" hidden="1" customHeight="1" x14ac:dyDescent="0.2"/>
    <row r="33211" ht="9.9499999999999993" hidden="1" customHeight="1" x14ac:dyDescent="0.2"/>
    <row r="33212" ht="9.9499999999999993" hidden="1" customHeight="1" x14ac:dyDescent="0.2"/>
    <row r="33213" ht="9.9499999999999993" hidden="1" customHeight="1" x14ac:dyDescent="0.2"/>
    <row r="33214" ht="9.9499999999999993" hidden="1" customHeight="1" x14ac:dyDescent="0.2"/>
    <row r="33215" ht="9.9499999999999993" hidden="1" customHeight="1" x14ac:dyDescent="0.2"/>
    <row r="33216" ht="9.9499999999999993" hidden="1" customHeight="1" x14ac:dyDescent="0.2"/>
    <row r="33217" ht="9.9499999999999993" hidden="1" customHeight="1" x14ac:dyDescent="0.2"/>
    <row r="33218" ht="9.9499999999999993" hidden="1" customHeight="1" x14ac:dyDescent="0.2"/>
    <row r="33219" ht="9.9499999999999993" hidden="1" customHeight="1" x14ac:dyDescent="0.2"/>
    <row r="33220" ht="9.9499999999999993" hidden="1" customHeight="1" x14ac:dyDescent="0.2"/>
    <row r="33221" ht="9.9499999999999993" hidden="1" customHeight="1" x14ac:dyDescent="0.2"/>
    <row r="33222" ht="9.9499999999999993" hidden="1" customHeight="1" x14ac:dyDescent="0.2"/>
    <row r="33223" ht="9.9499999999999993" hidden="1" customHeight="1" x14ac:dyDescent="0.2"/>
    <row r="33224" ht="9.9499999999999993" hidden="1" customHeight="1" x14ac:dyDescent="0.2"/>
    <row r="33225" ht="9.9499999999999993" hidden="1" customHeight="1" x14ac:dyDescent="0.2"/>
    <row r="33226" ht="9.9499999999999993" hidden="1" customHeight="1" x14ac:dyDescent="0.2"/>
    <row r="33227" ht="9.9499999999999993" hidden="1" customHeight="1" x14ac:dyDescent="0.2"/>
    <row r="33228" ht="9.9499999999999993" hidden="1" customHeight="1" x14ac:dyDescent="0.2"/>
    <row r="33229" ht="9.9499999999999993" hidden="1" customHeight="1" x14ac:dyDescent="0.2"/>
    <row r="33230" ht="9.9499999999999993" hidden="1" customHeight="1" x14ac:dyDescent="0.2"/>
    <row r="33231" ht="9.9499999999999993" hidden="1" customHeight="1" x14ac:dyDescent="0.2"/>
    <row r="33232" ht="9.9499999999999993" hidden="1" customHeight="1" x14ac:dyDescent="0.2"/>
    <row r="33233" ht="9.9499999999999993" hidden="1" customHeight="1" x14ac:dyDescent="0.2"/>
    <row r="33234" ht="9.9499999999999993" hidden="1" customHeight="1" x14ac:dyDescent="0.2"/>
    <row r="33235" ht="9.9499999999999993" hidden="1" customHeight="1" x14ac:dyDescent="0.2"/>
    <row r="33236" ht="9.9499999999999993" hidden="1" customHeight="1" x14ac:dyDescent="0.2"/>
    <row r="33237" ht="9.9499999999999993" hidden="1" customHeight="1" x14ac:dyDescent="0.2"/>
    <row r="33238" ht="9.9499999999999993" hidden="1" customHeight="1" x14ac:dyDescent="0.2"/>
    <row r="33239" ht="9.9499999999999993" hidden="1" customHeight="1" x14ac:dyDescent="0.2"/>
    <row r="33240" ht="9.9499999999999993" hidden="1" customHeight="1" x14ac:dyDescent="0.2"/>
    <row r="33241" ht="9.9499999999999993" hidden="1" customHeight="1" x14ac:dyDescent="0.2"/>
    <row r="33242" ht="9.9499999999999993" hidden="1" customHeight="1" x14ac:dyDescent="0.2"/>
    <row r="33243" ht="9.9499999999999993" hidden="1" customHeight="1" x14ac:dyDescent="0.2"/>
    <row r="33244" ht="9.9499999999999993" hidden="1" customHeight="1" x14ac:dyDescent="0.2"/>
    <row r="33245" ht="9.9499999999999993" hidden="1" customHeight="1" x14ac:dyDescent="0.2"/>
    <row r="33246" ht="9.9499999999999993" hidden="1" customHeight="1" x14ac:dyDescent="0.2"/>
    <row r="33247" ht="9.9499999999999993" hidden="1" customHeight="1" x14ac:dyDescent="0.2"/>
    <row r="33248" ht="9.9499999999999993" hidden="1" customHeight="1" x14ac:dyDescent="0.2"/>
    <row r="33249" ht="9.9499999999999993" hidden="1" customHeight="1" x14ac:dyDescent="0.2"/>
    <row r="33250" ht="9.9499999999999993" hidden="1" customHeight="1" x14ac:dyDescent="0.2"/>
    <row r="33251" ht="9.9499999999999993" hidden="1" customHeight="1" x14ac:dyDescent="0.2"/>
    <row r="33252" ht="9.9499999999999993" hidden="1" customHeight="1" x14ac:dyDescent="0.2"/>
    <row r="33253" ht="9.9499999999999993" hidden="1" customHeight="1" x14ac:dyDescent="0.2"/>
    <row r="33254" ht="9.9499999999999993" hidden="1" customHeight="1" x14ac:dyDescent="0.2"/>
    <row r="33255" ht="9.9499999999999993" hidden="1" customHeight="1" x14ac:dyDescent="0.2"/>
    <row r="33256" ht="9.9499999999999993" hidden="1" customHeight="1" x14ac:dyDescent="0.2"/>
    <row r="33257" ht="9.9499999999999993" hidden="1" customHeight="1" x14ac:dyDescent="0.2"/>
    <row r="33258" ht="9.9499999999999993" hidden="1" customHeight="1" x14ac:dyDescent="0.2"/>
    <row r="33259" ht="9.9499999999999993" hidden="1" customHeight="1" x14ac:dyDescent="0.2"/>
    <row r="33260" ht="9.9499999999999993" hidden="1" customHeight="1" x14ac:dyDescent="0.2"/>
    <row r="33261" ht="9.9499999999999993" hidden="1" customHeight="1" x14ac:dyDescent="0.2"/>
    <row r="33262" ht="9.9499999999999993" hidden="1" customHeight="1" x14ac:dyDescent="0.2"/>
    <row r="33263" ht="9.9499999999999993" hidden="1" customHeight="1" x14ac:dyDescent="0.2"/>
    <row r="33264" ht="9.9499999999999993" hidden="1" customHeight="1" x14ac:dyDescent="0.2"/>
    <row r="33265" ht="9.9499999999999993" hidden="1" customHeight="1" x14ac:dyDescent="0.2"/>
    <row r="33266" ht="9.9499999999999993" hidden="1" customHeight="1" x14ac:dyDescent="0.2"/>
    <row r="33267" ht="9.9499999999999993" hidden="1" customHeight="1" x14ac:dyDescent="0.2"/>
    <row r="33268" ht="9.9499999999999993" hidden="1" customHeight="1" x14ac:dyDescent="0.2"/>
    <row r="33269" ht="9.9499999999999993" hidden="1" customHeight="1" x14ac:dyDescent="0.2"/>
    <row r="33270" ht="9.9499999999999993" hidden="1" customHeight="1" x14ac:dyDescent="0.2"/>
    <row r="33271" ht="9.9499999999999993" hidden="1" customHeight="1" x14ac:dyDescent="0.2"/>
    <row r="33272" ht="9.9499999999999993" hidden="1" customHeight="1" x14ac:dyDescent="0.2"/>
    <row r="33273" ht="9.9499999999999993" hidden="1" customHeight="1" x14ac:dyDescent="0.2"/>
    <row r="33274" ht="9.9499999999999993" hidden="1" customHeight="1" x14ac:dyDescent="0.2"/>
    <row r="33275" ht="9.9499999999999993" hidden="1" customHeight="1" x14ac:dyDescent="0.2"/>
    <row r="33276" ht="9.9499999999999993" hidden="1" customHeight="1" x14ac:dyDescent="0.2"/>
    <row r="33277" ht="9.9499999999999993" hidden="1" customHeight="1" x14ac:dyDescent="0.2"/>
    <row r="33278" ht="9.9499999999999993" hidden="1" customHeight="1" x14ac:dyDescent="0.2"/>
    <row r="33279" ht="9.9499999999999993" hidden="1" customHeight="1" x14ac:dyDescent="0.2"/>
    <row r="33280" ht="9.9499999999999993" hidden="1" customHeight="1" x14ac:dyDescent="0.2"/>
    <row r="33281" ht="9.9499999999999993" hidden="1" customHeight="1" x14ac:dyDescent="0.2"/>
    <row r="33282" ht="9.9499999999999993" hidden="1" customHeight="1" x14ac:dyDescent="0.2"/>
    <row r="33283" ht="9.9499999999999993" hidden="1" customHeight="1" x14ac:dyDescent="0.2"/>
    <row r="33284" ht="9.9499999999999993" hidden="1" customHeight="1" x14ac:dyDescent="0.2"/>
    <row r="33285" ht="9.9499999999999993" hidden="1" customHeight="1" x14ac:dyDescent="0.2"/>
    <row r="33286" ht="9.9499999999999993" hidden="1" customHeight="1" x14ac:dyDescent="0.2"/>
    <row r="33287" ht="9.9499999999999993" hidden="1" customHeight="1" x14ac:dyDescent="0.2"/>
    <row r="33288" ht="9.9499999999999993" hidden="1" customHeight="1" x14ac:dyDescent="0.2"/>
    <row r="33289" ht="9.9499999999999993" hidden="1" customHeight="1" x14ac:dyDescent="0.2"/>
    <row r="33290" ht="9.9499999999999993" hidden="1" customHeight="1" x14ac:dyDescent="0.2"/>
    <row r="33291" ht="9.9499999999999993" hidden="1" customHeight="1" x14ac:dyDescent="0.2"/>
    <row r="33292" ht="9.9499999999999993" hidden="1" customHeight="1" x14ac:dyDescent="0.2"/>
    <row r="33293" ht="9.9499999999999993" hidden="1" customHeight="1" x14ac:dyDescent="0.2"/>
    <row r="33294" ht="9.9499999999999993" hidden="1" customHeight="1" x14ac:dyDescent="0.2"/>
    <row r="33295" ht="9.9499999999999993" hidden="1" customHeight="1" x14ac:dyDescent="0.2"/>
    <row r="33296" ht="9.9499999999999993" hidden="1" customHeight="1" x14ac:dyDescent="0.2"/>
    <row r="33297" ht="9.9499999999999993" hidden="1" customHeight="1" x14ac:dyDescent="0.2"/>
    <row r="33298" ht="9.9499999999999993" hidden="1" customHeight="1" x14ac:dyDescent="0.2"/>
    <row r="33299" ht="9.9499999999999993" hidden="1" customHeight="1" x14ac:dyDescent="0.2"/>
    <row r="33300" ht="9.9499999999999993" hidden="1" customHeight="1" x14ac:dyDescent="0.2"/>
    <row r="33301" ht="9.9499999999999993" hidden="1" customHeight="1" x14ac:dyDescent="0.2"/>
    <row r="33302" ht="9.9499999999999993" hidden="1" customHeight="1" x14ac:dyDescent="0.2"/>
    <row r="33303" ht="9.9499999999999993" hidden="1" customHeight="1" x14ac:dyDescent="0.2"/>
    <row r="33304" ht="9.9499999999999993" hidden="1" customHeight="1" x14ac:dyDescent="0.2"/>
    <row r="33305" ht="9.9499999999999993" hidden="1" customHeight="1" x14ac:dyDescent="0.2"/>
    <row r="33306" ht="9.9499999999999993" hidden="1" customHeight="1" x14ac:dyDescent="0.2"/>
    <row r="33307" ht="9.9499999999999993" hidden="1" customHeight="1" x14ac:dyDescent="0.2"/>
    <row r="33308" ht="9.9499999999999993" hidden="1" customHeight="1" x14ac:dyDescent="0.2"/>
    <row r="33309" ht="9.9499999999999993" hidden="1" customHeight="1" x14ac:dyDescent="0.2"/>
    <row r="33310" ht="9.9499999999999993" hidden="1" customHeight="1" x14ac:dyDescent="0.2"/>
    <row r="33311" ht="9.9499999999999993" hidden="1" customHeight="1" x14ac:dyDescent="0.2"/>
    <row r="33312" ht="9.9499999999999993" hidden="1" customHeight="1" x14ac:dyDescent="0.2"/>
    <row r="33313" ht="9.9499999999999993" hidden="1" customHeight="1" x14ac:dyDescent="0.2"/>
    <row r="33314" ht="9.9499999999999993" hidden="1" customHeight="1" x14ac:dyDescent="0.2"/>
    <row r="33315" ht="9.9499999999999993" hidden="1" customHeight="1" x14ac:dyDescent="0.2"/>
    <row r="33316" ht="9.9499999999999993" hidden="1" customHeight="1" x14ac:dyDescent="0.2"/>
    <row r="33317" ht="9.9499999999999993" hidden="1" customHeight="1" x14ac:dyDescent="0.2"/>
    <row r="33318" ht="9.9499999999999993" hidden="1" customHeight="1" x14ac:dyDescent="0.2"/>
    <row r="33319" ht="9.9499999999999993" hidden="1" customHeight="1" x14ac:dyDescent="0.2"/>
    <row r="33320" ht="9.9499999999999993" hidden="1" customHeight="1" x14ac:dyDescent="0.2"/>
    <row r="33321" ht="9.9499999999999993" hidden="1" customHeight="1" x14ac:dyDescent="0.2"/>
    <row r="33322" ht="9.9499999999999993" hidden="1" customHeight="1" x14ac:dyDescent="0.2"/>
    <row r="33323" ht="9.9499999999999993" hidden="1" customHeight="1" x14ac:dyDescent="0.2"/>
    <row r="33324" ht="9.9499999999999993" hidden="1" customHeight="1" x14ac:dyDescent="0.2"/>
    <row r="33325" ht="9.9499999999999993" hidden="1" customHeight="1" x14ac:dyDescent="0.2"/>
    <row r="33326" ht="9.9499999999999993" hidden="1" customHeight="1" x14ac:dyDescent="0.2"/>
    <row r="33327" ht="9.9499999999999993" hidden="1" customHeight="1" x14ac:dyDescent="0.2"/>
    <row r="33328" ht="9.9499999999999993" hidden="1" customHeight="1" x14ac:dyDescent="0.2"/>
    <row r="33329" ht="9.9499999999999993" hidden="1" customHeight="1" x14ac:dyDescent="0.2"/>
    <row r="33330" ht="9.9499999999999993" hidden="1" customHeight="1" x14ac:dyDescent="0.2"/>
    <row r="33331" ht="9.9499999999999993" hidden="1" customHeight="1" x14ac:dyDescent="0.2"/>
    <row r="33332" ht="9.9499999999999993" hidden="1" customHeight="1" x14ac:dyDescent="0.2"/>
    <row r="33333" ht="9.9499999999999993" hidden="1" customHeight="1" x14ac:dyDescent="0.2"/>
    <row r="33334" ht="9.9499999999999993" hidden="1" customHeight="1" x14ac:dyDescent="0.2"/>
    <row r="33335" ht="9.9499999999999993" hidden="1" customHeight="1" x14ac:dyDescent="0.2"/>
    <row r="33336" ht="9.9499999999999993" hidden="1" customHeight="1" x14ac:dyDescent="0.2"/>
    <row r="33337" ht="9.9499999999999993" hidden="1" customHeight="1" x14ac:dyDescent="0.2"/>
    <row r="33338" ht="9.9499999999999993" hidden="1" customHeight="1" x14ac:dyDescent="0.2"/>
    <row r="33339" ht="9.9499999999999993" hidden="1" customHeight="1" x14ac:dyDescent="0.2"/>
    <row r="33340" ht="9.9499999999999993" hidden="1" customHeight="1" x14ac:dyDescent="0.2"/>
    <row r="33341" ht="9.9499999999999993" hidden="1" customHeight="1" x14ac:dyDescent="0.2"/>
    <row r="33342" ht="9.9499999999999993" hidden="1" customHeight="1" x14ac:dyDescent="0.2"/>
    <row r="33343" ht="9.9499999999999993" hidden="1" customHeight="1" x14ac:dyDescent="0.2"/>
    <row r="33344" ht="9.9499999999999993" hidden="1" customHeight="1" x14ac:dyDescent="0.2"/>
    <row r="33345" ht="9.9499999999999993" hidden="1" customHeight="1" x14ac:dyDescent="0.2"/>
    <row r="33346" ht="9.9499999999999993" hidden="1" customHeight="1" x14ac:dyDescent="0.2"/>
    <row r="33347" ht="9.9499999999999993" hidden="1" customHeight="1" x14ac:dyDescent="0.2"/>
    <row r="33348" ht="9.9499999999999993" hidden="1" customHeight="1" x14ac:dyDescent="0.2"/>
    <row r="33349" ht="9.9499999999999993" hidden="1" customHeight="1" x14ac:dyDescent="0.2"/>
    <row r="33350" ht="9.9499999999999993" hidden="1" customHeight="1" x14ac:dyDescent="0.2"/>
    <row r="33351" ht="9.9499999999999993" hidden="1" customHeight="1" x14ac:dyDescent="0.2"/>
    <row r="33352" ht="9.9499999999999993" hidden="1" customHeight="1" x14ac:dyDescent="0.2"/>
    <row r="33353" ht="9.9499999999999993" hidden="1" customHeight="1" x14ac:dyDescent="0.2"/>
    <row r="33354" ht="9.9499999999999993" hidden="1" customHeight="1" x14ac:dyDescent="0.2"/>
    <row r="33355" ht="9.9499999999999993" hidden="1" customHeight="1" x14ac:dyDescent="0.2"/>
    <row r="33356" ht="9.9499999999999993" hidden="1" customHeight="1" x14ac:dyDescent="0.2"/>
    <row r="33357" ht="9.9499999999999993" hidden="1" customHeight="1" x14ac:dyDescent="0.2"/>
    <row r="33358" ht="9.9499999999999993" hidden="1" customHeight="1" x14ac:dyDescent="0.2"/>
    <row r="33359" ht="9.9499999999999993" hidden="1" customHeight="1" x14ac:dyDescent="0.2"/>
    <row r="33360" ht="9.9499999999999993" hidden="1" customHeight="1" x14ac:dyDescent="0.2"/>
    <row r="33361" ht="9.9499999999999993" hidden="1" customHeight="1" x14ac:dyDescent="0.2"/>
    <row r="33362" ht="9.9499999999999993" hidden="1" customHeight="1" x14ac:dyDescent="0.2"/>
    <row r="33363" ht="9.9499999999999993" hidden="1" customHeight="1" x14ac:dyDescent="0.2"/>
    <row r="33364" ht="9.9499999999999993" hidden="1" customHeight="1" x14ac:dyDescent="0.2"/>
    <row r="33365" ht="9.9499999999999993" hidden="1" customHeight="1" x14ac:dyDescent="0.2"/>
    <row r="33366" ht="9.9499999999999993" hidden="1" customHeight="1" x14ac:dyDescent="0.2"/>
    <row r="33367" ht="9.9499999999999993" hidden="1" customHeight="1" x14ac:dyDescent="0.2"/>
    <row r="33368" ht="9.9499999999999993" hidden="1" customHeight="1" x14ac:dyDescent="0.2"/>
    <row r="33369" ht="9.9499999999999993" hidden="1" customHeight="1" x14ac:dyDescent="0.2"/>
    <row r="33370" ht="9.9499999999999993" hidden="1" customHeight="1" x14ac:dyDescent="0.2"/>
    <row r="33371" ht="9.9499999999999993" hidden="1" customHeight="1" x14ac:dyDescent="0.2"/>
    <row r="33372" ht="9.9499999999999993" hidden="1" customHeight="1" x14ac:dyDescent="0.2"/>
    <row r="33373" ht="9.9499999999999993" hidden="1" customHeight="1" x14ac:dyDescent="0.2"/>
    <row r="33374" ht="9.9499999999999993" hidden="1" customHeight="1" x14ac:dyDescent="0.2"/>
    <row r="33375" ht="9.9499999999999993" hidden="1" customHeight="1" x14ac:dyDescent="0.2"/>
    <row r="33376" ht="9.9499999999999993" hidden="1" customHeight="1" x14ac:dyDescent="0.2"/>
    <row r="33377" ht="9.9499999999999993" hidden="1" customHeight="1" x14ac:dyDescent="0.2"/>
    <row r="33378" ht="9.9499999999999993" hidden="1" customHeight="1" x14ac:dyDescent="0.2"/>
    <row r="33379" ht="9.9499999999999993" hidden="1" customHeight="1" x14ac:dyDescent="0.2"/>
    <row r="33380" ht="9.9499999999999993" hidden="1" customHeight="1" x14ac:dyDescent="0.2"/>
    <row r="33381" ht="9.9499999999999993" hidden="1" customHeight="1" x14ac:dyDescent="0.2"/>
    <row r="33382" ht="9.9499999999999993" hidden="1" customHeight="1" x14ac:dyDescent="0.2"/>
    <row r="33383" ht="9.9499999999999993" hidden="1" customHeight="1" x14ac:dyDescent="0.2"/>
    <row r="33384" ht="9.9499999999999993" hidden="1" customHeight="1" x14ac:dyDescent="0.2"/>
    <row r="33385" ht="9.9499999999999993" hidden="1" customHeight="1" x14ac:dyDescent="0.2"/>
    <row r="33386" ht="9.9499999999999993" hidden="1" customHeight="1" x14ac:dyDescent="0.2"/>
    <row r="33387" ht="9.9499999999999993" hidden="1" customHeight="1" x14ac:dyDescent="0.2"/>
    <row r="33388" ht="9.9499999999999993" hidden="1" customHeight="1" x14ac:dyDescent="0.2"/>
    <row r="33389" ht="9.9499999999999993" hidden="1" customHeight="1" x14ac:dyDescent="0.2"/>
    <row r="33390" ht="9.9499999999999993" hidden="1" customHeight="1" x14ac:dyDescent="0.2"/>
    <row r="33391" ht="9.9499999999999993" hidden="1" customHeight="1" x14ac:dyDescent="0.2"/>
    <row r="33392" ht="9.9499999999999993" hidden="1" customHeight="1" x14ac:dyDescent="0.2"/>
    <row r="33393" ht="9.9499999999999993" hidden="1" customHeight="1" x14ac:dyDescent="0.2"/>
    <row r="33394" ht="9.9499999999999993" hidden="1" customHeight="1" x14ac:dyDescent="0.2"/>
    <row r="33395" ht="9.9499999999999993" hidden="1" customHeight="1" x14ac:dyDescent="0.2"/>
    <row r="33396" ht="9.9499999999999993" hidden="1" customHeight="1" x14ac:dyDescent="0.2"/>
    <row r="33397" ht="9.9499999999999993" hidden="1" customHeight="1" x14ac:dyDescent="0.2"/>
    <row r="33398" ht="9.9499999999999993" hidden="1" customHeight="1" x14ac:dyDescent="0.2"/>
    <row r="33399" ht="9.9499999999999993" hidden="1" customHeight="1" x14ac:dyDescent="0.2"/>
    <row r="33400" ht="9.9499999999999993" hidden="1" customHeight="1" x14ac:dyDescent="0.2"/>
    <row r="33401" ht="9.9499999999999993" hidden="1" customHeight="1" x14ac:dyDescent="0.2"/>
    <row r="33402" ht="9.9499999999999993" hidden="1" customHeight="1" x14ac:dyDescent="0.2"/>
    <row r="33403" ht="9.9499999999999993" hidden="1" customHeight="1" x14ac:dyDescent="0.2"/>
    <row r="33404" ht="9.9499999999999993" hidden="1" customHeight="1" x14ac:dyDescent="0.2"/>
    <row r="33405" ht="9.9499999999999993" hidden="1" customHeight="1" x14ac:dyDescent="0.2"/>
    <row r="33406" ht="9.9499999999999993" hidden="1" customHeight="1" x14ac:dyDescent="0.2"/>
    <row r="33407" ht="9.9499999999999993" hidden="1" customHeight="1" x14ac:dyDescent="0.2"/>
    <row r="33408" ht="9.9499999999999993" hidden="1" customHeight="1" x14ac:dyDescent="0.2"/>
    <row r="33409" ht="9.9499999999999993" hidden="1" customHeight="1" x14ac:dyDescent="0.2"/>
    <row r="33410" ht="9.9499999999999993" hidden="1" customHeight="1" x14ac:dyDescent="0.2"/>
    <row r="33411" ht="9.9499999999999993" hidden="1" customHeight="1" x14ac:dyDescent="0.2"/>
    <row r="33412" ht="9.9499999999999993" hidden="1" customHeight="1" x14ac:dyDescent="0.2"/>
    <row r="33413" ht="9.9499999999999993" hidden="1" customHeight="1" x14ac:dyDescent="0.2"/>
    <row r="33414" ht="9.9499999999999993" hidden="1" customHeight="1" x14ac:dyDescent="0.2"/>
    <row r="33415" ht="9.9499999999999993" hidden="1" customHeight="1" x14ac:dyDescent="0.2"/>
    <row r="33416" ht="9.9499999999999993" hidden="1" customHeight="1" x14ac:dyDescent="0.2"/>
    <row r="33417" ht="9.9499999999999993" hidden="1" customHeight="1" x14ac:dyDescent="0.2"/>
    <row r="33418" ht="9.9499999999999993" hidden="1" customHeight="1" x14ac:dyDescent="0.2"/>
    <row r="33419" ht="9.9499999999999993" hidden="1" customHeight="1" x14ac:dyDescent="0.2"/>
    <row r="33420" ht="9.9499999999999993" hidden="1" customHeight="1" x14ac:dyDescent="0.2"/>
    <row r="33421" ht="9.9499999999999993" hidden="1" customHeight="1" x14ac:dyDescent="0.2"/>
    <row r="33422" ht="9.9499999999999993" hidden="1" customHeight="1" x14ac:dyDescent="0.2"/>
    <row r="33423" ht="9.9499999999999993" hidden="1" customHeight="1" x14ac:dyDescent="0.2"/>
    <row r="33424" ht="9.9499999999999993" hidden="1" customHeight="1" x14ac:dyDescent="0.2"/>
    <row r="33425" ht="9.9499999999999993" hidden="1" customHeight="1" x14ac:dyDescent="0.2"/>
    <row r="33426" ht="9.9499999999999993" hidden="1" customHeight="1" x14ac:dyDescent="0.2"/>
    <row r="33427" ht="9.9499999999999993" hidden="1" customHeight="1" x14ac:dyDescent="0.2"/>
    <row r="33428" ht="9.9499999999999993" hidden="1" customHeight="1" x14ac:dyDescent="0.2"/>
    <row r="33429" ht="9.9499999999999993" hidden="1" customHeight="1" x14ac:dyDescent="0.2"/>
    <row r="33430" ht="9.9499999999999993" hidden="1" customHeight="1" x14ac:dyDescent="0.2"/>
    <row r="33431" ht="9.9499999999999993" hidden="1" customHeight="1" x14ac:dyDescent="0.2"/>
    <row r="33432" ht="9.9499999999999993" hidden="1" customHeight="1" x14ac:dyDescent="0.2"/>
    <row r="33433" ht="9.9499999999999993" hidden="1" customHeight="1" x14ac:dyDescent="0.2"/>
    <row r="33434" ht="9.9499999999999993" hidden="1" customHeight="1" x14ac:dyDescent="0.2"/>
    <row r="33435" ht="9.9499999999999993" hidden="1" customHeight="1" x14ac:dyDescent="0.2"/>
    <row r="33436" ht="9.9499999999999993" hidden="1" customHeight="1" x14ac:dyDescent="0.2"/>
    <row r="33437" ht="9.9499999999999993" hidden="1" customHeight="1" x14ac:dyDescent="0.2"/>
    <row r="33438" ht="9.9499999999999993" hidden="1" customHeight="1" x14ac:dyDescent="0.2"/>
    <row r="33439" ht="9.9499999999999993" hidden="1" customHeight="1" x14ac:dyDescent="0.2"/>
    <row r="33440" ht="9.9499999999999993" hidden="1" customHeight="1" x14ac:dyDescent="0.2"/>
    <row r="33441" ht="9.9499999999999993" hidden="1" customHeight="1" x14ac:dyDescent="0.2"/>
    <row r="33442" ht="9.9499999999999993" hidden="1" customHeight="1" x14ac:dyDescent="0.2"/>
    <row r="33443" ht="9.9499999999999993" hidden="1" customHeight="1" x14ac:dyDescent="0.2"/>
    <row r="33444" ht="9.9499999999999993" hidden="1" customHeight="1" x14ac:dyDescent="0.2"/>
    <row r="33445" ht="9.9499999999999993" hidden="1" customHeight="1" x14ac:dyDescent="0.2"/>
    <row r="33446" ht="9.9499999999999993" hidden="1" customHeight="1" x14ac:dyDescent="0.2"/>
    <row r="33447" ht="9.9499999999999993" hidden="1" customHeight="1" x14ac:dyDescent="0.2"/>
    <row r="33448" ht="9.9499999999999993" hidden="1" customHeight="1" x14ac:dyDescent="0.2"/>
    <row r="33449" ht="9.9499999999999993" hidden="1" customHeight="1" x14ac:dyDescent="0.2"/>
    <row r="33450" ht="9.9499999999999993" hidden="1" customHeight="1" x14ac:dyDescent="0.2"/>
    <row r="33451" ht="9.9499999999999993" hidden="1" customHeight="1" x14ac:dyDescent="0.2"/>
    <row r="33452" ht="9.9499999999999993" hidden="1" customHeight="1" x14ac:dyDescent="0.2"/>
    <row r="33453" ht="9.9499999999999993" hidden="1" customHeight="1" x14ac:dyDescent="0.2"/>
    <row r="33454" ht="9.9499999999999993" hidden="1" customHeight="1" x14ac:dyDescent="0.2"/>
    <row r="33455" ht="9.9499999999999993" hidden="1" customHeight="1" x14ac:dyDescent="0.2"/>
    <row r="33456" ht="9.9499999999999993" hidden="1" customHeight="1" x14ac:dyDescent="0.2"/>
    <row r="33457" ht="9.9499999999999993" hidden="1" customHeight="1" x14ac:dyDescent="0.2"/>
    <row r="33458" ht="9.9499999999999993" hidden="1" customHeight="1" x14ac:dyDescent="0.2"/>
    <row r="33459" ht="9.9499999999999993" hidden="1" customHeight="1" x14ac:dyDescent="0.2"/>
    <row r="33460" ht="9.9499999999999993" hidden="1" customHeight="1" x14ac:dyDescent="0.2"/>
    <row r="33461" ht="9.9499999999999993" hidden="1" customHeight="1" x14ac:dyDescent="0.2"/>
    <row r="33462" ht="9.9499999999999993" hidden="1" customHeight="1" x14ac:dyDescent="0.2"/>
    <row r="33463" ht="9.9499999999999993" hidden="1" customHeight="1" x14ac:dyDescent="0.2"/>
    <row r="33464" ht="9.9499999999999993" hidden="1" customHeight="1" x14ac:dyDescent="0.2"/>
    <row r="33465" ht="9.9499999999999993" hidden="1" customHeight="1" x14ac:dyDescent="0.2"/>
    <row r="33466" ht="9.9499999999999993" hidden="1" customHeight="1" x14ac:dyDescent="0.2"/>
    <row r="33467" ht="9.9499999999999993" hidden="1" customHeight="1" x14ac:dyDescent="0.2"/>
    <row r="33468" ht="9.9499999999999993" hidden="1" customHeight="1" x14ac:dyDescent="0.2"/>
    <row r="33469" ht="9.9499999999999993" hidden="1" customHeight="1" x14ac:dyDescent="0.2"/>
    <row r="33470" ht="9.9499999999999993" hidden="1" customHeight="1" x14ac:dyDescent="0.2"/>
    <row r="33471" ht="9.9499999999999993" hidden="1" customHeight="1" x14ac:dyDescent="0.2"/>
    <row r="33472" ht="9.9499999999999993" hidden="1" customHeight="1" x14ac:dyDescent="0.2"/>
    <row r="33473" ht="9.9499999999999993" hidden="1" customHeight="1" x14ac:dyDescent="0.2"/>
    <row r="33474" ht="9.9499999999999993" hidden="1" customHeight="1" x14ac:dyDescent="0.2"/>
    <row r="33475" ht="9.9499999999999993" hidden="1" customHeight="1" x14ac:dyDescent="0.2"/>
    <row r="33476" ht="9.9499999999999993" hidden="1" customHeight="1" x14ac:dyDescent="0.2"/>
    <row r="33477" ht="9.9499999999999993" hidden="1" customHeight="1" x14ac:dyDescent="0.2"/>
    <row r="33478" ht="9.9499999999999993" hidden="1" customHeight="1" x14ac:dyDescent="0.2"/>
    <row r="33479" ht="9.9499999999999993" hidden="1" customHeight="1" x14ac:dyDescent="0.2"/>
    <row r="33480" ht="9.9499999999999993" hidden="1" customHeight="1" x14ac:dyDescent="0.2"/>
    <row r="33481" ht="9.9499999999999993" hidden="1" customHeight="1" x14ac:dyDescent="0.2"/>
    <row r="33482" ht="9.9499999999999993" hidden="1" customHeight="1" x14ac:dyDescent="0.2"/>
    <row r="33483" ht="9.9499999999999993" hidden="1" customHeight="1" x14ac:dyDescent="0.2"/>
    <row r="33484" ht="9.9499999999999993" hidden="1" customHeight="1" x14ac:dyDescent="0.2"/>
    <row r="33485" ht="9.9499999999999993" hidden="1" customHeight="1" x14ac:dyDescent="0.2"/>
    <row r="33486" ht="9.9499999999999993" hidden="1" customHeight="1" x14ac:dyDescent="0.2"/>
    <row r="33487" ht="9.9499999999999993" hidden="1" customHeight="1" x14ac:dyDescent="0.2"/>
    <row r="33488" ht="9.9499999999999993" hidden="1" customHeight="1" x14ac:dyDescent="0.2"/>
    <row r="33489" ht="9.9499999999999993" hidden="1" customHeight="1" x14ac:dyDescent="0.2"/>
    <row r="33490" ht="9.9499999999999993" hidden="1" customHeight="1" x14ac:dyDescent="0.2"/>
    <row r="33491" ht="9.9499999999999993" hidden="1" customHeight="1" x14ac:dyDescent="0.2"/>
    <row r="33492" ht="9.9499999999999993" hidden="1" customHeight="1" x14ac:dyDescent="0.2"/>
    <row r="33493" ht="9.9499999999999993" hidden="1" customHeight="1" x14ac:dyDescent="0.2"/>
    <row r="33494" ht="9.9499999999999993" hidden="1" customHeight="1" x14ac:dyDescent="0.2"/>
    <row r="33495" ht="9.9499999999999993" hidden="1" customHeight="1" x14ac:dyDescent="0.2"/>
    <row r="33496" ht="9.9499999999999993" hidden="1" customHeight="1" x14ac:dyDescent="0.2"/>
    <row r="33497" ht="9.9499999999999993" hidden="1" customHeight="1" x14ac:dyDescent="0.2"/>
    <row r="33498" ht="9.9499999999999993" hidden="1" customHeight="1" x14ac:dyDescent="0.2"/>
    <row r="33499" ht="9.9499999999999993" hidden="1" customHeight="1" x14ac:dyDescent="0.2"/>
    <row r="33500" ht="9.9499999999999993" hidden="1" customHeight="1" x14ac:dyDescent="0.2"/>
    <row r="33501" ht="9.9499999999999993" hidden="1" customHeight="1" x14ac:dyDescent="0.2"/>
    <row r="33502" ht="9.9499999999999993" hidden="1" customHeight="1" x14ac:dyDescent="0.2"/>
    <row r="33503" ht="9.9499999999999993" hidden="1" customHeight="1" x14ac:dyDescent="0.2"/>
    <row r="33504" ht="9.9499999999999993" hidden="1" customHeight="1" x14ac:dyDescent="0.2"/>
    <row r="33505" ht="9.9499999999999993" hidden="1" customHeight="1" x14ac:dyDescent="0.2"/>
    <row r="33506" ht="9.9499999999999993" hidden="1" customHeight="1" x14ac:dyDescent="0.2"/>
    <row r="33507" ht="9.9499999999999993" hidden="1" customHeight="1" x14ac:dyDescent="0.2"/>
    <row r="33508" ht="9.9499999999999993" hidden="1" customHeight="1" x14ac:dyDescent="0.2"/>
    <row r="33509" ht="9.9499999999999993" hidden="1" customHeight="1" x14ac:dyDescent="0.2"/>
    <row r="33510" ht="9.9499999999999993" hidden="1" customHeight="1" x14ac:dyDescent="0.2"/>
    <row r="33511" ht="9.9499999999999993" hidden="1" customHeight="1" x14ac:dyDescent="0.2"/>
    <row r="33512" ht="9.9499999999999993" hidden="1" customHeight="1" x14ac:dyDescent="0.2"/>
    <row r="33513" ht="9.9499999999999993" hidden="1" customHeight="1" x14ac:dyDescent="0.2"/>
    <row r="33514" ht="9.9499999999999993" hidden="1" customHeight="1" x14ac:dyDescent="0.2"/>
    <row r="33515" ht="9.9499999999999993" hidden="1" customHeight="1" x14ac:dyDescent="0.2"/>
    <row r="33516" ht="9.9499999999999993" hidden="1" customHeight="1" x14ac:dyDescent="0.2"/>
    <row r="33517" ht="9.9499999999999993" hidden="1" customHeight="1" x14ac:dyDescent="0.2"/>
    <row r="33518" ht="9.9499999999999993" hidden="1" customHeight="1" x14ac:dyDescent="0.2"/>
    <row r="33519" ht="9.9499999999999993" hidden="1" customHeight="1" x14ac:dyDescent="0.2"/>
    <row r="33520" ht="9.9499999999999993" hidden="1" customHeight="1" x14ac:dyDescent="0.2"/>
    <row r="33521" ht="9.9499999999999993" hidden="1" customHeight="1" x14ac:dyDescent="0.2"/>
    <row r="33522" ht="9.9499999999999993" hidden="1" customHeight="1" x14ac:dyDescent="0.2"/>
    <row r="33523" ht="9.9499999999999993" hidden="1" customHeight="1" x14ac:dyDescent="0.2"/>
    <row r="33524" ht="9.9499999999999993" hidden="1" customHeight="1" x14ac:dyDescent="0.2"/>
    <row r="33525" ht="9.9499999999999993" hidden="1" customHeight="1" x14ac:dyDescent="0.2"/>
    <row r="33526" ht="9.9499999999999993" hidden="1" customHeight="1" x14ac:dyDescent="0.2"/>
    <row r="33527" ht="9.9499999999999993" hidden="1" customHeight="1" x14ac:dyDescent="0.2"/>
    <row r="33528" ht="9.9499999999999993" hidden="1" customHeight="1" x14ac:dyDescent="0.2"/>
    <row r="33529" ht="9.9499999999999993" hidden="1" customHeight="1" x14ac:dyDescent="0.2"/>
    <row r="33530" ht="9.9499999999999993" hidden="1" customHeight="1" x14ac:dyDescent="0.2"/>
    <row r="33531" ht="9.9499999999999993" hidden="1" customHeight="1" x14ac:dyDescent="0.2"/>
    <row r="33532" ht="9.9499999999999993" hidden="1" customHeight="1" x14ac:dyDescent="0.2"/>
    <row r="33533" ht="9.9499999999999993" hidden="1" customHeight="1" x14ac:dyDescent="0.2"/>
    <row r="33534" ht="9.9499999999999993" hidden="1" customHeight="1" x14ac:dyDescent="0.2"/>
    <row r="33535" ht="9.9499999999999993" hidden="1" customHeight="1" x14ac:dyDescent="0.2"/>
    <row r="33536" ht="9.9499999999999993" hidden="1" customHeight="1" x14ac:dyDescent="0.2"/>
    <row r="33537" ht="9.9499999999999993" hidden="1" customHeight="1" x14ac:dyDescent="0.2"/>
    <row r="33538" ht="9.9499999999999993" hidden="1" customHeight="1" x14ac:dyDescent="0.2"/>
    <row r="33539" ht="9.9499999999999993" hidden="1" customHeight="1" x14ac:dyDescent="0.2"/>
    <row r="33540" ht="9.9499999999999993" hidden="1" customHeight="1" x14ac:dyDescent="0.2"/>
    <row r="33541" ht="9.9499999999999993" hidden="1" customHeight="1" x14ac:dyDescent="0.2"/>
    <row r="33542" ht="9.9499999999999993" hidden="1" customHeight="1" x14ac:dyDescent="0.2"/>
    <row r="33543" ht="9.9499999999999993" hidden="1" customHeight="1" x14ac:dyDescent="0.2"/>
    <row r="33544" ht="9.9499999999999993" hidden="1" customHeight="1" x14ac:dyDescent="0.2"/>
    <row r="33545" ht="9.9499999999999993" hidden="1" customHeight="1" x14ac:dyDescent="0.2"/>
    <row r="33546" ht="9.9499999999999993" hidden="1" customHeight="1" x14ac:dyDescent="0.2"/>
    <row r="33547" ht="9.9499999999999993" hidden="1" customHeight="1" x14ac:dyDescent="0.2"/>
    <row r="33548" ht="9.9499999999999993" hidden="1" customHeight="1" x14ac:dyDescent="0.2"/>
    <row r="33549" ht="9.9499999999999993" hidden="1" customHeight="1" x14ac:dyDescent="0.2"/>
    <row r="33550" ht="9.9499999999999993" hidden="1" customHeight="1" x14ac:dyDescent="0.2"/>
    <row r="33551" ht="9.9499999999999993" hidden="1" customHeight="1" x14ac:dyDescent="0.2"/>
    <row r="33552" ht="9.9499999999999993" hidden="1" customHeight="1" x14ac:dyDescent="0.2"/>
    <row r="33553" ht="9.9499999999999993" hidden="1" customHeight="1" x14ac:dyDescent="0.2"/>
    <row r="33554" ht="9.9499999999999993" hidden="1" customHeight="1" x14ac:dyDescent="0.2"/>
    <row r="33555" ht="9.9499999999999993" hidden="1" customHeight="1" x14ac:dyDescent="0.2"/>
    <row r="33556" ht="9.9499999999999993" hidden="1" customHeight="1" x14ac:dyDescent="0.2"/>
    <row r="33557" ht="9.9499999999999993" hidden="1" customHeight="1" x14ac:dyDescent="0.2"/>
    <row r="33558" ht="9.9499999999999993" hidden="1" customHeight="1" x14ac:dyDescent="0.2"/>
    <row r="33559" ht="9.9499999999999993" hidden="1" customHeight="1" x14ac:dyDescent="0.2"/>
    <row r="33560" ht="9.9499999999999993" hidden="1" customHeight="1" x14ac:dyDescent="0.2"/>
    <row r="33561" ht="9.9499999999999993" hidden="1" customHeight="1" x14ac:dyDescent="0.2"/>
    <row r="33562" ht="9.9499999999999993" hidden="1" customHeight="1" x14ac:dyDescent="0.2"/>
    <row r="33563" ht="9.9499999999999993" hidden="1" customHeight="1" x14ac:dyDescent="0.2"/>
    <row r="33564" ht="9.9499999999999993" hidden="1" customHeight="1" x14ac:dyDescent="0.2"/>
    <row r="33565" ht="9.9499999999999993" hidden="1" customHeight="1" x14ac:dyDescent="0.2"/>
    <row r="33566" ht="9.9499999999999993" hidden="1" customHeight="1" x14ac:dyDescent="0.2"/>
    <row r="33567" ht="9.9499999999999993" hidden="1" customHeight="1" x14ac:dyDescent="0.2"/>
    <row r="33568" ht="9.9499999999999993" hidden="1" customHeight="1" x14ac:dyDescent="0.2"/>
    <row r="33569" ht="9.9499999999999993" hidden="1" customHeight="1" x14ac:dyDescent="0.2"/>
    <row r="33570" ht="9.9499999999999993" hidden="1" customHeight="1" x14ac:dyDescent="0.2"/>
    <row r="33571" ht="9.9499999999999993" hidden="1" customHeight="1" x14ac:dyDescent="0.2"/>
    <row r="33572" ht="9.9499999999999993" hidden="1" customHeight="1" x14ac:dyDescent="0.2"/>
    <row r="33573" ht="9.9499999999999993" hidden="1" customHeight="1" x14ac:dyDescent="0.2"/>
    <row r="33574" ht="9.9499999999999993" hidden="1" customHeight="1" x14ac:dyDescent="0.2"/>
    <row r="33575" ht="9.9499999999999993" hidden="1" customHeight="1" x14ac:dyDescent="0.2"/>
    <row r="33576" ht="9.9499999999999993" hidden="1" customHeight="1" x14ac:dyDescent="0.2"/>
    <row r="33577" ht="9.9499999999999993" hidden="1" customHeight="1" x14ac:dyDescent="0.2"/>
    <row r="33578" ht="9.9499999999999993" hidden="1" customHeight="1" x14ac:dyDescent="0.2"/>
    <row r="33579" ht="9.9499999999999993" hidden="1" customHeight="1" x14ac:dyDescent="0.2"/>
    <row r="33580" ht="9.9499999999999993" hidden="1" customHeight="1" x14ac:dyDescent="0.2"/>
    <row r="33581" ht="9.9499999999999993" hidden="1" customHeight="1" x14ac:dyDescent="0.2"/>
    <row r="33582" ht="9.9499999999999993" hidden="1" customHeight="1" x14ac:dyDescent="0.2"/>
    <row r="33583" ht="9.9499999999999993" hidden="1" customHeight="1" x14ac:dyDescent="0.2"/>
    <row r="33584" ht="9.9499999999999993" hidden="1" customHeight="1" x14ac:dyDescent="0.2"/>
    <row r="33585" ht="9.9499999999999993" hidden="1" customHeight="1" x14ac:dyDescent="0.2"/>
    <row r="33586" ht="9.9499999999999993" hidden="1" customHeight="1" x14ac:dyDescent="0.2"/>
    <row r="33587" ht="9.9499999999999993" hidden="1" customHeight="1" x14ac:dyDescent="0.2"/>
    <row r="33588" ht="9.9499999999999993" hidden="1" customHeight="1" x14ac:dyDescent="0.2"/>
    <row r="33589" ht="9.9499999999999993" hidden="1" customHeight="1" x14ac:dyDescent="0.2"/>
    <row r="33590" ht="9.9499999999999993" hidden="1" customHeight="1" x14ac:dyDescent="0.2"/>
    <row r="33591" ht="9.9499999999999993" hidden="1" customHeight="1" x14ac:dyDescent="0.2"/>
    <row r="33592" ht="9.9499999999999993" hidden="1" customHeight="1" x14ac:dyDescent="0.2"/>
    <row r="33593" ht="9.9499999999999993" hidden="1" customHeight="1" x14ac:dyDescent="0.2"/>
    <row r="33594" ht="9.9499999999999993" hidden="1" customHeight="1" x14ac:dyDescent="0.2"/>
    <row r="33595" ht="9.9499999999999993" hidden="1" customHeight="1" x14ac:dyDescent="0.2"/>
    <row r="33596" ht="9.9499999999999993" hidden="1" customHeight="1" x14ac:dyDescent="0.2"/>
    <row r="33597" ht="9.9499999999999993" hidden="1" customHeight="1" x14ac:dyDescent="0.2"/>
    <row r="33598" ht="9.9499999999999993" hidden="1" customHeight="1" x14ac:dyDescent="0.2"/>
    <row r="33599" ht="9.9499999999999993" hidden="1" customHeight="1" x14ac:dyDescent="0.2"/>
    <row r="33600" ht="9.9499999999999993" hidden="1" customHeight="1" x14ac:dyDescent="0.2"/>
    <row r="33601" ht="9.9499999999999993" hidden="1" customHeight="1" x14ac:dyDescent="0.2"/>
    <row r="33602" ht="9.9499999999999993" hidden="1" customHeight="1" x14ac:dyDescent="0.2"/>
    <row r="33603" ht="9.9499999999999993" hidden="1" customHeight="1" x14ac:dyDescent="0.2"/>
    <row r="33604" ht="9.9499999999999993" hidden="1" customHeight="1" x14ac:dyDescent="0.2"/>
    <row r="33605" ht="9.9499999999999993" hidden="1" customHeight="1" x14ac:dyDescent="0.2"/>
    <row r="33606" ht="9.9499999999999993" hidden="1" customHeight="1" x14ac:dyDescent="0.2"/>
    <row r="33607" ht="9.9499999999999993" hidden="1" customHeight="1" x14ac:dyDescent="0.2"/>
    <row r="33608" ht="9.9499999999999993" hidden="1" customHeight="1" x14ac:dyDescent="0.2"/>
    <row r="33609" ht="9.9499999999999993" hidden="1" customHeight="1" x14ac:dyDescent="0.2"/>
    <row r="33610" ht="9.9499999999999993" hidden="1" customHeight="1" x14ac:dyDescent="0.2"/>
    <row r="33611" ht="9.9499999999999993" hidden="1" customHeight="1" x14ac:dyDescent="0.2"/>
    <row r="33612" ht="9.9499999999999993" hidden="1" customHeight="1" x14ac:dyDescent="0.2"/>
    <row r="33613" ht="9.9499999999999993" hidden="1" customHeight="1" x14ac:dyDescent="0.2"/>
    <row r="33614" ht="9.9499999999999993" hidden="1" customHeight="1" x14ac:dyDescent="0.2"/>
    <row r="33615" ht="9.9499999999999993" hidden="1" customHeight="1" x14ac:dyDescent="0.2"/>
    <row r="33616" ht="9.9499999999999993" hidden="1" customHeight="1" x14ac:dyDescent="0.2"/>
    <row r="33617" ht="9.9499999999999993" hidden="1" customHeight="1" x14ac:dyDescent="0.2"/>
    <row r="33618" ht="9.9499999999999993" hidden="1" customHeight="1" x14ac:dyDescent="0.2"/>
    <row r="33619" ht="9.9499999999999993" hidden="1" customHeight="1" x14ac:dyDescent="0.2"/>
    <row r="33620" ht="9.9499999999999993" hidden="1" customHeight="1" x14ac:dyDescent="0.2"/>
    <row r="33621" ht="9.9499999999999993" hidden="1" customHeight="1" x14ac:dyDescent="0.2"/>
    <row r="33622" ht="9.9499999999999993" hidden="1" customHeight="1" x14ac:dyDescent="0.2"/>
    <row r="33623" ht="9.9499999999999993" hidden="1" customHeight="1" x14ac:dyDescent="0.2"/>
    <row r="33624" ht="9.9499999999999993" hidden="1" customHeight="1" x14ac:dyDescent="0.2"/>
    <row r="33625" ht="9.9499999999999993" hidden="1" customHeight="1" x14ac:dyDescent="0.2"/>
    <row r="33626" ht="9.9499999999999993" hidden="1" customHeight="1" x14ac:dyDescent="0.2"/>
    <row r="33627" ht="9.9499999999999993" hidden="1" customHeight="1" x14ac:dyDescent="0.2"/>
    <row r="33628" ht="9.9499999999999993" hidden="1" customHeight="1" x14ac:dyDescent="0.2"/>
    <row r="33629" ht="9.9499999999999993" hidden="1" customHeight="1" x14ac:dyDescent="0.2"/>
    <row r="33630" ht="9.9499999999999993" hidden="1" customHeight="1" x14ac:dyDescent="0.2"/>
    <row r="33631" ht="9.9499999999999993" hidden="1" customHeight="1" x14ac:dyDescent="0.2"/>
    <row r="33632" ht="9.9499999999999993" hidden="1" customHeight="1" x14ac:dyDescent="0.2"/>
    <row r="33633" ht="9.9499999999999993" hidden="1" customHeight="1" x14ac:dyDescent="0.2"/>
    <row r="33634" ht="9.9499999999999993" hidden="1" customHeight="1" x14ac:dyDescent="0.2"/>
    <row r="33635" ht="9.9499999999999993" hidden="1" customHeight="1" x14ac:dyDescent="0.2"/>
    <row r="33636" ht="9.9499999999999993" hidden="1" customHeight="1" x14ac:dyDescent="0.2"/>
    <row r="33637" ht="9.9499999999999993" hidden="1" customHeight="1" x14ac:dyDescent="0.2"/>
    <row r="33638" ht="9.9499999999999993" hidden="1" customHeight="1" x14ac:dyDescent="0.2"/>
    <row r="33639" ht="9.9499999999999993" hidden="1" customHeight="1" x14ac:dyDescent="0.2"/>
    <row r="33640" ht="9.9499999999999993" hidden="1" customHeight="1" x14ac:dyDescent="0.2"/>
    <row r="33641" ht="9.9499999999999993" hidden="1" customHeight="1" x14ac:dyDescent="0.2"/>
    <row r="33642" ht="9.9499999999999993" hidden="1" customHeight="1" x14ac:dyDescent="0.2"/>
    <row r="33643" ht="9.9499999999999993" hidden="1" customHeight="1" x14ac:dyDescent="0.2"/>
    <row r="33644" ht="9.9499999999999993" hidden="1" customHeight="1" x14ac:dyDescent="0.2"/>
    <row r="33645" ht="9.9499999999999993" hidden="1" customHeight="1" x14ac:dyDescent="0.2"/>
    <row r="33646" ht="9.9499999999999993" hidden="1" customHeight="1" x14ac:dyDescent="0.2"/>
    <row r="33647" ht="9.9499999999999993" hidden="1" customHeight="1" x14ac:dyDescent="0.2"/>
    <row r="33648" ht="9.9499999999999993" hidden="1" customHeight="1" x14ac:dyDescent="0.2"/>
    <row r="33649" ht="9.9499999999999993" hidden="1" customHeight="1" x14ac:dyDescent="0.2"/>
    <row r="33650" ht="9.9499999999999993" hidden="1" customHeight="1" x14ac:dyDescent="0.2"/>
    <row r="33651" ht="9.9499999999999993" hidden="1" customHeight="1" x14ac:dyDescent="0.2"/>
    <row r="33652" ht="9.9499999999999993" hidden="1" customHeight="1" x14ac:dyDescent="0.2"/>
    <row r="33653" ht="9.9499999999999993" hidden="1" customHeight="1" x14ac:dyDescent="0.2"/>
    <row r="33654" ht="9.9499999999999993" hidden="1" customHeight="1" x14ac:dyDescent="0.2"/>
    <row r="33655" ht="9.9499999999999993" hidden="1" customHeight="1" x14ac:dyDescent="0.2"/>
    <row r="33656" ht="9.9499999999999993" hidden="1" customHeight="1" x14ac:dyDescent="0.2"/>
    <row r="33657" ht="9.9499999999999993" hidden="1" customHeight="1" x14ac:dyDescent="0.2"/>
    <row r="33658" ht="9.9499999999999993" hidden="1" customHeight="1" x14ac:dyDescent="0.2"/>
    <row r="33659" ht="9.9499999999999993" hidden="1" customHeight="1" x14ac:dyDescent="0.2"/>
    <row r="33660" ht="9.9499999999999993" hidden="1" customHeight="1" x14ac:dyDescent="0.2"/>
    <row r="33661" ht="9.9499999999999993" hidden="1" customHeight="1" x14ac:dyDescent="0.2"/>
    <row r="33662" ht="9.9499999999999993" hidden="1" customHeight="1" x14ac:dyDescent="0.2"/>
    <row r="33663" ht="9.9499999999999993" hidden="1" customHeight="1" x14ac:dyDescent="0.2"/>
    <row r="33664" ht="9.9499999999999993" hidden="1" customHeight="1" x14ac:dyDescent="0.2"/>
    <row r="33665" ht="9.9499999999999993" hidden="1" customHeight="1" x14ac:dyDescent="0.2"/>
    <row r="33666" ht="9.9499999999999993" hidden="1" customHeight="1" x14ac:dyDescent="0.2"/>
    <row r="33667" ht="9.9499999999999993" hidden="1" customHeight="1" x14ac:dyDescent="0.2"/>
    <row r="33668" ht="9.9499999999999993" hidden="1" customHeight="1" x14ac:dyDescent="0.2"/>
    <row r="33669" ht="9.9499999999999993" hidden="1" customHeight="1" x14ac:dyDescent="0.2"/>
    <row r="33670" ht="9.9499999999999993" hidden="1" customHeight="1" x14ac:dyDescent="0.2"/>
    <row r="33671" ht="9.9499999999999993" hidden="1" customHeight="1" x14ac:dyDescent="0.2"/>
    <row r="33672" ht="9.9499999999999993" hidden="1" customHeight="1" x14ac:dyDescent="0.2"/>
    <row r="33673" ht="9.9499999999999993" hidden="1" customHeight="1" x14ac:dyDescent="0.2"/>
    <row r="33674" ht="9.9499999999999993" hidden="1" customHeight="1" x14ac:dyDescent="0.2"/>
    <row r="33675" ht="9.9499999999999993" hidden="1" customHeight="1" x14ac:dyDescent="0.2"/>
    <row r="33676" ht="9.9499999999999993" hidden="1" customHeight="1" x14ac:dyDescent="0.2"/>
    <row r="33677" ht="9.9499999999999993" hidden="1" customHeight="1" x14ac:dyDescent="0.2"/>
    <row r="33678" ht="9.9499999999999993" hidden="1" customHeight="1" x14ac:dyDescent="0.2"/>
    <row r="33679" ht="9.9499999999999993" hidden="1" customHeight="1" x14ac:dyDescent="0.2"/>
    <row r="33680" ht="9.9499999999999993" hidden="1" customHeight="1" x14ac:dyDescent="0.2"/>
    <row r="33681" ht="9.9499999999999993" hidden="1" customHeight="1" x14ac:dyDescent="0.2"/>
    <row r="33682" ht="9.9499999999999993" hidden="1" customHeight="1" x14ac:dyDescent="0.2"/>
    <row r="33683" ht="9.9499999999999993" hidden="1" customHeight="1" x14ac:dyDescent="0.2"/>
    <row r="33684" ht="9.9499999999999993" hidden="1" customHeight="1" x14ac:dyDescent="0.2"/>
    <row r="33685" ht="9.9499999999999993" hidden="1" customHeight="1" x14ac:dyDescent="0.2"/>
    <row r="33686" ht="9.9499999999999993" hidden="1" customHeight="1" x14ac:dyDescent="0.2"/>
    <row r="33687" ht="9.9499999999999993" hidden="1" customHeight="1" x14ac:dyDescent="0.2"/>
    <row r="33688" ht="9.9499999999999993" hidden="1" customHeight="1" x14ac:dyDescent="0.2"/>
    <row r="33689" ht="9.9499999999999993" hidden="1" customHeight="1" x14ac:dyDescent="0.2"/>
    <row r="33690" ht="9.9499999999999993" hidden="1" customHeight="1" x14ac:dyDescent="0.2"/>
    <row r="33691" ht="9.9499999999999993" hidden="1" customHeight="1" x14ac:dyDescent="0.2"/>
    <row r="33692" ht="9.9499999999999993" hidden="1" customHeight="1" x14ac:dyDescent="0.2"/>
    <row r="33693" ht="9.9499999999999993" hidden="1" customHeight="1" x14ac:dyDescent="0.2"/>
    <row r="33694" ht="9.9499999999999993" hidden="1" customHeight="1" x14ac:dyDescent="0.2"/>
    <row r="33695" ht="9.9499999999999993" hidden="1" customHeight="1" x14ac:dyDescent="0.2"/>
    <row r="33696" ht="9.9499999999999993" hidden="1" customHeight="1" x14ac:dyDescent="0.2"/>
    <row r="33697" ht="9.9499999999999993" hidden="1" customHeight="1" x14ac:dyDescent="0.2"/>
    <row r="33698" ht="9.9499999999999993" hidden="1" customHeight="1" x14ac:dyDescent="0.2"/>
    <row r="33699" ht="9.9499999999999993" hidden="1" customHeight="1" x14ac:dyDescent="0.2"/>
    <row r="33700" ht="9.9499999999999993" hidden="1" customHeight="1" x14ac:dyDescent="0.2"/>
    <row r="33701" ht="9.9499999999999993" hidden="1" customHeight="1" x14ac:dyDescent="0.2"/>
    <row r="33702" ht="9.9499999999999993" hidden="1" customHeight="1" x14ac:dyDescent="0.2"/>
    <row r="33703" ht="9.9499999999999993" hidden="1" customHeight="1" x14ac:dyDescent="0.2"/>
    <row r="33704" ht="9.9499999999999993" hidden="1" customHeight="1" x14ac:dyDescent="0.2"/>
    <row r="33705" ht="9.9499999999999993" hidden="1" customHeight="1" x14ac:dyDescent="0.2"/>
    <row r="33706" ht="9.9499999999999993" hidden="1" customHeight="1" x14ac:dyDescent="0.2"/>
    <row r="33707" ht="9.9499999999999993" hidden="1" customHeight="1" x14ac:dyDescent="0.2"/>
    <row r="33708" ht="9.9499999999999993" hidden="1" customHeight="1" x14ac:dyDescent="0.2"/>
    <row r="33709" ht="9.9499999999999993" hidden="1" customHeight="1" x14ac:dyDescent="0.2"/>
    <row r="33710" ht="9.9499999999999993" hidden="1" customHeight="1" x14ac:dyDescent="0.2"/>
    <row r="33711" ht="9.9499999999999993" hidden="1" customHeight="1" x14ac:dyDescent="0.2"/>
    <row r="33712" ht="9.9499999999999993" hidden="1" customHeight="1" x14ac:dyDescent="0.2"/>
    <row r="33713" ht="9.9499999999999993" hidden="1" customHeight="1" x14ac:dyDescent="0.2"/>
    <row r="33714" ht="9.9499999999999993" hidden="1" customHeight="1" x14ac:dyDescent="0.2"/>
    <row r="33715" ht="9.9499999999999993" hidden="1" customHeight="1" x14ac:dyDescent="0.2"/>
    <row r="33716" ht="9.9499999999999993" hidden="1" customHeight="1" x14ac:dyDescent="0.2"/>
    <row r="33717" ht="9.9499999999999993" hidden="1" customHeight="1" x14ac:dyDescent="0.2"/>
    <row r="33718" ht="9.9499999999999993" hidden="1" customHeight="1" x14ac:dyDescent="0.2"/>
    <row r="33719" ht="9.9499999999999993" hidden="1" customHeight="1" x14ac:dyDescent="0.2"/>
    <row r="33720" ht="9.9499999999999993" hidden="1" customHeight="1" x14ac:dyDescent="0.2"/>
    <row r="33721" ht="9.9499999999999993" hidden="1" customHeight="1" x14ac:dyDescent="0.2"/>
    <row r="33722" ht="9.9499999999999993" hidden="1" customHeight="1" x14ac:dyDescent="0.2"/>
    <row r="33723" ht="9.9499999999999993" hidden="1" customHeight="1" x14ac:dyDescent="0.2"/>
    <row r="33724" ht="9.9499999999999993" hidden="1" customHeight="1" x14ac:dyDescent="0.2"/>
    <row r="33725" ht="9.9499999999999993" hidden="1" customHeight="1" x14ac:dyDescent="0.2"/>
    <row r="33726" ht="9.9499999999999993" hidden="1" customHeight="1" x14ac:dyDescent="0.2"/>
    <row r="33727" ht="9.9499999999999993" hidden="1" customHeight="1" x14ac:dyDescent="0.2"/>
    <row r="33728" ht="9.9499999999999993" hidden="1" customHeight="1" x14ac:dyDescent="0.2"/>
    <row r="33729" ht="9.9499999999999993" hidden="1" customHeight="1" x14ac:dyDescent="0.2"/>
    <row r="33730" ht="9.9499999999999993" hidden="1" customHeight="1" x14ac:dyDescent="0.2"/>
    <row r="33731" ht="9.9499999999999993" hidden="1" customHeight="1" x14ac:dyDescent="0.2"/>
    <row r="33732" ht="9.9499999999999993" hidden="1" customHeight="1" x14ac:dyDescent="0.2"/>
    <row r="33733" ht="9.9499999999999993" hidden="1" customHeight="1" x14ac:dyDescent="0.2"/>
    <row r="33734" ht="9.9499999999999993" hidden="1" customHeight="1" x14ac:dyDescent="0.2"/>
    <row r="33735" ht="9.9499999999999993" hidden="1" customHeight="1" x14ac:dyDescent="0.2"/>
    <row r="33736" ht="9.9499999999999993" hidden="1" customHeight="1" x14ac:dyDescent="0.2"/>
    <row r="33737" ht="9.9499999999999993" hidden="1" customHeight="1" x14ac:dyDescent="0.2"/>
    <row r="33738" ht="9.9499999999999993" hidden="1" customHeight="1" x14ac:dyDescent="0.2"/>
    <row r="33739" ht="9.9499999999999993" hidden="1" customHeight="1" x14ac:dyDescent="0.2"/>
    <row r="33740" ht="9.9499999999999993" hidden="1" customHeight="1" x14ac:dyDescent="0.2"/>
    <row r="33741" ht="9.9499999999999993" hidden="1" customHeight="1" x14ac:dyDescent="0.2"/>
    <row r="33742" ht="9.9499999999999993" hidden="1" customHeight="1" x14ac:dyDescent="0.2"/>
    <row r="33743" ht="9.9499999999999993" hidden="1" customHeight="1" x14ac:dyDescent="0.2"/>
    <row r="33744" ht="9.9499999999999993" hidden="1" customHeight="1" x14ac:dyDescent="0.2"/>
    <row r="33745" ht="9.9499999999999993" hidden="1" customHeight="1" x14ac:dyDescent="0.2"/>
    <row r="33746" ht="9.9499999999999993" hidden="1" customHeight="1" x14ac:dyDescent="0.2"/>
    <row r="33747" ht="9.9499999999999993" hidden="1" customHeight="1" x14ac:dyDescent="0.2"/>
    <row r="33748" ht="9.9499999999999993" hidden="1" customHeight="1" x14ac:dyDescent="0.2"/>
    <row r="33749" ht="9.9499999999999993" hidden="1" customHeight="1" x14ac:dyDescent="0.2"/>
    <row r="33750" ht="9.9499999999999993" hidden="1" customHeight="1" x14ac:dyDescent="0.2"/>
    <row r="33751" ht="9.9499999999999993" hidden="1" customHeight="1" x14ac:dyDescent="0.2"/>
    <row r="33752" ht="9.9499999999999993" hidden="1" customHeight="1" x14ac:dyDescent="0.2"/>
    <row r="33753" ht="9.9499999999999993" hidden="1" customHeight="1" x14ac:dyDescent="0.2"/>
    <row r="33754" ht="9.9499999999999993" hidden="1" customHeight="1" x14ac:dyDescent="0.2"/>
    <row r="33755" ht="9.9499999999999993" hidden="1" customHeight="1" x14ac:dyDescent="0.2"/>
    <row r="33756" ht="9.9499999999999993" hidden="1" customHeight="1" x14ac:dyDescent="0.2"/>
    <row r="33757" ht="9.9499999999999993" hidden="1" customHeight="1" x14ac:dyDescent="0.2"/>
    <row r="33758" ht="9.9499999999999993" hidden="1" customHeight="1" x14ac:dyDescent="0.2"/>
    <row r="33759" ht="9.9499999999999993" hidden="1" customHeight="1" x14ac:dyDescent="0.2"/>
    <row r="33760" ht="9.9499999999999993" hidden="1" customHeight="1" x14ac:dyDescent="0.2"/>
    <row r="33761" ht="9.9499999999999993" hidden="1" customHeight="1" x14ac:dyDescent="0.2"/>
    <row r="33762" ht="9.9499999999999993" hidden="1" customHeight="1" x14ac:dyDescent="0.2"/>
    <row r="33763" ht="9.9499999999999993" hidden="1" customHeight="1" x14ac:dyDescent="0.2"/>
    <row r="33764" ht="9.9499999999999993" hidden="1" customHeight="1" x14ac:dyDescent="0.2"/>
    <row r="33765" ht="9.9499999999999993" hidden="1" customHeight="1" x14ac:dyDescent="0.2"/>
    <row r="33766" ht="9.9499999999999993" hidden="1" customHeight="1" x14ac:dyDescent="0.2"/>
    <row r="33767" ht="9.9499999999999993" hidden="1" customHeight="1" x14ac:dyDescent="0.2"/>
    <row r="33768" ht="9.9499999999999993" hidden="1" customHeight="1" x14ac:dyDescent="0.2"/>
    <row r="33769" ht="9.9499999999999993" hidden="1" customHeight="1" x14ac:dyDescent="0.2"/>
    <row r="33770" ht="9.9499999999999993" hidden="1" customHeight="1" x14ac:dyDescent="0.2"/>
    <row r="33771" ht="9.9499999999999993" hidden="1" customHeight="1" x14ac:dyDescent="0.2"/>
    <row r="33772" ht="9.9499999999999993" hidden="1" customHeight="1" x14ac:dyDescent="0.2"/>
    <row r="33773" ht="9.9499999999999993" hidden="1" customHeight="1" x14ac:dyDescent="0.2"/>
    <row r="33774" ht="9.9499999999999993" hidden="1" customHeight="1" x14ac:dyDescent="0.2"/>
    <row r="33775" ht="9.9499999999999993" hidden="1" customHeight="1" x14ac:dyDescent="0.2"/>
    <row r="33776" ht="9.9499999999999993" hidden="1" customHeight="1" x14ac:dyDescent="0.2"/>
    <row r="33777" ht="9.9499999999999993" hidden="1" customHeight="1" x14ac:dyDescent="0.2"/>
    <row r="33778" ht="9.9499999999999993" hidden="1" customHeight="1" x14ac:dyDescent="0.2"/>
    <row r="33779" ht="9.9499999999999993" hidden="1" customHeight="1" x14ac:dyDescent="0.2"/>
    <row r="33780" ht="9.9499999999999993" hidden="1" customHeight="1" x14ac:dyDescent="0.2"/>
    <row r="33781" ht="9.9499999999999993" hidden="1" customHeight="1" x14ac:dyDescent="0.2"/>
    <row r="33782" ht="9.9499999999999993" hidden="1" customHeight="1" x14ac:dyDescent="0.2"/>
    <row r="33783" ht="9.9499999999999993" hidden="1" customHeight="1" x14ac:dyDescent="0.2"/>
    <row r="33784" ht="9.9499999999999993" hidden="1" customHeight="1" x14ac:dyDescent="0.2"/>
    <row r="33785" ht="9.9499999999999993" hidden="1" customHeight="1" x14ac:dyDescent="0.2"/>
    <row r="33786" ht="9.9499999999999993" hidden="1" customHeight="1" x14ac:dyDescent="0.2"/>
    <row r="33787" ht="9.9499999999999993" hidden="1" customHeight="1" x14ac:dyDescent="0.2"/>
    <row r="33788" ht="9.9499999999999993" hidden="1" customHeight="1" x14ac:dyDescent="0.2"/>
    <row r="33789" ht="9.9499999999999993" hidden="1" customHeight="1" x14ac:dyDescent="0.2"/>
    <row r="33790" ht="9.9499999999999993" hidden="1" customHeight="1" x14ac:dyDescent="0.2"/>
    <row r="33791" ht="9.9499999999999993" hidden="1" customHeight="1" x14ac:dyDescent="0.2"/>
    <row r="33792" ht="9.9499999999999993" hidden="1" customHeight="1" x14ac:dyDescent="0.2"/>
    <row r="33793" ht="9.9499999999999993" hidden="1" customHeight="1" x14ac:dyDescent="0.2"/>
    <row r="33794" ht="9.9499999999999993" hidden="1" customHeight="1" x14ac:dyDescent="0.2"/>
    <row r="33795" ht="9.9499999999999993" hidden="1" customHeight="1" x14ac:dyDescent="0.2"/>
    <row r="33796" ht="9.9499999999999993" hidden="1" customHeight="1" x14ac:dyDescent="0.2"/>
    <row r="33797" ht="9.9499999999999993" hidden="1" customHeight="1" x14ac:dyDescent="0.2"/>
    <row r="33798" ht="9.9499999999999993" hidden="1" customHeight="1" x14ac:dyDescent="0.2"/>
    <row r="33799" ht="9.9499999999999993" hidden="1" customHeight="1" x14ac:dyDescent="0.2"/>
    <row r="33800" ht="9.9499999999999993" hidden="1" customHeight="1" x14ac:dyDescent="0.2"/>
    <row r="33801" ht="9.9499999999999993" hidden="1" customHeight="1" x14ac:dyDescent="0.2"/>
    <row r="33802" ht="9.9499999999999993" hidden="1" customHeight="1" x14ac:dyDescent="0.2"/>
    <row r="33803" ht="9.9499999999999993" hidden="1" customHeight="1" x14ac:dyDescent="0.2"/>
    <row r="33804" ht="9.9499999999999993" hidden="1" customHeight="1" x14ac:dyDescent="0.2"/>
    <row r="33805" ht="9.9499999999999993" hidden="1" customHeight="1" x14ac:dyDescent="0.2"/>
    <row r="33806" ht="9.9499999999999993" hidden="1" customHeight="1" x14ac:dyDescent="0.2"/>
    <row r="33807" ht="9.9499999999999993" hidden="1" customHeight="1" x14ac:dyDescent="0.2"/>
    <row r="33808" ht="9.9499999999999993" hidden="1" customHeight="1" x14ac:dyDescent="0.2"/>
    <row r="33809" ht="9.9499999999999993" hidden="1" customHeight="1" x14ac:dyDescent="0.2"/>
    <row r="33810" ht="9.9499999999999993" hidden="1" customHeight="1" x14ac:dyDescent="0.2"/>
    <row r="33811" ht="9.9499999999999993" hidden="1" customHeight="1" x14ac:dyDescent="0.2"/>
    <row r="33812" ht="9.9499999999999993" hidden="1" customHeight="1" x14ac:dyDescent="0.2"/>
    <row r="33813" ht="9.9499999999999993" hidden="1" customHeight="1" x14ac:dyDescent="0.2"/>
    <row r="33814" ht="9.9499999999999993" hidden="1" customHeight="1" x14ac:dyDescent="0.2"/>
    <row r="33815" ht="9.9499999999999993" hidden="1" customHeight="1" x14ac:dyDescent="0.2"/>
    <row r="33816" ht="9.9499999999999993" hidden="1" customHeight="1" x14ac:dyDescent="0.2"/>
    <row r="33817" ht="9.9499999999999993" hidden="1" customHeight="1" x14ac:dyDescent="0.2"/>
    <row r="33818" ht="9.9499999999999993" hidden="1" customHeight="1" x14ac:dyDescent="0.2"/>
    <row r="33819" ht="9.9499999999999993" hidden="1" customHeight="1" x14ac:dyDescent="0.2"/>
    <row r="33820" ht="9.9499999999999993" hidden="1" customHeight="1" x14ac:dyDescent="0.2"/>
    <row r="33821" ht="9.9499999999999993" hidden="1" customHeight="1" x14ac:dyDescent="0.2"/>
    <row r="33822" ht="9.9499999999999993" hidden="1" customHeight="1" x14ac:dyDescent="0.2"/>
    <row r="33823" ht="9.9499999999999993" hidden="1" customHeight="1" x14ac:dyDescent="0.2"/>
    <row r="33824" ht="9.9499999999999993" hidden="1" customHeight="1" x14ac:dyDescent="0.2"/>
    <row r="33825" ht="9.9499999999999993" hidden="1" customHeight="1" x14ac:dyDescent="0.2"/>
    <row r="33826" ht="9.9499999999999993" hidden="1" customHeight="1" x14ac:dyDescent="0.2"/>
    <row r="33827" ht="9.9499999999999993" hidden="1" customHeight="1" x14ac:dyDescent="0.2"/>
    <row r="33828" ht="9.9499999999999993" hidden="1" customHeight="1" x14ac:dyDescent="0.2"/>
    <row r="33829" ht="9.9499999999999993" hidden="1" customHeight="1" x14ac:dyDescent="0.2"/>
    <row r="33830" ht="9.9499999999999993" hidden="1" customHeight="1" x14ac:dyDescent="0.2"/>
    <row r="33831" ht="9.9499999999999993" hidden="1" customHeight="1" x14ac:dyDescent="0.2"/>
    <row r="33832" ht="9.9499999999999993" hidden="1" customHeight="1" x14ac:dyDescent="0.2"/>
    <row r="33833" ht="9.9499999999999993" hidden="1" customHeight="1" x14ac:dyDescent="0.2"/>
    <row r="33834" ht="9.9499999999999993" hidden="1" customHeight="1" x14ac:dyDescent="0.2"/>
    <row r="33835" ht="9.9499999999999993" hidden="1" customHeight="1" x14ac:dyDescent="0.2"/>
    <row r="33836" ht="9.9499999999999993" hidden="1" customHeight="1" x14ac:dyDescent="0.2"/>
    <row r="33837" ht="9.9499999999999993" hidden="1" customHeight="1" x14ac:dyDescent="0.2"/>
    <row r="33838" ht="9.9499999999999993" hidden="1" customHeight="1" x14ac:dyDescent="0.2"/>
    <row r="33839" ht="9.9499999999999993" hidden="1" customHeight="1" x14ac:dyDescent="0.2"/>
    <row r="33840" ht="9.9499999999999993" hidden="1" customHeight="1" x14ac:dyDescent="0.2"/>
    <row r="33841" ht="9.9499999999999993" hidden="1" customHeight="1" x14ac:dyDescent="0.2"/>
    <row r="33842" ht="9.9499999999999993" hidden="1" customHeight="1" x14ac:dyDescent="0.2"/>
    <row r="33843" ht="9.9499999999999993" hidden="1" customHeight="1" x14ac:dyDescent="0.2"/>
    <row r="33844" ht="9.9499999999999993" hidden="1" customHeight="1" x14ac:dyDescent="0.2"/>
    <row r="33845" ht="9.9499999999999993" hidden="1" customHeight="1" x14ac:dyDescent="0.2"/>
    <row r="33846" ht="9.9499999999999993" hidden="1" customHeight="1" x14ac:dyDescent="0.2"/>
    <row r="33847" ht="9.9499999999999993" hidden="1" customHeight="1" x14ac:dyDescent="0.2"/>
    <row r="33848" ht="9.9499999999999993" hidden="1" customHeight="1" x14ac:dyDescent="0.2"/>
    <row r="33849" ht="9.9499999999999993" hidden="1" customHeight="1" x14ac:dyDescent="0.2"/>
    <row r="33850" ht="9.9499999999999993" hidden="1" customHeight="1" x14ac:dyDescent="0.2"/>
    <row r="33851" ht="9.9499999999999993" hidden="1" customHeight="1" x14ac:dyDescent="0.2"/>
    <row r="33852" ht="9.9499999999999993" hidden="1" customHeight="1" x14ac:dyDescent="0.2"/>
    <row r="33853" ht="9.9499999999999993" hidden="1" customHeight="1" x14ac:dyDescent="0.2"/>
    <row r="33854" ht="9.9499999999999993" hidden="1" customHeight="1" x14ac:dyDescent="0.2"/>
    <row r="33855" ht="9.9499999999999993" hidden="1" customHeight="1" x14ac:dyDescent="0.2"/>
    <row r="33856" ht="9.9499999999999993" hidden="1" customHeight="1" x14ac:dyDescent="0.2"/>
    <row r="33857" ht="9.9499999999999993" hidden="1" customHeight="1" x14ac:dyDescent="0.2"/>
    <row r="33858" ht="9.9499999999999993" hidden="1" customHeight="1" x14ac:dyDescent="0.2"/>
    <row r="33859" ht="9.9499999999999993" hidden="1" customHeight="1" x14ac:dyDescent="0.2"/>
    <row r="33860" ht="9.9499999999999993" hidden="1" customHeight="1" x14ac:dyDescent="0.2"/>
    <row r="33861" ht="9.9499999999999993" hidden="1" customHeight="1" x14ac:dyDescent="0.2"/>
    <row r="33862" ht="9.9499999999999993" hidden="1" customHeight="1" x14ac:dyDescent="0.2"/>
    <row r="33863" ht="9.9499999999999993" hidden="1" customHeight="1" x14ac:dyDescent="0.2"/>
    <row r="33864" ht="9.9499999999999993" hidden="1" customHeight="1" x14ac:dyDescent="0.2"/>
    <row r="33865" ht="9.9499999999999993" hidden="1" customHeight="1" x14ac:dyDescent="0.2"/>
    <row r="33866" ht="9.9499999999999993" hidden="1" customHeight="1" x14ac:dyDescent="0.2"/>
    <row r="33867" ht="9.9499999999999993" hidden="1" customHeight="1" x14ac:dyDescent="0.2"/>
    <row r="33868" ht="9.9499999999999993" hidden="1" customHeight="1" x14ac:dyDescent="0.2"/>
    <row r="33869" ht="9.9499999999999993" hidden="1" customHeight="1" x14ac:dyDescent="0.2"/>
    <row r="33870" ht="9.9499999999999993" hidden="1" customHeight="1" x14ac:dyDescent="0.2"/>
    <row r="33871" ht="9.9499999999999993" hidden="1" customHeight="1" x14ac:dyDescent="0.2"/>
    <row r="33872" ht="9.9499999999999993" hidden="1" customHeight="1" x14ac:dyDescent="0.2"/>
    <row r="33873" ht="9.9499999999999993" hidden="1" customHeight="1" x14ac:dyDescent="0.2"/>
    <row r="33874" ht="9.9499999999999993" hidden="1" customHeight="1" x14ac:dyDescent="0.2"/>
    <row r="33875" ht="9.9499999999999993" hidden="1" customHeight="1" x14ac:dyDescent="0.2"/>
    <row r="33876" ht="9.9499999999999993" hidden="1" customHeight="1" x14ac:dyDescent="0.2"/>
    <row r="33877" ht="9.9499999999999993" hidden="1" customHeight="1" x14ac:dyDescent="0.2"/>
    <row r="33878" ht="9.9499999999999993" hidden="1" customHeight="1" x14ac:dyDescent="0.2"/>
    <row r="33879" ht="9.9499999999999993" hidden="1" customHeight="1" x14ac:dyDescent="0.2"/>
    <row r="33880" ht="9.9499999999999993" hidden="1" customHeight="1" x14ac:dyDescent="0.2"/>
    <row r="33881" ht="9.9499999999999993" hidden="1" customHeight="1" x14ac:dyDescent="0.2"/>
    <row r="33882" ht="9.9499999999999993" hidden="1" customHeight="1" x14ac:dyDescent="0.2"/>
    <row r="33883" ht="9.9499999999999993" hidden="1" customHeight="1" x14ac:dyDescent="0.2"/>
    <row r="33884" ht="9.9499999999999993" hidden="1" customHeight="1" x14ac:dyDescent="0.2"/>
    <row r="33885" ht="9.9499999999999993" hidden="1" customHeight="1" x14ac:dyDescent="0.2"/>
    <row r="33886" ht="9.9499999999999993" hidden="1" customHeight="1" x14ac:dyDescent="0.2"/>
    <row r="33887" ht="9.9499999999999993" hidden="1" customHeight="1" x14ac:dyDescent="0.2"/>
    <row r="33888" ht="9.9499999999999993" hidden="1" customHeight="1" x14ac:dyDescent="0.2"/>
    <row r="33889" ht="9.9499999999999993" hidden="1" customHeight="1" x14ac:dyDescent="0.2"/>
    <row r="33890" ht="9.9499999999999993" hidden="1" customHeight="1" x14ac:dyDescent="0.2"/>
    <row r="33891" ht="9.9499999999999993" hidden="1" customHeight="1" x14ac:dyDescent="0.2"/>
    <row r="33892" ht="9.9499999999999993" hidden="1" customHeight="1" x14ac:dyDescent="0.2"/>
    <row r="33893" ht="9.9499999999999993" hidden="1" customHeight="1" x14ac:dyDescent="0.2"/>
    <row r="33894" ht="9.9499999999999993" hidden="1" customHeight="1" x14ac:dyDescent="0.2"/>
    <row r="33895" ht="9.9499999999999993" hidden="1" customHeight="1" x14ac:dyDescent="0.2"/>
    <row r="33896" ht="9.9499999999999993" hidden="1" customHeight="1" x14ac:dyDescent="0.2"/>
    <row r="33897" ht="9.9499999999999993" hidden="1" customHeight="1" x14ac:dyDescent="0.2"/>
    <row r="33898" ht="9.9499999999999993" hidden="1" customHeight="1" x14ac:dyDescent="0.2"/>
    <row r="33899" ht="9.9499999999999993" hidden="1" customHeight="1" x14ac:dyDescent="0.2"/>
    <row r="33900" ht="9.9499999999999993" hidden="1" customHeight="1" x14ac:dyDescent="0.2"/>
    <row r="33901" ht="9.9499999999999993" hidden="1" customHeight="1" x14ac:dyDescent="0.2"/>
    <row r="33902" ht="9.9499999999999993" hidden="1" customHeight="1" x14ac:dyDescent="0.2"/>
    <row r="33903" ht="9.9499999999999993" hidden="1" customHeight="1" x14ac:dyDescent="0.2"/>
    <row r="33904" ht="9.9499999999999993" hidden="1" customHeight="1" x14ac:dyDescent="0.2"/>
    <row r="33905" ht="9.9499999999999993" hidden="1" customHeight="1" x14ac:dyDescent="0.2"/>
    <row r="33906" ht="9.9499999999999993" hidden="1" customHeight="1" x14ac:dyDescent="0.2"/>
    <row r="33907" ht="9.9499999999999993" hidden="1" customHeight="1" x14ac:dyDescent="0.2"/>
    <row r="33908" ht="9.9499999999999993" hidden="1" customHeight="1" x14ac:dyDescent="0.2"/>
    <row r="33909" ht="9.9499999999999993" hidden="1" customHeight="1" x14ac:dyDescent="0.2"/>
    <row r="33910" ht="9.9499999999999993" hidden="1" customHeight="1" x14ac:dyDescent="0.2"/>
    <row r="33911" ht="9.9499999999999993" hidden="1" customHeight="1" x14ac:dyDescent="0.2"/>
    <row r="33912" ht="9.9499999999999993" hidden="1" customHeight="1" x14ac:dyDescent="0.2"/>
    <row r="33913" ht="9.9499999999999993" hidden="1" customHeight="1" x14ac:dyDescent="0.2"/>
    <row r="33914" ht="9.9499999999999993" hidden="1" customHeight="1" x14ac:dyDescent="0.2"/>
    <row r="33915" ht="9.9499999999999993" hidden="1" customHeight="1" x14ac:dyDescent="0.2"/>
    <row r="33916" ht="9.9499999999999993" hidden="1" customHeight="1" x14ac:dyDescent="0.2"/>
    <row r="33917" ht="9.9499999999999993" hidden="1" customHeight="1" x14ac:dyDescent="0.2"/>
    <row r="33918" ht="9.9499999999999993" hidden="1" customHeight="1" x14ac:dyDescent="0.2"/>
    <row r="33919" ht="9.9499999999999993" hidden="1" customHeight="1" x14ac:dyDescent="0.2"/>
    <row r="33920" ht="9.9499999999999993" hidden="1" customHeight="1" x14ac:dyDescent="0.2"/>
    <row r="33921" ht="9.9499999999999993" hidden="1" customHeight="1" x14ac:dyDescent="0.2"/>
    <row r="33922" ht="9.9499999999999993" hidden="1" customHeight="1" x14ac:dyDescent="0.2"/>
    <row r="33923" ht="9.9499999999999993" hidden="1" customHeight="1" x14ac:dyDescent="0.2"/>
    <row r="33924" ht="9.9499999999999993" hidden="1" customHeight="1" x14ac:dyDescent="0.2"/>
    <row r="33925" ht="9.9499999999999993" hidden="1" customHeight="1" x14ac:dyDescent="0.2"/>
    <row r="33926" ht="9.9499999999999993" hidden="1" customHeight="1" x14ac:dyDescent="0.2"/>
    <row r="33927" ht="9.9499999999999993" hidden="1" customHeight="1" x14ac:dyDescent="0.2"/>
    <row r="33928" ht="9.9499999999999993" hidden="1" customHeight="1" x14ac:dyDescent="0.2"/>
    <row r="33929" ht="9.9499999999999993" hidden="1" customHeight="1" x14ac:dyDescent="0.2"/>
    <row r="33930" ht="9.9499999999999993" hidden="1" customHeight="1" x14ac:dyDescent="0.2"/>
    <row r="33931" ht="9.9499999999999993" hidden="1" customHeight="1" x14ac:dyDescent="0.2"/>
    <row r="33932" ht="9.9499999999999993" hidden="1" customHeight="1" x14ac:dyDescent="0.2"/>
    <row r="33933" ht="9.9499999999999993" hidden="1" customHeight="1" x14ac:dyDescent="0.2"/>
    <row r="33934" ht="9.9499999999999993" hidden="1" customHeight="1" x14ac:dyDescent="0.2"/>
    <row r="33935" ht="9.9499999999999993" hidden="1" customHeight="1" x14ac:dyDescent="0.2"/>
    <row r="33936" ht="9.9499999999999993" hidden="1" customHeight="1" x14ac:dyDescent="0.2"/>
    <row r="33937" ht="9.9499999999999993" hidden="1" customHeight="1" x14ac:dyDescent="0.2"/>
    <row r="33938" ht="9.9499999999999993" hidden="1" customHeight="1" x14ac:dyDescent="0.2"/>
    <row r="33939" ht="9.9499999999999993" hidden="1" customHeight="1" x14ac:dyDescent="0.2"/>
    <row r="33940" ht="9.9499999999999993" hidden="1" customHeight="1" x14ac:dyDescent="0.2"/>
    <row r="33941" ht="9.9499999999999993" hidden="1" customHeight="1" x14ac:dyDescent="0.2"/>
    <row r="33942" ht="9.9499999999999993" hidden="1" customHeight="1" x14ac:dyDescent="0.2"/>
    <row r="33943" ht="9.9499999999999993" hidden="1" customHeight="1" x14ac:dyDescent="0.2"/>
    <row r="33944" ht="9.9499999999999993" hidden="1" customHeight="1" x14ac:dyDescent="0.2"/>
    <row r="33945" ht="9.9499999999999993" hidden="1" customHeight="1" x14ac:dyDescent="0.2"/>
    <row r="33946" ht="9.9499999999999993" hidden="1" customHeight="1" x14ac:dyDescent="0.2"/>
    <row r="33947" ht="9.9499999999999993" hidden="1" customHeight="1" x14ac:dyDescent="0.2"/>
    <row r="33948" ht="9.9499999999999993" hidden="1" customHeight="1" x14ac:dyDescent="0.2"/>
    <row r="33949" ht="9.9499999999999993" hidden="1" customHeight="1" x14ac:dyDescent="0.2"/>
    <row r="33950" ht="9.9499999999999993" hidden="1" customHeight="1" x14ac:dyDescent="0.2"/>
    <row r="33951" ht="9.9499999999999993" hidden="1" customHeight="1" x14ac:dyDescent="0.2"/>
    <row r="33952" ht="9.9499999999999993" hidden="1" customHeight="1" x14ac:dyDescent="0.2"/>
    <row r="33953" ht="9.9499999999999993" hidden="1" customHeight="1" x14ac:dyDescent="0.2"/>
    <row r="33954" ht="9.9499999999999993" hidden="1" customHeight="1" x14ac:dyDescent="0.2"/>
    <row r="33955" ht="9.9499999999999993" hidden="1" customHeight="1" x14ac:dyDescent="0.2"/>
    <row r="33956" ht="9.9499999999999993" hidden="1" customHeight="1" x14ac:dyDescent="0.2"/>
    <row r="33957" ht="9.9499999999999993" hidden="1" customHeight="1" x14ac:dyDescent="0.2"/>
    <row r="33958" ht="9.9499999999999993" hidden="1" customHeight="1" x14ac:dyDescent="0.2"/>
    <row r="33959" ht="9.9499999999999993" hidden="1" customHeight="1" x14ac:dyDescent="0.2"/>
    <row r="33960" ht="9.9499999999999993" hidden="1" customHeight="1" x14ac:dyDescent="0.2"/>
    <row r="33961" ht="9.9499999999999993" hidden="1" customHeight="1" x14ac:dyDescent="0.2"/>
    <row r="33962" ht="9.9499999999999993" hidden="1" customHeight="1" x14ac:dyDescent="0.2"/>
    <row r="33963" ht="9.9499999999999993" hidden="1" customHeight="1" x14ac:dyDescent="0.2"/>
    <row r="33964" ht="9.9499999999999993" hidden="1" customHeight="1" x14ac:dyDescent="0.2"/>
    <row r="33965" ht="9.9499999999999993" hidden="1" customHeight="1" x14ac:dyDescent="0.2"/>
    <row r="33966" ht="9.9499999999999993" hidden="1" customHeight="1" x14ac:dyDescent="0.2"/>
    <row r="33967" ht="9.9499999999999993" hidden="1" customHeight="1" x14ac:dyDescent="0.2"/>
    <row r="33968" ht="9.9499999999999993" hidden="1" customHeight="1" x14ac:dyDescent="0.2"/>
    <row r="33969" ht="9.9499999999999993" hidden="1" customHeight="1" x14ac:dyDescent="0.2"/>
    <row r="33970" ht="9.9499999999999993" hidden="1" customHeight="1" x14ac:dyDescent="0.2"/>
    <row r="33971" ht="9.9499999999999993" hidden="1" customHeight="1" x14ac:dyDescent="0.2"/>
    <row r="33972" ht="9.9499999999999993" hidden="1" customHeight="1" x14ac:dyDescent="0.2"/>
    <row r="33973" ht="9.9499999999999993" hidden="1" customHeight="1" x14ac:dyDescent="0.2"/>
    <row r="33974" ht="9.9499999999999993" hidden="1" customHeight="1" x14ac:dyDescent="0.2"/>
    <row r="33975" ht="9.9499999999999993" hidden="1" customHeight="1" x14ac:dyDescent="0.2"/>
    <row r="33976" ht="9.9499999999999993" hidden="1" customHeight="1" x14ac:dyDescent="0.2"/>
    <row r="33977" ht="9.9499999999999993" hidden="1" customHeight="1" x14ac:dyDescent="0.2"/>
    <row r="33978" ht="9.9499999999999993" hidden="1" customHeight="1" x14ac:dyDescent="0.2"/>
    <row r="33979" ht="9.9499999999999993" hidden="1" customHeight="1" x14ac:dyDescent="0.2"/>
    <row r="33980" ht="9.9499999999999993" hidden="1" customHeight="1" x14ac:dyDescent="0.2"/>
    <row r="33981" ht="9.9499999999999993" hidden="1" customHeight="1" x14ac:dyDescent="0.2"/>
    <row r="33982" ht="9.9499999999999993" hidden="1" customHeight="1" x14ac:dyDescent="0.2"/>
    <row r="33983" ht="9.9499999999999993" hidden="1" customHeight="1" x14ac:dyDescent="0.2"/>
    <row r="33984" ht="9.9499999999999993" hidden="1" customHeight="1" x14ac:dyDescent="0.2"/>
    <row r="33985" ht="9.9499999999999993" hidden="1" customHeight="1" x14ac:dyDescent="0.2"/>
    <row r="33986" ht="9.9499999999999993" hidden="1" customHeight="1" x14ac:dyDescent="0.2"/>
    <row r="33987" ht="9.9499999999999993" hidden="1" customHeight="1" x14ac:dyDescent="0.2"/>
    <row r="33988" ht="9.9499999999999993" hidden="1" customHeight="1" x14ac:dyDescent="0.2"/>
    <row r="33989" ht="9.9499999999999993" hidden="1" customHeight="1" x14ac:dyDescent="0.2"/>
    <row r="33990" ht="9.9499999999999993" hidden="1" customHeight="1" x14ac:dyDescent="0.2"/>
    <row r="33991" ht="9.9499999999999993" hidden="1" customHeight="1" x14ac:dyDescent="0.2"/>
    <row r="33992" ht="9.9499999999999993" hidden="1" customHeight="1" x14ac:dyDescent="0.2"/>
    <row r="33993" ht="9.9499999999999993" hidden="1" customHeight="1" x14ac:dyDescent="0.2"/>
    <row r="33994" ht="9.9499999999999993" hidden="1" customHeight="1" x14ac:dyDescent="0.2"/>
    <row r="33995" ht="9.9499999999999993" hidden="1" customHeight="1" x14ac:dyDescent="0.2"/>
    <row r="33996" ht="9.9499999999999993" hidden="1" customHeight="1" x14ac:dyDescent="0.2"/>
    <row r="33997" ht="9.9499999999999993" hidden="1" customHeight="1" x14ac:dyDescent="0.2"/>
    <row r="33998" ht="9.9499999999999993" hidden="1" customHeight="1" x14ac:dyDescent="0.2"/>
    <row r="33999" ht="9.9499999999999993" hidden="1" customHeight="1" x14ac:dyDescent="0.2"/>
    <row r="34000" ht="9.9499999999999993" hidden="1" customHeight="1" x14ac:dyDescent="0.2"/>
    <row r="34001" ht="9.9499999999999993" hidden="1" customHeight="1" x14ac:dyDescent="0.2"/>
    <row r="34002" ht="9.9499999999999993" hidden="1" customHeight="1" x14ac:dyDescent="0.2"/>
    <row r="34003" ht="9.9499999999999993" hidden="1" customHeight="1" x14ac:dyDescent="0.2"/>
    <row r="34004" ht="9.9499999999999993" hidden="1" customHeight="1" x14ac:dyDescent="0.2"/>
    <row r="34005" ht="9.9499999999999993" hidden="1" customHeight="1" x14ac:dyDescent="0.2"/>
    <row r="34006" ht="9.9499999999999993" hidden="1" customHeight="1" x14ac:dyDescent="0.2"/>
    <row r="34007" ht="9.9499999999999993" hidden="1" customHeight="1" x14ac:dyDescent="0.2"/>
    <row r="34008" ht="9.9499999999999993" hidden="1" customHeight="1" x14ac:dyDescent="0.2"/>
    <row r="34009" ht="9.9499999999999993" hidden="1" customHeight="1" x14ac:dyDescent="0.2"/>
    <row r="34010" ht="9.9499999999999993" hidden="1" customHeight="1" x14ac:dyDescent="0.2"/>
    <row r="34011" ht="9.9499999999999993" hidden="1" customHeight="1" x14ac:dyDescent="0.2"/>
    <row r="34012" ht="9.9499999999999993" hidden="1" customHeight="1" x14ac:dyDescent="0.2"/>
    <row r="34013" ht="9.9499999999999993" hidden="1" customHeight="1" x14ac:dyDescent="0.2"/>
    <row r="34014" ht="9.9499999999999993" hidden="1" customHeight="1" x14ac:dyDescent="0.2"/>
    <row r="34015" ht="9.9499999999999993" hidden="1" customHeight="1" x14ac:dyDescent="0.2"/>
    <row r="34016" ht="9.9499999999999993" hidden="1" customHeight="1" x14ac:dyDescent="0.2"/>
    <row r="34017" ht="9.9499999999999993" hidden="1" customHeight="1" x14ac:dyDescent="0.2"/>
    <row r="34018" ht="9.9499999999999993" hidden="1" customHeight="1" x14ac:dyDescent="0.2"/>
    <row r="34019" ht="9.9499999999999993" hidden="1" customHeight="1" x14ac:dyDescent="0.2"/>
    <row r="34020" ht="9.9499999999999993" hidden="1" customHeight="1" x14ac:dyDescent="0.2"/>
    <row r="34021" ht="9.9499999999999993" hidden="1" customHeight="1" x14ac:dyDescent="0.2"/>
    <row r="34022" ht="9.9499999999999993" hidden="1" customHeight="1" x14ac:dyDescent="0.2"/>
    <row r="34023" ht="9.9499999999999993" hidden="1" customHeight="1" x14ac:dyDescent="0.2"/>
    <row r="34024" ht="9.9499999999999993" hidden="1" customHeight="1" x14ac:dyDescent="0.2"/>
    <row r="34025" ht="9.9499999999999993" hidden="1" customHeight="1" x14ac:dyDescent="0.2"/>
    <row r="34026" ht="9.9499999999999993" hidden="1" customHeight="1" x14ac:dyDescent="0.2"/>
    <row r="34027" ht="9.9499999999999993" hidden="1" customHeight="1" x14ac:dyDescent="0.2"/>
    <row r="34028" ht="9.9499999999999993" hidden="1" customHeight="1" x14ac:dyDescent="0.2"/>
    <row r="34029" ht="9.9499999999999993" hidden="1" customHeight="1" x14ac:dyDescent="0.2"/>
    <row r="34030" ht="9.9499999999999993" hidden="1" customHeight="1" x14ac:dyDescent="0.2"/>
    <row r="34031" ht="9.9499999999999993" hidden="1" customHeight="1" x14ac:dyDescent="0.2"/>
    <row r="34032" ht="9.9499999999999993" hidden="1" customHeight="1" x14ac:dyDescent="0.2"/>
    <row r="34033" ht="9.9499999999999993" hidden="1" customHeight="1" x14ac:dyDescent="0.2"/>
    <row r="34034" ht="9.9499999999999993" hidden="1" customHeight="1" x14ac:dyDescent="0.2"/>
    <row r="34035" ht="9.9499999999999993" hidden="1" customHeight="1" x14ac:dyDescent="0.2"/>
    <row r="34036" ht="9.9499999999999993" hidden="1" customHeight="1" x14ac:dyDescent="0.2"/>
    <row r="34037" ht="9.9499999999999993" hidden="1" customHeight="1" x14ac:dyDescent="0.2"/>
    <row r="34038" ht="9.9499999999999993" hidden="1" customHeight="1" x14ac:dyDescent="0.2"/>
    <row r="34039" ht="9.9499999999999993" hidden="1" customHeight="1" x14ac:dyDescent="0.2"/>
    <row r="34040" ht="9.9499999999999993" hidden="1" customHeight="1" x14ac:dyDescent="0.2"/>
    <row r="34041" ht="9.9499999999999993" hidden="1" customHeight="1" x14ac:dyDescent="0.2"/>
    <row r="34042" ht="9.9499999999999993" hidden="1" customHeight="1" x14ac:dyDescent="0.2"/>
    <row r="34043" ht="9.9499999999999993" hidden="1" customHeight="1" x14ac:dyDescent="0.2"/>
    <row r="34044" ht="9.9499999999999993" hidden="1" customHeight="1" x14ac:dyDescent="0.2"/>
    <row r="34045" ht="9.9499999999999993" hidden="1" customHeight="1" x14ac:dyDescent="0.2"/>
    <row r="34046" ht="9.9499999999999993" hidden="1" customHeight="1" x14ac:dyDescent="0.2"/>
    <row r="34047" ht="9.9499999999999993" hidden="1" customHeight="1" x14ac:dyDescent="0.2"/>
    <row r="34048" ht="9.9499999999999993" hidden="1" customHeight="1" x14ac:dyDescent="0.2"/>
    <row r="34049" ht="9.9499999999999993" hidden="1" customHeight="1" x14ac:dyDescent="0.2"/>
    <row r="34050" ht="9.9499999999999993" hidden="1" customHeight="1" x14ac:dyDescent="0.2"/>
    <row r="34051" ht="9.9499999999999993" hidden="1" customHeight="1" x14ac:dyDescent="0.2"/>
    <row r="34052" ht="9.9499999999999993" hidden="1" customHeight="1" x14ac:dyDescent="0.2"/>
    <row r="34053" ht="9.9499999999999993" hidden="1" customHeight="1" x14ac:dyDescent="0.2"/>
    <row r="34054" ht="9.9499999999999993" hidden="1" customHeight="1" x14ac:dyDescent="0.2"/>
    <row r="34055" ht="9.9499999999999993" hidden="1" customHeight="1" x14ac:dyDescent="0.2"/>
    <row r="34056" ht="9.9499999999999993" hidden="1" customHeight="1" x14ac:dyDescent="0.2"/>
    <row r="34057" ht="9.9499999999999993" hidden="1" customHeight="1" x14ac:dyDescent="0.2"/>
    <row r="34058" ht="9.9499999999999993" hidden="1" customHeight="1" x14ac:dyDescent="0.2"/>
    <row r="34059" ht="9.9499999999999993" hidden="1" customHeight="1" x14ac:dyDescent="0.2"/>
    <row r="34060" ht="9.9499999999999993" hidden="1" customHeight="1" x14ac:dyDescent="0.2"/>
    <row r="34061" ht="9.9499999999999993" hidden="1" customHeight="1" x14ac:dyDescent="0.2"/>
    <row r="34062" ht="9.9499999999999993" hidden="1" customHeight="1" x14ac:dyDescent="0.2"/>
    <row r="34063" ht="9.9499999999999993" hidden="1" customHeight="1" x14ac:dyDescent="0.2"/>
    <row r="34064" ht="9.9499999999999993" hidden="1" customHeight="1" x14ac:dyDescent="0.2"/>
    <row r="34065" ht="9.9499999999999993" hidden="1" customHeight="1" x14ac:dyDescent="0.2"/>
    <row r="34066" ht="9.9499999999999993" hidden="1" customHeight="1" x14ac:dyDescent="0.2"/>
    <row r="34067" ht="9.9499999999999993" hidden="1" customHeight="1" x14ac:dyDescent="0.2"/>
    <row r="34068" ht="9.9499999999999993" hidden="1" customHeight="1" x14ac:dyDescent="0.2"/>
    <row r="34069" ht="9.9499999999999993" hidden="1" customHeight="1" x14ac:dyDescent="0.2"/>
    <row r="34070" ht="9.9499999999999993" hidden="1" customHeight="1" x14ac:dyDescent="0.2"/>
    <row r="34071" ht="9.9499999999999993" hidden="1" customHeight="1" x14ac:dyDescent="0.2"/>
    <row r="34072" ht="9.9499999999999993" hidden="1" customHeight="1" x14ac:dyDescent="0.2"/>
    <row r="34073" ht="9.9499999999999993" hidden="1" customHeight="1" x14ac:dyDescent="0.2"/>
    <row r="34074" ht="9.9499999999999993" hidden="1" customHeight="1" x14ac:dyDescent="0.2"/>
    <row r="34075" ht="9.9499999999999993" hidden="1" customHeight="1" x14ac:dyDescent="0.2"/>
    <row r="34076" ht="9.9499999999999993" hidden="1" customHeight="1" x14ac:dyDescent="0.2"/>
    <row r="34077" ht="9.9499999999999993" hidden="1" customHeight="1" x14ac:dyDescent="0.2"/>
    <row r="34078" ht="9.9499999999999993" hidden="1" customHeight="1" x14ac:dyDescent="0.2"/>
    <row r="34079" ht="9.9499999999999993" hidden="1" customHeight="1" x14ac:dyDescent="0.2"/>
    <row r="34080" ht="9.9499999999999993" hidden="1" customHeight="1" x14ac:dyDescent="0.2"/>
    <row r="34081" ht="9.9499999999999993" hidden="1" customHeight="1" x14ac:dyDescent="0.2"/>
    <row r="34082" ht="9.9499999999999993" hidden="1" customHeight="1" x14ac:dyDescent="0.2"/>
    <row r="34083" ht="9.9499999999999993" hidden="1" customHeight="1" x14ac:dyDescent="0.2"/>
    <row r="34084" ht="9.9499999999999993" hidden="1" customHeight="1" x14ac:dyDescent="0.2"/>
    <row r="34085" ht="9.9499999999999993" hidden="1" customHeight="1" x14ac:dyDescent="0.2"/>
    <row r="34086" ht="9.9499999999999993" hidden="1" customHeight="1" x14ac:dyDescent="0.2"/>
    <row r="34087" ht="9.9499999999999993" hidden="1" customHeight="1" x14ac:dyDescent="0.2"/>
    <row r="34088" ht="9.9499999999999993" hidden="1" customHeight="1" x14ac:dyDescent="0.2"/>
    <row r="34089" ht="9.9499999999999993" hidden="1" customHeight="1" x14ac:dyDescent="0.2"/>
    <row r="34090" ht="9.9499999999999993" hidden="1" customHeight="1" x14ac:dyDescent="0.2"/>
    <row r="34091" ht="9.9499999999999993" hidden="1" customHeight="1" x14ac:dyDescent="0.2"/>
    <row r="34092" ht="9.9499999999999993" hidden="1" customHeight="1" x14ac:dyDescent="0.2"/>
    <row r="34093" ht="9.9499999999999993" hidden="1" customHeight="1" x14ac:dyDescent="0.2"/>
    <row r="34094" ht="9.9499999999999993" hidden="1" customHeight="1" x14ac:dyDescent="0.2"/>
    <row r="34095" ht="9.9499999999999993" hidden="1" customHeight="1" x14ac:dyDescent="0.2"/>
    <row r="34096" ht="9.9499999999999993" hidden="1" customHeight="1" x14ac:dyDescent="0.2"/>
    <row r="34097" ht="9.9499999999999993" hidden="1" customHeight="1" x14ac:dyDescent="0.2"/>
    <row r="34098" ht="9.9499999999999993" hidden="1" customHeight="1" x14ac:dyDescent="0.2"/>
    <row r="34099" ht="9.9499999999999993" hidden="1" customHeight="1" x14ac:dyDescent="0.2"/>
    <row r="34100" ht="9.9499999999999993" hidden="1" customHeight="1" x14ac:dyDescent="0.2"/>
    <row r="34101" ht="9.9499999999999993" hidden="1" customHeight="1" x14ac:dyDescent="0.2"/>
    <row r="34102" ht="9.9499999999999993" hidden="1" customHeight="1" x14ac:dyDescent="0.2"/>
    <row r="34103" ht="9.9499999999999993" hidden="1" customHeight="1" x14ac:dyDescent="0.2"/>
    <row r="34104" ht="9.9499999999999993" hidden="1" customHeight="1" x14ac:dyDescent="0.2"/>
    <row r="34105" ht="9.9499999999999993" hidden="1" customHeight="1" x14ac:dyDescent="0.2"/>
    <row r="34106" ht="9.9499999999999993" hidden="1" customHeight="1" x14ac:dyDescent="0.2"/>
    <row r="34107" ht="9.9499999999999993" hidden="1" customHeight="1" x14ac:dyDescent="0.2"/>
    <row r="34108" ht="9.9499999999999993" hidden="1" customHeight="1" x14ac:dyDescent="0.2"/>
    <row r="34109" ht="9.9499999999999993" hidden="1" customHeight="1" x14ac:dyDescent="0.2"/>
    <row r="34110" ht="9.9499999999999993" hidden="1" customHeight="1" x14ac:dyDescent="0.2"/>
    <row r="34111" ht="9.9499999999999993" hidden="1" customHeight="1" x14ac:dyDescent="0.2"/>
    <row r="34112" ht="9.9499999999999993" hidden="1" customHeight="1" x14ac:dyDescent="0.2"/>
    <row r="34113" ht="9.9499999999999993" hidden="1" customHeight="1" x14ac:dyDescent="0.2"/>
    <row r="34114" ht="9.9499999999999993" hidden="1" customHeight="1" x14ac:dyDescent="0.2"/>
    <row r="34115" ht="9.9499999999999993" hidden="1" customHeight="1" x14ac:dyDescent="0.2"/>
    <row r="34116" ht="9.9499999999999993" hidden="1" customHeight="1" x14ac:dyDescent="0.2"/>
    <row r="34117" ht="9.9499999999999993" hidden="1" customHeight="1" x14ac:dyDescent="0.2"/>
    <row r="34118" ht="9.9499999999999993" hidden="1" customHeight="1" x14ac:dyDescent="0.2"/>
    <row r="34119" ht="9.9499999999999993" hidden="1" customHeight="1" x14ac:dyDescent="0.2"/>
    <row r="34120" ht="9.9499999999999993" hidden="1" customHeight="1" x14ac:dyDescent="0.2"/>
    <row r="34121" ht="9.9499999999999993" hidden="1" customHeight="1" x14ac:dyDescent="0.2"/>
    <row r="34122" ht="9.9499999999999993" hidden="1" customHeight="1" x14ac:dyDescent="0.2"/>
    <row r="34123" ht="9.9499999999999993" hidden="1" customHeight="1" x14ac:dyDescent="0.2"/>
    <row r="34124" ht="9.9499999999999993" hidden="1" customHeight="1" x14ac:dyDescent="0.2"/>
    <row r="34125" ht="9.9499999999999993" hidden="1" customHeight="1" x14ac:dyDescent="0.2"/>
    <row r="34126" ht="9.9499999999999993" hidden="1" customHeight="1" x14ac:dyDescent="0.2"/>
    <row r="34127" ht="9.9499999999999993" hidden="1" customHeight="1" x14ac:dyDescent="0.2"/>
    <row r="34128" ht="9.9499999999999993" hidden="1" customHeight="1" x14ac:dyDescent="0.2"/>
    <row r="34129" ht="9.9499999999999993" hidden="1" customHeight="1" x14ac:dyDescent="0.2"/>
    <row r="34130" ht="9.9499999999999993" hidden="1" customHeight="1" x14ac:dyDescent="0.2"/>
    <row r="34131" ht="9.9499999999999993" hidden="1" customHeight="1" x14ac:dyDescent="0.2"/>
    <row r="34132" ht="9.9499999999999993" hidden="1" customHeight="1" x14ac:dyDescent="0.2"/>
    <row r="34133" ht="9.9499999999999993" hidden="1" customHeight="1" x14ac:dyDescent="0.2"/>
    <row r="34134" ht="9.9499999999999993" hidden="1" customHeight="1" x14ac:dyDescent="0.2"/>
    <row r="34135" ht="9.9499999999999993" hidden="1" customHeight="1" x14ac:dyDescent="0.2"/>
    <row r="34136" ht="9.9499999999999993" hidden="1" customHeight="1" x14ac:dyDescent="0.2"/>
    <row r="34137" ht="9.9499999999999993" hidden="1" customHeight="1" x14ac:dyDescent="0.2"/>
    <row r="34138" ht="9.9499999999999993" hidden="1" customHeight="1" x14ac:dyDescent="0.2"/>
    <row r="34139" ht="9.9499999999999993" hidden="1" customHeight="1" x14ac:dyDescent="0.2"/>
    <row r="34140" ht="9.9499999999999993" hidden="1" customHeight="1" x14ac:dyDescent="0.2"/>
    <row r="34141" ht="9.9499999999999993" hidden="1" customHeight="1" x14ac:dyDescent="0.2"/>
    <row r="34142" ht="9.9499999999999993" hidden="1" customHeight="1" x14ac:dyDescent="0.2"/>
    <row r="34143" ht="9.9499999999999993" hidden="1" customHeight="1" x14ac:dyDescent="0.2"/>
    <row r="34144" ht="9.9499999999999993" hidden="1" customHeight="1" x14ac:dyDescent="0.2"/>
    <row r="34145" ht="9.9499999999999993" hidden="1" customHeight="1" x14ac:dyDescent="0.2"/>
    <row r="34146" ht="9.9499999999999993" hidden="1" customHeight="1" x14ac:dyDescent="0.2"/>
    <row r="34147" ht="9.9499999999999993" hidden="1" customHeight="1" x14ac:dyDescent="0.2"/>
    <row r="34148" ht="9.9499999999999993" hidden="1" customHeight="1" x14ac:dyDescent="0.2"/>
    <row r="34149" ht="9.9499999999999993" hidden="1" customHeight="1" x14ac:dyDescent="0.2"/>
    <row r="34150" ht="9.9499999999999993" hidden="1" customHeight="1" x14ac:dyDescent="0.2"/>
    <row r="34151" ht="9.9499999999999993" hidden="1" customHeight="1" x14ac:dyDescent="0.2"/>
    <row r="34152" ht="9.9499999999999993" hidden="1" customHeight="1" x14ac:dyDescent="0.2"/>
    <row r="34153" ht="9.9499999999999993" hidden="1" customHeight="1" x14ac:dyDescent="0.2"/>
    <row r="34154" ht="9.9499999999999993" hidden="1" customHeight="1" x14ac:dyDescent="0.2"/>
    <row r="34155" ht="9.9499999999999993" hidden="1" customHeight="1" x14ac:dyDescent="0.2"/>
    <row r="34156" ht="9.9499999999999993" hidden="1" customHeight="1" x14ac:dyDescent="0.2"/>
    <row r="34157" ht="9.9499999999999993" hidden="1" customHeight="1" x14ac:dyDescent="0.2"/>
    <row r="34158" ht="9.9499999999999993" hidden="1" customHeight="1" x14ac:dyDescent="0.2"/>
    <row r="34159" ht="9.9499999999999993" hidden="1" customHeight="1" x14ac:dyDescent="0.2"/>
    <row r="34160" ht="9.9499999999999993" hidden="1" customHeight="1" x14ac:dyDescent="0.2"/>
    <row r="34161" ht="9.9499999999999993" hidden="1" customHeight="1" x14ac:dyDescent="0.2"/>
    <row r="34162" ht="9.9499999999999993" hidden="1" customHeight="1" x14ac:dyDescent="0.2"/>
    <row r="34163" ht="9.9499999999999993" hidden="1" customHeight="1" x14ac:dyDescent="0.2"/>
    <row r="34164" ht="9.9499999999999993" hidden="1" customHeight="1" x14ac:dyDescent="0.2"/>
    <row r="34165" ht="9.9499999999999993" hidden="1" customHeight="1" x14ac:dyDescent="0.2"/>
    <row r="34166" ht="9.9499999999999993" hidden="1" customHeight="1" x14ac:dyDescent="0.2"/>
    <row r="34167" ht="9.9499999999999993" hidden="1" customHeight="1" x14ac:dyDescent="0.2"/>
    <row r="34168" ht="9.9499999999999993" hidden="1" customHeight="1" x14ac:dyDescent="0.2"/>
    <row r="34169" ht="9.9499999999999993" hidden="1" customHeight="1" x14ac:dyDescent="0.2"/>
    <row r="34170" ht="9.9499999999999993" hidden="1" customHeight="1" x14ac:dyDescent="0.2"/>
    <row r="34171" ht="9.9499999999999993" hidden="1" customHeight="1" x14ac:dyDescent="0.2"/>
    <row r="34172" ht="9.9499999999999993" hidden="1" customHeight="1" x14ac:dyDescent="0.2"/>
    <row r="34173" ht="9.9499999999999993" hidden="1" customHeight="1" x14ac:dyDescent="0.2"/>
    <row r="34174" ht="9.9499999999999993" hidden="1" customHeight="1" x14ac:dyDescent="0.2"/>
    <row r="34175" ht="9.9499999999999993" hidden="1" customHeight="1" x14ac:dyDescent="0.2"/>
    <row r="34176" ht="9.9499999999999993" hidden="1" customHeight="1" x14ac:dyDescent="0.2"/>
    <row r="34177" ht="9.9499999999999993" hidden="1" customHeight="1" x14ac:dyDescent="0.2"/>
    <row r="34178" ht="9.9499999999999993" hidden="1" customHeight="1" x14ac:dyDescent="0.2"/>
    <row r="34179" ht="9.9499999999999993" hidden="1" customHeight="1" x14ac:dyDescent="0.2"/>
    <row r="34180" ht="9.9499999999999993" hidden="1" customHeight="1" x14ac:dyDescent="0.2"/>
    <row r="34181" ht="9.9499999999999993" hidden="1" customHeight="1" x14ac:dyDescent="0.2"/>
    <row r="34182" ht="9.9499999999999993" hidden="1" customHeight="1" x14ac:dyDescent="0.2"/>
    <row r="34183" ht="9.9499999999999993" hidden="1" customHeight="1" x14ac:dyDescent="0.2"/>
    <row r="34184" ht="9.9499999999999993" hidden="1" customHeight="1" x14ac:dyDescent="0.2"/>
    <row r="34185" ht="9.9499999999999993" hidden="1" customHeight="1" x14ac:dyDescent="0.2"/>
    <row r="34186" ht="9.9499999999999993" hidden="1" customHeight="1" x14ac:dyDescent="0.2"/>
    <row r="34187" ht="9.9499999999999993" hidden="1" customHeight="1" x14ac:dyDescent="0.2"/>
    <row r="34188" ht="9.9499999999999993" hidden="1" customHeight="1" x14ac:dyDescent="0.2"/>
    <row r="34189" ht="9.9499999999999993" hidden="1" customHeight="1" x14ac:dyDescent="0.2"/>
    <row r="34190" ht="9.9499999999999993" hidden="1" customHeight="1" x14ac:dyDescent="0.2"/>
    <row r="34191" ht="9.9499999999999993" hidden="1" customHeight="1" x14ac:dyDescent="0.2"/>
    <row r="34192" ht="9.9499999999999993" hidden="1" customHeight="1" x14ac:dyDescent="0.2"/>
    <row r="34193" ht="9.9499999999999993" hidden="1" customHeight="1" x14ac:dyDescent="0.2"/>
    <row r="34194" ht="9.9499999999999993" hidden="1" customHeight="1" x14ac:dyDescent="0.2"/>
    <row r="34195" ht="9.9499999999999993" hidden="1" customHeight="1" x14ac:dyDescent="0.2"/>
    <row r="34196" ht="9.9499999999999993" hidden="1" customHeight="1" x14ac:dyDescent="0.2"/>
    <row r="34197" ht="9.9499999999999993" hidden="1" customHeight="1" x14ac:dyDescent="0.2"/>
    <row r="34198" ht="9.9499999999999993" hidden="1" customHeight="1" x14ac:dyDescent="0.2"/>
    <row r="34199" ht="9.9499999999999993" hidden="1" customHeight="1" x14ac:dyDescent="0.2"/>
    <row r="34200" ht="9.9499999999999993" hidden="1" customHeight="1" x14ac:dyDescent="0.2"/>
    <row r="34201" ht="9.9499999999999993" hidden="1" customHeight="1" x14ac:dyDescent="0.2"/>
    <row r="34202" ht="9.9499999999999993" hidden="1" customHeight="1" x14ac:dyDescent="0.2"/>
    <row r="34203" ht="9.9499999999999993" hidden="1" customHeight="1" x14ac:dyDescent="0.2"/>
    <row r="34204" ht="9.9499999999999993" hidden="1" customHeight="1" x14ac:dyDescent="0.2"/>
    <row r="34205" ht="9.9499999999999993" hidden="1" customHeight="1" x14ac:dyDescent="0.2"/>
    <row r="34206" ht="9.9499999999999993" hidden="1" customHeight="1" x14ac:dyDescent="0.2"/>
    <row r="34207" ht="9.9499999999999993" hidden="1" customHeight="1" x14ac:dyDescent="0.2"/>
    <row r="34208" ht="9.9499999999999993" hidden="1" customHeight="1" x14ac:dyDescent="0.2"/>
    <row r="34209" ht="9.9499999999999993" hidden="1" customHeight="1" x14ac:dyDescent="0.2"/>
    <row r="34210" ht="9.9499999999999993" hidden="1" customHeight="1" x14ac:dyDescent="0.2"/>
    <row r="34211" ht="9.9499999999999993" hidden="1" customHeight="1" x14ac:dyDescent="0.2"/>
    <row r="34212" ht="9.9499999999999993" hidden="1" customHeight="1" x14ac:dyDescent="0.2"/>
    <row r="34213" ht="9.9499999999999993" hidden="1" customHeight="1" x14ac:dyDescent="0.2"/>
    <row r="34214" ht="9.9499999999999993" hidden="1" customHeight="1" x14ac:dyDescent="0.2"/>
    <row r="34215" ht="9.9499999999999993" hidden="1" customHeight="1" x14ac:dyDescent="0.2"/>
    <row r="34216" ht="9.9499999999999993" hidden="1" customHeight="1" x14ac:dyDescent="0.2"/>
    <row r="34217" ht="9.9499999999999993" hidden="1" customHeight="1" x14ac:dyDescent="0.2"/>
    <row r="34218" ht="9.9499999999999993" hidden="1" customHeight="1" x14ac:dyDescent="0.2"/>
    <row r="34219" ht="9.9499999999999993" hidden="1" customHeight="1" x14ac:dyDescent="0.2"/>
    <row r="34220" ht="9.9499999999999993" hidden="1" customHeight="1" x14ac:dyDescent="0.2"/>
    <row r="34221" ht="9.9499999999999993" hidden="1" customHeight="1" x14ac:dyDescent="0.2"/>
    <row r="34222" ht="9.9499999999999993" hidden="1" customHeight="1" x14ac:dyDescent="0.2"/>
    <row r="34223" ht="9.9499999999999993" hidden="1" customHeight="1" x14ac:dyDescent="0.2"/>
    <row r="34224" ht="9.9499999999999993" hidden="1" customHeight="1" x14ac:dyDescent="0.2"/>
    <row r="34225" ht="9.9499999999999993" hidden="1" customHeight="1" x14ac:dyDescent="0.2"/>
    <row r="34226" ht="9.9499999999999993" hidden="1" customHeight="1" x14ac:dyDescent="0.2"/>
    <row r="34227" ht="9.9499999999999993" hidden="1" customHeight="1" x14ac:dyDescent="0.2"/>
    <row r="34228" ht="9.9499999999999993" hidden="1" customHeight="1" x14ac:dyDescent="0.2"/>
    <row r="34229" ht="9.9499999999999993" hidden="1" customHeight="1" x14ac:dyDescent="0.2"/>
    <row r="34230" ht="9.9499999999999993" hidden="1" customHeight="1" x14ac:dyDescent="0.2"/>
    <row r="34231" ht="9.9499999999999993" hidden="1" customHeight="1" x14ac:dyDescent="0.2"/>
    <row r="34232" ht="9.9499999999999993" hidden="1" customHeight="1" x14ac:dyDescent="0.2"/>
    <row r="34233" ht="9.9499999999999993" hidden="1" customHeight="1" x14ac:dyDescent="0.2"/>
    <row r="34234" ht="9.9499999999999993" hidden="1" customHeight="1" x14ac:dyDescent="0.2"/>
    <row r="34235" ht="9.9499999999999993" hidden="1" customHeight="1" x14ac:dyDescent="0.2"/>
    <row r="34236" ht="9.9499999999999993" hidden="1" customHeight="1" x14ac:dyDescent="0.2"/>
    <row r="34237" ht="9.9499999999999993" hidden="1" customHeight="1" x14ac:dyDescent="0.2"/>
    <row r="34238" ht="9.9499999999999993" hidden="1" customHeight="1" x14ac:dyDescent="0.2"/>
    <row r="34239" ht="9.9499999999999993" hidden="1" customHeight="1" x14ac:dyDescent="0.2"/>
    <row r="34240" ht="9.9499999999999993" hidden="1" customHeight="1" x14ac:dyDescent="0.2"/>
    <row r="34241" ht="9.9499999999999993" hidden="1" customHeight="1" x14ac:dyDescent="0.2"/>
    <row r="34242" ht="9.9499999999999993" hidden="1" customHeight="1" x14ac:dyDescent="0.2"/>
    <row r="34243" ht="9.9499999999999993" hidden="1" customHeight="1" x14ac:dyDescent="0.2"/>
    <row r="34244" ht="9.9499999999999993" hidden="1" customHeight="1" x14ac:dyDescent="0.2"/>
    <row r="34245" ht="9.9499999999999993" hidden="1" customHeight="1" x14ac:dyDescent="0.2"/>
    <row r="34246" ht="9.9499999999999993" hidden="1" customHeight="1" x14ac:dyDescent="0.2"/>
    <row r="34247" ht="9.9499999999999993" hidden="1" customHeight="1" x14ac:dyDescent="0.2"/>
    <row r="34248" ht="9.9499999999999993" hidden="1" customHeight="1" x14ac:dyDescent="0.2"/>
    <row r="34249" ht="9.9499999999999993" hidden="1" customHeight="1" x14ac:dyDescent="0.2"/>
    <row r="34250" ht="9.9499999999999993" hidden="1" customHeight="1" x14ac:dyDescent="0.2"/>
    <row r="34251" ht="9.9499999999999993" hidden="1" customHeight="1" x14ac:dyDescent="0.2"/>
    <row r="34252" ht="9.9499999999999993" hidden="1" customHeight="1" x14ac:dyDescent="0.2"/>
    <row r="34253" ht="9.9499999999999993" hidden="1" customHeight="1" x14ac:dyDescent="0.2"/>
    <row r="34254" ht="9.9499999999999993" hidden="1" customHeight="1" x14ac:dyDescent="0.2"/>
    <row r="34255" ht="9.9499999999999993" hidden="1" customHeight="1" x14ac:dyDescent="0.2"/>
    <row r="34256" ht="9.9499999999999993" hidden="1" customHeight="1" x14ac:dyDescent="0.2"/>
    <row r="34257" ht="9.9499999999999993" hidden="1" customHeight="1" x14ac:dyDescent="0.2"/>
    <row r="34258" ht="9.9499999999999993" hidden="1" customHeight="1" x14ac:dyDescent="0.2"/>
    <row r="34259" ht="9.9499999999999993" hidden="1" customHeight="1" x14ac:dyDescent="0.2"/>
    <row r="34260" ht="9.9499999999999993" hidden="1" customHeight="1" x14ac:dyDescent="0.2"/>
    <row r="34261" ht="9.9499999999999993" hidden="1" customHeight="1" x14ac:dyDescent="0.2"/>
    <row r="34262" ht="9.9499999999999993" hidden="1" customHeight="1" x14ac:dyDescent="0.2"/>
    <row r="34263" ht="9.9499999999999993" hidden="1" customHeight="1" x14ac:dyDescent="0.2"/>
    <row r="34264" ht="9.9499999999999993" hidden="1" customHeight="1" x14ac:dyDescent="0.2"/>
    <row r="34265" ht="9.9499999999999993" hidden="1" customHeight="1" x14ac:dyDescent="0.2"/>
    <row r="34266" ht="9.9499999999999993" hidden="1" customHeight="1" x14ac:dyDescent="0.2"/>
    <row r="34267" ht="9.9499999999999993" hidden="1" customHeight="1" x14ac:dyDescent="0.2"/>
    <row r="34268" ht="9.9499999999999993" hidden="1" customHeight="1" x14ac:dyDescent="0.2"/>
    <row r="34269" ht="9.9499999999999993" hidden="1" customHeight="1" x14ac:dyDescent="0.2"/>
    <row r="34270" ht="9.9499999999999993" hidden="1" customHeight="1" x14ac:dyDescent="0.2"/>
    <row r="34271" ht="9.9499999999999993" hidden="1" customHeight="1" x14ac:dyDescent="0.2"/>
    <row r="34272" ht="9.9499999999999993" hidden="1" customHeight="1" x14ac:dyDescent="0.2"/>
    <row r="34273" ht="9.9499999999999993" hidden="1" customHeight="1" x14ac:dyDescent="0.2"/>
    <row r="34274" ht="9.9499999999999993" hidden="1" customHeight="1" x14ac:dyDescent="0.2"/>
    <row r="34275" ht="9.9499999999999993" hidden="1" customHeight="1" x14ac:dyDescent="0.2"/>
    <row r="34276" ht="9.9499999999999993" hidden="1" customHeight="1" x14ac:dyDescent="0.2"/>
    <row r="34277" ht="9.9499999999999993" hidden="1" customHeight="1" x14ac:dyDescent="0.2"/>
    <row r="34278" ht="9.9499999999999993" hidden="1" customHeight="1" x14ac:dyDescent="0.2"/>
    <row r="34279" ht="9.9499999999999993" hidden="1" customHeight="1" x14ac:dyDescent="0.2"/>
    <row r="34280" ht="9.9499999999999993" hidden="1" customHeight="1" x14ac:dyDescent="0.2"/>
    <row r="34281" ht="9.9499999999999993" hidden="1" customHeight="1" x14ac:dyDescent="0.2"/>
    <row r="34282" ht="9.9499999999999993" hidden="1" customHeight="1" x14ac:dyDescent="0.2"/>
    <row r="34283" ht="9.9499999999999993" hidden="1" customHeight="1" x14ac:dyDescent="0.2"/>
    <row r="34284" ht="9.9499999999999993" hidden="1" customHeight="1" x14ac:dyDescent="0.2"/>
    <row r="34285" ht="9.9499999999999993" hidden="1" customHeight="1" x14ac:dyDescent="0.2"/>
    <row r="34286" ht="9.9499999999999993" hidden="1" customHeight="1" x14ac:dyDescent="0.2"/>
    <row r="34287" ht="9.9499999999999993" hidden="1" customHeight="1" x14ac:dyDescent="0.2"/>
    <row r="34288" ht="9.9499999999999993" hidden="1" customHeight="1" x14ac:dyDescent="0.2"/>
    <row r="34289" ht="9.9499999999999993" hidden="1" customHeight="1" x14ac:dyDescent="0.2"/>
    <row r="34290" ht="9.9499999999999993" hidden="1" customHeight="1" x14ac:dyDescent="0.2"/>
    <row r="34291" ht="9.9499999999999993" hidden="1" customHeight="1" x14ac:dyDescent="0.2"/>
    <row r="34292" ht="9.9499999999999993" hidden="1" customHeight="1" x14ac:dyDescent="0.2"/>
    <row r="34293" ht="9.9499999999999993" hidden="1" customHeight="1" x14ac:dyDescent="0.2"/>
    <row r="34294" ht="9.9499999999999993" hidden="1" customHeight="1" x14ac:dyDescent="0.2"/>
    <row r="34295" ht="9.9499999999999993" hidden="1" customHeight="1" x14ac:dyDescent="0.2"/>
    <row r="34296" ht="9.9499999999999993" hidden="1" customHeight="1" x14ac:dyDescent="0.2"/>
    <row r="34297" ht="9.9499999999999993" hidden="1" customHeight="1" x14ac:dyDescent="0.2"/>
    <row r="34298" ht="9.9499999999999993" hidden="1" customHeight="1" x14ac:dyDescent="0.2"/>
    <row r="34299" ht="9.9499999999999993" hidden="1" customHeight="1" x14ac:dyDescent="0.2"/>
    <row r="34300" ht="9.9499999999999993" hidden="1" customHeight="1" x14ac:dyDescent="0.2"/>
    <row r="34301" ht="9.9499999999999993" hidden="1" customHeight="1" x14ac:dyDescent="0.2"/>
    <row r="34302" ht="9.9499999999999993" hidden="1" customHeight="1" x14ac:dyDescent="0.2"/>
    <row r="34303" ht="9.9499999999999993" hidden="1" customHeight="1" x14ac:dyDescent="0.2"/>
    <row r="34304" ht="9.9499999999999993" hidden="1" customHeight="1" x14ac:dyDescent="0.2"/>
    <row r="34305" ht="9.9499999999999993" hidden="1" customHeight="1" x14ac:dyDescent="0.2"/>
    <row r="34306" ht="9.9499999999999993" hidden="1" customHeight="1" x14ac:dyDescent="0.2"/>
    <row r="34307" ht="9.9499999999999993" hidden="1" customHeight="1" x14ac:dyDescent="0.2"/>
    <row r="34308" ht="9.9499999999999993" hidden="1" customHeight="1" x14ac:dyDescent="0.2"/>
    <row r="34309" ht="9.9499999999999993" hidden="1" customHeight="1" x14ac:dyDescent="0.2"/>
    <row r="34310" ht="9.9499999999999993" hidden="1" customHeight="1" x14ac:dyDescent="0.2"/>
    <row r="34311" ht="9.9499999999999993" hidden="1" customHeight="1" x14ac:dyDescent="0.2"/>
    <row r="34312" ht="9.9499999999999993" hidden="1" customHeight="1" x14ac:dyDescent="0.2"/>
    <row r="34313" ht="9.9499999999999993" hidden="1" customHeight="1" x14ac:dyDescent="0.2"/>
    <row r="34314" ht="9.9499999999999993" hidden="1" customHeight="1" x14ac:dyDescent="0.2"/>
    <row r="34315" ht="9.9499999999999993" hidden="1" customHeight="1" x14ac:dyDescent="0.2"/>
    <row r="34316" ht="9.9499999999999993" hidden="1" customHeight="1" x14ac:dyDescent="0.2"/>
    <row r="34317" ht="9.9499999999999993" hidden="1" customHeight="1" x14ac:dyDescent="0.2"/>
    <row r="34318" ht="9.9499999999999993" hidden="1" customHeight="1" x14ac:dyDescent="0.2"/>
    <row r="34319" ht="9.9499999999999993" hidden="1" customHeight="1" x14ac:dyDescent="0.2"/>
    <row r="34320" ht="9.9499999999999993" hidden="1" customHeight="1" x14ac:dyDescent="0.2"/>
    <row r="34321" ht="9.9499999999999993" hidden="1" customHeight="1" x14ac:dyDescent="0.2"/>
    <row r="34322" ht="9.9499999999999993" hidden="1" customHeight="1" x14ac:dyDescent="0.2"/>
    <row r="34323" ht="9.9499999999999993" hidden="1" customHeight="1" x14ac:dyDescent="0.2"/>
    <row r="34324" ht="9.9499999999999993" hidden="1" customHeight="1" x14ac:dyDescent="0.2"/>
    <row r="34325" ht="9.9499999999999993" hidden="1" customHeight="1" x14ac:dyDescent="0.2"/>
    <row r="34326" ht="9.9499999999999993" hidden="1" customHeight="1" x14ac:dyDescent="0.2"/>
    <row r="34327" ht="9.9499999999999993" hidden="1" customHeight="1" x14ac:dyDescent="0.2"/>
    <row r="34328" ht="9.9499999999999993" hidden="1" customHeight="1" x14ac:dyDescent="0.2"/>
    <row r="34329" ht="9.9499999999999993" hidden="1" customHeight="1" x14ac:dyDescent="0.2"/>
    <row r="34330" ht="9.9499999999999993" hidden="1" customHeight="1" x14ac:dyDescent="0.2"/>
    <row r="34331" ht="9.9499999999999993" hidden="1" customHeight="1" x14ac:dyDescent="0.2"/>
    <row r="34332" ht="9.9499999999999993" hidden="1" customHeight="1" x14ac:dyDescent="0.2"/>
    <row r="34333" ht="9.9499999999999993" hidden="1" customHeight="1" x14ac:dyDescent="0.2"/>
    <row r="34334" ht="9.9499999999999993" hidden="1" customHeight="1" x14ac:dyDescent="0.2"/>
    <row r="34335" ht="9.9499999999999993" hidden="1" customHeight="1" x14ac:dyDescent="0.2"/>
    <row r="34336" ht="9.9499999999999993" hidden="1" customHeight="1" x14ac:dyDescent="0.2"/>
    <row r="34337" ht="9.9499999999999993" hidden="1" customHeight="1" x14ac:dyDescent="0.2"/>
    <row r="34338" ht="9.9499999999999993" hidden="1" customHeight="1" x14ac:dyDescent="0.2"/>
    <row r="34339" ht="9.9499999999999993" hidden="1" customHeight="1" x14ac:dyDescent="0.2"/>
    <row r="34340" ht="9.9499999999999993" hidden="1" customHeight="1" x14ac:dyDescent="0.2"/>
    <row r="34341" ht="9.9499999999999993" hidden="1" customHeight="1" x14ac:dyDescent="0.2"/>
    <row r="34342" ht="9.9499999999999993" hidden="1" customHeight="1" x14ac:dyDescent="0.2"/>
    <row r="34343" ht="9.9499999999999993" hidden="1" customHeight="1" x14ac:dyDescent="0.2"/>
    <row r="34344" ht="9.9499999999999993" hidden="1" customHeight="1" x14ac:dyDescent="0.2"/>
    <row r="34345" ht="9.9499999999999993" hidden="1" customHeight="1" x14ac:dyDescent="0.2"/>
    <row r="34346" ht="9.9499999999999993" hidden="1" customHeight="1" x14ac:dyDescent="0.2"/>
    <row r="34347" ht="9.9499999999999993" hidden="1" customHeight="1" x14ac:dyDescent="0.2"/>
    <row r="34348" ht="9.9499999999999993" hidden="1" customHeight="1" x14ac:dyDescent="0.2"/>
    <row r="34349" ht="9.9499999999999993" hidden="1" customHeight="1" x14ac:dyDescent="0.2"/>
    <row r="34350" ht="9.9499999999999993" hidden="1" customHeight="1" x14ac:dyDescent="0.2"/>
    <row r="34351" ht="9.9499999999999993" hidden="1" customHeight="1" x14ac:dyDescent="0.2"/>
    <row r="34352" ht="9.9499999999999993" hidden="1" customHeight="1" x14ac:dyDescent="0.2"/>
    <row r="34353" ht="9.9499999999999993" hidden="1" customHeight="1" x14ac:dyDescent="0.2"/>
    <row r="34354" ht="9.9499999999999993" hidden="1" customHeight="1" x14ac:dyDescent="0.2"/>
    <row r="34355" ht="9.9499999999999993" hidden="1" customHeight="1" x14ac:dyDescent="0.2"/>
    <row r="34356" ht="9.9499999999999993" hidden="1" customHeight="1" x14ac:dyDescent="0.2"/>
    <row r="34357" ht="9.9499999999999993" hidden="1" customHeight="1" x14ac:dyDescent="0.2"/>
    <row r="34358" ht="9.9499999999999993" hidden="1" customHeight="1" x14ac:dyDescent="0.2"/>
    <row r="34359" ht="9.9499999999999993" hidden="1" customHeight="1" x14ac:dyDescent="0.2"/>
    <row r="34360" ht="9.9499999999999993" hidden="1" customHeight="1" x14ac:dyDescent="0.2"/>
    <row r="34361" ht="9.9499999999999993" hidden="1" customHeight="1" x14ac:dyDescent="0.2"/>
    <row r="34362" ht="9.9499999999999993" hidden="1" customHeight="1" x14ac:dyDescent="0.2"/>
    <row r="34363" ht="9.9499999999999993" hidden="1" customHeight="1" x14ac:dyDescent="0.2"/>
    <row r="34364" ht="9.9499999999999993" hidden="1" customHeight="1" x14ac:dyDescent="0.2"/>
    <row r="34365" ht="9.9499999999999993" hidden="1" customHeight="1" x14ac:dyDescent="0.2"/>
    <row r="34366" ht="9.9499999999999993" hidden="1" customHeight="1" x14ac:dyDescent="0.2"/>
    <row r="34367" ht="9.9499999999999993" hidden="1" customHeight="1" x14ac:dyDescent="0.2"/>
    <row r="34368" ht="9.9499999999999993" hidden="1" customHeight="1" x14ac:dyDescent="0.2"/>
    <row r="34369" ht="9.9499999999999993" hidden="1" customHeight="1" x14ac:dyDescent="0.2"/>
    <row r="34370" ht="9.9499999999999993" hidden="1" customHeight="1" x14ac:dyDescent="0.2"/>
    <row r="34371" ht="9.9499999999999993" hidden="1" customHeight="1" x14ac:dyDescent="0.2"/>
    <row r="34372" ht="9.9499999999999993" hidden="1" customHeight="1" x14ac:dyDescent="0.2"/>
    <row r="34373" ht="9.9499999999999993" hidden="1" customHeight="1" x14ac:dyDescent="0.2"/>
    <row r="34374" ht="9.9499999999999993" hidden="1" customHeight="1" x14ac:dyDescent="0.2"/>
    <row r="34375" ht="9.9499999999999993" hidden="1" customHeight="1" x14ac:dyDescent="0.2"/>
    <row r="34376" ht="9.9499999999999993" hidden="1" customHeight="1" x14ac:dyDescent="0.2"/>
    <row r="34377" ht="9.9499999999999993" hidden="1" customHeight="1" x14ac:dyDescent="0.2"/>
    <row r="34378" ht="9.9499999999999993" hidden="1" customHeight="1" x14ac:dyDescent="0.2"/>
    <row r="34379" ht="9.9499999999999993" hidden="1" customHeight="1" x14ac:dyDescent="0.2"/>
    <row r="34380" ht="9.9499999999999993" hidden="1" customHeight="1" x14ac:dyDescent="0.2"/>
    <row r="34381" ht="9.9499999999999993" hidden="1" customHeight="1" x14ac:dyDescent="0.2"/>
    <row r="34382" ht="9.9499999999999993" hidden="1" customHeight="1" x14ac:dyDescent="0.2"/>
    <row r="34383" ht="9.9499999999999993" hidden="1" customHeight="1" x14ac:dyDescent="0.2"/>
    <row r="34384" ht="9.9499999999999993" hidden="1" customHeight="1" x14ac:dyDescent="0.2"/>
    <row r="34385" ht="9.9499999999999993" hidden="1" customHeight="1" x14ac:dyDescent="0.2"/>
    <row r="34386" ht="9.9499999999999993" hidden="1" customHeight="1" x14ac:dyDescent="0.2"/>
    <row r="34387" ht="9.9499999999999993" hidden="1" customHeight="1" x14ac:dyDescent="0.2"/>
    <row r="34388" ht="9.9499999999999993" hidden="1" customHeight="1" x14ac:dyDescent="0.2"/>
    <row r="34389" ht="9.9499999999999993" hidden="1" customHeight="1" x14ac:dyDescent="0.2"/>
    <row r="34390" ht="9.9499999999999993" hidden="1" customHeight="1" x14ac:dyDescent="0.2"/>
    <row r="34391" ht="9.9499999999999993" hidden="1" customHeight="1" x14ac:dyDescent="0.2"/>
    <row r="34392" ht="9.9499999999999993" hidden="1" customHeight="1" x14ac:dyDescent="0.2"/>
    <row r="34393" ht="9.9499999999999993" hidden="1" customHeight="1" x14ac:dyDescent="0.2"/>
    <row r="34394" ht="9.9499999999999993" hidden="1" customHeight="1" x14ac:dyDescent="0.2"/>
    <row r="34395" ht="9.9499999999999993" hidden="1" customHeight="1" x14ac:dyDescent="0.2"/>
    <row r="34396" ht="9.9499999999999993" hidden="1" customHeight="1" x14ac:dyDescent="0.2"/>
    <row r="34397" ht="9.9499999999999993" hidden="1" customHeight="1" x14ac:dyDescent="0.2"/>
    <row r="34398" ht="9.9499999999999993" hidden="1" customHeight="1" x14ac:dyDescent="0.2"/>
    <row r="34399" ht="9.9499999999999993" hidden="1" customHeight="1" x14ac:dyDescent="0.2"/>
    <row r="34400" ht="9.9499999999999993" hidden="1" customHeight="1" x14ac:dyDescent="0.2"/>
    <row r="34401" ht="9.9499999999999993" hidden="1" customHeight="1" x14ac:dyDescent="0.2"/>
    <row r="34402" ht="9.9499999999999993" hidden="1" customHeight="1" x14ac:dyDescent="0.2"/>
    <row r="34403" ht="9.9499999999999993" hidden="1" customHeight="1" x14ac:dyDescent="0.2"/>
    <row r="34404" ht="9.9499999999999993" hidden="1" customHeight="1" x14ac:dyDescent="0.2"/>
    <row r="34405" ht="9.9499999999999993" hidden="1" customHeight="1" x14ac:dyDescent="0.2"/>
    <row r="34406" ht="9.9499999999999993" hidden="1" customHeight="1" x14ac:dyDescent="0.2"/>
    <row r="34407" ht="9.9499999999999993" hidden="1" customHeight="1" x14ac:dyDescent="0.2"/>
    <row r="34408" ht="9.9499999999999993" hidden="1" customHeight="1" x14ac:dyDescent="0.2"/>
    <row r="34409" ht="9.9499999999999993" hidden="1" customHeight="1" x14ac:dyDescent="0.2"/>
    <row r="34410" ht="9.9499999999999993" hidden="1" customHeight="1" x14ac:dyDescent="0.2"/>
    <row r="34411" ht="9.9499999999999993" hidden="1" customHeight="1" x14ac:dyDescent="0.2"/>
    <row r="34412" ht="9.9499999999999993" hidden="1" customHeight="1" x14ac:dyDescent="0.2"/>
    <row r="34413" ht="9.9499999999999993" hidden="1" customHeight="1" x14ac:dyDescent="0.2"/>
    <row r="34414" ht="9.9499999999999993" hidden="1" customHeight="1" x14ac:dyDescent="0.2"/>
    <row r="34415" ht="9.9499999999999993" hidden="1" customHeight="1" x14ac:dyDescent="0.2"/>
    <row r="34416" ht="9.9499999999999993" hidden="1" customHeight="1" x14ac:dyDescent="0.2"/>
    <row r="34417" ht="9.9499999999999993" hidden="1" customHeight="1" x14ac:dyDescent="0.2"/>
    <row r="34418" ht="9.9499999999999993" hidden="1" customHeight="1" x14ac:dyDescent="0.2"/>
    <row r="34419" ht="9.9499999999999993" hidden="1" customHeight="1" x14ac:dyDescent="0.2"/>
    <row r="34420" ht="9.9499999999999993" hidden="1" customHeight="1" x14ac:dyDescent="0.2"/>
    <row r="34421" ht="9.9499999999999993" hidden="1" customHeight="1" x14ac:dyDescent="0.2"/>
    <row r="34422" ht="9.9499999999999993" hidden="1" customHeight="1" x14ac:dyDescent="0.2"/>
    <row r="34423" ht="9.9499999999999993" hidden="1" customHeight="1" x14ac:dyDescent="0.2"/>
    <row r="34424" ht="9.9499999999999993" hidden="1" customHeight="1" x14ac:dyDescent="0.2"/>
    <row r="34425" ht="9.9499999999999993" hidden="1" customHeight="1" x14ac:dyDescent="0.2"/>
    <row r="34426" ht="9.9499999999999993" hidden="1" customHeight="1" x14ac:dyDescent="0.2"/>
    <row r="34427" ht="9.9499999999999993" hidden="1" customHeight="1" x14ac:dyDescent="0.2"/>
    <row r="34428" ht="9.9499999999999993" hidden="1" customHeight="1" x14ac:dyDescent="0.2"/>
    <row r="34429" ht="9.9499999999999993" hidden="1" customHeight="1" x14ac:dyDescent="0.2"/>
    <row r="34430" ht="9.9499999999999993" hidden="1" customHeight="1" x14ac:dyDescent="0.2"/>
    <row r="34431" ht="9.9499999999999993" hidden="1" customHeight="1" x14ac:dyDescent="0.2"/>
    <row r="34432" ht="9.9499999999999993" hidden="1" customHeight="1" x14ac:dyDescent="0.2"/>
    <row r="34433" ht="9.9499999999999993" hidden="1" customHeight="1" x14ac:dyDescent="0.2"/>
    <row r="34434" ht="9.9499999999999993" hidden="1" customHeight="1" x14ac:dyDescent="0.2"/>
    <row r="34435" ht="9.9499999999999993" hidden="1" customHeight="1" x14ac:dyDescent="0.2"/>
    <row r="34436" ht="9.9499999999999993" hidden="1" customHeight="1" x14ac:dyDescent="0.2"/>
    <row r="34437" ht="9.9499999999999993" hidden="1" customHeight="1" x14ac:dyDescent="0.2"/>
    <row r="34438" ht="9.9499999999999993" hidden="1" customHeight="1" x14ac:dyDescent="0.2"/>
    <row r="34439" ht="9.9499999999999993" hidden="1" customHeight="1" x14ac:dyDescent="0.2"/>
    <row r="34440" ht="9.9499999999999993" hidden="1" customHeight="1" x14ac:dyDescent="0.2"/>
    <row r="34441" ht="9.9499999999999993" hidden="1" customHeight="1" x14ac:dyDescent="0.2"/>
    <row r="34442" ht="9.9499999999999993" hidden="1" customHeight="1" x14ac:dyDescent="0.2"/>
    <row r="34443" ht="9.9499999999999993" hidden="1" customHeight="1" x14ac:dyDescent="0.2"/>
    <row r="34444" ht="9.9499999999999993" hidden="1" customHeight="1" x14ac:dyDescent="0.2"/>
    <row r="34445" ht="9.9499999999999993" hidden="1" customHeight="1" x14ac:dyDescent="0.2"/>
    <row r="34446" ht="9.9499999999999993" hidden="1" customHeight="1" x14ac:dyDescent="0.2"/>
    <row r="34447" ht="9.9499999999999993" hidden="1" customHeight="1" x14ac:dyDescent="0.2"/>
    <row r="34448" ht="9.9499999999999993" hidden="1" customHeight="1" x14ac:dyDescent="0.2"/>
    <row r="34449" ht="9.9499999999999993" hidden="1" customHeight="1" x14ac:dyDescent="0.2"/>
    <row r="34450" ht="9.9499999999999993" hidden="1" customHeight="1" x14ac:dyDescent="0.2"/>
    <row r="34451" ht="9.9499999999999993" hidden="1" customHeight="1" x14ac:dyDescent="0.2"/>
    <row r="34452" ht="9.9499999999999993" hidden="1" customHeight="1" x14ac:dyDescent="0.2"/>
    <row r="34453" ht="9.9499999999999993" hidden="1" customHeight="1" x14ac:dyDescent="0.2"/>
    <row r="34454" ht="9.9499999999999993" hidden="1" customHeight="1" x14ac:dyDescent="0.2"/>
    <row r="34455" ht="9.9499999999999993" hidden="1" customHeight="1" x14ac:dyDescent="0.2"/>
    <row r="34456" ht="9.9499999999999993" hidden="1" customHeight="1" x14ac:dyDescent="0.2"/>
    <row r="34457" ht="9.9499999999999993" hidden="1" customHeight="1" x14ac:dyDescent="0.2"/>
    <row r="34458" ht="9.9499999999999993" hidden="1" customHeight="1" x14ac:dyDescent="0.2"/>
    <row r="34459" ht="9.9499999999999993" hidden="1" customHeight="1" x14ac:dyDescent="0.2"/>
    <row r="34460" ht="9.9499999999999993" hidden="1" customHeight="1" x14ac:dyDescent="0.2"/>
    <row r="34461" ht="9.9499999999999993" hidden="1" customHeight="1" x14ac:dyDescent="0.2"/>
    <row r="34462" ht="9.9499999999999993" hidden="1" customHeight="1" x14ac:dyDescent="0.2"/>
    <row r="34463" ht="9.9499999999999993" hidden="1" customHeight="1" x14ac:dyDescent="0.2"/>
    <row r="34464" ht="9.9499999999999993" hidden="1" customHeight="1" x14ac:dyDescent="0.2"/>
    <row r="34465" ht="9.9499999999999993" hidden="1" customHeight="1" x14ac:dyDescent="0.2"/>
    <row r="34466" ht="9.9499999999999993" hidden="1" customHeight="1" x14ac:dyDescent="0.2"/>
    <row r="34467" ht="9.9499999999999993" hidden="1" customHeight="1" x14ac:dyDescent="0.2"/>
    <row r="34468" ht="9.9499999999999993" hidden="1" customHeight="1" x14ac:dyDescent="0.2"/>
    <row r="34469" ht="9.9499999999999993" hidden="1" customHeight="1" x14ac:dyDescent="0.2"/>
    <row r="34470" ht="9.9499999999999993" hidden="1" customHeight="1" x14ac:dyDescent="0.2"/>
    <row r="34471" ht="9.9499999999999993" hidden="1" customHeight="1" x14ac:dyDescent="0.2"/>
    <row r="34472" ht="9.9499999999999993" hidden="1" customHeight="1" x14ac:dyDescent="0.2"/>
    <row r="34473" ht="9.9499999999999993" hidden="1" customHeight="1" x14ac:dyDescent="0.2"/>
    <row r="34474" ht="9.9499999999999993" hidden="1" customHeight="1" x14ac:dyDescent="0.2"/>
    <row r="34475" ht="9.9499999999999993" hidden="1" customHeight="1" x14ac:dyDescent="0.2"/>
    <row r="34476" ht="9.9499999999999993" hidden="1" customHeight="1" x14ac:dyDescent="0.2"/>
    <row r="34477" ht="9.9499999999999993" hidden="1" customHeight="1" x14ac:dyDescent="0.2"/>
    <row r="34478" ht="9.9499999999999993" hidden="1" customHeight="1" x14ac:dyDescent="0.2"/>
    <row r="34479" ht="9.9499999999999993" hidden="1" customHeight="1" x14ac:dyDescent="0.2"/>
    <row r="34480" ht="9.9499999999999993" hidden="1" customHeight="1" x14ac:dyDescent="0.2"/>
    <row r="34481" ht="9.9499999999999993" hidden="1" customHeight="1" x14ac:dyDescent="0.2"/>
    <row r="34482" ht="9.9499999999999993" hidden="1" customHeight="1" x14ac:dyDescent="0.2"/>
    <row r="34483" ht="9.9499999999999993" hidden="1" customHeight="1" x14ac:dyDescent="0.2"/>
    <row r="34484" ht="9.9499999999999993" hidden="1" customHeight="1" x14ac:dyDescent="0.2"/>
    <row r="34485" ht="9.9499999999999993" hidden="1" customHeight="1" x14ac:dyDescent="0.2"/>
    <row r="34486" ht="9.9499999999999993" hidden="1" customHeight="1" x14ac:dyDescent="0.2"/>
    <row r="34487" ht="9.9499999999999993" hidden="1" customHeight="1" x14ac:dyDescent="0.2"/>
    <row r="34488" ht="9.9499999999999993" hidden="1" customHeight="1" x14ac:dyDescent="0.2"/>
    <row r="34489" ht="9.9499999999999993" hidden="1" customHeight="1" x14ac:dyDescent="0.2"/>
    <row r="34490" ht="9.9499999999999993" hidden="1" customHeight="1" x14ac:dyDescent="0.2"/>
    <row r="34491" ht="9.9499999999999993" hidden="1" customHeight="1" x14ac:dyDescent="0.2"/>
    <row r="34492" ht="9.9499999999999993" hidden="1" customHeight="1" x14ac:dyDescent="0.2"/>
    <row r="34493" ht="9.9499999999999993" hidden="1" customHeight="1" x14ac:dyDescent="0.2"/>
    <row r="34494" ht="9.9499999999999993" hidden="1" customHeight="1" x14ac:dyDescent="0.2"/>
    <row r="34495" ht="9.9499999999999993" hidden="1" customHeight="1" x14ac:dyDescent="0.2"/>
    <row r="34496" ht="9.9499999999999993" hidden="1" customHeight="1" x14ac:dyDescent="0.2"/>
    <row r="34497" ht="9.9499999999999993" hidden="1" customHeight="1" x14ac:dyDescent="0.2"/>
    <row r="34498" ht="9.9499999999999993" hidden="1" customHeight="1" x14ac:dyDescent="0.2"/>
    <row r="34499" ht="9.9499999999999993" hidden="1" customHeight="1" x14ac:dyDescent="0.2"/>
    <row r="34500" ht="9.9499999999999993" hidden="1" customHeight="1" x14ac:dyDescent="0.2"/>
    <row r="34501" ht="9.9499999999999993" hidden="1" customHeight="1" x14ac:dyDescent="0.2"/>
    <row r="34502" ht="9.9499999999999993" hidden="1" customHeight="1" x14ac:dyDescent="0.2"/>
    <row r="34503" ht="9.9499999999999993" hidden="1" customHeight="1" x14ac:dyDescent="0.2"/>
    <row r="34504" ht="9.9499999999999993" hidden="1" customHeight="1" x14ac:dyDescent="0.2"/>
    <row r="34505" ht="9.9499999999999993" hidden="1" customHeight="1" x14ac:dyDescent="0.2"/>
    <row r="34506" ht="9.9499999999999993" hidden="1" customHeight="1" x14ac:dyDescent="0.2"/>
    <row r="34507" ht="9.9499999999999993" hidden="1" customHeight="1" x14ac:dyDescent="0.2"/>
    <row r="34508" ht="9.9499999999999993" hidden="1" customHeight="1" x14ac:dyDescent="0.2"/>
    <row r="34509" ht="9.9499999999999993" hidden="1" customHeight="1" x14ac:dyDescent="0.2"/>
    <row r="34510" ht="9.9499999999999993" hidden="1" customHeight="1" x14ac:dyDescent="0.2"/>
    <row r="34511" ht="9.9499999999999993" hidden="1" customHeight="1" x14ac:dyDescent="0.2"/>
    <row r="34512" ht="9.9499999999999993" hidden="1" customHeight="1" x14ac:dyDescent="0.2"/>
    <row r="34513" ht="9.9499999999999993" hidden="1" customHeight="1" x14ac:dyDescent="0.2"/>
    <row r="34514" ht="9.9499999999999993" hidden="1" customHeight="1" x14ac:dyDescent="0.2"/>
    <row r="34515" ht="9.9499999999999993" hidden="1" customHeight="1" x14ac:dyDescent="0.2"/>
    <row r="34516" ht="9.9499999999999993" hidden="1" customHeight="1" x14ac:dyDescent="0.2"/>
    <row r="34517" ht="9.9499999999999993" hidden="1" customHeight="1" x14ac:dyDescent="0.2"/>
    <row r="34518" ht="9.9499999999999993" hidden="1" customHeight="1" x14ac:dyDescent="0.2"/>
    <row r="34519" ht="9.9499999999999993" hidden="1" customHeight="1" x14ac:dyDescent="0.2"/>
    <row r="34520" ht="9.9499999999999993" hidden="1" customHeight="1" x14ac:dyDescent="0.2"/>
    <row r="34521" ht="9.9499999999999993" hidden="1" customHeight="1" x14ac:dyDescent="0.2"/>
    <row r="34522" ht="9.9499999999999993" hidden="1" customHeight="1" x14ac:dyDescent="0.2"/>
    <row r="34523" ht="9.9499999999999993" hidden="1" customHeight="1" x14ac:dyDescent="0.2"/>
    <row r="34524" ht="9.9499999999999993" hidden="1" customHeight="1" x14ac:dyDescent="0.2"/>
    <row r="34525" ht="9.9499999999999993" hidden="1" customHeight="1" x14ac:dyDescent="0.2"/>
    <row r="34526" ht="9.9499999999999993" hidden="1" customHeight="1" x14ac:dyDescent="0.2"/>
    <row r="34527" ht="9.9499999999999993" hidden="1" customHeight="1" x14ac:dyDescent="0.2"/>
    <row r="34528" ht="9.9499999999999993" hidden="1" customHeight="1" x14ac:dyDescent="0.2"/>
    <row r="34529" ht="9.9499999999999993" hidden="1" customHeight="1" x14ac:dyDescent="0.2"/>
    <row r="34530" ht="9.9499999999999993" hidden="1" customHeight="1" x14ac:dyDescent="0.2"/>
    <row r="34531" ht="9.9499999999999993" hidden="1" customHeight="1" x14ac:dyDescent="0.2"/>
    <row r="34532" ht="9.9499999999999993" hidden="1" customHeight="1" x14ac:dyDescent="0.2"/>
    <row r="34533" ht="9.9499999999999993" hidden="1" customHeight="1" x14ac:dyDescent="0.2"/>
    <row r="34534" ht="9.9499999999999993" hidden="1" customHeight="1" x14ac:dyDescent="0.2"/>
    <row r="34535" ht="9.9499999999999993" hidden="1" customHeight="1" x14ac:dyDescent="0.2"/>
    <row r="34536" ht="9.9499999999999993" hidden="1" customHeight="1" x14ac:dyDescent="0.2"/>
    <row r="34537" ht="9.9499999999999993" hidden="1" customHeight="1" x14ac:dyDescent="0.2"/>
    <row r="34538" ht="9.9499999999999993" hidden="1" customHeight="1" x14ac:dyDescent="0.2"/>
    <row r="34539" ht="9.9499999999999993" hidden="1" customHeight="1" x14ac:dyDescent="0.2"/>
    <row r="34540" ht="9.9499999999999993" hidden="1" customHeight="1" x14ac:dyDescent="0.2"/>
    <row r="34541" ht="9.9499999999999993" hidden="1" customHeight="1" x14ac:dyDescent="0.2"/>
    <row r="34542" ht="9.9499999999999993" hidden="1" customHeight="1" x14ac:dyDescent="0.2"/>
    <row r="34543" ht="9.9499999999999993" hidden="1" customHeight="1" x14ac:dyDescent="0.2"/>
    <row r="34544" ht="9.9499999999999993" hidden="1" customHeight="1" x14ac:dyDescent="0.2"/>
    <row r="34545" ht="9.9499999999999993" hidden="1" customHeight="1" x14ac:dyDescent="0.2"/>
    <row r="34546" ht="9.9499999999999993" hidden="1" customHeight="1" x14ac:dyDescent="0.2"/>
    <row r="34547" ht="9.9499999999999993" hidden="1" customHeight="1" x14ac:dyDescent="0.2"/>
    <row r="34548" ht="9.9499999999999993" hidden="1" customHeight="1" x14ac:dyDescent="0.2"/>
    <row r="34549" ht="9.9499999999999993" hidden="1" customHeight="1" x14ac:dyDescent="0.2"/>
    <row r="34550" ht="9.9499999999999993" hidden="1" customHeight="1" x14ac:dyDescent="0.2"/>
    <row r="34551" ht="9.9499999999999993" hidden="1" customHeight="1" x14ac:dyDescent="0.2"/>
    <row r="34552" ht="9.9499999999999993" hidden="1" customHeight="1" x14ac:dyDescent="0.2"/>
    <row r="34553" ht="9.9499999999999993" hidden="1" customHeight="1" x14ac:dyDescent="0.2"/>
    <row r="34554" ht="9.9499999999999993" hidden="1" customHeight="1" x14ac:dyDescent="0.2"/>
    <row r="34555" ht="9.9499999999999993" hidden="1" customHeight="1" x14ac:dyDescent="0.2"/>
    <row r="34556" ht="9.9499999999999993" hidden="1" customHeight="1" x14ac:dyDescent="0.2"/>
    <row r="34557" ht="9.9499999999999993" hidden="1" customHeight="1" x14ac:dyDescent="0.2"/>
    <row r="34558" ht="9.9499999999999993" hidden="1" customHeight="1" x14ac:dyDescent="0.2"/>
    <row r="34559" ht="9.9499999999999993" hidden="1" customHeight="1" x14ac:dyDescent="0.2"/>
    <row r="34560" ht="9.9499999999999993" hidden="1" customHeight="1" x14ac:dyDescent="0.2"/>
    <row r="34561" ht="9.9499999999999993" hidden="1" customHeight="1" x14ac:dyDescent="0.2"/>
    <row r="34562" ht="9.9499999999999993" hidden="1" customHeight="1" x14ac:dyDescent="0.2"/>
    <row r="34563" ht="9.9499999999999993" hidden="1" customHeight="1" x14ac:dyDescent="0.2"/>
    <row r="34564" ht="9.9499999999999993" hidden="1" customHeight="1" x14ac:dyDescent="0.2"/>
    <row r="34565" ht="9.9499999999999993" hidden="1" customHeight="1" x14ac:dyDescent="0.2"/>
    <row r="34566" ht="9.9499999999999993" hidden="1" customHeight="1" x14ac:dyDescent="0.2"/>
    <row r="34567" ht="9.9499999999999993" hidden="1" customHeight="1" x14ac:dyDescent="0.2"/>
    <row r="34568" ht="9.9499999999999993" hidden="1" customHeight="1" x14ac:dyDescent="0.2"/>
    <row r="34569" ht="9.9499999999999993" hidden="1" customHeight="1" x14ac:dyDescent="0.2"/>
    <row r="34570" ht="9.9499999999999993" hidden="1" customHeight="1" x14ac:dyDescent="0.2"/>
    <row r="34571" ht="9.9499999999999993" hidden="1" customHeight="1" x14ac:dyDescent="0.2"/>
    <row r="34572" ht="9.9499999999999993" hidden="1" customHeight="1" x14ac:dyDescent="0.2"/>
    <row r="34573" ht="9.9499999999999993" hidden="1" customHeight="1" x14ac:dyDescent="0.2"/>
    <row r="34574" ht="9.9499999999999993" hidden="1" customHeight="1" x14ac:dyDescent="0.2"/>
    <row r="34575" ht="9.9499999999999993" hidden="1" customHeight="1" x14ac:dyDescent="0.2"/>
    <row r="34576" ht="9.9499999999999993" hidden="1" customHeight="1" x14ac:dyDescent="0.2"/>
    <row r="34577" ht="9.9499999999999993" hidden="1" customHeight="1" x14ac:dyDescent="0.2"/>
    <row r="34578" ht="9.9499999999999993" hidden="1" customHeight="1" x14ac:dyDescent="0.2"/>
    <row r="34579" ht="9.9499999999999993" hidden="1" customHeight="1" x14ac:dyDescent="0.2"/>
    <row r="34580" ht="9.9499999999999993" hidden="1" customHeight="1" x14ac:dyDescent="0.2"/>
    <row r="34581" ht="9.9499999999999993" hidden="1" customHeight="1" x14ac:dyDescent="0.2"/>
    <row r="34582" ht="9.9499999999999993" hidden="1" customHeight="1" x14ac:dyDescent="0.2"/>
    <row r="34583" ht="9.9499999999999993" hidden="1" customHeight="1" x14ac:dyDescent="0.2"/>
    <row r="34584" ht="9.9499999999999993" hidden="1" customHeight="1" x14ac:dyDescent="0.2"/>
    <row r="34585" ht="9.9499999999999993" hidden="1" customHeight="1" x14ac:dyDescent="0.2"/>
    <row r="34586" ht="9.9499999999999993" hidden="1" customHeight="1" x14ac:dyDescent="0.2"/>
    <row r="34587" ht="9.9499999999999993" hidden="1" customHeight="1" x14ac:dyDescent="0.2"/>
    <row r="34588" ht="9.9499999999999993" hidden="1" customHeight="1" x14ac:dyDescent="0.2"/>
    <row r="34589" ht="9.9499999999999993" hidden="1" customHeight="1" x14ac:dyDescent="0.2"/>
    <row r="34590" ht="9.9499999999999993" hidden="1" customHeight="1" x14ac:dyDescent="0.2"/>
    <row r="34591" ht="9.9499999999999993" hidden="1" customHeight="1" x14ac:dyDescent="0.2"/>
    <row r="34592" ht="9.9499999999999993" hidden="1" customHeight="1" x14ac:dyDescent="0.2"/>
    <row r="34593" ht="9.9499999999999993" hidden="1" customHeight="1" x14ac:dyDescent="0.2"/>
    <row r="34594" ht="9.9499999999999993" hidden="1" customHeight="1" x14ac:dyDescent="0.2"/>
    <row r="34595" ht="9.9499999999999993" hidden="1" customHeight="1" x14ac:dyDescent="0.2"/>
    <row r="34596" ht="9.9499999999999993" hidden="1" customHeight="1" x14ac:dyDescent="0.2"/>
    <row r="34597" ht="9.9499999999999993" hidden="1" customHeight="1" x14ac:dyDescent="0.2"/>
    <row r="34598" ht="9.9499999999999993" hidden="1" customHeight="1" x14ac:dyDescent="0.2"/>
    <row r="34599" ht="9.9499999999999993" hidden="1" customHeight="1" x14ac:dyDescent="0.2"/>
    <row r="34600" ht="9.9499999999999993" hidden="1" customHeight="1" x14ac:dyDescent="0.2"/>
    <row r="34601" ht="9.9499999999999993" hidden="1" customHeight="1" x14ac:dyDescent="0.2"/>
    <row r="34602" ht="9.9499999999999993" hidden="1" customHeight="1" x14ac:dyDescent="0.2"/>
    <row r="34603" ht="9.9499999999999993" hidden="1" customHeight="1" x14ac:dyDescent="0.2"/>
    <row r="34604" ht="9.9499999999999993" hidden="1" customHeight="1" x14ac:dyDescent="0.2"/>
    <row r="34605" ht="9.9499999999999993" hidden="1" customHeight="1" x14ac:dyDescent="0.2"/>
    <row r="34606" ht="9.9499999999999993" hidden="1" customHeight="1" x14ac:dyDescent="0.2"/>
    <row r="34607" ht="9.9499999999999993" hidden="1" customHeight="1" x14ac:dyDescent="0.2"/>
    <row r="34608" ht="9.9499999999999993" hidden="1" customHeight="1" x14ac:dyDescent="0.2"/>
    <row r="34609" ht="9.9499999999999993" hidden="1" customHeight="1" x14ac:dyDescent="0.2"/>
    <row r="34610" ht="9.9499999999999993" hidden="1" customHeight="1" x14ac:dyDescent="0.2"/>
    <row r="34611" ht="9.9499999999999993" hidden="1" customHeight="1" x14ac:dyDescent="0.2"/>
    <row r="34612" ht="9.9499999999999993" hidden="1" customHeight="1" x14ac:dyDescent="0.2"/>
    <row r="34613" ht="9.9499999999999993" hidden="1" customHeight="1" x14ac:dyDescent="0.2"/>
    <row r="34614" ht="9.9499999999999993" hidden="1" customHeight="1" x14ac:dyDescent="0.2"/>
    <row r="34615" ht="9.9499999999999993" hidden="1" customHeight="1" x14ac:dyDescent="0.2"/>
    <row r="34616" ht="9.9499999999999993" hidden="1" customHeight="1" x14ac:dyDescent="0.2"/>
    <row r="34617" ht="9.9499999999999993" hidden="1" customHeight="1" x14ac:dyDescent="0.2"/>
    <row r="34618" ht="9.9499999999999993" hidden="1" customHeight="1" x14ac:dyDescent="0.2"/>
    <row r="34619" ht="9.9499999999999993" hidden="1" customHeight="1" x14ac:dyDescent="0.2"/>
    <row r="34620" ht="9.9499999999999993" hidden="1" customHeight="1" x14ac:dyDescent="0.2"/>
    <row r="34621" ht="9.9499999999999993" hidden="1" customHeight="1" x14ac:dyDescent="0.2"/>
    <row r="34622" ht="9.9499999999999993" hidden="1" customHeight="1" x14ac:dyDescent="0.2"/>
    <row r="34623" ht="9.9499999999999993" hidden="1" customHeight="1" x14ac:dyDescent="0.2"/>
    <row r="34624" ht="9.9499999999999993" hidden="1" customHeight="1" x14ac:dyDescent="0.2"/>
    <row r="34625" ht="9.9499999999999993" hidden="1" customHeight="1" x14ac:dyDescent="0.2"/>
    <row r="34626" ht="9.9499999999999993" hidden="1" customHeight="1" x14ac:dyDescent="0.2"/>
    <row r="34627" ht="9.9499999999999993" hidden="1" customHeight="1" x14ac:dyDescent="0.2"/>
    <row r="34628" ht="9.9499999999999993" hidden="1" customHeight="1" x14ac:dyDescent="0.2"/>
    <row r="34629" ht="9.9499999999999993" hidden="1" customHeight="1" x14ac:dyDescent="0.2"/>
    <row r="34630" ht="9.9499999999999993" hidden="1" customHeight="1" x14ac:dyDescent="0.2"/>
    <row r="34631" ht="9.9499999999999993" hidden="1" customHeight="1" x14ac:dyDescent="0.2"/>
    <row r="34632" ht="9.9499999999999993" hidden="1" customHeight="1" x14ac:dyDescent="0.2"/>
    <row r="34633" ht="9.9499999999999993" hidden="1" customHeight="1" x14ac:dyDescent="0.2"/>
    <row r="34634" ht="9.9499999999999993" hidden="1" customHeight="1" x14ac:dyDescent="0.2"/>
    <row r="34635" ht="9.9499999999999993" hidden="1" customHeight="1" x14ac:dyDescent="0.2"/>
    <row r="34636" ht="9.9499999999999993" hidden="1" customHeight="1" x14ac:dyDescent="0.2"/>
    <row r="34637" ht="9.9499999999999993" hidden="1" customHeight="1" x14ac:dyDescent="0.2"/>
    <row r="34638" ht="9.9499999999999993" hidden="1" customHeight="1" x14ac:dyDescent="0.2"/>
    <row r="34639" ht="9.9499999999999993" hidden="1" customHeight="1" x14ac:dyDescent="0.2"/>
    <row r="34640" ht="9.9499999999999993" hidden="1" customHeight="1" x14ac:dyDescent="0.2"/>
    <row r="34641" ht="9.9499999999999993" hidden="1" customHeight="1" x14ac:dyDescent="0.2"/>
    <row r="34642" ht="9.9499999999999993" hidden="1" customHeight="1" x14ac:dyDescent="0.2"/>
    <row r="34643" ht="9.9499999999999993" hidden="1" customHeight="1" x14ac:dyDescent="0.2"/>
    <row r="34644" ht="9.9499999999999993" hidden="1" customHeight="1" x14ac:dyDescent="0.2"/>
    <row r="34645" ht="9.9499999999999993" hidden="1" customHeight="1" x14ac:dyDescent="0.2"/>
    <row r="34646" ht="9.9499999999999993" hidden="1" customHeight="1" x14ac:dyDescent="0.2"/>
    <row r="34647" ht="9.9499999999999993" hidden="1" customHeight="1" x14ac:dyDescent="0.2"/>
    <row r="34648" ht="9.9499999999999993" hidden="1" customHeight="1" x14ac:dyDescent="0.2"/>
    <row r="34649" ht="9.9499999999999993" hidden="1" customHeight="1" x14ac:dyDescent="0.2"/>
    <row r="34650" ht="9.9499999999999993" hidden="1" customHeight="1" x14ac:dyDescent="0.2"/>
    <row r="34651" ht="9.9499999999999993" hidden="1" customHeight="1" x14ac:dyDescent="0.2"/>
    <row r="34652" ht="9.9499999999999993" hidden="1" customHeight="1" x14ac:dyDescent="0.2"/>
    <row r="34653" ht="9.9499999999999993" hidden="1" customHeight="1" x14ac:dyDescent="0.2"/>
    <row r="34654" ht="9.9499999999999993" hidden="1" customHeight="1" x14ac:dyDescent="0.2"/>
    <row r="34655" ht="9.9499999999999993" hidden="1" customHeight="1" x14ac:dyDescent="0.2"/>
    <row r="34656" ht="9.9499999999999993" hidden="1" customHeight="1" x14ac:dyDescent="0.2"/>
    <row r="34657" ht="9.9499999999999993" hidden="1" customHeight="1" x14ac:dyDescent="0.2"/>
    <row r="34658" ht="9.9499999999999993" hidden="1" customHeight="1" x14ac:dyDescent="0.2"/>
    <row r="34659" ht="9.9499999999999993" hidden="1" customHeight="1" x14ac:dyDescent="0.2"/>
    <row r="34660" ht="9.9499999999999993" hidden="1" customHeight="1" x14ac:dyDescent="0.2"/>
    <row r="34661" ht="9.9499999999999993" hidden="1" customHeight="1" x14ac:dyDescent="0.2"/>
    <row r="34662" ht="9.9499999999999993" hidden="1" customHeight="1" x14ac:dyDescent="0.2"/>
    <row r="34663" ht="9.9499999999999993" hidden="1" customHeight="1" x14ac:dyDescent="0.2"/>
    <row r="34664" ht="9.9499999999999993" hidden="1" customHeight="1" x14ac:dyDescent="0.2"/>
    <row r="34665" ht="9.9499999999999993" hidden="1" customHeight="1" x14ac:dyDescent="0.2"/>
    <row r="34666" ht="9.9499999999999993" hidden="1" customHeight="1" x14ac:dyDescent="0.2"/>
    <row r="34667" ht="9.9499999999999993" hidden="1" customHeight="1" x14ac:dyDescent="0.2"/>
    <row r="34668" ht="9.9499999999999993" hidden="1" customHeight="1" x14ac:dyDescent="0.2"/>
    <row r="34669" ht="9.9499999999999993" hidden="1" customHeight="1" x14ac:dyDescent="0.2"/>
    <row r="34670" ht="9.9499999999999993" hidden="1" customHeight="1" x14ac:dyDescent="0.2"/>
    <row r="34671" ht="9.9499999999999993" hidden="1" customHeight="1" x14ac:dyDescent="0.2"/>
    <row r="34672" ht="9.9499999999999993" hidden="1" customHeight="1" x14ac:dyDescent="0.2"/>
    <row r="34673" ht="9.9499999999999993" hidden="1" customHeight="1" x14ac:dyDescent="0.2"/>
    <row r="34674" ht="9.9499999999999993" hidden="1" customHeight="1" x14ac:dyDescent="0.2"/>
    <row r="34675" ht="9.9499999999999993" hidden="1" customHeight="1" x14ac:dyDescent="0.2"/>
    <row r="34676" ht="9.9499999999999993" hidden="1" customHeight="1" x14ac:dyDescent="0.2"/>
    <row r="34677" ht="9.9499999999999993" hidden="1" customHeight="1" x14ac:dyDescent="0.2"/>
    <row r="34678" ht="9.9499999999999993" hidden="1" customHeight="1" x14ac:dyDescent="0.2"/>
    <row r="34679" ht="9.9499999999999993" hidden="1" customHeight="1" x14ac:dyDescent="0.2"/>
    <row r="34680" ht="9.9499999999999993" hidden="1" customHeight="1" x14ac:dyDescent="0.2"/>
    <row r="34681" ht="9.9499999999999993" hidden="1" customHeight="1" x14ac:dyDescent="0.2"/>
    <row r="34682" ht="9.9499999999999993" hidden="1" customHeight="1" x14ac:dyDescent="0.2"/>
    <row r="34683" ht="9.9499999999999993" hidden="1" customHeight="1" x14ac:dyDescent="0.2"/>
    <row r="34684" ht="9.9499999999999993" hidden="1" customHeight="1" x14ac:dyDescent="0.2"/>
    <row r="34685" ht="9.9499999999999993" hidden="1" customHeight="1" x14ac:dyDescent="0.2"/>
    <row r="34686" ht="9.9499999999999993" hidden="1" customHeight="1" x14ac:dyDescent="0.2"/>
    <row r="34687" ht="9.9499999999999993" hidden="1" customHeight="1" x14ac:dyDescent="0.2"/>
    <row r="34688" ht="9.9499999999999993" hidden="1" customHeight="1" x14ac:dyDescent="0.2"/>
    <row r="34689" ht="9.9499999999999993" hidden="1" customHeight="1" x14ac:dyDescent="0.2"/>
    <row r="34690" ht="9.9499999999999993" hidden="1" customHeight="1" x14ac:dyDescent="0.2"/>
    <row r="34691" ht="9.9499999999999993" hidden="1" customHeight="1" x14ac:dyDescent="0.2"/>
    <row r="34692" ht="9.9499999999999993" hidden="1" customHeight="1" x14ac:dyDescent="0.2"/>
    <row r="34693" ht="9.9499999999999993" hidden="1" customHeight="1" x14ac:dyDescent="0.2"/>
    <row r="34694" ht="9.9499999999999993" hidden="1" customHeight="1" x14ac:dyDescent="0.2"/>
    <row r="34695" ht="9.9499999999999993" hidden="1" customHeight="1" x14ac:dyDescent="0.2"/>
    <row r="34696" ht="9.9499999999999993" hidden="1" customHeight="1" x14ac:dyDescent="0.2"/>
    <row r="34697" ht="9.9499999999999993" hidden="1" customHeight="1" x14ac:dyDescent="0.2"/>
    <row r="34698" ht="9.9499999999999993" hidden="1" customHeight="1" x14ac:dyDescent="0.2"/>
    <row r="34699" ht="9.9499999999999993" hidden="1" customHeight="1" x14ac:dyDescent="0.2"/>
    <row r="34700" ht="9.9499999999999993" hidden="1" customHeight="1" x14ac:dyDescent="0.2"/>
    <row r="34701" ht="9.9499999999999993" hidden="1" customHeight="1" x14ac:dyDescent="0.2"/>
    <row r="34702" ht="9.9499999999999993" hidden="1" customHeight="1" x14ac:dyDescent="0.2"/>
    <row r="34703" ht="9.9499999999999993" hidden="1" customHeight="1" x14ac:dyDescent="0.2"/>
    <row r="34704" ht="9.9499999999999993" hidden="1" customHeight="1" x14ac:dyDescent="0.2"/>
    <row r="34705" ht="9.9499999999999993" hidden="1" customHeight="1" x14ac:dyDescent="0.2"/>
    <row r="34706" ht="9.9499999999999993" hidden="1" customHeight="1" x14ac:dyDescent="0.2"/>
    <row r="34707" ht="9.9499999999999993" hidden="1" customHeight="1" x14ac:dyDescent="0.2"/>
    <row r="34708" ht="9.9499999999999993" hidden="1" customHeight="1" x14ac:dyDescent="0.2"/>
    <row r="34709" ht="9.9499999999999993" hidden="1" customHeight="1" x14ac:dyDescent="0.2"/>
    <row r="34710" ht="9.9499999999999993" hidden="1" customHeight="1" x14ac:dyDescent="0.2"/>
    <row r="34711" ht="9.9499999999999993" hidden="1" customHeight="1" x14ac:dyDescent="0.2"/>
    <row r="34712" ht="9.9499999999999993" hidden="1" customHeight="1" x14ac:dyDescent="0.2"/>
    <row r="34713" ht="9.9499999999999993" hidden="1" customHeight="1" x14ac:dyDescent="0.2"/>
    <row r="34714" ht="9.9499999999999993" hidden="1" customHeight="1" x14ac:dyDescent="0.2"/>
    <row r="34715" ht="9.9499999999999993" hidden="1" customHeight="1" x14ac:dyDescent="0.2"/>
    <row r="34716" ht="9.9499999999999993" hidden="1" customHeight="1" x14ac:dyDescent="0.2"/>
    <row r="34717" ht="9.9499999999999993" hidden="1" customHeight="1" x14ac:dyDescent="0.2"/>
    <row r="34718" ht="9.9499999999999993" hidden="1" customHeight="1" x14ac:dyDescent="0.2"/>
    <row r="34719" ht="9.9499999999999993" hidden="1" customHeight="1" x14ac:dyDescent="0.2"/>
    <row r="34720" ht="9.9499999999999993" hidden="1" customHeight="1" x14ac:dyDescent="0.2"/>
    <row r="34721" ht="9.9499999999999993" hidden="1" customHeight="1" x14ac:dyDescent="0.2"/>
    <row r="34722" ht="9.9499999999999993" hidden="1" customHeight="1" x14ac:dyDescent="0.2"/>
    <row r="34723" ht="9.9499999999999993" hidden="1" customHeight="1" x14ac:dyDescent="0.2"/>
    <row r="34724" ht="9.9499999999999993" hidden="1" customHeight="1" x14ac:dyDescent="0.2"/>
    <row r="34725" ht="9.9499999999999993" hidden="1" customHeight="1" x14ac:dyDescent="0.2"/>
    <row r="34726" ht="9.9499999999999993" hidden="1" customHeight="1" x14ac:dyDescent="0.2"/>
    <row r="34727" ht="9.9499999999999993" hidden="1" customHeight="1" x14ac:dyDescent="0.2"/>
    <row r="34728" ht="9.9499999999999993" hidden="1" customHeight="1" x14ac:dyDescent="0.2"/>
    <row r="34729" ht="9.9499999999999993" hidden="1" customHeight="1" x14ac:dyDescent="0.2"/>
    <row r="34730" ht="9.9499999999999993" hidden="1" customHeight="1" x14ac:dyDescent="0.2"/>
    <row r="34731" ht="9.9499999999999993" hidden="1" customHeight="1" x14ac:dyDescent="0.2"/>
    <row r="34732" ht="9.9499999999999993" hidden="1" customHeight="1" x14ac:dyDescent="0.2"/>
    <row r="34733" ht="9.9499999999999993" hidden="1" customHeight="1" x14ac:dyDescent="0.2"/>
    <row r="34734" ht="9.9499999999999993" hidden="1" customHeight="1" x14ac:dyDescent="0.2"/>
    <row r="34735" ht="9.9499999999999993" hidden="1" customHeight="1" x14ac:dyDescent="0.2"/>
    <row r="34736" ht="9.9499999999999993" hidden="1" customHeight="1" x14ac:dyDescent="0.2"/>
    <row r="34737" ht="9.9499999999999993" hidden="1" customHeight="1" x14ac:dyDescent="0.2"/>
    <row r="34738" ht="9.9499999999999993" hidden="1" customHeight="1" x14ac:dyDescent="0.2"/>
    <row r="34739" ht="9.9499999999999993" hidden="1" customHeight="1" x14ac:dyDescent="0.2"/>
    <row r="34740" ht="9.9499999999999993" hidden="1" customHeight="1" x14ac:dyDescent="0.2"/>
    <row r="34741" ht="9.9499999999999993" hidden="1" customHeight="1" x14ac:dyDescent="0.2"/>
    <row r="34742" ht="9.9499999999999993" hidden="1" customHeight="1" x14ac:dyDescent="0.2"/>
    <row r="34743" ht="9.9499999999999993" hidden="1" customHeight="1" x14ac:dyDescent="0.2"/>
    <row r="34744" ht="9.9499999999999993" hidden="1" customHeight="1" x14ac:dyDescent="0.2"/>
    <row r="34745" ht="9.9499999999999993" hidden="1" customHeight="1" x14ac:dyDescent="0.2"/>
    <row r="34746" ht="9.9499999999999993" hidden="1" customHeight="1" x14ac:dyDescent="0.2"/>
    <row r="34747" ht="9.9499999999999993" hidden="1" customHeight="1" x14ac:dyDescent="0.2"/>
    <row r="34748" ht="9.9499999999999993" hidden="1" customHeight="1" x14ac:dyDescent="0.2"/>
    <row r="34749" ht="9.9499999999999993" hidden="1" customHeight="1" x14ac:dyDescent="0.2"/>
    <row r="34750" ht="9.9499999999999993" hidden="1" customHeight="1" x14ac:dyDescent="0.2"/>
    <row r="34751" ht="9.9499999999999993" hidden="1" customHeight="1" x14ac:dyDescent="0.2"/>
    <row r="34752" ht="9.9499999999999993" hidden="1" customHeight="1" x14ac:dyDescent="0.2"/>
    <row r="34753" ht="9.9499999999999993" hidden="1" customHeight="1" x14ac:dyDescent="0.2"/>
    <row r="34754" ht="9.9499999999999993" hidden="1" customHeight="1" x14ac:dyDescent="0.2"/>
    <row r="34755" ht="9.9499999999999993" hidden="1" customHeight="1" x14ac:dyDescent="0.2"/>
    <row r="34756" ht="9.9499999999999993" hidden="1" customHeight="1" x14ac:dyDescent="0.2"/>
    <row r="34757" ht="9.9499999999999993" hidden="1" customHeight="1" x14ac:dyDescent="0.2"/>
    <row r="34758" ht="9.9499999999999993" hidden="1" customHeight="1" x14ac:dyDescent="0.2"/>
    <row r="34759" ht="9.9499999999999993" hidden="1" customHeight="1" x14ac:dyDescent="0.2"/>
    <row r="34760" ht="9.9499999999999993" hidden="1" customHeight="1" x14ac:dyDescent="0.2"/>
    <row r="34761" ht="9.9499999999999993" hidden="1" customHeight="1" x14ac:dyDescent="0.2"/>
    <row r="34762" ht="9.9499999999999993" hidden="1" customHeight="1" x14ac:dyDescent="0.2"/>
    <row r="34763" ht="9.9499999999999993" hidden="1" customHeight="1" x14ac:dyDescent="0.2"/>
    <row r="34764" ht="9.9499999999999993" hidden="1" customHeight="1" x14ac:dyDescent="0.2"/>
    <row r="34765" ht="9.9499999999999993" hidden="1" customHeight="1" x14ac:dyDescent="0.2"/>
    <row r="34766" ht="9.9499999999999993" hidden="1" customHeight="1" x14ac:dyDescent="0.2"/>
    <row r="34767" ht="9.9499999999999993" hidden="1" customHeight="1" x14ac:dyDescent="0.2"/>
    <row r="34768" ht="9.9499999999999993" hidden="1" customHeight="1" x14ac:dyDescent="0.2"/>
    <row r="34769" ht="9.9499999999999993" hidden="1" customHeight="1" x14ac:dyDescent="0.2"/>
    <row r="34770" ht="9.9499999999999993" hidden="1" customHeight="1" x14ac:dyDescent="0.2"/>
    <row r="34771" ht="9.9499999999999993" hidden="1" customHeight="1" x14ac:dyDescent="0.2"/>
    <row r="34772" ht="9.9499999999999993" hidden="1" customHeight="1" x14ac:dyDescent="0.2"/>
    <row r="34773" ht="9.9499999999999993" hidden="1" customHeight="1" x14ac:dyDescent="0.2"/>
    <row r="34774" ht="9.9499999999999993" hidden="1" customHeight="1" x14ac:dyDescent="0.2"/>
    <row r="34775" ht="9.9499999999999993" hidden="1" customHeight="1" x14ac:dyDescent="0.2"/>
    <row r="34776" ht="9.9499999999999993" hidden="1" customHeight="1" x14ac:dyDescent="0.2"/>
    <row r="34777" ht="9.9499999999999993" hidden="1" customHeight="1" x14ac:dyDescent="0.2"/>
    <row r="34778" ht="9.9499999999999993" hidden="1" customHeight="1" x14ac:dyDescent="0.2"/>
    <row r="34779" ht="9.9499999999999993" hidden="1" customHeight="1" x14ac:dyDescent="0.2"/>
    <row r="34780" ht="9.9499999999999993" hidden="1" customHeight="1" x14ac:dyDescent="0.2"/>
    <row r="34781" ht="9.9499999999999993" hidden="1" customHeight="1" x14ac:dyDescent="0.2"/>
    <row r="34782" ht="9.9499999999999993" hidden="1" customHeight="1" x14ac:dyDescent="0.2"/>
    <row r="34783" ht="9.9499999999999993" hidden="1" customHeight="1" x14ac:dyDescent="0.2"/>
    <row r="34784" ht="9.9499999999999993" hidden="1" customHeight="1" x14ac:dyDescent="0.2"/>
    <row r="34785" ht="9.9499999999999993" hidden="1" customHeight="1" x14ac:dyDescent="0.2"/>
    <row r="34786" ht="9.9499999999999993" hidden="1" customHeight="1" x14ac:dyDescent="0.2"/>
    <row r="34787" ht="9.9499999999999993" hidden="1" customHeight="1" x14ac:dyDescent="0.2"/>
    <row r="34788" ht="9.9499999999999993" hidden="1" customHeight="1" x14ac:dyDescent="0.2"/>
    <row r="34789" ht="9.9499999999999993" hidden="1" customHeight="1" x14ac:dyDescent="0.2"/>
    <row r="34790" ht="9.9499999999999993" hidden="1" customHeight="1" x14ac:dyDescent="0.2"/>
    <row r="34791" ht="9.9499999999999993" hidden="1" customHeight="1" x14ac:dyDescent="0.2"/>
    <row r="34792" ht="9.9499999999999993" hidden="1" customHeight="1" x14ac:dyDescent="0.2"/>
    <row r="34793" ht="9.9499999999999993" hidden="1" customHeight="1" x14ac:dyDescent="0.2"/>
    <row r="34794" ht="9.9499999999999993" hidden="1" customHeight="1" x14ac:dyDescent="0.2"/>
    <row r="34795" ht="9.9499999999999993" hidden="1" customHeight="1" x14ac:dyDescent="0.2"/>
    <row r="34796" ht="9.9499999999999993" hidden="1" customHeight="1" x14ac:dyDescent="0.2"/>
    <row r="34797" ht="9.9499999999999993" hidden="1" customHeight="1" x14ac:dyDescent="0.2"/>
    <row r="34798" ht="9.9499999999999993" hidden="1" customHeight="1" x14ac:dyDescent="0.2"/>
    <row r="34799" ht="9.9499999999999993" hidden="1" customHeight="1" x14ac:dyDescent="0.2"/>
    <row r="34800" ht="9.9499999999999993" hidden="1" customHeight="1" x14ac:dyDescent="0.2"/>
    <row r="34801" ht="9.9499999999999993" hidden="1" customHeight="1" x14ac:dyDescent="0.2"/>
    <row r="34802" ht="9.9499999999999993" hidden="1" customHeight="1" x14ac:dyDescent="0.2"/>
    <row r="34803" ht="9.9499999999999993" hidden="1" customHeight="1" x14ac:dyDescent="0.2"/>
    <row r="34804" ht="9.9499999999999993" hidden="1" customHeight="1" x14ac:dyDescent="0.2"/>
    <row r="34805" ht="9.9499999999999993" hidden="1" customHeight="1" x14ac:dyDescent="0.2"/>
    <row r="34806" ht="9.9499999999999993" hidden="1" customHeight="1" x14ac:dyDescent="0.2"/>
    <row r="34807" ht="9.9499999999999993" hidden="1" customHeight="1" x14ac:dyDescent="0.2"/>
    <row r="34808" ht="9.9499999999999993" hidden="1" customHeight="1" x14ac:dyDescent="0.2"/>
    <row r="34809" ht="9.9499999999999993" hidden="1" customHeight="1" x14ac:dyDescent="0.2"/>
    <row r="34810" ht="9.9499999999999993" hidden="1" customHeight="1" x14ac:dyDescent="0.2"/>
    <row r="34811" ht="9.9499999999999993" hidden="1" customHeight="1" x14ac:dyDescent="0.2"/>
    <row r="34812" ht="9.9499999999999993" hidden="1" customHeight="1" x14ac:dyDescent="0.2"/>
    <row r="34813" ht="9.9499999999999993" hidden="1" customHeight="1" x14ac:dyDescent="0.2"/>
    <row r="34814" ht="9.9499999999999993" hidden="1" customHeight="1" x14ac:dyDescent="0.2"/>
    <row r="34815" ht="9.9499999999999993" hidden="1" customHeight="1" x14ac:dyDescent="0.2"/>
    <row r="34816" ht="9.9499999999999993" hidden="1" customHeight="1" x14ac:dyDescent="0.2"/>
    <row r="34817" ht="9.9499999999999993" hidden="1" customHeight="1" x14ac:dyDescent="0.2"/>
    <row r="34818" ht="9.9499999999999993" hidden="1" customHeight="1" x14ac:dyDescent="0.2"/>
    <row r="34819" ht="9.9499999999999993" hidden="1" customHeight="1" x14ac:dyDescent="0.2"/>
    <row r="34820" ht="9.9499999999999993" hidden="1" customHeight="1" x14ac:dyDescent="0.2"/>
    <row r="34821" ht="9.9499999999999993" hidden="1" customHeight="1" x14ac:dyDescent="0.2"/>
    <row r="34822" ht="9.9499999999999993" hidden="1" customHeight="1" x14ac:dyDescent="0.2"/>
    <row r="34823" ht="9.9499999999999993" hidden="1" customHeight="1" x14ac:dyDescent="0.2"/>
    <row r="34824" ht="9.9499999999999993" hidden="1" customHeight="1" x14ac:dyDescent="0.2"/>
    <row r="34825" ht="9.9499999999999993" hidden="1" customHeight="1" x14ac:dyDescent="0.2"/>
    <row r="34826" ht="9.9499999999999993" hidden="1" customHeight="1" x14ac:dyDescent="0.2"/>
    <row r="34827" ht="9.9499999999999993" hidden="1" customHeight="1" x14ac:dyDescent="0.2"/>
    <row r="34828" ht="9.9499999999999993" hidden="1" customHeight="1" x14ac:dyDescent="0.2"/>
    <row r="34829" ht="9.9499999999999993" hidden="1" customHeight="1" x14ac:dyDescent="0.2"/>
    <row r="34830" ht="9.9499999999999993" hidden="1" customHeight="1" x14ac:dyDescent="0.2"/>
    <row r="34831" ht="9.9499999999999993" hidden="1" customHeight="1" x14ac:dyDescent="0.2"/>
    <row r="34832" ht="9.9499999999999993" hidden="1" customHeight="1" x14ac:dyDescent="0.2"/>
    <row r="34833" ht="9.9499999999999993" hidden="1" customHeight="1" x14ac:dyDescent="0.2"/>
    <row r="34834" ht="9.9499999999999993" hidden="1" customHeight="1" x14ac:dyDescent="0.2"/>
    <row r="34835" ht="9.9499999999999993" hidden="1" customHeight="1" x14ac:dyDescent="0.2"/>
    <row r="34836" ht="9.9499999999999993" hidden="1" customHeight="1" x14ac:dyDescent="0.2"/>
    <row r="34837" ht="9.9499999999999993" hidden="1" customHeight="1" x14ac:dyDescent="0.2"/>
    <row r="34838" ht="9.9499999999999993" hidden="1" customHeight="1" x14ac:dyDescent="0.2"/>
    <row r="34839" ht="9.9499999999999993" hidden="1" customHeight="1" x14ac:dyDescent="0.2"/>
    <row r="34840" ht="9.9499999999999993" hidden="1" customHeight="1" x14ac:dyDescent="0.2"/>
    <row r="34841" ht="9.9499999999999993" hidden="1" customHeight="1" x14ac:dyDescent="0.2"/>
    <row r="34842" ht="9.9499999999999993" hidden="1" customHeight="1" x14ac:dyDescent="0.2"/>
    <row r="34843" ht="9.9499999999999993" hidden="1" customHeight="1" x14ac:dyDescent="0.2"/>
    <row r="34844" ht="9.9499999999999993" hidden="1" customHeight="1" x14ac:dyDescent="0.2"/>
    <row r="34845" ht="9.9499999999999993" hidden="1" customHeight="1" x14ac:dyDescent="0.2"/>
    <row r="34846" ht="9.9499999999999993" hidden="1" customHeight="1" x14ac:dyDescent="0.2"/>
    <row r="34847" ht="9.9499999999999993" hidden="1" customHeight="1" x14ac:dyDescent="0.2"/>
    <row r="34848" ht="9.9499999999999993" hidden="1" customHeight="1" x14ac:dyDescent="0.2"/>
    <row r="34849" ht="9.9499999999999993" hidden="1" customHeight="1" x14ac:dyDescent="0.2"/>
    <row r="34850" ht="9.9499999999999993" hidden="1" customHeight="1" x14ac:dyDescent="0.2"/>
    <row r="34851" ht="9.9499999999999993" hidden="1" customHeight="1" x14ac:dyDescent="0.2"/>
    <row r="34852" ht="9.9499999999999993" hidden="1" customHeight="1" x14ac:dyDescent="0.2"/>
    <row r="34853" ht="9.9499999999999993" hidden="1" customHeight="1" x14ac:dyDescent="0.2"/>
    <row r="34854" ht="9.9499999999999993" hidden="1" customHeight="1" x14ac:dyDescent="0.2"/>
    <row r="34855" ht="9.9499999999999993" hidden="1" customHeight="1" x14ac:dyDescent="0.2"/>
    <row r="34856" ht="9.9499999999999993" hidden="1" customHeight="1" x14ac:dyDescent="0.2"/>
    <row r="34857" ht="9.9499999999999993" hidden="1" customHeight="1" x14ac:dyDescent="0.2"/>
    <row r="34858" ht="9.9499999999999993" hidden="1" customHeight="1" x14ac:dyDescent="0.2"/>
    <row r="34859" ht="9.9499999999999993" hidden="1" customHeight="1" x14ac:dyDescent="0.2"/>
    <row r="34860" ht="9.9499999999999993" hidden="1" customHeight="1" x14ac:dyDescent="0.2"/>
    <row r="34861" ht="9.9499999999999993" hidden="1" customHeight="1" x14ac:dyDescent="0.2"/>
    <row r="34862" ht="9.9499999999999993" hidden="1" customHeight="1" x14ac:dyDescent="0.2"/>
    <row r="34863" ht="9.9499999999999993" hidden="1" customHeight="1" x14ac:dyDescent="0.2"/>
    <row r="34864" ht="9.9499999999999993" hidden="1" customHeight="1" x14ac:dyDescent="0.2"/>
    <row r="34865" ht="9.9499999999999993" hidden="1" customHeight="1" x14ac:dyDescent="0.2"/>
    <row r="34866" ht="9.9499999999999993" hidden="1" customHeight="1" x14ac:dyDescent="0.2"/>
    <row r="34867" ht="9.9499999999999993" hidden="1" customHeight="1" x14ac:dyDescent="0.2"/>
    <row r="34868" ht="9.9499999999999993" hidden="1" customHeight="1" x14ac:dyDescent="0.2"/>
    <row r="34869" ht="9.9499999999999993" hidden="1" customHeight="1" x14ac:dyDescent="0.2"/>
    <row r="34870" ht="9.9499999999999993" hidden="1" customHeight="1" x14ac:dyDescent="0.2"/>
    <row r="34871" ht="9.9499999999999993" hidden="1" customHeight="1" x14ac:dyDescent="0.2"/>
    <row r="34872" ht="9.9499999999999993" hidden="1" customHeight="1" x14ac:dyDescent="0.2"/>
    <row r="34873" ht="9.9499999999999993" hidden="1" customHeight="1" x14ac:dyDescent="0.2"/>
    <row r="34874" ht="9.9499999999999993" hidden="1" customHeight="1" x14ac:dyDescent="0.2"/>
    <row r="34875" ht="9.9499999999999993" hidden="1" customHeight="1" x14ac:dyDescent="0.2"/>
    <row r="34876" ht="9.9499999999999993" hidden="1" customHeight="1" x14ac:dyDescent="0.2"/>
    <row r="34877" ht="9.9499999999999993" hidden="1" customHeight="1" x14ac:dyDescent="0.2"/>
    <row r="34878" ht="9.9499999999999993" hidden="1" customHeight="1" x14ac:dyDescent="0.2"/>
    <row r="34879" ht="9.9499999999999993" hidden="1" customHeight="1" x14ac:dyDescent="0.2"/>
    <row r="34880" ht="9.9499999999999993" hidden="1" customHeight="1" x14ac:dyDescent="0.2"/>
    <row r="34881" ht="9.9499999999999993" hidden="1" customHeight="1" x14ac:dyDescent="0.2"/>
    <row r="34882" ht="9.9499999999999993" hidden="1" customHeight="1" x14ac:dyDescent="0.2"/>
    <row r="34883" ht="9.9499999999999993" hidden="1" customHeight="1" x14ac:dyDescent="0.2"/>
    <row r="34884" ht="9.9499999999999993" hidden="1" customHeight="1" x14ac:dyDescent="0.2"/>
    <row r="34885" ht="9.9499999999999993" hidden="1" customHeight="1" x14ac:dyDescent="0.2"/>
    <row r="34886" ht="9.9499999999999993" hidden="1" customHeight="1" x14ac:dyDescent="0.2"/>
    <row r="34887" ht="9.9499999999999993" hidden="1" customHeight="1" x14ac:dyDescent="0.2"/>
    <row r="34888" ht="9.9499999999999993" hidden="1" customHeight="1" x14ac:dyDescent="0.2"/>
    <row r="34889" ht="9.9499999999999993" hidden="1" customHeight="1" x14ac:dyDescent="0.2"/>
    <row r="34890" ht="9.9499999999999993" hidden="1" customHeight="1" x14ac:dyDescent="0.2"/>
    <row r="34891" ht="9.9499999999999993" hidden="1" customHeight="1" x14ac:dyDescent="0.2"/>
    <row r="34892" ht="9.9499999999999993" hidden="1" customHeight="1" x14ac:dyDescent="0.2"/>
    <row r="34893" ht="9.9499999999999993" hidden="1" customHeight="1" x14ac:dyDescent="0.2"/>
    <row r="34894" ht="9.9499999999999993" hidden="1" customHeight="1" x14ac:dyDescent="0.2"/>
    <row r="34895" ht="9.9499999999999993" hidden="1" customHeight="1" x14ac:dyDescent="0.2"/>
    <row r="34896" ht="9.9499999999999993" hidden="1" customHeight="1" x14ac:dyDescent="0.2"/>
    <row r="34897" ht="9.9499999999999993" hidden="1" customHeight="1" x14ac:dyDescent="0.2"/>
    <row r="34898" ht="9.9499999999999993" hidden="1" customHeight="1" x14ac:dyDescent="0.2"/>
    <row r="34899" ht="9.9499999999999993" hidden="1" customHeight="1" x14ac:dyDescent="0.2"/>
    <row r="34900" ht="9.9499999999999993" hidden="1" customHeight="1" x14ac:dyDescent="0.2"/>
    <row r="34901" ht="9.9499999999999993" hidden="1" customHeight="1" x14ac:dyDescent="0.2"/>
    <row r="34902" ht="9.9499999999999993" hidden="1" customHeight="1" x14ac:dyDescent="0.2"/>
    <row r="34903" ht="9.9499999999999993" hidden="1" customHeight="1" x14ac:dyDescent="0.2"/>
    <row r="34904" ht="9.9499999999999993" hidden="1" customHeight="1" x14ac:dyDescent="0.2"/>
    <row r="34905" ht="9.9499999999999993" hidden="1" customHeight="1" x14ac:dyDescent="0.2"/>
    <row r="34906" ht="9.9499999999999993" hidden="1" customHeight="1" x14ac:dyDescent="0.2"/>
    <row r="34907" ht="9.9499999999999993" hidden="1" customHeight="1" x14ac:dyDescent="0.2"/>
    <row r="34908" ht="9.9499999999999993" hidden="1" customHeight="1" x14ac:dyDescent="0.2"/>
    <row r="34909" ht="9.9499999999999993" hidden="1" customHeight="1" x14ac:dyDescent="0.2"/>
    <row r="34910" ht="9.9499999999999993" hidden="1" customHeight="1" x14ac:dyDescent="0.2"/>
    <row r="34911" ht="9.9499999999999993" hidden="1" customHeight="1" x14ac:dyDescent="0.2"/>
    <row r="34912" ht="9.9499999999999993" hidden="1" customHeight="1" x14ac:dyDescent="0.2"/>
    <row r="34913" ht="9.9499999999999993" hidden="1" customHeight="1" x14ac:dyDescent="0.2"/>
    <row r="34914" ht="9.9499999999999993" hidden="1" customHeight="1" x14ac:dyDescent="0.2"/>
    <row r="34915" ht="9.9499999999999993" hidden="1" customHeight="1" x14ac:dyDescent="0.2"/>
    <row r="34916" ht="9.9499999999999993" hidden="1" customHeight="1" x14ac:dyDescent="0.2"/>
    <row r="34917" ht="9.9499999999999993" hidden="1" customHeight="1" x14ac:dyDescent="0.2"/>
    <row r="34918" ht="9.9499999999999993" hidden="1" customHeight="1" x14ac:dyDescent="0.2"/>
    <row r="34919" ht="9.9499999999999993" hidden="1" customHeight="1" x14ac:dyDescent="0.2"/>
    <row r="34920" ht="9.9499999999999993" hidden="1" customHeight="1" x14ac:dyDescent="0.2"/>
    <row r="34921" ht="9.9499999999999993" hidden="1" customHeight="1" x14ac:dyDescent="0.2"/>
    <row r="34922" ht="9.9499999999999993" hidden="1" customHeight="1" x14ac:dyDescent="0.2"/>
    <row r="34923" ht="9.9499999999999993" hidden="1" customHeight="1" x14ac:dyDescent="0.2"/>
    <row r="34924" ht="9.9499999999999993" hidden="1" customHeight="1" x14ac:dyDescent="0.2"/>
    <row r="34925" ht="9.9499999999999993" hidden="1" customHeight="1" x14ac:dyDescent="0.2"/>
    <row r="34926" ht="9.9499999999999993" hidden="1" customHeight="1" x14ac:dyDescent="0.2"/>
    <row r="34927" ht="9.9499999999999993" hidden="1" customHeight="1" x14ac:dyDescent="0.2"/>
    <row r="34928" ht="9.9499999999999993" hidden="1" customHeight="1" x14ac:dyDescent="0.2"/>
    <row r="34929" ht="9.9499999999999993" hidden="1" customHeight="1" x14ac:dyDescent="0.2"/>
    <row r="34930" ht="9.9499999999999993" hidden="1" customHeight="1" x14ac:dyDescent="0.2"/>
    <row r="34931" ht="9.9499999999999993" hidden="1" customHeight="1" x14ac:dyDescent="0.2"/>
    <row r="34932" ht="9.9499999999999993" hidden="1" customHeight="1" x14ac:dyDescent="0.2"/>
    <row r="34933" ht="9.9499999999999993" hidden="1" customHeight="1" x14ac:dyDescent="0.2"/>
    <row r="34934" ht="9.9499999999999993" hidden="1" customHeight="1" x14ac:dyDescent="0.2"/>
    <row r="34935" ht="9.9499999999999993" hidden="1" customHeight="1" x14ac:dyDescent="0.2"/>
    <row r="34936" ht="9.9499999999999993" hidden="1" customHeight="1" x14ac:dyDescent="0.2"/>
    <row r="34937" ht="9.9499999999999993" hidden="1" customHeight="1" x14ac:dyDescent="0.2"/>
    <row r="34938" ht="9.9499999999999993" hidden="1" customHeight="1" x14ac:dyDescent="0.2"/>
    <row r="34939" ht="9.9499999999999993" hidden="1" customHeight="1" x14ac:dyDescent="0.2"/>
    <row r="34940" ht="9.9499999999999993" hidden="1" customHeight="1" x14ac:dyDescent="0.2"/>
    <row r="34941" ht="9.9499999999999993" hidden="1" customHeight="1" x14ac:dyDescent="0.2"/>
    <row r="34942" ht="9.9499999999999993" hidden="1" customHeight="1" x14ac:dyDescent="0.2"/>
    <row r="34943" ht="9.9499999999999993" hidden="1" customHeight="1" x14ac:dyDescent="0.2"/>
    <row r="34944" ht="9.9499999999999993" hidden="1" customHeight="1" x14ac:dyDescent="0.2"/>
    <row r="34945" ht="9.9499999999999993" hidden="1" customHeight="1" x14ac:dyDescent="0.2"/>
    <row r="34946" ht="9.9499999999999993" hidden="1" customHeight="1" x14ac:dyDescent="0.2"/>
    <row r="34947" ht="9.9499999999999993" hidden="1" customHeight="1" x14ac:dyDescent="0.2"/>
    <row r="34948" ht="9.9499999999999993" hidden="1" customHeight="1" x14ac:dyDescent="0.2"/>
    <row r="34949" ht="9.9499999999999993" hidden="1" customHeight="1" x14ac:dyDescent="0.2"/>
    <row r="34950" ht="9.9499999999999993" hidden="1" customHeight="1" x14ac:dyDescent="0.2"/>
    <row r="34951" ht="9.9499999999999993" hidden="1" customHeight="1" x14ac:dyDescent="0.2"/>
    <row r="34952" ht="9.9499999999999993" hidden="1" customHeight="1" x14ac:dyDescent="0.2"/>
    <row r="34953" ht="9.9499999999999993" hidden="1" customHeight="1" x14ac:dyDescent="0.2"/>
    <row r="34954" ht="9.9499999999999993" hidden="1" customHeight="1" x14ac:dyDescent="0.2"/>
    <row r="34955" ht="9.9499999999999993" hidden="1" customHeight="1" x14ac:dyDescent="0.2"/>
    <row r="34956" ht="9.9499999999999993" hidden="1" customHeight="1" x14ac:dyDescent="0.2"/>
    <row r="34957" ht="9.9499999999999993" hidden="1" customHeight="1" x14ac:dyDescent="0.2"/>
    <row r="34958" ht="9.9499999999999993" hidden="1" customHeight="1" x14ac:dyDescent="0.2"/>
    <row r="34959" ht="9.9499999999999993" hidden="1" customHeight="1" x14ac:dyDescent="0.2"/>
    <row r="34960" ht="9.9499999999999993" hidden="1" customHeight="1" x14ac:dyDescent="0.2"/>
    <row r="34961" ht="9.9499999999999993" hidden="1" customHeight="1" x14ac:dyDescent="0.2"/>
    <row r="34962" ht="9.9499999999999993" hidden="1" customHeight="1" x14ac:dyDescent="0.2"/>
    <row r="34963" ht="9.9499999999999993" hidden="1" customHeight="1" x14ac:dyDescent="0.2"/>
    <row r="34964" ht="9.9499999999999993" hidden="1" customHeight="1" x14ac:dyDescent="0.2"/>
    <row r="34965" ht="9.9499999999999993" hidden="1" customHeight="1" x14ac:dyDescent="0.2"/>
    <row r="34966" ht="9.9499999999999993" hidden="1" customHeight="1" x14ac:dyDescent="0.2"/>
    <row r="34967" ht="9.9499999999999993" hidden="1" customHeight="1" x14ac:dyDescent="0.2"/>
    <row r="34968" ht="9.9499999999999993" hidden="1" customHeight="1" x14ac:dyDescent="0.2"/>
    <row r="34969" ht="9.9499999999999993" hidden="1" customHeight="1" x14ac:dyDescent="0.2"/>
    <row r="34970" ht="9.9499999999999993" hidden="1" customHeight="1" x14ac:dyDescent="0.2"/>
    <row r="34971" ht="9.9499999999999993" hidden="1" customHeight="1" x14ac:dyDescent="0.2"/>
    <row r="34972" ht="9.9499999999999993" hidden="1" customHeight="1" x14ac:dyDescent="0.2"/>
    <row r="34973" ht="9.9499999999999993" hidden="1" customHeight="1" x14ac:dyDescent="0.2"/>
    <row r="34974" ht="9.9499999999999993" hidden="1" customHeight="1" x14ac:dyDescent="0.2"/>
    <row r="34975" ht="9.9499999999999993" hidden="1" customHeight="1" x14ac:dyDescent="0.2"/>
    <row r="34976" ht="9.9499999999999993" hidden="1" customHeight="1" x14ac:dyDescent="0.2"/>
    <row r="34977" ht="9.9499999999999993" hidden="1" customHeight="1" x14ac:dyDescent="0.2"/>
    <row r="34978" ht="9.9499999999999993" hidden="1" customHeight="1" x14ac:dyDescent="0.2"/>
    <row r="34979" ht="9.9499999999999993" hidden="1" customHeight="1" x14ac:dyDescent="0.2"/>
    <row r="34980" ht="9.9499999999999993" hidden="1" customHeight="1" x14ac:dyDescent="0.2"/>
    <row r="34981" ht="9.9499999999999993" hidden="1" customHeight="1" x14ac:dyDescent="0.2"/>
    <row r="34982" ht="9.9499999999999993" hidden="1" customHeight="1" x14ac:dyDescent="0.2"/>
    <row r="34983" ht="9.9499999999999993" hidden="1" customHeight="1" x14ac:dyDescent="0.2"/>
    <row r="34984" ht="9.9499999999999993" hidden="1" customHeight="1" x14ac:dyDescent="0.2"/>
    <row r="34985" ht="9.9499999999999993" hidden="1" customHeight="1" x14ac:dyDescent="0.2"/>
    <row r="34986" ht="9.9499999999999993" hidden="1" customHeight="1" x14ac:dyDescent="0.2"/>
    <row r="34987" ht="9.9499999999999993" hidden="1" customHeight="1" x14ac:dyDescent="0.2"/>
    <row r="34988" ht="9.9499999999999993" hidden="1" customHeight="1" x14ac:dyDescent="0.2"/>
    <row r="34989" ht="9.9499999999999993" hidden="1" customHeight="1" x14ac:dyDescent="0.2"/>
    <row r="34990" ht="9.9499999999999993" hidden="1" customHeight="1" x14ac:dyDescent="0.2"/>
    <row r="34991" ht="9.9499999999999993" hidden="1" customHeight="1" x14ac:dyDescent="0.2"/>
    <row r="34992" ht="9.9499999999999993" hidden="1" customHeight="1" x14ac:dyDescent="0.2"/>
    <row r="34993" ht="9.9499999999999993" hidden="1" customHeight="1" x14ac:dyDescent="0.2"/>
    <row r="34994" ht="9.9499999999999993" hidden="1" customHeight="1" x14ac:dyDescent="0.2"/>
    <row r="34995" ht="9.9499999999999993" hidden="1" customHeight="1" x14ac:dyDescent="0.2"/>
    <row r="34996" ht="9.9499999999999993" hidden="1" customHeight="1" x14ac:dyDescent="0.2"/>
    <row r="34997" ht="9.9499999999999993" hidden="1" customHeight="1" x14ac:dyDescent="0.2"/>
    <row r="34998" ht="9.9499999999999993" hidden="1" customHeight="1" x14ac:dyDescent="0.2"/>
    <row r="34999" ht="9.9499999999999993" hidden="1" customHeight="1" x14ac:dyDescent="0.2"/>
    <row r="35000" ht="9.9499999999999993" hidden="1" customHeight="1" x14ac:dyDescent="0.2"/>
    <row r="35001" ht="9.9499999999999993" hidden="1" customHeight="1" x14ac:dyDescent="0.2"/>
    <row r="35002" ht="9.9499999999999993" hidden="1" customHeight="1" x14ac:dyDescent="0.2"/>
    <row r="35003" ht="9.9499999999999993" hidden="1" customHeight="1" x14ac:dyDescent="0.2"/>
    <row r="35004" ht="9.9499999999999993" hidden="1" customHeight="1" x14ac:dyDescent="0.2"/>
    <row r="35005" ht="9.9499999999999993" hidden="1" customHeight="1" x14ac:dyDescent="0.2"/>
    <row r="35006" ht="9.9499999999999993" hidden="1" customHeight="1" x14ac:dyDescent="0.2"/>
    <row r="35007" ht="9.9499999999999993" hidden="1" customHeight="1" x14ac:dyDescent="0.2"/>
    <row r="35008" ht="9.9499999999999993" hidden="1" customHeight="1" x14ac:dyDescent="0.2"/>
    <row r="35009" ht="9.9499999999999993" hidden="1" customHeight="1" x14ac:dyDescent="0.2"/>
    <row r="35010" ht="9.9499999999999993" hidden="1" customHeight="1" x14ac:dyDescent="0.2"/>
    <row r="35011" ht="9.9499999999999993" hidden="1" customHeight="1" x14ac:dyDescent="0.2"/>
    <row r="35012" ht="9.9499999999999993" hidden="1" customHeight="1" x14ac:dyDescent="0.2"/>
    <row r="35013" ht="9.9499999999999993" hidden="1" customHeight="1" x14ac:dyDescent="0.2"/>
    <row r="35014" ht="9.9499999999999993" hidden="1" customHeight="1" x14ac:dyDescent="0.2"/>
    <row r="35015" ht="9.9499999999999993" hidden="1" customHeight="1" x14ac:dyDescent="0.2"/>
    <row r="35016" ht="9.9499999999999993" hidden="1" customHeight="1" x14ac:dyDescent="0.2"/>
    <row r="35017" ht="9.9499999999999993" hidden="1" customHeight="1" x14ac:dyDescent="0.2"/>
    <row r="35018" ht="9.9499999999999993" hidden="1" customHeight="1" x14ac:dyDescent="0.2"/>
    <row r="35019" ht="9.9499999999999993" hidden="1" customHeight="1" x14ac:dyDescent="0.2"/>
    <row r="35020" ht="9.9499999999999993" hidden="1" customHeight="1" x14ac:dyDescent="0.2"/>
    <row r="35021" ht="9.9499999999999993" hidden="1" customHeight="1" x14ac:dyDescent="0.2"/>
    <row r="35022" ht="9.9499999999999993" hidden="1" customHeight="1" x14ac:dyDescent="0.2"/>
    <row r="35023" ht="9.9499999999999993" hidden="1" customHeight="1" x14ac:dyDescent="0.2"/>
    <row r="35024" ht="9.9499999999999993" hidden="1" customHeight="1" x14ac:dyDescent="0.2"/>
    <row r="35025" ht="9.9499999999999993" hidden="1" customHeight="1" x14ac:dyDescent="0.2"/>
    <row r="35026" ht="9.9499999999999993" hidden="1" customHeight="1" x14ac:dyDescent="0.2"/>
    <row r="35027" ht="9.9499999999999993" hidden="1" customHeight="1" x14ac:dyDescent="0.2"/>
    <row r="35028" ht="9.9499999999999993" hidden="1" customHeight="1" x14ac:dyDescent="0.2"/>
    <row r="35029" ht="9.9499999999999993" hidden="1" customHeight="1" x14ac:dyDescent="0.2"/>
    <row r="35030" ht="9.9499999999999993" hidden="1" customHeight="1" x14ac:dyDescent="0.2"/>
    <row r="35031" ht="9.9499999999999993" hidden="1" customHeight="1" x14ac:dyDescent="0.2"/>
    <row r="35032" ht="9.9499999999999993" hidden="1" customHeight="1" x14ac:dyDescent="0.2"/>
    <row r="35033" ht="9.9499999999999993" hidden="1" customHeight="1" x14ac:dyDescent="0.2"/>
    <row r="35034" ht="9.9499999999999993" hidden="1" customHeight="1" x14ac:dyDescent="0.2"/>
    <row r="35035" ht="9.9499999999999993" hidden="1" customHeight="1" x14ac:dyDescent="0.2"/>
    <row r="35036" ht="9.9499999999999993" hidden="1" customHeight="1" x14ac:dyDescent="0.2"/>
    <row r="35037" ht="9.9499999999999993" hidden="1" customHeight="1" x14ac:dyDescent="0.2"/>
    <row r="35038" ht="9.9499999999999993" hidden="1" customHeight="1" x14ac:dyDescent="0.2"/>
    <row r="35039" ht="9.9499999999999993" hidden="1" customHeight="1" x14ac:dyDescent="0.2"/>
    <row r="35040" ht="9.9499999999999993" hidden="1" customHeight="1" x14ac:dyDescent="0.2"/>
    <row r="35041" ht="9.9499999999999993" hidden="1" customHeight="1" x14ac:dyDescent="0.2"/>
    <row r="35042" ht="9.9499999999999993" hidden="1" customHeight="1" x14ac:dyDescent="0.2"/>
    <row r="35043" ht="9.9499999999999993" hidden="1" customHeight="1" x14ac:dyDescent="0.2"/>
    <row r="35044" ht="9.9499999999999993" hidden="1" customHeight="1" x14ac:dyDescent="0.2"/>
    <row r="35045" ht="9.9499999999999993" hidden="1" customHeight="1" x14ac:dyDescent="0.2"/>
    <row r="35046" ht="9.9499999999999993" hidden="1" customHeight="1" x14ac:dyDescent="0.2"/>
    <row r="35047" ht="9.9499999999999993" hidden="1" customHeight="1" x14ac:dyDescent="0.2"/>
    <row r="35048" ht="9.9499999999999993" hidden="1" customHeight="1" x14ac:dyDescent="0.2"/>
    <row r="35049" ht="9.9499999999999993" hidden="1" customHeight="1" x14ac:dyDescent="0.2"/>
    <row r="35050" ht="9.9499999999999993" hidden="1" customHeight="1" x14ac:dyDescent="0.2"/>
    <row r="35051" ht="9.9499999999999993" hidden="1" customHeight="1" x14ac:dyDescent="0.2"/>
    <row r="35052" ht="9.9499999999999993" hidden="1" customHeight="1" x14ac:dyDescent="0.2"/>
    <row r="35053" ht="9.9499999999999993" hidden="1" customHeight="1" x14ac:dyDescent="0.2"/>
    <row r="35054" ht="9.9499999999999993" hidden="1" customHeight="1" x14ac:dyDescent="0.2"/>
    <row r="35055" ht="9.9499999999999993" hidden="1" customHeight="1" x14ac:dyDescent="0.2"/>
    <row r="35056" ht="9.9499999999999993" hidden="1" customHeight="1" x14ac:dyDescent="0.2"/>
    <row r="35057" ht="9.9499999999999993" hidden="1" customHeight="1" x14ac:dyDescent="0.2"/>
    <row r="35058" ht="9.9499999999999993" hidden="1" customHeight="1" x14ac:dyDescent="0.2"/>
    <row r="35059" ht="9.9499999999999993" hidden="1" customHeight="1" x14ac:dyDescent="0.2"/>
    <row r="35060" ht="9.9499999999999993" hidden="1" customHeight="1" x14ac:dyDescent="0.2"/>
    <row r="35061" ht="9.9499999999999993" hidden="1" customHeight="1" x14ac:dyDescent="0.2"/>
    <row r="35062" ht="9.9499999999999993" hidden="1" customHeight="1" x14ac:dyDescent="0.2"/>
    <row r="35063" ht="9.9499999999999993" hidden="1" customHeight="1" x14ac:dyDescent="0.2"/>
    <row r="35064" ht="9.9499999999999993" hidden="1" customHeight="1" x14ac:dyDescent="0.2"/>
    <row r="35065" ht="9.9499999999999993" hidden="1" customHeight="1" x14ac:dyDescent="0.2"/>
    <row r="35066" ht="9.9499999999999993" hidden="1" customHeight="1" x14ac:dyDescent="0.2"/>
    <row r="35067" ht="9.9499999999999993" hidden="1" customHeight="1" x14ac:dyDescent="0.2"/>
    <row r="35068" ht="9.9499999999999993" hidden="1" customHeight="1" x14ac:dyDescent="0.2"/>
    <row r="35069" ht="9.9499999999999993" hidden="1" customHeight="1" x14ac:dyDescent="0.2"/>
    <row r="35070" ht="9.9499999999999993" hidden="1" customHeight="1" x14ac:dyDescent="0.2"/>
    <row r="35071" ht="9.9499999999999993" hidden="1" customHeight="1" x14ac:dyDescent="0.2"/>
    <row r="35072" ht="9.9499999999999993" hidden="1" customHeight="1" x14ac:dyDescent="0.2"/>
    <row r="35073" ht="9.9499999999999993" hidden="1" customHeight="1" x14ac:dyDescent="0.2"/>
    <row r="35074" ht="9.9499999999999993" hidden="1" customHeight="1" x14ac:dyDescent="0.2"/>
    <row r="35075" ht="9.9499999999999993" hidden="1" customHeight="1" x14ac:dyDescent="0.2"/>
    <row r="35076" ht="9.9499999999999993" hidden="1" customHeight="1" x14ac:dyDescent="0.2"/>
    <row r="35077" ht="9.9499999999999993" hidden="1" customHeight="1" x14ac:dyDescent="0.2"/>
    <row r="35078" ht="9.9499999999999993" hidden="1" customHeight="1" x14ac:dyDescent="0.2"/>
    <row r="35079" ht="9.9499999999999993" hidden="1" customHeight="1" x14ac:dyDescent="0.2"/>
    <row r="35080" ht="9.9499999999999993" hidden="1" customHeight="1" x14ac:dyDescent="0.2"/>
    <row r="35081" ht="9.9499999999999993" hidden="1" customHeight="1" x14ac:dyDescent="0.2"/>
    <row r="35082" ht="9.9499999999999993" hidden="1" customHeight="1" x14ac:dyDescent="0.2"/>
    <row r="35083" ht="9.9499999999999993" hidden="1" customHeight="1" x14ac:dyDescent="0.2"/>
    <row r="35084" ht="9.9499999999999993" hidden="1" customHeight="1" x14ac:dyDescent="0.2"/>
    <row r="35085" ht="9.9499999999999993" hidden="1" customHeight="1" x14ac:dyDescent="0.2"/>
    <row r="35086" ht="9.9499999999999993" hidden="1" customHeight="1" x14ac:dyDescent="0.2"/>
    <row r="35087" ht="9.9499999999999993" hidden="1" customHeight="1" x14ac:dyDescent="0.2"/>
    <row r="35088" ht="9.9499999999999993" hidden="1" customHeight="1" x14ac:dyDescent="0.2"/>
    <row r="35089" ht="9.9499999999999993" hidden="1" customHeight="1" x14ac:dyDescent="0.2"/>
    <row r="35090" ht="9.9499999999999993" hidden="1" customHeight="1" x14ac:dyDescent="0.2"/>
    <row r="35091" ht="9.9499999999999993" hidden="1" customHeight="1" x14ac:dyDescent="0.2"/>
    <row r="35092" ht="9.9499999999999993" hidden="1" customHeight="1" x14ac:dyDescent="0.2"/>
    <row r="35093" ht="9.9499999999999993" hidden="1" customHeight="1" x14ac:dyDescent="0.2"/>
    <row r="35094" ht="9.9499999999999993" hidden="1" customHeight="1" x14ac:dyDescent="0.2"/>
    <row r="35095" ht="9.9499999999999993" hidden="1" customHeight="1" x14ac:dyDescent="0.2"/>
    <row r="35096" ht="9.9499999999999993" hidden="1" customHeight="1" x14ac:dyDescent="0.2"/>
    <row r="35097" ht="9.9499999999999993" hidden="1" customHeight="1" x14ac:dyDescent="0.2"/>
    <row r="35098" ht="9.9499999999999993" hidden="1" customHeight="1" x14ac:dyDescent="0.2"/>
    <row r="35099" ht="9.9499999999999993" hidden="1" customHeight="1" x14ac:dyDescent="0.2"/>
    <row r="35100" ht="9.9499999999999993" hidden="1" customHeight="1" x14ac:dyDescent="0.2"/>
    <row r="35101" ht="9.9499999999999993" hidden="1" customHeight="1" x14ac:dyDescent="0.2"/>
    <row r="35102" ht="9.9499999999999993" hidden="1" customHeight="1" x14ac:dyDescent="0.2"/>
    <row r="35103" ht="9.9499999999999993" hidden="1" customHeight="1" x14ac:dyDescent="0.2"/>
    <row r="35104" ht="9.9499999999999993" hidden="1" customHeight="1" x14ac:dyDescent="0.2"/>
    <row r="35105" ht="9.9499999999999993" hidden="1" customHeight="1" x14ac:dyDescent="0.2"/>
    <row r="35106" ht="9.9499999999999993" hidden="1" customHeight="1" x14ac:dyDescent="0.2"/>
    <row r="35107" ht="9.9499999999999993" hidden="1" customHeight="1" x14ac:dyDescent="0.2"/>
    <row r="35108" ht="9.9499999999999993" hidden="1" customHeight="1" x14ac:dyDescent="0.2"/>
    <row r="35109" ht="9.9499999999999993" hidden="1" customHeight="1" x14ac:dyDescent="0.2"/>
    <row r="35110" ht="9.9499999999999993" hidden="1" customHeight="1" x14ac:dyDescent="0.2"/>
    <row r="35111" ht="9.9499999999999993" hidden="1" customHeight="1" x14ac:dyDescent="0.2"/>
    <row r="35112" ht="9.9499999999999993" hidden="1" customHeight="1" x14ac:dyDescent="0.2"/>
    <row r="35113" ht="9.9499999999999993" hidden="1" customHeight="1" x14ac:dyDescent="0.2"/>
    <row r="35114" ht="9.9499999999999993" hidden="1" customHeight="1" x14ac:dyDescent="0.2"/>
    <row r="35115" ht="9.9499999999999993" hidden="1" customHeight="1" x14ac:dyDescent="0.2"/>
    <row r="35116" ht="9.9499999999999993" hidden="1" customHeight="1" x14ac:dyDescent="0.2"/>
    <row r="35117" ht="9.9499999999999993" hidden="1" customHeight="1" x14ac:dyDescent="0.2"/>
    <row r="35118" ht="9.9499999999999993" hidden="1" customHeight="1" x14ac:dyDescent="0.2"/>
    <row r="35119" ht="9.9499999999999993" hidden="1" customHeight="1" x14ac:dyDescent="0.2"/>
    <row r="35120" ht="9.9499999999999993" hidden="1" customHeight="1" x14ac:dyDescent="0.2"/>
    <row r="35121" ht="9.9499999999999993" hidden="1" customHeight="1" x14ac:dyDescent="0.2"/>
    <row r="35122" ht="9.9499999999999993" hidden="1" customHeight="1" x14ac:dyDescent="0.2"/>
    <row r="35123" ht="9.9499999999999993" hidden="1" customHeight="1" x14ac:dyDescent="0.2"/>
    <row r="35124" ht="9.9499999999999993" hidden="1" customHeight="1" x14ac:dyDescent="0.2"/>
    <row r="35125" ht="9.9499999999999993" hidden="1" customHeight="1" x14ac:dyDescent="0.2"/>
    <row r="35126" ht="9.9499999999999993" hidden="1" customHeight="1" x14ac:dyDescent="0.2"/>
    <row r="35127" ht="9.9499999999999993" hidden="1" customHeight="1" x14ac:dyDescent="0.2"/>
    <row r="35128" ht="9.9499999999999993" hidden="1" customHeight="1" x14ac:dyDescent="0.2"/>
    <row r="35129" ht="9.9499999999999993" hidden="1" customHeight="1" x14ac:dyDescent="0.2"/>
    <row r="35130" ht="9.9499999999999993" hidden="1" customHeight="1" x14ac:dyDescent="0.2"/>
    <row r="35131" ht="9.9499999999999993" hidden="1" customHeight="1" x14ac:dyDescent="0.2"/>
    <row r="35132" ht="9.9499999999999993" hidden="1" customHeight="1" x14ac:dyDescent="0.2"/>
    <row r="35133" ht="9.9499999999999993" hidden="1" customHeight="1" x14ac:dyDescent="0.2"/>
    <row r="35134" ht="9.9499999999999993" hidden="1" customHeight="1" x14ac:dyDescent="0.2"/>
    <row r="35135" ht="9.9499999999999993" hidden="1" customHeight="1" x14ac:dyDescent="0.2"/>
    <row r="35136" ht="9.9499999999999993" hidden="1" customHeight="1" x14ac:dyDescent="0.2"/>
    <row r="35137" ht="9.9499999999999993" hidden="1" customHeight="1" x14ac:dyDescent="0.2"/>
    <row r="35138" ht="9.9499999999999993" hidden="1" customHeight="1" x14ac:dyDescent="0.2"/>
    <row r="35139" ht="9.9499999999999993" hidden="1" customHeight="1" x14ac:dyDescent="0.2"/>
    <row r="35140" ht="9.9499999999999993" hidden="1" customHeight="1" x14ac:dyDescent="0.2"/>
    <row r="35141" ht="9.9499999999999993" hidden="1" customHeight="1" x14ac:dyDescent="0.2"/>
    <row r="35142" ht="9.9499999999999993" hidden="1" customHeight="1" x14ac:dyDescent="0.2"/>
    <row r="35143" ht="9.9499999999999993" hidden="1" customHeight="1" x14ac:dyDescent="0.2"/>
    <row r="35144" ht="9.9499999999999993" hidden="1" customHeight="1" x14ac:dyDescent="0.2"/>
    <row r="35145" ht="9.9499999999999993" hidden="1" customHeight="1" x14ac:dyDescent="0.2"/>
    <row r="35146" ht="9.9499999999999993" hidden="1" customHeight="1" x14ac:dyDescent="0.2"/>
    <row r="35147" ht="9.9499999999999993" hidden="1" customHeight="1" x14ac:dyDescent="0.2"/>
    <row r="35148" ht="9.9499999999999993" hidden="1" customHeight="1" x14ac:dyDescent="0.2"/>
    <row r="35149" ht="9.9499999999999993" hidden="1" customHeight="1" x14ac:dyDescent="0.2"/>
    <row r="35150" ht="9.9499999999999993" hidden="1" customHeight="1" x14ac:dyDescent="0.2"/>
    <row r="35151" ht="9.9499999999999993" hidden="1" customHeight="1" x14ac:dyDescent="0.2"/>
    <row r="35152" ht="9.9499999999999993" hidden="1" customHeight="1" x14ac:dyDescent="0.2"/>
    <row r="35153" ht="9.9499999999999993" hidden="1" customHeight="1" x14ac:dyDescent="0.2"/>
    <row r="35154" ht="9.9499999999999993" hidden="1" customHeight="1" x14ac:dyDescent="0.2"/>
    <row r="35155" ht="9.9499999999999993" hidden="1" customHeight="1" x14ac:dyDescent="0.2"/>
    <row r="35156" ht="9.9499999999999993" hidden="1" customHeight="1" x14ac:dyDescent="0.2"/>
    <row r="35157" ht="9.9499999999999993" hidden="1" customHeight="1" x14ac:dyDescent="0.2"/>
    <row r="35158" ht="9.9499999999999993" hidden="1" customHeight="1" x14ac:dyDescent="0.2"/>
    <row r="35159" ht="9.9499999999999993" hidden="1" customHeight="1" x14ac:dyDescent="0.2"/>
    <row r="35160" ht="9.9499999999999993" hidden="1" customHeight="1" x14ac:dyDescent="0.2"/>
    <row r="35161" ht="9.9499999999999993" hidden="1" customHeight="1" x14ac:dyDescent="0.2"/>
    <row r="35162" ht="9.9499999999999993" hidden="1" customHeight="1" x14ac:dyDescent="0.2"/>
    <row r="35163" ht="9.9499999999999993" hidden="1" customHeight="1" x14ac:dyDescent="0.2"/>
    <row r="35164" ht="9.9499999999999993" hidden="1" customHeight="1" x14ac:dyDescent="0.2"/>
    <row r="35165" ht="9.9499999999999993" hidden="1" customHeight="1" x14ac:dyDescent="0.2"/>
    <row r="35166" ht="9.9499999999999993" hidden="1" customHeight="1" x14ac:dyDescent="0.2"/>
    <row r="35167" ht="9.9499999999999993" hidden="1" customHeight="1" x14ac:dyDescent="0.2"/>
    <row r="35168" ht="9.9499999999999993" hidden="1" customHeight="1" x14ac:dyDescent="0.2"/>
    <row r="35169" ht="9.9499999999999993" hidden="1" customHeight="1" x14ac:dyDescent="0.2"/>
    <row r="35170" ht="9.9499999999999993" hidden="1" customHeight="1" x14ac:dyDescent="0.2"/>
    <row r="35171" ht="9.9499999999999993" hidden="1" customHeight="1" x14ac:dyDescent="0.2"/>
    <row r="35172" ht="9.9499999999999993" hidden="1" customHeight="1" x14ac:dyDescent="0.2"/>
    <row r="35173" ht="9.9499999999999993" hidden="1" customHeight="1" x14ac:dyDescent="0.2"/>
    <row r="35174" ht="9.9499999999999993" hidden="1" customHeight="1" x14ac:dyDescent="0.2"/>
    <row r="35175" ht="9.9499999999999993" hidden="1" customHeight="1" x14ac:dyDescent="0.2"/>
    <row r="35176" ht="9.9499999999999993" hidden="1" customHeight="1" x14ac:dyDescent="0.2"/>
    <row r="35177" ht="9.9499999999999993" hidden="1" customHeight="1" x14ac:dyDescent="0.2"/>
    <row r="35178" ht="9.9499999999999993" hidden="1" customHeight="1" x14ac:dyDescent="0.2"/>
    <row r="35179" ht="9.9499999999999993" hidden="1" customHeight="1" x14ac:dyDescent="0.2"/>
    <row r="35180" ht="9.9499999999999993" hidden="1" customHeight="1" x14ac:dyDescent="0.2"/>
    <row r="35181" ht="9.9499999999999993" hidden="1" customHeight="1" x14ac:dyDescent="0.2"/>
    <row r="35182" ht="9.9499999999999993" hidden="1" customHeight="1" x14ac:dyDescent="0.2"/>
    <row r="35183" ht="9.9499999999999993" hidden="1" customHeight="1" x14ac:dyDescent="0.2"/>
    <row r="35184" ht="9.9499999999999993" hidden="1" customHeight="1" x14ac:dyDescent="0.2"/>
    <row r="35185" ht="9.9499999999999993" hidden="1" customHeight="1" x14ac:dyDescent="0.2"/>
    <row r="35186" ht="9.9499999999999993" hidden="1" customHeight="1" x14ac:dyDescent="0.2"/>
    <row r="35187" ht="9.9499999999999993" hidden="1" customHeight="1" x14ac:dyDescent="0.2"/>
    <row r="35188" ht="9.9499999999999993" hidden="1" customHeight="1" x14ac:dyDescent="0.2"/>
    <row r="35189" ht="9.9499999999999993" hidden="1" customHeight="1" x14ac:dyDescent="0.2"/>
    <row r="35190" ht="9.9499999999999993" hidden="1" customHeight="1" x14ac:dyDescent="0.2"/>
    <row r="35191" ht="9.9499999999999993" hidden="1" customHeight="1" x14ac:dyDescent="0.2"/>
    <row r="35192" ht="9.9499999999999993" hidden="1" customHeight="1" x14ac:dyDescent="0.2"/>
    <row r="35193" ht="9.9499999999999993" hidden="1" customHeight="1" x14ac:dyDescent="0.2"/>
    <row r="35194" ht="9.9499999999999993" hidden="1" customHeight="1" x14ac:dyDescent="0.2"/>
    <row r="35195" ht="9.9499999999999993" hidden="1" customHeight="1" x14ac:dyDescent="0.2"/>
    <row r="35196" ht="9.9499999999999993" hidden="1" customHeight="1" x14ac:dyDescent="0.2"/>
    <row r="35197" ht="9.9499999999999993" hidden="1" customHeight="1" x14ac:dyDescent="0.2"/>
    <row r="35198" ht="9.9499999999999993" hidden="1" customHeight="1" x14ac:dyDescent="0.2"/>
    <row r="35199" ht="9.9499999999999993" hidden="1" customHeight="1" x14ac:dyDescent="0.2"/>
    <row r="35200" ht="9.9499999999999993" hidden="1" customHeight="1" x14ac:dyDescent="0.2"/>
    <row r="35201" ht="9.9499999999999993" hidden="1" customHeight="1" x14ac:dyDescent="0.2"/>
    <row r="35202" ht="9.9499999999999993" hidden="1" customHeight="1" x14ac:dyDescent="0.2"/>
    <row r="35203" ht="9.9499999999999993" hidden="1" customHeight="1" x14ac:dyDescent="0.2"/>
    <row r="35204" ht="9.9499999999999993" hidden="1" customHeight="1" x14ac:dyDescent="0.2"/>
    <row r="35205" ht="9.9499999999999993" hidden="1" customHeight="1" x14ac:dyDescent="0.2"/>
    <row r="35206" ht="9.9499999999999993" hidden="1" customHeight="1" x14ac:dyDescent="0.2"/>
    <row r="35207" ht="9.9499999999999993" hidden="1" customHeight="1" x14ac:dyDescent="0.2"/>
    <row r="35208" ht="9.9499999999999993" hidden="1" customHeight="1" x14ac:dyDescent="0.2"/>
    <row r="35209" ht="9.9499999999999993" hidden="1" customHeight="1" x14ac:dyDescent="0.2"/>
    <row r="35210" ht="9.9499999999999993" hidden="1" customHeight="1" x14ac:dyDescent="0.2"/>
    <row r="35211" ht="9.9499999999999993" hidden="1" customHeight="1" x14ac:dyDescent="0.2"/>
    <row r="35212" ht="9.9499999999999993" hidden="1" customHeight="1" x14ac:dyDescent="0.2"/>
    <row r="35213" ht="9.9499999999999993" hidden="1" customHeight="1" x14ac:dyDescent="0.2"/>
    <row r="35214" ht="9.9499999999999993" hidden="1" customHeight="1" x14ac:dyDescent="0.2"/>
    <row r="35215" ht="9.9499999999999993" hidden="1" customHeight="1" x14ac:dyDescent="0.2"/>
    <row r="35216" ht="9.9499999999999993" hidden="1" customHeight="1" x14ac:dyDescent="0.2"/>
    <row r="35217" ht="9.9499999999999993" hidden="1" customHeight="1" x14ac:dyDescent="0.2"/>
    <row r="35218" ht="9.9499999999999993" hidden="1" customHeight="1" x14ac:dyDescent="0.2"/>
    <row r="35219" ht="9.9499999999999993" hidden="1" customHeight="1" x14ac:dyDescent="0.2"/>
    <row r="35220" ht="9.9499999999999993" hidden="1" customHeight="1" x14ac:dyDescent="0.2"/>
    <row r="35221" ht="9.9499999999999993" hidden="1" customHeight="1" x14ac:dyDescent="0.2"/>
    <row r="35222" ht="9.9499999999999993" hidden="1" customHeight="1" x14ac:dyDescent="0.2"/>
    <row r="35223" ht="9.9499999999999993" hidden="1" customHeight="1" x14ac:dyDescent="0.2"/>
    <row r="35224" ht="9.9499999999999993" hidden="1" customHeight="1" x14ac:dyDescent="0.2"/>
    <row r="35225" ht="9.9499999999999993" hidden="1" customHeight="1" x14ac:dyDescent="0.2"/>
    <row r="35226" ht="9.9499999999999993" hidden="1" customHeight="1" x14ac:dyDescent="0.2"/>
    <row r="35227" ht="9.9499999999999993" hidden="1" customHeight="1" x14ac:dyDescent="0.2"/>
    <row r="35228" ht="9.9499999999999993" hidden="1" customHeight="1" x14ac:dyDescent="0.2"/>
    <row r="35229" ht="9.9499999999999993" hidden="1" customHeight="1" x14ac:dyDescent="0.2"/>
    <row r="35230" ht="9.9499999999999993" hidden="1" customHeight="1" x14ac:dyDescent="0.2"/>
    <row r="35231" ht="9.9499999999999993" hidden="1" customHeight="1" x14ac:dyDescent="0.2"/>
    <row r="35232" ht="9.9499999999999993" hidden="1" customHeight="1" x14ac:dyDescent="0.2"/>
    <row r="35233" ht="9.9499999999999993" hidden="1" customHeight="1" x14ac:dyDescent="0.2"/>
    <row r="35234" ht="9.9499999999999993" hidden="1" customHeight="1" x14ac:dyDescent="0.2"/>
    <row r="35235" ht="9.9499999999999993" hidden="1" customHeight="1" x14ac:dyDescent="0.2"/>
    <row r="35236" ht="9.9499999999999993" hidden="1" customHeight="1" x14ac:dyDescent="0.2"/>
    <row r="35237" ht="9.9499999999999993" hidden="1" customHeight="1" x14ac:dyDescent="0.2"/>
    <row r="35238" ht="9.9499999999999993" hidden="1" customHeight="1" x14ac:dyDescent="0.2"/>
    <row r="35239" ht="9.9499999999999993" hidden="1" customHeight="1" x14ac:dyDescent="0.2"/>
    <row r="35240" ht="9.9499999999999993" hidden="1" customHeight="1" x14ac:dyDescent="0.2"/>
    <row r="35241" ht="9.9499999999999993" hidden="1" customHeight="1" x14ac:dyDescent="0.2"/>
    <row r="35242" ht="9.9499999999999993" hidden="1" customHeight="1" x14ac:dyDescent="0.2"/>
    <row r="35243" ht="9.9499999999999993" hidden="1" customHeight="1" x14ac:dyDescent="0.2"/>
    <row r="35244" ht="9.9499999999999993" hidden="1" customHeight="1" x14ac:dyDescent="0.2"/>
    <row r="35245" ht="9.9499999999999993" hidden="1" customHeight="1" x14ac:dyDescent="0.2"/>
    <row r="35246" ht="9.9499999999999993" hidden="1" customHeight="1" x14ac:dyDescent="0.2"/>
    <row r="35247" ht="9.9499999999999993" hidden="1" customHeight="1" x14ac:dyDescent="0.2"/>
    <row r="35248" ht="9.9499999999999993" hidden="1" customHeight="1" x14ac:dyDescent="0.2"/>
    <row r="35249" ht="9.9499999999999993" hidden="1" customHeight="1" x14ac:dyDescent="0.2"/>
    <row r="35250" ht="9.9499999999999993" hidden="1" customHeight="1" x14ac:dyDescent="0.2"/>
    <row r="35251" ht="9.9499999999999993" hidden="1" customHeight="1" x14ac:dyDescent="0.2"/>
    <row r="35252" ht="9.9499999999999993" hidden="1" customHeight="1" x14ac:dyDescent="0.2"/>
    <row r="35253" ht="9.9499999999999993" hidden="1" customHeight="1" x14ac:dyDescent="0.2"/>
    <row r="35254" ht="9.9499999999999993" hidden="1" customHeight="1" x14ac:dyDescent="0.2"/>
    <row r="35255" ht="9.9499999999999993" hidden="1" customHeight="1" x14ac:dyDescent="0.2"/>
    <row r="35256" ht="9.9499999999999993" hidden="1" customHeight="1" x14ac:dyDescent="0.2"/>
    <row r="35257" ht="9.9499999999999993" hidden="1" customHeight="1" x14ac:dyDescent="0.2"/>
    <row r="35258" ht="9.9499999999999993" hidden="1" customHeight="1" x14ac:dyDescent="0.2"/>
    <row r="35259" ht="9.9499999999999993" hidden="1" customHeight="1" x14ac:dyDescent="0.2"/>
    <row r="35260" ht="9.9499999999999993" hidden="1" customHeight="1" x14ac:dyDescent="0.2"/>
    <row r="35261" ht="9.9499999999999993" hidden="1" customHeight="1" x14ac:dyDescent="0.2"/>
    <row r="35262" ht="9.9499999999999993" hidden="1" customHeight="1" x14ac:dyDescent="0.2"/>
    <row r="35263" ht="9.9499999999999993" hidden="1" customHeight="1" x14ac:dyDescent="0.2"/>
    <row r="35264" ht="9.9499999999999993" hidden="1" customHeight="1" x14ac:dyDescent="0.2"/>
    <row r="35265" ht="9.9499999999999993" hidden="1" customHeight="1" x14ac:dyDescent="0.2"/>
    <row r="35266" ht="9.9499999999999993" hidden="1" customHeight="1" x14ac:dyDescent="0.2"/>
    <row r="35267" ht="9.9499999999999993" hidden="1" customHeight="1" x14ac:dyDescent="0.2"/>
    <row r="35268" ht="9.9499999999999993" hidden="1" customHeight="1" x14ac:dyDescent="0.2"/>
    <row r="35269" ht="9.9499999999999993" hidden="1" customHeight="1" x14ac:dyDescent="0.2"/>
    <row r="35270" ht="9.9499999999999993" hidden="1" customHeight="1" x14ac:dyDescent="0.2"/>
    <row r="35271" ht="9.9499999999999993" hidden="1" customHeight="1" x14ac:dyDescent="0.2"/>
    <row r="35272" ht="9.9499999999999993" hidden="1" customHeight="1" x14ac:dyDescent="0.2"/>
    <row r="35273" ht="9.9499999999999993" hidden="1" customHeight="1" x14ac:dyDescent="0.2"/>
    <row r="35274" ht="9.9499999999999993" hidden="1" customHeight="1" x14ac:dyDescent="0.2"/>
    <row r="35275" ht="9.9499999999999993" hidden="1" customHeight="1" x14ac:dyDescent="0.2"/>
    <row r="35276" ht="9.9499999999999993" hidden="1" customHeight="1" x14ac:dyDescent="0.2"/>
    <row r="35277" ht="9.9499999999999993" hidden="1" customHeight="1" x14ac:dyDescent="0.2"/>
    <row r="35278" ht="9.9499999999999993" hidden="1" customHeight="1" x14ac:dyDescent="0.2"/>
    <row r="35279" ht="9.9499999999999993" hidden="1" customHeight="1" x14ac:dyDescent="0.2"/>
    <row r="35280" ht="9.9499999999999993" hidden="1" customHeight="1" x14ac:dyDescent="0.2"/>
    <row r="35281" ht="9.9499999999999993" hidden="1" customHeight="1" x14ac:dyDescent="0.2"/>
    <row r="35282" ht="9.9499999999999993" hidden="1" customHeight="1" x14ac:dyDescent="0.2"/>
    <row r="35283" ht="9.9499999999999993" hidden="1" customHeight="1" x14ac:dyDescent="0.2"/>
    <row r="35284" ht="9.9499999999999993" hidden="1" customHeight="1" x14ac:dyDescent="0.2"/>
    <row r="35285" ht="9.9499999999999993" hidden="1" customHeight="1" x14ac:dyDescent="0.2"/>
    <row r="35286" ht="9.9499999999999993" hidden="1" customHeight="1" x14ac:dyDescent="0.2"/>
    <row r="35287" ht="9.9499999999999993" hidden="1" customHeight="1" x14ac:dyDescent="0.2"/>
    <row r="35288" ht="9.9499999999999993" hidden="1" customHeight="1" x14ac:dyDescent="0.2"/>
    <row r="35289" ht="9.9499999999999993" hidden="1" customHeight="1" x14ac:dyDescent="0.2"/>
    <row r="35290" ht="9.9499999999999993" hidden="1" customHeight="1" x14ac:dyDescent="0.2"/>
    <row r="35291" ht="9.9499999999999993" hidden="1" customHeight="1" x14ac:dyDescent="0.2"/>
    <row r="35292" ht="9.9499999999999993" hidden="1" customHeight="1" x14ac:dyDescent="0.2"/>
    <row r="35293" ht="9.9499999999999993" hidden="1" customHeight="1" x14ac:dyDescent="0.2"/>
    <row r="35294" ht="9.9499999999999993" hidden="1" customHeight="1" x14ac:dyDescent="0.2"/>
    <row r="35295" ht="9.9499999999999993" hidden="1" customHeight="1" x14ac:dyDescent="0.2"/>
    <row r="35296" ht="9.9499999999999993" hidden="1" customHeight="1" x14ac:dyDescent="0.2"/>
    <row r="35297" ht="9.9499999999999993" hidden="1" customHeight="1" x14ac:dyDescent="0.2"/>
    <row r="35298" ht="9.9499999999999993" hidden="1" customHeight="1" x14ac:dyDescent="0.2"/>
    <row r="35299" ht="9.9499999999999993" hidden="1" customHeight="1" x14ac:dyDescent="0.2"/>
    <row r="35300" ht="9.9499999999999993" hidden="1" customHeight="1" x14ac:dyDescent="0.2"/>
    <row r="35301" ht="9.9499999999999993" hidden="1" customHeight="1" x14ac:dyDescent="0.2"/>
    <row r="35302" ht="9.9499999999999993" hidden="1" customHeight="1" x14ac:dyDescent="0.2"/>
    <row r="35303" ht="9.9499999999999993" hidden="1" customHeight="1" x14ac:dyDescent="0.2"/>
    <row r="35304" ht="9.9499999999999993" hidden="1" customHeight="1" x14ac:dyDescent="0.2"/>
    <row r="35305" ht="9.9499999999999993" hidden="1" customHeight="1" x14ac:dyDescent="0.2"/>
    <row r="35306" ht="9.9499999999999993" hidden="1" customHeight="1" x14ac:dyDescent="0.2"/>
    <row r="35307" ht="9.9499999999999993" hidden="1" customHeight="1" x14ac:dyDescent="0.2"/>
    <row r="35308" ht="9.9499999999999993" hidden="1" customHeight="1" x14ac:dyDescent="0.2"/>
    <row r="35309" ht="9.9499999999999993" hidden="1" customHeight="1" x14ac:dyDescent="0.2"/>
    <row r="35310" ht="9.9499999999999993" hidden="1" customHeight="1" x14ac:dyDescent="0.2"/>
    <row r="35311" ht="9.9499999999999993" hidden="1" customHeight="1" x14ac:dyDescent="0.2"/>
    <row r="35312" ht="9.9499999999999993" hidden="1" customHeight="1" x14ac:dyDescent="0.2"/>
    <row r="35313" ht="9.9499999999999993" hidden="1" customHeight="1" x14ac:dyDescent="0.2"/>
    <row r="35314" ht="9.9499999999999993" hidden="1" customHeight="1" x14ac:dyDescent="0.2"/>
    <row r="35315" ht="9.9499999999999993" hidden="1" customHeight="1" x14ac:dyDescent="0.2"/>
    <row r="35316" ht="9.9499999999999993" hidden="1" customHeight="1" x14ac:dyDescent="0.2"/>
    <row r="35317" ht="9.9499999999999993" hidden="1" customHeight="1" x14ac:dyDescent="0.2"/>
    <row r="35318" ht="9.9499999999999993" hidden="1" customHeight="1" x14ac:dyDescent="0.2"/>
    <row r="35319" ht="9.9499999999999993" hidden="1" customHeight="1" x14ac:dyDescent="0.2"/>
    <row r="35320" ht="9.9499999999999993" hidden="1" customHeight="1" x14ac:dyDescent="0.2"/>
    <row r="35321" ht="9.9499999999999993" hidden="1" customHeight="1" x14ac:dyDescent="0.2"/>
    <row r="35322" ht="9.9499999999999993" hidden="1" customHeight="1" x14ac:dyDescent="0.2"/>
    <row r="35323" ht="9.9499999999999993" hidden="1" customHeight="1" x14ac:dyDescent="0.2"/>
    <row r="35324" ht="9.9499999999999993" hidden="1" customHeight="1" x14ac:dyDescent="0.2"/>
    <row r="35325" ht="9.9499999999999993" hidden="1" customHeight="1" x14ac:dyDescent="0.2"/>
    <row r="35326" ht="9.9499999999999993" hidden="1" customHeight="1" x14ac:dyDescent="0.2"/>
    <row r="35327" ht="9.9499999999999993" hidden="1" customHeight="1" x14ac:dyDescent="0.2"/>
    <row r="35328" ht="9.9499999999999993" hidden="1" customHeight="1" x14ac:dyDescent="0.2"/>
    <row r="35329" ht="9.9499999999999993" hidden="1" customHeight="1" x14ac:dyDescent="0.2"/>
    <row r="35330" ht="9.9499999999999993" hidden="1" customHeight="1" x14ac:dyDescent="0.2"/>
    <row r="35331" ht="9.9499999999999993" hidden="1" customHeight="1" x14ac:dyDescent="0.2"/>
    <row r="35332" ht="9.9499999999999993" hidden="1" customHeight="1" x14ac:dyDescent="0.2"/>
    <row r="35333" ht="9.9499999999999993" hidden="1" customHeight="1" x14ac:dyDescent="0.2"/>
    <row r="35334" ht="9.9499999999999993" hidden="1" customHeight="1" x14ac:dyDescent="0.2"/>
    <row r="35335" ht="9.9499999999999993" hidden="1" customHeight="1" x14ac:dyDescent="0.2"/>
    <row r="35336" ht="9.9499999999999993" hidden="1" customHeight="1" x14ac:dyDescent="0.2"/>
    <row r="35337" ht="9.9499999999999993" hidden="1" customHeight="1" x14ac:dyDescent="0.2"/>
    <row r="35338" ht="9.9499999999999993" hidden="1" customHeight="1" x14ac:dyDescent="0.2"/>
    <row r="35339" ht="9.9499999999999993" hidden="1" customHeight="1" x14ac:dyDescent="0.2"/>
    <row r="35340" ht="9.9499999999999993" hidden="1" customHeight="1" x14ac:dyDescent="0.2"/>
    <row r="35341" ht="9.9499999999999993" hidden="1" customHeight="1" x14ac:dyDescent="0.2"/>
    <row r="35342" ht="9.9499999999999993" hidden="1" customHeight="1" x14ac:dyDescent="0.2"/>
    <row r="35343" ht="9.9499999999999993" hidden="1" customHeight="1" x14ac:dyDescent="0.2"/>
    <row r="35344" ht="9.9499999999999993" hidden="1" customHeight="1" x14ac:dyDescent="0.2"/>
    <row r="35345" ht="9.9499999999999993" hidden="1" customHeight="1" x14ac:dyDescent="0.2"/>
    <row r="35346" ht="9.9499999999999993" hidden="1" customHeight="1" x14ac:dyDescent="0.2"/>
    <row r="35347" ht="9.9499999999999993" hidden="1" customHeight="1" x14ac:dyDescent="0.2"/>
    <row r="35348" ht="9.9499999999999993" hidden="1" customHeight="1" x14ac:dyDescent="0.2"/>
    <row r="35349" ht="9.9499999999999993" hidden="1" customHeight="1" x14ac:dyDescent="0.2"/>
    <row r="35350" ht="9.9499999999999993" hidden="1" customHeight="1" x14ac:dyDescent="0.2"/>
    <row r="35351" ht="9.9499999999999993" hidden="1" customHeight="1" x14ac:dyDescent="0.2"/>
    <row r="35352" ht="9.9499999999999993" hidden="1" customHeight="1" x14ac:dyDescent="0.2"/>
    <row r="35353" ht="9.9499999999999993" hidden="1" customHeight="1" x14ac:dyDescent="0.2"/>
    <row r="35354" ht="9.9499999999999993" hidden="1" customHeight="1" x14ac:dyDescent="0.2"/>
    <row r="35355" ht="9.9499999999999993" hidden="1" customHeight="1" x14ac:dyDescent="0.2"/>
    <row r="35356" ht="9.9499999999999993" hidden="1" customHeight="1" x14ac:dyDescent="0.2"/>
    <row r="35357" ht="9.9499999999999993" hidden="1" customHeight="1" x14ac:dyDescent="0.2"/>
    <row r="35358" ht="9.9499999999999993" hidden="1" customHeight="1" x14ac:dyDescent="0.2"/>
    <row r="35359" ht="9.9499999999999993" hidden="1" customHeight="1" x14ac:dyDescent="0.2"/>
    <row r="35360" ht="9.9499999999999993" hidden="1" customHeight="1" x14ac:dyDescent="0.2"/>
    <row r="35361" ht="9.9499999999999993" hidden="1" customHeight="1" x14ac:dyDescent="0.2"/>
    <row r="35362" ht="9.9499999999999993" hidden="1" customHeight="1" x14ac:dyDescent="0.2"/>
    <row r="35363" ht="9.9499999999999993" hidden="1" customHeight="1" x14ac:dyDescent="0.2"/>
    <row r="35364" ht="9.9499999999999993" hidden="1" customHeight="1" x14ac:dyDescent="0.2"/>
    <row r="35365" ht="9.9499999999999993" hidden="1" customHeight="1" x14ac:dyDescent="0.2"/>
    <row r="35366" ht="9.9499999999999993" hidden="1" customHeight="1" x14ac:dyDescent="0.2"/>
    <row r="35367" ht="9.9499999999999993" hidden="1" customHeight="1" x14ac:dyDescent="0.2"/>
    <row r="35368" ht="9.9499999999999993" hidden="1" customHeight="1" x14ac:dyDescent="0.2"/>
    <row r="35369" ht="9.9499999999999993" hidden="1" customHeight="1" x14ac:dyDescent="0.2"/>
    <row r="35370" ht="9.9499999999999993" hidden="1" customHeight="1" x14ac:dyDescent="0.2"/>
    <row r="35371" ht="9.9499999999999993" hidden="1" customHeight="1" x14ac:dyDescent="0.2"/>
    <row r="35372" ht="9.9499999999999993" hidden="1" customHeight="1" x14ac:dyDescent="0.2"/>
    <row r="35373" ht="9.9499999999999993" hidden="1" customHeight="1" x14ac:dyDescent="0.2"/>
    <row r="35374" ht="9.9499999999999993" hidden="1" customHeight="1" x14ac:dyDescent="0.2"/>
    <row r="35375" ht="9.9499999999999993" hidden="1" customHeight="1" x14ac:dyDescent="0.2"/>
    <row r="35376" ht="9.9499999999999993" hidden="1" customHeight="1" x14ac:dyDescent="0.2"/>
    <row r="35377" ht="9.9499999999999993" hidden="1" customHeight="1" x14ac:dyDescent="0.2"/>
    <row r="35378" ht="9.9499999999999993" hidden="1" customHeight="1" x14ac:dyDescent="0.2"/>
    <row r="35379" ht="9.9499999999999993" hidden="1" customHeight="1" x14ac:dyDescent="0.2"/>
    <row r="35380" ht="9.9499999999999993" hidden="1" customHeight="1" x14ac:dyDescent="0.2"/>
    <row r="35381" ht="9.9499999999999993" hidden="1" customHeight="1" x14ac:dyDescent="0.2"/>
    <row r="35382" ht="9.9499999999999993" hidden="1" customHeight="1" x14ac:dyDescent="0.2"/>
    <row r="35383" ht="9.9499999999999993" hidden="1" customHeight="1" x14ac:dyDescent="0.2"/>
    <row r="35384" ht="9.9499999999999993" hidden="1" customHeight="1" x14ac:dyDescent="0.2"/>
    <row r="35385" ht="9.9499999999999993" hidden="1" customHeight="1" x14ac:dyDescent="0.2"/>
    <row r="35386" ht="9.9499999999999993" hidden="1" customHeight="1" x14ac:dyDescent="0.2"/>
    <row r="35387" ht="9.9499999999999993" hidden="1" customHeight="1" x14ac:dyDescent="0.2"/>
    <row r="35388" ht="9.9499999999999993" hidden="1" customHeight="1" x14ac:dyDescent="0.2"/>
    <row r="35389" ht="9.9499999999999993" hidden="1" customHeight="1" x14ac:dyDescent="0.2"/>
    <row r="35390" ht="9.9499999999999993" hidden="1" customHeight="1" x14ac:dyDescent="0.2"/>
    <row r="35391" ht="9.9499999999999993" hidden="1" customHeight="1" x14ac:dyDescent="0.2"/>
    <row r="35392" ht="9.9499999999999993" hidden="1" customHeight="1" x14ac:dyDescent="0.2"/>
    <row r="35393" ht="9.9499999999999993" hidden="1" customHeight="1" x14ac:dyDescent="0.2"/>
    <row r="35394" ht="9.9499999999999993" hidden="1" customHeight="1" x14ac:dyDescent="0.2"/>
    <row r="35395" ht="9.9499999999999993" hidden="1" customHeight="1" x14ac:dyDescent="0.2"/>
    <row r="35396" ht="9.9499999999999993" hidden="1" customHeight="1" x14ac:dyDescent="0.2"/>
    <row r="35397" ht="9.9499999999999993" hidden="1" customHeight="1" x14ac:dyDescent="0.2"/>
    <row r="35398" ht="9.9499999999999993" hidden="1" customHeight="1" x14ac:dyDescent="0.2"/>
    <row r="35399" ht="9.9499999999999993" hidden="1" customHeight="1" x14ac:dyDescent="0.2"/>
    <row r="35400" ht="9.9499999999999993" hidden="1" customHeight="1" x14ac:dyDescent="0.2"/>
    <row r="35401" ht="9.9499999999999993" hidden="1" customHeight="1" x14ac:dyDescent="0.2"/>
    <row r="35402" ht="9.9499999999999993" hidden="1" customHeight="1" x14ac:dyDescent="0.2"/>
    <row r="35403" ht="9.9499999999999993" hidden="1" customHeight="1" x14ac:dyDescent="0.2"/>
    <row r="35404" ht="9.9499999999999993" hidden="1" customHeight="1" x14ac:dyDescent="0.2"/>
    <row r="35405" ht="9.9499999999999993" hidden="1" customHeight="1" x14ac:dyDescent="0.2"/>
    <row r="35406" ht="9.9499999999999993" hidden="1" customHeight="1" x14ac:dyDescent="0.2"/>
    <row r="35407" ht="9.9499999999999993" hidden="1" customHeight="1" x14ac:dyDescent="0.2"/>
    <row r="35408" ht="9.9499999999999993" hidden="1" customHeight="1" x14ac:dyDescent="0.2"/>
    <row r="35409" ht="9.9499999999999993" hidden="1" customHeight="1" x14ac:dyDescent="0.2"/>
    <row r="35410" ht="9.9499999999999993" hidden="1" customHeight="1" x14ac:dyDescent="0.2"/>
    <row r="35411" ht="9.9499999999999993" hidden="1" customHeight="1" x14ac:dyDescent="0.2"/>
    <row r="35412" ht="9.9499999999999993" hidden="1" customHeight="1" x14ac:dyDescent="0.2"/>
    <row r="35413" ht="9.9499999999999993" hidden="1" customHeight="1" x14ac:dyDescent="0.2"/>
    <row r="35414" ht="9.9499999999999993" hidden="1" customHeight="1" x14ac:dyDescent="0.2"/>
    <row r="35415" ht="9.9499999999999993" hidden="1" customHeight="1" x14ac:dyDescent="0.2"/>
    <row r="35416" ht="9.9499999999999993" hidden="1" customHeight="1" x14ac:dyDescent="0.2"/>
    <row r="35417" ht="9.9499999999999993" hidden="1" customHeight="1" x14ac:dyDescent="0.2"/>
    <row r="35418" ht="9.9499999999999993" hidden="1" customHeight="1" x14ac:dyDescent="0.2"/>
    <row r="35419" ht="9.9499999999999993" hidden="1" customHeight="1" x14ac:dyDescent="0.2"/>
    <row r="35420" ht="9.9499999999999993" hidden="1" customHeight="1" x14ac:dyDescent="0.2"/>
    <row r="35421" ht="9.9499999999999993" hidden="1" customHeight="1" x14ac:dyDescent="0.2"/>
    <row r="35422" ht="9.9499999999999993" hidden="1" customHeight="1" x14ac:dyDescent="0.2"/>
    <row r="35423" ht="9.9499999999999993" hidden="1" customHeight="1" x14ac:dyDescent="0.2"/>
    <row r="35424" ht="9.9499999999999993" hidden="1" customHeight="1" x14ac:dyDescent="0.2"/>
    <row r="35425" ht="9.9499999999999993" hidden="1" customHeight="1" x14ac:dyDescent="0.2"/>
    <row r="35426" ht="9.9499999999999993" hidden="1" customHeight="1" x14ac:dyDescent="0.2"/>
    <row r="35427" ht="9.9499999999999993" hidden="1" customHeight="1" x14ac:dyDescent="0.2"/>
    <row r="35428" ht="9.9499999999999993" hidden="1" customHeight="1" x14ac:dyDescent="0.2"/>
    <row r="35429" ht="9.9499999999999993" hidden="1" customHeight="1" x14ac:dyDescent="0.2"/>
    <row r="35430" ht="9.9499999999999993" hidden="1" customHeight="1" x14ac:dyDescent="0.2"/>
    <row r="35431" ht="9.9499999999999993" hidden="1" customHeight="1" x14ac:dyDescent="0.2"/>
    <row r="35432" ht="9.9499999999999993" hidden="1" customHeight="1" x14ac:dyDescent="0.2"/>
    <row r="35433" ht="9.9499999999999993" hidden="1" customHeight="1" x14ac:dyDescent="0.2"/>
    <row r="35434" ht="9.9499999999999993" hidden="1" customHeight="1" x14ac:dyDescent="0.2"/>
    <row r="35435" ht="9.9499999999999993" hidden="1" customHeight="1" x14ac:dyDescent="0.2"/>
    <row r="35436" ht="9.9499999999999993" hidden="1" customHeight="1" x14ac:dyDescent="0.2"/>
    <row r="35437" ht="9.9499999999999993" hidden="1" customHeight="1" x14ac:dyDescent="0.2"/>
    <row r="35438" ht="9.9499999999999993" hidden="1" customHeight="1" x14ac:dyDescent="0.2"/>
    <row r="35439" ht="9.9499999999999993" hidden="1" customHeight="1" x14ac:dyDescent="0.2"/>
    <row r="35440" ht="9.9499999999999993" hidden="1" customHeight="1" x14ac:dyDescent="0.2"/>
    <row r="35441" ht="9.9499999999999993" hidden="1" customHeight="1" x14ac:dyDescent="0.2"/>
    <row r="35442" ht="9.9499999999999993" hidden="1" customHeight="1" x14ac:dyDescent="0.2"/>
    <row r="35443" ht="9.9499999999999993" hidden="1" customHeight="1" x14ac:dyDescent="0.2"/>
    <row r="35444" ht="9.9499999999999993" hidden="1" customHeight="1" x14ac:dyDescent="0.2"/>
    <row r="35445" ht="9.9499999999999993" hidden="1" customHeight="1" x14ac:dyDescent="0.2"/>
    <row r="35446" ht="9.9499999999999993" hidden="1" customHeight="1" x14ac:dyDescent="0.2"/>
    <row r="35447" ht="9.9499999999999993" hidden="1" customHeight="1" x14ac:dyDescent="0.2"/>
    <row r="35448" ht="9.9499999999999993" hidden="1" customHeight="1" x14ac:dyDescent="0.2"/>
    <row r="35449" ht="9.9499999999999993" hidden="1" customHeight="1" x14ac:dyDescent="0.2"/>
    <row r="35450" ht="9.9499999999999993" hidden="1" customHeight="1" x14ac:dyDescent="0.2"/>
    <row r="35451" ht="9.9499999999999993" hidden="1" customHeight="1" x14ac:dyDescent="0.2"/>
    <row r="35452" ht="9.9499999999999993" hidden="1" customHeight="1" x14ac:dyDescent="0.2"/>
    <row r="35453" ht="9.9499999999999993" hidden="1" customHeight="1" x14ac:dyDescent="0.2"/>
    <row r="35454" ht="9.9499999999999993" hidden="1" customHeight="1" x14ac:dyDescent="0.2"/>
    <row r="35455" ht="9.9499999999999993" hidden="1" customHeight="1" x14ac:dyDescent="0.2"/>
    <row r="35456" ht="9.9499999999999993" hidden="1" customHeight="1" x14ac:dyDescent="0.2"/>
    <row r="35457" ht="9.9499999999999993" hidden="1" customHeight="1" x14ac:dyDescent="0.2"/>
    <row r="35458" ht="9.9499999999999993" hidden="1" customHeight="1" x14ac:dyDescent="0.2"/>
    <row r="35459" ht="9.9499999999999993" hidden="1" customHeight="1" x14ac:dyDescent="0.2"/>
    <row r="35460" ht="9.9499999999999993" hidden="1" customHeight="1" x14ac:dyDescent="0.2"/>
    <row r="35461" ht="9.9499999999999993" hidden="1" customHeight="1" x14ac:dyDescent="0.2"/>
    <row r="35462" ht="9.9499999999999993" hidden="1" customHeight="1" x14ac:dyDescent="0.2"/>
    <row r="35463" ht="9.9499999999999993" hidden="1" customHeight="1" x14ac:dyDescent="0.2"/>
    <row r="35464" ht="9.9499999999999993" hidden="1" customHeight="1" x14ac:dyDescent="0.2"/>
    <row r="35465" ht="9.9499999999999993" hidden="1" customHeight="1" x14ac:dyDescent="0.2"/>
    <row r="35466" ht="9.9499999999999993" hidden="1" customHeight="1" x14ac:dyDescent="0.2"/>
    <row r="35467" ht="9.9499999999999993" hidden="1" customHeight="1" x14ac:dyDescent="0.2"/>
    <row r="35468" ht="9.9499999999999993" hidden="1" customHeight="1" x14ac:dyDescent="0.2"/>
    <row r="35469" ht="9.9499999999999993" hidden="1" customHeight="1" x14ac:dyDescent="0.2"/>
    <row r="35470" ht="9.9499999999999993" hidden="1" customHeight="1" x14ac:dyDescent="0.2"/>
    <row r="35471" ht="9.9499999999999993" hidden="1" customHeight="1" x14ac:dyDescent="0.2"/>
    <row r="35472" ht="9.9499999999999993" hidden="1" customHeight="1" x14ac:dyDescent="0.2"/>
    <row r="35473" ht="9.9499999999999993" hidden="1" customHeight="1" x14ac:dyDescent="0.2"/>
    <row r="35474" ht="9.9499999999999993" hidden="1" customHeight="1" x14ac:dyDescent="0.2"/>
    <row r="35475" ht="9.9499999999999993" hidden="1" customHeight="1" x14ac:dyDescent="0.2"/>
    <row r="35476" ht="9.9499999999999993" hidden="1" customHeight="1" x14ac:dyDescent="0.2"/>
    <row r="35477" ht="9.9499999999999993" hidden="1" customHeight="1" x14ac:dyDescent="0.2"/>
    <row r="35478" ht="9.9499999999999993" hidden="1" customHeight="1" x14ac:dyDescent="0.2"/>
    <row r="35479" ht="9.9499999999999993" hidden="1" customHeight="1" x14ac:dyDescent="0.2"/>
    <row r="35480" ht="9.9499999999999993" hidden="1" customHeight="1" x14ac:dyDescent="0.2"/>
    <row r="35481" ht="9.9499999999999993" hidden="1" customHeight="1" x14ac:dyDescent="0.2"/>
    <row r="35482" ht="9.9499999999999993" hidden="1" customHeight="1" x14ac:dyDescent="0.2"/>
    <row r="35483" ht="9.9499999999999993" hidden="1" customHeight="1" x14ac:dyDescent="0.2"/>
    <row r="35484" ht="9.9499999999999993" hidden="1" customHeight="1" x14ac:dyDescent="0.2"/>
    <row r="35485" ht="9.9499999999999993" hidden="1" customHeight="1" x14ac:dyDescent="0.2"/>
    <row r="35486" ht="9.9499999999999993" hidden="1" customHeight="1" x14ac:dyDescent="0.2"/>
    <row r="35487" ht="9.9499999999999993" hidden="1" customHeight="1" x14ac:dyDescent="0.2"/>
    <row r="35488" ht="9.9499999999999993" hidden="1" customHeight="1" x14ac:dyDescent="0.2"/>
    <row r="35489" ht="9.9499999999999993" hidden="1" customHeight="1" x14ac:dyDescent="0.2"/>
    <row r="35490" ht="9.9499999999999993" hidden="1" customHeight="1" x14ac:dyDescent="0.2"/>
    <row r="35491" ht="9.9499999999999993" hidden="1" customHeight="1" x14ac:dyDescent="0.2"/>
    <row r="35492" ht="9.9499999999999993" hidden="1" customHeight="1" x14ac:dyDescent="0.2"/>
    <row r="35493" ht="9.9499999999999993" hidden="1" customHeight="1" x14ac:dyDescent="0.2"/>
    <row r="35494" ht="9.9499999999999993" hidden="1" customHeight="1" x14ac:dyDescent="0.2"/>
    <row r="35495" ht="9.9499999999999993" hidden="1" customHeight="1" x14ac:dyDescent="0.2"/>
    <row r="35496" ht="9.9499999999999993" hidden="1" customHeight="1" x14ac:dyDescent="0.2"/>
    <row r="35497" ht="9.9499999999999993" hidden="1" customHeight="1" x14ac:dyDescent="0.2"/>
    <row r="35498" ht="9.9499999999999993" hidden="1" customHeight="1" x14ac:dyDescent="0.2"/>
    <row r="35499" ht="9.9499999999999993" hidden="1" customHeight="1" x14ac:dyDescent="0.2"/>
    <row r="35500" ht="9.9499999999999993" hidden="1" customHeight="1" x14ac:dyDescent="0.2"/>
    <row r="35501" ht="9.9499999999999993" hidden="1" customHeight="1" x14ac:dyDescent="0.2"/>
    <row r="35502" ht="9.9499999999999993" hidden="1" customHeight="1" x14ac:dyDescent="0.2"/>
    <row r="35503" ht="9.9499999999999993" hidden="1" customHeight="1" x14ac:dyDescent="0.2"/>
    <row r="35504" ht="9.9499999999999993" hidden="1" customHeight="1" x14ac:dyDescent="0.2"/>
    <row r="35505" ht="9.9499999999999993" hidden="1" customHeight="1" x14ac:dyDescent="0.2"/>
    <row r="35506" ht="9.9499999999999993" hidden="1" customHeight="1" x14ac:dyDescent="0.2"/>
    <row r="35507" ht="9.9499999999999993" hidden="1" customHeight="1" x14ac:dyDescent="0.2"/>
    <row r="35508" ht="9.9499999999999993" hidden="1" customHeight="1" x14ac:dyDescent="0.2"/>
    <row r="35509" ht="9.9499999999999993" hidden="1" customHeight="1" x14ac:dyDescent="0.2"/>
    <row r="35510" ht="9.9499999999999993" hidden="1" customHeight="1" x14ac:dyDescent="0.2"/>
    <row r="35511" ht="9.9499999999999993" hidden="1" customHeight="1" x14ac:dyDescent="0.2"/>
    <row r="35512" ht="9.9499999999999993" hidden="1" customHeight="1" x14ac:dyDescent="0.2"/>
    <row r="35513" ht="9.9499999999999993" hidden="1" customHeight="1" x14ac:dyDescent="0.2"/>
    <row r="35514" ht="9.9499999999999993" hidden="1" customHeight="1" x14ac:dyDescent="0.2"/>
    <row r="35515" ht="9.9499999999999993" hidden="1" customHeight="1" x14ac:dyDescent="0.2"/>
    <row r="35516" ht="9.9499999999999993" hidden="1" customHeight="1" x14ac:dyDescent="0.2"/>
    <row r="35517" ht="9.9499999999999993" hidden="1" customHeight="1" x14ac:dyDescent="0.2"/>
    <row r="35518" ht="9.9499999999999993" hidden="1" customHeight="1" x14ac:dyDescent="0.2"/>
    <row r="35519" ht="9.9499999999999993" hidden="1" customHeight="1" x14ac:dyDescent="0.2"/>
    <row r="35520" ht="9.9499999999999993" hidden="1" customHeight="1" x14ac:dyDescent="0.2"/>
    <row r="35521" ht="9.9499999999999993" hidden="1" customHeight="1" x14ac:dyDescent="0.2"/>
    <row r="35522" ht="9.9499999999999993" hidden="1" customHeight="1" x14ac:dyDescent="0.2"/>
    <row r="35523" ht="9.9499999999999993" hidden="1" customHeight="1" x14ac:dyDescent="0.2"/>
    <row r="35524" ht="9.9499999999999993" hidden="1" customHeight="1" x14ac:dyDescent="0.2"/>
    <row r="35525" ht="9.9499999999999993" hidden="1" customHeight="1" x14ac:dyDescent="0.2"/>
    <row r="35526" ht="9.9499999999999993" hidden="1" customHeight="1" x14ac:dyDescent="0.2"/>
    <row r="35527" ht="9.9499999999999993" hidden="1" customHeight="1" x14ac:dyDescent="0.2"/>
    <row r="35528" ht="9.9499999999999993" hidden="1" customHeight="1" x14ac:dyDescent="0.2"/>
    <row r="35529" ht="9.9499999999999993" hidden="1" customHeight="1" x14ac:dyDescent="0.2"/>
    <row r="35530" ht="9.9499999999999993" hidden="1" customHeight="1" x14ac:dyDescent="0.2"/>
    <row r="35531" ht="9.9499999999999993" hidden="1" customHeight="1" x14ac:dyDescent="0.2"/>
    <row r="35532" ht="9.9499999999999993" hidden="1" customHeight="1" x14ac:dyDescent="0.2"/>
    <row r="35533" ht="9.9499999999999993" hidden="1" customHeight="1" x14ac:dyDescent="0.2"/>
    <row r="35534" ht="9.9499999999999993" hidden="1" customHeight="1" x14ac:dyDescent="0.2"/>
    <row r="35535" ht="9.9499999999999993" hidden="1" customHeight="1" x14ac:dyDescent="0.2"/>
    <row r="35536" ht="9.9499999999999993" hidden="1" customHeight="1" x14ac:dyDescent="0.2"/>
    <row r="35537" ht="9.9499999999999993" hidden="1" customHeight="1" x14ac:dyDescent="0.2"/>
    <row r="35538" ht="9.9499999999999993" hidden="1" customHeight="1" x14ac:dyDescent="0.2"/>
    <row r="35539" ht="9.9499999999999993" hidden="1" customHeight="1" x14ac:dyDescent="0.2"/>
    <row r="35540" ht="9.9499999999999993" hidden="1" customHeight="1" x14ac:dyDescent="0.2"/>
    <row r="35541" ht="9.9499999999999993" hidden="1" customHeight="1" x14ac:dyDescent="0.2"/>
    <row r="35542" ht="9.9499999999999993" hidden="1" customHeight="1" x14ac:dyDescent="0.2"/>
    <row r="35543" ht="9.9499999999999993" hidden="1" customHeight="1" x14ac:dyDescent="0.2"/>
    <row r="35544" ht="9.9499999999999993" hidden="1" customHeight="1" x14ac:dyDescent="0.2"/>
    <row r="35545" ht="9.9499999999999993" hidden="1" customHeight="1" x14ac:dyDescent="0.2"/>
    <row r="35546" ht="9.9499999999999993" hidden="1" customHeight="1" x14ac:dyDescent="0.2"/>
    <row r="35547" ht="9.9499999999999993" hidden="1" customHeight="1" x14ac:dyDescent="0.2"/>
    <row r="35548" ht="9.9499999999999993" hidden="1" customHeight="1" x14ac:dyDescent="0.2"/>
    <row r="35549" ht="9.9499999999999993" hidden="1" customHeight="1" x14ac:dyDescent="0.2"/>
    <row r="35550" ht="9.9499999999999993" hidden="1" customHeight="1" x14ac:dyDescent="0.2"/>
    <row r="35551" ht="9.9499999999999993" hidden="1" customHeight="1" x14ac:dyDescent="0.2"/>
    <row r="35552" ht="9.9499999999999993" hidden="1" customHeight="1" x14ac:dyDescent="0.2"/>
    <row r="35553" ht="9.9499999999999993" hidden="1" customHeight="1" x14ac:dyDescent="0.2"/>
    <row r="35554" ht="9.9499999999999993" hidden="1" customHeight="1" x14ac:dyDescent="0.2"/>
    <row r="35555" ht="9.9499999999999993" hidden="1" customHeight="1" x14ac:dyDescent="0.2"/>
    <row r="35556" ht="9.9499999999999993" hidden="1" customHeight="1" x14ac:dyDescent="0.2"/>
    <row r="35557" ht="9.9499999999999993" hidden="1" customHeight="1" x14ac:dyDescent="0.2"/>
    <row r="35558" ht="9.9499999999999993" hidden="1" customHeight="1" x14ac:dyDescent="0.2"/>
    <row r="35559" ht="9.9499999999999993" hidden="1" customHeight="1" x14ac:dyDescent="0.2"/>
    <row r="35560" ht="9.9499999999999993" hidden="1" customHeight="1" x14ac:dyDescent="0.2"/>
    <row r="35561" ht="9.9499999999999993" hidden="1" customHeight="1" x14ac:dyDescent="0.2"/>
    <row r="35562" ht="9.9499999999999993" hidden="1" customHeight="1" x14ac:dyDescent="0.2"/>
    <row r="35563" ht="9.9499999999999993" hidden="1" customHeight="1" x14ac:dyDescent="0.2"/>
    <row r="35564" ht="9.9499999999999993" hidden="1" customHeight="1" x14ac:dyDescent="0.2"/>
    <row r="35565" ht="9.9499999999999993" hidden="1" customHeight="1" x14ac:dyDescent="0.2"/>
    <row r="35566" ht="9.9499999999999993" hidden="1" customHeight="1" x14ac:dyDescent="0.2"/>
    <row r="35567" ht="9.9499999999999993" hidden="1" customHeight="1" x14ac:dyDescent="0.2"/>
    <row r="35568" ht="9.9499999999999993" hidden="1" customHeight="1" x14ac:dyDescent="0.2"/>
    <row r="35569" ht="9.9499999999999993" hidden="1" customHeight="1" x14ac:dyDescent="0.2"/>
    <row r="35570" ht="9.9499999999999993" hidden="1" customHeight="1" x14ac:dyDescent="0.2"/>
    <row r="35571" ht="9.9499999999999993" hidden="1" customHeight="1" x14ac:dyDescent="0.2"/>
    <row r="35572" ht="9.9499999999999993" hidden="1" customHeight="1" x14ac:dyDescent="0.2"/>
    <row r="35573" ht="9.9499999999999993" hidden="1" customHeight="1" x14ac:dyDescent="0.2"/>
    <row r="35574" ht="9.9499999999999993" hidden="1" customHeight="1" x14ac:dyDescent="0.2"/>
    <row r="35575" ht="9.9499999999999993" hidden="1" customHeight="1" x14ac:dyDescent="0.2"/>
    <row r="35576" ht="9.9499999999999993" hidden="1" customHeight="1" x14ac:dyDescent="0.2"/>
    <row r="35577" ht="9.9499999999999993" hidden="1" customHeight="1" x14ac:dyDescent="0.2"/>
    <row r="35578" ht="9.9499999999999993" hidden="1" customHeight="1" x14ac:dyDescent="0.2"/>
    <row r="35579" ht="9.9499999999999993" hidden="1" customHeight="1" x14ac:dyDescent="0.2"/>
    <row r="35580" ht="9.9499999999999993" hidden="1" customHeight="1" x14ac:dyDescent="0.2"/>
    <row r="35581" ht="9.9499999999999993" hidden="1" customHeight="1" x14ac:dyDescent="0.2"/>
    <row r="35582" ht="9.9499999999999993" hidden="1" customHeight="1" x14ac:dyDescent="0.2"/>
    <row r="35583" ht="9.9499999999999993" hidden="1" customHeight="1" x14ac:dyDescent="0.2"/>
    <row r="35584" ht="9.9499999999999993" hidden="1" customHeight="1" x14ac:dyDescent="0.2"/>
    <row r="35585" ht="9.9499999999999993" hidden="1" customHeight="1" x14ac:dyDescent="0.2"/>
    <row r="35586" ht="9.9499999999999993" hidden="1" customHeight="1" x14ac:dyDescent="0.2"/>
    <row r="35587" ht="9.9499999999999993" hidden="1" customHeight="1" x14ac:dyDescent="0.2"/>
    <row r="35588" ht="9.9499999999999993" hidden="1" customHeight="1" x14ac:dyDescent="0.2"/>
    <row r="35589" ht="9.9499999999999993" hidden="1" customHeight="1" x14ac:dyDescent="0.2"/>
    <row r="35590" ht="9.9499999999999993" hidden="1" customHeight="1" x14ac:dyDescent="0.2"/>
    <row r="35591" ht="9.9499999999999993" hidden="1" customHeight="1" x14ac:dyDescent="0.2"/>
    <row r="35592" ht="9.9499999999999993" hidden="1" customHeight="1" x14ac:dyDescent="0.2"/>
    <row r="35593" ht="9.9499999999999993" hidden="1" customHeight="1" x14ac:dyDescent="0.2"/>
    <row r="35594" ht="9.9499999999999993" hidden="1" customHeight="1" x14ac:dyDescent="0.2"/>
    <row r="35595" ht="9.9499999999999993" hidden="1" customHeight="1" x14ac:dyDescent="0.2"/>
    <row r="35596" ht="9.9499999999999993" hidden="1" customHeight="1" x14ac:dyDescent="0.2"/>
    <row r="35597" ht="9.9499999999999993" hidden="1" customHeight="1" x14ac:dyDescent="0.2"/>
    <row r="35598" ht="9.9499999999999993" hidden="1" customHeight="1" x14ac:dyDescent="0.2"/>
    <row r="35599" ht="9.9499999999999993" hidden="1" customHeight="1" x14ac:dyDescent="0.2"/>
    <row r="35600" ht="9.9499999999999993" hidden="1" customHeight="1" x14ac:dyDescent="0.2"/>
    <row r="35601" ht="9.9499999999999993" hidden="1" customHeight="1" x14ac:dyDescent="0.2"/>
    <row r="35602" ht="9.9499999999999993" hidden="1" customHeight="1" x14ac:dyDescent="0.2"/>
    <row r="35603" ht="9.9499999999999993" hidden="1" customHeight="1" x14ac:dyDescent="0.2"/>
    <row r="35604" ht="9.9499999999999993" hidden="1" customHeight="1" x14ac:dyDescent="0.2"/>
    <row r="35605" ht="9.9499999999999993" hidden="1" customHeight="1" x14ac:dyDescent="0.2"/>
    <row r="35606" ht="9.9499999999999993" hidden="1" customHeight="1" x14ac:dyDescent="0.2"/>
    <row r="35607" ht="9.9499999999999993" hidden="1" customHeight="1" x14ac:dyDescent="0.2"/>
    <row r="35608" ht="9.9499999999999993" hidden="1" customHeight="1" x14ac:dyDescent="0.2"/>
    <row r="35609" ht="9.9499999999999993" hidden="1" customHeight="1" x14ac:dyDescent="0.2"/>
    <row r="35610" ht="9.9499999999999993" hidden="1" customHeight="1" x14ac:dyDescent="0.2"/>
    <row r="35611" ht="9.9499999999999993" hidden="1" customHeight="1" x14ac:dyDescent="0.2"/>
    <row r="35612" ht="9.9499999999999993" hidden="1" customHeight="1" x14ac:dyDescent="0.2"/>
    <row r="35613" ht="9.9499999999999993" hidden="1" customHeight="1" x14ac:dyDescent="0.2"/>
    <row r="35614" ht="9.9499999999999993" hidden="1" customHeight="1" x14ac:dyDescent="0.2"/>
    <row r="35615" ht="9.9499999999999993" hidden="1" customHeight="1" x14ac:dyDescent="0.2"/>
    <row r="35616" ht="9.9499999999999993" hidden="1" customHeight="1" x14ac:dyDescent="0.2"/>
    <row r="35617" ht="9.9499999999999993" hidden="1" customHeight="1" x14ac:dyDescent="0.2"/>
    <row r="35618" ht="9.9499999999999993" hidden="1" customHeight="1" x14ac:dyDescent="0.2"/>
    <row r="35619" ht="9.9499999999999993" hidden="1" customHeight="1" x14ac:dyDescent="0.2"/>
    <row r="35620" ht="9.9499999999999993" hidden="1" customHeight="1" x14ac:dyDescent="0.2"/>
    <row r="35621" ht="9.9499999999999993" hidden="1" customHeight="1" x14ac:dyDescent="0.2"/>
    <row r="35622" ht="9.9499999999999993" hidden="1" customHeight="1" x14ac:dyDescent="0.2"/>
    <row r="35623" ht="9.9499999999999993" hidden="1" customHeight="1" x14ac:dyDescent="0.2"/>
    <row r="35624" ht="9.9499999999999993" hidden="1" customHeight="1" x14ac:dyDescent="0.2"/>
    <row r="35625" ht="9.9499999999999993" hidden="1" customHeight="1" x14ac:dyDescent="0.2"/>
    <row r="35626" ht="9.9499999999999993" hidden="1" customHeight="1" x14ac:dyDescent="0.2"/>
    <row r="35627" ht="9.9499999999999993" hidden="1" customHeight="1" x14ac:dyDescent="0.2"/>
    <row r="35628" ht="9.9499999999999993" hidden="1" customHeight="1" x14ac:dyDescent="0.2"/>
    <row r="35629" ht="9.9499999999999993" hidden="1" customHeight="1" x14ac:dyDescent="0.2"/>
    <row r="35630" ht="9.9499999999999993" hidden="1" customHeight="1" x14ac:dyDescent="0.2"/>
    <row r="35631" ht="9.9499999999999993" hidden="1" customHeight="1" x14ac:dyDescent="0.2"/>
    <row r="35632" ht="9.9499999999999993" hidden="1" customHeight="1" x14ac:dyDescent="0.2"/>
    <row r="35633" ht="9.9499999999999993" hidden="1" customHeight="1" x14ac:dyDescent="0.2"/>
    <row r="35634" ht="9.9499999999999993" hidden="1" customHeight="1" x14ac:dyDescent="0.2"/>
    <row r="35635" ht="9.9499999999999993" hidden="1" customHeight="1" x14ac:dyDescent="0.2"/>
    <row r="35636" ht="9.9499999999999993" hidden="1" customHeight="1" x14ac:dyDescent="0.2"/>
    <row r="35637" ht="9.9499999999999993" hidden="1" customHeight="1" x14ac:dyDescent="0.2"/>
    <row r="35638" ht="9.9499999999999993" hidden="1" customHeight="1" x14ac:dyDescent="0.2"/>
    <row r="35639" ht="9.9499999999999993" hidden="1" customHeight="1" x14ac:dyDescent="0.2"/>
    <row r="35640" ht="9.9499999999999993" hidden="1" customHeight="1" x14ac:dyDescent="0.2"/>
    <row r="35641" ht="9.9499999999999993" hidden="1" customHeight="1" x14ac:dyDescent="0.2"/>
    <row r="35642" ht="9.9499999999999993" hidden="1" customHeight="1" x14ac:dyDescent="0.2"/>
    <row r="35643" ht="9.9499999999999993" hidden="1" customHeight="1" x14ac:dyDescent="0.2"/>
    <row r="35644" ht="9.9499999999999993" hidden="1" customHeight="1" x14ac:dyDescent="0.2"/>
    <row r="35645" ht="9.9499999999999993" hidden="1" customHeight="1" x14ac:dyDescent="0.2"/>
    <row r="35646" ht="9.9499999999999993" hidden="1" customHeight="1" x14ac:dyDescent="0.2"/>
    <row r="35647" ht="9.9499999999999993" hidden="1" customHeight="1" x14ac:dyDescent="0.2"/>
    <row r="35648" ht="9.9499999999999993" hidden="1" customHeight="1" x14ac:dyDescent="0.2"/>
    <row r="35649" ht="9.9499999999999993" hidden="1" customHeight="1" x14ac:dyDescent="0.2"/>
    <row r="35650" ht="9.9499999999999993" hidden="1" customHeight="1" x14ac:dyDescent="0.2"/>
    <row r="35651" ht="9.9499999999999993" hidden="1" customHeight="1" x14ac:dyDescent="0.2"/>
    <row r="35652" ht="9.9499999999999993" hidden="1" customHeight="1" x14ac:dyDescent="0.2"/>
    <row r="35653" ht="9.9499999999999993" hidden="1" customHeight="1" x14ac:dyDescent="0.2"/>
    <row r="35654" ht="9.9499999999999993" hidden="1" customHeight="1" x14ac:dyDescent="0.2"/>
    <row r="35655" ht="9.9499999999999993" hidden="1" customHeight="1" x14ac:dyDescent="0.2"/>
    <row r="35656" ht="9.9499999999999993" hidden="1" customHeight="1" x14ac:dyDescent="0.2"/>
    <row r="35657" ht="9.9499999999999993" hidden="1" customHeight="1" x14ac:dyDescent="0.2"/>
    <row r="35658" ht="9.9499999999999993" hidden="1" customHeight="1" x14ac:dyDescent="0.2"/>
    <row r="35659" ht="9.9499999999999993" hidden="1" customHeight="1" x14ac:dyDescent="0.2"/>
    <row r="35660" ht="9.9499999999999993" hidden="1" customHeight="1" x14ac:dyDescent="0.2"/>
    <row r="35661" ht="9.9499999999999993" hidden="1" customHeight="1" x14ac:dyDescent="0.2"/>
    <row r="35662" ht="9.9499999999999993" hidden="1" customHeight="1" x14ac:dyDescent="0.2"/>
    <row r="35663" ht="9.9499999999999993" hidden="1" customHeight="1" x14ac:dyDescent="0.2"/>
    <row r="35664" ht="9.9499999999999993" hidden="1" customHeight="1" x14ac:dyDescent="0.2"/>
    <row r="35665" ht="9.9499999999999993" hidden="1" customHeight="1" x14ac:dyDescent="0.2"/>
    <row r="35666" ht="9.9499999999999993" hidden="1" customHeight="1" x14ac:dyDescent="0.2"/>
    <row r="35667" ht="9.9499999999999993" hidden="1" customHeight="1" x14ac:dyDescent="0.2"/>
    <row r="35668" ht="9.9499999999999993" hidden="1" customHeight="1" x14ac:dyDescent="0.2"/>
    <row r="35669" ht="9.9499999999999993" hidden="1" customHeight="1" x14ac:dyDescent="0.2"/>
    <row r="35670" ht="9.9499999999999993" hidden="1" customHeight="1" x14ac:dyDescent="0.2"/>
    <row r="35671" ht="9.9499999999999993" hidden="1" customHeight="1" x14ac:dyDescent="0.2"/>
    <row r="35672" ht="9.9499999999999993" hidden="1" customHeight="1" x14ac:dyDescent="0.2"/>
    <row r="35673" ht="9.9499999999999993" hidden="1" customHeight="1" x14ac:dyDescent="0.2"/>
    <row r="35674" ht="9.9499999999999993" hidden="1" customHeight="1" x14ac:dyDescent="0.2"/>
    <row r="35675" ht="9.9499999999999993" hidden="1" customHeight="1" x14ac:dyDescent="0.2"/>
    <row r="35676" ht="9.9499999999999993" hidden="1" customHeight="1" x14ac:dyDescent="0.2"/>
    <row r="35677" ht="9.9499999999999993" hidden="1" customHeight="1" x14ac:dyDescent="0.2"/>
    <row r="35678" ht="9.9499999999999993" hidden="1" customHeight="1" x14ac:dyDescent="0.2"/>
    <row r="35679" ht="9.9499999999999993" hidden="1" customHeight="1" x14ac:dyDescent="0.2"/>
    <row r="35680" ht="9.9499999999999993" hidden="1" customHeight="1" x14ac:dyDescent="0.2"/>
    <row r="35681" ht="9.9499999999999993" hidden="1" customHeight="1" x14ac:dyDescent="0.2"/>
    <row r="35682" ht="9.9499999999999993" hidden="1" customHeight="1" x14ac:dyDescent="0.2"/>
    <row r="35683" ht="9.9499999999999993" hidden="1" customHeight="1" x14ac:dyDescent="0.2"/>
    <row r="35684" ht="9.9499999999999993" hidden="1" customHeight="1" x14ac:dyDescent="0.2"/>
    <row r="35685" ht="9.9499999999999993" hidden="1" customHeight="1" x14ac:dyDescent="0.2"/>
    <row r="35686" ht="9.9499999999999993" hidden="1" customHeight="1" x14ac:dyDescent="0.2"/>
    <row r="35687" ht="9.9499999999999993" hidden="1" customHeight="1" x14ac:dyDescent="0.2"/>
    <row r="35688" ht="9.9499999999999993" hidden="1" customHeight="1" x14ac:dyDescent="0.2"/>
    <row r="35689" ht="9.9499999999999993" hidden="1" customHeight="1" x14ac:dyDescent="0.2"/>
    <row r="35690" ht="9.9499999999999993" hidden="1" customHeight="1" x14ac:dyDescent="0.2"/>
    <row r="35691" ht="9.9499999999999993" hidden="1" customHeight="1" x14ac:dyDescent="0.2"/>
    <row r="35692" ht="9.9499999999999993" hidden="1" customHeight="1" x14ac:dyDescent="0.2"/>
    <row r="35693" ht="9.9499999999999993" hidden="1" customHeight="1" x14ac:dyDescent="0.2"/>
    <row r="35694" ht="9.9499999999999993" hidden="1" customHeight="1" x14ac:dyDescent="0.2"/>
    <row r="35695" ht="9.9499999999999993" hidden="1" customHeight="1" x14ac:dyDescent="0.2"/>
    <row r="35696" ht="9.9499999999999993" hidden="1" customHeight="1" x14ac:dyDescent="0.2"/>
    <row r="35697" ht="9.9499999999999993" hidden="1" customHeight="1" x14ac:dyDescent="0.2"/>
    <row r="35698" ht="9.9499999999999993" hidden="1" customHeight="1" x14ac:dyDescent="0.2"/>
    <row r="35699" ht="9.9499999999999993" hidden="1" customHeight="1" x14ac:dyDescent="0.2"/>
    <row r="35700" ht="9.9499999999999993" hidden="1" customHeight="1" x14ac:dyDescent="0.2"/>
    <row r="35701" ht="9.9499999999999993" hidden="1" customHeight="1" x14ac:dyDescent="0.2"/>
    <row r="35702" ht="9.9499999999999993" hidden="1" customHeight="1" x14ac:dyDescent="0.2"/>
    <row r="35703" ht="9.9499999999999993" hidden="1" customHeight="1" x14ac:dyDescent="0.2"/>
    <row r="35704" ht="9.9499999999999993" hidden="1" customHeight="1" x14ac:dyDescent="0.2"/>
    <row r="35705" ht="9.9499999999999993" hidden="1" customHeight="1" x14ac:dyDescent="0.2"/>
    <row r="35706" ht="9.9499999999999993" hidden="1" customHeight="1" x14ac:dyDescent="0.2"/>
    <row r="35707" ht="9.9499999999999993" hidden="1" customHeight="1" x14ac:dyDescent="0.2"/>
    <row r="35708" ht="9.9499999999999993" hidden="1" customHeight="1" x14ac:dyDescent="0.2"/>
    <row r="35709" ht="9.9499999999999993" hidden="1" customHeight="1" x14ac:dyDescent="0.2"/>
    <row r="35710" ht="9.9499999999999993" hidden="1" customHeight="1" x14ac:dyDescent="0.2"/>
    <row r="35711" ht="9.9499999999999993" hidden="1" customHeight="1" x14ac:dyDescent="0.2"/>
    <row r="35712" ht="9.9499999999999993" hidden="1" customHeight="1" x14ac:dyDescent="0.2"/>
    <row r="35713" ht="9.9499999999999993" hidden="1" customHeight="1" x14ac:dyDescent="0.2"/>
    <row r="35714" ht="9.9499999999999993" hidden="1" customHeight="1" x14ac:dyDescent="0.2"/>
    <row r="35715" ht="9.9499999999999993" hidden="1" customHeight="1" x14ac:dyDescent="0.2"/>
    <row r="35716" ht="9.9499999999999993" hidden="1" customHeight="1" x14ac:dyDescent="0.2"/>
    <row r="35717" ht="9.9499999999999993" hidden="1" customHeight="1" x14ac:dyDescent="0.2"/>
    <row r="35718" ht="9.9499999999999993" hidden="1" customHeight="1" x14ac:dyDescent="0.2"/>
    <row r="35719" ht="9.9499999999999993" hidden="1" customHeight="1" x14ac:dyDescent="0.2"/>
    <row r="35720" ht="9.9499999999999993" hidden="1" customHeight="1" x14ac:dyDescent="0.2"/>
    <row r="35721" ht="9.9499999999999993" hidden="1" customHeight="1" x14ac:dyDescent="0.2"/>
    <row r="35722" ht="9.9499999999999993" hidden="1" customHeight="1" x14ac:dyDescent="0.2"/>
    <row r="35723" ht="9.9499999999999993" hidden="1" customHeight="1" x14ac:dyDescent="0.2"/>
    <row r="35724" ht="9.9499999999999993" hidden="1" customHeight="1" x14ac:dyDescent="0.2"/>
    <row r="35725" ht="9.9499999999999993" hidden="1" customHeight="1" x14ac:dyDescent="0.2"/>
    <row r="35726" ht="9.9499999999999993" hidden="1" customHeight="1" x14ac:dyDescent="0.2"/>
    <row r="35727" ht="9.9499999999999993" hidden="1" customHeight="1" x14ac:dyDescent="0.2"/>
    <row r="35728" ht="9.9499999999999993" hidden="1" customHeight="1" x14ac:dyDescent="0.2"/>
    <row r="35729" ht="9.9499999999999993" hidden="1" customHeight="1" x14ac:dyDescent="0.2"/>
    <row r="35730" ht="9.9499999999999993" hidden="1" customHeight="1" x14ac:dyDescent="0.2"/>
    <row r="35731" ht="9.9499999999999993" hidden="1" customHeight="1" x14ac:dyDescent="0.2"/>
    <row r="35732" ht="9.9499999999999993" hidden="1" customHeight="1" x14ac:dyDescent="0.2"/>
    <row r="35733" ht="9.9499999999999993" hidden="1" customHeight="1" x14ac:dyDescent="0.2"/>
    <row r="35734" ht="9.9499999999999993" hidden="1" customHeight="1" x14ac:dyDescent="0.2"/>
    <row r="35735" ht="9.9499999999999993" hidden="1" customHeight="1" x14ac:dyDescent="0.2"/>
    <row r="35736" ht="9.9499999999999993" hidden="1" customHeight="1" x14ac:dyDescent="0.2"/>
    <row r="35737" ht="9.9499999999999993" hidden="1" customHeight="1" x14ac:dyDescent="0.2"/>
    <row r="35738" ht="9.9499999999999993" hidden="1" customHeight="1" x14ac:dyDescent="0.2"/>
    <row r="35739" ht="9.9499999999999993" hidden="1" customHeight="1" x14ac:dyDescent="0.2"/>
    <row r="35740" ht="9.9499999999999993" hidden="1" customHeight="1" x14ac:dyDescent="0.2"/>
    <row r="35741" ht="9.9499999999999993" hidden="1" customHeight="1" x14ac:dyDescent="0.2"/>
    <row r="35742" ht="9.9499999999999993" hidden="1" customHeight="1" x14ac:dyDescent="0.2"/>
    <row r="35743" ht="9.9499999999999993" hidden="1" customHeight="1" x14ac:dyDescent="0.2"/>
    <row r="35744" ht="9.9499999999999993" hidden="1" customHeight="1" x14ac:dyDescent="0.2"/>
    <row r="35745" ht="9.9499999999999993" hidden="1" customHeight="1" x14ac:dyDescent="0.2"/>
    <row r="35746" ht="9.9499999999999993" hidden="1" customHeight="1" x14ac:dyDescent="0.2"/>
    <row r="35747" ht="9.9499999999999993" hidden="1" customHeight="1" x14ac:dyDescent="0.2"/>
    <row r="35748" ht="9.9499999999999993" hidden="1" customHeight="1" x14ac:dyDescent="0.2"/>
    <row r="35749" ht="9.9499999999999993" hidden="1" customHeight="1" x14ac:dyDescent="0.2"/>
    <row r="35750" ht="9.9499999999999993" hidden="1" customHeight="1" x14ac:dyDescent="0.2"/>
    <row r="35751" ht="9.9499999999999993" hidden="1" customHeight="1" x14ac:dyDescent="0.2"/>
    <row r="35752" ht="9.9499999999999993" hidden="1" customHeight="1" x14ac:dyDescent="0.2"/>
    <row r="35753" ht="9.9499999999999993" hidden="1" customHeight="1" x14ac:dyDescent="0.2"/>
    <row r="35754" ht="9.9499999999999993" hidden="1" customHeight="1" x14ac:dyDescent="0.2"/>
    <row r="35755" ht="9.9499999999999993" hidden="1" customHeight="1" x14ac:dyDescent="0.2"/>
    <row r="35756" ht="9.9499999999999993" hidden="1" customHeight="1" x14ac:dyDescent="0.2"/>
    <row r="35757" ht="9.9499999999999993" hidden="1" customHeight="1" x14ac:dyDescent="0.2"/>
    <row r="35758" ht="9.9499999999999993" hidden="1" customHeight="1" x14ac:dyDescent="0.2"/>
    <row r="35759" ht="9.9499999999999993" hidden="1" customHeight="1" x14ac:dyDescent="0.2"/>
    <row r="35760" ht="9.9499999999999993" hidden="1" customHeight="1" x14ac:dyDescent="0.2"/>
    <row r="35761" ht="9.9499999999999993" hidden="1" customHeight="1" x14ac:dyDescent="0.2"/>
    <row r="35762" ht="9.9499999999999993" hidden="1" customHeight="1" x14ac:dyDescent="0.2"/>
    <row r="35763" ht="9.9499999999999993" hidden="1" customHeight="1" x14ac:dyDescent="0.2"/>
    <row r="35764" ht="9.9499999999999993" hidden="1" customHeight="1" x14ac:dyDescent="0.2"/>
    <row r="35765" ht="9.9499999999999993" hidden="1" customHeight="1" x14ac:dyDescent="0.2"/>
    <row r="35766" ht="9.9499999999999993" hidden="1" customHeight="1" x14ac:dyDescent="0.2"/>
    <row r="35767" ht="9.9499999999999993" hidden="1" customHeight="1" x14ac:dyDescent="0.2"/>
    <row r="35768" ht="9.9499999999999993" hidden="1" customHeight="1" x14ac:dyDescent="0.2"/>
    <row r="35769" ht="9.9499999999999993" hidden="1" customHeight="1" x14ac:dyDescent="0.2"/>
    <row r="35770" ht="9.9499999999999993" hidden="1" customHeight="1" x14ac:dyDescent="0.2"/>
    <row r="35771" ht="9.9499999999999993" hidden="1" customHeight="1" x14ac:dyDescent="0.2"/>
    <row r="35772" ht="9.9499999999999993" hidden="1" customHeight="1" x14ac:dyDescent="0.2"/>
    <row r="35773" ht="9.9499999999999993" hidden="1" customHeight="1" x14ac:dyDescent="0.2"/>
    <row r="35774" ht="9.9499999999999993" hidden="1" customHeight="1" x14ac:dyDescent="0.2"/>
    <row r="35775" ht="9.9499999999999993" hidden="1" customHeight="1" x14ac:dyDescent="0.2"/>
    <row r="35776" ht="9.9499999999999993" hidden="1" customHeight="1" x14ac:dyDescent="0.2"/>
    <row r="35777" ht="9.9499999999999993" hidden="1" customHeight="1" x14ac:dyDescent="0.2"/>
    <row r="35778" ht="9.9499999999999993" hidden="1" customHeight="1" x14ac:dyDescent="0.2"/>
    <row r="35779" ht="9.9499999999999993" hidden="1" customHeight="1" x14ac:dyDescent="0.2"/>
    <row r="35780" ht="9.9499999999999993" hidden="1" customHeight="1" x14ac:dyDescent="0.2"/>
    <row r="35781" ht="9.9499999999999993" hidden="1" customHeight="1" x14ac:dyDescent="0.2"/>
    <row r="35782" ht="9.9499999999999993" hidden="1" customHeight="1" x14ac:dyDescent="0.2"/>
    <row r="35783" ht="9.9499999999999993" hidden="1" customHeight="1" x14ac:dyDescent="0.2"/>
    <row r="35784" ht="9.9499999999999993" hidden="1" customHeight="1" x14ac:dyDescent="0.2"/>
    <row r="35785" ht="9.9499999999999993" hidden="1" customHeight="1" x14ac:dyDescent="0.2"/>
    <row r="35786" ht="9.9499999999999993" hidden="1" customHeight="1" x14ac:dyDescent="0.2"/>
    <row r="35787" ht="9.9499999999999993" hidden="1" customHeight="1" x14ac:dyDescent="0.2"/>
    <row r="35788" ht="9.9499999999999993" hidden="1" customHeight="1" x14ac:dyDescent="0.2"/>
    <row r="35789" ht="9.9499999999999993" hidden="1" customHeight="1" x14ac:dyDescent="0.2"/>
    <row r="35790" ht="9.9499999999999993" hidden="1" customHeight="1" x14ac:dyDescent="0.2"/>
    <row r="35791" ht="9.9499999999999993" hidden="1" customHeight="1" x14ac:dyDescent="0.2"/>
    <row r="35792" ht="9.9499999999999993" hidden="1" customHeight="1" x14ac:dyDescent="0.2"/>
    <row r="35793" ht="9.9499999999999993" hidden="1" customHeight="1" x14ac:dyDescent="0.2"/>
    <row r="35794" ht="9.9499999999999993" hidden="1" customHeight="1" x14ac:dyDescent="0.2"/>
    <row r="35795" ht="9.9499999999999993" hidden="1" customHeight="1" x14ac:dyDescent="0.2"/>
    <row r="35796" ht="9.9499999999999993" hidden="1" customHeight="1" x14ac:dyDescent="0.2"/>
    <row r="35797" ht="9.9499999999999993" hidden="1" customHeight="1" x14ac:dyDescent="0.2"/>
    <row r="35798" ht="9.9499999999999993" hidden="1" customHeight="1" x14ac:dyDescent="0.2"/>
    <row r="35799" ht="9.9499999999999993" hidden="1" customHeight="1" x14ac:dyDescent="0.2"/>
    <row r="35800" ht="9.9499999999999993" hidden="1" customHeight="1" x14ac:dyDescent="0.2"/>
    <row r="35801" ht="9.9499999999999993" hidden="1" customHeight="1" x14ac:dyDescent="0.2"/>
    <row r="35802" ht="9.9499999999999993" hidden="1" customHeight="1" x14ac:dyDescent="0.2"/>
    <row r="35803" ht="9.9499999999999993" hidden="1" customHeight="1" x14ac:dyDescent="0.2"/>
    <row r="35804" ht="9.9499999999999993" hidden="1" customHeight="1" x14ac:dyDescent="0.2"/>
    <row r="35805" ht="9.9499999999999993" hidden="1" customHeight="1" x14ac:dyDescent="0.2"/>
    <row r="35806" ht="9.9499999999999993" hidden="1" customHeight="1" x14ac:dyDescent="0.2"/>
    <row r="35807" ht="9.9499999999999993" hidden="1" customHeight="1" x14ac:dyDescent="0.2"/>
    <row r="35808" ht="9.9499999999999993" hidden="1" customHeight="1" x14ac:dyDescent="0.2"/>
    <row r="35809" ht="9.9499999999999993" hidden="1" customHeight="1" x14ac:dyDescent="0.2"/>
    <row r="35810" ht="9.9499999999999993" hidden="1" customHeight="1" x14ac:dyDescent="0.2"/>
    <row r="35811" ht="9.9499999999999993" hidden="1" customHeight="1" x14ac:dyDescent="0.2"/>
    <row r="35812" ht="9.9499999999999993" hidden="1" customHeight="1" x14ac:dyDescent="0.2"/>
    <row r="35813" ht="9.9499999999999993" hidden="1" customHeight="1" x14ac:dyDescent="0.2"/>
    <row r="35814" ht="9.9499999999999993" hidden="1" customHeight="1" x14ac:dyDescent="0.2"/>
    <row r="35815" ht="9.9499999999999993" hidden="1" customHeight="1" x14ac:dyDescent="0.2"/>
    <row r="35816" ht="9.9499999999999993" hidden="1" customHeight="1" x14ac:dyDescent="0.2"/>
    <row r="35817" ht="9.9499999999999993" hidden="1" customHeight="1" x14ac:dyDescent="0.2"/>
    <row r="35818" ht="9.9499999999999993" hidden="1" customHeight="1" x14ac:dyDescent="0.2"/>
    <row r="35819" ht="9.9499999999999993" hidden="1" customHeight="1" x14ac:dyDescent="0.2"/>
    <row r="35820" ht="9.9499999999999993" hidden="1" customHeight="1" x14ac:dyDescent="0.2"/>
    <row r="35821" ht="9.9499999999999993" hidden="1" customHeight="1" x14ac:dyDescent="0.2"/>
    <row r="35822" ht="9.9499999999999993" hidden="1" customHeight="1" x14ac:dyDescent="0.2"/>
    <row r="35823" ht="9.9499999999999993" hidden="1" customHeight="1" x14ac:dyDescent="0.2"/>
    <row r="35824" ht="9.9499999999999993" hidden="1" customHeight="1" x14ac:dyDescent="0.2"/>
    <row r="35825" ht="9.9499999999999993" hidden="1" customHeight="1" x14ac:dyDescent="0.2"/>
    <row r="35826" ht="9.9499999999999993" hidden="1" customHeight="1" x14ac:dyDescent="0.2"/>
    <row r="35827" ht="9.9499999999999993" hidden="1" customHeight="1" x14ac:dyDescent="0.2"/>
    <row r="35828" ht="9.9499999999999993" hidden="1" customHeight="1" x14ac:dyDescent="0.2"/>
    <row r="35829" ht="9.9499999999999993" hidden="1" customHeight="1" x14ac:dyDescent="0.2"/>
    <row r="35830" ht="9.9499999999999993" hidden="1" customHeight="1" x14ac:dyDescent="0.2"/>
    <row r="35831" ht="9.9499999999999993" hidden="1" customHeight="1" x14ac:dyDescent="0.2"/>
    <row r="35832" ht="9.9499999999999993" hidden="1" customHeight="1" x14ac:dyDescent="0.2"/>
    <row r="35833" ht="9.9499999999999993" hidden="1" customHeight="1" x14ac:dyDescent="0.2"/>
    <row r="35834" ht="9.9499999999999993" hidden="1" customHeight="1" x14ac:dyDescent="0.2"/>
    <row r="35835" ht="9.9499999999999993" hidden="1" customHeight="1" x14ac:dyDescent="0.2"/>
    <row r="35836" ht="9.9499999999999993" hidden="1" customHeight="1" x14ac:dyDescent="0.2"/>
    <row r="35837" ht="9.9499999999999993" hidden="1" customHeight="1" x14ac:dyDescent="0.2"/>
    <row r="35838" ht="9.9499999999999993" hidden="1" customHeight="1" x14ac:dyDescent="0.2"/>
    <row r="35839" ht="9.9499999999999993" hidden="1" customHeight="1" x14ac:dyDescent="0.2"/>
    <row r="35840" ht="9.9499999999999993" hidden="1" customHeight="1" x14ac:dyDescent="0.2"/>
    <row r="35841" ht="9.9499999999999993" hidden="1" customHeight="1" x14ac:dyDescent="0.2"/>
    <row r="35842" ht="9.9499999999999993" hidden="1" customHeight="1" x14ac:dyDescent="0.2"/>
    <row r="35843" ht="9.9499999999999993" hidden="1" customHeight="1" x14ac:dyDescent="0.2"/>
    <row r="35844" ht="9.9499999999999993" hidden="1" customHeight="1" x14ac:dyDescent="0.2"/>
    <row r="35845" ht="9.9499999999999993" hidden="1" customHeight="1" x14ac:dyDescent="0.2"/>
    <row r="35846" ht="9.9499999999999993" hidden="1" customHeight="1" x14ac:dyDescent="0.2"/>
    <row r="35847" ht="9.9499999999999993" hidden="1" customHeight="1" x14ac:dyDescent="0.2"/>
    <row r="35848" ht="9.9499999999999993" hidden="1" customHeight="1" x14ac:dyDescent="0.2"/>
    <row r="35849" ht="9.9499999999999993" hidden="1" customHeight="1" x14ac:dyDescent="0.2"/>
    <row r="35850" ht="9.9499999999999993" hidden="1" customHeight="1" x14ac:dyDescent="0.2"/>
    <row r="35851" ht="9.9499999999999993" hidden="1" customHeight="1" x14ac:dyDescent="0.2"/>
    <row r="35852" ht="9.9499999999999993" hidden="1" customHeight="1" x14ac:dyDescent="0.2"/>
    <row r="35853" ht="9.9499999999999993" hidden="1" customHeight="1" x14ac:dyDescent="0.2"/>
    <row r="35854" ht="9.9499999999999993" hidden="1" customHeight="1" x14ac:dyDescent="0.2"/>
    <row r="35855" ht="9.9499999999999993" hidden="1" customHeight="1" x14ac:dyDescent="0.2"/>
    <row r="35856" ht="9.9499999999999993" hidden="1" customHeight="1" x14ac:dyDescent="0.2"/>
    <row r="35857" ht="9.9499999999999993" hidden="1" customHeight="1" x14ac:dyDescent="0.2"/>
    <row r="35858" ht="9.9499999999999993" hidden="1" customHeight="1" x14ac:dyDescent="0.2"/>
    <row r="35859" ht="9.9499999999999993" hidden="1" customHeight="1" x14ac:dyDescent="0.2"/>
    <row r="35860" ht="9.9499999999999993" hidden="1" customHeight="1" x14ac:dyDescent="0.2"/>
    <row r="35861" ht="9.9499999999999993" hidden="1" customHeight="1" x14ac:dyDescent="0.2"/>
    <row r="35862" ht="9.9499999999999993" hidden="1" customHeight="1" x14ac:dyDescent="0.2"/>
    <row r="35863" ht="9.9499999999999993" hidden="1" customHeight="1" x14ac:dyDescent="0.2"/>
    <row r="35864" ht="9.9499999999999993" hidden="1" customHeight="1" x14ac:dyDescent="0.2"/>
    <row r="35865" ht="9.9499999999999993" hidden="1" customHeight="1" x14ac:dyDescent="0.2"/>
    <row r="35866" ht="9.9499999999999993" hidden="1" customHeight="1" x14ac:dyDescent="0.2"/>
    <row r="35867" ht="9.9499999999999993" hidden="1" customHeight="1" x14ac:dyDescent="0.2"/>
    <row r="35868" ht="9.9499999999999993" hidden="1" customHeight="1" x14ac:dyDescent="0.2"/>
    <row r="35869" ht="9.9499999999999993" hidden="1" customHeight="1" x14ac:dyDescent="0.2"/>
    <row r="35870" ht="9.9499999999999993" hidden="1" customHeight="1" x14ac:dyDescent="0.2"/>
    <row r="35871" ht="9.9499999999999993" hidden="1" customHeight="1" x14ac:dyDescent="0.2"/>
    <row r="35872" ht="9.9499999999999993" hidden="1" customHeight="1" x14ac:dyDescent="0.2"/>
    <row r="35873" ht="9.9499999999999993" hidden="1" customHeight="1" x14ac:dyDescent="0.2"/>
    <row r="35874" ht="9.9499999999999993" hidden="1" customHeight="1" x14ac:dyDescent="0.2"/>
    <row r="35875" ht="9.9499999999999993" hidden="1" customHeight="1" x14ac:dyDescent="0.2"/>
    <row r="35876" ht="9.9499999999999993" hidden="1" customHeight="1" x14ac:dyDescent="0.2"/>
    <row r="35877" ht="9.9499999999999993" hidden="1" customHeight="1" x14ac:dyDescent="0.2"/>
    <row r="35878" ht="9.9499999999999993" hidden="1" customHeight="1" x14ac:dyDescent="0.2"/>
    <row r="35879" ht="9.9499999999999993" hidden="1" customHeight="1" x14ac:dyDescent="0.2"/>
    <row r="35880" ht="9.9499999999999993" hidden="1" customHeight="1" x14ac:dyDescent="0.2"/>
    <row r="35881" ht="9.9499999999999993" hidden="1" customHeight="1" x14ac:dyDescent="0.2"/>
    <row r="35882" ht="9.9499999999999993" hidden="1" customHeight="1" x14ac:dyDescent="0.2"/>
    <row r="35883" ht="9.9499999999999993" hidden="1" customHeight="1" x14ac:dyDescent="0.2"/>
    <row r="35884" ht="9.9499999999999993" hidden="1" customHeight="1" x14ac:dyDescent="0.2"/>
    <row r="35885" ht="9.9499999999999993" hidden="1" customHeight="1" x14ac:dyDescent="0.2"/>
    <row r="35886" ht="9.9499999999999993" hidden="1" customHeight="1" x14ac:dyDescent="0.2"/>
    <row r="35887" ht="9.9499999999999993" hidden="1" customHeight="1" x14ac:dyDescent="0.2"/>
    <row r="35888" ht="9.9499999999999993" hidden="1" customHeight="1" x14ac:dyDescent="0.2"/>
    <row r="35889" ht="9.9499999999999993" hidden="1" customHeight="1" x14ac:dyDescent="0.2"/>
    <row r="35890" ht="9.9499999999999993" hidden="1" customHeight="1" x14ac:dyDescent="0.2"/>
    <row r="35891" ht="9.9499999999999993" hidden="1" customHeight="1" x14ac:dyDescent="0.2"/>
    <row r="35892" ht="9.9499999999999993" hidden="1" customHeight="1" x14ac:dyDescent="0.2"/>
    <row r="35893" ht="9.9499999999999993" hidden="1" customHeight="1" x14ac:dyDescent="0.2"/>
    <row r="35894" ht="9.9499999999999993" hidden="1" customHeight="1" x14ac:dyDescent="0.2"/>
    <row r="35895" ht="9.9499999999999993" hidden="1" customHeight="1" x14ac:dyDescent="0.2"/>
    <row r="35896" ht="9.9499999999999993" hidden="1" customHeight="1" x14ac:dyDescent="0.2"/>
    <row r="35897" ht="9.9499999999999993" hidden="1" customHeight="1" x14ac:dyDescent="0.2"/>
    <row r="35898" ht="9.9499999999999993" hidden="1" customHeight="1" x14ac:dyDescent="0.2"/>
    <row r="35899" ht="9.9499999999999993" hidden="1" customHeight="1" x14ac:dyDescent="0.2"/>
    <row r="35900" ht="9.9499999999999993" hidden="1" customHeight="1" x14ac:dyDescent="0.2"/>
    <row r="35901" ht="9.9499999999999993" hidden="1" customHeight="1" x14ac:dyDescent="0.2"/>
    <row r="35902" ht="9.9499999999999993" hidden="1" customHeight="1" x14ac:dyDescent="0.2"/>
    <row r="35903" ht="9.9499999999999993" hidden="1" customHeight="1" x14ac:dyDescent="0.2"/>
    <row r="35904" ht="9.9499999999999993" hidden="1" customHeight="1" x14ac:dyDescent="0.2"/>
    <row r="35905" ht="9.9499999999999993" hidden="1" customHeight="1" x14ac:dyDescent="0.2"/>
    <row r="35906" ht="9.9499999999999993" hidden="1" customHeight="1" x14ac:dyDescent="0.2"/>
    <row r="35907" ht="9.9499999999999993" hidden="1" customHeight="1" x14ac:dyDescent="0.2"/>
    <row r="35908" ht="9.9499999999999993" hidden="1" customHeight="1" x14ac:dyDescent="0.2"/>
    <row r="35909" ht="9.9499999999999993" hidden="1" customHeight="1" x14ac:dyDescent="0.2"/>
    <row r="35910" ht="9.9499999999999993" hidden="1" customHeight="1" x14ac:dyDescent="0.2"/>
    <row r="35911" ht="9.9499999999999993" hidden="1" customHeight="1" x14ac:dyDescent="0.2"/>
    <row r="35912" ht="9.9499999999999993" hidden="1" customHeight="1" x14ac:dyDescent="0.2"/>
    <row r="35913" ht="9.9499999999999993" hidden="1" customHeight="1" x14ac:dyDescent="0.2"/>
    <row r="35914" ht="9.9499999999999993" hidden="1" customHeight="1" x14ac:dyDescent="0.2"/>
    <row r="35915" ht="9.9499999999999993" hidden="1" customHeight="1" x14ac:dyDescent="0.2"/>
    <row r="35916" ht="9.9499999999999993" hidden="1" customHeight="1" x14ac:dyDescent="0.2"/>
    <row r="35917" ht="9.9499999999999993" hidden="1" customHeight="1" x14ac:dyDescent="0.2"/>
    <row r="35918" ht="9.9499999999999993" hidden="1" customHeight="1" x14ac:dyDescent="0.2"/>
    <row r="35919" ht="9.9499999999999993" hidden="1" customHeight="1" x14ac:dyDescent="0.2"/>
    <row r="35920" ht="9.9499999999999993" hidden="1" customHeight="1" x14ac:dyDescent="0.2"/>
    <row r="35921" ht="9.9499999999999993" hidden="1" customHeight="1" x14ac:dyDescent="0.2"/>
    <row r="35922" ht="9.9499999999999993" hidden="1" customHeight="1" x14ac:dyDescent="0.2"/>
    <row r="35923" ht="9.9499999999999993" hidden="1" customHeight="1" x14ac:dyDescent="0.2"/>
    <row r="35924" ht="9.9499999999999993" hidden="1" customHeight="1" x14ac:dyDescent="0.2"/>
    <row r="35925" ht="9.9499999999999993" hidden="1" customHeight="1" x14ac:dyDescent="0.2"/>
    <row r="35926" ht="9.9499999999999993" hidden="1" customHeight="1" x14ac:dyDescent="0.2"/>
    <row r="35927" ht="9.9499999999999993" hidden="1" customHeight="1" x14ac:dyDescent="0.2"/>
    <row r="35928" ht="9.9499999999999993" hidden="1" customHeight="1" x14ac:dyDescent="0.2"/>
    <row r="35929" ht="9.9499999999999993" hidden="1" customHeight="1" x14ac:dyDescent="0.2"/>
    <row r="35930" ht="9.9499999999999993" hidden="1" customHeight="1" x14ac:dyDescent="0.2"/>
    <row r="35931" ht="9.9499999999999993" hidden="1" customHeight="1" x14ac:dyDescent="0.2"/>
    <row r="35932" ht="9.9499999999999993" hidden="1" customHeight="1" x14ac:dyDescent="0.2"/>
    <row r="35933" ht="9.9499999999999993" hidden="1" customHeight="1" x14ac:dyDescent="0.2"/>
    <row r="35934" ht="9.9499999999999993" hidden="1" customHeight="1" x14ac:dyDescent="0.2"/>
    <row r="35935" ht="9.9499999999999993" hidden="1" customHeight="1" x14ac:dyDescent="0.2"/>
    <row r="35936" ht="9.9499999999999993" hidden="1" customHeight="1" x14ac:dyDescent="0.2"/>
    <row r="35937" ht="9.9499999999999993" hidden="1" customHeight="1" x14ac:dyDescent="0.2"/>
    <row r="35938" ht="9.9499999999999993" hidden="1" customHeight="1" x14ac:dyDescent="0.2"/>
    <row r="35939" ht="9.9499999999999993" hidden="1" customHeight="1" x14ac:dyDescent="0.2"/>
    <row r="35940" ht="9.9499999999999993" hidden="1" customHeight="1" x14ac:dyDescent="0.2"/>
    <row r="35941" ht="9.9499999999999993" hidden="1" customHeight="1" x14ac:dyDescent="0.2"/>
    <row r="35942" ht="9.9499999999999993" hidden="1" customHeight="1" x14ac:dyDescent="0.2"/>
    <row r="35943" ht="9.9499999999999993" hidden="1" customHeight="1" x14ac:dyDescent="0.2"/>
    <row r="35944" ht="9.9499999999999993" hidden="1" customHeight="1" x14ac:dyDescent="0.2"/>
    <row r="35945" ht="9.9499999999999993" hidden="1" customHeight="1" x14ac:dyDescent="0.2"/>
    <row r="35946" ht="9.9499999999999993" hidden="1" customHeight="1" x14ac:dyDescent="0.2"/>
    <row r="35947" ht="9.9499999999999993" hidden="1" customHeight="1" x14ac:dyDescent="0.2"/>
    <row r="35948" ht="9.9499999999999993" hidden="1" customHeight="1" x14ac:dyDescent="0.2"/>
    <row r="35949" ht="9.9499999999999993" hidden="1" customHeight="1" x14ac:dyDescent="0.2"/>
    <row r="35950" ht="9.9499999999999993" hidden="1" customHeight="1" x14ac:dyDescent="0.2"/>
    <row r="35951" ht="9.9499999999999993" hidden="1" customHeight="1" x14ac:dyDescent="0.2"/>
    <row r="35952" ht="9.9499999999999993" hidden="1" customHeight="1" x14ac:dyDescent="0.2"/>
    <row r="35953" ht="9.9499999999999993" hidden="1" customHeight="1" x14ac:dyDescent="0.2"/>
    <row r="35954" ht="9.9499999999999993" hidden="1" customHeight="1" x14ac:dyDescent="0.2"/>
    <row r="35955" ht="9.9499999999999993" hidden="1" customHeight="1" x14ac:dyDescent="0.2"/>
    <row r="35956" ht="9.9499999999999993" hidden="1" customHeight="1" x14ac:dyDescent="0.2"/>
    <row r="35957" ht="9.9499999999999993" hidden="1" customHeight="1" x14ac:dyDescent="0.2"/>
    <row r="35958" ht="9.9499999999999993" hidden="1" customHeight="1" x14ac:dyDescent="0.2"/>
    <row r="35959" ht="9.9499999999999993" hidden="1" customHeight="1" x14ac:dyDescent="0.2"/>
    <row r="35960" ht="9.9499999999999993" hidden="1" customHeight="1" x14ac:dyDescent="0.2"/>
    <row r="35961" ht="9.9499999999999993" hidden="1" customHeight="1" x14ac:dyDescent="0.2"/>
    <row r="35962" ht="9.9499999999999993" hidden="1" customHeight="1" x14ac:dyDescent="0.2"/>
    <row r="35963" ht="9.9499999999999993" hidden="1" customHeight="1" x14ac:dyDescent="0.2"/>
    <row r="35964" ht="9.9499999999999993" hidden="1" customHeight="1" x14ac:dyDescent="0.2"/>
    <row r="35965" ht="9.9499999999999993" hidden="1" customHeight="1" x14ac:dyDescent="0.2"/>
    <row r="35966" ht="9.9499999999999993" hidden="1" customHeight="1" x14ac:dyDescent="0.2"/>
    <row r="35967" ht="9.9499999999999993" hidden="1" customHeight="1" x14ac:dyDescent="0.2"/>
    <row r="35968" ht="9.9499999999999993" hidden="1" customHeight="1" x14ac:dyDescent="0.2"/>
    <row r="35969" ht="9.9499999999999993" hidden="1" customHeight="1" x14ac:dyDescent="0.2"/>
    <row r="35970" ht="9.9499999999999993" hidden="1" customHeight="1" x14ac:dyDescent="0.2"/>
    <row r="35971" ht="9.9499999999999993" hidden="1" customHeight="1" x14ac:dyDescent="0.2"/>
    <row r="35972" ht="9.9499999999999993" hidden="1" customHeight="1" x14ac:dyDescent="0.2"/>
    <row r="35973" ht="9.9499999999999993" hidden="1" customHeight="1" x14ac:dyDescent="0.2"/>
    <row r="35974" ht="9.9499999999999993" hidden="1" customHeight="1" x14ac:dyDescent="0.2"/>
    <row r="35975" ht="9.9499999999999993" hidden="1" customHeight="1" x14ac:dyDescent="0.2"/>
    <row r="35976" ht="9.9499999999999993" hidden="1" customHeight="1" x14ac:dyDescent="0.2"/>
    <row r="35977" ht="9.9499999999999993" hidden="1" customHeight="1" x14ac:dyDescent="0.2"/>
    <row r="35978" ht="9.9499999999999993" hidden="1" customHeight="1" x14ac:dyDescent="0.2"/>
    <row r="35979" ht="9.9499999999999993" hidden="1" customHeight="1" x14ac:dyDescent="0.2"/>
    <row r="35980" ht="9.9499999999999993" hidden="1" customHeight="1" x14ac:dyDescent="0.2"/>
    <row r="35981" ht="9.9499999999999993" hidden="1" customHeight="1" x14ac:dyDescent="0.2"/>
    <row r="35982" ht="9.9499999999999993" hidden="1" customHeight="1" x14ac:dyDescent="0.2"/>
    <row r="35983" ht="9.9499999999999993" hidden="1" customHeight="1" x14ac:dyDescent="0.2"/>
    <row r="35984" ht="9.9499999999999993" hidden="1" customHeight="1" x14ac:dyDescent="0.2"/>
    <row r="35985" ht="9.9499999999999993" hidden="1" customHeight="1" x14ac:dyDescent="0.2"/>
    <row r="35986" ht="9.9499999999999993" hidden="1" customHeight="1" x14ac:dyDescent="0.2"/>
    <row r="35987" ht="9.9499999999999993" hidden="1" customHeight="1" x14ac:dyDescent="0.2"/>
    <row r="35988" ht="9.9499999999999993" hidden="1" customHeight="1" x14ac:dyDescent="0.2"/>
    <row r="35989" ht="9.9499999999999993" hidden="1" customHeight="1" x14ac:dyDescent="0.2"/>
    <row r="35990" ht="9.9499999999999993" hidden="1" customHeight="1" x14ac:dyDescent="0.2"/>
    <row r="35991" ht="9.9499999999999993" hidden="1" customHeight="1" x14ac:dyDescent="0.2"/>
    <row r="35992" ht="9.9499999999999993" hidden="1" customHeight="1" x14ac:dyDescent="0.2"/>
    <row r="35993" ht="9.9499999999999993" hidden="1" customHeight="1" x14ac:dyDescent="0.2"/>
    <row r="35994" ht="9.9499999999999993" hidden="1" customHeight="1" x14ac:dyDescent="0.2"/>
    <row r="35995" ht="9.9499999999999993" hidden="1" customHeight="1" x14ac:dyDescent="0.2"/>
    <row r="35996" ht="9.9499999999999993" hidden="1" customHeight="1" x14ac:dyDescent="0.2"/>
    <row r="35997" ht="9.9499999999999993" hidden="1" customHeight="1" x14ac:dyDescent="0.2"/>
    <row r="35998" ht="9.9499999999999993" hidden="1" customHeight="1" x14ac:dyDescent="0.2"/>
    <row r="35999" ht="9.9499999999999993" hidden="1" customHeight="1" x14ac:dyDescent="0.2"/>
    <row r="36000" ht="9.9499999999999993" hidden="1" customHeight="1" x14ac:dyDescent="0.2"/>
    <row r="36001" ht="9.9499999999999993" hidden="1" customHeight="1" x14ac:dyDescent="0.2"/>
    <row r="36002" ht="9.9499999999999993" hidden="1" customHeight="1" x14ac:dyDescent="0.2"/>
    <row r="36003" ht="9.9499999999999993" hidden="1" customHeight="1" x14ac:dyDescent="0.2"/>
    <row r="36004" ht="9.9499999999999993" hidden="1" customHeight="1" x14ac:dyDescent="0.2"/>
    <row r="36005" ht="9.9499999999999993" hidden="1" customHeight="1" x14ac:dyDescent="0.2"/>
    <row r="36006" ht="9.9499999999999993" hidden="1" customHeight="1" x14ac:dyDescent="0.2"/>
    <row r="36007" ht="9.9499999999999993" hidden="1" customHeight="1" x14ac:dyDescent="0.2"/>
    <row r="36008" ht="9.9499999999999993" hidden="1" customHeight="1" x14ac:dyDescent="0.2"/>
    <row r="36009" ht="9.9499999999999993" hidden="1" customHeight="1" x14ac:dyDescent="0.2"/>
    <row r="36010" ht="9.9499999999999993" hidden="1" customHeight="1" x14ac:dyDescent="0.2"/>
    <row r="36011" ht="9.9499999999999993" hidden="1" customHeight="1" x14ac:dyDescent="0.2"/>
    <row r="36012" ht="9.9499999999999993" hidden="1" customHeight="1" x14ac:dyDescent="0.2"/>
    <row r="36013" ht="9.9499999999999993" hidden="1" customHeight="1" x14ac:dyDescent="0.2"/>
    <row r="36014" ht="9.9499999999999993" hidden="1" customHeight="1" x14ac:dyDescent="0.2"/>
    <row r="36015" ht="9.9499999999999993" hidden="1" customHeight="1" x14ac:dyDescent="0.2"/>
    <row r="36016" ht="9.9499999999999993" hidden="1" customHeight="1" x14ac:dyDescent="0.2"/>
    <row r="36017" ht="9.9499999999999993" hidden="1" customHeight="1" x14ac:dyDescent="0.2"/>
    <row r="36018" ht="9.9499999999999993" hidden="1" customHeight="1" x14ac:dyDescent="0.2"/>
    <row r="36019" ht="9.9499999999999993" hidden="1" customHeight="1" x14ac:dyDescent="0.2"/>
    <row r="36020" ht="9.9499999999999993" hidden="1" customHeight="1" x14ac:dyDescent="0.2"/>
    <row r="36021" ht="9.9499999999999993" hidden="1" customHeight="1" x14ac:dyDescent="0.2"/>
    <row r="36022" ht="9.9499999999999993" hidden="1" customHeight="1" x14ac:dyDescent="0.2"/>
    <row r="36023" ht="9.9499999999999993" hidden="1" customHeight="1" x14ac:dyDescent="0.2"/>
    <row r="36024" ht="9.9499999999999993" hidden="1" customHeight="1" x14ac:dyDescent="0.2"/>
    <row r="36025" ht="9.9499999999999993" hidden="1" customHeight="1" x14ac:dyDescent="0.2"/>
    <row r="36026" ht="9.9499999999999993" hidden="1" customHeight="1" x14ac:dyDescent="0.2"/>
    <row r="36027" ht="9.9499999999999993" hidden="1" customHeight="1" x14ac:dyDescent="0.2"/>
    <row r="36028" ht="9.9499999999999993" hidden="1" customHeight="1" x14ac:dyDescent="0.2"/>
    <row r="36029" ht="9.9499999999999993" hidden="1" customHeight="1" x14ac:dyDescent="0.2"/>
    <row r="36030" ht="9.9499999999999993" hidden="1" customHeight="1" x14ac:dyDescent="0.2"/>
    <row r="36031" ht="9.9499999999999993" hidden="1" customHeight="1" x14ac:dyDescent="0.2"/>
    <row r="36032" ht="9.9499999999999993" hidden="1" customHeight="1" x14ac:dyDescent="0.2"/>
    <row r="36033" ht="9.9499999999999993" hidden="1" customHeight="1" x14ac:dyDescent="0.2"/>
    <row r="36034" ht="9.9499999999999993" hidden="1" customHeight="1" x14ac:dyDescent="0.2"/>
    <row r="36035" ht="9.9499999999999993" hidden="1" customHeight="1" x14ac:dyDescent="0.2"/>
    <row r="36036" ht="9.9499999999999993" hidden="1" customHeight="1" x14ac:dyDescent="0.2"/>
    <row r="36037" ht="9.9499999999999993" hidden="1" customHeight="1" x14ac:dyDescent="0.2"/>
    <row r="36038" ht="9.9499999999999993" hidden="1" customHeight="1" x14ac:dyDescent="0.2"/>
    <row r="36039" ht="9.9499999999999993" hidden="1" customHeight="1" x14ac:dyDescent="0.2"/>
    <row r="36040" ht="9.9499999999999993" hidden="1" customHeight="1" x14ac:dyDescent="0.2"/>
    <row r="36041" ht="9.9499999999999993" hidden="1" customHeight="1" x14ac:dyDescent="0.2"/>
    <row r="36042" ht="9.9499999999999993" hidden="1" customHeight="1" x14ac:dyDescent="0.2"/>
    <row r="36043" ht="9.9499999999999993" hidden="1" customHeight="1" x14ac:dyDescent="0.2"/>
    <row r="36044" ht="9.9499999999999993" hidden="1" customHeight="1" x14ac:dyDescent="0.2"/>
    <row r="36045" ht="9.9499999999999993" hidden="1" customHeight="1" x14ac:dyDescent="0.2"/>
    <row r="36046" ht="9.9499999999999993" hidden="1" customHeight="1" x14ac:dyDescent="0.2"/>
    <row r="36047" ht="9.9499999999999993" hidden="1" customHeight="1" x14ac:dyDescent="0.2"/>
    <row r="36048" ht="9.9499999999999993" hidden="1" customHeight="1" x14ac:dyDescent="0.2"/>
    <row r="36049" ht="9.9499999999999993" hidden="1" customHeight="1" x14ac:dyDescent="0.2"/>
    <row r="36050" ht="9.9499999999999993" hidden="1" customHeight="1" x14ac:dyDescent="0.2"/>
    <row r="36051" ht="9.9499999999999993" hidden="1" customHeight="1" x14ac:dyDescent="0.2"/>
    <row r="36052" ht="9.9499999999999993" hidden="1" customHeight="1" x14ac:dyDescent="0.2"/>
    <row r="36053" ht="9.9499999999999993" hidden="1" customHeight="1" x14ac:dyDescent="0.2"/>
    <row r="36054" ht="9.9499999999999993" hidden="1" customHeight="1" x14ac:dyDescent="0.2"/>
    <row r="36055" ht="9.9499999999999993" hidden="1" customHeight="1" x14ac:dyDescent="0.2"/>
    <row r="36056" ht="9.9499999999999993" hidden="1" customHeight="1" x14ac:dyDescent="0.2"/>
    <row r="36057" ht="9.9499999999999993" hidden="1" customHeight="1" x14ac:dyDescent="0.2"/>
    <row r="36058" ht="9.9499999999999993" hidden="1" customHeight="1" x14ac:dyDescent="0.2"/>
    <row r="36059" ht="9.9499999999999993" hidden="1" customHeight="1" x14ac:dyDescent="0.2"/>
    <row r="36060" ht="9.9499999999999993" hidden="1" customHeight="1" x14ac:dyDescent="0.2"/>
    <row r="36061" ht="9.9499999999999993" hidden="1" customHeight="1" x14ac:dyDescent="0.2"/>
    <row r="36062" ht="9.9499999999999993" hidden="1" customHeight="1" x14ac:dyDescent="0.2"/>
    <row r="36063" ht="9.9499999999999993" hidden="1" customHeight="1" x14ac:dyDescent="0.2"/>
    <row r="36064" ht="9.9499999999999993" hidden="1" customHeight="1" x14ac:dyDescent="0.2"/>
    <row r="36065" ht="9.9499999999999993" hidden="1" customHeight="1" x14ac:dyDescent="0.2"/>
    <row r="36066" ht="9.9499999999999993" hidden="1" customHeight="1" x14ac:dyDescent="0.2"/>
    <row r="36067" ht="9.9499999999999993" hidden="1" customHeight="1" x14ac:dyDescent="0.2"/>
    <row r="36068" ht="9.9499999999999993" hidden="1" customHeight="1" x14ac:dyDescent="0.2"/>
    <row r="36069" ht="9.9499999999999993" hidden="1" customHeight="1" x14ac:dyDescent="0.2"/>
    <row r="36070" ht="9.9499999999999993" hidden="1" customHeight="1" x14ac:dyDescent="0.2"/>
    <row r="36071" ht="9.9499999999999993" hidden="1" customHeight="1" x14ac:dyDescent="0.2"/>
    <row r="36072" ht="9.9499999999999993" hidden="1" customHeight="1" x14ac:dyDescent="0.2"/>
    <row r="36073" ht="9.9499999999999993" hidden="1" customHeight="1" x14ac:dyDescent="0.2"/>
    <row r="36074" ht="9.9499999999999993" hidden="1" customHeight="1" x14ac:dyDescent="0.2"/>
    <row r="36075" ht="9.9499999999999993" hidden="1" customHeight="1" x14ac:dyDescent="0.2"/>
    <row r="36076" ht="9.9499999999999993" hidden="1" customHeight="1" x14ac:dyDescent="0.2"/>
    <row r="36077" ht="9.9499999999999993" hidden="1" customHeight="1" x14ac:dyDescent="0.2"/>
    <row r="36078" ht="9.9499999999999993" hidden="1" customHeight="1" x14ac:dyDescent="0.2"/>
    <row r="36079" ht="9.9499999999999993" hidden="1" customHeight="1" x14ac:dyDescent="0.2"/>
    <row r="36080" ht="9.9499999999999993" hidden="1" customHeight="1" x14ac:dyDescent="0.2"/>
    <row r="36081" ht="9.9499999999999993" hidden="1" customHeight="1" x14ac:dyDescent="0.2"/>
    <row r="36082" ht="9.9499999999999993" hidden="1" customHeight="1" x14ac:dyDescent="0.2"/>
    <row r="36083" ht="9.9499999999999993" hidden="1" customHeight="1" x14ac:dyDescent="0.2"/>
    <row r="36084" ht="9.9499999999999993" hidden="1" customHeight="1" x14ac:dyDescent="0.2"/>
    <row r="36085" ht="9.9499999999999993" hidden="1" customHeight="1" x14ac:dyDescent="0.2"/>
    <row r="36086" ht="9.9499999999999993" hidden="1" customHeight="1" x14ac:dyDescent="0.2"/>
    <row r="36087" ht="9.9499999999999993" hidden="1" customHeight="1" x14ac:dyDescent="0.2"/>
    <row r="36088" ht="9.9499999999999993" hidden="1" customHeight="1" x14ac:dyDescent="0.2"/>
    <row r="36089" ht="9.9499999999999993" hidden="1" customHeight="1" x14ac:dyDescent="0.2"/>
    <row r="36090" ht="9.9499999999999993" hidden="1" customHeight="1" x14ac:dyDescent="0.2"/>
    <row r="36091" ht="9.9499999999999993" hidden="1" customHeight="1" x14ac:dyDescent="0.2"/>
    <row r="36092" ht="9.9499999999999993" hidden="1" customHeight="1" x14ac:dyDescent="0.2"/>
    <row r="36093" ht="9.9499999999999993" hidden="1" customHeight="1" x14ac:dyDescent="0.2"/>
    <row r="36094" ht="9.9499999999999993" hidden="1" customHeight="1" x14ac:dyDescent="0.2"/>
    <row r="36095" ht="9.9499999999999993" hidden="1" customHeight="1" x14ac:dyDescent="0.2"/>
    <row r="36096" ht="9.9499999999999993" hidden="1" customHeight="1" x14ac:dyDescent="0.2"/>
    <row r="36097" ht="9.9499999999999993" hidden="1" customHeight="1" x14ac:dyDescent="0.2"/>
    <row r="36098" ht="9.9499999999999993" hidden="1" customHeight="1" x14ac:dyDescent="0.2"/>
    <row r="36099" ht="9.9499999999999993" hidden="1" customHeight="1" x14ac:dyDescent="0.2"/>
    <row r="36100" ht="9.9499999999999993" hidden="1" customHeight="1" x14ac:dyDescent="0.2"/>
    <row r="36101" ht="9.9499999999999993" hidden="1" customHeight="1" x14ac:dyDescent="0.2"/>
    <row r="36102" ht="9.9499999999999993" hidden="1" customHeight="1" x14ac:dyDescent="0.2"/>
    <row r="36103" ht="9.9499999999999993" hidden="1" customHeight="1" x14ac:dyDescent="0.2"/>
    <row r="36104" ht="9.9499999999999993" hidden="1" customHeight="1" x14ac:dyDescent="0.2"/>
    <row r="36105" ht="9.9499999999999993" hidden="1" customHeight="1" x14ac:dyDescent="0.2"/>
    <row r="36106" ht="9.9499999999999993" hidden="1" customHeight="1" x14ac:dyDescent="0.2"/>
    <row r="36107" ht="9.9499999999999993" hidden="1" customHeight="1" x14ac:dyDescent="0.2"/>
    <row r="36108" ht="9.9499999999999993" hidden="1" customHeight="1" x14ac:dyDescent="0.2"/>
    <row r="36109" ht="9.9499999999999993" hidden="1" customHeight="1" x14ac:dyDescent="0.2"/>
    <row r="36110" ht="9.9499999999999993" hidden="1" customHeight="1" x14ac:dyDescent="0.2"/>
    <row r="36111" ht="9.9499999999999993" hidden="1" customHeight="1" x14ac:dyDescent="0.2"/>
    <row r="36112" ht="9.9499999999999993" hidden="1" customHeight="1" x14ac:dyDescent="0.2"/>
    <row r="36113" ht="9.9499999999999993" hidden="1" customHeight="1" x14ac:dyDescent="0.2"/>
    <row r="36114" ht="9.9499999999999993" hidden="1" customHeight="1" x14ac:dyDescent="0.2"/>
    <row r="36115" ht="9.9499999999999993" hidden="1" customHeight="1" x14ac:dyDescent="0.2"/>
    <row r="36116" ht="9.9499999999999993" hidden="1" customHeight="1" x14ac:dyDescent="0.2"/>
    <row r="36117" ht="9.9499999999999993" hidden="1" customHeight="1" x14ac:dyDescent="0.2"/>
    <row r="36118" ht="9.9499999999999993" hidden="1" customHeight="1" x14ac:dyDescent="0.2"/>
    <row r="36119" ht="9.9499999999999993" hidden="1" customHeight="1" x14ac:dyDescent="0.2"/>
    <row r="36120" ht="9.9499999999999993" hidden="1" customHeight="1" x14ac:dyDescent="0.2"/>
    <row r="36121" ht="9.9499999999999993" hidden="1" customHeight="1" x14ac:dyDescent="0.2"/>
    <row r="36122" ht="9.9499999999999993" hidden="1" customHeight="1" x14ac:dyDescent="0.2"/>
    <row r="36123" ht="9.9499999999999993" hidden="1" customHeight="1" x14ac:dyDescent="0.2"/>
    <row r="36124" ht="9.9499999999999993" hidden="1" customHeight="1" x14ac:dyDescent="0.2"/>
    <row r="36125" ht="9.9499999999999993" hidden="1" customHeight="1" x14ac:dyDescent="0.2"/>
    <row r="36126" ht="9.9499999999999993" hidden="1" customHeight="1" x14ac:dyDescent="0.2"/>
    <row r="36127" ht="9.9499999999999993" hidden="1" customHeight="1" x14ac:dyDescent="0.2"/>
    <row r="36128" ht="9.9499999999999993" hidden="1" customHeight="1" x14ac:dyDescent="0.2"/>
    <row r="36129" ht="9.9499999999999993" hidden="1" customHeight="1" x14ac:dyDescent="0.2"/>
    <row r="36130" ht="9.9499999999999993" hidden="1" customHeight="1" x14ac:dyDescent="0.2"/>
    <row r="36131" ht="9.9499999999999993" hidden="1" customHeight="1" x14ac:dyDescent="0.2"/>
    <row r="36132" ht="9.9499999999999993" hidden="1" customHeight="1" x14ac:dyDescent="0.2"/>
    <row r="36133" ht="9.9499999999999993" hidden="1" customHeight="1" x14ac:dyDescent="0.2"/>
    <row r="36134" ht="9.9499999999999993" hidden="1" customHeight="1" x14ac:dyDescent="0.2"/>
    <row r="36135" ht="9.9499999999999993" hidden="1" customHeight="1" x14ac:dyDescent="0.2"/>
    <row r="36136" ht="9.9499999999999993" hidden="1" customHeight="1" x14ac:dyDescent="0.2"/>
    <row r="36137" ht="9.9499999999999993" hidden="1" customHeight="1" x14ac:dyDescent="0.2"/>
    <row r="36138" ht="9.9499999999999993" hidden="1" customHeight="1" x14ac:dyDescent="0.2"/>
    <row r="36139" ht="9.9499999999999993" hidden="1" customHeight="1" x14ac:dyDescent="0.2"/>
    <row r="36140" ht="9.9499999999999993" hidden="1" customHeight="1" x14ac:dyDescent="0.2"/>
    <row r="36141" ht="9.9499999999999993" hidden="1" customHeight="1" x14ac:dyDescent="0.2"/>
    <row r="36142" ht="9.9499999999999993" hidden="1" customHeight="1" x14ac:dyDescent="0.2"/>
    <row r="36143" ht="9.9499999999999993" hidden="1" customHeight="1" x14ac:dyDescent="0.2"/>
    <row r="36144" ht="9.9499999999999993" hidden="1" customHeight="1" x14ac:dyDescent="0.2"/>
    <row r="36145" ht="9.9499999999999993" hidden="1" customHeight="1" x14ac:dyDescent="0.2"/>
    <row r="36146" ht="9.9499999999999993" hidden="1" customHeight="1" x14ac:dyDescent="0.2"/>
    <row r="36147" ht="9.9499999999999993" hidden="1" customHeight="1" x14ac:dyDescent="0.2"/>
    <row r="36148" ht="9.9499999999999993" hidden="1" customHeight="1" x14ac:dyDescent="0.2"/>
    <row r="36149" ht="9.9499999999999993" hidden="1" customHeight="1" x14ac:dyDescent="0.2"/>
    <row r="36150" ht="9.9499999999999993" hidden="1" customHeight="1" x14ac:dyDescent="0.2"/>
    <row r="36151" ht="9.9499999999999993" hidden="1" customHeight="1" x14ac:dyDescent="0.2"/>
    <row r="36152" ht="9.9499999999999993" hidden="1" customHeight="1" x14ac:dyDescent="0.2"/>
    <row r="36153" ht="9.9499999999999993" hidden="1" customHeight="1" x14ac:dyDescent="0.2"/>
    <row r="36154" ht="9.9499999999999993" hidden="1" customHeight="1" x14ac:dyDescent="0.2"/>
    <row r="36155" ht="9.9499999999999993" hidden="1" customHeight="1" x14ac:dyDescent="0.2"/>
    <row r="36156" ht="9.9499999999999993" hidden="1" customHeight="1" x14ac:dyDescent="0.2"/>
    <row r="36157" ht="9.9499999999999993" hidden="1" customHeight="1" x14ac:dyDescent="0.2"/>
    <row r="36158" ht="9.9499999999999993" hidden="1" customHeight="1" x14ac:dyDescent="0.2"/>
    <row r="36159" ht="9.9499999999999993" hidden="1" customHeight="1" x14ac:dyDescent="0.2"/>
    <row r="36160" ht="9.9499999999999993" hidden="1" customHeight="1" x14ac:dyDescent="0.2"/>
    <row r="36161" ht="9.9499999999999993" hidden="1" customHeight="1" x14ac:dyDescent="0.2"/>
    <row r="36162" ht="9.9499999999999993" hidden="1" customHeight="1" x14ac:dyDescent="0.2"/>
    <row r="36163" ht="9.9499999999999993" hidden="1" customHeight="1" x14ac:dyDescent="0.2"/>
    <row r="36164" ht="9.9499999999999993" hidden="1" customHeight="1" x14ac:dyDescent="0.2"/>
    <row r="36165" ht="9.9499999999999993" hidden="1" customHeight="1" x14ac:dyDescent="0.2"/>
    <row r="36166" ht="9.9499999999999993" hidden="1" customHeight="1" x14ac:dyDescent="0.2"/>
    <row r="36167" ht="9.9499999999999993" hidden="1" customHeight="1" x14ac:dyDescent="0.2"/>
    <row r="36168" ht="9.9499999999999993" hidden="1" customHeight="1" x14ac:dyDescent="0.2"/>
    <row r="36169" ht="9.9499999999999993" hidden="1" customHeight="1" x14ac:dyDescent="0.2"/>
    <row r="36170" ht="9.9499999999999993" hidden="1" customHeight="1" x14ac:dyDescent="0.2"/>
    <row r="36171" ht="9.9499999999999993" hidden="1" customHeight="1" x14ac:dyDescent="0.2"/>
    <row r="36172" ht="9.9499999999999993" hidden="1" customHeight="1" x14ac:dyDescent="0.2"/>
    <row r="36173" ht="9.9499999999999993" hidden="1" customHeight="1" x14ac:dyDescent="0.2"/>
    <row r="36174" ht="9.9499999999999993" hidden="1" customHeight="1" x14ac:dyDescent="0.2"/>
    <row r="36175" ht="9.9499999999999993" hidden="1" customHeight="1" x14ac:dyDescent="0.2"/>
    <row r="36176" ht="9.9499999999999993" hidden="1" customHeight="1" x14ac:dyDescent="0.2"/>
    <row r="36177" ht="9.9499999999999993" hidden="1" customHeight="1" x14ac:dyDescent="0.2"/>
    <row r="36178" ht="9.9499999999999993" hidden="1" customHeight="1" x14ac:dyDescent="0.2"/>
    <row r="36179" ht="9.9499999999999993" hidden="1" customHeight="1" x14ac:dyDescent="0.2"/>
    <row r="36180" ht="9.9499999999999993" hidden="1" customHeight="1" x14ac:dyDescent="0.2"/>
    <row r="36181" ht="9.9499999999999993" hidden="1" customHeight="1" x14ac:dyDescent="0.2"/>
    <row r="36182" ht="9.9499999999999993" hidden="1" customHeight="1" x14ac:dyDescent="0.2"/>
    <row r="36183" ht="9.9499999999999993" hidden="1" customHeight="1" x14ac:dyDescent="0.2"/>
    <row r="36184" ht="9.9499999999999993" hidden="1" customHeight="1" x14ac:dyDescent="0.2"/>
    <row r="36185" ht="9.9499999999999993" hidden="1" customHeight="1" x14ac:dyDescent="0.2"/>
    <row r="36186" ht="9.9499999999999993" hidden="1" customHeight="1" x14ac:dyDescent="0.2"/>
    <row r="36187" ht="9.9499999999999993" hidden="1" customHeight="1" x14ac:dyDescent="0.2"/>
    <row r="36188" ht="9.9499999999999993" hidden="1" customHeight="1" x14ac:dyDescent="0.2"/>
    <row r="36189" ht="9.9499999999999993" hidden="1" customHeight="1" x14ac:dyDescent="0.2"/>
    <row r="36190" ht="9.9499999999999993" hidden="1" customHeight="1" x14ac:dyDescent="0.2"/>
    <row r="36191" ht="9.9499999999999993" hidden="1" customHeight="1" x14ac:dyDescent="0.2"/>
    <row r="36192" ht="9.9499999999999993" hidden="1" customHeight="1" x14ac:dyDescent="0.2"/>
    <row r="36193" ht="9.9499999999999993" hidden="1" customHeight="1" x14ac:dyDescent="0.2"/>
    <row r="36194" ht="9.9499999999999993" hidden="1" customHeight="1" x14ac:dyDescent="0.2"/>
    <row r="36195" ht="9.9499999999999993" hidden="1" customHeight="1" x14ac:dyDescent="0.2"/>
    <row r="36196" ht="9.9499999999999993" hidden="1" customHeight="1" x14ac:dyDescent="0.2"/>
    <row r="36197" ht="9.9499999999999993" hidden="1" customHeight="1" x14ac:dyDescent="0.2"/>
    <row r="36198" ht="9.9499999999999993" hidden="1" customHeight="1" x14ac:dyDescent="0.2"/>
    <row r="36199" ht="9.9499999999999993" hidden="1" customHeight="1" x14ac:dyDescent="0.2"/>
    <row r="36200" ht="9.9499999999999993" hidden="1" customHeight="1" x14ac:dyDescent="0.2"/>
    <row r="36201" ht="9.9499999999999993" hidden="1" customHeight="1" x14ac:dyDescent="0.2"/>
    <row r="36202" ht="9.9499999999999993" hidden="1" customHeight="1" x14ac:dyDescent="0.2"/>
    <row r="36203" ht="9.9499999999999993" hidden="1" customHeight="1" x14ac:dyDescent="0.2"/>
    <row r="36204" ht="9.9499999999999993" hidden="1" customHeight="1" x14ac:dyDescent="0.2"/>
    <row r="36205" ht="9.9499999999999993" hidden="1" customHeight="1" x14ac:dyDescent="0.2"/>
    <row r="36206" ht="9.9499999999999993" hidden="1" customHeight="1" x14ac:dyDescent="0.2"/>
    <row r="36207" ht="9.9499999999999993" hidden="1" customHeight="1" x14ac:dyDescent="0.2"/>
    <row r="36208" ht="9.9499999999999993" hidden="1" customHeight="1" x14ac:dyDescent="0.2"/>
    <row r="36209" ht="9.9499999999999993" hidden="1" customHeight="1" x14ac:dyDescent="0.2"/>
    <row r="36210" ht="9.9499999999999993" hidden="1" customHeight="1" x14ac:dyDescent="0.2"/>
    <row r="36211" ht="9.9499999999999993" hidden="1" customHeight="1" x14ac:dyDescent="0.2"/>
    <row r="36212" ht="9.9499999999999993" hidden="1" customHeight="1" x14ac:dyDescent="0.2"/>
    <row r="36213" ht="9.9499999999999993" hidden="1" customHeight="1" x14ac:dyDescent="0.2"/>
    <row r="36214" ht="9.9499999999999993" hidden="1" customHeight="1" x14ac:dyDescent="0.2"/>
    <row r="36215" ht="9.9499999999999993" hidden="1" customHeight="1" x14ac:dyDescent="0.2"/>
    <row r="36216" ht="9.9499999999999993" hidden="1" customHeight="1" x14ac:dyDescent="0.2"/>
    <row r="36217" ht="9.9499999999999993" hidden="1" customHeight="1" x14ac:dyDescent="0.2"/>
    <row r="36218" ht="9.9499999999999993" hidden="1" customHeight="1" x14ac:dyDescent="0.2"/>
    <row r="36219" ht="9.9499999999999993" hidden="1" customHeight="1" x14ac:dyDescent="0.2"/>
    <row r="36220" ht="9.9499999999999993" hidden="1" customHeight="1" x14ac:dyDescent="0.2"/>
    <row r="36221" ht="9.9499999999999993" hidden="1" customHeight="1" x14ac:dyDescent="0.2"/>
    <row r="36222" ht="9.9499999999999993" hidden="1" customHeight="1" x14ac:dyDescent="0.2"/>
    <row r="36223" ht="9.9499999999999993" hidden="1" customHeight="1" x14ac:dyDescent="0.2"/>
    <row r="36224" ht="9.9499999999999993" hidden="1" customHeight="1" x14ac:dyDescent="0.2"/>
    <row r="36225" ht="9.9499999999999993" hidden="1" customHeight="1" x14ac:dyDescent="0.2"/>
    <row r="36226" ht="9.9499999999999993" hidden="1" customHeight="1" x14ac:dyDescent="0.2"/>
    <row r="36227" ht="9.9499999999999993" hidden="1" customHeight="1" x14ac:dyDescent="0.2"/>
    <row r="36228" ht="9.9499999999999993" hidden="1" customHeight="1" x14ac:dyDescent="0.2"/>
    <row r="36229" ht="9.9499999999999993" hidden="1" customHeight="1" x14ac:dyDescent="0.2"/>
    <row r="36230" ht="9.9499999999999993" hidden="1" customHeight="1" x14ac:dyDescent="0.2"/>
    <row r="36231" ht="9.9499999999999993" hidden="1" customHeight="1" x14ac:dyDescent="0.2"/>
    <row r="36232" ht="9.9499999999999993" hidden="1" customHeight="1" x14ac:dyDescent="0.2"/>
    <row r="36233" ht="9.9499999999999993" hidden="1" customHeight="1" x14ac:dyDescent="0.2"/>
    <row r="36234" ht="9.9499999999999993" hidden="1" customHeight="1" x14ac:dyDescent="0.2"/>
    <row r="36235" ht="9.9499999999999993" hidden="1" customHeight="1" x14ac:dyDescent="0.2"/>
    <row r="36236" ht="9.9499999999999993" hidden="1" customHeight="1" x14ac:dyDescent="0.2"/>
    <row r="36237" ht="9.9499999999999993" hidden="1" customHeight="1" x14ac:dyDescent="0.2"/>
    <row r="36238" ht="9.9499999999999993" hidden="1" customHeight="1" x14ac:dyDescent="0.2"/>
    <row r="36239" ht="9.9499999999999993" hidden="1" customHeight="1" x14ac:dyDescent="0.2"/>
    <row r="36240" ht="9.9499999999999993" hidden="1" customHeight="1" x14ac:dyDescent="0.2"/>
    <row r="36241" ht="9.9499999999999993" hidden="1" customHeight="1" x14ac:dyDescent="0.2"/>
    <row r="36242" ht="9.9499999999999993" hidden="1" customHeight="1" x14ac:dyDescent="0.2"/>
    <row r="36243" ht="9.9499999999999993" hidden="1" customHeight="1" x14ac:dyDescent="0.2"/>
    <row r="36244" ht="9.9499999999999993" hidden="1" customHeight="1" x14ac:dyDescent="0.2"/>
    <row r="36245" ht="9.9499999999999993" hidden="1" customHeight="1" x14ac:dyDescent="0.2"/>
    <row r="36246" ht="9.9499999999999993" hidden="1" customHeight="1" x14ac:dyDescent="0.2"/>
    <row r="36247" ht="9.9499999999999993" hidden="1" customHeight="1" x14ac:dyDescent="0.2"/>
    <row r="36248" ht="9.9499999999999993" hidden="1" customHeight="1" x14ac:dyDescent="0.2"/>
    <row r="36249" ht="9.9499999999999993" hidden="1" customHeight="1" x14ac:dyDescent="0.2"/>
    <row r="36250" ht="9.9499999999999993" hidden="1" customHeight="1" x14ac:dyDescent="0.2"/>
    <row r="36251" ht="9.9499999999999993" hidden="1" customHeight="1" x14ac:dyDescent="0.2"/>
    <row r="36252" ht="9.9499999999999993" hidden="1" customHeight="1" x14ac:dyDescent="0.2"/>
    <row r="36253" ht="9.9499999999999993" hidden="1" customHeight="1" x14ac:dyDescent="0.2"/>
    <row r="36254" ht="9.9499999999999993" hidden="1" customHeight="1" x14ac:dyDescent="0.2"/>
    <row r="36255" ht="9.9499999999999993" hidden="1" customHeight="1" x14ac:dyDescent="0.2"/>
    <row r="36256" ht="9.9499999999999993" hidden="1" customHeight="1" x14ac:dyDescent="0.2"/>
    <row r="36257" ht="9.9499999999999993" hidden="1" customHeight="1" x14ac:dyDescent="0.2"/>
    <row r="36258" ht="9.9499999999999993" hidden="1" customHeight="1" x14ac:dyDescent="0.2"/>
    <row r="36259" ht="9.9499999999999993" hidden="1" customHeight="1" x14ac:dyDescent="0.2"/>
    <row r="36260" ht="9.9499999999999993" hidden="1" customHeight="1" x14ac:dyDescent="0.2"/>
    <row r="36261" ht="9.9499999999999993" hidden="1" customHeight="1" x14ac:dyDescent="0.2"/>
    <row r="36262" ht="9.9499999999999993" hidden="1" customHeight="1" x14ac:dyDescent="0.2"/>
    <row r="36263" ht="9.9499999999999993" hidden="1" customHeight="1" x14ac:dyDescent="0.2"/>
    <row r="36264" ht="9.9499999999999993" hidden="1" customHeight="1" x14ac:dyDescent="0.2"/>
    <row r="36265" ht="9.9499999999999993" hidden="1" customHeight="1" x14ac:dyDescent="0.2"/>
    <row r="36266" ht="9.9499999999999993" hidden="1" customHeight="1" x14ac:dyDescent="0.2"/>
    <row r="36267" ht="9.9499999999999993" hidden="1" customHeight="1" x14ac:dyDescent="0.2"/>
    <row r="36268" ht="9.9499999999999993" hidden="1" customHeight="1" x14ac:dyDescent="0.2"/>
    <row r="36269" ht="9.9499999999999993" hidden="1" customHeight="1" x14ac:dyDescent="0.2"/>
    <row r="36270" ht="9.9499999999999993" hidden="1" customHeight="1" x14ac:dyDescent="0.2"/>
    <row r="36271" ht="9.9499999999999993" hidden="1" customHeight="1" x14ac:dyDescent="0.2"/>
    <row r="36272" ht="9.9499999999999993" hidden="1" customHeight="1" x14ac:dyDescent="0.2"/>
    <row r="36273" ht="9.9499999999999993" hidden="1" customHeight="1" x14ac:dyDescent="0.2"/>
    <row r="36274" ht="9.9499999999999993" hidden="1" customHeight="1" x14ac:dyDescent="0.2"/>
    <row r="36275" ht="9.9499999999999993" hidden="1" customHeight="1" x14ac:dyDescent="0.2"/>
    <row r="36276" ht="9.9499999999999993" hidden="1" customHeight="1" x14ac:dyDescent="0.2"/>
    <row r="36277" ht="9.9499999999999993" hidden="1" customHeight="1" x14ac:dyDescent="0.2"/>
    <row r="36278" ht="9.9499999999999993" hidden="1" customHeight="1" x14ac:dyDescent="0.2"/>
    <row r="36279" ht="9.9499999999999993" hidden="1" customHeight="1" x14ac:dyDescent="0.2"/>
    <row r="36280" ht="9.9499999999999993" hidden="1" customHeight="1" x14ac:dyDescent="0.2"/>
    <row r="36281" ht="9.9499999999999993" hidden="1" customHeight="1" x14ac:dyDescent="0.2"/>
    <row r="36282" ht="9.9499999999999993" hidden="1" customHeight="1" x14ac:dyDescent="0.2"/>
    <row r="36283" ht="9.9499999999999993" hidden="1" customHeight="1" x14ac:dyDescent="0.2"/>
    <row r="36284" ht="9.9499999999999993" hidden="1" customHeight="1" x14ac:dyDescent="0.2"/>
    <row r="36285" ht="9.9499999999999993" hidden="1" customHeight="1" x14ac:dyDescent="0.2"/>
    <row r="36286" ht="9.9499999999999993" hidden="1" customHeight="1" x14ac:dyDescent="0.2"/>
    <row r="36287" ht="9.9499999999999993" hidden="1" customHeight="1" x14ac:dyDescent="0.2"/>
    <row r="36288" ht="9.9499999999999993" hidden="1" customHeight="1" x14ac:dyDescent="0.2"/>
    <row r="36289" ht="9.9499999999999993" hidden="1" customHeight="1" x14ac:dyDescent="0.2"/>
    <row r="36290" ht="9.9499999999999993" hidden="1" customHeight="1" x14ac:dyDescent="0.2"/>
    <row r="36291" ht="9.9499999999999993" hidden="1" customHeight="1" x14ac:dyDescent="0.2"/>
    <row r="36292" ht="9.9499999999999993" hidden="1" customHeight="1" x14ac:dyDescent="0.2"/>
    <row r="36293" ht="9.9499999999999993" hidden="1" customHeight="1" x14ac:dyDescent="0.2"/>
    <row r="36294" ht="9.9499999999999993" hidden="1" customHeight="1" x14ac:dyDescent="0.2"/>
    <row r="36295" ht="9.9499999999999993" hidden="1" customHeight="1" x14ac:dyDescent="0.2"/>
    <row r="36296" ht="9.9499999999999993" hidden="1" customHeight="1" x14ac:dyDescent="0.2"/>
    <row r="36297" ht="9.9499999999999993" hidden="1" customHeight="1" x14ac:dyDescent="0.2"/>
    <row r="36298" ht="9.9499999999999993" hidden="1" customHeight="1" x14ac:dyDescent="0.2"/>
    <row r="36299" ht="9.9499999999999993" hidden="1" customHeight="1" x14ac:dyDescent="0.2"/>
    <row r="36300" ht="9.9499999999999993" hidden="1" customHeight="1" x14ac:dyDescent="0.2"/>
    <row r="36301" ht="9.9499999999999993" hidden="1" customHeight="1" x14ac:dyDescent="0.2"/>
    <row r="36302" ht="9.9499999999999993" hidden="1" customHeight="1" x14ac:dyDescent="0.2"/>
    <row r="36303" ht="9.9499999999999993" hidden="1" customHeight="1" x14ac:dyDescent="0.2"/>
    <row r="36304" ht="9.9499999999999993" hidden="1" customHeight="1" x14ac:dyDescent="0.2"/>
    <row r="36305" ht="9.9499999999999993" hidden="1" customHeight="1" x14ac:dyDescent="0.2"/>
    <row r="36306" ht="9.9499999999999993" hidden="1" customHeight="1" x14ac:dyDescent="0.2"/>
    <row r="36307" ht="9.9499999999999993" hidden="1" customHeight="1" x14ac:dyDescent="0.2"/>
    <row r="36308" ht="9.9499999999999993" hidden="1" customHeight="1" x14ac:dyDescent="0.2"/>
    <row r="36309" ht="9.9499999999999993" hidden="1" customHeight="1" x14ac:dyDescent="0.2"/>
    <row r="36310" ht="9.9499999999999993" hidden="1" customHeight="1" x14ac:dyDescent="0.2"/>
    <row r="36311" ht="9.9499999999999993" hidden="1" customHeight="1" x14ac:dyDescent="0.2"/>
    <row r="36312" ht="9.9499999999999993" hidden="1" customHeight="1" x14ac:dyDescent="0.2"/>
    <row r="36313" ht="9.9499999999999993" hidden="1" customHeight="1" x14ac:dyDescent="0.2"/>
    <row r="36314" ht="9.9499999999999993" hidden="1" customHeight="1" x14ac:dyDescent="0.2"/>
    <row r="36315" ht="9.9499999999999993" hidden="1" customHeight="1" x14ac:dyDescent="0.2"/>
    <row r="36316" ht="9.9499999999999993" hidden="1" customHeight="1" x14ac:dyDescent="0.2"/>
    <row r="36317" ht="9.9499999999999993" hidden="1" customHeight="1" x14ac:dyDescent="0.2"/>
    <row r="36318" ht="9.9499999999999993" hidden="1" customHeight="1" x14ac:dyDescent="0.2"/>
    <row r="36319" ht="9.9499999999999993" hidden="1" customHeight="1" x14ac:dyDescent="0.2"/>
    <row r="36320" ht="9.9499999999999993" hidden="1" customHeight="1" x14ac:dyDescent="0.2"/>
    <row r="36321" ht="9.9499999999999993" hidden="1" customHeight="1" x14ac:dyDescent="0.2"/>
    <row r="36322" ht="9.9499999999999993" hidden="1" customHeight="1" x14ac:dyDescent="0.2"/>
    <row r="36323" ht="9.9499999999999993" hidden="1" customHeight="1" x14ac:dyDescent="0.2"/>
    <row r="36324" ht="9.9499999999999993" hidden="1" customHeight="1" x14ac:dyDescent="0.2"/>
    <row r="36325" ht="9.9499999999999993" hidden="1" customHeight="1" x14ac:dyDescent="0.2"/>
    <row r="36326" ht="9.9499999999999993" hidden="1" customHeight="1" x14ac:dyDescent="0.2"/>
    <row r="36327" ht="9.9499999999999993" hidden="1" customHeight="1" x14ac:dyDescent="0.2"/>
    <row r="36328" ht="9.9499999999999993" hidden="1" customHeight="1" x14ac:dyDescent="0.2"/>
    <row r="36329" ht="9.9499999999999993" hidden="1" customHeight="1" x14ac:dyDescent="0.2"/>
    <row r="36330" ht="9.9499999999999993" hidden="1" customHeight="1" x14ac:dyDescent="0.2"/>
    <row r="36331" ht="9.9499999999999993" hidden="1" customHeight="1" x14ac:dyDescent="0.2"/>
    <row r="36332" ht="9.9499999999999993" hidden="1" customHeight="1" x14ac:dyDescent="0.2"/>
    <row r="36333" ht="9.9499999999999993" hidden="1" customHeight="1" x14ac:dyDescent="0.2"/>
    <row r="36334" ht="9.9499999999999993" hidden="1" customHeight="1" x14ac:dyDescent="0.2"/>
    <row r="36335" ht="9.9499999999999993" hidden="1" customHeight="1" x14ac:dyDescent="0.2"/>
    <row r="36336" ht="9.9499999999999993" hidden="1" customHeight="1" x14ac:dyDescent="0.2"/>
    <row r="36337" ht="9.9499999999999993" hidden="1" customHeight="1" x14ac:dyDescent="0.2"/>
    <row r="36338" ht="9.9499999999999993" hidden="1" customHeight="1" x14ac:dyDescent="0.2"/>
    <row r="36339" ht="9.9499999999999993" hidden="1" customHeight="1" x14ac:dyDescent="0.2"/>
    <row r="36340" ht="9.9499999999999993" hidden="1" customHeight="1" x14ac:dyDescent="0.2"/>
    <row r="36341" ht="9.9499999999999993" hidden="1" customHeight="1" x14ac:dyDescent="0.2"/>
    <row r="36342" ht="9.9499999999999993" hidden="1" customHeight="1" x14ac:dyDescent="0.2"/>
    <row r="36343" ht="9.9499999999999993" hidden="1" customHeight="1" x14ac:dyDescent="0.2"/>
    <row r="36344" ht="9.9499999999999993" hidden="1" customHeight="1" x14ac:dyDescent="0.2"/>
    <row r="36345" ht="9.9499999999999993" hidden="1" customHeight="1" x14ac:dyDescent="0.2"/>
    <row r="36346" ht="9.9499999999999993" hidden="1" customHeight="1" x14ac:dyDescent="0.2"/>
    <row r="36347" ht="9.9499999999999993" hidden="1" customHeight="1" x14ac:dyDescent="0.2"/>
    <row r="36348" ht="9.9499999999999993" hidden="1" customHeight="1" x14ac:dyDescent="0.2"/>
    <row r="36349" ht="9.9499999999999993" hidden="1" customHeight="1" x14ac:dyDescent="0.2"/>
    <row r="36350" ht="9.9499999999999993" hidden="1" customHeight="1" x14ac:dyDescent="0.2"/>
    <row r="36351" ht="9.9499999999999993" hidden="1" customHeight="1" x14ac:dyDescent="0.2"/>
    <row r="36352" ht="9.9499999999999993" hidden="1" customHeight="1" x14ac:dyDescent="0.2"/>
    <row r="36353" ht="9.9499999999999993" hidden="1" customHeight="1" x14ac:dyDescent="0.2"/>
    <row r="36354" ht="9.9499999999999993" hidden="1" customHeight="1" x14ac:dyDescent="0.2"/>
    <row r="36355" ht="9.9499999999999993" hidden="1" customHeight="1" x14ac:dyDescent="0.2"/>
    <row r="36356" ht="9.9499999999999993" hidden="1" customHeight="1" x14ac:dyDescent="0.2"/>
    <row r="36357" ht="9.9499999999999993" hidden="1" customHeight="1" x14ac:dyDescent="0.2"/>
    <row r="36358" ht="9.9499999999999993" hidden="1" customHeight="1" x14ac:dyDescent="0.2"/>
    <row r="36359" ht="9.9499999999999993" hidden="1" customHeight="1" x14ac:dyDescent="0.2"/>
    <row r="36360" ht="9.9499999999999993" hidden="1" customHeight="1" x14ac:dyDescent="0.2"/>
    <row r="36361" ht="9.9499999999999993" hidden="1" customHeight="1" x14ac:dyDescent="0.2"/>
    <row r="36362" ht="9.9499999999999993" hidden="1" customHeight="1" x14ac:dyDescent="0.2"/>
    <row r="36363" ht="9.9499999999999993" hidden="1" customHeight="1" x14ac:dyDescent="0.2"/>
    <row r="36364" ht="9.9499999999999993" hidden="1" customHeight="1" x14ac:dyDescent="0.2"/>
    <row r="36365" ht="9.9499999999999993" hidden="1" customHeight="1" x14ac:dyDescent="0.2"/>
    <row r="36366" ht="9.9499999999999993" hidden="1" customHeight="1" x14ac:dyDescent="0.2"/>
    <row r="36367" ht="9.9499999999999993" hidden="1" customHeight="1" x14ac:dyDescent="0.2"/>
    <row r="36368" ht="9.9499999999999993" hidden="1" customHeight="1" x14ac:dyDescent="0.2"/>
    <row r="36369" ht="9.9499999999999993" hidden="1" customHeight="1" x14ac:dyDescent="0.2"/>
    <row r="36370" ht="9.9499999999999993" hidden="1" customHeight="1" x14ac:dyDescent="0.2"/>
    <row r="36371" ht="9.9499999999999993" hidden="1" customHeight="1" x14ac:dyDescent="0.2"/>
    <row r="36372" ht="9.9499999999999993" hidden="1" customHeight="1" x14ac:dyDescent="0.2"/>
    <row r="36373" ht="9.9499999999999993" hidden="1" customHeight="1" x14ac:dyDescent="0.2"/>
    <row r="36374" ht="9.9499999999999993" hidden="1" customHeight="1" x14ac:dyDescent="0.2"/>
    <row r="36375" ht="9.9499999999999993" hidden="1" customHeight="1" x14ac:dyDescent="0.2"/>
    <row r="36376" ht="9.9499999999999993" hidden="1" customHeight="1" x14ac:dyDescent="0.2"/>
    <row r="36377" ht="9.9499999999999993" hidden="1" customHeight="1" x14ac:dyDescent="0.2"/>
    <row r="36378" ht="9.9499999999999993" hidden="1" customHeight="1" x14ac:dyDescent="0.2"/>
    <row r="36379" ht="9.9499999999999993" hidden="1" customHeight="1" x14ac:dyDescent="0.2"/>
    <row r="36380" ht="9.9499999999999993" hidden="1" customHeight="1" x14ac:dyDescent="0.2"/>
    <row r="36381" ht="9.9499999999999993" hidden="1" customHeight="1" x14ac:dyDescent="0.2"/>
    <row r="36382" ht="9.9499999999999993" hidden="1" customHeight="1" x14ac:dyDescent="0.2"/>
    <row r="36383" ht="9.9499999999999993" hidden="1" customHeight="1" x14ac:dyDescent="0.2"/>
    <row r="36384" ht="9.9499999999999993" hidden="1" customHeight="1" x14ac:dyDescent="0.2"/>
    <row r="36385" ht="9.9499999999999993" hidden="1" customHeight="1" x14ac:dyDescent="0.2"/>
    <row r="36386" ht="9.9499999999999993" hidden="1" customHeight="1" x14ac:dyDescent="0.2"/>
    <row r="36387" ht="9.9499999999999993" hidden="1" customHeight="1" x14ac:dyDescent="0.2"/>
    <row r="36388" ht="9.9499999999999993" hidden="1" customHeight="1" x14ac:dyDescent="0.2"/>
    <row r="36389" ht="9.9499999999999993" hidden="1" customHeight="1" x14ac:dyDescent="0.2"/>
    <row r="36390" ht="9.9499999999999993" hidden="1" customHeight="1" x14ac:dyDescent="0.2"/>
    <row r="36391" ht="9.9499999999999993" hidden="1" customHeight="1" x14ac:dyDescent="0.2"/>
    <row r="36392" ht="9.9499999999999993" hidden="1" customHeight="1" x14ac:dyDescent="0.2"/>
    <row r="36393" ht="9.9499999999999993" hidden="1" customHeight="1" x14ac:dyDescent="0.2"/>
    <row r="36394" ht="9.9499999999999993" hidden="1" customHeight="1" x14ac:dyDescent="0.2"/>
    <row r="36395" ht="9.9499999999999993" hidden="1" customHeight="1" x14ac:dyDescent="0.2"/>
    <row r="36396" ht="9.9499999999999993" hidden="1" customHeight="1" x14ac:dyDescent="0.2"/>
    <row r="36397" ht="9.9499999999999993" hidden="1" customHeight="1" x14ac:dyDescent="0.2"/>
    <row r="36398" ht="9.9499999999999993" hidden="1" customHeight="1" x14ac:dyDescent="0.2"/>
    <row r="36399" ht="9.9499999999999993" hidden="1" customHeight="1" x14ac:dyDescent="0.2"/>
    <row r="36400" ht="9.9499999999999993" hidden="1" customHeight="1" x14ac:dyDescent="0.2"/>
    <row r="36401" ht="9.9499999999999993" hidden="1" customHeight="1" x14ac:dyDescent="0.2"/>
    <row r="36402" ht="9.9499999999999993" hidden="1" customHeight="1" x14ac:dyDescent="0.2"/>
    <row r="36403" ht="9.9499999999999993" hidden="1" customHeight="1" x14ac:dyDescent="0.2"/>
    <row r="36404" ht="9.9499999999999993" hidden="1" customHeight="1" x14ac:dyDescent="0.2"/>
    <row r="36405" ht="9.9499999999999993" hidden="1" customHeight="1" x14ac:dyDescent="0.2"/>
    <row r="36406" ht="9.9499999999999993" hidden="1" customHeight="1" x14ac:dyDescent="0.2"/>
    <row r="36407" ht="9.9499999999999993" hidden="1" customHeight="1" x14ac:dyDescent="0.2"/>
    <row r="36408" ht="9.9499999999999993" hidden="1" customHeight="1" x14ac:dyDescent="0.2"/>
    <row r="36409" ht="9.9499999999999993" hidden="1" customHeight="1" x14ac:dyDescent="0.2"/>
    <row r="36410" ht="9.9499999999999993" hidden="1" customHeight="1" x14ac:dyDescent="0.2"/>
    <row r="36411" ht="9.9499999999999993" hidden="1" customHeight="1" x14ac:dyDescent="0.2"/>
    <row r="36412" ht="9.9499999999999993" hidden="1" customHeight="1" x14ac:dyDescent="0.2"/>
    <row r="36413" ht="9.9499999999999993" hidden="1" customHeight="1" x14ac:dyDescent="0.2"/>
    <row r="36414" ht="9.9499999999999993" hidden="1" customHeight="1" x14ac:dyDescent="0.2"/>
    <row r="36415" ht="9.9499999999999993" hidden="1" customHeight="1" x14ac:dyDescent="0.2"/>
    <row r="36416" ht="9.9499999999999993" hidden="1" customHeight="1" x14ac:dyDescent="0.2"/>
    <row r="36417" ht="9.9499999999999993" hidden="1" customHeight="1" x14ac:dyDescent="0.2"/>
    <row r="36418" ht="9.9499999999999993" hidden="1" customHeight="1" x14ac:dyDescent="0.2"/>
    <row r="36419" ht="9.9499999999999993" hidden="1" customHeight="1" x14ac:dyDescent="0.2"/>
    <row r="36420" ht="9.9499999999999993" hidden="1" customHeight="1" x14ac:dyDescent="0.2"/>
    <row r="36421" ht="9.9499999999999993" hidden="1" customHeight="1" x14ac:dyDescent="0.2"/>
    <row r="36422" ht="9.9499999999999993" hidden="1" customHeight="1" x14ac:dyDescent="0.2"/>
    <row r="36423" ht="9.9499999999999993" hidden="1" customHeight="1" x14ac:dyDescent="0.2"/>
    <row r="36424" ht="9.9499999999999993" hidden="1" customHeight="1" x14ac:dyDescent="0.2"/>
    <row r="36425" ht="9.9499999999999993" hidden="1" customHeight="1" x14ac:dyDescent="0.2"/>
    <row r="36426" ht="9.9499999999999993" hidden="1" customHeight="1" x14ac:dyDescent="0.2"/>
    <row r="36427" ht="9.9499999999999993" hidden="1" customHeight="1" x14ac:dyDescent="0.2"/>
    <row r="36428" ht="9.9499999999999993" hidden="1" customHeight="1" x14ac:dyDescent="0.2"/>
    <row r="36429" ht="9.9499999999999993" hidden="1" customHeight="1" x14ac:dyDescent="0.2"/>
    <row r="36430" ht="9.9499999999999993" hidden="1" customHeight="1" x14ac:dyDescent="0.2"/>
    <row r="36431" ht="9.9499999999999993" hidden="1" customHeight="1" x14ac:dyDescent="0.2"/>
    <row r="36432" ht="9.9499999999999993" hidden="1" customHeight="1" x14ac:dyDescent="0.2"/>
    <row r="36433" ht="9.9499999999999993" hidden="1" customHeight="1" x14ac:dyDescent="0.2"/>
    <row r="36434" ht="9.9499999999999993" hidden="1" customHeight="1" x14ac:dyDescent="0.2"/>
    <row r="36435" ht="9.9499999999999993" hidden="1" customHeight="1" x14ac:dyDescent="0.2"/>
    <row r="36436" ht="9.9499999999999993" hidden="1" customHeight="1" x14ac:dyDescent="0.2"/>
    <row r="36437" ht="9.9499999999999993" hidden="1" customHeight="1" x14ac:dyDescent="0.2"/>
    <row r="36438" ht="9.9499999999999993" hidden="1" customHeight="1" x14ac:dyDescent="0.2"/>
    <row r="36439" ht="9.9499999999999993" hidden="1" customHeight="1" x14ac:dyDescent="0.2"/>
    <row r="36440" ht="9.9499999999999993" hidden="1" customHeight="1" x14ac:dyDescent="0.2"/>
    <row r="36441" ht="9.9499999999999993" hidden="1" customHeight="1" x14ac:dyDescent="0.2"/>
    <row r="36442" ht="9.9499999999999993" hidden="1" customHeight="1" x14ac:dyDescent="0.2"/>
    <row r="36443" ht="9.9499999999999993" hidden="1" customHeight="1" x14ac:dyDescent="0.2"/>
    <row r="36444" ht="9.9499999999999993" hidden="1" customHeight="1" x14ac:dyDescent="0.2"/>
    <row r="36445" ht="9.9499999999999993" hidden="1" customHeight="1" x14ac:dyDescent="0.2"/>
    <row r="36446" ht="9.9499999999999993" hidden="1" customHeight="1" x14ac:dyDescent="0.2"/>
    <row r="36447" ht="9.9499999999999993" hidden="1" customHeight="1" x14ac:dyDescent="0.2"/>
    <row r="36448" ht="9.9499999999999993" hidden="1" customHeight="1" x14ac:dyDescent="0.2"/>
    <row r="36449" ht="9.9499999999999993" hidden="1" customHeight="1" x14ac:dyDescent="0.2"/>
    <row r="36450" ht="9.9499999999999993" hidden="1" customHeight="1" x14ac:dyDescent="0.2"/>
    <row r="36451" ht="9.9499999999999993" hidden="1" customHeight="1" x14ac:dyDescent="0.2"/>
    <row r="36452" ht="9.9499999999999993" hidden="1" customHeight="1" x14ac:dyDescent="0.2"/>
    <row r="36453" ht="9.9499999999999993" hidden="1" customHeight="1" x14ac:dyDescent="0.2"/>
    <row r="36454" ht="9.9499999999999993" hidden="1" customHeight="1" x14ac:dyDescent="0.2"/>
    <row r="36455" ht="9.9499999999999993" hidden="1" customHeight="1" x14ac:dyDescent="0.2"/>
    <row r="36456" ht="9.9499999999999993" hidden="1" customHeight="1" x14ac:dyDescent="0.2"/>
    <row r="36457" ht="9.9499999999999993" hidden="1" customHeight="1" x14ac:dyDescent="0.2"/>
    <row r="36458" ht="9.9499999999999993" hidden="1" customHeight="1" x14ac:dyDescent="0.2"/>
    <row r="36459" ht="9.9499999999999993" hidden="1" customHeight="1" x14ac:dyDescent="0.2"/>
    <row r="36460" ht="9.9499999999999993" hidden="1" customHeight="1" x14ac:dyDescent="0.2"/>
    <row r="36461" ht="9.9499999999999993" hidden="1" customHeight="1" x14ac:dyDescent="0.2"/>
    <row r="36462" ht="9.9499999999999993" hidden="1" customHeight="1" x14ac:dyDescent="0.2"/>
    <row r="36463" ht="9.9499999999999993" hidden="1" customHeight="1" x14ac:dyDescent="0.2"/>
    <row r="36464" ht="9.9499999999999993" hidden="1" customHeight="1" x14ac:dyDescent="0.2"/>
    <row r="36465" ht="9.9499999999999993" hidden="1" customHeight="1" x14ac:dyDescent="0.2"/>
    <row r="36466" ht="9.9499999999999993" hidden="1" customHeight="1" x14ac:dyDescent="0.2"/>
    <row r="36467" ht="9.9499999999999993" hidden="1" customHeight="1" x14ac:dyDescent="0.2"/>
    <row r="36468" ht="9.9499999999999993" hidden="1" customHeight="1" x14ac:dyDescent="0.2"/>
    <row r="36469" ht="9.9499999999999993" hidden="1" customHeight="1" x14ac:dyDescent="0.2"/>
    <row r="36470" ht="9.9499999999999993" hidden="1" customHeight="1" x14ac:dyDescent="0.2"/>
    <row r="36471" ht="9.9499999999999993" hidden="1" customHeight="1" x14ac:dyDescent="0.2"/>
    <row r="36472" ht="9.9499999999999993" hidden="1" customHeight="1" x14ac:dyDescent="0.2"/>
    <row r="36473" ht="9.9499999999999993" hidden="1" customHeight="1" x14ac:dyDescent="0.2"/>
    <row r="36474" ht="9.9499999999999993" hidden="1" customHeight="1" x14ac:dyDescent="0.2"/>
    <row r="36475" ht="9.9499999999999993" hidden="1" customHeight="1" x14ac:dyDescent="0.2"/>
    <row r="36476" ht="9.9499999999999993" hidden="1" customHeight="1" x14ac:dyDescent="0.2"/>
    <row r="36477" ht="9.9499999999999993" hidden="1" customHeight="1" x14ac:dyDescent="0.2"/>
    <row r="36478" ht="9.9499999999999993" hidden="1" customHeight="1" x14ac:dyDescent="0.2"/>
    <row r="36479" ht="9.9499999999999993" hidden="1" customHeight="1" x14ac:dyDescent="0.2"/>
    <row r="36480" ht="9.9499999999999993" hidden="1" customHeight="1" x14ac:dyDescent="0.2"/>
    <row r="36481" ht="9.9499999999999993" hidden="1" customHeight="1" x14ac:dyDescent="0.2"/>
    <row r="36482" ht="9.9499999999999993" hidden="1" customHeight="1" x14ac:dyDescent="0.2"/>
    <row r="36483" ht="9.9499999999999993" hidden="1" customHeight="1" x14ac:dyDescent="0.2"/>
    <row r="36484" ht="9.9499999999999993" hidden="1" customHeight="1" x14ac:dyDescent="0.2"/>
    <row r="36485" ht="9.9499999999999993" hidden="1" customHeight="1" x14ac:dyDescent="0.2"/>
    <row r="36486" ht="9.9499999999999993" hidden="1" customHeight="1" x14ac:dyDescent="0.2"/>
    <row r="36487" ht="9.9499999999999993" hidden="1" customHeight="1" x14ac:dyDescent="0.2"/>
    <row r="36488" ht="9.9499999999999993" hidden="1" customHeight="1" x14ac:dyDescent="0.2"/>
    <row r="36489" ht="9.9499999999999993" hidden="1" customHeight="1" x14ac:dyDescent="0.2"/>
    <row r="36490" ht="9.9499999999999993" hidden="1" customHeight="1" x14ac:dyDescent="0.2"/>
    <row r="36491" ht="9.9499999999999993" hidden="1" customHeight="1" x14ac:dyDescent="0.2"/>
    <row r="36492" ht="9.9499999999999993" hidden="1" customHeight="1" x14ac:dyDescent="0.2"/>
    <row r="36493" ht="9.9499999999999993" hidden="1" customHeight="1" x14ac:dyDescent="0.2"/>
    <row r="36494" ht="9.9499999999999993" hidden="1" customHeight="1" x14ac:dyDescent="0.2"/>
    <row r="36495" ht="9.9499999999999993" hidden="1" customHeight="1" x14ac:dyDescent="0.2"/>
    <row r="36496" ht="9.9499999999999993" hidden="1" customHeight="1" x14ac:dyDescent="0.2"/>
    <row r="36497" ht="9.9499999999999993" hidden="1" customHeight="1" x14ac:dyDescent="0.2"/>
    <row r="36498" ht="9.9499999999999993" hidden="1" customHeight="1" x14ac:dyDescent="0.2"/>
    <row r="36499" ht="9.9499999999999993" hidden="1" customHeight="1" x14ac:dyDescent="0.2"/>
    <row r="36500" ht="9.9499999999999993" hidden="1" customHeight="1" x14ac:dyDescent="0.2"/>
    <row r="36501" ht="9.9499999999999993" hidden="1" customHeight="1" x14ac:dyDescent="0.2"/>
    <row r="36502" ht="9.9499999999999993" hidden="1" customHeight="1" x14ac:dyDescent="0.2"/>
    <row r="36503" ht="9.9499999999999993" hidden="1" customHeight="1" x14ac:dyDescent="0.2"/>
    <row r="36504" ht="9.9499999999999993" hidden="1" customHeight="1" x14ac:dyDescent="0.2"/>
    <row r="36505" ht="9.9499999999999993" hidden="1" customHeight="1" x14ac:dyDescent="0.2"/>
    <row r="36506" ht="9.9499999999999993" hidden="1" customHeight="1" x14ac:dyDescent="0.2"/>
    <row r="36507" ht="9.9499999999999993" hidden="1" customHeight="1" x14ac:dyDescent="0.2"/>
    <row r="36508" ht="9.9499999999999993" hidden="1" customHeight="1" x14ac:dyDescent="0.2"/>
    <row r="36509" ht="9.9499999999999993" hidden="1" customHeight="1" x14ac:dyDescent="0.2"/>
    <row r="36510" ht="9.9499999999999993" hidden="1" customHeight="1" x14ac:dyDescent="0.2"/>
    <row r="36511" ht="9.9499999999999993" hidden="1" customHeight="1" x14ac:dyDescent="0.2"/>
    <row r="36512" ht="9.9499999999999993" hidden="1" customHeight="1" x14ac:dyDescent="0.2"/>
    <row r="36513" ht="9.9499999999999993" hidden="1" customHeight="1" x14ac:dyDescent="0.2"/>
    <row r="36514" ht="9.9499999999999993" hidden="1" customHeight="1" x14ac:dyDescent="0.2"/>
    <row r="36515" ht="9.9499999999999993" hidden="1" customHeight="1" x14ac:dyDescent="0.2"/>
    <row r="36516" ht="9.9499999999999993" hidden="1" customHeight="1" x14ac:dyDescent="0.2"/>
    <row r="36517" ht="9.9499999999999993" hidden="1" customHeight="1" x14ac:dyDescent="0.2"/>
    <row r="36518" ht="9.9499999999999993" hidden="1" customHeight="1" x14ac:dyDescent="0.2"/>
    <row r="36519" ht="9.9499999999999993" hidden="1" customHeight="1" x14ac:dyDescent="0.2"/>
    <row r="36520" ht="9.9499999999999993" hidden="1" customHeight="1" x14ac:dyDescent="0.2"/>
    <row r="36521" ht="9.9499999999999993" hidden="1" customHeight="1" x14ac:dyDescent="0.2"/>
    <row r="36522" ht="9.9499999999999993" hidden="1" customHeight="1" x14ac:dyDescent="0.2"/>
    <row r="36523" ht="9.9499999999999993" hidden="1" customHeight="1" x14ac:dyDescent="0.2"/>
    <row r="36524" ht="9.9499999999999993" hidden="1" customHeight="1" x14ac:dyDescent="0.2"/>
    <row r="36525" ht="9.9499999999999993" hidden="1" customHeight="1" x14ac:dyDescent="0.2"/>
    <row r="36526" ht="9.9499999999999993" hidden="1" customHeight="1" x14ac:dyDescent="0.2"/>
    <row r="36527" ht="9.9499999999999993" hidden="1" customHeight="1" x14ac:dyDescent="0.2"/>
    <row r="36528" ht="9.9499999999999993" hidden="1" customHeight="1" x14ac:dyDescent="0.2"/>
    <row r="36529" ht="9.9499999999999993" hidden="1" customHeight="1" x14ac:dyDescent="0.2"/>
    <row r="36530" ht="9.9499999999999993" hidden="1" customHeight="1" x14ac:dyDescent="0.2"/>
    <row r="36531" ht="9.9499999999999993" hidden="1" customHeight="1" x14ac:dyDescent="0.2"/>
    <row r="36532" ht="9.9499999999999993" hidden="1" customHeight="1" x14ac:dyDescent="0.2"/>
    <row r="36533" ht="9.9499999999999993" hidden="1" customHeight="1" x14ac:dyDescent="0.2"/>
    <row r="36534" ht="9.9499999999999993" hidden="1" customHeight="1" x14ac:dyDescent="0.2"/>
    <row r="36535" ht="9.9499999999999993" hidden="1" customHeight="1" x14ac:dyDescent="0.2"/>
    <row r="36536" ht="9.9499999999999993" hidden="1" customHeight="1" x14ac:dyDescent="0.2"/>
    <row r="36537" ht="9.9499999999999993" hidden="1" customHeight="1" x14ac:dyDescent="0.2"/>
    <row r="36538" ht="9.9499999999999993" hidden="1" customHeight="1" x14ac:dyDescent="0.2"/>
    <row r="36539" ht="9.9499999999999993" hidden="1" customHeight="1" x14ac:dyDescent="0.2"/>
    <row r="36540" ht="9.9499999999999993" hidden="1" customHeight="1" x14ac:dyDescent="0.2"/>
    <row r="36541" ht="9.9499999999999993" hidden="1" customHeight="1" x14ac:dyDescent="0.2"/>
    <row r="36542" ht="9.9499999999999993" hidden="1" customHeight="1" x14ac:dyDescent="0.2"/>
    <row r="36543" ht="9.9499999999999993" hidden="1" customHeight="1" x14ac:dyDescent="0.2"/>
    <row r="36544" ht="9.9499999999999993" hidden="1" customHeight="1" x14ac:dyDescent="0.2"/>
    <row r="36545" ht="9.9499999999999993" hidden="1" customHeight="1" x14ac:dyDescent="0.2"/>
    <row r="36546" ht="9.9499999999999993" hidden="1" customHeight="1" x14ac:dyDescent="0.2"/>
    <row r="36547" ht="9.9499999999999993" hidden="1" customHeight="1" x14ac:dyDescent="0.2"/>
    <row r="36548" ht="9.9499999999999993" hidden="1" customHeight="1" x14ac:dyDescent="0.2"/>
    <row r="36549" ht="9.9499999999999993" hidden="1" customHeight="1" x14ac:dyDescent="0.2"/>
    <row r="36550" ht="9.9499999999999993" hidden="1" customHeight="1" x14ac:dyDescent="0.2"/>
    <row r="36551" ht="9.9499999999999993" hidden="1" customHeight="1" x14ac:dyDescent="0.2"/>
    <row r="36552" ht="9.9499999999999993" hidden="1" customHeight="1" x14ac:dyDescent="0.2"/>
    <row r="36553" ht="9.9499999999999993" hidden="1" customHeight="1" x14ac:dyDescent="0.2"/>
    <row r="36554" ht="9.9499999999999993" hidden="1" customHeight="1" x14ac:dyDescent="0.2"/>
    <row r="36555" ht="9.9499999999999993" hidden="1" customHeight="1" x14ac:dyDescent="0.2"/>
    <row r="36556" ht="9.9499999999999993" hidden="1" customHeight="1" x14ac:dyDescent="0.2"/>
    <row r="36557" ht="9.9499999999999993" hidden="1" customHeight="1" x14ac:dyDescent="0.2"/>
    <row r="36558" ht="9.9499999999999993" hidden="1" customHeight="1" x14ac:dyDescent="0.2"/>
    <row r="36559" ht="9.9499999999999993" hidden="1" customHeight="1" x14ac:dyDescent="0.2"/>
    <row r="36560" ht="9.9499999999999993" hidden="1" customHeight="1" x14ac:dyDescent="0.2"/>
    <row r="36561" ht="9.9499999999999993" hidden="1" customHeight="1" x14ac:dyDescent="0.2"/>
    <row r="36562" ht="9.9499999999999993" hidden="1" customHeight="1" x14ac:dyDescent="0.2"/>
    <row r="36563" ht="9.9499999999999993" hidden="1" customHeight="1" x14ac:dyDescent="0.2"/>
    <row r="36564" ht="9.9499999999999993" hidden="1" customHeight="1" x14ac:dyDescent="0.2"/>
    <row r="36565" ht="9.9499999999999993" hidden="1" customHeight="1" x14ac:dyDescent="0.2"/>
    <row r="36566" ht="9.9499999999999993" hidden="1" customHeight="1" x14ac:dyDescent="0.2"/>
    <row r="36567" ht="9.9499999999999993" hidden="1" customHeight="1" x14ac:dyDescent="0.2"/>
    <row r="36568" ht="9.9499999999999993" hidden="1" customHeight="1" x14ac:dyDescent="0.2"/>
    <row r="36569" ht="9.9499999999999993" hidden="1" customHeight="1" x14ac:dyDescent="0.2"/>
    <row r="36570" ht="9.9499999999999993" hidden="1" customHeight="1" x14ac:dyDescent="0.2"/>
    <row r="36571" ht="9.9499999999999993" hidden="1" customHeight="1" x14ac:dyDescent="0.2"/>
    <row r="36572" ht="9.9499999999999993" hidden="1" customHeight="1" x14ac:dyDescent="0.2"/>
    <row r="36573" ht="9.9499999999999993" hidden="1" customHeight="1" x14ac:dyDescent="0.2"/>
    <row r="36574" ht="9.9499999999999993" hidden="1" customHeight="1" x14ac:dyDescent="0.2"/>
    <row r="36575" ht="9.9499999999999993" hidden="1" customHeight="1" x14ac:dyDescent="0.2"/>
    <row r="36576" ht="9.9499999999999993" hidden="1" customHeight="1" x14ac:dyDescent="0.2"/>
    <row r="36577" ht="9.9499999999999993" hidden="1" customHeight="1" x14ac:dyDescent="0.2"/>
    <row r="36578" ht="9.9499999999999993" hidden="1" customHeight="1" x14ac:dyDescent="0.2"/>
    <row r="36579" ht="9.9499999999999993" hidden="1" customHeight="1" x14ac:dyDescent="0.2"/>
    <row r="36580" ht="9.9499999999999993" hidden="1" customHeight="1" x14ac:dyDescent="0.2"/>
    <row r="36581" ht="9.9499999999999993" hidden="1" customHeight="1" x14ac:dyDescent="0.2"/>
    <row r="36582" ht="9.9499999999999993" hidden="1" customHeight="1" x14ac:dyDescent="0.2"/>
    <row r="36583" ht="9.9499999999999993" hidden="1" customHeight="1" x14ac:dyDescent="0.2"/>
    <row r="36584" ht="9.9499999999999993" hidden="1" customHeight="1" x14ac:dyDescent="0.2"/>
    <row r="36585" ht="9.9499999999999993" hidden="1" customHeight="1" x14ac:dyDescent="0.2"/>
    <row r="36586" ht="9.9499999999999993" hidden="1" customHeight="1" x14ac:dyDescent="0.2"/>
    <row r="36587" ht="9.9499999999999993" hidden="1" customHeight="1" x14ac:dyDescent="0.2"/>
    <row r="36588" ht="9.9499999999999993" hidden="1" customHeight="1" x14ac:dyDescent="0.2"/>
    <row r="36589" ht="9.9499999999999993" hidden="1" customHeight="1" x14ac:dyDescent="0.2"/>
    <row r="36590" ht="9.9499999999999993" hidden="1" customHeight="1" x14ac:dyDescent="0.2"/>
    <row r="36591" ht="9.9499999999999993" hidden="1" customHeight="1" x14ac:dyDescent="0.2"/>
    <row r="36592" ht="9.9499999999999993" hidden="1" customHeight="1" x14ac:dyDescent="0.2"/>
    <row r="36593" ht="9.9499999999999993" hidden="1" customHeight="1" x14ac:dyDescent="0.2"/>
    <row r="36594" ht="9.9499999999999993" hidden="1" customHeight="1" x14ac:dyDescent="0.2"/>
    <row r="36595" ht="9.9499999999999993" hidden="1" customHeight="1" x14ac:dyDescent="0.2"/>
    <row r="36596" ht="9.9499999999999993" hidden="1" customHeight="1" x14ac:dyDescent="0.2"/>
    <row r="36597" ht="9.9499999999999993" hidden="1" customHeight="1" x14ac:dyDescent="0.2"/>
    <row r="36598" ht="9.9499999999999993" hidden="1" customHeight="1" x14ac:dyDescent="0.2"/>
    <row r="36599" ht="9.9499999999999993" hidden="1" customHeight="1" x14ac:dyDescent="0.2"/>
    <row r="36600" ht="9.9499999999999993" hidden="1" customHeight="1" x14ac:dyDescent="0.2"/>
    <row r="36601" ht="9.9499999999999993" hidden="1" customHeight="1" x14ac:dyDescent="0.2"/>
    <row r="36602" ht="9.9499999999999993" hidden="1" customHeight="1" x14ac:dyDescent="0.2"/>
    <row r="36603" ht="9.9499999999999993" hidden="1" customHeight="1" x14ac:dyDescent="0.2"/>
    <row r="36604" ht="9.9499999999999993" hidden="1" customHeight="1" x14ac:dyDescent="0.2"/>
    <row r="36605" ht="9.9499999999999993" hidden="1" customHeight="1" x14ac:dyDescent="0.2"/>
    <row r="36606" ht="9.9499999999999993" hidden="1" customHeight="1" x14ac:dyDescent="0.2"/>
    <row r="36607" ht="9.9499999999999993" hidden="1" customHeight="1" x14ac:dyDescent="0.2"/>
    <row r="36608" ht="9.9499999999999993" hidden="1" customHeight="1" x14ac:dyDescent="0.2"/>
    <row r="36609" ht="9.9499999999999993" hidden="1" customHeight="1" x14ac:dyDescent="0.2"/>
    <row r="36610" ht="9.9499999999999993" hidden="1" customHeight="1" x14ac:dyDescent="0.2"/>
    <row r="36611" ht="9.9499999999999993" hidden="1" customHeight="1" x14ac:dyDescent="0.2"/>
    <row r="36612" ht="9.9499999999999993" hidden="1" customHeight="1" x14ac:dyDescent="0.2"/>
    <row r="36613" ht="9.9499999999999993" hidden="1" customHeight="1" x14ac:dyDescent="0.2"/>
    <row r="36614" ht="9.9499999999999993" hidden="1" customHeight="1" x14ac:dyDescent="0.2"/>
    <row r="36615" ht="9.9499999999999993" hidden="1" customHeight="1" x14ac:dyDescent="0.2"/>
    <row r="36616" ht="9.9499999999999993" hidden="1" customHeight="1" x14ac:dyDescent="0.2"/>
    <row r="36617" ht="9.9499999999999993" hidden="1" customHeight="1" x14ac:dyDescent="0.2"/>
    <row r="36618" ht="9.9499999999999993" hidden="1" customHeight="1" x14ac:dyDescent="0.2"/>
    <row r="36619" ht="9.9499999999999993" hidden="1" customHeight="1" x14ac:dyDescent="0.2"/>
    <row r="36620" ht="9.9499999999999993" hidden="1" customHeight="1" x14ac:dyDescent="0.2"/>
    <row r="36621" ht="9.9499999999999993" hidden="1" customHeight="1" x14ac:dyDescent="0.2"/>
    <row r="36622" ht="9.9499999999999993" hidden="1" customHeight="1" x14ac:dyDescent="0.2"/>
    <row r="36623" ht="9.9499999999999993" hidden="1" customHeight="1" x14ac:dyDescent="0.2"/>
    <row r="36624" ht="9.9499999999999993" hidden="1" customHeight="1" x14ac:dyDescent="0.2"/>
    <row r="36625" ht="9.9499999999999993" hidden="1" customHeight="1" x14ac:dyDescent="0.2"/>
    <row r="36626" ht="9.9499999999999993" hidden="1" customHeight="1" x14ac:dyDescent="0.2"/>
    <row r="36627" ht="9.9499999999999993" hidden="1" customHeight="1" x14ac:dyDescent="0.2"/>
    <row r="36628" ht="9.9499999999999993" hidden="1" customHeight="1" x14ac:dyDescent="0.2"/>
    <row r="36629" ht="9.9499999999999993" hidden="1" customHeight="1" x14ac:dyDescent="0.2"/>
    <row r="36630" ht="9.9499999999999993" hidden="1" customHeight="1" x14ac:dyDescent="0.2"/>
    <row r="36631" ht="9.9499999999999993" hidden="1" customHeight="1" x14ac:dyDescent="0.2"/>
    <row r="36632" ht="9.9499999999999993" hidden="1" customHeight="1" x14ac:dyDescent="0.2"/>
    <row r="36633" ht="9.9499999999999993" hidden="1" customHeight="1" x14ac:dyDescent="0.2"/>
    <row r="36634" ht="9.9499999999999993" hidden="1" customHeight="1" x14ac:dyDescent="0.2"/>
    <row r="36635" ht="9.9499999999999993" hidden="1" customHeight="1" x14ac:dyDescent="0.2"/>
    <row r="36636" ht="9.9499999999999993" hidden="1" customHeight="1" x14ac:dyDescent="0.2"/>
    <row r="36637" ht="9.9499999999999993" hidden="1" customHeight="1" x14ac:dyDescent="0.2"/>
    <row r="36638" ht="9.9499999999999993" hidden="1" customHeight="1" x14ac:dyDescent="0.2"/>
    <row r="36639" ht="9.9499999999999993" hidden="1" customHeight="1" x14ac:dyDescent="0.2"/>
    <row r="36640" ht="9.9499999999999993" hidden="1" customHeight="1" x14ac:dyDescent="0.2"/>
    <row r="36641" ht="9.9499999999999993" hidden="1" customHeight="1" x14ac:dyDescent="0.2"/>
    <row r="36642" ht="9.9499999999999993" hidden="1" customHeight="1" x14ac:dyDescent="0.2"/>
    <row r="36643" ht="9.9499999999999993" hidden="1" customHeight="1" x14ac:dyDescent="0.2"/>
    <row r="36644" ht="9.9499999999999993" hidden="1" customHeight="1" x14ac:dyDescent="0.2"/>
    <row r="36645" ht="9.9499999999999993" hidden="1" customHeight="1" x14ac:dyDescent="0.2"/>
    <row r="36646" ht="9.9499999999999993" hidden="1" customHeight="1" x14ac:dyDescent="0.2"/>
    <row r="36647" ht="9.9499999999999993" hidden="1" customHeight="1" x14ac:dyDescent="0.2"/>
    <row r="36648" ht="9.9499999999999993" hidden="1" customHeight="1" x14ac:dyDescent="0.2"/>
    <row r="36649" ht="9.9499999999999993" hidden="1" customHeight="1" x14ac:dyDescent="0.2"/>
    <row r="36650" ht="9.9499999999999993" hidden="1" customHeight="1" x14ac:dyDescent="0.2"/>
    <row r="36651" ht="9.9499999999999993" hidden="1" customHeight="1" x14ac:dyDescent="0.2"/>
    <row r="36652" ht="9.9499999999999993" hidden="1" customHeight="1" x14ac:dyDescent="0.2"/>
    <row r="36653" ht="9.9499999999999993" hidden="1" customHeight="1" x14ac:dyDescent="0.2"/>
    <row r="36654" ht="9.9499999999999993" hidden="1" customHeight="1" x14ac:dyDescent="0.2"/>
    <row r="36655" ht="9.9499999999999993" hidden="1" customHeight="1" x14ac:dyDescent="0.2"/>
    <row r="36656" ht="9.9499999999999993" hidden="1" customHeight="1" x14ac:dyDescent="0.2"/>
    <row r="36657" ht="9.9499999999999993" hidden="1" customHeight="1" x14ac:dyDescent="0.2"/>
    <row r="36658" ht="9.9499999999999993" hidden="1" customHeight="1" x14ac:dyDescent="0.2"/>
    <row r="36659" ht="9.9499999999999993" hidden="1" customHeight="1" x14ac:dyDescent="0.2"/>
    <row r="36660" ht="9.9499999999999993" hidden="1" customHeight="1" x14ac:dyDescent="0.2"/>
    <row r="36661" ht="9.9499999999999993" hidden="1" customHeight="1" x14ac:dyDescent="0.2"/>
    <row r="36662" ht="9.9499999999999993" hidden="1" customHeight="1" x14ac:dyDescent="0.2"/>
    <row r="36663" ht="9.9499999999999993" hidden="1" customHeight="1" x14ac:dyDescent="0.2"/>
    <row r="36664" ht="9.9499999999999993" hidden="1" customHeight="1" x14ac:dyDescent="0.2"/>
    <row r="36665" ht="9.9499999999999993" hidden="1" customHeight="1" x14ac:dyDescent="0.2"/>
    <row r="36666" ht="9.9499999999999993" hidden="1" customHeight="1" x14ac:dyDescent="0.2"/>
    <row r="36667" ht="9.9499999999999993" hidden="1" customHeight="1" x14ac:dyDescent="0.2"/>
    <row r="36668" ht="9.9499999999999993" hidden="1" customHeight="1" x14ac:dyDescent="0.2"/>
    <row r="36669" ht="9.9499999999999993" hidden="1" customHeight="1" x14ac:dyDescent="0.2"/>
    <row r="36670" ht="9.9499999999999993" hidden="1" customHeight="1" x14ac:dyDescent="0.2"/>
    <row r="36671" ht="9.9499999999999993" hidden="1" customHeight="1" x14ac:dyDescent="0.2"/>
    <row r="36672" ht="9.9499999999999993" hidden="1" customHeight="1" x14ac:dyDescent="0.2"/>
    <row r="36673" ht="9.9499999999999993" hidden="1" customHeight="1" x14ac:dyDescent="0.2"/>
    <row r="36674" ht="9.9499999999999993" hidden="1" customHeight="1" x14ac:dyDescent="0.2"/>
    <row r="36675" ht="9.9499999999999993" hidden="1" customHeight="1" x14ac:dyDescent="0.2"/>
    <row r="36676" ht="9.9499999999999993" hidden="1" customHeight="1" x14ac:dyDescent="0.2"/>
    <row r="36677" ht="9.9499999999999993" hidden="1" customHeight="1" x14ac:dyDescent="0.2"/>
    <row r="36678" ht="9.9499999999999993" hidden="1" customHeight="1" x14ac:dyDescent="0.2"/>
    <row r="36679" ht="9.9499999999999993" hidden="1" customHeight="1" x14ac:dyDescent="0.2"/>
    <row r="36680" ht="9.9499999999999993" hidden="1" customHeight="1" x14ac:dyDescent="0.2"/>
    <row r="36681" ht="9.9499999999999993" hidden="1" customHeight="1" x14ac:dyDescent="0.2"/>
    <row r="36682" ht="9.9499999999999993" hidden="1" customHeight="1" x14ac:dyDescent="0.2"/>
    <row r="36683" ht="9.9499999999999993" hidden="1" customHeight="1" x14ac:dyDescent="0.2"/>
    <row r="36684" ht="9.9499999999999993" hidden="1" customHeight="1" x14ac:dyDescent="0.2"/>
    <row r="36685" ht="9.9499999999999993" hidden="1" customHeight="1" x14ac:dyDescent="0.2"/>
    <row r="36686" ht="9.9499999999999993" hidden="1" customHeight="1" x14ac:dyDescent="0.2"/>
    <row r="36687" ht="9.9499999999999993" hidden="1" customHeight="1" x14ac:dyDescent="0.2"/>
    <row r="36688" ht="9.9499999999999993" hidden="1" customHeight="1" x14ac:dyDescent="0.2"/>
    <row r="36689" ht="9.9499999999999993" hidden="1" customHeight="1" x14ac:dyDescent="0.2"/>
    <row r="36690" ht="9.9499999999999993" hidden="1" customHeight="1" x14ac:dyDescent="0.2"/>
    <row r="36691" ht="9.9499999999999993" hidden="1" customHeight="1" x14ac:dyDescent="0.2"/>
    <row r="36692" ht="9.9499999999999993" hidden="1" customHeight="1" x14ac:dyDescent="0.2"/>
    <row r="36693" ht="9.9499999999999993" hidden="1" customHeight="1" x14ac:dyDescent="0.2"/>
    <row r="36694" ht="9.9499999999999993" hidden="1" customHeight="1" x14ac:dyDescent="0.2"/>
    <row r="36695" ht="9.9499999999999993" hidden="1" customHeight="1" x14ac:dyDescent="0.2"/>
    <row r="36696" ht="9.9499999999999993" hidden="1" customHeight="1" x14ac:dyDescent="0.2"/>
    <row r="36697" ht="9.9499999999999993" hidden="1" customHeight="1" x14ac:dyDescent="0.2"/>
    <row r="36698" ht="9.9499999999999993" hidden="1" customHeight="1" x14ac:dyDescent="0.2"/>
    <row r="36699" ht="9.9499999999999993" hidden="1" customHeight="1" x14ac:dyDescent="0.2"/>
    <row r="36700" ht="9.9499999999999993" hidden="1" customHeight="1" x14ac:dyDescent="0.2"/>
    <row r="36701" ht="9.9499999999999993" hidden="1" customHeight="1" x14ac:dyDescent="0.2"/>
    <row r="36702" ht="9.9499999999999993" hidden="1" customHeight="1" x14ac:dyDescent="0.2"/>
    <row r="36703" ht="9.9499999999999993" hidden="1" customHeight="1" x14ac:dyDescent="0.2"/>
    <row r="36704" ht="9.9499999999999993" hidden="1" customHeight="1" x14ac:dyDescent="0.2"/>
    <row r="36705" ht="9.9499999999999993" hidden="1" customHeight="1" x14ac:dyDescent="0.2"/>
    <row r="36706" ht="9.9499999999999993" hidden="1" customHeight="1" x14ac:dyDescent="0.2"/>
    <row r="36707" ht="9.9499999999999993" hidden="1" customHeight="1" x14ac:dyDescent="0.2"/>
    <row r="36708" ht="9.9499999999999993" hidden="1" customHeight="1" x14ac:dyDescent="0.2"/>
    <row r="36709" ht="9.9499999999999993" hidden="1" customHeight="1" x14ac:dyDescent="0.2"/>
    <row r="36710" ht="9.9499999999999993" hidden="1" customHeight="1" x14ac:dyDescent="0.2"/>
    <row r="36711" ht="9.9499999999999993" hidden="1" customHeight="1" x14ac:dyDescent="0.2"/>
    <row r="36712" ht="9.9499999999999993" hidden="1" customHeight="1" x14ac:dyDescent="0.2"/>
    <row r="36713" ht="9.9499999999999993" hidden="1" customHeight="1" x14ac:dyDescent="0.2"/>
    <row r="36714" ht="9.9499999999999993" hidden="1" customHeight="1" x14ac:dyDescent="0.2"/>
    <row r="36715" ht="9.9499999999999993" hidden="1" customHeight="1" x14ac:dyDescent="0.2"/>
    <row r="36716" ht="9.9499999999999993" hidden="1" customHeight="1" x14ac:dyDescent="0.2"/>
    <row r="36717" ht="9.9499999999999993" hidden="1" customHeight="1" x14ac:dyDescent="0.2"/>
    <row r="36718" ht="9.9499999999999993" hidden="1" customHeight="1" x14ac:dyDescent="0.2"/>
    <row r="36719" ht="9.9499999999999993" hidden="1" customHeight="1" x14ac:dyDescent="0.2"/>
    <row r="36720" ht="9.9499999999999993" hidden="1" customHeight="1" x14ac:dyDescent="0.2"/>
    <row r="36721" ht="9.9499999999999993" hidden="1" customHeight="1" x14ac:dyDescent="0.2"/>
    <row r="36722" ht="9.9499999999999993" hidden="1" customHeight="1" x14ac:dyDescent="0.2"/>
    <row r="36723" ht="9.9499999999999993" hidden="1" customHeight="1" x14ac:dyDescent="0.2"/>
    <row r="36724" ht="9.9499999999999993" hidden="1" customHeight="1" x14ac:dyDescent="0.2"/>
    <row r="36725" ht="9.9499999999999993" hidden="1" customHeight="1" x14ac:dyDescent="0.2"/>
    <row r="36726" ht="9.9499999999999993" hidden="1" customHeight="1" x14ac:dyDescent="0.2"/>
    <row r="36727" ht="9.9499999999999993" hidden="1" customHeight="1" x14ac:dyDescent="0.2"/>
    <row r="36728" ht="9.9499999999999993" hidden="1" customHeight="1" x14ac:dyDescent="0.2"/>
    <row r="36729" ht="9.9499999999999993" hidden="1" customHeight="1" x14ac:dyDescent="0.2"/>
    <row r="36730" ht="9.9499999999999993" hidden="1" customHeight="1" x14ac:dyDescent="0.2"/>
    <row r="36731" ht="9.9499999999999993" hidden="1" customHeight="1" x14ac:dyDescent="0.2"/>
    <row r="36732" ht="9.9499999999999993" hidden="1" customHeight="1" x14ac:dyDescent="0.2"/>
    <row r="36733" ht="9.9499999999999993" hidden="1" customHeight="1" x14ac:dyDescent="0.2"/>
    <row r="36734" ht="9.9499999999999993" hidden="1" customHeight="1" x14ac:dyDescent="0.2"/>
    <row r="36735" ht="9.9499999999999993" hidden="1" customHeight="1" x14ac:dyDescent="0.2"/>
    <row r="36736" ht="9.9499999999999993" hidden="1" customHeight="1" x14ac:dyDescent="0.2"/>
    <row r="36737" ht="9.9499999999999993" hidden="1" customHeight="1" x14ac:dyDescent="0.2"/>
    <row r="36738" ht="9.9499999999999993" hidden="1" customHeight="1" x14ac:dyDescent="0.2"/>
    <row r="36739" ht="9.9499999999999993" hidden="1" customHeight="1" x14ac:dyDescent="0.2"/>
    <row r="36740" ht="9.9499999999999993" hidden="1" customHeight="1" x14ac:dyDescent="0.2"/>
    <row r="36741" ht="9.9499999999999993" hidden="1" customHeight="1" x14ac:dyDescent="0.2"/>
    <row r="36742" ht="9.9499999999999993" hidden="1" customHeight="1" x14ac:dyDescent="0.2"/>
    <row r="36743" ht="9.9499999999999993" hidden="1" customHeight="1" x14ac:dyDescent="0.2"/>
    <row r="36744" ht="9.9499999999999993" hidden="1" customHeight="1" x14ac:dyDescent="0.2"/>
    <row r="36745" ht="9.9499999999999993" hidden="1" customHeight="1" x14ac:dyDescent="0.2"/>
    <row r="36746" ht="9.9499999999999993" hidden="1" customHeight="1" x14ac:dyDescent="0.2"/>
    <row r="36747" ht="9.9499999999999993" hidden="1" customHeight="1" x14ac:dyDescent="0.2"/>
    <row r="36748" ht="9.9499999999999993" hidden="1" customHeight="1" x14ac:dyDescent="0.2"/>
    <row r="36749" ht="9.9499999999999993" hidden="1" customHeight="1" x14ac:dyDescent="0.2"/>
    <row r="36750" ht="9.9499999999999993" hidden="1" customHeight="1" x14ac:dyDescent="0.2"/>
    <row r="36751" ht="9.9499999999999993" hidden="1" customHeight="1" x14ac:dyDescent="0.2"/>
    <row r="36752" ht="9.9499999999999993" hidden="1" customHeight="1" x14ac:dyDescent="0.2"/>
    <row r="36753" ht="9.9499999999999993" hidden="1" customHeight="1" x14ac:dyDescent="0.2"/>
    <row r="36754" ht="9.9499999999999993" hidden="1" customHeight="1" x14ac:dyDescent="0.2"/>
    <row r="36755" ht="9.9499999999999993" hidden="1" customHeight="1" x14ac:dyDescent="0.2"/>
    <row r="36756" ht="9.9499999999999993" hidden="1" customHeight="1" x14ac:dyDescent="0.2"/>
    <row r="36757" ht="9.9499999999999993" hidden="1" customHeight="1" x14ac:dyDescent="0.2"/>
    <row r="36758" ht="9.9499999999999993" hidden="1" customHeight="1" x14ac:dyDescent="0.2"/>
    <row r="36759" ht="9.9499999999999993" hidden="1" customHeight="1" x14ac:dyDescent="0.2"/>
    <row r="36760" ht="9.9499999999999993" hidden="1" customHeight="1" x14ac:dyDescent="0.2"/>
    <row r="36761" ht="9.9499999999999993" hidden="1" customHeight="1" x14ac:dyDescent="0.2"/>
    <row r="36762" ht="9.9499999999999993" hidden="1" customHeight="1" x14ac:dyDescent="0.2"/>
    <row r="36763" ht="9.9499999999999993" hidden="1" customHeight="1" x14ac:dyDescent="0.2"/>
    <row r="36764" ht="9.9499999999999993" hidden="1" customHeight="1" x14ac:dyDescent="0.2"/>
    <row r="36765" ht="9.9499999999999993" hidden="1" customHeight="1" x14ac:dyDescent="0.2"/>
    <row r="36766" ht="9.9499999999999993" hidden="1" customHeight="1" x14ac:dyDescent="0.2"/>
    <row r="36767" ht="9.9499999999999993" hidden="1" customHeight="1" x14ac:dyDescent="0.2"/>
    <row r="36768" ht="9.9499999999999993" hidden="1" customHeight="1" x14ac:dyDescent="0.2"/>
    <row r="36769" ht="9.9499999999999993" hidden="1" customHeight="1" x14ac:dyDescent="0.2"/>
    <row r="36770" ht="9.9499999999999993" hidden="1" customHeight="1" x14ac:dyDescent="0.2"/>
    <row r="36771" ht="9.9499999999999993" hidden="1" customHeight="1" x14ac:dyDescent="0.2"/>
    <row r="36772" ht="9.9499999999999993" hidden="1" customHeight="1" x14ac:dyDescent="0.2"/>
    <row r="36773" ht="9.9499999999999993" hidden="1" customHeight="1" x14ac:dyDescent="0.2"/>
    <row r="36774" ht="9.9499999999999993" hidden="1" customHeight="1" x14ac:dyDescent="0.2"/>
    <row r="36775" ht="9.9499999999999993" hidden="1" customHeight="1" x14ac:dyDescent="0.2"/>
    <row r="36776" ht="9.9499999999999993" hidden="1" customHeight="1" x14ac:dyDescent="0.2"/>
    <row r="36777" ht="9.9499999999999993" hidden="1" customHeight="1" x14ac:dyDescent="0.2"/>
    <row r="36778" ht="9.9499999999999993" hidden="1" customHeight="1" x14ac:dyDescent="0.2"/>
    <row r="36779" ht="9.9499999999999993" hidden="1" customHeight="1" x14ac:dyDescent="0.2"/>
    <row r="36780" ht="9.9499999999999993" hidden="1" customHeight="1" x14ac:dyDescent="0.2"/>
    <row r="36781" ht="9.9499999999999993" hidden="1" customHeight="1" x14ac:dyDescent="0.2"/>
    <row r="36782" ht="9.9499999999999993" hidden="1" customHeight="1" x14ac:dyDescent="0.2"/>
    <row r="36783" ht="9.9499999999999993" hidden="1" customHeight="1" x14ac:dyDescent="0.2"/>
    <row r="36784" ht="9.9499999999999993" hidden="1" customHeight="1" x14ac:dyDescent="0.2"/>
    <row r="36785" ht="9.9499999999999993" hidden="1" customHeight="1" x14ac:dyDescent="0.2"/>
    <row r="36786" ht="9.9499999999999993" hidden="1" customHeight="1" x14ac:dyDescent="0.2"/>
    <row r="36787" ht="9.9499999999999993" hidden="1" customHeight="1" x14ac:dyDescent="0.2"/>
    <row r="36788" ht="9.9499999999999993" hidden="1" customHeight="1" x14ac:dyDescent="0.2"/>
    <row r="36789" ht="9.9499999999999993" hidden="1" customHeight="1" x14ac:dyDescent="0.2"/>
    <row r="36790" ht="9.9499999999999993" hidden="1" customHeight="1" x14ac:dyDescent="0.2"/>
    <row r="36791" ht="9.9499999999999993" hidden="1" customHeight="1" x14ac:dyDescent="0.2"/>
    <row r="36792" ht="9.9499999999999993" hidden="1" customHeight="1" x14ac:dyDescent="0.2"/>
    <row r="36793" ht="9.9499999999999993" hidden="1" customHeight="1" x14ac:dyDescent="0.2"/>
    <row r="36794" ht="9.9499999999999993" hidden="1" customHeight="1" x14ac:dyDescent="0.2"/>
    <row r="36795" ht="9.9499999999999993" hidden="1" customHeight="1" x14ac:dyDescent="0.2"/>
    <row r="36796" ht="9.9499999999999993" hidden="1" customHeight="1" x14ac:dyDescent="0.2"/>
    <row r="36797" ht="9.9499999999999993" hidden="1" customHeight="1" x14ac:dyDescent="0.2"/>
    <row r="36798" ht="9.9499999999999993" hidden="1" customHeight="1" x14ac:dyDescent="0.2"/>
    <row r="36799" ht="9.9499999999999993" hidden="1" customHeight="1" x14ac:dyDescent="0.2"/>
    <row r="36800" ht="9.9499999999999993" hidden="1" customHeight="1" x14ac:dyDescent="0.2"/>
    <row r="36801" ht="9.9499999999999993" hidden="1" customHeight="1" x14ac:dyDescent="0.2"/>
    <row r="36802" ht="9.9499999999999993" hidden="1" customHeight="1" x14ac:dyDescent="0.2"/>
    <row r="36803" ht="9.9499999999999993" hidden="1" customHeight="1" x14ac:dyDescent="0.2"/>
    <row r="36804" ht="9.9499999999999993" hidden="1" customHeight="1" x14ac:dyDescent="0.2"/>
    <row r="36805" ht="9.9499999999999993" hidden="1" customHeight="1" x14ac:dyDescent="0.2"/>
    <row r="36806" ht="9.9499999999999993" hidden="1" customHeight="1" x14ac:dyDescent="0.2"/>
    <row r="36807" ht="9.9499999999999993" hidden="1" customHeight="1" x14ac:dyDescent="0.2"/>
    <row r="36808" ht="9.9499999999999993" hidden="1" customHeight="1" x14ac:dyDescent="0.2"/>
    <row r="36809" ht="9.9499999999999993" hidden="1" customHeight="1" x14ac:dyDescent="0.2"/>
    <row r="36810" ht="9.9499999999999993" hidden="1" customHeight="1" x14ac:dyDescent="0.2"/>
    <row r="36811" ht="9.9499999999999993" hidden="1" customHeight="1" x14ac:dyDescent="0.2"/>
    <row r="36812" ht="9.9499999999999993" hidden="1" customHeight="1" x14ac:dyDescent="0.2"/>
    <row r="36813" ht="9.9499999999999993" hidden="1" customHeight="1" x14ac:dyDescent="0.2"/>
    <row r="36814" ht="9.9499999999999993" hidden="1" customHeight="1" x14ac:dyDescent="0.2"/>
    <row r="36815" ht="9.9499999999999993" hidden="1" customHeight="1" x14ac:dyDescent="0.2"/>
    <row r="36816" ht="9.9499999999999993" hidden="1" customHeight="1" x14ac:dyDescent="0.2"/>
    <row r="36817" ht="9.9499999999999993" hidden="1" customHeight="1" x14ac:dyDescent="0.2"/>
    <row r="36818" ht="9.9499999999999993" hidden="1" customHeight="1" x14ac:dyDescent="0.2"/>
    <row r="36819" ht="9.9499999999999993" hidden="1" customHeight="1" x14ac:dyDescent="0.2"/>
    <row r="36820" ht="9.9499999999999993" hidden="1" customHeight="1" x14ac:dyDescent="0.2"/>
    <row r="36821" ht="9.9499999999999993" hidden="1" customHeight="1" x14ac:dyDescent="0.2"/>
    <row r="36822" ht="9.9499999999999993" hidden="1" customHeight="1" x14ac:dyDescent="0.2"/>
    <row r="36823" ht="9.9499999999999993" hidden="1" customHeight="1" x14ac:dyDescent="0.2"/>
    <row r="36824" ht="9.9499999999999993" hidden="1" customHeight="1" x14ac:dyDescent="0.2"/>
    <row r="36825" ht="9.9499999999999993" hidden="1" customHeight="1" x14ac:dyDescent="0.2"/>
    <row r="36826" ht="9.9499999999999993" hidden="1" customHeight="1" x14ac:dyDescent="0.2"/>
    <row r="36827" ht="9.9499999999999993" hidden="1" customHeight="1" x14ac:dyDescent="0.2"/>
    <row r="36828" ht="9.9499999999999993" hidden="1" customHeight="1" x14ac:dyDescent="0.2"/>
    <row r="36829" ht="9.9499999999999993" hidden="1" customHeight="1" x14ac:dyDescent="0.2"/>
    <row r="36830" ht="9.9499999999999993" hidden="1" customHeight="1" x14ac:dyDescent="0.2"/>
    <row r="36831" ht="9.9499999999999993" hidden="1" customHeight="1" x14ac:dyDescent="0.2"/>
    <row r="36832" ht="9.9499999999999993" hidden="1" customHeight="1" x14ac:dyDescent="0.2"/>
    <row r="36833" ht="9.9499999999999993" hidden="1" customHeight="1" x14ac:dyDescent="0.2"/>
    <row r="36834" ht="9.9499999999999993" hidden="1" customHeight="1" x14ac:dyDescent="0.2"/>
    <row r="36835" ht="9.9499999999999993" hidden="1" customHeight="1" x14ac:dyDescent="0.2"/>
    <row r="36836" ht="9.9499999999999993" hidden="1" customHeight="1" x14ac:dyDescent="0.2"/>
    <row r="36837" ht="9.9499999999999993" hidden="1" customHeight="1" x14ac:dyDescent="0.2"/>
    <row r="36838" ht="9.9499999999999993" hidden="1" customHeight="1" x14ac:dyDescent="0.2"/>
    <row r="36839" ht="9.9499999999999993" hidden="1" customHeight="1" x14ac:dyDescent="0.2"/>
    <row r="36840" ht="9.9499999999999993" hidden="1" customHeight="1" x14ac:dyDescent="0.2"/>
    <row r="36841" ht="9.9499999999999993" hidden="1" customHeight="1" x14ac:dyDescent="0.2"/>
    <row r="36842" ht="9.9499999999999993" hidden="1" customHeight="1" x14ac:dyDescent="0.2"/>
    <row r="36843" ht="9.9499999999999993" hidden="1" customHeight="1" x14ac:dyDescent="0.2"/>
    <row r="36844" ht="9.9499999999999993" hidden="1" customHeight="1" x14ac:dyDescent="0.2"/>
    <row r="36845" ht="9.9499999999999993" hidden="1" customHeight="1" x14ac:dyDescent="0.2"/>
    <row r="36846" ht="9.9499999999999993" hidden="1" customHeight="1" x14ac:dyDescent="0.2"/>
    <row r="36847" ht="9.9499999999999993" hidden="1" customHeight="1" x14ac:dyDescent="0.2"/>
    <row r="36848" ht="9.9499999999999993" hidden="1" customHeight="1" x14ac:dyDescent="0.2"/>
    <row r="36849" ht="9.9499999999999993" hidden="1" customHeight="1" x14ac:dyDescent="0.2"/>
    <row r="36850" ht="9.9499999999999993" hidden="1" customHeight="1" x14ac:dyDescent="0.2"/>
    <row r="36851" ht="9.9499999999999993" hidden="1" customHeight="1" x14ac:dyDescent="0.2"/>
    <row r="36852" ht="9.9499999999999993" hidden="1" customHeight="1" x14ac:dyDescent="0.2"/>
    <row r="36853" ht="9.9499999999999993" hidden="1" customHeight="1" x14ac:dyDescent="0.2"/>
    <row r="36854" ht="9.9499999999999993" hidden="1" customHeight="1" x14ac:dyDescent="0.2"/>
    <row r="36855" ht="9.9499999999999993" hidden="1" customHeight="1" x14ac:dyDescent="0.2"/>
    <row r="36856" ht="9.9499999999999993" hidden="1" customHeight="1" x14ac:dyDescent="0.2"/>
    <row r="36857" ht="9.9499999999999993" hidden="1" customHeight="1" x14ac:dyDescent="0.2"/>
    <row r="36858" ht="9.9499999999999993" hidden="1" customHeight="1" x14ac:dyDescent="0.2"/>
    <row r="36859" ht="9.9499999999999993" hidden="1" customHeight="1" x14ac:dyDescent="0.2"/>
    <row r="36860" ht="9.9499999999999993" hidden="1" customHeight="1" x14ac:dyDescent="0.2"/>
    <row r="36861" ht="9.9499999999999993" hidden="1" customHeight="1" x14ac:dyDescent="0.2"/>
    <row r="36862" ht="9.9499999999999993" hidden="1" customHeight="1" x14ac:dyDescent="0.2"/>
    <row r="36863" ht="9.9499999999999993" hidden="1" customHeight="1" x14ac:dyDescent="0.2"/>
    <row r="36864" ht="9.9499999999999993" hidden="1" customHeight="1" x14ac:dyDescent="0.2"/>
    <row r="36865" ht="9.9499999999999993" hidden="1" customHeight="1" x14ac:dyDescent="0.2"/>
    <row r="36866" ht="9.9499999999999993" hidden="1" customHeight="1" x14ac:dyDescent="0.2"/>
    <row r="36867" ht="9.9499999999999993" hidden="1" customHeight="1" x14ac:dyDescent="0.2"/>
    <row r="36868" ht="9.9499999999999993" hidden="1" customHeight="1" x14ac:dyDescent="0.2"/>
    <row r="36869" ht="9.9499999999999993" hidden="1" customHeight="1" x14ac:dyDescent="0.2"/>
    <row r="36870" ht="9.9499999999999993" hidden="1" customHeight="1" x14ac:dyDescent="0.2"/>
    <row r="36871" ht="9.9499999999999993" hidden="1" customHeight="1" x14ac:dyDescent="0.2"/>
    <row r="36872" ht="9.9499999999999993" hidden="1" customHeight="1" x14ac:dyDescent="0.2"/>
    <row r="36873" ht="9.9499999999999993" hidden="1" customHeight="1" x14ac:dyDescent="0.2"/>
    <row r="36874" ht="9.9499999999999993" hidden="1" customHeight="1" x14ac:dyDescent="0.2"/>
    <row r="36875" ht="9.9499999999999993" hidden="1" customHeight="1" x14ac:dyDescent="0.2"/>
    <row r="36876" ht="9.9499999999999993" hidden="1" customHeight="1" x14ac:dyDescent="0.2"/>
    <row r="36877" ht="9.9499999999999993" hidden="1" customHeight="1" x14ac:dyDescent="0.2"/>
    <row r="36878" ht="9.9499999999999993" hidden="1" customHeight="1" x14ac:dyDescent="0.2"/>
    <row r="36879" ht="9.9499999999999993" hidden="1" customHeight="1" x14ac:dyDescent="0.2"/>
    <row r="36880" ht="9.9499999999999993" hidden="1" customHeight="1" x14ac:dyDescent="0.2"/>
    <row r="36881" ht="9.9499999999999993" hidden="1" customHeight="1" x14ac:dyDescent="0.2"/>
    <row r="36882" ht="9.9499999999999993" hidden="1" customHeight="1" x14ac:dyDescent="0.2"/>
    <row r="36883" ht="9.9499999999999993" hidden="1" customHeight="1" x14ac:dyDescent="0.2"/>
    <row r="36884" ht="9.9499999999999993" hidden="1" customHeight="1" x14ac:dyDescent="0.2"/>
    <row r="36885" ht="9.9499999999999993" hidden="1" customHeight="1" x14ac:dyDescent="0.2"/>
    <row r="36886" ht="9.9499999999999993" hidden="1" customHeight="1" x14ac:dyDescent="0.2"/>
    <row r="36887" ht="9.9499999999999993" hidden="1" customHeight="1" x14ac:dyDescent="0.2"/>
    <row r="36888" ht="9.9499999999999993" hidden="1" customHeight="1" x14ac:dyDescent="0.2"/>
    <row r="36889" ht="9.9499999999999993" hidden="1" customHeight="1" x14ac:dyDescent="0.2"/>
    <row r="36890" ht="9.9499999999999993" hidden="1" customHeight="1" x14ac:dyDescent="0.2"/>
    <row r="36891" ht="9.9499999999999993" hidden="1" customHeight="1" x14ac:dyDescent="0.2"/>
    <row r="36892" ht="9.9499999999999993" hidden="1" customHeight="1" x14ac:dyDescent="0.2"/>
    <row r="36893" ht="9.9499999999999993" hidden="1" customHeight="1" x14ac:dyDescent="0.2"/>
    <row r="36894" ht="9.9499999999999993" hidden="1" customHeight="1" x14ac:dyDescent="0.2"/>
    <row r="36895" ht="9.9499999999999993" hidden="1" customHeight="1" x14ac:dyDescent="0.2"/>
    <row r="36896" ht="9.9499999999999993" hidden="1" customHeight="1" x14ac:dyDescent="0.2"/>
    <row r="36897" ht="9.9499999999999993" hidden="1" customHeight="1" x14ac:dyDescent="0.2"/>
    <row r="36898" ht="9.9499999999999993" hidden="1" customHeight="1" x14ac:dyDescent="0.2"/>
    <row r="36899" ht="9.9499999999999993" hidden="1" customHeight="1" x14ac:dyDescent="0.2"/>
    <row r="36900" ht="9.9499999999999993" hidden="1" customHeight="1" x14ac:dyDescent="0.2"/>
    <row r="36901" ht="9.9499999999999993" hidden="1" customHeight="1" x14ac:dyDescent="0.2"/>
    <row r="36902" ht="9.9499999999999993" hidden="1" customHeight="1" x14ac:dyDescent="0.2"/>
    <row r="36903" ht="9.9499999999999993" hidden="1" customHeight="1" x14ac:dyDescent="0.2"/>
    <row r="36904" ht="9.9499999999999993" hidden="1" customHeight="1" x14ac:dyDescent="0.2"/>
    <row r="36905" ht="9.9499999999999993" hidden="1" customHeight="1" x14ac:dyDescent="0.2"/>
    <row r="36906" ht="9.9499999999999993" hidden="1" customHeight="1" x14ac:dyDescent="0.2"/>
    <row r="36907" ht="9.9499999999999993" hidden="1" customHeight="1" x14ac:dyDescent="0.2"/>
    <row r="36908" ht="9.9499999999999993" hidden="1" customHeight="1" x14ac:dyDescent="0.2"/>
    <row r="36909" ht="9.9499999999999993" hidden="1" customHeight="1" x14ac:dyDescent="0.2"/>
    <row r="36910" ht="9.9499999999999993" hidden="1" customHeight="1" x14ac:dyDescent="0.2"/>
    <row r="36911" ht="9.9499999999999993" hidden="1" customHeight="1" x14ac:dyDescent="0.2"/>
    <row r="36912" ht="9.9499999999999993" hidden="1" customHeight="1" x14ac:dyDescent="0.2"/>
    <row r="36913" ht="9.9499999999999993" hidden="1" customHeight="1" x14ac:dyDescent="0.2"/>
    <row r="36914" ht="9.9499999999999993" hidden="1" customHeight="1" x14ac:dyDescent="0.2"/>
    <row r="36915" ht="9.9499999999999993" hidden="1" customHeight="1" x14ac:dyDescent="0.2"/>
    <row r="36916" ht="9.9499999999999993" hidden="1" customHeight="1" x14ac:dyDescent="0.2"/>
    <row r="36917" ht="9.9499999999999993" hidden="1" customHeight="1" x14ac:dyDescent="0.2"/>
    <row r="36918" ht="9.9499999999999993" hidden="1" customHeight="1" x14ac:dyDescent="0.2"/>
    <row r="36919" ht="9.9499999999999993" hidden="1" customHeight="1" x14ac:dyDescent="0.2"/>
    <row r="36920" ht="9.9499999999999993" hidden="1" customHeight="1" x14ac:dyDescent="0.2"/>
    <row r="36921" ht="9.9499999999999993" hidden="1" customHeight="1" x14ac:dyDescent="0.2"/>
    <row r="36922" ht="9.9499999999999993" hidden="1" customHeight="1" x14ac:dyDescent="0.2"/>
    <row r="36923" ht="9.9499999999999993" hidden="1" customHeight="1" x14ac:dyDescent="0.2"/>
    <row r="36924" ht="9.9499999999999993" hidden="1" customHeight="1" x14ac:dyDescent="0.2"/>
    <row r="36925" ht="9.9499999999999993" hidden="1" customHeight="1" x14ac:dyDescent="0.2"/>
    <row r="36926" ht="9.9499999999999993" hidden="1" customHeight="1" x14ac:dyDescent="0.2"/>
    <row r="36927" ht="9.9499999999999993" hidden="1" customHeight="1" x14ac:dyDescent="0.2"/>
    <row r="36928" ht="9.9499999999999993" hidden="1" customHeight="1" x14ac:dyDescent="0.2"/>
    <row r="36929" ht="9.9499999999999993" hidden="1" customHeight="1" x14ac:dyDescent="0.2"/>
    <row r="36930" ht="9.9499999999999993" hidden="1" customHeight="1" x14ac:dyDescent="0.2"/>
    <row r="36931" ht="9.9499999999999993" hidden="1" customHeight="1" x14ac:dyDescent="0.2"/>
    <row r="36932" ht="9.9499999999999993" hidden="1" customHeight="1" x14ac:dyDescent="0.2"/>
    <row r="36933" ht="9.9499999999999993" hidden="1" customHeight="1" x14ac:dyDescent="0.2"/>
    <row r="36934" ht="9.9499999999999993" hidden="1" customHeight="1" x14ac:dyDescent="0.2"/>
    <row r="36935" ht="9.9499999999999993" hidden="1" customHeight="1" x14ac:dyDescent="0.2"/>
    <row r="36936" ht="9.9499999999999993" hidden="1" customHeight="1" x14ac:dyDescent="0.2"/>
    <row r="36937" ht="9.9499999999999993" hidden="1" customHeight="1" x14ac:dyDescent="0.2"/>
    <row r="36938" ht="9.9499999999999993" hidden="1" customHeight="1" x14ac:dyDescent="0.2"/>
    <row r="36939" ht="9.9499999999999993" hidden="1" customHeight="1" x14ac:dyDescent="0.2"/>
    <row r="36940" ht="9.9499999999999993" hidden="1" customHeight="1" x14ac:dyDescent="0.2"/>
    <row r="36941" ht="9.9499999999999993" hidden="1" customHeight="1" x14ac:dyDescent="0.2"/>
    <row r="36942" ht="9.9499999999999993" hidden="1" customHeight="1" x14ac:dyDescent="0.2"/>
    <row r="36943" ht="9.9499999999999993" hidden="1" customHeight="1" x14ac:dyDescent="0.2"/>
    <row r="36944" ht="9.9499999999999993" hidden="1" customHeight="1" x14ac:dyDescent="0.2"/>
    <row r="36945" ht="9.9499999999999993" hidden="1" customHeight="1" x14ac:dyDescent="0.2"/>
    <row r="36946" ht="9.9499999999999993" hidden="1" customHeight="1" x14ac:dyDescent="0.2"/>
    <row r="36947" ht="9.9499999999999993" hidden="1" customHeight="1" x14ac:dyDescent="0.2"/>
    <row r="36948" ht="9.9499999999999993" hidden="1" customHeight="1" x14ac:dyDescent="0.2"/>
    <row r="36949" ht="9.9499999999999993" hidden="1" customHeight="1" x14ac:dyDescent="0.2"/>
    <row r="36950" ht="9.9499999999999993" hidden="1" customHeight="1" x14ac:dyDescent="0.2"/>
    <row r="36951" ht="9.9499999999999993" hidden="1" customHeight="1" x14ac:dyDescent="0.2"/>
    <row r="36952" ht="9.9499999999999993" hidden="1" customHeight="1" x14ac:dyDescent="0.2"/>
    <row r="36953" ht="9.9499999999999993" hidden="1" customHeight="1" x14ac:dyDescent="0.2"/>
    <row r="36954" ht="9.9499999999999993" hidden="1" customHeight="1" x14ac:dyDescent="0.2"/>
    <row r="36955" ht="9.9499999999999993" hidden="1" customHeight="1" x14ac:dyDescent="0.2"/>
    <row r="36956" ht="9.9499999999999993" hidden="1" customHeight="1" x14ac:dyDescent="0.2"/>
    <row r="36957" ht="9.9499999999999993" hidden="1" customHeight="1" x14ac:dyDescent="0.2"/>
    <row r="36958" ht="9.9499999999999993" hidden="1" customHeight="1" x14ac:dyDescent="0.2"/>
    <row r="36959" ht="9.9499999999999993" hidden="1" customHeight="1" x14ac:dyDescent="0.2"/>
    <row r="36960" ht="9.9499999999999993" hidden="1" customHeight="1" x14ac:dyDescent="0.2"/>
    <row r="36961" ht="9.9499999999999993" hidden="1" customHeight="1" x14ac:dyDescent="0.2"/>
    <row r="36962" ht="9.9499999999999993" hidden="1" customHeight="1" x14ac:dyDescent="0.2"/>
    <row r="36963" ht="9.9499999999999993" hidden="1" customHeight="1" x14ac:dyDescent="0.2"/>
    <row r="36964" ht="9.9499999999999993" hidden="1" customHeight="1" x14ac:dyDescent="0.2"/>
    <row r="36965" ht="9.9499999999999993" hidden="1" customHeight="1" x14ac:dyDescent="0.2"/>
    <row r="36966" ht="9.9499999999999993" hidden="1" customHeight="1" x14ac:dyDescent="0.2"/>
    <row r="36967" ht="9.9499999999999993" hidden="1" customHeight="1" x14ac:dyDescent="0.2"/>
    <row r="36968" ht="9.9499999999999993" hidden="1" customHeight="1" x14ac:dyDescent="0.2"/>
    <row r="36969" ht="9.9499999999999993" hidden="1" customHeight="1" x14ac:dyDescent="0.2"/>
    <row r="36970" ht="9.9499999999999993" hidden="1" customHeight="1" x14ac:dyDescent="0.2"/>
    <row r="36971" ht="9.9499999999999993" hidden="1" customHeight="1" x14ac:dyDescent="0.2"/>
    <row r="36972" ht="9.9499999999999993" hidden="1" customHeight="1" x14ac:dyDescent="0.2"/>
    <row r="36973" ht="9.9499999999999993" hidden="1" customHeight="1" x14ac:dyDescent="0.2"/>
    <row r="36974" ht="9.9499999999999993" hidden="1" customHeight="1" x14ac:dyDescent="0.2"/>
    <row r="36975" ht="9.9499999999999993" hidden="1" customHeight="1" x14ac:dyDescent="0.2"/>
    <row r="36976" ht="9.9499999999999993" hidden="1" customHeight="1" x14ac:dyDescent="0.2"/>
    <row r="36977" ht="9.9499999999999993" hidden="1" customHeight="1" x14ac:dyDescent="0.2"/>
    <row r="36978" ht="9.9499999999999993" hidden="1" customHeight="1" x14ac:dyDescent="0.2"/>
    <row r="36979" ht="9.9499999999999993" hidden="1" customHeight="1" x14ac:dyDescent="0.2"/>
    <row r="36980" ht="9.9499999999999993" hidden="1" customHeight="1" x14ac:dyDescent="0.2"/>
    <row r="36981" ht="9.9499999999999993" hidden="1" customHeight="1" x14ac:dyDescent="0.2"/>
    <row r="36982" ht="9.9499999999999993" hidden="1" customHeight="1" x14ac:dyDescent="0.2"/>
    <row r="36983" ht="9.9499999999999993" hidden="1" customHeight="1" x14ac:dyDescent="0.2"/>
    <row r="36984" ht="9.9499999999999993" hidden="1" customHeight="1" x14ac:dyDescent="0.2"/>
    <row r="36985" ht="9.9499999999999993" hidden="1" customHeight="1" x14ac:dyDescent="0.2"/>
    <row r="36986" ht="9.9499999999999993" hidden="1" customHeight="1" x14ac:dyDescent="0.2"/>
    <row r="36987" ht="9.9499999999999993" hidden="1" customHeight="1" x14ac:dyDescent="0.2"/>
    <row r="36988" ht="9.9499999999999993" hidden="1" customHeight="1" x14ac:dyDescent="0.2"/>
    <row r="36989" ht="9.9499999999999993" hidden="1" customHeight="1" x14ac:dyDescent="0.2"/>
    <row r="36990" ht="9.9499999999999993" hidden="1" customHeight="1" x14ac:dyDescent="0.2"/>
    <row r="36991" ht="9.9499999999999993" hidden="1" customHeight="1" x14ac:dyDescent="0.2"/>
    <row r="36992" ht="9.9499999999999993" hidden="1" customHeight="1" x14ac:dyDescent="0.2"/>
    <row r="36993" ht="9.9499999999999993" hidden="1" customHeight="1" x14ac:dyDescent="0.2"/>
    <row r="36994" ht="9.9499999999999993" hidden="1" customHeight="1" x14ac:dyDescent="0.2"/>
    <row r="36995" ht="9.9499999999999993" hidden="1" customHeight="1" x14ac:dyDescent="0.2"/>
    <row r="36996" ht="9.9499999999999993" hidden="1" customHeight="1" x14ac:dyDescent="0.2"/>
    <row r="36997" ht="9.9499999999999993" hidden="1" customHeight="1" x14ac:dyDescent="0.2"/>
    <row r="36998" ht="9.9499999999999993" hidden="1" customHeight="1" x14ac:dyDescent="0.2"/>
    <row r="36999" ht="9.9499999999999993" hidden="1" customHeight="1" x14ac:dyDescent="0.2"/>
    <row r="37000" ht="9.9499999999999993" hidden="1" customHeight="1" x14ac:dyDescent="0.2"/>
    <row r="37001" ht="9.9499999999999993" hidden="1" customHeight="1" x14ac:dyDescent="0.2"/>
    <row r="37002" ht="9.9499999999999993" hidden="1" customHeight="1" x14ac:dyDescent="0.2"/>
    <row r="37003" ht="9.9499999999999993" hidden="1" customHeight="1" x14ac:dyDescent="0.2"/>
    <row r="37004" ht="9.9499999999999993" hidden="1" customHeight="1" x14ac:dyDescent="0.2"/>
    <row r="37005" ht="9.9499999999999993" hidden="1" customHeight="1" x14ac:dyDescent="0.2"/>
    <row r="37006" ht="9.9499999999999993" hidden="1" customHeight="1" x14ac:dyDescent="0.2"/>
    <row r="37007" ht="9.9499999999999993" hidden="1" customHeight="1" x14ac:dyDescent="0.2"/>
    <row r="37008" ht="9.9499999999999993" hidden="1" customHeight="1" x14ac:dyDescent="0.2"/>
    <row r="37009" ht="9.9499999999999993" hidden="1" customHeight="1" x14ac:dyDescent="0.2"/>
    <row r="37010" ht="9.9499999999999993" hidden="1" customHeight="1" x14ac:dyDescent="0.2"/>
    <row r="37011" ht="9.9499999999999993" hidden="1" customHeight="1" x14ac:dyDescent="0.2"/>
    <row r="37012" ht="9.9499999999999993" hidden="1" customHeight="1" x14ac:dyDescent="0.2"/>
    <row r="37013" ht="9.9499999999999993" hidden="1" customHeight="1" x14ac:dyDescent="0.2"/>
    <row r="37014" ht="9.9499999999999993" hidden="1" customHeight="1" x14ac:dyDescent="0.2"/>
    <row r="37015" ht="9.9499999999999993" hidden="1" customHeight="1" x14ac:dyDescent="0.2"/>
    <row r="37016" ht="9.9499999999999993" hidden="1" customHeight="1" x14ac:dyDescent="0.2"/>
    <row r="37017" ht="9.9499999999999993" hidden="1" customHeight="1" x14ac:dyDescent="0.2"/>
    <row r="37018" ht="9.9499999999999993" hidden="1" customHeight="1" x14ac:dyDescent="0.2"/>
    <row r="37019" ht="9.9499999999999993" hidden="1" customHeight="1" x14ac:dyDescent="0.2"/>
    <row r="37020" ht="9.9499999999999993" hidden="1" customHeight="1" x14ac:dyDescent="0.2"/>
    <row r="37021" ht="9.9499999999999993" hidden="1" customHeight="1" x14ac:dyDescent="0.2"/>
    <row r="37022" ht="9.9499999999999993" hidden="1" customHeight="1" x14ac:dyDescent="0.2"/>
    <row r="37023" ht="9.9499999999999993" hidden="1" customHeight="1" x14ac:dyDescent="0.2"/>
    <row r="37024" ht="9.9499999999999993" hidden="1" customHeight="1" x14ac:dyDescent="0.2"/>
    <row r="37025" ht="9.9499999999999993" hidden="1" customHeight="1" x14ac:dyDescent="0.2"/>
    <row r="37026" ht="9.9499999999999993" hidden="1" customHeight="1" x14ac:dyDescent="0.2"/>
    <row r="37027" ht="9.9499999999999993" hidden="1" customHeight="1" x14ac:dyDescent="0.2"/>
    <row r="37028" ht="9.9499999999999993" hidden="1" customHeight="1" x14ac:dyDescent="0.2"/>
    <row r="37029" ht="9.9499999999999993" hidden="1" customHeight="1" x14ac:dyDescent="0.2"/>
    <row r="37030" ht="9.9499999999999993" hidden="1" customHeight="1" x14ac:dyDescent="0.2"/>
    <row r="37031" ht="9.9499999999999993" hidden="1" customHeight="1" x14ac:dyDescent="0.2"/>
    <row r="37032" ht="9.9499999999999993" hidden="1" customHeight="1" x14ac:dyDescent="0.2"/>
    <row r="37033" ht="9.9499999999999993" hidden="1" customHeight="1" x14ac:dyDescent="0.2"/>
    <row r="37034" ht="9.9499999999999993" hidden="1" customHeight="1" x14ac:dyDescent="0.2"/>
    <row r="37035" ht="9.9499999999999993" hidden="1" customHeight="1" x14ac:dyDescent="0.2"/>
    <row r="37036" ht="9.9499999999999993" hidden="1" customHeight="1" x14ac:dyDescent="0.2"/>
    <row r="37037" ht="9.9499999999999993" hidden="1" customHeight="1" x14ac:dyDescent="0.2"/>
    <row r="37038" ht="9.9499999999999993" hidden="1" customHeight="1" x14ac:dyDescent="0.2"/>
    <row r="37039" ht="9.9499999999999993" hidden="1" customHeight="1" x14ac:dyDescent="0.2"/>
    <row r="37040" ht="9.9499999999999993" hidden="1" customHeight="1" x14ac:dyDescent="0.2"/>
    <row r="37041" ht="9.9499999999999993" hidden="1" customHeight="1" x14ac:dyDescent="0.2"/>
    <row r="37042" ht="9.9499999999999993" hidden="1" customHeight="1" x14ac:dyDescent="0.2"/>
    <row r="37043" ht="9.9499999999999993" hidden="1" customHeight="1" x14ac:dyDescent="0.2"/>
    <row r="37044" ht="9.9499999999999993" hidden="1" customHeight="1" x14ac:dyDescent="0.2"/>
    <row r="37045" ht="9.9499999999999993" hidden="1" customHeight="1" x14ac:dyDescent="0.2"/>
    <row r="37046" ht="9.9499999999999993" hidden="1" customHeight="1" x14ac:dyDescent="0.2"/>
    <row r="37047" ht="9.9499999999999993" hidden="1" customHeight="1" x14ac:dyDescent="0.2"/>
    <row r="37048" ht="9.9499999999999993" hidden="1" customHeight="1" x14ac:dyDescent="0.2"/>
    <row r="37049" ht="9.9499999999999993" hidden="1" customHeight="1" x14ac:dyDescent="0.2"/>
    <row r="37050" ht="9.9499999999999993" hidden="1" customHeight="1" x14ac:dyDescent="0.2"/>
    <row r="37051" ht="9.9499999999999993" hidden="1" customHeight="1" x14ac:dyDescent="0.2"/>
    <row r="37052" ht="9.9499999999999993" hidden="1" customHeight="1" x14ac:dyDescent="0.2"/>
    <row r="37053" ht="9.9499999999999993" hidden="1" customHeight="1" x14ac:dyDescent="0.2"/>
    <row r="37054" ht="9.9499999999999993" hidden="1" customHeight="1" x14ac:dyDescent="0.2"/>
    <row r="37055" ht="9.9499999999999993" hidden="1" customHeight="1" x14ac:dyDescent="0.2"/>
    <row r="37056" ht="9.9499999999999993" hidden="1" customHeight="1" x14ac:dyDescent="0.2"/>
    <row r="37057" ht="9.9499999999999993" hidden="1" customHeight="1" x14ac:dyDescent="0.2"/>
    <row r="37058" ht="9.9499999999999993" hidden="1" customHeight="1" x14ac:dyDescent="0.2"/>
    <row r="37059" ht="9.9499999999999993" hidden="1" customHeight="1" x14ac:dyDescent="0.2"/>
    <row r="37060" ht="9.9499999999999993" hidden="1" customHeight="1" x14ac:dyDescent="0.2"/>
    <row r="37061" ht="9.9499999999999993" hidden="1" customHeight="1" x14ac:dyDescent="0.2"/>
    <row r="37062" ht="9.9499999999999993" hidden="1" customHeight="1" x14ac:dyDescent="0.2"/>
    <row r="37063" ht="9.9499999999999993" hidden="1" customHeight="1" x14ac:dyDescent="0.2"/>
    <row r="37064" ht="9.9499999999999993" hidden="1" customHeight="1" x14ac:dyDescent="0.2"/>
    <row r="37065" ht="9.9499999999999993" hidden="1" customHeight="1" x14ac:dyDescent="0.2"/>
    <row r="37066" ht="9.9499999999999993" hidden="1" customHeight="1" x14ac:dyDescent="0.2"/>
    <row r="37067" ht="9.9499999999999993" hidden="1" customHeight="1" x14ac:dyDescent="0.2"/>
    <row r="37068" ht="9.9499999999999993" hidden="1" customHeight="1" x14ac:dyDescent="0.2"/>
    <row r="37069" ht="9.9499999999999993" hidden="1" customHeight="1" x14ac:dyDescent="0.2"/>
    <row r="37070" ht="9.9499999999999993" hidden="1" customHeight="1" x14ac:dyDescent="0.2"/>
    <row r="37071" ht="9.9499999999999993" hidden="1" customHeight="1" x14ac:dyDescent="0.2"/>
    <row r="37072" ht="9.9499999999999993" hidden="1" customHeight="1" x14ac:dyDescent="0.2"/>
    <row r="37073" ht="9.9499999999999993" hidden="1" customHeight="1" x14ac:dyDescent="0.2"/>
    <row r="37074" ht="9.9499999999999993" hidden="1" customHeight="1" x14ac:dyDescent="0.2"/>
    <row r="37075" ht="9.9499999999999993" hidden="1" customHeight="1" x14ac:dyDescent="0.2"/>
    <row r="37076" ht="9.9499999999999993" hidden="1" customHeight="1" x14ac:dyDescent="0.2"/>
    <row r="37077" ht="9.9499999999999993" hidden="1" customHeight="1" x14ac:dyDescent="0.2"/>
    <row r="37078" ht="9.9499999999999993" hidden="1" customHeight="1" x14ac:dyDescent="0.2"/>
    <row r="37079" ht="9.9499999999999993" hidden="1" customHeight="1" x14ac:dyDescent="0.2"/>
    <row r="37080" ht="9.9499999999999993" hidden="1" customHeight="1" x14ac:dyDescent="0.2"/>
    <row r="37081" ht="9.9499999999999993" hidden="1" customHeight="1" x14ac:dyDescent="0.2"/>
    <row r="37082" ht="9.9499999999999993" hidden="1" customHeight="1" x14ac:dyDescent="0.2"/>
    <row r="37083" ht="9.9499999999999993" hidden="1" customHeight="1" x14ac:dyDescent="0.2"/>
    <row r="37084" ht="9.9499999999999993" hidden="1" customHeight="1" x14ac:dyDescent="0.2"/>
    <row r="37085" ht="9.9499999999999993" hidden="1" customHeight="1" x14ac:dyDescent="0.2"/>
    <row r="37086" ht="9.9499999999999993" hidden="1" customHeight="1" x14ac:dyDescent="0.2"/>
    <row r="37087" ht="9.9499999999999993" hidden="1" customHeight="1" x14ac:dyDescent="0.2"/>
    <row r="37088" ht="9.9499999999999993" hidden="1" customHeight="1" x14ac:dyDescent="0.2"/>
    <row r="37089" ht="9.9499999999999993" hidden="1" customHeight="1" x14ac:dyDescent="0.2"/>
    <row r="37090" ht="9.9499999999999993" hidden="1" customHeight="1" x14ac:dyDescent="0.2"/>
    <row r="37091" ht="9.9499999999999993" hidden="1" customHeight="1" x14ac:dyDescent="0.2"/>
    <row r="37092" ht="9.9499999999999993" hidden="1" customHeight="1" x14ac:dyDescent="0.2"/>
    <row r="37093" ht="9.9499999999999993" hidden="1" customHeight="1" x14ac:dyDescent="0.2"/>
    <row r="37094" ht="9.9499999999999993" hidden="1" customHeight="1" x14ac:dyDescent="0.2"/>
    <row r="37095" ht="9.9499999999999993" hidden="1" customHeight="1" x14ac:dyDescent="0.2"/>
    <row r="37096" ht="9.9499999999999993" hidden="1" customHeight="1" x14ac:dyDescent="0.2"/>
    <row r="37097" ht="9.9499999999999993" hidden="1" customHeight="1" x14ac:dyDescent="0.2"/>
    <row r="37098" ht="9.9499999999999993" hidden="1" customHeight="1" x14ac:dyDescent="0.2"/>
    <row r="37099" ht="9.9499999999999993" hidden="1" customHeight="1" x14ac:dyDescent="0.2"/>
    <row r="37100" ht="9.9499999999999993" hidden="1" customHeight="1" x14ac:dyDescent="0.2"/>
    <row r="37101" ht="9.9499999999999993" hidden="1" customHeight="1" x14ac:dyDescent="0.2"/>
    <row r="37102" ht="9.9499999999999993" hidden="1" customHeight="1" x14ac:dyDescent="0.2"/>
    <row r="37103" ht="9.9499999999999993" hidden="1" customHeight="1" x14ac:dyDescent="0.2"/>
    <row r="37104" ht="9.9499999999999993" hidden="1" customHeight="1" x14ac:dyDescent="0.2"/>
    <row r="37105" ht="9.9499999999999993" hidden="1" customHeight="1" x14ac:dyDescent="0.2"/>
    <row r="37106" ht="9.9499999999999993" hidden="1" customHeight="1" x14ac:dyDescent="0.2"/>
    <row r="37107" ht="9.9499999999999993" hidden="1" customHeight="1" x14ac:dyDescent="0.2"/>
    <row r="37108" ht="9.9499999999999993" hidden="1" customHeight="1" x14ac:dyDescent="0.2"/>
    <row r="37109" ht="9.9499999999999993" hidden="1" customHeight="1" x14ac:dyDescent="0.2"/>
    <row r="37110" ht="9.9499999999999993" hidden="1" customHeight="1" x14ac:dyDescent="0.2"/>
    <row r="37111" ht="9.9499999999999993" hidden="1" customHeight="1" x14ac:dyDescent="0.2"/>
    <row r="37112" ht="9.9499999999999993" hidden="1" customHeight="1" x14ac:dyDescent="0.2"/>
    <row r="37113" ht="9.9499999999999993" hidden="1" customHeight="1" x14ac:dyDescent="0.2"/>
    <row r="37114" ht="9.9499999999999993" hidden="1" customHeight="1" x14ac:dyDescent="0.2"/>
    <row r="37115" ht="9.9499999999999993" hidden="1" customHeight="1" x14ac:dyDescent="0.2"/>
    <row r="37116" ht="9.9499999999999993" hidden="1" customHeight="1" x14ac:dyDescent="0.2"/>
    <row r="37117" ht="9.9499999999999993" hidden="1" customHeight="1" x14ac:dyDescent="0.2"/>
    <row r="37118" ht="9.9499999999999993" hidden="1" customHeight="1" x14ac:dyDescent="0.2"/>
    <row r="37119" ht="9.9499999999999993" hidden="1" customHeight="1" x14ac:dyDescent="0.2"/>
    <row r="37120" ht="9.9499999999999993" hidden="1" customHeight="1" x14ac:dyDescent="0.2"/>
    <row r="37121" ht="9.9499999999999993" hidden="1" customHeight="1" x14ac:dyDescent="0.2"/>
    <row r="37122" ht="9.9499999999999993" hidden="1" customHeight="1" x14ac:dyDescent="0.2"/>
    <row r="37123" ht="9.9499999999999993" hidden="1" customHeight="1" x14ac:dyDescent="0.2"/>
    <row r="37124" ht="9.9499999999999993" hidden="1" customHeight="1" x14ac:dyDescent="0.2"/>
    <row r="37125" ht="9.9499999999999993" hidden="1" customHeight="1" x14ac:dyDescent="0.2"/>
    <row r="37126" ht="9.9499999999999993" hidden="1" customHeight="1" x14ac:dyDescent="0.2"/>
    <row r="37127" ht="9.9499999999999993" hidden="1" customHeight="1" x14ac:dyDescent="0.2"/>
    <row r="37128" ht="9.9499999999999993" hidden="1" customHeight="1" x14ac:dyDescent="0.2"/>
    <row r="37129" ht="9.9499999999999993" hidden="1" customHeight="1" x14ac:dyDescent="0.2"/>
    <row r="37130" ht="9.9499999999999993" hidden="1" customHeight="1" x14ac:dyDescent="0.2"/>
    <row r="37131" ht="9.9499999999999993" hidden="1" customHeight="1" x14ac:dyDescent="0.2"/>
    <row r="37132" ht="9.9499999999999993" hidden="1" customHeight="1" x14ac:dyDescent="0.2"/>
    <row r="37133" ht="9.9499999999999993" hidden="1" customHeight="1" x14ac:dyDescent="0.2"/>
    <row r="37134" ht="9.9499999999999993" hidden="1" customHeight="1" x14ac:dyDescent="0.2"/>
    <row r="37135" ht="9.9499999999999993" hidden="1" customHeight="1" x14ac:dyDescent="0.2"/>
    <row r="37136" ht="9.9499999999999993" hidden="1" customHeight="1" x14ac:dyDescent="0.2"/>
    <row r="37137" ht="9.9499999999999993" hidden="1" customHeight="1" x14ac:dyDescent="0.2"/>
    <row r="37138" ht="9.9499999999999993" hidden="1" customHeight="1" x14ac:dyDescent="0.2"/>
    <row r="37139" ht="9.9499999999999993" hidden="1" customHeight="1" x14ac:dyDescent="0.2"/>
    <row r="37140" ht="9.9499999999999993" hidden="1" customHeight="1" x14ac:dyDescent="0.2"/>
    <row r="37141" ht="9.9499999999999993" hidden="1" customHeight="1" x14ac:dyDescent="0.2"/>
    <row r="37142" ht="9.9499999999999993" hidden="1" customHeight="1" x14ac:dyDescent="0.2"/>
    <row r="37143" ht="9.9499999999999993" hidden="1" customHeight="1" x14ac:dyDescent="0.2"/>
    <row r="37144" ht="9.9499999999999993" hidden="1" customHeight="1" x14ac:dyDescent="0.2"/>
    <row r="37145" ht="9.9499999999999993" hidden="1" customHeight="1" x14ac:dyDescent="0.2"/>
    <row r="37146" ht="9.9499999999999993" hidden="1" customHeight="1" x14ac:dyDescent="0.2"/>
    <row r="37147" ht="9.9499999999999993" hidden="1" customHeight="1" x14ac:dyDescent="0.2"/>
    <row r="37148" ht="9.9499999999999993" hidden="1" customHeight="1" x14ac:dyDescent="0.2"/>
    <row r="37149" ht="9.9499999999999993" hidden="1" customHeight="1" x14ac:dyDescent="0.2"/>
    <row r="37150" ht="9.9499999999999993" hidden="1" customHeight="1" x14ac:dyDescent="0.2"/>
    <row r="37151" ht="9.9499999999999993" hidden="1" customHeight="1" x14ac:dyDescent="0.2"/>
    <row r="37152" ht="9.9499999999999993" hidden="1" customHeight="1" x14ac:dyDescent="0.2"/>
    <row r="37153" ht="9.9499999999999993" hidden="1" customHeight="1" x14ac:dyDescent="0.2"/>
    <row r="37154" ht="9.9499999999999993" hidden="1" customHeight="1" x14ac:dyDescent="0.2"/>
    <row r="37155" ht="9.9499999999999993" hidden="1" customHeight="1" x14ac:dyDescent="0.2"/>
    <row r="37156" ht="9.9499999999999993" hidden="1" customHeight="1" x14ac:dyDescent="0.2"/>
    <row r="37157" ht="9.9499999999999993" hidden="1" customHeight="1" x14ac:dyDescent="0.2"/>
    <row r="37158" ht="9.9499999999999993" hidden="1" customHeight="1" x14ac:dyDescent="0.2"/>
    <row r="37159" ht="9.9499999999999993" hidden="1" customHeight="1" x14ac:dyDescent="0.2"/>
    <row r="37160" ht="9.9499999999999993" hidden="1" customHeight="1" x14ac:dyDescent="0.2"/>
    <row r="37161" ht="9.9499999999999993" hidden="1" customHeight="1" x14ac:dyDescent="0.2"/>
    <row r="37162" ht="9.9499999999999993" hidden="1" customHeight="1" x14ac:dyDescent="0.2"/>
    <row r="37163" ht="9.9499999999999993" hidden="1" customHeight="1" x14ac:dyDescent="0.2"/>
    <row r="37164" ht="9.9499999999999993" hidden="1" customHeight="1" x14ac:dyDescent="0.2"/>
    <row r="37165" ht="9.9499999999999993" hidden="1" customHeight="1" x14ac:dyDescent="0.2"/>
    <row r="37166" ht="9.9499999999999993" hidden="1" customHeight="1" x14ac:dyDescent="0.2"/>
    <row r="37167" ht="9.9499999999999993" hidden="1" customHeight="1" x14ac:dyDescent="0.2"/>
    <row r="37168" ht="9.9499999999999993" hidden="1" customHeight="1" x14ac:dyDescent="0.2"/>
    <row r="37169" ht="9.9499999999999993" hidden="1" customHeight="1" x14ac:dyDescent="0.2"/>
    <row r="37170" ht="9.9499999999999993" hidden="1" customHeight="1" x14ac:dyDescent="0.2"/>
    <row r="37171" ht="9.9499999999999993" hidden="1" customHeight="1" x14ac:dyDescent="0.2"/>
    <row r="37172" ht="9.9499999999999993" hidden="1" customHeight="1" x14ac:dyDescent="0.2"/>
    <row r="37173" ht="9.9499999999999993" hidden="1" customHeight="1" x14ac:dyDescent="0.2"/>
    <row r="37174" ht="9.9499999999999993" hidden="1" customHeight="1" x14ac:dyDescent="0.2"/>
    <row r="37175" ht="9.9499999999999993" hidden="1" customHeight="1" x14ac:dyDescent="0.2"/>
    <row r="37176" ht="9.9499999999999993" hidden="1" customHeight="1" x14ac:dyDescent="0.2"/>
    <row r="37177" ht="9.9499999999999993" hidden="1" customHeight="1" x14ac:dyDescent="0.2"/>
    <row r="37178" ht="9.9499999999999993" hidden="1" customHeight="1" x14ac:dyDescent="0.2"/>
    <row r="37179" ht="9.9499999999999993" hidden="1" customHeight="1" x14ac:dyDescent="0.2"/>
    <row r="37180" ht="9.9499999999999993" hidden="1" customHeight="1" x14ac:dyDescent="0.2"/>
    <row r="37181" ht="9.9499999999999993" hidden="1" customHeight="1" x14ac:dyDescent="0.2"/>
    <row r="37182" ht="9.9499999999999993" hidden="1" customHeight="1" x14ac:dyDescent="0.2"/>
    <row r="37183" ht="9.9499999999999993" hidden="1" customHeight="1" x14ac:dyDescent="0.2"/>
    <row r="37184" ht="9.9499999999999993" hidden="1" customHeight="1" x14ac:dyDescent="0.2"/>
    <row r="37185" ht="9.9499999999999993" hidden="1" customHeight="1" x14ac:dyDescent="0.2"/>
    <row r="37186" ht="9.9499999999999993" hidden="1" customHeight="1" x14ac:dyDescent="0.2"/>
    <row r="37187" ht="9.9499999999999993" hidden="1" customHeight="1" x14ac:dyDescent="0.2"/>
    <row r="37188" ht="9.9499999999999993" hidden="1" customHeight="1" x14ac:dyDescent="0.2"/>
    <row r="37189" ht="9.9499999999999993" hidden="1" customHeight="1" x14ac:dyDescent="0.2"/>
    <row r="37190" ht="9.9499999999999993" hidden="1" customHeight="1" x14ac:dyDescent="0.2"/>
    <row r="37191" ht="9.9499999999999993" hidden="1" customHeight="1" x14ac:dyDescent="0.2"/>
    <row r="37192" ht="9.9499999999999993" hidden="1" customHeight="1" x14ac:dyDescent="0.2"/>
    <row r="37193" ht="9.9499999999999993" hidden="1" customHeight="1" x14ac:dyDescent="0.2"/>
    <row r="37194" ht="9.9499999999999993" hidden="1" customHeight="1" x14ac:dyDescent="0.2"/>
    <row r="37195" ht="9.9499999999999993" hidden="1" customHeight="1" x14ac:dyDescent="0.2"/>
    <row r="37196" ht="9.9499999999999993" hidden="1" customHeight="1" x14ac:dyDescent="0.2"/>
    <row r="37197" ht="9.9499999999999993" hidden="1" customHeight="1" x14ac:dyDescent="0.2"/>
    <row r="37198" ht="9.9499999999999993" hidden="1" customHeight="1" x14ac:dyDescent="0.2"/>
    <row r="37199" ht="9.9499999999999993" hidden="1" customHeight="1" x14ac:dyDescent="0.2"/>
    <row r="37200" ht="9.9499999999999993" hidden="1" customHeight="1" x14ac:dyDescent="0.2"/>
    <row r="37201" ht="9.9499999999999993" hidden="1" customHeight="1" x14ac:dyDescent="0.2"/>
    <row r="37202" ht="9.9499999999999993" hidden="1" customHeight="1" x14ac:dyDescent="0.2"/>
    <row r="37203" ht="9.9499999999999993" hidden="1" customHeight="1" x14ac:dyDescent="0.2"/>
    <row r="37204" ht="9.9499999999999993" hidden="1" customHeight="1" x14ac:dyDescent="0.2"/>
    <row r="37205" ht="9.9499999999999993" hidden="1" customHeight="1" x14ac:dyDescent="0.2"/>
    <row r="37206" ht="9.9499999999999993" hidden="1" customHeight="1" x14ac:dyDescent="0.2"/>
    <row r="37207" ht="9.9499999999999993" hidden="1" customHeight="1" x14ac:dyDescent="0.2"/>
    <row r="37208" ht="9.9499999999999993" hidden="1" customHeight="1" x14ac:dyDescent="0.2"/>
    <row r="37209" ht="9.9499999999999993" hidden="1" customHeight="1" x14ac:dyDescent="0.2"/>
    <row r="37210" ht="9.9499999999999993" hidden="1" customHeight="1" x14ac:dyDescent="0.2"/>
    <row r="37211" ht="9.9499999999999993" hidden="1" customHeight="1" x14ac:dyDescent="0.2"/>
    <row r="37212" ht="9.9499999999999993" hidden="1" customHeight="1" x14ac:dyDescent="0.2"/>
    <row r="37213" ht="9.9499999999999993" hidden="1" customHeight="1" x14ac:dyDescent="0.2"/>
    <row r="37214" ht="9.9499999999999993" hidden="1" customHeight="1" x14ac:dyDescent="0.2"/>
    <row r="37215" ht="9.9499999999999993" hidden="1" customHeight="1" x14ac:dyDescent="0.2"/>
    <row r="37216" ht="9.9499999999999993" hidden="1" customHeight="1" x14ac:dyDescent="0.2"/>
    <row r="37217" ht="9.9499999999999993" hidden="1" customHeight="1" x14ac:dyDescent="0.2"/>
    <row r="37218" ht="9.9499999999999993" hidden="1" customHeight="1" x14ac:dyDescent="0.2"/>
    <row r="37219" ht="9.9499999999999993" hidden="1" customHeight="1" x14ac:dyDescent="0.2"/>
    <row r="37220" ht="9.9499999999999993" hidden="1" customHeight="1" x14ac:dyDescent="0.2"/>
    <row r="37221" ht="9.9499999999999993" hidden="1" customHeight="1" x14ac:dyDescent="0.2"/>
    <row r="37222" ht="9.9499999999999993" hidden="1" customHeight="1" x14ac:dyDescent="0.2"/>
    <row r="37223" ht="9.9499999999999993" hidden="1" customHeight="1" x14ac:dyDescent="0.2"/>
    <row r="37224" ht="9.9499999999999993" hidden="1" customHeight="1" x14ac:dyDescent="0.2"/>
    <row r="37225" ht="9.9499999999999993" hidden="1" customHeight="1" x14ac:dyDescent="0.2"/>
    <row r="37226" ht="9.9499999999999993" hidden="1" customHeight="1" x14ac:dyDescent="0.2"/>
    <row r="37227" ht="9.9499999999999993" hidden="1" customHeight="1" x14ac:dyDescent="0.2"/>
    <row r="37228" ht="9.9499999999999993" hidden="1" customHeight="1" x14ac:dyDescent="0.2"/>
    <row r="37229" ht="9.9499999999999993" hidden="1" customHeight="1" x14ac:dyDescent="0.2"/>
    <row r="37230" ht="9.9499999999999993" hidden="1" customHeight="1" x14ac:dyDescent="0.2"/>
    <row r="37231" ht="9.9499999999999993" hidden="1" customHeight="1" x14ac:dyDescent="0.2"/>
    <row r="37232" ht="9.9499999999999993" hidden="1" customHeight="1" x14ac:dyDescent="0.2"/>
    <row r="37233" ht="9.9499999999999993" hidden="1" customHeight="1" x14ac:dyDescent="0.2"/>
    <row r="37234" ht="9.9499999999999993" hidden="1" customHeight="1" x14ac:dyDescent="0.2"/>
    <row r="37235" ht="9.9499999999999993" hidden="1" customHeight="1" x14ac:dyDescent="0.2"/>
    <row r="37236" ht="9.9499999999999993" hidden="1" customHeight="1" x14ac:dyDescent="0.2"/>
    <row r="37237" ht="9.9499999999999993" hidden="1" customHeight="1" x14ac:dyDescent="0.2"/>
    <row r="37238" ht="9.9499999999999993" hidden="1" customHeight="1" x14ac:dyDescent="0.2"/>
    <row r="37239" ht="9.9499999999999993" hidden="1" customHeight="1" x14ac:dyDescent="0.2"/>
    <row r="37240" ht="9.9499999999999993" hidden="1" customHeight="1" x14ac:dyDescent="0.2"/>
    <row r="37241" ht="9.9499999999999993" hidden="1" customHeight="1" x14ac:dyDescent="0.2"/>
    <row r="37242" ht="9.9499999999999993" hidden="1" customHeight="1" x14ac:dyDescent="0.2"/>
    <row r="37243" ht="9.9499999999999993" hidden="1" customHeight="1" x14ac:dyDescent="0.2"/>
    <row r="37244" ht="9.9499999999999993" hidden="1" customHeight="1" x14ac:dyDescent="0.2"/>
    <row r="37245" ht="9.9499999999999993" hidden="1" customHeight="1" x14ac:dyDescent="0.2"/>
    <row r="37246" ht="9.9499999999999993" hidden="1" customHeight="1" x14ac:dyDescent="0.2"/>
    <row r="37247" ht="9.9499999999999993" hidden="1" customHeight="1" x14ac:dyDescent="0.2"/>
    <row r="37248" ht="9.9499999999999993" hidden="1" customHeight="1" x14ac:dyDescent="0.2"/>
    <row r="37249" ht="9.9499999999999993" hidden="1" customHeight="1" x14ac:dyDescent="0.2"/>
    <row r="37250" ht="9.9499999999999993" hidden="1" customHeight="1" x14ac:dyDescent="0.2"/>
    <row r="37251" ht="9.9499999999999993" hidden="1" customHeight="1" x14ac:dyDescent="0.2"/>
    <row r="37252" ht="9.9499999999999993" hidden="1" customHeight="1" x14ac:dyDescent="0.2"/>
    <row r="37253" ht="9.9499999999999993" hidden="1" customHeight="1" x14ac:dyDescent="0.2"/>
    <row r="37254" ht="9.9499999999999993" hidden="1" customHeight="1" x14ac:dyDescent="0.2"/>
    <row r="37255" ht="9.9499999999999993" hidden="1" customHeight="1" x14ac:dyDescent="0.2"/>
    <row r="37256" ht="9.9499999999999993" hidden="1" customHeight="1" x14ac:dyDescent="0.2"/>
    <row r="37257" ht="9.9499999999999993" hidden="1" customHeight="1" x14ac:dyDescent="0.2"/>
    <row r="37258" ht="9.9499999999999993" hidden="1" customHeight="1" x14ac:dyDescent="0.2"/>
    <row r="37259" ht="9.9499999999999993" hidden="1" customHeight="1" x14ac:dyDescent="0.2"/>
    <row r="37260" ht="9.9499999999999993" hidden="1" customHeight="1" x14ac:dyDescent="0.2"/>
    <row r="37261" ht="9.9499999999999993" hidden="1" customHeight="1" x14ac:dyDescent="0.2"/>
    <row r="37262" ht="9.9499999999999993" hidden="1" customHeight="1" x14ac:dyDescent="0.2"/>
    <row r="37263" ht="9.9499999999999993" hidden="1" customHeight="1" x14ac:dyDescent="0.2"/>
    <row r="37264" ht="9.9499999999999993" hidden="1" customHeight="1" x14ac:dyDescent="0.2"/>
    <row r="37265" ht="9.9499999999999993" hidden="1" customHeight="1" x14ac:dyDescent="0.2"/>
    <row r="37266" ht="9.9499999999999993" hidden="1" customHeight="1" x14ac:dyDescent="0.2"/>
    <row r="37267" ht="9.9499999999999993" hidden="1" customHeight="1" x14ac:dyDescent="0.2"/>
    <row r="37268" ht="9.9499999999999993" hidden="1" customHeight="1" x14ac:dyDescent="0.2"/>
    <row r="37269" ht="9.9499999999999993" hidden="1" customHeight="1" x14ac:dyDescent="0.2"/>
    <row r="37270" ht="9.9499999999999993" hidden="1" customHeight="1" x14ac:dyDescent="0.2"/>
    <row r="37271" ht="9.9499999999999993" hidden="1" customHeight="1" x14ac:dyDescent="0.2"/>
    <row r="37272" ht="9.9499999999999993" hidden="1" customHeight="1" x14ac:dyDescent="0.2"/>
    <row r="37273" ht="9.9499999999999993" hidden="1" customHeight="1" x14ac:dyDescent="0.2"/>
    <row r="37274" ht="9.9499999999999993" hidden="1" customHeight="1" x14ac:dyDescent="0.2"/>
    <row r="37275" ht="9.9499999999999993" hidden="1" customHeight="1" x14ac:dyDescent="0.2"/>
    <row r="37276" ht="9.9499999999999993" hidden="1" customHeight="1" x14ac:dyDescent="0.2"/>
    <row r="37277" ht="9.9499999999999993" hidden="1" customHeight="1" x14ac:dyDescent="0.2"/>
    <row r="37278" ht="9.9499999999999993" hidden="1" customHeight="1" x14ac:dyDescent="0.2"/>
    <row r="37279" ht="9.9499999999999993" hidden="1" customHeight="1" x14ac:dyDescent="0.2"/>
    <row r="37280" ht="9.9499999999999993" hidden="1" customHeight="1" x14ac:dyDescent="0.2"/>
    <row r="37281" ht="9.9499999999999993" hidden="1" customHeight="1" x14ac:dyDescent="0.2"/>
    <row r="37282" ht="9.9499999999999993" hidden="1" customHeight="1" x14ac:dyDescent="0.2"/>
    <row r="37283" ht="9.9499999999999993" hidden="1" customHeight="1" x14ac:dyDescent="0.2"/>
    <row r="37284" ht="9.9499999999999993" hidden="1" customHeight="1" x14ac:dyDescent="0.2"/>
    <row r="37285" ht="9.9499999999999993" hidden="1" customHeight="1" x14ac:dyDescent="0.2"/>
    <row r="37286" ht="9.9499999999999993" hidden="1" customHeight="1" x14ac:dyDescent="0.2"/>
    <row r="37287" ht="9.9499999999999993" hidden="1" customHeight="1" x14ac:dyDescent="0.2"/>
    <row r="37288" ht="9.9499999999999993" hidden="1" customHeight="1" x14ac:dyDescent="0.2"/>
    <row r="37289" ht="9.9499999999999993" hidden="1" customHeight="1" x14ac:dyDescent="0.2"/>
    <row r="37290" ht="9.9499999999999993" hidden="1" customHeight="1" x14ac:dyDescent="0.2"/>
    <row r="37291" ht="9.9499999999999993" hidden="1" customHeight="1" x14ac:dyDescent="0.2"/>
    <row r="37292" ht="9.9499999999999993" hidden="1" customHeight="1" x14ac:dyDescent="0.2"/>
    <row r="37293" ht="9.9499999999999993" hidden="1" customHeight="1" x14ac:dyDescent="0.2"/>
    <row r="37294" ht="9.9499999999999993" hidden="1" customHeight="1" x14ac:dyDescent="0.2"/>
    <row r="37295" ht="9.9499999999999993" hidden="1" customHeight="1" x14ac:dyDescent="0.2"/>
    <row r="37296" ht="9.9499999999999993" hidden="1" customHeight="1" x14ac:dyDescent="0.2"/>
    <row r="37297" ht="9.9499999999999993" hidden="1" customHeight="1" x14ac:dyDescent="0.2"/>
    <row r="37298" ht="9.9499999999999993" hidden="1" customHeight="1" x14ac:dyDescent="0.2"/>
    <row r="37299" ht="9.9499999999999993" hidden="1" customHeight="1" x14ac:dyDescent="0.2"/>
    <row r="37300" ht="9.9499999999999993" hidden="1" customHeight="1" x14ac:dyDescent="0.2"/>
    <row r="37301" ht="9.9499999999999993" hidden="1" customHeight="1" x14ac:dyDescent="0.2"/>
    <row r="37302" ht="9.9499999999999993" hidden="1" customHeight="1" x14ac:dyDescent="0.2"/>
    <row r="37303" ht="9.9499999999999993" hidden="1" customHeight="1" x14ac:dyDescent="0.2"/>
    <row r="37304" ht="9.9499999999999993" hidden="1" customHeight="1" x14ac:dyDescent="0.2"/>
    <row r="37305" ht="9.9499999999999993" hidden="1" customHeight="1" x14ac:dyDescent="0.2"/>
    <row r="37306" ht="9.9499999999999993" hidden="1" customHeight="1" x14ac:dyDescent="0.2"/>
    <row r="37307" ht="9.9499999999999993" hidden="1" customHeight="1" x14ac:dyDescent="0.2"/>
    <row r="37308" ht="9.9499999999999993" hidden="1" customHeight="1" x14ac:dyDescent="0.2"/>
    <row r="37309" ht="9.9499999999999993" hidden="1" customHeight="1" x14ac:dyDescent="0.2"/>
    <row r="37310" ht="9.9499999999999993" hidden="1" customHeight="1" x14ac:dyDescent="0.2"/>
    <row r="37311" ht="9.9499999999999993" hidden="1" customHeight="1" x14ac:dyDescent="0.2"/>
    <row r="37312" ht="9.9499999999999993" hidden="1" customHeight="1" x14ac:dyDescent="0.2"/>
    <row r="37313" ht="9.9499999999999993" hidden="1" customHeight="1" x14ac:dyDescent="0.2"/>
    <row r="37314" ht="9.9499999999999993" hidden="1" customHeight="1" x14ac:dyDescent="0.2"/>
    <row r="37315" ht="9.9499999999999993" hidden="1" customHeight="1" x14ac:dyDescent="0.2"/>
    <row r="37316" ht="9.9499999999999993" hidden="1" customHeight="1" x14ac:dyDescent="0.2"/>
    <row r="37317" ht="9.9499999999999993" hidden="1" customHeight="1" x14ac:dyDescent="0.2"/>
    <row r="37318" ht="9.9499999999999993" hidden="1" customHeight="1" x14ac:dyDescent="0.2"/>
    <row r="37319" ht="9.9499999999999993" hidden="1" customHeight="1" x14ac:dyDescent="0.2"/>
    <row r="37320" ht="9.9499999999999993" hidden="1" customHeight="1" x14ac:dyDescent="0.2"/>
    <row r="37321" ht="9.9499999999999993" hidden="1" customHeight="1" x14ac:dyDescent="0.2"/>
    <row r="37322" ht="9.9499999999999993" hidden="1" customHeight="1" x14ac:dyDescent="0.2"/>
    <row r="37323" ht="9.9499999999999993" hidden="1" customHeight="1" x14ac:dyDescent="0.2"/>
    <row r="37324" ht="9.9499999999999993" hidden="1" customHeight="1" x14ac:dyDescent="0.2"/>
    <row r="37325" ht="9.9499999999999993" hidden="1" customHeight="1" x14ac:dyDescent="0.2"/>
    <row r="37326" ht="9.9499999999999993" hidden="1" customHeight="1" x14ac:dyDescent="0.2"/>
    <row r="37327" ht="9.9499999999999993" hidden="1" customHeight="1" x14ac:dyDescent="0.2"/>
    <row r="37328" ht="9.9499999999999993" hidden="1" customHeight="1" x14ac:dyDescent="0.2"/>
    <row r="37329" ht="9.9499999999999993" hidden="1" customHeight="1" x14ac:dyDescent="0.2"/>
    <row r="37330" ht="9.9499999999999993" hidden="1" customHeight="1" x14ac:dyDescent="0.2"/>
    <row r="37331" ht="9.9499999999999993" hidden="1" customHeight="1" x14ac:dyDescent="0.2"/>
    <row r="37332" ht="9.9499999999999993" hidden="1" customHeight="1" x14ac:dyDescent="0.2"/>
    <row r="37333" ht="9.9499999999999993" hidden="1" customHeight="1" x14ac:dyDescent="0.2"/>
    <row r="37334" ht="9.9499999999999993" hidden="1" customHeight="1" x14ac:dyDescent="0.2"/>
    <row r="37335" ht="9.9499999999999993" hidden="1" customHeight="1" x14ac:dyDescent="0.2"/>
    <row r="37336" ht="9.9499999999999993" hidden="1" customHeight="1" x14ac:dyDescent="0.2"/>
    <row r="37337" ht="9.9499999999999993" hidden="1" customHeight="1" x14ac:dyDescent="0.2"/>
    <row r="37338" ht="9.9499999999999993" hidden="1" customHeight="1" x14ac:dyDescent="0.2"/>
    <row r="37339" ht="9.9499999999999993" hidden="1" customHeight="1" x14ac:dyDescent="0.2"/>
    <row r="37340" ht="9.9499999999999993" hidden="1" customHeight="1" x14ac:dyDescent="0.2"/>
    <row r="37341" ht="9.9499999999999993" hidden="1" customHeight="1" x14ac:dyDescent="0.2"/>
    <row r="37342" ht="9.9499999999999993" hidden="1" customHeight="1" x14ac:dyDescent="0.2"/>
    <row r="37343" ht="9.9499999999999993" hidden="1" customHeight="1" x14ac:dyDescent="0.2"/>
    <row r="37344" ht="9.9499999999999993" hidden="1" customHeight="1" x14ac:dyDescent="0.2"/>
    <row r="37345" ht="9.9499999999999993" hidden="1" customHeight="1" x14ac:dyDescent="0.2"/>
    <row r="37346" ht="9.9499999999999993" hidden="1" customHeight="1" x14ac:dyDescent="0.2"/>
    <row r="37347" ht="9.9499999999999993" hidden="1" customHeight="1" x14ac:dyDescent="0.2"/>
    <row r="37348" ht="9.9499999999999993" hidden="1" customHeight="1" x14ac:dyDescent="0.2"/>
    <row r="37349" ht="9.9499999999999993" hidden="1" customHeight="1" x14ac:dyDescent="0.2"/>
    <row r="37350" ht="9.9499999999999993" hidden="1" customHeight="1" x14ac:dyDescent="0.2"/>
    <row r="37351" ht="9.9499999999999993" hidden="1" customHeight="1" x14ac:dyDescent="0.2"/>
    <row r="37352" ht="9.9499999999999993" hidden="1" customHeight="1" x14ac:dyDescent="0.2"/>
    <row r="37353" ht="9.9499999999999993" hidden="1" customHeight="1" x14ac:dyDescent="0.2"/>
    <row r="37354" ht="9.9499999999999993" hidden="1" customHeight="1" x14ac:dyDescent="0.2"/>
    <row r="37355" ht="9.9499999999999993" hidden="1" customHeight="1" x14ac:dyDescent="0.2"/>
    <row r="37356" ht="9.9499999999999993" hidden="1" customHeight="1" x14ac:dyDescent="0.2"/>
    <row r="37357" ht="9.9499999999999993" hidden="1" customHeight="1" x14ac:dyDescent="0.2"/>
    <row r="37358" ht="9.9499999999999993" hidden="1" customHeight="1" x14ac:dyDescent="0.2"/>
    <row r="37359" ht="9.9499999999999993" hidden="1" customHeight="1" x14ac:dyDescent="0.2"/>
    <row r="37360" ht="9.9499999999999993" hidden="1" customHeight="1" x14ac:dyDescent="0.2"/>
    <row r="37361" ht="9.9499999999999993" hidden="1" customHeight="1" x14ac:dyDescent="0.2"/>
    <row r="37362" ht="9.9499999999999993" hidden="1" customHeight="1" x14ac:dyDescent="0.2"/>
    <row r="37363" ht="9.9499999999999993" hidden="1" customHeight="1" x14ac:dyDescent="0.2"/>
    <row r="37364" ht="9.9499999999999993" hidden="1" customHeight="1" x14ac:dyDescent="0.2"/>
    <row r="37365" ht="9.9499999999999993" hidden="1" customHeight="1" x14ac:dyDescent="0.2"/>
    <row r="37366" ht="9.9499999999999993" hidden="1" customHeight="1" x14ac:dyDescent="0.2"/>
    <row r="37367" ht="9.9499999999999993" hidden="1" customHeight="1" x14ac:dyDescent="0.2"/>
    <row r="37368" ht="9.9499999999999993" hidden="1" customHeight="1" x14ac:dyDescent="0.2"/>
    <row r="37369" ht="9.9499999999999993" hidden="1" customHeight="1" x14ac:dyDescent="0.2"/>
    <row r="37370" ht="9.9499999999999993" hidden="1" customHeight="1" x14ac:dyDescent="0.2"/>
    <row r="37371" ht="9.9499999999999993" hidden="1" customHeight="1" x14ac:dyDescent="0.2"/>
    <row r="37372" ht="9.9499999999999993" hidden="1" customHeight="1" x14ac:dyDescent="0.2"/>
    <row r="37373" ht="9.9499999999999993" hidden="1" customHeight="1" x14ac:dyDescent="0.2"/>
    <row r="37374" ht="9.9499999999999993" hidden="1" customHeight="1" x14ac:dyDescent="0.2"/>
    <row r="37375" ht="9.9499999999999993" hidden="1" customHeight="1" x14ac:dyDescent="0.2"/>
    <row r="37376" ht="9.9499999999999993" hidden="1" customHeight="1" x14ac:dyDescent="0.2"/>
    <row r="37377" ht="9.9499999999999993" hidden="1" customHeight="1" x14ac:dyDescent="0.2"/>
    <row r="37378" ht="9.9499999999999993" hidden="1" customHeight="1" x14ac:dyDescent="0.2"/>
    <row r="37379" ht="9.9499999999999993" hidden="1" customHeight="1" x14ac:dyDescent="0.2"/>
    <row r="37380" ht="9.9499999999999993" hidden="1" customHeight="1" x14ac:dyDescent="0.2"/>
    <row r="37381" ht="9.9499999999999993" hidden="1" customHeight="1" x14ac:dyDescent="0.2"/>
    <row r="37382" ht="9.9499999999999993" hidden="1" customHeight="1" x14ac:dyDescent="0.2"/>
    <row r="37383" ht="9.9499999999999993" hidden="1" customHeight="1" x14ac:dyDescent="0.2"/>
    <row r="37384" ht="9.9499999999999993" hidden="1" customHeight="1" x14ac:dyDescent="0.2"/>
    <row r="37385" ht="9.9499999999999993" hidden="1" customHeight="1" x14ac:dyDescent="0.2"/>
    <row r="37386" ht="9.9499999999999993" hidden="1" customHeight="1" x14ac:dyDescent="0.2"/>
    <row r="37387" ht="9.9499999999999993" hidden="1" customHeight="1" x14ac:dyDescent="0.2"/>
    <row r="37388" ht="9.9499999999999993" hidden="1" customHeight="1" x14ac:dyDescent="0.2"/>
    <row r="37389" ht="9.9499999999999993" hidden="1" customHeight="1" x14ac:dyDescent="0.2"/>
    <row r="37390" ht="9.9499999999999993" hidden="1" customHeight="1" x14ac:dyDescent="0.2"/>
    <row r="37391" ht="9.9499999999999993" hidden="1" customHeight="1" x14ac:dyDescent="0.2"/>
    <row r="37392" ht="9.9499999999999993" hidden="1" customHeight="1" x14ac:dyDescent="0.2"/>
    <row r="37393" ht="9.9499999999999993" hidden="1" customHeight="1" x14ac:dyDescent="0.2"/>
    <row r="37394" ht="9.9499999999999993" hidden="1" customHeight="1" x14ac:dyDescent="0.2"/>
    <row r="37395" ht="9.9499999999999993" hidden="1" customHeight="1" x14ac:dyDescent="0.2"/>
    <row r="37396" ht="9.9499999999999993" hidden="1" customHeight="1" x14ac:dyDescent="0.2"/>
    <row r="37397" ht="9.9499999999999993" hidden="1" customHeight="1" x14ac:dyDescent="0.2"/>
    <row r="37398" ht="9.9499999999999993" hidden="1" customHeight="1" x14ac:dyDescent="0.2"/>
    <row r="37399" ht="9.9499999999999993" hidden="1" customHeight="1" x14ac:dyDescent="0.2"/>
    <row r="37400" ht="9.9499999999999993" hidden="1" customHeight="1" x14ac:dyDescent="0.2"/>
    <row r="37401" ht="9.9499999999999993" hidden="1" customHeight="1" x14ac:dyDescent="0.2"/>
    <row r="37402" ht="9.9499999999999993" hidden="1" customHeight="1" x14ac:dyDescent="0.2"/>
    <row r="37403" ht="9.9499999999999993" hidden="1" customHeight="1" x14ac:dyDescent="0.2"/>
    <row r="37404" ht="9.9499999999999993" hidden="1" customHeight="1" x14ac:dyDescent="0.2"/>
    <row r="37405" ht="9.9499999999999993" hidden="1" customHeight="1" x14ac:dyDescent="0.2"/>
    <row r="37406" ht="9.9499999999999993" hidden="1" customHeight="1" x14ac:dyDescent="0.2"/>
    <row r="37407" ht="9.9499999999999993" hidden="1" customHeight="1" x14ac:dyDescent="0.2"/>
    <row r="37408" ht="9.9499999999999993" hidden="1" customHeight="1" x14ac:dyDescent="0.2"/>
    <row r="37409" ht="9.9499999999999993" hidden="1" customHeight="1" x14ac:dyDescent="0.2"/>
    <row r="37410" ht="9.9499999999999993" hidden="1" customHeight="1" x14ac:dyDescent="0.2"/>
    <row r="37411" ht="9.9499999999999993" hidden="1" customHeight="1" x14ac:dyDescent="0.2"/>
    <row r="37412" ht="9.9499999999999993" hidden="1" customHeight="1" x14ac:dyDescent="0.2"/>
    <row r="37413" ht="9.9499999999999993" hidden="1" customHeight="1" x14ac:dyDescent="0.2"/>
    <row r="37414" ht="9.9499999999999993" hidden="1" customHeight="1" x14ac:dyDescent="0.2"/>
    <row r="37415" ht="9.9499999999999993" hidden="1" customHeight="1" x14ac:dyDescent="0.2"/>
    <row r="37416" ht="9.9499999999999993" hidden="1" customHeight="1" x14ac:dyDescent="0.2"/>
    <row r="37417" ht="9.9499999999999993" hidden="1" customHeight="1" x14ac:dyDescent="0.2"/>
    <row r="37418" ht="9.9499999999999993" hidden="1" customHeight="1" x14ac:dyDescent="0.2"/>
    <row r="37419" ht="9.9499999999999993" hidden="1" customHeight="1" x14ac:dyDescent="0.2"/>
    <row r="37420" ht="9.9499999999999993" hidden="1" customHeight="1" x14ac:dyDescent="0.2"/>
    <row r="37421" ht="9.9499999999999993" hidden="1" customHeight="1" x14ac:dyDescent="0.2"/>
    <row r="37422" ht="9.9499999999999993" hidden="1" customHeight="1" x14ac:dyDescent="0.2"/>
    <row r="37423" ht="9.9499999999999993" hidden="1" customHeight="1" x14ac:dyDescent="0.2"/>
    <row r="37424" ht="9.9499999999999993" hidden="1" customHeight="1" x14ac:dyDescent="0.2"/>
    <row r="37425" ht="9.9499999999999993" hidden="1" customHeight="1" x14ac:dyDescent="0.2"/>
    <row r="37426" ht="9.9499999999999993" hidden="1" customHeight="1" x14ac:dyDescent="0.2"/>
    <row r="37427" ht="9.9499999999999993" hidden="1" customHeight="1" x14ac:dyDescent="0.2"/>
    <row r="37428" ht="9.9499999999999993" hidden="1" customHeight="1" x14ac:dyDescent="0.2"/>
    <row r="37429" ht="9.9499999999999993" hidden="1" customHeight="1" x14ac:dyDescent="0.2"/>
    <row r="37430" ht="9.9499999999999993" hidden="1" customHeight="1" x14ac:dyDescent="0.2"/>
    <row r="37431" ht="9.9499999999999993" hidden="1" customHeight="1" x14ac:dyDescent="0.2"/>
    <row r="37432" ht="9.9499999999999993" hidden="1" customHeight="1" x14ac:dyDescent="0.2"/>
    <row r="37433" ht="9.9499999999999993" hidden="1" customHeight="1" x14ac:dyDescent="0.2"/>
    <row r="37434" ht="9.9499999999999993" hidden="1" customHeight="1" x14ac:dyDescent="0.2"/>
    <row r="37435" ht="9.9499999999999993" hidden="1" customHeight="1" x14ac:dyDescent="0.2"/>
    <row r="37436" ht="9.9499999999999993" hidden="1" customHeight="1" x14ac:dyDescent="0.2"/>
    <row r="37437" ht="9.9499999999999993" hidden="1" customHeight="1" x14ac:dyDescent="0.2"/>
    <row r="37438" ht="9.9499999999999993" hidden="1" customHeight="1" x14ac:dyDescent="0.2"/>
    <row r="37439" ht="9.9499999999999993" hidden="1" customHeight="1" x14ac:dyDescent="0.2"/>
    <row r="37440" ht="9.9499999999999993" hidden="1" customHeight="1" x14ac:dyDescent="0.2"/>
    <row r="37441" ht="9.9499999999999993" hidden="1" customHeight="1" x14ac:dyDescent="0.2"/>
    <row r="37442" ht="9.9499999999999993" hidden="1" customHeight="1" x14ac:dyDescent="0.2"/>
    <row r="37443" ht="9.9499999999999993" hidden="1" customHeight="1" x14ac:dyDescent="0.2"/>
    <row r="37444" ht="9.9499999999999993" hidden="1" customHeight="1" x14ac:dyDescent="0.2"/>
    <row r="37445" ht="9.9499999999999993" hidden="1" customHeight="1" x14ac:dyDescent="0.2"/>
    <row r="37446" ht="9.9499999999999993" hidden="1" customHeight="1" x14ac:dyDescent="0.2"/>
    <row r="37447" ht="9.9499999999999993" hidden="1" customHeight="1" x14ac:dyDescent="0.2"/>
    <row r="37448" ht="9.9499999999999993" hidden="1" customHeight="1" x14ac:dyDescent="0.2"/>
    <row r="37449" ht="9.9499999999999993" hidden="1" customHeight="1" x14ac:dyDescent="0.2"/>
    <row r="37450" ht="9.9499999999999993" hidden="1" customHeight="1" x14ac:dyDescent="0.2"/>
    <row r="37451" ht="9.9499999999999993" hidden="1" customHeight="1" x14ac:dyDescent="0.2"/>
    <row r="37452" ht="9.9499999999999993" hidden="1" customHeight="1" x14ac:dyDescent="0.2"/>
    <row r="37453" ht="9.9499999999999993" hidden="1" customHeight="1" x14ac:dyDescent="0.2"/>
    <row r="37454" ht="9.9499999999999993" hidden="1" customHeight="1" x14ac:dyDescent="0.2"/>
    <row r="37455" ht="9.9499999999999993" hidden="1" customHeight="1" x14ac:dyDescent="0.2"/>
    <row r="37456" ht="9.9499999999999993" hidden="1" customHeight="1" x14ac:dyDescent="0.2"/>
    <row r="37457" ht="9.9499999999999993" hidden="1" customHeight="1" x14ac:dyDescent="0.2"/>
    <row r="37458" ht="9.9499999999999993" hidden="1" customHeight="1" x14ac:dyDescent="0.2"/>
    <row r="37459" ht="9.9499999999999993" hidden="1" customHeight="1" x14ac:dyDescent="0.2"/>
    <row r="37460" ht="9.9499999999999993" hidden="1" customHeight="1" x14ac:dyDescent="0.2"/>
    <row r="37461" ht="9.9499999999999993" hidden="1" customHeight="1" x14ac:dyDescent="0.2"/>
    <row r="37462" ht="9.9499999999999993" hidden="1" customHeight="1" x14ac:dyDescent="0.2"/>
    <row r="37463" ht="9.9499999999999993" hidden="1" customHeight="1" x14ac:dyDescent="0.2"/>
    <row r="37464" ht="9.9499999999999993" hidden="1" customHeight="1" x14ac:dyDescent="0.2"/>
    <row r="37465" ht="9.9499999999999993" hidden="1" customHeight="1" x14ac:dyDescent="0.2"/>
    <row r="37466" ht="9.9499999999999993" hidden="1" customHeight="1" x14ac:dyDescent="0.2"/>
    <row r="37467" ht="9.9499999999999993" hidden="1" customHeight="1" x14ac:dyDescent="0.2"/>
    <row r="37468" ht="9.9499999999999993" hidden="1" customHeight="1" x14ac:dyDescent="0.2"/>
    <row r="37469" ht="9.9499999999999993" hidden="1" customHeight="1" x14ac:dyDescent="0.2"/>
    <row r="37470" ht="9.9499999999999993" hidden="1" customHeight="1" x14ac:dyDescent="0.2"/>
    <row r="37471" ht="9.9499999999999993" hidden="1" customHeight="1" x14ac:dyDescent="0.2"/>
    <row r="37472" ht="9.9499999999999993" hidden="1" customHeight="1" x14ac:dyDescent="0.2"/>
    <row r="37473" ht="9.9499999999999993" hidden="1" customHeight="1" x14ac:dyDescent="0.2"/>
    <row r="37474" ht="9.9499999999999993" hidden="1" customHeight="1" x14ac:dyDescent="0.2"/>
    <row r="37475" ht="9.9499999999999993" hidden="1" customHeight="1" x14ac:dyDescent="0.2"/>
    <row r="37476" ht="9.9499999999999993" hidden="1" customHeight="1" x14ac:dyDescent="0.2"/>
    <row r="37477" ht="9.9499999999999993" hidden="1" customHeight="1" x14ac:dyDescent="0.2"/>
    <row r="37478" ht="9.9499999999999993" hidden="1" customHeight="1" x14ac:dyDescent="0.2"/>
    <row r="37479" ht="9.9499999999999993" hidden="1" customHeight="1" x14ac:dyDescent="0.2"/>
    <row r="37480" ht="9.9499999999999993" hidden="1" customHeight="1" x14ac:dyDescent="0.2"/>
    <row r="37481" ht="9.9499999999999993" hidden="1" customHeight="1" x14ac:dyDescent="0.2"/>
    <row r="37482" ht="9.9499999999999993" hidden="1" customHeight="1" x14ac:dyDescent="0.2"/>
    <row r="37483" ht="9.9499999999999993" hidden="1" customHeight="1" x14ac:dyDescent="0.2"/>
    <row r="37484" ht="9.9499999999999993" hidden="1" customHeight="1" x14ac:dyDescent="0.2"/>
    <row r="37485" ht="9.9499999999999993" hidden="1" customHeight="1" x14ac:dyDescent="0.2"/>
    <row r="37486" ht="9.9499999999999993" hidden="1" customHeight="1" x14ac:dyDescent="0.2"/>
    <row r="37487" ht="9.9499999999999993" hidden="1" customHeight="1" x14ac:dyDescent="0.2"/>
    <row r="37488" ht="9.9499999999999993" hidden="1" customHeight="1" x14ac:dyDescent="0.2"/>
    <row r="37489" ht="9.9499999999999993" hidden="1" customHeight="1" x14ac:dyDescent="0.2"/>
    <row r="37490" ht="9.9499999999999993" hidden="1" customHeight="1" x14ac:dyDescent="0.2"/>
    <row r="37491" ht="9.9499999999999993" hidden="1" customHeight="1" x14ac:dyDescent="0.2"/>
    <row r="37492" ht="9.9499999999999993" hidden="1" customHeight="1" x14ac:dyDescent="0.2"/>
    <row r="37493" ht="9.9499999999999993" hidden="1" customHeight="1" x14ac:dyDescent="0.2"/>
    <row r="37494" ht="9.9499999999999993" hidden="1" customHeight="1" x14ac:dyDescent="0.2"/>
    <row r="37495" ht="9.9499999999999993" hidden="1" customHeight="1" x14ac:dyDescent="0.2"/>
    <row r="37496" ht="9.9499999999999993" hidden="1" customHeight="1" x14ac:dyDescent="0.2"/>
    <row r="37497" ht="9.9499999999999993" hidden="1" customHeight="1" x14ac:dyDescent="0.2"/>
    <row r="37498" ht="9.9499999999999993" hidden="1" customHeight="1" x14ac:dyDescent="0.2"/>
    <row r="37499" ht="9.9499999999999993" hidden="1" customHeight="1" x14ac:dyDescent="0.2"/>
    <row r="37500" ht="9.9499999999999993" hidden="1" customHeight="1" x14ac:dyDescent="0.2"/>
    <row r="37501" ht="9.9499999999999993" hidden="1" customHeight="1" x14ac:dyDescent="0.2"/>
    <row r="37502" ht="9.9499999999999993" hidden="1" customHeight="1" x14ac:dyDescent="0.2"/>
    <row r="37503" ht="9.9499999999999993" hidden="1" customHeight="1" x14ac:dyDescent="0.2"/>
    <row r="37504" ht="9.9499999999999993" hidden="1" customHeight="1" x14ac:dyDescent="0.2"/>
    <row r="37505" ht="9.9499999999999993" hidden="1" customHeight="1" x14ac:dyDescent="0.2"/>
    <row r="37506" ht="9.9499999999999993" hidden="1" customHeight="1" x14ac:dyDescent="0.2"/>
    <row r="37507" ht="9.9499999999999993" hidden="1" customHeight="1" x14ac:dyDescent="0.2"/>
    <row r="37508" ht="9.9499999999999993" hidden="1" customHeight="1" x14ac:dyDescent="0.2"/>
    <row r="37509" ht="9.9499999999999993" hidden="1" customHeight="1" x14ac:dyDescent="0.2"/>
    <row r="37510" ht="9.9499999999999993" hidden="1" customHeight="1" x14ac:dyDescent="0.2"/>
    <row r="37511" ht="9.9499999999999993" hidden="1" customHeight="1" x14ac:dyDescent="0.2"/>
    <row r="37512" ht="9.9499999999999993" hidden="1" customHeight="1" x14ac:dyDescent="0.2"/>
    <row r="37513" ht="9.9499999999999993" hidden="1" customHeight="1" x14ac:dyDescent="0.2"/>
    <row r="37514" ht="9.9499999999999993" hidden="1" customHeight="1" x14ac:dyDescent="0.2"/>
    <row r="37515" ht="9.9499999999999993" hidden="1" customHeight="1" x14ac:dyDescent="0.2"/>
    <row r="37516" ht="9.9499999999999993" hidden="1" customHeight="1" x14ac:dyDescent="0.2"/>
    <row r="37517" ht="9.9499999999999993" hidden="1" customHeight="1" x14ac:dyDescent="0.2"/>
    <row r="37518" ht="9.9499999999999993" hidden="1" customHeight="1" x14ac:dyDescent="0.2"/>
    <row r="37519" ht="9.9499999999999993" hidden="1" customHeight="1" x14ac:dyDescent="0.2"/>
    <row r="37520" ht="9.9499999999999993" hidden="1" customHeight="1" x14ac:dyDescent="0.2"/>
    <row r="37521" ht="9.9499999999999993" hidden="1" customHeight="1" x14ac:dyDescent="0.2"/>
    <row r="37522" ht="9.9499999999999993" hidden="1" customHeight="1" x14ac:dyDescent="0.2"/>
    <row r="37523" ht="9.9499999999999993" hidden="1" customHeight="1" x14ac:dyDescent="0.2"/>
    <row r="37524" ht="9.9499999999999993" hidden="1" customHeight="1" x14ac:dyDescent="0.2"/>
    <row r="37525" ht="9.9499999999999993" hidden="1" customHeight="1" x14ac:dyDescent="0.2"/>
    <row r="37526" ht="9.9499999999999993" hidden="1" customHeight="1" x14ac:dyDescent="0.2"/>
    <row r="37527" ht="9.9499999999999993" hidden="1" customHeight="1" x14ac:dyDescent="0.2"/>
    <row r="37528" ht="9.9499999999999993" hidden="1" customHeight="1" x14ac:dyDescent="0.2"/>
    <row r="37529" ht="9.9499999999999993" hidden="1" customHeight="1" x14ac:dyDescent="0.2"/>
    <row r="37530" ht="9.9499999999999993" hidden="1" customHeight="1" x14ac:dyDescent="0.2"/>
    <row r="37531" ht="9.9499999999999993" hidden="1" customHeight="1" x14ac:dyDescent="0.2"/>
    <row r="37532" ht="9.9499999999999993" hidden="1" customHeight="1" x14ac:dyDescent="0.2"/>
    <row r="37533" ht="9.9499999999999993" hidden="1" customHeight="1" x14ac:dyDescent="0.2"/>
    <row r="37534" ht="9.9499999999999993" hidden="1" customHeight="1" x14ac:dyDescent="0.2"/>
    <row r="37535" ht="9.9499999999999993" hidden="1" customHeight="1" x14ac:dyDescent="0.2"/>
    <row r="37536" ht="9.9499999999999993" hidden="1" customHeight="1" x14ac:dyDescent="0.2"/>
    <row r="37537" ht="9.9499999999999993" hidden="1" customHeight="1" x14ac:dyDescent="0.2"/>
    <row r="37538" ht="9.9499999999999993" hidden="1" customHeight="1" x14ac:dyDescent="0.2"/>
    <row r="37539" ht="9.9499999999999993" hidden="1" customHeight="1" x14ac:dyDescent="0.2"/>
    <row r="37540" ht="9.9499999999999993" hidden="1" customHeight="1" x14ac:dyDescent="0.2"/>
    <row r="37541" ht="9.9499999999999993" hidden="1" customHeight="1" x14ac:dyDescent="0.2"/>
    <row r="37542" ht="9.9499999999999993" hidden="1" customHeight="1" x14ac:dyDescent="0.2"/>
    <row r="37543" ht="9.9499999999999993" hidden="1" customHeight="1" x14ac:dyDescent="0.2"/>
    <row r="37544" ht="9.9499999999999993" hidden="1" customHeight="1" x14ac:dyDescent="0.2"/>
    <row r="37545" ht="9.9499999999999993" hidden="1" customHeight="1" x14ac:dyDescent="0.2"/>
    <row r="37546" ht="9.9499999999999993" hidden="1" customHeight="1" x14ac:dyDescent="0.2"/>
    <row r="37547" ht="9.9499999999999993" hidden="1" customHeight="1" x14ac:dyDescent="0.2"/>
    <row r="37548" ht="9.9499999999999993" hidden="1" customHeight="1" x14ac:dyDescent="0.2"/>
    <row r="37549" ht="9.9499999999999993" hidden="1" customHeight="1" x14ac:dyDescent="0.2"/>
    <row r="37550" ht="9.9499999999999993" hidden="1" customHeight="1" x14ac:dyDescent="0.2"/>
    <row r="37551" ht="9.9499999999999993" hidden="1" customHeight="1" x14ac:dyDescent="0.2"/>
    <row r="37552" ht="9.9499999999999993" hidden="1" customHeight="1" x14ac:dyDescent="0.2"/>
    <row r="37553" ht="9.9499999999999993" hidden="1" customHeight="1" x14ac:dyDescent="0.2"/>
    <row r="37554" ht="9.9499999999999993" hidden="1" customHeight="1" x14ac:dyDescent="0.2"/>
    <row r="37555" ht="9.9499999999999993" hidden="1" customHeight="1" x14ac:dyDescent="0.2"/>
    <row r="37556" ht="9.9499999999999993" hidden="1" customHeight="1" x14ac:dyDescent="0.2"/>
    <row r="37557" ht="9.9499999999999993" hidden="1" customHeight="1" x14ac:dyDescent="0.2"/>
    <row r="37558" ht="9.9499999999999993" hidden="1" customHeight="1" x14ac:dyDescent="0.2"/>
    <row r="37559" ht="9.9499999999999993" hidden="1" customHeight="1" x14ac:dyDescent="0.2"/>
    <row r="37560" ht="9.9499999999999993" hidden="1" customHeight="1" x14ac:dyDescent="0.2"/>
    <row r="37561" ht="9.9499999999999993" hidden="1" customHeight="1" x14ac:dyDescent="0.2"/>
    <row r="37562" ht="9.9499999999999993" hidden="1" customHeight="1" x14ac:dyDescent="0.2"/>
    <row r="37563" ht="9.9499999999999993" hidden="1" customHeight="1" x14ac:dyDescent="0.2"/>
    <row r="37564" ht="9.9499999999999993" hidden="1" customHeight="1" x14ac:dyDescent="0.2"/>
    <row r="37565" ht="9.9499999999999993" hidden="1" customHeight="1" x14ac:dyDescent="0.2"/>
    <row r="37566" ht="9.9499999999999993" hidden="1" customHeight="1" x14ac:dyDescent="0.2"/>
    <row r="37567" ht="9.9499999999999993" hidden="1" customHeight="1" x14ac:dyDescent="0.2"/>
    <row r="37568" ht="9.9499999999999993" hidden="1" customHeight="1" x14ac:dyDescent="0.2"/>
    <row r="37569" ht="9.9499999999999993" hidden="1" customHeight="1" x14ac:dyDescent="0.2"/>
    <row r="37570" ht="9.9499999999999993" hidden="1" customHeight="1" x14ac:dyDescent="0.2"/>
    <row r="37571" ht="9.9499999999999993" hidden="1" customHeight="1" x14ac:dyDescent="0.2"/>
    <row r="37572" ht="9.9499999999999993" hidden="1" customHeight="1" x14ac:dyDescent="0.2"/>
    <row r="37573" ht="9.9499999999999993" hidden="1" customHeight="1" x14ac:dyDescent="0.2"/>
    <row r="37574" ht="9.9499999999999993" hidden="1" customHeight="1" x14ac:dyDescent="0.2"/>
    <row r="37575" ht="9.9499999999999993" hidden="1" customHeight="1" x14ac:dyDescent="0.2"/>
    <row r="37576" ht="9.9499999999999993" hidden="1" customHeight="1" x14ac:dyDescent="0.2"/>
    <row r="37577" ht="9.9499999999999993" hidden="1" customHeight="1" x14ac:dyDescent="0.2"/>
    <row r="37578" ht="9.9499999999999993" hidden="1" customHeight="1" x14ac:dyDescent="0.2"/>
    <row r="37579" ht="9.9499999999999993" hidden="1" customHeight="1" x14ac:dyDescent="0.2"/>
    <row r="37580" ht="9.9499999999999993" hidden="1" customHeight="1" x14ac:dyDescent="0.2"/>
    <row r="37581" ht="9.9499999999999993" hidden="1" customHeight="1" x14ac:dyDescent="0.2"/>
    <row r="37582" ht="9.9499999999999993" hidden="1" customHeight="1" x14ac:dyDescent="0.2"/>
    <row r="37583" ht="9.9499999999999993" hidden="1" customHeight="1" x14ac:dyDescent="0.2"/>
    <row r="37584" ht="9.9499999999999993" hidden="1" customHeight="1" x14ac:dyDescent="0.2"/>
    <row r="37585" ht="9.9499999999999993" hidden="1" customHeight="1" x14ac:dyDescent="0.2"/>
    <row r="37586" ht="9.9499999999999993" hidden="1" customHeight="1" x14ac:dyDescent="0.2"/>
    <row r="37587" ht="9.9499999999999993" hidden="1" customHeight="1" x14ac:dyDescent="0.2"/>
    <row r="37588" ht="9.9499999999999993" hidden="1" customHeight="1" x14ac:dyDescent="0.2"/>
    <row r="37589" ht="9.9499999999999993" hidden="1" customHeight="1" x14ac:dyDescent="0.2"/>
    <row r="37590" ht="9.9499999999999993" hidden="1" customHeight="1" x14ac:dyDescent="0.2"/>
    <row r="37591" ht="9.9499999999999993" hidden="1" customHeight="1" x14ac:dyDescent="0.2"/>
    <row r="37592" ht="9.9499999999999993" hidden="1" customHeight="1" x14ac:dyDescent="0.2"/>
    <row r="37593" ht="9.9499999999999993" hidden="1" customHeight="1" x14ac:dyDescent="0.2"/>
    <row r="37594" ht="9.9499999999999993" hidden="1" customHeight="1" x14ac:dyDescent="0.2"/>
    <row r="37595" ht="9.9499999999999993" hidden="1" customHeight="1" x14ac:dyDescent="0.2"/>
    <row r="37596" ht="9.9499999999999993" hidden="1" customHeight="1" x14ac:dyDescent="0.2"/>
    <row r="37597" ht="9.9499999999999993" hidden="1" customHeight="1" x14ac:dyDescent="0.2"/>
    <row r="37598" ht="9.9499999999999993" hidden="1" customHeight="1" x14ac:dyDescent="0.2"/>
    <row r="37599" ht="9.9499999999999993" hidden="1" customHeight="1" x14ac:dyDescent="0.2"/>
    <row r="37600" ht="9.9499999999999993" hidden="1" customHeight="1" x14ac:dyDescent="0.2"/>
    <row r="37601" ht="9.9499999999999993" hidden="1" customHeight="1" x14ac:dyDescent="0.2"/>
    <row r="37602" ht="9.9499999999999993" hidden="1" customHeight="1" x14ac:dyDescent="0.2"/>
    <row r="37603" ht="9.9499999999999993" hidden="1" customHeight="1" x14ac:dyDescent="0.2"/>
    <row r="37604" ht="9.9499999999999993" hidden="1" customHeight="1" x14ac:dyDescent="0.2"/>
    <row r="37605" ht="9.9499999999999993" hidden="1" customHeight="1" x14ac:dyDescent="0.2"/>
    <row r="37606" ht="9.9499999999999993" hidden="1" customHeight="1" x14ac:dyDescent="0.2"/>
    <row r="37607" ht="9.9499999999999993" hidden="1" customHeight="1" x14ac:dyDescent="0.2"/>
    <row r="37608" ht="9.9499999999999993" hidden="1" customHeight="1" x14ac:dyDescent="0.2"/>
    <row r="37609" ht="9.9499999999999993" hidden="1" customHeight="1" x14ac:dyDescent="0.2"/>
    <row r="37610" ht="9.9499999999999993" hidden="1" customHeight="1" x14ac:dyDescent="0.2"/>
    <row r="37611" ht="9.9499999999999993" hidden="1" customHeight="1" x14ac:dyDescent="0.2"/>
    <row r="37612" ht="9.9499999999999993" hidden="1" customHeight="1" x14ac:dyDescent="0.2"/>
    <row r="37613" ht="9.9499999999999993" hidden="1" customHeight="1" x14ac:dyDescent="0.2"/>
    <row r="37614" ht="9.9499999999999993" hidden="1" customHeight="1" x14ac:dyDescent="0.2"/>
    <row r="37615" ht="9.9499999999999993" hidden="1" customHeight="1" x14ac:dyDescent="0.2"/>
    <row r="37616" ht="9.9499999999999993" hidden="1" customHeight="1" x14ac:dyDescent="0.2"/>
    <row r="37617" ht="9.9499999999999993" hidden="1" customHeight="1" x14ac:dyDescent="0.2"/>
    <row r="37618" ht="9.9499999999999993" hidden="1" customHeight="1" x14ac:dyDescent="0.2"/>
    <row r="37619" ht="9.9499999999999993" hidden="1" customHeight="1" x14ac:dyDescent="0.2"/>
    <row r="37620" ht="9.9499999999999993" hidden="1" customHeight="1" x14ac:dyDescent="0.2"/>
    <row r="37621" ht="9.9499999999999993" hidden="1" customHeight="1" x14ac:dyDescent="0.2"/>
    <row r="37622" ht="9.9499999999999993" hidden="1" customHeight="1" x14ac:dyDescent="0.2"/>
    <row r="37623" ht="9.9499999999999993" hidden="1" customHeight="1" x14ac:dyDescent="0.2"/>
    <row r="37624" ht="9.9499999999999993" hidden="1" customHeight="1" x14ac:dyDescent="0.2"/>
    <row r="37625" ht="9.9499999999999993" hidden="1" customHeight="1" x14ac:dyDescent="0.2"/>
    <row r="37626" ht="9.9499999999999993" hidden="1" customHeight="1" x14ac:dyDescent="0.2"/>
    <row r="37627" ht="9.9499999999999993" hidden="1" customHeight="1" x14ac:dyDescent="0.2"/>
    <row r="37628" ht="9.9499999999999993" hidden="1" customHeight="1" x14ac:dyDescent="0.2"/>
    <row r="37629" ht="9.9499999999999993" hidden="1" customHeight="1" x14ac:dyDescent="0.2"/>
    <row r="37630" ht="9.9499999999999993" hidden="1" customHeight="1" x14ac:dyDescent="0.2"/>
    <row r="37631" ht="9.9499999999999993" hidden="1" customHeight="1" x14ac:dyDescent="0.2"/>
    <row r="37632" ht="9.9499999999999993" hidden="1" customHeight="1" x14ac:dyDescent="0.2"/>
    <row r="37633" ht="9.9499999999999993" hidden="1" customHeight="1" x14ac:dyDescent="0.2"/>
    <row r="37634" ht="9.9499999999999993" hidden="1" customHeight="1" x14ac:dyDescent="0.2"/>
    <row r="37635" ht="9.9499999999999993" hidden="1" customHeight="1" x14ac:dyDescent="0.2"/>
    <row r="37636" ht="9.9499999999999993" hidden="1" customHeight="1" x14ac:dyDescent="0.2"/>
    <row r="37637" ht="9.9499999999999993" hidden="1" customHeight="1" x14ac:dyDescent="0.2"/>
    <row r="37638" ht="9.9499999999999993" hidden="1" customHeight="1" x14ac:dyDescent="0.2"/>
    <row r="37639" ht="9.9499999999999993" hidden="1" customHeight="1" x14ac:dyDescent="0.2"/>
    <row r="37640" ht="9.9499999999999993" hidden="1" customHeight="1" x14ac:dyDescent="0.2"/>
    <row r="37641" ht="9.9499999999999993" hidden="1" customHeight="1" x14ac:dyDescent="0.2"/>
    <row r="37642" ht="9.9499999999999993" hidden="1" customHeight="1" x14ac:dyDescent="0.2"/>
    <row r="37643" ht="9.9499999999999993" hidden="1" customHeight="1" x14ac:dyDescent="0.2"/>
    <row r="37644" ht="9.9499999999999993" hidden="1" customHeight="1" x14ac:dyDescent="0.2"/>
    <row r="37645" ht="9.9499999999999993" hidden="1" customHeight="1" x14ac:dyDescent="0.2"/>
    <row r="37646" ht="9.9499999999999993" hidden="1" customHeight="1" x14ac:dyDescent="0.2"/>
    <row r="37647" ht="9.9499999999999993" hidden="1" customHeight="1" x14ac:dyDescent="0.2"/>
    <row r="37648" ht="9.9499999999999993" hidden="1" customHeight="1" x14ac:dyDescent="0.2"/>
    <row r="37649" ht="9.9499999999999993" hidden="1" customHeight="1" x14ac:dyDescent="0.2"/>
    <row r="37650" ht="9.9499999999999993" hidden="1" customHeight="1" x14ac:dyDescent="0.2"/>
    <row r="37651" ht="9.9499999999999993" hidden="1" customHeight="1" x14ac:dyDescent="0.2"/>
    <row r="37652" ht="9.9499999999999993" hidden="1" customHeight="1" x14ac:dyDescent="0.2"/>
    <row r="37653" ht="9.9499999999999993" hidden="1" customHeight="1" x14ac:dyDescent="0.2"/>
    <row r="37654" ht="9.9499999999999993" hidden="1" customHeight="1" x14ac:dyDescent="0.2"/>
    <row r="37655" ht="9.9499999999999993" hidden="1" customHeight="1" x14ac:dyDescent="0.2"/>
    <row r="37656" ht="9.9499999999999993" hidden="1" customHeight="1" x14ac:dyDescent="0.2"/>
    <row r="37657" ht="9.9499999999999993" hidden="1" customHeight="1" x14ac:dyDescent="0.2"/>
    <row r="37658" ht="9.9499999999999993" hidden="1" customHeight="1" x14ac:dyDescent="0.2"/>
    <row r="37659" ht="9.9499999999999993" hidden="1" customHeight="1" x14ac:dyDescent="0.2"/>
    <row r="37660" ht="9.9499999999999993" hidden="1" customHeight="1" x14ac:dyDescent="0.2"/>
    <row r="37661" ht="9.9499999999999993" hidden="1" customHeight="1" x14ac:dyDescent="0.2"/>
    <row r="37662" ht="9.9499999999999993" hidden="1" customHeight="1" x14ac:dyDescent="0.2"/>
    <row r="37663" ht="9.9499999999999993" hidden="1" customHeight="1" x14ac:dyDescent="0.2"/>
    <row r="37664" ht="9.9499999999999993" hidden="1" customHeight="1" x14ac:dyDescent="0.2"/>
    <row r="37665" ht="9.9499999999999993" hidden="1" customHeight="1" x14ac:dyDescent="0.2"/>
    <row r="37666" ht="9.9499999999999993" hidden="1" customHeight="1" x14ac:dyDescent="0.2"/>
    <row r="37667" ht="9.9499999999999993" hidden="1" customHeight="1" x14ac:dyDescent="0.2"/>
    <row r="37668" ht="9.9499999999999993" hidden="1" customHeight="1" x14ac:dyDescent="0.2"/>
    <row r="37669" ht="9.9499999999999993" hidden="1" customHeight="1" x14ac:dyDescent="0.2"/>
    <row r="37670" ht="9.9499999999999993" hidden="1" customHeight="1" x14ac:dyDescent="0.2"/>
    <row r="37671" ht="9.9499999999999993" hidden="1" customHeight="1" x14ac:dyDescent="0.2"/>
    <row r="37672" ht="9.9499999999999993" hidden="1" customHeight="1" x14ac:dyDescent="0.2"/>
    <row r="37673" ht="9.9499999999999993" hidden="1" customHeight="1" x14ac:dyDescent="0.2"/>
    <row r="37674" ht="9.9499999999999993" hidden="1" customHeight="1" x14ac:dyDescent="0.2"/>
    <row r="37675" ht="9.9499999999999993" hidden="1" customHeight="1" x14ac:dyDescent="0.2"/>
    <row r="37676" ht="9.9499999999999993" hidden="1" customHeight="1" x14ac:dyDescent="0.2"/>
    <row r="37677" ht="9.9499999999999993" hidden="1" customHeight="1" x14ac:dyDescent="0.2"/>
    <row r="37678" ht="9.9499999999999993" hidden="1" customHeight="1" x14ac:dyDescent="0.2"/>
    <row r="37679" ht="9.9499999999999993" hidden="1" customHeight="1" x14ac:dyDescent="0.2"/>
    <row r="37680" ht="9.9499999999999993" hidden="1" customHeight="1" x14ac:dyDescent="0.2"/>
    <row r="37681" ht="9.9499999999999993" hidden="1" customHeight="1" x14ac:dyDescent="0.2"/>
    <row r="37682" ht="9.9499999999999993" hidden="1" customHeight="1" x14ac:dyDescent="0.2"/>
    <row r="37683" ht="9.9499999999999993" hidden="1" customHeight="1" x14ac:dyDescent="0.2"/>
    <row r="37684" ht="9.9499999999999993" hidden="1" customHeight="1" x14ac:dyDescent="0.2"/>
    <row r="37685" ht="9.9499999999999993" hidden="1" customHeight="1" x14ac:dyDescent="0.2"/>
    <row r="37686" ht="9.9499999999999993" hidden="1" customHeight="1" x14ac:dyDescent="0.2"/>
    <row r="37687" ht="9.9499999999999993" hidden="1" customHeight="1" x14ac:dyDescent="0.2"/>
    <row r="37688" ht="9.9499999999999993" hidden="1" customHeight="1" x14ac:dyDescent="0.2"/>
    <row r="37689" ht="9.9499999999999993" hidden="1" customHeight="1" x14ac:dyDescent="0.2"/>
    <row r="37690" ht="9.9499999999999993" hidden="1" customHeight="1" x14ac:dyDescent="0.2"/>
    <row r="37691" ht="9.9499999999999993" hidden="1" customHeight="1" x14ac:dyDescent="0.2"/>
    <row r="37692" ht="9.9499999999999993" hidden="1" customHeight="1" x14ac:dyDescent="0.2"/>
    <row r="37693" ht="9.9499999999999993" hidden="1" customHeight="1" x14ac:dyDescent="0.2"/>
    <row r="37694" ht="9.9499999999999993" hidden="1" customHeight="1" x14ac:dyDescent="0.2"/>
    <row r="37695" ht="9.9499999999999993" hidden="1" customHeight="1" x14ac:dyDescent="0.2"/>
    <row r="37696" ht="9.9499999999999993" hidden="1" customHeight="1" x14ac:dyDescent="0.2"/>
    <row r="37697" ht="9.9499999999999993" hidden="1" customHeight="1" x14ac:dyDescent="0.2"/>
    <row r="37698" ht="9.9499999999999993" hidden="1" customHeight="1" x14ac:dyDescent="0.2"/>
    <row r="37699" ht="9.9499999999999993" hidden="1" customHeight="1" x14ac:dyDescent="0.2"/>
    <row r="37700" ht="9.9499999999999993" hidden="1" customHeight="1" x14ac:dyDescent="0.2"/>
    <row r="37701" ht="9.9499999999999993" hidden="1" customHeight="1" x14ac:dyDescent="0.2"/>
    <row r="37702" ht="9.9499999999999993" hidden="1" customHeight="1" x14ac:dyDescent="0.2"/>
    <row r="37703" ht="9.9499999999999993" hidden="1" customHeight="1" x14ac:dyDescent="0.2"/>
    <row r="37704" ht="9.9499999999999993" hidden="1" customHeight="1" x14ac:dyDescent="0.2"/>
    <row r="37705" ht="9.9499999999999993" hidden="1" customHeight="1" x14ac:dyDescent="0.2"/>
    <row r="37706" ht="9.9499999999999993" hidden="1" customHeight="1" x14ac:dyDescent="0.2"/>
    <row r="37707" ht="9.9499999999999993" hidden="1" customHeight="1" x14ac:dyDescent="0.2"/>
    <row r="37708" ht="9.9499999999999993" hidden="1" customHeight="1" x14ac:dyDescent="0.2"/>
    <row r="37709" ht="9.9499999999999993" hidden="1" customHeight="1" x14ac:dyDescent="0.2"/>
    <row r="37710" ht="9.9499999999999993" hidden="1" customHeight="1" x14ac:dyDescent="0.2"/>
    <row r="37711" ht="9.9499999999999993" hidden="1" customHeight="1" x14ac:dyDescent="0.2"/>
    <row r="37712" ht="9.9499999999999993" hidden="1" customHeight="1" x14ac:dyDescent="0.2"/>
    <row r="37713" ht="9.9499999999999993" hidden="1" customHeight="1" x14ac:dyDescent="0.2"/>
    <row r="37714" ht="9.9499999999999993" hidden="1" customHeight="1" x14ac:dyDescent="0.2"/>
    <row r="37715" ht="9.9499999999999993" hidden="1" customHeight="1" x14ac:dyDescent="0.2"/>
    <row r="37716" ht="9.9499999999999993" hidden="1" customHeight="1" x14ac:dyDescent="0.2"/>
    <row r="37717" ht="9.9499999999999993" hidden="1" customHeight="1" x14ac:dyDescent="0.2"/>
    <row r="37718" ht="9.9499999999999993" hidden="1" customHeight="1" x14ac:dyDescent="0.2"/>
    <row r="37719" ht="9.9499999999999993" hidden="1" customHeight="1" x14ac:dyDescent="0.2"/>
    <row r="37720" ht="9.9499999999999993" hidden="1" customHeight="1" x14ac:dyDescent="0.2"/>
    <row r="37721" ht="9.9499999999999993" hidden="1" customHeight="1" x14ac:dyDescent="0.2"/>
    <row r="37722" ht="9.9499999999999993" hidden="1" customHeight="1" x14ac:dyDescent="0.2"/>
    <row r="37723" ht="9.9499999999999993" hidden="1" customHeight="1" x14ac:dyDescent="0.2"/>
    <row r="37724" ht="9.9499999999999993" hidden="1" customHeight="1" x14ac:dyDescent="0.2"/>
    <row r="37725" ht="9.9499999999999993" hidden="1" customHeight="1" x14ac:dyDescent="0.2"/>
    <row r="37726" ht="9.9499999999999993" hidden="1" customHeight="1" x14ac:dyDescent="0.2"/>
    <row r="37727" ht="9.9499999999999993" hidden="1" customHeight="1" x14ac:dyDescent="0.2"/>
    <row r="37728" ht="9.9499999999999993" hidden="1" customHeight="1" x14ac:dyDescent="0.2"/>
    <row r="37729" ht="9.9499999999999993" hidden="1" customHeight="1" x14ac:dyDescent="0.2"/>
    <row r="37730" ht="9.9499999999999993" hidden="1" customHeight="1" x14ac:dyDescent="0.2"/>
    <row r="37731" ht="9.9499999999999993" hidden="1" customHeight="1" x14ac:dyDescent="0.2"/>
    <row r="37732" ht="9.9499999999999993" hidden="1" customHeight="1" x14ac:dyDescent="0.2"/>
    <row r="37733" ht="9.9499999999999993" hidden="1" customHeight="1" x14ac:dyDescent="0.2"/>
    <row r="37734" ht="9.9499999999999993" hidden="1" customHeight="1" x14ac:dyDescent="0.2"/>
    <row r="37735" ht="9.9499999999999993" hidden="1" customHeight="1" x14ac:dyDescent="0.2"/>
    <row r="37736" ht="9.9499999999999993" hidden="1" customHeight="1" x14ac:dyDescent="0.2"/>
    <row r="37737" ht="9.9499999999999993" hidden="1" customHeight="1" x14ac:dyDescent="0.2"/>
    <row r="37738" ht="9.9499999999999993" hidden="1" customHeight="1" x14ac:dyDescent="0.2"/>
    <row r="37739" ht="9.9499999999999993" hidden="1" customHeight="1" x14ac:dyDescent="0.2"/>
    <row r="37740" ht="9.9499999999999993" hidden="1" customHeight="1" x14ac:dyDescent="0.2"/>
    <row r="37741" ht="9.9499999999999993" hidden="1" customHeight="1" x14ac:dyDescent="0.2"/>
    <row r="37742" ht="9.9499999999999993" hidden="1" customHeight="1" x14ac:dyDescent="0.2"/>
    <row r="37743" ht="9.9499999999999993" hidden="1" customHeight="1" x14ac:dyDescent="0.2"/>
    <row r="37744" ht="9.9499999999999993" hidden="1" customHeight="1" x14ac:dyDescent="0.2"/>
    <row r="37745" ht="9.9499999999999993" hidden="1" customHeight="1" x14ac:dyDescent="0.2"/>
    <row r="37746" ht="9.9499999999999993" hidden="1" customHeight="1" x14ac:dyDescent="0.2"/>
    <row r="37747" ht="9.9499999999999993" hidden="1" customHeight="1" x14ac:dyDescent="0.2"/>
    <row r="37748" ht="9.9499999999999993" hidden="1" customHeight="1" x14ac:dyDescent="0.2"/>
    <row r="37749" ht="9.9499999999999993" hidden="1" customHeight="1" x14ac:dyDescent="0.2"/>
    <row r="37750" ht="9.9499999999999993" hidden="1" customHeight="1" x14ac:dyDescent="0.2"/>
    <row r="37751" ht="9.9499999999999993" hidden="1" customHeight="1" x14ac:dyDescent="0.2"/>
    <row r="37752" ht="9.9499999999999993" hidden="1" customHeight="1" x14ac:dyDescent="0.2"/>
    <row r="37753" ht="9.9499999999999993" hidden="1" customHeight="1" x14ac:dyDescent="0.2"/>
    <row r="37754" ht="9.9499999999999993" hidden="1" customHeight="1" x14ac:dyDescent="0.2"/>
    <row r="37755" ht="9.9499999999999993" hidden="1" customHeight="1" x14ac:dyDescent="0.2"/>
    <row r="37756" ht="9.9499999999999993" hidden="1" customHeight="1" x14ac:dyDescent="0.2"/>
    <row r="37757" ht="9.9499999999999993" hidden="1" customHeight="1" x14ac:dyDescent="0.2"/>
    <row r="37758" ht="9.9499999999999993" hidden="1" customHeight="1" x14ac:dyDescent="0.2"/>
    <row r="37759" ht="9.9499999999999993" hidden="1" customHeight="1" x14ac:dyDescent="0.2"/>
    <row r="37760" ht="9.9499999999999993" hidden="1" customHeight="1" x14ac:dyDescent="0.2"/>
    <row r="37761" ht="9.9499999999999993" hidden="1" customHeight="1" x14ac:dyDescent="0.2"/>
    <row r="37762" ht="9.9499999999999993" hidden="1" customHeight="1" x14ac:dyDescent="0.2"/>
    <row r="37763" ht="9.9499999999999993" hidden="1" customHeight="1" x14ac:dyDescent="0.2"/>
    <row r="37764" ht="9.9499999999999993" hidden="1" customHeight="1" x14ac:dyDescent="0.2"/>
    <row r="37765" ht="9.9499999999999993" hidden="1" customHeight="1" x14ac:dyDescent="0.2"/>
    <row r="37766" ht="9.9499999999999993" hidden="1" customHeight="1" x14ac:dyDescent="0.2"/>
    <row r="37767" ht="9.9499999999999993" hidden="1" customHeight="1" x14ac:dyDescent="0.2"/>
    <row r="37768" ht="9.9499999999999993" hidden="1" customHeight="1" x14ac:dyDescent="0.2"/>
    <row r="37769" ht="9.9499999999999993" hidden="1" customHeight="1" x14ac:dyDescent="0.2"/>
    <row r="37770" ht="9.9499999999999993" hidden="1" customHeight="1" x14ac:dyDescent="0.2"/>
    <row r="37771" ht="9.9499999999999993" hidden="1" customHeight="1" x14ac:dyDescent="0.2"/>
    <row r="37772" ht="9.9499999999999993" hidden="1" customHeight="1" x14ac:dyDescent="0.2"/>
    <row r="37773" ht="9.9499999999999993" hidden="1" customHeight="1" x14ac:dyDescent="0.2"/>
    <row r="37774" ht="9.9499999999999993" hidden="1" customHeight="1" x14ac:dyDescent="0.2"/>
    <row r="37775" ht="9.9499999999999993" hidden="1" customHeight="1" x14ac:dyDescent="0.2"/>
    <row r="37776" ht="9.9499999999999993" hidden="1" customHeight="1" x14ac:dyDescent="0.2"/>
    <row r="37777" ht="9.9499999999999993" hidden="1" customHeight="1" x14ac:dyDescent="0.2"/>
    <row r="37778" ht="9.9499999999999993" hidden="1" customHeight="1" x14ac:dyDescent="0.2"/>
    <row r="37779" ht="9.9499999999999993" hidden="1" customHeight="1" x14ac:dyDescent="0.2"/>
    <row r="37780" ht="9.9499999999999993" hidden="1" customHeight="1" x14ac:dyDescent="0.2"/>
    <row r="37781" ht="9.9499999999999993" hidden="1" customHeight="1" x14ac:dyDescent="0.2"/>
    <row r="37782" ht="9.9499999999999993" hidden="1" customHeight="1" x14ac:dyDescent="0.2"/>
    <row r="37783" ht="9.9499999999999993" hidden="1" customHeight="1" x14ac:dyDescent="0.2"/>
    <row r="37784" ht="9.9499999999999993" hidden="1" customHeight="1" x14ac:dyDescent="0.2"/>
    <row r="37785" ht="9.9499999999999993" hidden="1" customHeight="1" x14ac:dyDescent="0.2"/>
    <row r="37786" ht="9.9499999999999993" hidden="1" customHeight="1" x14ac:dyDescent="0.2"/>
    <row r="37787" ht="9.9499999999999993" hidden="1" customHeight="1" x14ac:dyDescent="0.2"/>
    <row r="37788" ht="9.9499999999999993" hidden="1" customHeight="1" x14ac:dyDescent="0.2"/>
    <row r="37789" ht="9.9499999999999993" hidden="1" customHeight="1" x14ac:dyDescent="0.2"/>
    <row r="37790" ht="9.9499999999999993" hidden="1" customHeight="1" x14ac:dyDescent="0.2"/>
    <row r="37791" ht="9.9499999999999993" hidden="1" customHeight="1" x14ac:dyDescent="0.2"/>
    <row r="37792" ht="9.9499999999999993" hidden="1" customHeight="1" x14ac:dyDescent="0.2"/>
    <row r="37793" ht="9.9499999999999993" hidden="1" customHeight="1" x14ac:dyDescent="0.2"/>
    <row r="37794" ht="9.9499999999999993" hidden="1" customHeight="1" x14ac:dyDescent="0.2"/>
    <row r="37795" ht="9.9499999999999993" hidden="1" customHeight="1" x14ac:dyDescent="0.2"/>
    <row r="37796" ht="9.9499999999999993" hidden="1" customHeight="1" x14ac:dyDescent="0.2"/>
    <row r="37797" ht="9.9499999999999993" hidden="1" customHeight="1" x14ac:dyDescent="0.2"/>
    <row r="37798" ht="9.9499999999999993" hidden="1" customHeight="1" x14ac:dyDescent="0.2"/>
    <row r="37799" ht="9.9499999999999993" hidden="1" customHeight="1" x14ac:dyDescent="0.2"/>
    <row r="37800" ht="9.9499999999999993" hidden="1" customHeight="1" x14ac:dyDescent="0.2"/>
    <row r="37801" ht="9.9499999999999993" hidden="1" customHeight="1" x14ac:dyDescent="0.2"/>
    <row r="37802" ht="9.9499999999999993" hidden="1" customHeight="1" x14ac:dyDescent="0.2"/>
    <row r="37803" ht="9.9499999999999993" hidden="1" customHeight="1" x14ac:dyDescent="0.2"/>
    <row r="37804" ht="9.9499999999999993" hidden="1" customHeight="1" x14ac:dyDescent="0.2"/>
    <row r="37805" ht="9.9499999999999993" hidden="1" customHeight="1" x14ac:dyDescent="0.2"/>
    <row r="37806" ht="9.9499999999999993" hidden="1" customHeight="1" x14ac:dyDescent="0.2"/>
    <row r="37807" ht="9.9499999999999993" hidden="1" customHeight="1" x14ac:dyDescent="0.2"/>
    <row r="37808" ht="9.9499999999999993" hidden="1" customHeight="1" x14ac:dyDescent="0.2"/>
    <row r="37809" ht="9.9499999999999993" hidden="1" customHeight="1" x14ac:dyDescent="0.2"/>
    <row r="37810" ht="9.9499999999999993" hidden="1" customHeight="1" x14ac:dyDescent="0.2"/>
    <row r="37811" ht="9.9499999999999993" hidden="1" customHeight="1" x14ac:dyDescent="0.2"/>
    <row r="37812" ht="9.9499999999999993" hidden="1" customHeight="1" x14ac:dyDescent="0.2"/>
    <row r="37813" ht="9.9499999999999993" hidden="1" customHeight="1" x14ac:dyDescent="0.2"/>
    <row r="37814" ht="9.9499999999999993" hidden="1" customHeight="1" x14ac:dyDescent="0.2"/>
    <row r="37815" ht="9.9499999999999993" hidden="1" customHeight="1" x14ac:dyDescent="0.2"/>
    <row r="37816" ht="9.9499999999999993" hidden="1" customHeight="1" x14ac:dyDescent="0.2"/>
    <row r="37817" ht="9.9499999999999993" hidden="1" customHeight="1" x14ac:dyDescent="0.2"/>
    <row r="37818" ht="9.9499999999999993" hidden="1" customHeight="1" x14ac:dyDescent="0.2"/>
    <row r="37819" ht="9.9499999999999993" hidden="1" customHeight="1" x14ac:dyDescent="0.2"/>
    <row r="37820" ht="9.9499999999999993" hidden="1" customHeight="1" x14ac:dyDescent="0.2"/>
    <row r="37821" ht="9.9499999999999993" hidden="1" customHeight="1" x14ac:dyDescent="0.2"/>
    <row r="37822" ht="9.9499999999999993" hidden="1" customHeight="1" x14ac:dyDescent="0.2"/>
    <row r="37823" ht="9.9499999999999993" hidden="1" customHeight="1" x14ac:dyDescent="0.2"/>
    <row r="37824" ht="9.9499999999999993" hidden="1" customHeight="1" x14ac:dyDescent="0.2"/>
    <row r="37825" ht="9.9499999999999993" hidden="1" customHeight="1" x14ac:dyDescent="0.2"/>
    <row r="37826" ht="9.9499999999999993" hidden="1" customHeight="1" x14ac:dyDescent="0.2"/>
    <row r="37827" ht="9.9499999999999993" hidden="1" customHeight="1" x14ac:dyDescent="0.2"/>
    <row r="37828" ht="9.9499999999999993" hidden="1" customHeight="1" x14ac:dyDescent="0.2"/>
    <row r="37829" ht="9.9499999999999993" hidden="1" customHeight="1" x14ac:dyDescent="0.2"/>
    <row r="37830" ht="9.9499999999999993" hidden="1" customHeight="1" x14ac:dyDescent="0.2"/>
    <row r="37831" ht="9.9499999999999993" hidden="1" customHeight="1" x14ac:dyDescent="0.2"/>
    <row r="37832" ht="9.9499999999999993" hidden="1" customHeight="1" x14ac:dyDescent="0.2"/>
    <row r="37833" ht="9.9499999999999993" hidden="1" customHeight="1" x14ac:dyDescent="0.2"/>
    <row r="37834" ht="9.9499999999999993" hidden="1" customHeight="1" x14ac:dyDescent="0.2"/>
    <row r="37835" ht="9.9499999999999993" hidden="1" customHeight="1" x14ac:dyDescent="0.2"/>
    <row r="37836" ht="9.9499999999999993" hidden="1" customHeight="1" x14ac:dyDescent="0.2"/>
    <row r="37837" ht="9.9499999999999993" hidden="1" customHeight="1" x14ac:dyDescent="0.2"/>
    <row r="37838" ht="9.9499999999999993" hidden="1" customHeight="1" x14ac:dyDescent="0.2"/>
    <row r="37839" ht="9.9499999999999993" hidden="1" customHeight="1" x14ac:dyDescent="0.2"/>
    <row r="37840" ht="9.9499999999999993" hidden="1" customHeight="1" x14ac:dyDescent="0.2"/>
    <row r="37841" ht="9.9499999999999993" hidden="1" customHeight="1" x14ac:dyDescent="0.2"/>
    <row r="37842" ht="9.9499999999999993" hidden="1" customHeight="1" x14ac:dyDescent="0.2"/>
    <row r="37843" ht="9.9499999999999993" hidden="1" customHeight="1" x14ac:dyDescent="0.2"/>
    <row r="37844" ht="9.9499999999999993" hidden="1" customHeight="1" x14ac:dyDescent="0.2"/>
    <row r="37845" ht="9.9499999999999993" hidden="1" customHeight="1" x14ac:dyDescent="0.2"/>
    <row r="37846" ht="9.9499999999999993" hidden="1" customHeight="1" x14ac:dyDescent="0.2"/>
    <row r="37847" ht="9.9499999999999993" hidden="1" customHeight="1" x14ac:dyDescent="0.2"/>
    <row r="37848" ht="9.9499999999999993" hidden="1" customHeight="1" x14ac:dyDescent="0.2"/>
    <row r="37849" ht="9.9499999999999993" hidden="1" customHeight="1" x14ac:dyDescent="0.2"/>
    <row r="37850" ht="9.9499999999999993" hidden="1" customHeight="1" x14ac:dyDescent="0.2"/>
    <row r="37851" ht="9.9499999999999993" hidden="1" customHeight="1" x14ac:dyDescent="0.2"/>
    <row r="37852" ht="9.9499999999999993" hidden="1" customHeight="1" x14ac:dyDescent="0.2"/>
    <row r="37853" ht="9.9499999999999993" hidden="1" customHeight="1" x14ac:dyDescent="0.2"/>
    <row r="37854" ht="9.9499999999999993" hidden="1" customHeight="1" x14ac:dyDescent="0.2"/>
    <row r="37855" ht="9.9499999999999993" hidden="1" customHeight="1" x14ac:dyDescent="0.2"/>
    <row r="37856" ht="9.9499999999999993" hidden="1" customHeight="1" x14ac:dyDescent="0.2"/>
    <row r="37857" ht="9.9499999999999993" hidden="1" customHeight="1" x14ac:dyDescent="0.2"/>
    <row r="37858" ht="9.9499999999999993" hidden="1" customHeight="1" x14ac:dyDescent="0.2"/>
    <row r="37859" ht="9.9499999999999993" hidden="1" customHeight="1" x14ac:dyDescent="0.2"/>
    <row r="37860" ht="9.9499999999999993" hidden="1" customHeight="1" x14ac:dyDescent="0.2"/>
    <row r="37861" ht="9.9499999999999993" hidden="1" customHeight="1" x14ac:dyDescent="0.2"/>
    <row r="37862" ht="9.9499999999999993" hidden="1" customHeight="1" x14ac:dyDescent="0.2"/>
    <row r="37863" ht="9.9499999999999993" hidden="1" customHeight="1" x14ac:dyDescent="0.2"/>
    <row r="37864" ht="9.9499999999999993" hidden="1" customHeight="1" x14ac:dyDescent="0.2"/>
    <row r="37865" ht="9.9499999999999993" hidden="1" customHeight="1" x14ac:dyDescent="0.2"/>
    <row r="37866" ht="9.9499999999999993" hidden="1" customHeight="1" x14ac:dyDescent="0.2"/>
    <row r="37867" ht="9.9499999999999993" hidden="1" customHeight="1" x14ac:dyDescent="0.2"/>
    <row r="37868" ht="9.9499999999999993" hidden="1" customHeight="1" x14ac:dyDescent="0.2"/>
    <row r="37869" ht="9.9499999999999993" hidden="1" customHeight="1" x14ac:dyDescent="0.2"/>
    <row r="37870" ht="9.9499999999999993" hidden="1" customHeight="1" x14ac:dyDescent="0.2"/>
    <row r="37871" ht="9.9499999999999993" hidden="1" customHeight="1" x14ac:dyDescent="0.2"/>
    <row r="37872" ht="9.9499999999999993" hidden="1" customHeight="1" x14ac:dyDescent="0.2"/>
    <row r="37873" ht="9.9499999999999993" hidden="1" customHeight="1" x14ac:dyDescent="0.2"/>
    <row r="37874" ht="9.9499999999999993" hidden="1" customHeight="1" x14ac:dyDescent="0.2"/>
    <row r="37875" ht="9.9499999999999993" hidden="1" customHeight="1" x14ac:dyDescent="0.2"/>
    <row r="37876" ht="9.9499999999999993" hidden="1" customHeight="1" x14ac:dyDescent="0.2"/>
    <row r="37877" ht="9.9499999999999993" hidden="1" customHeight="1" x14ac:dyDescent="0.2"/>
    <row r="37878" ht="9.9499999999999993" hidden="1" customHeight="1" x14ac:dyDescent="0.2"/>
    <row r="37879" ht="9.9499999999999993" hidden="1" customHeight="1" x14ac:dyDescent="0.2"/>
    <row r="37880" ht="9.9499999999999993" hidden="1" customHeight="1" x14ac:dyDescent="0.2"/>
    <row r="37881" ht="9.9499999999999993" hidden="1" customHeight="1" x14ac:dyDescent="0.2"/>
    <row r="37882" ht="9.9499999999999993" hidden="1" customHeight="1" x14ac:dyDescent="0.2"/>
    <row r="37883" ht="9.9499999999999993" hidden="1" customHeight="1" x14ac:dyDescent="0.2"/>
    <row r="37884" ht="9.9499999999999993" hidden="1" customHeight="1" x14ac:dyDescent="0.2"/>
    <row r="37885" ht="9.9499999999999993" hidden="1" customHeight="1" x14ac:dyDescent="0.2"/>
    <row r="37886" ht="9.9499999999999993" hidden="1" customHeight="1" x14ac:dyDescent="0.2"/>
    <row r="37887" ht="9.9499999999999993" hidden="1" customHeight="1" x14ac:dyDescent="0.2"/>
    <row r="37888" ht="9.9499999999999993" hidden="1" customHeight="1" x14ac:dyDescent="0.2"/>
    <row r="37889" ht="9.9499999999999993" hidden="1" customHeight="1" x14ac:dyDescent="0.2"/>
    <row r="37890" ht="9.9499999999999993" hidden="1" customHeight="1" x14ac:dyDescent="0.2"/>
    <row r="37891" ht="9.9499999999999993" hidden="1" customHeight="1" x14ac:dyDescent="0.2"/>
    <row r="37892" ht="9.9499999999999993" hidden="1" customHeight="1" x14ac:dyDescent="0.2"/>
    <row r="37893" ht="9.9499999999999993" hidden="1" customHeight="1" x14ac:dyDescent="0.2"/>
    <row r="37894" ht="9.9499999999999993" hidden="1" customHeight="1" x14ac:dyDescent="0.2"/>
    <row r="37895" ht="9.9499999999999993" hidden="1" customHeight="1" x14ac:dyDescent="0.2"/>
    <row r="37896" ht="9.9499999999999993" hidden="1" customHeight="1" x14ac:dyDescent="0.2"/>
    <row r="37897" ht="9.9499999999999993" hidden="1" customHeight="1" x14ac:dyDescent="0.2"/>
    <row r="37898" ht="9.9499999999999993" hidden="1" customHeight="1" x14ac:dyDescent="0.2"/>
    <row r="37899" ht="9.9499999999999993" hidden="1" customHeight="1" x14ac:dyDescent="0.2"/>
    <row r="37900" ht="9.9499999999999993" hidden="1" customHeight="1" x14ac:dyDescent="0.2"/>
    <row r="37901" ht="9.9499999999999993" hidden="1" customHeight="1" x14ac:dyDescent="0.2"/>
    <row r="37902" ht="9.9499999999999993" hidden="1" customHeight="1" x14ac:dyDescent="0.2"/>
    <row r="37903" ht="9.9499999999999993" hidden="1" customHeight="1" x14ac:dyDescent="0.2"/>
    <row r="37904" ht="9.9499999999999993" hidden="1" customHeight="1" x14ac:dyDescent="0.2"/>
    <row r="37905" ht="9.9499999999999993" hidden="1" customHeight="1" x14ac:dyDescent="0.2"/>
    <row r="37906" ht="9.9499999999999993" hidden="1" customHeight="1" x14ac:dyDescent="0.2"/>
    <row r="37907" ht="9.9499999999999993" hidden="1" customHeight="1" x14ac:dyDescent="0.2"/>
    <row r="37908" ht="9.9499999999999993" hidden="1" customHeight="1" x14ac:dyDescent="0.2"/>
    <row r="37909" ht="9.9499999999999993" hidden="1" customHeight="1" x14ac:dyDescent="0.2"/>
    <row r="37910" ht="9.9499999999999993" hidden="1" customHeight="1" x14ac:dyDescent="0.2"/>
    <row r="37911" ht="9.9499999999999993" hidden="1" customHeight="1" x14ac:dyDescent="0.2"/>
    <row r="37912" ht="9.9499999999999993" hidden="1" customHeight="1" x14ac:dyDescent="0.2"/>
    <row r="37913" ht="9.9499999999999993" hidden="1" customHeight="1" x14ac:dyDescent="0.2"/>
    <row r="37914" ht="9.9499999999999993" hidden="1" customHeight="1" x14ac:dyDescent="0.2"/>
    <row r="37915" ht="9.9499999999999993" hidden="1" customHeight="1" x14ac:dyDescent="0.2"/>
    <row r="37916" ht="9.9499999999999993" hidden="1" customHeight="1" x14ac:dyDescent="0.2"/>
    <row r="37917" ht="9.9499999999999993" hidden="1" customHeight="1" x14ac:dyDescent="0.2"/>
    <row r="37918" ht="9.9499999999999993" hidden="1" customHeight="1" x14ac:dyDescent="0.2"/>
    <row r="37919" ht="9.9499999999999993" hidden="1" customHeight="1" x14ac:dyDescent="0.2"/>
    <row r="37920" ht="9.9499999999999993" hidden="1" customHeight="1" x14ac:dyDescent="0.2"/>
    <row r="37921" ht="9.9499999999999993" hidden="1" customHeight="1" x14ac:dyDescent="0.2"/>
    <row r="37922" ht="9.9499999999999993" hidden="1" customHeight="1" x14ac:dyDescent="0.2"/>
    <row r="37923" ht="9.9499999999999993" hidden="1" customHeight="1" x14ac:dyDescent="0.2"/>
    <row r="37924" ht="9.9499999999999993" hidden="1" customHeight="1" x14ac:dyDescent="0.2"/>
    <row r="37925" ht="9.9499999999999993" hidden="1" customHeight="1" x14ac:dyDescent="0.2"/>
    <row r="37926" ht="9.9499999999999993" hidden="1" customHeight="1" x14ac:dyDescent="0.2"/>
    <row r="37927" ht="9.9499999999999993" hidden="1" customHeight="1" x14ac:dyDescent="0.2"/>
    <row r="37928" ht="9.9499999999999993" hidden="1" customHeight="1" x14ac:dyDescent="0.2"/>
    <row r="37929" ht="9.9499999999999993" hidden="1" customHeight="1" x14ac:dyDescent="0.2"/>
    <row r="37930" ht="9.9499999999999993" hidden="1" customHeight="1" x14ac:dyDescent="0.2"/>
    <row r="37931" ht="9.9499999999999993" hidden="1" customHeight="1" x14ac:dyDescent="0.2"/>
    <row r="37932" ht="9.9499999999999993" hidden="1" customHeight="1" x14ac:dyDescent="0.2"/>
    <row r="37933" ht="9.9499999999999993" hidden="1" customHeight="1" x14ac:dyDescent="0.2"/>
    <row r="37934" ht="9.9499999999999993" hidden="1" customHeight="1" x14ac:dyDescent="0.2"/>
    <row r="37935" ht="9.9499999999999993" hidden="1" customHeight="1" x14ac:dyDescent="0.2"/>
    <row r="37936" ht="9.9499999999999993" hidden="1" customHeight="1" x14ac:dyDescent="0.2"/>
    <row r="37937" ht="9.9499999999999993" hidden="1" customHeight="1" x14ac:dyDescent="0.2"/>
    <row r="37938" ht="9.9499999999999993" hidden="1" customHeight="1" x14ac:dyDescent="0.2"/>
    <row r="37939" ht="9.9499999999999993" hidden="1" customHeight="1" x14ac:dyDescent="0.2"/>
    <row r="37940" ht="9.9499999999999993" hidden="1" customHeight="1" x14ac:dyDescent="0.2"/>
    <row r="37941" ht="9.9499999999999993" hidden="1" customHeight="1" x14ac:dyDescent="0.2"/>
    <row r="37942" ht="9.9499999999999993" hidden="1" customHeight="1" x14ac:dyDescent="0.2"/>
    <row r="37943" ht="9.9499999999999993" hidden="1" customHeight="1" x14ac:dyDescent="0.2"/>
    <row r="37944" ht="9.9499999999999993" hidden="1" customHeight="1" x14ac:dyDescent="0.2"/>
    <row r="37945" ht="9.9499999999999993" hidden="1" customHeight="1" x14ac:dyDescent="0.2"/>
    <row r="37946" ht="9.9499999999999993" hidden="1" customHeight="1" x14ac:dyDescent="0.2"/>
    <row r="37947" ht="9.9499999999999993" hidden="1" customHeight="1" x14ac:dyDescent="0.2"/>
    <row r="37948" ht="9.9499999999999993" hidden="1" customHeight="1" x14ac:dyDescent="0.2"/>
    <row r="37949" ht="9.9499999999999993" hidden="1" customHeight="1" x14ac:dyDescent="0.2"/>
    <row r="37950" ht="9.9499999999999993" hidden="1" customHeight="1" x14ac:dyDescent="0.2"/>
    <row r="37951" ht="9.9499999999999993" hidden="1" customHeight="1" x14ac:dyDescent="0.2"/>
    <row r="37952" ht="9.9499999999999993" hidden="1" customHeight="1" x14ac:dyDescent="0.2"/>
    <row r="37953" ht="9.9499999999999993" hidden="1" customHeight="1" x14ac:dyDescent="0.2"/>
    <row r="37954" ht="9.9499999999999993" hidden="1" customHeight="1" x14ac:dyDescent="0.2"/>
    <row r="37955" ht="9.9499999999999993" hidden="1" customHeight="1" x14ac:dyDescent="0.2"/>
    <row r="37956" ht="9.9499999999999993" hidden="1" customHeight="1" x14ac:dyDescent="0.2"/>
    <row r="37957" ht="9.9499999999999993" hidden="1" customHeight="1" x14ac:dyDescent="0.2"/>
    <row r="37958" ht="9.9499999999999993" hidden="1" customHeight="1" x14ac:dyDescent="0.2"/>
    <row r="37959" ht="9.9499999999999993" hidden="1" customHeight="1" x14ac:dyDescent="0.2"/>
    <row r="37960" ht="9.9499999999999993" hidden="1" customHeight="1" x14ac:dyDescent="0.2"/>
    <row r="37961" ht="9.9499999999999993" hidden="1" customHeight="1" x14ac:dyDescent="0.2"/>
    <row r="37962" ht="9.9499999999999993" hidden="1" customHeight="1" x14ac:dyDescent="0.2"/>
    <row r="37963" ht="9.9499999999999993" hidden="1" customHeight="1" x14ac:dyDescent="0.2"/>
    <row r="37964" ht="9.9499999999999993" hidden="1" customHeight="1" x14ac:dyDescent="0.2"/>
    <row r="37965" ht="9.9499999999999993" hidden="1" customHeight="1" x14ac:dyDescent="0.2"/>
    <row r="37966" ht="9.9499999999999993" hidden="1" customHeight="1" x14ac:dyDescent="0.2"/>
    <row r="37967" ht="9.9499999999999993" hidden="1" customHeight="1" x14ac:dyDescent="0.2"/>
    <row r="37968" ht="9.9499999999999993" hidden="1" customHeight="1" x14ac:dyDescent="0.2"/>
    <row r="37969" ht="9.9499999999999993" hidden="1" customHeight="1" x14ac:dyDescent="0.2"/>
    <row r="37970" ht="9.9499999999999993" hidden="1" customHeight="1" x14ac:dyDescent="0.2"/>
    <row r="37971" ht="9.9499999999999993" hidden="1" customHeight="1" x14ac:dyDescent="0.2"/>
    <row r="37972" ht="9.9499999999999993" hidden="1" customHeight="1" x14ac:dyDescent="0.2"/>
    <row r="37973" ht="9.9499999999999993" hidden="1" customHeight="1" x14ac:dyDescent="0.2"/>
    <row r="37974" ht="9.9499999999999993" hidden="1" customHeight="1" x14ac:dyDescent="0.2"/>
    <row r="37975" ht="9.9499999999999993" hidden="1" customHeight="1" x14ac:dyDescent="0.2"/>
    <row r="37976" ht="9.9499999999999993" hidden="1" customHeight="1" x14ac:dyDescent="0.2"/>
    <row r="37977" ht="9.9499999999999993" hidden="1" customHeight="1" x14ac:dyDescent="0.2"/>
    <row r="37978" ht="9.9499999999999993" hidden="1" customHeight="1" x14ac:dyDescent="0.2"/>
    <row r="37979" ht="9.9499999999999993" hidden="1" customHeight="1" x14ac:dyDescent="0.2"/>
    <row r="37980" ht="9.9499999999999993" hidden="1" customHeight="1" x14ac:dyDescent="0.2"/>
    <row r="37981" ht="9.9499999999999993" hidden="1" customHeight="1" x14ac:dyDescent="0.2"/>
    <row r="37982" ht="9.9499999999999993" hidden="1" customHeight="1" x14ac:dyDescent="0.2"/>
    <row r="37983" ht="9.9499999999999993" hidden="1" customHeight="1" x14ac:dyDescent="0.2"/>
    <row r="37984" ht="9.9499999999999993" hidden="1" customHeight="1" x14ac:dyDescent="0.2"/>
    <row r="37985" ht="9.9499999999999993" hidden="1" customHeight="1" x14ac:dyDescent="0.2"/>
    <row r="37986" ht="9.9499999999999993" hidden="1" customHeight="1" x14ac:dyDescent="0.2"/>
    <row r="37987" ht="9.9499999999999993" hidden="1" customHeight="1" x14ac:dyDescent="0.2"/>
    <row r="37988" ht="9.9499999999999993" hidden="1" customHeight="1" x14ac:dyDescent="0.2"/>
    <row r="37989" ht="9.9499999999999993" hidden="1" customHeight="1" x14ac:dyDescent="0.2"/>
    <row r="37990" ht="9.9499999999999993" hidden="1" customHeight="1" x14ac:dyDescent="0.2"/>
    <row r="37991" ht="9.9499999999999993" hidden="1" customHeight="1" x14ac:dyDescent="0.2"/>
    <row r="37992" ht="9.9499999999999993" hidden="1" customHeight="1" x14ac:dyDescent="0.2"/>
    <row r="37993" ht="9.9499999999999993" hidden="1" customHeight="1" x14ac:dyDescent="0.2"/>
    <row r="37994" ht="9.9499999999999993" hidden="1" customHeight="1" x14ac:dyDescent="0.2"/>
    <row r="37995" ht="9.9499999999999993" hidden="1" customHeight="1" x14ac:dyDescent="0.2"/>
    <row r="37996" ht="9.9499999999999993" hidden="1" customHeight="1" x14ac:dyDescent="0.2"/>
    <row r="37997" ht="9.9499999999999993" hidden="1" customHeight="1" x14ac:dyDescent="0.2"/>
    <row r="37998" ht="9.9499999999999993" hidden="1" customHeight="1" x14ac:dyDescent="0.2"/>
    <row r="37999" ht="9.9499999999999993" hidden="1" customHeight="1" x14ac:dyDescent="0.2"/>
    <row r="38000" ht="9.9499999999999993" hidden="1" customHeight="1" x14ac:dyDescent="0.2"/>
    <row r="38001" ht="9.9499999999999993" hidden="1" customHeight="1" x14ac:dyDescent="0.2"/>
    <row r="38002" ht="9.9499999999999993" hidden="1" customHeight="1" x14ac:dyDescent="0.2"/>
    <row r="38003" ht="9.9499999999999993" hidden="1" customHeight="1" x14ac:dyDescent="0.2"/>
    <row r="38004" ht="9.9499999999999993" hidden="1" customHeight="1" x14ac:dyDescent="0.2"/>
    <row r="38005" ht="9.9499999999999993" hidden="1" customHeight="1" x14ac:dyDescent="0.2"/>
    <row r="38006" ht="9.9499999999999993" hidden="1" customHeight="1" x14ac:dyDescent="0.2"/>
    <row r="38007" ht="9.9499999999999993" hidden="1" customHeight="1" x14ac:dyDescent="0.2"/>
    <row r="38008" ht="9.9499999999999993" hidden="1" customHeight="1" x14ac:dyDescent="0.2"/>
    <row r="38009" ht="9.9499999999999993" hidden="1" customHeight="1" x14ac:dyDescent="0.2"/>
    <row r="38010" ht="9.9499999999999993" hidden="1" customHeight="1" x14ac:dyDescent="0.2"/>
    <row r="38011" ht="9.9499999999999993" hidden="1" customHeight="1" x14ac:dyDescent="0.2"/>
    <row r="38012" ht="9.9499999999999993" hidden="1" customHeight="1" x14ac:dyDescent="0.2"/>
    <row r="38013" ht="9.9499999999999993" hidden="1" customHeight="1" x14ac:dyDescent="0.2"/>
    <row r="38014" ht="9.9499999999999993" hidden="1" customHeight="1" x14ac:dyDescent="0.2"/>
    <row r="38015" ht="9.9499999999999993" hidden="1" customHeight="1" x14ac:dyDescent="0.2"/>
    <row r="38016" ht="9.9499999999999993" hidden="1" customHeight="1" x14ac:dyDescent="0.2"/>
    <row r="38017" ht="9.9499999999999993" hidden="1" customHeight="1" x14ac:dyDescent="0.2"/>
    <row r="38018" ht="9.9499999999999993" hidden="1" customHeight="1" x14ac:dyDescent="0.2"/>
    <row r="38019" ht="9.9499999999999993" hidden="1" customHeight="1" x14ac:dyDescent="0.2"/>
    <row r="38020" ht="9.9499999999999993" hidden="1" customHeight="1" x14ac:dyDescent="0.2"/>
    <row r="38021" ht="9.9499999999999993" hidden="1" customHeight="1" x14ac:dyDescent="0.2"/>
    <row r="38022" ht="9.9499999999999993" hidden="1" customHeight="1" x14ac:dyDescent="0.2"/>
    <row r="38023" ht="9.9499999999999993" hidden="1" customHeight="1" x14ac:dyDescent="0.2"/>
    <row r="38024" ht="9.9499999999999993" hidden="1" customHeight="1" x14ac:dyDescent="0.2"/>
    <row r="38025" ht="9.9499999999999993" hidden="1" customHeight="1" x14ac:dyDescent="0.2"/>
    <row r="38026" ht="9.9499999999999993" hidden="1" customHeight="1" x14ac:dyDescent="0.2"/>
    <row r="38027" ht="9.9499999999999993" hidden="1" customHeight="1" x14ac:dyDescent="0.2"/>
    <row r="38028" ht="9.9499999999999993" hidden="1" customHeight="1" x14ac:dyDescent="0.2"/>
    <row r="38029" ht="9.9499999999999993" hidden="1" customHeight="1" x14ac:dyDescent="0.2"/>
    <row r="38030" ht="9.9499999999999993" hidden="1" customHeight="1" x14ac:dyDescent="0.2"/>
    <row r="38031" ht="9.9499999999999993" hidden="1" customHeight="1" x14ac:dyDescent="0.2"/>
    <row r="38032" ht="9.9499999999999993" hidden="1" customHeight="1" x14ac:dyDescent="0.2"/>
    <row r="38033" ht="9.9499999999999993" hidden="1" customHeight="1" x14ac:dyDescent="0.2"/>
    <row r="38034" ht="9.9499999999999993" hidden="1" customHeight="1" x14ac:dyDescent="0.2"/>
    <row r="38035" ht="9.9499999999999993" hidden="1" customHeight="1" x14ac:dyDescent="0.2"/>
    <row r="38036" ht="9.9499999999999993" hidden="1" customHeight="1" x14ac:dyDescent="0.2"/>
    <row r="38037" ht="9.9499999999999993" hidden="1" customHeight="1" x14ac:dyDescent="0.2"/>
    <row r="38038" ht="9.9499999999999993" hidden="1" customHeight="1" x14ac:dyDescent="0.2"/>
    <row r="38039" ht="9.9499999999999993" hidden="1" customHeight="1" x14ac:dyDescent="0.2"/>
    <row r="38040" ht="9.9499999999999993" hidden="1" customHeight="1" x14ac:dyDescent="0.2"/>
    <row r="38041" ht="9.9499999999999993" hidden="1" customHeight="1" x14ac:dyDescent="0.2"/>
    <row r="38042" ht="9.9499999999999993" hidden="1" customHeight="1" x14ac:dyDescent="0.2"/>
    <row r="38043" ht="9.9499999999999993" hidden="1" customHeight="1" x14ac:dyDescent="0.2"/>
    <row r="38044" ht="9.9499999999999993" hidden="1" customHeight="1" x14ac:dyDescent="0.2"/>
    <row r="38045" ht="9.9499999999999993" hidden="1" customHeight="1" x14ac:dyDescent="0.2"/>
    <row r="38046" ht="9.9499999999999993" hidden="1" customHeight="1" x14ac:dyDescent="0.2"/>
    <row r="38047" ht="9.9499999999999993" hidden="1" customHeight="1" x14ac:dyDescent="0.2"/>
    <row r="38048" ht="9.9499999999999993" hidden="1" customHeight="1" x14ac:dyDescent="0.2"/>
    <row r="38049" ht="9.9499999999999993" hidden="1" customHeight="1" x14ac:dyDescent="0.2"/>
    <row r="38050" ht="9.9499999999999993" hidden="1" customHeight="1" x14ac:dyDescent="0.2"/>
    <row r="38051" ht="9.9499999999999993" hidden="1" customHeight="1" x14ac:dyDescent="0.2"/>
    <row r="38052" ht="9.9499999999999993" hidden="1" customHeight="1" x14ac:dyDescent="0.2"/>
    <row r="38053" ht="9.9499999999999993" hidden="1" customHeight="1" x14ac:dyDescent="0.2"/>
    <row r="38054" ht="9.9499999999999993" hidden="1" customHeight="1" x14ac:dyDescent="0.2"/>
    <row r="38055" ht="9.9499999999999993" hidden="1" customHeight="1" x14ac:dyDescent="0.2"/>
    <row r="38056" ht="9.9499999999999993" hidden="1" customHeight="1" x14ac:dyDescent="0.2"/>
    <row r="38057" ht="9.9499999999999993" hidden="1" customHeight="1" x14ac:dyDescent="0.2"/>
    <row r="38058" ht="9.9499999999999993" hidden="1" customHeight="1" x14ac:dyDescent="0.2"/>
    <row r="38059" ht="9.9499999999999993" hidden="1" customHeight="1" x14ac:dyDescent="0.2"/>
    <row r="38060" ht="9.9499999999999993" hidden="1" customHeight="1" x14ac:dyDescent="0.2"/>
    <row r="38061" ht="9.9499999999999993" hidden="1" customHeight="1" x14ac:dyDescent="0.2"/>
    <row r="38062" ht="9.9499999999999993" hidden="1" customHeight="1" x14ac:dyDescent="0.2"/>
    <row r="38063" ht="9.9499999999999993" hidden="1" customHeight="1" x14ac:dyDescent="0.2"/>
    <row r="38064" ht="9.9499999999999993" hidden="1" customHeight="1" x14ac:dyDescent="0.2"/>
    <row r="38065" ht="9.9499999999999993" hidden="1" customHeight="1" x14ac:dyDescent="0.2"/>
    <row r="38066" ht="9.9499999999999993" hidden="1" customHeight="1" x14ac:dyDescent="0.2"/>
    <row r="38067" ht="9.9499999999999993" hidden="1" customHeight="1" x14ac:dyDescent="0.2"/>
    <row r="38068" ht="9.9499999999999993" hidden="1" customHeight="1" x14ac:dyDescent="0.2"/>
    <row r="38069" ht="9.9499999999999993" hidden="1" customHeight="1" x14ac:dyDescent="0.2"/>
    <row r="38070" ht="9.9499999999999993" hidden="1" customHeight="1" x14ac:dyDescent="0.2"/>
    <row r="38071" ht="9.9499999999999993" hidden="1" customHeight="1" x14ac:dyDescent="0.2"/>
    <row r="38072" ht="9.9499999999999993" hidden="1" customHeight="1" x14ac:dyDescent="0.2"/>
    <row r="38073" ht="9.9499999999999993" hidden="1" customHeight="1" x14ac:dyDescent="0.2"/>
    <row r="38074" ht="9.9499999999999993" hidden="1" customHeight="1" x14ac:dyDescent="0.2"/>
    <row r="38075" ht="9.9499999999999993" hidden="1" customHeight="1" x14ac:dyDescent="0.2"/>
    <row r="38076" ht="9.9499999999999993" hidden="1" customHeight="1" x14ac:dyDescent="0.2"/>
    <row r="38077" ht="9.9499999999999993" hidden="1" customHeight="1" x14ac:dyDescent="0.2"/>
    <row r="38078" ht="9.9499999999999993" hidden="1" customHeight="1" x14ac:dyDescent="0.2"/>
    <row r="38079" ht="9.9499999999999993" hidden="1" customHeight="1" x14ac:dyDescent="0.2"/>
    <row r="38080" ht="9.9499999999999993" hidden="1" customHeight="1" x14ac:dyDescent="0.2"/>
    <row r="38081" ht="9.9499999999999993" hidden="1" customHeight="1" x14ac:dyDescent="0.2"/>
    <row r="38082" ht="9.9499999999999993" hidden="1" customHeight="1" x14ac:dyDescent="0.2"/>
    <row r="38083" ht="9.9499999999999993" hidden="1" customHeight="1" x14ac:dyDescent="0.2"/>
    <row r="38084" ht="9.9499999999999993" hidden="1" customHeight="1" x14ac:dyDescent="0.2"/>
    <row r="38085" ht="9.9499999999999993" hidden="1" customHeight="1" x14ac:dyDescent="0.2"/>
    <row r="38086" ht="9.9499999999999993" hidden="1" customHeight="1" x14ac:dyDescent="0.2"/>
    <row r="38087" ht="9.9499999999999993" hidden="1" customHeight="1" x14ac:dyDescent="0.2"/>
    <row r="38088" ht="9.9499999999999993" hidden="1" customHeight="1" x14ac:dyDescent="0.2"/>
    <row r="38089" ht="9.9499999999999993" hidden="1" customHeight="1" x14ac:dyDescent="0.2"/>
    <row r="38090" ht="9.9499999999999993" hidden="1" customHeight="1" x14ac:dyDescent="0.2"/>
    <row r="38091" ht="9.9499999999999993" hidden="1" customHeight="1" x14ac:dyDescent="0.2"/>
    <row r="38092" ht="9.9499999999999993" hidden="1" customHeight="1" x14ac:dyDescent="0.2"/>
    <row r="38093" ht="9.9499999999999993" hidden="1" customHeight="1" x14ac:dyDescent="0.2"/>
    <row r="38094" ht="9.9499999999999993" hidden="1" customHeight="1" x14ac:dyDescent="0.2"/>
    <row r="38095" ht="9.9499999999999993" hidden="1" customHeight="1" x14ac:dyDescent="0.2"/>
    <row r="38096" ht="9.9499999999999993" hidden="1" customHeight="1" x14ac:dyDescent="0.2"/>
    <row r="38097" ht="9.9499999999999993" hidden="1" customHeight="1" x14ac:dyDescent="0.2"/>
    <row r="38098" ht="9.9499999999999993" hidden="1" customHeight="1" x14ac:dyDescent="0.2"/>
    <row r="38099" ht="9.9499999999999993" hidden="1" customHeight="1" x14ac:dyDescent="0.2"/>
    <row r="38100" ht="9.9499999999999993" hidden="1" customHeight="1" x14ac:dyDescent="0.2"/>
    <row r="38101" ht="9.9499999999999993" hidden="1" customHeight="1" x14ac:dyDescent="0.2"/>
    <row r="38102" ht="9.9499999999999993" hidden="1" customHeight="1" x14ac:dyDescent="0.2"/>
    <row r="38103" ht="9.9499999999999993" hidden="1" customHeight="1" x14ac:dyDescent="0.2"/>
    <row r="38104" ht="9.9499999999999993" hidden="1" customHeight="1" x14ac:dyDescent="0.2"/>
    <row r="38105" ht="9.9499999999999993" hidden="1" customHeight="1" x14ac:dyDescent="0.2"/>
    <row r="38106" ht="9.9499999999999993" hidden="1" customHeight="1" x14ac:dyDescent="0.2"/>
    <row r="38107" ht="9.9499999999999993" hidden="1" customHeight="1" x14ac:dyDescent="0.2"/>
    <row r="38108" ht="9.9499999999999993" hidden="1" customHeight="1" x14ac:dyDescent="0.2"/>
    <row r="38109" ht="9.9499999999999993" hidden="1" customHeight="1" x14ac:dyDescent="0.2"/>
    <row r="38110" ht="9.9499999999999993" hidden="1" customHeight="1" x14ac:dyDescent="0.2"/>
    <row r="38111" ht="9.9499999999999993" hidden="1" customHeight="1" x14ac:dyDescent="0.2"/>
    <row r="38112" ht="9.9499999999999993" hidden="1" customHeight="1" x14ac:dyDescent="0.2"/>
    <row r="38113" ht="9.9499999999999993" hidden="1" customHeight="1" x14ac:dyDescent="0.2"/>
    <row r="38114" ht="9.9499999999999993" hidden="1" customHeight="1" x14ac:dyDescent="0.2"/>
    <row r="38115" ht="9.9499999999999993" hidden="1" customHeight="1" x14ac:dyDescent="0.2"/>
    <row r="38116" ht="9.9499999999999993" hidden="1" customHeight="1" x14ac:dyDescent="0.2"/>
    <row r="38117" ht="9.9499999999999993" hidden="1" customHeight="1" x14ac:dyDescent="0.2"/>
    <row r="38118" ht="9.9499999999999993" hidden="1" customHeight="1" x14ac:dyDescent="0.2"/>
    <row r="38119" ht="9.9499999999999993" hidden="1" customHeight="1" x14ac:dyDescent="0.2"/>
    <row r="38120" ht="9.9499999999999993" hidden="1" customHeight="1" x14ac:dyDescent="0.2"/>
    <row r="38121" ht="9.9499999999999993" hidden="1" customHeight="1" x14ac:dyDescent="0.2"/>
    <row r="38122" ht="9.9499999999999993" hidden="1" customHeight="1" x14ac:dyDescent="0.2"/>
    <row r="38123" ht="9.9499999999999993" hidden="1" customHeight="1" x14ac:dyDescent="0.2"/>
    <row r="38124" ht="9.9499999999999993" hidden="1" customHeight="1" x14ac:dyDescent="0.2"/>
    <row r="38125" ht="9.9499999999999993" hidden="1" customHeight="1" x14ac:dyDescent="0.2"/>
    <row r="38126" ht="9.9499999999999993" hidden="1" customHeight="1" x14ac:dyDescent="0.2"/>
    <row r="38127" ht="9.9499999999999993" hidden="1" customHeight="1" x14ac:dyDescent="0.2"/>
    <row r="38128" ht="9.9499999999999993" hidden="1" customHeight="1" x14ac:dyDescent="0.2"/>
    <row r="38129" ht="9.9499999999999993" hidden="1" customHeight="1" x14ac:dyDescent="0.2"/>
    <row r="38130" ht="9.9499999999999993" hidden="1" customHeight="1" x14ac:dyDescent="0.2"/>
    <row r="38131" ht="9.9499999999999993" hidden="1" customHeight="1" x14ac:dyDescent="0.2"/>
    <row r="38132" ht="9.9499999999999993" hidden="1" customHeight="1" x14ac:dyDescent="0.2"/>
    <row r="38133" ht="9.9499999999999993" hidden="1" customHeight="1" x14ac:dyDescent="0.2"/>
    <row r="38134" ht="9.9499999999999993" hidden="1" customHeight="1" x14ac:dyDescent="0.2"/>
    <row r="38135" ht="9.9499999999999993" hidden="1" customHeight="1" x14ac:dyDescent="0.2"/>
    <row r="38136" ht="9.9499999999999993" hidden="1" customHeight="1" x14ac:dyDescent="0.2"/>
    <row r="38137" ht="9.9499999999999993" hidden="1" customHeight="1" x14ac:dyDescent="0.2"/>
    <row r="38138" ht="9.9499999999999993" hidden="1" customHeight="1" x14ac:dyDescent="0.2"/>
    <row r="38139" ht="9.9499999999999993" hidden="1" customHeight="1" x14ac:dyDescent="0.2"/>
    <row r="38140" ht="9.9499999999999993" hidden="1" customHeight="1" x14ac:dyDescent="0.2"/>
    <row r="38141" ht="9.9499999999999993" hidden="1" customHeight="1" x14ac:dyDescent="0.2"/>
    <row r="38142" ht="9.9499999999999993" hidden="1" customHeight="1" x14ac:dyDescent="0.2"/>
    <row r="38143" ht="9.9499999999999993" hidden="1" customHeight="1" x14ac:dyDescent="0.2"/>
    <row r="38144" ht="9.9499999999999993" hidden="1" customHeight="1" x14ac:dyDescent="0.2"/>
    <row r="38145" ht="9.9499999999999993" hidden="1" customHeight="1" x14ac:dyDescent="0.2"/>
    <row r="38146" ht="9.9499999999999993" hidden="1" customHeight="1" x14ac:dyDescent="0.2"/>
    <row r="38147" ht="9.9499999999999993" hidden="1" customHeight="1" x14ac:dyDescent="0.2"/>
    <row r="38148" ht="9.9499999999999993" hidden="1" customHeight="1" x14ac:dyDescent="0.2"/>
    <row r="38149" ht="9.9499999999999993" hidden="1" customHeight="1" x14ac:dyDescent="0.2"/>
    <row r="38150" ht="9.9499999999999993" hidden="1" customHeight="1" x14ac:dyDescent="0.2"/>
    <row r="38151" ht="9.9499999999999993" hidden="1" customHeight="1" x14ac:dyDescent="0.2"/>
    <row r="38152" ht="9.9499999999999993" hidden="1" customHeight="1" x14ac:dyDescent="0.2"/>
    <row r="38153" ht="9.9499999999999993" hidden="1" customHeight="1" x14ac:dyDescent="0.2"/>
    <row r="38154" ht="9.9499999999999993" hidden="1" customHeight="1" x14ac:dyDescent="0.2"/>
    <row r="38155" ht="9.9499999999999993" hidden="1" customHeight="1" x14ac:dyDescent="0.2"/>
    <row r="38156" ht="9.9499999999999993" hidden="1" customHeight="1" x14ac:dyDescent="0.2"/>
    <row r="38157" ht="9.9499999999999993" hidden="1" customHeight="1" x14ac:dyDescent="0.2"/>
    <row r="38158" ht="9.9499999999999993" hidden="1" customHeight="1" x14ac:dyDescent="0.2"/>
    <row r="38159" ht="9.9499999999999993" hidden="1" customHeight="1" x14ac:dyDescent="0.2"/>
    <row r="38160" ht="9.9499999999999993" hidden="1" customHeight="1" x14ac:dyDescent="0.2"/>
    <row r="38161" ht="9.9499999999999993" hidden="1" customHeight="1" x14ac:dyDescent="0.2"/>
    <row r="38162" ht="9.9499999999999993" hidden="1" customHeight="1" x14ac:dyDescent="0.2"/>
    <row r="38163" ht="9.9499999999999993" hidden="1" customHeight="1" x14ac:dyDescent="0.2"/>
    <row r="38164" ht="9.9499999999999993" hidden="1" customHeight="1" x14ac:dyDescent="0.2"/>
    <row r="38165" ht="9.9499999999999993" hidden="1" customHeight="1" x14ac:dyDescent="0.2"/>
    <row r="38166" ht="9.9499999999999993" hidden="1" customHeight="1" x14ac:dyDescent="0.2"/>
    <row r="38167" ht="9.9499999999999993" hidden="1" customHeight="1" x14ac:dyDescent="0.2"/>
    <row r="38168" ht="9.9499999999999993" hidden="1" customHeight="1" x14ac:dyDescent="0.2"/>
    <row r="38169" ht="9.9499999999999993" hidden="1" customHeight="1" x14ac:dyDescent="0.2"/>
    <row r="38170" ht="9.9499999999999993" hidden="1" customHeight="1" x14ac:dyDescent="0.2"/>
    <row r="38171" ht="9.9499999999999993" hidden="1" customHeight="1" x14ac:dyDescent="0.2"/>
    <row r="38172" ht="9.9499999999999993" hidden="1" customHeight="1" x14ac:dyDescent="0.2"/>
    <row r="38173" ht="9.9499999999999993" hidden="1" customHeight="1" x14ac:dyDescent="0.2"/>
    <row r="38174" ht="9.9499999999999993" hidden="1" customHeight="1" x14ac:dyDescent="0.2"/>
    <row r="38175" ht="9.9499999999999993" hidden="1" customHeight="1" x14ac:dyDescent="0.2"/>
    <row r="38176" ht="9.9499999999999993" hidden="1" customHeight="1" x14ac:dyDescent="0.2"/>
    <row r="38177" ht="9.9499999999999993" hidden="1" customHeight="1" x14ac:dyDescent="0.2"/>
    <row r="38178" ht="9.9499999999999993" hidden="1" customHeight="1" x14ac:dyDescent="0.2"/>
    <row r="38179" ht="9.9499999999999993" hidden="1" customHeight="1" x14ac:dyDescent="0.2"/>
    <row r="38180" ht="9.9499999999999993" hidden="1" customHeight="1" x14ac:dyDescent="0.2"/>
    <row r="38181" ht="9.9499999999999993" hidden="1" customHeight="1" x14ac:dyDescent="0.2"/>
    <row r="38182" ht="9.9499999999999993" hidden="1" customHeight="1" x14ac:dyDescent="0.2"/>
    <row r="38183" ht="9.9499999999999993" hidden="1" customHeight="1" x14ac:dyDescent="0.2"/>
    <row r="38184" ht="9.9499999999999993" hidden="1" customHeight="1" x14ac:dyDescent="0.2"/>
    <row r="38185" ht="9.9499999999999993" hidden="1" customHeight="1" x14ac:dyDescent="0.2"/>
    <row r="38186" ht="9.9499999999999993" hidden="1" customHeight="1" x14ac:dyDescent="0.2"/>
    <row r="38187" ht="9.9499999999999993" hidden="1" customHeight="1" x14ac:dyDescent="0.2"/>
    <row r="38188" ht="9.9499999999999993" hidden="1" customHeight="1" x14ac:dyDescent="0.2"/>
    <row r="38189" ht="9.9499999999999993" hidden="1" customHeight="1" x14ac:dyDescent="0.2"/>
    <row r="38190" ht="9.9499999999999993" hidden="1" customHeight="1" x14ac:dyDescent="0.2"/>
    <row r="38191" ht="9.9499999999999993" hidden="1" customHeight="1" x14ac:dyDescent="0.2"/>
    <row r="38192" ht="9.9499999999999993" hidden="1" customHeight="1" x14ac:dyDescent="0.2"/>
    <row r="38193" ht="9.9499999999999993" hidden="1" customHeight="1" x14ac:dyDescent="0.2"/>
    <row r="38194" ht="9.9499999999999993" hidden="1" customHeight="1" x14ac:dyDescent="0.2"/>
    <row r="38195" ht="9.9499999999999993" hidden="1" customHeight="1" x14ac:dyDescent="0.2"/>
    <row r="38196" ht="9.9499999999999993" hidden="1" customHeight="1" x14ac:dyDescent="0.2"/>
    <row r="38197" ht="9.9499999999999993" hidden="1" customHeight="1" x14ac:dyDescent="0.2"/>
    <row r="38198" ht="9.9499999999999993" hidden="1" customHeight="1" x14ac:dyDescent="0.2"/>
    <row r="38199" ht="9.9499999999999993" hidden="1" customHeight="1" x14ac:dyDescent="0.2"/>
    <row r="38200" ht="9.9499999999999993" hidden="1" customHeight="1" x14ac:dyDescent="0.2"/>
    <row r="38201" ht="9.9499999999999993" hidden="1" customHeight="1" x14ac:dyDescent="0.2"/>
    <row r="38202" ht="9.9499999999999993" hidden="1" customHeight="1" x14ac:dyDescent="0.2"/>
    <row r="38203" ht="9.9499999999999993" hidden="1" customHeight="1" x14ac:dyDescent="0.2"/>
    <row r="38204" ht="9.9499999999999993" hidden="1" customHeight="1" x14ac:dyDescent="0.2"/>
    <row r="38205" ht="9.9499999999999993" hidden="1" customHeight="1" x14ac:dyDescent="0.2"/>
    <row r="38206" ht="9.9499999999999993" hidden="1" customHeight="1" x14ac:dyDescent="0.2"/>
    <row r="38207" ht="9.9499999999999993" hidden="1" customHeight="1" x14ac:dyDescent="0.2"/>
    <row r="38208" ht="9.9499999999999993" hidden="1" customHeight="1" x14ac:dyDescent="0.2"/>
    <row r="38209" ht="9.9499999999999993" hidden="1" customHeight="1" x14ac:dyDescent="0.2"/>
    <row r="38210" ht="9.9499999999999993" hidden="1" customHeight="1" x14ac:dyDescent="0.2"/>
    <row r="38211" ht="9.9499999999999993" hidden="1" customHeight="1" x14ac:dyDescent="0.2"/>
    <row r="38212" ht="9.9499999999999993" hidden="1" customHeight="1" x14ac:dyDescent="0.2"/>
    <row r="38213" ht="9.9499999999999993" hidden="1" customHeight="1" x14ac:dyDescent="0.2"/>
    <row r="38214" ht="9.9499999999999993" hidden="1" customHeight="1" x14ac:dyDescent="0.2"/>
    <row r="38215" ht="9.9499999999999993" hidden="1" customHeight="1" x14ac:dyDescent="0.2"/>
    <row r="38216" ht="9.9499999999999993" hidden="1" customHeight="1" x14ac:dyDescent="0.2"/>
    <row r="38217" ht="9.9499999999999993" hidden="1" customHeight="1" x14ac:dyDescent="0.2"/>
    <row r="38218" ht="9.9499999999999993" hidden="1" customHeight="1" x14ac:dyDescent="0.2"/>
    <row r="38219" ht="9.9499999999999993" hidden="1" customHeight="1" x14ac:dyDescent="0.2"/>
    <row r="38220" ht="9.9499999999999993" hidden="1" customHeight="1" x14ac:dyDescent="0.2"/>
    <row r="38221" ht="9.9499999999999993" hidden="1" customHeight="1" x14ac:dyDescent="0.2"/>
    <row r="38222" ht="9.9499999999999993" hidden="1" customHeight="1" x14ac:dyDescent="0.2"/>
    <row r="38223" ht="9.9499999999999993" hidden="1" customHeight="1" x14ac:dyDescent="0.2"/>
    <row r="38224" ht="9.9499999999999993" hidden="1" customHeight="1" x14ac:dyDescent="0.2"/>
    <row r="38225" ht="9.9499999999999993" hidden="1" customHeight="1" x14ac:dyDescent="0.2"/>
    <row r="38226" ht="9.9499999999999993" hidden="1" customHeight="1" x14ac:dyDescent="0.2"/>
    <row r="38227" ht="9.9499999999999993" hidden="1" customHeight="1" x14ac:dyDescent="0.2"/>
    <row r="38228" ht="9.9499999999999993" hidden="1" customHeight="1" x14ac:dyDescent="0.2"/>
    <row r="38229" ht="9.9499999999999993" hidden="1" customHeight="1" x14ac:dyDescent="0.2"/>
    <row r="38230" ht="9.9499999999999993" hidden="1" customHeight="1" x14ac:dyDescent="0.2"/>
    <row r="38231" ht="9.9499999999999993" hidden="1" customHeight="1" x14ac:dyDescent="0.2"/>
    <row r="38232" ht="9.9499999999999993" hidden="1" customHeight="1" x14ac:dyDescent="0.2"/>
    <row r="38233" ht="9.9499999999999993" hidden="1" customHeight="1" x14ac:dyDescent="0.2"/>
    <row r="38234" ht="9.9499999999999993" hidden="1" customHeight="1" x14ac:dyDescent="0.2"/>
    <row r="38235" ht="9.9499999999999993" hidden="1" customHeight="1" x14ac:dyDescent="0.2"/>
    <row r="38236" ht="9.9499999999999993" hidden="1" customHeight="1" x14ac:dyDescent="0.2"/>
    <row r="38237" ht="9.9499999999999993" hidden="1" customHeight="1" x14ac:dyDescent="0.2"/>
    <row r="38238" ht="9.9499999999999993" hidden="1" customHeight="1" x14ac:dyDescent="0.2"/>
    <row r="38239" ht="9.9499999999999993" hidden="1" customHeight="1" x14ac:dyDescent="0.2"/>
    <row r="38240" ht="9.9499999999999993" hidden="1" customHeight="1" x14ac:dyDescent="0.2"/>
    <row r="38241" ht="9.9499999999999993" hidden="1" customHeight="1" x14ac:dyDescent="0.2"/>
    <row r="38242" ht="9.9499999999999993" hidden="1" customHeight="1" x14ac:dyDescent="0.2"/>
    <row r="38243" ht="9.9499999999999993" hidden="1" customHeight="1" x14ac:dyDescent="0.2"/>
    <row r="38244" ht="9.9499999999999993" hidden="1" customHeight="1" x14ac:dyDescent="0.2"/>
    <row r="38245" ht="9.9499999999999993" hidden="1" customHeight="1" x14ac:dyDescent="0.2"/>
    <row r="38246" ht="9.9499999999999993" hidden="1" customHeight="1" x14ac:dyDescent="0.2"/>
    <row r="38247" ht="9.9499999999999993" hidden="1" customHeight="1" x14ac:dyDescent="0.2"/>
    <row r="38248" ht="9.9499999999999993" hidden="1" customHeight="1" x14ac:dyDescent="0.2"/>
    <row r="38249" ht="9.9499999999999993" hidden="1" customHeight="1" x14ac:dyDescent="0.2"/>
    <row r="38250" ht="9.9499999999999993" hidden="1" customHeight="1" x14ac:dyDescent="0.2"/>
    <row r="38251" ht="9.9499999999999993" hidden="1" customHeight="1" x14ac:dyDescent="0.2"/>
    <row r="38252" ht="9.9499999999999993" hidden="1" customHeight="1" x14ac:dyDescent="0.2"/>
    <row r="38253" ht="9.9499999999999993" hidden="1" customHeight="1" x14ac:dyDescent="0.2"/>
    <row r="38254" ht="9.9499999999999993" hidden="1" customHeight="1" x14ac:dyDescent="0.2"/>
    <row r="38255" ht="9.9499999999999993" hidden="1" customHeight="1" x14ac:dyDescent="0.2"/>
    <row r="38256" ht="9.9499999999999993" hidden="1" customHeight="1" x14ac:dyDescent="0.2"/>
    <row r="38257" ht="9.9499999999999993" hidden="1" customHeight="1" x14ac:dyDescent="0.2"/>
    <row r="38258" ht="9.9499999999999993" hidden="1" customHeight="1" x14ac:dyDescent="0.2"/>
    <row r="38259" ht="9.9499999999999993" hidden="1" customHeight="1" x14ac:dyDescent="0.2"/>
    <row r="38260" ht="9.9499999999999993" hidden="1" customHeight="1" x14ac:dyDescent="0.2"/>
    <row r="38261" ht="9.9499999999999993" hidden="1" customHeight="1" x14ac:dyDescent="0.2"/>
    <row r="38262" ht="9.9499999999999993" hidden="1" customHeight="1" x14ac:dyDescent="0.2"/>
    <row r="38263" ht="9.9499999999999993" hidden="1" customHeight="1" x14ac:dyDescent="0.2"/>
    <row r="38264" ht="9.9499999999999993" hidden="1" customHeight="1" x14ac:dyDescent="0.2"/>
    <row r="38265" ht="9.9499999999999993" hidden="1" customHeight="1" x14ac:dyDescent="0.2"/>
    <row r="38266" ht="9.9499999999999993" hidden="1" customHeight="1" x14ac:dyDescent="0.2"/>
    <row r="38267" ht="9.9499999999999993" hidden="1" customHeight="1" x14ac:dyDescent="0.2"/>
    <row r="38268" ht="9.9499999999999993" hidden="1" customHeight="1" x14ac:dyDescent="0.2"/>
    <row r="38269" ht="9.9499999999999993" hidden="1" customHeight="1" x14ac:dyDescent="0.2"/>
    <row r="38270" ht="9.9499999999999993" hidden="1" customHeight="1" x14ac:dyDescent="0.2"/>
    <row r="38271" ht="9.9499999999999993" hidden="1" customHeight="1" x14ac:dyDescent="0.2"/>
    <row r="38272" ht="9.9499999999999993" hidden="1" customHeight="1" x14ac:dyDescent="0.2"/>
    <row r="38273" ht="9.9499999999999993" hidden="1" customHeight="1" x14ac:dyDescent="0.2"/>
    <row r="38274" ht="9.9499999999999993" hidden="1" customHeight="1" x14ac:dyDescent="0.2"/>
    <row r="38275" ht="9.9499999999999993" hidden="1" customHeight="1" x14ac:dyDescent="0.2"/>
    <row r="38276" ht="9.9499999999999993" hidden="1" customHeight="1" x14ac:dyDescent="0.2"/>
    <row r="38277" ht="9.9499999999999993" hidden="1" customHeight="1" x14ac:dyDescent="0.2"/>
    <row r="38278" ht="9.9499999999999993" hidden="1" customHeight="1" x14ac:dyDescent="0.2"/>
    <row r="38279" ht="9.9499999999999993" hidden="1" customHeight="1" x14ac:dyDescent="0.2"/>
    <row r="38280" ht="9.9499999999999993" hidden="1" customHeight="1" x14ac:dyDescent="0.2"/>
    <row r="38281" ht="9.9499999999999993" hidden="1" customHeight="1" x14ac:dyDescent="0.2"/>
    <row r="38282" ht="9.9499999999999993" hidden="1" customHeight="1" x14ac:dyDescent="0.2"/>
    <row r="38283" ht="9.9499999999999993" hidden="1" customHeight="1" x14ac:dyDescent="0.2"/>
    <row r="38284" ht="9.9499999999999993" hidden="1" customHeight="1" x14ac:dyDescent="0.2"/>
    <row r="38285" ht="9.9499999999999993" hidden="1" customHeight="1" x14ac:dyDescent="0.2"/>
    <row r="38286" ht="9.9499999999999993" hidden="1" customHeight="1" x14ac:dyDescent="0.2"/>
    <row r="38287" ht="9.9499999999999993" hidden="1" customHeight="1" x14ac:dyDescent="0.2"/>
    <row r="38288" ht="9.9499999999999993" hidden="1" customHeight="1" x14ac:dyDescent="0.2"/>
    <row r="38289" ht="9.9499999999999993" hidden="1" customHeight="1" x14ac:dyDescent="0.2"/>
    <row r="38290" ht="9.9499999999999993" hidden="1" customHeight="1" x14ac:dyDescent="0.2"/>
    <row r="38291" ht="9.9499999999999993" hidden="1" customHeight="1" x14ac:dyDescent="0.2"/>
    <row r="38292" ht="9.9499999999999993" hidden="1" customHeight="1" x14ac:dyDescent="0.2"/>
    <row r="38293" ht="9.9499999999999993" hidden="1" customHeight="1" x14ac:dyDescent="0.2"/>
    <row r="38294" ht="9.9499999999999993" hidden="1" customHeight="1" x14ac:dyDescent="0.2"/>
    <row r="38295" ht="9.9499999999999993" hidden="1" customHeight="1" x14ac:dyDescent="0.2"/>
    <row r="38296" ht="9.9499999999999993" hidden="1" customHeight="1" x14ac:dyDescent="0.2"/>
    <row r="38297" ht="9.9499999999999993" hidden="1" customHeight="1" x14ac:dyDescent="0.2"/>
    <row r="38298" ht="9.9499999999999993" hidden="1" customHeight="1" x14ac:dyDescent="0.2"/>
    <row r="38299" ht="9.9499999999999993" hidden="1" customHeight="1" x14ac:dyDescent="0.2"/>
    <row r="38300" ht="9.9499999999999993" hidden="1" customHeight="1" x14ac:dyDescent="0.2"/>
    <row r="38301" ht="9.9499999999999993" hidden="1" customHeight="1" x14ac:dyDescent="0.2"/>
    <row r="38302" ht="9.9499999999999993" hidden="1" customHeight="1" x14ac:dyDescent="0.2"/>
    <row r="38303" ht="9.9499999999999993" hidden="1" customHeight="1" x14ac:dyDescent="0.2"/>
    <row r="38304" ht="9.9499999999999993" hidden="1" customHeight="1" x14ac:dyDescent="0.2"/>
    <row r="38305" ht="9.9499999999999993" hidden="1" customHeight="1" x14ac:dyDescent="0.2"/>
    <row r="38306" ht="9.9499999999999993" hidden="1" customHeight="1" x14ac:dyDescent="0.2"/>
    <row r="38307" ht="9.9499999999999993" hidden="1" customHeight="1" x14ac:dyDescent="0.2"/>
    <row r="38308" ht="9.9499999999999993" hidden="1" customHeight="1" x14ac:dyDescent="0.2"/>
    <row r="38309" ht="9.9499999999999993" hidden="1" customHeight="1" x14ac:dyDescent="0.2"/>
    <row r="38310" ht="9.9499999999999993" hidden="1" customHeight="1" x14ac:dyDescent="0.2"/>
    <row r="38311" ht="9.9499999999999993" hidden="1" customHeight="1" x14ac:dyDescent="0.2"/>
    <row r="38312" ht="9.9499999999999993" hidden="1" customHeight="1" x14ac:dyDescent="0.2"/>
    <row r="38313" ht="9.9499999999999993" hidden="1" customHeight="1" x14ac:dyDescent="0.2"/>
    <row r="38314" ht="9.9499999999999993" hidden="1" customHeight="1" x14ac:dyDescent="0.2"/>
    <row r="38315" ht="9.9499999999999993" hidden="1" customHeight="1" x14ac:dyDescent="0.2"/>
    <row r="38316" ht="9.9499999999999993" hidden="1" customHeight="1" x14ac:dyDescent="0.2"/>
    <row r="38317" ht="9.9499999999999993" hidden="1" customHeight="1" x14ac:dyDescent="0.2"/>
    <row r="38318" ht="9.9499999999999993" hidden="1" customHeight="1" x14ac:dyDescent="0.2"/>
    <row r="38319" ht="9.9499999999999993" hidden="1" customHeight="1" x14ac:dyDescent="0.2"/>
    <row r="38320" ht="9.9499999999999993" hidden="1" customHeight="1" x14ac:dyDescent="0.2"/>
    <row r="38321" ht="9.9499999999999993" hidden="1" customHeight="1" x14ac:dyDescent="0.2"/>
    <row r="38322" ht="9.9499999999999993" hidden="1" customHeight="1" x14ac:dyDescent="0.2"/>
    <row r="38323" ht="9.9499999999999993" hidden="1" customHeight="1" x14ac:dyDescent="0.2"/>
    <row r="38324" ht="9.9499999999999993" hidden="1" customHeight="1" x14ac:dyDescent="0.2"/>
    <row r="38325" ht="9.9499999999999993" hidden="1" customHeight="1" x14ac:dyDescent="0.2"/>
    <row r="38326" ht="9.9499999999999993" hidden="1" customHeight="1" x14ac:dyDescent="0.2"/>
    <row r="38327" ht="9.9499999999999993" hidden="1" customHeight="1" x14ac:dyDescent="0.2"/>
    <row r="38328" ht="9.9499999999999993" hidden="1" customHeight="1" x14ac:dyDescent="0.2"/>
    <row r="38329" ht="9.9499999999999993" hidden="1" customHeight="1" x14ac:dyDescent="0.2"/>
    <row r="38330" ht="9.9499999999999993" hidden="1" customHeight="1" x14ac:dyDescent="0.2"/>
    <row r="38331" ht="9.9499999999999993" hidden="1" customHeight="1" x14ac:dyDescent="0.2"/>
    <row r="38332" ht="9.9499999999999993" hidden="1" customHeight="1" x14ac:dyDescent="0.2"/>
    <row r="38333" ht="9.9499999999999993" hidden="1" customHeight="1" x14ac:dyDescent="0.2"/>
    <row r="38334" ht="9.9499999999999993" hidden="1" customHeight="1" x14ac:dyDescent="0.2"/>
    <row r="38335" ht="9.9499999999999993" hidden="1" customHeight="1" x14ac:dyDescent="0.2"/>
    <row r="38336" ht="9.9499999999999993" hidden="1" customHeight="1" x14ac:dyDescent="0.2"/>
    <row r="38337" ht="9.9499999999999993" hidden="1" customHeight="1" x14ac:dyDescent="0.2"/>
    <row r="38338" ht="9.9499999999999993" hidden="1" customHeight="1" x14ac:dyDescent="0.2"/>
    <row r="38339" ht="9.9499999999999993" hidden="1" customHeight="1" x14ac:dyDescent="0.2"/>
    <row r="38340" ht="9.9499999999999993" hidden="1" customHeight="1" x14ac:dyDescent="0.2"/>
    <row r="38341" ht="9.9499999999999993" hidden="1" customHeight="1" x14ac:dyDescent="0.2"/>
    <row r="38342" ht="9.9499999999999993" hidden="1" customHeight="1" x14ac:dyDescent="0.2"/>
    <row r="38343" ht="9.9499999999999993" hidden="1" customHeight="1" x14ac:dyDescent="0.2"/>
    <row r="38344" ht="9.9499999999999993" hidden="1" customHeight="1" x14ac:dyDescent="0.2"/>
    <row r="38345" ht="9.9499999999999993" hidden="1" customHeight="1" x14ac:dyDescent="0.2"/>
    <row r="38346" ht="9.9499999999999993" hidden="1" customHeight="1" x14ac:dyDescent="0.2"/>
    <row r="38347" ht="9.9499999999999993" hidden="1" customHeight="1" x14ac:dyDescent="0.2"/>
    <row r="38348" ht="9.9499999999999993" hidden="1" customHeight="1" x14ac:dyDescent="0.2"/>
    <row r="38349" ht="9.9499999999999993" hidden="1" customHeight="1" x14ac:dyDescent="0.2"/>
    <row r="38350" ht="9.9499999999999993" hidden="1" customHeight="1" x14ac:dyDescent="0.2"/>
    <row r="38351" ht="9.9499999999999993" hidden="1" customHeight="1" x14ac:dyDescent="0.2"/>
    <row r="38352" ht="9.9499999999999993" hidden="1" customHeight="1" x14ac:dyDescent="0.2"/>
    <row r="38353" ht="9.9499999999999993" hidden="1" customHeight="1" x14ac:dyDescent="0.2"/>
    <row r="38354" ht="9.9499999999999993" hidden="1" customHeight="1" x14ac:dyDescent="0.2"/>
    <row r="38355" ht="9.9499999999999993" hidden="1" customHeight="1" x14ac:dyDescent="0.2"/>
    <row r="38356" ht="9.9499999999999993" hidden="1" customHeight="1" x14ac:dyDescent="0.2"/>
    <row r="38357" ht="9.9499999999999993" hidden="1" customHeight="1" x14ac:dyDescent="0.2"/>
    <row r="38358" ht="9.9499999999999993" hidden="1" customHeight="1" x14ac:dyDescent="0.2"/>
    <row r="38359" ht="9.9499999999999993" hidden="1" customHeight="1" x14ac:dyDescent="0.2"/>
    <row r="38360" ht="9.9499999999999993" hidden="1" customHeight="1" x14ac:dyDescent="0.2"/>
    <row r="38361" ht="9.9499999999999993" hidden="1" customHeight="1" x14ac:dyDescent="0.2"/>
    <row r="38362" ht="9.9499999999999993" hidden="1" customHeight="1" x14ac:dyDescent="0.2"/>
    <row r="38363" ht="9.9499999999999993" hidden="1" customHeight="1" x14ac:dyDescent="0.2"/>
    <row r="38364" ht="9.9499999999999993" hidden="1" customHeight="1" x14ac:dyDescent="0.2"/>
    <row r="38365" ht="9.9499999999999993" hidden="1" customHeight="1" x14ac:dyDescent="0.2"/>
    <row r="38366" ht="9.9499999999999993" hidden="1" customHeight="1" x14ac:dyDescent="0.2"/>
    <row r="38367" ht="9.9499999999999993" hidden="1" customHeight="1" x14ac:dyDescent="0.2"/>
    <row r="38368" ht="9.9499999999999993" hidden="1" customHeight="1" x14ac:dyDescent="0.2"/>
    <row r="38369" ht="9.9499999999999993" hidden="1" customHeight="1" x14ac:dyDescent="0.2"/>
    <row r="38370" ht="9.9499999999999993" hidden="1" customHeight="1" x14ac:dyDescent="0.2"/>
    <row r="38371" ht="9.9499999999999993" hidden="1" customHeight="1" x14ac:dyDescent="0.2"/>
    <row r="38372" ht="9.9499999999999993" hidden="1" customHeight="1" x14ac:dyDescent="0.2"/>
    <row r="38373" ht="9.9499999999999993" hidden="1" customHeight="1" x14ac:dyDescent="0.2"/>
    <row r="38374" ht="9.9499999999999993" hidden="1" customHeight="1" x14ac:dyDescent="0.2"/>
    <row r="38375" ht="9.9499999999999993" hidden="1" customHeight="1" x14ac:dyDescent="0.2"/>
    <row r="38376" ht="9.9499999999999993" hidden="1" customHeight="1" x14ac:dyDescent="0.2"/>
    <row r="38377" ht="9.9499999999999993" hidden="1" customHeight="1" x14ac:dyDescent="0.2"/>
    <row r="38378" ht="9.9499999999999993" hidden="1" customHeight="1" x14ac:dyDescent="0.2"/>
    <row r="38379" ht="9.9499999999999993" hidden="1" customHeight="1" x14ac:dyDescent="0.2"/>
    <row r="38380" ht="9.9499999999999993" hidden="1" customHeight="1" x14ac:dyDescent="0.2"/>
    <row r="38381" ht="9.9499999999999993" hidden="1" customHeight="1" x14ac:dyDescent="0.2"/>
    <row r="38382" ht="9.9499999999999993" hidden="1" customHeight="1" x14ac:dyDescent="0.2"/>
    <row r="38383" ht="9.9499999999999993" hidden="1" customHeight="1" x14ac:dyDescent="0.2"/>
    <row r="38384" ht="9.9499999999999993" hidden="1" customHeight="1" x14ac:dyDescent="0.2"/>
    <row r="38385" ht="9.9499999999999993" hidden="1" customHeight="1" x14ac:dyDescent="0.2"/>
    <row r="38386" ht="9.9499999999999993" hidden="1" customHeight="1" x14ac:dyDescent="0.2"/>
    <row r="38387" ht="9.9499999999999993" hidden="1" customHeight="1" x14ac:dyDescent="0.2"/>
    <row r="38388" ht="9.9499999999999993" hidden="1" customHeight="1" x14ac:dyDescent="0.2"/>
    <row r="38389" ht="9.9499999999999993" hidden="1" customHeight="1" x14ac:dyDescent="0.2"/>
    <row r="38390" ht="9.9499999999999993" hidden="1" customHeight="1" x14ac:dyDescent="0.2"/>
    <row r="38391" ht="9.9499999999999993" hidden="1" customHeight="1" x14ac:dyDescent="0.2"/>
    <row r="38392" ht="9.9499999999999993" hidden="1" customHeight="1" x14ac:dyDescent="0.2"/>
    <row r="38393" ht="9.9499999999999993" hidden="1" customHeight="1" x14ac:dyDescent="0.2"/>
    <row r="38394" ht="9.9499999999999993" hidden="1" customHeight="1" x14ac:dyDescent="0.2"/>
    <row r="38395" ht="9.9499999999999993" hidden="1" customHeight="1" x14ac:dyDescent="0.2"/>
    <row r="38396" ht="9.9499999999999993" hidden="1" customHeight="1" x14ac:dyDescent="0.2"/>
    <row r="38397" ht="9.9499999999999993" hidden="1" customHeight="1" x14ac:dyDescent="0.2"/>
    <row r="38398" ht="9.9499999999999993" hidden="1" customHeight="1" x14ac:dyDescent="0.2"/>
    <row r="38399" ht="9.9499999999999993" hidden="1" customHeight="1" x14ac:dyDescent="0.2"/>
    <row r="38400" ht="9.9499999999999993" hidden="1" customHeight="1" x14ac:dyDescent="0.2"/>
    <row r="38401" ht="9.9499999999999993" hidden="1" customHeight="1" x14ac:dyDescent="0.2"/>
    <row r="38402" ht="9.9499999999999993" hidden="1" customHeight="1" x14ac:dyDescent="0.2"/>
    <row r="38403" ht="9.9499999999999993" hidden="1" customHeight="1" x14ac:dyDescent="0.2"/>
    <row r="38404" ht="9.9499999999999993" hidden="1" customHeight="1" x14ac:dyDescent="0.2"/>
    <row r="38405" ht="9.9499999999999993" hidden="1" customHeight="1" x14ac:dyDescent="0.2"/>
    <row r="38406" ht="9.9499999999999993" hidden="1" customHeight="1" x14ac:dyDescent="0.2"/>
    <row r="38407" ht="9.9499999999999993" hidden="1" customHeight="1" x14ac:dyDescent="0.2"/>
    <row r="38408" ht="9.9499999999999993" hidden="1" customHeight="1" x14ac:dyDescent="0.2"/>
    <row r="38409" ht="9.9499999999999993" hidden="1" customHeight="1" x14ac:dyDescent="0.2"/>
    <row r="38410" ht="9.9499999999999993" hidden="1" customHeight="1" x14ac:dyDescent="0.2"/>
    <row r="38411" ht="9.9499999999999993" hidden="1" customHeight="1" x14ac:dyDescent="0.2"/>
    <row r="38412" ht="9.9499999999999993" hidden="1" customHeight="1" x14ac:dyDescent="0.2"/>
    <row r="38413" ht="9.9499999999999993" hidden="1" customHeight="1" x14ac:dyDescent="0.2"/>
    <row r="38414" ht="9.9499999999999993" hidden="1" customHeight="1" x14ac:dyDescent="0.2"/>
    <row r="38415" ht="9.9499999999999993" hidden="1" customHeight="1" x14ac:dyDescent="0.2"/>
    <row r="38416" ht="9.9499999999999993" hidden="1" customHeight="1" x14ac:dyDescent="0.2"/>
    <row r="38417" ht="9.9499999999999993" hidden="1" customHeight="1" x14ac:dyDescent="0.2"/>
    <row r="38418" ht="9.9499999999999993" hidden="1" customHeight="1" x14ac:dyDescent="0.2"/>
    <row r="38419" ht="9.9499999999999993" hidden="1" customHeight="1" x14ac:dyDescent="0.2"/>
    <row r="38420" ht="9.9499999999999993" hidden="1" customHeight="1" x14ac:dyDescent="0.2"/>
    <row r="38421" ht="9.9499999999999993" hidden="1" customHeight="1" x14ac:dyDescent="0.2"/>
    <row r="38422" ht="9.9499999999999993" hidden="1" customHeight="1" x14ac:dyDescent="0.2"/>
    <row r="38423" ht="9.9499999999999993" hidden="1" customHeight="1" x14ac:dyDescent="0.2"/>
    <row r="38424" ht="9.9499999999999993" hidden="1" customHeight="1" x14ac:dyDescent="0.2"/>
    <row r="38425" ht="9.9499999999999993" hidden="1" customHeight="1" x14ac:dyDescent="0.2"/>
    <row r="38426" ht="9.9499999999999993" hidden="1" customHeight="1" x14ac:dyDescent="0.2"/>
    <row r="38427" ht="9.9499999999999993" hidden="1" customHeight="1" x14ac:dyDescent="0.2"/>
    <row r="38428" ht="9.9499999999999993" hidden="1" customHeight="1" x14ac:dyDescent="0.2"/>
    <row r="38429" ht="9.9499999999999993" hidden="1" customHeight="1" x14ac:dyDescent="0.2"/>
    <row r="38430" ht="9.9499999999999993" hidden="1" customHeight="1" x14ac:dyDescent="0.2"/>
    <row r="38431" ht="9.9499999999999993" hidden="1" customHeight="1" x14ac:dyDescent="0.2"/>
    <row r="38432" ht="9.9499999999999993" hidden="1" customHeight="1" x14ac:dyDescent="0.2"/>
    <row r="38433" ht="9.9499999999999993" hidden="1" customHeight="1" x14ac:dyDescent="0.2"/>
    <row r="38434" ht="9.9499999999999993" hidden="1" customHeight="1" x14ac:dyDescent="0.2"/>
    <row r="38435" ht="9.9499999999999993" hidden="1" customHeight="1" x14ac:dyDescent="0.2"/>
    <row r="38436" ht="9.9499999999999993" hidden="1" customHeight="1" x14ac:dyDescent="0.2"/>
    <row r="38437" ht="9.9499999999999993" hidden="1" customHeight="1" x14ac:dyDescent="0.2"/>
    <row r="38438" ht="9.9499999999999993" hidden="1" customHeight="1" x14ac:dyDescent="0.2"/>
    <row r="38439" ht="9.9499999999999993" hidden="1" customHeight="1" x14ac:dyDescent="0.2"/>
    <row r="38440" ht="9.9499999999999993" hidden="1" customHeight="1" x14ac:dyDescent="0.2"/>
    <row r="38441" ht="9.9499999999999993" hidden="1" customHeight="1" x14ac:dyDescent="0.2"/>
    <row r="38442" ht="9.9499999999999993" hidden="1" customHeight="1" x14ac:dyDescent="0.2"/>
    <row r="38443" ht="9.9499999999999993" hidden="1" customHeight="1" x14ac:dyDescent="0.2"/>
    <row r="38444" ht="9.9499999999999993" hidden="1" customHeight="1" x14ac:dyDescent="0.2"/>
    <row r="38445" ht="9.9499999999999993" hidden="1" customHeight="1" x14ac:dyDescent="0.2"/>
    <row r="38446" ht="9.9499999999999993" hidden="1" customHeight="1" x14ac:dyDescent="0.2"/>
    <row r="38447" ht="9.9499999999999993" hidden="1" customHeight="1" x14ac:dyDescent="0.2"/>
    <row r="38448" ht="9.9499999999999993" hidden="1" customHeight="1" x14ac:dyDescent="0.2"/>
    <row r="38449" ht="9.9499999999999993" hidden="1" customHeight="1" x14ac:dyDescent="0.2"/>
    <row r="38450" ht="9.9499999999999993" hidden="1" customHeight="1" x14ac:dyDescent="0.2"/>
    <row r="38451" ht="9.9499999999999993" hidden="1" customHeight="1" x14ac:dyDescent="0.2"/>
    <row r="38452" ht="9.9499999999999993" hidden="1" customHeight="1" x14ac:dyDescent="0.2"/>
    <row r="38453" ht="9.9499999999999993" hidden="1" customHeight="1" x14ac:dyDescent="0.2"/>
    <row r="38454" ht="9.9499999999999993" hidden="1" customHeight="1" x14ac:dyDescent="0.2"/>
    <row r="38455" ht="9.9499999999999993" hidden="1" customHeight="1" x14ac:dyDescent="0.2"/>
    <row r="38456" ht="9.9499999999999993" hidden="1" customHeight="1" x14ac:dyDescent="0.2"/>
    <row r="38457" ht="9.9499999999999993" hidden="1" customHeight="1" x14ac:dyDescent="0.2"/>
    <row r="38458" ht="9.9499999999999993" hidden="1" customHeight="1" x14ac:dyDescent="0.2"/>
    <row r="38459" ht="9.9499999999999993" hidden="1" customHeight="1" x14ac:dyDescent="0.2"/>
    <row r="38460" ht="9.9499999999999993" hidden="1" customHeight="1" x14ac:dyDescent="0.2"/>
    <row r="38461" ht="9.9499999999999993" hidden="1" customHeight="1" x14ac:dyDescent="0.2"/>
    <row r="38462" ht="9.9499999999999993" hidden="1" customHeight="1" x14ac:dyDescent="0.2"/>
    <row r="38463" ht="9.9499999999999993" hidden="1" customHeight="1" x14ac:dyDescent="0.2"/>
    <row r="38464" ht="9.9499999999999993" hidden="1" customHeight="1" x14ac:dyDescent="0.2"/>
    <row r="38465" ht="9.9499999999999993" hidden="1" customHeight="1" x14ac:dyDescent="0.2"/>
    <row r="38466" ht="9.9499999999999993" hidden="1" customHeight="1" x14ac:dyDescent="0.2"/>
    <row r="38467" ht="9.9499999999999993" hidden="1" customHeight="1" x14ac:dyDescent="0.2"/>
    <row r="38468" ht="9.9499999999999993" hidden="1" customHeight="1" x14ac:dyDescent="0.2"/>
    <row r="38469" ht="9.9499999999999993" hidden="1" customHeight="1" x14ac:dyDescent="0.2"/>
    <row r="38470" ht="9.9499999999999993" hidden="1" customHeight="1" x14ac:dyDescent="0.2"/>
    <row r="38471" ht="9.9499999999999993" hidden="1" customHeight="1" x14ac:dyDescent="0.2"/>
    <row r="38472" ht="9.9499999999999993" hidden="1" customHeight="1" x14ac:dyDescent="0.2"/>
    <row r="38473" ht="9.9499999999999993" hidden="1" customHeight="1" x14ac:dyDescent="0.2"/>
    <row r="38474" ht="9.9499999999999993" hidden="1" customHeight="1" x14ac:dyDescent="0.2"/>
    <row r="38475" ht="9.9499999999999993" hidden="1" customHeight="1" x14ac:dyDescent="0.2"/>
    <row r="38476" ht="9.9499999999999993" hidden="1" customHeight="1" x14ac:dyDescent="0.2"/>
    <row r="38477" ht="9.9499999999999993" hidden="1" customHeight="1" x14ac:dyDescent="0.2"/>
    <row r="38478" ht="9.9499999999999993" hidden="1" customHeight="1" x14ac:dyDescent="0.2"/>
    <row r="38479" ht="9.9499999999999993" hidden="1" customHeight="1" x14ac:dyDescent="0.2"/>
    <row r="38480" ht="9.9499999999999993" hidden="1" customHeight="1" x14ac:dyDescent="0.2"/>
    <row r="38481" ht="9.9499999999999993" hidden="1" customHeight="1" x14ac:dyDescent="0.2"/>
    <row r="38482" ht="9.9499999999999993" hidden="1" customHeight="1" x14ac:dyDescent="0.2"/>
    <row r="38483" ht="9.9499999999999993" hidden="1" customHeight="1" x14ac:dyDescent="0.2"/>
    <row r="38484" ht="9.9499999999999993" hidden="1" customHeight="1" x14ac:dyDescent="0.2"/>
    <row r="38485" ht="9.9499999999999993" hidden="1" customHeight="1" x14ac:dyDescent="0.2"/>
    <row r="38486" ht="9.9499999999999993" hidden="1" customHeight="1" x14ac:dyDescent="0.2"/>
    <row r="38487" ht="9.9499999999999993" hidden="1" customHeight="1" x14ac:dyDescent="0.2"/>
    <row r="38488" ht="9.9499999999999993" hidden="1" customHeight="1" x14ac:dyDescent="0.2"/>
    <row r="38489" ht="9.9499999999999993" hidden="1" customHeight="1" x14ac:dyDescent="0.2"/>
    <row r="38490" ht="9.9499999999999993" hidden="1" customHeight="1" x14ac:dyDescent="0.2"/>
    <row r="38491" ht="9.9499999999999993" hidden="1" customHeight="1" x14ac:dyDescent="0.2"/>
    <row r="38492" ht="9.9499999999999993" hidden="1" customHeight="1" x14ac:dyDescent="0.2"/>
    <row r="38493" ht="9.9499999999999993" hidden="1" customHeight="1" x14ac:dyDescent="0.2"/>
    <row r="38494" ht="9.9499999999999993" hidden="1" customHeight="1" x14ac:dyDescent="0.2"/>
    <row r="38495" ht="9.9499999999999993" hidden="1" customHeight="1" x14ac:dyDescent="0.2"/>
    <row r="38496" ht="9.9499999999999993" hidden="1" customHeight="1" x14ac:dyDescent="0.2"/>
    <row r="38497" ht="9.9499999999999993" hidden="1" customHeight="1" x14ac:dyDescent="0.2"/>
    <row r="38498" ht="9.9499999999999993" hidden="1" customHeight="1" x14ac:dyDescent="0.2"/>
    <row r="38499" ht="9.9499999999999993" hidden="1" customHeight="1" x14ac:dyDescent="0.2"/>
    <row r="38500" ht="9.9499999999999993" hidden="1" customHeight="1" x14ac:dyDescent="0.2"/>
    <row r="38501" ht="9.9499999999999993" hidden="1" customHeight="1" x14ac:dyDescent="0.2"/>
    <row r="38502" ht="9.9499999999999993" hidden="1" customHeight="1" x14ac:dyDescent="0.2"/>
    <row r="38503" ht="9.9499999999999993" hidden="1" customHeight="1" x14ac:dyDescent="0.2"/>
    <row r="38504" ht="9.9499999999999993" hidden="1" customHeight="1" x14ac:dyDescent="0.2"/>
    <row r="38505" ht="9.9499999999999993" hidden="1" customHeight="1" x14ac:dyDescent="0.2"/>
    <row r="38506" ht="9.9499999999999993" hidden="1" customHeight="1" x14ac:dyDescent="0.2"/>
    <row r="38507" ht="9.9499999999999993" hidden="1" customHeight="1" x14ac:dyDescent="0.2"/>
    <row r="38508" ht="9.9499999999999993" hidden="1" customHeight="1" x14ac:dyDescent="0.2"/>
    <row r="38509" ht="9.9499999999999993" hidden="1" customHeight="1" x14ac:dyDescent="0.2"/>
    <row r="38510" ht="9.9499999999999993" hidden="1" customHeight="1" x14ac:dyDescent="0.2"/>
    <row r="38511" ht="9.9499999999999993" hidden="1" customHeight="1" x14ac:dyDescent="0.2"/>
    <row r="38512" ht="9.9499999999999993" hidden="1" customHeight="1" x14ac:dyDescent="0.2"/>
    <row r="38513" ht="9.9499999999999993" hidden="1" customHeight="1" x14ac:dyDescent="0.2"/>
    <row r="38514" ht="9.9499999999999993" hidden="1" customHeight="1" x14ac:dyDescent="0.2"/>
    <row r="38515" ht="9.9499999999999993" hidden="1" customHeight="1" x14ac:dyDescent="0.2"/>
    <row r="38516" ht="9.9499999999999993" hidden="1" customHeight="1" x14ac:dyDescent="0.2"/>
    <row r="38517" ht="9.9499999999999993" hidden="1" customHeight="1" x14ac:dyDescent="0.2"/>
    <row r="38518" ht="9.9499999999999993" hidden="1" customHeight="1" x14ac:dyDescent="0.2"/>
    <row r="38519" ht="9.9499999999999993" hidden="1" customHeight="1" x14ac:dyDescent="0.2"/>
    <row r="38520" ht="9.9499999999999993" hidden="1" customHeight="1" x14ac:dyDescent="0.2"/>
    <row r="38521" ht="9.9499999999999993" hidden="1" customHeight="1" x14ac:dyDescent="0.2"/>
    <row r="38522" ht="9.9499999999999993" hidden="1" customHeight="1" x14ac:dyDescent="0.2"/>
    <row r="38523" ht="9.9499999999999993" hidden="1" customHeight="1" x14ac:dyDescent="0.2"/>
    <row r="38524" ht="9.9499999999999993" hidden="1" customHeight="1" x14ac:dyDescent="0.2"/>
    <row r="38525" ht="9.9499999999999993" hidden="1" customHeight="1" x14ac:dyDescent="0.2"/>
    <row r="38526" ht="9.9499999999999993" hidden="1" customHeight="1" x14ac:dyDescent="0.2"/>
    <row r="38527" ht="9.9499999999999993" hidden="1" customHeight="1" x14ac:dyDescent="0.2"/>
    <row r="38528" ht="9.9499999999999993" hidden="1" customHeight="1" x14ac:dyDescent="0.2"/>
    <row r="38529" ht="9.9499999999999993" hidden="1" customHeight="1" x14ac:dyDescent="0.2"/>
    <row r="38530" ht="9.9499999999999993" hidden="1" customHeight="1" x14ac:dyDescent="0.2"/>
    <row r="38531" ht="9.9499999999999993" hidden="1" customHeight="1" x14ac:dyDescent="0.2"/>
    <row r="38532" ht="9.9499999999999993" hidden="1" customHeight="1" x14ac:dyDescent="0.2"/>
    <row r="38533" ht="9.9499999999999993" hidden="1" customHeight="1" x14ac:dyDescent="0.2"/>
    <row r="38534" ht="9.9499999999999993" hidden="1" customHeight="1" x14ac:dyDescent="0.2"/>
    <row r="38535" ht="9.9499999999999993" hidden="1" customHeight="1" x14ac:dyDescent="0.2"/>
    <row r="38536" ht="9.9499999999999993" hidden="1" customHeight="1" x14ac:dyDescent="0.2"/>
    <row r="38537" ht="9.9499999999999993" hidden="1" customHeight="1" x14ac:dyDescent="0.2"/>
    <row r="38538" ht="9.9499999999999993" hidden="1" customHeight="1" x14ac:dyDescent="0.2"/>
    <row r="38539" ht="9.9499999999999993" hidden="1" customHeight="1" x14ac:dyDescent="0.2"/>
    <row r="38540" ht="9.9499999999999993" hidden="1" customHeight="1" x14ac:dyDescent="0.2"/>
    <row r="38541" ht="9.9499999999999993" hidden="1" customHeight="1" x14ac:dyDescent="0.2"/>
    <row r="38542" ht="9.9499999999999993" hidden="1" customHeight="1" x14ac:dyDescent="0.2"/>
    <row r="38543" ht="9.9499999999999993" hidden="1" customHeight="1" x14ac:dyDescent="0.2"/>
    <row r="38544" ht="9.9499999999999993" hidden="1" customHeight="1" x14ac:dyDescent="0.2"/>
    <row r="38545" ht="9.9499999999999993" hidden="1" customHeight="1" x14ac:dyDescent="0.2"/>
    <row r="38546" ht="9.9499999999999993" hidden="1" customHeight="1" x14ac:dyDescent="0.2"/>
    <row r="38547" ht="9.9499999999999993" hidden="1" customHeight="1" x14ac:dyDescent="0.2"/>
    <row r="38548" ht="9.9499999999999993" hidden="1" customHeight="1" x14ac:dyDescent="0.2"/>
    <row r="38549" ht="9.9499999999999993" hidden="1" customHeight="1" x14ac:dyDescent="0.2"/>
    <row r="38550" ht="9.9499999999999993" hidden="1" customHeight="1" x14ac:dyDescent="0.2"/>
    <row r="38551" ht="9.9499999999999993" hidden="1" customHeight="1" x14ac:dyDescent="0.2"/>
    <row r="38552" ht="9.9499999999999993" hidden="1" customHeight="1" x14ac:dyDescent="0.2"/>
    <row r="38553" ht="9.9499999999999993" hidden="1" customHeight="1" x14ac:dyDescent="0.2"/>
    <row r="38554" ht="9.9499999999999993" hidden="1" customHeight="1" x14ac:dyDescent="0.2"/>
    <row r="38555" ht="9.9499999999999993" hidden="1" customHeight="1" x14ac:dyDescent="0.2"/>
    <row r="38556" ht="9.9499999999999993" hidden="1" customHeight="1" x14ac:dyDescent="0.2"/>
    <row r="38557" ht="9.9499999999999993" hidden="1" customHeight="1" x14ac:dyDescent="0.2"/>
    <row r="38558" ht="9.9499999999999993" hidden="1" customHeight="1" x14ac:dyDescent="0.2"/>
    <row r="38559" ht="9.9499999999999993" hidden="1" customHeight="1" x14ac:dyDescent="0.2"/>
    <row r="38560" ht="9.9499999999999993" hidden="1" customHeight="1" x14ac:dyDescent="0.2"/>
    <row r="38561" ht="9.9499999999999993" hidden="1" customHeight="1" x14ac:dyDescent="0.2"/>
    <row r="38562" ht="9.9499999999999993" hidden="1" customHeight="1" x14ac:dyDescent="0.2"/>
    <row r="38563" ht="9.9499999999999993" hidden="1" customHeight="1" x14ac:dyDescent="0.2"/>
    <row r="38564" ht="9.9499999999999993" hidden="1" customHeight="1" x14ac:dyDescent="0.2"/>
    <row r="38565" ht="9.9499999999999993" hidden="1" customHeight="1" x14ac:dyDescent="0.2"/>
    <row r="38566" ht="9.9499999999999993" hidden="1" customHeight="1" x14ac:dyDescent="0.2"/>
    <row r="38567" ht="9.9499999999999993" hidden="1" customHeight="1" x14ac:dyDescent="0.2"/>
    <row r="38568" ht="9.9499999999999993" hidden="1" customHeight="1" x14ac:dyDescent="0.2"/>
    <row r="38569" ht="9.9499999999999993" hidden="1" customHeight="1" x14ac:dyDescent="0.2"/>
    <row r="38570" ht="9.9499999999999993" hidden="1" customHeight="1" x14ac:dyDescent="0.2"/>
    <row r="38571" ht="9.9499999999999993" hidden="1" customHeight="1" x14ac:dyDescent="0.2"/>
    <row r="38572" ht="9.9499999999999993" hidden="1" customHeight="1" x14ac:dyDescent="0.2"/>
    <row r="38573" ht="9.9499999999999993" hidden="1" customHeight="1" x14ac:dyDescent="0.2"/>
    <row r="38574" ht="9.9499999999999993" hidden="1" customHeight="1" x14ac:dyDescent="0.2"/>
    <row r="38575" ht="9.9499999999999993" hidden="1" customHeight="1" x14ac:dyDescent="0.2"/>
    <row r="38576" ht="9.9499999999999993" hidden="1" customHeight="1" x14ac:dyDescent="0.2"/>
    <row r="38577" ht="9.9499999999999993" hidden="1" customHeight="1" x14ac:dyDescent="0.2"/>
    <row r="38578" ht="9.9499999999999993" hidden="1" customHeight="1" x14ac:dyDescent="0.2"/>
    <row r="38579" ht="9.9499999999999993" hidden="1" customHeight="1" x14ac:dyDescent="0.2"/>
    <row r="38580" ht="9.9499999999999993" hidden="1" customHeight="1" x14ac:dyDescent="0.2"/>
    <row r="38581" ht="9.9499999999999993" hidden="1" customHeight="1" x14ac:dyDescent="0.2"/>
    <row r="38582" ht="9.9499999999999993" hidden="1" customHeight="1" x14ac:dyDescent="0.2"/>
    <row r="38583" ht="9.9499999999999993" hidden="1" customHeight="1" x14ac:dyDescent="0.2"/>
    <row r="38584" ht="9.9499999999999993" hidden="1" customHeight="1" x14ac:dyDescent="0.2"/>
    <row r="38585" ht="9.9499999999999993" hidden="1" customHeight="1" x14ac:dyDescent="0.2"/>
    <row r="38586" ht="9.9499999999999993" hidden="1" customHeight="1" x14ac:dyDescent="0.2"/>
    <row r="38587" ht="9.9499999999999993" hidden="1" customHeight="1" x14ac:dyDescent="0.2"/>
    <row r="38588" ht="9.9499999999999993" hidden="1" customHeight="1" x14ac:dyDescent="0.2"/>
    <row r="38589" ht="9.9499999999999993" hidden="1" customHeight="1" x14ac:dyDescent="0.2"/>
    <row r="38590" ht="9.9499999999999993" hidden="1" customHeight="1" x14ac:dyDescent="0.2"/>
    <row r="38591" ht="9.9499999999999993" hidden="1" customHeight="1" x14ac:dyDescent="0.2"/>
    <row r="38592" ht="9.9499999999999993" hidden="1" customHeight="1" x14ac:dyDescent="0.2"/>
    <row r="38593" ht="9.9499999999999993" hidden="1" customHeight="1" x14ac:dyDescent="0.2"/>
    <row r="38594" ht="9.9499999999999993" hidden="1" customHeight="1" x14ac:dyDescent="0.2"/>
    <row r="38595" ht="9.9499999999999993" hidden="1" customHeight="1" x14ac:dyDescent="0.2"/>
    <row r="38596" ht="9.9499999999999993" hidden="1" customHeight="1" x14ac:dyDescent="0.2"/>
    <row r="38597" ht="9.9499999999999993" hidden="1" customHeight="1" x14ac:dyDescent="0.2"/>
    <row r="38598" ht="9.9499999999999993" hidden="1" customHeight="1" x14ac:dyDescent="0.2"/>
    <row r="38599" ht="9.9499999999999993" hidden="1" customHeight="1" x14ac:dyDescent="0.2"/>
    <row r="38600" ht="9.9499999999999993" hidden="1" customHeight="1" x14ac:dyDescent="0.2"/>
    <row r="38601" ht="9.9499999999999993" hidden="1" customHeight="1" x14ac:dyDescent="0.2"/>
    <row r="38602" ht="9.9499999999999993" hidden="1" customHeight="1" x14ac:dyDescent="0.2"/>
    <row r="38603" ht="9.9499999999999993" hidden="1" customHeight="1" x14ac:dyDescent="0.2"/>
    <row r="38604" ht="9.9499999999999993" hidden="1" customHeight="1" x14ac:dyDescent="0.2"/>
    <row r="38605" ht="9.9499999999999993" hidden="1" customHeight="1" x14ac:dyDescent="0.2"/>
    <row r="38606" ht="9.9499999999999993" hidden="1" customHeight="1" x14ac:dyDescent="0.2"/>
    <row r="38607" ht="9.9499999999999993" hidden="1" customHeight="1" x14ac:dyDescent="0.2"/>
    <row r="38608" ht="9.9499999999999993" hidden="1" customHeight="1" x14ac:dyDescent="0.2"/>
    <row r="38609" ht="9.9499999999999993" hidden="1" customHeight="1" x14ac:dyDescent="0.2"/>
    <row r="38610" ht="9.9499999999999993" hidden="1" customHeight="1" x14ac:dyDescent="0.2"/>
    <row r="38611" ht="9.9499999999999993" hidden="1" customHeight="1" x14ac:dyDescent="0.2"/>
    <row r="38612" ht="9.9499999999999993" hidden="1" customHeight="1" x14ac:dyDescent="0.2"/>
    <row r="38613" ht="9.9499999999999993" hidden="1" customHeight="1" x14ac:dyDescent="0.2"/>
    <row r="38614" ht="9.9499999999999993" hidden="1" customHeight="1" x14ac:dyDescent="0.2"/>
    <row r="38615" ht="9.9499999999999993" hidden="1" customHeight="1" x14ac:dyDescent="0.2"/>
    <row r="38616" ht="9.9499999999999993" hidden="1" customHeight="1" x14ac:dyDescent="0.2"/>
    <row r="38617" ht="9.9499999999999993" hidden="1" customHeight="1" x14ac:dyDescent="0.2"/>
    <row r="38618" ht="9.9499999999999993" hidden="1" customHeight="1" x14ac:dyDescent="0.2"/>
    <row r="38619" ht="9.9499999999999993" hidden="1" customHeight="1" x14ac:dyDescent="0.2"/>
    <row r="38620" ht="9.9499999999999993" hidden="1" customHeight="1" x14ac:dyDescent="0.2"/>
    <row r="38621" ht="9.9499999999999993" hidden="1" customHeight="1" x14ac:dyDescent="0.2"/>
    <row r="38622" ht="9.9499999999999993" hidden="1" customHeight="1" x14ac:dyDescent="0.2"/>
    <row r="38623" ht="9.9499999999999993" hidden="1" customHeight="1" x14ac:dyDescent="0.2"/>
    <row r="38624" ht="9.9499999999999993" hidden="1" customHeight="1" x14ac:dyDescent="0.2"/>
    <row r="38625" ht="9.9499999999999993" hidden="1" customHeight="1" x14ac:dyDescent="0.2"/>
    <row r="38626" ht="9.9499999999999993" hidden="1" customHeight="1" x14ac:dyDescent="0.2"/>
    <row r="38627" ht="9.9499999999999993" hidden="1" customHeight="1" x14ac:dyDescent="0.2"/>
    <row r="38628" ht="9.9499999999999993" hidden="1" customHeight="1" x14ac:dyDescent="0.2"/>
    <row r="38629" ht="9.9499999999999993" hidden="1" customHeight="1" x14ac:dyDescent="0.2"/>
    <row r="38630" ht="9.9499999999999993" hidden="1" customHeight="1" x14ac:dyDescent="0.2"/>
    <row r="38631" ht="9.9499999999999993" hidden="1" customHeight="1" x14ac:dyDescent="0.2"/>
    <row r="38632" ht="9.9499999999999993" hidden="1" customHeight="1" x14ac:dyDescent="0.2"/>
    <row r="38633" ht="9.9499999999999993" hidden="1" customHeight="1" x14ac:dyDescent="0.2"/>
    <row r="38634" ht="9.9499999999999993" hidden="1" customHeight="1" x14ac:dyDescent="0.2"/>
    <row r="38635" ht="9.9499999999999993" hidden="1" customHeight="1" x14ac:dyDescent="0.2"/>
    <row r="38636" ht="9.9499999999999993" hidden="1" customHeight="1" x14ac:dyDescent="0.2"/>
    <row r="38637" ht="9.9499999999999993" hidden="1" customHeight="1" x14ac:dyDescent="0.2"/>
    <row r="38638" ht="9.9499999999999993" hidden="1" customHeight="1" x14ac:dyDescent="0.2"/>
    <row r="38639" ht="9.9499999999999993" hidden="1" customHeight="1" x14ac:dyDescent="0.2"/>
    <row r="38640" ht="9.9499999999999993" hidden="1" customHeight="1" x14ac:dyDescent="0.2"/>
    <row r="38641" ht="9.9499999999999993" hidden="1" customHeight="1" x14ac:dyDescent="0.2"/>
    <row r="38642" ht="9.9499999999999993" hidden="1" customHeight="1" x14ac:dyDescent="0.2"/>
    <row r="38643" ht="9.9499999999999993" hidden="1" customHeight="1" x14ac:dyDescent="0.2"/>
    <row r="38644" ht="9.9499999999999993" hidden="1" customHeight="1" x14ac:dyDescent="0.2"/>
    <row r="38645" ht="9.9499999999999993" hidden="1" customHeight="1" x14ac:dyDescent="0.2"/>
    <row r="38646" ht="9.9499999999999993" hidden="1" customHeight="1" x14ac:dyDescent="0.2"/>
    <row r="38647" ht="9.9499999999999993" hidden="1" customHeight="1" x14ac:dyDescent="0.2"/>
    <row r="38648" ht="9.9499999999999993" hidden="1" customHeight="1" x14ac:dyDescent="0.2"/>
    <row r="38649" ht="9.9499999999999993" hidden="1" customHeight="1" x14ac:dyDescent="0.2"/>
    <row r="38650" ht="9.9499999999999993" hidden="1" customHeight="1" x14ac:dyDescent="0.2"/>
    <row r="38651" ht="9.9499999999999993" hidden="1" customHeight="1" x14ac:dyDescent="0.2"/>
    <row r="38652" ht="9.9499999999999993" hidden="1" customHeight="1" x14ac:dyDescent="0.2"/>
    <row r="38653" ht="9.9499999999999993" hidden="1" customHeight="1" x14ac:dyDescent="0.2"/>
    <row r="38654" ht="9.9499999999999993" hidden="1" customHeight="1" x14ac:dyDescent="0.2"/>
    <row r="38655" ht="9.9499999999999993" hidden="1" customHeight="1" x14ac:dyDescent="0.2"/>
    <row r="38656" ht="9.9499999999999993" hidden="1" customHeight="1" x14ac:dyDescent="0.2"/>
    <row r="38657" ht="9.9499999999999993" hidden="1" customHeight="1" x14ac:dyDescent="0.2"/>
    <row r="38658" ht="9.9499999999999993" hidden="1" customHeight="1" x14ac:dyDescent="0.2"/>
    <row r="38659" ht="9.9499999999999993" hidden="1" customHeight="1" x14ac:dyDescent="0.2"/>
    <row r="38660" ht="9.9499999999999993" hidden="1" customHeight="1" x14ac:dyDescent="0.2"/>
    <row r="38661" ht="9.9499999999999993" hidden="1" customHeight="1" x14ac:dyDescent="0.2"/>
    <row r="38662" ht="9.9499999999999993" hidden="1" customHeight="1" x14ac:dyDescent="0.2"/>
    <row r="38663" ht="9.9499999999999993" hidden="1" customHeight="1" x14ac:dyDescent="0.2"/>
    <row r="38664" ht="9.9499999999999993" hidden="1" customHeight="1" x14ac:dyDescent="0.2"/>
    <row r="38665" ht="9.9499999999999993" hidden="1" customHeight="1" x14ac:dyDescent="0.2"/>
    <row r="38666" ht="9.9499999999999993" hidden="1" customHeight="1" x14ac:dyDescent="0.2"/>
    <row r="38667" ht="9.9499999999999993" hidden="1" customHeight="1" x14ac:dyDescent="0.2"/>
    <row r="38668" ht="9.9499999999999993" hidden="1" customHeight="1" x14ac:dyDescent="0.2"/>
    <row r="38669" ht="9.9499999999999993" hidden="1" customHeight="1" x14ac:dyDescent="0.2"/>
    <row r="38670" ht="9.9499999999999993" hidden="1" customHeight="1" x14ac:dyDescent="0.2"/>
    <row r="38671" ht="9.9499999999999993" hidden="1" customHeight="1" x14ac:dyDescent="0.2"/>
    <row r="38672" ht="9.9499999999999993" hidden="1" customHeight="1" x14ac:dyDescent="0.2"/>
    <row r="38673" ht="9.9499999999999993" hidden="1" customHeight="1" x14ac:dyDescent="0.2"/>
    <row r="38674" ht="9.9499999999999993" hidden="1" customHeight="1" x14ac:dyDescent="0.2"/>
    <row r="38675" ht="9.9499999999999993" hidden="1" customHeight="1" x14ac:dyDescent="0.2"/>
    <row r="38676" ht="9.9499999999999993" hidden="1" customHeight="1" x14ac:dyDescent="0.2"/>
    <row r="38677" ht="9.9499999999999993" hidden="1" customHeight="1" x14ac:dyDescent="0.2"/>
    <row r="38678" ht="9.9499999999999993" hidden="1" customHeight="1" x14ac:dyDescent="0.2"/>
    <row r="38679" ht="9.9499999999999993" hidden="1" customHeight="1" x14ac:dyDescent="0.2"/>
    <row r="38680" ht="9.9499999999999993" hidden="1" customHeight="1" x14ac:dyDescent="0.2"/>
    <row r="38681" ht="9.9499999999999993" hidden="1" customHeight="1" x14ac:dyDescent="0.2"/>
    <row r="38682" ht="9.9499999999999993" hidden="1" customHeight="1" x14ac:dyDescent="0.2"/>
    <row r="38683" ht="9.9499999999999993" hidden="1" customHeight="1" x14ac:dyDescent="0.2"/>
    <row r="38684" ht="9.9499999999999993" hidden="1" customHeight="1" x14ac:dyDescent="0.2"/>
    <row r="38685" ht="9.9499999999999993" hidden="1" customHeight="1" x14ac:dyDescent="0.2"/>
    <row r="38686" ht="9.9499999999999993" hidden="1" customHeight="1" x14ac:dyDescent="0.2"/>
    <row r="38687" ht="9.9499999999999993" hidden="1" customHeight="1" x14ac:dyDescent="0.2"/>
    <row r="38688" ht="9.9499999999999993" hidden="1" customHeight="1" x14ac:dyDescent="0.2"/>
    <row r="38689" ht="9.9499999999999993" hidden="1" customHeight="1" x14ac:dyDescent="0.2"/>
    <row r="38690" ht="9.9499999999999993" hidden="1" customHeight="1" x14ac:dyDescent="0.2"/>
    <row r="38691" ht="9.9499999999999993" hidden="1" customHeight="1" x14ac:dyDescent="0.2"/>
    <row r="38692" ht="9.9499999999999993" hidden="1" customHeight="1" x14ac:dyDescent="0.2"/>
    <row r="38693" ht="9.9499999999999993" hidden="1" customHeight="1" x14ac:dyDescent="0.2"/>
    <row r="38694" ht="9.9499999999999993" hidden="1" customHeight="1" x14ac:dyDescent="0.2"/>
    <row r="38695" ht="9.9499999999999993" hidden="1" customHeight="1" x14ac:dyDescent="0.2"/>
    <row r="38696" ht="9.9499999999999993" hidden="1" customHeight="1" x14ac:dyDescent="0.2"/>
    <row r="38697" ht="9.9499999999999993" hidden="1" customHeight="1" x14ac:dyDescent="0.2"/>
    <row r="38698" ht="9.9499999999999993" hidden="1" customHeight="1" x14ac:dyDescent="0.2"/>
    <row r="38699" ht="9.9499999999999993" hidden="1" customHeight="1" x14ac:dyDescent="0.2"/>
    <row r="38700" ht="9.9499999999999993" hidden="1" customHeight="1" x14ac:dyDescent="0.2"/>
    <row r="38701" ht="9.9499999999999993" hidden="1" customHeight="1" x14ac:dyDescent="0.2"/>
    <row r="38702" ht="9.9499999999999993" hidden="1" customHeight="1" x14ac:dyDescent="0.2"/>
    <row r="38703" ht="9.9499999999999993" hidden="1" customHeight="1" x14ac:dyDescent="0.2"/>
    <row r="38704" ht="9.9499999999999993" hidden="1" customHeight="1" x14ac:dyDescent="0.2"/>
    <row r="38705" ht="9.9499999999999993" hidden="1" customHeight="1" x14ac:dyDescent="0.2"/>
    <row r="38706" ht="9.9499999999999993" hidden="1" customHeight="1" x14ac:dyDescent="0.2"/>
    <row r="38707" ht="9.9499999999999993" hidden="1" customHeight="1" x14ac:dyDescent="0.2"/>
    <row r="38708" ht="9.9499999999999993" hidden="1" customHeight="1" x14ac:dyDescent="0.2"/>
    <row r="38709" ht="9.9499999999999993" hidden="1" customHeight="1" x14ac:dyDescent="0.2"/>
    <row r="38710" ht="9.9499999999999993" hidden="1" customHeight="1" x14ac:dyDescent="0.2"/>
    <row r="38711" ht="9.9499999999999993" hidden="1" customHeight="1" x14ac:dyDescent="0.2"/>
    <row r="38712" ht="9.9499999999999993" hidden="1" customHeight="1" x14ac:dyDescent="0.2"/>
    <row r="38713" ht="9.9499999999999993" hidden="1" customHeight="1" x14ac:dyDescent="0.2"/>
    <row r="38714" ht="9.9499999999999993" hidden="1" customHeight="1" x14ac:dyDescent="0.2"/>
    <row r="38715" ht="9.9499999999999993" hidden="1" customHeight="1" x14ac:dyDescent="0.2"/>
    <row r="38716" ht="9.9499999999999993" hidden="1" customHeight="1" x14ac:dyDescent="0.2"/>
    <row r="38717" ht="9.9499999999999993" hidden="1" customHeight="1" x14ac:dyDescent="0.2"/>
    <row r="38718" ht="9.9499999999999993" hidden="1" customHeight="1" x14ac:dyDescent="0.2"/>
    <row r="38719" ht="9.9499999999999993" hidden="1" customHeight="1" x14ac:dyDescent="0.2"/>
    <row r="38720" ht="9.9499999999999993" hidden="1" customHeight="1" x14ac:dyDescent="0.2"/>
    <row r="38721" ht="9.9499999999999993" hidden="1" customHeight="1" x14ac:dyDescent="0.2"/>
    <row r="38722" ht="9.9499999999999993" hidden="1" customHeight="1" x14ac:dyDescent="0.2"/>
    <row r="38723" ht="9.9499999999999993" hidden="1" customHeight="1" x14ac:dyDescent="0.2"/>
    <row r="38724" ht="9.9499999999999993" hidden="1" customHeight="1" x14ac:dyDescent="0.2"/>
    <row r="38725" ht="9.9499999999999993" hidden="1" customHeight="1" x14ac:dyDescent="0.2"/>
    <row r="38726" ht="9.9499999999999993" hidden="1" customHeight="1" x14ac:dyDescent="0.2"/>
    <row r="38727" ht="9.9499999999999993" hidden="1" customHeight="1" x14ac:dyDescent="0.2"/>
    <row r="38728" ht="9.9499999999999993" hidden="1" customHeight="1" x14ac:dyDescent="0.2"/>
    <row r="38729" ht="9.9499999999999993" hidden="1" customHeight="1" x14ac:dyDescent="0.2"/>
    <row r="38730" ht="9.9499999999999993" hidden="1" customHeight="1" x14ac:dyDescent="0.2"/>
    <row r="38731" ht="9.9499999999999993" hidden="1" customHeight="1" x14ac:dyDescent="0.2"/>
    <row r="38732" ht="9.9499999999999993" hidden="1" customHeight="1" x14ac:dyDescent="0.2"/>
    <row r="38733" ht="9.9499999999999993" hidden="1" customHeight="1" x14ac:dyDescent="0.2"/>
    <row r="38734" ht="9.9499999999999993" hidden="1" customHeight="1" x14ac:dyDescent="0.2"/>
    <row r="38735" ht="9.9499999999999993" hidden="1" customHeight="1" x14ac:dyDescent="0.2"/>
    <row r="38736" ht="9.9499999999999993" hidden="1" customHeight="1" x14ac:dyDescent="0.2"/>
    <row r="38737" ht="9.9499999999999993" hidden="1" customHeight="1" x14ac:dyDescent="0.2"/>
    <row r="38738" ht="9.9499999999999993" hidden="1" customHeight="1" x14ac:dyDescent="0.2"/>
    <row r="38739" ht="9.9499999999999993" hidden="1" customHeight="1" x14ac:dyDescent="0.2"/>
    <row r="38740" ht="9.9499999999999993" hidden="1" customHeight="1" x14ac:dyDescent="0.2"/>
    <row r="38741" ht="9.9499999999999993" hidden="1" customHeight="1" x14ac:dyDescent="0.2"/>
    <row r="38742" ht="9.9499999999999993" hidden="1" customHeight="1" x14ac:dyDescent="0.2"/>
    <row r="38743" ht="9.9499999999999993" hidden="1" customHeight="1" x14ac:dyDescent="0.2"/>
    <row r="38744" ht="9.9499999999999993" hidden="1" customHeight="1" x14ac:dyDescent="0.2"/>
    <row r="38745" ht="9.9499999999999993" hidden="1" customHeight="1" x14ac:dyDescent="0.2"/>
    <row r="38746" ht="9.9499999999999993" hidden="1" customHeight="1" x14ac:dyDescent="0.2"/>
    <row r="38747" ht="9.9499999999999993" hidden="1" customHeight="1" x14ac:dyDescent="0.2"/>
    <row r="38748" ht="9.9499999999999993" hidden="1" customHeight="1" x14ac:dyDescent="0.2"/>
    <row r="38749" ht="9.9499999999999993" hidden="1" customHeight="1" x14ac:dyDescent="0.2"/>
    <row r="38750" ht="9.9499999999999993" hidden="1" customHeight="1" x14ac:dyDescent="0.2"/>
    <row r="38751" ht="9.9499999999999993" hidden="1" customHeight="1" x14ac:dyDescent="0.2"/>
    <row r="38752" ht="9.9499999999999993" hidden="1" customHeight="1" x14ac:dyDescent="0.2"/>
    <row r="38753" ht="9.9499999999999993" hidden="1" customHeight="1" x14ac:dyDescent="0.2"/>
    <row r="38754" ht="9.9499999999999993" hidden="1" customHeight="1" x14ac:dyDescent="0.2"/>
    <row r="38755" ht="9.9499999999999993" hidden="1" customHeight="1" x14ac:dyDescent="0.2"/>
    <row r="38756" ht="9.9499999999999993" hidden="1" customHeight="1" x14ac:dyDescent="0.2"/>
    <row r="38757" ht="9.9499999999999993" hidden="1" customHeight="1" x14ac:dyDescent="0.2"/>
    <row r="38758" ht="9.9499999999999993" hidden="1" customHeight="1" x14ac:dyDescent="0.2"/>
    <row r="38759" ht="9.9499999999999993" hidden="1" customHeight="1" x14ac:dyDescent="0.2"/>
    <row r="38760" ht="9.9499999999999993" hidden="1" customHeight="1" x14ac:dyDescent="0.2"/>
    <row r="38761" ht="9.9499999999999993" hidden="1" customHeight="1" x14ac:dyDescent="0.2"/>
    <row r="38762" ht="9.9499999999999993" hidden="1" customHeight="1" x14ac:dyDescent="0.2"/>
    <row r="38763" ht="9.9499999999999993" hidden="1" customHeight="1" x14ac:dyDescent="0.2"/>
    <row r="38764" ht="9.9499999999999993" hidden="1" customHeight="1" x14ac:dyDescent="0.2"/>
    <row r="38765" ht="9.9499999999999993" hidden="1" customHeight="1" x14ac:dyDescent="0.2"/>
    <row r="38766" ht="9.9499999999999993" hidden="1" customHeight="1" x14ac:dyDescent="0.2"/>
    <row r="38767" ht="9.9499999999999993" hidden="1" customHeight="1" x14ac:dyDescent="0.2"/>
    <row r="38768" ht="9.9499999999999993" hidden="1" customHeight="1" x14ac:dyDescent="0.2"/>
    <row r="38769" ht="9.9499999999999993" hidden="1" customHeight="1" x14ac:dyDescent="0.2"/>
    <row r="38770" ht="9.9499999999999993" hidden="1" customHeight="1" x14ac:dyDescent="0.2"/>
    <row r="38771" ht="9.9499999999999993" hidden="1" customHeight="1" x14ac:dyDescent="0.2"/>
    <row r="38772" ht="9.9499999999999993" hidden="1" customHeight="1" x14ac:dyDescent="0.2"/>
    <row r="38773" ht="9.9499999999999993" hidden="1" customHeight="1" x14ac:dyDescent="0.2"/>
    <row r="38774" ht="9.9499999999999993" hidden="1" customHeight="1" x14ac:dyDescent="0.2"/>
    <row r="38775" ht="9.9499999999999993" hidden="1" customHeight="1" x14ac:dyDescent="0.2"/>
    <row r="38776" ht="9.9499999999999993" hidden="1" customHeight="1" x14ac:dyDescent="0.2"/>
    <row r="38777" ht="9.9499999999999993" hidden="1" customHeight="1" x14ac:dyDescent="0.2"/>
    <row r="38778" ht="9.9499999999999993" hidden="1" customHeight="1" x14ac:dyDescent="0.2"/>
    <row r="38779" ht="9.9499999999999993" hidden="1" customHeight="1" x14ac:dyDescent="0.2"/>
    <row r="38780" ht="9.9499999999999993" hidden="1" customHeight="1" x14ac:dyDescent="0.2"/>
    <row r="38781" ht="9.9499999999999993" hidden="1" customHeight="1" x14ac:dyDescent="0.2"/>
    <row r="38782" ht="9.9499999999999993" hidden="1" customHeight="1" x14ac:dyDescent="0.2"/>
    <row r="38783" ht="9.9499999999999993" hidden="1" customHeight="1" x14ac:dyDescent="0.2"/>
    <row r="38784" ht="9.9499999999999993" hidden="1" customHeight="1" x14ac:dyDescent="0.2"/>
    <row r="38785" ht="9.9499999999999993" hidden="1" customHeight="1" x14ac:dyDescent="0.2"/>
    <row r="38786" ht="9.9499999999999993" hidden="1" customHeight="1" x14ac:dyDescent="0.2"/>
    <row r="38787" ht="9.9499999999999993" hidden="1" customHeight="1" x14ac:dyDescent="0.2"/>
    <row r="38788" ht="9.9499999999999993" hidden="1" customHeight="1" x14ac:dyDescent="0.2"/>
    <row r="38789" ht="9.9499999999999993" hidden="1" customHeight="1" x14ac:dyDescent="0.2"/>
    <row r="38790" ht="9.9499999999999993" hidden="1" customHeight="1" x14ac:dyDescent="0.2"/>
    <row r="38791" ht="9.9499999999999993" hidden="1" customHeight="1" x14ac:dyDescent="0.2"/>
    <row r="38792" ht="9.9499999999999993" hidden="1" customHeight="1" x14ac:dyDescent="0.2"/>
    <row r="38793" ht="9.9499999999999993" hidden="1" customHeight="1" x14ac:dyDescent="0.2"/>
    <row r="38794" ht="9.9499999999999993" hidden="1" customHeight="1" x14ac:dyDescent="0.2"/>
    <row r="38795" ht="9.9499999999999993" hidden="1" customHeight="1" x14ac:dyDescent="0.2"/>
    <row r="38796" ht="9.9499999999999993" hidden="1" customHeight="1" x14ac:dyDescent="0.2"/>
    <row r="38797" ht="9.9499999999999993" hidden="1" customHeight="1" x14ac:dyDescent="0.2"/>
    <row r="38798" ht="9.9499999999999993" hidden="1" customHeight="1" x14ac:dyDescent="0.2"/>
    <row r="38799" ht="9.9499999999999993" hidden="1" customHeight="1" x14ac:dyDescent="0.2"/>
    <row r="38800" ht="9.9499999999999993" hidden="1" customHeight="1" x14ac:dyDescent="0.2"/>
    <row r="38801" ht="9.9499999999999993" hidden="1" customHeight="1" x14ac:dyDescent="0.2"/>
    <row r="38802" ht="9.9499999999999993" hidden="1" customHeight="1" x14ac:dyDescent="0.2"/>
    <row r="38803" ht="9.9499999999999993" hidden="1" customHeight="1" x14ac:dyDescent="0.2"/>
    <row r="38804" ht="9.9499999999999993" hidden="1" customHeight="1" x14ac:dyDescent="0.2"/>
    <row r="38805" ht="9.9499999999999993" hidden="1" customHeight="1" x14ac:dyDescent="0.2"/>
    <row r="38806" ht="9.9499999999999993" hidden="1" customHeight="1" x14ac:dyDescent="0.2"/>
    <row r="38807" ht="9.9499999999999993" hidden="1" customHeight="1" x14ac:dyDescent="0.2"/>
    <row r="38808" ht="9.9499999999999993" hidden="1" customHeight="1" x14ac:dyDescent="0.2"/>
    <row r="38809" ht="9.9499999999999993" hidden="1" customHeight="1" x14ac:dyDescent="0.2"/>
    <row r="38810" ht="9.9499999999999993" hidden="1" customHeight="1" x14ac:dyDescent="0.2"/>
    <row r="38811" ht="9.9499999999999993" hidden="1" customHeight="1" x14ac:dyDescent="0.2"/>
    <row r="38812" ht="9.9499999999999993" hidden="1" customHeight="1" x14ac:dyDescent="0.2"/>
    <row r="38813" ht="9.9499999999999993" hidden="1" customHeight="1" x14ac:dyDescent="0.2"/>
    <row r="38814" ht="9.9499999999999993" hidden="1" customHeight="1" x14ac:dyDescent="0.2"/>
    <row r="38815" ht="9.9499999999999993" hidden="1" customHeight="1" x14ac:dyDescent="0.2"/>
    <row r="38816" ht="9.9499999999999993" hidden="1" customHeight="1" x14ac:dyDescent="0.2"/>
    <row r="38817" ht="9.9499999999999993" hidden="1" customHeight="1" x14ac:dyDescent="0.2"/>
    <row r="38818" ht="9.9499999999999993" hidden="1" customHeight="1" x14ac:dyDescent="0.2"/>
    <row r="38819" ht="9.9499999999999993" hidden="1" customHeight="1" x14ac:dyDescent="0.2"/>
    <row r="38820" ht="9.9499999999999993" hidden="1" customHeight="1" x14ac:dyDescent="0.2"/>
    <row r="38821" ht="9.9499999999999993" hidden="1" customHeight="1" x14ac:dyDescent="0.2"/>
    <row r="38822" ht="9.9499999999999993" hidden="1" customHeight="1" x14ac:dyDescent="0.2"/>
    <row r="38823" ht="9.9499999999999993" hidden="1" customHeight="1" x14ac:dyDescent="0.2"/>
    <row r="38824" ht="9.9499999999999993" hidden="1" customHeight="1" x14ac:dyDescent="0.2"/>
    <row r="38825" ht="9.9499999999999993" hidden="1" customHeight="1" x14ac:dyDescent="0.2"/>
    <row r="38826" ht="9.9499999999999993" hidden="1" customHeight="1" x14ac:dyDescent="0.2"/>
    <row r="38827" ht="9.9499999999999993" hidden="1" customHeight="1" x14ac:dyDescent="0.2"/>
    <row r="38828" ht="9.9499999999999993" hidden="1" customHeight="1" x14ac:dyDescent="0.2"/>
    <row r="38829" ht="9.9499999999999993" hidden="1" customHeight="1" x14ac:dyDescent="0.2"/>
    <row r="38830" ht="9.9499999999999993" hidden="1" customHeight="1" x14ac:dyDescent="0.2"/>
    <row r="38831" ht="9.9499999999999993" hidden="1" customHeight="1" x14ac:dyDescent="0.2"/>
    <row r="38832" ht="9.9499999999999993" hidden="1" customHeight="1" x14ac:dyDescent="0.2"/>
    <row r="38833" ht="9.9499999999999993" hidden="1" customHeight="1" x14ac:dyDescent="0.2"/>
    <row r="38834" ht="9.9499999999999993" hidden="1" customHeight="1" x14ac:dyDescent="0.2"/>
    <row r="38835" ht="9.9499999999999993" hidden="1" customHeight="1" x14ac:dyDescent="0.2"/>
    <row r="38836" ht="9.9499999999999993" hidden="1" customHeight="1" x14ac:dyDescent="0.2"/>
    <row r="38837" ht="9.9499999999999993" hidden="1" customHeight="1" x14ac:dyDescent="0.2"/>
    <row r="38838" ht="9.9499999999999993" hidden="1" customHeight="1" x14ac:dyDescent="0.2"/>
    <row r="38839" ht="9.9499999999999993" hidden="1" customHeight="1" x14ac:dyDescent="0.2"/>
    <row r="38840" ht="9.9499999999999993" hidden="1" customHeight="1" x14ac:dyDescent="0.2"/>
    <row r="38841" ht="9.9499999999999993" hidden="1" customHeight="1" x14ac:dyDescent="0.2"/>
    <row r="38842" ht="9.9499999999999993" hidden="1" customHeight="1" x14ac:dyDescent="0.2"/>
    <row r="38843" ht="9.9499999999999993" hidden="1" customHeight="1" x14ac:dyDescent="0.2"/>
    <row r="38844" ht="9.9499999999999993" hidden="1" customHeight="1" x14ac:dyDescent="0.2"/>
    <row r="38845" ht="9.9499999999999993" hidden="1" customHeight="1" x14ac:dyDescent="0.2"/>
    <row r="38846" ht="9.9499999999999993" hidden="1" customHeight="1" x14ac:dyDescent="0.2"/>
    <row r="38847" ht="9.9499999999999993" hidden="1" customHeight="1" x14ac:dyDescent="0.2"/>
    <row r="38848" ht="9.9499999999999993" hidden="1" customHeight="1" x14ac:dyDescent="0.2"/>
    <row r="38849" ht="9.9499999999999993" hidden="1" customHeight="1" x14ac:dyDescent="0.2"/>
    <row r="38850" ht="9.9499999999999993" hidden="1" customHeight="1" x14ac:dyDescent="0.2"/>
    <row r="38851" ht="9.9499999999999993" hidden="1" customHeight="1" x14ac:dyDescent="0.2"/>
    <row r="38852" ht="9.9499999999999993" hidden="1" customHeight="1" x14ac:dyDescent="0.2"/>
    <row r="38853" ht="9.9499999999999993" hidden="1" customHeight="1" x14ac:dyDescent="0.2"/>
    <row r="38854" ht="9.9499999999999993" hidden="1" customHeight="1" x14ac:dyDescent="0.2"/>
    <row r="38855" ht="9.9499999999999993" hidden="1" customHeight="1" x14ac:dyDescent="0.2"/>
    <row r="38856" ht="9.9499999999999993" hidden="1" customHeight="1" x14ac:dyDescent="0.2"/>
    <row r="38857" ht="9.9499999999999993" hidden="1" customHeight="1" x14ac:dyDescent="0.2"/>
    <row r="38858" ht="9.9499999999999993" hidden="1" customHeight="1" x14ac:dyDescent="0.2"/>
    <row r="38859" ht="9.9499999999999993" hidden="1" customHeight="1" x14ac:dyDescent="0.2"/>
    <row r="38860" ht="9.9499999999999993" hidden="1" customHeight="1" x14ac:dyDescent="0.2"/>
    <row r="38861" ht="9.9499999999999993" hidden="1" customHeight="1" x14ac:dyDescent="0.2"/>
    <row r="38862" ht="9.9499999999999993" hidden="1" customHeight="1" x14ac:dyDescent="0.2"/>
    <row r="38863" ht="9.9499999999999993" hidden="1" customHeight="1" x14ac:dyDescent="0.2"/>
    <row r="38864" ht="9.9499999999999993" hidden="1" customHeight="1" x14ac:dyDescent="0.2"/>
    <row r="38865" ht="9.9499999999999993" hidden="1" customHeight="1" x14ac:dyDescent="0.2"/>
    <row r="38866" ht="9.9499999999999993" hidden="1" customHeight="1" x14ac:dyDescent="0.2"/>
    <row r="38867" ht="9.9499999999999993" hidden="1" customHeight="1" x14ac:dyDescent="0.2"/>
    <row r="38868" ht="9.9499999999999993" hidden="1" customHeight="1" x14ac:dyDescent="0.2"/>
    <row r="38869" ht="9.9499999999999993" hidden="1" customHeight="1" x14ac:dyDescent="0.2"/>
    <row r="38870" ht="9.9499999999999993" hidden="1" customHeight="1" x14ac:dyDescent="0.2"/>
    <row r="38871" ht="9.9499999999999993" hidden="1" customHeight="1" x14ac:dyDescent="0.2"/>
    <row r="38872" ht="9.9499999999999993" hidden="1" customHeight="1" x14ac:dyDescent="0.2"/>
    <row r="38873" ht="9.9499999999999993" hidden="1" customHeight="1" x14ac:dyDescent="0.2"/>
    <row r="38874" ht="9.9499999999999993" hidden="1" customHeight="1" x14ac:dyDescent="0.2"/>
    <row r="38875" ht="9.9499999999999993" hidden="1" customHeight="1" x14ac:dyDescent="0.2"/>
    <row r="38876" ht="9.9499999999999993" hidden="1" customHeight="1" x14ac:dyDescent="0.2"/>
    <row r="38877" ht="9.9499999999999993" hidden="1" customHeight="1" x14ac:dyDescent="0.2"/>
    <row r="38878" ht="9.9499999999999993" hidden="1" customHeight="1" x14ac:dyDescent="0.2"/>
    <row r="38879" ht="9.9499999999999993" hidden="1" customHeight="1" x14ac:dyDescent="0.2"/>
    <row r="38880" ht="9.9499999999999993" hidden="1" customHeight="1" x14ac:dyDescent="0.2"/>
    <row r="38881" ht="9.9499999999999993" hidden="1" customHeight="1" x14ac:dyDescent="0.2"/>
    <row r="38882" ht="9.9499999999999993" hidden="1" customHeight="1" x14ac:dyDescent="0.2"/>
    <row r="38883" ht="9.9499999999999993" hidden="1" customHeight="1" x14ac:dyDescent="0.2"/>
    <row r="38884" ht="9.9499999999999993" hidden="1" customHeight="1" x14ac:dyDescent="0.2"/>
    <row r="38885" ht="9.9499999999999993" hidden="1" customHeight="1" x14ac:dyDescent="0.2"/>
    <row r="38886" ht="9.9499999999999993" hidden="1" customHeight="1" x14ac:dyDescent="0.2"/>
    <row r="38887" ht="9.9499999999999993" hidden="1" customHeight="1" x14ac:dyDescent="0.2"/>
    <row r="38888" ht="9.9499999999999993" hidden="1" customHeight="1" x14ac:dyDescent="0.2"/>
    <row r="38889" ht="9.9499999999999993" hidden="1" customHeight="1" x14ac:dyDescent="0.2"/>
    <row r="38890" ht="9.9499999999999993" hidden="1" customHeight="1" x14ac:dyDescent="0.2"/>
    <row r="38891" ht="9.9499999999999993" hidden="1" customHeight="1" x14ac:dyDescent="0.2"/>
    <row r="38892" ht="9.9499999999999993" hidden="1" customHeight="1" x14ac:dyDescent="0.2"/>
    <row r="38893" ht="9.9499999999999993" hidden="1" customHeight="1" x14ac:dyDescent="0.2"/>
    <row r="38894" ht="9.9499999999999993" hidden="1" customHeight="1" x14ac:dyDescent="0.2"/>
    <row r="38895" ht="9.9499999999999993" hidden="1" customHeight="1" x14ac:dyDescent="0.2"/>
    <row r="38896" ht="9.9499999999999993" hidden="1" customHeight="1" x14ac:dyDescent="0.2"/>
    <row r="38897" ht="9.9499999999999993" hidden="1" customHeight="1" x14ac:dyDescent="0.2"/>
    <row r="38898" ht="9.9499999999999993" hidden="1" customHeight="1" x14ac:dyDescent="0.2"/>
    <row r="38899" ht="9.9499999999999993" hidden="1" customHeight="1" x14ac:dyDescent="0.2"/>
    <row r="38900" ht="9.9499999999999993" hidden="1" customHeight="1" x14ac:dyDescent="0.2"/>
    <row r="38901" ht="9.9499999999999993" hidden="1" customHeight="1" x14ac:dyDescent="0.2"/>
    <row r="38902" ht="9.9499999999999993" hidden="1" customHeight="1" x14ac:dyDescent="0.2"/>
    <row r="38903" ht="9.9499999999999993" hidden="1" customHeight="1" x14ac:dyDescent="0.2"/>
    <row r="38904" ht="9.9499999999999993" hidden="1" customHeight="1" x14ac:dyDescent="0.2"/>
    <row r="38905" ht="9.9499999999999993" hidden="1" customHeight="1" x14ac:dyDescent="0.2"/>
    <row r="38906" ht="9.9499999999999993" hidden="1" customHeight="1" x14ac:dyDescent="0.2"/>
    <row r="38907" ht="9.9499999999999993" hidden="1" customHeight="1" x14ac:dyDescent="0.2"/>
    <row r="38908" ht="9.9499999999999993" hidden="1" customHeight="1" x14ac:dyDescent="0.2"/>
    <row r="38909" ht="9.9499999999999993" hidden="1" customHeight="1" x14ac:dyDescent="0.2"/>
    <row r="38910" ht="9.9499999999999993" hidden="1" customHeight="1" x14ac:dyDescent="0.2"/>
    <row r="38911" ht="9.9499999999999993" hidden="1" customHeight="1" x14ac:dyDescent="0.2"/>
    <row r="38912" ht="9.9499999999999993" hidden="1" customHeight="1" x14ac:dyDescent="0.2"/>
    <row r="38913" ht="9.9499999999999993" hidden="1" customHeight="1" x14ac:dyDescent="0.2"/>
    <row r="38914" ht="9.9499999999999993" hidden="1" customHeight="1" x14ac:dyDescent="0.2"/>
    <row r="38915" ht="9.9499999999999993" hidden="1" customHeight="1" x14ac:dyDescent="0.2"/>
    <row r="38916" ht="9.9499999999999993" hidden="1" customHeight="1" x14ac:dyDescent="0.2"/>
    <row r="38917" ht="9.9499999999999993" hidden="1" customHeight="1" x14ac:dyDescent="0.2"/>
    <row r="38918" ht="9.9499999999999993" hidden="1" customHeight="1" x14ac:dyDescent="0.2"/>
    <row r="38919" ht="9.9499999999999993" hidden="1" customHeight="1" x14ac:dyDescent="0.2"/>
    <row r="38920" ht="9.9499999999999993" hidden="1" customHeight="1" x14ac:dyDescent="0.2"/>
    <row r="38921" ht="9.9499999999999993" hidden="1" customHeight="1" x14ac:dyDescent="0.2"/>
    <row r="38922" ht="9.9499999999999993" hidden="1" customHeight="1" x14ac:dyDescent="0.2"/>
    <row r="38923" ht="9.9499999999999993" hidden="1" customHeight="1" x14ac:dyDescent="0.2"/>
    <row r="38924" ht="9.9499999999999993" hidden="1" customHeight="1" x14ac:dyDescent="0.2"/>
    <row r="38925" ht="9.9499999999999993" hidden="1" customHeight="1" x14ac:dyDescent="0.2"/>
    <row r="38926" ht="9.9499999999999993" hidden="1" customHeight="1" x14ac:dyDescent="0.2"/>
    <row r="38927" ht="9.9499999999999993" hidden="1" customHeight="1" x14ac:dyDescent="0.2"/>
    <row r="38928" ht="9.9499999999999993" hidden="1" customHeight="1" x14ac:dyDescent="0.2"/>
    <row r="38929" ht="9.9499999999999993" hidden="1" customHeight="1" x14ac:dyDescent="0.2"/>
    <row r="38930" ht="9.9499999999999993" hidden="1" customHeight="1" x14ac:dyDescent="0.2"/>
    <row r="38931" ht="9.9499999999999993" hidden="1" customHeight="1" x14ac:dyDescent="0.2"/>
    <row r="38932" ht="9.9499999999999993" hidden="1" customHeight="1" x14ac:dyDescent="0.2"/>
    <row r="38933" ht="9.9499999999999993" hidden="1" customHeight="1" x14ac:dyDescent="0.2"/>
    <row r="38934" ht="9.9499999999999993" hidden="1" customHeight="1" x14ac:dyDescent="0.2"/>
    <row r="38935" ht="9.9499999999999993" hidden="1" customHeight="1" x14ac:dyDescent="0.2"/>
    <row r="38936" ht="9.9499999999999993" hidden="1" customHeight="1" x14ac:dyDescent="0.2"/>
    <row r="38937" ht="9.9499999999999993" hidden="1" customHeight="1" x14ac:dyDescent="0.2"/>
    <row r="38938" ht="9.9499999999999993" hidden="1" customHeight="1" x14ac:dyDescent="0.2"/>
    <row r="38939" ht="9.9499999999999993" hidden="1" customHeight="1" x14ac:dyDescent="0.2"/>
    <row r="38940" ht="9.9499999999999993" hidden="1" customHeight="1" x14ac:dyDescent="0.2"/>
    <row r="38941" ht="9.9499999999999993" hidden="1" customHeight="1" x14ac:dyDescent="0.2"/>
    <row r="38942" ht="9.9499999999999993" hidden="1" customHeight="1" x14ac:dyDescent="0.2"/>
    <row r="38943" ht="9.9499999999999993" hidden="1" customHeight="1" x14ac:dyDescent="0.2"/>
    <row r="38944" ht="9.9499999999999993" hidden="1" customHeight="1" x14ac:dyDescent="0.2"/>
    <row r="38945" ht="9.9499999999999993" hidden="1" customHeight="1" x14ac:dyDescent="0.2"/>
    <row r="38946" ht="9.9499999999999993" hidden="1" customHeight="1" x14ac:dyDescent="0.2"/>
    <row r="38947" ht="9.9499999999999993" hidden="1" customHeight="1" x14ac:dyDescent="0.2"/>
    <row r="38948" ht="9.9499999999999993" hidden="1" customHeight="1" x14ac:dyDescent="0.2"/>
    <row r="38949" ht="9.9499999999999993" hidden="1" customHeight="1" x14ac:dyDescent="0.2"/>
    <row r="38950" ht="9.9499999999999993" hidden="1" customHeight="1" x14ac:dyDescent="0.2"/>
    <row r="38951" ht="9.9499999999999993" hidden="1" customHeight="1" x14ac:dyDescent="0.2"/>
    <row r="38952" ht="9.9499999999999993" hidden="1" customHeight="1" x14ac:dyDescent="0.2"/>
    <row r="38953" ht="9.9499999999999993" hidden="1" customHeight="1" x14ac:dyDescent="0.2"/>
    <row r="38954" ht="9.9499999999999993" hidden="1" customHeight="1" x14ac:dyDescent="0.2"/>
    <row r="38955" ht="9.9499999999999993" hidden="1" customHeight="1" x14ac:dyDescent="0.2"/>
    <row r="38956" ht="9.9499999999999993" hidden="1" customHeight="1" x14ac:dyDescent="0.2"/>
    <row r="38957" ht="9.9499999999999993" hidden="1" customHeight="1" x14ac:dyDescent="0.2"/>
    <row r="38958" ht="9.9499999999999993" hidden="1" customHeight="1" x14ac:dyDescent="0.2"/>
    <row r="38959" ht="9.9499999999999993" hidden="1" customHeight="1" x14ac:dyDescent="0.2"/>
    <row r="38960" ht="9.9499999999999993" hidden="1" customHeight="1" x14ac:dyDescent="0.2"/>
    <row r="38961" ht="9.9499999999999993" hidden="1" customHeight="1" x14ac:dyDescent="0.2"/>
    <row r="38962" ht="9.9499999999999993" hidden="1" customHeight="1" x14ac:dyDescent="0.2"/>
    <row r="38963" ht="9.9499999999999993" hidden="1" customHeight="1" x14ac:dyDescent="0.2"/>
    <row r="38964" ht="9.9499999999999993" hidden="1" customHeight="1" x14ac:dyDescent="0.2"/>
    <row r="38965" ht="9.9499999999999993" hidden="1" customHeight="1" x14ac:dyDescent="0.2"/>
    <row r="38966" ht="9.9499999999999993" hidden="1" customHeight="1" x14ac:dyDescent="0.2"/>
    <row r="38967" ht="9.9499999999999993" hidden="1" customHeight="1" x14ac:dyDescent="0.2"/>
    <row r="38968" ht="9.9499999999999993" hidden="1" customHeight="1" x14ac:dyDescent="0.2"/>
    <row r="38969" ht="9.9499999999999993" hidden="1" customHeight="1" x14ac:dyDescent="0.2"/>
    <row r="38970" ht="9.9499999999999993" hidden="1" customHeight="1" x14ac:dyDescent="0.2"/>
    <row r="38971" ht="9.9499999999999993" hidden="1" customHeight="1" x14ac:dyDescent="0.2"/>
    <row r="38972" ht="9.9499999999999993" hidden="1" customHeight="1" x14ac:dyDescent="0.2"/>
    <row r="38973" ht="9.9499999999999993" hidden="1" customHeight="1" x14ac:dyDescent="0.2"/>
    <row r="38974" ht="9.9499999999999993" hidden="1" customHeight="1" x14ac:dyDescent="0.2"/>
    <row r="38975" ht="9.9499999999999993" hidden="1" customHeight="1" x14ac:dyDescent="0.2"/>
    <row r="38976" ht="9.9499999999999993" hidden="1" customHeight="1" x14ac:dyDescent="0.2"/>
    <row r="38977" ht="9.9499999999999993" hidden="1" customHeight="1" x14ac:dyDescent="0.2"/>
    <row r="38978" ht="9.9499999999999993" hidden="1" customHeight="1" x14ac:dyDescent="0.2"/>
    <row r="38979" ht="9.9499999999999993" hidden="1" customHeight="1" x14ac:dyDescent="0.2"/>
    <row r="38980" ht="9.9499999999999993" hidden="1" customHeight="1" x14ac:dyDescent="0.2"/>
    <row r="38981" ht="9.9499999999999993" hidden="1" customHeight="1" x14ac:dyDescent="0.2"/>
    <row r="38982" ht="9.9499999999999993" hidden="1" customHeight="1" x14ac:dyDescent="0.2"/>
    <row r="38983" ht="9.9499999999999993" hidden="1" customHeight="1" x14ac:dyDescent="0.2"/>
    <row r="38984" ht="9.9499999999999993" hidden="1" customHeight="1" x14ac:dyDescent="0.2"/>
    <row r="38985" ht="9.9499999999999993" hidden="1" customHeight="1" x14ac:dyDescent="0.2"/>
    <row r="38986" ht="9.9499999999999993" hidden="1" customHeight="1" x14ac:dyDescent="0.2"/>
    <row r="38987" ht="9.9499999999999993" hidden="1" customHeight="1" x14ac:dyDescent="0.2"/>
    <row r="38988" ht="9.9499999999999993" hidden="1" customHeight="1" x14ac:dyDescent="0.2"/>
    <row r="38989" ht="9.9499999999999993" hidden="1" customHeight="1" x14ac:dyDescent="0.2"/>
    <row r="38990" ht="9.9499999999999993" hidden="1" customHeight="1" x14ac:dyDescent="0.2"/>
    <row r="38991" ht="9.9499999999999993" hidden="1" customHeight="1" x14ac:dyDescent="0.2"/>
    <row r="38992" ht="9.9499999999999993" hidden="1" customHeight="1" x14ac:dyDescent="0.2"/>
    <row r="38993" ht="9.9499999999999993" hidden="1" customHeight="1" x14ac:dyDescent="0.2"/>
    <row r="38994" ht="9.9499999999999993" hidden="1" customHeight="1" x14ac:dyDescent="0.2"/>
    <row r="38995" ht="9.9499999999999993" hidden="1" customHeight="1" x14ac:dyDescent="0.2"/>
    <row r="38996" ht="9.9499999999999993" hidden="1" customHeight="1" x14ac:dyDescent="0.2"/>
    <row r="38997" ht="9.9499999999999993" hidden="1" customHeight="1" x14ac:dyDescent="0.2"/>
    <row r="38998" ht="9.9499999999999993" hidden="1" customHeight="1" x14ac:dyDescent="0.2"/>
    <row r="38999" ht="9.9499999999999993" hidden="1" customHeight="1" x14ac:dyDescent="0.2"/>
    <row r="39000" ht="9.9499999999999993" hidden="1" customHeight="1" x14ac:dyDescent="0.2"/>
    <row r="39001" ht="9.9499999999999993" hidden="1" customHeight="1" x14ac:dyDescent="0.2"/>
    <row r="39002" ht="9.9499999999999993" hidden="1" customHeight="1" x14ac:dyDescent="0.2"/>
    <row r="39003" ht="9.9499999999999993" hidden="1" customHeight="1" x14ac:dyDescent="0.2"/>
    <row r="39004" ht="9.9499999999999993" hidden="1" customHeight="1" x14ac:dyDescent="0.2"/>
    <row r="39005" ht="9.9499999999999993" hidden="1" customHeight="1" x14ac:dyDescent="0.2"/>
    <row r="39006" ht="9.9499999999999993" hidden="1" customHeight="1" x14ac:dyDescent="0.2"/>
    <row r="39007" ht="9.9499999999999993" hidden="1" customHeight="1" x14ac:dyDescent="0.2"/>
    <row r="39008" ht="9.9499999999999993" hidden="1" customHeight="1" x14ac:dyDescent="0.2"/>
    <row r="39009" ht="9.9499999999999993" hidden="1" customHeight="1" x14ac:dyDescent="0.2"/>
    <row r="39010" ht="9.9499999999999993" hidden="1" customHeight="1" x14ac:dyDescent="0.2"/>
    <row r="39011" ht="9.9499999999999993" hidden="1" customHeight="1" x14ac:dyDescent="0.2"/>
    <row r="39012" ht="9.9499999999999993" hidden="1" customHeight="1" x14ac:dyDescent="0.2"/>
    <row r="39013" ht="9.9499999999999993" hidden="1" customHeight="1" x14ac:dyDescent="0.2"/>
    <row r="39014" ht="9.9499999999999993" hidden="1" customHeight="1" x14ac:dyDescent="0.2"/>
    <row r="39015" ht="9.9499999999999993" hidden="1" customHeight="1" x14ac:dyDescent="0.2"/>
    <row r="39016" ht="9.9499999999999993" hidden="1" customHeight="1" x14ac:dyDescent="0.2"/>
    <row r="39017" ht="9.9499999999999993" hidden="1" customHeight="1" x14ac:dyDescent="0.2"/>
    <row r="39018" ht="9.9499999999999993" hidden="1" customHeight="1" x14ac:dyDescent="0.2"/>
    <row r="39019" ht="9.9499999999999993" hidden="1" customHeight="1" x14ac:dyDescent="0.2"/>
    <row r="39020" ht="9.9499999999999993" hidden="1" customHeight="1" x14ac:dyDescent="0.2"/>
    <row r="39021" ht="9.9499999999999993" hidden="1" customHeight="1" x14ac:dyDescent="0.2"/>
    <row r="39022" ht="9.9499999999999993" hidden="1" customHeight="1" x14ac:dyDescent="0.2"/>
    <row r="39023" ht="9.9499999999999993" hidden="1" customHeight="1" x14ac:dyDescent="0.2"/>
    <row r="39024" ht="9.9499999999999993" hidden="1" customHeight="1" x14ac:dyDescent="0.2"/>
    <row r="39025" ht="9.9499999999999993" hidden="1" customHeight="1" x14ac:dyDescent="0.2"/>
    <row r="39026" ht="9.9499999999999993" hidden="1" customHeight="1" x14ac:dyDescent="0.2"/>
    <row r="39027" ht="9.9499999999999993" hidden="1" customHeight="1" x14ac:dyDescent="0.2"/>
    <row r="39028" ht="9.9499999999999993" hidden="1" customHeight="1" x14ac:dyDescent="0.2"/>
    <row r="39029" ht="9.9499999999999993" hidden="1" customHeight="1" x14ac:dyDescent="0.2"/>
    <row r="39030" ht="9.9499999999999993" hidden="1" customHeight="1" x14ac:dyDescent="0.2"/>
    <row r="39031" ht="9.9499999999999993" hidden="1" customHeight="1" x14ac:dyDescent="0.2"/>
    <row r="39032" ht="9.9499999999999993" hidden="1" customHeight="1" x14ac:dyDescent="0.2"/>
    <row r="39033" ht="9.9499999999999993" hidden="1" customHeight="1" x14ac:dyDescent="0.2"/>
    <row r="39034" ht="9.9499999999999993" hidden="1" customHeight="1" x14ac:dyDescent="0.2"/>
    <row r="39035" ht="9.9499999999999993" hidden="1" customHeight="1" x14ac:dyDescent="0.2"/>
    <row r="39036" ht="9.9499999999999993" hidden="1" customHeight="1" x14ac:dyDescent="0.2"/>
    <row r="39037" ht="9.9499999999999993" hidden="1" customHeight="1" x14ac:dyDescent="0.2"/>
    <row r="39038" ht="9.9499999999999993" hidden="1" customHeight="1" x14ac:dyDescent="0.2"/>
    <row r="39039" ht="9.9499999999999993" hidden="1" customHeight="1" x14ac:dyDescent="0.2"/>
    <row r="39040" ht="9.9499999999999993" hidden="1" customHeight="1" x14ac:dyDescent="0.2"/>
    <row r="39041" ht="9.9499999999999993" hidden="1" customHeight="1" x14ac:dyDescent="0.2"/>
    <row r="39042" ht="9.9499999999999993" hidden="1" customHeight="1" x14ac:dyDescent="0.2"/>
    <row r="39043" ht="9.9499999999999993" hidden="1" customHeight="1" x14ac:dyDescent="0.2"/>
    <row r="39044" ht="9.9499999999999993" hidden="1" customHeight="1" x14ac:dyDescent="0.2"/>
    <row r="39045" ht="9.9499999999999993" hidden="1" customHeight="1" x14ac:dyDescent="0.2"/>
    <row r="39046" ht="9.9499999999999993" hidden="1" customHeight="1" x14ac:dyDescent="0.2"/>
    <row r="39047" ht="9.9499999999999993" hidden="1" customHeight="1" x14ac:dyDescent="0.2"/>
    <row r="39048" ht="9.9499999999999993" hidden="1" customHeight="1" x14ac:dyDescent="0.2"/>
    <row r="39049" ht="9.9499999999999993" hidden="1" customHeight="1" x14ac:dyDescent="0.2"/>
    <row r="39050" ht="9.9499999999999993" hidden="1" customHeight="1" x14ac:dyDescent="0.2"/>
    <row r="39051" ht="9.9499999999999993" hidden="1" customHeight="1" x14ac:dyDescent="0.2"/>
    <row r="39052" ht="9.9499999999999993" hidden="1" customHeight="1" x14ac:dyDescent="0.2"/>
    <row r="39053" ht="9.9499999999999993" hidden="1" customHeight="1" x14ac:dyDescent="0.2"/>
    <row r="39054" ht="9.9499999999999993" hidden="1" customHeight="1" x14ac:dyDescent="0.2"/>
    <row r="39055" ht="9.9499999999999993" hidden="1" customHeight="1" x14ac:dyDescent="0.2"/>
    <row r="39056" ht="9.9499999999999993" hidden="1" customHeight="1" x14ac:dyDescent="0.2"/>
    <row r="39057" ht="9.9499999999999993" hidden="1" customHeight="1" x14ac:dyDescent="0.2"/>
    <row r="39058" ht="9.9499999999999993" hidden="1" customHeight="1" x14ac:dyDescent="0.2"/>
    <row r="39059" ht="9.9499999999999993" hidden="1" customHeight="1" x14ac:dyDescent="0.2"/>
    <row r="39060" ht="9.9499999999999993" hidden="1" customHeight="1" x14ac:dyDescent="0.2"/>
    <row r="39061" ht="9.9499999999999993" hidden="1" customHeight="1" x14ac:dyDescent="0.2"/>
    <row r="39062" ht="9.9499999999999993" hidden="1" customHeight="1" x14ac:dyDescent="0.2"/>
    <row r="39063" ht="9.9499999999999993" hidden="1" customHeight="1" x14ac:dyDescent="0.2"/>
    <row r="39064" ht="9.9499999999999993" hidden="1" customHeight="1" x14ac:dyDescent="0.2"/>
    <row r="39065" ht="9.9499999999999993" hidden="1" customHeight="1" x14ac:dyDescent="0.2"/>
    <row r="39066" ht="9.9499999999999993" hidden="1" customHeight="1" x14ac:dyDescent="0.2"/>
    <row r="39067" ht="9.9499999999999993" hidden="1" customHeight="1" x14ac:dyDescent="0.2"/>
    <row r="39068" ht="9.9499999999999993" hidden="1" customHeight="1" x14ac:dyDescent="0.2"/>
    <row r="39069" ht="9.9499999999999993" hidden="1" customHeight="1" x14ac:dyDescent="0.2"/>
    <row r="39070" ht="9.9499999999999993" hidden="1" customHeight="1" x14ac:dyDescent="0.2"/>
    <row r="39071" ht="9.9499999999999993" hidden="1" customHeight="1" x14ac:dyDescent="0.2"/>
    <row r="39072" ht="9.9499999999999993" hidden="1" customHeight="1" x14ac:dyDescent="0.2"/>
    <row r="39073" ht="9.9499999999999993" hidden="1" customHeight="1" x14ac:dyDescent="0.2"/>
    <row r="39074" ht="9.9499999999999993" hidden="1" customHeight="1" x14ac:dyDescent="0.2"/>
    <row r="39075" ht="9.9499999999999993" hidden="1" customHeight="1" x14ac:dyDescent="0.2"/>
    <row r="39076" ht="9.9499999999999993" hidden="1" customHeight="1" x14ac:dyDescent="0.2"/>
    <row r="39077" ht="9.9499999999999993" hidden="1" customHeight="1" x14ac:dyDescent="0.2"/>
    <row r="39078" ht="9.9499999999999993" hidden="1" customHeight="1" x14ac:dyDescent="0.2"/>
    <row r="39079" ht="9.9499999999999993" hidden="1" customHeight="1" x14ac:dyDescent="0.2"/>
    <row r="39080" ht="9.9499999999999993" hidden="1" customHeight="1" x14ac:dyDescent="0.2"/>
    <row r="39081" ht="9.9499999999999993" hidden="1" customHeight="1" x14ac:dyDescent="0.2"/>
    <row r="39082" ht="9.9499999999999993" hidden="1" customHeight="1" x14ac:dyDescent="0.2"/>
    <row r="39083" ht="9.9499999999999993" hidden="1" customHeight="1" x14ac:dyDescent="0.2"/>
    <row r="39084" ht="9.9499999999999993" hidden="1" customHeight="1" x14ac:dyDescent="0.2"/>
    <row r="39085" ht="9.9499999999999993" hidden="1" customHeight="1" x14ac:dyDescent="0.2"/>
    <row r="39086" ht="9.9499999999999993" hidden="1" customHeight="1" x14ac:dyDescent="0.2"/>
    <row r="39087" ht="9.9499999999999993" hidden="1" customHeight="1" x14ac:dyDescent="0.2"/>
    <row r="39088" ht="9.9499999999999993" hidden="1" customHeight="1" x14ac:dyDescent="0.2"/>
    <row r="39089" ht="9.9499999999999993" hidden="1" customHeight="1" x14ac:dyDescent="0.2"/>
    <row r="39090" ht="9.9499999999999993" hidden="1" customHeight="1" x14ac:dyDescent="0.2"/>
    <row r="39091" ht="9.9499999999999993" hidden="1" customHeight="1" x14ac:dyDescent="0.2"/>
    <row r="39092" ht="9.9499999999999993" hidden="1" customHeight="1" x14ac:dyDescent="0.2"/>
    <row r="39093" ht="9.9499999999999993" hidden="1" customHeight="1" x14ac:dyDescent="0.2"/>
    <row r="39094" ht="9.9499999999999993" hidden="1" customHeight="1" x14ac:dyDescent="0.2"/>
    <row r="39095" ht="9.9499999999999993" hidden="1" customHeight="1" x14ac:dyDescent="0.2"/>
    <row r="39096" ht="9.9499999999999993" hidden="1" customHeight="1" x14ac:dyDescent="0.2"/>
    <row r="39097" ht="9.9499999999999993" hidden="1" customHeight="1" x14ac:dyDescent="0.2"/>
    <row r="39098" ht="9.9499999999999993" hidden="1" customHeight="1" x14ac:dyDescent="0.2"/>
    <row r="39099" ht="9.9499999999999993" hidden="1" customHeight="1" x14ac:dyDescent="0.2"/>
    <row r="39100" ht="9.9499999999999993" hidden="1" customHeight="1" x14ac:dyDescent="0.2"/>
    <row r="39101" ht="9.9499999999999993" hidden="1" customHeight="1" x14ac:dyDescent="0.2"/>
    <row r="39102" ht="9.9499999999999993" hidden="1" customHeight="1" x14ac:dyDescent="0.2"/>
    <row r="39103" ht="9.9499999999999993" hidden="1" customHeight="1" x14ac:dyDescent="0.2"/>
    <row r="39104" ht="9.9499999999999993" hidden="1" customHeight="1" x14ac:dyDescent="0.2"/>
    <row r="39105" ht="9.9499999999999993" hidden="1" customHeight="1" x14ac:dyDescent="0.2"/>
    <row r="39106" ht="9.9499999999999993" hidden="1" customHeight="1" x14ac:dyDescent="0.2"/>
    <row r="39107" ht="9.9499999999999993" hidden="1" customHeight="1" x14ac:dyDescent="0.2"/>
    <row r="39108" ht="9.9499999999999993" hidden="1" customHeight="1" x14ac:dyDescent="0.2"/>
    <row r="39109" ht="9.9499999999999993" hidden="1" customHeight="1" x14ac:dyDescent="0.2"/>
    <row r="39110" ht="9.9499999999999993" hidden="1" customHeight="1" x14ac:dyDescent="0.2"/>
    <row r="39111" ht="9.9499999999999993" hidden="1" customHeight="1" x14ac:dyDescent="0.2"/>
    <row r="39112" ht="9.9499999999999993" hidden="1" customHeight="1" x14ac:dyDescent="0.2"/>
    <row r="39113" ht="9.9499999999999993" hidden="1" customHeight="1" x14ac:dyDescent="0.2"/>
    <row r="39114" ht="9.9499999999999993" hidden="1" customHeight="1" x14ac:dyDescent="0.2"/>
    <row r="39115" ht="9.9499999999999993" hidden="1" customHeight="1" x14ac:dyDescent="0.2"/>
    <row r="39116" ht="9.9499999999999993" hidden="1" customHeight="1" x14ac:dyDescent="0.2"/>
    <row r="39117" ht="9.9499999999999993" hidden="1" customHeight="1" x14ac:dyDescent="0.2"/>
    <row r="39118" ht="9.9499999999999993" hidden="1" customHeight="1" x14ac:dyDescent="0.2"/>
    <row r="39119" ht="9.9499999999999993" hidden="1" customHeight="1" x14ac:dyDescent="0.2"/>
    <row r="39120" ht="9.9499999999999993" hidden="1" customHeight="1" x14ac:dyDescent="0.2"/>
    <row r="39121" ht="9.9499999999999993" hidden="1" customHeight="1" x14ac:dyDescent="0.2"/>
    <row r="39122" ht="9.9499999999999993" hidden="1" customHeight="1" x14ac:dyDescent="0.2"/>
    <row r="39123" ht="9.9499999999999993" hidden="1" customHeight="1" x14ac:dyDescent="0.2"/>
    <row r="39124" ht="9.9499999999999993" hidden="1" customHeight="1" x14ac:dyDescent="0.2"/>
    <row r="39125" ht="9.9499999999999993" hidden="1" customHeight="1" x14ac:dyDescent="0.2"/>
    <row r="39126" ht="9.9499999999999993" hidden="1" customHeight="1" x14ac:dyDescent="0.2"/>
    <row r="39127" ht="9.9499999999999993" hidden="1" customHeight="1" x14ac:dyDescent="0.2"/>
    <row r="39128" ht="9.9499999999999993" hidden="1" customHeight="1" x14ac:dyDescent="0.2"/>
    <row r="39129" ht="9.9499999999999993" hidden="1" customHeight="1" x14ac:dyDescent="0.2"/>
    <row r="39130" ht="9.9499999999999993" hidden="1" customHeight="1" x14ac:dyDescent="0.2"/>
    <row r="39131" ht="9.9499999999999993" hidden="1" customHeight="1" x14ac:dyDescent="0.2"/>
    <row r="39132" ht="9.9499999999999993" hidden="1" customHeight="1" x14ac:dyDescent="0.2"/>
    <row r="39133" ht="9.9499999999999993" hidden="1" customHeight="1" x14ac:dyDescent="0.2"/>
    <row r="39134" ht="9.9499999999999993" hidden="1" customHeight="1" x14ac:dyDescent="0.2"/>
    <row r="39135" ht="9.9499999999999993" hidden="1" customHeight="1" x14ac:dyDescent="0.2"/>
    <row r="39136" ht="9.9499999999999993" hidden="1" customHeight="1" x14ac:dyDescent="0.2"/>
    <row r="39137" ht="9.9499999999999993" hidden="1" customHeight="1" x14ac:dyDescent="0.2"/>
    <row r="39138" ht="9.9499999999999993" hidden="1" customHeight="1" x14ac:dyDescent="0.2"/>
    <row r="39139" ht="9.9499999999999993" hidden="1" customHeight="1" x14ac:dyDescent="0.2"/>
    <row r="39140" ht="9.9499999999999993" hidden="1" customHeight="1" x14ac:dyDescent="0.2"/>
    <row r="39141" ht="9.9499999999999993" hidden="1" customHeight="1" x14ac:dyDescent="0.2"/>
    <row r="39142" ht="9.9499999999999993" hidden="1" customHeight="1" x14ac:dyDescent="0.2"/>
    <row r="39143" ht="9.9499999999999993" hidden="1" customHeight="1" x14ac:dyDescent="0.2"/>
    <row r="39144" ht="9.9499999999999993" hidden="1" customHeight="1" x14ac:dyDescent="0.2"/>
    <row r="39145" ht="9.9499999999999993" hidden="1" customHeight="1" x14ac:dyDescent="0.2"/>
    <row r="39146" ht="9.9499999999999993" hidden="1" customHeight="1" x14ac:dyDescent="0.2"/>
    <row r="39147" ht="9.9499999999999993" hidden="1" customHeight="1" x14ac:dyDescent="0.2"/>
    <row r="39148" ht="9.9499999999999993" hidden="1" customHeight="1" x14ac:dyDescent="0.2"/>
    <row r="39149" ht="9.9499999999999993" hidden="1" customHeight="1" x14ac:dyDescent="0.2"/>
    <row r="39150" ht="9.9499999999999993" hidden="1" customHeight="1" x14ac:dyDescent="0.2"/>
    <row r="39151" ht="9.9499999999999993" hidden="1" customHeight="1" x14ac:dyDescent="0.2"/>
    <row r="39152" ht="9.9499999999999993" hidden="1" customHeight="1" x14ac:dyDescent="0.2"/>
    <row r="39153" ht="9.9499999999999993" hidden="1" customHeight="1" x14ac:dyDescent="0.2"/>
    <row r="39154" ht="9.9499999999999993" hidden="1" customHeight="1" x14ac:dyDescent="0.2"/>
    <row r="39155" ht="9.9499999999999993" hidden="1" customHeight="1" x14ac:dyDescent="0.2"/>
    <row r="39156" ht="9.9499999999999993" hidden="1" customHeight="1" x14ac:dyDescent="0.2"/>
    <row r="39157" ht="9.9499999999999993" hidden="1" customHeight="1" x14ac:dyDescent="0.2"/>
    <row r="39158" ht="9.9499999999999993" hidden="1" customHeight="1" x14ac:dyDescent="0.2"/>
    <row r="39159" ht="9.9499999999999993" hidden="1" customHeight="1" x14ac:dyDescent="0.2"/>
    <row r="39160" ht="9.9499999999999993" hidden="1" customHeight="1" x14ac:dyDescent="0.2"/>
    <row r="39161" ht="9.9499999999999993" hidden="1" customHeight="1" x14ac:dyDescent="0.2"/>
    <row r="39162" ht="9.9499999999999993" hidden="1" customHeight="1" x14ac:dyDescent="0.2"/>
    <row r="39163" ht="9.9499999999999993" hidden="1" customHeight="1" x14ac:dyDescent="0.2"/>
    <row r="39164" ht="9.9499999999999993" hidden="1" customHeight="1" x14ac:dyDescent="0.2"/>
    <row r="39165" ht="9.9499999999999993" hidden="1" customHeight="1" x14ac:dyDescent="0.2"/>
    <row r="39166" ht="9.9499999999999993" hidden="1" customHeight="1" x14ac:dyDescent="0.2"/>
    <row r="39167" ht="9.9499999999999993" hidden="1" customHeight="1" x14ac:dyDescent="0.2"/>
    <row r="39168" ht="9.9499999999999993" hidden="1" customHeight="1" x14ac:dyDescent="0.2"/>
    <row r="39169" ht="9.9499999999999993" hidden="1" customHeight="1" x14ac:dyDescent="0.2"/>
    <row r="39170" ht="9.9499999999999993" hidden="1" customHeight="1" x14ac:dyDescent="0.2"/>
    <row r="39171" ht="9.9499999999999993" hidden="1" customHeight="1" x14ac:dyDescent="0.2"/>
    <row r="39172" ht="9.9499999999999993" hidden="1" customHeight="1" x14ac:dyDescent="0.2"/>
    <row r="39173" ht="9.9499999999999993" hidden="1" customHeight="1" x14ac:dyDescent="0.2"/>
    <row r="39174" ht="9.9499999999999993" hidden="1" customHeight="1" x14ac:dyDescent="0.2"/>
    <row r="39175" ht="9.9499999999999993" hidden="1" customHeight="1" x14ac:dyDescent="0.2"/>
    <row r="39176" ht="9.9499999999999993" hidden="1" customHeight="1" x14ac:dyDescent="0.2"/>
    <row r="39177" ht="9.9499999999999993" hidden="1" customHeight="1" x14ac:dyDescent="0.2"/>
    <row r="39178" ht="9.9499999999999993" hidden="1" customHeight="1" x14ac:dyDescent="0.2"/>
    <row r="39179" ht="9.9499999999999993" hidden="1" customHeight="1" x14ac:dyDescent="0.2"/>
    <row r="39180" ht="9.9499999999999993" hidden="1" customHeight="1" x14ac:dyDescent="0.2"/>
    <row r="39181" ht="9.9499999999999993" hidden="1" customHeight="1" x14ac:dyDescent="0.2"/>
    <row r="39182" ht="9.9499999999999993" hidden="1" customHeight="1" x14ac:dyDescent="0.2"/>
    <row r="39183" ht="9.9499999999999993" hidden="1" customHeight="1" x14ac:dyDescent="0.2"/>
    <row r="39184" ht="9.9499999999999993" hidden="1" customHeight="1" x14ac:dyDescent="0.2"/>
    <row r="39185" ht="9.9499999999999993" hidden="1" customHeight="1" x14ac:dyDescent="0.2"/>
    <row r="39186" ht="9.9499999999999993" hidden="1" customHeight="1" x14ac:dyDescent="0.2"/>
    <row r="39187" ht="9.9499999999999993" hidden="1" customHeight="1" x14ac:dyDescent="0.2"/>
    <row r="39188" ht="9.9499999999999993" hidden="1" customHeight="1" x14ac:dyDescent="0.2"/>
    <row r="39189" ht="9.9499999999999993" hidden="1" customHeight="1" x14ac:dyDescent="0.2"/>
    <row r="39190" ht="9.9499999999999993" hidden="1" customHeight="1" x14ac:dyDescent="0.2"/>
    <row r="39191" ht="9.9499999999999993" hidden="1" customHeight="1" x14ac:dyDescent="0.2"/>
    <row r="39192" ht="9.9499999999999993" hidden="1" customHeight="1" x14ac:dyDescent="0.2"/>
    <row r="39193" ht="9.9499999999999993" hidden="1" customHeight="1" x14ac:dyDescent="0.2"/>
    <row r="39194" ht="9.9499999999999993" hidden="1" customHeight="1" x14ac:dyDescent="0.2"/>
    <row r="39195" ht="9.9499999999999993" hidden="1" customHeight="1" x14ac:dyDescent="0.2"/>
    <row r="39196" ht="9.9499999999999993" hidden="1" customHeight="1" x14ac:dyDescent="0.2"/>
    <row r="39197" ht="9.9499999999999993" hidden="1" customHeight="1" x14ac:dyDescent="0.2"/>
    <row r="39198" ht="9.9499999999999993" hidden="1" customHeight="1" x14ac:dyDescent="0.2"/>
    <row r="39199" ht="9.9499999999999993" hidden="1" customHeight="1" x14ac:dyDescent="0.2"/>
    <row r="39200" ht="9.9499999999999993" hidden="1" customHeight="1" x14ac:dyDescent="0.2"/>
    <row r="39201" ht="9.9499999999999993" hidden="1" customHeight="1" x14ac:dyDescent="0.2"/>
    <row r="39202" ht="9.9499999999999993" hidden="1" customHeight="1" x14ac:dyDescent="0.2"/>
    <row r="39203" ht="9.9499999999999993" hidden="1" customHeight="1" x14ac:dyDescent="0.2"/>
    <row r="39204" ht="9.9499999999999993" hidden="1" customHeight="1" x14ac:dyDescent="0.2"/>
    <row r="39205" ht="9.9499999999999993" hidden="1" customHeight="1" x14ac:dyDescent="0.2"/>
    <row r="39206" ht="9.9499999999999993" hidden="1" customHeight="1" x14ac:dyDescent="0.2"/>
    <row r="39207" ht="9.9499999999999993" hidden="1" customHeight="1" x14ac:dyDescent="0.2"/>
    <row r="39208" ht="9.9499999999999993" hidden="1" customHeight="1" x14ac:dyDescent="0.2"/>
    <row r="39209" ht="9.9499999999999993" hidden="1" customHeight="1" x14ac:dyDescent="0.2"/>
    <row r="39210" ht="9.9499999999999993" hidden="1" customHeight="1" x14ac:dyDescent="0.2"/>
    <row r="39211" ht="9.9499999999999993" hidden="1" customHeight="1" x14ac:dyDescent="0.2"/>
    <row r="39212" ht="9.9499999999999993" hidden="1" customHeight="1" x14ac:dyDescent="0.2"/>
    <row r="39213" ht="9.9499999999999993" hidden="1" customHeight="1" x14ac:dyDescent="0.2"/>
    <row r="39214" ht="9.9499999999999993" hidden="1" customHeight="1" x14ac:dyDescent="0.2"/>
    <row r="39215" ht="9.9499999999999993" hidden="1" customHeight="1" x14ac:dyDescent="0.2"/>
    <row r="39216" ht="9.9499999999999993" hidden="1" customHeight="1" x14ac:dyDescent="0.2"/>
    <row r="39217" ht="9.9499999999999993" hidden="1" customHeight="1" x14ac:dyDescent="0.2"/>
    <row r="39218" ht="9.9499999999999993" hidden="1" customHeight="1" x14ac:dyDescent="0.2"/>
    <row r="39219" ht="9.9499999999999993" hidden="1" customHeight="1" x14ac:dyDescent="0.2"/>
    <row r="39220" ht="9.9499999999999993" hidden="1" customHeight="1" x14ac:dyDescent="0.2"/>
    <row r="39221" ht="9.9499999999999993" hidden="1" customHeight="1" x14ac:dyDescent="0.2"/>
    <row r="39222" ht="9.9499999999999993" hidden="1" customHeight="1" x14ac:dyDescent="0.2"/>
    <row r="39223" ht="9.9499999999999993" hidden="1" customHeight="1" x14ac:dyDescent="0.2"/>
    <row r="39224" ht="9.9499999999999993" hidden="1" customHeight="1" x14ac:dyDescent="0.2"/>
    <row r="39225" ht="9.9499999999999993" hidden="1" customHeight="1" x14ac:dyDescent="0.2"/>
    <row r="39226" ht="9.9499999999999993" hidden="1" customHeight="1" x14ac:dyDescent="0.2"/>
    <row r="39227" ht="9.9499999999999993" hidden="1" customHeight="1" x14ac:dyDescent="0.2"/>
    <row r="39228" ht="9.9499999999999993" hidden="1" customHeight="1" x14ac:dyDescent="0.2"/>
    <row r="39229" ht="9.9499999999999993" hidden="1" customHeight="1" x14ac:dyDescent="0.2"/>
    <row r="39230" ht="9.9499999999999993" hidden="1" customHeight="1" x14ac:dyDescent="0.2"/>
    <row r="39231" ht="9.9499999999999993" hidden="1" customHeight="1" x14ac:dyDescent="0.2"/>
    <row r="39232" ht="9.9499999999999993" hidden="1" customHeight="1" x14ac:dyDescent="0.2"/>
    <row r="39233" ht="9.9499999999999993" hidden="1" customHeight="1" x14ac:dyDescent="0.2"/>
    <row r="39234" ht="9.9499999999999993" hidden="1" customHeight="1" x14ac:dyDescent="0.2"/>
    <row r="39235" ht="9.9499999999999993" hidden="1" customHeight="1" x14ac:dyDescent="0.2"/>
    <row r="39236" ht="9.9499999999999993" hidden="1" customHeight="1" x14ac:dyDescent="0.2"/>
    <row r="39237" ht="9.9499999999999993" hidden="1" customHeight="1" x14ac:dyDescent="0.2"/>
    <row r="39238" ht="9.9499999999999993" hidden="1" customHeight="1" x14ac:dyDescent="0.2"/>
    <row r="39239" ht="9.9499999999999993" hidden="1" customHeight="1" x14ac:dyDescent="0.2"/>
    <row r="39240" ht="9.9499999999999993" hidden="1" customHeight="1" x14ac:dyDescent="0.2"/>
    <row r="39241" ht="9.9499999999999993" hidden="1" customHeight="1" x14ac:dyDescent="0.2"/>
    <row r="39242" ht="9.9499999999999993" hidden="1" customHeight="1" x14ac:dyDescent="0.2"/>
    <row r="39243" ht="9.9499999999999993" hidden="1" customHeight="1" x14ac:dyDescent="0.2"/>
    <row r="39244" ht="9.9499999999999993" hidden="1" customHeight="1" x14ac:dyDescent="0.2"/>
    <row r="39245" ht="9.9499999999999993" hidden="1" customHeight="1" x14ac:dyDescent="0.2"/>
    <row r="39246" ht="9.9499999999999993" hidden="1" customHeight="1" x14ac:dyDescent="0.2"/>
    <row r="39247" ht="9.9499999999999993" hidden="1" customHeight="1" x14ac:dyDescent="0.2"/>
    <row r="39248" ht="9.9499999999999993" hidden="1" customHeight="1" x14ac:dyDescent="0.2"/>
    <row r="39249" ht="9.9499999999999993" hidden="1" customHeight="1" x14ac:dyDescent="0.2"/>
    <row r="39250" ht="9.9499999999999993" hidden="1" customHeight="1" x14ac:dyDescent="0.2"/>
    <row r="39251" ht="9.9499999999999993" hidden="1" customHeight="1" x14ac:dyDescent="0.2"/>
    <row r="39252" ht="9.9499999999999993" hidden="1" customHeight="1" x14ac:dyDescent="0.2"/>
    <row r="39253" ht="9.9499999999999993" hidden="1" customHeight="1" x14ac:dyDescent="0.2"/>
    <row r="39254" ht="9.9499999999999993" hidden="1" customHeight="1" x14ac:dyDescent="0.2"/>
    <row r="39255" ht="9.9499999999999993" hidden="1" customHeight="1" x14ac:dyDescent="0.2"/>
    <row r="39256" ht="9.9499999999999993" hidden="1" customHeight="1" x14ac:dyDescent="0.2"/>
    <row r="39257" ht="9.9499999999999993" hidden="1" customHeight="1" x14ac:dyDescent="0.2"/>
    <row r="39258" ht="9.9499999999999993" hidden="1" customHeight="1" x14ac:dyDescent="0.2"/>
    <row r="39259" ht="9.9499999999999993" hidden="1" customHeight="1" x14ac:dyDescent="0.2"/>
    <row r="39260" ht="9.9499999999999993" hidden="1" customHeight="1" x14ac:dyDescent="0.2"/>
    <row r="39261" ht="9.9499999999999993" hidden="1" customHeight="1" x14ac:dyDescent="0.2"/>
    <row r="39262" ht="9.9499999999999993" hidden="1" customHeight="1" x14ac:dyDescent="0.2"/>
    <row r="39263" ht="9.9499999999999993" hidden="1" customHeight="1" x14ac:dyDescent="0.2"/>
    <row r="39264" ht="9.9499999999999993" hidden="1" customHeight="1" x14ac:dyDescent="0.2"/>
    <row r="39265" ht="9.9499999999999993" hidden="1" customHeight="1" x14ac:dyDescent="0.2"/>
    <row r="39266" ht="9.9499999999999993" hidden="1" customHeight="1" x14ac:dyDescent="0.2"/>
    <row r="39267" ht="9.9499999999999993" hidden="1" customHeight="1" x14ac:dyDescent="0.2"/>
    <row r="39268" ht="9.9499999999999993" hidden="1" customHeight="1" x14ac:dyDescent="0.2"/>
    <row r="39269" ht="9.9499999999999993" hidden="1" customHeight="1" x14ac:dyDescent="0.2"/>
    <row r="39270" ht="9.9499999999999993" hidden="1" customHeight="1" x14ac:dyDescent="0.2"/>
    <row r="39271" ht="9.9499999999999993" hidden="1" customHeight="1" x14ac:dyDescent="0.2"/>
    <row r="39272" ht="9.9499999999999993" hidden="1" customHeight="1" x14ac:dyDescent="0.2"/>
    <row r="39273" ht="9.9499999999999993" hidden="1" customHeight="1" x14ac:dyDescent="0.2"/>
    <row r="39274" ht="9.9499999999999993" hidden="1" customHeight="1" x14ac:dyDescent="0.2"/>
    <row r="39275" ht="9.9499999999999993" hidden="1" customHeight="1" x14ac:dyDescent="0.2"/>
    <row r="39276" ht="9.9499999999999993" hidden="1" customHeight="1" x14ac:dyDescent="0.2"/>
    <row r="39277" ht="9.9499999999999993" hidden="1" customHeight="1" x14ac:dyDescent="0.2"/>
    <row r="39278" ht="9.9499999999999993" hidden="1" customHeight="1" x14ac:dyDescent="0.2"/>
    <row r="39279" ht="9.9499999999999993" hidden="1" customHeight="1" x14ac:dyDescent="0.2"/>
    <row r="39280" ht="9.9499999999999993" hidden="1" customHeight="1" x14ac:dyDescent="0.2"/>
    <row r="39281" ht="9.9499999999999993" hidden="1" customHeight="1" x14ac:dyDescent="0.2"/>
    <row r="39282" ht="9.9499999999999993" hidden="1" customHeight="1" x14ac:dyDescent="0.2"/>
    <row r="39283" ht="9.9499999999999993" hidden="1" customHeight="1" x14ac:dyDescent="0.2"/>
    <row r="39284" ht="9.9499999999999993" hidden="1" customHeight="1" x14ac:dyDescent="0.2"/>
    <row r="39285" ht="9.9499999999999993" hidden="1" customHeight="1" x14ac:dyDescent="0.2"/>
    <row r="39286" ht="9.9499999999999993" hidden="1" customHeight="1" x14ac:dyDescent="0.2"/>
    <row r="39287" ht="9.9499999999999993" hidden="1" customHeight="1" x14ac:dyDescent="0.2"/>
    <row r="39288" ht="9.9499999999999993" hidden="1" customHeight="1" x14ac:dyDescent="0.2"/>
    <row r="39289" ht="9.9499999999999993" hidden="1" customHeight="1" x14ac:dyDescent="0.2"/>
    <row r="39290" ht="9.9499999999999993" hidden="1" customHeight="1" x14ac:dyDescent="0.2"/>
    <row r="39291" ht="9.9499999999999993" hidden="1" customHeight="1" x14ac:dyDescent="0.2"/>
    <row r="39292" ht="9.9499999999999993" hidden="1" customHeight="1" x14ac:dyDescent="0.2"/>
    <row r="39293" ht="9.9499999999999993" hidden="1" customHeight="1" x14ac:dyDescent="0.2"/>
    <row r="39294" ht="9.9499999999999993" hidden="1" customHeight="1" x14ac:dyDescent="0.2"/>
    <row r="39295" ht="9.9499999999999993" hidden="1" customHeight="1" x14ac:dyDescent="0.2"/>
    <row r="39296" ht="9.9499999999999993" hidden="1" customHeight="1" x14ac:dyDescent="0.2"/>
    <row r="39297" ht="9.9499999999999993" hidden="1" customHeight="1" x14ac:dyDescent="0.2"/>
    <row r="39298" ht="9.9499999999999993" hidden="1" customHeight="1" x14ac:dyDescent="0.2"/>
    <row r="39299" ht="9.9499999999999993" hidden="1" customHeight="1" x14ac:dyDescent="0.2"/>
    <row r="39300" ht="9.9499999999999993" hidden="1" customHeight="1" x14ac:dyDescent="0.2"/>
    <row r="39301" ht="9.9499999999999993" hidden="1" customHeight="1" x14ac:dyDescent="0.2"/>
    <row r="39302" ht="9.9499999999999993" hidden="1" customHeight="1" x14ac:dyDescent="0.2"/>
    <row r="39303" ht="9.9499999999999993" hidden="1" customHeight="1" x14ac:dyDescent="0.2"/>
    <row r="39304" ht="9.9499999999999993" hidden="1" customHeight="1" x14ac:dyDescent="0.2"/>
    <row r="39305" ht="9.9499999999999993" hidden="1" customHeight="1" x14ac:dyDescent="0.2"/>
    <row r="39306" ht="9.9499999999999993" hidden="1" customHeight="1" x14ac:dyDescent="0.2"/>
    <row r="39307" ht="9.9499999999999993" hidden="1" customHeight="1" x14ac:dyDescent="0.2"/>
    <row r="39308" ht="9.9499999999999993" hidden="1" customHeight="1" x14ac:dyDescent="0.2"/>
    <row r="39309" ht="9.9499999999999993" hidden="1" customHeight="1" x14ac:dyDescent="0.2"/>
    <row r="39310" ht="9.9499999999999993" hidden="1" customHeight="1" x14ac:dyDescent="0.2"/>
    <row r="39311" ht="9.9499999999999993" hidden="1" customHeight="1" x14ac:dyDescent="0.2"/>
    <row r="39312" ht="9.9499999999999993" hidden="1" customHeight="1" x14ac:dyDescent="0.2"/>
    <row r="39313" ht="9.9499999999999993" hidden="1" customHeight="1" x14ac:dyDescent="0.2"/>
    <row r="39314" ht="9.9499999999999993" hidden="1" customHeight="1" x14ac:dyDescent="0.2"/>
    <row r="39315" ht="9.9499999999999993" hidden="1" customHeight="1" x14ac:dyDescent="0.2"/>
    <row r="39316" ht="9.9499999999999993" hidden="1" customHeight="1" x14ac:dyDescent="0.2"/>
    <row r="39317" ht="9.9499999999999993" hidden="1" customHeight="1" x14ac:dyDescent="0.2"/>
    <row r="39318" ht="9.9499999999999993" hidden="1" customHeight="1" x14ac:dyDescent="0.2"/>
    <row r="39319" ht="9.9499999999999993" hidden="1" customHeight="1" x14ac:dyDescent="0.2"/>
    <row r="39320" ht="9.9499999999999993" hidden="1" customHeight="1" x14ac:dyDescent="0.2"/>
    <row r="39321" ht="9.9499999999999993" hidden="1" customHeight="1" x14ac:dyDescent="0.2"/>
    <row r="39322" ht="9.9499999999999993" hidden="1" customHeight="1" x14ac:dyDescent="0.2"/>
    <row r="39323" ht="9.9499999999999993" hidden="1" customHeight="1" x14ac:dyDescent="0.2"/>
    <row r="39324" ht="9.9499999999999993" hidden="1" customHeight="1" x14ac:dyDescent="0.2"/>
    <row r="39325" ht="9.9499999999999993" hidden="1" customHeight="1" x14ac:dyDescent="0.2"/>
    <row r="39326" ht="9.9499999999999993" hidden="1" customHeight="1" x14ac:dyDescent="0.2"/>
    <row r="39327" ht="9.9499999999999993" hidden="1" customHeight="1" x14ac:dyDescent="0.2"/>
    <row r="39328" ht="9.9499999999999993" hidden="1" customHeight="1" x14ac:dyDescent="0.2"/>
    <row r="39329" ht="9.9499999999999993" hidden="1" customHeight="1" x14ac:dyDescent="0.2"/>
    <row r="39330" ht="9.9499999999999993" hidden="1" customHeight="1" x14ac:dyDescent="0.2"/>
    <row r="39331" ht="9.9499999999999993" hidden="1" customHeight="1" x14ac:dyDescent="0.2"/>
    <row r="39332" ht="9.9499999999999993" hidden="1" customHeight="1" x14ac:dyDescent="0.2"/>
    <row r="39333" ht="9.9499999999999993" hidden="1" customHeight="1" x14ac:dyDescent="0.2"/>
    <row r="39334" ht="9.9499999999999993" hidden="1" customHeight="1" x14ac:dyDescent="0.2"/>
    <row r="39335" ht="9.9499999999999993" hidden="1" customHeight="1" x14ac:dyDescent="0.2"/>
    <row r="39336" ht="9.9499999999999993" hidden="1" customHeight="1" x14ac:dyDescent="0.2"/>
    <row r="39337" ht="9.9499999999999993" hidden="1" customHeight="1" x14ac:dyDescent="0.2"/>
    <row r="39338" ht="9.9499999999999993" hidden="1" customHeight="1" x14ac:dyDescent="0.2"/>
    <row r="39339" ht="9.9499999999999993" hidden="1" customHeight="1" x14ac:dyDescent="0.2"/>
    <row r="39340" ht="9.9499999999999993" hidden="1" customHeight="1" x14ac:dyDescent="0.2"/>
    <row r="39341" ht="9.9499999999999993" hidden="1" customHeight="1" x14ac:dyDescent="0.2"/>
    <row r="39342" ht="9.9499999999999993" hidden="1" customHeight="1" x14ac:dyDescent="0.2"/>
    <row r="39343" ht="9.9499999999999993" hidden="1" customHeight="1" x14ac:dyDescent="0.2"/>
    <row r="39344" ht="9.9499999999999993" hidden="1" customHeight="1" x14ac:dyDescent="0.2"/>
    <row r="39345" ht="9.9499999999999993" hidden="1" customHeight="1" x14ac:dyDescent="0.2"/>
    <row r="39346" ht="9.9499999999999993" hidden="1" customHeight="1" x14ac:dyDescent="0.2"/>
    <row r="39347" ht="9.9499999999999993" hidden="1" customHeight="1" x14ac:dyDescent="0.2"/>
    <row r="39348" ht="9.9499999999999993" hidden="1" customHeight="1" x14ac:dyDescent="0.2"/>
    <row r="39349" ht="9.9499999999999993" hidden="1" customHeight="1" x14ac:dyDescent="0.2"/>
    <row r="39350" ht="9.9499999999999993" hidden="1" customHeight="1" x14ac:dyDescent="0.2"/>
    <row r="39351" ht="9.9499999999999993" hidden="1" customHeight="1" x14ac:dyDescent="0.2"/>
    <row r="39352" ht="9.9499999999999993" hidden="1" customHeight="1" x14ac:dyDescent="0.2"/>
    <row r="39353" ht="9.9499999999999993" hidden="1" customHeight="1" x14ac:dyDescent="0.2"/>
    <row r="39354" ht="9.9499999999999993" hidden="1" customHeight="1" x14ac:dyDescent="0.2"/>
    <row r="39355" ht="9.9499999999999993" hidden="1" customHeight="1" x14ac:dyDescent="0.2"/>
    <row r="39356" ht="9.9499999999999993" hidden="1" customHeight="1" x14ac:dyDescent="0.2"/>
    <row r="39357" ht="9.9499999999999993" hidden="1" customHeight="1" x14ac:dyDescent="0.2"/>
    <row r="39358" ht="9.9499999999999993" hidden="1" customHeight="1" x14ac:dyDescent="0.2"/>
    <row r="39359" ht="9.9499999999999993" hidden="1" customHeight="1" x14ac:dyDescent="0.2"/>
    <row r="39360" ht="9.9499999999999993" hidden="1" customHeight="1" x14ac:dyDescent="0.2"/>
    <row r="39361" ht="9.9499999999999993" hidden="1" customHeight="1" x14ac:dyDescent="0.2"/>
    <row r="39362" ht="9.9499999999999993" hidden="1" customHeight="1" x14ac:dyDescent="0.2"/>
    <row r="39363" ht="9.9499999999999993" hidden="1" customHeight="1" x14ac:dyDescent="0.2"/>
    <row r="39364" ht="9.9499999999999993" hidden="1" customHeight="1" x14ac:dyDescent="0.2"/>
    <row r="39365" ht="9.9499999999999993" hidden="1" customHeight="1" x14ac:dyDescent="0.2"/>
    <row r="39366" ht="9.9499999999999993" hidden="1" customHeight="1" x14ac:dyDescent="0.2"/>
    <row r="39367" ht="9.9499999999999993" hidden="1" customHeight="1" x14ac:dyDescent="0.2"/>
    <row r="39368" ht="9.9499999999999993" hidden="1" customHeight="1" x14ac:dyDescent="0.2"/>
    <row r="39369" ht="9.9499999999999993" hidden="1" customHeight="1" x14ac:dyDescent="0.2"/>
    <row r="39370" ht="9.9499999999999993" hidden="1" customHeight="1" x14ac:dyDescent="0.2"/>
    <row r="39371" ht="9.9499999999999993" hidden="1" customHeight="1" x14ac:dyDescent="0.2"/>
    <row r="39372" ht="9.9499999999999993" hidden="1" customHeight="1" x14ac:dyDescent="0.2"/>
    <row r="39373" ht="9.9499999999999993" hidden="1" customHeight="1" x14ac:dyDescent="0.2"/>
    <row r="39374" ht="9.9499999999999993" hidden="1" customHeight="1" x14ac:dyDescent="0.2"/>
    <row r="39375" ht="9.9499999999999993" hidden="1" customHeight="1" x14ac:dyDescent="0.2"/>
    <row r="39376" ht="9.9499999999999993" hidden="1" customHeight="1" x14ac:dyDescent="0.2"/>
    <row r="39377" ht="9.9499999999999993" hidden="1" customHeight="1" x14ac:dyDescent="0.2"/>
    <row r="39378" ht="9.9499999999999993" hidden="1" customHeight="1" x14ac:dyDescent="0.2"/>
    <row r="39379" ht="9.9499999999999993" hidden="1" customHeight="1" x14ac:dyDescent="0.2"/>
    <row r="39380" ht="9.9499999999999993" hidden="1" customHeight="1" x14ac:dyDescent="0.2"/>
    <row r="39381" ht="9.9499999999999993" hidden="1" customHeight="1" x14ac:dyDescent="0.2"/>
    <row r="39382" ht="9.9499999999999993" hidden="1" customHeight="1" x14ac:dyDescent="0.2"/>
    <row r="39383" ht="9.9499999999999993" hidden="1" customHeight="1" x14ac:dyDescent="0.2"/>
    <row r="39384" ht="9.9499999999999993" hidden="1" customHeight="1" x14ac:dyDescent="0.2"/>
    <row r="39385" ht="9.9499999999999993" hidden="1" customHeight="1" x14ac:dyDescent="0.2"/>
    <row r="39386" ht="9.9499999999999993" hidden="1" customHeight="1" x14ac:dyDescent="0.2"/>
    <row r="39387" ht="9.9499999999999993" hidden="1" customHeight="1" x14ac:dyDescent="0.2"/>
    <row r="39388" ht="9.9499999999999993" hidden="1" customHeight="1" x14ac:dyDescent="0.2"/>
    <row r="39389" ht="9.9499999999999993" hidden="1" customHeight="1" x14ac:dyDescent="0.2"/>
    <row r="39390" ht="9.9499999999999993" hidden="1" customHeight="1" x14ac:dyDescent="0.2"/>
    <row r="39391" ht="9.9499999999999993" hidden="1" customHeight="1" x14ac:dyDescent="0.2"/>
    <row r="39392" ht="9.9499999999999993" hidden="1" customHeight="1" x14ac:dyDescent="0.2"/>
    <row r="39393" ht="9.9499999999999993" hidden="1" customHeight="1" x14ac:dyDescent="0.2"/>
    <row r="39394" ht="9.9499999999999993" hidden="1" customHeight="1" x14ac:dyDescent="0.2"/>
    <row r="39395" ht="9.9499999999999993" hidden="1" customHeight="1" x14ac:dyDescent="0.2"/>
    <row r="39396" ht="9.9499999999999993" hidden="1" customHeight="1" x14ac:dyDescent="0.2"/>
    <row r="39397" ht="9.9499999999999993" hidden="1" customHeight="1" x14ac:dyDescent="0.2"/>
    <row r="39398" ht="9.9499999999999993" hidden="1" customHeight="1" x14ac:dyDescent="0.2"/>
    <row r="39399" ht="9.9499999999999993" hidden="1" customHeight="1" x14ac:dyDescent="0.2"/>
    <row r="39400" ht="9.9499999999999993" hidden="1" customHeight="1" x14ac:dyDescent="0.2"/>
    <row r="39401" ht="9.9499999999999993" hidden="1" customHeight="1" x14ac:dyDescent="0.2"/>
    <row r="39402" ht="9.9499999999999993" hidden="1" customHeight="1" x14ac:dyDescent="0.2"/>
    <row r="39403" ht="9.9499999999999993" hidden="1" customHeight="1" x14ac:dyDescent="0.2"/>
    <row r="39404" ht="9.9499999999999993" hidden="1" customHeight="1" x14ac:dyDescent="0.2"/>
    <row r="39405" ht="9.9499999999999993" hidden="1" customHeight="1" x14ac:dyDescent="0.2"/>
    <row r="39406" ht="9.9499999999999993" hidden="1" customHeight="1" x14ac:dyDescent="0.2"/>
    <row r="39407" ht="9.9499999999999993" hidden="1" customHeight="1" x14ac:dyDescent="0.2"/>
    <row r="39408" ht="9.9499999999999993" hidden="1" customHeight="1" x14ac:dyDescent="0.2"/>
    <row r="39409" ht="9.9499999999999993" hidden="1" customHeight="1" x14ac:dyDescent="0.2"/>
    <row r="39410" ht="9.9499999999999993" hidden="1" customHeight="1" x14ac:dyDescent="0.2"/>
    <row r="39411" ht="9.9499999999999993" hidden="1" customHeight="1" x14ac:dyDescent="0.2"/>
    <row r="39412" ht="9.9499999999999993" hidden="1" customHeight="1" x14ac:dyDescent="0.2"/>
    <row r="39413" ht="9.9499999999999993" hidden="1" customHeight="1" x14ac:dyDescent="0.2"/>
    <row r="39414" ht="9.9499999999999993" hidden="1" customHeight="1" x14ac:dyDescent="0.2"/>
    <row r="39415" ht="9.9499999999999993" hidden="1" customHeight="1" x14ac:dyDescent="0.2"/>
    <row r="39416" ht="9.9499999999999993" hidden="1" customHeight="1" x14ac:dyDescent="0.2"/>
    <row r="39417" ht="9.9499999999999993" hidden="1" customHeight="1" x14ac:dyDescent="0.2"/>
    <row r="39418" ht="9.9499999999999993" hidden="1" customHeight="1" x14ac:dyDescent="0.2"/>
    <row r="39419" ht="9.9499999999999993" hidden="1" customHeight="1" x14ac:dyDescent="0.2"/>
    <row r="39420" ht="9.9499999999999993" hidden="1" customHeight="1" x14ac:dyDescent="0.2"/>
    <row r="39421" ht="9.9499999999999993" hidden="1" customHeight="1" x14ac:dyDescent="0.2"/>
    <row r="39422" ht="9.9499999999999993" hidden="1" customHeight="1" x14ac:dyDescent="0.2"/>
    <row r="39423" ht="9.9499999999999993" hidden="1" customHeight="1" x14ac:dyDescent="0.2"/>
    <row r="39424" ht="9.9499999999999993" hidden="1" customHeight="1" x14ac:dyDescent="0.2"/>
    <row r="39425" ht="9.9499999999999993" hidden="1" customHeight="1" x14ac:dyDescent="0.2"/>
    <row r="39426" ht="9.9499999999999993" hidden="1" customHeight="1" x14ac:dyDescent="0.2"/>
    <row r="39427" ht="9.9499999999999993" hidden="1" customHeight="1" x14ac:dyDescent="0.2"/>
    <row r="39428" ht="9.9499999999999993" hidden="1" customHeight="1" x14ac:dyDescent="0.2"/>
    <row r="39429" ht="9.9499999999999993" hidden="1" customHeight="1" x14ac:dyDescent="0.2"/>
    <row r="39430" ht="9.9499999999999993" hidden="1" customHeight="1" x14ac:dyDescent="0.2"/>
    <row r="39431" ht="9.9499999999999993" hidden="1" customHeight="1" x14ac:dyDescent="0.2"/>
    <row r="39432" ht="9.9499999999999993" hidden="1" customHeight="1" x14ac:dyDescent="0.2"/>
    <row r="39433" ht="9.9499999999999993" hidden="1" customHeight="1" x14ac:dyDescent="0.2"/>
    <row r="39434" ht="9.9499999999999993" hidden="1" customHeight="1" x14ac:dyDescent="0.2"/>
    <row r="39435" ht="9.9499999999999993" hidden="1" customHeight="1" x14ac:dyDescent="0.2"/>
    <row r="39436" ht="9.9499999999999993" hidden="1" customHeight="1" x14ac:dyDescent="0.2"/>
    <row r="39437" ht="9.9499999999999993" hidden="1" customHeight="1" x14ac:dyDescent="0.2"/>
    <row r="39438" ht="9.9499999999999993" hidden="1" customHeight="1" x14ac:dyDescent="0.2"/>
    <row r="39439" ht="9.9499999999999993" hidden="1" customHeight="1" x14ac:dyDescent="0.2"/>
    <row r="39440" ht="9.9499999999999993" hidden="1" customHeight="1" x14ac:dyDescent="0.2"/>
    <row r="39441" ht="9.9499999999999993" hidden="1" customHeight="1" x14ac:dyDescent="0.2"/>
    <row r="39442" ht="9.9499999999999993" hidden="1" customHeight="1" x14ac:dyDescent="0.2"/>
    <row r="39443" ht="9.9499999999999993" hidden="1" customHeight="1" x14ac:dyDescent="0.2"/>
    <row r="39444" ht="9.9499999999999993" hidden="1" customHeight="1" x14ac:dyDescent="0.2"/>
    <row r="39445" ht="9.9499999999999993" hidden="1" customHeight="1" x14ac:dyDescent="0.2"/>
    <row r="39446" ht="9.9499999999999993" hidden="1" customHeight="1" x14ac:dyDescent="0.2"/>
    <row r="39447" ht="9.9499999999999993" hidden="1" customHeight="1" x14ac:dyDescent="0.2"/>
    <row r="39448" ht="9.9499999999999993" hidden="1" customHeight="1" x14ac:dyDescent="0.2"/>
    <row r="39449" ht="9.9499999999999993" hidden="1" customHeight="1" x14ac:dyDescent="0.2"/>
    <row r="39450" ht="9.9499999999999993" hidden="1" customHeight="1" x14ac:dyDescent="0.2"/>
    <row r="39451" ht="9.9499999999999993" hidden="1" customHeight="1" x14ac:dyDescent="0.2"/>
    <row r="39452" ht="9.9499999999999993" hidden="1" customHeight="1" x14ac:dyDescent="0.2"/>
    <row r="39453" ht="9.9499999999999993" hidden="1" customHeight="1" x14ac:dyDescent="0.2"/>
    <row r="39454" ht="9.9499999999999993" hidden="1" customHeight="1" x14ac:dyDescent="0.2"/>
    <row r="39455" ht="9.9499999999999993" hidden="1" customHeight="1" x14ac:dyDescent="0.2"/>
    <row r="39456" ht="9.9499999999999993" hidden="1" customHeight="1" x14ac:dyDescent="0.2"/>
    <row r="39457" ht="9.9499999999999993" hidden="1" customHeight="1" x14ac:dyDescent="0.2"/>
    <row r="39458" ht="9.9499999999999993" hidden="1" customHeight="1" x14ac:dyDescent="0.2"/>
    <row r="39459" ht="9.9499999999999993" hidden="1" customHeight="1" x14ac:dyDescent="0.2"/>
    <row r="39460" ht="9.9499999999999993" hidden="1" customHeight="1" x14ac:dyDescent="0.2"/>
    <row r="39461" ht="9.9499999999999993" hidden="1" customHeight="1" x14ac:dyDescent="0.2"/>
    <row r="39462" ht="9.9499999999999993" hidden="1" customHeight="1" x14ac:dyDescent="0.2"/>
    <row r="39463" ht="9.9499999999999993" hidden="1" customHeight="1" x14ac:dyDescent="0.2"/>
    <row r="39464" ht="9.9499999999999993" hidden="1" customHeight="1" x14ac:dyDescent="0.2"/>
    <row r="39465" ht="9.9499999999999993" hidden="1" customHeight="1" x14ac:dyDescent="0.2"/>
    <row r="39466" ht="9.9499999999999993" hidden="1" customHeight="1" x14ac:dyDescent="0.2"/>
    <row r="39467" ht="9.9499999999999993" hidden="1" customHeight="1" x14ac:dyDescent="0.2"/>
    <row r="39468" ht="9.9499999999999993" hidden="1" customHeight="1" x14ac:dyDescent="0.2"/>
    <row r="39469" ht="9.9499999999999993" hidden="1" customHeight="1" x14ac:dyDescent="0.2"/>
    <row r="39470" ht="9.9499999999999993" hidden="1" customHeight="1" x14ac:dyDescent="0.2"/>
    <row r="39471" ht="9.9499999999999993" hidden="1" customHeight="1" x14ac:dyDescent="0.2"/>
    <row r="39472" ht="9.9499999999999993" hidden="1" customHeight="1" x14ac:dyDescent="0.2"/>
    <row r="39473" ht="9.9499999999999993" hidden="1" customHeight="1" x14ac:dyDescent="0.2"/>
    <row r="39474" ht="9.9499999999999993" hidden="1" customHeight="1" x14ac:dyDescent="0.2"/>
    <row r="39475" ht="9.9499999999999993" hidden="1" customHeight="1" x14ac:dyDescent="0.2"/>
    <row r="39476" ht="9.9499999999999993" hidden="1" customHeight="1" x14ac:dyDescent="0.2"/>
    <row r="39477" ht="9.9499999999999993" hidden="1" customHeight="1" x14ac:dyDescent="0.2"/>
    <row r="39478" ht="9.9499999999999993" hidden="1" customHeight="1" x14ac:dyDescent="0.2"/>
    <row r="39479" ht="9.9499999999999993" hidden="1" customHeight="1" x14ac:dyDescent="0.2"/>
    <row r="39480" ht="9.9499999999999993" hidden="1" customHeight="1" x14ac:dyDescent="0.2"/>
    <row r="39481" ht="9.9499999999999993" hidden="1" customHeight="1" x14ac:dyDescent="0.2"/>
    <row r="39482" ht="9.9499999999999993" hidden="1" customHeight="1" x14ac:dyDescent="0.2"/>
    <row r="39483" ht="9.9499999999999993" hidden="1" customHeight="1" x14ac:dyDescent="0.2"/>
    <row r="39484" ht="9.9499999999999993" hidden="1" customHeight="1" x14ac:dyDescent="0.2"/>
    <row r="39485" ht="9.9499999999999993" hidden="1" customHeight="1" x14ac:dyDescent="0.2"/>
    <row r="39486" ht="9.9499999999999993" hidden="1" customHeight="1" x14ac:dyDescent="0.2"/>
    <row r="39487" ht="9.9499999999999993" hidden="1" customHeight="1" x14ac:dyDescent="0.2"/>
    <row r="39488" ht="9.9499999999999993" hidden="1" customHeight="1" x14ac:dyDescent="0.2"/>
    <row r="39489" ht="9.9499999999999993" hidden="1" customHeight="1" x14ac:dyDescent="0.2"/>
    <row r="39490" ht="9.9499999999999993" hidden="1" customHeight="1" x14ac:dyDescent="0.2"/>
    <row r="39491" ht="9.9499999999999993" hidden="1" customHeight="1" x14ac:dyDescent="0.2"/>
    <row r="39492" ht="9.9499999999999993" hidden="1" customHeight="1" x14ac:dyDescent="0.2"/>
    <row r="39493" ht="9.9499999999999993" hidden="1" customHeight="1" x14ac:dyDescent="0.2"/>
    <row r="39494" ht="9.9499999999999993" hidden="1" customHeight="1" x14ac:dyDescent="0.2"/>
    <row r="39495" ht="9.9499999999999993" hidden="1" customHeight="1" x14ac:dyDescent="0.2"/>
    <row r="39496" ht="9.9499999999999993" hidden="1" customHeight="1" x14ac:dyDescent="0.2"/>
    <row r="39497" ht="9.9499999999999993" hidden="1" customHeight="1" x14ac:dyDescent="0.2"/>
    <row r="39498" ht="9.9499999999999993" hidden="1" customHeight="1" x14ac:dyDescent="0.2"/>
    <row r="39499" ht="9.9499999999999993" hidden="1" customHeight="1" x14ac:dyDescent="0.2"/>
    <row r="39500" ht="9.9499999999999993" hidden="1" customHeight="1" x14ac:dyDescent="0.2"/>
    <row r="39501" ht="9.9499999999999993" hidden="1" customHeight="1" x14ac:dyDescent="0.2"/>
    <row r="39502" ht="9.9499999999999993" hidden="1" customHeight="1" x14ac:dyDescent="0.2"/>
    <row r="39503" ht="9.9499999999999993" hidden="1" customHeight="1" x14ac:dyDescent="0.2"/>
    <row r="39504" ht="9.9499999999999993" hidden="1" customHeight="1" x14ac:dyDescent="0.2"/>
    <row r="39505" ht="9.9499999999999993" hidden="1" customHeight="1" x14ac:dyDescent="0.2"/>
    <row r="39506" ht="9.9499999999999993" hidden="1" customHeight="1" x14ac:dyDescent="0.2"/>
    <row r="39507" ht="9.9499999999999993" hidden="1" customHeight="1" x14ac:dyDescent="0.2"/>
    <row r="39508" ht="9.9499999999999993" hidden="1" customHeight="1" x14ac:dyDescent="0.2"/>
    <row r="39509" ht="9.9499999999999993" hidden="1" customHeight="1" x14ac:dyDescent="0.2"/>
    <row r="39510" ht="9.9499999999999993" hidden="1" customHeight="1" x14ac:dyDescent="0.2"/>
    <row r="39511" ht="9.9499999999999993" hidden="1" customHeight="1" x14ac:dyDescent="0.2"/>
    <row r="39512" ht="9.9499999999999993" hidden="1" customHeight="1" x14ac:dyDescent="0.2"/>
    <row r="39513" ht="9.9499999999999993" hidden="1" customHeight="1" x14ac:dyDescent="0.2"/>
    <row r="39514" ht="9.9499999999999993" hidden="1" customHeight="1" x14ac:dyDescent="0.2"/>
    <row r="39515" ht="9.9499999999999993" hidden="1" customHeight="1" x14ac:dyDescent="0.2"/>
    <row r="39516" ht="9.9499999999999993" hidden="1" customHeight="1" x14ac:dyDescent="0.2"/>
    <row r="39517" ht="9.9499999999999993" hidden="1" customHeight="1" x14ac:dyDescent="0.2"/>
    <row r="39518" ht="9.9499999999999993" hidden="1" customHeight="1" x14ac:dyDescent="0.2"/>
    <row r="39519" ht="9.9499999999999993" hidden="1" customHeight="1" x14ac:dyDescent="0.2"/>
    <row r="39520" ht="9.9499999999999993" hidden="1" customHeight="1" x14ac:dyDescent="0.2"/>
    <row r="39521" ht="9.9499999999999993" hidden="1" customHeight="1" x14ac:dyDescent="0.2"/>
    <row r="39522" ht="9.9499999999999993" hidden="1" customHeight="1" x14ac:dyDescent="0.2"/>
    <row r="39523" ht="9.9499999999999993" hidden="1" customHeight="1" x14ac:dyDescent="0.2"/>
    <row r="39524" ht="9.9499999999999993" hidden="1" customHeight="1" x14ac:dyDescent="0.2"/>
    <row r="39525" ht="9.9499999999999993" hidden="1" customHeight="1" x14ac:dyDescent="0.2"/>
    <row r="39526" ht="9.9499999999999993" hidden="1" customHeight="1" x14ac:dyDescent="0.2"/>
    <row r="39527" ht="9.9499999999999993" hidden="1" customHeight="1" x14ac:dyDescent="0.2"/>
    <row r="39528" ht="9.9499999999999993" hidden="1" customHeight="1" x14ac:dyDescent="0.2"/>
    <row r="39529" ht="9.9499999999999993" hidden="1" customHeight="1" x14ac:dyDescent="0.2"/>
    <row r="39530" ht="9.9499999999999993" hidden="1" customHeight="1" x14ac:dyDescent="0.2"/>
    <row r="39531" ht="9.9499999999999993" hidden="1" customHeight="1" x14ac:dyDescent="0.2"/>
    <row r="39532" ht="9.9499999999999993" hidden="1" customHeight="1" x14ac:dyDescent="0.2"/>
    <row r="39533" ht="9.9499999999999993" hidden="1" customHeight="1" x14ac:dyDescent="0.2"/>
    <row r="39534" ht="9.9499999999999993" hidden="1" customHeight="1" x14ac:dyDescent="0.2"/>
    <row r="39535" ht="9.9499999999999993" hidden="1" customHeight="1" x14ac:dyDescent="0.2"/>
    <row r="39536" ht="9.9499999999999993" hidden="1" customHeight="1" x14ac:dyDescent="0.2"/>
    <row r="39537" ht="9.9499999999999993" hidden="1" customHeight="1" x14ac:dyDescent="0.2"/>
    <row r="39538" ht="9.9499999999999993" hidden="1" customHeight="1" x14ac:dyDescent="0.2"/>
    <row r="39539" ht="9.9499999999999993" hidden="1" customHeight="1" x14ac:dyDescent="0.2"/>
    <row r="39540" ht="9.9499999999999993" hidden="1" customHeight="1" x14ac:dyDescent="0.2"/>
    <row r="39541" ht="9.9499999999999993" hidden="1" customHeight="1" x14ac:dyDescent="0.2"/>
    <row r="39542" ht="9.9499999999999993" hidden="1" customHeight="1" x14ac:dyDescent="0.2"/>
    <row r="39543" ht="9.9499999999999993" hidden="1" customHeight="1" x14ac:dyDescent="0.2"/>
    <row r="39544" ht="9.9499999999999993" hidden="1" customHeight="1" x14ac:dyDescent="0.2"/>
    <row r="39545" ht="9.9499999999999993" hidden="1" customHeight="1" x14ac:dyDescent="0.2"/>
    <row r="39546" ht="9.9499999999999993" hidden="1" customHeight="1" x14ac:dyDescent="0.2"/>
    <row r="39547" ht="9.9499999999999993" hidden="1" customHeight="1" x14ac:dyDescent="0.2"/>
    <row r="39548" ht="9.9499999999999993" hidden="1" customHeight="1" x14ac:dyDescent="0.2"/>
    <row r="39549" ht="9.9499999999999993" hidden="1" customHeight="1" x14ac:dyDescent="0.2"/>
    <row r="39550" ht="9.9499999999999993" hidden="1" customHeight="1" x14ac:dyDescent="0.2"/>
    <row r="39551" ht="9.9499999999999993" hidden="1" customHeight="1" x14ac:dyDescent="0.2"/>
    <row r="39552" ht="9.9499999999999993" hidden="1" customHeight="1" x14ac:dyDescent="0.2"/>
    <row r="39553" ht="9.9499999999999993" hidden="1" customHeight="1" x14ac:dyDescent="0.2"/>
    <row r="39554" ht="9.9499999999999993" hidden="1" customHeight="1" x14ac:dyDescent="0.2"/>
    <row r="39555" ht="9.9499999999999993" hidden="1" customHeight="1" x14ac:dyDescent="0.2"/>
    <row r="39556" ht="9.9499999999999993" hidden="1" customHeight="1" x14ac:dyDescent="0.2"/>
    <row r="39557" ht="9.9499999999999993" hidden="1" customHeight="1" x14ac:dyDescent="0.2"/>
    <row r="39558" ht="9.9499999999999993" hidden="1" customHeight="1" x14ac:dyDescent="0.2"/>
    <row r="39559" ht="9.9499999999999993" hidden="1" customHeight="1" x14ac:dyDescent="0.2"/>
    <row r="39560" ht="9.9499999999999993" hidden="1" customHeight="1" x14ac:dyDescent="0.2"/>
    <row r="39561" ht="9.9499999999999993" hidden="1" customHeight="1" x14ac:dyDescent="0.2"/>
    <row r="39562" ht="9.9499999999999993" hidden="1" customHeight="1" x14ac:dyDescent="0.2"/>
    <row r="39563" ht="9.9499999999999993" hidden="1" customHeight="1" x14ac:dyDescent="0.2"/>
    <row r="39564" ht="9.9499999999999993" hidden="1" customHeight="1" x14ac:dyDescent="0.2"/>
    <row r="39565" ht="9.9499999999999993" hidden="1" customHeight="1" x14ac:dyDescent="0.2"/>
    <row r="39566" ht="9.9499999999999993" hidden="1" customHeight="1" x14ac:dyDescent="0.2"/>
    <row r="39567" ht="9.9499999999999993" hidden="1" customHeight="1" x14ac:dyDescent="0.2"/>
    <row r="39568" ht="9.9499999999999993" hidden="1" customHeight="1" x14ac:dyDescent="0.2"/>
    <row r="39569" ht="9.9499999999999993" hidden="1" customHeight="1" x14ac:dyDescent="0.2"/>
    <row r="39570" ht="9.9499999999999993" hidden="1" customHeight="1" x14ac:dyDescent="0.2"/>
    <row r="39571" ht="9.9499999999999993" hidden="1" customHeight="1" x14ac:dyDescent="0.2"/>
    <row r="39572" ht="9.9499999999999993" hidden="1" customHeight="1" x14ac:dyDescent="0.2"/>
    <row r="39573" ht="9.9499999999999993" hidden="1" customHeight="1" x14ac:dyDescent="0.2"/>
    <row r="39574" ht="9.9499999999999993" hidden="1" customHeight="1" x14ac:dyDescent="0.2"/>
    <row r="39575" ht="9.9499999999999993" hidden="1" customHeight="1" x14ac:dyDescent="0.2"/>
    <row r="39576" ht="9.9499999999999993" hidden="1" customHeight="1" x14ac:dyDescent="0.2"/>
    <row r="39577" ht="9.9499999999999993" hidden="1" customHeight="1" x14ac:dyDescent="0.2"/>
    <row r="39578" ht="9.9499999999999993" hidden="1" customHeight="1" x14ac:dyDescent="0.2"/>
    <row r="39579" ht="9.9499999999999993" hidden="1" customHeight="1" x14ac:dyDescent="0.2"/>
    <row r="39580" ht="9.9499999999999993" hidden="1" customHeight="1" x14ac:dyDescent="0.2"/>
    <row r="39581" ht="9.9499999999999993" hidden="1" customHeight="1" x14ac:dyDescent="0.2"/>
    <row r="39582" ht="9.9499999999999993" hidden="1" customHeight="1" x14ac:dyDescent="0.2"/>
    <row r="39583" ht="9.9499999999999993" hidden="1" customHeight="1" x14ac:dyDescent="0.2"/>
    <row r="39584" ht="9.9499999999999993" hidden="1" customHeight="1" x14ac:dyDescent="0.2"/>
    <row r="39585" ht="9.9499999999999993" hidden="1" customHeight="1" x14ac:dyDescent="0.2"/>
    <row r="39586" ht="9.9499999999999993" hidden="1" customHeight="1" x14ac:dyDescent="0.2"/>
    <row r="39587" ht="9.9499999999999993" hidden="1" customHeight="1" x14ac:dyDescent="0.2"/>
    <row r="39588" ht="9.9499999999999993" hidden="1" customHeight="1" x14ac:dyDescent="0.2"/>
    <row r="39589" ht="9.9499999999999993" hidden="1" customHeight="1" x14ac:dyDescent="0.2"/>
    <row r="39590" ht="9.9499999999999993" hidden="1" customHeight="1" x14ac:dyDescent="0.2"/>
    <row r="39591" ht="9.9499999999999993" hidden="1" customHeight="1" x14ac:dyDescent="0.2"/>
    <row r="39592" ht="9.9499999999999993" hidden="1" customHeight="1" x14ac:dyDescent="0.2"/>
    <row r="39593" ht="9.9499999999999993" hidden="1" customHeight="1" x14ac:dyDescent="0.2"/>
    <row r="39594" ht="9.9499999999999993" hidden="1" customHeight="1" x14ac:dyDescent="0.2"/>
    <row r="39595" ht="9.9499999999999993" hidden="1" customHeight="1" x14ac:dyDescent="0.2"/>
    <row r="39596" ht="9.9499999999999993" hidden="1" customHeight="1" x14ac:dyDescent="0.2"/>
    <row r="39597" ht="9.9499999999999993" hidden="1" customHeight="1" x14ac:dyDescent="0.2"/>
    <row r="39598" ht="9.9499999999999993" hidden="1" customHeight="1" x14ac:dyDescent="0.2"/>
    <row r="39599" ht="9.9499999999999993" hidden="1" customHeight="1" x14ac:dyDescent="0.2"/>
    <row r="39600" ht="9.9499999999999993" hidden="1" customHeight="1" x14ac:dyDescent="0.2"/>
    <row r="39601" ht="9.9499999999999993" hidden="1" customHeight="1" x14ac:dyDescent="0.2"/>
    <row r="39602" ht="9.9499999999999993" hidden="1" customHeight="1" x14ac:dyDescent="0.2"/>
    <row r="39603" ht="9.9499999999999993" hidden="1" customHeight="1" x14ac:dyDescent="0.2"/>
    <row r="39604" ht="9.9499999999999993" hidden="1" customHeight="1" x14ac:dyDescent="0.2"/>
    <row r="39605" ht="9.9499999999999993" hidden="1" customHeight="1" x14ac:dyDescent="0.2"/>
    <row r="39606" ht="9.9499999999999993" hidden="1" customHeight="1" x14ac:dyDescent="0.2"/>
    <row r="39607" ht="9.9499999999999993" hidden="1" customHeight="1" x14ac:dyDescent="0.2"/>
    <row r="39608" ht="9.9499999999999993" hidden="1" customHeight="1" x14ac:dyDescent="0.2"/>
    <row r="39609" ht="9.9499999999999993" hidden="1" customHeight="1" x14ac:dyDescent="0.2"/>
    <row r="39610" ht="9.9499999999999993" hidden="1" customHeight="1" x14ac:dyDescent="0.2"/>
    <row r="39611" ht="9.9499999999999993" hidden="1" customHeight="1" x14ac:dyDescent="0.2"/>
    <row r="39612" ht="9.9499999999999993" hidden="1" customHeight="1" x14ac:dyDescent="0.2"/>
    <row r="39613" ht="9.9499999999999993" hidden="1" customHeight="1" x14ac:dyDescent="0.2"/>
    <row r="39614" ht="9.9499999999999993" hidden="1" customHeight="1" x14ac:dyDescent="0.2"/>
    <row r="39615" ht="9.9499999999999993" hidden="1" customHeight="1" x14ac:dyDescent="0.2"/>
    <row r="39616" ht="9.9499999999999993" hidden="1" customHeight="1" x14ac:dyDescent="0.2"/>
    <row r="39617" ht="9.9499999999999993" hidden="1" customHeight="1" x14ac:dyDescent="0.2"/>
    <row r="39618" ht="9.9499999999999993" hidden="1" customHeight="1" x14ac:dyDescent="0.2"/>
    <row r="39619" ht="9.9499999999999993" hidden="1" customHeight="1" x14ac:dyDescent="0.2"/>
    <row r="39620" ht="9.9499999999999993" hidden="1" customHeight="1" x14ac:dyDescent="0.2"/>
    <row r="39621" ht="9.9499999999999993" hidden="1" customHeight="1" x14ac:dyDescent="0.2"/>
    <row r="39622" ht="9.9499999999999993" hidden="1" customHeight="1" x14ac:dyDescent="0.2"/>
    <row r="39623" ht="9.9499999999999993" hidden="1" customHeight="1" x14ac:dyDescent="0.2"/>
    <row r="39624" ht="9.9499999999999993" hidden="1" customHeight="1" x14ac:dyDescent="0.2"/>
    <row r="39625" ht="9.9499999999999993" hidden="1" customHeight="1" x14ac:dyDescent="0.2"/>
    <row r="39626" ht="9.9499999999999993" hidden="1" customHeight="1" x14ac:dyDescent="0.2"/>
    <row r="39627" ht="9.9499999999999993" hidden="1" customHeight="1" x14ac:dyDescent="0.2"/>
    <row r="39628" ht="9.9499999999999993" hidden="1" customHeight="1" x14ac:dyDescent="0.2"/>
    <row r="39629" ht="9.9499999999999993" hidden="1" customHeight="1" x14ac:dyDescent="0.2"/>
    <row r="39630" ht="9.9499999999999993" hidden="1" customHeight="1" x14ac:dyDescent="0.2"/>
    <row r="39631" ht="9.9499999999999993" hidden="1" customHeight="1" x14ac:dyDescent="0.2"/>
    <row r="39632" ht="9.9499999999999993" hidden="1" customHeight="1" x14ac:dyDescent="0.2"/>
    <row r="39633" ht="9.9499999999999993" hidden="1" customHeight="1" x14ac:dyDescent="0.2"/>
    <row r="39634" ht="9.9499999999999993" hidden="1" customHeight="1" x14ac:dyDescent="0.2"/>
    <row r="39635" ht="9.9499999999999993" hidden="1" customHeight="1" x14ac:dyDescent="0.2"/>
    <row r="39636" ht="9.9499999999999993" hidden="1" customHeight="1" x14ac:dyDescent="0.2"/>
    <row r="39637" ht="9.9499999999999993" hidden="1" customHeight="1" x14ac:dyDescent="0.2"/>
    <row r="39638" ht="9.9499999999999993" hidden="1" customHeight="1" x14ac:dyDescent="0.2"/>
    <row r="39639" ht="9.9499999999999993" hidden="1" customHeight="1" x14ac:dyDescent="0.2"/>
    <row r="39640" ht="9.9499999999999993" hidden="1" customHeight="1" x14ac:dyDescent="0.2"/>
    <row r="39641" ht="9.9499999999999993" hidden="1" customHeight="1" x14ac:dyDescent="0.2"/>
    <row r="39642" ht="9.9499999999999993" hidden="1" customHeight="1" x14ac:dyDescent="0.2"/>
    <row r="39643" ht="9.9499999999999993" hidden="1" customHeight="1" x14ac:dyDescent="0.2"/>
    <row r="39644" ht="9.9499999999999993" hidden="1" customHeight="1" x14ac:dyDescent="0.2"/>
    <row r="39645" ht="9.9499999999999993" hidden="1" customHeight="1" x14ac:dyDescent="0.2"/>
    <row r="39646" ht="9.9499999999999993" hidden="1" customHeight="1" x14ac:dyDescent="0.2"/>
    <row r="39647" ht="9.9499999999999993" hidden="1" customHeight="1" x14ac:dyDescent="0.2"/>
    <row r="39648" ht="9.9499999999999993" hidden="1" customHeight="1" x14ac:dyDescent="0.2"/>
    <row r="39649" ht="9.9499999999999993" hidden="1" customHeight="1" x14ac:dyDescent="0.2"/>
    <row r="39650" ht="9.9499999999999993" hidden="1" customHeight="1" x14ac:dyDescent="0.2"/>
    <row r="39651" ht="9.9499999999999993" hidden="1" customHeight="1" x14ac:dyDescent="0.2"/>
    <row r="39652" ht="9.9499999999999993" hidden="1" customHeight="1" x14ac:dyDescent="0.2"/>
    <row r="39653" ht="9.9499999999999993" hidden="1" customHeight="1" x14ac:dyDescent="0.2"/>
    <row r="39654" ht="9.9499999999999993" hidden="1" customHeight="1" x14ac:dyDescent="0.2"/>
    <row r="39655" ht="9.9499999999999993" hidden="1" customHeight="1" x14ac:dyDescent="0.2"/>
    <row r="39656" ht="9.9499999999999993" hidden="1" customHeight="1" x14ac:dyDescent="0.2"/>
    <row r="39657" ht="9.9499999999999993" hidden="1" customHeight="1" x14ac:dyDescent="0.2"/>
    <row r="39658" ht="9.9499999999999993" hidden="1" customHeight="1" x14ac:dyDescent="0.2"/>
    <row r="39659" ht="9.9499999999999993" hidden="1" customHeight="1" x14ac:dyDescent="0.2"/>
    <row r="39660" ht="9.9499999999999993" hidden="1" customHeight="1" x14ac:dyDescent="0.2"/>
    <row r="39661" ht="9.9499999999999993" hidden="1" customHeight="1" x14ac:dyDescent="0.2"/>
    <row r="39662" ht="9.9499999999999993" hidden="1" customHeight="1" x14ac:dyDescent="0.2"/>
    <row r="39663" ht="9.9499999999999993" hidden="1" customHeight="1" x14ac:dyDescent="0.2"/>
    <row r="39664" ht="9.9499999999999993" hidden="1" customHeight="1" x14ac:dyDescent="0.2"/>
    <row r="39665" ht="9.9499999999999993" hidden="1" customHeight="1" x14ac:dyDescent="0.2"/>
    <row r="39666" ht="9.9499999999999993" hidden="1" customHeight="1" x14ac:dyDescent="0.2"/>
    <row r="39667" ht="9.9499999999999993" hidden="1" customHeight="1" x14ac:dyDescent="0.2"/>
    <row r="39668" ht="9.9499999999999993" hidden="1" customHeight="1" x14ac:dyDescent="0.2"/>
    <row r="39669" ht="9.9499999999999993" hidden="1" customHeight="1" x14ac:dyDescent="0.2"/>
    <row r="39670" ht="9.9499999999999993" hidden="1" customHeight="1" x14ac:dyDescent="0.2"/>
    <row r="39671" ht="9.9499999999999993" hidden="1" customHeight="1" x14ac:dyDescent="0.2"/>
    <row r="39672" ht="9.9499999999999993" hidden="1" customHeight="1" x14ac:dyDescent="0.2"/>
    <row r="39673" ht="9.9499999999999993" hidden="1" customHeight="1" x14ac:dyDescent="0.2"/>
    <row r="39674" ht="9.9499999999999993" hidden="1" customHeight="1" x14ac:dyDescent="0.2"/>
    <row r="39675" ht="9.9499999999999993" hidden="1" customHeight="1" x14ac:dyDescent="0.2"/>
    <row r="39676" ht="9.9499999999999993" hidden="1" customHeight="1" x14ac:dyDescent="0.2"/>
    <row r="39677" ht="9.9499999999999993" hidden="1" customHeight="1" x14ac:dyDescent="0.2"/>
    <row r="39678" ht="9.9499999999999993" hidden="1" customHeight="1" x14ac:dyDescent="0.2"/>
    <row r="39679" ht="9.9499999999999993" hidden="1" customHeight="1" x14ac:dyDescent="0.2"/>
    <row r="39680" ht="9.9499999999999993" hidden="1" customHeight="1" x14ac:dyDescent="0.2"/>
    <row r="39681" ht="9.9499999999999993" hidden="1" customHeight="1" x14ac:dyDescent="0.2"/>
    <row r="39682" ht="9.9499999999999993" hidden="1" customHeight="1" x14ac:dyDescent="0.2"/>
    <row r="39683" ht="9.9499999999999993" hidden="1" customHeight="1" x14ac:dyDescent="0.2"/>
    <row r="39684" ht="9.9499999999999993" hidden="1" customHeight="1" x14ac:dyDescent="0.2"/>
    <row r="39685" ht="9.9499999999999993" hidden="1" customHeight="1" x14ac:dyDescent="0.2"/>
    <row r="39686" ht="9.9499999999999993" hidden="1" customHeight="1" x14ac:dyDescent="0.2"/>
    <row r="39687" ht="9.9499999999999993" hidden="1" customHeight="1" x14ac:dyDescent="0.2"/>
    <row r="39688" ht="9.9499999999999993" hidden="1" customHeight="1" x14ac:dyDescent="0.2"/>
    <row r="39689" ht="9.9499999999999993" hidden="1" customHeight="1" x14ac:dyDescent="0.2"/>
    <row r="39690" ht="9.9499999999999993" hidden="1" customHeight="1" x14ac:dyDescent="0.2"/>
    <row r="39691" ht="9.9499999999999993" hidden="1" customHeight="1" x14ac:dyDescent="0.2"/>
    <row r="39692" ht="9.9499999999999993" hidden="1" customHeight="1" x14ac:dyDescent="0.2"/>
    <row r="39693" ht="9.9499999999999993" hidden="1" customHeight="1" x14ac:dyDescent="0.2"/>
    <row r="39694" ht="9.9499999999999993" hidden="1" customHeight="1" x14ac:dyDescent="0.2"/>
    <row r="39695" ht="9.9499999999999993" hidden="1" customHeight="1" x14ac:dyDescent="0.2"/>
    <row r="39696" ht="9.9499999999999993" hidden="1" customHeight="1" x14ac:dyDescent="0.2"/>
    <row r="39697" ht="9.9499999999999993" hidden="1" customHeight="1" x14ac:dyDescent="0.2"/>
    <row r="39698" ht="9.9499999999999993" hidden="1" customHeight="1" x14ac:dyDescent="0.2"/>
    <row r="39699" ht="9.9499999999999993" hidden="1" customHeight="1" x14ac:dyDescent="0.2"/>
    <row r="39700" ht="9.9499999999999993" hidden="1" customHeight="1" x14ac:dyDescent="0.2"/>
    <row r="39701" ht="9.9499999999999993" hidden="1" customHeight="1" x14ac:dyDescent="0.2"/>
    <row r="39702" ht="9.9499999999999993" hidden="1" customHeight="1" x14ac:dyDescent="0.2"/>
    <row r="39703" ht="9.9499999999999993" hidden="1" customHeight="1" x14ac:dyDescent="0.2"/>
    <row r="39704" ht="9.9499999999999993" hidden="1" customHeight="1" x14ac:dyDescent="0.2"/>
    <row r="39705" ht="9.9499999999999993" hidden="1" customHeight="1" x14ac:dyDescent="0.2"/>
    <row r="39706" ht="9.9499999999999993" hidden="1" customHeight="1" x14ac:dyDescent="0.2"/>
    <row r="39707" ht="9.9499999999999993" hidden="1" customHeight="1" x14ac:dyDescent="0.2"/>
    <row r="39708" ht="9.9499999999999993" hidden="1" customHeight="1" x14ac:dyDescent="0.2"/>
    <row r="39709" ht="9.9499999999999993" hidden="1" customHeight="1" x14ac:dyDescent="0.2"/>
    <row r="39710" ht="9.9499999999999993" hidden="1" customHeight="1" x14ac:dyDescent="0.2"/>
    <row r="39711" ht="9.9499999999999993" hidden="1" customHeight="1" x14ac:dyDescent="0.2"/>
    <row r="39712" ht="9.9499999999999993" hidden="1" customHeight="1" x14ac:dyDescent="0.2"/>
    <row r="39713" ht="9.9499999999999993" hidden="1" customHeight="1" x14ac:dyDescent="0.2"/>
    <row r="39714" ht="9.9499999999999993" hidden="1" customHeight="1" x14ac:dyDescent="0.2"/>
    <row r="39715" ht="9.9499999999999993" hidden="1" customHeight="1" x14ac:dyDescent="0.2"/>
    <row r="39716" ht="9.9499999999999993" hidden="1" customHeight="1" x14ac:dyDescent="0.2"/>
    <row r="39717" ht="9.9499999999999993" hidden="1" customHeight="1" x14ac:dyDescent="0.2"/>
    <row r="39718" ht="9.9499999999999993" hidden="1" customHeight="1" x14ac:dyDescent="0.2"/>
    <row r="39719" ht="9.9499999999999993" hidden="1" customHeight="1" x14ac:dyDescent="0.2"/>
    <row r="39720" ht="9.9499999999999993" hidden="1" customHeight="1" x14ac:dyDescent="0.2"/>
    <row r="39721" ht="9.9499999999999993" hidden="1" customHeight="1" x14ac:dyDescent="0.2"/>
    <row r="39722" ht="9.9499999999999993" hidden="1" customHeight="1" x14ac:dyDescent="0.2"/>
    <row r="39723" ht="9.9499999999999993" hidden="1" customHeight="1" x14ac:dyDescent="0.2"/>
    <row r="39724" ht="9.9499999999999993" hidden="1" customHeight="1" x14ac:dyDescent="0.2"/>
    <row r="39725" ht="9.9499999999999993" hidden="1" customHeight="1" x14ac:dyDescent="0.2"/>
    <row r="39726" ht="9.9499999999999993" hidden="1" customHeight="1" x14ac:dyDescent="0.2"/>
    <row r="39727" ht="9.9499999999999993" hidden="1" customHeight="1" x14ac:dyDescent="0.2"/>
    <row r="39728" ht="9.9499999999999993" hidden="1" customHeight="1" x14ac:dyDescent="0.2"/>
    <row r="39729" ht="9.9499999999999993" hidden="1" customHeight="1" x14ac:dyDescent="0.2"/>
    <row r="39730" ht="9.9499999999999993" hidden="1" customHeight="1" x14ac:dyDescent="0.2"/>
    <row r="39731" ht="9.9499999999999993" hidden="1" customHeight="1" x14ac:dyDescent="0.2"/>
    <row r="39732" ht="9.9499999999999993" hidden="1" customHeight="1" x14ac:dyDescent="0.2"/>
    <row r="39733" ht="9.9499999999999993" hidden="1" customHeight="1" x14ac:dyDescent="0.2"/>
    <row r="39734" ht="9.9499999999999993" hidden="1" customHeight="1" x14ac:dyDescent="0.2"/>
    <row r="39735" ht="9.9499999999999993" hidden="1" customHeight="1" x14ac:dyDescent="0.2"/>
    <row r="39736" ht="9.9499999999999993" hidden="1" customHeight="1" x14ac:dyDescent="0.2"/>
    <row r="39737" ht="9.9499999999999993" hidden="1" customHeight="1" x14ac:dyDescent="0.2"/>
    <row r="39738" ht="9.9499999999999993" hidden="1" customHeight="1" x14ac:dyDescent="0.2"/>
    <row r="39739" ht="9.9499999999999993" hidden="1" customHeight="1" x14ac:dyDescent="0.2"/>
    <row r="39740" ht="9.9499999999999993" hidden="1" customHeight="1" x14ac:dyDescent="0.2"/>
    <row r="39741" ht="9.9499999999999993" hidden="1" customHeight="1" x14ac:dyDescent="0.2"/>
    <row r="39742" ht="9.9499999999999993" hidden="1" customHeight="1" x14ac:dyDescent="0.2"/>
    <row r="39743" ht="9.9499999999999993" hidden="1" customHeight="1" x14ac:dyDescent="0.2"/>
    <row r="39744" ht="9.9499999999999993" hidden="1" customHeight="1" x14ac:dyDescent="0.2"/>
    <row r="39745" ht="9.9499999999999993" hidden="1" customHeight="1" x14ac:dyDescent="0.2"/>
    <row r="39746" ht="9.9499999999999993" hidden="1" customHeight="1" x14ac:dyDescent="0.2"/>
    <row r="39747" ht="9.9499999999999993" hidden="1" customHeight="1" x14ac:dyDescent="0.2"/>
    <row r="39748" ht="9.9499999999999993" hidden="1" customHeight="1" x14ac:dyDescent="0.2"/>
    <row r="39749" ht="9.9499999999999993" hidden="1" customHeight="1" x14ac:dyDescent="0.2"/>
    <row r="39750" ht="9.9499999999999993" hidden="1" customHeight="1" x14ac:dyDescent="0.2"/>
    <row r="39751" ht="9.9499999999999993" hidden="1" customHeight="1" x14ac:dyDescent="0.2"/>
    <row r="39752" ht="9.9499999999999993" hidden="1" customHeight="1" x14ac:dyDescent="0.2"/>
    <row r="39753" ht="9.9499999999999993" hidden="1" customHeight="1" x14ac:dyDescent="0.2"/>
    <row r="39754" ht="9.9499999999999993" hidden="1" customHeight="1" x14ac:dyDescent="0.2"/>
    <row r="39755" ht="9.9499999999999993" hidden="1" customHeight="1" x14ac:dyDescent="0.2"/>
    <row r="39756" ht="9.9499999999999993" hidden="1" customHeight="1" x14ac:dyDescent="0.2"/>
    <row r="39757" ht="9.9499999999999993" hidden="1" customHeight="1" x14ac:dyDescent="0.2"/>
    <row r="39758" ht="9.9499999999999993" hidden="1" customHeight="1" x14ac:dyDescent="0.2"/>
    <row r="39759" ht="9.9499999999999993" hidden="1" customHeight="1" x14ac:dyDescent="0.2"/>
    <row r="39760" ht="9.9499999999999993" hidden="1" customHeight="1" x14ac:dyDescent="0.2"/>
    <row r="39761" ht="9.9499999999999993" hidden="1" customHeight="1" x14ac:dyDescent="0.2"/>
    <row r="39762" ht="9.9499999999999993" hidden="1" customHeight="1" x14ac:dyDescent="0.2"/>
    <row r="39763" ht="9.9499999999999993" hidden="1" customHeight="1" x14ac:dyDescent="0.2"/>
    <row r="39764" ht="9.9499999999999993" hidden="1" customHeight="1" x14ac:dyDescent="0.2"/>
    <row r="39765" ht="9.9499999999999993" hidden="1" customHeight="1" x14ac:dyDescent="0.2"/>
    <row r="39766" ht="9.9499999999999993" hidden="1" customHeight="1" x14ac:dyDescent="0.2"/>
    <row r="39767" ht="9.9499999999999993" hidden="1" customHeight="1" x14ac:dyDescent="0.2"/>
    <row r="39768" ht="9.9499999999999993" hidden="1" customHeight="1" x14ac:dyDescent="0.2"/>
    <row r="39769" ht="9.9499999999999993" hidden="1" customHeight="1" x14ac:dyDescent="0.2"/>
    <row r="39770" ht="9.9499999999999993" hidden="1" customHeight="1" x14ac:dyDescent="0.2"/>
    <row r="39771" ht="9.9499999999999993" hidden="1" customHeight="1" x14ac:dyDescent="0.2"/>
    <row r="39772" ht="9.9499999999999993" hidden="1" customHeight="1" x14ac:dyDescent="0.2"/>
    <row r="39773" ht="9.9499999999999993" hidden="1" customHeight="1" x14ac:dyDescent="0.2"/>
    <row r="39774" ht="9.9499999999999993" hidden="1" customHeight="1" x14ac:dyDescent="0.2"/>
    <row r="39775" ht="9.9499999999999993" hidden="1" customHeight="1" x14ac:dyDescent="0.2"/>
    <row r="39776" ht="9.9499999999999993" hidden="1" customHeight="1" x14ac:dyDescent="0.2"/>
    <row r="39777" ht="9.9499999999999993" hidden="1" customHeight="1" x14ac:dyDescent="0.2"/>
    <row r="39778" ht="9.9499999999999993" hidden="1" customHeight="1" x14ac:dyDescent="0.2"/>
    <row r="39779" ht="9.9499999999999993" hidden="1" customHeight="1" x14ac:dyDescent="0.2"/>
    <row r="39780" ht="9.9499999999999993" hidden="1" customHeight="1" x14ac:dyDescent="0.2"/>
    <row r="39781" ht="9.9499999999999993" hidden="1" customHeight="1" x14ac:dyDescent="0.2"/>
    <row r="39782" ht="9.9499999999999993" hidden="1" customHeight="1" x14ac:dyDescent="0.2"/>
    <row r="39783" ht="9.9499999999999993" hidden="1" customHeight="1" x14ac:dyDescent="0.2"/>
    <row r="39784" ht="9.9499999999999993" hidden="1" customHeight="1" x14ac:dyDescent="0.2"/>
    <row r="39785" ht="9.9499999999999993" hidden="1" customHeight="1" x14ac:dyDescent="0.2"/>
    <row r="39786" ht="9.9499999999999993" hidden="1" customHeight="1" x14ac:dyDescent="0.2"/>
    <row r="39787" ht="9.9499999999999993" hidden="1" customHeight="1" x14ac:dyDescent="0.2"/>
    <row r="39788" ht="9.9499999999999993" hidden="1" customHeight="1" x14ac:dyDescent="0.2"/>
    <row r="39789" ht="9.9499999999999993" hidden="1" customHeight="1" x14ac:dyDescent="0.2"/>
    <row r="39790" ht="9.9499999999999993" hidden="1" customHeight="1" x14ac:dyDescent="0.2"/>
    <row r="39791" ht="9.9499999999999993" hidden="1" customHeight="1" x14ac:dyDescent="0.2"/>
    <row r="39792" ht="9.9499999999999993" hidden="1" customHeight="1" x14ac:dyDescent="0.2"/>
    <row r="39793" ht="9.9499999999999993" hidden="1" customHeight="1" x14ac:dyDescent="0.2"/>
    <row r="39794" ht="9.9499999999999993" hidden="1" customHeight="1" x14ac:dyDescent="0.2"/>
    <row r="39795" ht="9.9499999999999993" hidden="1" customHeight="1" x14ac:dyDescent="0.2"/>
    <row r="39796" ht="9.9499999999999993" hidden="1" customHeight="1" x14ac:dyDescent="0.2"/>
    <row r="39797" ht="9.9499999999999993" hidden="1" customHeight="1" x14ac:dyDescent="0.2"/>
    <row r="39798" ht="9.9499999999999993" hidden="1" customHeight="1" x14ac:dyDescent="0.2"/>
    <row r="39799" ht="9.9499999999999993" hidden="1" customHeight="1" x14ac:dyDescent="0.2"/>
    <row r="39800" ht="9.9499999999999993" hidden="1" customHeight="1" x14ac:dyDescent="0.2"/>
    <row r="39801" ht="9.9499999999999993" hidden="1" customHeight="1" x14ac:dyDescent="0.2"/>
    <row r="39802" ht="9.9499999999999993" hidden="1" customHeight="1" x14ac:dyDescent="0.2"/>
    <row r="39803" ht="9.9499999999999993" hidden="1" customHeight="1" x14ac:dyDescent="0.2"/>
    <row r="39804" ht="9.9499999999999993" hidden="1" customHeight="1" x14ac:dyDescent="0.2"/>
    <row r="39805" ht="9.9499999999999993" hidden="1" customHeight="1" x14ac:dyDescent="0.2"/>
    <row r="39806" ht="9.9499999999999993" hidden="1" customHeight="1" x14ac:dyDescent="0.2"/>
    <row r="39807" ht="9.9499999999999993" hidden="1" customHeight="1" x14ac:dyDescent="0.2"/>
    <row r="39808" ht="9.9499999999999993" hidden="1" customHeight="1" x14ac:dyDescent="0.2"/>
    <row r="39809" ht="9.9499999999999993" hidden="1" customHeight="1" x14ac:dyDescent="0.2"/>
    <row r="39810" ht="9.9499999999999993" hidden="1" customHeight="1" x14ac:dyDescent="0.2"/>
    <row r="39811" ht="9.9499999999999993" hidden="1" customHeight="1" x14ac:dyDescent="0.2"/>
    <row r="39812" ht="9.9499999999999993" hidden="1" customHeight="1" x14ac:dyDescent="0.2"/>
    <row r="39813" ht="9.9499999999999993" hidden="1" customHeight="1" x14ac:dyDescent="0.2"/>
    <row r="39814" ht="9.9499999999999993" hidden="1" customHeight="1" x14ac:dyDescent="0.2"/>
    <row r="39815" ht="9.9499999999999993" hidden="1" customHeight="1" x14ac:dyDescent="0.2"/>
    <row r="39816" ht="9.9499999999999993" hidden="1" customHeight="1" x14ac:dyDescent="0.2"/>
    <row r="39817" ht="9.9499999999999993" hidden="1" customHeight="1" x14ac:dyDescent="0.2"/>
    <row r="39818" ht="9.9499999999999993" hidden="1" customHeight="1" x14ac:dyDescent="0.2"/>
    <row r="39819" ht="9.9499999999999993" hidden="1" customHeight="1" x14ac:dyDescent="0.2"/>
    <row r="39820" ht="9.9499999999999993" hidden="1" customHeight="1" x14ac:dyDescent="0.2"/>
    <row r="39821" ht="9.9499999999999993" hidden="1" customHeight="1" x14ac:dyDescent="0.2"/>
    <row r="39822" ht="9.9499999999999993" hidden="1" customHeight="1" x14ac:dyDescent="0.2"/>
    <row r="39823" ht="9.9499999999999993" hidden="1" customHeight="1" x14ac:dyDescent="0.2"/>
    <row r="39824" ht="9.9499999999999993" hidden="1" customHeight="1" x14ac:dyDescent="0.2"/>
    <row r="39825" ht="9.9499999999999993" hidden="1" customHeight="1" x14ac:dyDescent="0.2"/>
    <row r="39826" ht="9.9499999999999993" hidden="1" customHeight="1" x14ac:dyDescent="0.2"/>
    <row r="39827" ht="9.9499999999999993" hidden="1" customHeight="1" x14ac:dyDescent="0.2"/>
    <row r="39828" ht="9.9499999999999993" hidden="1" customHeight="1" x14ac:dyDescent="0.2"/>
    <row r="39829" ht="9.9499999999999993" hidden="1" customHeight="1" x14ac:dyDescent="0.2"/>
    <row r="39830" ht="9.9499999999999993" hidden="1" customHeight="1" x14ac:dyDescent="0.2"/>
    <row r="39831" ht="9.9499999999999993" hidden="1" customHeight="1" x14ac:dyDescent="0.2"/>
    <row r="39832" ht="9.9499999999999993" hidden="1" customHeight="1" x14ac:dyDescent="0.2"/>
    <row r="39833" ht="9.9499999999999993" hidden="1" customHeight="1" x14ac:dyDescent="0.2"/>
    <row r="39834" ht="9.9499999999999993" hidden="1" customHeight="1" x14ac:dyDescent="0.2"/>
    <row r="39835" ht="9.9499999999999993" hidden="1" customHeight="1" x14ac:dyDescent="0.2"/>
    <row r="39836" ht="9.9499999999999993" hidden="1" customHeight="1" x14ac:dyDescent="0.2"/>
    <row r="39837" ht="9.9499999999999993" hidden="1" customHeight="1" x14ac:dyDescent="0.2"/>
    <row r="39838" ht="9.9499999999999993" hidden="1" customHeight="1" x14ac:dyDescent="0.2"/>
    <row r="39839" ht="9.9499999999999993" hidden="1" customHeight="1" x14ac:dyDescent="0.2"/>
    <row r="39840" ht="9.9499999999999993" hidden="1" customHeight="1" x14ac:dyDescent="0.2"/>
    <row r="39841" ht="9.9499999999999993" hidden="1" customHeight="1" x14ac:dyDescent="0.2"/>
    <row r="39842" ht="9.9499999999999993" hidden="1" customHeight="1" x14ac:dyDescent="0.2"/>
    <row r="39843" ht="9.9499999999999993" hidden="1" customHeight="1" x14ac:dyDescent="0.2"/>
    <row r="39844" ht="9.9499999999999993" hidden="1" customHeight="1" x14ac:dyDescent="0.2"/>
    <row r="39845" ht="9.9499999999999993" hidden="1" customHeight="1" x14ac:dyDescent="0.2"/>
    <row r="39846" ht="9.9499999999999993" hidden="1" customHeight="1" x14ac:dyDescent="0.2"/>
    <row r="39847" ht="9.9499999999999993" hidden="1" customHeight="1" x14ac:dyDescent="0.2"/>
    <row r="39848" ht="9.9499999999999993" hidden="1" customHeight="1" x14ac:dyDescent="0.2"/>
    <row r="39849" ht="9.9499999999999993" hidden="1" customHeight="1" x14ac:dyDescent="0.2"/>
    <row r="39850" ht="9.9499999999999993" hidden="1" customHeight="1" x14ac:dyDescent="0.2"/>
    <row r="39851" ht="9.9499999999999993" hidden="1" customHeight="1" x14ac:dyDescent="0.2"/>
    <row r="39852" ht="9.9499999999999993" hidden="1" customHeight="1" x14ac:dyDescent="0.2"/>
    <row r="39853" ht="9.9499999999999993" hidden="1" customHeight="1" x14ac:dyDescent="0.2"/>
    <row r="39854" ht="9.9499999999999993" hidden="1" customHeight="1" x14ac:dyDescent="0.2"/>
    <row r="39855" ht="9.9499999999999993" hidden="1" customHeight="1" x14ac:dyDescent="0.2"/>
    <row r="39856" ht="9.9499999999999993" hidden="1" customHeight="1" x14ac:dyDescent="0.2"/>
    <row r="39857" ht="9.9499999999999993" hidden="1" customHeight="1" x14ac:dyDescent="0.2"/>
    <row r="39858" ht="9.9499999999999993" hidden="1" customHeight="1" x14ac:dyDescent="0.2"/>
    <row r="39859" ht="9.9499999999999993" hidden="1" customHeight="1" x14ac:dyDescent="0.2"/>
    <row r="39860" ht="9.9499999999999993" hidden="1" customHeight="1" x14ac:dyDescent="0.2"/>
    <row r="39861" ht="9.9499999999999993" hidden="1" customHeight="1" x14ac:dyDescent="0.2"/>
    <row r="39862" ht="9.9499999999999993" hidden="1" customHeight="1" x14ac:dyDescent="0.2"/>
    <row r="39863" ht="9.9499999999999993" hidden="1" customHeight="1" x14ac:dyDescent="0.2"/>
    <row r="39864" ht="9.9499999999999993" hidden="1" customHeight="1" x14ac:dyDescent="0.2"/>
    <row r="39865" ht="9.9499999999999993" hidden="1" customHeight="1" x14ac:dyDescent="0.2"/>
    <row r="39866" ht="9.9499999999999993" hidden="1" customHeight="1" x14ac:dyDescent="0.2"/>
    <row r="39867" ht="9.9499999999999993" hidden="1" customHeight="1" x14ac:dyDescent="0.2"/>
    <row r="39868" ht="9.9499999999999993" hidden="1" customHeight="1" x14ac:dyDescent="0.2"/>
    <row r="39869" ht="9.9499999999999993" hidden="1" customHeight="1" x14ac:dyDescent="0.2"/>
    <row r="39870" ht="9.9499999999999993" hidden="1" customHeight="1" x14ac:dyDescent="0.2"/>
    <row r="39871" ht="9.9499999999999993" hidden="1" customHeight="1" x14ac:dyDescent="0.2"/>
    <row r="39872" ht="9.9499999999999993" hidden="1" customHeight="1" x14ac:dyDescent="0.2"/>
    <row r="39873" ht="9.9499999999999993" hidden="1" customHeight="1" x14ac:dyDescent="0.2"/>
    <row r="39874" ht="9.9499999999999993" hidden="1" customHeight="1" x14ac:dyDescent="0.2"/>
    <row r="39875" ht="9.9499999999999993" hidden="1" customHeight="1" x14ac:dyDescent="0.2"/>
    <row r="39876" ht="9.9499999999999993" hidden="1" customHeight="1" x14ac:dyDescent="0.2"/>
    <row r="39877" ht="9.9499999999999993" hidden="1" customHeight="1" x14ac:dyDescent="0.2"/>
    <row r="39878" ht="9.9499999999999993" hidden="1" customHeight="1" x14ac:dyDescent="0.2"/>
    <row r="39879" ht="9.9499999999999993" hidden="1" customHeight="1" x14ac:dyDescent="0.2"/>
    <row r="39880" ht="9.9499999999999993" hidden="1" customHeight="1" x14ac:dyDescent="0.2"/>
    <row r="39881" ht="9.9499999999999993" hidden="1" customHeight="1" x14ac:dyDescent="0.2"/>
    <row r="39882" ht="9.9499999999999993" hidden="1" customHeight="1" x14ac:dyDescent="0.2"/>
    <row r="39883" ht="9.9499999999999993" hidden="1" customHeight="1" x14ac:dyDescent="0.2"/>
    <row r="39884" ht="9.9499999999999993" hidden="1" customHeight="1" x14ac:dyDescent="0.2"/>
    <row r="39885" ht="9.9499999999999993" hidden="1" customHeight="1" x14ac:dyDescent="0.2"/>
    <row r="39886" ht="9.9499999999999993" hidden="1" customHeight="1" x14ac:dyDescent="0.2"/>
    <row r="39887" ht="9.9499999999999993" hidden="1" customHeight="1" x14ac:dyDescent="0.2"/>
    <row r="39888" ht="9.9499999999999993" hidden="1" customHeight="1" x14ac:dyDescent="0.2"/>
    <row r="39889" ht="9.9499999999999993" hidden="1" customHeight="1" x14ac:dyDescent="0.2"/>
    <row r="39890" ht="9.9499999999999993" hidden="1" customHeight="1" x14ac:dyDescent="0.2"/>
    <row r="39891" ht="9.9499999999999993" hidden="1" customHeight="1" x14ac:dyDescent="0.2"/>
    <row r="39892" ht="9.9499999999999993" hidden="1" customHeight="1" x14ac:dyDescent="0.2"/>
    <row r="39893" ht="9.9499999999999993" hidden="1" customHeight="1" x14ac:dyDescent="0.2"/>
    <row r="39894" ht="9.9499999999999993" hidden="1" customHeight="1" x14ac:dyDescent="0.2"/>
    <row r="39895" ht="9.9499999999999993" hidden="1" customHeight="1" x14ac:dyDescent="0.2"/>
    <row r="39896" ht="9.9499999999999993" hidden="1" customHeight="1" x14ac:dyDescent="0.2"/>
    <row r="39897" ht="9.9499999999999993" hidden="1" customHeight="1" x14ac:dyDescent="0.2"/>
    <row r="39898" ht="9.9499999999999993" hidden="1" customHeight="1" x14ac:dyDescent="0.2"/>
    <row r="39899" ht="9.9499999999999993" hidden="1" customHeight="1" x14ac:dyDescent="0.2"/>
    <row r="39900" ht="9.9499999999999993" hidden="1" customHeight="1" x14ac:dyDescent="0.2"/>
    <row r="39901" ht="9.9499999999999993" hidden="1" customHeight="1" x14ac:dyDescent="0.2"/>
    <row r="39902" ht="9.9499999999999993" hidden="1" customHeight="1" x14ac:dyDescent="0.2"/>
    <row r="39903" ht="9.9499999999999993" hidden="1" customHeight="1" x14ac:dyDescent="0.2"/>
    <row r="39904" ht="9.9499999999999993" hidden="1" customHeight="1" x14ac:dyDescent="0.2"/>
    <row r="39905" ht="9.9499999999999993" hidden="1" customHeight="1" x14ac:dyDescent="0.2"/>
    <row r="39906" ht="9.9499999999999993" hidden="1" customHeight="1" x14ac:dyDescent="0.2"/>
    <row r="39907" ht="9.9499999999999993" hidden="1" customHeight="1" x14ac:dyDescent="0.2"/>
    <row r="39908" ht="9.9499999999999993" hidden="1" customHeight="1" x14ac:dyDescent="0.2"/>
    <row r="39909" ht="9.9499999999999993" hidden="1" customHeight="1" x14ac:dyDescent="0.2"/>
    <row r="39910" ht="9.9499999999999993" hidden="1" customHeight="1" x14ac:dyDescent="0.2"/>
    <row r="39911" ht="9.9499999999999993" hidden="1" customHeight="1" x14ac:dyDescent="0.2"/>
    <row r="39912" ht="9.9499999999999993" hidden="1" customHeight="1" x14ac:dyDescent="0.2"/>
    <row r="39913" ht="9.9499999999999993" hidden="1" customHeight="1" x14ac:dyDescent="0.2"/>
    <row r="39914" ht="9.9499999999999993" hidden="1" customHeight="1" x14ac:dyDescent="0.2"/>
    <row r="39915" ht="9.9499999999999993" hidden="1" customHeight="1" x14ac:dyDescent="0.2"/>
    <row r="39916" ht="9.9499999999999993" hidden="1" customHeight="1" x14ac:dyDescent="0.2"/>
    <row r="39917" ht="9.9499999999999993" hidden="1" customHeight="1" x14ac:dyDescent="0.2"/>
    <row r="39918" ht="9.9499999999999993" hidden="1" customHeight="1" x14ac:dyDescent="0.2"/>
    <row r="39919" ht="9.9499999999999993" hidden="1" customHeight="1" x14ac:dyDescent="0.2"/>
    <row r="39920" ht="9.9499999999999993" hidden="1" customHeight="1" x14ac:dyDescent="0.2"/>
    <row r="39921" ht="9.9499999999999993" hidden="1" customHeight="1" x14ac:dyDescent="0.2"/>
    <row r="39922" ht="9.9499999999999993" hidden="1" customHeight="1" x14ac:dyDescent="0.2"/>
    <row r="39923" ht="9.9499999999999993" hidden="1" customHeight="1" x14ac:dyDescent="0.2"/>
    <row r="39924" ht="9.9499999999999993" hidden="1" customHeight="1" x14ac:dyDescent="0.2"/>
    <row r="39925" ht="9.9499999999999993" hidden="1" customHeight="1" x14ac:dyDescent="0.2"/>
    <row r="39926" ht="9.9499999999999993" hidden="1" customHeight="1" x14ac:dyDescent="0.2"/>
    <row r="39927" ht="9.9499999999999993" hidden="1" customHeight="1" x14ac:dyDescent="0.2"/>
    <row r="39928" ht="9.9499999999999993" hidden="1" customHeight="1" x14ac:dyDescent="0.2"/>
    <row r="39929" ht="9.9499999999999993" hidden="1" customHeight="1" x14ac:dyDescent="0.2"/>
    <row r="39930" ht="9.9499999999999993" hidden="1" customHeight="1" x14ac:dyDescent="0.2"/>
    <row r="39931" ht="9.9499999999999993" hidden="1" customHeight="1" x14ac:dyDescent="0.2"/>
    <row r="39932" ht="9.9499999999999993" hidden="1" customHeight="1" x14ac:dyDescent="0.2"/>
    <row r="39933" ht="9.9499999999999993" hidden="1" customHeight="1" x14ac:dyDescent="0.2"/>
    <row r="39934" ht="9.9499999999999993" hidden="1" customHeight="1" x14ac:dyDescent="0.2"/>
    <row r="39935" ht="9.9499999999999993" hidden="1" customHeight="1" x14ac:dyDescent="0.2"/>
    <row r="39936" ht="9.9499999999999993" hidden="1" customHeight="1" x14ac:dyDescent="0.2"/>
    <row r="39937" ht="9.9499999999999993" hidden="1" customHeight="1" x14ac:dyDescent="0.2"/>
    <row r="39938" ht="9.9499999999999993" hidden="1" customHeight="1" x14ac:dyDescent="0.2"/>
    <row r="39939" ht="9.9499999999999993" hidden="1" customHeight="1" x14ac:dyDescent="0.2"/>
    <row r="39940" ht="9.9499999999999993" hidden="1" customHeight="1" x14ac:dyDescent="0.2"/>
    <row r="39941" ht="9.9499999999999993" hidden="1" customHeight="1" x14ac:dyDescent="0.2"/>
    <row r="39942" ht="9.9499999999999993" hidden="1" customHeight="1" x14ac:dyDescent="0.2"/>
    <row r="39943" ht="9.9499999999999993" hidden="1" customHeight="1" x14ac:dyDescent="0.2"/>
    <row r="39944" ht="9.9499999999999993" hidden="1" customHeight="1" x14ac:dyDescent="0.2"/>
    <row r="39945" ht="9.9499999999999993" hidden="1" customHeight="1" x14ac:dyDescent="0.2"/>
    <row r="39946" ht="9.9499999999999993" hidden="1" customHeight="1" x14ac:dyDescent="0.2"/>
    <row r="39947" ht="9.9499999999999993" hidden="1" customHeight="1" x14ac:dyDescent="0.2"/>
    <row r="39948" ht="9.9499999999999993" hidden="1" customHeight="1" x14ac:dyDescent="0.2"/>
    <row r="39949" ht="9.9499999999999993" hidden="1" customHeight="1" x14ac:dyDescent="0.2"/>
    <row r="39950" ht="9.9499999999999993" hidden="1" customHeight="1" x14ac:dyDescent="0.2"/>
    <row r="39951" ht="9.9499999999999993" hidden="1" customHeight="1" x14ac:dyDescent="0.2"/>
    <row r="39952" ht="9.9499999999999993" hidden="1" customHeight="1" x14ac:dyDescent="0.2"/>
    <row r="39953" ht="9.9499999999999993" hidden="1" customHeight="1" x14ac:dyDescent="0.2"/>
    <row r="39954" ht="9.9499999999999993" hidden="1" customHeight="1" x14ac:dyDescent="0.2"/>
    <row r="39955" ht="9.9499999999999993" hidden="1" customHeight="1" x14ac:dyDescent="0.2"/>
    <row r="39956" ht="9.9499999999999993" hidden="1" customHeight="1" x14ac:dyDescent="0.2"/>
    <row r="39957" ht="9.9499999999999993" hidden="1" customHeight="1" x14ac:dyDescent="0.2"/>
    <row r="39958" ht="9.9499999999999993" hidden="1" customHeight="1" x14ac:dyDescent="0.2"/>
    <row r="39959" ht="9.9499999999999993" hidden="1" customHeight="1" x14ac:dyDescent="0.2"/>
    <row r="39960" ht="9.9499999999999993" hidden="1" customHeight="1" x14ac:dyDescent="0.2"/>
    <row r="39961" ht="9.9499999999999993" hidden="1" customHeight="1" x14ac:dyDescent="0.2"/>
    <row r="39962" ht="9.9499999999999993" hidden="1" customHeight="1" x14ac:dyDescent="0.2"/>
    <row r="39963" ht="9.9499999999999993" hidden="1" customHeight="1" x14ac:dyDescent="0.2"/>
    <row r="39964" ht="9.9499999999999993" hidden="1" customHeight="1" x14ac:dyDescent="0.2"/>
    <row r="39965" ht="9.9499999999999993" hidden="1" customHeight="1" x14ac:dyDescent="0.2"/>
    <row r="39966" ht="9.9499999999999993" hidden="1" customHeight="1" x14ac:dyDescent="0.2"/>
    <row r="39967" ht="9.9499999999999993" hidden="1" customHeight="1" x14ac:dyDescent="0.2"/>
    <row r="39968" ht="9.9499999999999993" hidden="1" customHeight="1" x14ac:dyDescent="0.2"/>
    <row r="39969" ht="9.9499999999999993" hidden="1" customHeight="1" x14ac:dyDescent="0.2"/>
    <row r="39970" ht="9.9499999999999993" hidden="1" customHeight="1" x14ac:dyDescent="0.2"/>
    <row r="39971" ht="9.9499999999999993" hidden="1" customHeight="1" x14ac:dyDescent="0.2"/>
    <row r="39972" ht="9.9499999999999993" hidden="1" customHeight="1" x14ac:dyDescent="0.2"/>
    <row r="39973" ht="9.9499999999999993" hidden="1" customHeight="1" x14ac:dyDescent="0.2"/>
    <row r="39974" ht="9.9499999999999993" hidden="1" customHeight="1" x14ac:dyDescent="0.2"/>
    <row r="39975" ht="9.9499999999999993" hidden="1" customHeight="1" x14ac:dyDescent="0.2"/>
    <row r="39976" ht="9.9499999999999993" hidden="1" customHeight="1" x14ac:dyDescent="0.2"/>
    <row r="39977" ht="9.9499999999999993" hidden="1" customHeight="1" x14ac:dyDescent="0.2"/>
    <row r="39978" ht="9.9499999999999993" hidden="1" customHeight="1" x14ac:dyDescent="0.2"/>
    <row r="39979" ht="9.9499999999999993" hidden="1" customHeight="1" x14ac:dyDescent="0.2"/>
    <row r="39980" ht="9.9499999999999993" hidden="1" customHeight="1" x14ac:dyDescent="0.2"/>
    <row r="39981" ht="9.9499999999999993" hidden="1" customHeight="1" x14ac:dyDescent="0.2"/>
    <row r="39982" ht="9.9499999999999993" hidden="1" customHeight="1" x14ac:dyDescent="0.2"/>
    <row r="39983" ht="9.9499999999999993" hidden="1" customHeight="1" x14ac:dyDescent="0.2"/>
    <row r="39984" ht="9.9499999999999993" hidden="1" customHeight="1" x14ac:dyDescent="0.2"/>
    <row r="39985" ht="9.9499999999999993" hidden="1" customHeight="1" x14ac:dyDescent="0.2"/>
    <row r="39986" ht="9.9499999999999993" hidden="1" customHeight="1" x14ac:dyDescent="0.2"/>
    <row r="39987" ht="9.9499999999999993" hidden="1" customHeight="1" x14ac:dyDescent="0.2"/>
    <row r="39988" ht="9.9499999999999993" hidden="1" customHeight="1" x14ac:dyDescent="0.2"/>
    <row r="39989" ht="9.9499999999999993" hidden="1" customHeight="1" x14ac:dyDescent="0.2"/>
    <row r="39990" ht="9.9499999999999993" hidden="1" customHeight="1" x14ac:dyDescent="0.2"/>
    <row r="39991" ht="9.9499999999999993" hidden="1" customHeight="1" x14ac:dyDescent="0.2"/>
    <row r="39992" ht="9.9499999999999993" hidden="1" customHeight="1" x14ac:dyDescent="0.2"/>
    <row r="39993" ht="9.9499999999999993" hidden="1" customHeight="1" x14ac:dyDescent="0.2"/>
    <row r="39994" ht="9.9499999999999993" hidden="1" customHeight="1" x14ac:dyDescent="0.2"/>
    <row r="39995" ht="9.9499999999999993" hidden="1" customHeight="1" x14ac:dyDescent="0.2"/>
    <row r="39996" ht="9.9499999999999993" hidden="1" customHeight="1" x14ac:dyDescent="0.2"/>
    <row r="39997" ht="9.9499999999999993" hidden="1" customHeight="1" x14ac:dyDescent="0.2"/>
    <row r="39998" ht="9.9499999999999993" hidden="1" customHeight="1" x14ac:dyDescent="0.2"/>
    <row r="39999" ht="9.9499999999999993" hidden="1" customHeight="1" x14ac:dyDescent="0.2"/>
    <row r="40000" ht="9.9499999999999993" hidden="1" customHeight="1" x14ac:dyDescent="0.2"/>
    <row r="40001" ht="9.9499999999999993" hidden="1" customHeight="1" x14ac:dyDescent="0.2"/>
    <row r="40002" ht="9.9499999999999993" hidden="1" customHeight="1" x14ac:dyDescent="0.2"/>
    <row r="40003" ht="9.9499999999999993" hidden="1" customHeight="1" x14ac:dyDescent="0.2"/>
    <row r="40004" ht="9.9499999999999993" hidden="1" customHeight="1" x14ac:dyDescent="0.2"/>
    <row r="40005" ht="9.9499999999999993" hidden="1" customHeight="1" x14ac:dyDescent="0.2"/>
    <row r="40006" ht="9.9499999999999993" hidden="1" customHeight="1" x14ac:dyDescent="0.2"/>
    <row r="40007" ht="9.9499999999999993" hidden="1" customHeight="1" x14ac:dyDescent="0.2"/>
    <row r="40008" ht="9.9499999999999993" hidden="1" customHeight="1" x14ac:dyDescent="0.2"/>
    <row r="40009" ht="9.9499999999999993" hidden="1" customHeight="1" x14ac:dyDescent="0.2"/>
    <row r="40010" ht="9.9499999999999993" hidden="1" customHeight="1" x14ac:dyDescent="0.2"/>
    <row r="40011" ht="9.9499999999999993" hidden="1" customHeight="1" x14ac:dyDescent="0.2"/>
    <row r="40012" ht="9.9499999999999993" hidden="1" customHeight="1" x14ac:dyDescent="0.2"/>
    <row r="40013" ht="9.9499999999999993" hidden="1" customHeight="1" x14ac:dyDescent="0.2"/>
    <row r="40014" ht="9.9499999999999993" hidden="1" customHeight="1" x14ac:dyDescent="0.2"/>
    <row r="40015" ht="9.9499999999999993" hidden="1" customHeight="1" x14ac:dyDescent="0.2"/>
    <row r="40016" ht="9.9499999999999993" hidden="1" customHeight="1" x14ac:dyDescent="0.2"/>
    <row r="40017" ht="9.9499999999999993" hidden="1" customHeight="1" x14ac:dyDescent="0.2"/>
    <row r="40018" ht="9.9499999999999993" hidden="1" customHeight="1" x14ac:dyDescent="0.2"/>
    <row r="40019" ht="9.9499999999999993" hidden="1" customHeight="1" x14ac:dyDescent="0.2"/>
    <row r="40020" ht="9.9499999999999993" hidden="1" customHeight="1" x14ac:dyDescent="0.2"/>
    <row r="40021" ht="9.9499999999999993" hidden="1" customHeight="1" x14ac:dyDescent="0.2"/>
    <row r="40022" ht="9.9499999999999993" hidden="1" customHeight="1" x14ac:dyDescent="0.2"/>
    <row r="40023" ht="9.9499999999999993" hidden="1" customHeight="1" x14ac:dyDescent="0.2"/>
    <row r="40024" ht="9.9499999999999993" hidden="1" customHeight="1" x14ac:dyDescent="0.2"/>
    <row r="40025" ht="9.9499999999999993" hidden="1" customHeight="1" x14ac:dyDescent="0.2"/>
    <row r="40026" ht="9.9499999999999993" hidden="1" customHeight="1" x14ac:dyDescent="0.2"/>
    <row r="40027" ht="9.9499999999999993" hidden="1" customHeight="1" x14ac:dyDescent="0.2"/>
    <row r="40028" ht="9.9499999999999993" hidden="1" customHeight="1" x14ac:dyDescent="0.2"/>
    <row r="40029" ht="9.9499999999999993" hidden="1" customHeight="1" x14ac:dyDescent="0.2"/>
    <row r="40030" ht="9.9499999999999993" hidden="1" customHeight="1" x14ac:dyDescent="0.2"/>
    <row r="40031" ht="9.9499999999999993" hidden="1" customHeight="1" x14ac:dyDescent="0.2"/>
    <row r="40032" ht="9.9499999999999993" hidden="1" customHeight="1" x14ac:dyDescent="0.2"/>
    <row r="40033" ht="9.9499999999999993" hidden="1" customHeight="1" x14ac:dyDescent="0.2"/>
    <row r="40034" ht="9.9499999999999993" hidden="1" customHeight="1" x14ac:dyDescent="0.2"/>
    <row r="40035" ht="9.9499999999999993" hidden="1" customHeight="1" x14ac:dyDescent="0.2"/>
    <row r="40036" ht="9.9499999999999993" hidden="1" customHeight="1" x14ac:dyDescent="0.2"/>
    <row r="40037" ht="9.9499999999999993" hidden="1" customHeight="1" x14ac:dyDescent="0.2"/>
    <row r="40038" ht="9.9499999999999993" hidden="1" customHeight="1" x14ac:dyDescent="0.2"/>
    <row r="40039" ht="9.9499999999999993" hidden="1" customHeight="1" x14ac:dyDescent="0.2"/>
    <row r="40040" ht="9.9499999999999993" hidden="1" customHeight="1" x14ac:dyDescent="0.2"/>
    <row r="40041" ht="9.9499999999999993" hidden="1" customHeight="1" x14ac:dyDescent="0.2"/>
    <row r="40042" ht="9.9499999999999993" hidden="1" customHeight="1" x14ac:dyDescent="0.2"/>
    <row r="40043" ht="9.9499999999999993" hidden="1" customHeight="1" x14ac:dyDescent="0.2"/>
    <row r="40044" ht="9.9499999999999993" hidden="1" customHeight="1" x14ac:dyDescent="0.2"/>
    <row r="40045" ht="9.9499999999999993" hidden="1" customHeight="1" x14ac:dyDescent="0.2"/>
    <row r="40046" ht="9.9499999999999993" hidden="1" customHeight="1" x14ac:dyDescent="0.2"/>
    <row r="40047" ht="9.9499999999999993" hidden="1" customHeight="1" x14ac:dyDescent="0.2"/>
    <row r="40048" ht="9.9499999999999993" hidden="1" customHeight="1" x14ac:dyDescent="0.2"/>
    <row r="40049" ht="9.9499999999999993" hidden="1" customHeight="1" x14ac:dyDescent="0.2"/>
    <row r="40050" ht="9.9499999999999993" hidden="1" customHeight="1" x14ac:dyDescent="0.2"/>
    <row r="40051" ht="9.9499999999999993" hidden="1" customHeight="1" x14ac:dyDescent="0.2"/>
    <row r="40052" ht="9.9499999999999993" hidden="1" customHeight="1" x14ac:dyDescent="0.2"/>
    <row r="40053" ht="9.9499999999999993" hidden="1" customHeight="1" x14ac:dyDescent="0.2"/>
    <row r="40054" ht="9.9499999999999993" hidden="1" customHeight="1" x14ac:dyDescent="0.2"/>
    <row r="40055" ht="9.9499999999999993" hidden="1" customHeight="1" x14ac:dyDescent="0.2"/>
    <row r="40056" ht="9.9499999999999993" hidden="1" customHeight="1" x14ac:dyDescent="0.2"/>
    <row r="40057" ht="9.9499999999999993" hidden="1" customHeight="1" x14ac:dyDescent="0.2"/>
    <row r="40058" ht="9.9499999999999993" hidden="1" customHeight="1" x14ac:dyDescent="0.2"/>
    <row r="40059" ht="9.9499999999999993" hidden="1" customHeight="1" x14ac:dyDescent="0.2"/>
    <row r="40060" ht="9.9499999999999993" hidden="1" customHeight="1" x14ac:dyDescent="0.2"/>
    <row r="40061" ht="9.9499999999999993" hidden="1" customHeight="1" x14ac:dyDescent="0.2"/>
    <row r="40062" ht="9.9499999999999993" hidden="1" customHeight="1" x14ac:dyDescent="0.2"/>
    <row r="40063" ht="9.9499999999999993" hidden="1" customHeight="1" x14ac:dyDescent="0.2"/>
    <row r="40064" ht="9.9499999999999993" hidden="1" customHeight="1" x14ac:dyDescent="0.2"/>
    <row r="40065" ht="9.9499999999999993" hidden="1" customHeight="1" x14ac:dyDescent="0.2"/>
    <row r="40066" ht="9.9499999999999993" hidden="1" customHeight="1" x14ac:dyDescent="0.2"/>
    <row r="40067" ht="9.9499999999999993" hidden="1" customHeight="1" x14ac:dyDescent="0.2"/>
    <row r="40068" ht="9.9499999999999993" hidden="1" customHeight="1" x14ac:dyDescent="0.2"/>
    <row r="40069" ht="9.9499999999999993" hidden="1" customHeight="1" x14ac:dyDescent="0.2"/>
    <row r="40070" ht="9.9499999999999993" hidden="1" customHeight="1" x14ac:dyDescent="0.2"/>
    <row r="40071" ht="9.9499999999999993" hidden="1" customHeight="1" x14ac:dyDescent="0.2"/>
    <row r="40072" ht="9.9499999999999993" hidden="1" customHeight="1" x14ac:dyDescent="0.2"/>
    <row r="40073" ht="9.9499999999999993" hidden="1" customHeight="1" x14ac:dyDescent="0.2"/>
    <row r="40074" ht="9.9499999999999993" hidden="1" customHeight="1" x14ac:dyDescent="0.2"/>
    <row r="40075" ht="9.9499999999999993" hidden="1" customHeight="1" x14ac:dyDescent="0.2"/>
    <row r="40076" ht="9.9499999999999993" hidden="1" customHeight="1" x14ac:dyDescent="0.2"/>
    <row r="40077" ht="9.9499999999999993" hidden="1" customHeight="1" x14ac:dyDescent="0.2"/>
    <row r="40078" ht="9.9499999999999993" hidden="1" customHeight="1" x14ac:dyDescent="0.2"/>
    <row r="40079" ht="9.9499999999999993" hidden="1" customHeight="1" x14ac:dyDescent="0.2"/>
    <row r="40080" ht="9.9499999999999993" hidden="1" customHeight="1" x14ac:dyDescent="0.2"/>
    <row r="40081" ht="9.9499999999999993" hidden="1" customHeight="1" x14ac:dyDescent="0.2"/>
    <row r="40082" ht="9.9499999999999993" hidden="1" customHeight="1" x14ac:dyDescent="0.2"/>
    <row r="40083" ht="9.9499999999999993" hidden="1" customHeight="1" x14ac:dyDescent="0.2"/>
    <row r="40084" ht="9.9499999999999993" hidden="1" customHeight="1" x14ac:dyDescent="0.2"/>
    <row r="40085" ht="9.9499999999999993" hidden="1" customHeight="1" x14ac:dyDescent="0.2"/>
    <row r="40086" ht="9.9499999999999993" hidden="1" customHeight="1" x14ac:dyDescent="0.2"/>
    <row r="40087" ht="9.9499999999999993" hidden="1" customHeight="1" x14ac:dyDescent="0.2"/>
    <row r="40088" ht="9.9499999999999993" hidden="1" customHeight="1" x14ac:dyDescent="0.2"/>
    <row r="40089" ht="9.9499999999999993" hidden="1" customHeight="1" x14ac:dyDescent="0.2"/>
    <row r="40090" ht="9.9499999999999993" hidden="1" customHeight="1" x14ac:dyDescent="0.2"/>
    <row r="40091" ht="9.9499999999999993" hidden="1" customHeight="1" x14ac:dyDescent="0.2"/>
    <row r="40092" ht="9.9499999999999993" hidden="1" customHeight="1" x14ac:dyDescent="0.2"/>
    <row r="40093" ht="9.9499999999999993" hidden="1" customHeight="1" x14ac:dyDescent="0.2"/>
    <row r="40094" ht="9.9499999999999993" hidden="1" customHeight="1" x14ac:dyDescent="0.2"/>
    <row r="40095" ht="9.9499999999999993" hidden="1" customHeight="1" x14ac:dyDescent="0.2"/>
    <row r="40096" ht="9.9499999999999993" hidden="1" customHeight="1" x14ac:dyDescent="0.2"/>
    <row r="40097" ht="9.9499999999999993" hidden="1" customHeight="1" x14ac:dyDescent="0.2"/>
    <row r="40098" ht="9.9499999999999993" hidden="1" customHeight="1" x14ac:dyDescent="0.2"/>
    <row r="40099" ht="9.9499999999999993" hidden="1" customHeight="1" x14ac:dyDescent="0.2"/>
    <row r="40100" ht="9.9499999999999993" hidden="1" customHeight="1" x14ac:dyDescent="0.2"/>
    <row r="40101" ht="9.9499999999999993" hidden="1" customHeight="1" x14ac:dyDescent="0.2"/>
    <row r="40102" ht="9.9499999999999993" hidden="1" customHeight="1" x14ac:dyDescent="0.2"/>
    <row r="40103" ht="9.9499999999999993" hidden="1" customHeight="1" x14ac:dyDescent="0.2"/>
    <row r="40104" ht="9.9499999999999993" hidden="1" customHeight="1" x14ac:dyDescent="0.2"/>
    <row r="40105" ht="9.9499999999999993" hidden="1" customHeight="1" x14ac:dyDescent="0.2"/>
    <row r="40106" ht="9.9499999999999993" hidden="1" customHeight="1" x14ac:dyDescent="0.2"/>
    <row r="40107" ht="9.9499999999999993" hidden="1" customHeight="1" x14ac:dyDescent="0.2"/>
    <row r="40108" ht="9.9499999999999993" hidden="1" customHeight="1" x14ac:dyDescent="0.2"/>
    <row r="40109" ht="9.9499999999999993" hidden="1" customHeight="1" x14ac:dyDescent="0.2"/>
    <row r="40110" ht="9.9499999999999993" hidden="1" customHeight="1" x14ac:dyDescent="0.2"/>
    <row r="40111" ht="9.9499999999999993" hidden="1" customHeight="1" x14ac:dyDescent="0.2"/>
    <row r="40112" ht="9.9499999999999993" hidden="1" customHeight="1" x14ac:dyDescent="0.2"/>
    <row r="40113" ht="9.9499999999999993" hidden="1" customHeight="1" x14ac:dyDescent="0.2"/>
    <row r="40114" ht="9.9499999999999993" hidden="1" customHeight="1" x14ac:dyDescent="0.2"/>
    <row r="40115" ht="9.9499999999999993" hidden="1" customHeight="1" x14ac:dyDescent="0.2"/>
    <row r="40116" ht="9.9499999999999993" hidden="1" customHeight="1" x14ac:dyDescent="0.2"/>
    <row r="40117" ht="9.9499999999999993" hidden="1" customHeight="1" x14ac:dyDescent="0.2"/>
    <row r="40118" ht="9.9499999999999993" hidden="1" customHeight="1" x14ac:dyDescent="0.2"/>
    <row r="40119" ht="9.9499999999999993" hidden="1" customHeight="1" x14ac:dyDescent="0.2"/>
    <row r="40120" ht="9.9499999999999993" hidden="1" customHeight="1" x14ac:dyDescent="0.2"/>
    <row r="40121" ht="9.9499999999999993" hidden="1" customHeight="1" x14ac:dyDescent="0.2"/>
    <row r="40122" ht="9.9499999999999993" hidden="1" customHeight="1" x14ac:dyDescent="0.2"/>
    <row r="40123" ht="9.9499999999999993" hidden="1" customHeight="1" x14ac:dyDescent="0.2"/>
    <row r="40124" ht="9.9499999999999993" hidden="1" customHeight="1" x14ac:dyDescent="0.2"/>
    <row r="40125" ht="9.9499999999999993" hidden="1" customHeight="1" x14ac:dyDescent="0.2"/>
    <row r="40126" ht="9.9499999999999993" hidden="1" customHeight="1" x14ac:dyDescent="0.2"/>
    <row r="40127" ht="9.9499999999999993" hidden="1" customHeight="1" x14ac:dyDescent="0.2"/>
    <row r="40128" ht="9.9499999999999993" hidden="1" customHeight="1" x14ac:dyDescent="0.2"/>
    <row r="40129" ht="9.9499999999999993" hidden="1" customHeight="1" x14ac:dyDescent="0.2"/>
    <row r="40130" ht="9.9499999999999993" hidden="1" customHeight="1" x14ac:dyDescent="0.2"/>
    <row r="40131" ht="9.9499999999999993" hidden="1" customHeight="1" x14ac:dyDescent="0.2"/>
    <row r="40132" ht="9.9499999999999993" hidden="1" customHeight="1" x14ac:dyDescent="0.2"/>
    <row r="40133" ht="9.9499999999999993" hidden="1" customHeight="1" x14ac:dyDescent="0.2"/>
    <row r="40134" ht="9.9499999999999993" hidden="1" customHeight="1" x14ac:dyDescent="0.2"/>
    <row r="40135" ht="9.9499999999999993" hidden="1" customHeight="1" x14ac:dyDescent="0.2"/>
    <row r="40136" ht="9.9499999999999993" hidden="1" customHeight="1" x14ac:dyDescent="0.2"/>
    <row r="40137" ht="9.9499999999999993" hidden="1" customHeight="1" x14ac:dyDescent="0.2"/>
    <row r="40138" ht="9.9499999999999993" hidden="1" customHeight="1" x14ac:dyDescent="0.2"/>
    <row r="40139" ht="9.9499999999999993" hidden="1" customHeight="1" x14ac:dyDescent="0.2"/>
    <row r="40140" ht="9.9499999999999993" hidden="1" customHeight="1" x14ac:dyDescent="0.2"/>
    <row r="40141" ht="9.9499999999999993" hidden="1" customHeight="1" x14ac:dyDescent="0.2"/>
    <row r="40142" ht="9.9499999999999993" hidden="1" customHeight="1" x14ac:dyDescent="0.2"/>
    <row r="40143" ht="9.9499999999999993" hidden="1" customHeight="1" x14ac:dyDescent="0.2"/>
    <row r="40144" ht="9.9499999999999993" hidden="1" customHeight="1" x14ac:dyDescent="0.2"/>
    <row r="40145" ht="9.9499999999999993" hidden="1" customHeight="1" x14ac:dyDescent="0.2"/>
    <row r="40146" ht="9.9499999999999993" hidden="1" customHeight="1" x14ac:dyDescent="0.2"/>
    <row r="40147" ht="9.9499999999999993" hidden="1" customHeight="1" x14ac:dyDescent="0.2"/>
    <row r="40148" ht="9.9499999999999993" hidden="1" customHeight="1" x14ac:dyDescent="0.2"/>
    <row r="40149" ht="9.9499999999999993" hidden="1" customHeight="1" x14ac:dyDescent="0.2"/>
    <row r="40150" ht="9.9499999999999993" hidden="1" customHeight="1" x14ac:dyDescent="0.2"/>
    <row r="40151" ht="9.9499999999999993" hidden="1" customHeight="1" x14ac:dyDescent="0.2"/>
    <row r="40152" ht="9.9499999999999993" hidden="1" customHeight="1" x14ac:dyDescent="0.2"/>
    <row r="40153" ht="9.9499999999999993" hidden="1" customHeight="1" x14ac:dyDescent="0.2"/>
    <row r="40154" ht="9.9499999999999993" hidden="1" customHeight="1" x14ac:dyDescent="0.2"/>
    <row r="40155" ht="9.9499999999999993" hidden="1" customHeight="1" x14ac:dyDescent="0.2"/>
    <row r="40156" ht="9.9499999999999993" hidden="1" customHeight="1" x14ac:dyDescent="0.2"/>
    <row r="40157" ht="9.9499999999999993" hidden="1" customHeight="1" x14ac:dyDescent="0.2"/>
    <row r="40158" ht="9.9499999999999993" hidden="1" customHeight="1" x14ac:dyDescent="0.2"/>
    <row r="40159" ht="9.9499999999999993" hidden="1" customHeight="1" x14ac:dyDescent="0.2"/>
    <row r="40160" ht="9.9499999999999993" hidden="1" customHeight="1" x14ac:dyDescent="0.2"/>
    <row r="40161" ht="9.9499999999999993" hidden="1" customHeight="1" x14ac:dyDescent="0.2"/>
    <row r="40162" ht="9.9499999999999993" hidden="1" customHeight="1" x14ac:dyDescent="0.2"/>
    <row r="40163" ht="9.9499999999999993" hidden="1" customHeight="1" x14ac:dyDescent="0.2"/>
    <row r="40164" ht="9.9499999999999993" hidden="1" customHeight="1" x14ac:dyDescent="0.2"/>
    <row r="40165" ht="9.9499999999999993" hidden="1" customHeight="1" x14ac:dyDescent="0.2"/>
    <row r="40166" ht="9.9499999999999993" hidden="1" customHeight="1" x14ac:dyDescent="0.2"/>
    <row r="40167" ht="9.9499999999999993" hidden="1" customHeight="1" x14ac:dyDescent="0.2"/>
    <row r="40168" ht="9.9499999999999993" hidden="1" customHeight="1" x14ac:dyDescent="0.2"/>
    <row r="40169" ht="9.9499999999999993" hidden="1" customHeight="1" x14ac:dyDescent="0.2"/>
    <row r="40170" ht="9.9499999999999993" hidden="1" customHeight="1" x14ac:dyDescent="0.2"/>
    <row r="40171" ht="9.9499999999999993" hidden="1" customHeight="1" x14ac:dyDescent="0.2"/>
    <row r="40172" ht="9.9499999999999993" hidden="1" customHeight="1" x14ac:dyDescent="0.2"/>
    <row r="40173" ht="9.9499999999999993" hidden="1" customHeight="1" x14ac:dyDescent="0.2"/>
    <row r="40174" ht="9.9499999999999993" hidden="1" customHeight="1" x14ac:dyDescent="0.2"/>
    <row r="40175" ht="9.9499999999999993" hidden="1" customHeight="1" x14ac:dyDescent="0.2"/>
    <row r="40176" ht="9.9499999999999993" hidden="1" customHeight="1" x14ac:dyDescent="0.2"/>
    <row r="40177" ht="9.9499999999999993" hidden="1" customHeight="1" x14ac:dyDescent="0.2"/>
    <row r="40178" ht="9.9499999999999993" hidden="1" customHeight="1" x14ac:dyDescent="0.2"/>
    <row r="40179" ht="9.9499999999999993" hidden="1" customHeight="1" x14ac:dyDescent="0.2"/>
    <row r="40180" ht="9.9499999999999993" hidden="1" customHeight="1" x14ac:dyDescent="0.2"/>
    <row r="40181" ht="9.9499999999999993" hidden="1" customHeight="1" x14ac:dyDescent="0.2"/>
    <row r="40182" ht="9.9499999999999993" hidden="1" customHeight="1" x14ac:dyDescent="0.2"/>
    <row r="40183" ht="9.9499999999999993" hidden="1" customHeight="1" x14ac:dyDescent="0.2"/>
    <row r="40184" ht="9.9499999999999993" hidden="1" customHeight="1" x14ac:dyDescent="0.2"/>
    <row r="40185" ht="9.9499999999999993" hidden="1" customHeight="1" x14ac:dyDescent="0.2"/>
    <row r="40186" ht="9.9499999999999993" hidden="1" customHeight="1" x14ac:dyDescent="0.2"/>
    <row r="40187" ht="9.9499999999999993" hidden="1" customHeight="1" x14ac:dyDescent="0.2"/>
    <row r="40188" ht="9.9499999999999993" hidden="1" customHeight="1" x14ac:dyDescent="0.2"/>
    <row r="40189" ht="9.9499999999999993" hidden="1" customHeight="1" x14ac:dyDescent="0.2"/>
    <row r="40190" ht="9.9499999999999993" hidden="1" customHeight="1" x14ac:dyDescent="0.2"/>
    <row r="40191" ht="9.9499999999999993" hidden="1" customHeight="1" x14ac:dyDescent="0.2"/>
    <row r="40192" ht="9.9499999999999993" hidden="1" customHeight="1" x14ac:dyDescent="0.2"/>
    <row r="40193" ht="9.9499999999999993" hidden="1" customHeight="1" x14ac:dyDescent="0.2"/>
    <row r="40194" ht="9.9499999999999993" hidden="1" customHeight="1" x14ac:dyDescent="0.2"/>
    <row r="40195" ht="9.9499999999999993" hidden="1" customHeight="1" x14ac:dyDescent="0.2"/>
    <row r="40196" ht="9.9499999999999993" hidden="1" customHeight="1" x14ac:dyDescent="0.2"/>
    <row r="40197" ht="9.9499999999999993" hidden="1" customHeight="1" x14ac:dyDescent="0.2"/>
    <row r="40198" ht="9.9499999999999993" hidden="1" customHeight="1" x14ac:dyDescent="0.2"/>
    <row r="40199" ht="9.9499999999999993" hidden="1" customHeight="1" x14ac:dyDescent="0.2"/>
    <row r="40200" ht="9.9499999999999993" hidden="1" customHeight="1" x14ac:dyDescent="0.2"/>
    <row r="40201" ht="9.9499999999999993" hidden="1" customHeight="1" x14ac:dyDescent="0.2"/>
    <row r="40202" ht="9.9499999999999993" hidden="1" customHeight="1" x14ac:dyDescent="0.2"/>
    <row r="40203" ht="9.9499999999999993" hidden="1" customHeight="1" x14ac:dyDescent="0.2"/>
    <row r="40204" ht="9.9499999999999993" hidden="1" customHeight="1" x14ac:dyDescent="0.2"/>
    <row r="40205" ht="9.9499999999999993" hidden="1" customHeight="1" x14ac:dyDescent="0.2"/>
    <row r="40206" ht="9.9499999999999993" hidden="1" customHeight="1" x14ac:dyDescent="0.2"/>
    <row r="40207" ht="9.9499999999999993" hidden="1" customHeight="1" x14ac:dyDescent="0.2"/>
    <row r="40208" ht="9.9499999999999993" hidden="1" customHeight="1" x14ac:dyDescent="0.2"/>
    <row r="40209" ht="9.9499999999999993" hidden="1" customHeight="1" x14ac:dyDescent="0.2"/>
    <row r="40210" ht="9.9499999999999993" hidden="1" customHeight="1" x14ac:dyDescent="0.2"/>
    <row r="40211" ht="9.9499999999999993" hidden="1" customHeight="1" x14ac:dyDescent="0.2"/>
    <row r="40212" ht="9.9499999999999993" hidden="1" customHeight="1" x14ac:dyDescent="0.2"/>
    <row r="40213" ht="9.9499999999999993" hidden="1" customHeight="1" x14ac:dyDescent="0.2"/>
    <row r="40214" ht="9.9499999999999993" hidden="1" customHeight="1" x14ac:dyDescent="0.2"/>
    <row r="40215" ht="9.9499999999999993" hidden="1" customHeight="1" x14ac:dyDescent="0.2"/>
    <row r="40216" ht="9.9499999999999993" hidden="1" customHeight="1" x14ac:dyDescent="0.2"/>
    <row r="40217" ht="9.9499999999999993" hidden="1" customHeight="1" x14ac:dyDescent="0.2"/>
    <row r="40218" ht="9.9499999999999993" hidden="1" customHeight="1" x14ac:dyDescent="0.2"/>
    <row r="40219" ht="9.9499999999999993" hidden="1" customHeight="1" x14ac:dyDescent="0.2"/>
    <row r="40220" ht="9.9499999999999993" hidden="1" customHeight="1" x14ac:dyDescent="0.2"/>
    <row r="40221" ht="9.9499999999999993" hidden="1" customHeight="1" x14ac:dyDescent="0.2"/>
    <row r="40222" ht="9.9499999999999993" hidden="1" customHeight="1" x14ac:dyDescent="0.2"/>
    <row r="40223" ht="9.9499999999999993" hidden="1" customHeight="1" x14ac:dyDescent="0.2"/>
    <row r="40224" ht="9.9499999999999993" hidden="1" customHeight="1" x14ac:dyDescent="0.2"/>
    <row r="40225" ht="9.9499999999999993" hidden="1" customHeight="1" x14ac:dyDescent="0.2"/>
    <row r="40226" ht="9.9499999999999993" hidden="1" customHeight="1" x14ac:dyDescent="0.2"/>
    <row r="40227" ht="9.9499999999999993" hidden="1" customHeight="1" x14ac:dyDescent="0.2"/>
    <row r="40228" ht="9.9499999999999993" hidden="1" customHeight="1" x14ac:dyDescent="0.2"/>
    <row r="40229" ht="9.9499999999999993" hidden="1" customHeight="1" x14ac:dyDescent="0.2"/>
    <row r="40230" ht="9.9499999999999993" hidden="1" customHeight="1" x14ac:dyDescent="0.2"/>
    <row r="40231" ht="9.9499999999999993" hidden="1" customHeight="1" x14ac:dyDescent="0.2"/>
    <row r="40232" ht="9.9499999999999993" hidden="1" customHeight="1" x14ac:dyDescent="0.2"/>
    <row r="40233" ht="9.9499999999999993" hidden="1" customHeight="1" x14ac:dyDescent="0.2"/>
    <row r="40234" ht="9.9499999999999993" hidden="1" customHeight="1" x14ac:dyDescent="0.2"/>
    <row r="40235" ht="9.9499999999999993" hidden="1" customHeight="1" x14ac:dyDescent="0.2"/>
    <row r="40236" ht="9.9499999999999993" hidden="1" customHeight="1" x14ac:dyDescent="0.2"/>
    <row r="40237" ht="9.9499999999999993" hidden="1" customHeight="1" x14ac:dyDescent="0.2"/>
    <row r="40238" ht="9.9499999999999993" hidden="1" customHeight="1" x14ac:dyDescent="0.2"/>
    <row r="40239" ht="9.9499999999999993" hidden="1" customHeight="1" x14ac:dyDescent="0.2"/>
    <row r="40240" ht="9.9499999999999993" hidden="1" customHeight="1" x14ac:dyDescent="0.2"/>
    <row r="40241" ht="9.9499999999999993" hidden="1" customHeight="1" x14ac:dyDescent="0.2"/>
    <row r="40242" ht="9.9499999999999993" hidden="1" customHeight="1" x14ac:dyDescent="0.2"/>
    <row r="40243" ht="9.9499999999999993" hidden="1" customHeight="1" x14ac:dyDescent="0.2"/>
    <row r="40244" ht="9.9499999999999993" hidden="1" customHeight="1" x14ac:dyDescent="0.2"/>
    <row r="40245" ht="9.9499999999999993" hidden="1" customHeight="1" x14ac:dyDescent="0.2"/>
    <row r="40246" ht="9.9499999999999993" hidden="1" customHeight="1" x14ac:dyDescent="0.2"/>
    <row r="40247" ht="9.9499999999999993" hidden="1" customHeight="1" x14ac:dyDescent="0.2"/>
    <row r="40248" ht="9.9499999999999993" hidden="1" customHeight="1" x14ac:dyDescent="0.2"/>
    <row r="40249" ht="9.9499999999999993" hidden="1" customHeight="1" x14ac:dyDescent="0.2"/>
    <row r="40250" ht="9.9499999999999993" hidden="1" customHeight="1" x14ac:dyDescent="0.2"/>
    <row r="40251" ht="9.9499999999999993" hidden="1" customHeight="1" x14ac:dyDescent="0.2"/>
    <row r="40252" ht="9.9499999999999993" hidden="1" customHeight="1" x14ac:dyDescent="0.2"/>
    <row r="40253" ht="9.9499999999999993" hidden="1" customHeight="1" x14ac:dyDescent="0.2"/>
    <row r="40254" ht="9.9499999999999993" hidden="1" customHeight="1" x14ac:dyDescent="0.2"/>
    <row r="40255" ht="9.9499999999999993" hidden="1" customHeight="1" x14ac:dyDescent="0.2"/>
    <row r="40256" ht="9.9499999999999993" hidden="1" customHeight="1" x14ac:dyDescent="0.2"/>
    <row r="40257" ht="9.9499999999999993" hidden="1" customHeight="1" x14ac:dyDescent="0.2"/>
    <row r="40258" ht="9.9499999999999993" hidden="1" customHeight="1" x14ac:dyDescent="0.2"/>
    <row r="40259" ht="9.9499999999999993" hidden="1" customHeight="1" x14ac:dyDescent="0.2"/>
    <row r="40260" ht="9.9499999999999993" hidden="1" customHeight="1" x14ac:dyDescent="0.2"/>
    <row r="40261" ht="9.9499999999999993" hidden="1" customHeight="1" x14ac:dyDescent="0.2"/>
    <row r="40262" ht="9.9499999999999993" hidden="1" customHeight="1" x14ac:dyDescent="0.2"/>
    <row r="40263" ht="9.9499999999999993" hidden="1" customHeight="1" x14ac:dyDescent="0.2"/>
    <row r="40264" ht="9.9499999999999993" hidden="1" customHeight="1" x14ac:dyDescent="0.2"/>
    <row r="40265" ht="9.9499999999999993" hidden="1" customHeight="1" x14ac:dyDescent="0.2"/>
    <row r="40266" ht="9.9499999999999993" hidden="1" customHeight="1" x14ac:dyDescent="0.2"/>
    <row r="40267" ht="9.9499999999999993" hidden="1" customHeight="1" x14ac:dyDescent="0.2"/>
    <row r="40268" ht="9.9499999999999993" hidden="1" customHeight="1" x14ac:dyDescent="0.2"/>
    <row r="40269" ht="9.9499999999999993" hidden="1" customHeight="1" x14ac:dyDescent="0.2"/>
    <row r="40270" ht="9.9499999999999993" hidden="1" customHeight="1" x14ac:dyDescent="0.2"/>
    <row r="40271" ht="9.9499999999999993" hidden="1" customHeight="1" x14ac:dyDescent="0.2"/>
    <row r="40272" ht="9.9499999999999993" hidden="1" customHeight="1" x14ac:dyDescent="0.2"/>
    <row r="40273" ht="9.9499999999999993" hidden="1" customHeight="1" x14ac:dyDescent="0.2"/>
    <row r="40274" ht="9.9499999999999993" hidden="1" customHeight="1" x14ac:dyDescent="0.2"/>
    <row r="40275" ht="9.9499999999999993" hidden="1" customHeight="1" x14ac:dyDescent="0.2"/>
    <row r="40276" ht="9.9499999999999993" hidden="1" customHeight="1" x14ac:dyDescent="0.2"/>
    <row r="40277" ht="9.9499999999999993" hidden="1" customHeight="1" x14ac:dyDescent="0.2"/>
    <row r="40278" ht="9.9499999999999993" hidden="1" customHeight="1" x14ac:dyDescent="0.2"/>
    <row r="40279" ht="9.9499999999999993" hidden="1" customHeight="1" x14ac:dyDescent="0.2"/>
    <row r="40280" ht="9.9499999999999993" hidden="1" customHeight="1" x14ac:dyDescent="0.2"/>
    <row r="40281" ht="9.9499999999999993" hidden="1" customHeight="1" x14ac:dyDescent="0.2"/>
    <row r="40282" ht="9.9499999999999993" hidden="1" customHeight="1" x14ac:dyDescent="0.2"/>
    <row r="40283" ht="9.9499999999999993" hidden="1" customHeight="1" x14ac:dyDescent="0.2"/>
    <row r="40284" ht="9.9499999999999993" hidden="1" customHeight="1" x14ac:dyDescent="0.2"/>
    <row r="40285" ht="9.9499999999999993" hidden="1" customHeight="1" x14ac:dyDescent="0.2"/>
    <row r="40286" ht="9.9499999999999993" hidden="1" customHeight="1" x14ac:dyDescent="0.2"/>
    <row r="40287" ht="9.9499999999999993" hidden="1" customHeight="1" x14ac:dyDescent="0.2"/>
    <row r="40288" ht="9.9499999999999993" hidden="1" customHeight="1" x14ac:dyDescent="0.2"/>
    <row r="40289" ht="9.9499999999999993" hidden="1" customHeight="1" x14ac:dyDescent="0.2"/>
    <row r="40290" ht="9.9499999999999993" hidden="1" customHeight="1" x14ac:dyDescent="0.2"/>
    <row r="40291" ht="9.9499999999999993" hidden="1" customHeight="1" x14ac:dyDescent="0.2"/>
    <row r="40292" ht="9.9499999999999993" hidden="1" customHeight="1" x14ac:dyDescent="0.2"/>
    <row r="40293" ht="9.9499999999999993" hidden="1" customHeight="1" x14ac:dyDescent="0.2"/>
    <row r="40294" ht="9.9499999999999993" hidden="1" customHeight="1" x14ac:dyDescent="0.2"/>
    <row r="40295" ht="9.9499999999999993" hidden="1" customHeight="1" x14ac:dyDescent="0.2"/>
    <row r="40296" ht="9.9499999999999993" hidden="1" customHeight="1" x14ac:dyDescent="0.2"/>
    <row r="40297" ht="9.9499999999999993" hidden="1" customHeight="1" x14ac:dyDescent="0.2"/>
    <row r="40298" ht="9.9499999999999993" hidden="1" customHeight="1" x14ac:dyDescent="0.2"/>
    <row r="40299" ht="9.9499999999999993" hidden="1" customHeight="1" x14ac:dyDescent="0.2"/>
    <row r="40300" ht="9.9499999999999993" hidden="1" customHeight="1" x14ac:dyDescent="0.2"/>
    <row r="40301" ht="9.9499999999999993" hidden="1" customHeight="1" x14ac:dyDescent="0.2"/>
    <row r="40302" ht="9.9499999999999993" hidden="1" customHeight="1" x14ac:dyDescent="0.2"/>
    <row r="40303" ht="9.9499999999999993" hidden="1" customHeight="1" x14ac:dyDescent="0.2"/>
    <row r="40304" ht="9.9499999999999993" hidden="1" customHeight="1" x14ac:dyDescent="0.2"/>
    <row r="40305" ht="9.9499999999999993" hidden="1" customHeight="1" x14ac:dyDescent="0.2"/>
    <row r="40306" ht="9.9499999999999993" hidden="1" customHeight="1" x14ac:dyDescent="0.2"/>
    <row r="40307" ht="9.9499999999999993" hidden="1" customHeight="1" x14ac:dyDescent="0.2"/>
    <row r="40308" ht="9.9499999999999993" hidden="1" customHeight="1" x14ac:dyDescent="0.2"/>
    <row r="40309" ht="9.9499999999999993" hidden="1" customHeight="1" x14ac:dyDescent="0.2"/>
    <row r="40310" ht="9.9499999999999993" hidden="1" customHeight="1" x14ac:dyDescent="0.2"/>
    <row r="40311" ht="9.9499999999999993" hidden="1" customHeight="1" x14ac:dyDescent="0.2"/>
    <row r="40312" ht="9.9499999999999993" hidden="1" customHeight="1" x14ac:dyDescent="0.2"/>
    <row r="40313" ht="9.9499999999999993" hidden="1" customHeight="1" x14ac:dyDescent="0.2"/>
    <row r="40314" ht="9.9499999999999993" hidden="1" customHeight="1" x14ac:dyDescent="0.2"/>
    <row r="40315" ht="9.9499999999999993" hidden="1" customHeight="1" x14ac:dyDescent="0.2"/>
    <row r="40316" ht="9.9499999999999993" hidden="1" customHeight="1" x14ac:dyDescent="0.2"/>
    <row r="40317" ht="9.9499999999999993" hidden="1" customHeight="1" x14ac:dyDescent="0.2"/>
    <row r="40318" ht="9.9499999999999993" hidden="1" customHeight="1" x14ac:dyDescent="0.2"/>
    <row r="40319" ht="9.9499999999999993" hidden="1" customHeight="1" x14ac:dyDescent="0.2"/>
    <row r="40320" ht="9.9499999999999993" hidden="1" customHeight="1" x14ac:dyDescent="0.2"/>
    <row r="40321" ht="9.9499999999999993" hidden="1" customHeight="1" x14ac:dyDescent="0.2"/>
    <row r="40322" ht="9.9499999999999993" hidden="1" customHeight="1" x14ac:dyDescent="0.2"/>
    <row r="40323" ht="9.9499999999999993" hidden="1" customHeight="1" x14ac:dyDescent="0.2"/>
    <row r="40324" ht="9.9499999999999993" hidden="1" customHeight="1" x14ac:dyDescent="0.2"/>
    <row r="40325" ht="9.9499999999999993" hidden="1" customHeight="1" x14ac:dyDescent="0.2"/>
    <row r="40326" ht="9.9499999999999993" hidden="1" customHeight="1" x14ac:dyDescent="0.2"/>
    <row r="40327" ht="9.9499999999999993" hidden="1" customHeight="1" x14ac:dyDescent="0.2"/>
    <row r="40328" ht="9.9499999999999993" hidden="1" customHeight="1" x14ac:dyDescent="0.2"/>
    <row r="40329" ht="9.9499999999999993" hidden="1" customHeight="1" x14ac:dyDescent="0.2"/>
    <row r="40330" ht="9.9499999999999993" hidden="1" customHeight="1" x14ac:dyDescent="0.2"/>
    <row r="40331" ht="9.9499999999999993" hidden="1" customHeight="1" x14ac:dyDescent="0.2"/>
    <row r="40332" ht="9.9499999999999993" hidden="1" customHeight="1" x14ac:dyDescent="0.2"/>
    <row r="40333" ht="9.9499999999999993" hidden="1" customHeight="1" x14ac:dyDescent="0.2"/>
    <row r="40334" ht="9.9499999999999993" hidden="1" customHeight="1" x14ac:dyDescent="0.2"/>
    <row r="40335" ht="9.9499999999999993" hidden="1" customHeight="1" x14ac:dyDescent="0.2"/>
    <row r="40336" ht="9.9499999999999993" hidden="1" customHeight="1" x14ac:dyDescent="0.2"/>
    <row r="40337" ht="9.9499999999999993" hidden="1" customHeight="1" x14ac:dyDescent="0.2"/>
    <row r="40338" ht="9.9499999999999993" hidden="1" customHeight="1" x14ac:dyDescent="0.2"/>
    <row r="40339" ht="9.9499999999999993" hidden="1" customHeight="1" x14ac:dyDescent="0.2"/>
    <row r="40340" ht="9.9499999999999993" hidden="1" customHeight="1" x14ac:dyDescent="0.2"/>
    <row r="40341" ht="9.9499999999999993" hidden="1" customHeight="1" x14ac:dyDescent="0.2"/>
    <row r="40342" ht="9.9499999999999993" hidden="1" customHeight="1" x14ac:dyDescent="0.2"/>
    <row r="40343" ht="9.9499999999999993" hidden="1" customHeight="1" x14ac:dyDescent="0.2"/>
    <row r="40344" ht="9.9499999999999993" hidden="1" customHeight="1" x14ac:dyDescent="0.2"/>
    <row r="40345" ht="9.9499999999999993" hidden="1" customHeight="1" x14ac:dyDescent="0.2"/>
    <row r="40346" ht="9.9499999999999993" hidden="1" customHeight="1" x14ac:dyDescent="0.2"/>
    <row r="40347" ht="9.9499999999999993" hidden="1" customHeight="1" x14ac:dyDescent="0.2"/>
    <row r="40348" ht="9.9499999999999993" hidden="1" customHeight="1" x14ac:dyDescent="0.2"/>
    <row r="40349" ht="9.9499999999999993" hidden="1" customHeight="1" x14ac:dyDescent="0.2"/>
    <row r="40350" ht="9.9499999999999993" hidden="1" customHeight="1" x14ac:dyDescent="0.2"/>
    <row r="40351" ht="9.9499999999999993" hidden="1" customHeight="1" x14ac:dyDescent="0.2"/>
    <row r="40352" ht="9.9499999999999993" hidden="1" customHeight="1" x14ac:dyDescent="0.2"/>
    <row r="40353" ht="9.9499999999999993" hidden="1" customHeight="1" x14ac:dyDescent="0.2"/>
    <row r="40354" ht="9.9499999999999993" hidden="1" customHeight="1" x14ac:dyDescent="0.2"/>
    <row r="40355" ht="9.9499999999999993" hidden="1" customHeight="1" x14ac:dyDescent="0.2"/>
    <row r="40356" ht="9.9499999999999993" hidden="1" customHeight="1" x14ac:dyDescent="0.2"/>
    <row r="40357" ht="9.9499999999999993" hidden="1" customHeight="1" x14ac:dyDescent="0.2"/>
    <row r="40358" ht="9.9499999999999993" hidden="1" customHeight="1" x14ac:dyDescent="0.2"/>
    <row r="40359" ht="9.9499999999999993" hidden="1" customHeight="1" x14ac:dyDescent="0.2"/>
    <row r="40360" ht="9.9499999999999993" hidden="1" customHeight="1" x14ac:dyDescent="0.2"/>
    <row r="40361" ht="9.9499999999999993" hidden="1" customHeight="1" x14ac:dyDescent="0.2"/>
    <row r="40362" ht="9.9499999999999993" hidden="1" customHeight="1" x14ac:dyDescent="0.2"/>
    <row r="40363" ht="9.9499999999999993" hidden="1" customHeight="1" x14ac:dyDescent="0.2"/>
    <row r="40364" ht="9.9499999999999993" hidden="1" customHeight="1" x14ac:dyDescent="0.2"/>
    <row r="40365" ht="9.9499999999999993" hidden="1" customHeight="1" x14ac:dyDescent="0.2"/>
    <row r="40366" ht="9.9499999999999993" hidden="1" customHeight="1" x14ac:dyDescent="0.2"/>
    <row r="40367" ht="9.9499999999999993" hidden="1" customHeight="1" x14ac:dyDescent="0.2"/>
    <row r="40368" ht="9.9499999999999993" hidden="1" customHeight="1" x14ac:dyDescent="0.2"/>
    <row r="40369" ht="9.9499999999999993" hidden="1" customHeight="1" x14ac:dyDescent="0.2"/>
    <row r="40370" ht="9.9499999999999993" hidden="1" customHeight="1" x14ac:dyDescent="0.2"/>
    <row r="40371" ht="9.9499999999999993" hidden="1" customHeight="1" x14ac:dyDescent="0.2"/>
    <row r="40372" ht="9.9499999999999993" hidden="1" customHeight="1" x14ac:dyDescent="0.2"/>
    <row r="40373" ht="9.9499999999999993" hidden="1" customHeight="1" x14ac:dyDescent="0.2"/>
    <row r="40374" ht="9.9499999999999993" hidden="1" customHeight="1" x14ac:dyDescent="0.2"/>
    <row r="40375" ht="9.9499999999999993" hidden="1" customHeight="1" x14ac:dyDescent="0.2"/>
    <row r="40376" ht="9.9499999999999993" hidden="1" customHeight="1" x14ac:dyDescent="0.2"/>
    <row r="40377" ht="9.9499999999999993" hidden="1" customHeight="1" x14ac:dyDescent="0.2"/>
    <row r="40378" ht="9.9499999999999993" hidden="1" customHeight="1" x14ac:dyDescent="0.2"/>
    <row r="40379" ht="9.9499999999999993" hidden="1" customHeight="1" x14ac:dyDescent="0.2"/>
    <row r="40380" ht="9.9499999999999993" hidden="1" customHeight="1" x14ac:dyDescent="0.2"/>
    <row r="40381" ht="9.9499999999999993" hidden="1" customHeight="1" x14ac:dyDescent="0.2"/>
    <row r="40382" ht="9.9499999999999993" hidden="1" customHeight="1" x14ac:dyDescent="0.2"/>
    <row r="40383" ht="9.9499999999999993" hidden="1" customHeight="1" x14ac:dyDescent="0.2"/>
    <row r="40384" ht="9.9499999999999993" hidden="1" customHeight="1" x14ac:dyDescent="0.2"/>
    <row r="40385" ht="9.9499999999999993" hidden="1" customHeight="1" x14ac:dyDescent="0.2"/>
    <row r="40386" ht="9.9499999999999993" hidden="1" customHeight="1" x14ac:dyDescent="0.2"/>
    <row r="40387" ht="9.9499999999999993" hidden="1" customHeight="1" x14ac:dyDescent="0.2"/>
    <row r="40388" ht="9.9499999999999993" hidden="1" customHeight="1" x14ac:dyDescent="0.2"/>
    <row r="40389" ht="9.9499999999999993" hidden="1" customHeight="1" x14ac:dyDescent="0.2"/>
    <row r="40390" ht="9.9499999999999993" hidden="1" customHeight="1" x14ac:dyDescent="0.2"/>
    <row r="40391" ht="9.9499999999999993" hidden="1" customHeight="1" x14ac:dyDescent="0.2"/>
    <row r="40392" ht="9.9499999999999993" hidden="1" customHeight="1" x14ac:dyDescent="0.2"/>
    <row r="40393" ht="9.9499999999999993" hidden="1" customHeight="1" x14ac:dyDescent="0.2"/>
    <row r="40394" ht="9.9499999999999993" hidden="1" customHeight="1" x14ac:dyDescent="0.2"/>
    <row r="40395" ht="9.9499999999999993" hidden="1" customHeight="1" x14ac:dyDescent="0.2"/>
    <row r="40396" ht="9.9499999999999993" hidden="1" customHeight="1" x14ac:dyDescent="0.2"/>
    <row r="40397" ht="9.9499999999999993" hidden="1" customHeight="1" x14ac:dyDescent="0.2"/>
    <row r="40398" ht="9.9499999999999993" hidden="1" customHeight="1" x14ac:dyDescent="0.2"/>
    <row r="40399" ht="9.9499999999999993" hidden="1" customHeight="1" x14ac:dyDescent="0.2"/>
    <row r="40400" ht="9.9499999999999993" hidden="1" customHeight="1" x14ac:dyDescent="0.2"/>
    <row r="40401" ht="9.9499999999999993" hidden="1" customHeight="1" x14ac:dyDescent="0.2"/>
    <row r="40402" ht="9.9499999999999993" hidden="1" customHeight="1" x14ac:dyDescent="0.2"/>
    <row r="40403" ht="9.9499999999999993" hidden="1" customHeight="1" x14ac:dyDescent="0.2"/>
    <row r="40404" ht="9.9499999999999993" hidden="1" customHeight="1" x14ac:dyDescent="0.2"/>
    <row r="40405" ht="9.9499999999999993" hidden="1" customHeight="1" x14ac:dyDescent="0.2"/>
    <row r="40406" ht="9.9499999999999993" hidden="1" customHeight="1" x14ac:dyDescent="0.2"/>
    <row r="40407" ht="9.9499999999999993" hidden="1" customHeight="1" x14ac:dyDescent="0.2"/>
    <row r="40408" ht="9.9499999999999993" hidden="1" customHeight="1" x14ac:dyDescent="0.2"/>
    <row r="40409" ht="9.9499999999999993" hidden="1" customHeight="1" x14ac:dyDescent="0.2"/>
    <row r="40410" ht="9.9499999999999993" hidden="1" customHeight="1" x14ac:dyDescent="0.2"/>
    <row r="40411" ht="9.9499999999999993" hidden="1" customHeight="1" x14ac:dyDescent="0.2"/>
    <row r="40412" ht="9.9499999999999993" hidden="1" customHeight="1" x14ac:dyDescent="0.2"/>
    <row r="40413" ht="9.9499999999999993" hidden="1" customHeight="1" x14ac:dyDescent="0.2"/>
    <row r="40414" ht="9.9499999999999993" hidden="1" customHeight="1" x14ac:dyDescent="0.2"/>
    <row r="40415" ht="9.9499999999999993" hidden="1" customHeight="1" x14ac:dyDescent="0.2"/>
    <row r="40416" ht="9.9499999999999993" hidden="1" customHeight="1" x14ac:dyDescent="0.2"/>
    <row r="40417" ht="9.9499999999999993" hidden="1" customHeight="1" x14ac:dyDescent="0.2"/>
    <row r="40418" ht="9.9499999999999993" hidden="1" customHeight="1" x14ac:dyDescent="0.2"/>
    <row r="40419" ht="9.9499999999999993" hidden="1" customHeight="1" x14ac:dyDescent="0.2"/>
    <row r="40420" ht="9.9499999999999993" hidden="1" customHeight="1" x14ac:dyDescent="0.2"/>
    <row r="40421" ht="9.9499999999999993" hidden="1" customHeight="1" x14ac:dyDescent="0.2"/>
    <row r="40422" ht="9.9499999999999993" hidden="1" customHeight="1" x14ac:dyDescent="0.2"/>
    <row r="40423" ht="9.9499999999999993" hidden="1" customHeight="1" x14ac:dyDescent="0.2"/>
    <row r="40424" ht="9.9499999999999993" hidden="1" customHeight="1" x14ac:dyDescent="0.2"/>
    <row r="40425" ht="9.9499999999999993" hidden="1" customHeight="1" x14ac:dyDescent="0.2"/>
    <row r="40426" ht="9.9499999999999993" hidden="1" customHeight="1" x14ac:dyDescent="0.2"/>
    <row r="40427" ht="9.9499999999999993" hidden="1" customHeight="1" x14ac:dyDescent="0.2"/>
    <row r="40428" ht="9.9499999999999993" hidden="1" customHeight="1" x14ac:dyDescent="0.2"/>
    <row r="40429" ht="9.9499999999999993" hidden="1" customHeight="1" x14ac:dyDescent="0.2"/>
    <row r="40430" ht="9.9499999999999993" hidden="1" customHeight="1" x14ac:dyDescent="0.2"/>
    <row r="40431" ht="9.9499999999999993" hidden="1" customHeight="1" x14ac:dyDescent="0.2"/>
    <row r="40432" ht="9.9499999999999993" hidden="1" customHeight="1" x14ac:dyDescent="0.2"/>
    <row r="40433" ht="9.9499999999999993" hidden="1" customHeight="1" x14ac:dyDescent="0.2"/>
    <row r="40434" ht="9.9499999999999993" hidden="1" customHeight="1" x14ac:dyDescent="0.2"/>
    <row r="40435" ht="9.9499999999999993" hidden="1" customHeight="1" x14ac:dyDescent="0.2"/>
    <row r="40436" ht="9.9499999999999993" hidden="1" customHeight="1" x14ac:dyDescent="0.2"/>
    <row r="40437" ht="9.9499999999999993" hidden="1" customHeight="1" x14ac:dyDescent="0.2"/>
    <row r="40438" ht="9.9499999999999993" hidden="1" customHeight="1" x14ac:dyDescent="0.2"/>
    <row r="40439" ht="9.9499999999999993" hidden="1" customHeight="1" x14ac:dyDescent="0.2"/>
    <row r="40440" ht="9.9499999999999993" hidden="1" customHeight="1" x14ac:dyDescent="0.2"/>
    <row r="40441" ht="9.9499999999999993" hidden="1" customHeight="1" x14ac:dyDescent="0.2"/>
    <row r="40442" ht="9.9499999999999993" hidden="1" customHeight="1" x14ac:dyDescent="0.2"/>
    <row r="40443" ht="9.9499999999999993" hidden="1" customHeight="1" x14ac:dyDescent="0.2"/>
    <row r="40444" ht="9.9499999999999993" hidden="1" customHeight="1" x14ac:dyDescent="0.2"/>
    <row r="40445" ht="9.9499999999999993" hidden="1" customHeight="1" x14ac:dyDescent="0.2"/>
    <row r="40446" ht="9.9499999999999993" hidden="1" customHeight="1" x14ac:dyDescent="0.2"/>
    <row r="40447" ht="9.9499999999999993" hidden="1" customHeight="1" x14ac:dyDescent="0.2"/>
    <row r="40448" ht="9.9499999999999993" hidden="1" customHeight="1" x14ac:dyDescent="0.2"/>
    <row r="40449" ht="9.9499999999999993" hidden="1" customHeight="1" x14ac:dyDescent="0.2"/>
    <row r="40450" ht="9.9499999999999993" hidden="1" customHeight="1" x14ac:dyDescent="0.2"/>
    <row r="40451" ht="9.9499999999999993" hidden="1" customHeight="1" x14ac:dyDescent="0.2"/>
    <row r="40452" ht="9.9499999999999993" hidden="1" customHeight="1" x14ac:dyDescent="0.2"/>
    <row r="40453" ht="9.9499999999999993" hidden="1" customHeight="1" x14ac:dyDescent="0.2"/>
    <row r="40454" ht="9.9499999999999993" hidden="1" customHeight="1" x14ac:dyDescent="0.2"/>
    <row r="40455" ht="9.9499999999999993" hidden="1" customHeight="1" x14ac:dyDescent="0.2"/>
    <row r="40456" ht="9.9499999999999993" hidden="1" customHeight="1" x14ac:dyDescent="0.2"/>
    <row r="40457" ht="9.9499999999999993" hidden="1" customHeight="1" x14ac:dyDescent="0.2"/>
    <row r="40458" ht="9.9499999999999993" hidden="1" customHeight="1" x14ac:dyDescent="0.2"/>
    <row r="40459" ht="9.9499999999999993" hidden="1" customHeight="1" x14ac:dyDescent="0.2"/>
    <row r="40460" ht="9.9499999999999993" hidden="1" customHeight="1" x14ac:dyDescent="0.2"/>
    <row r="40461" ht="9.9499999999999993" hidden="1" customHeight="1" x14ac:dyDescent="0.2"/>
    <row r="40462" ht="9.9499999999999993" hidden="1" customHeight="1" x14ac:dyDescent="0.2"/>
    <row r="40463" ht="9.9499999999999993" hidden="1" customHeight="1" x14ac:dyDescent="0.2"/>
    <row r="40464" ht="9.9499999999999993" hidden="1" customHeight="1" x14ac:dyDescent="0.2"/>
    <row r="40465" ht="9.9499999999999993" hidden="1" customHeight="1" x14ac:dyDescent="0.2"/>
    <row r="40466" ht="9.9499999999999993" hidden="1" customHeight="1" x14ac:dyDescent="0.2"/>
    <row r="40467" ht="9.9499999999999993" hidden="1" customHeight="1" x14ac:dyDescent="0.2"/>
    <row r="40468" ht="9.9499999999999993" hidden="1" customHeight="1" x14ac:dyDescent="0.2"/>
    <row r="40469" ht="9.9499999999999993" hidden="1" customHeight="1" x14ac:dyDescent="0.2"/>
    <row r="40470" ht="9.9499999999999993" hidden="1" customHeight="1" x14ac:dyDescent="0.2"/>
    <row r="40471" ht="9.9499999999999993" hidden="1" customHeight="1" x14ac:dyDescent="0.2"/>
    <row r="40472" ht="9.9499999999999993" hidden="1" customHeight="1" x14ac:dyDescent="0.2"/>
    <row r="40473" ht="9.9499999999999993" hidden="1" customHeight="1" x14ac:dyDescent="0.2"/>
    <row r="40474" ht="9.9499999999999993" hidden="1" customHeight="1" x14ac:dyDescent="0.2"/>
    <row r="40475" ht="9.9499999999999993" hidden="1" customHeight="1" x14ac:dyDescent="0.2"/>
    <row r="40476" ht="9.9499999999999993" hidden="1" customHeight="1" x14ac:dyDescent="0.2"/>
    <row r="40477" ht="9.9499999999999993" hidden="1" customHeight="1" x14ac:dyDescent="0.2"/>
    <row r="40478" ht="9.9499999999999993" hidden="1" customHeight="1" x14ac:dyDescent="0.2"/>
    <row r="40479" ht="9.9499999999999993" hidden="1" customHeight="1" x14ac:dyDescent="0.2"/>
    <row r="40480" ht="9.9499999999999993" hidden="1" customHeight="1" x14ac:dyDescent="0.2"/>
    <row r="40481" ht="9.9499999999999993" hidden="1" customHeight="1" x14ac:dyDescent="0.2"/>
    <row r="40482" ht="9.9499999999999993" hidden="1" customHeight="1" x14ac:dyDescent="0.2"/>
    <row r="40483" ht="9.9499999999999993" hidden="1" customHeight="1" x14ac:dyDescent="0.2"/>
    <row r="40484" ht="9.9499999999999993" hidden="1" customHeight="1" x14ac:dyDescent="0.2"/>
    <row r="40485" ht="9.9499999999999993" hidden="1" customHeight="1" x14ac:dyDescent="0.2"/>
    <row r="40486" ht="9.9499999999999993" hidden="1" customHeight="1" x14ac:dyDescent="0.2"/>
    <row r="40487" ht="9.9499999999999993" hidden="1" customHeight="1" x14ac:dyDescent="0.2"/>
    <row r="40488" ht="9.9499999999999993" hidden="1" customHeight="1" x14ac:dyDescent="0.2"/>
    <row r="40489" ht="9.9499999999999993" hidden="1" customHeight="1" x14ac:dyDescent="0.2"/>
    <row r="40490" ht="9.9499999999999993" hidden="1" customHeight="1" x14ac:dyDescent="0.2"/>
    <row r="40491" ht="9.9499999999999993" hidden="1" customHeight="1" x14ac:dyDescent="0.2"/>
    <row r="40492" ht="9.9499999999999993" hidden="1" customHeight="1" x14ac:dyDescent="0.2"/>
    <row r="40493" ht="9.9499999999999993" hidden="1" customHeight="1" x14ac:dyDescent="0.2"/>
    <row r="40494" ht="9.9499999999999993" hidden="1" customHeight="1" x14ac:dyDescent="0.2"/>
    <row r="40495" ht="9.9499999999999993" hidden="1" customHeight="1" x14ac:dyDescent="0.2"/>
    <row r="40496" ht="9.9499999999999993" hidden="1" customHeight="1" x14ac:dyDescent="0.2"/>
    <row r="40497" ht="9.9499999999999993" hidden="1" customHeight="1" x14ac:dyDescent="0.2"/>
    <row r="40498" ht="9.9499999999999993" hidden="1" customHeight="1" x14ac:dyDescent="0.2"/>
    <row r="40499" ht="9.9499999999999993" hidden="1" customHeight="1" x14ac:dyDescent="0.2"/>
    <row r="40500" ht="9.9499999999999993" hidden="1" customHeight="1" x14ac:dyDescent="0.2"/>
    <row r="40501" ht="9.9499999999999993" hidden="1" customHeight="1" x14ac:dyDescent="0.2"/>
    <row r="40502" ht="9.9499999999999993" hidden="1" customHeight="1" x14ac:dyDescent="0.2"/>
    <row r="40503" ht="9.9499999999999993" hidden="1" customHeight="1" x14ac:dyDescent="0.2"/>
    <row r="40504" ht="9.9499999999999993" hidden="1" customHeight="1" x14ac:dyDescent="0.2"/>
    <row r="40505" ht="9.9499999999999993" hidden="1" customHeight="1" x14ac:dyDescent="0.2"/>
    <row r="40506" ht="9.9499999999999993" hidden="1" customHeight="1" x14ac:dyDescent="0.2"/>
    <row r="40507" ht="9.9499999999999993" hidden="1" customHeight="1" x14ac:dyDescent="0.2"/>
    <row r="40508" ht="9.9499999999999993" hidden="1" customHeight="1" x14ac:dyDescent="0.2"/>
    <row r="40509" ht="9.9499999999999993" hidden="1" customHeight="1" x14ac:dyDescent="0.2"/>
    <row r="40510" ht="9.9499999999999993" hidden="1" customHeight="1" x14ac:dyDescent="0.2"/>
    <row r="40511" ht="9.9499999999999993" hidden="1" customHeight="1" x14ac:dyDescent="0.2"/>
    <row r="40512" ht="9.9499999999999993" hidden="1" customHeight="1" x14ac:dyDescent="0.2"/>
    <row r="40513" ht="9.9499999999999993" hidden="1" customHeight="1" x14ac:dyDescent="0.2"/>
    <row r="40514" ht="9.9499999999999993" hidden="1" customHeight="1" x14ac:dyDescent="0.2"/>
    <row r="40515" ht="9.9499999999999993" hidden="1" customHeight="1" x14ac:dyDescent="0.2"/>
    <row r="40516" ht="9.9499999999999993" hidden="1" customHeight="1" x14ac:dyDescent="0.2"/>
    <row r="40517" ht="9.9499999999999993" hidden="1" customHeight="1" x14ac:dyDescent="0.2"/>
    <row r="40518" ht="9.9499999999999993" hidden="1" customHeight="1" x14ac:dyDescent="0.2"/>
    <row r="40519" ht="9.9499999999999993" hidden="1" customHeight="1" x14ac:dyDescent="0.2"/>
    <row r="40520" ht="9.9499999999999993" hidden="1" customHeight="1" x14ac:dyDescent="0.2"/>
    <row r="40521" ht="9.9499999999999993" hidden="1" customHeight="1" x14ac:dyDescent="0.2"/>
    <row r="40522" ht="9.9499999999999993" hidden="1" customHeight="1" x14ac:dyDescent="0.2"/>
    <row r="40523" ht="9.9499999999999993" hidden="1" customHeight="1" x14ac:dyDescent="0.2"/>
    <row r="40524" ht="9.9499999999999993" hidden="1" customHeight="1" x14ac:dyDescent="0.2"/>
    <row r="40525" ht="9.9499999999999993" hidden="1" customHeight="1" x14ac:dyDescent="0.2"/>
    <row r="40526" ht="9.9499999999999993" hidden="1" customHeight="1" x14ac:dyDescent="0.2"/>
    <row r="40527" ht="9.9499999999999993" hidden="1" customHeight="1" x14ac:dyDescent="0.2"/>
    <row r="40528" ht="9.9499999999999993" hidden="1" customHeight="1" x14ac:dyDescent="0.2"/>
    <row r="40529" ht="9.9499999999999993" hidden="1" customHeight="1" x14ac:dyDescent="0.2"/>
    <row r="40530" ht="9.9499999999999993" hidden="1" customHeight="1" x14ac:dyDescent="0.2"/>
    <row r="40531" ht="9.9499999999999993" hidden="1" customHeight="1" x14ac:dyDescent="0.2"/>
    <row r="40532" ht="9.9499999999999993" hidden="1" customHeight="1" x14ac:dyDescent="0.2"/>
    <row r="40533" ht="9.9499999999999993" hidden="1" customHeight="1" x14ac:dyDescent="0.2"/>
    <row r="40534" ht="9.9499999999999993" hidden="1" customHeight="1" x14ac:dyDescent="0.2"/>
    <row r="40535" ht="9.9499999999999993" hidden="1" customHeight="1" x14ac:dyDescent="0.2"/>
    <row r="40536" ht="9.9499999999999993" hidden="1" customHeight="1" x14ac:dyDescent="0.2"/>
    <row r="40537" ht="9.9499999999999993" hidden="1" customHeight="1" x14ac:dyDescent="0.2"/>
    <row r="40538" ht="9.9499999999999993" hidden="1" customHeight="1" x14ac:dyDescent="0.2"/>
    <row r="40539" ht="9.9499999999999993" hidden="1" customHeight="1" x14ac:dyDescent="0.2"/>
    <row r="40540" ht="9.9499999999999993" hidden="1" customHeight="1" x14ac:dyDescent="0.2"/>
    <row r="40541" ht="9.9499999999999993" hidden="1" customHeight="1" x14ac:dyDescent="0.2"/>
    <row r="40542" ht="9.9499999999999993" hidden="1" customHeight="1" x14ac:dyDescent="0.2"/>
    <row r="40543" ht="9.9499999999999993" hidden="1" customHeight="1" x14ac:dyDescent="0.2"/>
    <row r="40544" ht="9.9499999999999993" hidden="1" customHeight="1" x14ac:dyDescent="0.2"/>
    <row r="40545" ht="9.9499999999999993" hidden="1" customHeight="1" x14ac:dyDescent="0.2"/>
    <row r="40546" ht="9.9499999999999993" hidden="1" customHeight="1" x14ac:dyDescent="0.2"/>
    <row r="40547" ht="9.9499999999999993" hidden="1" customHeight="1" x14ac:dyDescent="0.2"/>
    <row r="40548" ht="9.9499999999999993" hidden="1" customHeight="1" x14ac:dyDescent="0.2"/>
    <row r="40549" ht="9.9499999999999993" hidden="1" customHeight="1" x14ac:dyDescent="0.2"/>
    <row r="40550" ht="9.9499999999999993" hidden="1" customHeight="1" x14ac:dyDescent="0.2"/>
    <row r="40551" ht="9.9499999999999993" hidden="1" customHeight="1" x14ac:dyDescent="0.2"/>
    <row r="40552" ht="9.9499999999999993" hidden="1" customHeight="1" x14ac:dyDescent="0.2"/>
    <row r="40553" ht="9.9499999999999993" hidden="1" customHeight="1" x14ac:dyDescent="0.2"/>
    <row r="40554" ht="9.9499999999999993" hidden="1" customHeight="1" x14ac:dyDescent="0.2"/>
    <row r="40555" ht="9.9499999999999993" hidden="1" customHeight="1" x14ac:dyDescent="0.2"/>
    <row r="40556" ht="9.9499999999999993" hidden="1" customHeight="1" x14ac:dyDescent="0.2"/>
    <row r="40557" ht="9.9499999999999993" hidden="1" customHeight="1" x14ac:dyDescent="0.2"/>
    <row r="40558" ht="9.9499999999999993" hidden="1" customHeight="1" x14ac:dyDescent="0.2"/>
    <row r="40559" ht="9.9499999999999993" hidden="1" customHeight="1" x14ac:dyDescent="0.2"/>
    <row r="40560" ht="9.9499999999999993" hidden="1" customHeight="1" x14ac:dyDescent="0.2"/>
    <row r="40561" ht="9.9499999999999993" hidden="1" customHeight="1" x14ac:dyDescent="0.2"/>
    <row r="40562" ht="9.9499999999999993" hidden="1" customHeight="1" x14ac:dyDescent="0.2"/>
    <row r="40563" ht="9.9499999999999993" hidden="1" customHeight="1" x14ac:dyDescent="0.2"/>
    <row r="40564" ht="9.9499999999999993" hidden="1" customHeight="1" x14ac:dyDescent="0.2"/>
    <row r="40565" ht="9.9499999999999993" hidden="1" customHeight="1" x14ac:dyDescent="0.2"/>
    <row r="40566" ht="9.9499999999999993" hidden="1" customHeight="1" x14ac:dyDescent="0.2"/>
    <row r="40567" ht="9.9499999999999993" hidden="1" customHeight="1" x14ac:dyDescent="0.2"/>
    <row r="40568" ht="9.9499999999999993" hidden="1" customHeight="1" x14ac:dyDescent="0.2"/>
    <row r="40569" ht="9.9499999999999993" hidden="1" customHeight="1" x14ac:dyDescent="0.2"/>
    <row r="40570" ht="9.9499999999999993" hidden="1" customHeight="1" x14ac:dyDescent="0.2"/>
    <row r="40571" ht="9.9499999999999993" hidden="1" customHeight="1" x14ac:dyDescent="0.2"/>
    <row r="40572" ht="9.9499999999999993" hidden="1" customHeight="1" x14ac:dyDescent="0.2"/>
    <row r="40573" ht="9.9499999999999993" hidden="1" customHeight="1" x14ac:dyDescent="0.2"/>
    <row r="40574" ht="9.9499999999999993" hidden="1" customHeight="1" x14ac:dyDescent="0.2"/>
    <row r="40575" ht="9.9499999999999993" hidden="1" customHeight="1" x14ac:dyDescent="0.2"/>
    <row r="40576" ht="9.9499999999999993" hidden="1" customHeight="1" x14ac:dyDescent="0.2"/>
    <row r="40577" ht="9.9499999999999993" hidden="1" customHeight="1" x14ac:dyDescent="0.2"/>
    <row r="40578" ht="9.9499999999999993" hidden="1" customHeight="1" x14ac:dyDescent="0.2"/>
    <row r="40579" ht="9.9499999999999993" hidden="1" customHeight="1" x14ac:dyDescent="0.2"/>
    <row r="40580" ht="9.9499999999999993" hidden="1" customHeight="1" x14ac:dyDescent="0.2"/>
    <row r="40581" ht="9.9499999999999993" hidden="1" customHeight="1" x14ac:dyDescent="0.2"/>
    <row r="40582" ht="9.9499999999999993" hidden="1" customHeight="1" x14ac:dyDescent="0.2"/>
    <row r="40583" ht="9.9499999999999993" hidden="1" customHeight="1" x14ac:dyDescent="0.2"/>
    <row r="40584" ht="9.9499999999999993" hidden="1" customHeight="1" x14ac:dyDescent="0.2"/>
    <row r="40585" ht="9.9499999999999993" hidden="1" customHeight="1" x14ac:dyDescent="0.2"/>
    <row r="40586" ht="9.9499999999999993" hidden="1" customHeight="1" x14ac:dyDescent="0.2"/>
    <row r="40587" ht="9.9499999999999993" hidden="1" customHeight="1" x14ac:dyDescent="0.2"/>
    <row r="40588" ht="9.9499999999999993" hidden="1" customHeight="1" x14ac:dyDescent="0.2"/>
    <row r="40589" ht="9.9499999999999993" hidden="1" customHeight="1" x14ac:dyDescent="0.2"/>
    <row r="40590" ht="9.9499999999999993" hidden="1" customHeight="1" x14ac:dyDescent="0.2"/>
    <row r="40591" ht="9.9499999999999993" hidden="1" customHeight="1" x14ac:dyDescent="0.2"/>
    <row r="40592" ht="9.9499999999999993" hidden="1" customHeight="1" x14ac:dyDescent="0.2"/>
    <row r="40593" ht="9.9499999999999993" hidden="1" customHeight="1" x14ac:dyDescent="0.2"/>
    <row r="40594" ht="9.9499999999999993" hidden="1" customHeight="1" x14ac:dyDescent="0.2"/>
    <row r="40595" ht="9.9499999999999993" hidden="1" customHeight="1" x14ac:dyDescent="0.2"/>
    <row r="40596" ht="9.9499999999999993" hidden="1" customHeight="1" x14ac:dyDescent="0.2"/>
    <row r="40597" ht="9.9499999999999993" hidden="1" customHeight="1" x14ac:dyDescent="0.2"/>
    <row r="40598" ht="9.9499999999999993" hidden="1" customHeight="1" x14ac:dyDescent="0.2"/>
    <row r="40599" ht="9.9499999999999993" hidden="1" customHeight="1" x14ac:dyDescent="0.2"/>
    <row r="40600" ht="9.9499999999999993" hidden="1" customHeight="1" x14ac:dyDescent="0.2"/>
    <row r="40601" ht="9.9499999999999993" hidden="1" customHeight="1" x14ac:dyDescent="0.2"/>
    <row r="40602" ht="9.9499999999999993" hidden="1" customHeight="1" x14ac:dyDescent="0.2"/>
    <row r="40603" ht="9.9499999999999993" hidden="1" customHeight="1" x14ac:dyDescent="0.2"/>
    <row r="40604" ht="9.9499999999999993" hidden="1" customHeight="1" x14ac:dyDescent="0.2"/>
    <row r="40605" ht="9.9499999999999993" hidden="1" customHeight="1" x14ac:dyDescent="0.2"/>
    <row r="40606" ht="9.9499999999999993" hidden="1" customHeight="1" x14ac:dyDescent="0.2"/>
    <row r="40607" ht="9.9499999999999993" hidden="1" customHeight="1" x14ac:dyDescent="0.2"/>
    <row r="40608" ht="9.9499999999999993" hidden="1" customHeight="1" x14ac:dyDescent="0.2"/>
    <row r="40609" ht="9.9499999999999993" hidden="1" customHeight="1" x14ac:dyDescent="0.2"/>
    <row r="40610" ht="9.9499999999999993" hidden="1" customHeight="1" x14ac:dyDescent="0.2"/>
    <row r="40611" ht="9.9499999999999993" hidden="1" customHeight="1" x14ac:dyDescent="0.2"/>
    <row r="40612" ht="9.9499999999999993" hidden="1" customHeight="1" x14ac:dyDescent="0.2"/>
    <row r="40613" ht="9.9499999999999993" hidden="1" customHeight="1" x14ac:dyDescent="0.2"/>
    <row r="40614" ht="9.9499999999999993" hidden="1" customHeight="1" x14ac:dyDescent="0.2"/>
    <row r="40615" ht="9.9499999999999993" hidden="1" customHeight="1" x14ac:dyDescent="0.2"/>
    <row r="40616" ht="9.9499999999999993" hidden="1" customHeight="1" x14ac:dyDescent="0.2"/>
    <row r="40617" ht="9.9499999999999993" hidden="1" customHeight="1" x14ac:dyDescent="0.2"/>
    <row r="40618" ht="9.9499999999999993" hidden="1" customHeight="1" x14ac:dyDescent="0.2"/>
    <row r="40619" ht="9.9499999999999993" hidden="1" customHeight="1" x14ac:dyDescent="0.2"/>
    <row r="40620" ht="9.9499999999999993" hidden="1" customHeight="1" x14ac:dyDescent="0.2"/>
    <row r="40621" ht="9.9499999999999993" hidden="1" customHeight="1" x14ac:dyDescent="0.2"/>
    <row r="40622" ht="9.9499999999999993" hidden="1" customHeight="1" x14ac:dyDescent="0.2"/>
    <row r="40623" ht="9.9499999999999993" hidden="1" customHeight="1" x14ac:dyDescent="0.2"/>
    <row r="40624" ht="9.9499999999999993" hidden="1" customHeight="1" x14ac:dyDescent="0.2"/>
    <row r="40625" ht="9.9499999999999993" hidden="1" customHeight="1" x14ac:dyDescent="0.2"/>
    <row r="40626" ht="9.9499999999999993" hidden="1" customHeight="1" x14ac:dyDescent="0.2"/>
    <row r="40627" ht="9.9499999999999993" hidden="1" customHeight="1" x14ac:dyDescent="0.2"/>
    <row r="40628" ht="9.9499999999999993" hidden="1" customHeight="1" x14ac:dyDescent="0.2"/>
    <row r="40629" ht="9.9499999999999993" hidden="1" customHeight="1" x14ac:dyDescent="0.2"/>
    <row r="40630" ht="9.9499999999999993" hidden="1" customHeight="1" x14ac:dyDescent="0.2"/>
    <row r="40631" ht="9.9499999999999993" hidden="1" customHeight="1" x14ac:dyDescent="0.2"/>
    <row r="40632" ht="9.9499999999999993" hidden="1" customHeight="1" x14ac:dyDescent="0.2"/>
    <row r="40633" ht="9.9499999999999993" hidden="1" customHeight="1" x14ac:dyDescent="0.2"/>
    <row r="40634" ht="9.9499999999999993" hidden="1" customHeight="1" x14ac:dyDescent="0.2"/>
    <row r="40635" ht="9.9499999999999993" hidden="1" customHeight="1" x14ac:dyDescent="0.2"/>
    <row r="40636" ht="9.9499999999999993" hidden="1" customHeight="1" x14ac:dyDescent="0.2"/>
    <row r="40637" ht="9.9499999999999993" hidden="1" customHeight="1" x14ac:dyDescent="0.2"/>
    <row r="40638" ht="9.9499999999999993" hidden="1" customHeight="1" x14ac:dyDescent="0.2"/>
    <row r="40639" ht="9.9499999999999993" hidden="1" customHeight="1" x14ac:dyDescent="0.2"/>
    <row r="40640" ht="9.9499999999999993" hidden="1" customHeight="1" x14ac:dyDescent="0.2"/>
    <row r="40641" ht="9.9499999999999993" hidden="1" customHeight="1" x14ac:dyDescent="0.2"/>
    <row r="40642" ht="9.9499999999999993" hidden="1" customHeight="1" x14ac:dyDescent="0.2"/>
    <row r="40643" ht="9.9499999999999993" hidden="1" customHeight="1" x14ac:dyDescent="0.2"/>
    <row r="40644" ht="9.9499999999999993" hidden="1" customHeight="1" x14ac:dyDescent="0.2"/>
    <row r="40645" ht="9.9499999999999993" hidden="1" customHeight="1" x14ac:dyDescent="0.2"/>
    <row r="40646" ht="9.9499999999999993" hidden="1" customHeight="1" x14ac:dyDescent="0.2"/>
    <row r="40647" ht="9.9499999999999993" hidden="1" customHeight="1" x14ac:dyDescent="0.2"/>
    <row r="40648" ht="9.9499999999999993" hidden="1" customHeight="1" x14ac:dyDescent="0.2"/>
    <row r="40649" ht="9.9499999999999993" hidden="1" customHeight="1" x14ac:dyDescent="0.2"/>
    <row r="40650" ht="9.9499999999999993" hidden="1" customHeight="1" x14ac:dyDescent="0.2"/>
    <row r="40651" ht="9.9499999999999993" hidden="1" customHeight="1" x14ac:dyDescent="0.2"/>
    <row r="40652" ht="9.9499999999999993" hidden="1" customHeight="1" x14ac:dyDescent="0.2"/>
    <row r="40653" ht="9.9499999999999993" hidden="1" customHeight="1" x14ac:dyDescent="0.2"/>
    <row r="40654" ht="9.9499999999999993" hidden="1" customHeight="1" x14ac:dyDescent="0.2"/>
    <row r="40655" ht="9.9499999999999993" hidden="1" customHeight="1" x14ac:dyDescent="0.2"/>
    <row r="40656" ht="9.9499999999999993" hidden="1" customHeight="1" x14ac:dyDescent="0.2"/>
    <row r="40657" ht="9.9499999999999993" hidden="1" customHeight="1" x14ac:dyDescent="0.2"/>
    <row r="40658" ht="9.9499999999999993" hidden="1" customHeight="1" x14ac:dyDescent="0.2"/>
    <row r="40659" ht="9.9499999999999993" hidden="1" customHeight="1" x14ac:dyDescent="0.2"/>
    <row r="40660" ht="9.9499999999999993" hidden="1" customHeight="1" x14ac:dyDescent="0.2"/>
    <row r="40661" ht="9.9499999999999993" hidden="1" customHeight="1" x14ac:dyDescent="0.2"/>
    <row r="40662" ht="9.9499999999999993" hidden="1" customHeight="1" x14ac:dyDescent="0.2"/>
    <row r="40663" ht="9.9499999999999993" hidden="1" customHeight="1" x14ac:dyDescent="0.2"/>
    <row r="40664" ht="9.9499999999999993" hidden="1" customHeight="1" x14ac:dyDescent="0.2"/>
    <row r="40665" ht="9.9499999999999993" hidden="1" customHeight="1" x14ac:dyDescent="0.2"/>
    <row r="40666" ht="9.9499999999999993" hidden="1" customHeight="1" x14ac:dyDescent="0.2"/>
    <row r="40667" ht="9.9499999999999993" hidden="1" customHeight="1" x14ac:dyDescent="0.2"/>
    <row r="40668" ht="9.9499999999999993" hidden="1" customHeight="1" x14ac:dyDescent="0.2"/>
    <row r="40669" ht="9.9499999999999993" hidden="1" customHeight="1" x14ac:dyDescent="0.2"/>
    <row r="40670" ht="9.9499999999999993" hidden="1" customHeight="1" x14ac:dyDescent="0.2"/>
    <row r="40671" ht="9.9499999999999993" hidden="1" customHeight="1" x14ac:dyDescent="0.2"/>
    <row r="40672" ht="9.9499999999999993" hidden="1" customHeight="1" x14ac:dyDescent="0.2"/>
    <row r="40673" ht="9.9499999999999993" hidden="1" customHeight="1" x14ac:dyDescent="0.2"/>
    <row r="40674" ht="9.9499999999999993" hidden="1" customHeight="1" x14ac:dyDescent="0.2"/>
    <row r="40675" ht="9.9499999999999993" hidden="1" customHeight="1" x14ac:dyDescent="0.2"/>
    <row r="40676" ht="9.9499999999999993" hidden="1" customHeight="1" x14ac:dyDescent="0.2"/>
    <row r="40677" ht="9.9499999999999993" hidden="1" customHeight="1" x14ac:dyDescent="0.2"/>
    <row r="40678" ht="9.9499999999999993" hidden="1" customHeight="1" x14ac:dyDescent="0.2"/>
    <row r="40679" ht="9.9499999999999993" hidden="1" customHeight="1" x14ac:dyDescent="0.2"/>
    <row r="40680" ht="9.9499999999999993" hidden="1" customHeight="1" x14ac:dyDescent="0.2"/>
    <row r="40681" ht="9.9499999999999993" hidden="1" customHeight="1" x14ac:dyDescent="0.2"/>
    <row r="40682" ht="9.9499999999999993" hidden="1" customHeight="1" x14ac:dyDescent="0.2"/>
    <row r="40683" ht="9.9499999999999993" hidden="1" customHeight="1" x14ac:dyDescent="0.2"/>
    <row r="40684" ht="9.9499999999999993" hidden="1" customHeight="1" x14ac:dyDescent="0.2"/>
    <row r="40685" ht="9.9499999999999993" hidden="1" customHeight="1" x14ac:dyDescent="0.2"/>
    <row r="40686" ht="9.9499999999999993" hidden="1" customHeight="1" x14ac:dyDescent="0.2"/>
    <row r="40687" ht="9.9499999999999993" hidden="1" customHeight="1" x14ac:dyDescent="0.2"/>
    <row r="40688" ht="9.9499999999999993" hidden="1" customHeight="1" x14ac:dyDescent="0.2"/>
    <row r="40689" ht="9.9499999999999993" hidden="1" customHeight="1" x14ac:dyDescent="0.2"/>
    <row r="40690" ht="9.9499999999999993" hidden="1" customHeight="1" x14ac:dyDescent="0.2"/>
    <row r="40691" ht="9.9499999999999993" hidden="1" customHeight="1" x14ac:dyDescent="0.2"/>
    <row r="40692" ht="9.9499999999999993" hidden="1" customHeight="1" x14ac:dyDescent="0.2"/>
    <row r="40693" ht="9.9499999999999993" hidden="1" customHeight="1" x14ac:dyDescent="0.2"/>
    <row r="40694" ht="9.9499999999999993" hidden="1" customHeight="1" x14ac:dyDescent="0.2"/>
    <row r="40695" ht="9.9499999999999993" hidden="1" customHeight="1" x14ac:dyDescent="0.2"/>
    <row r="40696" ht="9.9499999999999993" hidden="1" customHeight="1" x14ac:dyDescent="0.2"/>
    <row r="40697" ht="9.9499999999999993" hidden="1" customHeight="1" x14ac:dyDescent="0.2"/>
    <row r="40698" ht="9.9499999999999993" hidden="1" customHeight="1" x14ac:dyDescent="0.2"/>
    <row r="40699" ht="9.9499999999999993" hidden="1" customHeight="1" x14ac:dyDescent="0.2"/>
    <row r="40700" ht="9.9499999999999993" hidden="1" customHeight="1" x14ac:dyDescent="0.2"/>
    <row r="40701" ht="9.9499999999999993" hidden="1" customHeight="1" x14ac:dyDescent="0.2"/>
    <row r="40702" ht="9.9499999999999993" hidden="1" customHeight="1" x14ac:dyDescent="0.2"/>
    <row r="40703" ht="9.9499999999999993" hidden="1" customHeight="1" x14ac:dyDescent="0.2"/>
    <row r="40704" ht="9.9499999999999993" hidden="1" customHeight="1" x14ac:dyDescent="0.2"/>
    <row r="40705" ht="9.9499999999999993" hidden="1" customHeight="1" x14ac:dyDescent="0.2"/>
    <row r="40706" ht="9.9499999999999993" hidden="1" customHeight="1" x14ac:dyDescent="0.2"/>
    <row r="40707" ht="9.9499999999999993" hidden="1" customHeight="1" x14ac:dyDescent="0.2"/>
    <row r="40708" ht="9.9499999999999993" hidden="1" customHeight="1" x14ac:dyDescent="0.2"/>
    <row r="40709" ht="9.9499999999999993" hidden="1" customHeight="1" x14ac:dyDescent="0.2"/>
    <row r="40710" ht="9.9499999999999993" hidden="1" customHeight="1" x14ac:dyDescent="0.2"/>
    <row r="40711" ht="9.9499999999999993" hidden="1" customHeight="1" x14ac:dyDescent="0.2"/>
    <row r="40712" ht="9.9499999999999993" hidden="1" customHeight="1" x14ac:dyDescent="0.2"/>
    <row r="40713" ht="9.9499999999999993" hidden="1" customHeight="1" x14ac:dyDescent="0.2"/>
    <row r="40714" ht="9.9499999999999993" hidden="1" customHeight="1" x14ac:dyDescent="0.2"/>
    <row r="40715" ht="9.9499999999999993" hidden="1" customHeight="1" x14ac:dyDescent="0.2"/>
    <row r="40716" ht="9.9499999999999993" hidden="1" customHeight="1" x14ac:dyDescent="0.2"/>
    <row r="40717" ht="9.9499999999999993" hidden="1" customHeight="1" x14ac:dyDescent="0.2"/>
    <row r="40718" ht="9.9499999999999993" hidden="1" customHeight="1" x14ac:dyDescent="0.2"/>
    <row r="40719" ht="9.9499999999999993" hidden="1" customHeight="1" x14ac:dyDescent="0.2"/>
    <row r="40720" ht="9.9499999999999993" hidden="1" customHeight="1" x14ac:dyDescent="0.2"/>
    <row r="40721" ht="9.9499999999999993" hidden="1" customHeight="1" x14ac:dyDescent="0.2"/>
    <row r="40722" ht="9.9499999999999993" hidden="1" customHeight="1" x14ac:dyDescent="0.2"/>
    <row r="40723" ht="9.9499999999999993" hidden="1" customHeight="1" x14ac:dyDescent="0.2"/>
    <row r="40724" ht="9.9499999999999993" hidden="1" customHeight="1" x14ac:dyDescent="0.2"/>
    <row r="40725" ht="9.9499999999999993" hidden="1" customHeight="1" x14ac:dyDescent="0.2"/>
    <row r="40726" ht="9.9499999999999993" hidden="1" customHeight="1" x14ac:dyDescent="0.2"/>
    <row r="40727" ht="9.9499999999999993" hidden="1" customHeight="1" x14ac:dyDescent="0.2"/>
    <row r="40728" ht="9.9499999999999993" hidden="1" customHeight="1" x14ac:dyDescent="0.2"/>
    <row r="40729" ht="9.9499999999999993" hidden="1" customHeight="1" x14ac:dyDescent="0.2"/>
    <row r="40730" ht="9.9499999999999993" hidden="1" customHeight="1" x14ac:dyDescent="0.2"/>
    <row r="40731" ht="9.9499999999999993" hidden="1" customHeight="1" x14ac:dyDescent="0.2"/>
    <row r="40732" ht="9.9499999999999993" hidden="1" customHeight="1" x14ac:dyDescent="0.2"/>
    <row r="40733" ht="9.9499999999999993" hidden="1" customHeight="1" x14ac:dyDescent="0.2"/>
    <row r="40734" ht="9.9499999999999993" hidden="1" customHeight="1" x14ac:dyDescent="0.2"/>
    <row r="40735" ht="9.9499999999999993" hidden="1" customHeight="1" x14ac:dyDescent="0.2"/>
    <row r="40736" ht="9.9499999999999993" hidden="1" customHeight="1" x14ac:dyDescent="0.2"/>
    <row r="40737" ht="9.9499999999999993" hidden="1" customHeight="1" x14ac:dyDescent="0.2"/>
    <row r="40738" ht="9.9499999999999993" hidden="1" customHeight="1" x14ac:dyDescent="0.2"/>
    <row r="40739" ht="9.9499999999999993" hidden="1" customHeight="1" x14ac:dyDescent="0.2"/>
    <row r="40740" ht="9.9499999999999993" hidden="1" customHeight="1" x14ac:dyDescent="0.2"/>
    <row r="40741" ht="9.9499999999999993" hidden="1" customHeight="1" x14ac:dyDescent="0.2"/>
    <row r="40742" ht="9.9499999999999993" hidden="1" customHeight="1" x14ac:dyDescent="0.2"/>
    <row r="40743" ht="9.9499999999999993" hidden="1" customHeight="1" x14ac:dyDescent="0.2"/>
    <row r="40744" ht="9.9499999999999993" hidden="1" customHeight="1" x14ac:dyDescent="0.2"/>
    <row r="40745" ht="9.9499999999999993" hidden="1" customHeight="1" x14ac:dyDescent="0.2"/>
    <row r="40746" ht="9.9499999999999993" hidden="1" customHeight="1" x14ac:dyDescent="0.2"/>
    <row r="40747" ht="9.9499999999999993" hidden="1" customHeight="1" x14ac:dyDescent="0.2"/>
    <row r="40748" ht="9.9499999999999993" hidden="1" customHeight="1" x14ac:dyDescent="0.2"/>
    <row r="40749" ht="9.9499999999999993" hidden="1" customHeight="1" x14ac:dyDescent="0.2"/>
    <row r="40750" ht="9.9499999999999993" hidden="1" customHeight="1" x14ac:dyDescent="0.2"/>
    <row r="40751" ht="9.9499999999999993" hidden="1" customHeight="1" x14ac:dyDescent="0.2"/>
    <row r="40752" ht="9.9499999999999993" hidden="1" customHeight="1" x14ac:dyDescent="0.2"/>
    <row r="40753" ht="9.9499999999999993" hidden="1" customHeight="1" x14ac:dyDescent="0.2"/>
    <row r="40754" ht="9.9499999999999993" hidden="1" customHeight="1" x14ac:dyDescent="0.2"/>
    <row r="40755" ht="9.9499999999999993" hidden="1" customHeight="1" x14ac:dyDescent="0.2"/>
    <row r="40756" ht="9.9499999999999993" hidden="1" customHeight="1" x14ac:dyDescent="0.2"/>
    <row r="40757" ht="9.9499999999999993" hidden="1" customHeight="1" x14ac:dyDescent="0.2"/>
    <row r="40758" ht="9.9499999999999993" hidden="1" customHeight="1" x14ac:dyDescent="0.2"/>
    <row r="40759" ht="9.9499999999999993" hidden="1" customHeight="1" x14ac:dyDescent="0.2"/>
    <row r="40760" ht="9.9499999999999993" hidden="1" customHeight="1" x14ac:dyDescent="0.2"/>
    <row r="40761" ht="9.9499999999999993" hidden="1" customHeight="1" x14ac:dyDescent="0.2"/>
    <row r="40762" ht="9.9499999999999993" hidden="1" customHeight="1" x14ac:dyDescent="0.2"/>
    <row r="40763" ht="9.9499999999999993" hidden="1" customHeight="1" x14ac:dyDescent="0.2"/>
    <row r="40764" ht="9.9499999999999993" hidden="1" customHeight="1" x14ac:dyDescent="0.2"/>
    <row r="40765" ht="9.9499999999999993" hidden="1" customHeight="1" x14ac:dyDescent="0.2"/>
    <row r="40766" ht="9.9499999999999993" hidden="1" customHeight="1" x14ac:dyDescent="0.2"/>
    <row r="40767" ht="9.9499999999999993" hidden="1" customHeight="1" x14ac:dyDescent="0.2"/>
    <row r="40768" ht="9.9499999999999993" hidden="1" customHeight="1" x14ac:dyDescent="0.2"/>
    <row r="40769" ht="9.9499999999999993" hidden="1" customHeight="1" x14ac:dyDescent="0.2"/>
    <row r="40770" ht="9.9499999999999993" hidden="1" customHeight="1" x14ac:dyDescent="0.2"/>
    <row r="40771" ht="9.9499999999999993" hidden="1" customHeight="1" x14ac:dyDescent="0.2"/>
    <row r="40772" ht="9.9499999999999993" hidden="1" customHeight="1" x14ac:dyDescent="0.2"/>
    <row r="40773" ht="9.9499999999999993" hidden="1" customHeight="1" x14ac:dyDescent="0.2"/>
    <row r="40774" ht="9.9499999999999993" hidden="1" customHeight="1" x14ac:dyDescent="0.2"/>
    <row r="40775" ht="9.9499999999999993" hidden="1" customHeight="1" x14ac:dyDescent="0.2"/>
    <row r="40776" ht="9.9499999999999993" hidden="1" customHeight="1" x14ac:dyDescent="0.2"/>
    <row r="40777" ht="9.9499999999999993" hidden="1" customHeight="1" x14ac:dyDescent="0.2"/>
    <row r="40778" ht="9.9499999999999993" hidden="1" customHeight="1" x14ac:dyDescent="0.2"/>
    <row r="40779" ht="9.9499999999999993" hidden="1" customHeight="1" x14ac:dyDescent="0.2"/>
    <row r="40780" ht="9.9499999999999993" hidden="1" customHeight="1" x14ac:dyDescent="0.2"/>
    <row r="40781" ht="9.9499999999999993" hidden="1" customHeight="1" x14ac:dyDescent="0.2"/>
    <row r="40782" ht="9.9499999999999993" hidden="1" customHeight="1" x14ac:dyDescent="0.2"/>
    <row r="40783" ht="9.9499999999999993" hidden="1" customHeight="1" x14ac:dyDescent="0.2"/>
    <row r="40784" ht="9.9499999999999993" hidden="1" customHeight="1" x14ac:dyDescent="0.2"/>
    <row r="40785" ht="9.9499999999999993" hidden="1" customHeight="1" x14ac:dyDescent="0.2"/>
    <row r="40786" ht="9.9499999999999993" hidden="1" customHeight="1" x14ac:dyDescent="0.2"/>
    <row r="40787" ht="9.9499999999999993" hidden="1" customHeight="1" x14ac:dyDescent="0.2"/>
    <row r="40788" ht="9.9499999999999993" hidden="1" customHeight="1" x14ac:dyDescent="0.2"/>
    <row r="40789" ht="9.9499999999999993" hidden="1" customHeight="1" x14ac:dyDescent="0.2"/>
    <row r="40790" ht="9.9499999999999993" hidden="1" customHeight="1" x14ac:dyDescent="0.2"/>
    <row r="40791" ht="9.9499999999999993" hidden="1" customHeight="1" x14ac:dyDescent="0.2"/>
    <row r="40792" ht="9.9499999999999993" hidden="1" customHeight="1" x14ac:dyDescent="0.2"/>
    <row r="40793" ht="9.9499999999999993" hidden="1" customHeight="1" x14ac:dyDescent="0.2"/>
    <row r="40794" ht="9.9499999999999993" hidden="1" customHeight="1" x14ac:dyDescent="0.2"/>
    <row r="40795" ht="9.9499999999999993" hidden="1" customHeight="1" x14ac:dyDescent="0.2"/>
    <row r="40796" ht="9.9499999999999993" hidden="1" customHeight="1" x14ac:dyDescent="0.2"/>
    <row r="40797" ht="9.9499999999999993" hidden="1" customHeight="1" x14ac:dyDescent="0.2"/>
    <row r="40798" ht="9.9499999999999993" hidden="1" customHeight="1" x14ac:dyDescent="0.2"/>
    <row r="40799" ht="9.9499999999999993" hidden="1" customHeight="1" x14ac:dyDescent="0.2"/>
    <row r="40800" ht="9.9499999999999993" hidden="1" customHeight="1" x14ac:dyDescent="0.2"/>
    <row r="40801" ht="9.9499999999999993" hidden="1" customHeight="1" x14ac:dyDescent="0.2"/>
    <row r="40802" ht="9.9499999999999993" hidden="1" customHeight="1" x14ac:dyDescent="0.2"/>
    <row r="40803" ht="9.9499999999999993" hidden="1" customHeight="1" x14ac:dyDescent="0.2"/>
    <row r="40804" ht="9.9499999999999993" hidden="1" customHeight="1" x14ac:dyDescent="0.2"/>
    <row r="40805" ht="9.9499999999999993" hidden="1" customHeight="1" x14ac:dyDescent="0.2"/>
    <row r="40806" ht="9.9499999999999993" hidden="1" customHeight="1" x14ac:dyDescent="0.2"/>
    <row r="40807" ht="9.9499999999999993" hidden="1" customHeight="1" x14ac:dyDescent="0.2"/>
    <row r="40808" ht="9.9499999999999993" hidden="1" customHeight="1" x14ac:dyDescent="0.2"/>
    <row r="40809" ht="9.9499999999999993" hidden="1" customHeight="1" x14ac:dyDescent="0.2"/>
    <row r="40810" ht="9.9499999999999993" hidden="1" customHeight="1" x14ac:dyDescent="0.2"/>
    <row r="40811" ht="9.9499999999999993" hidden="1" customHeight="1" x14ac:dyDescent="0.2"/>
    <row r="40812" ht="9.9499999999999993" hidden="1" customHeight="1" x14ac:dyDescent="0.2"/>
    <row r="40813" ht="9.9499999999999993" hidden="1" customHeight="1" x14ac:dyDescent="0.2"/>
    <row r="40814" ht="9.9499999999999993" hidden="1" customHeight="1" x14ac:dyDescent="0.2"/>
    <row r="40815" ht="9.9499999999999993" hidden="1" customHeight="1" x14ac:dyDescent="0.2"/>
    <row r="40816" ht="9.9499999999999993" hidden="1" customHeight="1" x14ac:dyDescent="0.2"/>
    <row r="40817" ht="9.9499999999999993" hidden="1" customHeight="1" x14ac:dyDescent="0.2"/>
    <row r="40818" ht="9.9499999999999993" hidden="1" customHeight="1" x14ac:dyDescent="0.2"/>
    <row r="40819" ht="9.9499999999999993" hidden="1" customHeight="1" x14ac:dyDescent="0.2"/>
    <row r="40820" ht="9.9499999999999993" hidden="1" customHeight="1" x14ac:dyDescent="0.2"/>
    <row r="40821" ht="9.9499999999999993" hidden="1" customHeight="1" x14ac:dyDescent="0.2"/>
    <row r="40822" ht="9.9499999999999993" hidden="1" customHeight="1" x14ac:dyDescent="0.2"/>
    <row r="40823" ht="9.9499999999999993" hidden="1" customHeight="1" x14ac:dyDescent="0.2"/>
    <row r="40824" ht="9.9499999999999993" hidden="1" customHeight="1" x14ac:dyDescent="0.2"/>
    <row r="40825" ht="9.9499999999999993" hidden="1" customHeight="1" x14ac:dyDescent="0.2"/>
    <row r="40826" ht="9.9499999999999993" hidden="1" customHeight="1" x14ac:dyDescent="0.2"/>
    <row r="40827" ht="9.9499999999999993" hidden="1" customHeight="1" x14ac:dyDescent="0.2"/>
    <row r="40828" ht="9.9499999999999993" hidden="1" customHeight="1" x14ac:dyDescent="0.2"/>
    <row r="40829" ht="9.9499999999999993" hidden="1" customHeight="1" x14ac:dyDescent="0.2"/>
    <row r="40830" ht="9.9499999999999993" hidden="1" customHeight="1" x14ac:dyDescent="0.2"/>
    <row r="40831" ht="9.9499999999999993" hidden="1" customHeight="1" x14ac:dyDescent="0.2"/>
    <row r="40832" ht="9.9499999999999993" hidden="1" customHeight="1" x14ac:dyDescent="0.2"/>
    <row r="40833" ht="9.9499999999999993" hidden="1" customHeight="1" x14ac:dyDescent="0.2"/>
    <row r="40834" ht="9.9499999999999993" hidden="1" customHeight="1" x14ac:dyDescent="0.2"/>
    <row r="40835" ht="9.9499999999999993" hidden="1" customHeight="1" x14ac:dyDescent="0.2"/>
    <row r="40836" ht="9.9499999999999993" hidden="1" customHeight="1" x14ac:dyDescent="0.2"/>
    <row r="40837" ht="9.9499999999999993" hidden="1" customHeight="1" x14ac:dyDescent="0.2"/>
    <row r="40838" ht="9.9499999999999993" hidden="1" customHeight="1" x14ac:dyDescent="0.2"/>
    <row r="40839" ht="9.9499999999999993" hidden="1" customHeight="1" x14ac:dyDescent="0.2"/>
    <row r="40840" ht="9.9499999999999993" hidden="1" customHeight="1" x14ac:dyDescent="0.2"/>
    <row r="40841" ht="9.9499999999999993" hidden="1" customHeight="1" x14ac:dyDescent="0.2"/>
    <row r="40842" ht="9.9499999999999993" hidden="1" customHeight="1" x14ac:dyDescent="0.2"/>
    <row r="40843" ht="9.9499999999999993" hidden="1" customHeight="1" x14ac:dyDescent="0.2"/>
    <row r="40844" ht="9.9499999999999993" hidden="1" customHeight="1" x14ac:dyDescent="0.2"/>
    <row r="40845" ht="9.9499999999999993" hidden="1" customHeight="1" x14ac:dyDescent="0.2"/>
    <row r="40846" ht="9.9499999999999993" hidden="1" customHeight="1" x14ac:dyDescent="0.2"/>
    <row r="40847" ht="9.9499999999999993" hidden="1" customHeight="1" x14ac:dyDescent="0.2"/>
    <row r="40848" ht="9.9499999999999993" hidden="1" customHeight="1" x14ac:dyDescent="0.2"/>
    <row r="40849" ht="9.9499999999999993" hidden="1" customHeight="1" x14ac:dyDescent="0.2"/>
    <row r="40850" ht="9.9499999999999993" hidden="1" customHeight="1" x14ac:dyDescent="0.2"/>
    <row r="40851" ht="9.9499999999999993" hidden="1" customHeight="1" x14ac:dyDescent="0.2"/>
    <row r="40852" ht="9.9499999999999993" hidden="1" customHeight="1" x14ac:dyDescent="0.2"/>
    <row r="40853" ht="9.9499999999999993" hidden="1" customHeight="1" x14ac:dyDescent="0.2"/>
    <row r="40854" ht="9.9499999999999993" hidden="1" customHeight="1" x14ac:dyDescent="0.2"/>
    <row r="40855" ht="9.9499999999999993" hidden="1" customHeight="1" x14ac:dyDescent="0.2"/>
    <row r="40856" ht="9.9499999999999993" hidden="1" customHeight="1" x14ac:dyDescent="0.2"/>
    <row r="40857" ht="9.9499999999999993" hidden="1" customHeight="1" x14ac:dyDescent="0.2"/>
    <row r="40858" ht="9.9499999999999993" hidden="1" customHeight="1" x14ac:dyDescent="0.2"/>
    <row r="40859" ht="9.9499999999999993" hidden="1" customHeight="1" x14ac:dyDescent="0.2"/>
    <row r="40860" ht="9.9499999999999993" hidden="1" customHeight="1" x14ac:dyDescent="0.2"/>
    <row r="40861" ht="9.9499999999999993" hidden="1" customHeight="1" x14ac:dyDescent="0.2"/>
    <row r="40862" ht="9.9499999999999993" hidden="1" customHeight="1" x14ac:dyDescent="0.2"/>
    <row r="40863" ht="9.9499999999999993" hidden="1" customHeight="1" x14ac:dyDescent="0.2"/>
    <row r="40864" ht="9.9499999999999993" hidden="1" customHeight="1" x14ac:dyDescent="0.2"/>
    <row r="40865" ht="9.9499999999999993" hidden="1" customHeight="1" x14ac:dyDescent="0.2"/>
    <row r="40866" ht="9.9499999999999993" hidden="1" customHeight="1" x14ac:dyDescent="0.2"/>
    <row r="40867" ht="9.9499999999999993" hidden="1" customHeight="1" x14ac:dyDescent="0.2"/>
    <row r="40868" ht="9.9499999999999993" hidden="1" customHeight="1" x14ac:dyDescent="0.2"/>
    <row r="40869" ht="9.9499999999999993" hidden="1" customHeight="1" x14ac:dyDescent="0.2"/>
    <row r="40870" ht="9.9499999999999993" hidden="1" customHeight="1" x14ac:dyDescent="0.2"/>
    <row r="40871" ht="9.9499999999999993" hidden="1" customHeight="1" x14ac:dyDescent="0.2"/>
    <row r="40872" ht="9.9499999999999993" hidden="1" customHeight="1" x14ac:dyDescent="0.2"/>
    <row r="40873" ht="9.9499999999999993" hidden="1" customHeight="1" x14ac:dyDescent="0.2"/>
    <row r="40874" ht="9.9499999999999993" hidden="1" customHeight="1" x14ac:dyDescent="0.2"/>
    <row r="40875" ht="9.9499999999999993" hidden="1" customHeight="1" x14ac:dyDescent="0.2"/>
    <row r="40876" ht="9.9499999999999993" hidden="1" customHeight="1" x14ac:dyDescent="0.2"/>
    <row r="40877" ht="9.9499999999999993" hidden="1" customHeight="1" x14ac:dyDescent="0.2"/>
    <row r="40878" ht="9.9499999999999993" hidden="1" customHeight="1" x14ac:dyDescent="0.2"/>
    <row r="40879" ht="9.9499999999999993" hidden="1" customHeight="1" x14ac:dyDescent="0.2"/>
    <row r="40880" ht="9.9499999999999993" hidden="1" customHeight="1" x14ac:dyDescent="0.2"/>
    <row r="40881" ht="9.9499999999999993" hidden="1" customHeight="1" x14ac:dyDescent="0.2"/>
    <row r="40882" ht="9.9499999999999993" hidden="1" customHeight="1" x14ac:dyDescent="0.2"/>
    <row r="40883" ht="9.9499999999999993" hidden="1" customHeight="1" x14ac:dyDescent="0.2"/>
    <row r="40884" ht="9.9499999999999993" hidden="1" customHeight="1" x14ac:dyDescent="0.2"/>
    <row r="40885" ht="9.9499999999999993" hidden="1" customHeight="1" x14ac:dyDescent="0.2"/>
    <row r="40886" ht="9.9499999999999993" hidden="1" customHeight="1" x14ac:dyDescent="0.2"/>
    <row r="40887" ht="9.9499999999999993" hidden="1" customHeight="1" x14ac:dyDescent="0.2"/>
    <row r="40888" ht="9.9499999999999993" hidden="1" customHeight="1" x14ac:dyDescent="0.2"/>
    <row r="40889" ht="9.9499999999999993" hidden="1" customHeight="1" x14ac:dyDescent="0.2"/>
    <row r="40890" ht="9.9499999999999993" hidden="1" customHeight="1" x14ac:dyDescent="0.2"/>
    <row r="40891" ht="9.9499999999999993" hidden="1" customHeight="1" x14ac:dyDescent="0.2"/>
    <row r="40892" ht="9.9499999999999993" hidden="1" customHeight="1" x14ac:dyDescent="0.2"/>
    <row r="40893" ht="9.9499999999999993" hidden="1" customHeight="1" x14ac:dyDescent="0.2"/>
    <row r="40894" ht="9.9499999999999993" hidden="1" customHeight="1" x14ac:dyDescent="0.2"/>
    <row r="40895" ht="9.9499999999999993" hidden="1" customHeight="1" x14ac:dyDescent="0.2"/>
    <row r="40896" ht="9.9499999999999993" hidden="1" customHeight="1" x14ac:dyDescent="0.2"/>
    <row r="40897" ht="9.9499999999999993" hidden="1" customHeight="1" x14ac:dyDescent="0.2"/>
    <row r="40898" ht="9.9499999999999993" hidden="1" customHeight="1" x14ac:dyDescent="0.2"/>
    <row r="40899" ht="9.9499999999999993" hidden="1" customHeight="1" x14ac:dyDescent="0.2"/>
    <row r="40900" ht="9.9499999999999993" hidden="1" customHeight="1" x14ac:dyDescent="0.2"/>
    <row r="40901" ht="9.9499999999999993" hidden="1" customHeight="1" x14ac:dyDescent="0.2"/>
    <row r="40902" ht="9.9499999999999993" hidden="1" customHeight="1" x14ac:dyDescent="0.2"/>
    <row r="40903" ht="9.9499999999999993" hidden="1" customHeight="1" x14ac:dyDescent="0.2"/>
    <row r="40904" ht="9.9499999999999993" hidden="1" customHeight="1" x14ac:dyDescent="0.2"/>
    <row r="40905" ht="9.9499999999999993" hidden="1" customHeight="1" x14ac:dyDescent="0.2"/>
    <row r="40906" ht="9.9499999999999993" hidden="1" customHeight="1" x14ac:dyDescent="0.2"/>
    <row r="40907" ht="9.9499999999999993" hidden="1" customHeight="1" x14ac:dyDescent="0.2"/>
    <row r="40908" ht="9.9499999999999993" hidden="1" customHeight="1" x14ac:dyDescent="0.2"/>
    <row r="40909" ht="9.9499999999999993" hidden="1" customHeight="1" x14ac:dyDescent="0.2"/>
    <row r="40910" ht="9.9499999999999993" hidden="1" customHeight="1" x14ac:dyDescent="0.2"/>
    <row r="40911" ht="9.9499999999999993" hidden="1" customHeight="1" x14ac:dyDescent="0.2"/>
    <row r="40912" ht="9.9499999999999993" hidden="1" customHeight="1" x14ac:dyDescent="0.2"/>
    <row r="40913" ht="9.9499999999999993" hidden="1" customHeight="1" x14ac:dyDescent="0.2"/>
    <row r="40914" ht="9.9499999999999993" hidden="1" customHeight="1" x14ac:dyDescent="0.2"/>
    <row r="40915" ht="9.9499999999999993" hidden="1" customHeight="1" x14ac:dyDescent="0.2"/>
    <row r="40916" ht="9.9499999999999993" hidden="1" customHeight="1" x14ac:dyDescent="0.2"/>
    <row r="40917" ht="9.9499999999999993" hidden="1" customHeight="1" x14ac:dyDescent="0.2"/>
    <row r="40918" ht="9.9499999999999993" hidden="1" customHeight="1" x14ac:dyDescent="0.2"/>
    <row r="40919" ht="9.9499999999999993" hidden="1" customHeight="1" x14ac:dyDescent="0.2"/>
    <row r="40920" ht="9.9499999999999993" hidden="1" customHeight="1" x14ac:dyDescent="0.2"/>
    <row r="40921" ht="9.9499999999999993" hidden="1" customHeight="1" x14ac:dyDescent="0.2"/>
    <row r="40922" ht="9.9499999999999993" hidden="1" customHeight="1" x14ac:dyDescent="0.2"/>
    <row r="40923" ht="9.9499999999999993" hidden="1" customHeight="1" x14ac:dyDescent="0.2"/>
    <row r="40924" ht="9.9499999999999993" hidden="1" customHeight="1" x14ac:dyDescent="0.2"/>
    <row r="40925" ht="9.9499999999999993" hidden="1" customHeight="1" x14ac:dyDescent="0.2"/>
    <row r="40926" ht="9.9499999999999993" hidden="1" customHeight="1" x14ac:dyDescent="0.2"/>
    <row r="40927" ht="9.9499999999999993" hidden="1" customHeight="1" x14ac:dyDescent="0.2"/>
    <row r="40928" ht="9.9499999999999993" hidden="1" customHeight="1" x14ac:dyDescent="0.2"/>
    <row r="40929" ht="9.9499999999999993" hidden="1" customHeight="1" x14ac:dyDescent="0.2"/>
    <row r="40930" ht="9.9499999999999993" hidden="1" customHeight="1" x14ac:dyDescent="0.2"/>
    <row r="40931" ht="9.9499999999999993" hidden="1" customHeight="1" x14ac:dyDescent="0.2"/>
    <row r="40932" ht="9.9499999999999993" hidden="1" customHeight="1" x14ac:dyDescent="0.2"/>
    <row r="40933" ht="9.9499999999999993" hidden="1" customHeight="1" x14ac:dyDescent="0.2"/>
    <row r="40934" ht="9.9499999999999993" hidden="1" customHeight="1" x14ac:dyDescent="0.2"/>
    <row r="40935" ht="9.9499999999999993" hidden="1" customHeight="1" x14ac:dyDescent="0.2"/>
    <row r="40936" ht="9.9499999999999993" hidden="1" customHeight="1" x14ac:dyDescent="0.2"/>
    <row r="40937" ht="9.9499999999999993" hidden="1" customHeight="1" x14ac:dyDescent="0.2"/>
    <row r="40938" ht="9.9499999999999993" hidden="1" customHeight="1" x14ac:dyDescent="0.2"/>
    <row r="40939" ht="9.9499999999999993" hidden="1" customHeight="1" x14ac:dyDescent="0.2"/>
    <row r="40940" ht="9.9499999999999993" hidden="1" customHeight="1" x14ac:dyDescent="0.2"/>
    <row r="40941" ht="9.9499999999999993" hidden="1" customHeight="1" x14ac:dyDescent="0.2"/>
    <row r="40942" ht="9.9499999999999993" hidden="1" customHeight="1" x14ac:dyDescent="0.2"/>
    <row r="40943" ht="9.9499999999999993" hidden="1" customHeight="1" x14ac:dyDescent="0.2"/>
    <row r="40944" ht="9.9499999999999993" hidden="1" customHeight="1" x14ac:dyDescent="0.2"/>
    <row r="40945" ht="9.9499999999999993" hidden="1" customHeight="1" x14ac:dyDescent="0.2"/>
    <row r="40946" ht="9.9499999999999993" hidden="1" customHeight="1" x14ac:dyDescent="0.2"/>
    <row r="40947" ht="9.9499999999999993" hidden="1" customHeight="1" x14ac:dyDescent="0.2"/>
    <row r="40948" ht="9.9499999999999993" hidden="1" customHeight="1" x14ac:dyDescent="0.2"/>
    <row r="40949" ht="9.9499999999999993" hidden="1" customHeight="1" x14ac:dyDescent="0.2"/>
    <row r="40950" ht="9.9499999999999993" hidden="1" customHeight="1" x14ac:dyDescent="0.2"/>
    <row r="40951" ht="9.9499999999999993" hidden="1" customHeight="1" x14ac:dyDescent="0.2"/>
    <row r="40952" ht="9.9499999999999993" hidden="1" customHeight="1" x14ac:dyDescent="0.2"/>
    <row r="40953" ht="9.9499999999999993" hidden="1" customHeight="1" x14ac:dyDescent="0.2"/>
    <row r="40954" ht="9.9499999999999993" hidden="1" customHeight="1" x14ac:dyDescent="0.2"/>
    <row r="40955" ht="9.9499999999999993" hidden="1" customHeight="1" x14ac:dyDescent="0.2"/>
    <row r="40956" ht="9.9499999999999993" hidden="1" customHeight="1" x14ac:dyDescent="0.2"/>
    <row r="40957" ht="9.9499999999999993" hidden="1" customHeight="1" x14ac:dyDescent="0.2"/>
    <row r="40958" ht="9.9499999999999993" hidden="1" customHeight="1" x14ac:dyDescent="0.2"/>
    <row r="40959" ht="9.9499999999999993" hidden="1" customHeight="1" x14ac:dyDescent="0.2"/>
    <row r="40960" ht="9.9499999999999993" hidden="1" customHeight="1" x14ac:dyDescent="0.2"/>
    <row r="40961" ht="9.9499999999999993" hidden="1" customHeight="1" x14ac:dyDescent="0.2"/>
    <row r="40962" ht="9.9499999999999993" hidden="1" customHeight="1" x14ac:dyDescent="0.2"/>
    <row r="40963" ht="9.9499999999999993" hidden="1" customHeight="1" x14ac:dyDescent="0.2"/>
    <row r="40964" ht="9.9499999999999993" hidden="1" customHeight="1" x14ac:dyDescent="0.2"/>
    <row r="40965" ht="9.9499999999999993" hidden="1" customHeight="1" x14ac:dyDescent="0.2"/>
    <row r="40966" ht="9.9499999999999993" hidden="1" customHeight="1" x14ac:dyDescent="0.2"/>
    <row r="40967" ht="9.9499999999999993" hidden="1" customHeight="1" x14ac:dyDescent="0.2"/>
    <row r="40968" ht="9.9499999999999993" hidden="1" customHeight="1" x14ac:dyDescent="0.2"/>
    <row r="40969" ht="9.9499999999999993" hidden="1" customHeight="1" x14ac:dyDescent="0.2"/>
    <row r="40970" ht="9.9499999999999993" hidden="1" customHeight="1" x14ac:dyDescent="0.2"/>
    <row r="40971" ht="9.9499999999999993" hidden="1" customHeight="1" x14ac:dyDescent="0.2"/>
    <row r="40972" ht="9.9499999999999993" hidden="1" customHeight="1" x14ac:dyDescent="0.2"/>
    <row r="40973" ht="9.9499999999999993" hidden="1" customHeight="1" x14ac:dyDescent="0.2"/>
    <row r="40974" ht="9.9499999999999993" hidden="1" customHeight="1" x14ac:dyDescent="0.2"/>
    <row r="40975" ht="9.9499999999999993" hidden="1" customHeight="1" x14ac:dyDescent="0.2"/>
    <row r="40976" ht="9.9499999999999993" hidden="1" customHeight="1" x14ac:dyDescent="0.2"/>
    <row r="40977" ht="9.9499999999999993" hidden="1" customHeight="1" x14ac:dyDescent="0.2"/>
    <row r="40978" ht="9.9499999999999993" hidden="1" customHeight="1" x14ac:dyDescent="0.2"/>
    <row r="40979" ht="9.9499999999999993" hidden="1" customHeight="1" x14ac:dyDescent="0.2"/>
    <row r="40980" ht="9.9499999999999993" hidden="1" customHeight="1" x14ac:dyDescent="0.2"/>
    <row r="40981" ht="9.9499999999999993" hidden="1" customHeight="1" x14ac:dyDescent="0.2"/>
    <row r="40982" ht="9.9499999999999993" hidden="1" customHeight="1" x14ac:dyDescent="0.2"/>
    <row r="40983" ht="9.9499999999999993" hidden="1" customHeight="1" x14ac:dyDescent="0.2"/>
    <row r="40984" ht="9.9499999999999993" hidden="1" customHeight="1" x14ac:dyDescent="0.2"/>
    <row r="40985" ht="9.9499999999999993" hidden="1" customHeight="1" x14ac:dyDescent="0.2"/>
    <row r="40986" ht="9.9499999999999993" hidden="1" customHeight="1" x14ac:dyDescent="0.2"/>
    <row r="40987" ht="9.9499999999999993" hidden="1" customHeight="1" x14ac:dyDescent="0.2"/>
    <row r="40988" ht="9.9499999999999993" hidden="1" customHeight="1" x14ac:dyDescent="0.2"/>
    <row r="40989" ht="9.9499999999999993" hidden="1" customHeight="1" x14ac:dyDescent="0.2"/>
    <row r="40990" ht="9.9499999999999993" hidden="1" customHeight="1" x14ac:dyDescent="0.2"/>
    <row r="40991" ht="9.9499999999999993" hidden="1" customHeight="1" x14ac:dyDescent="0.2"/>
    <row r="40992" ht="9.9499999999999993" hidden="1" customHeight="1" x14ac:dyDescent="0.2"/>
    <row r="40993" ht="9.9499999999999993" hidden="1" customHeight="1" x14ac:dyDescent="0.2"/>
    <row r="40994" ht="9.9499999999999993" hidden="1" customHeight="1" x14ac:dyDescent="0.2"/>
    <row r="40995" ht="9.9499999999999993" hidden="1" customHeight="1" x14ac:dyDescent="0.2"/>
    <row r="40996" ht="9.9499999999999993" hidden="1" customHeight="1" x14ac:dyDescent="0.2"/>
    <row r="40997" ht="9.9499999999999993" hidden="1" customHeight="1" x14ac:dyDescent="0.2"/>
    <row r="40998" ht="9.9499999999999993" hidden="1" customHeight="1" x14ac:dyDescent="0.2"/>
    <row r="40999" ht="9.9499999999999993" hidden="1" customHeight="1" x14ac:dyDescent="0.2"/>
    <row r="41000" ht="9.9499999999999993" hidden="1" customHeight="1" x14ac:dyDescent="0.2"/>
    <row r="41001" ht="9.9499999999999993" hidden="1" customHeight="1" x14ac:dyDescent="0.2"/>
    <row r="41002" ht="9.9499999999999993" hidden="1" customHeight="1" x14ac:dyDescent="0.2"/>
    <row r="41003" ht="9.9499999999999993" hidden="1" customHeight="1" x14ac:dyDescent="0.2"/>
    <row r="41004" ht="9.9499999999999993" hidden="1" customHeight="1" x14ac:dyDescent="0.2"/>
    <row r="41005" ht="9.9499999999999993" hidden="1" customHeight="1" x14ac:dyDescent="0.2"/>
    <row r="41006" ht="9.9499999999999993" hidden="1" customHeight="1" x14ac:dyDescent="0.2"/>
    <row r="41007" ht="9.9499999999999993" hidden="1" customHeight="1" x14ac:dyDescent="0.2"/>
    <row r="41008" ht="9.9499999999999993" hidden="1" customHeight="1" x14ac:dyDescent="0.2"/>
    <row r="41009" ht="9.9499999999999993" hidden="1" customHeight="1" x14ac:dyDescent="0.2"/>
    <row r="41010" ht="9.9499999999999993" hidden="1" customHeight="1" x14ac:dyDescent="0.2"/>
    <row r="41011" ht="9.9499999999999993" hidden="1" customHeight="1" x14ac:dyDescent="0.2"/>
    <row r="41012" ht="9.9499999999999993" hidden="1" customHeight="1" x14ac:dyDescent="0.2"/>
    <row r="41013" ht="9.9499999999999993" hidden="1" customHeight="1" x14ac:dyDescent="0.2"/>
    <row r="41014" ht="9.9499999999999993" hidden="1" customHeight="1" x14ac:dyDescent="0.2"/>
    <row r="41015" ht="9.9499999999999993" hidden="1" customHeight="1" x14ac:dyDescent="0.2"/>
    <row r="41016" ht="9.9499999999999993" hidden="1" customHeight="1" x14ac:dyDescent="0.2"/>
    <row r="41017" ht="9.9499999999999993" hidden="1" customHeight="1" x14ac:dyDescent="0.2"/>
    <row r="41018" ht="9.9499999999999993" hidden="1" customHeight="1" x14ac:dyDescent="0.2"/>
    <row r="41019" ht="9.9499999999999993" hidden="1" customHeight="1" x14ac:dyDescent="0.2"/>
    <row r="41020" ht="9.9499999999999993" hidden="1" customHeight="1" x14ac:dyDescent="0.2"/>
    <row r="41021" ht="9.9499999999999993" hidden="1" customHeight="1" x14ac:dyDescent="0.2"/>
    <row r="41022" ht="9.9499999999999993" hidden="1" customHeight="1" x14ac:dyDescent="0.2"/>
    <row r="41023" ht="9.9499999999999993" hidden="1" customHeight="1" x14ac:dyDescent="0.2"/>
    <row r="41024" ht="9.9499999999999993" hidden="1" customHeight="1" x14ac:dyDescent="0.2"/>
    <row r="41025" ht="9.9499999999999993" hidden="1" customHeight="1" x14ac:dyDescent="0.2"/>
    <row r="41026" ht="9.9499999999999993" hidden="1" customHeight="1" x14ac:dyDescent="0.2"/>
    <row r="41027" ht="9.9499999999999993" hidden="1" customHeight="1" x14ac:dyDescent="0.2"/>
    <row r="41028" ht="9.9499999999999993" hidden="1" customHeight="1" x14ac:dyDescent="0.2"/>
    <row r="41029" ht="9.9499999999999993" hidden="1" customHeight="1" x14ac:dyDescent="0.2"/>
    <row r="41030" ht="9.9499999999999993" hidden="1" customHeight="1" x14ac:dyDescent="0.2"/>
    <row r="41031" ht="9.9499999999999993" hidden="1" customHeight="1" x14ac:dyDescent="0.2"/>
    <row r="41032" ht="9.9499999999999993" hidden="1" customHeight="1" x14ac:dyDescent="0.2"/>
    <row r="41033" ht="9.9499999999999993" hidden="1" customHeight="1" x14ac:dyDescent="0.2"/>
    <row r="41034" ht="9.9499999999999993" hidden="1" customHeight="1" x14ac:dyDescent="0.2"/>
    <row r="41035" ht="9.9499999999999993" hidden="1" customHeight="1" x14ac:dyDescent="0.2"/>
    <row r="41036" ht="9.9499999999999993" hidden="1" customHeight="1" x14ac:dyDescent="0.2"/>
    <row r="41037" ht="9.9499999999999993" hidden="1" customHeight="1" x14ac:dyDescent="0.2"/>
    <row r="41038" ht="9.9499999999999993" hidden="1" customHeight="1" x14ac:dyDescent="0.2"/>
    <row r="41039" ht="9.9499999999999993" hidden="1" customHeight="1" x14ac:dyDescent="0.2"/>
    <row r="41040" ht="9.9499999999999993" hidden="1" customHeight="1" x14ac:dyDescent="0.2"/>
    <row r="41041" ht="9.9499999999999993" hidden="1" customHeight="1" x14ac:dyDescent="0.2"/>
    <row r="41042" ht="9.9499999999999993" hidden="1" customHeight="1" x14ac:dyDescent="0.2"/>
    <row r="41043" ht="9.9499999999999993" hidden="1" customHeight="1" x14ac:dyDescent="0.2"/>
    <row r="41044" ht="9.9499999999999993" hidden="1" customHeight="1" x14ac:dyDescent="0.2"/>
    <row r="41045" ht="9.9499999999999993" hidden="1" customHeight="1" x14ac:dyDescent="0.2"/>
    <row r="41046" ht="9.9499999999999993" hidden="1" customHeight="1" x14ac:dyDescent="0.2"/>
    <row r="41047" ht="9.9499999999999993" hidden="1" customHeight="1" x14ac:dyDescent="0.2"/>
    <row r="41048" ht="9.9499999999999993" hidden="1" customHeight="1" x14ac:dyDescent="0.2"/>
    <row r="41049" ht="9.9499999999999993" hidden="1" customHeight="1" x14ac:dyDescent="0.2"/>
    <row r="41050" ht="9.9499999999999993" hidden="1" customHeight="1" x14ac:dyDescent="0.2"/>
    <row r="41051" ht="9.9499999999999993" hidden="1" customHeight="1" x14ac:dyDescent="0.2"/>
    <row r="41052" ht="9.9499999999999993" hidden="1" customHeight="1" x14ac:dyDescent="0.2"/>
    <row r="41053" ht="9.9499999999999993" hidden="1" customHeight="1" x14ac:dyDescent="0.2"/>
    <row r="41054" ht="9.9499999999999993" hidden="1" customHeight="1" x14ac:dyDescent="0.2"/>
    <row r="41055" ht="9.9499999999999993" hidden="1" customHeight="1" x14ac:dyDescent="0.2"/>
    <row r="41056" ht="9.9499999999999993" hidden="1" customHeight="1" x14ac:dyDescent="0.2"/>
    <row r="41057" ht="9.9499999999999993" hidden="1" customHeight="1" x14ac:dyDescent="0.2"/>
    <row r="41058" ht="9.9499999999999993" hidden="1" customHeight="1" x14ac:dyDescent="0.2"/>
    <row r="41059" ht="9.9499999999999993" hidden="1" customHeight="1" x14ac:dyDescent="0.2"/>
    <row r="41060" ht="9.9499999999999993" hidden="1" customHeight="1" x14ac:dyDescent="0.2"/>
    <row r="41061" ht="9.9499999999999993" hidden="1" customHeight="1" x14ac:dyDescent="0.2"/>
    <row r="41062" ht="9.9499999999999993" hidden="1" customHeight="1" x14ac:dyDescent="0.2"/>
    <row r="41063" ht="9.9499999999999993" hidden="1" customHeight="1" x14ac:dyDescent="0.2"/>
    <row r="41064" ht="9.9499999999999993" hidden="1" customHeight="1" x14ac:dyDescent="0.2"/>
    <row r="41065" ht="9.9499999999999993" hidden="1" customHeight="1" x14ac:dyDescent="0.2"/>
    <row r="41066" ht="9.9499999999999993" hidden="1" customHeight="1" x14ac:dyDescent="0.2"/>
    <row r="41067" ht="9.9499999999999993" hidden="1" customHeight="1" x14ac:dyDescent="0.2"/>
    <row r="41068" ht="9.9499999999999993" hidden="1" customHeight="1" x14ac:dyDescent="0.2"/>
    <row r="41069" ht="9.9499999999999993" hidden="1" customHeight="1" x14ac:dyDescent="0.2"/>
    <row r="41070" ht="9.9499999999999993" hidden="1" customHeight="1" x14ac:dyDescent="0.2"/>
    <row r="41071" ht="9.9499999999999993" hidden="1" customHeight="1" x14ac:dyDescent="0.2"/>
    <row r="41072" ht="9.9499999999999993" hidden="1" customHeight="1" x14ac:dyDescent="0.2"/>
    <row r="41073" ht="9.9499999999999993" hidden="1" customHeight="1" x14ac:dyDescent="0.2"/>
    <row r="41074" ht="9.9499999999999993" hidden="1" customHeight="1" x14ac:dyDescent="0.2"/>
    <row r="41075" ht="9.9499999999999993" hidden="1" customHeight="1" x14ac:dyDescent="0.2"/>
    <row r="41076" ht="9.9499999999999993" hidden="1" customHeight="1" x14ac:dyDescent="0.2"/>
    <row r="41077" ht="9.9499999999999993" hidden="1" customHeight="1" x14ac:dyDescent="0.2"/>
    <row r="41078" ht="9.9499999999999993" hidden="1" customHeight="1" x14ac:dyDescent="0.2"/>
    <row r="41079" ht="9.9499999999999993" hidden="1" customHeight="1" x14ac:dyDescent="0.2"/>
    <row r="41080" ht="9.9499999999999993" hidden="1" customHeight="1" x14ac:dyDescent="0.2"/>
    <row r="41081" ht="9.9499999999999993" hidden="1" customHeight="1" x14ac:dyDescent="0.2"/>
    <row r="41082" ht="9.9499999999999993" hidden="1" customHeight="1" x14ac:dyDescent="0.2"/>
    <row r="41083" ht="9.9499999999999993" hidden="1" customHeight="1" x14ac:dyDescent="0.2"/>
    <row r="41084" ht="9.9499999999999993" hidden="1" customHeight="1" x14ac:dyDescent="0.2"/>
    <row r="41085" ht="9.9499999999999993" hidden="1" customHeight="1" x14ac:dyDescent="0.2"/>
    <row r="41086" ht="9.9499999999999993" hidden="1" customHeight="1" x14ac:dyDescent="0.2"/>
    <row r="41087" ht="9.9499999999999993" hidden="1" customHeight="1" x14ac:dyDescent="0.2"/>
    <row r="41088" ht="9.9499999999999993" hidden="1" customHeight="1" x14ac:dyDescent="0.2"/>
    <row r="41089" ht="9.9499999999999993" hidden="1" customHeight="1" x14ac:dyDescent="0.2"/>
    <row r="41090" ht="9.9499999999999993" hidden="1" customHeight="1" x14ac:dyDescent="0.2"/>
    <row r="41091" ht="9.9499999999999993" hidden="1" customHeight="1" x14ac:dyDescent="0.2"/>
    <row r="41092" ht="9.9499999999999993" hidden="1" customHeight="1" x14ac:dyDescent="0.2"/>
    <row r="41093" ht="9.9499999999999993" hidden="1" customHeight="1" x14ac:dyDescent="0.2"/>
    <row r="41094" ht="9.9499999999999993" hidden="1" customHeight="1" x14ac:dyDescent="0.2"/>
    <row r="41095" ht="9.9499999999999993" hidden="1" customHeight="1" x14ac:dyDescent="0.2"/>
    <row r="41096" ht="9.9499999999999993" hidden="1" customHeight="1" x14ac:dyDescent="0.2"/>
    <row r="41097" ht="9.9499999999999993" hidden="1" customHeight="1" x14ac:dyDescent="0.2"/>
    <row r="41098" ht="9.9499999999999993" hidden="1" customHeight="1" x14ac:dyDescent="0.2"/>
    <row r="41099" ht="9.9499999999999993" hidden="1" customHeight="1" x14ac:dyDescent="0.2"/>
    <row r="41100" ht="9.9499999999999993" hidden="1" customHeight="1" x14ac:dyDescent="0.2"/>
    <row r="41101" ht="9.9499999999999993" hidden="1" customHeight="1" x14ac:dyDescent="0.2"/>
    <row r="41102" ht="9.9499999999999993" hidden="1" customHeight="1" x14ac:dyDescent="0.2"/>
    <row r="41103" ht="9.9499999999999993" hidden="1" customHeight="1" x14ac:dyDescent="0.2"/>
    <row r="41104" ht="9.9499999999999993" hidden="1" customHeight="1" x14ac:dyDescent="0.2"/>
    <row r="41105" ht="9.9499999999999993" hidden="1" customHeight="1" x14ac:dyDescent="0.2"/>
    <row r="41106" ht="9.9499999999999993" hidden="1" customHeight="1" x14ac:dyDescent="0.2"/>
    <row r="41107" ht="9.9499999999999993" hidden="1" customHeight="1" x14ac:dyDescent="0.2"/>
    <row r="41108" ht="9.9499999999999993" hidden="1" customHeight="1" x14ac:dyDescent="0.2"/>
    <row r="41109" ht="9.9499999999999993" hidden="1" customHeight="1" x14ac:dyDescent="0.2"/>
    <row r="41110" ht="9.9499999999999993" hidden="1" customHeight="1" x14ac:dyDescent="0.2"/>
    <row r="41111" ht="9.9499999999999993" hidden="1" customHeight="1" x14ac:dyDescent="0.2"/>
    <row r="41112" ht="9.9499999999999993" hidden="1" customHeight="1" x14ac:dyDescent="0.2"/>
    <row r="41113" ht="9.9499999999999993" hidden="1" customHeight="1" x14ac:dyDescent="0.2"/>
    <row r="41114" ht="9.9499999999999993" hidden="1" customHeight="1" x14ac:dyDescent="0.2"/>
    <row r="41115" ht="9.9499999999999993" hidden="1" customHeight="1" x14ac:dyDescent="0.2"/>
    <row r="41116" ht="9.9499999999999993" hidden="1" customHeight="1" x14ac:dyDescent="0.2"/>
    <row r="41117" ht="9.9499999999999993" hidden="1" customHeight="1" x14ac:dyDescent="0.2"/>
    <row r="41118" ht="9.9499999999999993" hidden="1" customHeight="1" x14ac:dyDescent="0.2"/>
    <row r="41119" ht="9.9499999999999993" hidden="1" customHeight="1" x14ac:dyDescent="0.2"/>
    <row r="41120" ht="9.9499999999999993" hidden="1" customHeight="1" x14ac:dyDescent="0.2"/>
    <row r="41121" ht="9.9499999999999993" hidden="1" customHeight="1" x14ac:dyDescent="0.2"/>
    <row r="41122" ht="9.9499999999999993" hidden="1" customHeight="1" x14ac:dyDescent="0.2"/>
    <row r="41123" ht="9.9499999999999993" hidden="1" customHeight="1" x14ac:dyDescent="0.2"/>
    <row r="41124" ht="9.9499999999999993" hidden="1" customHeight="1" x14ac:dyDescent="0.2"/>
    <row r="41125" ht="9.9499999999999993" hidden="1" customHeight="1" x14ac:dyDescent="0.2"/>
    <row r="41126" ht="9.9499999999999993" hidden="1" customHeight="1" x14ac:dyDescent="0.2"/>
    <row r="41127" ht="9.9499999999999993" hidden="1" customHeight="1" x14ac:dyDescent="0.2"/>
    <row r="41128" ht="9.9499999999999993" hidden="1" customHeight="1" x14ac:dyDescent="0.2"/>
    <row r="41129" ht="9.9499999999999993" hidden="1" customHeight="1" x14ac:dyDescent="0.2"/>
    <row r="41130" ht="9.9499999999999993" hidden="1" customHeight="1" x14ac:dyDescent="0.2"/>
    <row r="41131" ht="9.9499999999999993" hidden="1" customHeight="1" x14ac:dyDescent="0.2"/>
    <row r="41132" ht="9.9499999999999993" hidden="1" customHeight="1" x14ac:dyDescent="0.2"/>
    <row r="41133" ht="9.9499999999999993" hidden="1" customHeight="1" x14ac:dyDescent="0.2"/>
    <row r="41134" ht="9.9499999999999993" hidden="1" customHeight="1" x14ac:dyDescent="0.2"/>
    <row r="41135" ht="9.9499999999999993" hidden="1" customHeight="1" x14ac:dyDescent="0.2"/>
    <row r="41136" ht="9.9499999999999993" hidden="1" customHeight="1" x14ac:dyDescent="0.2"/>
    <row r="41137" ht="9.9499999999999993" hidden="1" customHeight="1" x14ac:dyDescent="0.2"/>
    <row r="41138" ht="9.9499999999999993" hidden="1" customHeight="1" x14ac:dyDescent="0.2"/>
    <row r="41139" ht="9.9499999999999993" hidden="1" customHeight="1" x14ac:dyDescent="0.2"/>
    <row r="41140" ht="9.9499999999999993" hidden="1" customHeight="1" x14ac:dyDescent="0.2"/>
    <row r="41141" ht="9.9499999999999993" hidden="1" customHeight="1" x14ac:dyDescent="0.2"/>
    <row r="41142" ht="9.9499999999999993" hidden="1" customHeight="1" x14ac:dyDescent="0.2"/>
    <row r="41143" ht="9.9499999999999993" hidden="1" customHeight="1" x14ac:dyDescent="0.2"/>
    <row r="41144" ht="9.9499999999999993" hidden="1" customHeight="1" x14ac:dyDescent="0.2"/>
    <row r="41145" ht="9.9499999999999993" hidden="1" customHeight="1" x14ac:dyDescent="0.2"/>
    <row r="41146" ht="9.9499999999999993" hidden="1" customHeight="1" x14ac:dyDescent="0.2"/>
    <row r="41147" ht="9.9499999999999993" hidden="1" customHeight="1" x14ac:dyDescent="0.2"/>
    <row r="41148" ht="9.9499999999999993" hidden="1" customHeight="1" x14ac:dyDescent="0.2"/>
    <row r="41149" ht="9.9499999999999993" hidden="1" customHeight="1" x14ac:dyDescent="0.2"/>
    <row r="41150" ht="9.9499999999999993" hidden="1" customHeight="1" x14ac:dyDescent="0.2"/>
    <row r="41151" ht="9.9499999999999993" hidden="1" customHeight="1" x14ac:dyDescent="0.2"/>
    <row r="41152" ht="9.9499999999999993" hidden="1" customHeight="1" x14ac:dyDescent="0.2"/>
    <row r="41153" ht="9.9499999999999993" hidden="1" customHeight="1" x14ac:dyDescent="0.2"/>
    <row r="41154" ht="9.9499999999999993" hidden="1" customHeight="1" x14ac:dyDescent="0.2"/>
    <row r="41155" ht="9.9499999999999993" hidden="1" customHeight="1" x14ac:dyDescent="0.2"/>
    <row r="41156" ht="9.9499999999999993" hidden="1" customHeight="1" x14ac:dyDescent="0.2"/>
    <row r="41157" ht="9.9499999999999993" hidden="1" customHeight="1" x14ac:dyDescent="0.2"/>
    <row r="41158" ht="9.9499999999999993" hidden="1" customHeight="1" x14ac:dyDescent="0.2"/>
    <row r="41159" ht="9.9499999999999993" hidden="1" customHeight="1" x14ac:dyDescent="0.2"/>
    <row r="41160" ht="9.9499999999999993" hidden="1" customHeight="1" x14ac:dyDescent="0.2"/>
    <row r="41161" ht="9.9499999999999993" hidden="1" customHeight="1" x14ac:dyDescent="0.2"/>
    <row r="41162" ht="9.9499999999999993" hidden="1" customHeight="1" x14ac:dyDescent="0.2"/>
    <row r="41163" ht="9.9499999999999993" hidden="1" customHeight="1" x14ac:dyDescent="0.2"/>
    <row r="41164" ht="9.9499999999999993" hidden="1" customHeight="1" x14ac:dyDescent="0.2"/>
    <row r="41165" ht="9.9499999999999993" hidden="1" customHeight="1" x14ac:dyDescent="0.2"/>
    <row r="41166" ht="9.9499999999999993" hidden="1" customHeight="1" x14ac:dyDescent="0.2"/>
    <row r="41167" ht="9.9499999999999993" hidden="1" customHeight="1" x14ac:dyDescent="0.2"/>
    <row r="41168" ht="9.9499999999999993" hidden="1" customHeight="1" x14ac:dyDescent="0.2"/>
    <row r="41169" ht="9.9499999999999993" hidden="1" customHeight="1" x14ac:dyDescent="0.2"/>
    <row r="41170" ht="9.9499999999999993" hidden="1" customHeight="1" x14ac:dyDescent="0.2"/>
    <row r="41171" ht="9.9499999999999993" hidden="1" customHeight="1" x14ac:dyDescent="0.2"/>
    <row r="41172" ht="9.9499999999999993" hidden="1" customHeight="1" x14ac:dyDescent="0.2"/>
    <row r="41173" ht="9.9499999999999993" hidden="1" customHeight="1" x14ac:dyDescent="0.2"/>
    <row r="41174" ht="9.9499999999999993" hidden="1" customHeight="1" x14ac:dyDescent="0.2"/>
    <row r="41175" ht="9.9499999999999993" hidden="1" customHeight="1" x14ac:dyDescent="0.2"/>
    <row r="41176" ht="9.9499999999999993" hidden="1" customHeight="1" x14ac:dyDescent="0.2"/>
    <row r="41177" ht="9.9499999999999993" hidden="1" customHeight="1" x14ac:dyDescent="0.2"/>
    <row r="41178" ht="9.9499999999999993" hidden="1" customHeight="1" x14ac:dyDescent="0.2"/>
    <row r="41179" ht="9.9499999999999993" hidden="1" customHeight="1" x14ac:dyDescent="0.2"/>
    <row r="41180" ht="9.9499999999999993" hidden="1" customHeight="1" x14ac:dyDescent="0.2"/>
    <row r="41181" ht="9.9499999999999993" hidden="1" customHeight="1" x14ac:dyDescent="0.2"/>
    <row r="41182" ht="9.9499999999999993" hidden="1" customHeight="1" x14ac:dyDescent="0.2"/>
    <row r="41183" ht="9.9499999999999993" hidden="1" customHeight="1" x14ac:dyDescent="0.2"/>
    <row r="41184" ht="9.9499999999999993" hidden="1" customHeight="1" x14ac:dyDescent="0.2"/>
    <row r="41185" ht="9.9499999999999993" hidden="1" customHeight="1" x14ac:dyDescent="0.2"/>
    <row r="41186" ht="9.9499999999999993" hidden="1" customHeight="1" x14ac:dyDescent="0.2"/>
    <row r="41187" ht="9.9499999999999993" hidden="1" customHeight="1" x14ac:dyDescent="0.2"/>
    <row r="41188" ht="9.9499999999999993" hidden="1" customHeight="1" x14ac:dyDescent="0.2"/>
    <row r="41189" ht="9.9499999999999993" hidden="1" customHeight="1" x14ac:dyDescent="0.2"/>
    <row r="41190" ht="9.9499999999999993" hidden="1" customHeight="1" x14ac:dyDescent="0.2"/>
    <row r="41191" ht="9.9499999999999993" hidden="1" customHeight="1" x14ac:dyDescent="0.2"/>
    <row r="41192" ht="9.9499999999999993" hidden="1" customHeight="1" x14ac:dyDescent="0.2"/>
    <row r="41193" ht="9.9499999999999993" hidden="1" customHeight="1" x14ac:dyDescent="0.2"/>
    <row r="41194" ht="9.9499999999999993" hidden="1" customHeight="1" x14ac:dyDescent="0.2"/>
    <row r="41195" ht="9.9499999999999993" hidden="1" customHeight="1" x14ac:dyDescent="0.2"/>
    <row r="41196" ht="9.9499999999999993" hidden="1" customHeight="1" x14ac:dyDescent="0.2"/>
    <row r="41197" ht="9.9499999999999993" hidden="1" customHeight="1" x14ac:dyDescent="0.2"/>
    <row r="41198" ht="9.9499999999999993" hidden="1" customHeight="1" x14ac:dyDescent="0.2"/>
    <row r="41199" ht="9.9499999999999993" hidden="1" customHeight="1" x14ac:dyDescent="0.2"/>
    <row r="41200" ht="9.9499999999999993" hidden="1" customHeight="1" x14ac:dyDescent="0.2"/>
    <row r="41201" ht="9.9499999999999993" hidden="1" customHeight="1" x14ac:dyDescent="0.2"/>
    <row r="41202" ht="9.9499999999999993" hidden="1" customHeight="1" x14ac:dyDescent="0.2"/>
    <row r="41203" ht="9.9499999999999993" hidden="1" customHeight="1" x14ac:dyDescent="0.2"/>
    <row r="41204" ht="9.9499999999999993" hidden="1" customHeight="1" x14ac:dyDescent="0.2"/>
    <row r="41205" ht="9.9499999999999993" hidden="1" customHeight="1" x14ac:dyDescent="0.2"/>
    <row r="41206" ht="9.9499999999999993" hidden="1" customHeight="1" x14ac:dyDescent="0.2"/>
    <row r="41207" ht="9.9499999999999993" hidden="1" customHeight="1" x14ac:dyDescent="0.2"/>
    <row r="41208" ht="9.9499999999999993" hidden="1" customHeight="1" x14ac:dyDescent="0.2"/>
    <row r="41209" ht="9.9499999999999993" hidden="1" customHeight="1" x14ac:dyDescent="0.2"/>
    <row r="41210" ht="9.9499999999999993" hidden="1" customHeight="1" x14ac:dyDescent="0.2"/>
    <row r="41211" ht="9.9499999999999993" hidden="1" customHeight="1" x14ac:dyDescent="0.2"/>
    <row r="41212" ht="9.9499999999999993" hidden="1" customHeight="1" x14ac:dyDescent="0.2"/>
    <row r="41213" ht="9.9499999999999993" hidden="1" customHeight="1" x14ac:dyDescent="0.2"/>
    <row r="41214" ht="9.9499999999999993" hidden="1" customHeight="1" x14ac:dyDescent="0.2"/>
    <row r="41215" ht="9.9499999999999993" hidden="1" customHeight="1" x14ac:dyDescent="0.2"/>
    <row r="41216" ht="9.9499999999999993" hidden="1" customHeight="1" x14ac:dyDescent="0.2"/>
    <row r="41217" ht="9.9499999999999993" hidden="1" customHeight="1" x14ac:dyDescent="0.2"/>
    <row r="41218" ht="9.9499999999999993" hidden="1" customHeight="1" x14ac:dyDescent="0.2"/>
    <row r="41219" ht="9.9499999999999993" hidden="1" customHeight="1" x14ac:dyDescent="0.2"/>
    <row r="41220" ht="9.9499999999999993" hidden="1" customHeight="1" x14ac:dyDescent="0.2"/>
    <row r="41221" ht="9.9499999999999993" hidden="1" customHeight="1" x14ac:dyDescent="0.2"/>
    <row r="41222" ht="9.9499999999999993" hidden="1" customHeight="1" x14ac:dyDescent="0.2"/>
    <row r="41223" ht="9.9499999999999993" hidden="1" customHeight="1" x14ac:dyDescent="0.2"/>
    <row r="41224" ht="9.9499999999999993" hidden="1" customHeight="1" x14ac:dyDescent="0.2"/>
    <row r="41225" ht="9.9499999999999993" hidden="1" customHeight="1" x14ac:dyDescent="0.2"/>
    <row r="41226" ht="9.9499999999999993" hidden="1" customHeight="1" x14ac:dyDescent="0.2"/>
    <row r="41227" ht="9.9499999999999993" hidden="1" customHeight="1" x14ac:dyDescent="0.2"/>
    <row r="41228" ht="9.9499999999999993" hidden="1" customHeight="1" x14ac:dyDescent="0.2"/>
    <row r="41229" ht="9.9499999999999993" hidden="1" customHeight="1" x14ac:dyDescent="0.2"/>
    <row r="41230" ht="9.9499999999999993" hidden="1" customHeight="1" x14ac:dyDescent="0.2"/>
    <row r="41231" ht="9.9499999999999993" hidden="1" customHeight="1" x14ac:dyDescent="0.2"/>
    <row r="41232" ht="9.9499999999999993" hidden="1" customHeight="1" x14ac:dyDescent="0.2"/>
    <row r="41233" ht="9.9499999999999993" hidden="1" customHeight="1" x14ac:dyDescent="0.2"/>
    <row r="41234" ht="9.9499999999999993" hidden="1" customHeight="1" x14ac:dyDescent="0.2"/>
    <row r="41235" ht="9.9499999999999993" hidden="1" customHeight="1" x14ac:dyDescent="0.2"/>
    <row r="41236" ht="9.9499999999999993" hidden="1" customHeight="1" x14ac:dyDescent="0.2"/>
    <row r="41237" ht="9.9499999999999993" hidden="1" customHeight="1" x14ac:dyDescent="0.2"/>
    <row r="41238" ht="9.9499999999999993" hidden="1" customHeight="1" x14ac:dyDescent="0.2"/>
    <row r="41239" ht="9.9499999999999993" hidden="1" customHeight="1" x14ac:dyDescent="0.2"/>
    <row r="41240" ht="9.9499999999999993" hidden="1" customHeight="1" x14ac:dyDescent="0.2"/>
    <row r="41241" ht="9.9499999999999993" hidden="1" customHeight="1" x14ac:dyDescent="0.2"/>
    <row r="41242" ht="9.9499999999999993" hidden="1" customHeight="1" x14ac:dyDescent="0.2"/>
    <row r="41243" ht="9.9499999999999993" hidden="1" customHeight="1" x14ac:dyDescent="0.2"/>
    <row r="41244" ht="9.9499999999999993" hidden="1" customHeight="1" x14ac:dyDescent="0.2"/>
    <row r="41245" ht="9.9499999999999993" hidden="1" customHeight="1" x14ac:dyDescent="0.2"/>
    <row r="41246" ht="9.9499999999999993" hidden="1" customHeight="1" x14ac:dyDescent="0.2"/>
    <row r="41247" ht="9.9499999999999993" hidden="1" customHeight="1" x14ac:dyDescent="0.2"/>
    <row r="41248" ht="9.9499999999999993" hidden="1" customHeight="1" x14ac:dyDescent="0.2"/>
    <row r="41249" ht="9.9499999999999993" hidden="1" customHeight="1" x14ac:dyDescent="0.2"/>
    <row r="41250" ht="9.9499999999999993" hidden="1" customHeight="1" x14ac:dyDescent="0.2"/>
    <row r="41251" ht="9.9499999999999993" hidden="1" customHeight="1" x14ac:dyDescent="0.2"/>
    <row r="41252" ht="9.9499999999999993" hidden="1" customHeight="1" x14ac:dyDescent="0.2"/>
    <row r="41253" ht="9.9499999999999993" hidden="1" customHeight="1" x14ac:dyDescent="0.2"/>
    <row r="41254" ht="9.9499999999999993" hidden="1" customHeight="1" x14ac:dyDescent="0.2"/>
    <row r="41255" ht="9.9499999999999993" hidden="1" customHeight="1" x14ac:dyDescent="0.2"/>
    <row r="41256" ht="9.9499999999999993" hidden="1" customHeight="1" x14ac:dyDescent="0.2"/>
    <row r="41257" ht="9.9499999999999993" hidden="1" customHeight="1" x14ac:dyDescent="0.2"/>
    <row r="41258" ht="9.9499999999999993" hidden="1" customHeight="1" x14ac:dyDescent="0.2"/>
    <row r="41259" ht="9.9499999999999993" hidden="1" customHeight="1" x14ac:dyDescent="0.2"/>
    <row r="41260" ht="9.9499999999999993" hidden="1" customHeight="1" x14ac:dyDescent="0.2"/>
    <row r="41261" ht="9.9499999999999993" hidden="1" customHeight="1" x14ac:dyDescent="0.2"/>
    <row r="41262" ht="9.9499999999999993" hidden="1" customHeight="1" x14ac:dyDescent="0.2"/>
    <row r="41263" ht="9.9499999999999993" hidden="1" customHeight="1" x14ac:dyDescent="0.2"/>
    <row r="41264" ht="9.9499999999999993" hidden="1" customHeight="1" x14ac:dyDescent="0.2"/>
    <row r="41265" ht="9.9499999999999993" hidden="1" customHeight="1" x14ac:dyDescent="0.2"/>
    <row r="41266" ht="9.9499999999999993" hidden="1" customHeight="1" x14ac:dyDescent="0.2"/>
    <row r="41267" ht="9.9499999999999993" hidden="1" customHeight="1" x14ac:dyDescent="0.2"/>
    <row r="41268" ht="9.9499999999999993" hidden="1" customHeight="1" x14ac:dyDescent="0.2"/>
    <row r="41269" ht="9.9499999999999993" hidden="1" customHeight="1" x14ac:dyDescent="0.2"/>
    <row r="41270" ht="9.9499999999999993" hidden="1" customHeight="1" x14ac:dyDescent="0.2"/>
    <row r="41271" ht="9.9499999999999993" hidden="1" customHeight="1" x14ac:dyDescent="0.2"/>
    <row r="41272" ht="9.9499999999999993" hidden="1" customHeight="1" x14ac:dyDescent="0.2"/>
    <row r="41273" ht="9.9499999999999993" hidden="1" customHeight="1" x14ac:dyDescent="0.2"/>
    <row r="41274" ht="9.9499999999999993" hidden="1" customHeight="1" x14ac:dyDescent="0.2"/>
    <row r="41275" ht="9.9499999999999993" hidden="1" customHeight="1" x14ac:dyDescent="0.2"/>
    <row r="41276" ht="9.9499999999999993" hidden="1" customHeight="1" x14ac:dyDescent="0.2"/>
    <row r="41277" ht="9.9499999999999993" hidden="1" customHeight="1" x14ac:dyDescent="0.2"/>
    <row r="41278" ht="9.9499999999999993" hidden="1" customHeight="1" x14ac:dyDescent="0.2"/>
    <row r="41279" ht="9.9499999999999993" hidden="1" customHeight="1" x14ac:dyDescent="0.2"/>
    <row r="41280" ht="9.9499999999999993" hidden="1" customHeight="1" x14ac:dyDescent="0.2"/>
    <row r="41281" ht="9.9499999999999993" hidden="1" customHeight="1" x14ac:dyDescent="0.2"/>
    <row r="41282" ht="9.9499999999999993" hidden="1" customHeight="1" x14ac:dyDescent="0.2"/>
    <row r="41283" ht="9.9499999999999993" hidden="1" customHeight="1" x14ac:dyDescent="0.2"/>
    <row r="41284" ht="9.9499999999999993" hidden="1" customHeight="1" x14ac:dyDescent="0.2"/>
    <row r="41285" ht="9.9499999999999993" hidden="1" customHeight="1" x14ac:dyDescent="0.2"/>
    <row r="41286" ht="9.9499999999999993" hidden="1" customHeight="1" x14ac:dyDescent="0.2"/>
    <row r="41287" ht="9.9499999999999993" hidden="1" customHeight="1" x14ac:dyDescent="0.2"/>
    <row r="41288" ht="9.9499999999999993" hidden="1" customHeight="1" x14ac:dyDescent="0.2"/>
    <row r="41289" ht="9.9499999999999993" hidden="1" customHeight="1" x14ac:dyDescent="0.2"/>
    <row r="41290" ht="9.9499999999999993" hidden="1" customHeight="1" x14ac:dyDescent="0.2"/>
    <row r="41291" ht="9.9499999999999993" hidden="1" customHeight="1" x14ac:dyDescent="0.2"/>
    <row r="41292" ht="9.9499999999999993" hidden="1" customHeight="1" x14ac:dyDescent="0.2"/>
    <row r="41293" ht="9.9499999999999993" hidden="1" customHeight="1" x14ac:dyDescent="0.2"/>
    <row r="41294" ht="9.9499999999999993" hidden="1" customHeight="1" x14ac:dyDescent="0.2"/>
    <row r="41295" ht="9.9499999999999993" hidden="1" customHeight="1" x14ac:dyDescent="0.2"/>
    <row r="41296" ht="9.9499999999999993" hidden="1" customHeight="1" x14ac:dyDescent="0.2"/>
    <row r="41297" ht="9.9499999999999993" hidden="1" customHeight="1" x14ac:dyDescent="0.2"/>
    <row r="41298" ht="9.9499999999999993" hidden="1" customHeight="1" x14ac:dyDescent="0.2"/>
    <row r="41299" ht="9.9499999999999993" hidden="1" customHeight="1" x14ac:dyDescent="0.2"/>
    <row r="41300" ht="9.9499999999999993" hidden="1" customHeight="1" x14ac:dyDescent="0.2"/>
    <row r="41301" ht="9.9499999999999993" hidden="1" customHeight="1" x14ac:dyDescent="0.2"/>
    <row r="41302" ht="9.9499999999999993" hidden="1" customHeight="1" x14ac:dyDescent="0.2"/>
    <row r="41303" ht="9.9499999999999993" hidden="1" customHeight="1" x14ac:dyDescent="0.2"/>
    <row r="41304" ht="9.9499999999999993" hidden="1" customHeight="1" x14ac:dyDescent="0.2"/>
    <row r="41305" ht="9.9499999999999993" hidden="1" customHeight="1" x14ac:dyDescent="0.2"/>
    <row r="41306" ht="9.9499999999999993" hidden="1" customHeight="1" x14ac:dyDescent="0.2"/>
    <row r="41307" ht="9.9499999999999993" hidden="1" customHeight="1" x14ac:dyDescent="0.2"/>
    <row r="41308" ht="9.9499999999999993" hidden="1" customHeight="1" x14ac:dyDescent="0.2"/>
    <row r="41309" ht="9.9499999999999993" hidden="1" customHeight="1" x14ac:dyDescent="0.2"/>
    <row r="41310" ht="9.9499999999999993" hidden="1" customHeight="1" x14ac:dyDescent="0.2"/>
    <row r="41311" ht="9.9499999999999993" hidden="1" customHeight="1" x14ac:dyDescent="0.2"/>
    <row r="41312" ht="9.9499999999999993" hidden="1" customHeight="1" x14ac:dyDescent="0.2"/>
    <row r="41313" ht="9.9499999999999993" hidden="1" customHeight="1" x14ac:dyDescent="0.2"/>
    <row r="41314" ht="9.9499999999999993" hidden="1" customHeight="1" x14ac:dyDescent="0.2"/>
    <row r="41315" ht="9.9499999999999993" hidden="1" customHeight="1" x14ac:dyDescent="0.2"/>
    <row r="41316" ht="9.9499999999999993" hidden="1" customHeight="1" x14ac:dyDescent="0.2"/>
    <row r="41317" ht="9.9499999999999993" hidden="1" customHeight="1" x14ac:dyDescent="0.2"/>
    <row r="41318" ht="9.9499999999999993" hidden="1" customHeight="1" x14ac:dyDescent="0.2"/>
    <row r="41319" ht="9.9499999999999993" hidden="1" customHeight="1" x14ac:dyDescent="0.2"/>
    <row r="41320" ht="9.9499999999999993" hidden="1" customHeight="1" x14ac:dyDescent="0.2"/>
    <row r="41321" ht="9.9499999999999993" hidden="1" customHeight="1" x14ac:dyDescent="0.2"/>
    <row r="41322" ht="9.9499999999999993" hidden="1" customHeight="1" x14ac:dyDescent="0.2"/>
    <row r="41323" ht="9.9499999999999993" hidden="1" customHeight="1" x14ac:dyDescent="0.2"/>
    <row r="41324" ht="9.9499999999999993" hidden="1" customHeight="1" x14ac:dyDescent="0.2"/>
    <row r="41325" ht="9.9499999999999993" hidden="1" customHeight="1" x14ac:dyDescent="0.2"/>
    <row r="41326" ht="9.9499999999999993" hidden="1" customHeight="1" x14ac:dyDescent="0.2"/>
    <row r="41327" ht="9.9499999999999993" hidden="1" customHeight="1" x14ac:dyDescent="0.2"/>
    <row r="41328" ht="9.9499999999999993" hidden="1" customHeight="1" x14ac:dyDescent="0.2"/>
    <row r="41329" ht="9.9499999999999993" hidden="1" customHeight="1" x14ac:dyDescent="0.2"/>
    <row r="41330" ht="9.9499999999999993" hidden="1" customHeight="1" x14ac:dyDescent="0.2"/>
    <row r="41331" ht="9.9499999999999993" hidden="1" customHeight="1" x14ac:dyDescent="0.2"/>
    <row r="41332" ht="9.9499999999999993" hidden="1" customHeight="1" x14ac:dyDescent="0.2"/>
    <row r="41333" ht="9.9499999999999993" hidden="1" customHeight="1" x14ac:dyDescent="0.2"/>
    <row r="41334" ht="9.9499999999999993" hidden="1" customHeight="1" x14ac:dyDescent="0.2"/>
    <row r="41335" ht="9.9499999999999993" hidden="1" customHeight="1" x14ac:dyDescent="0.2"/>
    <row r="41336" ht="9.9499999999999993" hidden="1" customHeight="1" x14ac:dyDescent="0.2"/>
    <row r="41337" ht="9.9499999999999993" hidden="1" customHeight="1" x14ac:dyDescent="0.2"/>
    <row r="41338" ht="9.9499999999999993" hidden="1" customHeight="1" x14ac:dyDescent="0.2"/>
    <row r="41339" ht="9.9499999999999993" hidden="1" customHeight="1" x14ac:dyDescent="0.2"/>
    <row r="41340" ht="9.9499999999999993" hidden="1" customHeight="1" x14ac:dyDescent="0.2"/>
    <row r="41341" ht="9.9499999999999993" hidden="1" customHeight="1" x14ac:dyDescent="0.2"/>
    <row r="41342" ht="9.9499999999999993" hidden="1" customHeight="1" x14ac:dyDescent="0.2"/>
    <row r="41343" ht="9.9499999999999993" hidden="1" customHeight="1" x14ac:dyDescent="0.2"/>
    <row r="41344" ht="9.9499999999999993" hidden="1" customHeight="1" x14ac:dyDescent="0.2"/>
    <row r="41345" ht="9.9499999999999993" hidden="1" customHeight="1" x14ac:dyDescent="0.2"/>
    <row r="41346" ht="9.9499999999999993" hidden="1" customHeight="1" x14ac:dyDescent="0.2"/>
    <row r="41347" ht="9.9499999999999993" hidden="1" customHeight="1" x14ac:dyDescent="0.2"/>
    <row r="41348" ht="9.9499999999999993" hidden="1" customHeight="1" x14ac:dyDescent="0.2"/>
    <row r="41349" ht="9.9499999999999993" hidden="1" customHeight="1" x14ac:dyDescent="0.2"/>
    <row r="41350" ht="9.9499999999999993" hidden="1" customHeight="1" x14ac:dyDescent="0.2"/>
    <row r="41351" ht="9.9499999999999993" hidden="1" customHeight="1" x14ac:dyDescent="0.2"/>
    <row r="41352" ht="9.9499999999999993" hidden="1" customHeight="1" x14ac:dyDescent="0.2"/>
    <row r="41353" ht="9.9499999999999993" hidden="1" customHeight="1" x14ac:dyDescent="0.2"/>
    <row r="41354" ht="9.9499999999999993" hidden="1" customHeight="1" x14ac:dyDescent="0.2"/>
    <row r="41355" ht="9.9499999999999993" hidden="1" customHeight="1" x14ac:dyDescent="0.2"/>
    <row r="41356" ht="9.9499999999999993" hidden="1" customHeight="1" x14ac:dyDescent="0.2"/>
    <row r="41357" ht="9.9499999999999993" hidden="1" customHeight="1" x14ac:dyDescent="0.2"/>
    <row r="41358" ht="9.9499999999999993" hidden="1" customHeight="1" x14ac:dyDescent="0.2"/>
    <row r="41359" ht="9.9499999999999993" hidden="1" customHeight="1" x14ac:dyDescent="0.2"/>
    <row r="41360" ht="9.9499999999999993" hidden="1" customHeight="1" x14ac:dyDescent="0.2"/>
    <row r="41361" ht="9.9499999999999993" hidden="1" customHeight="1" x14ac:dyDescent="0.2"/>
    <row r="41362" ht="9.9499999999999993" hidden="1" customHeight="1" x14ac:dyDescent="0.2"/>
    <row r="41363" ht="9.9499999999999993" hidden="1" customHeight="1" x14ac:dyDescent="0.2"/>
    <row r="41364" ht="9.9499999999999993" hidden="1" customHeight="1" x14ac:dyDescent="0.2"/>
    <row r="41365" ht="9.9499999999999993" hidden="1" customHeight="1" x14ac:dyDescent="0.2"/>
    <row r="41366" ht="9.9499999999999993" hidden="1" customHeight="1" x14ac:dyDescent="0.2"/>
    <row r="41367" ht="9.9499999999999993" hidden="1" customHeight="1" x14ac:dyDescent="0.2"/>
    <row r="41368" ht="9.9499999999999993" hidden="1" customHeight="1" x14ac:dyDescent="0.2"/>
    <row r="41369" ht="9.9499999999999993" hidden="1" customHeight="1" x14ac:dyDescent="0.2"/>
    <row r="41370" ht="9.9499999999999993" hidden="1" customHeight="1" x14ac:dyDescent="0.2"/>
    <row r="41371" ht="9.9499999999999993" hidden="1" customHeight="1" x14ac:dyDescent="0.2"/>
    <row r="41372" ht="9.9499999999999993" hidden="1" customHeight="1" x14ac:dyDescent="0.2"/>
    <row r="41373" ht="9.9499999999999993" hidden="1" customHeight="1" x14ac:dyDescent="0.2"/>
    <row r="41374" ht="9.9499999999999993" hidden="1" customHeight="1" x14ac:dyDescent="0.2"/>
    <row r="41375" ht="9.9499999999999993" hidden="1" customHeight="1" x14ac:dyDescent="0.2"/>
    <row r="41376" ht="9.9499999999999993" hidden="1" customHeight="1" x14ac:dyDescent="0.2"/>
    <row r="41377" ht="9.9499999999999993" hidden="1" customHeight="1" x14ac:dyDescent="0.2"/>
    <row r="41378" ht="9.9499999999999993" hidden="1" customHeight="1" x14ac:dyDescent="0.2"/>
    <row r="41379" ht="9.9499999999999993" hidden="1" customHeight="1" x14ac:dyDescent="0.2"/>
    <row r="41380" ht="9.9499999999999993" hidden="1" customHeight="1" x14ac:dyDescent="0.2"/>
    <row r="41381" ht="9.9499999999999993" hidden="1" customHeight="1" x14ac:dyDescent="0.2"/>
    <row r="41382" ht="9.9499999999999993" hidden="1" customHeight="1" x14ac:dyDescent="0.2"/>
    <row r="41383" ht="9.9499999999999993" hidden="1" customHeight="1" x14ac:dyDescent="0.2"/>
    <row r="41384" ht="9.9499999999999993" hidden="1" customHeight="1" x14ac:dyDescent="0.2"/>
    <row r="41385" ht="9.9499999999999993" hidden="1" customHeight="1" x14ac:dyDescent="0.2"/>
    <row r="41386" ht="9.9499999999999993" hidden="1" customHeight="1" x14ac:dyDescent="0.2"/>
    <row r="41387" ht="9.9499999999999993" hidden="1" customHeight="1" x14ac:dyDescent="0.2"/>
    <row r="41388" ht="9.9499999999999993" hidden="1" customHeight="1" x14ac:dyDescent="0.2"/>
    <row r="41389" ht="9.9499999999999993" hidden="1" customHeight="1" x14ac:dyDescent="0.2"/>
    <row r="41390" ht="9.9499999999999993" hidden="1" customHeight="1" x14ac:dyDescent="0.2"/>
    <row r="41391" ht="9.9499999999999993" hidden="1" customHeight="1" x14ac:dyDescent="0.2"/>
    <row r="41392" ht="9.9499999999999993" hidden="1" customHeight="1" x14ac:dyDescent="0.2"/>
    <row r="41393" ht="9.9499999999999993" hidden="1" customHeight="1" x14ac:dyDescent="0.2"/>
    <row r="41394" ht="9.9499999999999993" hidden="1" customHeight="1" x14ac:dyDescent="0.2"/>
    <row r="41395" ht="9.9499999999999993" hidden="1" customHeight="1" x14ac:dyDescent="0.2"/>
    <row r="41396" ht="9.9499999999999993" hidden="1" customHeight="1" x14ac:dyDescent="0.2"/>
    <row r="41397" ht="9.9499999999999993" hidden="1" customHeight="1" x14ac:dyDescent="0.2"/>
    <row r="41398" ht="9.9499999999999993" hidden="1" customHeight="1" x14ac:dyDescent="0.2"/>
    <row r="41399" ht="9.9499999999999993" hidden="1" customHeight="1" x14ac:dyDescent="0.2"/>
    <row r="41400" ht="9.9499999999999993" hidden="1" customHeight="1" x14ac:dyDescent="0.2"/>
    <row r="41401" ht="9.9499999999999993" hidden="1" customHeight="1" x14ac:dyDescent="0.2"/>
    <row r="41402" ht="9.9499999999999993" hidden="1" customHeight="1" x14ac:dyDescent="0.2"/>
    <row r="41403" ht="9.9499999999999993" hidden="1" customHeight="1" x14ac:dyDescent="0.2"/>
    <row r="41404" ht="9.9499999999999993" hidden="1" customHeight="1" x14ac:dyDescent="0.2"/>
    <row r="41405" ht="9.9499999999999993" hidden="1" customHeight="1" x14ac:dyDescent="0.2"/>
    <row r="41406" ht="9.9499999999999993" hidden="1" customHeight="1" x14ac:dyDescent="0.2"/>
    <row r="41407" ht="9.9499999999999993" hidden="1" customHeight="1" x14ac:dyDescent="0.2"/>
    <row r="41408" ht="9.9499999999999993" hidden="1" customHeight="1" x14ac:dyDescent="0.2"/>
    <row r="41409" ht="9.9499999999999993" hidden="1" customHeight="1" x14ac:dyDescent="0.2"/>
    <row r="41410" ht="9.9499999999999993" hidden="1" customHeight="1" x14ac:dyDescent="0.2"/>
    <row r="41411" ht="9.9499999999999993" hidden="1" customHeight="1" x14ac:dyDescent="0.2"/>
    <row r="41412" ht="9.9499999999999993" hidden="1" customHeight="1" x14ac:dyDescent="0.2"/>
    <row r="41413" ht="9.9499999999999993" hidden="1" customHeight="1" x14ac:dyDescent="0.2"/>
    <row r="41414" ht="9.9499999999999993" hidden="1" customHeight="1" x14ac:dyDescent="0.2"/>
    <row r="41415" ht="9.9499999999999993" hidden="1" customHeight="1" x14ac:dyDescent="0.2"/>
    <row r="41416" ht="9.9499999999999993" hidden="1" customHeight="1" x14ac:dyDescent="0.2"/>
    <row r="41417" ht="9.9499999999999993" hidden="1" customHeight="1" x14ac:dyDescent="0.2"/>
    <row r="41418" ht="9.9499999999999993" hidden="1" customHeight="1" x14ac:dyDescent="0.2"/>
    <row r="41419" ht="9.9499999999999993" hidden="1" customHeight="1" x14ac:dyDescent="0.2"/>
    <row r="41420" ht="9.9499999999999993" hidden="1" customHeight="1" x14ac:dyDescent="0.2"/>
    <row r="41421" ht="9.9499999999999993" hidden="1" customHeight="1" x14ac:dyDescent="0.2"/>
    <row r="41422" ht="9.9499999999999993" hidden="1" customHeight="1" x14ac:dyDescent="0.2"/>
    <row r="41423" ht="9.9499999999999993" hidden="1" customHeight="1" x14ac:dyDescent="0.2"/>
    <row r="41424" ht="9.9499999999999993" hidden="1" customHeight="1" x14ac:dyDescent="0.2"/>
    <row r="41425" ht="9.9499999999999993" hidden="1" customHeight="1" x14ac:dyDescent="0.2"/>
    <row r="41426" ht="9.9499999999999993" hidden="1" customHeight="1" x14ac:dyDescent="0.2"/>
    <row r="41427" ht="9.9499999999999993" hidden="1" customHeight="1" x14ac:dyDescent="0.2"/>
    <row r="41428" ht="9.9499999999999993" hidden="1" customHeight="1" x14ac:dyDescent="0.2"/>
    <row r="41429" ht="9.9499999999999993" hidden="1" customHeight="1" x14ac:dyDescent="0.2"/>
    <row r="41430" ht="9.9499999999999993" hidden="1" customHeight="1" x14ac:dyDescent="0.2"/>
    <row r="41431" ht="9.9499999999999993" hidden="1" customHeight="1" x14ac:dyDescent="0.2"/>
    <row r="41432" ht="9.9499999999999993" hidden="1" customHeight="1" x14ac:dyDescent="0.2"/>
    <row r="41433" ht="9.9499999999999993" hidden="1" customHeight="1" x14ac:dyDescent="0.2"/>
    <row r="41434" ht="9.9499999999999993" hidden="1" customHeight="1" x14ac:dyDescent="0.2"/>
    <row r="41435" ht="9.9499999999999993" hidden="1" customHeight="1" x14ac:dyDescent="0.2"/>
    <row r="41436" ht="9.9499999999999993" hidden="1" customHeight="1" x14ac:dyDescent="0.2"/>
    <row r="41437" ht="9.9499999999999993" hidden="1" customHeight="1" x14ac:dyDescent="0.2"/>
    <row r="41438" ht="9.9499999999999993" hidden="1" customHeight="1" x14ac:dyDescent="0.2"/>
    <row r="41439" ht="9.9499999999999993" hidden="1" customHeight="1" x14ac:dyDescent="0.2"/>
    <row r="41440" ht="9.9499999999999993" hidden="1" customHeight="1" x14ac:dyDescent="0.2"/>
    <row r="41441" ht="9.9499999999999993" hidden="1" customHeight="1" x14ac:dyDescent="0.2"/>
    <row r="41442" ht="9.9499999999999993" hidden="1" customHeight="1" x14ac:dyDescent="0.2"/>
    <row r="41443" ht="9.9499999999999993" hidden="1" customHeight="1" x14ac:dyDescent="0.2"/>
    <row r="41444" ht="9.9499999999999993" hidden="1" customHeight="1" x14ac:dyDescent="0.2"/>
    <row r="41445" ht="9.9499999999999993" hidden="1" customHeight="1" x14ac:dyDescent="0.2"/>
    <row r="41446" ht="9.9499999999999993" hidden="1" customHeight="1" x14ac:dyDescent="0.2"/>
    <row r="41447" ht="9.9499999999999993" hidden="1" customHeight="1" x14ac:dyDescent="0.2"/>
    <row r="41448" ht="9.9499999999999993" hidden="1" customHeight="1" x14ac:dyDescent="0.2"/>
    <row r="41449" ht="9.9499999999999993" hidden="1" customHeight="1" x14ac:dyDescent="0.2"/>
    <row r="41450" ht="9.9499999999999993" hidden="1" customHeight="1" x14ac:dyDescent="0.2"/>
    <row r="41451" ht="9.9499999999999993" hidden="1" customHeight="1" x14ac:dyDescent="0.2"/>
    <row r="41452" ht="9.9499999999999993" hidden="1" customHeight="1" x14ac:dyDescent="0.2"/>
    <row r="41453" ht="9.9499999999999993" hidden="1" customHeight="1" x14ac:dyDescent="0.2"/>
    <row r="41454" ht="9.9499999999999993" hidden="1" customHeight="1" x14ac:dyDescent="0.2"/>
    <row r="41455" ht="9.9499999999999993" hidden="1" customHeight="1" x14ac:dyDescent="0.2"/>
    <row r="41456" ht="9.9499999999999993" hidden="1" customHeight="1" x14ac:dyDescent="0.2"/>
    <row r="41457" ht="9.9499999999999993" hidden="1" customHeight="1" x14ac:dyDescent="0.2"/>
    <row r="41458" ht="9.9499999999999993" hidden="1" customHeight="1" x14ac:dyDescent="0.2"/>
    <row r="41459" ht="9.9499999999999993" hidden="1" customHeight="1" x14ac:dyDescent="0.2"/>
    <row r="41460" ht="9.9499999999999993" hidden="1" customHeight="1" x14ac:dyDescent="0.2"/>
    <row r="41461" ht="9.9499999999999993" hidden="1" customHeight="1" x14ac:dyDescent="0.2"/>
    <row r="41462" ht="9.9499999999999993" hidden="1" customHeight="1" x14ac:dyDescent="0.2"/>
    <row r="41463" ht="9.9499999999999993" hidden="1" customHeight="1" x14ac:dyDescent="0.2"/>
    <row r="41464" ht="9.9499999999999993" hidden="1" customHeight="1" x14ac:dyDescent="0.2"/>
    <row r="41465" ht="9.9499999999999993" hidden="1" customHeight="1" x14ac:dyDescent="0.2"/>
    <row r="41466" ht="9.9499999999999993" hidden="1" customHeight="1" x14ac:dyDescent="0.2"/>
    <row r="41467" ht="9.9499999999999993" hidden="1" customHeight="1" x14ac:dyDescent="0.2"/>
    <row r="41468" ht="9.9499999999999993" hidden="1" customHeight="1" x14ac:dyDescent="0.2"/>
    <row r="41469" ht="9.9499999999999993" hidden="1" customHeight="1" x14ac:dyDescent="0.2"/>
    <row r="41470" ht="9.9499999999999993" hidden="1" customHeight="1" x14ac:dyDescent="0.2"/>
    <row r="41471" ht="9.9499999999999993" hidden="1" customHeight="1" x14ac:dyDescent="0.2"/>
    <row r="41472" ht="9.9499999999999993" hidden="1" customHeight="1" x14ac:dyDescent="0.2"/>
    <row r="41473" ht="9.9499999999999993" hidden="1" customHeight="1" x14ac:dyDescent="0.2"/>
    <row r="41474" ht="9.9499999999999993" hidden="1" customHeight="1" x14ac:dyDescent="0.2"/>
    <row r="41475" ht="9.9499999999999993" hidden="1" customHeight="1" x14ac:dyDescent="0.2"/>
    <row r="41476" ht="9.9499999999999993" hidden="1" customHeight="1" x14ac:dyDescent="0.2"/>
    <row r="41477" ht="9.9499999999999993" hidden="1" customHeight="1" x14ac:dyDescent="0.2"/>
    <row r="41478" ht="9.9499999999999993" hidden="1" customHeight="1" x14ac:dyDescent="0.2"/>
    <row r="41479" ht="9.9499999999999993" hidden="1" customHeight="1" x14ac:dyDescent="0.2"/>
    <row r="41480" ht="9.9499999999999993" hidden="1" customHeight="1" x14ac:dyDescent="0.2"/>
    <row r="41481" ht="9.9499999999999993" hidden="1" customHeight="1" x14ac:dyDescent="0.2"/>
    <row r="41482" ht="9.9499999999999993" hidden="1" customHeight="1" x14ac:dyDescent="0.2"/>
    <row r="41483" ht="9.9499999999999993" hidden="1" customHeight="1" x14ac:dyDescent="0.2"/>
    <row r="41484" ht="9.9499999999999993" hidden="1" customHeight="1" x14ac:dyDescent="0.2"/>
    <row r="41485" ht="9.9499999999999993" hidden="1" customHeight="1" x14ac:dyDescent="0.2"/>
    <row r="41486" ht="9.9499999999999993" hidden="1" customHeight="1" x14ac:dyDescent="0.2"/>
    <row r="41487" ht="9.9499999999999993" hidden="1" customHeight="1" x14ac:dyDescent="0.2"/>
    <row r="41488" ht="9.9499999999999993" hidden="1" customHeight="1" x14ac:dyDescent="0.2"/>
    <row r="41489" ht="9.9499999999999993" hidden="1" customHeight="1" x14ac:dyDescent="0.2"/>
    <row r="41490" ht="9.9499999999999993" hidden="1" customHeight="1" x14ac:dyDescent="0.2"/>
    <row r="41491" ht="9.9499999999999993" hidden="1" customHeight="1" x14ac:dyDescent="0.2"/>
    <row r="41492" ht="9.9499999999999993" hidden="1" customHeight="1" x14ac:dyDescent="0.2"/>
    <row r="41493" ht="9.9499999999999993" hidden="1" customHeight="1" x14ac:dyDescent="0.2"/>
    <row r="41494" ht="9.9499999999999993" hidden="1" customHeight="1" x14ac:dyDescent="0.2"/>
    <row r="41495" ht="9.9499999999999993" hidden="1" customHeight="1" x14ac:dyDescent="0.2"/>
    <row r="41496" ht="9.9499999999999993" hidden="1" customHeight="1" x14ac:dyDescent="0.2"/>
    <row r="41497" ht="9.9499999999999993" hidden="1" customHeight="1" x14ac:dyDescent="0.2"/>
    <row r="41498" ht="9.9499999999999993" hidden="1" customHeight="1" x14ac:dyDescent="0.2"/>
    <row r="41499" ht="9.9499999999999993" hidden="1" customHeight="1" x14ac:dyDescent="0.2"/>
    <row r="41500" ht="9.9499999999999993" hidden="1" customHeight="1" x14ac:dyDescent="0.2"/>
    <row r="41501" ht="9.9499999999999993" hidden="1" customHeight="1" x14ac:dyDescent="0.2"/>
    <row r="41502" ht="9.9499999999999993" hidden="1" customHeight="1" x14ac:dyDescent="0.2"/>
    <row r="41503" ht="9.9499999999999993" hidden="1" customHeight="1" x14ac:dyDescent="0.2"/>
    <row r="41504" ht="9.9499999999999993" hidden="1" customHeight="1" x14ac:dyDescent="0.2"/>
    <row r="41505" ht="9.9499999999999993" hidden="1" customHeight="1" x14ac:dyDescent="0.2"/>
    <row r="41506" ht="9.9499999999999993" hidden="1" customHeight="1" x14ac:dyDescent="0.2"/>
    <row r="41507" ht="9.9499999999999993" hidden="1" customHeight="1" x14ac:dyDescent="0.2"/>
    <row r="41508" ht="9.9499999999999993" hidden="1" customHeight="1" x14ac:dyDescent="0.2"/>
    <row r="41509" ht="9.9499999999999993" hidden="1" customHeight="1" x14ac:dyDescent="0.2"/>
    <row r="41510" ht="9.9499999999999993" hidden="1" customHeight="1" x14ac:dyDescent="0.2"/>
    <row r="41511" ht="9.9499999999999993" hidden="1" customHeight="1" x14ac:dyDescent="0.2"/>
    <row r="41512" ht="9.9499999999999993" hidden="1" customHeight="1" x14ac:dyDescent="0.2"/>
    <row r="41513" ht="9.9499999999999993" hidden="1" customHeight="1" x14ac:dyDescent="0.2"/>
    <row r="41514" ht="9.9499999999999993" hidden="1" customHeight="1" x14ac:dyDescent="0.2"/>
    <row r="41515" ht="9.9499999999999993" hidden="1" customHeight="1" x14ac:dyDescent="0.2"/>
    <row r="41516" ht="9.9499999999999993" hidden="1" customHeight="1" x14ac:dyDescent="0.2"/>
    <row r="41517" ht="9.9499999999999993" hidden="1" customHeight="1" x14ac:dyDescent="0.2"/>
    <row r="41518" ht="9.9499999999999993" hidden="1" customHeight="1" x14ac:dyDescent="0.2"/>
    <row r="41519" ht="9.9499999999999993" hidden="1" customHeight="1" x14ac:dyDescent="0.2"/>
    <row r="41520" ht="9.9499999999999993" hidden="1" customHeight="1" x14ac:dyDescent="0.2"/>
    <row r="41521" ht="9.9499999999999993" hidden="1" customHeight="1" x14ac:dyDescent="0.2"/>
    <row r="41522" ht="9.9499999999999993" hidden="1" customHeight="1" x14ac:dyDescent="0.2"/>
    <row r="41523" ht="9.9499999999999993" hidden="1" customHeight="1" x14ac:dyDescent="0.2"/>
    <row r="41524" ht="9.9499999999999993" hidden="1" customHeight="1" x14ac:dyDescent="0.2"/>
    <row r="41525" ht="9.9499999999999993" hidden="1" customHeight="1" x14ac:dyDescent="0.2"/>
    <row r="41526" ht="9.9499999999999993" hidden="1" customHeight="1" x14ac:dyDescent="0.2"/>
    <row r="41527" ht="9.9499999999999993" hidden="1" customHeight="1" x14ac:dyDescent="0.2"/>
    <row r="41528" ht="9.9499999999999993" hidden="1" customHeight="1" x14ac:dyDescent="0.2"/>
    <row r="41529" ht="9.9499999999999993" hidden="1" customHeight="1" x14ac:dyDescent="0.2"/>
    <row r="41530" ht="9.9499999999999993" hidden="1" customHeight="1" x14ac:dyDescent="0.2"/>
    <row r="41531" ht="9.9499999999999993" hidden="1" customHeight="1" x14ac:dyDescent="0.2"/>
    <row r="41532" ht="9.9499999999999993" hidden="1" customHeight="1" x14ac:dyDescent="0.2"/>
    <row r="41533" ht="9.9499999999999993" hidden="1" customHeight="1" x14ac:dyDescent="0.2"/>
    <row r="41534" ht="9.9499999999999993" hidden="1" customHeight="1" x14ac:dyDescent="0.2"/>
    <row r="41535" ht="9.9499999999999993" hidden="1" customHeight="1" x14ac:dyDescent="0.2"/>
    <row r="41536" ht="9.9499999999999993" hidden="1" customHeight="1" x14ac:dyDescent="0.2"/>
    <row r="41537" ht="9.9499999999999993" hidden="1" customHeight="1" x14ac:dyDescent="0.2"/>
    <row r="41538" ht="9.9499999999999993" hidden="1" customHeight="1" x14ac:dyDescent="0.2"/>
    <row r="41539" ht="9.9499999999999993" hidden="1" customHeight="1" x14ac:dyDescent="0.2"/>
    <row r="41540" ht="9.9499999999999993" hidden="1" customHeight="1" x14ac:dyDescent="0.2"/>
    <row r="41541" ht="9.9499999999999993" hidden="1" customHeight="1" x14ac:dyDescent="0.2"/>
    <row r="41542" ht="9.9499999999999993" hidden="1" customHeight="1" x14ac:dyDescent="0.2"/>
    <row r="41543" ht="9.9499999999999993" hidden="1" customHeight="1" x14ac:dyDescent="0.2"/>
    <row r="41544" ht="9.9499999999999993" hidden="1" customHeight="1" x14ac:dyDescent="0.2"/>
    <row r="41545" ht="9.9499999999999993" hidden="1" customHeight="1" x14ac:dyDescent="0.2"/>
    <row r="41546" ht="9.9499999999999993" hidden="1" customHeight="1" x14ac:dyDescent="0.2"/>
    <row r="41547" ht="9.9499999999999993" hidden="1" customHeight="1" x14ac:dyDescent="0.2"/>
    <row r="41548" ht="9.9499999999999993" hidden="1" customHeight="1" x14ac:dyDescent="0.2"/>
    <row r="41549" ht="9.9499999999999993" hidden="1" customHeight="1" x14ac:dyDescent="0.2"/>
    <row r="41550" ht="9.9499999999999993" hidden="1" customHeight="1" x14ac:dyDescent="0.2"/>
    <row r="41551" ht="9.9499999999999993" hidden="1" customHeight="1" x14ac:dyDescent="0.2"/>
    <row r="41552" ht="9.9499999999999993" hidden="1" customHeight="1" x14ac:dyDescent="0.2"/>
    <row r="41553" ht="9.9499999999999993" hidden="1" customHeight="1" x14ac:dyDescent="0.2"/>
    <row r="41554" ht="9.9499999999999993" hidden="1" customHeight="1" x14ac:dyDescent="0.2"/>
    <row r="41555" ht="9.9499999999999993" hidden="1" customHeight="1" x14ac:dyDescent="0.2"/>
    <row r="41556" ht="9.9499999999999993" hidden="1" customHeight="1" x14ac:dyDescent="0.2"/>
    <row r="41557" ht="9.9499999999999993" hidden="1" customHeight="1" x14ac:dyDescent="0.2"/>
    <row r="41558" ht="9.9499999999999993" hidden="1" customHeight="1" x14ac:dyDescent="0.2"/>
    <row r="41559" ht="9.9499999999999993" hidden="1" customHeight="1" x14ac:dyDescent="0.2"/>
    <row r="41560" ht="9.9499999999999993" hidden="1" customHeight="1" x14ac:dyDescent="0.2"/>
    <row r="41561" ht="9.9499999999999993" hidden="1" customHeight="1" x14ac:dyDescent="0.2"/>
    <row r="41562" ht="9.9499999999999993" hidden="1" customHeight="1" x14ac:dyDescent="0.2"/>
    <row r="41563" ht="9.9499999999999993" hidden="1" customHeight="1" x14ac:dyDescent="0.2"/>
    <row r="41564" ht="9.9499999999999993" hidden="1" customHeight="1" x14ac:dyDescent="0.2"/>
    <row r="41565" ht="9.9499999999999993" hidden="1" customHeight="1" x14ac:dyDescent="0.2"/>
    <row r="41566" ht="9.9499999999999993" hidden="1" customHeight="1" x14ac:dyDescent="0.2"/>
    <row r="41567" ht="9.9499999999999993" hidden="1" customHeight="1" x14ac:dyDescent="0.2"/>
    <row r="41568" ht="9.9499999999999993" hidden="1" customHeight="1" x14ac:dyDescent="0.2"/>
    <row r="41569" ht="9.9499999999999993" hidden="1" customHeight="1" x14ac:dyDescent="0.2"/>
    <row r="41570" ht="9.9499999999999993" hidden="1" customHeight="1" x14ac:dyDescent="0.2"/>
    <row r="41571" ht="9.9499999999999993" hidden="1" customHeight="1" x14ac:dyDescent="0.2"/>
    <row r="41572" ht="9.9499999999999993" hidden="1" customHeight="1" x14ac:dyDescent="0.2"/>
    <row r="41573" ht="9.9499999999999993" hidden="1" customHeight="1" x14ac:dyDescent="0.2"/>
    <row r="41574" ht="9.9499999999999993" hidden="1" customHeight="1" x14ac:dyDescent="0.2"/>
    <row r="41575" ht="9.9499999999999993" hidden="1" customHeight="1" x14ac:dyDescent="0.2"/>
    <row r="41576" ht="9.9499999999999993" hidden="1" customHeight="1" x14ac:dyDescent="0.2"/>
    <row r="41577" ht="9.9499999999999993" hidden="1" customHeight="1" x14ac:dyDescent="0.2"/>
    <row r="41578" ht="9.9499999999999993" hidden="1" customHeight="1" x14ac:dyDescent="0.2"/>
    <row r="41579" ht="9.9499999999999993" hidden="1" customHeight="1" x14ac:dyDescent="0.2"/>
    <row r="41580" ht="9.9499999999999993" hidden="1" customHeight="1" x14ac:dyDescent="0.2"/>
    <row r="41581" ht="9.9499999999999993" hidden="1" customHeight="1" x14ac:dyDescent="0.2"/>
    <row r="41582" ht="9.9499999999999993" hidden="1" customHeight="1" x14ac:dyDescent="0.2"/>
    <row r="41583" ht="9.9499999999999993" hidden="1" customHeight="1" x14ac:dyDescent="0.2"/>
    <row r="41584" ht="9.9499999999999993" hidden="1" customHeight="1" x14ac:dyDescent="0.2"/>
    <row r="41585" ht="9.9499999999999993" hidden="1" customHeight="1" x14ac:dyDescent="0.2"/>
    <row r="41586" ht="9.9499999999999993" hidden="1" customHeight="1" x14ac:dyDescent="0.2"/>
    <row r="41587" ht="9.9499999999999993" hidden="1" customHeight="1" x14ac:dyDescent="0.2"/>
    <row r="41588" ht="9.9499999999999993" hidden="1" customHeight="1" x14ac:dyDescent="0.2"/>
    <row r="41589" ht="9.9499999999999993" hidden="1" customHeight="1" x14ac:dyDescent="0.2"/>
    <row r="41590" ht="9.9499999999999993" hidden="1" customHeight="1" x14ac:dyDescent="0.2"/>
    <row r="41591" ht="9.9499999999999993" hidden="1" customHeight="1" x14ac:dyDescent="0.2"/>
    <row r="41592" ht="9.9499999999999993" hidden="1" customHeight="1" x14ac:dyDescent="0.2"/>
    <row r="41593" ht="9.9499999999999993" hidden="1" customHeight="1" x14ac:dyDescent="0.2"/>
    <row r="41594" ht="9.9499999999999993" hidden="1" customHeight="1" x14ac:dyDescent="0.2"/>
    <row r="41595" ht="9.9499999999999993" hidden="1" customHeight="1" x14ac:dyDescent="0.2"/>
    <row r="41596" ht="9.9499999999999993" hidden="1" customHeight="1" x14ac:dyDescent="0.2"/>
    <row r="41597" ht="9.9499999999999993" hidden="1" customHeight="1" x14ac:dyDescent="0.2"/>
    <row r="41598" ht="9.9499999999999993" hidden="1" customHeight="1" x14ac:dyDescent="0.2"/>
    <row r="41599" ht="9.9499999999999993" hidden="1" customHeight="1" x14ac:dyDescent="0.2"/>
    <row r="41600" ht="9.9499999999999993" hidden="1" customHeight="1" x14ac:dyDescent="0.2"/>
    <row r="41601" ht="9.9499999999999993" hidden="1" customHeight="1" x14ac:dyDescent="0.2"/>
    <row r="41602" ht="9.9499999999999993" hidden="1" customHeight="1" x14ac:dyDescent="0.2"/>
    <row r="41603" ht="9.9499999999999993" hidden="1" customHeight="1" x14ac:dyDescent="0.2"/>
    <row r="41604" ht="9.9499999999999993" hidden="1" customHeight="1" x14ac:dyDescent="0.2"/>
    <row r="41605" ht="9.9499999999999993" hidden="1" customHeight="1" x14ac:dyDescent="0.2"/>
    <row r="41606" ht="9.9499999999999993" hidden="1" customHeight="1" x14ac:dyDescent="0.2"/>
    <row r="41607" ht="9.9499999999999993" hidden="1" customHeight="1" x14ac:dyDescent="0.2"/>
    <row r="41608" ht="9.9499999999999993" hidden="1" customHeight="1" x14ac:dyDescent="0.2"/>
    <row r="41609" ht="9.9499999999999993" hidden="1" customHeight="1" x14ac:dyDescent="0.2"/>
    <row r="41610" ht="9.9499999999999993" hidden="1" customHeight="1" x14ac:dyDescent="0.2"/>
    <row r="41611" ht="9.9499999999999993" hidden="1" customHeight="1" x14ac:dyDescent="0.2"/>
    <row r="41612" ht="9.9499999999999993" hidden="1" customHeight="1" x14ac:dyDescent="0.2"/>
    <row r="41613" ht="9.9499999999999993" hidden="1" customHeight="1" x14ac:dyDescent="0.2"/>
    <row r="41614" ht="9.9499999999999993" hidden="1" customHeight="1" x14ac:dyDescent="0.2"/>
    <row r="41615" ht="9.9499999999999993" hidden="1" customHeight="1" x14ac:dyDescent="0.2"/>
    <row r="41616" ht="9.9499999999999993" hidden="1" customHeight="1" x14ac:dyDescent="0.2"/>
    <row r="41617" ht="9.9499999999999993" hidden="1" customHeight="1" x14ac:dyDescent="0.2"/>
    <row r="41618" ht="9.9499999999999993" hidden="1" customHeight="1" x14ac:dyDescent="0.2"/>
    <row r="41619" ht="9.9499999999999993" hidden="1" customHeight="1" x14ac:dyDescent="0.2"/>
    <row r="41620" ht="9.9499999999999993" hidden="1" customHeight="1" x14ac:dyDescent="0.2"/>
    <row r="41621" ht="9.9499999999999993" hidden="1" customHeight="1" x14ac:dyDescent="0.2"/>
    <row r="41622" ht="9.9499999999999993" hidden="1" customHeight="1" x14ac:dyDescent="0.2"/>
    <row r="41623" ht="9.9499999999999993" hidden="1" customHeight="1" x14ac:dyDescent="0.2"/>
    <row r="41624" ht="9.9499999999999993" hidden="1" customHeight="1" x14ac:dyDescent="0.2"/>
    <row r="41625" ht="9.9499999999999993" hidden="1" customHeight="1" x14ac:dyDescent="0.2"/>
    <row r="41626" ht="9.9499999999999993" hidden="1" customHeight="1" x14ac:dyDescent="0.2"/>
    <row r="41627" ht="9.9499999999999993" hidden="1" customHeight="1" x14ac:dyDescent="0.2"/>
    <row r="41628" ht="9.9499999999999993" hidden="1" customHeight="1" x14ac:dyDescent="0.2"/>
    <row r="41629" ht="9.9499999999999993" hidden="1" customHeight="1" x14ac:dyDescent="0.2"/>
    <row r="41630" ht="9.9499999999999993" hidden="1" customHeight="1" x14ac:dyDescent="0.2"/>
    <row r="41631" ht="9.9499999999999993" hidden="1" customHeight="1" x14ac:dyDescent="0.2"/>
    <row r="41632" ht="9.9499999999999993" hidden="1" customHeight="1" x14ac:dyDescent="0.2"/>
    <row r="41633" ht="9.9499999999999993" hidden="1" customHeight="1" x14ac:dyDescent="0.2"/>
    <row r="41634" ht="9.9499999999999993" hidden="1" customHeight="1" x14ac:dyDescent="0.2"/>
    <row r="41635" ht="9.9499999999999993" hidden="1" customHeight="1" x14ac:dyDescent="0.2"/>
    <row r="41636" ht="9.9499999999999993" hidden="1" customHeight="1" x14ac:dyDescent="0.2"/>
    <row r="41637" ht="9.9499999999999993" hidden="1" customHeight="1" x14ac:dyDescent="0.2"/>
    <row r="41638" ht="9.9499999999999993" hidden="1" customHeight="1" x14ac:dyDescent="0.2"/>
    <row r="41639" ht="9.9499999999999993" hidden="1" customHeight="1" x14ac:dyDescent="0.2"/>
    <row r="41640" ht="9.9499999999999993" hidden="1" customHeight="1" x14ac:dyDescent="0.2"/>
    <row r="41641" ht="9.9499999999999993" hidden="1" customHeight="1" x14ac:dyDescent="0.2"/>
    <row r="41642" ht="9.9499999999999993" hidden="1" customHeight="1" x14ac:dyDescent="0.2"/>
    <row r="41643" ht="9.9499999999999993" hidden="1" customHeight="1" x14ac:dyDescent="0.2"/>
    <row r="41644" ht="9.9499999999999993" hidden="1" customHeight="1" x14ac:dyDescent="0.2"/>
    <row r="41645" ht="9.9499999999999993" hidden="1" customHeight="1" x14ac:dyDescent="0.2"/>
    <row r="41646" ht="9.9499999999999993" hidden="1" customHeight="1" x14ac:dyDescent="0.2"/>
    <row r="41647" ht="9.9499999999999993" hidden="1" customHeight="1" x14ac:dyDescent="0.2"/>
    <row r="41648" ht="9.9499999999999993" hidden="1" customHeight="1" x14ac:dyDescent="0.2"/>
    <row r="41649" ht="9.9499999999999993" hidden="1" customHeight="1" x14ac:dyDescent="0.2"/>
    <row r="41650" ht="9.9499999999999993" hidden="1" customHeight="1" x14ac:dyDescent="0.2"/>
    <row r="41651" ht="9.9499999999999993" hidden="1" customHeight="1" x14ac:dyDescent="0.2"/>
    <row r="41652" ht="9.9499999999999993" hidden="1" customHeight="1" x14ac:dyDescent="0.2"/>
    <row r="41653" ht="9.9499999999999993" hidden="1" customHeight="1" x14ac:dyDescent="0.2"/>
    <row r="41654" ht="9.9499999999999993" hidden="1" customHeight="1" x14ac:dyDescent="0.2"/>
    <row r="41655" ht="9.9499999999999993" hidden="1" customHeight="1" x14ac:dyDescent="0.2"/>
    <row r="41656" ht="9.9499999999999993" hidden="1" customHeight="1" x14ac:dyDescent="0.2"/>
    <row r="41657" ht="9.9499999999999993" hidden="1" customHeight="1" x14ac:dyDescent="0.2"/>
    <row r="41658" ht="9.9499999999999993" hidden="1" customHeight="1" x14ac:dyDescent="0.2"/>
    <row r="41659" ht="9.9499999999999993" hidden="1" customHeight="1" x14ac:dyDescent="0.2"/>
    <row r="41660" ht="9.9499999999999993" hidden="1" customHeight="1" x14ac:dyDescent="0.2"/>
    <row r="41661" ht="9.9499999999999993" hidden="1" customHeight="1" x14ac:dyDescent="0.2"/>
    <row r="41662" ht="9.9499999999999993" hidden="1" customHeight="1" x14ac:dyDescent="0.2"/>
    <row r="41663" ht="9.9499999999999993" hidden="1" customHeight="1" x14ac:dyDescent="0.2"/>
    <row r="41664" ht="9.9499999999999993" hidden="1" customHeight="1" x14ac:dyDescent="0.2"/>
    <row r="41665" ht="9.9499999999999993" hidden="1" customHeight="1" x14ac:dyDescent="0.2"/>
    <row r="41666" ht="9.9499999999999993" hidden="1" customHeight="1" x14ac:dyDescent="0.2"/>
    <row r="41667" ht="9.9499999999999993" hidden="1" customHeight="1" x14ac:dyDescent="0.2"/>
    <row r="41668" ht="9.9499999999999993" hidden="1" customHeight="1" x14ac:dyDescent="0.2"/>
    <row r="41669" ht="9.9499999999999993" hidden="1" customHeight="1" x14ac:dyDescent="0.2"/>
    <row r="41670" ht="9.9499999999999993" hidden="1" customHeight="1" x14ac:dyDescent="0.2"/>
    <row r="41671" ht="9.9499999999999993" hidden="1" customHeight="1" x14ac:dyDescent="0.2"/>
    <row r="41672" ht="9.9499999999999993" hidden="1" customHeight="1" x14ac:dyDescent="0.2"/>
    <row r="41673" ht="9.9499999999999993" hidden="1" customHeight="1" x14ac:dyDescent="0.2"/>
    <row r="41674" ht="9.9499999999999993" hidden="1" customHeight="1" x14ac:dyDescent="0.2"/>
    <row r="41675" ht="9.9499999999999993" hidden="1" customHeight="1" x14ac:dyDescent="0.2"/>
    <row r="41676" ht="9.9499999999999993" hidden="1" customHeight="1" x14ac:dyDescent="0.2"/>
    <row r="41677" ht="9.9499999999999993" hidden="1" customHeight="1" x14ac:dyDescent="0.2"/>
    <row r="41678" ht="9.9499999999999993" hidden="1" customHeight="1" x14ac:dyDescent="0.2"/>
    <row r="41679" ht="9.9499999999999993" hidden="1" customHeight="1" x14ac:dyDescent="0.2"/>
    <row r="41680" ht="9.9499999999999993" hidden="1" customHeight="1" x14ac:dyDescent="0.2"/>
    <row r="41681" ht="9.9499999999999993" hidden="1" customHeight="1" x14ac:dyDescent="0.2"/>
    <row r="41682" ht="9.9499999999999993" hidden="1" customHeight="1" x14ac:dyDescent="0.2"/>
    <row r="41683" ht="9.9499999999999993" hidden="1" customHeight="1" x14ac:dyDescent="0.2"/>
    <row r="41684" ht="9.9499999999999993" hidden="1" customHeight="1" x14ac:dyDescent="0.2"/>
    <row r="41685" ht="9.9499999999999993" hidden="1" customHeight="1" x14ac:dyDescent="0.2"/>
    <row r="41686" ht="9.9499999999999993" hidden="1" customHeight="1" x14ac:dyDescent="0.2"/>
    <row r="41687" ht="9.9499999999999993" hidden="1" customHeight="1" x14ac:dyDescent="0.2"/>
    <row r="41688" ht="9.9499999999999993" hidden="1" customHeight="1" x14ac:dyDescent="0.2"/>
    <row r="41689" ht="9.9499999999999993" hidden="1" customHeight="1" x14ac:dyDescent="0.2"/>
    <row r="41690" ht="9.9499999999999993" hidden="1" customHeight="1" x14ac:dyDescent="0.2"/>
    <row r="41691" ht="9.9499999999999993" hidden="1" customHeight="1" x14ac:dyDescent="0.2"/>
    <row r="41692" ht="9.9499999999999993" hidden="1" customHeight="1" x14ac:dyDescent="0.2"/>
    <row r="41693" ht="9.9499999999999993" hidden="1" customHeight="1" x14ac:dyDescent="0.2"/>
    <row r="41694" ht="9.9499999999999993" hidden="1" customHeight="1" x14ac:dyDescent="0.2"/>
    <row r="41695" ht="9.9499999999999993" hidden="1" customHeight="1" x14ac:dyDescent="0.2"/>
    <row r="41696" ht="9.9499999999999993" hidden="1" customHeight="1" x14ac:dyDescent="0.2"/>
    <row r="41697" ht="9.9499999999999993" hidden="1" customHeight="1" x14ac:dyDescent="0.2"/>
    <row r="41698" ht="9.9499999999999993" hidden="1" customHeight="1" x14ac:dyDescent="0.2"/>
    <row r="41699" ht="9.9499999999999993" hidden="1" customHeight="1" x14ac:dyDescent="0.2"/>
    <row r="41700" ht="9.9499999999999993" hidden="1" customHeight="1" x14ac:dyDescent="0.2"/>
    <row r="41701" ht="9.9499999999999993" hidden="1" customHeight="1" x14ac:dyDescent="0.2"/>
    <row r="41702" ht="9.9499999999999993" hidden="1" customHeight="1" x14ac:dyDescent="0.2"/>
    <row r="41703" ht="9.9499999999999993" hidden="1" customHeight="1" x14ac:dyDescent="0.2"/>
    <row r="41704" ht="9.9499999999999993" hidden="1" customHeight="1" x14ac:dyDescent="0.2"/>
    <row r="41705" ht="9.9499999999999993" hidden="1" customHeight="1" x14ac:dyDescent="0.2"/>
    <row r="41706" ht="9.9499999999999993" hidden="1" customHeight="1" x14ac:dyDescent="0.2"/>
    <row r="41707" ht="9.9499999999999993" hidden="1" customHeight="1" x14ac:dyDescent="0.2"/>
    <row r="41708" ht="9.9499999999999993" hidden="1" customHeight="1" x14ac:dyDescent="0.2"/>
    <row r="41709" ht="9.9499999999999993" hidden="1" customHeight="1" x14ac:dyDescent="0.2"/>
    <row r="41710" ht="9.9499999999999993" hidden="1" customHeight="1" x14ac:dyDescent="0.2"/>
    <row r="41711" ht="9.9499999999999993" hidden="1" customHeight="1" x14ac:dyDescent="0.2"/>
    <row r="41712" ht="9.9499999999999993" hidden="1" customHeight="1" x14ac:dyDescent="0.2"/>
    <row r="41713" ht="9.9499999999999993" hidden="1" customHeight="1" x14ac:dyDescent="0.2"/>
    <row r="41714" ht="9.9499999999999993" hidden="1" customHeight="1" x14ac:dyDescent="0.2"/>
    <row r="41715" ht="9.9499999999999993" hidden="1" customHeight="1" x14ac:dyDescent="0.2"/>
    <row r="41716" ht="9.9499999999999993" hidden="1" customHeight="1" x14ac:dyDescent="0.2"/>
    <row r="41717" ht="9.9499999999999993" hidden="1" customHeight="1" x14ac:dyDescent="0.2"/>
    <row r="41718" ht="9.9499999999999993" hidden="1" customHeight="1" x14ac:dyDescent="0.2"/>
    <row r="41719" ht="9.9499999999999993" hidden="1" customHeight="1" x14ac:dyDescent="0.2"/>
    <row r="41720" ht="9.9499999999999993" hidden="1" customHeight="1" x14ac:dyDescent="0.2"/>
    <row r="41721" ht="9.9499999999999993" hidden="1" customHeight="1" x14ac:dyDescent="0.2"/>
    <row r="41722" ht="9.9499999999999993" hidden="1" customHeight="1" x14ac:dyDescent="0.2"/>
    <row r="41723" ht="9.9499999999999993" hidden="1" customHeight="1" x14ac:dyDescent="0.2"/>
    <row r="41724" ht="9.9499999999999993" hidden="1" customHeight="1" x14ac:dyDescent="0.2"/>
    <row r="41725" ht="9.9499999999999993" hidden="1" customHeight="1" x14ac:dyDescent="0.2"/>
    <row r="41726" ht="9.9499999999999993" hidden="1" customHeight="1" x14ac:dyDescent="0.2"/>
    <row r="41727" ht="9.9499999999999993" hidden="1" customHeight="1" x14ac:dyDescent="0.2"/>
    <row r="41728" ht="9.9499999999999993" hidden="1" customHeight="1" x14ac:dyDescent="0.2"/>
    <row r="41729" ht="9.9499999999999993" hidden="1" customHeight="1" x14ac:dyDescent="0.2"/>
    <row r="41730" ht="9.9499999999999993" hidden="1" customHeight="1" x14ac:dyDescent="0.2"/>
    <row r="41731" ht="9.9499999999999993" hidden="1" customHeight="1" x14ac:dyDescent="0.2"/>
    <row r="41732" ht="9.9499999999999993" hidden="1" customHeight="1" x14ac:dyDescent="0.2"/>
    <row r="41733" ht="9.9499999999999993" hidden="1" customHeight="1" x14ac:dyDescent="0.2"/>
    <row r="41734" ht="9.9499999999999993" hidden="1" customHeight="1" x14ac:dyDescent="0.2"/>
    <row r="41735" ht="9.9499999999999993" hidden="1" customHeight="1" x14ac:dyDescent="0.2"/>
    <row r="41736" ht="9.9499999999999993" hidden="1" customHeight="1" x14ac:dyDescent="0.2"/>
    <row r="41737" ht="9.9499999999999993" hidden="1" customHeight="1" x14ac:dyDescent="0.2"/>
    <row r="41738" ht="9.9499999999999993" hidden="1" customHeight="1" x14ac:dyDescent="0.2"/>
    <row r="41739" ht="9.9499999999999993" hidden="1" customHeight="1" x14ac:dyDescent="0.2"/>
    <row r="41740" ht="9.9499999999999993" hidden="1" customHeight="1" x14ac:dyDescent="0.2"/>
    <row r="41741" ht="9.9499999999999993" hidden="1" customHeight="1" x14ac:dyDescent="0.2"/>
    <row r="41742" ht="9.9499999999999993" hidden="1" customHeight="1" x14ac:dyDescent="0.2"/>
    <row r="41743" ht="9.9499999999999993" hidden="1" customHeight="1" x14ac:dyDescent="0.2"/>
    <row r="41744" ht="9.9499999999999993" hidden="1" customHeight="1" x14ac:dyDescent="0.2"/>
    <row r="41745" ht="9.9499999999999993" hidden="1" customHeight="1" x14ac:dyDescent="0.2"/>
    <row r="41746" ht="9.9499999999999993" hidden="1" customHeight="1" x14ac:dyDescent="0.2"/>
    <row r="41747" ht="9.9499999999999993" hidden="1" customHeight="1" x14ac:dyDescent="0.2"/>
    <row r="41748" ht="9.9499999999999993" hidden="1" customHeight="1" x14ac:dyDescent="0.2"/>
    <row r="41749" ht="9.9499999999999993" hidden="1" customHeight="1" x14ac:dyDescent="0.2"/>
    <row r="41750" ht="9.9499999999999993" hidden="1" customHeight="1" x14ac:dyDescent="0.2"/>
    <row r="41751" ht="9.9499999999999993" hidden="1" customHeight="1" x14ac:dyDescent="0.2"/>
    <row r="41752" ht="9.9499999999999993" hidden="1" customHeight="1" x14ac:dyDescent="0.2"/>
    <row r="41753" ht="9.9499999999999993" hidden="1" customHeight="1" x14ac:dyDescent="0.2"/>
    <row r="41754" ht="9.9499999999999993" hidden="1" customHeight="1" x14ac:dyDescent="0.2"/>
    <row r="41755" ht="9.9499999999999993" hidden="1" customHeight="1" x14ac:dyDescent="0.2"/>
    <row r="41756" ht="9.9499999999999993" hidden="1" customHeight="1" x14ac:dyDescent="0.2"/>
    <row r="41757" ht="9.9499999999999993" hidden="1" customHeight="1" x14ac:dyDescent="0.2"/>
    <row r="41758" ht="9.9499999999999993" hidden="1" customHeight="1" x14ac:dyDescent="0.2"/>
    <row r="41759" ht="9.9499999999999993" hidden="1" customHeight="1" x14ac:dyDescent="0.2"/>
    <row r="41760" ht="9.9499999999999993" hidden="1" customHeight="1" x14ac:dyDescent="0.2"/>
    <row r="41761" ht="9.9499999999999993" hidden="1" customHeight="1" x14ac:dyDescent="0.2"/>
    <row r="41762" ht="9.9499999999999993" hidden="1" customHeight="1" x14ac:dyDescent="0.2"/>
    <row r="41763" ht="9.9499999999999993" hidden="1" customHeight="1" x14ac:dyDescent="0.2"/>
    <row r="41764" ht="9.9499999999999993" hidden="1" customHeight="1" x14ac:dyDescent="0.2"/>
    <row r="41765" ht="9.9499999999999993" hidden="1" customHeight="1" x14ac:dyDescent="0.2"/>
    <row r="41766" ht="9.9499999999999993" hidden="1" customHeight="1" x14ac:dyDescent="0.2"/>
    <row r="41767" ht="9.9499999999999993" hidden="1" customHeight="1" x14ac:dyDescent="0.2"/>
    <row r="41768" ht="9.9499999999999993" hidden="1" customHeight="1" x14ac:dyDescent="0.2"/>
    <row r="41769" ht="9.9499999999999993" hidden="1" customHeight="1" x14ac:dyDescent="0.2"/>
    <row r="41770" ht="9.9499999999999993" hidden="1" customHeight="1" x14ac:dyDescent="0.2"/>
    <row r="41771" ht="9.9499999999999993" hidden="1" customHeight="1" x14ac:dyDescent="0.2"/>
    <row r="41772" ht="9.9499999999999993" hidden="1" customHeight="1" x14ac:dyDescent="0.2"/>
    <row r="41773" ht="9.9499999999999993" hidden="1" customHeight="1" x14ac:dyDescent="0.2"/>
    <row r="41774" ht="9.9499999999999993" hidden="1" customHeight="1" x14ac:dyDescent="0.2"/>
    <row r="41775" ht="9.9499999999999993" hidden="1" customHeight="1" x14ac:dyDescent="0.2"/>
    <row r="41776" ht="9.9499999999999993" hidden="1" customHeight="1" x14ac:dyDescent="0.2"/>
    <row r="41777" ht="9.9499999999999993" hidden="1" customHeight="1" x14ac:dyDescent="0.2"/>
    <row r="41778" ht="9.9499999999999993" hidden="1" customHeight="1" x14ac:dyDescent="0.2"/>
    <row r="41779" ht="9.9499999999999993" hidden="1" customHeight="1" x14ac:dyDescent="0.2"/>
    <row r="41780" ht="9.9499999999999993" hidden="1" customHeight="1" x14ac:dyDescent="0.2"/>
    <row r="41781" ht="9.9499999999999993" hidden="1" customHeight="1" x14ac:dyDescent="0.2"/>
    <row r="41782" ht="9.9499999999999993" hidden="1" customHeight="1" x14ac:dyDescent="0.2"/>
    <row r="41783" ht="9.9499999999999993" hidden="1" customHeight="1" x14ac:dyDescent="0.2"/>
    <row r="41784" ht="9.9499999999999993" hidden="1" customHeight="1" x14ac:dyDescent="0.2"/>
    <row r="41785" ht="9.9499999999999993" hidden="1" customHeight="1" x14ac:dyDescent="0.2"/>
    <row r="41786" ht="9.9499999999999993" hidden="1" customHeight="1" x14ac:dyDescent="0.2"/>
    <row r="41787" ht="9.9499999999999993" hidden="1" customHeight="1" x14ac:dyDescent="0.2"/>
    <row r="41788" ht="9.9499999999999993" hidden="1" customHeight="1" x14ac:dyDescent="0.2"/>
    <row r="41789" ht="9.9499999999999993" hidden="1" customHeight="1" x14ac:dyDescent="0.2"/>
    <row r="41790" ht="9.9499999999999993" hidden="1" customHeight="1" x14ac:dyDescent="0.2"/>
    <row r="41791" ht="9.9499999999999993" hidden="1" customHeight="1" x14ac:dyDescent="0.2"/>
    <row r="41792" ht="9.9499999999999993" hidden="1" customHeight="1" x14ac:dyDescent="0.2"/>
    <row r="41793" ht="9.9499999999999993" hidden="1" customHeight="1" x14ac:dyDescent="0.2"/>
    <row r="41794" ht="9.9499999999999993" hidden="1" customHeight="1" x14ac:dyDescent="0.2"/>
    <row r="41795" ht="9.9499999999999993" hidden="1" customHeight="1" x14ac:dyDescent="0.2"/>
    <row r="41796" ht="9.9499999999999993" hidden="1" customHeight="1" x14ac:dyDescent="0.2"/>
    <row r="41797" ht="9.9499999999999993" hidden="1" customHeight="1" x14ac:dyDescent="0.2"/>
    <row r="41798" ht="9.9499999999999993" hidden="1" customHeight="1" x14ac:dyDescent="0.2"/>
    <row r="41799" ht="9.9499999999999993" hidden="1" customHeight="1" x14ac:dyDescent="0.2"/>
    <row r="41800" ht="9.9499999999999993" hidden="1" customHeight="1" x14ac:dyDescent="0.2"/>
    <row r="41801" ht="9.9499999999999993" hidden="1" customHeight="1" x14ac:dyDescent="0.2"/>
    <row r="41802" ht="9.9499999999999993" hidden="1" customHeight="1" x14ac:dyDescent="0.2"/>
    <row r="41803" ht="9.9499999999999993" hidden="1" customHeight="1" x14ac:dyDescent="0.2"/>
    <row r="41804" ht="9.9499999999999993" hidden="1" customHeight="1" x14ac:dyDescent="0.2"/>
    <row r="41805" ht="9.9499999999999993" hidden="1" customHeight="1" x14ac:dyDescent="0.2"/>
    <row r="41806" ht="9.9499999999999993" hidden="1" customHeight="1" x14ac:dyDescent="0.2"/>
    <row r="41807" ht="9.9499999999999993" hidden="1" customHeight="1" x14ac:dyDescent="0.2"/>
    <row r="41808" ht="9.9499999999999993" hidden="1" customHeight="1" x14ac:dyDescent="0.2"/>
    <row r="41809" ht="9.9499999999999993" hidden="1" customHeight="1" x14ac:dyDescent="0.2"/>
    <row r="41810" ht="9.9499999999999993" hidden="1" customHeight="1" x14ac:dyDescent="0.2"/>
    <row r="41811" ht="9.9499999999999993" hidden="1" customHeight="1" x14ac:dyDescent="0.2"/>
    <row r="41812" ht="9.9499999999999993" hidden="1" customHeight="1" x14ac:dyDescent="0.2"/>
    <row r="41813" ht="9.9499999999999993" hidden="1" customHeight="1" x14ac:dyDescent="0.2"/>
    <row r="41814" ht="9.9499999999999993" hidden="1" customHeight="1" x14ac:dyDescent="0.2"/>
    <row r="41815" ht="9.9499999999999993" hidden="1" customHeight="1" x14ac:dyDescent="0.2"/>
    <row r="41816" ht="9.9499999999999993" hidden="1" customHeight="1" x14ac:dyDescent="0.2"/>
    <row r="41817" ht="9.9499999999999993" hidden="1" customHeight="1" x14ac:dyDescent="0.2"/>
    <row r="41818" ht="9.9499999999999993" hidden="1" customHeight="1" x14ac:dyDescent="0.2"/>
    <row r="41819" ht="9.9499999999999993" hidden="1" customHeight="1" x14ac:dyDescent="0.2"/>
    <row r="41820" ht="9.9499999999999993" hidden="1" customHeight="1" x14ac:dyDescent="0.2"/>
    <row r="41821" ht="9.9499999999999993" hidden="1" customHeight="1" x14ac:dyDescent="0.2"/>
    <row r="41822" ht="9.9499999999999993" hidden="1" customHeight="1" x14ac:dyDescent="0.2"/>
    <row r="41823" ht="9.9499999999999993" hidden="1" customHeight="1" x14ac:dyDescent="0.2"/>
    <row r="41824" ht="9.9499999999999993" hidden="1" customHeight="1" x14ac:dyDescent="0.2"/>
    <row r="41825" ht="9.9499999999999993" hidden="1" customHeight="1" x14ac:dyDescent="0.2"/>
    <row r="41826" ht="9.9499999999999993" hidden="1" customHeight="1" x14ac:dyDescent="0.2"/>
    <row r="41827" ht="9.9499999999999993" hidden="1" customHeight="1" x14ac:dyDescent="0.2"/>
    <row r="41828" ht="9.9499999999999993" hidden="1" customHeight="1" x14ac:dyDescent="0.2"/>
    <row r="41829" ht="9.9499999999999993" hidden="1" customHeight="1" x14ac:dyDescent="0.2"/>
    <row r="41830" ht="9.9499999999999993" hidden="1" customHeight="1" x14ac:dyDescent="0.2"/>
    <row r="41831" ht="9.9499999999999993" hidden="1" customHeight="1" x14ac:dyDescent="0.2"/>
    <row r="41832" ht="9.9499999999999993" hidden="1" customHeight="1" x14ac:dyDescent="0.2"/>
    <row r="41833" ht="9.9499999999999993" hidden="1" customHeight="1" x14ac:dyDescent="0.2"/>
    <row r="41834" ht="9.9499999999999993" hidden="1" customHeight="1" x14ac:dyDescent="0.2"/>
    <row r="41835" ht="9.9499999999999993" hidden="1" customHeight="1" x14ac:dyDescent="0.2"/>
    <row r="41836" ht="9.9499999999999993" hidden="1" customHeight="1" x14ac:dyDescent="0.2"/>
    <row r="41837" ht="9.9499999999999993" hidden="1" customHeight="1" x14ac:dyDescent="0.2"/>
    <row r="41838" ht="9.9499999999999993" hidden="1" customHeight="1" x14ac:dyDescent="0.2"/>
    <row r="41839" ht="9.9499999999999993" hidden="1" customHeight="1" x14ac:dyDescent="0.2"/>
    <row r="41840" ht="9.9499999999999993" hidden="1" customHeight="1" x14ac:dyDescent="0.2"/>
    <row r="41841" ht="9.9499999999999993" hidden="1" customHeight="1" x14ac:dyDescent="0.2"/>
    <row r="41842" ht="9.9499999999999993" hidden="1" customHeight="1" x14ac:dyDescent="0.2"/>
    <row r="41843" ht="9.9499999999999993" hidden="1" customHeight="1" x14ac:dyDescent="0.2"/>
    <row r="41844" ht="9.9499999999999993" hidden="1" customHeight="1" x14ac:dyDescent="0.2"/>
    <row r="41845" ht="9.9499999999999993" hidden="1" customHeight="1" x14ac:dyDescent="0.2"/>
    <row r="41846" ht="9.9499999999999993" hidden="1" customHeight="1" x14ac:dyDescent="0.2"/>
    <row r="41847" ht="9.9499999999999993" hidden="1" customHeight="1" x14ac:dyDescent="0.2"/>
    <row r="41848" ht="9.9499999999999993" hidden="1" customHeight="1" x14ac:dyDescent="0.2"/>
    <row r="41849" ht="9.9499999999999993" hidden="1" customHeight="1" x14ac:dyDescent="0.2"/>
    <row r="41850" ht="9.9499999999999993" hidden="1" customHeight="1" x14ac:dyDescent="0.2"/>
    <row r="41851" ht="9.9499999999999993" hidden="1" customHeight="1" x14ac:dyDescent="0.2"/>
    <row r="41852" ht="9.9499999999999993" hidden="1" customHeight="1" x14ac:dyDescent="0.2"/>
    <row r="41853" ht="9.9499999999999993" hidden="1" customHeight="1" x14ac:dyDescent="0.2"/>
    <row r="41854" ht="9.9499999999999993" hidden="1" customHeight="1" x14ac:dyDescent="0.2"/>
    <row r="41855" ht="9.9499999999999993" hidden="1" customHeight="1" x14ac:dyDescent="0.2"/>
    <row r="41856" ht="9.9499999999999993" hidden="1" customHeight="1" x14ac:dyDescent="0.2"/>
    <row r="41857" ht="9.9499999999999993" hidden="1" customHeight="1" x14ac:dyDescent="0.2"/>
    <row r="41858" ht="9.9499999999999993" hidden="1" customHeight="1" x14ac:dyDescent="0.2"/>
    <row r="41859" ht="9.9499999999999993" hidden="1" customHeight="1" x14ac:dyDescent="0.2"/>
    <row r="41860" ht="9.9499999999999993" hidden="1" customHeight="1" x14ac:dyDescent="0.2"/>
    <row r="41861" ht="9.9499999999999993" hidden="1" customHeight="1" x14ac:dyDescent="0.2"/>
    <row r="41862" ht="9.9499999999999993" hidden="1" customHeight="1" x14ac:dyDescent="0.2"/>
    <row r="41863" ht="9.9499999999999993" hidden="1" customHeight="1" x14ac:dyDescent="0.2"/>
    <row r="41864" ht="9.9499999999999993" hidden="1" customHeight="1" x14ac:dyDescent="0.2"/>
    <row r="41865" ht="9.9499999999999993" hidden="1" customHeight="1" x14ac:dyDescent="0.2"/>
    <row r="41866" ht="9.9499999999999993" hidden="1" customHeight="1" x14ac:dyDescent="0.2"/>
    <row r="41867" ht="9.9499999999999993" hidden="1" customHeight="1" x14ac:dyDescent="0.2"/>
    <row r="41868" ht="9.9499999999999993" hidden="1" customHeight="1" x14ac:dyDescent="0.2"/>
    <row r="41869" ht="9.9499999999999993" hidden="1" customHeight="1" x14ac:dyDescent="0.2"/>
    <row r="41870" ht="9.9499999999999993" hidden="1" customHeight="1" x14ac:dyDescent="0.2"/>
    <row r="41871" ht="9.9499999999999993" hidden="1" customHeight="1" x14ac:dyDescent="0.2"/>
    <row r="41872" ht="9.9499999999999993" hidden="1" customHeight="1" x14ac:dyDescent="0.2"/>
    <row r="41873" ht="9.9499999999999993" hidden="1" customHeight="1" x14ac:dyDescent="0.2"/>
    <row r="41874" ht="9.9499999999999993" hidden="1" customHeight="1" x14ac:dyDescent="0.2"/>
    <row r="41875" ht="9.9499999999999993" hidden="1" customHeight="1" x14ac:dyDescent="0.2"/>
    <row r="41876" ht="9.9499999999999993" hidden="1" customHeight="1" x14ac:dyDescent="0.2"/>
    <row r="41877" ht="9.9499999999999993" hidden="1" customHeight="1" x14ac:dyDescent="0.2"/>
    <row r="41878" ht="9.9499999999999993" hidden="1" customHeight="1" x14ac:dyDescent="0.2"/>
    <row r="41879" ht="9.9499999999999993" hidden="1" customHeight="1" x14ac:dyDescent="0.2"/>
    <row r="41880" ht="9.9499999999999993" hidden="1" customHeight="1" x14ac:dyDescent="0.2"/>
    <row r="41881" ht="9.9499999999999993" hidden="1" customHeight="1" x14ac:dyDescent="0.2"/>
    <row r="41882" ht="9.9499999999999993" hidden="1" customHeight="1" x14ac:dyDescent="0.2"/>
    <row r="41883" ht="9.9499999999999993" hidden="1" customHeight="1" x14ac:dyDescent="0.2"/>
    <row r="41884" ht="9.9499999999999993" hidden="1" customHeight="1" x14ac:dyDescent="0.2"/>
    <row r="41885" ht="9.9499999999999993" hidden="1" customHeight="1" x14ac:dyDescent="0.2"/>
    <row r="41886" ht="9.9499999999999993" hidden="1" customHeight="1" x14ac:dyDescent="0.2"/>
    <row r="41887" ht="9.9499999999999993" hidden="1" customHeight="1" x14ac:dyDescent="0.2"/>
    <row r="41888" ht="9.9499999999999993" hidden="1" customHeight="1" x14ac:dyDescent="0.2"/>
    <row r="41889" ht="9.9499999999999993" hidden="1" customHeight="1" x14ac:dyDescent="0.2"/>
    <row r="41890" ht="9.9499999999999993" hidden="1" customHeight="1" x14ac:dyDescent="0.2"/>
    <row r="41891" ht="9.9499999999999993" hidden="1" customHeight="1" x14ac:dyDescent="0.2"/>
    <row r="41892" ht="9.9499999999999993" hidden="1" customHeight="1" x14ac:dyDescent="0.2"/>
    <row r="41893" ht="9.9499999999999993" hidden="1" customHeight="1" x14ac:dyDescent="0.2"/>
    <row r="41894" ht="9.9499999999999993" hidden="1" customHeight="1" x14ac:dyDescent="0.2"/>
    <row r="41895" ht="9.9499999999999993" hidden="1" customHeight="1" x14ac:dyDescent="0.2"/>
    <row r="41896" ht="9.9499999999999993" hidden="1" customHeight="1" x14ac:dyDescent="0.2"/>
    <row r="41897" ht="9.9499999999999993" hidden="1" customHeight="1" x14ac:dyDescent="0.2"/>
    <row r="41898" ht="9.9499999999999993" hidden="1" customHeight="1" x14ac:dyDescent="0.2"/>
    <row r="41899" ht="9.9499999999999993" hidden="1" customHeight="1" x14ac:dyDescent="0.2"/>
    <row r="41900" ht="9.9499999999999993" hidden="1" customHeight="1" x14ac:dyDescent="0.2"/>
    <row r="41901" ht="9.9499999999999993" hidden="1" customHeight="1" x14ac:dyDescent="0.2"/>
    <row r="41902" ht="9.9499999999999993" hidden="1" customHeight="1" x14ac:dyDescent="0.2"/>
    <row r="41903" ht="9.9499999999999993" hidden="1" customHeight="1" x14ac:dyDescent="0.2"/>
    <row r="41904" ht="9.9499999999999993" hidden="1" customHeight="1" x14ac:dyDescent="0.2"/>
    <row r="41905" ht="9.9499999999999993" hidden="1" customHeight="1" x14ac:dyDescent="0.2"/>
    <row r="41906" ht="9.9499999999999993" hidden="1" customHeight="1" x14ac:dyDescent="0.2"/>
    <row r="41907" ht="9.9499999999999993" hidden="1" customHeight="1" x14ac:dyDescent="0.2"/>
    <row r="41908" ht="9.9499999999999993" hidden="1" customHeight="1" x14ac:dyDescent="0.2"/>
    <row r="41909" ht="9.9499999999999993" hidden="1" customHeight="1" x14ac:dyDescent="0.2"/>
    <row r="41910" ht="9.9499999999999993" hidden="1" customHeight="1" x14ac:dyDescent="0.2"/>
    <row r="41911" ht="9.9499999999999993" hidden="1" customHeight="1" x14ac:dyDescent="0.2"/>
    <row r="41912" ht="9.9499999999999993" hidden="1" customHeight="1" x14ac:dyDescent="0.2"/>
    <row r="41913" ht="9.9499999999999993" hidden="1" customHeight="1" x14ac:dyDescent="0.2"/>
    <row r="41914" ht="9.9499999999999993" hidden="1" customHeight="1" x14ac:dyDescent="0.2"/>
    <row r="41915" ht="9.9499999999999993" hidden="1" customHeight="1" x14ac:dyDescent="0.2"/>
    <row r="41916" ht="9.9499999999999993" hidden="1" customHeight="1" x14ac:dyDescent="0.2"/>
    <row r="41917" ht="9.9499999999999993" hidden="1" customHeight="1" x14ac:dyDescent="0.2"/>
    <row r="41918" ht="9.9499999999999993" hidden="1" customHeight="1" x14ac:dyDescent="0.2"/>
    <row r="41919" ht="9.9499999999999993" hidden="1" customHeight="1" x14ac:dyDescent="0.2"/>
    <row r="41920" ht="9.9499999999999993" hidden="1" customHeight="1" x14ac:dyDescent="0.2"/>
    <row r="41921" ht="9.9499999999999993" hidden="1" customHeight="1" x14ac:dyDescent="0.2"/>
    <row r="41922" ht="9.9499999999999993" hidden="1" customHeight="1" x14ac:dyDescent="0.2"/>
    <row r="41923" ht="9.9499999999999993" hidden="1" customHeight="1" x14ac:dyDescent="0.2"/>
    <row r="41924" ht="9.9499999999999993" hidden="1" customHeight="1" x14ac:dyDescent="0.2"/>
    <row r="41925" ht="9.9499999999999993" hidden="1" customHeight="1" x14ac:dyDescent="0.2"/>
    <row r="41926" ht="9.9499999999999993" hidden="1" customHeight="1" x14ac:dyDescent="0.2"/>
    <row r="41927" ht="9.9499999999999993" hidden="1" customHeight="1" x14ac:dyDescent="0.2"/>
    <row r="41928" ht="9.9499999999999993" hidden="1" customHeight="1" x14ac:dyDescent="0.2"/>
    <row r="41929" ht="9.9499999999999993" hidden="1" customHeight="1" x14ac:dyDescent="0.2"/>
    <row r="41930" ht="9.9499999999999993" hidden="1" customHeight="1" x14ac:dyDescent="0.2"/>
    <row r="41931" ht="9.9499999999999993" hidden="1" customHeight="1" x14ac:dyDescent="0.2"/>
    <row r="41932" ht="9.9499999999999993" hidden="1" customHeight="1" x14ac:dyDescent="0.2"/>
    <row r="41933" ht="9.9499999999999993" hidden="1" customHeight="1" x14ac:dyDescent="0.2"/>
    <row r="41934" ht="9.9499999999999993" hidden="1" customHeight="1" x14ac:dyDescent="0.2"/>
    <row r="41935" ht="9.9499999999999993" hidden="1" customHeight="1" x14ac:dyDescent="0.2"/>
    <row r="41936" ht="9.9499999999999993" hidden="1" customHeight="1" x14ac:dyDescent="0.2"/>
    <row r="41937" ht="9.9499999999999993" hidden="1" customHeight="1" x14ac:dyDescent="0.2"/>
    <row r="41938" ht="9.9499999999999993" hidden="1" customHeight="1" x14ac:dyDescent="0.2"/>
    <row r="41939" ht="9.9499999999999993" hidden="1" customHeight="1" x14ac:dyDescent="0.2"/>
    <row r="41940" ht="9.9499999999999993" hidden="1" customHeight="1" x14ac:dyDescent="0.2"/>
    <row r="41941" ht="9.9499999999999993" hidden="1" customHeight="1" x14ac:dyDescent="0.2"/>
    <row r="41942" ht="9.9499999999999993" hidden="1" customHeight="1" x14ac:dyDescent="0.2"/>
    <row r="41943" ht="9.9499999999999993" hidden="1" customHeight="1" x14ac:dyDescent="0.2"/>
    <row r="41944" ht="9.9499999999999993" hidden="1" customHeight="1" x14ac:dyDescent="0.2"/>
    <row r="41945" ht="9.9499999999999993" hidden="1" customHeight="1" x14ac:dyDescent="0.2"/>
    <row r="41946" ht="9.9499999999999993" hidden="1" customHeight="1" x14ac:dyDescent="0.2"/>
    <row r="41947" ht="9.9499999999999993" hidden="1" customHeight="1" x14ac:dyDescent="0.2"/>
    <row r="41948" ht="9.9499999999999993" hidden="1" customHeight="1" x14ac:dyDescent="0.2"/>
    <row r="41949" ht="9.9499999999999993" hidden="1" customHeight="1" x14ac:dyDescent="0.2"/>
    <row r="41950" ht="9.9499999999999993" hidden="1" customHeight="1" x14ac:dyDescent="0.2"/>
    <row r="41951" ht="9.9499999999999993" hidden="1" customHeight="1" x14ac:dyDescent="0.2"/>
    <row r="41952" ht="9.9499999999999993" hidden="1" customHeight="1" x14ac:dyDescent="0.2"/>
    <row r="41953" ht="9.9499999999999993" hidden="1" customHeight="1" x14ac:dyDescent="0.2"/>
    <row r="41954" ht="9.9499999999999993" hidden="1" customHeight="1" x14ac:dyDescent="0.2"/>
    <row r="41955" ht="9.9499999999999993" hidden="1" customHeight="1" x14ac:dyDescent="0.2"/>
    <row r="41956" ht="9.9499999999999993" hidden="1" customHeight="1" x14ac:dyDescent="0.2"/>
    <row r="41957" ht="9.9499999999999993" hidden="1" customHeight="1" x14ac:dyDescent="0.2"/>
    <row r="41958" ht="9.9499999999999993" hidden="1" customHeight="1" x14ac:dyDescent="0.2"/>
    <row r="41959" ht="9.9499999999999993" hidden="1" customHeight="1" x14ac:dyDescent="0.2"/>
    <row r="41960" ht="9.9499999999999993" hidden="1" customHeight="1" x14ac:dyDescent="0.2"/>
    <row r="41961" ht="9.9499999999999993" hidden="1" customHeight="1" x14ac:dyDescent="0.2"/>
    <row r="41962" ht="9.9499999999999993" hidden="1" customHeight="1" x14ac:dyDescent="0.2"/>
    <row r="41963" ht="9.9499999999999993" hidden="1" customHeight="1" x14ac:dyDescent="0.2"/>
    <row r="41964" ht="9.9499999999999993" hidden="1" customHeight="1" x14ac:dyDescent="0.2"/>
    <row r="41965" ht="9.9499999999999993" hidden="1" customHeight="1" x14ac:dyDescent="0.2"/>
    <row r="41966" ht="9.9499999999999993" hidden="1" customHeight="1" x14ac:dyDescent="0.2"/>
    <row r="41967" ht="9.9499999999999993" hidden="1" customHeight="1" x14ac:dyDescent="0.2"/>
    <row r="41968" ht="9.9499999999999993" hidden="1" customHeight="1" x14ac:dyDescent="0.2"/>
    <row r="41969" ht="9.9499999999999993" hidden="1" customHeight="1" x14ac:dyDescent="0.2"/>
    <row r="41970" ht="9.9499999999999993" hidden="1" customHeight="1" x14ac:dyDescent="0.2"/>
    <row r="41971" ht="9.9499999999999993" hidden="1" customHeight="1" x14ac:dyDescent="0.2"/>
    <row r="41972" ht="9.9499999999999993" hidden="1" customHeight="1" x14ac:dyDescent="0.2"/>
    <row r="41973" ht="9.9499999999999993" hidden="1" customHeight="1" x14ac:dyDescent="0.2"/>
    <row r="41974" ht="9.9499999999999993" hidden="1" customHeight="1" x14ac:dyDescent="0.2"/>
    <row r="41975" ht="9.9499999999999993" hidden="1" customHeight="1" x14ac:dyDescent="0.2"/>
    <row r="41976" ht="9.9499999999999993" hidden="1" customHeight="1" x14ac:dyDescent="0.2"/>
    <row r="41977" ht="9.9499999999999993" hidden="1" customHeight="1" x14ac:dyDescent="0.2"/>
    <row r="41978" ht="9.9499999999999993" hidden="1" customHeight="1" x14ac:dyDescent="0.2"/>
    <row r="41979" ht="9.9499999999999993" hidden="1" customHeight="1" x14ac:dyDescent="0.2"/>
    <row r="41980" ht="9.9499999999999993" hidden="1" customHeight="1" x14ac:dyDescent="0.2"/>
    <row r="41981" ht="9.9499999999999993" hidden="1" customHeight="1" x14ac:dyDescent="0.2"/>
    <row r="41982" ht="9.9499999999999993" hidden="1" customHeight="1" x14ac:dyDescent="0.2"/>
    <row r="41983" ht="9.9499999999999993" hidden="1" customHeight="1" x14ac:dyDescent="0.2"/>
    <row r="41984" ht="9.9499999999999993" hidden="1" customHeight="1" x14ac:dyDescent="0.2"/>
    <row r="41985" ht="9.9499999999999993" hidden="1" customHeight="1" x14ac:dyDescent="0.2"/>
    <row r="41986" ht="9.9499999999999993" hidden="1" customHeight="1" x14ac:dyDescent="0.2"/>
    <row r="41987" ht="9.9499999999999993" hidden="1" customHeight="1" x14ac:dyDescent="0.2"/>
    <row r="41988" ht="9.9499999999999993" hidden="1" customHeight="1" x14ac:dyDescent="0.2"/>
    <row r="41989" ht="9.9499999999999993" hidden="1" customHeight="1" x14ac:dyDescent="0.2"/>
    <row r="41990" ht="9.9499999999999993" hidden="1" customHeight="1" x14ac:dyDescent="0.2"/>
    <row r="41991" ht="9.9499999999999993" hidden="1" customHeight="1" x14ac:dyDescent="0.2"/>
    <row r="41992" ht="9.9499999999999993" hidden="1" customHeight="1" x14ac:dyDescent="0.2"/>
    <row r="41993" ht="9.9499999999999993" hidden="1" customHeight="1" x14ac:dyDescent="0.2"/>
    <row r="41994" ht="9.9499999999999993" hidden="1" customHeight="1" x14ac:dyDescent="0.2"/>
    <row r="41995" ht="9.9499999999999993" hidden="1" customHeight="1" x14ac:dyDescent="0.2"/>
    <row r="41996" ht="9.9499999999999993" hidden="1" customHeight="1" x14ac:dyDescent="0.2"/>
    <row r="41997" ht="9.9499999999999993" hidden="1" customHeight="1" x14ac:dyDescent="0.2"/>
    <row r="41998" ht="9.9499999999999993" hidden="1" customHeight="1" x14ac:dyDescent="0.2"/>
    <row r="41999" ht="9.9499999999999993" hidden="1" customHeight="1" x14ac:dyDescent="0.2"/>
    <row r="42000" ht="9.9499999999999993" hidden="1" customHeight="1" x14ac:dyDescent="0.2"/>
    <row r="42001" ht="9.9499999999999993" hidden="1" customHeight="1" x14ac:dyDescent="0.2"/>
    <row r="42002" ht="9.9499999999999993" hidden="1" customHeight="1" x14ac:dyDescent="0.2"/>
    <row r="42003" ht="9.9499999999999993" hidden="1" customHeight="1" x14ac:dyDescent="0.2"/>
    <row r="42004" ht="9.9499999999999993" hidden="1" customHeight="1" x14ac:dyDescent="0.2"/>
    <row r="42005" ht="9.9499999999999993" hidden="1" customHeight="1" x14ac:dyDescent="0.2"/>
    <row r="42006" ht="9.9499999999999993" hidden="1" customHeight="1" x14ac:dyDescent="0.2"/>
    <row r="42007" ht="9.9499999999999993" hidden="1" customHeight="1" x14ac:dyDescent="0.2"/>
    <row r="42008" ht="9.9499999999999993" hidden="1" customHeight="1" x14ac:dyDescent="0.2"/>
    <row r="42009" ht="9.9499999999999993" hidden="1" customHeight="1" x14ac:dyDescent="0.2"/>
    <row r="42010" ht="9.9499999999999993" hidden="1" customHeight="1" x14ac:dyDescent="0.2"/>
    <row r="42011" ht="9.9499999999999993" hidden="1" customHeight="1" x14ac:dyDescent="0.2"/>
    <row r="42012" ht="9.9499999999999993" hidden="1" customHeight="1" x14ac:dyDescent="0.2"/>
    <row r="42013" ht="9.9499999999999993" hidden="1" customHeight="1" x14ac:dyDescent="0.2"/>
    <row r="42014" ht="9.9499999999999993" hidden="1" customHeight="1" x14ac:dyDescent="0.2"/>
    <row r="42015" ht="9.9499999999999993" hidden="1" customHeight="1" x14ac:dyDescent="0.2"/>
    <row r="42016" ht="9.9499999999999993" hidden="1" customHeight="1" x14ac:dyDescent="0.2"/>
    <row r="42017" ht="9.9499999999999993" hidden="1" customHeight="1" x14ac:dyDescent="0.2"/>
    <row r="42018" ht="9.9499999999999993" hidden="1" customHeight="1" x14ac:dyDescent="0.2"/>
    <row r="42019" ht="9.9499999999999993" hidden="1" customHeight="1" x14ac:dyDescent="0.2"/>
    <row r="42020" ht="9.9499999999999993" hidden="1" customHeight="1" x14ac:dyDescent="0.2"/>
    <row r="42021" ht="9.9499999999999993" hidden="1" customHeight="1" x14ac:dyDescent="0.2"/>
    <row r="42022" ht="9.9499999999999993" hidden="1" customHeight="1" x14ac:dyDescent="0.2"/>
    <row r="42023" ht="9.9499999999999993" hidden="1" customHeight="1" x14ac:dyDescent="0.2"/>
    <row r="42024" ht="9.9499999999999993" hidden="1" customHeight="1" x14ac:dyDescent="0.2"/>
    <row r="42025" ht="9.9499999999999993" hidden="1" customHeight="1" x14ac:dyDescent="0.2"/>
    <row r="42026" ht="9.9499999999999993" hidden="1" customHeight="1" x14ac:dyDescent="0.2"/>
    <row r="42027" ht="9.9499999999999993" hidden="1" customHeight="1" x14ac:dyDescent="0.2"/>
    <row r="42028" ht="9.9499999999999993" hidden="1" customHeight="1" x14ac:dyDescent="0.2"/>
    <row r="42029" ht="9.9499999999999993" hidden="1" customHeight="1" x14ac:dyDescent="0.2"/>
    <row r="42030" ht="9.9499999999999993" hidden="1" customHeight="1" x14ac:dyDescent="0.2"/>
    <row r="42031" ht="9.9499999999999993" hidden="1" customHeight="1" x14ac:dyDescent="0.2"/>
    <row r="42032" ht="9.9499999999999993" hidden="1" customHeight="1" x14ac:dyDescent="0.2"/>
    <row r="42033" ht="9.9499999999999993" hidden="1" customHeight="1" x14ac:dyDescent="0.2"/>
    <row r="42034" ht="9.9499999999999993" hidden="1" customHeight="1" x14ac:dyDescent="0.2"/>
    <row r="42035" ht="9.9499999999999993" hidden="1" customHeight="1" x14ac:dyDescent="0.2"/>
    <row r="42036" ht="9.9499999999999993" hidden="1" customHeight="1" x14ac:dyDescent="0.2"/>
    <row r="42037" ht="9.9499999999999993" hidden="1" customHeight="1" x14ac:dyDescent="0.2"/>
    <row r="42038" ht="9.9499999999999993" hidden="1" customHeight="1" x14ac:dyDescent="0.2"/>
    <row r="42039" ht="9.9499999999999993" hidden="1" customHeight="1" x14ac:dyDescent="0.2"/>
    <row r="42040" ht="9.9499999999999993" hidden="1" customHeight="1" x14ac:dyDescent="0.2"/>
    <row r="42041" ht="9.9499999999999993" hidden="1" customHeight="1" x14ac:dyDescent="0.2"/>
    <row r="42042" ht="9.9499999999999993" hidden="1" customHeight="1" x14ac:dyDescent="0.2"/>
    <row r="42043" ht="9.9499999999999993" hidden="1" customHeight="1" x14ac:dyDescent="0.2"/>
    <row r="42044" ht="9.9499999999999993" hidden="1" customHeight="1" x14ac:dyDescent="0.2"/>
    <row r="42045" ht="9.9499999999999993" hidden="1" customHeight="1" x14ac:dyDescent="0.2"/>
    <row r="42046" ht="9.9499999999999993" hidden="1" customHeight="1" x14ac:dyDescent="0.2"/>
    <row r="42047" ht="9.9499999999999993" hidden="1" customHeight="1" x14ac:dyDescent="0.2"/>
    <row r="42048" ht="9.9499999999999993" hidden="1" customHeight="1" x14ac:dyDescent="0.2"/>
    <row r="42049" ht="9.9499999999999993" hidden="1" customHeight="1" x14ac:dyDescent="0.2"/>
    <row r="42050" ht="9.9499999999999993" hidden="1" customHeight="1" x14ac:dyDescent="0.2"/>
    <row r="42051" ht="9.9499999999999993" hidden="1" customHeight="1" x14ac:dyDescent="0.2"/>
    <row r="42052" ht="9.9499999999999993" hidden="1" customHeight="1" x14ac:dyDescent="0.2"/>
    <row r="42053" ht="9.9499999999999993" hidden="1" customHeight="1" x14ac:dyDescent="0.2"/>
    <row r="42054" ht="9.9499999999999993" hidden="1" customHeight="1" x14ac:dyDescent="0.2"/>
    <row r="42055" ht="9.9499999999999993" hidden="1" customHeight="1" x14ac:dyDescent="0.2"/>
    <row r="42056" ht="9.9499999999999993" hidden="1" customHeight="1" x14ac:dyDescent="0.2"/>
    <row r="42057" ht="9.9499999999999993" hidden="1" customHeight="1" x14ac:dyDescent="0.2"/>
    <row r="42058" ht="9.9499999999999993" hidden="1" customHeight="1" x14ac:dyDescent="0.2"/>
    <row r="42059" ht="9.9499999999999993" hidden="1" customHeight="1" x14ac:dyDescent="0.2"/>
    <row r="42060" ht="9.9499999999999993" hidden="1" customHeight="1" x14ac:dyDescent="0.2"/>
    <row r="42061" ht="9.9499999999999993" hidden="1" customHeight="1" x14ac:dyDescent="0.2"/>
    <row r="42062" ht="9.9499999999999993" hidden="1" customHeight="1" x14ac:dyDescent="0.2"/>
    <row r="42063" ht="9.9499999999999993" hidden="1" customHeight="1" x14ac:dyDescent="0.2"/>
    <row r="42064" ht="9.9499999999999993" hidden="1" customHeight="1" x14ac:dyDescent="0.2"/>
    <row r="42065" ht="9.9499999999999993" hidden="1" customHeight="1" x14ac:dyDescent="0.2"/>
    <row r="42066" ht="9.9499999999999993" hidden="1" customHeight="1" x14ac:dyDescent="0.2"/>
    <row r="42067" ht="9.9499999999999993" hidden="1" customHeight="1" x14ac:dyDescent="0.2"/>
    <row r="42068" ht="9.9499999999999993" hidden="1" customHeight="1" x14ac:dyDescent="0.2"/>
    <row r="42069" ht="9.9499999999999993" hidden="1" customHeight="1" x14ac:dyDescent="0.2"/>
    <row r="42070" ht="9.9499999999999993" hidden="1" customHeight="1" x14ac:dyDescent="0.2"/>
    <row r="42071" ht="9.9499999999999993" hidden="1" customHeight="1" x14ac:dyDescent="0.2"/>
    <row r="42072" ht="9.9499999999999993" hidden="1" customHeight="1" x14ac:dyDescent="0.2"/>
    <row r="42073" ht="9.9499999999999993" hidden="1" customHeight="1" x14ac:dyDescent="0.2"/>
    <row r="42074" ht="9.9499999999999993" hidden="1" customHeight="1" x14ac:dyDescent="0.2"/>
    <row r="42075" ht="9.9499999999999993" hidden="1" customHeight="1" x14ac:dyDescent="0.2"/>
    <row r="42076" ht="9.9499999999999993" hidden="1" customHeight="1" x14ac:dyDescent="0.2"/>
    <row r="42077" ht="9.9499999999999993" hidden="1" customHeight="1" x14ac:dyDescent="0.2"/>
    <row r="42078" ht="9.9499999999999993" hidden="1" customHeight="1" x14ac:dyDescent="0.2"/>
    <row r="42079" ht="9.9499999999999993" hidden="1" customHeight="1" x14ac:dyDescent="0.2"/>
    <row r="42080" ht="9.9499999999999993" hidden="1" customHeight="1" x14ac:dyDescent="0.2"/>
    <row r="42081" ht="9.9499999999999993" hidden="1" customHeight="1" x14ac:dyDescent="0.2"/>
    <row r="42082" ht="9.9499999999999993" hidden="1" customHeight="1" x14ac:dyDescent="0.2"/>
    <row r="42083" ht="9.9499999999999993" hidden="1" customHeight="1" x14ac:dyDescent="0.2"/>
    <row r="42084" ht="9.9499999999999993" hidden="1" customHeight="1" x14ac:dyDescent="0.2"/>
    <row r="42085" ht="9.9499999999999993" hidden="1" customHeight="1" x14ac:dyDescent="0.2"/>
    <row r="42086" ht="9.9499999999999993" hidden="1" customHeight="1" x14ac:dyDescent="0.2"/>
    <row r="42087" ht="9.9499999999999993" hidden="1" customHeight="1" x14ac:dyDescent="0.2"/>
    <row r="42088" ht="9.9499999999999993" hidden="1" customHeight="1" x14ac:dyDescent="0.2"/>
    <row r="42089" ht="9.9499999999999993" hidden="1" customHeight="1" x14ac:dyDescent="0.2"/>
    <row r="42090" ht="9.9499999999999993" hidden="1" customHeight="1" x14ac:dyDescent="0.2"/>
    <row r="42091" ht="9.9499999999999993" hidden="1" customHeight="1" x14ac:dyDescent="0.2"/>
    <row r="42092" ht="9.9499999999999993" hidden="1" customHeight="1" x14ac:dyDescent="0.2"/>
    <row r="42093" ht="9.9499999999999993" hidden="1" customHeight="1" x14ac:dyDescent="0.2"/>
    <row r="42094" ht="9.9499999999999993" hidden="1" customHeight="1" x14ac:dyDescent="0.2"/>
    <row r="42095" ht="9.9499999999999993" hidden="1" customHeight="1" x14ac:dyDescent="0.2"/>
    <row r="42096" ht="9.9499999999999993" hidden="1" customHeight="1" x14ac:dyDescent="0.2"/>
    <row r="42097" ht="9.9499999999999993" hidden="1" customHeight="1" x14ac:dyDescent="0.2"/>
    <row r="42098" ht="9.9499999999999993" hidden="1" customHeight="1" x14ac:dyDescent="0.2"/>
    <row r="42099" ht="9.9499999999999993" hidden="1" customHeight="1" x14ac:dyDescent="0.2"/>
    <row r="42100" ht="9.9499999999999993" hidden="1" customHeight="1" x14ac:dyDescent="0.2"/>
    <row r="42101" ht="9.9499999999999993" hidden="1" customHeight="1" x14ac:dyDescent="0.2"/>
    <row r="42102" ht="9.9499999999999993" hidden="1" customHeight="1" x14ac:dyDescent="0.2"/>
    <row r="42103" ht="9.9499999999999993" hidden="1" customHeight="1" x14ac:dyDescent="0.2"/>
    <row r="42104" ht="9.9499999999999993" hidden="1" customHeight="1" x14ac:dyDescent="0.2"/>
    <row r="42105" ht="9.9499999999999993" hidden="1" customHeight="1" x14ac:dyDescent="0.2"/>
    <row r="42106" ht="9.9499999999999993" hidden="1" customHeight="1" x14ac:dyDescent="0.2"/>
    <row r="42107" ht="9.9499999999999993" hidden="1" customHeight="1" x14ac:dyDescent="0.2"/>
    <row r="42108" ht="9.9499999999999993" hidden="1" customHeight="1" x14ac:dyDescent="0.2"/>
    <row r="42109" ht="9.9499999999999993" hidden="1" customHeight="1" x14ac:dyDescent="0.2"/>
    <row r="42110" ht="9.9499999999999993" hidden="1" customHeight="1" x14ac:dyDescent="0.2"/>
    <row r="42111" ht="9.9499999999999993" hidden="1" customHeight="1" x14ac:dyDescent="0.2"/>
    <row r="42112" ht="9.9499999999999993" hidden="1" customHeight="1" x14ac:dyDescent="0.2"/>
    <row r="42113" ht="9.9499999999999993" hidden="1" customHeight="1" x14ac:dyDescent="0.2"/>
    <row r="42114" ht="9.9499999999999993" hidden="1" customHeight="1" x14ac:dyDescent="0.2"/>
    <row r="42115" ht="9.9499999999999993" hidden="1" customHeight="1" x14ac:dyDescent="0.2"/>
    <row r="42116" ht="9.9499999999999993" hidden="1" customHeight="1" x14ac:dyDescent="0.2"/>
    <row r="42117" ht="9.9499999999999993" hidden="1" customHeight="1" x14ac:dyDescent="0.2"/>
    <row r="42118" ht="9.9499999999999993" hidden="1" customHeight="1" x14ac:dyDescent="0.2"/>
    <row r="42119" ht="9.9499999999999993" hidden="1" customHeight="1" x14ac:dyDescent="0.2"/>
    <row r="42120" ht="9.9499999999999993" hidden="1" customHeight="1" x14ac:dyDescent="0.2"/>
    <row r="42121" ht="9.9499999999999993" hidden="1" customHeight="1" x14ac:dyDescent="0.2"/>
    <row r="42122" ht="9.9499999999999993" hidden="1" customHeight="1" x14ac:dyDescent="0.2"/>
    <row r="42123" ht="9.9499999999999993" hidden="1" customHeight="1" x14ac:dyDescent="0.2"/>
    <row r="42124" ht="9.9499999999999993" hidden="1" customHeight="1" x14ac:dyDescent="0.2"/>
    <row r="42125" ht="9.9499999999999993" hidden="1" customHeight="1" x14ac:dyDescent="0.2"/>
    <row r="42126" ht="9.9499999999999993" hidden="1" customHeight="1" x14ac:dyDescent="0.2"/>
    <row r="42127" ht="9.9499999999999993" hidden="1" customHeight="1" x14ac:dyDescent="0.2"/>
    <row r="42128" ht="9.9499999999999993" hidden="1" customHeight="1" x14ac:dyDescent="0.2"/>
    <row r="42129" ht="9.9499999999999993" hidden="1" customHeight="1" x14ac:dyDescent="0.2"/>
    <row r="42130" ht="9.9499999999999993" hidden="1" customHeight="1" x14ac:dyDescent="0.2"/>
    <row r="42131" ht="9.9499999999999993" hidden="1" customHeight="1" x14ac:dyDescent="0.2"/>
    <row r="42132" ht="9.9499999999999993" hidden="1" customHeight="1" x14ac:dyDescent="0.2"/>
    <row r="42133" ht="9.9499999999999993" hidden="1" customHeight="1" x14ac:dyDescent="0.2"/>
    <row r="42134" ht="9.9499999999999993" hidden="1" customHeight="1" x14ac:dyDescent="0.2"/>
    <row r="42135" ht="9.9499999999999993" hidden="1" customHeight="1" x14ac:dyDescent="0.2"/>
    <row r="42136" ht="9.9499999999999993" hidden="1" customHeight="1" x14ac:dyDescent="0.2"/>
    <row r="42137" ht="9.9499999999999993" hidden="1" customHeight="1" x14ac:dyDescent="0.2"/>
    <row r="42138" ht="9.9499999999999993" hidden="1" customHeight="1" x14ac:dyDescent="0.2"/>
    <row r="42139" ht="9.9499999999999993" hidden="1" customHeight="1" x14ac:dyDescent="0.2"/>
    <row r="42140" ht="9.9499999999999993" hidden="1" customHeight="1" x14ac:dyDescent="0.2"/>
    <row r="42141" ht="9.9499999999999993" hidden="1" customHeight="1" x14ac:dyDescent="0.2"/>
    <row r="42142" ht="9.9499999999999993" hidden="1" customHeight="1" x14ac:dyDescent="0.2"/>
    <row r="42143" ht="9.9499999999999993" hidden="1" customHeight="1" x14ac:dyDescent="0.2"/>
    <row r="42144" ht="9.9499999999999993" hidden="1" customHeight="1" x14ac:dyDescent="0.2"/>
    <row r="42145" ht="9.9499999999999993" hidden="1" customHeight="1" x14ac:dyDescent="0.2"/>
    <row r="42146" ht="9.9499999999999993" hidden="1" customHeight="1" x14ac:dyDescent="0.2"/>
    <row r="42147" ht="9.9499999999999993" hidden="1" customHeight="1" x14ac:dyDescent="0.2"/>
    <row r="42148" ht="9.9499999999999993" hidden="1" customHeight="1" x14ac:dyDescent="0.2"/>
    <row r="42149" ht="9.9499999999999993" hidden="1" customHeight="1" x14ac:dyDescent="0.2"/>
    <row r="42150" ht="9.9499999999999993" hidden="1" customHeight="1" x14ac:dyDescent="0.2"/>
    <row r="42151" ht="9.9499999999999993" hidden="1" customHeight="1" x14ac:dyDescent="0.2"/>
    <row r="42152" ht="9.9499999999999993" hidden="1" customHeight="1" x14ac:dyDescent="0.2"/>
    <row r="42153" ht="9.9499999999999993" hidden="1" customHeight="1" x14ac:dyDescent="0.2"/>
    <row r="42154" ht="9.9499999999999993" hidden="1" customHeight="1" x14ac:dyDescent="0.2"/>
    <row r="42155" ht="9.9499999999999993" hidden="1" customHeight="1" x14ac:dyDescent="0.2"/>
    <row r="42156" ht="9.9499999999999993" hidden="1" customHeight="1" x14ac:dyDescent="0.2"/>
    <row r="42157" ht="9.9499999999999993" hidden="1" customHeight="1" x14ac:dyDescent="0.2"/>
    <row r="42158" ht="9.9499999999999993" hidden="1" customHeight="1" x14ac:dyDescent="0.2"/>
    <row r="42159" ht="9.9499999999999993" hidden="1" customHeight="1" x14ac:dyDescent="0.2"/>
    <row r="42160" ht="9.9499999999999993" hidden="1" customHeight="1" x14ac:dyDescent="0.2"/>
    <row r="42161" ht="9.9499999999999993" hidden="1" customHeight="1" x14ac:dyDescent="0.2"/>
    <row r="42162" ht="9.9499999999999993" hidden="1" customHeight="1" x14ac:dyDescent="0.2"/>
    <row r="42163" ht="9.9499999999999993" hidden="1" customHeight="1" x14ac:dyDescent="0.2"/>
    <row r="42164" ht="9.9499999999999993" hidden="1" customHeight="1" x14ac:dyDescent="0.2"/>
    <row r="42165" ht="9.9499999999999993" hidden="1" customHeight="1" x14ac:dyDescent="0.2"/>
    <row r="42166" ht="9.9499999999999993" hidden="1" customHeight="1" x14ac:dyDescent="0.2"/>
    <row r="42167" ht="9.9499999999999993" hidden="1" customHeight="1" x14ac:dyDescent="0.2"/>
    <row r="42168" ht="9.9499999999999993" hidden="1" customHeight="1" x14ac:dyDescent="0.2"/>
    <row r="42169" ht="9.9499999999999993" hidden="1" customHeight="1" x14ac:dyDescent="0.2"/>
    <row r="42170" ht="9.9499999999999993" hidden="1" customHeight="1" x14ac:dyDescent="0.2"/>
    <row r="42171" ht="9.9499999999999993" hidden="1" customHeight="1" x14ac:dyDescent="0.2"/>
    <row r="42172" ht="9.9499999999999993" hidden="1" customHeight="1" x14ac:dyDescent="0.2"/>
    <row r="42173" ht="9.9499999999999993" hidden="1" customHeight="1" x14ac:dyDescent="0.2"/>
    <row r="42174" ht="9.9499999999999993" hidden="1" customHeight="1" x14ac:dyDescent="0.2"/>
    <row r="42175" ht="9.9499999999999993" hidden="1" customHeight="1" x14ac:dyDescent="0.2"/>
    <row r="42176" ht="9.9499999999999993" hidden="1" customHeight="1" x14ac:dyDescent="0.2"/>
    <row r="42177" ht="9.9499999999999993" hidden="1" customHeight="1" x14ac:dyDescent="0.2"/>
    <row r="42178" ht="9.9499999999999993" hidden="1" customHeight="1" x14ac:dyDescent="0.2"/>
    <row r="42179" ht="9.9499999999999993" hidden="1" customHeight="1" x14ac:dyDescent="0.2"/>
    <row r="42180" ht="9.9499999999999993" hidden="1" customHeight="1" x14ac:dyDescent="0.2"/>
    <row r="42181" ht="9.9499999999999993" hidden="1" customHeight="1" x14ac:dyDescent="0.2"/>
    <row r="42182" ht="9.9499999999999993" hidden="1" customHeight="1" x14ac:dyDescent="0.2"/>
    <row r="42183" ht="9.9499999999999993" hidden="1" customHeight="1" x14ac:dyDescent="0.2"/>
    <row r="42184" ht="9.9499999999999993" hidden="1" customHeight="1" x14ac:dyDescent="0.2"/>
    <row r="42185" ht="9.9499999999999993" hidden="1" customHeight="1" x14ac:dyDescent="0.2"/>
    <row r="42186" ht="9.9499999999999993" hidden="1" customHeight="1" x14ac:dyDescent="0.2"/>
    <row r="42187" ht="9.9499999999999993" hidden="1" customHeight="1" x14ac:dyDescent="0.2"/>
    <row r="42188" ht="9.9499999999999993" hidden="1" customHeight="1" x14ac:dyDescent="0.2"/>
    <row r="42189" ht="9.9499999999999993" hidden="1" customHeight="1" x14ac:dyDescent="0.2"/>
    <row r="42190" ht="9.9499999999999993" hidden="1" customHeight="1" x14ac:dyDescent="0.2"/>
    <row r="42191" ht="9.9499999999999993" hidden="1" customHeight="1" x14ac:dyDescent="0.2"/>
    <row r="42192" ht="9.9499999999999993" hidden="1" customHeight="1" x14ac:dyDescent="0.2"/>
    <row r="42193" ht="9.9499999999999993" hidden="1" customHeight="1" x14ac:dyDescent="0.2"/>
    <row r="42194" ht="9.9499999999999993" hidden="1" customHeight="1" x14ac:dyDescent="0.2"/>
    <row r="42195" ht="9.9499999999999993" hidden="1" customHeight="1" x14ac:dyDescent="0.2"/>
    <row r="42196" ht="9.9499999999999993" hidden="1" customHeight="1" x14ac:dyDescent="0.2"/>
    <row r="42197" ht="9.9499999999999993" hidden="1" customHeight="1" x14ac:dyDescent="0.2"/>
    <row r="42198" ht="9.9499999999999993" hidden="1" customHeight="1" x14ac:dyDescent="0.2"/>
    <row r="42199" ht="9.9499999999999993" hidden="1" customHeight="1" x14ac:dyDescent="0.2"/>
    <row r="42200" ht="9.9499999999999993" hidden="1" customHeight="1" x14ac:dyDescent="0.2"/>
    <row r="42201" ht="9.9499999999999993" hidden="1" customHeight="1" x14ac:dyDescent="0.2"/>
    <row r="42202" ht="9.9499999999999993" hidden="1" customHeight="1" x14ac:dyDescent="0.2"/>
    <row r="42203" ht="9.9499999999999993" hidden="1" customHeight="1" x14ac:dyDescent="0.2"/>
    <row r="42204" ht="9.9499999999999993" hidden="1" customHeight="1" x14ac:dyDescent="0.2"/>
    <row r="42205" ht="9.9499999999999993" hidden="1" customHeight="1" x14ac:dyDescent="0.2"/>
    <row r="42206" ht="9.9499999999999993" hidden="1" customHeight="1" x14ac:dyDescent="0.2"/>
    <row r="42207" ht="9.9499999999999993" hidden="1" customHeight="1" x14ac:dyDescent="0.2"/>
    <row r="42208" ht="9.9499999999999993" hidden="1" customHeight="1" x14ac:dyDescent="0.2"/>
    <row r="42209" ht="9.9499999999999993" hidden="1" customHeight="1" x14ac:dyDescent="0.2"/>
    <row r="42210" ht="9.9499999999999993" hidden="1" customHeight="1" x14ac:dyDescent="0.2"/>
    <row r="42211" ht="9.9499999999999993" hidden="1" customHeight="1" x14ac:dyDescent="0.2"/>
    <row r="42212" ht="9.9499999999999993" hidden="1" customHeight="1" x14ac:dyDescent="0.2"/>
    <row r="42213" ht="9.9499999999999993" hidden="1" customHeight="1" x14ac:dyDescent="0.2"/>
    <row r="42214" ht="9.9499999999999993" hidden="1" customHeight="1" x14ac:dyDescent="0.2"/>
    <row r="42215" ht="9.9499999999999993" hidden="1" customHeight="1" x14ac:dyDescent="0.2"/>
    <row r="42216" ht="9.9499999999999993" hidden="1" customHeight="1" x14ac:dyDescent="0.2"/>
    <row r="42217" ht="9.9499999999999993" hidden="1" customHeight="1" x14ac:dyDescent="0.2"/>
    <row r="42218" ht="9.9499999999999993" hidden="1" customHeight="1" x14ac:dyDescent="0.2"/>
    <row r="42219" ht="9.9499999999999993" hidden="1" customHeight="1" x14ac:dyDescent="0.2"/>
    <row r="42220" ht="9.9499999999999993" hidden="1" customHeight="1" x14ac:dyDescent="0.2"/>
    <row r="42221" ht="9.9499999999999993" hidden="1" customHeight="1" x14ac:dyDescent="0.2"/>
    <row r="42222" ht="9.9499999999999993" hidden="1" customHeight="1" x14ac:dyDescent="0.2"/>
    <row r="42223" ht="9.9499999999999993" hidden="1" customHeight="1" x14ac:dyDescent="0.2"/>
    <row r="42224" ht="9.9499999999999993" hidden="1" customHeight="1" x14ac:dyDescent="0.2"/>
    <row r="42225" ht="9.9499999999999993" hidden="1" customHeight="1" x14ac:dyDescent="0.2"/>
    <row r="42226" ht="9.9499999999999993" hidden="1" customHeight="1" x14ac:dyDescent="0.2"/>
    <row r="42227" ht="9.9499999999999993" hidden="1" customHeight="1" x14ac:dyDescent="0.2"/>
    <row r="42228" ht="9.9499999999999993" hidden="1" customHeight="1" x14ac:dyDescent="0.2"/>
    <row r="42229" ht="9.9499999999999993" hidden="1" customHeight="1" x14ac:dyDescent="0.2"/>
    <row r="42230" ht="9.9499999999999993" hidden="1" customHeight="1" x14ac:dyDescent="0.2"/>
    <row r="42231" ht="9.9499999999999993" hidden="1" customHeight="1" x14ac:dyDescent="0.2"/>
    <row r="42232" ht="9.9499999999999993" hidden="1" customHeight="1" x14ac:dyDescent="0.2"/>
    <row r="42233" ht="9.9499999999999993" hidden="1" customHeight="1" x14ac:dyDescent="0.2"/>
    <row r="42234" ht="9.9499999999999993" hidden="1" customHeight="1" x14ac:dyDescent="0.2"/>
    <row r="42235" ht="9.9499999999999993" hidden="1" customHeight="1" x14ac:dyDescent="0.2"/>
    <row r="42236" ht="9.9499999999999993" hidden="1" customHeight="1" x14ac:dyDescent="0.2"/>
    <row r="42237" ht="9.9499999999999993" hidden="1" customHeight="1" x14ac:dyDescent="0.2"/>
    <row r="42238" ht="9.9499999999999993" hidden="1" customHeight="1" x14ac:dyDescent="0.2"/>
    <row r="42239" ht="9.9499999999999993" hidden="1" customHeight="1" x14ac:dyDescent="0.2"/>
    <row r="42240" ht="9.9499999999999993" hidden="1" customHeight="1" x14ac:dyDescent="0.2"/>
    <row r="42241" ht="9.9499999999999993" hidden="1" customHeight="1" x14ac:dyDescent="0.2"/>
    <row r="42242" ht="9.9499999999999993" hidden="1" customHeight="1" x14ac:dyDescent="0.2"/>
    <row r="42243" ht="9.9499999999999993" hidden="1" customHeight="1" x14ac:dyDescent="0.2"/>
    <row r="42244" ht="9.9499999999999993" hidden="1" customHeight="1" x14ac:dyDescent="0.2"/>
    <row r="42245" ht="9.9499999999999993" hidden="1" customHeight="1" x14ac:dyDescent="0.2"/>
    <row r="42246" ht="9.9499999999999993" hidden="1" customHeight="1" x14ac:dyDescent="0.2"/>
    <row r="42247" ht="9.9499999999999993" hidden="1" customHeight="1" x14ac:dyDescent="0.2"/>
    <row r="42248" ht="9.9499999999999993" hidden="1" customHeight="1" x14ac:dyDescent="0.2"/>
    <row r="42249" ht="9.9499999999999993" hidden="1" customHeight="1" x14ac:dyDescent="0.2"/>
    <row r="42250" ht="9.9499999999999993" hidden="1" customHeight="1" x14ac:dyDescent="0.2"/>
    <row r="42251" ht="9.9499999999999993" hidden="1" customHeight="1" x14ac:dyDescent="0.2"/>
    <row r="42252" ht="9.9499999999999993" hidden="1" customHeight="1" x14ac:dyDescent="0.2"/>
    <row r="42253" ht="9.9499999999999993" hidden="1" customHeight="1" x14ac:dyDescent="0.2"/>
    <row r="42254" ht="9.9499999999999993" hidden="1" customHeight="1" x14ac:dyDescent="0.2"/>
    <row r="42255" ht="9.9499999999999993" hidden="1" customHeight="1" x14ac:dyDescent="0.2"/>
    <row r="42256" ht="9.9499999999999993" hidden="1" customHeight="1" x14ac:dyDescent="0.2"/>
    <row r="42257" ht="9.9499999999999993" hidden="1" customHeight="1" x14ac:dyDescent="0.2"/>
    <row r="42258" ht="9.9499999999999993" hidden="1" customHeight="1" x14ac:dyDescent="0.2"/>
    <row r="42259" ht="9.9499999999999993" hidden="1" customHeight="1" x14ac:dyDescent="0.2"/>
    <row r="42260" ht="9.9499999999999993" hidden="1" customHeight="1" x14ac:dyDescent="0.2"/>
    <row r="42261" ht="9.9499999999999993" hidden="1" customHeight="1" x14ac:dyDescent="0.2"/>
    <row r="42262" ht="9.9499999999999993" hidden="1" customHeight="1" x14ac:dyDescent="0.2"/>
    <row r="42263" ht="9.9499999999999993" hidden="1" customHeight="1" x14ac:dyDescent="0.2"/>
    <row r="42264" ht="9.9499999999999993" hidden="1" customHeight="1" x14ac:dyDescent="0.2"/>
    <row r="42265" ht="9.9499999999999993" hidden="1" customHeight="1" x14ac:dyDescent="0.2"/>
    <row r="42266" ht="9.9499999999999993" hidden="1" customHeight="1" x14ac:dyDescent="0.2"/>
    <row r="42267" ht="9.9499999999999993" hidden="1" customHeight="1" x14ac:dyDescent="0.2"/>
    <row r="42268" ht="9.9499999999999993" hidden="1" customHeight="1" x14ac:dyDescent="0.2"/>
    <row r="42269" ht="9.9499999999999993" hidden="1" customHeight="1" x14ac:dyDescent="0.2"/>
    <row r="42270" ht="9.9499999999999993" hidden="1" customHeight="1" x14ac:dyDescent="0.2"/>
    <row r="42271" ht="9.9499999999999993" hidden="1" customHeight="1" x14ac:dyDescent="0.2"/>
    <row r="42272" ht="9.9499999999999993" hidden="1" customHeight="1" x14ac:dyDescent="0.2"/>
    <row r="42273" ht="9.9499999999999993" hidden="1" customHeight="1" x14ac:dyDescent="0.2"/>
    <row r="42274" ht="9.9499999999999993" hidden="1" customHeight="1" x14ac:dyDescent="0.2"/>
    <row r="42275" ht="9.9499999999999993" hidden="1" customHeight="1" x14ac:dyDescent="0.2"/>
    <row r="42276" ht="9.9499999999999993" hidden="1" customHeight="1" x14ac:dyDescent="0.2"/>
    <row r="42277" ht="9.9499999999999993" hidden="1" customHeight="1" x14ac:dyDescent="0.2"/>
    <row r="42278" ht="9.9499999999999993" hidden="1" customHeight="1" x14ac:dyDescent="0.2"/>
    <row r="42279" ht="9.9499999999999993" hidden="1" customHeight="1" x14ac:dyDescent="0.2"/>
    <row r="42280" ht="9.9499999999999993" hidden="1" customHeight="1" x14ac:dyDescent="0.2"/>
    <row r="42281" ht="9.9499999999999993" hidden="1" customHeight="1" x14ac:dyDescent="0.2"/>
    <row r="42282" ht="9.9499999999999993" hidden="1" customHeight="1" x14ac:dyDescent="0.2"/>
    <row r="42283" ht="9.9499999999999993" hidden="1" customHeight="1" x14ac:dyDescent="0.2"/>
    <row r="42284" ht="9.9499999999999993" hidden="1" customHeight="1" x14ac:dyDescent="0.2"/>
    <row r="42285" ht="9.9499999999999993" hidden="1" customHeight="1" x14ac:dyDescent="0.2"/>
    <row r="42286" ht="9.9499999999999993" hidden="1" customHeight="1" x14ac:dyDescent="0.2"/>
    <row r="42287" ht="9.9499999999999993" hidden="1" customHeight="1" x14ac:dyDescent="0.2"/>
    <row r="42288" ht="9.9499999999999993" hidden="1" customHeight="1" x14ac:dyDescent="0.2"/>
    <row r="42289" ht="9.9499999999999993" hidden="1" customHeight="1" x14ac:dyDescent="0.2"/>
    <row r="42290" ht="9.9499999999999993" hidden="1" customHeight="1" x14ac:dyDescent="0.2"/>
    <row r="42291" ht="9.9499999999999993" hidden="1" customHeight="1" x14ac:dyDescent="0.2"/>
    <row r="42292" ht="9.9499999999999993" hidden="1" customHeight="1" x14ac:dyDescent="0.2"/>
    <row r="42293" ht="9.9499999999999993" hidden="1" customHeight="1" x14ac:dyDescent="0.2"/>
    <row r="42294" ht="9.9499999999999993" hidden="1" customHeight="1" x14ac:dyDescent="0.2"/>
    <row r="42295" ht="9.9499999999999993" hidden="1" customHeight="1" x14ac:dyDescent="0.2"/>
    <row r="42296" ht="9.9499999999999993" hidden="1" customHeight="1" x14ac:dyDescent="0.2"/>
    <row r="42297" ht="9.9499999999999993" hidden="1" customHeight="1" x14ac:dyDescent="0.2"/>
    <row r="42298" ht="9.9499999999999993" hidden="1" customHeight="1" x14ac:dyDescent="0.2"/>
    <row r="42299" ht="9.9499999999999993" hidden="1" customHeight="1" x14ac:dyDescent="0.2"/>
    <row r="42300" ht="9.9499999999999993" hidden="1" customHeight="1" x14ac:dyDescent="0.2"/>
    <row r="42301" ht="9.9499999999999993" hidden="1" customHeight="1" x14ac:dyDescent="0.2"/>
    <row r="42302" ht="9.9499999999999993" hidden="1" customHeight="1" x14ac:dyDescent="0.2"/>
    <row r="42303" ht="9.9499999999999993" hidden="1" customHeight="1" x14ac:dyDescent="0.2"/>
    <row r="42304" ht="9.9499999999999993" hidden="1" customHeight="1" x14ac:dyDescent="0.2"/>
    <row r="42305" ht="9.9499999999999993" hidden="1" customHeight="1" x14ac:dyDescent="0.2"/>
    <row r="42306" ht="9.9499999999999993" hidden="1" customHeight="1" x14ac:dyDescent="0.2"/>
    <row r="42307" ht="9.9499999999999993" hidden="1" customHeight="1" x14ac:dyDescent="0.2"/>
    <row r="42308" ht="9.9499999999999993" hidden="1" customHeight="1" x14ac:dyDescent="0.2"/>
    <row r="42309" ht="9.9499999999999993" hidden="1" customHeight="1" x14ac:dyDescent="0.2"/>
    <row r="42310" ht="9.9499999999999993" hidden="1" customHeight="1" x14ac:dyDescent="0.2"/>
    <row r="42311" ht="9.9499999999999993" hidden="1" customHeight="1" x14ac:dyDescent="0.2"/>
    <row r="42312" ht="9.9499999999999993" hidden="1" customHeight="1" x14ac:dyDescent="0.2"/>
    <row r="42313" ht="9.9499999999999993" hidden="1" customHeight="1" x14ac:dyDescent="0.2"/>
    <row r="42314" ht="9.9499999999999993" hidden="1" customHeight="1" x14ac:dyDescent="0.2"/>
    <row r="42315" ht="9.9499999999999993" hidden="1" customHeight="1" x14ac:dyDescent="0.2"/>
    <row r="42316" ht="9.9499999999999993" hidden="1" customHeight="1" x14ac:dyDescent="0.2"/>
    <row r="42317" ht="9.9499999999999993" hidden="1" customHeight="1" x14ac:dyDescent="0.2"/>
    <row r="42318" ht="9.9499999999999993" hidden="1" customHeight="1" x14ac:dyDescent="0.2"/>
    <row r="42319" ht="9.9499999999999993" hidden="1" customHeight="1" x14ac:dyDescent="0.2"/>
    <row r="42320" ht="9.9499999999999993" hidden="1" customHeight="1" x14ac:dyDescent="0.2"/>
    <row r="42321" ht="9.9499999999999993" hidden="1" customHeight="1" x14ac:dyDescent="0.2"/>
    <row r="42322" ht="9.9499999999999993" hidden="1" customHeight="1" x14ac:dyDescent="0.2"/>
    <row r="42323" ht="9.9499999999999993" hidden="1" customHeight="1" x14ac:dyDescent="0.2"/>
    <row r="42324" ht="9.9499999999999993" hidden="1" customHeight="1" x14ac:dyDescent="0.2"/>
    <row r="42325" ht="9.9499999999999993" hidden="1" customHeight="1" x14ac:dyDescent="0.2"/>
    <row r="42326" ht="9.9499999999999993" hidden="1" customHeight="1" x14ac:dyDescent="0.2"/>
    <row r="42327" ht="9.9499999999999993" hidden="1" customHeight="1" x14ac:dyDescent="0.2"/>
    <row r="42328" ht="9.9499999999999993" hidden="1" customHeight="1" x14ac:dyDescent="0.2"/>
    <row r="42329" ht="9.9499999999999993" hidden="1" customHeight="1" x14ac:dyDescent="0.2"/>
    <row r="42330" ht="9.9499999999999993" hidden="1" customHeight="1" x14ac:dyDescent="0.2"/>
    <row r="42331" ht="9.9499999999999993" hidden="1" customHeight="1" x14ac:dyDescent="0.2"/>
    <row r="42332" ht="9.9499999999999993" hidden="1" customHeight="1" x14ac:dyDescent="0.2"/>
    <row r="42333" ht="9.9499999999999993" hidden="1" customHeight="1" x14ac:dyDescent="0.2"/>
    <row r="42334" ht="9.9499999999999993" hidden="1" customHeight="1" x14ac:dyDescent="0.2"/>
    <row r="42335" ht="9.9499999999999993" hidden="1" customHeight="1" x14ac:dyDescent="0.2"/>
    <row r="42336" ht="9.9499999999999993" hidden="1" customHeight="1" x14ac:dyDescent="0.2"/>
    <row r="42337" ht="9.9499999999999993" hidden="1" customHeight="1" x14ac:dyDescent="0.2"/>
    <row r="42338" ht="9.9499999999999993" hidden="1" customHeight="1" x14ac:dyDescent="0.2"/>
    <row r="42339" ht="9.9499999999999993" hidden="1" customHeight="1" x14ac:dyDescent="0.2"/>
    <row r="42340" ht="9.9499999999999993" hidden="1" customHeight="1" x14ac:dyDescent="0.2"/>
    <row r="42341" ht="9.9499999999999993" hidden="1" customHeight="1" x14ac:dyDescent="0.2"/>
    <row r="42342" ht="9.9499999999999993" hidden="1" customHeight="1" x14ac:dyDescent="0.2"/>
    <row r="42343" ht="9.9499999999999993" hidden="1" customHeight="1" x14ac:dyDescent="0.2"/>
    <row r="42344" ht="9.9499999999999993" hidden="1" customHeight="1" x14ac:dyDescent="0.2"/>
    <row r="42345" ht="9.9499999999999993" hidden="1" customHeight="1" x14ac:dyDescent="0.2"/>
    <row r="42346" ht="9.9499999999999993" hidden="1" customHeight="1" x14ac:dyDescent="0.2"/>
    <row r="42347" ht="9.9499999999999993" hidden="1" customHeight="1" x14ac:dyDescent="0.2"/>
    <row r="42348" ht="9.9499999999999993" hidden="1" customHeight="1" x14ac:dyDescent="0.2"/>
    <row r="42349" ht="9.9499999999999993" hidden="1" customHeight="1" x14ac:dyDescent="0.2"/>
    <row r="42350" ht="9.9499999999999993" hidden="1" customHeight="1" x14ac:dyDescent="0.2"/>
    <row r="42351" ht="9.9499999999999993" hidden="1" customHeight="1" x14ac:dyDescent="0.2"/>
    <row r="42352" ht="9.9499999999999993" hidden="1" customHeight="1" x14ac:dyDescent="0.2"/>
    <row r="42353" ht="9.9499999999999993" hidden="1" customHeight="1" x14ac:dyDescent="0.2"/>
    <row r="42354" ht="9.9499999999999993" hidden="1" customHeight="1" x14ac:dyDescent="0.2"/>
    <row r="42355" ht="9.9499999999999993" hidden="1" customHeight="1" x14ac:dyDescent="0.2"/>
    <row r="42356" ht="9.9499999999999993" hidden="1" customHeight="1" x14ac:dyDescent="0.2"/>
    <row r="42357" ht="9.9499999999999993" hidden="1" customHeight="1" x14ac:dyDescent="0.2"/>
    <row r="42358" ht="9.9499999999999993" hidden="1" customHeight="1" x14ac:dyDescent="0.2"/>
    <row r="42359" ht="9.9499999999999993" hidden="1" customHeight="1" x14ac:dyDescent="0.2"/>
    <row r="42360" ht="9.9499999999999993" hidden="1" customHeight="1" x14ac:dyDescent="0.2"/>
    <row r="42361" ht="9.9499999999999993" hidden="1" customHeight="1" x14ac:dyDescent="0.2"/>
    <row r="42362" ht="9.9499999999999993" hidden="1" customHeight="1" x14ac:dyDescent="0.2"/>
    <row r="42363" ht="9.9499999999999993" hidden="1" customHeight="1" x14ac:dyDescent="0.2"/>
    <row r="42364" ht="9.9499999999999993" hidden="1" customHeight="1" x14ac:dyDescent="0.2"/>
    <row r="42365" ht="9.9499999999999993" hidden="1" customHeight="1" x14ac:dyDescent="0.2"/>
    <row r="42366" ht="9.9499999999999993" hidden="1" customHeight="1" x14ac:dyDescent="0.2"/>
    <row r="42367" ht="9.9499999999999993" hidden="1" customHeight="1" x14ac:dyDescent="0.2"/>
    <row r="42368" ht="9.9499999999999993" hidden="1" customHeight="1" x14ac:dyDescent="0.2"/>
    <row r="42369" ht="9.9499999999999993" hidden="1" customHeight="1" x14ac:dyDescent="0.2"/>
    <row r="42370" ht="9.9499999999999993" hidden="1" customHeight="1" x14ac:dyDescent="0.2"/>
    <row r="42371" ht="9.9499999999999993" hidden="1" customHeight="1" x14ac:dyDescent="0.2"/>
    <row r="42372" ht="9.9499999999999993" hidden="1" customHeight="1" x14ac:dyDescent="0.2"/>
    <row r="42373" ht="9.9499999999999993" hidden="1" customHeight="1" x14ac:dyDescent="0.2"/>
    <row r="42374" ht="9.9499999999999993" hidden="1" customHeight="1" x14ac:dyDescent="0.2"/>
    <row r="42375" ht="9.9499999999999993" hidden="1" customHeight="1" x14ac:dyDescent="0.2"/>
    <row r="42376" ht="9.9499999999999993" hidden="1" customHeight="1" x14ac:dyDescent="0.2"/>
    <row r="42377" ht="9.9499999999999993" hidden="1" customHeight="1" x14ac:dyDescent="0.2"/>
    <row r="42378" ht="9.9499999999999993" hidden="1" customHeight="1" x14ac:dyDescent="0.2"/>
    <row r="42379" ht="9.9499999999999993" hidden="1" customHeight="1" x14ac:dyDescent="0.2"/>
    <row r="42380" ht="9.9499999999999993" hidden="1" customHeight="1" x14ac:dyDescent="0.2"/>
    <row r="42381" ht="9.9499999999999993" hidden="1" customHeight="1" x14ac:dyDescent="0.2"/>
    <row r="42382" ht="9.9499999999999993" hidden="1" customHeight="1" x14ac:dyDescent="0.2"/>
    <row r="42383" ht="9.9499999999999993" hidden="1" customHeight="1" x14ac:dyDescent="0.2"/>
    <row r="42384" ht="9.9499999999999993" hidden="1" customHeight="1" x14ac:dyDescent="0.2"/>
    <row r="42385" ht="9.9499999999999993" hidden="1" customHeight="1" x14ac:dyDescent="0.2"/>
    <row r="42386" ht="9.9499999999999993" hidden="1" customHeight="1" x14ac:dyDescent="0.2"/>
    <row r="42387" ht="9.9499999999999993" hidden="1" customHeight="1" x14ac:dyDescent="0.2"/>
    <row r="42388" ht="9.9499999999999993" hidden="1" customHeight="1" x14ac:dyDescent="0.2"/>
    <row r="42389" ht="9.9499999999999993" hidden="1" customHeight="1" x14ac:dyDescent="0.2"/>
    <row r="42390" ht="9.9499999999999993" hidden="1" customHeight="1" x14ac:dyDescent="0.2"/>
    <row r="42391" ht="9.9499999999999993" hidden="1" customHeight="1" x14ac:dyDescent="0.2"/>
    <row r="42392" ht="9.9499999999999993" hidden="1" customHeight="1" x14ac:dyDescent="0.2"/>
    <row r="42393" ht="9.9499999999999993" hidden="1" customHeight="1" x14ac:dyDescent="0.2"/>
    <row r="42394" ht="9.9499999999999993" hidden="1" customHeight="1" x14ac:dyDescent="0.2"/>
    <row r="42395" ht="9.9499999999999993" hidden="1" customHeight="1" x14ac:dyDescent="0.2"/>
    <row r="42396" ht="9.9499999999999993" hidden="1" customHeight="1" x14ac:dyDescent="0.2"/>
    <row r="42397" ht="9.9499999999999993" hidden="1" customHeight="1" x14ac:dyDescent="0.2"/>
    <row r="42398" ht="9.9499999999999993" hidden="1" customHeight="1" x14ac:dyDescent="0.2"/>
    <row r="42399" ht="9.9499999999999993" hidden="1" customHeight="1" x14ac:dyDescent="0.2"/>
    <row r="42400" ht="9.9499999999999993" hidden="1" customHeight="1" x14ac:dyDescent="0.2"/>
    <row r="42401" ht="9.9499999999999993" hidden="1" customHeight="1" x14ac:dyDescent="0.2"/>
    <row r="42402" ht="9.9499999999999993" hidden="1" customHeight="1" x14ac:dyDescent="0.2"/>
    <row r="42403" ht="9.9499999999999993" hidden="1" customHeight="1" x14ac:dyDescent="0.2"/>
    <row r="42404" ht="9.9499999999999993" hidden="1" customHeight="1" x14ac:dyDescent="0.2"/>
    <row r="42405" ht="9.9499999999999993" hidden="1" customHeight="1" x14ac:dyDescent="0.2"/>
    <row r="42406" ht="9.9499999999999993" hidden="1" customHeight="1" x14ac:dyDescent="0.2"/>
    <row r="42407" ht="9.9499999999999993" hidden="1" customHeight="1" x14ac:dyDescent="0.2"/>
    <row r="42408" ht="9.9499999999999993" hidden="1" customHeight="1" x14ac:dyDescent="0.2"/>
    <row r="42409" ht="9.9499999999999993" hidden="1" customHeight="1" x14ac:dyDescent="0.2"/>
    <row r="42410" ht="9.9499999999999993" hidden="1" customHeight="1" x14ac:dyDescent="0.2"/>
    <row r="42411" ht="9.9499999999999993" hidden="1" customHeight="1" x14ac:dyDescent="0.2"/>
    <row r="42412" ht="9.9499999999999993" hidden="1" customHeight="1" x14ac:dyDescent="0.2"/>
    <row r="42413" ht="9.9499999999999993" hidden="1" customHeight="1" x14ac:dyDescent="0.2"/>
    <row r="42414" ht="9.9499999999999993" hidden="1" customHeight="1" x14ac:dyDescent="0.2"/>
    <row r="42415" ht="9.9499999999999993" hidden="1" customHeight="1" x14ac:dyDescent="0.2"/>
    <row r="42416" ht="9.9499999999999993" hidden="1" customHeight="1" x14ac:dyDescent="0.2"/>
    <row r="42417" ht="9.9499999999999993" hidden="1" customHeight="1" x14ac:dyDescent="0.2"/>
    <row r="42418" ht="9.9499999999999993" hidden="1" customHeight="1" x14ac:dyDescent="0.2"/>
    <row r="42419" ht="9.9499999999999993" hidden="1" customHeight="1" x14ac:dyDescent="0.2"/>
    <row r="42420" ht="9.9499999999999993" hidden="1" customHeight="1" x14ac:dyDescent="0.2"/>
    <row r="42421" ht="9.9499999999999993" hidden="1" customHeight="1" x14ac:dyDescent="0.2"/>
    <row r="42422" ht="9.9499999999999993" hidden="1" customHeight="1" x14ac:dyDescent="0.2"/>
    <row r="42423" ht="9.9499999999999993" hidden="1" customHeight="1" x14ac:dyDescent="0.2"/>
    <row r="42424" ht="9.9499999999999993" hidden="1" customHeight="1" x14ac:dyDescent="0.2"/>
    <row r="42425" ht="9.9499999999999993" hidden="1" customHeight="1" x14ac:dyDescent="0.2"/>
    <row r="42426" ht="9.9499999999999993" hidden="1" customHeight="1" x14ac:dyDescent="0.2"/>
    <row r="42427" ht="9.9499999999999993" hidden="1" customHeight="1" x14ac:dyDescent="0.2"/>
    <row r="42428" ht="9.9499999999999993" hidden="1" customHeight="1" x14ac:dyDescent="0.2"/>
    <row r="42429" ht="9.9499999999999993" hidden="1" customHeight="1" x14ac:dyDescent="0.2"/>
    <row r="42430" ht="9.9499999999999993" hidden="1" customHeight="1" x14ac:dyDescent="0.2"/>
    <row r="42431" ht="9.9499999999999993" hidden="1" customHeight="1" x14ac:dyDescent="0.2"/>
    <row r="42432" ht="9.9499999999999993" hidden="1" customHeight="1" x14ac:dyDescent="0.2"/>
    <row r="42433" ht="9.9499999999999993" hidden="1" customHeight="1" x14ac:dyDescent="0.2"/>
    <row r="42434" ht="9.9499999999999993" hidden="1" customHeight="1" x14ac:dyDescent="0.2"/>
    <row r="42435" ht="9.9499999999999993" hidden="1" customHeight="1" x14ac:dyDescent="0.2"/>
    <row r="42436" ht="9.9499999999999993" hidden="1" customHeight="1" x14ac:dyDescent="0.2"/>
    <row r="42437" ht="9.9499999999999993" hidden="1" customHeight="1" x14ac:dyDescent="0.2"/>
    <row r="42438" ht="9.9499999999999993" hidden="1" customHeight="1" x14ac:dyDescent="0.2"/>
    <row r="42439" ht="9.9499999999999993" hidden="1" customHeight="1" x14ac:dyDescent="0.2"/>
    <row r="42440" ht="9.9499999999999993" hidden="1" customHeight="1" x14ac:dyDescent="0.2"/>
    <row r="42441" ht="9.9499999999999993" hidden="1" customHeight="1" x14ac:dyDescent="0.2"/>
    <row r="42442" ht="9.9499999999999993" hidden="1" customHeight="1" x14ac:dyDescent="0.2"/>
    <row r="42443" ht="9.9499999999999993" hidden="1" customHeight="1" x14ac:dyDescent="0.2"/>
    <row r="42444" ht="9.9499999999999993" hidden="1" customHeight="1" x14ac:dyDescent="0.2"/>
    <row r="42445" ht="9.9499999999999993" hidden="1" customHeight="1" x14ac:dyDescent="0.2"/>
    <row r="42446" ht="9.9499999999999993" hidden="1" customHeight="1" x14ac:dyDescent="0.2"/>
    <row r="42447" ht="9.9499999999999993" hidden="1" customHeight="1" x14ac:dyDescent="0.2"/>
    <row r="42448" ht="9.9499999999999993" hidden="1" customHeight="1" x14ac:dyDescent="0.2"/>
    <row r="42449" ht="9.9499999999999993" hidden="1" customHeight="1" x14ac:dyDescent="0.2"/>
    <row r="42450" ht="9.9499999999999993" hidden="1" customHeight="1" x14ac:dyDescent="0.2"/>
    <row r="42451" ht="9.9499999999999993" hidden="1" customHeight="1" x14ac:dyDescent="0.2"/>
    <row r="42452" ht="9.9499999999999993" hidden="1" customHeight="1" x14ac:dyDescent="0.2"/>
    <row r="42453" ht="9.9499999999999993" hidden="1" customHeight="1" x14ac:dyDescent="0.2"/>
    <row r="42454" ht="9.9499999999999993" hidden="1" customHeight="1" x14ac:dyDescent="0.2"/>
    <row r="42455" ht="9.9499999999999993" hidden="1" customHeight="1" x14ac:dyDescent="0.2"/>
    <row r="42456" ht="9.9499999999999993" hidden="1" customHeight="1" x14ac:dyDescent="0.2"/>
    <row r="42457" ht="9.9499999999999993" hidden="1" customHeight="1" x14ac:dyDescent="0.2"/>
    <row r="42458" ht="9.9499999999999993" hidden="1" customHeight="1" x14ac:dyDescent="0.2"/>
    <row r="42459" ht="9.9499999999999993" hidden="1" customHeight="1" x14ac:dyDescent="0.2"/>
    <row r="42460" ht="9.9499999999999993" hidden="1" customHeight="1" x14ac:dyDescent="0.2"/>
    <row r="42461" ht="9.9499999999999993" hidden="1" customHeight="1" x14ac:dyDescent="0.2"/>
    <row r="42462" ht="9.9499999999999993" hidden="1" customHeight="1" x14ac:dyDescent="0.2"/>
    <row r="42463" ht="9.9499999999999993" hidden="1" customHeight="1" x14ac:dyDescent="0.2"/>
    <row r="42464" ht="9.9499999999999993" hidden="1" customHeight="1" x14ac:dyDescent="0.2"/>
    <row r="42465" ht="9.9499999999999993" hidden="1" customHeight="1" x14ac:dyDescent="0.2"/>
    <row r="42466" ht="9.9499999999999993" hidden="1" customHeight="1" x14ac:dyDescent="0.2"/>
    <row r="42467" ht="9.9499999999999993" hidden="1" customHeight="1" x14ac:dyDescent="0.2"/>
    <row r="42468" ht="9.9499999999999993" hidden="1" customHeight="1" x14ac:dyDescent="0.2"/>
    <row r="42469" ht="9.9499999999999993" hidden="1" customHeight="1" x14ac:dyDescent="0.2"/>
    <row r="42470" ht="9.9499999999999993" hidden="1" customHeight="1" x14ac:dyDescent="0.2"/>
    <row r="42471" ht="9.9499999999999993" hidden="1" customHeight="1" x14ac:dyDescent="0.2"/>
    <row r="42472" ht="9.9499999999999993" hidden="1" customHeight="1" x14ac:dyDescent="0.2"/>
    <row r="42473" ht="9.9499999999999993" hidden="1" customHeight="1" x14ac:dyDescent="0.2"/>
    <row r="42474" ht="9.9499999999999993" hidden="1" customHeight="1" x14ac:dyDescent="0.2"/>
    <row r="42475" ht="9.9499999999999993" hidden="1" customHeight="1" x14ac:dyDescent="0.2"/>
    <row r="42476" ht="9.9499999999999993" hidden="1" customHeight="1" x14ac:dyDescent="0.2"/>
    <row r="42477" ht="9.9499999999999993" hidden="1" customHeight="1" x14ac:dyDescent="0.2"/>
    <row r="42478" ht="9.9499999999999993" hidden="1" customHeight="1" x14ac:dyDescent="0.2"/>
    <row r="42479" ht="9.9499999999999993" hidden="1" customHeight="1" x14ac:dyDescent="0.2"/>
    <row r="42480" ht="9.9499999999999993" hidden="1" customHeight="1" x14ac:dyDescent="0.2"/>
    <row r="42481" ht="9.9499999999999993" hidden="1" customHeight="1" x14ac:dyDescent="0.2"/>
    <row r="42482" ht="9.9499999999999993" hidden="1" customHeight="1" x14ac:dyDescent="0.2"/>
    <row r="42483" ht="9.9499999999999993" hidden="1" customHeight="1" x14ac:dyDescent="0.2"/>
    <row r="42484" ht="9.9499999999999993" hidden="1" customHeight="1" x14ac:dyDescent="0.2"/>
    <row r="42485" ht="9.9499999999999993" hidden="1" customHeight="1" x14ac:dyDescent="0.2"/>
    <row r="42486" ht="9.9499999999999993" hidden="1" customHeight="1" x14ac:dyDescent="0.2"/>
    <row r="42487" ht="9.9499999999999993" hidden="1" customHeight="1" x14ac:dyDescent="0.2"/>
    <row r="42488" ht="9.9499999999999993" hidden="1" customHeight="1" x14ac:dyDescent="0.2"/>
    <row r="42489" ht="9.9499999999999993" hidden="1" customHeight="1" x14ac:dyDescent="0.2"/>
    <row r="42490" ht="9.9499999999999993" hidden="1" customHeight="1" x14ac:dyDescent="0.2"/>
    <row r="42491" ht="9.9499999999999993" hidden="1" customHeight="1" x14ac:dyDescent="0.2"/>
    <row r="42492" ht="9.9499999999999993" hidden="1" customHeight="1" x14ac:dyDescent="0.2"/>
    <row r="42493" ht="9.9499999999999993" hidden="1" customHeight="1" x14ac:dyDescent="0.2"/>
    <row r="42494" ht="9.9499999999999993" hidden="1" customHeight="1" x14ac:dyDescent="0.2"/>
    <row r="42495" ht="9.9499999999999993" hidden="1" customHeight="1" x14ac:dyDescent="0.2"/>
    <row r="42496" ht="9.9499999999999993" hidden="1" customHeight="1" x14ac:dyDescent="0.2"/>
    <row r="42497" ht="9.9499999999999993" hidden="1" customHeight="1" x14ac:dyDescent="0.2"/>
    <row r="42498" ht="9.9499999999999993" hidden="1" customHeight="1" x14ac:dyDescent="0.2"/>
    <row r="42499" ht="9.9499999999999993" hidden="1" customHeight="1" x14ac:dyDescent="0.2"/>
    <row r="42500" ht="9.9499999999999993" hidden="1" customHeight="1" x14ac:dyDescent="0.2"/>
    <row r="42501" ht="9.9499999999999993" hidden="1" customHeight="1" x14ac:dyDescent="0.2"/>
    <row r="42502" ht="9.9499999999999993" hidden="1" customHeight="1" x14ac:dyDescent="0.2"/>
    <row r="42503" ht="9.9499999999999993" hidden="1" customHeight="1" x14ac:dyDescent="0.2"/>
    <row r="42504" ht="9.9499999999999993" hidden="1" customHeight="1" x14ac:dyDescent="0.2"/>
    <row r="42505" ht="9.9499999999999993" hidden="1" customHeight="1" x14ac:dyDescent="0.2"/>
    <row r="42506" ht="9.9499999999999993" hidden="1" customHeight="1" x14ac:dyDescent="0.2"/>
    <row r="42507" ht="9.9499999999999993" hidden="1" customHeight="1" x14ac:dyDescent="0.2"/>
    <row r="42508" ht="9.9499999999999993" hidden="1" customHeight="1" x14ac:dyDescent="0.2"/>
    <row r="42509" ht="9.9499999999999993" hidden="1" customHeight="1" x14ac:dyDescent="0.2"/>
    <row r="42510" ht="9.9499999999999993" hidden="1" customHeight="1" x14ac:dyDescent="0.2"/>
    <row r="42511" ht="9.9499999999999993" hidden="1" customHeight="1" x14ac:dyDescent="0.2"/>
    <row r="42512" ht="9.9499999999999993" hidden="1" customHeight="1" x14ac:dyDescent="0.2"/>
    <row r="42513" ht="9.9499999999999993" hidden="1" customHeight="1" x14ac:dyDescent="0.2"/>
    <row r="42514" ht="9.9499999999999993" hidden="1" customHeight="1" x14ac:dyDescent="0.2"/>
    <row r="42515" ht="9.9499999999999993" hidden="1" customHeight="1" x14ac:dyDescent="0.2"/>
    <row r="42516" ht="9.9499999999999993" hidden="1" customHeight="1" x14ac:dyDescent="0.2"/>
    <row r="42517" ht="9.9499999999999993" hidden="1" customHeight="1" x14ac:dyDescent="0.2"/>
    <row r="42518" ht="9.9499999999999993" hidden="1" customHeight="1" x14ac:dyDescent="0.2"/>
    <row r="42519" ht="9.9499999999999993" hidden="1" customHeight="1" x14ac:dyDescent="0.2"/>
    <row r="42520" ht="9.9499999999999993" hidden="1" customHeight="1" x14ac:dyDescent="0.2"/>
    <row r="42521" ht="9.9499999999999993" hidden="1" customHeight="1" x14ac:dyDescent="0.2"/>
    <row r="42522" ht="9.9499999999999993" hidden="1" customHeight="1" x14ac:dyDescent="0.2"/>
    <row r="42523" ht="9.9499999999999993" hidden="1" customHeight="1" x14ac:dyDescent="0.2"/>
    <row r="42524" ht="9.9499999999999993" hidden="1" customHeight="1" x14ac:dyDescent="0.2"/>
    <row r="42525" ht="9.9499999999999993" hidden="1" customHeight="1" x14ac:dyDescent="0.2"/>
    <row r="42526" ht="9.9499999999999993" hidden="1" customHeight="1" x14ac:dyDescent="0.2"/>
    <row r="42527" ht="9.9499999999999993" hidden="1" customHeight="1" x14ac:dyDescent="0.2"/>
    <row r="42528" ht="9.9499999999999993" hidden="1" customHeight="1" x14ac:dyDescent="0.2"/>
    <row r="42529" ht="9.9499999999999993" hidden="1" customHeight="1" x14ac:dyDescent="0.2"/>
    <row r="42530" ht="9.9499999999999993" hidden="1" customHeight="1" x14ac:dyDescent="0.2"/>
    <row r="42531" ht="9.9499999999999993" hidden="1" customHeight="1" x14ac:dyDescent="0.2"/>
    <row r="42532" ht="9.9499999999999993" hidden="1" customHeight="1" x14ac:dyDescent="0.2"/>
    <row r="42533" ht="9.9499999999999993" hidden="1" customHeight="1" x14ac:dyDescent="0.2"/>
    <row r="42534" ht="9.9499999999999993" hidden="1" customHeight="1" x14ac:dyDescent="0.2"/>
    <row r="42535" ht="9.9499999999999993" hidden="1" customHeight="1" x14ac:dyDescent="0.2"/>
    <row r="42536" ht="9.9499999999999993" hidden="1" customHeight="1" x14ac:dyDescent="0.2"/>
    <row r="42537" ht="9.9499999999999993" hidden="1" customHeight="1" x14ac:dyDescent="0.2"/>
    <row r="42538" ht="9.9499999999999993" hidden="1" customHeight="1" x14ac:dyDescent="0.2"/>
    <row r="42539" ht="9.9499999999999993" hidden="1" customHeight="1" x14ac:dyDescent="0.2"/>
    <row r="42540" ht="9.9499999999999993" hidden="1" customHeight="1" x14ac:dyDescent="0.2"/>
    <row r="42541" ht="9.9499999999999993" hidden="1" customHeight="1" x14ac:dyDescent="0.2"/>
    <row r="42542" ht="9.9499999999999993" hidden="1" customHeight="1" x14ac:dyDescent="0.2"/>
    <row r="42543" ht="9.9499999999999993" hidden="1" customHeight="1" x14ac:dyDescent="0.2"/>
    <row r="42544" ht="9.9499999999999993" hidden="1" customHeight="1" x14ac:dyDescent="0.2"/>
    <row r="42545" ht="9.9499999999999993" hidden="1" customHeight="1" x14ac:dyDescent="0.2"/>
    <row r="42546" ht="9.9499999999999993" hidden="1" customHeight="1" x14ac:dyDescent="0.2"/>
    <row r="42547" ht="9.9499999999999993" hidden="1" customHeight="1" x14ac:dyDescent="0.2"/>
    <row r="42548" ht="9.9499999999999993" hidden="1" customHeight="1" x14ac:dyDescent="0.2"/>
    <row r="42549" ht="9.9499999999999993" hidden="1" customHeight="1" x14ac:dyDescent="0.2"/>
    <row r="42550" ht="9.9499999999999993" hidden="1" customHeight="1" x14ac:dyDescent="0.2"/>
    <row r="42551" ht="9.9499999999999993" hidden="1" customHeight="1" x14ac:dyDescent="0.2"/>
    <row r="42552" ht="9.9499999999999993" hidden="1" customHeight="1" x14ac:dyDescent="0.2"/>
    <row r="42553" ht="9.9499999999999993" hidden="1" customHeight="1" x14ac:dyDescent="0.2"/>
    <row r="42554" ht="9.9499999999999993" hidden="1" customHeight="1" x14ac:dyDescent="0.2"/>
    <row r="42555" ht="9.9499999999999993" hidden="1" customHeight="1" x14ac:dyDescent="0.2"/>
    <row r="42556" ht="9.9499999999999993" hidden="1" customHeight="1" x14ac:dyDescent="0.2"/>
    <row r="42557" ht="9.9499999999999993" hidden="1" customHeight="1" x14ac:dyDescent="0.2"/>
    <row r="42558" ht="9.9499999999999993" hidden="1" customHeight="1" x14ac:dyDescent="0.2"/>
    <row r="42559" ht="9.9499999999999993" hidden="1" customHeight="1" x14ac:dyDescent="0.2"/>
    <row r="42560" ht="9.9499999999999993" hidden="1" customHeight="1" x14ac:dyDescent="0.2"/>
    <row r="42561" ht="9.9499999999999993" hidden="1" customHeight="1" x14ac:dyDescent="0.2"/>
    <row r="42562" ht="9.9499999999999993" hidden="1" customHeight="1" x14ac:dyDescent="0.2"/>
    <row r="42563" ht="9.9499999999999993" hidden="1" customHeight="1" x14ac:dyDescent="0.2"/>
    <row r="42564" ht="9.9499999999999993" hidden="1" customHeight="1" x14ac:dyDescent="0.2"/>
    <row r="42565" ht="9.9499999999999993" hidden="1" customHeight="1" x14ac:dyDescent="0.2"/>
    <row r="42566" ht="9.9499999999999993" hidden="1" customHeight="1" x14ac:dyDescent="0.2"/>
    <row r="42567" ht="9.9499999999999993" hidden="1" customHeight="1" x14ac:dyDescent="0.2"/>
    <row r="42568" ht="9.9499999999999993" hidden="1" customHeight="1" x14ac:dyDescent="0.2"/>
    <row r="42569" ht="9.9499999999999993" hidden="1" customHeight="1" x14ac:dyDescent="0.2"/>
    <row r="42570" ht="9.9499999999999993" hidden="1" customHeight="1" x14ac:dyDescent="0.2"/>
    <row r="42571" ht="9.9499999999999993" hidden="1" customHeight="1" x14ac:dyDescent="0.2"/>
    <row r="42572" ht="9.9499999999999993" hidden="1" customHeight="1" x14ac:dyDescent="0.2"/>
    <row r="42573" ht="9.9499999999999993" hidden="1" customHeight="1" x14ac:dyDescent="0.2"/>
    <row r="42574" ht="9.9499999999999993" hidden="1" customHeight="1" x14ac:dyDescent="0.2"/>
    <row r="42575" ht="9.9499999999999993" hidden="1" customHeight="1" x14ac:dyDescent="0.2"/>
    <row r="42576" ht="9.9499999999999993" hidden="1" customHeight="1" x14ac:dyDescent="0.2"/>
    <row r="42577" ht="9.9499999999999993" hidden="1" customHeight="1" x14ac:dyDescent="0.2"/>
    <row r="42578" ht="9.9499999999999993" hidden="1" customHeight="1" x14ac:dyDescent="0.2"/>
    <row r="42579" ht="9.9499999999999993" hidden="1" customHeight="1" x14ac:dyDescent="0.2"/>
    <row r="42580" ht="9.9499999999999993" hidden="1" customHeight="1" x14ac:dyDescent="0.2"/>
    <row r="42581" ht="9.9499999999999993" hidden="1" customHeight="1" x14ac:dyDescent="0.2"/>
    <row r="42582" ht="9.9499999999999993" hidden="1" customHeight="1" x14ac:dyDescent="0.2"/>
    <row r="42583" ht="9.9499999999999993" hidden="1" customHeight="1" x14ac:dyDescent="0.2"/>
    <row r="42584" ht="9.9499999999999993" hidden="1" customHeight="1" x14ac:dyDescent="0.2"/>
    <row r="42585" ht="9.9499999999999993" hidden="1" customHeight="1" x14ac:dyDescent="0.2"/>
    <row r="42586" ht="9.9499999999999993" hidden="1" customHeight="1" x14ac:dyDescent="0.2"/>
    <row r="42587" ht="9.9499999999999993" hidden="1" customHeight="1" x14ac:dyDescent="0.2"/>
    <row r="42588" ht="9.9499999999999993" hidden="1" customHeight="1" x14ac:dyDescent="0.2"/>
    <row r="42589" ht="9.9499999999999993" hidden="1" customHeight="1" x14ac:dyDescent="0.2"/>
    <row r="42590" ht="9.9499999999999993" hidden="1" customHeight="1" x14ac:dyDescent="0.2"/>
    <row r="42591" ht="9.9499999999999993" hidden="1" customHeight="1" x14ac:dyDescent="0.2"/>
    <row r="42592" ht="9.9499999999999993" hidden="1" customHeight="1" x14ac:dyDescent="0.2"/>
    <row r="42593" ht="9.9499999999999993" hidden="1" customHeight="1" x14ac:dyDescent="0.2"/>
    <row r="42594" ht="9.9499999999999993" hidden="1" customHeight="1" x14ac:dyDescent="0.2"/>
    <row r="42595" ht="9.9499999999999993" hidden="1" customHeight="1" x14ac:dyDescent="0.2"/>
    <row r="42596" ht="9.9499999999999993" hidden="1" customHeight="1" x14ac:dyDescent="0.2"/>
    <row r="42597" ht="9.9499999999999993" hidden="1" customHeight="1" x14ac:dyDescent="0.2"/>
    <row r="42598" ht="9.9499999999999993" hidden="1" customHeight="1" x14ac:dyDescent="0.2"/>
    <row r="42599" ht="9.9499999999999993" hidden="1" customHeight="1" x14ac:dyDescent="0.2"/>
    <row r="42600" ht="9.9499999999999993" hidden="1" customHeight="1" x14ac:dyDescent="0.2"/>
    <row r="42601" ht="9.9499999999999993" hidden="1" customHeight="1" x14ac:dyDescent="0.2"/>
    <row r="42602" ht="9.9499999999999993" hidden="1" customHeight="1" x14ac:dyDescent="0.2"/>
    <row r="42603" ht="9.9499999999999993" hidden="1" customHeight="1" x14ac:dyDescent="0.2"/>
    <row r="42604" ht="9.9499999999999993" hidden="1" customHeight="1" x14ac:dyDescent="0.2"/>
    <row r="42605" ht="9.9499999999999993" hidden="1" customHeight="1" x14ac:dyDescent="0.2"/>
    <row r="42606" ht="9.9499999999999993" hidden="1" customHeight="1" x14ac:dyDescent="0.2"/>
    <row r="42607" ht="9.9499999999999993" hidden="1" customHeight="1" x14ac:dyDescent="0.2"/>
    <row r="42608" ht="9.9499999999999993" hidden="1" customHeight="1" x14ac:dyDescent="0.2"/>
    <row r="42609" ht="9.9499999999999993" hidden="1" customHeight="1" x14ac:dyDescent="0.2"/>
    <row r="42610" ht="9.9499999999999993" hidden="1" customHeight="1" x14ac:dyDescent="0.2"/>
    <row r="42611" ht="9.9499999999999993" hidden="1" customHeight="1" x14ac:dyDescent="0.2"/>
    <row r="42612" ht="9.9499999999999993" hidden="1" customHeight="1" x14ac:dyDescent="0.2"/>
    <row r="42613" ht="9.9499999999999993" hidden="1" customHeight="1" x14ac:dyDescent="0.2"/>
    <row r="42614" ht="9.9499999999999993" hidden="1" customHeight="1" x14ac:dyDescent="0.2"/>
    <row r="42615" ht="9.9499999999999993" hidden="1" customHeight="1" x14ac:dyDescent="0.2"/>
    <row r="42616" ht="9.9499999999999993" hidden="1" customHeight="1" x14ac:dyDescent="0.2"/>
    <row r="42617" ht="9.9499999999999993" hidden="1" customHeight="1" x14ac:dyDescent="0.2"/>
    <row r="42618" ht="9.9499999999999993" hidden="1" customHeight="1" x14ac:dyDescent="0.2"/>
    <row r="42619" ht="9.9499999999999993" hidden="1" customHeight="1" x14ac:dyDescent="0.2"/>
    <row r="42620" ht="9.9499999999999993" hidden="1" customHeight="1" x14ac:dyDescent="0.2"/>
    <row r="42621" ht="9.9499999999999993" hidden="1" customHeight="1" x14ac:dyDescent="0.2"/>
    <row r="42622" ht="9.9499999999999993" hidden="1" customHeight="1" x14ac:dyDescent="0.2"/>
    <row r="42623" ht="9.9499999999999993" hidden="1" customHeight="1" x14ac:dyDescent="0.2"/>
    <row r="42624" ht="9.9499999999999993" hidden="1" customHeight="1" x14ac:dyDescent="0.2"/>
    <row r="42625" ht="9.9499999999999993" hidden="1" customHeight="1" x14ac:dyDescent="0.2"/>
    <row r="42626" ht="9.9499999999999993" hidden="1" customHeight="1" x14ac:dyDescent="0.2"/>
    <row r="42627" ht="9.9499999999999993" hidden="1" customHeight="1" x14ac:dyDescent="0.2"/>
    <row r="42628" ht="9.9499999999999993" hidden="1" customHeight="1" x14ac:dyDescent="0.2"/>
    <row r="42629" ht="9.9499999999999993" hidden="1" customHeight="1" x14ac:dyDescent="0.2"/>
    <row r="42630" ht="9.9499999999999993" hidden="1" customHeight="1" x14ac:dyDescent="0.2"/>
    <row r="42631" ht="9.9499999999999993" hidden="1" customHeight="1" x14ac:dyDescent="0.2"/>
    <row r="42632" ht="9.9499999999999993" hidden="1" customHeight="1" x14ac:dyDescent="0.2"/>
    <row r="42633" ht="9.9499999999999993" hidden="1" customHeight="1" x14ac:dyDescent="0.2"/>
    <row r="42634" ht="9.9499999999999993" hidden="1" customHeight="1" x14ac:dyDescent="0.2"/>
    <row r="42635" ht="9.9499999999999993" hidden="1" customHeight="1" x14ac:dyDescent="0.2"/>
    <row r="42636" ht="9.9499999999999993" hidden="1" customHeight="1" x14ac:dyDescent="0.2"/>
    <row r="42637" ht="9.9499999999999993" hidden="1" customHeight="1" x14ac:dyDescent="0.2"/>
    <row r="42638" ht="9.9499999999999993" hidden="1" customHeight="1" x14ac:dyDescent="0.2"/>
    <row r="42639" ht="9.9499999999999993" hidden="1" customHeight="1" x14ac:dyDescent="0.2"/>
    <row r="42640" ht="9.9499999999999993" hidden="1" customHeight="1" x14ac:dyDescent="0.2"/>
    <row r="42641" ht="9.9499999999999993" hidden="1" customHeight="1" x14ac:dyDescent="0.2"/>
    <row r="42642" ht="9.9499999999999993" hidden="1" customHeight="1" x14ac:dyDescent="0.2"/>
    <row r="42643" ht="9.9499999999999993" hidden="1" customHeight="1" x14ac:dyDescent="0.2"/>
    <row r="42644" ht="9.9499999999999993" hidden="1" customHeight="1" x14ac:dyDescent="0.2"/>
    <row r="42645" ht="9.9499999999999993" hidden="1" customHeight="1" x14ac:dyDescent="0.2"/>
    <row r="42646" ht="9.9499999999999993" hidden="1" customHeight="1" x14ac:dyDescent="0.2"/>
    <row r="42647" ht="9.9499999999999993" hidden="1" customHeight="1" x14ac:dyDescent="0.2"/>
    <row r="42648" ht="9.9499999999999993" hidden="1" customHeight="1" x14ac:dyDescent="0.2"/>
    <row r="42649" ht="9.9499999999999993" hidden="1" customHeight="1" x14ac:dyDescent="0.2"/>
    <row r="42650" ht="9.9499999999999993" hidden="1" customHeight="1" x14ac:dyDescent="0.2"/>
    <row r="42651" ht="9.9499999999999993" hidden="1" customHeight="1" x14ac:dyDescent="0.2"/>
    <row r="42652" ht="9.9499999999999993" hidden="1" customHeight="1" x14ac:dyDescent="0.2"/>
    <row r="42653" ht="9.9499999999999993" hidden="1" customHeight="1" x14ac:dyDescent="0.2"/>
    <row r="42654" ht="9.9499999999999993" hidden="1" customHeight="1" x14ac:dyDescent="0.2"/>
    <row r="42655" ht="9.9499999999999993" hidden="1" customHeight="1" x14ac:dyDescent="0.2"/>
    <row r="42656" ht="9.9499999999999993" hidden="1" customHeight="1" x14ac:dyDescent="0.2"/>
    <row r="42657" ht="9.9499999999999993" hidden="1" customHeight="1" x14ac:dyDescent="0.2"/>
    <row r="42658" ht="9.9499999999999993" hidden="1" customHeight="1" x14ac:dyDescent="0.2"/>
    <row r="42659" ht="9.9499999999999993" hidden="1" customHeight="1" x14ac:dyDescent="0.2"/>
    <row r="42660" ht="9.9499999999999993" hidden="1" customHeight="1" x14ac:dyDescent="0.2"/>
    <row r="42661" ht="9.9499999999999993" hidden="1" customHeight="1" x14ac:dyDescent="0.2"/>
    <row r="42662" ht="9.9499999999999993" hidden="1" customHeight="1" x14ac:dyDescent="0.2"/>
    <row r="42663" ht="9.9499999999999993" hidden="1" customHeight="1" x14ac:dyDescent="0.2"/>
    <row r="42664" ht="9.9499999999999993" hidden="1" customHeight="1" x14ac:dyDescent="0.2"/>
    <row r="42665" ht="9.9499999999999993" hidden="1" customHeight="1" x14ac:dyDescent="0.2"/>
    <row r="42666" ht="9.9499999999999993" hidden="1" customHeight="1" x14ac:dyDescent="0.2"/>
    <row r="42667" ht="9.9499999999999993" hidden="1" customHeight="1" x14ac:dyDescent="0.2"/>
    <row r="42668" ht="9.9499999999999993" hidden="1" customHeight="1" x14ac:dyDescent="0.2"/>
    <row r="42669" ht="9.9499999999999993" hidden="1" customHeight="1" x14ac:dyDescent="0.2"/>
    <row r="42670" ht="9.9499999999999993" hidden="1" customHeight="1" x14ac:dyDescent="0.2"/>
    <row r="42671" ht="9.9499999999999993" hidden="1" customHeight="1" x14ac:dyDescent="0.2"/>
    <row r="42672" ht="9.9499999999999993" hidden="1" customHeight="1" x14ac:dyDescent="0.2"/>
    <row r="42673" ht="9.9499999999999993" hidden="1" customHeight="1" x14ac:dyDescent="0.2"/>
    <row r="42674" ht="9.9499999999999993" hidden="1" customHeight="1" x14ac:dyDescent="0.2"/>
    <row r="42675" ht="9.9499999999999993" hidden="1" customHeight="1" x14ac:dyDescent="0.2"/>
    <row r="42676" ht="9.9499999999999993" hidden="1" customHeight="1" x14ac:dyDescent="0.2"/>
    <row r="42677" ht="9.9499999999999993" hidden="1" customHeight="1" x14ac:dyDescent="0.2"/>
    <row r="42678" ht="9.9499999999999993" hidden="1" customHeight="1" x14ac:dyDescent="0.2"/>
    <row r="42679" ht="9.9499999999999993" hidden="1" customHeight="1" x14ac:dyDescent="0.2"/>
    <row r="42680" ht="9.9499999999999993" hidden="1" customHeight="1" x14ac:dyDescent="0.2"/>
    <row r="42681" ht="9.9499999999999993" hidden="1" customHeight="1" x14ac:dyDescent="0.2"/>
    <row r="42682" ht="9.9499999999999993" hidden="1" customHeight="1" x14ac:dyDescent="0.2"/>
    <row r="42683" ht="9.9499999999999993" hidden="1" customHeight="1" x14ac:dyDescent="0.2"/>
    <row r="42684" ht="9.9499999999999993" hidden="1" customHeight="1" x14ac:dyDescent="0.2"/>
    <row r="42685" ht="9.9499999999999993" hidden="1" customHeight="1" x14ac:dyDescent="0.2"/>
    <row r="42686" ht="9.9499999999999993" hidden="1" customHeight="1" x14ac:dyDescent="0.2"/>
    <row r="42687" ht="9.9499999999999993" hidden="1" customHeight="1" x14ac:dyDescent="0.2"/>
    <row r="42688" ht="9.9499999999999993" hidden="1" customHeight="1" x14ac:dyDescent="0.2"/>
    <row r="42689" ht="9.9499999999999993" hidden="1" customHeight="1" x14ac:dyDescent="0.2"/>
    <row r="42690" ht="9.9499999999999993" hidden="1" customHeight="1" x14ac:dyDescent="0.2"/>
    <row r="42691" ht="9.9499999999999993" hidden="1" customHeight="1" x14ac:dyDescent="0.2"/>
    <row r="42692" ht="9.9499999999999993" hidden="1" customHeight="1" x14ac:dyDescent="0.2"/>
    <row r="42693" ht="9.9499999999999993" hidden="1" customHeight="1" x14ac:dyDescent="0.2"/>
    <row r="42694" ht="9.9499999999999993" hidden="1" customHeight="1" x14ac:dyDescent="0.2"/>
    <row r="42695" ht="9.9499999999999993" hidden="1" customHeight="1" x14ac:dyDescent="0.2"/>
    <row r="42696" ht="9.9499999999999993" hidden="1" customHeight="1" x14ac:dyDescent="0.2"/>
    <row r="42697" ht="9.9499999999999993" hidden="1" customHeight="1" x14ac:dyDescent="0.2"/>
    <row r="42698" ht="9.9499999999999993" hidden="1" customHeight="1" x14ac:dyDescent="0.2"/>
    <row r="42699" ht="9.9499999999999993" hidden="1" customHeight="1" x14ac:dyDescent="0.2"/>
    <row r="42700" ht="9.9499999999999993" hidden="1" customHeight="1" x14ac:dyDescent="0.2"/>
    <row r="42701" ht="9.9499999999999993" hidden="1" customHeight="1" x14ac:dyDescent="0.2"/>
    <row r="42702" ht="9.9499999999999993" hidden="1" customHeight="1" x14ac:dyDescent="0.2"/>
    <row r="42703" ht="9.9499999999999993" hidden="1" customHeight="1" x14ac:dyDescent="0.2"/>
    <row r="42704" ht="9.9499999999999993" hidden="1" customHeight="1" x14ac:dyDescent="0.2"/>
    <row r="42705" ht="9.9499999999999993" hidden="1" customHeight="1" x14ac:dyDescent="0.2"/>
    <row r="42706" ht="9.9499999999999993" hidden="1" customHeight="1" x14ac:dyDescent="0.2"/>
    <row r="42707" ht="9.9499999999999993" hidden="1" customHeight="1" x14ac:dyDescent="0.2"/>
    <row r="42708" ht="9.9499999999999993" hidden="1" customHeight="1" x14ac:dyDescent="0.2"/>
    <row r="42709" ht="9.9499999999999993" hidden="1" customHeight="1" x14ac:dyDescent="0.2"/>
    <row r="42710" ht="9.9499999999999993" hidden="1" customHeight="1" x14ac:dyDescent="0.2"/>
    <row r="42711" ht="9.9499999999999993" hidden="1" customHeight="1" x14ac:dyDescent="0.2"/>
    <row r="42712" ht="9.9499999999999993" hidden="1" customHeight="1" x14ac:dyDescent="0.2"/>
    <row r="42713" ht="9.9499999999999993" hidden="1" customHeight="1" x14ac:dyDescent="0.2"/>
    <row r="42714" ht="9.9499999999999993" hidden="1" customHeight="1" x14ac:dyDescent="0.2"/>
    <row r="42715" ht="9.9499999999999993" hidden="1" customHeight="1" x14ac:dyDescent="0.2"/>
    <row r="42716" ht="9.9499999999999993" hidden="1" customHeight="1" x14ac:dyDescent="0.2"/>
    <row r="42717" ht="9.9499999999999993" hidden="1" customHeight="1" x14ac:dyDescent="0.2"/>
    <row r="42718" ht="9.9499999999999993" hidden="1" customHeight="1" x14ac:dyDescent="0.2"/>
    <row r="42719" ht="9.9499999999999993" hidden="1" customHeight="1" x14ac:dyDescent="0.2"/>
    <row r="42720" ht="9.9499999999999993" hidden="1" customHeight="1" x14ac:dyDescent="0.2"/>
    <row r="42721" ht="9.9499999999999993" hidden="1" customHeight="1" x14ac:dyDescent="0.2"/>
    <row r="42722" ht="9.9499999999999993" hidden="1" customHeight="1" x14ac:dyDescent="0.2"/>
    <row r="42723" ht="9.9499999999999993" hidden="1" customHeight="1" x14ac:dyDescent="0.2"/>
    <row r="42724" ht="9.9499999999999993" hidden="1" customHeight="1" x14ac:dyDescent="0.2"/>
    <row r="42725" ht="9.9499999999999993" hidden="1" customHeight="1" x14ac:dyDescent="0.2"/>
    <row r="42726" ht="9.9499999999999993" hidden="1" customHeight="1" x14ac:dyDescent="0.2"/>
    <row r="42727" ht="9.9499999999999993" hidden="1" customHeight="1" x14ac:dyDescent="0.2"/>
    <row r="42728" ht="9.9499999999999993" hidden="1" customHeight="1" x14ac:dyDescent="0.2"/>
    <row r="42729" ht="9.9499999999999993" hidden="1" customHeight="1" x14ac:dyDescent="0.2"/>
    <row r="42730" ht="9.9499999999999993" hidden="1" customHeight="1" x14ac:dyDescent="0.2"/>
    <row r="42731" ht="9.9499999999999993" hidden="1" customHeight="1" x14ac:dyDescent="0.2"/>
    <row r="42732" ht="9.9499999999999993" hidden="1" customHeight="1" x14ac:dyDescent="0.2"/>
    <row r="42733" ht="9.9499999999999993" hidden="1" customHeight="1" x14ac:dyDescent="0.2"/>
    <row r="42734" ht="9.9499999999999993" hidden="1" customHeight="1" x14ac:dyDescent="0.2"/>
    <row r="42735" ht="9.9499999999999993" hidden="1" customHeight="1" x14ac:dyDescent="0.2"/>
    <row r="42736" ht="9.9499999999999993" hidden="1" customHeight="1" x14ac:dyDescent="0.2"/>
    <row r="42737" ht="9.9499999999999993" hidden="1" customHeight="1" x14ac:dyDescent="0.2"/>
    <row r="42738" ht="9.9499999999999993" hidden="1" customHeight="1" x14ac:dyDescent="0.2"/>
    <row r="42739" ht="9.9499999999999993" hidden="1" customHeight="1" x14ac:dyDescent="0.2"/>
    <row r="42740" ht="9.9499999999999993" hidden="1" customHeight="1" x14ac:dyDescent="0.2"/>
    <row r="42741" ht="9.9499999999999993" hidden="1" customHeight="1" x14ac:dyDescent="0.2"/>
    <row r="42742" ht="9.9499999999999993" hidden="1" customHeight="1" x14ac:dyDescent="0.2"/>
    <row r="42743" ht="9.9499999999999993" hidden="1" customHeight="1" x14ac:dyDescent="0.2"/>
    <row r="42744" ht="9.9499999999999993" hidden="1" customHeight="1" x14ac:dyDescent="0.2"/>
    <row r="42745" ht="9.9499999999999993" hidden="1" customHeight="1" x14ac:dyDescent="0.2"/>
    <row r="42746" ht="9.9499999999999993" hidden="1" customHeight="1" x14ac:dyDescent="0.2"/>
    <row r="42747" ht="9.9499999999999993" hidden="1" customHeight="1" x14ac:dyDescent="0.2"/>
    <row r="42748" ht="9.9499999999999993" hidden="1" customHeight="1" x14ac:dyDescent="0.2"/>
    <row r="42749" ht="9.9499999999999993" hidden="1" customHeight="1" x14ac:dyDescent="0.2"/>
    <row r="42750" ht="9.9499999999999993" hidden="1" customHeight="1" x14ac:dyDescent="0.2"/>
    <row r="42751" ht="9.9499999999999993" hidden="1" customHeight="1" x14ac:dyDescent="0.2"/>
    <row r="42752" ht="9.9499999999999993" hidden="1" customHeight="1" x14ac:dyDescent="0.2"/>
    <row r="42753" ht="9.9499999999999993" hidden="1" customHeight="1" x14ac:dyDescent="0.2"/>
    <row r="42754" ht="9.9499999999999993" hidden="1" customHeight="1" x14ac:dyDescent="0.2"/>
    <row r="42755" ht="9.9499999999999993" hidden="1" customHeight="1" x14ac:dyDescent="0.2"/>
    <row r="42756" ht="9.9499999999999993" hidden="1" customHeight="1" x14ac:dyDescent="0.2"/>
    <row r="42757" ht="9.9499999999999993" hidden="1" customHeight="1" x14ac:dyDescent="0.2"/>
    <row r="42758" ht="9.9499999999999993" hidden="1" customHeight="1" x14ac:dyDescent="0.2"/>
    <row r="42759" ht="9.9499999999999993" hidden="1" customHeight="1" x14ac:dyDescent="0.2"/>
    <row r="42760" ht="9.9499999999999993" hidden="1" customHeight="1" x14ac:dyDescent="0.2"/>
    <row r="42761" ht="9.9499999999999993" hidden="1" customHeight="1" x14ac:dyDescent="0.2"/>
    <row r="42762" ht="9.9499999999999993" hidden="1" customHeight="1" x14ac:dyDescent="0.2"/>
    <row r="42763" ht="9.9499999999999993" hidden="1" customHeight="1" x14ac:dyDescent="0.2"/>
    <row r="42764" ht="9.9499999999999993" hidden="1" customHeight="1" x14ac:dyDescent="0.2"/>
    <row r="42765" ht="9.9499999999999993" hidden="1" customHeight="1" x14ac:dyDescent="0.2"/>
    <row r="42766" ht="9.9499999999999993" hidden="1" customHeight="1" x14ac:dyDescent="0.2"/>
    <row r="42767" ht="9.9499999999999993" hidden="1" customHeight="1" x14ac:dyDescent="0.2"/>
    <row r="42768" ht="9.9499999999999993" hidden="1" customHeight="1" x14ac:dyDescent="0.2"/>
    <row r="42769" ht="9.9499999999999993" hidden="1" customHeight="1" x14ac:dyDescent="0.2"/>
    <row r="42770" ht="9.9499999999999993" hidden="1" customHeight="1" x14ac:dyDescent="0.2"/>
    <row r="42771" ht="9.9499999999999993" hidden="1" customHeight="1" x14ac:dyDescent="0.2"/>
    <row r="42772" ht="9.9499999999999993" hidden="1" customHeight="1" x14ac:dyDescent="0.2"/>
    <row r="42773" ht="9.9499999999999993" hidden="1" customHeight="1" x14ac:dyDescent="0.2"/>
    <row r="42774" ht="9.9499999999999993" hidden="1" customHeight="1" x14ac:dyDescent="0.2"/>
    <row r="42775" ht="9.9499999999999993" hidden="1" customHeight="1" x14ac:dyDescent="0.2"/>
    <row r="42776" ht="9.9499999999999993" hidden="1" customHeight="1" x14ac:dyDescent="0.2"/>
    <row r="42777" ht="9.9499999999999993" hidden="1" customHeight="1" x14ac:dyDescent="0.2"/>
    <row r="42778" ht="9.9499999999999993" hidden="1" customHeight="1" x14ac:dyDescent="0.2"/>
    <row r="42779" ht="9.9499999999999993" hidden="1" customHeight="1" x14ac:dyDescent="0.2"/>
    <row r="42780" ht="9.9499999999999993" hidden="1" customHeight="1" x14ac:dyDescent="0.2"/>
    <row r="42781" ht="9.9499999999999993" hidden="1" customHeight="1" x14ac:dyDescent="0.2"/>
    <row r="42782" ht="9.9499999999999993" hidden="1" customHeight="1" x14ac:dyDescent="0.2"/>
    <row r="42783" ht="9.9499999999999993" hidden="1" customHeight="1" x14ac:dyDescent="0.2"/>
    <row r="42784" ht="9.9499999999999993" hidden="1" customHeight="1" x14ac:dyDescent="0.2"/>
    <row r="42785" ht="9.9499999999999993" hidden="1" customHeight="1" x14ac:dyDescent="0.2"/>
    <row r="42786" ht="9.9499999999999993" hidden="1" customHeight="1" x14ac:dyDescent="0.2"/>
    <row r="42787" ht="9.9499999999999993" hidden="1" customHeight="1" x14ac:dyDescent="0.2"/>
    <row r="42788" ht="9.9499999999999993" hidden="1" customHeight="1" x14ac:dyDescent="0.2"/>
    <row r="42789" ht="9.9499999999999993" hidden="1" customHeight="1" x14ac:dyDescent="0.2"/>
    <row r="42790" ht="9.9499999999999993" hidden="1" customHeight="1" x14ac:dyDescent="0.2"/>
    <row r="42791" ht="9.9499999999999993" hidden="1" customHeight="1" x14ac:dyDescent="0.2"/>
    <row r="42792" ht="9.9499999999999993" hidden="1" customHeight="1" x14ac:dyDescent="0.2"/>
    <row r="42793" ht="9.9499999999999993" hidden="1" customHeight="1" x14ac:dyDescent="0.2"/>
    <row r="42794" ht="9.9499999999999993" hidden="1" customHeight="1" x14ac:dyDescent="0.2"/>
    <row r="42795" ht="9.9499999999999993" hidden="1" customHeight="1" x14ac:dyDescent="0.2"/>
    <row r="42796" ht="9.9499999999999993" hidden="1" customHeight="1" x14ac:dyDescent="0.2"/>
    <row r="42797" ht="9.9499999999999993" hidden="1" customHeight="1" x14ac:dyDescent="0.2"/>
    <row r="42798" ht="9.9499999999999993" hidden="1" customHeight="1" x14ac:dyDescent="0.2"/>
    <row r="42799" ht="9.9499999999999993" hidden="1" customHeight="1" x14ac:dyDescent="0.2"/>
    <row r="42800" ht="9.9499999999999993" hidden="1" customHeight="1" x14ac:dyDescent="0.2"/>
    <row r="42801" ht="9.9499999999999993" hidden="1" customHeight="1" x14ac:dyDescent="0.2"/>
    <row r="42802" ht="9.9499999999999993" hidden="1" customHeight="1" x14ac:dyDescent="0.2"/>
    <row r="42803" ht="9.9499999999999993" hidden="1" customHeight="1" x14ac:dyDescent="0.2"/>
    <row r="42804" ht="9.9499999999999993" hidden="1" customHeight="1" x14ac:dyDescent="0.2"/>
    <row r="42805" ht="9.9499999999999993" hidden="1" customHeight="1" x14ac:dyDescent="0.2"/>
    <row r="42806" ht="9.9499999999999993" hidden="1" customHeight="1" x14ac:dyDescent="0.2"/>
    <row r="42807" ht="9.9499999999999993" hidden="1" customHeight="1" x14ac:dyDescent="0.2"/>
    <row r="42808" ht="9.9499999999999993" hidden="1" customHeight="1" x14ac:dyDescent="0.2"/>
    <row r="42809" ht="9.9499999999999993" hidden="1" customHeight="1" x14ac:dyDescent="0.2"/>
    <row r="42810" ht="9.9499999999999993" hidden="1" customHeight="1" x14ac:dyDescent="0.2"/>
    <row r="42811" ht="9.9499999999999993" hidden="1" customHeight="1" x14ac:dyDescent="0.2"/>
    <row r="42812" ht="9.9499999999999993" hidden="1" customHeight="1" x14ac:dyDescent="0.2"/>
    <row r="42813" ht="9.9499999999999993" hidden="1" customHeight="1" x14ac:dyDescent="0.2"/>
    <row r="42814" ht="9.9499999999999993" hidden="1" customHeight="1" x14ac:dyDescent="0.2"/>
    <row r="42815" ht="9.9499999999999993" hidden="1" customHeight="1" x14ac:dyDescent="0.2"/>
    <row r="42816" ht="9.9499999999999993" hidden="1" customHeight="1" x14ac:dyDescent="0.2"/>
    <row r="42817" ht="9.9499999999999993" hidden="1" customHeight="1" x14ac:dyDescent="0.2"/>
    <row r="42818" ht="9.9499999999999993" hidden="1" customHeight="1" x14ac:dyDescent="0.2"/>
    <row r="42819" ht="9.9499999999999993" hidden="1" customHeight="1" x14ac:dyDescent="0.2"/>
    <row r="42820" ht="9.9499999999999993" hidden="1" customHeight="1" x14ac:dyDescent="0.2"/>
    <row r="42821" ht="9.9499999999999993" hidden="1" customHeight="1" x14ac:dyDescent="0.2"/>
    <row r="42822" ht="9.9499999999999993" hidden="1" customHeight="1" x14ac:dyDescent="0.2"/>
    <row r="42823" ht="9.9499999999999993" hidden="1" customHeight="1" x14ac:dyDescent="0.2"/>
    <row r="42824" ht="9.9499999999999993" hidden="1" customHeight="1" x14ac:dyDescent="0.2"/>
    <row r="42825" ht="9.9499999999999993" hidden="1" customHeight="1" x14ac:dyDescent="0.2"/>
    <row r="42826" ht="9.9499999999999993" hidden="1" customHeight="1" x14ac:dyDescent="0.2"/>
    <row r="42827" ht="9.9499999999999993" hidden="1" customHeight="1" x14ac:dyDescent="0.2"/>
    <row r="42828" ht="9.9499999999999993" hidden="1" customHeight="1" x14ac:dyDescent="0.2"/>
    <row r="42829" ht="9.9499999999999993" hidden="1" customHeight="1" x14ac:dyDescent="0.2"/>
    <row r="42830" ht="9.9499999999999993" hidden="1" customHeight="1" x14ac:dyDescent="0.2"/>
    <row r="42831" ht="9.9499999999999993" hidden="1" customHeight="1" x14ac:dyDescent="0.2"/>
    <row r="42832" ht="9.9499999999999993" hidden="1" customHeight="1" x14ac:dyDescent="0.2"/>
    <row r="42833" ht="9.9499999999999993" hidden="1" customHeight="1" x14ac:dyDescent="0.2"/>
    <row r="42834" ht="9.9499999999999993" hidden="1" customHeight="1" x14ac:dyDescent="0.2"/>
    <row r="42835" ht="9.9499999999999993" hidden="1" customHeight="1" x14ac:dyDescent="0.2"/>
    <row r="42836" ht="9.9499999999999993" hidden="1" customHeight="1" x14ac:dyDescent="0.2"/>
    <row r="42837" ht="9.9499999999999993" hidden="1" customHeight="1" x14ac:dyDescent="0.2"/>
    <row r="42838" ht="9.9499999999999993" hidden="1" customHeight="1" x14ac:dyDescent="0.2"/>
    <row r="42839" ht="9.9499999999999993" hidden="1" customHeight="1" x14ac:dyDescent="0.2"/>
    <row r="42840" ht="9.9499999999999993" hidden="1" customHeight="1" x14ac:dyDescent="0.2"/>
    <row r="42841" ht="9.9499999999999993" hidden="1" customHeight="1" x14ac:dyDescent="0.2"/>
    <row r="42842" ht="9.9499999999999993" hidden="1" customHeight="1" x14ac:dyDescent="0.2"/>
    <row r="42843" ht="9.9499999999999993" hidden="1" customHeight="1" x14ac:dyDescent="0.2"/>
    <row r="42844" ht="9.9499999999999993" hidden="1" customHeight="1" x14ac:dyDescent="0.2"/>
    <row r="42845" ht="9.9499999999999993" hidden="1" customHeight="1" x14ac:dyDescent="0.2"/>
    <row r="42846" ht="9.9499999999999993" hidden="1" customHeight="1" x14ac:dyDescent="0.2"/>
    <row r="42847" ht="9.9499999999999993" hidden="1" customHeight="1" x14ac:dyDescent="0.2"/>
    <row r="42848" ht="9.9499999999999993" hidden="1" customHeight="1" x14ac:dyDescent="0.2"/>
    <row r="42849" ht="9.9499999999999993" hidden="1" customHeight="1" x14ac:dyDescent="0.2"/>
    <row r="42850" ht="9.9499999999999993" hidden="1" customHeight="1" x14ac:dyDescent="0.2"/>
    <row r="42851" ht="9.9499999999999993" hidden="1" customHeight="1" x14ac:dyDescent="0.2"/>
    <row r="42852" ht="9.9499999999999993" hidden="1" customHeight="1" x14ac:dyDescent="0.2"/>
    <row r="42853" ht="9.9499999999999993" hidden="1" customHeight="1" x14ac:dyDescent="0.2"/>
    <row r="42854" ht="9.9499999999999993" hidden="1" customHeight="1" x14ac:dyDescent="0.2"/>
    <row r="42855" ht="9.9499999999999993" hidden="1" customHeight="1" x14ac:dyDescent="0.2"/>
    <row r="42856" ht="9.9499999999999993" hidden="1" customHeight="1" x14ac:dyDescent="0.2"/>
    <row r="42857" ht="9.9499999999999993" hidden="1" customHeight="1" x14ac:dyDescent="0.2"/>
    <row r="42858" ht="9.9499999999999993" hidden="1" customHeight="1" x14ac:dyDescent="0.2"/>
    <row r="42859" ht="9.9499999999999993" hidden="1" customHeight="1" x14ac:dyDescent="0.2"/>
    <row r="42860" ht="9.9499999999999993" hidden="1" customHeight="1" x14ac:dyDescent="0.2"/>
    <row r="42861" ht="9.9499999999999993" hidden="1" customHeight="1" x14ac:dyDescent="0.2"/>
    <row r="42862" ht="9.9499999999999993" hidden="1" customHeight="1" x14ac:dyDescent="0.2"/>
    <row r="42863" ht="9.9499999999999993" hidden="1" customHeight="1" x14ac:dyDescent="0.2"/>
    <row r="42864" ht="9.9499999999999993" hidden="1" customHeight="1" x14ac:dyDescent="0.2"/>
    <row r="42865" ht="9.9499999999999993" hidden="1" customHeight="1" x14ac:dyDescent="0.2"/>
    <row r="42866" ht="9.9499999999999993" hidden="1" customHeight="1" x14ac:dyDescent="0.2"/>
    <row r="42867" ht="9.9499999999999993" hidden="1" customHeight="1" x14ac:dyDescent="0.2"/>
    <row r="42868" ht="9.9499999999999993" hidden="1" customHeight="1" x14ac:dyDescent="0.2"/>
    <row r="42869" ht="9.9499999999999993" hidden="1" customHeight="1" x14ac:dyDescent="0.2"/>
    <row r="42870" ht="9.9499999999999993" hidden="1" customHeight="1" x14ac:dyDescent="0.2"/>
    <row r="42871" ht="9.9499999999999993" hidden="1" customHeight="1" x14ac:dyDescent="0.2"/>
    <row r="42872" ht="9.9499999999999993" hidden="1" customHeight="1" x14ac:dyDescent="0.2"/>
    <row r="42873" ht="9.9499999999999993" hidden="1" customHeight="1" x14ac:dyDescent="0.2"/>
    <row r="42874" ht="9.9499999999999993" hidden="1" customHeight="1" x14ac:dyDescent="0.2"/>
    <row r="42875" ht="9.9499999999999993" hidden="1" customHeight="1" x14ac:dyDescent="0.2"/>
    <row r="42876" ht="9.9499999999999993" hidden="1" customHeight="1" x14ac:dyDescent="0.2"/>
    <row r="42877" ht="9.9499999999999993" hidden="1" customHeight="1" x14ac:dyDescent="0.2"/>
    <row r="42878" ht="9.9499999999999993" hidden="1" customHeight="1" x14ac:dyDescent="0.2"/>
    <row r="42879" ht="9.9499999999999993" hidden="1" customHeight="1" x14ac:dyDescent="0.2"/>
    <row r="42880" ht="9.9499999999999993" hidden="1" customHeight="1" x14ac:dyDescent="0.2"/>
    <row r="42881" ht="9.9499999999999993" hidden="1" customHeight="1" x14ac:dyDescent="0.2"/>
    <row r="42882" ht="9.9499999999999993" hidden="1" customHeight="1" x14ac:dyDescent="0.2"/>
    <row r="42883" ht="9.9499999999999993" hidden="1" customHeight="1" x14ac:dyDescent="0.2"/>
    <row r="42884" ht="9.9499999999999993" hidden="1" customHeight="1" x14ac:dyDescent="0.2"/>
    <row r="42885" ht="9.9499999999999993" hidden="1" customHeight="1" x14ac:dyDescent="0.2"/>
    <row r="42886" ht="9.9499999999999993" hidden="1" customHeight="1" x14ac:dyDescent="0.2"/>
    <row r="42887" ht="9.9499999999999993" hidden="1" customHeight="1" x14ac:dyDescent="0.2"/>
    <row r="42888" ht="9.9499999999999993" hidden="1" customHeight="1" x14ac:dyDescent="0.2"/>
    <row r="42889" ht="9.9499999999999993" hidden="1" customHeight="1" x14ac:dyDescent="0.2"/>
    <row r="42890" ht="9.9499999999999993" hidden="1" customHeight="1" x14ac:dyDescent="0.2"/>
    <row r="42891" ht="9.9499999999999993" hidden="1" customHeight="1" x14ac:dyDescent="0.2"/>
    <row r="42892" ht="9.9499999999999993" hidden="1" customHeight="1" x14ac:dyDescent="0.2"/>
    <row r="42893" ht="9.9499999999999993" hidden="1" customHeight="1" x14ac:dyDescent="0.2"/>
    <row r="42894" ht="9.9499999999999993" hidden="1" customHeight="1" x14ac:dyDescent="0.2"/>
    <row r="42895" ht="9.9499999999999993" hidden="1" customHeight="1" x14ac:dyDescent="0.2"/>
    <row r="42896" ht="9.9499999999999993" hidden="1" customHeight="1" x14ac:dyDescent="0.2"/>
    <row r="42897" ht="9.9499999999999993" hidden="1" customHeight="1" x14ac:dyDescent="0.2"/>
    <row r="42898" ht="9.9499999999999993" hidden="1" customHeight="1" x14ac:dyDescent="0.2"/>
    <row r="42899" ht="9.9499999999999993" hidden="1" customHeight="1" x14ac:dyDescent="0.2"/>
    <row r="42900" ht="9.9499999999999993" hidden="1" customHeight="1" x14ac:dyDescent="0.2"/>
    <row r="42901" ht="9.9499999999999993" hidden="1" customHeight="1" x14ac:dyDescent="0.2"/>
    <row r="42902" ht="9.9499999999999993" hidden="1" customHeight="1" x14ac:dyDescent="0.2"/>
    <row r="42903" ht="9.9499999999999993" hidden="1" customHeight="1" x14ac:dyDescent="0.2"/>
    <row r="42904" ht="9.9499999999999993" hidden="1" customHeight="1" x14ac:dyDescent="0.2"/>
    <row r="42905" ht="9.9499999999999993" hidden="1" customHeight="1" x14ac:dyDescent="0.2"/>
    <row r="42906" ht="9.9499999999999993" hidden="1" customHeight="1" x14ac:dyDescent="0.2"/>
    <row r="42907" ht="9.9499999999999993" hidden="1" customHeight="1" x14ac:dyDescent="0.2"/>
    <row r="42908" ht="9.9499999999999993" hidden="1" customHeight="1" x14ac:dyDescent="0.2"/>
    <row r="42909" ht="9.9499999999999993" hidden="1" customHeight="1" x14ac:dyDescent="0.2"/>
    <row r="42910" ht="9.9499999999999993" hidden="1" customHeight="1" x14ac:dyDescent="0.2"/>
    <row r="42911" ht="9.9499999999999993" hidden="1" customHeight="1" x14ac:dyDescent="0.2"/>
    <row r="42912" ht="9.9499999999999993" hidden="1" customHeight="1" x14ac:dyDescent="0.2"/>
    <row r="42913" ht="9.9499999999999993" hidden="1" customHeight="1" x14ac:dyDescent="0.2"/>
    <row r="42914" ht="9.9499999999999993" hidden="1" customHeight="1" x14ac:dyDescent="0.2"/>
    <row r="42915" ht="9.9499999999999993" hidden="1" customHeight="1" x14ac:dyDescent="0.2"/>
    <row r="42916" ht="9.9499999999999993" hidden="1" customHeight="1" x14ac:dyDescent="0.2"/>
    <row r="42917" ht="9.9499999999999993" hidden="1" customHeight="1" x14ac:dyDescent="0.2"/>
    <row r="42918" ht="9.9499999999999993" hidden="1" customHeight="1" x14ac:dyDescent="0.2"/>
    <row r="42919" ht="9.9499999999999993" hidden="1" customHeight="1" x14ac:dyDescent="0.2"/>
    <row r="42920" ht="9.9499999999999993" hidden="1" customHeight="1" x14ac:dyDescent="0.2"/>
    <row r="42921" ht="9.9499999999999993" hidden="1" customHeight="1" x14ac:dyDescent="0.2"/>
    <row r="42922" ht="9.9499999999999993" hidden="1" customHeight="1" x14ac:dyDescent="0.2"/>
    <row r="42923" ht="9.9499999999999993" hidden="1" customHeight="1" x14ac:dyDescent="0.2"/>
    <row r="42924" ht="9.9499999999999993" hidden="1" customHeight="1" x14ac:dyDescent="0.2"/>
    <row r="42925" ht="9.9499999999999993" hidden="1" customHeight="1" x14ac:dyDescent="0.2"/>
    <row r="42926" ht="9.9499999999999993" hidden="1" customHeight="1" x14ac:dyDescent="0.2"/>
    <row r="42927" ht="9.9499999999999993" hidden="1" customHeight="1" x14ac:dyDescent="0.2"/>
    <row r="42928" ht="9.9499999999999993" hidden="1" customHeight="1" x14ac:dyDescent="0.2"/>
    <row r="42929" ht="9.9499999999999993" hidden="1" customHeight="1" x14ac:dyDescent="0.2"/>
    <row r="42930" ht="9.9499999999999993" hidden="1" customHeight="1" x14ac:dyDescent="0.2"/>
    <row r="42931" ht="9.9499999999999993" hidden="1" customHeight="1" x14ac:dyDescent="0.2"/>
    <row r="42932" ht="9.9499999999999993" hidden="1" customHeight="1" x14ac:dyDescent="0.2"/>
    <row r="42933" ht="9.9499999999999993" hidden="1" customHeight="1" x14ac:dyDescent="0.2"/>
    <row r="42934" ht="9.9499999999999993" hidden="1" customHeight="1" x14ac:dyDescent="0.2"/>
    <row r="42935" ht="9.9499999999999993" hidden="1" customHeight="1" x14ac:dyDescent="0.2"/>
    <row r="42936" ht="9.9499999999999993" hidden="1" customHeight="1" x14ac:dyDescent="0.2"/>
    <row r="42937" ht="9.9499999999999993" hidden="1" customHeight="1" x14ac:dyDescent="0.2"/>
    <row r="42938" ht="9.9499999999999993" hidden="1" customHeight="1" x14ac:dyDescent="0.2"/>
    <row r="42939" ht="9.9499999999999993" hidden="1" customHeight="1" x14ac:dyDescent="0.2"/>
    <row r="42940" ht="9.9499999999999993" hidden="1" customHeight="1" x14ac:dyDescent="0.2"/>
    <row r="42941" ht="9.9499999999999993" hidden="1" customHeight="1" x14ac:dyDescent="0.2"/>
    <row r="42942" ht="9.9499999999999993" hidden="1" customHeight="1" x14ac:dyDescent="0.2"/>
    <row r="42943" ht="9.9499999999999993" hidden="1" customHeight="1" x14ac:dyDescent="0.2"/>
    <row r="42944" ht="9.9499999999999993" hidden="1" customHeight="1" x14ac:dyDescent="0.2"/>
    <row r="42945" ht="9.9499999999999993" hidden="1" customHeight="1" x14ac:dyDescent="0.2"/>
    <row r="42946" ht="9.9499999999999993" hidden="1" customHeight="1" x14ac:dyDescent="0.2"/>
    <row r="42947" ht="9.9499999999999993" hidden="1" customHeight="1" x14ac:dyDescent="0.2"/>
    <row r="42948" ht="9.9499999999999993" hidden="1" customHeight="1" x14ac:dyDescent="0.2"/>
    <row r="42949" ht="9.9499999999999993" hidden="1" customHeight="1" x14ac:dyDescent="0.2"/>
    <row r="42950" ht="9.9499999999999993" hidden="1" customHeight="1" x14ac:dyDescent="0.2"/>
    <row r="42951" ht="9.9499999999999993" hidden="1" customHeight="1" x14ac:dyDescent="0.2"/>
    <row r="42952" ht="9.9499999999999993" hidden="1" customHeight="1" x14ac:dyDescent="0.2"/>
    <row r="42953" ht="9.9499999999999993" hidden="1" customHeight="1" x14ac:dyDescent="0.2"/>
    <row r="42954" ht="9.9499999999999993" hidden="1" customHeight="1" x14ac:dyDescent="0.2"/>
    <row r="42955" ht="9.9499999999999993" hidden="1" customHeight="1" x14ac:dyDescent="0.2"/>
    <row r="42956" ht="9.9499999999999993" hidden="1" customHeight="1" x14ac:dyDescent="0.2"/>
    <row r="42957" ht="9.9499999999999993" hidden="1" customHeight="1" x14ac:dyDescent="0.2"/>
    <row r="42958" ht="9.9499999999999993" hidden="1" customHeight="1" x14ac:dyDescent="0.2"/>
    <row r="42959" ht="9.9499999999999993" hidden="1" customHeight="1" x14ac:dyDescent="0.2"/>
    <row r="42960" ht="9.9499999999999993" hidden="1" customHeight="1" x14ac:dyDescent="0.2"/>
    <row r="42961" ht="9.9499999999999993" hidden="1" customHeight="1" x14ac:dyDescent="0.2"/>
    <row r="42962" ht="9.9499999999999993" hidden="1" customHeight="1" x14ac:dyDescent="0.2"/>
    <row r="42963" ht="9.9499999999999993" hidden="1" customHeight="1" x14ac:dyDescent="0.2"/>
    <row r="42964" ht="9.9499999999999993" hidden="1" customHeight="1" x14ac:dyDescent="0.2"/>
    <row r="42965" ht="9.9499999999999993" hidden="1" customHeight="1" x14ac:dyDescent="0.2"/>
    <row r="42966" ht="9.9499999999999993" hidden="1" customHeight="1" x14ac:dyDescent="0.2"/>
    <row r="42967" ht="9.9499999999999993" hidden="1" customHeight="1" x14ac:dyDescent="0.2"/>
    <row r="42968" ht="9.9499999999999993" hidden="1" customHeight="1" x14ac:dyDescent="0.2"/>
    <row r="42969" ht="9.9499999999999993" hidden="1" customHeight="1" x14ac:dyDescent="0.2"/>
    <row r="42970" ht="9.9499999999999993" hidden="1" customHeight="1" x14ac:dyDescent="0.2"/>
    <row r="42971" ht="9.9499999999999993" hidden="1" customHeight="1" x14ac:dyDescent="0.2"/>
    <row r="42972" ht="9.9499999999999993" hidden="1" customHeight="1" x14ac:dyDescent="0.2"/>
    <row r="42973" ht="9.9499999999999993" hidden="1" customHeight="1" x14ac:dyDescent="0.2"/>
    <row r="42974" ht="9.9499999999999993" hidden="1" customHeight="1" x14ac:dyDescent="0.2"/>
    <row r="42975" ht="9.9499999999999993" hidden="1" customHeight="1" x14ac:dyDescent="0.2"/>
    <row r="42976" ht="9.9499999999999993" hidden="1" customHeight="1" x14ac:dyDescent="0.2"/>
    <row r="42977" ht="9.9499999999999993" hidden="1" customHeight="1" x14ac:dyDescent="0.2"/>
    <row r="42978" ht="9.9499999999999993" hidden="1" customHeight="1" x14ac:dyDescent="0.2"/>
    <row r="42979" ht="9.9499999999999993" hidden="1" customHeight="1" x14ac:dyDescent="0.2"/>
    <row r="42980" ht="9.9499999999999993" hidden="1" customHeight="1" x14ac:dyDescent="0.2"/>
    <row r="42981" ht="9.9499999999999993" hidden="1" customHeight="1" x14ac:dyDescent="0.2"/>
    <row r="42982" ht="9.9499999999999993" hidden="1" customHeight="1" x14ac:dyDescent="0.2"/>
    <row r="42983" ht="9.9499999999999993" hidden="1" customHeight="1" x14ac:dyDescent="0.2"/>
    <row r="42984" ht="9.9499999999999993" hidden="1" customHeight="1" x14ac:dyDescent="0.2"/>
    <row r="42985" ht="9.9499999999999993" hidden="1" customHeight="1" x14ac:dyDescent="0.2"/>
    <row r="42986" ht="9.9499999999999993" hidden="1" customHeight="1" x14ac:dyDescent="0.2"/>
    <row r="42987" ht="9.9499999999999993" hidden="1" customHeight="1" x14ac:dyDescent="0.2"/>
    <row r="42988" ht="9.9499999999999993" hidden="1" customHeight="1" x14ac:dyDescent="0.2"/>
    <row r="42989" ht="9.9499999999999993" hidden="1" customHeight="1" x14ac:dyDescent="0.2"/>
    <row r="42990" ht="9.9499999999999993" hidden="1" customHeight="1" x14ac:dyDescent="0.2"/>
    <row r="42991" ht="9.9499999999999993" hidden="1" customHeight="1" x14ac:dyDescent="0.2"/>
    <row r="42992" ht="9.9499999999999993" hidden="1" customHeight="1" x14ac:dyDescent="0.2"/>
    <row r="42993" ht="9.9499999999999993" hidden="1" customHeight="1" x14ac:dyDescent="0.2"/>
    <row r="42994" ht="9.9499999999999993" hidden="1" customHeight="1" x14ac:dyDescent="0.2"/>
    <row r="42995" ht="9.9499999999999993" hidden="1" customHeight="1" x14ac:dyDescent="0.2"/>
    <row r="42996" ht="9.9499999999999993" hidden="1" customHeight="1" x14ac:dyDescent="0.2"/>
    <row r="42997" ht="9.9499999999999993" hidden="1" customHeight="1" x14ac:dyDescent="0.2"/>
    <row r="42998" ht="9.9499999999999993" hidden="1" customHeight="1" x14ac:dyDescent="0.2"/>
    <row r="42999" ht="9.9499999999999993" hidden="1" customHeight="1" x14ac:dyDescent="0.2"/>
    <row r="43000" ht="9.9499999999999993" hidden="1" customHeight="1" x14ac:dyDescent="0.2"/>
    <row r="43001" ht="9.9499999999999993" hidden="1" customHeight="1" x14ac:dyDescent="0.2"/>
    <row r="43002" ht="9.9499999999999993" hidden="1" customHeight="1" x14ac:dyDescent="0.2"/>
    <row r="43003" ht="9.9499999999999993" hidden="1" customHeight="1" x14ac:dyDescent="0.2"/>
    <row r="43004" ht="9.9499999999999993" hidden="1" customHeight="1" x14ac:dyDescent="0.2"/>
    <row r="43005" ht="9.9499999999999993" hidden="1" customHeight="1" x14ac:dyDescent="0.2"/>
    <row r="43006" ht="9.9499999999999993" hidden="1" customHeight="1" x14ac:dyDescent="0.2"/>
    <row r="43007" ht="9.9499999999999993" hidden="1" customHeight="1" x14ac:dyDescent="0.2"/>
    <row r="43008" ht="9.9499999999999993" hidden="1" customHeight="1" x14ac:dyDescent="0.2"/>
    <row r="43009" ht="9.9499999999999993" hidden="1" customHeight="1" x14ac:dyDescent="0.2"/>
    <row r="43010" ht="9.9499999999999993" hidden="1" customHeight="1" x14ac:dyDescent="0.2"/>
    <row r="43011" ht="9.9499999999999993" hidden="1" customHeight="1" x14ac:dyDescent="0.2"/>
    <row r="43012" ht="9.9499999999999993" hidden="1" customHeight="1" x14ac:dyDescent="0.2"/>
    <row r="43013" ht="9.9499999999999993" hidden="1" customHeight="1" x14ac:dyDescent="0.2"/>
    <row r="43014" ht="9.9499999999999993" hidden="1" customHeight="1" x14ac:dyDescent="0.2"/>
    <row r="43015" ht="9.9499999999999993" hidden="1" customHeight="1" x14ac:dyDescent="0.2"/>
    <row r="43016" ht="9.9499999999999993" hidden="1" customHeight="1" x14ac:dyDescent="0.2"/>
    <row r="43017" ht="9.9499999999999993" hidden="1" customHeight="1" x14ac:dyDescent="0.2"/>
    <row r="43018" ht="9.9499999999999993" hidden="1" customHeight="1" x14ac:dyDescent="0.2"/>
    <row r="43019" ht="9.9499999999999993" hidden="1" customHeight="1" x14ac:dyDescent="0.2"/>
    <row r="43020" ht="9.9499999999999993" hidden="1" customHeight="1" x14ac:dyDescent="0.2"/>
    <row r="43021" ht="9.9499999999999993" hidden="1" customHeight="1" x14ac:dyDescent="0.2"/>
    <row r="43022" ht="9.9499999999999993" hidden="1" customHeight="1" x14ac:dyDescent="0.2"/>
    <row r="43023" ht="9.9499999999999993" hidden="1" customHeight="1" x14ac:dyDescent="0.2"/>
    <row r="43024" ht="9.9499999999999993" hidden="1" customHeight="1" x14ac:dyDescent="0.2"/>
    <row r="43025" ht="9.9499999999999993" hidden="1" customHeight="1" x14ac:dyDescent="0.2"/>
    <row r="43026" ht="9.9499999999999993" hidden="1" customHeight="1" x14ac:dyDescent="0.2"/>
    <row r="43027" ht="9.9499999999999993" hidden="1" customHeight="1" x14ac:dyDescent="0.2"/>
    <row r="43028" ht="9.9499999999999993" hidden="1" customHeight="1" x14ac:dyDescent="0.2"/>
    <row r="43029" ht="9.9499999999999993" hidden="1" customHeight="1" x14ac:dyDescent="0.2"/>
    <row r="43030" ht="9.9499999999999993" hidden="1" customHeight="1" x14ac:dyDescent="0.2"/>
    <row r="43031" ht="9.9499999999999993" hidden="1" customHeight="1" x14ac:dyDescent="0.2"/>
    <row r="43032" ht="9.9499999999999993" hidden="1" customHeight="1" x14ac:dyDescent="0.2"/>
    <row r="43033" ht="9.9499999999999993" hidden="1" customHeight="1" x14ac:dyDescent="0.2"/>
    <row r="43034" ht="9.9499999999999993" hidden="1" customHeight="1" x14ac:dyDescent="0.2"/>
    <row r="43035" ht="9.9499999999999993" hidden="1" customHeight="1" x14ac:dyDescent="0.2"/>
    <row r="43036" ht="9.9499999999999993" hidden="1" customHeight="1" x14ac:dyDescent="0.2"/>
    <row r="43037" ht="9.9499999999999993" hidden="1" customHeight="1" x14ac:dyDescent="0.2"/>
    <row r="43038" ht="9.9499999999999993" hidden="1" customHeight="1" x14ac:dyDescent="0.2"/>
    <row r="43039" ht="9.9499999999999993" hidden="1" customHeight="1" x14ac:dyDescent="0.2"/>
    <row r="43040" ht="9.9499999999999993" hidden="1" customHeight="1" x14ac:dyDescent="0.2"/>
    <row r="43041" ht="9.9499999999999993" hidden="1" customHeight="1" x14ac:dyDescent="0.2"/>
    <row r="43042" ht="9.9499999999999993" hidden="1" customHeight="1" x14ac:dyDescent="0.2"/>
    <row r="43043" ht="9.9499999999999993" hidden="1" customHeight="1" x14ac:dyDescent="0.2"/>
    <row r="43044" ht="9.9499999999999993" hidden="1" customHeight="1" x14ac:dyDescent="0.2"/>
    <row r="43045" ht="9.9499999999999993" hidden="1" customHeight="1" x14ac:dyDescent="0.2"/>
    <row r="43046" ht="9.9499999999999993" hidden="1" customHeight="1" x14ac:dyDescent="0.2"/>
    <row r="43047" ht="9.9499999999999993" hidden="1" customHeight="1" x14ac:dyDescent="0.2"/>
    <row r="43048" ht="9.9499999999999993" hidden="1" customHeight="1" x14ac:dyDescent="0.2"/>
    <row r="43049" ht="9.9499999999999993" hidden="1" customHeight="1" x14ac:dyDescent="0.2"/>
    <row r="43050" ht="9.9499999999999993" hidden="1" customHeight="1" x14ac:dyDescent="0.2"/>
    <row r="43051" ht="9.9499999999999993" hidden="1" customHeight="1" x14ac:dyDescent="0.2"/>
    <row r="43052" ht="9.9499999999999993" hidden="1" customHeight="1" x14ac:dyDescent="0.2"/>
    <row r="43053" ht="9.9499999999999993" hidden="1" customHeight="1" x14ac:dyDescent="0.2"/>
    <row r="43054" ht="9.9499999999999993" hidden="1" customHeight="1" x14ac:dyDescent="0.2"/>
    <row r="43055" ht="9.9499999999999993" hidden="1" customHeight="1" x14ac:dyDescent="0.2"/>
    <row r="43056" ht="9.9499999999999993" hidden="1" customHeight="1" x14ac:dyDescent="0.2"/>
    <row r="43057" ht="9.9499999999999993" hidden="1" customHeight="1" x14ac:dyDescent="0.2"/>
    <row r="43058" ht="9.9499999999999993" hidden="1" customHeight="1" x14ac:dyDescent="0.2"/>
    <row r="43059" ht="9.9499999999999993" hidden="1" customHeight="1" x14ac:dyDescent="0.2"/>
    <row r="43060" ht="9.9499999999999993" hidden="1" customHeight="1" x14ac:dyDescent="0.2"/>
    <row r="43061" ht="9.9499999999999993" hidden="1" customHeight="1" x14ac:dyDescent="0.2"/>
    <row r="43062" ht="9.9499999999999993" hidden="1" customHeight="1" x14ac:dyDescent="0.2"/>
    <row r="43063" ht="9.9499999999999993" hidden="1" customHeight="1" x14ac:dyDescent="0.2"/>
    <row r="43064" ht="9.9499999999999993" hidden="1" customHeight="1" x14ac:dyDescent="0.2"/>
    <row r="43065" ht="9.9499999999999993" hidden="1" customHeight="1" x14ac:dyDescent="0.2"/>
    <row r="43066" ht="9.9499999999999993" hidden="1" customHeight="1" x14ac:dyDescent="0.2"/>
    <row r="43067" ht="9.9499999999999993" hidden="1" customHeight="1" x14ac:dyDescent="0.2"/>
    <row r="43068" ht="9.9499999999999993" hidden="1" customHeight="1" x14ac:dyDescent="0.2"/>
    <row r="43069" ht="9.9499999999999993" hidden="1" customHeight="1" x14ac:dyDescent="0.2"/>
    <row r="43070" ht="9.9499999999999993" hidden="1" customHeight="1" x14ac:dyDescent="0.2"/>
    <row r="43071" ht="9.9499999999999993" hidden="1" customHeight="1" x14ac:dyDescent="0.2"/>
    <row r="43072" ht="9.9499999999999993" hidden="1" customHeight="1" x14ac:dyDescent="0.2"/>
    <row r="43073" ht="9.9499999999999993" hidden="1" customHeight="1" x14ac:dyDescent="0.2"/>
    <row r="43074" ht="9.9499999999999993" hidden="1" customHeight="1" x14ac:dyDescent="0.2"/>
    <row r="43075" ht="9.9499999999999993" hidden="1" customHeight="1" x14ac:dyDescent="0.2"/>
    <row r="43076" ht="9.9499999999999993" hidden="1" customHeight="1" x14ac:dyDescent="0.2"/>
    <row r="43077" ht="9.9499999999999993" hidden="1" customHeight="1" x14ac:dyDescent="0.2"/>
    <row r="43078" ht="9.9499999999999993" hidden="1" customHeight="1" x14ac:dyDescent="0.2"/>
    <row r="43079" ht="9.9499999999999993" hidden="1" customHeight="1" x14ac:dyDescent="0.2"/>
    <row r="43080" ht="9.9499999999999993" hidden="1" customHeight="1" x14ac:dyDescent="0.2"/>
    <row r="43081" ht="9.9499999999999993" hidden="1" customHeight="1" x14ac:dyDescent="0.2"/>
    <row r="43082" ht="9.9499999999999993" hidden="1" customHeight="1" x14ac:dyDescent="0.2"/>
    <row r="43083" ht="9.9499999999999993" hidden="1" customHeight="1" x14ac:dyDescent="0.2"/>
    <row r="43084" ht="9.9499999999999993" hidden="1" customHeight="1" x14ac:dyDescent="0.2"/>
    <row r="43085" ht="9.9499999999999993" hidden="1" customHeight="1" x14ac:dyDescent="0.2"/>
    <row r="43086" ht="9.9499999999999993" hidden="1" customHeight="1" x14ac:dyDescent="0.2"/>
    <row r="43087" ht="9.9499999999999993" hidden="1" customHeight="1" x14ac:dyDescent="0.2"/>
    <row r="43088" ht="9.9499999999999993" hidden="1" customHeight="1" x14ac:dyDescent="0.2"/>
    <row r="43089" ht="9.9499999999999993" hidden="1" customHeight="1" x14ac:dyDescent="0.2"/>
    <row r="43090" ht="9.9499999999999993" hidden="1" customHeight="1" x14ac:dyDescent="0.2"/>
    <row r="43091" ht="9.9499999999999993" hidden="1" customHeight="1" x14ac:dyDescent="0.2"/>
    <row r="43092" ht="9.9499999999999993" hidden="1" customHeight="1" x14ac:dyDescent="0.2"/>
    <row r="43093" ht="9.9499999999999993" hidden="1" customHeight="1" x14ac:dyDescent="0.2"/>
    <row r="43094" ht="9.9499999999999993" hidden="1" customHeight="1" x14ac:dyDescent="0.2"/>
    <row r="43095" ht="9.9499999999999993" hidden="1" customHeight="1" x14ac:dyDescent="0.2"/>
    <row r="43096" ht="9.9499999999999993" hidden="1" customHeight="1" x14ac:dyDescent="0.2"/>
    <row r="43097" ht="9.9499999999999993" hidden="1" customHeight="1" x14ac:dyDescent="0.2"/>
    <row r="43098" ht="9.9499999999999993" hidden="1" customHeight="1" x14ac:dyDescent="0.2"/>
    <row r="43099" ht="9.9499999999999993" hidden="1" customHeight="1" x14ac:dyDescent="0.2"/>
    <row r="43100" ht="9.9499999999999993" hidden="1" customHeight="1" x14ac:dyDescent="0.2"/>
    <row r="43101" ht="9.9499999999999993" hidden="1" customHeight="1" x14ac:dyDescent="0.2"/>
    <row r="43102" ht="9.9499999999999993" hidden="1" customHeight="1" x14ac:dyDescent="0.2"/>
    <row r="43103" ht="9.9499999999999993" hidden="1" customHeight="1" x14ac:dyDescent="0.2"/>
    <row r="43104" ht="9.9499999999999993" hidden="1" customHeight="1" x14ac:dyDescent="0.2"/>
    <row r="43105" ht="9.9499999999999993" hidden="1" customHeight="1" x14ac:dyDescent="0.2"/>
    <row r="43106" ht="9.9499999999999993" hidden="1" customHeight="1" x14ac:dyDescent="0.2"/>
    <row r="43107" ht="9.9499999999999993" hidden="1" customHeight="1" x14ac:dyDescent="0.2"/>
    <row r="43108" ht="9.9499999999999993" hidden="1" customHeight="1" x14ac:dyDescent="0.2"/>
    <row r="43109" ht="9.9499999999999993" hidden="1" customHeight="1" x14ac:dyDescent="0.2"/>
    <row r="43110" ht="9.9499999999999993" hidden="1" customHeight="1" x14ac:dyDescent="0.2"/>
    <row r="43111" ht="9.9499999999999993" hidden="1" customHeight="1" x14ac:dyDescent="0.2"/>
    <row r="43112" ht="9.9499999999999993" hidden="1" customHeight="1" x14ac:dyDescent="0.2"/>
    <row r="43113" ht="9.9499999999999993" hidden="1" customHeight="1" x14ac:dyDescent="0.2"/>
    <row r="43114" ht="9.9499999999999993" hidden="1" customHeight="1" x14ac:dyDescent="0.2"/>
    <row r="43115" ht="9.9499999999999993" hidden="1" customHeight="1" x14ac:dyDescent="0.2"/>
    <row r="43116" ht="9.9499999999999993" hidden="1" customHeight="1" x14ac:dyDescent="0.2"/>
    <row r="43117" ht="9.9499999999999993" hidden="1" customHeight="1" x14ac:dyDescent="0.2"/>
    <row r="43118" ht="9.9499999999999993" hidden="1" customHeight="1" x14ac:dyDescent="0.2"/>
    <row r="43119" ht="9.9499999999999993" hidden="1" customHeight="1" x14ac:dyDescent="0.2"/>
    <row r="43120" ht="9.9499999999999993" hidden="1" customHeight="1" x14ac:dyDescent="0.2"/>
    <row r="43121" ht="9.9499999999999993" hidden="1" customHeight="1" x14ac:dyDescent="0.2"/>
    <row r="43122" ht="9.9499999999999993" hidden="1" customHeight="1" x14ac:dyDescent="0.2"/>
    <row r="43123" ht="9.9499999999999993" hidden="1" customHeight="1" x14ac:dyDescent="0.2"/>
    <row r="43124" ht="9.9499999999999993" hidden="1" customHeight="1" x14ac:dyDescent="0.2"/>
    <row r="43125" ht="9.9499999999999993" hidden="1" customHeight="1" x14ac:dyDescent="0.2"/>
    <row r="43126" ht="9.9499999999999993" hidden="1" customHeight="1" x14ac:dyDescent="0.2"/>
    <row r="43127" ht="9.9499999999999993" hidden="1" customHeight="1" x14ac:dyDescent="0.2"/>
    <row r="43128" ht="9.9499999999999993" hidden="1" customHeight="1" x14ac:dyDescent="0.2"/>
    <row r="43129" ht="9.9499999999999993" hidden="1" customHeight="1" x14ac:dyDescent="0.2"/>
    <row r="43130" ht="9.9499999999999993" hidden="1" customHeight="1" x14ac:dyDescent="0.2"/>
    <row r="43131" ht="9.9499999999999993" hidden="1" customHeight="1" x14ac:dyDescent="0.2"/>
    <row r="43132" ht="9.9499999999999993" hidden="1" customHeight="1" x14ac:dyDescent="0.2"/>
    <row r="43133" ht="9.9499999999999993" hidden="1" customHeight="1" x14ac:dyDescent="0.2"/>
    <row r="43134" ht="9.9499999999999993" hidden="1" customHeight="1" x14ac:dyDescent="0.2"/>
    <row r="43135" ht="9.9499999999999993" hidden="1" customHeight="1" x14ac:dyDescent="0.2"/>
    <row r="43136" ht="9.9499999999999993" hidden="1" customHeight="1" x14ac:dyDescent="0.2"/>
    <row r="43137" ht="9.9499999999999993" hidden="1" customHeight="1" x14ac:dyDescent="0.2"/>
    <row r="43138" ht="9.9499999999999993" hidden="1" customHeight="1" x14ac:dyDescent="0.2"/>
    <row r="43139" ht="9.9499999999999993" hidden="1" customHeight="1" x14ac:dyDescent="0.2"/>
    <row r="43140" ht="9.9499999999999993" hidden="1" customHeight="1" x14ac:dyDescent="0.2"/>
    <row r="43141" ht="9.9499999999999993" hidden="1" customHeight="1" x14ac:dyDescent="0.2"/>
    <row r="43142" ht="9.9499999999999993" hidden="1" customHeight="1" x14ac:dyDescent="0.2"/>
    <row r="43143" ht="9.9499999999999993" hidden="1" customHeight="1" x14ac:dyDescent="0.2"/>
    <row r="43144" ht="9.9499999999999993" hidden="1" customHeight="1" x14ac:dyDescent="0.2"/>
    <row r="43145" ht="9.9499999999999993" hidden="1" customHeight="1" x14ac:dyDescent="0.2"/>
    <row r="43146" ht="9.9499999999999993" hidden="1" customHeight="1" x14ac:dyDescent="0.2"/>
    <row r="43147" ht="9.9499999999999993" hidden="1" customHeight="1" x14ac:dyDescent="0.2"/>
    <row r="43148" ht="9.9499999999999993" hidden="1" customHeight="1" x14ac:dyDescent="0.2"/>
    <row r="43149" ht="9.9499999999999993" hidden="1" customHeight="1" x14ac:dyDescent="0.2"/>
    <row r="43150" ht="9.9499999999999993" hidden="1" customHeight="1" x14ac:dyDescent="0.2"/>
    <row r="43151" ht="9.9499999999999993" hidden="1" customHeight="1" x14ac:dyDescent="0.2"/>
    <row r="43152" ht="9.9499999999999993" hidden="1" customHeight="1" x14ac:dyDescent="0.2"/>
    <row r="43153" ht="9.9499999999999993" hidden="1" customHeight="1" x14ac:dyDescent="0.2"/>
    <row r="43154" ht="9.9499999999999993" hidden="1" customHeight="1" x14ac:dyDescent="0.2"/>
    <row r="43155" ht="9.9499999999999993" hidden="1" customHeight="1" x14ac:dyDescent="0.2"/>
    <row r="43156" ht="9.9499999999999993" hidden="1" customHeight="1" x14ac:dyDescent="0.2"/>
    <row r="43157" ht="9.9499999999999993" hidden="1" customHeight="1" x14ac:dyDescent="0.2"/>
    <row r="43158" ht="9.9499999999999993" hidden="1" customHeight="1" x14ac:dyDescent="0.2"/>
    <row r="43159" ht="9.9499999999999993" hidden="1" customHeight="1" x14ac:dyDescent="0.2"/>
    <row r="43160" ht="9.9499999999999993" hidden="1" customHeight="1" x14ac:dyDescent="0.2"/>
    <row r="43161" ht="9.9499999999999993" hidden="1" customHeight="1" x14ac:dyDescent="0.2"/>
    <row r="43162" ht="9.9499999999999993" hidden="1" customHeight="1" x14ac:dyDescent="0.2"/>
    <row r="43163" ht="9.9499999999999993" hidden="1" customHeight="1" x14ac:dyDescent="0.2"/>
    <row r="43164" ht="9.9499999999999993" hidden="1" customHeight="1" x14ac:dyDescent="0.2"/>
    <row r="43165" ht="9.9499999999999993" hidden="1" customHeight="1" x14ac:dyDescent="0.2"/>
    <row r="43166" ht="9.9499999999999993" hidden="1" customHeight="1" x14ac:dyDescent="0.2"/>
    <row r="43167" ht="9.9499999999999993" hidden="1" customHeight="1" x14ac:dyDescent="0.2"/>
    <row r="43168" ht="9.9499999999999993" hidden="1" customHeight="1" x14ac:dyDescent="0.2"/>
    <row r="43169" ht="9.9499999999999993" hidden="1" customHeight="1" x14ac:dyDescent="0.2"/>
    <row r="43170" ht="9.9499999999999993" hidden="1" customHeight="1" x14ac:dyDescent="0.2"/>
    <row r="43171" ht="9.9499999999999993" hidden="1" customHeight="1" x14ac:dyDescent="0.2"/>
    <row r="43172" ht="9.9499999999999993" hidden="1" customHeight="1" x14ac:dyDescent="0.2"/>
    <row r="43173" ht="9.9499999999999993" hidden="1" customHeight="1" x14ac:dyDescent="0.2"/>
    <row r="43174" ht="9.9499999999999993" hidden="1" customHeight="1" x14ac:dyDescent="0.2"/>
    <row r="43175" ht="9.9499999999999993" hidden="1" customHeight="1" x14ac:dyDescent="0.2"/>
    <row r="43176" ht="9.9499999999999993" hidden="1" customHeight="1" x14ac:dyDescent="0.2"/>
    <row r="43177" ht="9.9499999999999993" hidden="1" customHeight="1" x14ac:dyDescent="0.2"/>
    <row r="43178" ht="9.9499999999999993" hidden="1" customHeight="1" x14ac:dyDescent="0.2"/>
    <row r="43179" ht="9.9499999999999993" hidden="1" customHeight="1" x14ac:dyDescent="0.2"/>
    <row r="43180" ht="9.9499999999999993" hidden="1" customHeight="1" x14ac:dyDescent="0.2"/>
    <row r="43181" ht="9.9499999999999993" hidden="1" customHeight="1" x14ac:dyDescent="0.2"/>
    <row r="43182" ht="9.9499999999999993" hidden="1" customHeight="1" x14ac:dyDescent="0.2"/>
    <row r="43183" ht="9.9499999999999993" hidden="1" customHeight="1" x14ac:dyDescent="0.2"/>
    <row r="43184" ht="9.9499999999999993" hidden="1" customHeight="1" x14ac:dyDescent="0.2"/>
    <row r="43185" ht="9.9499999999999993" hidden="1" customHeight="1" x14ac:dyDescent="0.2"/>
    <row r="43186" ht="9.9499999999999993" hidden="1" customHeight="1" x14ac:dyDescent="0.2"/>
    <row r="43187" ht="9.9499999999999993" hidden="1" customHeight="1" x14ac:dyDescent="0.2"/>
    <row r="43188" ht="9.9499999999999993" hidden="1" customHeight="1" x14ac:dyDescent="0.2"/>
    <row r="43189" ht="9.9499999999999993" hidden="1" customHeight="1" x14ac:dyDescent="0.2"/>
    <row r="43190" ht="9.9499999999999993" hidden="1" customHeight="1" x14ac:dyDescent="0.2"/>
    <row r="43191" ht="9.9499999999999993" hidden="1" customHeight="1" x14ac:dyDescent="0.2"/>
    <row r="43192" ht="9.9499999999999993" hidden="1" customHeight="1" x14ac:dyDescent="0.2"/>
    <row r="43193" ht="9.9499999999999993" hidden="1" customHeight="1" x14ac:dyDescent="0.2"/>
    <row r="43194" ht="9.9499999999999993" hidden="1" customHeight="1" x14ac:dyDescent="0.2"/>
    <row r="43195" ht="9.9499999999999993" hidden="1" customHeight="1" x14ac:dyDescent="0.2"/>
    <row r="43196" ht="9.9499999999999993" hidden="1" customHeight="1" x14ac:dyDescent="0.2"/>
    <row r="43197" ht="9.9499999999999993" hidden="1" customHeight="1" x14ac:dyDescent="0.2"/>
    <row r="43198" ht="9.9499999999999993" hidden="1" customHeight="1" x14ac:dyDescent="0.2"/>
    <row r="43199" ht="9.9499999999999993" hidden="1" customHeight="1" x14ac:dyDescent="0.2"/>
    <row r="43200" ht="9.9499999999999993" hidden="1" customHeight="1" x14ac:dyDescent="0.2"/>
    <row r="43201" ht="9.9499999999999993" hidden="1" customHeight="1" x14ac:dyDescent="0.2"/>
    <row r="43202" ht="9.9499999999999993" hidden="1" customHeight="1" x14ac:dyDescent="0.2"/>
    <row r="43203" ht="9.9499999999999993" hidden="1" customHeight="1" x14ac:dyDescent="0.2"/>
    <row r="43204" ht="9.9499999999999993" hidden="1" customHeight="1" x14ac:dyDescent="0.2"/>
    <row r="43205" ht="9.9499999999999993" hidden="1" customHeight="1" x14ac:dyDescent="0.2"/>
    <row r="43206" ht="9.9499999999999993" hidden="1" customHeight="1" x14ac:dyDescent="0.2"/>
    <row r="43207" ht="9.9499999999999993" hidden="1" customHeight="1" x14ac:dyDescent="0.2"/>
    <row r="43208" ht="9.9499999999999993" hidden="1" customHeight="1" x14ac:dyDescent="0.2"/>
    <row r="43209" ht="9.9499999999999993" hidden="1" customHeight="1" x14ac:dyDescent="0.2"/>
    <row r="43210" ht="9.9499999999999993" hidden="1" customHeight="1" x14ac:dyDescent="0.2"/>
    <row r="43211" ht="9.9499999999999993" hidden="1" customHeight="1" x14ac:dyDescent="0.2"/>
    <row r="43212" ht="9.9499999999999993" hidden="1" customHeight="1" x14ac:dyDescent="0.2"/>
    <row r="43213" ht="9.9499999999999993" hidden="1" customHeight="1" x14ac:dyDescent="0.2"/>
    <row r="43214" ht="9.9499999999999993" hidden="1" customHeight="1" x14ac:dyDescent="0.2"/>
    <row r="43215" ht="9.9499999999999993" hidden="1" customHeight="1" x14ac:dyDescent="0.2"/>
    <row r="43216" ht="9.9499999999999993" hidden="1" customHeight="1" x14ac:dyDescent="0.2"/>
    <row r="43217" ht="9.9499999999999993" hidden="1" customHeight="1" x14ac:dyDescent="0.2"/>
    <row r="43218" ht="9.9499999999999993" hidden="1" customHeight="1" x14ac:dyDescent="0.2"/>
    <row r="43219" ht="9.9499999999999993" hidden="1" customHeight="1" x14ac:dyDescent="0.2"/>
    <row r="43220" ht="9.9499999999999993" hidden="1" customHeight="1" x14ac:dyDescent="0.2"/>
    <row r="43221" ht="9.9499999999999993" hidden="1" customHeight="1" x14ac:dyDescent="0.2"/>
    <row r="43222" ht="9.9499999999999993" hidden="1" customHeight="1" x14ac:dyDescent="0.2"/>
    <row r="43223" ht="9.9499999999999993" hidden="1" customHeight="1" x14ac:dyDescent="0.2"/>
    <row r="43224" ht="9.9499999999999993" hidden="1" customHeight="1" x14ac:dyDescent="0.2"/>
    <row r="43225" ht="9.9499999999999993" hidden="1" customHeight="1" x14ac:dyDescent="0.2"/>
    <row r="43226" ht="9.9499999999999993" hidden="1" customHeight="1" x14ac:dyDescent="0.2"/>
    <row r="43227" ht="9.9499999999999993" hidden="1" customHeight="1" x14ac:dyDescent="0.2"/>
    <row r="43228" ht="9.9499999999999993" hidden="1" customHeight="1" x14ac:dyDescent="0.2"/>
    <row r="43229" ht="9.9499999999999993" hidden="1" customHeight="1" x14ac:dyDescent="0.2"/>
    <row r="43230" ht="9.9499999999999993" hidden="1" customHeight="1" x14ac:dyDescent="0.2"/>
    <row r="43231" ht="9.9499999999999993" hidden="1" customHeight="1" x14ac:dyDescent="0.2"/>
    <row r="43232" ht="9.9499999999999993" hidden="1" customHeight="1" x14ac:dyDescent="0.2"/>
    <row r="43233" ht="9.9499999999999993" hidden="1" customHeight="1" x14ac:dyDescent="0.2"/>
    <row r="43234" ht="9.9499999999999993" hidden="1" customHeight="1" x14ac:dyDescent="0.2"/>
    <row r="43235" ht="9.9499999999999993" hidden="1" customHeight="1" x14ac:dyDescent="0.2"/>
    <row r="43236" ht="9.9499999999999993" hidden="1" customHeight="1" x14ac:dyDescent="0.2"/>
    <row r="43237" ht="9.9499999999999993" hidden="1" customHeight="1" x14ac:dyDescent="0.2"/>
    <row r="43238" ht="9.9499999999999993" hidden="1" customHeight="1" x14ac:dyDescent="0.2"/>
    <row r="43239" ht="9.9499999999999993" hidden="1" customHeight="1" x14ac:dyDescent="0.2"/>
    <row r="43240" ht="9.9499999999999993" hidden="1" customHeight="1" x14ac:dyDescent="0.2"/>
    <row r="43241" ht="9.9499999999999993" hidden="1" customHeight="1" x14ac:dyDescent="0.2"/>
    <row r="43242" ht="9.9499999999999993" hidden="1" customHeight="1" x14ac:dyDescent="0.2"/>
    <row r="43243" ht="9.9499999999999993" hidden="1" customHeight="1" x14ac:dyDescent="0.2"/>
    <row r="43244" ht="9.9499999999999993" hidden="1" customHeight="1" x14ac:dyDescent="0.2"/>
    <row r="43245" ht="9.9499999999999993" hidden="1" customHeight="1" x14ac:dyDescent="0.2"/>
    <row r="43246" ht="9.9499999999999993" hidden="1" customHeight="1" x14ac:dyDescent="0.2"/>
    <row r="43247" ht="9.9499999999999993" hidden="1" customHeight="1" x14ac:dyDescent="0.2"/>
    <row r="43248" ht="9.9499999999999993" hidden="1" customHeight="1" x14ac:dyDescent="0.2"/>
    <row r="43249" ht="9.9499999999999993" hidden="1" customHeight="1" x14ac:dyDescent="0.2"/>
    <row r="43250" ht="9.9499999999999993" hidden="1" customHeight="1" x14ac:dyDescent="0.2"/>
    <row r="43251" ht="9.9499999999999993" hidden="1" customHeight="1" x14ac:dyDescent="0.2"/>
    <row r="43252" ht="9.9499999999999993" hidden="1" customHeight="1" x14ac:dyDescent="0.2"/>
    <row r="43253" ht="9.9499999999999993" hidden="1" customHeight="1" x14ac:dyDescent="0.2"/>
    <row r="43254" ht="9.9499999999999993" hidden="1" customHeight="1" x14ac:dyDescent="0.2"/>
    <row r="43255" ht="9.9499999999999993" hidden="1" customHeight="1" x14ac:dyDescent="0.2"/>
    <row r="43256" ht="9.9499999999999993" hidden="1" customHeight="1" x14ac:dyDescent="0.2"/>
    <row r="43257" ht="9.9499999999999993" hidden="1" customHeight="1" x14ac:dyDescent="0.2"/>
    <row r="43258" ht="9.9499999999999993" hidden="1" customHeight="1" x14ac:dyDescent="0.2"/>
    <row r="43259" ht="9.9499999999999993" hidden="1" customHeight="1" x14ac:dyDescent="0.2"/>
    <row r="43260" ht="9.9499999999999993" hidden="1" customHeight="1" x14ac:dyDescent="0.2"/>
    <row r="43261" ht="9.9499999999999993" hidden="1" customHeight="1" x14ac:dyDescent="0.2"/>
    <row r="43262" ht="9.9499999999999993" hidden="1" customHeight="1" x14ac:dyDescent="0.2"/>
    <row r="43263" ht="9.9499999999999993" hidden="1" customHeight="1" x14ac:dyDescent="0.2"/>
    <row r="43264" ht="9.9499999999999993" hidden="1" customHeight="1" x14ac:dyDescent="0.2"/>
    <row r="43265" ht="9.9499999999999993" hidden="1" customHeight="1" x14ac:dyDescent="0.2"/>
    <row r="43266" ht="9.9499999999999993" hidden="1" customHeight="1" x14ac:dyDescent="0.2"/>
    <row r="43267" ht="9.9499999999999993" hidden="1" customHeight="1" x14ac:dyDescent="0.2"/>
    <row r="43268" ht="9.9499999999999993" hidden="1" customHeight="1" x14ac:dyDescent="0.2"/>
    <row r="43269" ht="9.9499999999999993" hidden="1" customHeight="1" x14ac:dyDescent="0.2"/>
    <row r="43270" ht="9.9499999999999993" hidden="1" customHeight="1" x14ac:dyDescent="0.2"/>
    <row r="43271" ht="9.9499999999999993" hidden="1" customHeight="1" x14ac:dyDescent="0.2"/>
    <row r="43272" ht="9.9499999999999993" hidden="1" customHeight="1" x14ac:dyDescent="0.2"/>
    <row r="43273" ht="9.9499999999999993" hidden="1" customHeight="1" x14ac:dyDescent="0.2"/>
    <row r="43274" ht="9.9499999999999993" hidden="1" customHeight="1" x14ac:dyDescent="0.2"/>
    <row r="43275" ht="9.9499999999999993" hidden="1" customHeight="1" x14ac:dyDescent="0.2"/>
    <row r="43276" ht="9.9499999999999993" hidden="1" customHeight="1" x14ac:dyDescent="0.2"/>
    <row r="43277" ht="9.9499999999999993" hidden="1" customHeight="1" x14ac:dyDescent="0.2"/>
    <row r="43278" ht="9.9499999999999993" hidden="1" customHeight="1" x14ac:dyDescent="0.2"/>
    <row r="43279" ht="9.9499999999999993" hidden="1" customHeight="1" x14ac:dyDescent="0.2"/>
    <row r="43280" ht="9.9499999999999993" hidden="1" customHeight="1" x14ac:dyDescent="0.2"/>
    <row r="43281" ht="9.9499999999999993" hidden="1" customHeight="1" x14ac:dyDescent="0.2"/>
    <row r="43282" ht="9.9499999999999993" hidden="1" customHeight="1" x14ac:dyDescent="0.2"/>
    <row r="43283" ht="9.9499999999999993" hidden="1" customHeight="1" x14ac:dyDescent="0.2"/>
    <row r="43284" ht="9.9499999999999993" hidden="1" customHeight="1" x14ac:dyDescent="0.2"/>
    <row r="43285" ht="9.9499999999999993" hidden="1" customHeight="1" x14ac:dyDescent="0.2"/>
    <row r="43286" ht="9.9499999999999993" hidden="1" customHeight="1" x14ac:dyDescent="0.2"/>
    <row r="43287" ht="9.9499999999999993" hidden="1" customHeight="1" x14ac:dyDescent="0.2"/>
    <row r="43288" ht="9.9499999999999993" hidden="1" customHeight="1" x14ac:dyDescent="0.2"/>
    <row r="43289" ht="9.9499999999999993" hidden="1" customHeight="1" x14ac:dyDescent="0.2"/>
    <row r="43290" ht="9.9499999999999993" hidden="1" customHeight="1" x14ac:dyDescent="0.2"/>
    <row r="43291" ht="9.9499999999999993" hidden="1" customHeight="1" x14ac:dyDescent="0.2"/>
    <row r="43292" ht="9.9499999999999993" hidden="1" customHeight="1" x14ac:dyDescent="0.2"/>
    <row r="43293" ht="9.9499999999999993" hidden="1" customHeight="1" x14ac:dyDescent="0.2"/>
    <row r="43294" ht="9.9499999999999993" hidden="1" customHeight="1" x14ac:dyDescent="0.2"/>
    <row r="43295" ht="9.9499999999999993" hidden="1" customHeight="1" x14ac:dyDescent="0.2"/>
    <row r="43296" ht="9.9499999999999993" hidden="1" customHeight="1" x14ac:dyDescent="0.2"/>
    <row r="43297" ht="9.9499999999999993" hidden="1" customHeight="1" x14ac:dyDescent="0.2"/>
    <row r="43298" ht="9.9499999999999993" hidden="1" customHeight="1" x14ac:dyDescent="0.2"/>
    <row r="43299" ht="9.9499999999999993" hidden="1" customHeight="1" x14ac:dyDescent="0.2"/>
    <row r="43300" ht="9.9499999999999993" hidden="1" customHeight="1" x14ac:dyDescent="0.2"/>
    <row r="43301" ht="9.9499999999999993" hidden="1" customHeight="1" x14ac:dyDescent="0.2"/>
    <row r="43302" ht="9.9499999999999993" hidden="1" customHeight="1" x14ac:dyDescent="0.2"/>
    <row r="43303" ht="9.9499999999999993" hidden="1" customHeight="1" x14ac:dyDescent="0.2"/>
    <row r="43304" ht="9.9499999999999993" hidden="1" customHeight="1" x14ac:dyDescent="0.2"/>
    <row r="43305" ht="9.9499999999999993" hidden="1" customHeight="1" x14ac:dyDescent="0.2"/>
    <row r="43306" ht="9.9499999999999993" hidden="1" customHeight="1" x14ac:dyDescent="0.2"/>
    <row r="43307" ht="9.9499999999999993" hidden="1" customHeight="1" x14ac:dyDescent="0.2"/>
    <row r="43308" ht="9.9499999999999993" hidden="1" customHeight="1" x14ac:dyDescent="0.2"/>
    <row r="43309" ht="9.9499999999999993" hidden="1" customHeight="1" x14ac:dyDescent="0.2"/>
    <row r="43310" ht="9.9499999999999993" hidden="1" customHeight="1" x14ac:dyDescent="0.2"/>
    <row r="43311" ht="9.9499999999999993" hidden="1" customHeight="1" x14ac:dyDescent="0.2"/>
    <row r="43312" ht="9.9499999999999993" hidden="1" customHeight="1" x14ac:dyDescent="0.2"/>
    <row r="43313" ht="9.9499999999999993" hidden="1" customHeight="1" x14ac:dyDescent="0.2"/>
    <row r="43314" ht="9.9499999999999993" hidden="1" customHeight="1" x14ac:dyDescent="0.2"/>
    <row r="43315" ht="9.9499999999999993" hidden="1" customHeight="1" x14ac:dyDescent="0.2"/>
    <row r="43316" ht="9.9499999999999993" hidden="1" customHeight="1" x14ac:dyDescent="0.2"/>
    <row r="43317" ht="9.9499999999999993" hidden="1" customHeight="1" x14ac:dyDescent="0.2"/>
    <row r="43318" ht="9.9499999999999993" hidden="1" customHeight="1" x14ac:dyDescent="0.2"/>
    <row r="43319" ht="9.9499999999999993" hidden="1" customHeight="1" x14ac:dyDescent="0.2"/>
    <row r="43320" ht="9.9499999999999993" hidden="1" customHeight="1" x14ac:dyDescent="0.2"/>
    <row r="43321" ht="9.9499999999999993" hidden="1" customHeight="1" x14ac:dyDescent="0.2"/>
    <row r="43322" ht="9.9499999999999993" hidden="1" customHeight="1" x14ac:dyDescent="0.2"/>
    <row r="43323" ht="9.9499999999999993" hidden="1" customHeight="1" x14ac:dyDescent="0.2"/>
    <row r="43324" ht="9.9499999999999993" hidden="1" customHeight="1" x14ac:dyDescent="0.2"/>
    <row r="43325" ht="9.9499999999999993" hidden="1" customHeight="1" x14ac:dyDescent="0.2"/>
    <row r="43326" ht="9.9499999999999993" hidden="1" customHeight="1" x14ac:dyDescent="0.2"/>
    <row r="43327" ht="9.9499999999999993" hidden="1" customHeight="1" x14ac:dyDescent="0.2"/>
    <row r="43328" ht="9.9499999999999993" hidden="1" customHeight="1" x14ac:dyDescent="0.2"/>
    <row r="43329" ht="9.9499999999999993" hidden="1" customHeight="1" x14ac:dyDescent="0.2"/>
    <row r="43330" ht="9.9499999999999993" hidden="1" customHeight="1" x14ac:dyDescent="0.2"/>
    <row r="43331" ht="9.9499999999999993" hidden="1" customHeight="1" x14ac:dyDescent="0.2"/>
    <row r="43332" ht="9.9499999999999993" hidden="1" customHeight="1" x14ac:dyDescent="0.2"/>
    <row r="43333" ht="9.9499999999999993" hidden="1" customHeight="1" x14ac:dyDescent="0.2"/>
    <row r="43334" ht="9.9499999999999993" hidden="1" customHeight="1" x14ac:dyDescent="0.2"/>
    <row r="43335" ht="9.9499999999999993" hidden="1" customHeight="1" x14ac:dyDescent="0.2"/>
    <row r="43336" ht="9.9499999999999993" hidden="1" customHeight="1" x14ac:dyDescent="0.2"/>
    <row r="43337" ht="9.9499999999999993" hidden="1" customHeight="1" x14ac:dyDescent="0.2"/>
    <row r="43338" ht="9.9499999999999993" hidden="1" customHeight="1" x14ac:dyDescent="0.2"/>
    <row r="43339" ht="9.9499999999999993" hidden="1" customHeight="1" x14ac:dyDescent="0.2"/>
    <row r="43340" ht="9.9499999999999993" hidden="1" customHeight="1" x14ac:dyDescent="0.2"/>
    <row r="43341" ht="9.9499999999999993" hidden="1" customHeight="1" x14ac:dyDescent="0.2"/>
    <row r="43342" ht="9.9499999999999993" hidden="1" customHeight="1" x14ac:dyDescent="0.2"/>
    <row r="43343" ht="9.9499999999999993" hidden="1" customHeight="1" x14ac:dyDescent="0.2"/>
    <row r="43344" ht="9.9499999999999993" hidden="1" customHeight="1" x14ac:dyDescent="0.2"/>
    <row r="43345" ht="9.9499999999999993" hidden="1" customHeight="1" x14ac:dyDescent="0.2"/>
    <row r="43346" ht="9.9499999999999993" hidden="1" customHeight="1" x14ac:dyDescent="0.2"/>
    <row r="43347" ht="9.9499999999999993" hidden="1" customHeight="1" x14ac:dyDescent="0.2"/>
    <row r="43348" ht="9.9499999999999993" hidden="1" customHeight="1" x14ac:dyDescent="0.2"/>
    <row r="43349" ht="9.9499999999999993" hidden="1" customHeight="1" x14ac:dyDescent="0.2"/>
    <row r="43350" ht="9.9499999999999993" hidden="1" customHeight="1" x14ac:dyDescent="0.2"/>
    <row r="43351" ht="9.9499999999999993" hidden="1" customHeight="1" x14ac:dyDescent="0.2"/>
    <row r="43352" ht="9.9499999999999993" hidden="1" customHeight="1" x14ac:dyDescent="0.2"/>
    <row r="43353" ht="9.9499999999999993" hidden="1" customHeight="1" x14ac:dyDescent="0.2"/>
    <row r="43354" ht="9.9499999999999993" hidden="1" customHeight="1" x14ac:dyDescent="0.2"/>
    <row r="43355" ht="9.9499999999999993" hidden="1" customHeight="1" x14ac:dyDescent="0.2"/>
    <row r="43356" ht="9.9499999999999993" hidden="1" customHeight="1" x14ac:dyDescent="0.2"/>
    <row r="43357" ht="9.9499999999999993" hidden="1" customHeight="1" x14ac:dyDescent="0.2"/>
    <row r="43358" ht="9.9499999999999993" hidden="1" customHeight="1" x14ac:dyDescent="0.2"/>
    <row r="43359" ht="9.9499999999999993" hidden="1" customHeight="1" x14ac:dyDescent="0.2"/>
    <row r="43360" ht="9.9499999999999993" hidden="1" customHeight="1" x14ac:dyDescent="0.2"/>
    <row r="43361" ht="9.9499999999999993" hidden="1" customHeight="1" x14ac:dyDescent="0.2"/>
    <row r="43362" ht="9.9499999999999993" hidden="1" customHeight="1" x14ac:dyDescent="0.2"/>
    <row r="43363" ht="9.9499999999999993" hidden="1" customHeight="1" x14ac:dyDescent="0.2"/>
    <row r="43364" ht="9.9499999999999993" hidden="1" customHeight="1" x14ac:dyDescent="0.2"/>
    <row r="43365" ht="9.9499999999999993" hidden="1" customHeight="1" x14ac:dyDescent="0.2"/>
    <row r="43366" ht="9.9499999999999993" hidden="1" customHeight="1" x14ac:dyDescent="0.2"/>
    <row r="43367" ht="9.9499999999999993" hidden="1" customHeight="1" x14ac:dyDescent="0.2"/>
    <row r="43368" ht="9.9499999999999993" hidden="1" customHeight="1" x14ac:dyDescent="0.2"/>
    <row r="43369" ht="9.9499999999999993" hidden="1" customHeight="1" x14ac:dyDescent="0.2"/>
    <row r="43370" ht="9.9499999999999993" hidden="1" customHeight="1" x14ac:dyDescent="0.2"/>
    <row r="43371" ht="9.9499999999999993" hidden="1" customHeight="1" x14ac:dyDescent="0.2"/>
    <row r="43372" ht="9.9499999999999993" hidden="1" customHeight="1" x14ac:dyDescent="0.2"/>
    <row r="43373" ht="9.9499999999999993" hidden="1" customHeight="1" x14ac:dyDescent="0.2"/>
    <row r="43374" ht="9.9499999999999993" hidden="1" customHeight="1" x14ac:dyDescent="0.2"/>
    <row r="43375" ht="9.9499999999999993" hidden="1" customHeight="1" x14ac:dyDescent="0.2"/>
    <row r="43376" ht="9.9499999999999993" hidden="1" customHeight="1" x14ac:dyDescent="0.2"/>
    <row r="43377" ht="9.9499999999999993" hidden="1" customHeight="1" x14ac:dyDescent="0.2"/>
    <row r="43378" ht="9.9499999999999993" hidden="1" customHeight="1" x14ac:dyDescent="0.2"/>
    <row r="43379" ht="9.9499999999999993" hidden="1" customHeight="1" x14ac:dyDescent="0.2"/>
    <row r="43380" ht="9.9499999999999993" hidden="1" customHeight="1" x14ac:dyDescent="0.2"/>
    <row r="43381" ht="9.9499999999999993" hidden="1" customHeight="1" x14ac:dyDescent="0.2"/>
    <row r="43382" ht="9.9499999999999993" hidden="1" customHeight="1" x14ac:dyDescent="0.2"/>
    <row r="43383" ht="9.9499999999999993" hidden="1" customHeight="1" x14ac:dyDescent="0.2"/>
    <row r="43384" ht="9.9499999999999993" hidden="1" customHeight="1" x14ac:dyDescent="0.2"/>
    <row r="43385" ht="9.9499999999999993" hidden="1" customHeight="1" x14ac:dyDescent="0.2"/>
    <row r="43386" ht="9.9499999999999993" hidden="1" customHeight="1" x14ac:dyDescent="0.2"/>
    <row r="43387" ht="9.9499999999999993" hidden="1" customHeight="1" x14ac:dyDescent="0.2"/>
    <row r="43388" ht="9.9499999999999993" hidden="1" customHeight="1" x14ac:dyDescent="0.2"/>
    <row r="43389" ht="9.9499999999999993" hidden="1" customHeight="1" x14ac:dyDescent="0.2"/>
    <row r="43390" ht="9.9499999999999993" hidden="1" customHeight="1" x14ac:dyDescent="0.2"/>
    <row r="43391" ht="9.9499999999999993" hidden="1" customHeight="1" x14ac:dyDescent="0.2"/>
    <row r="43392" ht="9.9499999999999993" hidden="1" customHeight="1" x14ac:dyDescent="0.2"/>
    <row r="43393" ht="9.9499999999999993" hidden="1" customHeight="1" x14ac:dyDescent="0.2"/>
    <row r="43394" ht="9.9499999999999993" hidden="1" customHeight="1" x14ac:dyDescent="0.2"/>
    <row r="43395" ht="9.9499999999999993" hidden="1" customHeight="1" x14ac:dyDescent="0.2"/>
    <row r="43396" ht="9.9499999999999993" hidden="1" customHeight="1" x14ac:dyDescent="0.2"/>
    <row r="43397" ht="9.9499999999999993" hidden="1" customHeight="1" x14ac:dyDescent="0.2"/>
    <row r="43398" ht="9.9499999999999993" hidden="1" customHeight="1" x14ac:dyDescent="0.2"/>
    <row r="43399" ht="9.9499999999999993" hidden="1" customHeight="1" x14ac:dyDescent="0.2"/>
    <row r="43400" ht="9.9499999999999993" hidden="1" customHeight="1" x14ac:dyDescent="0.2"/>
    <row r="43401" ht="9.9499999999999993" hidden="1" customHeight="1" x14ac:dyDescent="0.2"/>
    <row r="43402" ht="9.9499999999999993" hidden="1" customHeight="1" x14ac:dyDescent="0.2"/>
    <row r="43403" ht="9.9499999999999993" hidden="1" customHeight="1" x14ac:dyDescent="0.2"/>
    <row r="43404" ht="9.9499999999999993" hidden="1" customHeight="1" x14ac:dyDescent="0.2"/>
    <row r="43405" ht="9.9499999999999993" hidden="1" customHeight="1" x14ac:dyDescent="0.2"/>
    <row r="43406" ht="9.9499999999999993" hidden="1" customHeight="1" x14ac:dyDescent="0.2"/>
    <row r="43407" ht="9.9499999999999993" hidden="1" customHeight="1" x14ac:dyDescent="0.2"/>
    <row r="43408" ht="9.9499999999999993" hidden="1" customHeight="1" x14ac:dyDescent="0.2"/>
    <row r="43409" ht="9.9499999999999993" hidden="1" customHeight="1" x14ac:dyDescent="0.2"/>
    <row r="43410" ht="9.9499999999999993" hidden="1" customHeight="1" x14ac:dyDescent="0.2"/>
    <row r="43411" ht="9.9499999999999993" hidden="1" customHeight="1" x14ac:dyDescent="0.2"/>
    <row r="43412" ht="9.9499999999999993" hidden="1" customHeight="1" x14ac:dyDescent="0.2"/>
    <row r="43413" ht="9.9499999999999993" hidden="1" customHeight="1" x14ac:dyDescent="0.2"/>
    <row r="43414" ht="9.9499999999999993" hidden="1" customHeight="1" x14ac:dyDescent="0.2"/>
    <row r="43415" ht="9.9499999999999993" hidden="1" customHeight="1" x14ac:dyDescent="0.2"/>
    <row r="43416" ht="9.9499999999999993" hidden="1" customHeight="1" x14ac:dyDescent="0.2"/>
    <row r="43417" ht="9.9499999999999993" hidden="1" customHeight="1" x14ac:dyDescent="0.2"/>
    <row r="43418" ht="9.9499999999999993" hidden="1" customHeight="1" x14ac:dyDescent="0.2"/>
    <row r="43419" ht="9.9499999999999993" hidden="1" customHeight="1" x14ac:dyDescent="0.2"/>
    <row r="43420" ht="9.9499999999999993" hidden="1" customHeight="1" x14ac:dyDescent="0.2"/>
    <row r="43421" ht="9.9499999999999993" hidden="1" customHeight="1" x14ac:dyDescent="0.2"/>
    <row r="43422" ht="9.9499999999999993" hidden="1" customHeight="1" x14ac:dyDescent="0.2"/>
    <row r="43423" ht="9.9499999999999993" hidden="1" customHeight="1" x14ac:dyDescent="0.2"/>
    <row r="43424" ht="9.9499999999999993" hidden="1" customHeight="1" x14ac:dyDescent="0.2"/>
    <row r="43425" ht="9.9499999999999993" hidden="1" customHeight="1" x14ac:dyDescent="0.2"/>
    <row r="43426" ht="9.9499999999999993" hidden="1" customHeight="1" x14ac:dyDescent="0.2"/>
    <row r="43427" ht="9.9499999999999993" hidden="1" customHeight="1" x14ac:dyDescent="0.2"/>
    <row r="43428" ht="9.9499999999999993" hidden="1" customHeight="1" x14ac:dyDescent="0.2"/>
    <row r="43429" ht="9.9499999999999993" hidden="1" customHeight="1" x14ac:dyDescent="0.2"/>
    <row r="43430" ht="9.9499999999999993" hidden="1" customHeight="1" x14ac:dyDescent="0.2"/>
    <row r="43431" ht="9.9499999999999993" hidden="1" customHeight="1" x14ac:dyDescent="0.2"/>
    <row r="43432" ht="9.9499999999999993" hidden="1" customHeight="1" x14ac:dyDescent="0.2"/>
    <row r="43433" ht="9.9499999999999993" hidden="1" customHeight="1" x14ac:dyDescent="0.2"/>
    <row r="43434" ht="9.9499999999999993" hidden="1" customHeight="1" x14ac:dyDescent="0.2"/>
    <row r="43435" ht="9.9499999999999993" hidden="1" customHeight="1" x14ac:dyDescent="0.2"/>
    <row r="43436" ht="9.9499999999999993" hidden="1" customHeight="1" x14ac:dyDescent="0.2"/>
    <row r="43437" ht="9.9499999999999993" hidden="1" customHeight="1" x14ac:dyDescent="0.2"/>
    <row r="43438" ht="9.9499999999999993" hidden="1" customHeight="1" x14ac:dyDescent="0.2"/>
    <row r="43439" ht="9.9499999999999993" hidden="1" customHeight="1" x14ac:dyDescent="0.2"/>
    <row r="43440" ht="9.9499999999999993" hidden="1" customHeight="1" x14ac:dyDescent="0.2"/>
    <row r="43441" ht="9.9499999999999993" hidden="1" customHeight="1" x14ac:dyDescent="0.2"/>
    <row r="43442" ht="9.9499999999999993" hidden="1" customHeight="1" x14ac:dyDescent="0.2"/>
    <row r="43443" ht="9.9499999999999993" hidden="1" customHeight="1" x14ac:dyDescent="0.2"/>
    <row r="43444" ht="9.9499999999999993" hidden="1" customHeight="1" x14ac:dyDescent="0.2"/>
    <row r="43445" ht="9.9499999999999993" hidden="1" customHeight="1" x14ac:dyDescent="0.2"/>
    <row r="43446" ht="9.9499999999999993" hidden="1" customHeight="1" x14ac:dyDescent="0.2"/>
    <row r="43447" ht="9.9499999999999993" hidden="1" customHeight="1" x14ac:dyDescent="0.2"/>
    <row r="43448" ht="9.9499999999999993" hidden="1" customHeight="1" x14ac:dyDescent="0.2"/>
    <row r="43449" ht="9.9499999999999993" hidden="1" customHeight="1" x14ac:dyDescent="0.2"/>
    <row r="43450" ht="9.9499999999999993" hidden="1" customHeight="1" x14ac:dyDescent="0.2"/>
    <row r="43451" ht="9.9499999999999993" hidden="1" customHeight="1" x14ac:dyDescent="0.2"/>
    <row r="43452" ht="9.9499999999999993" hidden="1" customHeight="1" x14ac:dyDescent="0.2"/>
    <row r="43453" ht="9.9499999999999993" hidden="1" customHeight="1" x14ac:dyDescent="0.2"/>
    <row r="43454" ht="9.9499999999999993" hidden="1" customHeight="1" x14ac:dyDescent="0.2"/>
    <row r="43455" ht="9.9499999999999993" hidden="1" customHeight="1" x14ac:dyDescent="0.2"/>
    <row r="43456" ht="9.9499999999999993" hidden="1" customHeight="1" x14ac:dyDescent="0.2"/>
    <row r="43457" ht="9.9499999999999993" hidden="1" customHeight="1" x14ac:dyDescent="0.2"/>
    <row r="43458" ht="9.9499999999999993" hidden="1" customHeight="1" x14ac:dyDescent="0.2"/>
    <row r="43459" ht="9.9499999999999993" hidden="1" customHeight="1" x14ac:dyDescent="0.2"/>
    <row r="43460" ht="9.9499999999999993" hidden="1" customHeight="1" x14ac:dyDescent="0.2"/>
    <row r="43461" ht="9.9499999999999993" hidden="1" customHeight="1" x14ac:dyDescent="0.2"/>
    <row r="43462" ht="9.9499999999999993" hidden="1" customHeight="1" x14ac:dyDescent="0.2"/>
    <row r="43463" ht="9.9499999999999993" hidden="1" customHeight="1" x14ac:dyDescent="0.2"/>
    <row r="43464" ht="9.9499999999999993" hidden="1" customHeight="1" x14ac:dyDescent="0.2"/>
    <row r="43465" ht="9.9499999999999993" hidden="1" customHeight="1" x14ac:dyDescent="0.2"/>
    <row r="43466" ht="9.9499999999999993" hidden="1" customHeight="1" x14ac:dyDescent="0.2"/>
    <row r="43467" ht="9.9499999999999993" hidden="1" customHeight="1" x14ac:dyDescent="0.2"/>
    <row r="43468" ht="9.9499999999999993" hidden="1" customHeight="1" x14ac:dyDescent="0.2"/>
    <row r="43469" ht="9.9499999999999993" hidden="1" customHeight="1" x14ac:dyDescent="0.2"/>
    <row r="43470" ht="9.9499999999999993" hidden="1" customHeight="1" x14ac:dyDescent="0.2"/>
    <row r="43471" ht="9.9499999999999993" hidden="1" customHeight="1" x14ac:dyDescent="0.2"/>
    <row r="43472" ht="9.9499999999999993" hidden="1" customHeight="1" x14ac:dyDescent="0.2"/>
    <row r="43473" ht="9.9499999999999993" hidden="1" customHeight="1" x14ac:dyDescent="0.2"/>
    <row r="43474" ht="9.9499999999999993" hidden="1" customHeight="1" x14ac:dyDescent="0.2"/>
    <row r="43475" ht="9.9499999999999993" hidden="1" customHeight="1" x14ac:dyDescent="0.2"/>
    <row r="43476" ht="9.9499999999999993" hidden="1" customHeight="1" x14ac:dyDescent="0.2"/>
    <row r="43477" ht="9.9499999999999993" hidden="1" customHeight="1" x14ac:dyDescent="0.2"/>
    <row r="43478" ht="9.9499999999999993" hidden="1" customHeight="1" x14ac:dyDescent="0.2"/>
    <row r="43479" ht="9.9499999999999993" hidden="1" customHeight="1" x14ac:dyDescent="0.2"/>
    <row r="43480" ht="9.9499999999999993" hidden="1" customHeight="1" x14ac:dyDescent="0.2"/>
    <row r="43481" ht="9.9499999999999993" hidden="1" customHeight="1" x14ac:dyDescent="0.2"/>
    <row r="43482" ht="9.9499999999999993" hidden="1" customHeight="1" x14ac:dyDescent="0.2"/>
    <row r="43483" ht="9.9499999999999993" hidden="1" customHeight="1" x14ac:dyDescent="0.2"/>
    <row r="43484" ht="9.9499999999999993" hidden="1" customHeight="1" x14ac:dyDescent="0.2"/>
    <row r="43485" ht="9.9499999999999993" hidden="1" customHeight="1" x14ac:dyDescent="0.2"/>
    <row r="43486" ht="9.9499999999999993" hidden="1" customHeight="1" x14ac:dyDescent="0.2"/>
    <row r="43487" ht="9.9499999999999993" hidden="1" customHeight="1" x14ac:dyDescent="0.2"/>
    <row r="43488" ht="9.9499999999999993" hidden="1" customHeight="1" x14ac:dyDescent="0.2"/>
    <row r="43489" ht="9.9499999999999993" hidden="1" customHeight="1" x14ac:dyDescent="0.2"/>
    <row r="43490" ht="9.9499999999999993" hidden="1" customHeight="1" x14ac:dyDescent="0.2"/>
    <row r="43491" ht="9.9499999999999993" hidden="1" customHeight="1" x14ac:dyDescent="0.2"/>
    <row r="43492" ht="9.9499999999999993" hidden="1" customHeight="1" x14ac:dyDescent="0.2"/>
    <row r="43493" ht="9.9499999999999993" hidden="1" customHeight="1" x14ac:dyDescent="0.2"/>
    <row r="43494" ht="9.9499999999999993" hidden="1" customHeight="1" x14ac:dyDescent="0.2"/>
    <row r="43495" ht="9.9499999999999993" hidden="1" customHeight="1" x14ac:dyDescent="0.2"/>
    <row r="43496" ht="9.9499999999999993" hidden="1" customHeight="1" x14ac:dyDescent="0.2"/>
    <row r="43497" ht="9.9499999999999993" hidden="1" customHeight="1" x14ac:dyDescent="0.2"/>
    <row r="43498" ht="9.9499999999999993" hidden="1" customHeight="1" x14ac:dyDescent="0.2"/>
    <row r="43499" ht="9.9499999999999993" hidden="1" customHeight="1" x14ac:dyDescent="0.2"/>
    <row r="43500" ht="9.9499999999999993" hidden="1" customHeight="1" x14ac:dyDescent="0.2"/>
    <row r="43501" ht="9.9499999999999993" hidden="1" customHeight="1" x14ac:dyDescent="0.2"/>
    <row r="43502" ht="9.9499999999999993" hidden="1" customHeight="1" x14ac:dyDescent="0.2"/>
    <row r="43503" ht="9.9499999999999993" hidden="1" customHeight="1" x14ac:dyDescent="0.2"/>
    <row r="43504" ht="9.9499999999999993" hidden="1" customHeight="1" x14ac:dyDescent="0.2"/>
    <row r="43505" ht="9.9499999999999993" hidden="1" customHeight="1" x14ac:dyDescent="0.2"/>
    <row r="43506" ht="9.9499999999999993" hidden="1" customHeight="1" x14ac:dyDescent="0.2"/>
    <row r="43507" ht="9.9499999999999993" hidden="1" customHeight="1" x14ac:dyDescent="0.2"/>
    <row r="43508" ht="9.9499999999999993" hidden="1" customHeight="1" x14ac:dyDescent="0.2"/>
    <row r="43509" ht="9.9499999999999993" hidden="1" customHeight="1" x14ac:dyDescent="0.2"/>
    <row r="43510" ht="9.9499999999999993" hidden="1" customHeight="1" x14ac:dyDescent="0.2"/>
    <row r="43511" ht="9.9499999999999993" hidden="1" customHeight="1" x14ac:dyDescent="0.2"/>
    <row r="43512" ht="9.9499999999999993" hidden="1" customHeight="1" x14ac:dyDescent="0.2"/>
    <row r="43513" ht="9.9499999999999993" hidden="1" customHeight="1" x14ac:dyDescent="0.2"/>
    <row r="43514" ht="9.9499999999999993" hidden="1" customHeight="1" x14ac:dyDescent="0.2"/>
    <row r="43515" ht="9.9499999999999993" hidden="1" customHeight="1" x14ac:dyDescent="0.2"/>
    <row r="43516" ht="9.9499999999999993" hidden="1" customHeight="1" x14ac:dyDescent="0.2"/>
    <row r="43517" ht="9.9499999999999993" hidden="1" customHeight="1" x14ac:dyDescent="0.2"/>
    <row r="43518" ht="9.9499999999999993" hidden="1" customHeight="1" x14ac:dyDescent="0.2"/>
    <row r="43519" ht="9.9499999999999993" hidden="1" customHeight="1" x14ac:dyDescent="0.2"/>
    <row r="43520" ht="9.9499999999999993" hidden="1" customHeight="1" x14ac:dyDescent="0.2"/>
    <row r="43521" ht="9.9499999999999993" hidden="1" customHeight="1" x14ac:dyDescent="0.2"/>
    <row r="43522" ht="9.9499999999999993" hidden="1" customHeight="1" x14ac:dyDescent="0.2"/>
    <row r="43523" ht="9.9499999999999993" hidden="1" customHeight="1" x14ac:dyDescent="0.2"/>
    <row r="43524" ht="9.9499999999999993" hidden="1" customHeight="1" x14ac:dyDescent="0.2"/>
    <row r="43525" ht="9.9499999999999993" hidden="1" customHeight="1" x14ac:dyDescent="0.2"/>
    <row r="43526" ht="9.9499999999999993" hidden="1" customHeight="1" x14ac:dyDescent="0.2"/>
    <row r="43527" ht="9.9499999999999993" hidden="1" customHeight="1" x14ac:dyDescent="0.2"/>
    <row r="43528" ht="9.9499999999999993" hidden="1" customHeight="1" x14ac:dyDescent="0.2"/>
    <row r="43529" ht="9.9499999999999993" hidden="1" customHeight="1" x14ac:dyDescent="0.2"/>
    <row r="43530" ht="9.9499999999999993" hidden="1" customHeight="1" x14ac:dyDescent="0.2"/>
    <row r="43531" ht="9.9499999999999993" hidden="1" customHeight="1" x14ac:dyDescent="0.2"/>
    <row r="43532" ht="9.9499999999999993" hidden="1" customHeight="1" x14ac:dyDescent="0.2"/>
    <row r="43533" ht="9.9499999999999993" hidden="1" customHeight="1" x14ac:dyDescent="0.2"/>
    <row r="43534" ht="9.9499999999999993" hidden="1" customHeight="1" x14ac:dyDescent="0.2"/>
    <row r="43535" ht="9.9499999999999993" hidden="1" customHeight="1" x14ac:dyDescent="0.2"/>
    <row r="43536" ht="9.9499999999999993" hidden="1" customHeight="1" x14ac:dyDescent="0.2"/>
    <row r="43537" ht="9.9499999999999993" hidden="1" customHeight="1" x14ac:dyDescent="0.2"/>
    <row r="43538" ht="9.9499999999999993" hidden="1" customHeight="1" x14ac:dyDescent="0.2"/>
    <row r="43539" ht="9.9499999999999993" hidden="1" customHeight="1" x14ac:dyDescent="0.2"/>
    <row r="43540" ht="9.9499999999999993" hidden="1" customHeight="1" x14ac:dyDescent="0.2"/>
    <row r="43541" ht="9.9499999999999993" hidden="1" customHeight="1" x14ac:dyDescent="0.2"/>
    <row r="43542" ht="9.9499999999999993" hidden="1" customHeight="1" x14ac:dyDescent="0.2"/>
    <row r="43543" ht="9.9499999999999993" hidden="1" customHeight="1" x14ac:dyDescent="0.2"/>
    <row r="43544" ht="9.9499999999999993" hidden="1" customHeight="1" x14ac:dyDescent="0.2"/>
    <row r="43545" ht="9.9499999999999993" hidden="1" customHeight="1" x14ac:dyDescent="0.2"/>
    <row r="43546" ht="9.9499999999999993" hidden="1" customHeight="1" x14ac:dyDescent="0.2"/>
    <row r="43547" ht="9.9499999999999993" hidden="1" customHeight="1" x14ac:dyDescent="0.2"/>
    <row r="43548" ht="9.9499999999999993" hidden="1" customHeight="1" x14ac:dyDescent="0.2"/>
    <row r="43549" ht="9.9499999999999993" hidden="1" customHeight="1" x14ac:dyDescent="0.2"/>
    <row r="43550" ht="9.9499999999999993" hidden="1" customHeight="1" x14ac:dyDescent="0.2"/>
    <row r="43551" ht="9.9499999999999993" hidden="1" customHeight="1" x14ac:dyDescent="0.2"/>
    <row r="43552" ht="9.9499999999999993" hidden="1" customHeight="1" x14ac:dyDescent="0.2"/>
    <row r="43553" ht="9.9499999999999993" hidden="1" customHeight="1" x14ac:dyDescent="0.2"/>
    <row r="43554" ht="9.9499999999999993" hidden="1" customHeight="1" x14ac:dyDescent="0.2"/>
    <row r="43555" ht="9.9499999999999993" hidden="1" customHeight="1" x14ac:dyDescent="0.2"/>
    <row r="43556" ht="9.9499999999999993" hidden="1" customHeight="1" x14ac:dyDescent="0.2"/>
    <row r="43557" ht="9.9499999999999993" hidden="1" customHeight="1" x14ac:dyDescent="0.2"/>
    <row r="43558" ht="9.9499999999999993" hidden="1" customHeight="1" x14ac:dyDescent="0.2"/>
    <row r="43559" ht="9.9499999999999993" hidden="1" customHeight="1" x14ac:dyDescent="0.2"/>
    <row r="43560" ht="9.9499999999999993" hidden="1" customHeight="1" x14ac:dyDescent="0.2"/>
    <row r="43561" ht="9.9499999999999993" hidden="1" customHeight="1" x14ac:dyDescent="0.2"/>
    <row r="43562" ht="9.9499999999999993" hidden="1" customHeight="1" x14ac:dyDescent="0.2"/>
    <row r="43563" ht="9.9499999999999993" hidden="1" customHeight="1" x14ac:dyDescent="0.2"/>
    <row r="43564" ht="9.9499999999999993" hidden="1" customHeight="1" x14ac:dyDescent="0.2"/>
    <row r="43565" ht="9.9499999999999993" hidden="1" customHeight="1" x14ac:dyDescent="0.2"/>
    <row r="43566" ht="9.9499999999999993" hidden="1" customHeight="1" x14ac:dyDescent="0.2"/>
    <row r="43567" ht="9.9499999999999993" hidden="1" customHeight="1" x14ac:dyDescent="0.2"/>
    <row r="43568" ht="9.9499999999999993" hidden="1" customHeight="1" x14ac:dyDescent="0.2"/>
    <row r="43569" ht="9.9499999999999993" hidden="1" customHeight="1" x14ac:dyDescent="0.2"/>
    <row r="43570" ht="9.9499999999999993" hidden="1" customHeight="1" x14ac:dyDescent="0.2"/>
    <row r="43571" ht="9.9499999999999993" hidden="1" customHeight="1" x14ac:dyDescent="0.2"/>
    <row r="43572" ht="9.9499999999999993" hidden="1" customHeight="1" x14ac:dyDescent="0.2"/>
    <row r="43573" ht="9.9499999999999993" hidden="1" customHeight="1" x14ac:dyDescent="0.2"/>
    <row r="43574" ht="9.9499999999999993" hidden="1" customHeight="1" x14ac:dyDescent="0.2"/>
    <row r="43575" ht="9.9499999999999993" hidden="1" customHeight="1" x14ac:dyDescent="0.2"/>
    <row r="43576" ht="9.9499999999999993" hidden="1" customHeight="1" x14ac:dyDescent="0.2"/>
    <row r="43577" ht="9.9499999999999993" hidden="1" customHeight="1" x14ac:dyDescent="0.2"/>
    <row r="43578" ht="9.9499999999999993" hidden="1" customHeight="1" x14ac:dyDescent="0.2"/>
    <row r="43579" ht="9.9499999999999993" hidden="1" customHeight="1" x14ac:dyDescent="0.2"/>
    <row r="43580" ht="9.9499999999999993" hidden="1" customHeight="1" x14ac:dyDescent="0.2"/>
    <row r="43581" ht="9.9499999999999993" hidden="1" customHeight="1" x14ac:dyDescent="0.2"/>
    <row r="43582" ht="9.9499999999999993" hidden="1" customHeight="1" x14ac:dyDescent="0.2"/>
    <row r="43583" ht="9.9499999999999993" hidden="1" customHeight="1" x14ac:dyDescent="0.2"/>
    <row r="43584" ht="9.9499999999999993" hidden="1" customHeight="1" x14ac:dyDescent="0.2"/>
    <row r="43585" ht="9.9499999999999993" hidden="1" customHeight="1" x14ac:dyDescent="0.2"/>
    <row r="43586" ht="9.9499999999999993" hidden="1" customHeight="1" x14ac:dyDescent="0.2"/>
    <row r="43587" ht="9.9499999999999993" hidden="1" customHeight="1" x14ac:dyDescent="0.2"/>
    <row r="43588" ht="9.9499999999999993" hidden="1" customHeight="1" x14ac:dyDescent="0.2"/>
    <row r="43589" ht="9.9499999999999993" hidden="1" customHeight="1" x14ac:dyDescent="0.2"/>
    <row r="43590" ht="9.9499999999999993" hidden="1" customHeight="1" x14ac:dyDescent="0.2"/>
    <row r="43591" ht="9.9499999999999993" hidden="1" customHeight="1" x14ac:dyDescent="0.2"/>
    <row r="43592" ht="9.9499999999999993" hidden="1" customHeight="1" x14ac:dyDescent="0.2"/>
    <row r="43593" ht="9.9499999999999993" hidden="1" customHeight="1" x14ac:dyDescent="0.2"/>
    <row r="43594" ht="9.9499999999999993" hidden="1" customHeight="1" x14ac:dyDescent="0.2"/>
    <row r="43595" ht="9.9499999999999993" hidden="1" customHeight="1" x14ac:dyDescent="0.2"/>
    <row r="43596" ht="9.9499999999999993" hidden="1" customHeight="1" x14ac:dyDescent="0.2"/>
    <row r="43597" ht="9.9499999999999993" hidden="1" customHeight="1" x14ac:dyDescent="0.2"/>
    <row r="43598" ht="9.9499999999999993" hidden="1" customHeight="1" x14ac:dyDescent="0.2"/>
    <row r="43599" ht="9.9499999999999993" hidden="1" customHeight="1" x14ac:dyDescent="0.2"/>
    <row r="43600" ht="9.9499999999999993" hidden="1" customHeight="1" x14ac:dyDescent="0.2"/>
    <row r="43601" ht="9.9499999999999993" hidden="1" customHeight="1" x14ac:dyDescent="0.2"/>
    <row r="43602" ht="9.9499999999999993" hidden="1" customHeight="1" x14ac:dyDescent="0.2"/>
    <row r="43603" ht="9.9499999999999993" hidden="1" customHeight="1" x14ac:dyDescent="0.2"/>
    <row r="43604" ht="9.9499999999999993" hidden="1" customHeight="1" x14ac:dyDescent="0.2"/>
    <row r="43605" ht="9.9499999999999993" hidden="1" customHeight="1" x14ac:dyDescent="0.2"/>
    <row r="43606" ht="9.9499999999999993" hidden="1" customHeight="1" x14ac:dyDescent="0.2"/>
    <row r="43607" ht="9.9499999999999993" hidden="1" customHeight="1" x14ac:dyDescent="0.2"/>
    <row r="43608" ht="9.9499999999999993" hidden="1" customHeight="1" x14ac:dyDescent="0.2"/>
    <row r="43609" ht="9.9499999999999993" hidden="1" customHeight="1" x14ac:dyDescent="0.2"/>
    <row r="43610" ht="9.9499999999999993" hidden="1" customHeight="1" x14ac:dyDescent="0.2"/>
    <row r="43611" ht="9.9499999999999993" hidden="1" customHeight="1" x14ac:dyDescent="0.2"/>
    <row r="43612" ht="9.9499999999999993" hidden="1" customHeight="1" x14ac:dyDescent="0.2"/>
    <row r="43613" ht="9.9499999999999993" hidden="1" customHeight="1" x14ac:dyDescent="0.2"/>
    <row r="43614" ht="9.9499999999999993" hidden="1" customHeight="1" x14ac:dyDescent="0.2"/>
    <row r="43615" ht="9.9499999999999993" hidden="1" customHeight="1" x14ac:dyDescent="0.2"/>
    <row r="43616" ht="9.9499999999999993" hidden="1" customHeight="1" x14ac:dyDescent="0.2"/>
    <row r="43617" ht="9.9499999999999993" hidden="1" customHeight="1" x14ac:dyDescent="0.2"/>
    <row r="43618" ht="9.9499999999999993" hidden="1" customHeight="1" x14ac:dyDescent="0.2"/>
    <row r="43619" ht="9.9499999999999993" hidden="1" customHeight="1" x14ac:dyDescent="0.2"/>
    <row r="43620" ht="9.9499999999999993" hidden="1" customHeight="1" x14ac:dyDescent="0.2"/>
    <row r="43621" ht="9.9499999999999993" hidden="1" customHeight="1" x14ac:dyDescent="0.2"/>
    <row r="43622" ht="9.9499999999999993" hidden="1" customHeight="1" x14ac:dyDescent="0.2"/>
    <row r="43623" ht="9.9499999999999993" hidden="1" customHeight="1" x14ac:dyDescent="0.2"/>
    <row r="43624" ht="9.9499999999999993" hidden="1" customHeight="1" x14ac:dyDescent="0.2"/>
    <row r="43625" ht="9.9499999999999993" hidden="1" customHeight="1" x14ac:dyDescent="0.2"/>
    <row r="43626" ht="9.9499999999999993" hidden="1" customHeight="1" x14ac:dyDescent="0.2"/>
    <row r="43627" ht="9.9499999999999993" hidden="1" customHeight="1" x14ac:dyDescent="0.2"/>
    <row r="43628" ht="9.9499999999999993" hidden="1" customHeight="1" x14ac:dyDescent="0.2"/>
    <row r="43629" ht="9.9499999999999993" hidden="1" customHeight="1" x14ac:dyDescent="0.2"/>
    <row r="43630" ht="9.9499999999999993" hidden="1" customHeight="1" x14ac:dyDescent="0.2"/>
    <row r="43631" ht="9.9499999999999993" hidden="1" customHeight="1" x14ac:dyDescent="0.2"/>
    <row r="43632" ht="9.9499999999999993" hidden="1" customHeight="1" x14ac:dyDescent="0.2"/>
    <row r="43633" ht="9.9499999999999993" hidden="1" customHeight="1" x14ac:dyDescent="0.2"/>
    <row r="43634" ht="9.9499999999999993" hidden="1" customHeight="1" x14ac:dyDescent="0.2"/>
    <row r="43635" ht="9.9499999999999993" hidden="1" customHeight="1" x14ac:dyDescent="0.2"/>
    <row r="43636" ht="9.9499999999999993" hidden="1" customHeight="1" x14ac:dyDescent="0.2"/>
    <row r="43637" ht="9.9499999999999993" hidden="1" customHeight="1" x14ac:dyDescent="0.2"/>
    <row r="43638" ht="9.9499999999999993" hidden="1" customHeight="1" x14ac:dyDescent="0.2"/>
    <row r="43639" ht="9.9499999999999993" hidden="1" customHeight="1" x14ac:dyDescent="0.2"/>
    <row r="43640" ht="9.9499999999999993" hidden="1" customHeight="1" x14ac:dyDescent="0.2"/>
    <row r="43641" ht="9.9499999999999993" hidden="1" customHeight="1" x14ac:dyDescent="0.2"/>
    <row r="43642" ht="9.9499999999999993" hidden="1" customHeight="1" x14ac:dyDescent="0.2"/>
    <row r="43643" ht="9.9499999999999993" hidden="1" customHeight="1" x14ac:dyDescent="0.2"/>
    <row r="43644" ht="9.9499999999999993" hidden="1" customHeight="1" x14ac:dyDescent="0.2"/>
    <row r="43645" ht="9.9499999999999993" hidden="1" customHeight="1" x14ac:dyDescent="0.2"/>
    <row r="43646" ht="9.9499999999999993" hidden="1" customHeight="1" x14ac:dyDescent="0.2"/>
    <row r="43647" ht="9.9499999999999993" hidden="1" customHeight="1" x14ac:dyDescent="0.2"/>
    <row r="43648" ht="9.9499999999999993" hidden="1" customHeight="1" x14ac:dyDescent="0.2"/>
    <row r="43649" ht="9.9499999999999993" hidden="1" customHeight="1" x14ac:dyDescent="0.2"/>
    <row r="43650" ht="9.9499999999999993" hidden="1" customHeight="1" x14ac:dyDescent="0.2"/>
    <row r="43651" ht="9.9499999999999993" hidden="1" customHeight="1" x14ac:dyDescent="0.2"/>
    <row r="43652" ht="9.9499999999999993" hidden="1" customHeight="1" x14ac:dyDescent="0.2"/>
    <row r="43653" ht="9.9499999999999993" hidden="1" customHeight="1" x14ac:dyDescent="0.2"/>
    <row r="43654" ht="9.9499999999999993" hidden="1" customHeight="1" x14ac:dyDescent="0.2"/>
    <row r="43655" ht="9.9499999999999993" hidden="1" customHeight="1" x14ac:dyDescent="0.2"/>
    <row r="43656" ht="9.9499999999999993" hidden="1" customHeight="1" x14ac:dyDescent="0.2"/>
    <row r="43657" ht="9.9499999999999993" hidden="1" customHeight="1" x14ac:dyDescent="0.2"/>
    <row r="43658" ht="9.9499999999999993" hidden="1" customHeight="1" x14ac:dyDescent="0.2"/>
    <row r="43659" ht="9.9499999999999993" hidden="1" customHeight="1" x14ac:dyDescent="0.2"/>
    <row r="43660" ht="9.9499999999999993" hidden="1" customHeight="1" x14ac:dyDescent="0.2"/>
    <row r="43661" ht="9.9499999999999993" hidden="1" customHeight="1" x14ac:dyDescent="0.2"/>
    <row r="43662" ht="9.9499999999999993" hidden="1" customHeight="1" x14ac:dyDescent="0.2"/>
    <row r="43663" ht="9.9499999999999993" hidden="1" customHeight="1" x14ac:dyDescent="0.2"/>
    <row r="43664" ht="9.9499999999999993" hidden="1" customHeight="1" x14ac:dyDescent="0.2"/>
    <row r="43665" ht="9.9499999999999993" hidden="1" customHeight="1" x14ac:dyDescent="0.2"/>
    <row r="43666" ht="9.9499999999999993" hidden="1" customHeight="1" x14ac:dyDescent="0.2"/>
    <row r="43667" ht="9.9499999999999993" hidden="1" customHeight="1" x14ac:dyDescent="0.2"/>
    <row r="43668" ht="9.9499999999999993" hidden="1" customHeight="1" x14ac:dyDescent="0.2"/>
    <row r="43669" ht="9.9499999999999993" hidden="1" customHeight="1" x14ac:dyDescent="0.2"/>
    <row r="43670" ht="9.9499999999999993" hidden="1" customHeight="1" x14ac:dyDescent="0.2"/>
    <row r="43671" ht="9.9499999999999993" hidden="1" customHeight="1" x14ac:dyDescent="0.2"/>
    <row r="43672" ht="9.9499999999999993" hidden="1" customHeight="1" x14ac:dyDescent="0.2"/>
    <row r="43673" ht="9.9499999999999993" hidden="1" customHeight="1" x14ac:dyDescent="0.2"/>
    <row r="43674" ht="9.9499999999999993" hidden="1" customHeight="1" x14ac:dyDescent="0.2"/>
    <row r="43675" ht="9.9499999999999993" hidden="1" customHeight="1" x14ac:dyDescent="0.2"/>
    <row r="43676" ht="9.9499999999999993" hidden="1" customHeight="1" x14ac:dyDescent="0.2"/>
    <row r="43677" ht="9.9499999999999993" hidden="1" customHeight="1" x14ac:dyDescent="0.2"/>
    <row r="43678" ht="9.9499999999999993" hidden="1" customHeight="1" x14ac:dyDescent="0.2"/>
    <row r="43679" ht="9.9499999999999993" hidden="1" customHeight="1" x14ac:dyDescent="0.2"/>
    <row r="43680" ht="9.9499999999999993" hidden="1" customHeight="1" x14ac:dyDescent="0.2"/>
    <row r="43681" ht="9.9499999999999993" hidden="1" customHeight="1" x14ac:dyDescent="0.2"/>
    <row r="43682" ht="9.9499999999999993" hidden="1" customHeight="1" x14ac:dyDescent="0.2"/>
    <row r="43683" ht="9.9499999999999993" hidden="1" customHeight="1" x14ac:dyDescent="0.2"/>
    <row r="43684" ht="9.9499999999999993" hidden="1" customHeight="1" x14ac:dyDescent="0.2"/>
    <row r="43685" ht="9.9499999999999993" hidden="1" customHeight="1" x14ac:dyDescent="0.2"/>
    <row r="43686" ht="9.9499999999999993" hidden="1" customHeight="1" x14ac:dyDescent="0.2"/>
    <row r="43687" ht="9.9499999999999993" hidden="1" customHeight="1" x14ac:dyDescent="0.2"/>
    <row r="43688" ht="9.9499999999999993" hidden="1" customHeight="1" x14ac:dyDescent="0.2"/>
    <row r="43689" ht="9.9499999999999993" hidden="1" customHeight="1" x14ac:dyDescent="0.2"/>
    <row r="43690" ht="9.9499999999999993" hidden="1" customHeight="1" x14ac:dyDescent="0.2"/>
    <row r="43691" ht="9.9499999999999993" hidden="1" customHeight="1" x14ac:dyDescent="0.2"/>
    <row r="43692" ht="9.9499999999999993" hidden="1" customHeight="1" x14ac:dyDescent="0.2"/>
    <row r="43693" ht="9.9499999999999993" hidden="1" customHeight="1" x14ac:dyDescent="0.2"/>
    <row r="43694" ht="9.9499999999999993" hidden="1" customHeight="1" x14ac:dyDescent="0.2"/>
    <row r="43695" ht="9.9499999999999993" hidden="1" customHeight="1" x14ac:dyDescent="0.2"/>
    <row r="43696" ht="9.9499999999999993" hidden="1" customHeight="1" x14ac:dyDescent="0.2"/>
    <row r="43697" ht="9.9499999999999993" hidden="1" customHeight="1" x14ac:dyDescent="0.2"/>
    <row r="43698" ht="9.9499999999999993" hidden="1" customHeight="1" x14ac:dyDescent="0.2"/>
    <row r="43699" ht="9.9499999999999993" hidden="1" customHeight="1" x14ac:dyDescent="0.2"/>
    <row r="43700" ht="9.9499999999999993" hidden="1" customHeight="1" x14ac:dyDescent="0.2"/>
    <row r="43701" ht="9.9499999999999993" hidden="1" customHeight="1" x14ac:dyDescent="0.2"/>
    <row r="43702" ht="9.9499999999999993" hidden="1" customHeight="1" x14ac:dyDescent="0.2"/>
    <row r="43703" ht="9.9499999999999993" hidden="1" customHeight="1" x14ac:dyDescent="0.2"/>
    <row r="43704" ht="9.9499999999999993" hidden="1" customHeight="1" x14ac:dyDescent="0.2"/>
    <row r="43705" ht="9.9499999999999993" hidden="1" customHeight="1" x14ac:dyDescent="0.2"/>
    <row r="43706" ht="9.9499999999999993" hidden="1" customHeight="1" x14ac:dyDescent="0.2"/>
    <row r="43707" ht="9.9499999999999993" hidden="1" customHeight="1" x14ac:dyDescent="0.2"/>
    <row r="43708" ht="9.9499999999999993" hidden="1" customHeight="1" x14ac:dyDescent="0.2"/>
    <row r="43709" ht="9.9499999999999993" hidden="1" customHeight="1" x14ac:dyDescent="0.2"/>
    <row r="43710" ht="9.9499999999999993" hidden="1" customHeight="1" x14ac:dyDescent="0.2"/>
    <row r="43711" ht="9.9499999999999993" hidden="1" customHeight="1" x14ac:dyDescent="0.2"/>
    <row r="43712" ht="9.9499999999999993" hidden="1" customHeight="1" x14ac:dyDescent="0.2"/>
    <row r="43713" ht="9.9499999999999993" hidden="1" customHeight="1" x14ac:dyDescent="0.2"/>
    <row r="43714" ht="9.9499999999999993" hidden="1" customHeight="1" x14ac:dyDescent="0.2"/>
    <row r="43715" ht="9.9499999999999993" hidden="1" customHeight="1" x14ac:dyDescent="0.2"/>
    <row r="43716" ht="9.9499999999999993" hidden="1" customHeight="1" x14ac:dyDescent="0.2"/>
    <row r="43717" ht="9.9499999999999993" hidden="1" customHeight="1" x14ac:dyDescent="0.2"/>
    <row r="43718" ht="9.9499999999999993" hidden="1" customHeight="1" x14ac:dyDescent="0.2"/>
    <row r="43719" ht="9.9499999999999993" hidden="1" customHeight="1" x14ac:dyDescent="0.2"/>
    <row r="43720" ht="9.9499999999999993" hidden="1" customHeight="1" x14ac:dyDescent="0.2"/>
    <row r="43721" ht="9.9499999999999993" hidden="1" customHeight="1" x14ac:dyDescent="0.2"/>
    <row r="43722" ht="9.9499999999999993" hidden="1" customHeight="1" x14ac:dyDescent="0.2"/>
    <row r="43723" ht="9.9499999999999993" hidden="1" customHeight="1" x14ac:dyDescent="0.2"/>
    <row r="43724" ht="9.9499999999999993" hidden="1" customHeight="1" x14ac:dyDescent="0.2"/>
    <row r="43725" ht="9.9499999999999993" hidden="1" customHeight="1" x14ac:dyDescent="0.2"/>
    <row r="43726" ht="9.9499999999999993" hidden="1" customHeight="1" x14ac:dyDescent="0.2"/>
    <row r="43727" ht="9.9499999999999993" hidden="1" customHeight="1" x14ac:dyDescent="0.2"/>
    <row r="43728" ht="9.9499999999999993" hidden="1" customHeight="1" x14ac:dyDescent="0.2"/>
    <row r="43729" ht="9.9499999999999993" hidden="1" customHeight="1" x14ac:dyDescent="0.2"/>
    <row r="43730" ht="9.9499999999999993" hidden="1" customHeight="1" x14ac:dyDescent="0.2"/>
    <row r="43731" ht="9.9499999999999993" hidden="1" customHeight="1" x14ac:dyDescent="0.2"/>
    <row r="43732" ht="9.9499999999999993" hidden="1" customHeight="1" x14ac:dyDescent="0.2"/>
    <row r="43733" ht="9.9499999999999993" hidden="1" customHeight="1" x14ac:dyDescent="0.2"/>
    <row r="43734" ht="9.9499999999999993" hidden="1" customHeight="1" x14ac:dyDescent="0.2"/>
    <row r="43735" ht="9.9499999999999993" hidden="1" customHeight="1" x14ac:dyDescent="0.2"/>
    <row r="43736" ht="9.9499999999999993" hidden="1" customHeight="1" x14ac:dyDescent="0.2"/>
    <row r="43737" ht="9.9499999999999993" hidden="1" customHeight="1" x14ac:dyDescent="0.2"/>
    <row r="43738" ht="9.9499999999999993" hidden="1" customHeight="1" x14ac:dyDescent="0.2"/>
    <row r="43739" ht="9.9499999999999993" hidden="1" customHeight="1" x14ac:dyDescent="0.2"/>
    <row r="43740" ht="9.9499999999999993" hidden="1" customHeight="1" x14ac:dyDescent="0.2"/>
    <row r="43741" ht="9.9499999999999993" hidden="1" customHeight="1" x14ac:dyDescent="0.2"/>
    <row r="43742" ht="9.9499999999999993" hidden="1" customHeight="1" x14ac:dyDescent="0.2"/>
    <row r="43743" ht="9.9499999999999993" hidden="1" customHeight="1" x14ac:dyDescent="0.2"/>
    <row r="43744" ht="9.9499999999999993" hidden="1" customHeight="1" x14ac:dyDescent="0.2"/>
    <row r="43745" ht="9.9499999999999993" hidden="1" customHeight="1" x14ac:dyDescent="0.2"/>
    <row r="43746" ht="9.9499999999999993" hidden="1" customHeight="1" x14ac:dyDescent="0.2"/>
    <row r="43747" ht="9.9499999999999993" hidden="1" customHeight="1" x14ac:dyDescent="0.2"/>
    <row r="43748" ht="9.9499999999999993" hidden="1" customHeight="1" x14ac:dyDescent="0.2"/>
    <row r="43749" ht="9.9499999999999993" hidden="1" customHeight="1" x14ac:dyDescent="0.2"/>
    <row r="43750" ht="9.9499999999999993" hidden="1" customHeight="1" x14ac:dyDescent="0.2"/>
    <row r="43751" ht="9.9499999999999993" hidden="1" customHeight="1" x14ac:dyDescent="0.2"/>
    <row r="43752" ht="9.9499999999999993" hidden="1" customHeight="1" x14ac:dyDescent="0.2"/>
    <row r="43753" ht="9.9499999999999993" hidden="1" customHeight="1" x14ac:dyDescent="0.2"/>
    <row r="43754" ht="9.9499999999999993" hidden="1" customHeight="1" x14ac:dyDescent="0.2"/>
    <row r="43755" ht="9.9499999999999993" hidden="1" customHeight="1" x14ac:dyDescent="0.2"/>
    <row r="43756" ht="9.9499999999999993" hidden="1" customHeight="1" x14ac:dyDescent="0.2"/>
    <row r="43757" ht="9.9499999999999993" hidden="1" customHeight="1" x14ac:dyDescent="0.2"/>
    <row r="43758" ht="9.9499999999999993" hidden="1" customHeight="1" x14ac:dyDescent="0.2"/>
    <row r="43759" ht="9.9499999999999993" hidden="1" customHeight="1" x14ac:dyDescent="0.2"/>
    <row r="43760" ht="9.9499999999999993" hidden="1" customHeight="1" x14ac:dyDescent="0.2"/>
    <row r="43761" ht="9.9499999999999993" hidden="1" customHeight="1" x14ac:dyDescent="0.2"/>
    <row r="43762" ht="9.9499999999999993" hidden="1" customHeight="1" x14ac:dyDescent="0.2"/>
    <row r="43763" ht="9.9499999999999993" hidden="1" customHeight="1" x14ac:dyDescent="0.2"/>
    <row r="43764" ht="9.9499999999999993" hidden="1" customHeight="1" x14ac:dyDescent="0.2"/>
    <row r="43765" ht="9.9499999999999993" hidden="1" customHeight="1" x14ac:dyDescent="0.2"/>
    <row r="43766" ht="9.9499999999999993" hidden="1" customHeight="1" x14ac:dyDescent="0.2"/>
    <row r="43767" ht="9.9499999999999993" hidden="1" customHeight="1" x14ac:dyDescent="0.2"/>
    <row r="43768" ht="9.9499999999999993" hidden="1" customHeight="1" x14ac:dyDescent="0.2"/>
    <row r="43769" ht="9.9499999999999993" hidden="1" customHeight="1" x14ac:dyDescent="0.2"/>
    <row r="43770" ht="9.9499999999999993" hidden="1" customHeight="1" x14ac:dyDescent="0.2"/>
    <row r="43771" ht="9.9499999999999993" hidden="1" customHeight="1" x14ac:dyDescent="0.2"/>
    <row r="43772" ht="9.9499999999999993" hidden="1" customHeight="1" x14ac:dyDescent="0.2"/>
    <row r="43773" ht="9.9499999999999993" hidden="1" customHeight="1" x14ac:dyDescent="0.2"/>
    <row r="43774" ht="9.9499999999999993" hidden="1" customHeight="1" x14ac:dyDescent="0.2"/>
    <row r="43775" ht="9.9499999999999993" hidden="1" customHeight="1" x14ac:dyDescent="0.2"/>
    <row r="43776" ht="9.9499999999999993" hidden="1" customHeight="1" x14ac:dyDescent="0.2"/>
    <row r="43777" ht="9.9499999999999993" hidden="1" customHeight="1" x14ac:dyDescent="0.2"/>
    <row r="43778" ht="9.9499999999999993" hidden="1" customHeight="1" x14ac:dyDescent="0.2"/>
    <row r="43779" ht="9.9499999999999993" hidden="1" customHeight="1" x14ac:dyDescent="0.2"/>
    <row r="43780" ht="9.9499999999999993" hidden="1" customHeight="1" x14ac:dyDescent="0.2"/>
    <row r="43781" ht="9.9499999999999993" hidden="1" customHeight="1" x14ac:dyDescent="0.2"/>
    <row r="43782" ht="9.9499999999999993" hidden="1" customHeight="1" x14ac:dyDescent="0.2"/>
    <row r="43783" ht="9.9499999999999993" hidden="1" customHeight="1" x14ac:dyDescent="0.2"/>
    <row r="43784" ht="9.9499999999999993" hidden="1" customHeight="1" x14ac:dyDescent="0.2"/>
    <row r="43785" ht="9.9499999999999993" hidden="1" customHeight="1" x14ac:dyDescent="0.2"/>
    <row r="43786" ht="9.9499999999999993" hidden="1" customHeight="1" x14ac:dyDescent="0.2"/>
    <row r="43787" ht="9.9499999999999993" hidden="1" customHeight="1" x14ac:dyDescent="0.2"/>
    <row r="43788" ht="9.9499999999999993" hidden="1" customHeight="1" x14ac:dyDescent="0.2"/>
    <row r="43789" ht="9.9499999999999993" hidden="1" customHeight="1" x14ac:dyDescent="0.2"/>
    <row r="43790" ht="9.9499999999999993" hidden="1" customHeight="1" x14ac:dyDescent="0.2"/>
    <row r="43791" ht="9.9499999999999993" hidden="1" customHeight="1" x14ac:dyDescent="0.2"/>
    <row r="43792" ht="9.9499999999999993" hidden="1" customHeight="1" x14ac:dyDescent="0.2"/>
    <row r="43793" ht="9.9499999999999993" hidden="1" customHeight="1" x14ac:dyDescent="0.2"/>
    <row r="43794" ht="9.9499999999999993" hidden="1" customHeight="1" x14ac:dyDescent="0.2"/>
    <row r="43795" ht="9.9499999999999993" hidden="1" customHeight="1" x14ac:dyDescent="0.2"/>
    <row r="43796" ht="9.9499999999999993" hidden="1" customHeight="1" x14ac:dyDescent="0.2"/>
    <row r="43797" ht="9.9499999999999993" hidden="1" customHeight="1" x14ac:dyDescent="0.2"/>
    <row r="43798" ht="9.9499999999999993" hidden="1" customHeight="1" x14ac:dyDescent="0.2"/>
    <row r="43799" ht="9.9499999999999993" hidden="1" customHeight="1" x14ac:dyDescent="0.2"/>
    <row r="43800" ht="9.9499999999999993" hidden="1" customHeight="1" x14ac:dyDescent="0.2"/>
    <row r="43801" ht="9.9499999999999993" hidden="1" customHeight="1" x14ac:dyDescent="0.2"/>
    <row r="43802" ht="9.9499999999999993" hidden="1" customHeight="1" x14ac:dyDescent="0.2"/>
    <row r="43803" ht="9.9499999999999993" hidden="1" customHeight="1" x14ac:dyDescent="0.2"/>
    <row r="43804" ht="9.9499999999999993" hidden="1" customHeight="1" x14ac:dyDescent="0.2"/>
    <row r="43805" ht="9.9499999999999993" hidden="1" customHeight="1" x14ac:dyDescent="0.2"/>
    <row r="43806" ht="9.9499999999999993" hidden="1" customHeight="1" x14ac:dyDescent="0.2"/>
    <row r="43807" ht="9.9499999999999993" hidden="1" customHeight="1" x14ac:dyDescent="0.2"/>
    <row r="43808" ht="9.9499999999999993" hidden="1" customHeight="1" x14ac:dyDescent="0.2"/>
    <row r="43809" ht="9.9499999999999993" hidden="1" customHeight="1" x14ac:dyDescent="0.2"/>
    <row r="43810" ht="9.9499999999999993" hidden="1" customHeight="1" x14ac:dyDescent="0.2"/>
    <row r="43811" ht="9.9499999999999993" hidden="1" customHeight="1" x14ac:dyDescent="0.2"/>
    <row r="43812" ht="9.9499999999999993" hidden="1" customHeight="1" x14ac:dyDescent="0.2"/>
    <row r="43813" ht="9.9499999999999993" hidden="1" customHeight="1" x14ac:dyDescent="0.2"/>
    <row r="43814" ht="9.9499999999999993" hidden="1" customHeight="1" x14ac:dyDescent="0.2"/>
    <row r="43815" ht="9.9499999999999993" hidden="1" customHeight="1" x14ac:dyDescent="0.2"/>
    <row r="43816" ht="9.9499999999999993" hidden="1" customHeight="1" x14ac:dyDescent="0.2"/>
    <row r="43817" ht="9.9499999999999993" hidden="1" customHeight="1" x14ac:dyDescent="0.2"/>
    <row r="43818" ht="9.9499999999999993" hidden="1" customHeight="1" x14ac:dyDescent="0.2"/>
    <row r="43819" ht="9.9499999999999993" hidden="1" customHeight="1" x14ac:dyDescent="0.2"/>
    <row r="43820" ht="9.9499999999999993" hidden="1" customHeight="1" x14ac:dyDescent="0.2"/>
    <row r="43821" ht="9.9499999999999993" hidden="1" customHeight="1" x14ac:dyDescent="0.2"/>
    <row r="43822" ht="9.9499999999999993" hidden="1" customHeight="1" x14ac:dyDescent="0.2"/>
    <row r="43823" ht="9.9499999999999993" hidden="1" customHeight="1" x14ac:dyDescent="0.2"/>
    <row r="43824" ht="9.9499999999999993" hidden="1" customHeight="1" x14ac:dyDescent="0.2"/>
    <row r="43825" ht="9.9499999999999993" hidden="1" customHeight="1" x14ac:dyDescent="0.2"/>
    <row r="43826" ht="9.9499999999999993" hidden="1" customHeight="1" x14ac:dyDescent="0.2"/>
    <row r="43827" ht="9.9499999999999993" hidden="1" customHeight="1" x14ac:dyDescent="0.2"/>
    <row r="43828" ht="9.9499999999999993" hidden="1" customHeight="1" x14ac:dyDescent="0.2"/>
    <row r="43829" ht="9.9499999999999993" hidden="1" customHeight="1" x14ac:dyDescent="0.2"/>
    <row r="43830" ht="9.9499999999999993" hidden="1" customHeight="1" x14ac:dyDescent="0.2"/>
    <row r="43831" ht="9.9499999999999993" hidden="1" customHeight="1" x14ac:dyDescent="0.2"/>
    <row r="43832" ht="9.9499999999999993" hidden="1" customHeight="1" x14ac:dyDescent="0.2"/>
    <row r="43833" ht="9.9499999999999993" hidden="1" customHeight="1" x14ac:dyDescent="0.2"/>
    <row r="43834" ht="9.9499999999999993" hidden="1" customHeight="1" x14ac:dyDescent="0.2"/>
    <row r="43835" ht="9.9499999999999993" hidden="1" customHeight="1" x14ac:dyDescent="0.2"/>
    <row r="43836" ht="9.9499999999999993" hidden="1" customHeight="1" x14ac:dyDescent="0.2"/>
    <row r="43837" ht="9.9499999999999993" hidden="1" customHeight="1" x14ac:dyDescent="0.2"/>
    <row r="43838" ht="9.9499999999999993" hidden="1" customHeight="1" x14ac:dyDescent="0.2"/>
    <row r="43839" ht="9.9499999999999993" hidden="1" customHeight="1" x14ac:dyDescent="0.2"/>
    <row r="43840" ht="9.9499999999999993" hidden="1" customHeight="1" x14ac:dyDescent="0.2"/>
    <row r="43841" ht="9.9499999999999993" hidden="1" customHeight="1" x14ac:dyDescent="0.2"/>
    <row r="43842" ht="9.9499999999999993" hidden="1" customHeight="1" x14ac:dyDescent="0.2"/>
    <row r="43843" ht="9.9499999999999993" hidden="1" customHeight="1" x14ac:dyDescent="0.2"/>
    <row r="43844" ht="9.9499999999999993" hidden="1" customHeight="1" x14ac:dyDescent="0.2"/>
    <row r="43845" ht="9.9499999999999993" hidden="1" customHeight="1" x14ac:dyDescent="0.2"/>
    <row r="43846" ht="9.9499999999999993" hidden="1" customHeight="1" x14ac:dyDescent="0.2"/>
    <row r="43847" ht="9.9499999999999993" hidden="1" customHeight="1" x14ac:dyDescent="0.2"/>
    <row r="43848" ht="9.9499999999999993" hidden="1" customHeight="1" x14ac:dyDescent="0.2"/>
    <row r="43849" ht="9.9499999999999993" hidden="1" customHeight="1" x14ac:dyDescent="0.2"/>
    <row r="43850" ht="9.9499999999999993" hidden="1" customHeight="1" x14ac:dyDescent="0.2"/>
    <row r="43851" ht="9.9499999999999993" hidden="1" customHeight="1" x14ac:dyDescent="0.2"/>
    <row r="43852" ht="9.9499999999999993" hidden="1" customHeight="1" x14ac:dyDescent="0.2"/>
    <row r="43853" ht="9.9499999999999993" hidden="1" customHeight="1" x14ac:dyDescent="0.2"/>
    <row r="43854" ht="9.9499999999999993" hidden="1" customHeight="1" x14ac:dyDescent="0.2"/>
    <row r="43855" ht="9.9499999999999993" hidden="1" customHeight="1" x14ac:dyDescent="0.2"/>
    <row r="43856" ht="9.9499999999999993" hidden="1" customHeight="1" x14ac:dyDescent="0.2"/>
    <row r="43857" ht="9.9499999999999993" hidden="1" customHeight="1" x14ac:dyDescent="0.2"/>
    <row r="43858" ht="9.9499999999999993" hidden="1" customHeight="1" x14ac:dyDescent="0.2"/>
    <row r="43859" ht="9.9499999999999993" hidden="1" customHeight="1" x14ac:dyDescent="0.2"/>
    <row r="43860" ht="9.9499999999999993" hidden="1" customHeight="1" x14ac:dyDescent="0.2"/>
    <row r="43861" ht="9.9499999999999993" hidden="1" customHeight="1" x14ac:dyDescent="0.2"/>
    <row r="43862" ht="9.9499999999999993" hidden="1" customHeight="1" x14ac:dyDescent="0.2"/>
    <row r="43863" ht="9.9499999999999993" hidden="1" customHeight="1" x14ac:dyDescent="0.2"/>
    <row r="43864" ht="9.9499999999999993" hidden="1" customHeight="1" x14ac:dyDescent="0.2"/>
    <row r="43865" ht="9.9499999999999993" hidden="1" customHeight="1" x14ac:dyDescent="0.2"/>
    <row r="43866" ht="9.9499999999999993" hidden="1" customHeight="1" x14ac:dyDescent="0.2"/>
    <row r="43867" ht="9.9499999999999993" hidden="1" customHeight="1" x14ac:dyDescent="0.2"/>
    <row r="43868" ht="9.9499999999999993" hidden="1" customHeight="1" x14ac:dyDescent="0.2"/>
    <row r="43869" ht="9.9499999999999993" hidden="1" customHeight="1" x14ac:dyDescent="0.2"/>
    <row r="43870" ht="9.9499999999999993" hidden="1" customHeight="1" x14ac:dyDescent="0.2"/>
    <row r="43871" ht="9.9499999999999993" hidden="1" customHeight="1" x14ac:dyDescent="0.2"/>
    <row r="43872" ht="9.9499999999999993" hidden="1" customHeight="1" x14ac:dyDescent="0.2"/>
    <row r="43873" ht="9.9499999999999993" hidden="1" customHeight="1" x14ac:dyDescent="0.2"/>
    <row r="43874" ht="9.9499999999999993" hidden="1" customHeight="1" x14ac:dyDescent="0.2"/>
    <row r="43875" ht="9.9499999999999993" hidden="1" customHeight="1" x14ac:dyDescent="0.2"/>
    <row r="43876" ht="9.9499999999999993" hidden="1" customHeight="1" x14ac:dyDescent="0.2"/>
    <row r="43877" ht="9.9499999999999993" hidden="1" customHeight="1" x14ac:dyDescent="0.2"/>
    <row r="43878" ht="9.9499999999999993" hidden="1" customHeight="1" x14ac:dyDescent="0.2"/>
    <row r="43879" ht="9.9499999999999993" hidden="1" customHeight="1" x14ac:dyDescent="0.2"/>
    <row r="43880" ht="9.9499999999999993" hidden="1" customHeight="1" x14ac:dyDescent="0.2"/>
    <row r="43881" ht="9.9499999999999993" hidden="1" customHeight="1" x14ac:dyDescent="0.2"/>
    <row r="43882" ht="9.9499999999999993" hidden="1" customHeight="1" x14ac:dyDescent="0.2"/>
    <row r="43883" ht="9.9499999999999993" hidden="1" customHeight="1" x14ac:dyDescent="0.2"/>
    <row r="43884" ht="9.9499999999999993" hidden="1" customHeight="1" x14ac:dyDescent="0.2"/>
    <row r="43885" ht="9.9499999999999993" hidden="1" customHeight="1" x14ac:dyDescent="0.2"/>
    <row r="43886" ht="9.9499999999999993" hidden="1" customHeight="1" x14ac:dyDescent="0.2"/>
    <row r="43887" ht="9.9499999999999993" hidden="1" customHeight="1" x14ac:dyDescent="0.2"/>
    <row r="43888" ht="9.9499999999999993" hidden="1" customHeight="1" x14ac:dyDescent="0.2"/>
    <row r="43889" ht="9.9499999999999993" hidden="1" customHeight="1" x14ac:dyDescent="0.2"/>
    <row r="43890" ht="9.9499999999999993" hidden="1" customHeight="1" x14ac:dyDescent="0.2"/>
    <row r="43891" ht="9.9499999999999993" hidden="1" customHeight="1" x14ac:dyDescent="0.2"/>
    <row r="43892" ht="9.9499999999999993" hidden="1" customHeight="1" x14ac:dyDescent="0.2"/>
    <row r="43893" ht="9.9499999999999993" hidden="1" customHeight="1" x14ac:dyDescent="0.2"/>
    <row r="43894" ht="9.9499999999999993" hidden="1" customHeight="1" x14ac:dyDescent="0.2"/>
    <row r="43895" ht="9.9499999999999993" hidden="1" customHeight="1" x14ac:dyDescent="0.2"/>
    <row r="43896" ht="9.9499999999999993" hidden="1" customHeight="1" x14ac:dyDescent="0.2"/>
    <row r="43897" ht="9.9499999999999993" hidden="1" customHeight="1" x14ac:dyDescent="0.2"/>
    <row r="43898" ht="9.9499999999999993" hidden="1" customHeight="1" x14ac:dyDescent="0.2"/>
    <row r="43899" ht="9.9499999999999993" hidden="1" customHeight="1" x14ac:dyDescent="0.2"/>
    <row r="43900" ht="9.9499999999999993" hidden="1" customHeight="1" x14ac:dyDescent="0.2"/>
    <row r="43901" ht="9.9499999999999993" hidden="1" customHeight="1" x14ac:dyDescent="0.2"/>
    <row r="43902" ht="9.9499999999999993" hidden="1" customHeight="1" x14ac:dyDescent="0.2"/>
    <row r="43903" ht="9.9499999999999993" hidden="1" customHeight="1" x14ac:dyDescent="0.2"/>
    <row r="43904" ht="9.9499999999999993" hidden="1" customHeight="1" x14ac:dyDescent="0.2"/>
    <row r="43905" ht="9.9499999999999993" hidden="1" customHeight="1" x14ac:dyDescent="0.2"/>
    <row r="43906" ht="9.9499999999999993" hidden="1" customHeight="1" x14ac:dyDescent="0.2"/>
    <row r="43907" ht="9.9499999999999993" hidden="1" customHeight="1" x14ac:dyDescent="0.2"/>
    <row r="43908" ht="9.9499999999999993" hidden="1" customHeight="1" x14ac:dyDescent="0.2"/>
    <row r="43909" ht="9.9499999999999993" hidden="1" customHeight="1" x14ac:dyDescent="0.2"/>
    <row r="43910" ht="9.9499999999999993" hidden="1" customHeight="1" x14ac:dyDescent="0.2"/>
    <row r="43911" ht="9.9499999999999993" hidden="1" customHeight="1" x14ac:dyDescent="0.2"/>
    <row r="43912" ht="9.9499999999999993" hidden="1" customHeight="1" x14ac:dyDescent="0.2"/>
    <row r="43913" ht="9.9499999999999993" hidden="1" customHeight="1" x14ac:dyDescent="0.2"/>
    <row r="43914" ht="9.9499999999999993" hidden="1" customHeight="1" x14ac:dyDescent="0.2"/>
    <row r="43915" ht="9.9499999999999993" hidden="1" customHeight="1" x14ac:dyDescent="0.2"/>
    <row r="43916" ht="9.9499999999999993" hidden="1" customHeight="1" x14ac:dyDescent="0.2"/>
    <row r="43917" ht="9.9499999999999993" hidden="1" customHeight="1" x14ac:dyDescent="0.2"/>
    <row r="43918" ht="9.9499999999999993" hidden="1" customHeight="1" x14ac:dyDescent="0.2"/>
    <row r="43919" ht="9.9499999999999993" hidden="1" customHeight="1" x14ac:dyDescent="0.2"/>
    <row r="43920" ht="9.9499999999999993" hidden="1" customHeight="1" x14ac:dyDescent="0.2"/>
    <row r="43921" ht="9.9499999999999993" hidden="1" customHeight="1" x14ac:dyDescent="0.2"/>
    <row r="43922" ht="9.9499999999999993" hidden="1" customHeight="1" x14ac:dyDescent="0.2"/>
    <row r="43923" ht="9.9499999999999993" hidden="1" customHeight="1" x14ac:dyDescent="0.2"/>
    <row r="43924" ht="9.9499999999999993" hidden="1" customHeight="1" x14ac:dyDescent="0.2"/>
    <row r="43925" ht="9.9499999999999993" hidden="1" customHeight="1" x14ac:dyDescent="0.2"/>
    <row r="43926" ht="9.9499999999999993" hidden="1" customHeight="1" x14ac:dyDescent="0.2"/>
    <row r="43927" ht="9.9499999999999993" hidden="1" customHeight="1" x14ac:dyDescent="0.2"/>
    <row r="43928" ht="9.9499999999999993" hidden="1" customHeight="1" x14ac:dyDescent="0.2"/>
    <row r="43929" ht="9.9499999999999993" hidden="1" customHeight="1" x14ac:dyDescent="0.2"/>
    <row r="43930" ht="9.9499999999999993" hidden="1" customHeight="1" x14ac:dyDescent="0.2"/>
    <row r="43931" ht="9.9499999999999993" hidden="1" customHeight="1" x14ac:dyDescent="0.2"/>
    <row r="43932" ht="9.9499999999999993" hidden="1" customHeight="1" x14ac:dyDescent="0.2"/>
    <row r="43933" ht="9.9499999999999993" hidden="1" customHeight="1" x14ac:dyDescent="0.2"/>
    <row r="43934" ht="9.9499999999999993" hidden="1" customHeight="1" x14ac:dyDescent="0.2"/>
    <row r="43935" ht="9.9499999999999993" hidden="1" customHeight="1" x14ac:dyDescent="0.2"/>
    <row r="43936" ht="9.9499999999999993" hidden="1" customHeight="1" x14ac:dyDescent="0.2"/>
    <row r="43937" ht="9.9499999999999993" hidden="1" customHeight="1" x14ac:dyDescent="0.2"/>
    <row r="43938" ht="9.9499999999999993" hidden="1" customHeight="1" x14ac:dyDescent="0.2"/>
    <row r="43939" ht="9.9499999999999993" hidden="1" customHeight="1" x14ac:dyDescent="0.2"/>
    <row r="43940" ht="9.9499999999999993" hidden="1" customHeight="1" x14ac:dyDescent="0.2"/>
    <row r="43941" ht="9.9499999999999993" hidden="1" customHeight="1" x14ac:dyDescent="0.2"/>
    <row r="43942" ht="9.9499999999999993" hidden="1" customHeight="1" x14ac:dyDescent="0.2"/>
    <row r="43943" ht="9.9499999999999993" hidden="1" customHeight="1" x14ac:dyDescent="0.2"/>
    <row r="43944" ht="9.9499999999999993" hidden="1" customHeight="1" x14ac:dyDescent="0.2"/>
    <row r="43945" ht="9.9499999999999993" hidden="1" customHeight="1" x14ac:dyDescent="0.2"/>
    <row r="43946" ht="9.9499999999999993" hidden="1" customHeight="1" x14ac:dyDescent="0.2"/>
    <row r="43947" ht="9.9499999999999993" hidden="1" customHeight="1" x14ac:dyDescent="0.2"/>
    <row r="43948" ht="9.9499999999999993" hidden="1" customHeight="1" x14ac:dyDescent="0.2"/>
    <row r="43949" ht="9.9499999999999993" hidden="1" customHeight="1" x14ac:dyDescent="0.2"/>
    <row r="43950" ht="9.9499999999999993" hidden="1" customHeight="1" x14ac:dyDescent="0.2"/>
    <row r="43951" ht="9.9499999999999993" hidden="1" customHeight="1" x14ac:dyDescent="0.2"/>
    <row r="43952" ht="9.9499999999999993" hidden="1" customHeight="1" x14ac:dyDescent="0.2"/>
    <row r="43953" ht="9.9499999999999993" hidden="1" customHeight="1" x14ac:dyDescent="0.2"/>
    <row r="43954" ht="9.9499999999999993" hidden="1" customHeight="1" x14ac:dyDescent="0.2"/>
    <row r="43955" ht="9.9499999999999993" hidden="1" customHeight="1" x14ac:dyDescent="0.2"/>
    <row r="43956" ht="9.9499999999999993" hidden="1" customHeight="1" x14ac:dyDescent="0.2"/>
    <row r="43957" ht="9.9499999999999993" hidden="1" customHeight="1" x14ac:dyDescent="0.2"/>
    <row r="43958" ht="9.9499999999999993" hidden="1" customHeight="1" x14ac:dyDescent="0.2"/>
    <row r="43959" ht="9.9499999999999993" hidden="1" customHeight="1" x14ac:dyDescent="0.2"/>
    <row r="43960" ht="9.9499999999999993" hidden="1" customHeight="1" x14ac:dyDescent="0.2"/>
    <row r="43961" ht="9.9499999999999993" hidden="1" customHeight="1" x14ac:dyDescent="0.2"/>
    <row r="43962" ht="9.9499999999999993" hidden="1" customHeight="1" x14ac:dyDescent="0.2"/>
    <row r="43963" ht="9.9499999999999993" hidden="1" customHeight="1" x14ac:dyDescent="0.2"/>
    <row r="43964" ht="9.9499999999999993" hidden="1" customHeight="1" x14ac:dyDescent="0.2"/>
    <row r="43965" ht="9.9499999999999993" hidden="1" customHeight="1" x14ac:dyDescent="0.2"/>
    <row r="43966" ht="9.9499999999999993" hidden="1" customHeight="1" x14ac:dyDescent="0.2"/>
    <row r="43967" ht="9.9499999999999993" hidden="1" customHeight="1" x14ac:dyDescent="0.2"/>
    <row r="43968" ht="9.9499999999999993" hidden="1" customHeight="1" x14ac:dyDescent="0.2"/>
    <row r="43969" ht="9.9499999999999993" hidden="1" customHeight="1" x14ac:dyDescent="0.2"/>
    <row r="43970" ht="9.9499999999999993" hidden="1" customHeight="1" x14ac:dyDescent="0.2"/>
    <row r="43971" ht="9.9499999999999993" hidden="1" customHeight="1" x14ac:dyDescent="0.2"/>
    <row r="43972" ht="9.9499999999999993" hidden="1" customHeight="1" x14ac:dyDescent="0.2"/>
    <row r="43973" ht="9.9499999999999993" hidden="1" customHeight="1" x14ac:dyDescent="0.2"/>
    <row r="43974" ht="9.9499999999999993" hidden="1" customHeight="1" x14ac:dyDescent="0.2"/>
    <row r="43975" ht="9.9499999999999993" hidden="1" customHeight="1" x14ac:dyDescent="0.2"/>
    <row r="43976" ht="9.9499999999999993" hidden="1" customHeight="1" x14ac:dyDescent="0.2"/>
    <row r="43977" ht="9.9499999999999993" hidden="1" customHeight="1" x14ac:dyDescent="0.2"/>
    <row r="43978" ht="9.9499999999999993" hidden="1" customHeight="1" x14ac:dyDescent="0.2"/>
    <row r="43979" ht="9.9499999999999993" hidden="1" customHeight="1" x14ac:dyDescent="0.2"/>
    <row r="43980" ht="9.9499999999999993" hidden="1" customHeight="1" x14ac:dyDescent="0.2"/>
    <row r="43981" ht="9.9499999999999993" hidden="1" customHeight="1" x14ac:dyDescent="0.2"/>
    <row r="43982" ht="9.9499999999999993" hidden="1" customHeight="1" x14ac:dyDescent="0.2"/>
    <row r="43983" ht="9.9499999999999993" hidden="1" customHeight="1" x14ac:dyDescent="0.2"/>
    <row r="43984" ht="9.9499999999999993" hidden="1" customHeight="1" x14ac:dyDescent="0.2"/>
    <row r="43985" ht="9.9499999999999993" hidden="1" customHeight="1" x14ac:dyDescent="0.2"/>
    <row r="43986" ht="9.9499999999999993" hidden="1" customHeight="1" x14ac:dyDescent="0.2"/>
    <row r="43987" ht="9.9499999999999993" hidden="1" customHeight="1" x14ac:dyDescent="0.2"/>
    <row r="43988" ht="9.9499999999999993" hidden="1" customHeight="1" x14ac:dyDescent="0.2"/>
    <row r="43989" ht="9.9499999999999993" hidden="1" customHeight="1" x14ac:dyDescent="0.2"/>
    <row r="43990" ht="9.9499999999999993" hidden="1" customHeight="1" x14ac:dyDescent="0.2"/>
    <row r="43991" ht="9.9499999999999993" hidden="1" customHeight="1" x14ac:dyDescent="0.2"/>
    <row r="43992" ht="9.9499999999999993" hidden="1" customHeight="1" x14ac:dyDescent="0.2"/>
    <row r="43993" ht="9.9499999999999993" hidden="1" customHeight="1" x14ac:dyDescent="0.2"/>
    <row r="43994" ht="9.9499999999999993" hidden="1" customHeight="1" x14ac:dyDescent="0.2"/>
    <row r="43995" ht="9.9499999999999993" hidden="1" customHeight="1" x14ac:dyDescent="0.2"/>
    <row r="43996" ht="9.9499999999999993" hidden="1" customHeight="1" x14ac:dyDescent="0.2"/>
    <row r="43997" ht="9.9499999999999993" hidden="1" customHeight="1" x14ac:dyDescent="0.2"/>
    <row r="43998" ht="9.9499999999999993" hidden="1" customHeight="1" x14ac:dyDescent="0.2"/>
    <row r="43999" ht="9.9499999999999993" hidden="1" customHeight="1" x14ac:dyDescent="0.2"/>
    <row r="44000" ht="9.9499999999999993" hidden="1" customHeight="1" x14ac:dyDescent="0.2"/>
    <row r="44001" ht="9.9499999999999993" hidden="1" customHeight="1" x14ac:dyDescent="0.2"/>
    <row r="44002" ht="9.9499999999999993" hidden="1" customHeight="1" x14ac:dyDescent="0.2"/>
    <row r="44003" ht="9.9499999999999993" hidden="1" customHeight="1" x14ac:dyDescent="0.2"/>
    <row r="44004" ht="9.9499999999999993" hidden="1" customHeight="1" x14ac:dyDescent="0.2"/>
    <row r="44005" ht="9.9499999999999993" hidden="1" customHeight="1" x14ac:dyDescent="0.2"/>
    <row r="44006" ht="9.9499999999999993" hidden="1" customHeight="1" x14ac:dyDescent="0.2"/>
    <row r="44007" ht="9.9499999999999993" hidden="1" customHeight="1" x14ac:dyDescent="0.2"/>
    <row r="44008" ht="9.9499999999999993" hidden="1" customHeight="1" x14ac:dyDescent="0.2"/>
    <row r="44009" ht="9.9499999999999993" hidden="1" customHeight="1" x14ac:dyDescent="0.2"/>
    <row r="44010" ht="9.9499999999999993" hidden="1" customHeight="1" x14ac:dyDescent="0.2"/>
    <row r="44011" ht="9.9499999999999993" hidden="1" customHeight="1" x14ac:dyDescent="0.2"/>
    <row r="44012" ht="9.9499999999999993" hidden="1" customHeight="1" x14ac:dyDescent="0.2"/>
    <row r="44013" ht="9.9499999999999993" hidden="1" customHeight="1" x14ac:dyDescent="0.2"/>
    <row r="44014" ht="9.9499999999999993" hidden="1" customHeight="1" x14ac:dyDescent="0.2"/>
    <row r="44015" ht="9.9499999999999993" hidden="1" customHeight="1" x14ac:dyDescent="0.2"/>
    <row r="44016" ht="9.9499999999999993" hidden="1" customHeight="1" x14ac:dyDescent="0.2"/>
    <row r="44017" ht="9.9499999999999993" hidden="1" customHeight="1" x14ac:dyDescent="0.2"/>
    <row r="44018" ht="9.9499999999999993" hidden="1" customHeight="1" x14ac:dyDescent="0.2"/>
    <row r="44019" ht="9.9499999999999993" hidden="1" customHeight="1" x14ac:dyDescent="0.2"/>
    <row r="44020" ht="9.9499999999999993" hidden="1" customHeight="1" x14ac:dyDescent="0.2"/>
    <row r="44021" ht="9.9499999999999993" hidden="1" customHeight="1" x14ac:dyDescent="0.2"/>
    <row r="44022" ht="9.9499999999999993" hidden="1" customHeight="1" x14ac:dyDescent="0.2"/>
    <row r="44023" ht="9.9499999999999993" hidden="1" customHeight="1" x14ac:dyDescent="0.2"/>
    <row r="44024" ht="9.9499999999999993" hidden="1" customHeight="1" x14ac:dyDescent="0.2"/>
    <row r="44025" ht="9.9499999999999993" hidden="1" customHeight="1" x14ac:dyDescent="0.2"/>
    <row r="44026" ht="9.9499999999999993" hidden="1" customHeight="1" x14ac:dyDescent="0.2"/>
    <row r="44027" ht="9.9499999999999993" hidden="1" customHeight="1" x14ac:dyDescent="0.2"/>
    <row r="44028" ht="9.9499999999999993" hidden="1" customHeight="1" x14ac:dyDescent="0.2"/>
    <row r="44029" ht="9.9499999999999993" hidden="1" customHeight="1" x14ac:dyDescent="0.2"/>
    <row r="44030" ht="9.9499999999999993" hidden="1" customHeight="1" x14ac:dyDescent="0.2"/>
    <row r="44031" ht="9.9499999999999993" hidden="1" customHeight="1" x14ac:dyDescent="0.2"/>
    <row r="44032" ht="9.9499999999999993" hidden="1" customHeight="1" x14ac:dyDescent="0.2"/>
    <row r="44033" ht="9.9499999999999993" hidden="1" customHeight="1" x14ac:dyDescent="0.2"/>
    <row r="44034" ht="9.9499999999999993" hidden="1" customHeight="1" x14ac:dyDescent="0.2"/>
    <row r="44035" ht="9.9499999999999993" hidden="1" customHeight="1" x14ac:dyDescent="0.2"/>
    <row r="44036" ht="9.9499999999999993" hidden="1" customHeight="1" x14ac:dyDescent="0.2"/>
    <row r="44037" ht="9.9499999999999993" hidden="1" customHeight="1" x14ac:dyDescent="0.2"/>
    <row r="44038" ht="9.9499999999999993" hidden="1" customHeight="1" x14ac:dyDescent="0.2"/>
    <row r="44039" ht="9.9499999999999993" hidden="1" customHeight="1" x14ac:dyDescent="0.2"/>
    <row r="44040" ht="9.9499999999999993" hidden="1" customHeight="1" x14ac:dyDescent="0.2"/>
    <row r="44041" ht="9.9499999999999993" hidden="1" customHeight="1" x14ac:dyDescent="0.2"/>
    <row r="44042" ht="9.9499999999999993" hidden="1" customHeight="1" x14ac:dyDescent="0.2"/>
    <row r="44043" ht="9.9499999999999993" hidden="1" customHeight="1" x14ac:dyDescent="0.2"/>
    <row r="44044" ht="9.9499999999999993" hidden="1" customHeight="1" x14ac:dyDescent="0.2"/>
    <row r="44045" ht="9.9499999999999993" hidden="1" customHeight="1" x14ac:dyDescent="0.2"/>
    <row r="44046" ht="9.9499999999999993" hidden="1" customHeight="1" x14ac:dyDescent="0.2"/>
    <row r="44047" ht="9.9499999999999993" hidden="1" customHeight="1" x14ac:dyDescent="0.2"/>
    <row r="44048" ht="9.9499999999999993" hidden="1" customHeight="1" x14ac:dyDescent="0.2"/>
    <row r="44049" ht="9.9499999999999993" hidden="1" customHeight="1" x14ac:dyDescent="0.2"/>
    <row r="44050" ht="9.9499999999999993" hidden="1" customHeight="1" x14ac:dyDescent="0.2"/>
    <row r="44051" ht="9.9499999999999993" hidden="1" customHeight="1" x14ac:dyDescent="0.2"/>
    <row r="44052" ht="9.9499999999999993" hidden="1" customHeight="1" x14ac:dyDescent="0.2"/>
    <row r="44053" ht="9.9499999999999993" hidden="1" customHeight="1" x14ac:dyDescent="0.2"/>
    <row r="44054" ht="9.9499999999999993" hidden="1" customHeight="1" x14ac:dyDescent="0.2"/>
    <row r="44055" ht="9.9499999999999993" hidden="1" customHeight="1" x14ac:dyDescent="0.2"/>
    <row r="44056" ht="9.9499999999999993" hidden="1" customHeight="1" x14ac:dyDescent="0.2"/>
    <row r="44057" ht="9.9499999999999993" hidden="1" customHeight="1" x14ac:dyDescent="0.2"/>
    <row r="44058" ht="9.9499999999999993" hidden="1" customHeight="1" x14ac:dyDescent="0.2"/>
    <row r="44059" ht="9.9499999999999993" hidden="1" customHeight="1" x14ac:dyDescent="0.2"/>
    <row r="44060" ht="9.9499999999999993" hidden="1" customHeight="1" x14ac:dyDescent="0.2"/>
    <row r="44061" ht="9.9499999999999993" hidden="1" customHeight="1" x14ac:dyDescent="0.2"/>
    <row r="44062" ht="9.9499999999999993" hidden="1" customHeight="1" x14ac:dyDescent="0.2"/>
    <row r="44063" ht="9.9499999999999993" hidden="1" customHeight="1" x14ac:dyDescent="0.2"/>
    <row r="44064" ht="9.9499999999999993" hidden="1" customHeight="1" x14ac:dyDescent="0.2"/>
    <row r="44065" ht="9.9499999999999993" hidden="1" customHeight="1" x14ac:dyDescent="0.2"/>
    <row r="44066" ht="9.9499999999999993" hidden="1" customHeight="1" x14ac:dyDescent="0.2"/>
    <row r="44067" ht="9.9499999999999993" hidden="1" customHeight="1" x14ac:dyDescent="0.2"/>
    <row r="44068" ht="9.9499999999999993" hidden="1" customHeight="1" x14ac:dyDescent="0.2"/>
    <row r="44069" ht="9.9499999999999993" hidden="1" customHeight="1" x14ac:dyDescent="0.2"/>
    <row r="44070" ht="9.9499999999999993" hidden="1" customHeight="1" x14ac:dyDescent="0.2"/>
    <row r="44071" ht="9.9499999999999993" hidden="1" customHeight="1" x14ac:dyDescent="0.2"/>
    <row r="44072" ht="9.9499999999999993" hidden="1" customHeight="1" x14ac:dyDescent="0.2"/>
    <row r="44073" ht="9.9499999999999993" hidden="1" customHeight="1" x14ac:dyDescent="0.2"/>
    <row r="44074" ht="9.9499999999999993" hidden="1" customHeight="1" x14ac:dyDescent="0.2"/>
    <row r="44075" ht="9.9499999999999993" hidden="1" customHeight="1" x14ac:dyDescent="0.2"/>
    <row r="44076" ht="9.9499999999999993" hidden="1" customHeight="1" x14ac:dyDescent="0.2"/>
    <row r="44077" ht="9.9499999999999993" hidden="1" customHeight="1" x14ac:dyDescent="0.2"/>
    <row r="44078" ht="9.9499999999999993" hidden="1" customHeight="1" x14ac:dyDescent="0.2"/>
    <row r="44079" ht="9.9499999999999993" hidden="1" customHeight="1" x14ac:dyDescent="0.2"/>
    <row r="44080" ht="9.9499999999999993" hidden="1" customHeight="1" x14ac:dyDescent="0.2"/>
    <row r="44081" ht="9.9499999999999993" hidden="1" customHeight="1" x14ac:dyDescent="0.2"/>
    <row r="44082" ht="9.9499999999999993" hidden="1" customHeight="1" x14ac:dyDescent="0.2"/>
    <row r="44083" ht="9.9499999999999993" hidden="1" customHeight="1" x14ac:dyDescent="0.2"/>
    <row r="44084" ht="9.9499999999999993" hidden="1" customHeight="1" x14ac:dyDescent="0.2"/>
    <row r="44085" ht="9.9499999999999993" hidden="1" customHeight="1" x14ac:dyDescent="0.2"/>
    <row r="44086" ht="9.9499999999999993" hidden="1" customHeight="1" x14ac:dyDescent="0.2"/>
    <row r="44087" ht="9.9499999999999993" hidden="1" customHeight="1" x14ac:dyDescent="0.2"/>
    <row r="44088" ht="9.9499999999999993" hidden="1" customHeight="1" x14ac:dyDescent="0.2"/>
    <row r="44089" ht="9.9499999999999993" hidden="1" customHeight="1" x14ac:dyDescent="0.2"/>
    <row r="44090" ht="9.9499999999999993" hidden="1" customHeight="1" x14ac:dyDescent="0.2"/>
    <row r="44091" ht="9.9499999999999993" hidden="1" customHeight="1" x14ac:dyDescent="0.2"/>
    <row r="44092" ht="9.9499999999999993" hidden="1" customHeight="1" x14ac:dyDescent="0.2"/>
    <row r="44093" ht="9.9499999999999993" hidden="1" customHeight="1" x14ac:dyDescent="0.2"/>
    <row r="44094" ht="9.9499999999999993" hidden="1" customHeight="1" x14ac:dyDescent="0.2"/>
    <row r="44095" ht="9.9499999999999993" hidden="1" customHeight="1" x14ac:dyDescent="0.2"/>
    <row r="44096" ht="9.9499999999999993" hidden="1" customHeight="1" x14ac:dyDescent="0.2"/>
    <row r="44097" ht="9.9499999999999993" hidden="1" customHeight="1" x14ac:dyDescent="0.2"/>
    <row r="44098" ht="9.9499999999999993" hidden="1" customHeight="1" x14ac:dyDescent="0.2"/>
    <row r="44099" ht="9.9499999999999993" hidden="1" customHeight="1" x14ac:dyDescent="0.2"/>
    <row r="44100" ht="9.9499999999999993" hidden="1" customHeight="1" x14ac:dyDescent="0.2"/>
    <row r="44101" ht="9.9499999999999993" hidden="1" customHeight="1" x14ac:dyDescent="0.2"/>
    <row r="44102" ht="9.9499999999999993" hidden="1" customHeight="1" x14ac:dyDescent="0.2"/>
    <row r="44103" ht="9.9499999999999993" hidden="1" customHeight="1" x14ac:dyDescent="0.2"/>
    <row r="44104" ht="9.9499999999999993" hidden="1" customHeight="1" x14ac:dyDescent="0.2"/>
    <row r="44105" ht="9.9499999999999993" hidden="1" customHeight="1" x14ac:dyDescent="0.2"/>
    <row r="44106" ht="9.9499999999999993" hidden="1" customHeight="1" x14ac:dyDescent="0.2"/>
    <row r="44107" ht="9.9499999999999993" hidden="1" customHeight="1" x14ac:dyDescent="0.2"/>
    <row r="44108" ht="9.9499999999999993" hidden="1" customHeight="1" x14ac:dyDescent="0.2"/>
    <row r="44109" ht="9.9499999999999993" hidden="1" customHeight="1" x14ac:dyDescent="0.2"/>
    <row r="44110" ht="9.9499999999999993" hidden="1" customHeight="1" x14ac:dyDescent="0.2"/>
    <row r="44111" ht="9.9499999999999993" hidden="1" customHeight="1" x14ac:dyDescent="0.2"/>
    <row r="44112" ht="9.9499999999999993" hidden="1" customHeight="1" x14ac:dyDescent="0.2"/>
    <row r="44113" ht="9.9499999999999993" hidden="1" customHeight="1" x14ac:dyDescent="0.2"/>
    <row r="44114" ht="9.9499999999999993" hidden="1" customHeight="1" x14ac:dyDescent="0.2"/>
    <row r="44115" ht="9.9499999999999993" hidden="1" customHeight="1" x14ac:dyDescent="0.2"/>
    <row r="44116" ht="9.9499999999999993" hidden="1" customHeight="1" x14ac:dyDescent="0.2"/>
    <row r="44117" ht="9.9499999999999993" hidden="1" customHeight="1" x14ac:dyDescent="0.2"/>
    <row r="44118" ht="9.9499999999999993" hidden="1" customHeight="1" x14ac:dyDescent="0.2"/>
    <row r="44119" ht="9.9499999999999993" hidden="1" customHeight="1" x14ac:dyDescent="0.2"/>
    <row r="44120" ht="9.9499999999999993" hidden="1" customHeight="1" x14ac:dyDescent="0.2"/>
    <row r="44121" ht="9.9499999999999993" hidden="1" customHeight="1" x14ac:dyDescent="0.2"/>
    <row r="44122" ht="9.9499999999999993" hidden="1" customHeight="1" x14ac:dyDescent="0.2"/>
    <row r="44123" ht="9.9499999999999993" hidden="1" customHeight="1" x14ac:dyDescent="0.2"/>
    <row r="44124" ht="9.9499999999999993" hidden="1" customHeight="1" x14ac:dyDescent="0.2"/>
    <row r="44125" ht="9.9499999999999993" hidden="1" customHeight="1" x14ac:dyDescent="0.2"/>
    <row r="44126" ht="9.9499999999999993" hidden="1" customHeight="1" x14ac:dyDescent="0.2"/>
    <row r="44127" ht="9.9499999999999993" hidden="1" customHeight="1" x14ac:dyDescent="0.2"/>
    <row r="44128" ht="9.9499999999999993" hidden="1" customHeight="1" x14ac:dyDescent="0.2"/>
    <row r="44129" ht="9.9499999999999993" hidden="1" customHeight="1" x14ac:dyDescent="0.2"/>
    <row r="44130" ht="9.9499999999999993" hidden="1" customHeight="1" x14ac:dyDescent="0.2"/>
    <row r="44131" ht="9.9499999999999993" hidden="1" customHeight="1" x14ac:dyDescent="0.2"/>
    <row r="44132" ht="9.9499999999999993" hidden="1" customHeight="1" x14ac:dyDescent="0.2"/>
    <row r="44133" ht="9.9499999999999993" hidden="1" customHeight="1" x14ac:dyDescent="0.2"/>
    <row r="44134" ht="9.9499999999999993" hidden="1" customHeight="1" x14ac:dyDescent="0.2"/>
    <row r="44135" ht="9.9499999999999993" hidden="1" customHeight="1" x14ac:dyDescent="0.2"/>
    <row r="44136" ht="9.9499999999999993" hidden="1" customHeight="1" x14ac:dyDescent="0.2"/>
    <row r="44137" ht="9.9499999999999993" hidden="1" customHeight="1" x14ac:dyDescent="0.2"/>
    <row r="44138" ht="9.9499999999999993" hidden="1" customHeight="1" x14ac:dyDescent="0.2"/>
    <row r="44139" ht="9.9499999999999993" hidden="1" customHeight="1" x14ac:dyDescent="0.2"/>
    <row r="44140" ht="9.9499999999999993" hidden="1" customHeight="1" x14ac:dyDescent="0.2"/>
    <row r="44141" ht="9.9499999999999993" hidden="1" customHeight="1" x14ac:dyDescent="0.2"/>
    <row r="44142" ht="9.9499999999999993" hidden="1" customHeight="1" x14ac:dyDescent="0.2"/>
    <row r="44143" ht="9.9499999999999993" hidden="1" customHeight="1" x14ac:dyDescent="0.2"/>
    <row r="44144" ht="9.9499999999999993" hidden="1" customHeight="1" x14ac:dyDescent="0.2"/>
    <row r="44145" ht="9.9499999999999993" hidden="1" customHeight="1" x14ac:dyDescent="0.2"/>
    <row r="44146" ht="9.9499999999999993" hidden="1" customHeight="1" x14ac:dyDescent="0.2"/>
    <row r="44147" ht="9.9499999999999993" hidden="1" customHeight="1" x14ac:dyDescent="0.2"/>
    <row r="44148" ht="9.9499999999999993" hidden="1" customHeight="1" x14ac:dyDescent="0.2"/>
    <row r="44149" ht="9.9499999999999993" hidden="1" customHeight="1" x14ac:dyDescent="0.2"/>
    <row r="44150" ht="9.9499999999999993" hidden="1" customHeight="1" x14ac:dyDescent="0.2"/>
    <row r="44151" ht="9.9499999999999993" hidden="1" customHeight="1" x14ac:dyDescent="0.2"/>
    <row r="44152" ht="9.9499999999999993" hidden="1" customHeight="1" x14ac:dyDescent="0.2"/>
    <row r="44153" ht="9.9499999999999993" hidden="1" customHeight="1" x14ac:dyDescent="0.2"/>
    <row r="44154" ht="9.9499999999999993" hidden="1" customHeight="1" x14ac:dyDescent="0.2"/>
    <row r="44155" ht="9.9499999999999993" hidden="1" customHeight="1" x14ac:dyDescent="0.2"/>
    <row r="44156" ht="9.9499999999999993" hidden="1" customHeight="1" x14ac:dyDescent="0.2"/>
    <row r="44157" ht="9.9499999999999993" hidden="1" customHeight="1" x14ac:dyDescent="0.2"/>
    <row r="44158" ht="9.9499999999999993" hidden="1" customHeight="1" x14ac:dyDescent="0.2"/>
    <row r="44159" ht="9.9499999999999993" hidden="1" customHeight="1" x14ac:dyDescent="0.2"/>
    <row r="44160" ht="9.9499999999999993" hidden="1" customHeight="1" x14ac:dyDescent="0.2"/>
    <row r="44161" ht="9.9499999999999993" hidden="1" customHeight="1" x14ac:dyDescent="0.2"/>
    <row r="44162" ht="9.9499999999999993" hidden="1" customHeight="1" x14ac:dyDescent="0.2"/>
    <row r="44163" ht="9.9499999999999993" hidden="1" customHeight="1" x14ac:dyDescent="0.2"/>
    <row r="44164" ht="9.9499999999999993" hidden="1" customHeight="1" x14ac:dyDescent="0.2"/>
    <row r="44165" ht="9.9499999999999993" hidden="1" customHeight="1" x14ac:dyDescent="0.2"/>
    <row r="44166" ht="9.9499999999999993" hidden="1" customHeight="1" x14ac:dyDescent="0.2"/>
    <row r="44167" ht="9.9499999999999993" hidden="1" customHeight="1" x14ac:dyDescent="0.2"/>
    <row r="44168" ht="9.9499999999999993" hidden="1" customHeight="1" x14ac:dyDescent="0.2"/>
    <row r="44169" ht="9.9499999999999993" hidden="1" customHeight="1" x14ac:dyDescent="0.2"/>
    <row r="44170" ht="9.9499999999999993" hidden="1" customHeight="1" x14ac:dyDescent="0.2"/>
    <row r="44171" ht="9.9499999999999993" hidden="1" customHeight="1" x14ac:dyDescent="0.2"/>
    <row r="44172" ht="9.9499999999999993" hidden="1" customHeight="1" x14ac:dyDescent="0.2"/>
    <row r="44173" ht="9.9499999999999993" hidden="1" customHeight="1" x14ac:dyDescent="0.2"/>
    <row r="44174" ht="9.9499999999999993" hidden="1" customHeight="1" x14ac:dyDescent="0.2"/>
    <row r="44175" ht="9.9499999999999993" hidden="1" customHeight="1" x14ac:dyDescent="0.2"/>
    <row r="44176" ht="9.9499999999999993" hidden="1" customHeight="1" x14ac:dyDescent="0.2"/>
    <row r="44177" ht="9.9499999999999993" hidden="1" customHeight="1" x14ac:dyDescent="0.2"/>
    <row r="44178" ht="9.9499999999999993" hidden="1" customHeight="1" x14ac:dyDescent="0.2"/>
    <row r="44179" ht="9.9499999999999993" hidden="1" customHeight="1" x14ac:dyDescent="0.2"/>
    <row r="44180" ht="9.9499999999999993" hidden="1" customHeight="1" x14ac:dyDescent="0.2"/>
    <row r="44181" ht="9.9499999999999993" hidden="1" customHeight="1" x14ac:dyDescent="0.2"/>
    <row r="44182" ht="9.9499999999999993" hidden="1" customHeight="1" x14ac:dyDescent="0.2"/>
    <row r="44183" ht="9.9499999999999993" hidden="1" customHeight="1" x14ac:dyDescent="0.2"/>
    <row r="44184" ht="9.9499999999999993" hidden="1" customHeight="1" x14ac:dyDescent="0.2"/>
    <row r="44185" ht="9.9499999999999993" hidden="1" customHeight="1" x14ac:dyDescent="0.2"/>
    <row r="44186" ht="9.9499999999999993" hidden="1" customHeight="1" x14ac:dyDescent="0.2"/>
    <row r="44187" ht="9.9499999999999993" hidden="1" customHeight="1" x14ac:dyDescent="0.2"/>
    <row r="44188" ht="9.9499999999999993" hidden="1" customHeight="1" x14ac:dyDescent="0.2"/>
    <row r="44189" ht="9.9499999999999993" hidden="1" customHeight="1" x14ac:dyDescent="0.2"/>
    <row r="44190" ht="9.9499999999999993" hidden="1" customHeight="1" x14ac:dyDescent="0.2"/>
    <row r="44191" ht="9.9499999999999993" hidden="1" customHeight="1" x14ac:dyDescent="0.2"/>
    <row r="44192" ht="9.9499999999999993" hidden="1" customHeight="1" x14ac:dyDescent="0.2"/>
    <row r="44193" ht="9.9499999999999993" hidden="1" customHeight="1" x14ac:dyDescent="0.2"/>
    <row r="44194" ht="9.9499999999999993" hidden="1" customHeight="1" x14ac:dyDescent="0.2"/>
    <row r="44195" ht="9.9499999999999993" hidden="1" customHeight="1" x14ac:dyDescent="0.2"/>
    <row r="44196" ht="9.9499999999999993" hidden="1" customHeight="1" x14ac:dyDescent="0.2"/>
    <row r="44197" ht="9.9499999999999993" hidden="1" customHeight="1" x14ac:dyDescent="0.2"/>
    <row r="44198" ht="9.9499999999999993" hidden="1" customHeight="1" x14ac:dyDescent="0.2"/>
    <row r="44199" ht="9.9499999999999993" hidden="1" customHeight="1" x14ac:dyDescent="0.2"/>
    <row r="44200" ht="9.9499999999999993" hidden="1" customHeight="1" x14ac:dyDescent="0.2"/>
    <row r="44201" ht="9.9499999999999993" hidden="1" customHeight="1" x14ac:dyDescent="0.2"/>
    <row r="44202" ht="9.9499999999999993" hidden="1" customHeight="1" x14ac:dyDescent="0.2"/>
    <row r="44203" ht="9.9499999999999993" hidden="1" customHeight="1" x14ac:dyDescent="0.2"/>
    <row r="44204" ht="9.9499999999999993" hidden="1" customHeight="1" x14ac:dyDescent="0.2"/>
    <row r="44205" ht="9.9499999999999993" hidden="1" customHeight="1" x14ac:dyDescent="0.2"/>
    <row r="44206" ht="9.9499999999999993" hidden="1" customHeight="1" x14ac:dyDescent="0.2"/>
    <row r="44207" ht="9.9499999999999993" hidden="1" customHeight="1" x14ac:dyDescent="0.2"/>
    <row r="44208" ht="9.9499999999999993" hidden="1" customHeight="1" x14ac:dyDescent="0.2"/>
    <row r="44209" ht="9.9499999999999993" hidden="1" customHeight="1" x14ac:dyDescent="0.2"/>
    <row r="44210" ht="9.9499999999999993" hidden="1" customHeight="1" x14ac:dyDescent="0.2"/>
    <row r="44211" ht="9.9499999999999993" hidden="1" customHeight="1" x14ac:dyDescent="0.2"/>
    <row r="44212" ht="9.9499999999999993" hidden="1" customHeight="1" x14ac:dyDescent="0.2"/>
    <row r="44213" ht="9.9499999999999993" hidden="1" customHeight="1" x14ac:dyDescent="0.2"/>
    <row r="44214" ht="9.9499999999999993" hidden="1" customHeight="1" x14ac:dyDescent="0.2"/>
    <row r="44215" ht="9.9499999999999993" hidden="1" customHeight="1" x14ac:dyDescent="0.2"/>
    <row r="44216" ht="9.9499999999999993" hidden="1" customHeight="1" x14ac:dyDescent="0.2"/>
    <row r="44217" ht="9.9499999999999993" hidden="1" customHeight="1" x14ac:dyDescent="0.2"/>
    <row r="44218" ht="9.9499999999999993" hidden="1" customHeight="1" x14ac:dyDescent="0.2"/>
    <row r="44219" ht="9.9499999999999993" hidden="1" customHeight="1" x14ac:dyDescent="0.2"/>
    <row r="44220" ht="9.9499999999999993" hidden="1" customHeight="1" x14ac:dyDescent="0.2"/>
    <row r="44221" ht="9.9499999999999993" hidden="1" customHeight="1" x14ac:dyDescent="0.2"/>
    <row r="44222" ht="9.9499999999999993" hidden="1" customHeight="1" x14ac:dyDescent="0.2"/>
    <row r="44223" ht="9.9499999999999993" hidden="1" customHeight="1" x14ac:dyDescent="0.2"/>
    <row r="44224" ht="9.9499999999999993" hidden="1" customHeight="1" x14ac:dyDescent="0.2"/>
    <row r="44225" ht="9.9499999999999993" hidden="1" customHeight="1" x14ac:dyDescent="0.2"/>
    <row r="44226" ht="9.9499999999999993" hidden="1" customHeight="1" x14ac:dyDescent="0.2"/>
    <row r="44227" ht="9.9499999999999993" hidden="1" customHeight="1" x14ac:dyDescent="0.2"/>
    <row r="44228" ht="9.9499999999999993" hidden="1" customHeight="1" x14ac:dyDescent="0.2"/>
    <row r="44229" ht="9.9499999999999993" hidden="1" customHeight="1" x14ac:dyDescent="0.2"/>
    <row r="44230" ht="9.9499999999999993" hidden="1" customHeight="1" x14ac:dyDescent="0.2"/>
    <row r="44231" ht="9.9499999999999993" hidden="1" customHeight="1" x14ac:dyDescent="0.2"/>
    <row r="44232" ht="9.9499999999999993" hidden="1" customHeight="1" x14ac:dyDescent="0.2"/>
    <row r="44233" ht="9.9499999999999993" hidden="1" customHeight="1" x14ac:dyDescent="0.2"/>
    <row r="44234" ht="9.9499999999999993" hidden="1" customHeight="1" x14ac:dyDescent="0.2"/>
    <row r="44235" ht="9.9499999999999993" hidden="1" customHeight="1" x14ac:dyDescent="0.2"/>
    <row r="44236" ht="9.9499999999999993" hidden="1" customHeight="1" x14ac:dyDescent="0.2"/>
    <row r="44237" ht="9.9499999999999993" hidden="1" customHeight="1" x14ac:dyDescent="0.2"/>
    <row r="44238" ht="9.9499999999999993" hidden="1" customHeight="1" x14ac:dyDescent="0.2"/>
    <row r="44239" ht="9.9499999999999993" hidden="1" customHeight="1" x14ac:dyDescent="0.2"/>
    <row r="44240" ht="9.9499999999999993" hidden="1" customHeight="1" x14ac:dyDescent="0.2"/>
    <row r="44241" ht="9.9499999999999993" hidden="1" customHeight="1" x14ac:dyDescent="0.2"/>
    <row r="44242" ht="9.9499999999999993" hidden="1" customHeight="1" x14ac:dyDescent="0.2"/>
    <row r="44243" ht="9.9499999999999993" hidden="1" customHeight="1" x14ac:dyDescent="0.2"/>
    <row r="44244" ht="9.9499999999999993" hidden="1" customHeight="1" x14ac:dyDescent="0.2"/>
    <row r="44245" ht="9.9499999999999993" hidden="1" customHeight="1" x14ac:dyDescent="0.2"/>
    <row r="44246" ht="9.9499999999999993" hidden="1" customHeight="1" x14ac:dyDescent="0.2"/>
    <row r="44247" ht="9.9499999999999993" hidden="1" customHeight="1" x14ac:dyDescent="0.2"/>
    <row r="44248" ht="9.9499999999999993" hidden="1" customHeight="1" x14ac:dyDescent="0.2"/>
    <row r="44249" ht="9.9499999999999993" hidden="1" customHeight="1" x14ac:dyDescent="0.2"/>
    <row r="44250" ht="9.9499999999999993" hidden="1" customHeight="1" x14ac:dyDescent="0.2"/>
    <row r="44251" ht="9.9499999999999993" hidden="1" customHeight="1" x14ac:dyDescent="0.2"/>
    <row r="44252" ht="9.9499999999999993" hidden="1" customHeight="1" x14ac:dyDescent="0.2"/>
    <row r="44253" ht="9.9499999999999993" hidden="1" customHeight="1" x14ac:dyDescent="0.2"/>
    <row r="44254" ht="9.9499999999999993" hidden="1" customHeight="1" x14ac:dyDescent="0.2"/>
    <row r="44255" ht="9.9499999999999993" hidden="1" customHeight="1" x14ac:dyDescent="0.2"/>
    <row r="44256" ht="9.9499999999999993" hidden="1" customHeight="1" x14ac:dyDescent="0.2"/>
    <row r="44257" ht="9.9499999999999993" hidden="1" customHeight="1" x14ac:dyDescent="0.2"/>
    <row r="44258" ht="9.9499999999999993" hidden="1" customHeight="1" x14ac:dyDescent="0.2"/>
    <row r="44259" ht="9.9499999999999993" hidden="1" customHeight="1" x14ac:dyDescent="0.2"/>
    <row r="44260" ht="9.9499999999999993" hidden="1" customHeight="1" x14ac:dyDescent="0.2"/>
    <row r="44261" ht="9.9499999999999993" hidden="1" customHeight="1" x14ac:dyDescent="0.2"/>
    <row r="44262" ht="9.9499999999999993" hidden="1" customHeight="1" x14ac:dyDescent="0.2"/>
    <row r="44263" ht="9.9499999999999993" hidden="1" customHeight="1" x14ac:dyDescent="0.2"/>
    <row r="44264" ht="9.9499999999999993" hidden="1" customHeight="1" x14ac:dyDescent="0.2"/>
    <row r="44265" ht="9.9499999999999993" hidden="1" customHeight="1" x14ac:dyDescent="0.2"/>
    <row r="44266" ht="9.9499999999999993" hidden="1" customHeight="1" x14ac:dyDescent="0.2"/>
    <row r="44267" ht="9.9499999999999993" hidden="1" customHeight="1" x14ac:dyDescent="0.2"/>
    <row r="44268" ht="9.9499999999999993" hidden="1" customHeight="1" x14ac:dyDescent="0.2"/>
    <row r="44269" ht="9.9499999999999993" hidden="1" customHeight="1" x14ac:dyDescent="0.2"/>
    <row r="44270" ht="9.9499999999999993" hidden="1" customHeight="1" x14ac:dyDescent="0.2"/>
    <row r="44271" ht="9.9499999999999993" hidden="1" customHeight="1" x14ac:dyDescent="0.2"/>
    <row r="44272" ht="9.9499999999999993" hidden="1" customHeight="1" x14ac:dyDescent="0.2"/>
    <row r="44273" ht="9.9499999999999993" hidden="1" customHeight="1" x14ac:dyDescent="0.2"/>
    <row r="44274" ht="9.9499999999999993" hidden="1" customHeight="1" x14ac:dyDescent="0.2"/>
    <row r="44275" ht="9.9499999999999993" hidden="1" customHeight="1" x14ac:dyDescent="0.2"/>
    <row r="44276" ht="9.9499999999999993" hidden="1" customHeight="1" x14ac:dyDescent="0.2"/>
    <row r="44277" ht="9.9499999999999993" hidden="1" customHeight="1" x14ac:dyDescent="0.2"/>
    <row r="44278" ht="9.9499999999999993" hidden="1" customHeight="1" x14ac:dyDescent="0.2"/>
    <row r="44279" ht="9.9499999999999993" hidden="1" customHeight="1" x14ac:dyDescent="0.2"/>
    <row r="44280" ht="9.9499999999999993" hidden="1" customHeight="1" x14ac:dyDescent="0.2"/>
    <row r="44281" ht="9.9499999999999993" hidden="1" customHeight="1" x14ac:dyDescent="0.2"/>
    <row r="44282" ht="9.9499999999999993" hidden="1" customHeight="1" x14ac:dyDescent="0.2"/>
    <row r="44283" ht="9.9499999999999993" hidden="1" customHeight="1" x14ac:dyDescent="0.2"/>
    <row r="44284" ht="9.9499999999999993" hidden="1" customHeight="1" x14ac:dyDescent="0.2"/>
    <row r="44285" ht="9.9499999999999993" hidden="1" customHeight="1" x14ac:dyDescent="0.2"/>
    <row r="44286" ht="9.9499999999999993" hidden="1" customHeight="1" x14ac:dyDescent="0.2"/>
    <row r="44287" ht="9.9499999999999993" hidden="1" customHeight="1" x14ac:dyDescent="0.2"/>
    <row r="44288" ht="9.9499999999999993" hidden="1" customHeight="1" x14ac:dyDescent="0.2"/>
    <row r="44289" ht="9.9499999999999993" hidden="1" customHeight="1" x14ac:dyDescent="0.2"/>
    <row r="44290" ht="9.9499999999999993" hidden="1" customHeight="1" x14ac:dyDescent="0.2"/>
    <row r="44291" ht="9.9499999999999993" hidden="1" customHeight="1" x14ac:dyDescent="0.2"/>
    <row r="44292" ht="9.9499999999999993" hidden="1" customHeight="1" x14ac:dyDescent="0.2"/>
    <row r="44293" ht="9.9499999999999993" hidden="1" customHeight="1" x14ac:dyDescent="0.2"/>
    <row r="44294" ht="9.9499999999999993" hidden="1" customHeight="1" x14ac:dyDescent="0.2"/>
    <row r="44295" ht="9.9499999999999993" hidden="1" customHeight="1" x14ac:dyDescent="0.2"/>
    <row r="44296" ht="9.9499999999999993" hidden="1" customHeight="1" x14ac:dyDescent="0.2"/>
    <row r="44297" ht="9.9499999999999993" hidden="1" customHeight="1" x14ac:dyDescent="0.2"/>
    <row r="44298" ht="9.9499999999999993" hidden="1" customHeight="1" x14ac:dyDescent="0.2"/>
    <row r="44299" ht="9.9499999999999993" hidden="1" customHeight="1" x14ac:dyDescent="0.2"/>
    <row r="44300" ht="9.9499999999999993" hidden="1" customHeight="1" x14ac:dyDescent="0.2"/>
    <row r="44301" ht="9.9499999999999993" hidden="1" customHeight="1" x14ac:dyDescent="0.2"/>
    <row r="44302" ht="9.9499999999999993" hidden="1" customHeight="1" x14ac:dyDescent="0.2"/>
    <row r="44303" ht="9.9499999999999993" hidden="1" customHeight="1" x14ac:dyDescent="0.2"/>
    <row r="44304" ht="9.9499999999999993" hidden="1" customHeight="1" x14ac:dyDescent="0.2"/>
    <row r="44305" ht="9.9499999999999993" hidden="1" customHeight="1" x14ac:dyDescent="0.2"/>
    <row r="44306" ht="9.9499999999999993" hidden="1" customHeight="1" x14ac:dyDescent="0.2"/>
    <row r="44307" ht="9.9499999999999993" hidden="1" customHeight="1" x14ac:dyDescent="0.2"/>
    <row r="44308" ht="9.9499999999999993" hidden="1" customHeight="1" x14ac:dyDescent="0.2"/>
    <row r="44309" ht="9.9499999999999993" hidden="1" customHeight="1" x14ac:dyDescent="0.2"/>
    <row r="44310" ht="9.9499999999999993" hidden="1" customHeight="1" x14ac:dyDescent="0.2"/>
    <row r="44311" ht="9.9499999999999993" hidden="1" customHeight="1" x14ac:dyDescent="0.2"/>
    <row r="44312" ht="9.9499999999999993" hidden="1" customHeight="1" x14ac:dyDescent="0.2"/>
    <row r="44313" ht="9.9499999999999993" hidden="1" customHeight="1" x14ac:dyDescent="0.2"/>
    <row r="44314" ht="9.9499999999999993" hidden="1" customHeight="1" x14ac:dyDescent="0.2"/>
    <row r="44315" ht="9.9499999999999993" hidden="1" customHeight="1" x14ac:dyDescent="0.2"/>
    <row r="44316" ht="9.9499999999999993" hidden="1" customHeight="1" x14ac:dyDescent="0.2"/>
    <row r="44317" ht="9.9499999999999993" hidden="1" customHeight="1" x14ac:dyDescent="0.2"/>
    <row r="44318" ht="9.9499999999999993" hidden="1" customHeight="1" x14ac:dyDescent="0.2"/>
    <row r="44319" ht="9.9499999999999993" hidden="1" customHeight="1" x14ac:dyDescent="0.2"/>
    <row r="44320" ht="9.9499999999999993" hidden="1" customHeight="1" x14ac:dyDescent="0.2"/>
    <row r="44321" ht="9.9499999999999993" hidden="1" customHeight="1" x14ac:dyDescent="0.2"/>
    <row r="44322" ht="9.9499999999999993" hidden="1" customHeight="1" x14ac:dyDescent="0.2"/>
    <row r="44323" ht="9.9499999999999993" hidden="1" customHeight="1" x14ac:dyDescent="0.2"/>
    <row r="44324" ht="9.9499999999999993" hidden="1" customHeight="1" x14ac:dyDescent="0.2"/>
    <row r="44325" ht="9.9499999999999993" hidden="1" customHeight="1" x14ac:dyDescent="0.2"/>
    <row r="44326" ht="9.9499999999999993" hidden="1" customHeight="1" x14ac:dyDescent="0.2"/>
    <row r="44327" ht="9.9499999999999993" hidden="1" customHeight="1" x14ac:dyDescent="0.2"/>
    <row r="44328" ht="9.9499999999999993" hidden="1" customHeight="1" x14ac:dyDescent="0.2"/>
    <row r="44329" ht="9.9499999999999993" hidden="1" customHeight="1" x14ac:dyDescent="0.2"/>
    <row r="44330" ht="9.9499999999999993" hidden="1" customHeight="1" x14ac:dyDescent="0.2"/>
    <row r="44331" ht="9.9499999999999993" hidden="1" customHeight="1" x14ac:dyDescent="0.2"/>
    <row r="44332" ht="9.9499999999999993" hidden="1" customHeight="1" x14ac:dyDescent="0.2"/>
    <row r="44333" ht="9.9499999999999993" hidden="1" customHeight="1" x14ac:dyDescent="0.2"/>
    <row r="44334" ht="9.9499999999999993" hidden="1" customHeight="1" x14ac:dyDescent="0.2"/>
    <row r="44335" ht="9.9499999999999993" hidden="1" customHeight="1" x14ac:dyDescent="0.2"/>
    <row r="44336" ht="9.9499999999999993" hidden="1" customHeight="1" x14ac:dyDescent="0.2"/>
    <row r="44337" ht="9.9499999999999993" hidden="1" customHeight="1" x14ac:dyDescent="0.2"/>
    <row r="44338" ht="9.9499999999999993" hidden="1" customHeight="1" x14ac:dyDescent="0.2"/>
    <row r="44339" ht="9.9499999999999993" hidden="1" customHeight="1" x14ac:dyDescent="0.2"/>
    <row r="44340" ht="9.9499999999999993" hidden="1" customHeight="1" x14ac:dyDescent="0.2"/>
    <row r="44341" ht="9.9499999999999993" hidden="1" customHeight="1" x14ac:dyDescent="0.2"/>
    <row r="44342" ht="9.9499999999999993" hidden="1" customHeight="1" x14ac:dyDescent="0.2"/>
    <row r="44343" ht="9.9499999999999993" hidden="1" customHeight="1" x14ac:dyDescent="0.2"/>
    <row r="44344" ht="9.9499999999999993" hidden="1" customHeight="1" x14ac:dyDescent="0.2"/>
    <row r="44345" ht="9.9499999999999993" hidden="1" customHeight="1" x14ac:dyDescent="0.2"/>
    <row r="44346" ht="9.9499999999999993" hidden="1" customHeight="1" x14ac:dyDescent="0.2"/>
    <row r="44347" ht="9.9499999999999993" hidden="1" customHeight="1" x14ac:dyDescent="0.2"/>
    <row r="44348" ht="9.9499999999999993" hidden="1" customHeight="1" x14ac:dyDescent="0.2"/>
    <row r="44349" ht="9.9499999999999993" hidden="1" customHeight="1" x14ac:dyDescent="0.2"/>
    <row r="44350" ht="9.9499999999999993" hidden="1" customHeight="1" x14ac:dyDescent="0.2"/>
    <row r="44351" ht="9.9499999999999993" hidden="1" customHeight="1" x14ac:dyDescent="0.2"/>
    <row r="44352" ht="9.9499999999999993" hidden="1" customHeight="1" x14ac:dyDescent="0.2"/>
    <row r="44353" ht="9.9499999999999993" hidden="1" customHeight="1" x14ac:dyDescent="0.2"/>
    <row r="44354" ht="9.9499999999999993" hidden="1" customHeight="1" x14ac:dyDescent="0.2"/>
    <row r="44355" ht="9.9499999999999993" hidden="1" customHeight="1" x14ac:dyDescent="0.2"/>
    <row r="44356" ht="9.9499999999999993" hidden="1" customHeight="1" x14ac:dyDescent="0.2"/>
    <row r="44357" ht="9.9499999999999993" hidden="1" customHeight="1" x14ac:dyDescent="0.2"/>
    <row r="44358" ht="9.9499999999999993" hidden="1" customHeight="1" x14ac:dyDescent="0.2"/>
    <row r="44359" ht="9.9499999999999993" hidden="1" customHeight="1" x14ac:dyDescent="0.2"/>
    <row r="44360" ht="9.9499999999999993" hidden="1" customHeight="1" x14ac:dyDescent="0.2"/>
    <row r="44361" ht="9.9499999999999993" hidden="1" customHeight="1" x14ac:dyDescent="0.2"/>
    <row r="44362" ht="9.9499999999999993" hidden="1" customHeight="1" x14ac:dyDescent="0.2"/>
    <row r="44363" ht="9.9499999999999993" hidden="1" customHeight="1" x14ac:dyDescent="0.2"/>
    <row r="44364" ht="9.9499999999999993" hidden="1" customHeight="1" x14ac:dyDescent="0.2"/>
    <row r="44365" ht="9.9499999999999993" hidden="1" customHeight="1" x14ac:dyDescent="0.2"/>
    <row r="44366" ht="9.9499999999999993" hidden="1" customHeight="1" x14ac:dyDescent="0.2"/>
    <row r="44367" ht="9.9499999999999993" hidden="1" customHeight="1" x14ac:dyDescent="0.2"/>
    <row r="44368" ht="9.9499999999999993" hidden="1" customHeight="1" x14ac:dyDescent="0.2"/>
    <row r="44369" ht="9.9499999999999993" hidden="1" customHeight="1" x14ac:dyDescent="0.2"/>
    <row r="44370" ht="9.9499999999999993" hidden="1" customHeight="1" x14ac:dyDescent="0.2"/>
    <row r="44371" ht="9.9499999999999993" hidden="1" customHeight="1" x14ac:dyDescent="0.2"/>
    <row r="44372" ht="9.9499999999999993" hidden="1" customHeight="1" x14ac:dyDescent="0.2"/>
    <row r="44373" ht="9.9499999999999993" hidden="1" customHeight="1" x14ac:dyDescent="0.2"/>
    <row r="44374" ht="9.9499999999999993" hidden="1" customHeight="1" x14ac:dyDescent="0.2"/>
    <row r="44375" ht="9.9499999999999993" hidden="1" customHeight="1" x14ac:dyDescent="0.2"/>
    <row r="44376" ht="9.9499999999999993" hidden="1" customHeight="1" x14ac:dyDescent="0.2"/>
    <row r="44377" ht="9.9499999999999993" hidden="1" customHeight="1" x14ac:dyDescent="0.2"/>
    <row r="44378" ht="9.9499999999999993" hidden="1" customHeight="1" x14ac:dyDescent="0.2"/>
    <row r="44379" ht="9.9499999999999993" hidden="1" customHeight="1" x14ac:dyDescent="0.2"/>
    <row r="44380" ht="9.9499999999999993" hidden="1" customHeight="1" x14ac:dyDescent="0.2"/>
    <row r="44381" ht="9.9499999999999993" hidden="1" customHeight="1" x14ac:dyDescent="0.2"/>
    <row r="44382" ht="9.9499999999999993" hidden="1" customHeight="1" x14ac:dyDescent="0.2"/>
    <row r="44383" ht="9.9499999999999993" hidden="1" customHeight="1" x14ac:dyDescent="0.2"/>
    <row r="44384" ht="9.9499999999999993" hidden="1" customHeight="1" x14ac:dyDescent="0.2"/>
    <row r="44385" ht="9.9499999999999993" hidden="1" customHeight="1" x14ac:dyDescent="0.2"/>
    <row r="44386" ht="9.9499999999999993" hidden="1" customHeight="1" x14ac:dyDescent="0.2"/>
    <row r="44387" ht="9.9499999999999993" hidden="1" customHeight="1" x14ac:dyDescent="0.2"/>
    <row r="44388" ht="9.9499999999999993" hidden="1" customHeight="1" x14ac:dyDescent="0.2"/>
    <row r="44389" ht="9.9499999999999993" hidden="1" customHeight="1" x14ac:dyDescent="0.2"/>
    <row r="44390" ht="9.9499999999999993" hidden="1" customHeight="1" x14ac:dyDescent="0.2"/>
    <row r="44391" ht="9.9499999999999993" hidden="1" customHeight="1" x14ac:dyDescent="0.2"/>
    <row r="44392" ht="9.9499999999999993" hidden="1" customHeight="1" x14ac:dyDescent="0.2"/>
    <row r="44393" ht="9.9499999999999993" hidden="1" customHeight="1" x14ac:dyDescent="0.2"/>
    <row r="44394" ht="9.9499999999999993" hidden="1" customHeight="1" x14ac:dyDescent="0.2"/>
    <row r="44395" ht="9.9499999999999993" hidden="1" customHeight="1" x14ac:dyDescent="0.2"/>
    <row r="44396" ht="9.9499999999999993" hidden="1" customHeight="1" x14ac:dyDescent="0.2"/>
    <row r="44397" ht="9.9499999999999993" hidden="1" customHeight="1" x14ac:dyDescent="0.2"/>
    <row r="44398" ht="9.9499999999999993" hidden="1" customHeight="1" x14ac:dyDescent="0.2"/>
    <row r="44399" ht="9.9499999999999993" hidden="1" customHeight="1" x14ac:dyDescent="0.2"/>
    <row r="44400" ht="9.9499999999999993" hidden="1" customHeight="1" x14ac:dyDescent="0.2"/>
    <row r="44401" ht="9.9499999999999993" hidden="1" customHeight="1" x14ac:dyDescent="0.2"/>
    <row r="44402" ht="9.9499999999999993" hidden="1" customHeight="1" x14ac:dyDescent="0.2"/>
    <row r="44403" ht="9.9499999999999993" hidden="1" customHeight="1" x14ac:dyDescent="0.2"/>
    <row r="44404" ht="9.9499999999999993" hidden="1" customHeight="1" x14ac:dyDescent="0.2"/>
    <row r="44405" ht="9.9499999999999993" hidden="1" customHeight="1" x14ac:dyDescent="0.2"/>
    <row r="44406" ht="9.9499999999999993" hidden="1" customHeight="1" x14ac:dyDescent="0.2"/>
    <row r="44407" ht="9.9499999999999993" hidden="1" customHeight="1" x14ac:dyDescent="0.2"/>
    <row r="44408" ht="9.9499999999999993" hidden="1" customHeight="1" x14ac:dyDescent="0.2"/>
    <row r="44409" ht="9.9499999999999993" hidden="1" customHeight="1" x14ac:dyDescent="0.2"/>
    <row r="44410" ht="9.9499999999999993" hidden="1" customHeight="1" x14ac:dyDescent="0.2"/>
    <row r="44411" ht="9.9499999999999993" hidden="1" customHeight="1" x14ac:dyDescent="0.2"/>
    <row r="44412" ht="9.9499999999999993" hidden="1" customHeight="1" x14ac:dyDescent="0.2"/>
    <row r="44413" ht="9.9499999999999993" hidden="1" customHeight="1" x14ac:dyDescent="0.2"/>
    <row r="44414" ht="9.9499999999999993" hidden="1" customHeight="1" x14ac:dyDescent="0.2"/>
    <row r="44415" ht="9.9499999999999993" hidden="1" customHeight="1" x14ac:dyDescent="0.2"/>
    <row r="44416" ht="9.9499999999999993" hidden="1" customHeight="1" x14ac:dyDescent="0.2"/>
    <row r="44417" ht="9.9499999999999993" hidden="1" customHeight="1" x14ac:dyDescent="0.2"/>
    <row r="44418" ht="9.9499999999999993" hidden="1" customHeight="1" x14ac:dyDescent="0.2"/>
    <row r="44419" ht="9.9499999999999993" hidden="1" customHeight="1" x14ac:dyDescent="0.2"/>
    <row r="44420" ht="9.9499999999999993" hidden="1" customHeight="1" x14ac:dyDescent="0.2"/>
    <row r="44421" ht="9.9499999999999993" hidden="1" customHeight="1" x14ac:dyDescent="0.2"/>
    <row r="44422" ht="9.9499999999999993" hidden="1" customHeight="1" x14ac:dyDescent="0.2"/>
    <row r="44423" ht="9.9499999999999993" hidden="1" customHeight="1" x14ac:dyDescent="0.2"/>
    <row r="44424" ht="9.9499999999999993" hidden="1" customHeight="1" x14ac:dyDescent="0.2"/>
    <row r="44425" ht="9.9499999999999993" hidden="1" customHeight="1" x14ac:dyDescent="0.2"/>
    <row r="44426" ht="9.9499999999999993" hidden="1" customHeight="1" x14ac:dyDescent="0.2"/>
    <row r="44427" ht="9.9499999999999993" hidden="1" customHeight="1" x14ac:dyDescent="0.2"/>
    <row r="44428" ht="9.9499999999999993" hidden="1" customHeight="1" x14ac:dyDescent="0.2"/>
    <row r="44429" ht="9.9499999999999993" hidden="1" customHeight="1" x14ac:dyDescent="0.2"/>
    <row r="44430" ht="9.9499999999999993" hidden="1" customHeight="1" x14ac:dyDescent="0.2"/>
    <row r="44431" ht="9.9499999999999993" hidden="1" customHeight="1" x14ac:dyDescent="0.2"/>
    <row r="44432" ht="9.9499999999999993" hidden="1" customHeight="1" x14ac:dyDescent="0.2"/>
    <row r="44433" ht="9.9499999999999993" hidden="1" customHeight="1" x14ac:dyDescent="0.2"/>
    <row r="44434" ht="9.9499999999999993" hidden="1" customHeight="1" x14ac:dyDescent="0.2"/>
    <row r="44435" ht="9.9499999999999993" hidden="1" customHeight="1" x14ac:dyDescent="0.2"/>
    <row r="44436" ht="9.9499999999999993" hidden="1" customHeight="1" x14ac:dyDescent="0.2"/>
    <row r="44437" ht="9.9499999999999993" hidden="1" customHeight="1" x14ac:dyDescent="0.2"/>
    <row r="44438" ht="9.9499999999999993" hidden="1" customHeight="1" x14ac:dyDescent="0.2"/>
    <row r="44439" ht="9.9499999999999993" hidden="1" customHeight="1" x14ac:dyDescent="0.2"/>
    <row r="44440" ht="9.9499999999999993" hidden="1" customHeight="1" x14ac:dyDescent="0.2"/>
    <row r="44441" ht="9.9499999999999993" hidden="1" customHeight="1" x14ac:dyDescent="0.2"/>
    <row r="44442" ht="9.9499999999999993" hidden="1" customHeight="1" x14ac:dyDescent="0.2"/>
    <row r="44443" ht="9.9499999999999993" hidden="1" customHeight="1" x14ac:dyDescent="0.2"/>
    <row r="44444" ht="9.9499999999999993" hidden="1" customHeight="1" x14ac:dyDescent="0.2"/>
    <row r="44445" ht="9.9499999999999993" hidden="1" customHeight="1" x14ac:dyDescent="0.2"/>
    <row r="44446" ht="9.9499999999999993" hidden="1" customHeight="1" x14ac:dyDescent="0.2"/>
    <row r="44447" ht="9.9499999999999993" hidden="1" customHeight="1" x14ac:dyDescent="0.2"/>
    <row r="44448" ht="9.9499999999999993" hidden="1" customHeight="1" x14ac:dyDescent="0.2"/>
    <row r="44449" ht="9.9499999999999993" hidden="1" customHeight="1" x14ac:dyDescent="0.2"/>
    <row r="44450" ht="9.9499999999999993" hidden="1" customHeight="1" x14ac:dyDescent="0.2"/>
    <row r="44451" ht="9.9499999999999993" hidden="1" customHeight="1" x14ac:dyDescent="0.2"/>
    <row r="44452" ht="9.9499999999999993" hidden="1" customHeight="1" x14ac:dyDescent="0.2"/>
    <row r="44453" ht="9.9499999999999993" hidden="1" customHeight="1" x14ac:dyDescent="0.2"/>
    <row r="44454" ht="9.9499999999999993" hidden="1" customHeight="1" x14ac:dyDescent="0.2"/>
    <row r="44455" ht="9.9499999999999993" hidden="1" customHeight="1" x14ac:dyDescent="0.2"/>
    <row r="44456" ht="9.9499999999999993" hidden="1" customHeight="1" x14ac:dyDescent="0.2"/>
    <row r="44457" ht="9.9499999999999993" hidden="1" customHeight="1" x14ac:dyDescent="0.2"/>
    <row r="44458" ht="9.9499999999999993" hidden="1" customHeight="1" x14ac:dyDescent="0.2"/>
    <row r="44459" ht="9.9499999999999993" hidden="1" customHeight="1" x14ac:dyDescent="0.2"/>
    <row r="44460" ht="9.9499999999999993" hidden="1" customHeight="1" x14ac:dyDescent="0.2"/>
    <row r="44461" ht="9.9499999999999993" hidden="1" customHeight="1" x14ac:dyDescent="0.2"/>
    <row r="44462" ht="9.9499999999999993" hidden="1" customHeight="1" x14ac:dyDescent="0.2"/>
    <row r="44463" ht="9.9499999999999993" hidden="1" customHeight="1" x14ac:dyDescent="0.2"/>
    <row r="44464" ht="9.9499999999999993" hidden="1" customHeight="1" x14ac:dyDescent="0.2"/>
    <row r="44465" ht="9.9499999999999993" hidden="1" customHeight="1" x14ac:dyDescent="0.2"/>
    <row r="44466" ht="9.9499999999999993" hidden="1" customHeight="1" x14ac:dyDescent="0.2"/>
    <row r="44467" ht="9.9499999999999993" hidden="1" customHeight="1" x14ac:dyDescent="0.2"/>
    <row r="44468" ht="9.9499999999999993" hidden="1" customHeight="1" x14ac:dyDescent="0.2"/>
    <row r="44469" ht="9.9499999999999993" hidden="1" customHeight="1" x14ac:dyDescent="0.2"/>
    <row r="44470" ht="9.9499999999999993" hidden="1" customHeight="1" x14ac:dyDescent="0.2"/>
    <row r="44471" ht="9.9499999999999993" hidden="1" customHeight="1" x14ac:dyDescent="0.2"/>
    <row r="44472" ht="9.9499999999999993" hidden="1" customHeight="1" x14ac:dyDescent="0.2"/>
    <row r="44473" ht="9.9499999999999993" hidden="1" customHeight="1" x14ac:dyDescent="0.2"/>
    <row r="44474" ht="9.9499999999999993" hidden="1" customHeight="1" x14ac:dyDescent="0.2"/>
    <row r="44475" ht="9.9499999999999993" hidden="1" customHeight="1" x14ac:dyDescent="0.2"/>
    <row r="44476" ht="9.9499999999999993" hidden="1" customHeight="1" x14ac:dyDescent="0.2"/>
    <row r="44477" ht="9.9499999999999993" hidden="1" customHeight="1" x14ac:dyDescent="0.2"/>
    <row r="44478" ht="9.9499999999999993" hidden="1" customHeight="1" x14ac:dyDescent="0.2"/>
    <row r="44479" ht="9.9499999999999993" hidden="1" customHeight="1" x14ac:dyDescent="0.2"/>
    <row r="44480" ht="9.9499999999999993" hidden="1" customHeight="1" x14ac:dyDescent="0.2"/>
    <row r="44481" ht="9.9499999999999993" hidden="1" customHeight="1" x14ac:dyDescent="0.2"/>
    <row r="44482" ht="9.9499999999999993" hidden="1" customHeight="1" x14ac:dyDescent="0.2"/>
    <row r="44483" ht="9.9499999999999993" hidden="1" customHeight="1" x14ac:dyDescent="0.2"/>
    <row r="44484" ht="9.9499999999999993" hidden="1" customHeight="1" x14ac:dyDescent="0.2"/>
    <row r="44485" ht="9.9499999999999993" hidden="1" customHeight="1" x14ac:dyDescent="0.2"/>
    <row r="44486" ht="9.9499999999999993" hidden="1" customHeight="1" x14ac:dyDescent="0.2"/>
    <row r="44487" ht="9.9499999999999993" hidden="1" customHeight="1" x14ac:dyDescent="0.2"/>
    <row r="44488" ht="9.9499999999999993" hidden="1" customHeight="1" x14ac:dyDescent="0.2"/>
    <row r="44489" ht="9.9499999999999993" hidden="1" customHeight="1" x14ac:dyDescent="0.2"/>
    <row r="44490" ht="9.9499999999999993" hidden="1" customHeight="1" x14ac:dyDescent="0.2"/>
    <row r="44491" ht="9.9499999999999993" hidden="1" customHeight="1" x14ac:dyDescent="0.2"/>
    <row r="44492" ht="9.9499999999999993" hidden="1" customHeight="1" x14ac:dyDescent="0.2"/>
    <row r="44493" ht="9.9499999999999993" hidden="1" customHeight="1" x14ac:dyDescent="0.2"/>
    <row r="44494" ht="9.9499999999999993" hidden="1" customHeight="1" x14ac:dyDescent="0.2"/>
    <row r="44495" ht="9.9499999999999993" hidden="1" customHeight="1" x14ac:dyDescent="0.2"/>
    <row r="44496" ht="9.9499999999999993" hidden="1" customHeight="1" x14ac:dyDescent="0.2"/>
    <row r="44497" ht="9.9499999999999993" hidden="1" customHeight="1" x14ac:dyDescent="0.2"/>
    <row r="44498" ht="9.9499999999999993" hidden="1" customHeight="1" x14ac:dyDescent="0.2"/>
    <row r="44499" ht="9.9499999999999993" hidden="1" customHeight="1" x14ac:dyDescent="0.2"/>
    <row r="44500" ht="9.9499999999999993" hidden="1" customHeight="1" x14ac:dyDescent="0.2"/>
    <row r="44501" ht="9.9499999999999993" hidden="1" customHeight="1" x14ac:dyDescent="0.2"/>
    <row r="44502" ht="9.9499999999999993" hidden="1" customHeight="1" x14ac:dyDescent="0.2"/>
    <row r="44503" ht="9.9499999999999993" hidden="1" customHeight="1" x14ac:dyDescent="0.2"/>
    <row r="44504" ht="9.9499999999999993" hidden="1" customHeight="1" x14ac:dyDescent="0.2"/>
    <row r="44505" ht="9.9499999999999993" hidden="1" customHeight="1" x14ac:dyDescent="0.2"/>
    <row r="44506" ht="9.9499999999999993" hidden="1" customHeight="1" x14ac:dyDescent="0.2"/>
    <row r="44507" ht="9.9499999999999993" hidden="1" customHeight="1" x14ac:dyDescent="0.2"/>
    <row r="44508" ht="9.9499999999999993" hidden="1" customHeight="1" x14ac:dyDescent="0.2"/>
    <row r="44509" ht="9.9499999999999993" hidden="1" customHeight="1" x14ac:dyDescent="0.2"/>
    <row r="44510" ht="9.9499999999999993" hidden="1" customHeight="1" x14ac:dyDescent="0.2"/>
    <row r="44511" ht="9.9499999999999993" hidden="1" customHeight="1" x14ac:dyDescent="0.2"/>
    <row r="44512" ht="9.9499999999999993" hidden="1" customHeight="1" x14ac:dyDescent="0.2"/>
    <row r="44513" ht="9.9499999999999993" hidden="1" customHeight="1" x14ac:dyDescent="0.2"/>
    <row r="44514" ht="9.9499999999999993" hidden="1" customHeight="1" x14ac:dyDescent="0.2"/>
    <row r="44515" ht="9.9499999999999993" hidden="1" customHeight="1" x14ac:dyDescent="0.2"/>
    <row r="44516" ht="9.9499999999999993" hidden="1" customHeight="1" x14ac:dyDescent="0.2"/>
    <row r="44517" ht="9.9499999999999993" hidden="1" customHeight="1" x14ac:dyDescent="0.2"/>
    <row r="44518" ht="9.9499999999999993" hidden="1" customHeight="1" x14ac:dyDescent="0.2"/>
    <row r="44519" ht="9.9499999999999993" hidden="1" customHeight="1" x14ac:dyDescent="0.2"/>
    <row r="44520" ht="9.9499999999999993" hidden="1" customHeight="1" x14ac:dyDescent="0.2"/>
    <row r="44521" ht="9.9499999999999993" hidden="1" customHeight="1" x14ac:dyDescent="0.2"/>
    <row r="44522" ht="9.9499999999999993" hidden="1" customHeight="1" x14ac:dyDescent="0.2"/>
    <row r="44523" ht="9.9499999999999993" hidden="1" customHeight="1" x14ac:dyDescent="0.2"/>
    <row r="44524" ht="9.9499999999999993" hidden="1" customHeight="1" x14ac:dyDescent="0.2"/>
    <row r="44525" ht="9.9499999999999993" hidden="1" customHeight="1" x14ac:dyDescent="0.2"/>
    <row r="44526" ht="9.9499999999999993" hidden="1" customHeight="1" x14ac:dyDescent="0.2"/>
    <row r="44527" ht="9.9499999999999993" hidden="1" customHeight="1" x14ac:dyDescent="0.2"/>
    <row r="44528" ht="9.9499999999999993" hidden="1" customHeight="1" x14ac:dyDescent="0.2"/>
    <row r="44529" ht="9.9499999999999993" hidden="1" customHeight="1" x14ac:dyDescent="0.2"/>
    <row r="44530" ht="9.9499999999999993" hidden="1" customHeight="1" x14ac:dyDescent="0.2"/>
    <row r="44531" ht="9.9499999999999993" hidden="1" customHeight="1" x14ac:dyDescent="0.2"/>
    <row r="44532" ht="9.9499999999999993" hidden="1" customHeight="1" x14ac:dyDescent="0.2"/>
    <row r="44533" ht="9.9499999999999993" hidden="1" customHeight="1" x14ac:dyDescent="0.2"/>
    <row r="44534" ht="9.9499999999999993" hidden="1" customHeight="1" x14ac:dyDescent="0.2"/>
    <row r="44535" ht="9.9499999999999993" hidden="1" customHeight="1" x14ac:dyDescent="0.2"/>
    <row r="44536" ht="9.9499999999999993" hidden="1" customHeight="1" x14ac:dyDescent="0.2"/>
    <row r="44537" ht="9.9499999999999993" hidden="1" customHeight="1" x14ac:dyDescent="0.2"/>
    <row r="44538" ht="9.9499999999999993" hidden="1" customHeight="1" x14ac:dyDescent="0.2"/>
    <row r="44539" ht="9.9499999999999993" hidden="1" customHeight="1" x14ac:dyDescent="0.2"/>
    <row r="44540" ht="9.9499999999999993" hidden="1" customHeight="1" x14ac:dyDescent="0.2"/>
    <row r="44541" ht="9.9499999999999993" hidden="1" customHeight="1" x14ac:dyDescent="0.2"/>
    <row r="44542" ht="9.9499999999999993" hidden="1" customHeight="1" x14ac:dyDescent="0.2"/>
    <row r="44543" ht="9.9499999999999993" hidden="1" customHeight="1" x14ac:dyDescent="0.2"/>
    <row r="44544" ht="9.9499999999999993" hidden="1" customHeight="1" x14ac:dyDescent="0.2"/>
    <row r="44545" ht="9.9499999999999993" hidden="1" customHeight="1" x14ac:dyDescent="0.2"/>
    <row r="44546" ht="9.9499999999999993" hidden="1" customHeight="1" x14ac:dyDescent="0.2"/>
    <row r="44547" ht="9.9499999999999993" hidden="1" customHeight="1" x14ac:dyDescent="0.2"/>
    <row r="44548" ht="9.9499999999999993" hidden="1" customHeight="1" x14ac:dyDescent="0.2"/>
    <row r="44549" ht="9.9499999999999993" hidden="1" customHeight="1" x14ac:dyDescent="0.2"/>
    <row r="44550" ht="9.9499999999999993" hidden="1" customHeight="1" x14ac:dyDescent="0.2"/>
    <row r="44551" ht="9.9499999999999993" hidden="1" customHeight="1" x14ac:dyDescent="0.2"/>
    <row r="44552" ht="9.9499999999999993" hidden="1" customHeight="1" x14ac:dyDescent="0.2"/>
    <row r="44553" ht="9.9499999999999993" hidden="1" customHeight="1" x14ac:dyDescent="0.2"/>
    <row r="44554" ht="9.9499999999999993" hidden="1" customHeight="1" x14ac:dyDescent="0.2"/>
    <row r="44555" ht="9.9499999999999993" hidden="1" customHeight="1" x14ac:dyDescent="0.2"/>
    <row r="44556" ht="9.9499999999999993" hidden="1" customHeight="1" x14ac:dyDescent="0.2"/>
    <row r="44557" ht="9.9499999999999993" hidden="1" customHeight="1" x14ac:dyDescent="0.2"/>
    <row r="44558" ht="9.9499999999999993" hidden="1" customHeight="1" x14ac:dyDescent="0.2"/>
    <row r="44559" ht="9.9499999999999993" hidden="1" customHeight="1" x14ac:dyDescent="0.2"/>
    <row r="44560" ht="9.9499999999999993" hidden="1" customHeight="1" x14ac:dyDescent="0.2"/>
    <row r="44561" ht="9.9499999999999993" hidden="1" customHeight="1" x14ac:dyDescent="0.2"/>
    <row r="44562" ht="9.9499999999999993" hidden="1" customHeight="1" x14ac:dyDescent="0.2"/>
    <row r="44563" ht="9.9499999999999993" hidden="1" customHeight="1" x14ac:dyDescent="0.2"/>
    <row r="44564" ht="9.9499999999999993" hidden="1" customHeight="1" x14ac:dyDescent="0.2"/>
    <row r="44565" ht="9.9499999999999993" hidden="1" customHeight="1" x14ac:dyDescent="0.2"/>
    <row r="44566" ht="9.9499999999999993" hidden="1" customHeight="1" x14ac:dyDescent="0.2"/>
    <row r="44567" ht="9.9499999999999993" hidden="1" customHeight="1" x14ac:dyDescent="0.2"/>
    <row r="44568" ht="9.9499999999999993" hidden="1" customHeight="1" x14ac:dyDescent="0.2"/>
    <row r="44569" ht="9.9499999999999993" hidden="1" customHeight="1" x14ac:dyDescent="0.2"/>
    <row r="44570" ht="9.9499999999999993" hidden="1" customHeight="1" x14ac:dyDescent="0.2"/>
    <row r="44571" ht="9.9499999999999993" hidden="1" customHeight="1" x14ac:dyDescent="0.2"/>
    <row r="44572" ht="9.9499999999999993" hidden="1" customHeight="1" x14ac:dyDescent="0.2"/>
    <row r="44573" ht="9.9499999999999993" hidden="1" customHeight="1" x14ac:dyDescent="0.2"/>
    <row r="44574" ht="9.9499999999999993" hidden="1" customHeight="1" x14ac:dyDescent="0.2"/>
    <row r="44575" ht="9.9499999999999993" hidden="1" customHeight="1" x14ac:dyDescent="0.2"/>
    <row r="44576" ht="9.9499999999999993" hidden="1" customHeight="1" x14ac:dyDescent="0.2"/>
    <row r="44577" ht="9.9499999999999993" hidden="1" customHeight="1" x14ac:dyDescent="0.2"/>
    <row r="44578" ht="9.9499999999999993" hidden="1" customHeight="1" x14ac:dyDescent="0.2"/>
    <row r="44579" ht="9.9499999999999993" hidden="1" customHeight="1" x14ac:dyDescent="0.2"/>
    <row r="44580" ht="9.9499999999999993" hidden="1" customHeight="1" x14ac:dyDescent="0.2"/>
    <row r="44581" ht="9.9499999999999993" hidden="1" customHeight="1" x14ac:dyDescent="0.2"/>
    <row r="44582" ht="9.9499999999999993" hidden="1" customHeight="1" x14ac:dyDescent="0.2"/>
    <row r="44583" ht="9.9499999999999993" hidden="1" customHeight="1" x14ac:dyDescent="0.2"/>
    <row r="44584" ht="9.9499999999999993" hidden="1" customHeight="1" x14ac:dyDescent="0.2"/>
    <row r="44585" ht="9.9499999999999993" hidden="1" customHeight="1" x14ac:dyDescent="0.2"/>
    <row r="44586" ht="9.9499999999999993" hidden="1" customHeight="1" x14ac:dyDescent="0.2"/>
    <row r="44587" ht="9.9499999999999993" hidden="1" customHeight="1" x14ac:dyDescent="0.2"/>
    <row r="44588" ht="9.9499999999999993" hidden="1" customHeight="1" x14ac:dyDescent="0.2"/>
    <row r="44589" ht="9.9499999999999993" hidden="1" customHeight="1" x14ac:dyDescent="0.2"/>
    <row r="44590" ht="9.9499999999999993" hidden="1" customHeight="1" x14ac:dyDescent="0.2"/>
    <row r="44591" ht="9.9499999999999993" hidden="1" customHeight="1" x14ac:dyDescent="0.2"/>
    <row r="44592" ht="9.9499999999999993" hidden="1" customHeight="1" x14ac:dyDescent="0.2"/>
    <row r="44593" ht="9.9499999999999993" hidden="1" customHeight="1" x14ac:dyDescent="0.2"/>
    <row r="44594" ht="9.9499999999999993" hidden="1" customHeight="1" x14ac:dyDescent="0.2"/>
    <row r="44595" ht="9.9499999999999993" hidden="1" customHeight="1" x14ac:dyDescent="0.2"/>
    <row r="44596" ht="9.9499999999999993" hidden="1" customHeight="1" x14ac:dyDescent="0.2"/>
    <row r="44597" ht="9.9499999999999993" hidden="1" customHeight="1" x14ac:dyDescent="0.2"/>
    <row r="44598" ht="9.9499999999999993" hidden="1" customHeight="1" x14ac:dyDescent="0.2"/>
    <row r="44599" ht="9.9499999999999993" hidden="1" customHeight="1" x14ac:dyDescent="0.2"/>
    <row r="44600" ht="9.9499999999999993" hidden="1" customHeight="1" x14ac:dyDescent="0.2"/>
    <row r="44601" ht="9.9499999999999993" hidden="1" customHeight="1" x14ac:dyDescent="0.2"/>
    <row r="44602" ht="9.9499999999999993" hidden="1" customHeight="1" x14ac:dyDescent="0.2"/>
    <row r="44603" ht="9.9499999999999993" hidden="1" customHeight="1" x14ac:dyDescent="0.2"/>
    <row r="44604" ht="9.9499999999999993" hidden="1" customHeight="1" x14ac:dyDescent="0.2"/>
    <row r="44605" ht="9.9499999999999993" hidden="1" customHeight="1" x14ac:dyDescent="0.2"/>
    <row r="44606" ht="9.9499999999999993" hidden="1" customHeight="1" x14ac:dyDescent="0.2"/>
    <row r="44607" ht="9.9499999999999993" hidden="1" customHeight="1" x14ac:dyDescent="0.2"/>
    <row r="44608" ht="9.9499999999999993" hidden="1" customHeight="1" x14ac:dyDescent="0.2"/>
    <row r="44609" ht="9.9499999999999993" hidden="1" customHeight="1" x14ac:dyDescent="0.2"/>
    <row r="44610" ht="9.9499999999999993" hidden="1" customHeight="1" x14ac:dyDescent="0.2"/>
    <row r="44611" ht="9.9499999999999993" hidden="1" customHeight="1" x14ac:dyDescent="0.2"/>
    <row r="44612" ht="9.9499999999999993" hidden="1" customHeight="1" x14ac:dyDescent="0.2"/>
    <row r="44613" ht="9.9499999999999993" hidden="1" customHeight="1" x14ac:dyDescent="0.2"/>
    <row r="44614" ht="9.9499999999999993" hidden="1" customHeight="1" x14ac:dyDescent="0.2"/>
    <row r="44615" ht="9.9499999999999993" hidden="1" customHeight="1" x14ac:dyDescent="0.2"/>
    <row r="44616" ht="9.9499999999999993" hidden="1" customHeight="1" x14ac:dyDescent="0.2"/>
    <row r="44617" ht="9.9499999999999993" hidden="1" customHeight="1" x14ac:dyDescent="0.2"/>
    <row r="44618" ht="9.9499999999999993" hidden="1" customHeight="1" x14ac:dyDescent="0.2"/>
    <row r="44619" ht="9.9499999999999993" hidden="1" customHeight="1" x14ac:dyDescent="0.2"/>
    <row r="44620" ht="9.9499999999999993" hidden="1" customHeight="1" x14ac:dyDescent="0.2"/>
    <row r="44621" ht="9.9499999999999993" hidden="1" customHeight="1" x14ac:dyDescent="0.2"/>
    <row r="44622" ht="9.9499999999999993" hidden="1" customHeight="1" x14ac:dyDescent="0.2"/>
    <row r="44623" ht="9.9499999999999993" hidden="1" customHeight="1" x14ac:dyDescent="0.2"/>
    <row r="44624" ht="9.9499999999999993" hidden="1" customHeight="1" x14ac:dyDescent="0.2"/>
    <row r="44625" ht="9.9499999999999993" hidden="1" customHeight="1" x14ac:dyDescent="0.2"/>
    <row r="44626" ht="9.9499999999999993" hidden="1" customHeight="1" x14ac:dyDescent="0.2"/>
    <row r="44627" ht="9.9499999999999993" hidden="1" customHeight="1" x14ac:dyDescent="0.2"/>
    <row r="44628" ht="9.9499999999999993" hidden="1" customHeight="1" x14ac:dyDescent="0.2"/>
    <row r="44629" ht="9.9499999999999993" hidden="1" customHeight="1" x14ac:dyDescent="0.2"/>
    <row r="44630" ht="9.9499999999999993" hidden="1" customHeight="1" x14ac:dyDescent="0.2"/>
    <row r="44631" ht="9.9499999999999993" hidden="1" customHeight="1" x14ac:dyDescent="0.2"/>
    <row r="44632" ht="9.9499999999999993" hidden="1" customHeight="1" x14ac:dyDescent="0.2"/>
    <row r="44633" ht="9.9499999999999993" hidden="1" customHeight="1" x14ac:dyDescent="0.2"/>
    <row r="44634" ht="9.9499999999999993" hidden="1" customHeight="1" x14ac:dyDescent="0.2"/>
    <row r="44635" ht="9.9499999999999993" hidden="1" customHeight="1" x14ac:dyDescent="0.2"/>
    <row r="44636" ht="9.9499999999999993" hidden="1" customHeight="1" x14ac:dyDescent="0.2"/>
    <row r="44637" ht="9.9499999999999993" hidden="1" customHeight="1" x14ac:dyDescent="0.2"/>
    <row r="44638" ht="9.9499999999999993" hidden="1" customHeight="1" x14ac:dyDescent="0.2"/>
    <row r="44639" ht="9.9499999999999993" hidden="1" customHeight="1" x14ac:dyDescent="0.2"/>
    <row r="44640" ht="9.9499999999999993" hidden="1" customHeight="1" x14ac:dyDescent="0.2"/>
    <row r="44641" ht="9.9499999999999993" hidden="1" customHeight="1" x14ac:dyDescent="0.2"/>
    <row r="44642" ht="9.9499999999999993" hidden="1" customHeight="1" x14ac:dyDescent="0.2"/>
    <row r="44643" ht="9.9499999999999993" hidden="1" customHeight="1" x14ac:dyDescent="0.2"/>
    <row r="44644" ht="9.9499999999999993" hidden="1" customHeight="1" x14ac:dyDescent="0.2"/>
    <row r="44645" ht="9.9499999999999993" hidden="1" customHeight="1" x14ac:dyDescent="0.2"/>
    <row r="44646" ht="9.9499999999999993" hidden="1" customHeight="1" x14ac:dyDescent="0.2"/>
    <row r="44647" ht="9.9499999999999993" hidden="1" customHeight="1" x14ac:dyDescent="0.2"/>
    <row r="44648" ht="9.9499999999999993" hidden="1" customHeight="1" x14ac:dyDescent="0.2"/>
    <row r="44649" ht="9.9499999999999993" hidden="1" customHeight="1" x14ac:dyDescent="0.2"/>
    <row r="44650" ht="9.9499999999999993" hidden="1" customHeight="1" x14ac:dyDescent="0.2"/>
    <row r="44651" ht="9.9499999999999993" hidden="1" customHeight="1" x14ac:dyDescent="0.2"/>
    <row r="44652" ht="9.9499999999999993" hidden="1" customHeight="1" x14ac:dyDescent="0.2"/>
    <row r="44653" ht="9.9499999999999993" hidden="1" customHeight="1" x14ac:dyDescent="0.2"/>
    <row r="44654" ht="9.9499999999999993" hidden="1" customHeight="1" x14ac:dyDescent="0.2"/>
    <row r="44655" ht="9.9499999999999993" hidden="1" customHeight="1" x14ac:dyDescent="0.2"/>
    <row r="44656" ht="9.9499999999999993" hidden="1" customHeight="1" x14ac:dyDescent="0.2"/>
    <row r="44657" ht="9.9499999999999993" hidden="1" customHeight="1" x14ac:dyDescent="0.2"/>
    <row r="44658" ht="9.9499999999999993" hidden="1" customHeight="1" x14ac:dyDescent="0.2"/>
    <row r="44659" ht="9.9499999999999993" hidden="1" customHeight="1" x14ac:dyDescent="0.2"/>
    <row r="44660" ht="9.9499999999999993" hidden="1" customHeight="1" x14ac:dyDescent="0.2"/>
    <row r="44661" ht="9.9499999999999993" hidden="1" customHeight="1" x14ac:dyDescent="0.2"/>
    <row r="44662" ht="9.9499999999999993" hidden="1" customHeight="1" x14ac:dyDescent="0.2"/>
    <row r="44663" ht="9.9499999999999993" hidden="1" customHeight="1" x14ac:dyDescent="0.2"/>
    <row r="44664" ht="9.9499999999999993" hidden="1" customHeight="1" x14ac:dyDescent="0.2"/>
    <row r="44665" ht="9.9499999999999993" hidden="1" customHeight="1" x14ac:dyDescent="0.2"/>
    <row r="44666" ht="9.9499999999999993" hidden="1" customHeight="1" x14ac:dyDescent="0.2"/>
    <row r="44667" ht="9.9499999999999993" hidden="1" customHeight="1" x14ac:dyDescent="0.2"/>
    <row r="44668" ht="9.9499999999999993" hidden="1" customHeight="1" x14ac:dyDescent="0.2"/>
    <row r="44669" ht="9.9499999999999993" hidden="1" customHeight="1" x14ac:dyDescent="0.2"/>
    <row r="44670" ht="9.9499999999999993" hidden="1" customHeight="1" x14ac:dyDescent="0.2"/>
    <row r="44671" ht="9.9499999999999993" hidden="1" customHeight="1" x14ac:dyDescent="0.2"/>
    <row r="44672" ht="9.9499999999999993" hidden="1" customHeight="1" x14ac:dyDescent="0.2"/>
    <row r="44673" ht="9.9499999999999993" hidden="1" customHeight="1" x14ac:dyDescent="0.2"/>
    <row r="44674" ht="9.9499999999999993" hidden="1" customHeight="1" x14ac:dyDescent="0.2"/>
    <row r="44675" ht="9.9499999999999993" hidden="1" customHeight="1" x14ac:dyDescent="0.2"/>
    <row r="44676" ht="9.9499999999999993" hidden="1" customHeight="1" x14ac:dyDescent="0.2"/>
    <row r="44677" ht="9.9499999999999993" hidden="1" customHeight="1" x14ac:dyDescent="0.2"/>
    <row r="44678" ht="9.9499999999999993" hidden="1" customHeight="1" x14ac:dyDescent="0.2"/>
    <row r="44679" ht="9.9499999999999993" hidden="1" customHeight="1" x14ac:dyDescent="0.2"/>
    <row r="44680" ht="9.9499999999999993" hidden="1" customHeight="1" x14ac:dyDescent="0.2"/>
    <row r="44681" ht="9.9499999999999993" hidden="1" customHeight="1" x14ac:dyDescent="0.2"/>
    <row r="44682" ht="9.9499999999999993" hidden="1" customHeight="1" x14ac:dyDescent="0.2"/>
    <row r="44683" ht="9.9499999999999993" hidden="1" customHeight="1" x14ac:dyDescent="0.2"/>
    <row r="44684" ht="9.9499999999999993" hidden="1" customHeight="1" x14ac:dyDescent="0.2"/>
    <row r="44685" ht="9.9499999999999993" hidden="1" customHeight="1" x14ac:dyDescent="0.2"/>
    <row r="44686" ht="9.9499999999999993" hidden="1" customHeight="1" x14ac:dyDescent="0.2"/>
    <row r="44687" ht="9.9499999999999993" hidden="1" customHeight="1" x14ac:dyDescent="0.2"/>
    <row r="44688" ht="9.9499999999999993" hidden="1" customHeight="1" x14ac:dyDescent="0.2"/>
    <row r="44689" ht="9.9499999999999993" hidden="1" customHeight="1" x14ac:dyDescent="0.2"/>
    <row r="44690" ht="9.9499999999999993" hidden="1" customHeight="1" x14ac:dyDescent="0.2"/>
    <row r="44691" ht="9.9499999999999993" hidden="1" customHeight="1" x14ac:dyDescent="0.2"/>
    <row r="44692" ht="9.9499999999999993" hidden="1" customHeight="1" x14ac:dyDescent="0.2"/>
    <row r="44693" ht="9.9499999999999993" hidden="1" customHeight="1" x14ac:dyDescent="0.2"/>
    <row r="44694" ht="9.9499999999999993" hidden="1" customHeight="1" x14ac:dyDescent="0.2"/>
    <row r="44695" ht="9.9499999999999993" hidden="1" customHeight="1" x14ac:dyDescent="0.2"/>
    <row r="44696" ht="9.9499999999999993" hidden="1" customHeight="1" x14ac:dyDescent="0.2"/>
    <row r="44697" ht="9.9499999999999993" hidden="1" customHeight="1" x14ac:dyDescent="0.2"/>
    <row r="44698" ht="9.9499999999999993" hidden="1" customHeight="1" x14ac:dyDescent="0.2"/>
    <row r="44699" ht="9.9499999999999993" hidden="1" customHeight="1" x14ac:dyDescent="0.2"/>
    <row r="44700" ht="9.9499999999999993" hidden="1" customHeight="1" x14ac:dyDescent="0.2"/>
    <row r="44701" ht="9.9499999999999993" hidden="1" customHeight="1" x14ac:dyDescent="0.2"/>
    <row r="44702" ht="9.9499999999999993" hidden="1" customHeight="1" x14ac:dyDescent="0.2"/>
    <row r="44703" ht="9.9499999999999993" hidden="1" customHeight="1" x14ac:dyDescent="0.2"/>
    <row r="44704" ht="9.9499999999999993" hidden="1" customHeight="1" x14ac:dyDescent="0.2"/>
    <row r="44705" ht="9.9499999999999993" hidden="1" customHeight="1" x14ac:dyDescent="0.2"/>
    <row r="44706" ht="9.9499999999999993" hidden="1" customHeight="1" x14ac:dyDescent="0.2"/>
    <row r="44707" ht="9.9499999999999993" hidden="1" customHeight="1" x14ac:dyDescent="0.2"/>
    <row r="44708" ht="9.9499999999999993" hidden="1" customHeight="1" x14ac:dyDescent="0.2"/>
    <row r="44709" ht="9.9499999999999993" hidden="1" customHeight="1" x14ac:dyDescent="0.2"/>
    <row r="44710" ht="9.9499999999999993" hidden="1" customHeight="1" x14ac:dyDescent="0.2"/>
    <row r="44711" ht="9.9499999999999993" hidden="1" customHeight="1" x14ac:dyDescent="0.2"/>
    <row r="44712" ht="9.9499999999999993" hidden="1" customHeight="1" x14ac:dyDescent="0.2"/>
    <row r="44713" ht="9.9499999999999993" hidden="1" customHeight="1" x14ac:dyDescent="0.2"/>
    <row r="44714" ht="9.9499999999999993" hidden="1" customHeight="1" x14ac:dyDescent="0.2"/>
    <row r="44715" ht="9.9499999999999993" hidden="1" customHeight="1" x14ac:dyDescent="0.2"/>
    <row r="44716" ht="9.9499999999999993" hidden="1" customHeight="1" x14ac:dyDescent="0.2"/>
    <row r="44717" ht="9.9499999999999993" hidden="1" customHeight="1" x14ac:dyDescent="0.2"/>
    <row r="44718" ht="9.9499999999999993" hidden="1" customHeight="1" x14ac:dyDescent="0.2"/>
    <row r="44719" ht="9.9499999999999993" hidden="1" customHeight="1" x14ac:dyDescent="0.2"/>
    <row r="44720" ht="9.9499999999999993" hidden="1" customHeight="1" x14ac:dyDescent="0.2"/>
    <row r="44721" ht="9.9499999999999993" hidden="1" customHeight="1" x14ac:dyDescent="0.2"/>
    <row r="44722" ht="9.9499999999999993" hidden="1" customHeight="1" x14ac:dyDescent="0.2"/>
    <row r="44723" ht="9.9499999999999993" hidden="1" customHeight="1" x14ac:dyDescent="0.2"/>
    <row r="44724" ht="9.9499999999999993" hidden="1" customHeight="1" x14ac:dyDescent="0.2"/>
    <row r="44725" ht="9.9499999999999993" hidden="1" customHeight="1" x14ac:dyDescent="0.2"/>
    <row r="44726" ht="9.9499999999999993" hidden="1" customHeight="1" x14ac:dyDescent="0.2"/>
    <row r="44727" ht="9.9499999999999993" hidden="1" customHeight="1" x14ac:dyDescent="0.2"/>
    <row r="44728" ht="9.9499999999999993" hidden="1" customHeight="1" x14ac:dyDescent="0.2"/>
    <row r="44729" ht="9.9499999999999993" hidden="1" customHeight="1" x14ac:dyDescent="0.2"/>
    <row r="44730" ht="9.9499999999999993" hidden="1" customHeight="1" x14ac:dyDescent="0.2"/>
    <row r="44731" ht="9.9499999999999993" hidden="1" customHeight="1" x14ac:dyDescent="0.2"/>
    <row r="44732" ht="9.9499999999999993" hidden="1" customHeight="1" x14ac:dyDescent="0.2"/>
    <row r="44733" ht="9.9499999999999993" hidden="1" customHeight="1" x14ac:dyDescent="0.2"/>
    <row r="44734" ht="9.9499999999999993" hidden="1" customHeight="1" x14ac:dyDescent="0.2"/>
    <row r="44735" ht="9.9499999999999993" hidden="1" customHeight="1" x14ac:dyDescent="0.2"/>
    <row r="44736" ht="9.9499999999999993" hidden="1" customHeight="1" x14ac:dyDescent="0.2"/>
    <row r="44737" ht="9.9499999999999993" hidden="1" customHeight="1" x14ac:dyDescent="0.2"/>
    <row r="44738" ht="9.9499999999999993" hidden="1" customHeight="1" x14ac:dyDescent="0.2"/>
    <row r="44739" ht="9.9499999999999993" hidden="1" customHeight="1" x14ac:dyDescent="0.2"/>
    <row r="44740" ht="9.9499999999999993" hidden="1" customHeight="1" x14ac:dyDescent="0.2"/>
    <row r="44741" ht="9.9499999999999993" hidden="1" customHeight="1" x14ac:dyDescent="0.2"/>
    <row r="44742" ht="9.9499999999999993" hidden="1" customHeight="1" x14ac:dyDescent="0.2"/>
    <row r="44743" ht="9.9499999999999993" hidden="1" customHeight="1" x14ac:dyDescent="0.2"/>
    <row r="44744" ht="9.9499999999999993" hidden="1" customHeight="1" x14ac:dyDescent="0.2"/>
    <row r="44745" ht="9.9499999999999993" hidden="1" customHeight="1" x14ac:dyDescent="0.2"/>
    <row r="44746" ht="9.9499999999999993" hidden="1" customHeight="1" x14ac:dyDescent="0.2"/>
    <row r="44747" ht="9.9499999999999993" hidden="1" customHeight="1" x14ac:dyDescent="0.2"/>
    <row r="44748" ht="9.9499999999999993" hidden="1" customHeight="1" x14ac:dyDescent="0.2"/>
    <row r="44749" ht="9.9499999999999993" hidden="1" customHeight="1" x14ac:dyDescent="0.2"/>
    <row r="44750" ht="9.9499999999999993" hidden="1" customHeight="1" x14ac:dyDescent="0.2"/>
    <row r="44751" ht="9.9499999999999993" hidden="1" customHeight="1" x14ac:dyDescent="0.2"/>
    <row r="44752" ht="9.9499999999999993" hidden="1" customHeight="1" x14ac:dyDescent="0.2"/>
    <row r="44753" ht="9.9499999999999993" hidden="1" customHeight="1" x14ac:dyDescent="0.2"/>
    <row r="44754" ht="9.9499999999999993" hidden="1" customHeight="1" x14ac:dyDescent="0.2"/>
    <row r="44755" ht="9.9499999999999993" hidden="1" customHeight="1" x14ac:dyDescent="0.2"/>
    <row r="44756" ht="9.9499999999999993" hidden="1" customHeight="1" x14ac:dyDescent="0.2"/>
    <row r="44757" ht="9.9499999999999993" hidden="1" customHeight="1" x14ac:dyDescent="0.2"/>
    <row r="44758" ht="9.9499999999999993" hidden="1" customHeight="1" x14ac:dyDescent="0.2"/>
    <row r="44759" ht="9.9499999999999993" hidden="1" customHeight="1" x14ac:dyDescent="0.2"/>
    <row r="44760" ht="9.9499999999999993" hidden="1" customHeight="1" x14ac:dyDescent="0.2"/>
    <row r="44761" ht="9.9499999999999993" hidden="1" customHeight="1" x14ac:dyDescent="0.2"/>
    <row r="44762" ht="9.9499999999999993" hidden="1" customHeight="1" x14ac:dyDescent="0.2"/>
    <row r="44763" ht="9.9499999999999993" hidden="1" customHeight="1" x14ac:dyDescent="0.2"/>
    <row r="44764" ht="9.9499999999999993" hidden="1" customHeight="1" x14ac:dyDescent="0.2"/>
    <row r="44765" ht="9.9499999999999993" hidden="1" customHeight="1" x14ac:dyDescent="0.2"/>
    <row r="44766" ht="9.9499999999999993" hidden="1" customHeight="1" x14ac:dyDescent="0.2"/>
    <row r="44767" ht="9.9499999999999993" hidden="1" customHeight="1" x14ac:dyDescent="0.2"/>
    <row r="44768" ht="9.9499999999999993" hidden="1" customHeight="1" x14ac:dyDescent="0.2"/>
    <row r="44769" ht="9.9499999999999993" hidden="1" customHeight="1" x14ac:dyDescent="0.2"/>
    <row r="44770" ht="9.9499999999999993" hidden="1" customHeight="1" x14ac:dyDescent="0.2"/>
    <row r="44771" ht="9.9499999999999993" hidden="1" customHeight="1" x14ac:dyDescent="0.2"/>
    <row r="44772" ht="9.9499999999999993" hidden="1" customHeight="1" x14ac:dyDescent="0.2"/>
    <row r="44773" ht="9.9499999999999993" hidden="1" customHeight="1" x14ac:dyDescent="0.2"/>
    <row r="44774" ht="9.9499999999999993" hidden="1" customHeight="1" x14ac:dyDescent="0.2"/>
    <row r="44775" ht="9.9499999999999993" hidden="1" customHeight="1" x14ac:dyDescent="0.2"/>
    <row r="44776" ht="9.9499999999999993" hidden="1" customHeight="1" x14ac:dyDescent="0.2"/>
    <row r="44777" ht="9.9499999999999993" hidden="1" customHeight="1" x14ac:dyDescent="0.2"/>
    <row r="44778" ht="9.9499999999999993" hidden="1" customHeight="1" x14ac:dyDescent="0.2"/>
    <row r="44779" ht="9.9499999999999993" hidden="1" customHeight="1" x14ac:dyDescent="0.2"/>
    <row r="44780" ht="9.9499999999999993" hidden="1" customHeight="1" x14ac:dyDescent="0.2"/>
    <row r="44781" ht="9.9499999999999993" hidden="1" customHeight="1" x14ac:dyDescent="0.2"/>
    <row r="44782" ht="9.9499999999999993" hidden="1" customHeight="1" x14ac:dyDescent="0.2"/>
    <row r="44783" ht="9.9499999999999993" hidden="1" customHeight="1" x14ac:dyDescent="0.2"/>
    <row r="44784" ht="9.9499999999999993" hidden="1" customHeight="1" x14ac:dyDescent="0.2"/>
    <row r="44785" ht="9.9499999999999993" hidden="1" customHeight="1" x14ac:dyDescent="0.2"/>
    <row r="44786" ht="9.9499999999999993" hidden="1" customHeight="1" x14ac:dyDescent="0.2"/>
    <row r="44787" ht="9.9499999999999993" hidden="1" customHeight="1" x14ac:dyDescent="0.2"/>
    <row r="44788" ht="9.9499999999999993" hidden="1" customHeight="1" x14ac:dyDescent="0.2"/>
    <row r="44789" ht="9.9499999999999993" hidden="1" customHeight="1" x14ac:dyDescent="0.2"/>
    <row r="44790" ht="9.9499999999999993" hidden="1" customHeight="1" x14ac:dyDescent="0.2"/>
    <row r="44791" ht="9.9499999999999993" hidden="1" customHeight="1" x14ac:dyDescent="0.2"/>
    <row r="44792" ht="9.9499999999999993" hidden="1" customHeight="1" x14ac:dyDescent="0.2"/>
    <row r="44793" ht="9.9499999999999993" hidden="1" customHeight="1" x14ac:dyDescent="0.2"/>
    <row r="44794" ht="9.9499999999999993" hidden="1" customHeight="1" x14ac:dyDescent="0.2"/>
    <row r="44795" ht="9.9499999999999993" hidden="1" customHeight="1" x14ac:dyDescent="0.2"/>
    <row r="44796" ht="9.9499999999999993" hidden="1" customHeight="1" x14ac:dyDescent="0.2"/>
    <row r="44797" ht="9.9499999999999993" hidden="1" customHeight="1" x14ac:dyDescent="0.2"/>
    <row r="44798" ht="9.9499999999999993" hidden="1" customHeight="1" x14ac:dyDescent="0.2"/>
    <row r="44799" ht="9.9499999999999993" hidden="1" customHeight="1" x14ac:dyDescent="0.2"/>
    <row r="44800" ht="9.9499999999999993" hidden="1" customHeight="1" x14ac:dyDescent="0.2"/>
    <row r="44801" ht="9.9499999999999993" hidden="1" customHeight="1" x14ac:dyDescent="0.2"/>
    <row r="44802" ht="9.9499999999999993" hidden="1" customHeight="1" x14ac:dyDescent="0.2"/>
    <row r="44803" ht="9.9499999999999993" hidden="1" customHeight="1" x14ac:dyDescent="0.2"/>
    <row r="44804" ht="9.9499999999999993" hidden="1" customHeight="1" x14ac:dyDescent="0.2"/>
    <row r="44805" ht="9.9499999999999993" hidden="1" customHeight="1" x14ac:dyDescent="0.2"/>
    <row r="44806" ht="9.9499999999999993" hidden="1" customHeight="1" x14ac:dyDescent="0.2"/>
    <row r="44807" ht="9.9499999999999993" hidden="1" customHeight="1" x14ac:dyDescent="0.2"/>
    <row r="44808" ht="9.9499999999999993" hidden="1" customHeight="1" x14ac:dyDescent="0.2"/>
    <row r="44809" ht="9.9499999999999993" hidden="1" customHeight="1" x14ac:dyDescent="0.2"/>
    <row r="44810" ht="9.9499999999999993" hidden="1" customHeight="1" x14ac:dyDescent="0.2"/>
    <row r="44811" ht="9.9499999999999993" hidden="1" customHeight="1" x14ac:dyDescent="0.2"/>
    <row r="44812" ht="9.9499999999999993" hidden="1" customHeight="1" x14ac:dyDescent="0.2"/>
    <row r="44813" ht="9.9499999999999993" hidden="1" customHeight="1" x14ac:dyDescent="0.2"/>
    <row r="44814" ht="9.9499999999999993" hidden="1" customHeight="1" x14ac:dyDescent="0.2"/>
    <row r="44815" ht="9.9499999999999993" hidden="1" customHeight="1" x14ac:dyDescent="0.2"/>
    <row r="44816" ht="9.9499999999999993" hidden="1" customHeight="1" x14ac:dyDescent="0.2"/>
    <row r="44817" ht="9.9499999999999993" hidden="1" customHeight="1" x14ac:dyDescent="0.2"/>
    <row r="44818" ht="9.9499999999999993" hidden="1" customHeight="1" x14ac:dyDescent="0.2"/>
    <row r="44819" ht="9.9499999999999993" hidden="1" customHeight="1" x14ac:dyDescent="0.2"/>
    <row r="44820" ht="9.9499999999999993" hidden="1" customHeight="1" x14ac:dyDescent="0.2"/>
    <row r="44821" ht="9.9499999999999993" hidden="1" customHeight="1" x14ac:dyDescent="0.2"/>
    <row r="44822" ht="9.9499999999999993" hidden="1" customHeight="1" x14ac:dyDescent="0.2"/>
    <row r="44823" ht="9.9499999999999993" hidden="1" customHeight="1" x14ac:dyDescent="0.2"/>
    <row r="44824" ht="9.9499999999999993" hidden="1" customHeight="1" x14ac:dyDescent="0.2"/>
    <row r="44825" ht="9.9499999999999993" hidden="1" customHeight="1" x14ac:dyDescent="0.2"/>
    <row r="44826" ht="9.9499999999999993" hidden="1" customHeight="1" x14ac:dyDescent="0.2"/>
    <row r="44827" ht="9.9499999999999993" hidden="1" customHeight="1" x14ac:dyDescent="0.2"/>
    <row r="44828" ht="9.9499999999999993" hidden="1" customHeight="1" x14ac:dyDescent="0.2"/>
    <row r="44829" ht="9.9499999999999993" hidden="1" customHeight="1" x14ac:dyDescent="0.2"/>
    <row r="44830" ht="9.9499999999999993" hidden="1" customHeight="1" x14ac:dyDescent="0.2"/>
    <row r="44831" ht="9.9499999999999993" hidden="1" customHeight="1" x14ac:dyDescent="0.2"/>
    <row r="44832" ht="9.9499999999999993" hidden="1" customHeight="1" x14ac:dyDescent="0.2"/>
    <row r="44833" ht="9.9499999999999993" hidden="1" customHeight="1" x14ac:dyDescent="0.2"/>
    <row r="44834" ht="9.9499999999999993" hidden="1" customHeight="1" x14ac:dyDescent="0.2"/>
    <row r="44835" ht="9.9499999999999993" hidden="1" customHeight="1" x14ac:dyDescent="0.2"/>
    <row r="44836" ht="9.9499999999999993" hidden="1" customHeight="1" x14ac:dyDescent="0.2"/>
    <row r="44837" ht="9.9499999999999993" hidden="1" customHeight="1" x14ac:dyDescent="0.2"/>
    <row r="44838" ht="9.9499999999999993" hidden="1" customHeight="1" x14ac:dyDescent="0.2"/>
    <row r="44839" ht="9.9499999999999993" hidden="1" customHeight="1" x14ac:dyDescent="0.2"/>
    <row r="44840" ht="9.9499999999999993" hidden="1" customHeight="1" x14ac:dyDescent="0.2"/>
    <row r="44841" ht="9.9499999999999993" hidden="1" customHeight="1" x14ac:dyDescent="0.2"/>
    <row r="44842" ht="9.9499999999999993" hidden="1" customHeight="1" x14ac:dyDescent="0.2"/>
    <row r="44843" ht="9.9499999999999993" hidden="1" customHeight="1" x14ac:dyDescent="0.2"/>
    <row r="44844" ht="9.9499999999999993" hidden="1" customHeight="1" x14ac:dyDescent="0.2"/>
    <row r="44845" ht="9.9499999999999993" hidden="1" customHeight="1" x14ac:dyDescent="0.2"/>
    <row r="44846" ht="9.9499999999999993" hidden="1" customHeight="1" x14ac:dyDescent="0.2"/>
    <row r="44847" ht="9.9499999999999993" hidden="1" customHeight="1" x14ac:dyDescent="0.2"/>
    <row r="44848" ht="9.9499999999999993" hidden="1" customHeight="1" x14ac:dyDescent="0.2"/>
    <row r="44849" ht="9.9499999999999993" hidden="1" customHeight="1" x14ac:dyDescent="0.2"/>
    <row r="44850" ht="9.9499999999999993" hidden="1" customHeight="1" x14ac:dyDescent="0.2"/>
    <row r="44851" ht="9.9499999999999993" hidden="1" customHeight="1" x14ac:dyDescent="0.2"/>
    <row r="44852" ht="9.9499999999999993" hidden="1" customHeight="1" x14ac:dyDescent="0.2"/>
    <row r="44853" ht="9.9499999999999993" hidden="1" customHeight="1" x14ac:dyDescent="0.2"/>
    <row r="44854" ht="9.9499999999999993" hidden="1" customHeight="1" x14ac:dyDescent="0.2"/>
    <row r="44855" ht="9.9499999999999993" hidden="1" customHeight="1" x14ac:dyDescent="0.2"/>
    <row r="44856" ht="9.9499999999999993" hidden="1" customHeight="1" x14ac:dyDescent="0.2"/>
    <row r="44857" ht="9.9499999999999993" hidden="1" customHeight="1" x14ac:dyDescent="0.2"/>
    <row r="44858" ht="9.9499999999999993" hidden="1" customHeight="1" x14ac:dyDescent="0.2"/>
    <row r="44859" ht="9.9499999999999993" hidden="1" customHeight="1" x14ac:dyDescent="0.2"/>
    <row r="44860" ht="9.9499999999999993" hidden="1" customHeight="1" x14ac:dyDescent="0.2"/>
    <row r="44861" ht="9.9499999999999993" hidden="1" customHeight="1" x14ac:dyDescent="0.2"/>
    <row r="44862" ht="9.9499999999999993" hidden="1" customHeight="1" x14ac:dyDescent="0.2"/>
    <row r="44863" ht="9.9499999999999993" hidden="1" customHeight="1" x14ac:dyDescent="0.2"/>
    <row r="44864" ht="9.9499999999999993" hidden="1" customHeight="1" x14ac:dyDescent="0.2"/>
    <row r="44865" ht="9.9499999999999993" hidden="1" customHeight="1" x14ac:dyDescent="0.2"/>
    <row r="44866" ht="9.9499999999999993" hidden="1" customHeight="1" x14ac:dyDescent="0.2"/>
    <row r="44867" ht="9.9499999999999993" hidden="1" customHeight="1" x14ac:dyDescent="0.2"/>
    <row r="44868" ht="9.9499999999999993" hidden="1" customHeight="1" x14ac:dyDescent="0.2"/>
    <row r="44869" ht="9.9499999999999993" hidden="1" customHeight="1" x14ac:dyDescent="0.2"/>
    <row r="44870" ht="9.9499999999999993" hidden="1" customHeight="1" x14ac:dyDescent="0.2"/>
    <row r="44871" ht="9.9499999999999993" hidden="1" customHeight="1" x14ac:dyDescent="0.2"/>
    <row r="44872" ht="9.9499999999999993" hidden="1" customHeight="1" x14ac:dyDescent="0.2"/>
    <row r="44873" ht="9.9499999999999993" hidden="1" customHeight="1" x14ac:dyDescent="0.2"/>
    <row r="44874" ht="9.9499999999999993" hidden="1" customHeight="1" x14ac:dyDescent="0.2"/>
    <row r="44875" ht="9.9499999999999993" hidden="1" customHeight="1" x14ac:dyDescent="0.2"/>
    <row r="44876" ht="9.9499999999999993" hidden="1" customHeight="1" x14ac:dyDescent="0.2"/>
    <row r="44877" ht="9.9499999999999993" hidden="1" customHeight="1" x14ac:dyDescent="0.2"/>
    <row r="44878" ht="9.9499999999999993" hidden="1" customHeight="1" x14ac:dyDescent="0.2"/>
    <row r="44879" ht="9.9499999999999993" hidden="1" customHeight="1" x14ac:dyDescent="0.2"/>
    <row r="44880" ht="9.9499999999999993" hidden="1" customHeight="1" x14ac:dyDescent="0.2"/>
    <row r="44881" ht="9.9499999999999993" hidden="1" customHeight="1" x14ac:dyDescent="0.2"/>
    <row r="44882" ht="9.9499999999999993" hidden="1" customHeight="1" x14ac:dyDescent="0.2"/>
    <row r="44883" ht="9.9499999999999993" hidden="1" customHeight="1" x14ac:dyDescent="0.2"/>
    <row r="44884" ht="9.9499999999999993" hidden="1" customHeight="1" x14ac:dyDescent="0.2"/>
    <row r="44885" ht="9.9499999999999993" hidden="1" customHeight="1" x14ac:dyDescent="0.2"/>
    <row r="44886" ht="9.9499999999999993" hidden="1" customHeight="1" x14ac:dyDescent="0.2"/>
    <row r="44887" ht="9.9499999999999993" hidden="1" customHeight="1" x14ac:dyDescent="0.2"/>
    <row r="44888" ht="9.9499999999999993" hidden="1" customHeight="1" x14ac:dyDescent="0.2"/>
    <row r="44889" ht="9.9499999999999993" hidden="1" customHeight="1" x14ac:dyDescent="0.2"/>
    <row r="44890" ht="9.9499999999999993" hidden="1" customHeight="1" x14ac:dyDescent="0.2"/>
    <row r="44891" ht="9.9499999999999993" hidden="1" customHeight="1" x14ac:dyDescent="0.2"/>
    <row r="44892" ht="9.9499999999999993" hidden="1" customHeight="1" x14ac:dyDescent="0.2"/>
    <row r="44893" ht="9.9499999999999993" hidden="1" customHeight="1" x14ac:dyDescent="0.2"/>
    <row r="44894" ht="9.9499999999999993" hidden="1" customHeight="1" x14ac:dyDescent="0.2"/>
    <row r="44895" ht="9.9499999999999993" hidden="1" customHeight="1" x14ac:dyDescent="0.2"/>
    <row r="44896" ht="9.9499999999999993" hidden="1" customHeight="1" x14ac:dyDescent="0.2"/>
    <row r="44897" ht="9.9499999999999993" hidden="1" customHeight="1" x14ac:dyDescent="0.2"/>
    <row r="44898" ht="9.9499999999999993" hidden="1" customHeight="1" x14ac:dyDescent="0.2"/>
    <row r="44899" ht="9.9499999999999993" hidden="1" customHeight="1" x14ac:dyDescent="0.2"/>
    <row r="44900" ht="9.9499999999999993" hidden="1" customHeight="1" x14ac:dyDescent="0.2"/>
    <row r="44901" ht="9.9499999999999993" hidden="1" customHeight="1" x14ac:dyDescent="0.2"/>
    <row r="44902" ht="9.9499999999999993" hidden="1" customHeight="1" x14ac:dyDescent="0.2"/>
    <row r="44903" ht="9.9499999999999993" hidden="1" customHeight="1" x14ac:dyDescent="0.2"/>
    <row r="44904" ht="9.9499999999999993" hidden="1" customHeight="1" x14ac:dyDescent="0.2"/>
    <row r="44905" ht="9.9499999999999993" hidden="1" customHeight="1" x14ac:dyDescent="0.2"/>
    <row r="44906" ht="9.9499999999999993" hidden="1" customHeight="1" x14ac:dyDescent="0.2"/>
    <row r="44907" ht="9.9499999999999993" hidden="1" customHeight="1" x14ac:dyDescent="0.2"/>
    <row r="44908" ht="9.9499999999999993" hidden="1" customHeight="1" x14ac:dyDescent="0.2"/>
    <row r="44909" ht="9.9499999999999993" hidden="1" customHeight="1" x14ac:dyDescent="0.2"/>
    <row r="44910" ht="9.9499999999999993" hidden="1" customHeight="1" x14ac:dyDescent="0.2"/>
    <row r="44911" ht="9.9499999999999993" hidden="1" customHeight="1" x14ac:dyDescent="0.2"/>
    <row r="44912" ht="9.9499999999999993" hidden="1" customHeight="1" x14ac:dyDescent="0.2"/>
    <row r="44913" ht="9.9499999999999993" hidden="1" customHeight="1" x14ac:dyDescent="0.2"/>
    <row r="44914" ht="9.9499999999999993" hidden="1" customHeight="1" x14ac:dyDescent="0.2"/>
    <row r="44915" ht="9.9499999999999993" hidden="1" customHeight="1" x14ac:dyDescent="0.2"/>
    <row r="44916" ht="9.9499999999999993" hidden="1" customHeight="1" x14ac:dyDescent="0.2"/>
    <row r="44917" ht="9.9499999999999993" hidden="1" customHeight="1" x14ac:dyDescent="0.2"/>
    <row r="44918" ht="9.9499999999999993" hidden="1" customHeight="1" x14ac:dyDescent="0.2"/>
    <row r="44919" ht="9.9499999999999993" hidden="1" customHeight="1" x14ac:dyDescent="0.2"/>
    <row r="44920" ht="9.9499999999999993" hidden="1" customHeight="1" x14ac:dyDescent="0.2"/>
    <row r="44921" ht="9.9499999999999993" hidden="1" customHeight="1" x14ac:dyDescent="0.2"/>
    <row r="44922" ht="9.9499999999999993" hidden="1" customHeight="1" x14ac:dyDescent="0.2"/>
    <row r="44923" ht="9.9499999999999993" hidden="1" customHeight="1" x14ac:dyDescent="0.2"/>
    <row r="44924" ht="9.9499999999999993" hidden="1" customHeight="1" x14ac:dyDescent="0.2"/>
    <row r="44925" ht="9.9499999999999993" hidden="1" customHeight="1" x14ac:dyDescent="0.2"/>
    <row r="44926" ht="9.9499999999999993" hidden="1" customHeight="1" x14ac:dyDescent="0.2"/>
    <row r="44927" ht="9.9499999999999993" hidden="1" customHeight="1" x14ac:dyDescent="0.2"/>
    <row r="44928" ht="9.9499999999999993" hidden="1" customHeight="1" x14ac:dyDescent="0.2"/>
    <row r="44929" ht="9.9499999999999993" hidden="1" customHeight="1" x14ac:dyDescent="0.2"/>
    <row r="44930" ht="9.9499999999999993" hidden="1" customHeight="1" x14ac:dyDescent="0.2"/>
    <row r="44931" ht="9.9499999999999993" hidden="1" customHeight="1" x14ac:dyDescent="0.2"/>
    <row r="44932" ht="9.9499999999999993" hidden="1" customHeight="1" x14ac:dyDescent="0.2"/>
    <row r="44933" ht="9.9499999999999993" hidden="1" customHeight="1" x14ac:dyDescent="0.2"/>
    <row r="44934" ht="9.9499999999999993" hidden="1" customHeight="1" x14ac:dyDescent="0.2"/>
    <row r="44935" ht="9.9499999999999993" hidden="1" customHeight="1" x14ac:dyDescent="0.2"/>
    <row r="44936" ht="9.9499999999999993" hidden="1" customHeight="1" x14ac:dyDescent="0.2"/>
    <row r="44937" ht="9.9499999999999993" hidden="1" customHeight="1" x14ac:dyDescent="0.2"/>
    <row r="44938" ht="9.9499999999999993" hidden="1" customHeight="1" x14ac:dyDescent="0.2"/>
    <row r="44939" ht="9.9499999999999993" hidden="1" customHeight="1" x14ac:dyDescent="0.2"/>
    <row r="44940" ht="9.9499999999999993" hidden="1" customHeight="1" x14ac:dyDescent="0.2"/>
    <row r="44941" ht="9.9499999999999993" hidden="1" customHeight="1" x14ac:dyDescent="0.2"/>
    <row r="44942" ht="9.9499999999999993" hidden="1" customHeight="1" x14ac:dyDescent="0.2"/>
    <row r="44943" ht="9.9499999999999993" hidden="1" customHeight="1" x14ac:dyDescent="0.2"/>
    <row r="44944" ht="9.9499999999999993" hidden="1" customHeight="1" x14ac:dyDescent="0.2"/>
    <row r="44945" ht="9.9499999999999993" hidden="1" customHeight="1" x14ac:dyDescent="0.2"/>
    <row r="44946" ht="9.9499999999999993" hidden="1" customHeight="1" x14ac:dyDescent="0.2"/>
    <row r="44947" ht="9.9499999999999993" hidden="1" customHeight="1" x14ac:dyDescent="0.2"/>
    <row r="44948" ht="9.9499999999999993" hidden="1" customHeight="1" x14ac:dyDescent="0.2"/>
    <row r="44949" ht="9.9499999999999993" hidden="1" customHeight="1" x14ac:dyDescent="0.2"/>
    <row r="44950" ht="9.9499999999999993" hidden="1" customHeight="1" x14ac:dyDescent="0.2"/>
    <row r="44951" ht="9.9499999999999993" hidden="1" customHeight="1" x14ac:dyDescent="0.2"/>
    <row r="44952" ht="9.9499999999999993" hidden="1" customHeight="1" x14ac:dyDescent="0.2"/>
    <row r="44953" ht="9.9499999999999993" hidden="1" customHeight="1" x14ac:dyDescent="0.2"/>
    <row r="44954" ht="9.9499999999999993" hidden="1" customHeight="1" x14ac:dyDescent="0.2"/>
    <row r="44955" ht="9.9499999999999993" hidden="1" customHeight="1" x14ac:dyDescent="0.2"/>
    <row r="44956" ht="9.9499999999999993" hidden="1" customHeight="1" x14ac:dyDescent="0.2"/>
    <row r="44957" ht="9.9499999999999993" hidden="1" customHeight="1" x14ac:dyDescent="0.2"/>
    <row r="44958" ht="9.9499999999999993" hidden="1" customHeight="1" x14ac:dyDescent="0.2"/>
    <row r="44959" ht="9.9499999999999993" hidden="1" customHeight="1" x14ac:dyDescent="0.2"/>
    <row r="44960" ht="9.9499999999999993" hidden="1" customHeight="1" x14ac:dyDescent="0.2"/>
    <row r="44961" ht="9.9499999999999993" hidden="1" customHeight="1" x14ac:dyDescent="0.2"/>
    <row r="44962" ht="9.9499999999999993" hidden="1" customHeight="1" x14ac:dyDescent="0.2"/>
    <row r="44963" ht="9.9499999999999993" hidden="1" customHeight="1" x14ac:dyDescent="0.2"/>
    <row r="44964" ht="9.9499999999999993" hidden="1" customHeight="1" x14ac:dyDescent="0.2"/>
    <row r="44965" ht="9.9499999999999993" hidden="1" customHeight="1" x14ac:dyDescent="0.2"/>
    <row r="44966" ht="9.9499999999999993" hidden="1" customHeight="1" x14ac:dyDescent="0.2"/>
    <row r="44967" ht="9.9499999999999993" hidden="1" customHeight="1" x14ac:dyDescent="0.2"/>
    <row r="44968" ht="9.9499999999999993" hidden="1" customHeight="1" x14ac:dyDescent="0.2"/>
    <row r="44969" ht="9.9499999999999993" hidden="1" customHeight="1" x14ac:dyDescent="0.2"/>
    <row r="44970" ht="9.9499999999999993" hidden="1" customHeight="1" x14ac:dyDescent="0.2"/>
    <row r="44971" ht="9.9499999999999993" hidden="1" customHeight="1" x14ac:dyDescent="0.2"/>
    <row r="44972" ht="9.9499999999999993" hidden="1" customHeight="1" x14ac:dyDescent="0.2"/>
    <row r="44973" ht="9.9499999999999993" hidden="1" customHeight="1" x14ac:dyDescent="0.2"/>
    <row r="44974" ht="9.9499999999999993" hidden="1" customHeight="1" x14ac:dyDescent="0.2"/>
    <row r="44975" ht="9.9499999999999993" hidden="1" customHeight="1" x14ac:dyDescent="0.2"/>
    <row r="44976" ht="9.9499999999999993" hidden="1" customHeight="1" x14ac:dyDescent="0.2"/>
    <row r="44977" ht="9.9499999999999993" hidden="1" customHeight="1" x14ac:dyDescent="0.2"/>
    <row r="44978" ht="9.9499999999999993" hidden="1" customHeight="1" x14ac:dyDescent="0.2"/>
    <row r="44979" ht="9.9499999999999993" hidden="1" customHeight="1" x14ac:dyDescent="0.2"/>
    <row r="44980" ht="9.9499999999999993" hidden="1" customHeight="1" x14ac:dyDescent="0.2"/>
    <row r="44981" ht="9.9499999999999993" hidden="1" customHeight="1" x14ac:dyDescent="0.2"/>
    <row r="44982" ht="9.9499999999999993" hidden="1" customHeight="1" x14ac:dyDescent="0.2"/>
    <row r="44983" ht="9.9499999999999993" hidden="1" customHeight="1" x14ac:dyDescent="0.2"/>
    <row r="44984" ht="9.9499999999999993" hidden="1" customHeight="1" x14ac:dyDescent="0.2"/>
    <row r="44985" ht="9.9499999999999993" hidden="1" customHeight="1" x14ac:dyDescent="0.2"/>
    <row r="44986" ht="9.9499999999999993" hidden="1" customHeight="1" x14ac:dyDescent="0.2"/>
    <row r="44987" ht="9.9499999999999993" hidden="1" customHeight="1" x14ac:dyDescent="0.2"/>
    <row r="44988" ht="9.9499999999999993" hidden="1" customHeight="1" x14ac:dyDescent="0.2"/>
    <row r="44989" ht="9.9499999999999993" hidden="1" customHeight="1" x14ac:dyDescent="0.2"/>
    <row r="44990" ht="9.9499999999999993" hidden="1" customHeight="1" x14ac:dyDescent="0.2"/>
    <row r="44991" ht="9.9499999999999993" hidden="1" customHeight="1" x14ac:dyDescent="0.2"/>
    <row r="44992" ht="9.9499999999999993" hidden="1" customHeight="1" x14ac:dyDescent="0.2"/>
    <row r="44993" ht="9.9499999999999993" hidden="1" customHeight="1" x14ac:dyDescent="0.2"/>
    <row r="44994" ht="9.9499999999999993" hidden="1" customHeight="1" x14ac:dyDescent="0.2"/>
    <row r="44995" ht="9.9499999999999993" hidden="1" customHeight="1" x14ac:dyDescent="0.2"/>
    <row r="44996" ht="9.9499999999999993" hidden="1" customHeight="1" x14ac:dyDescent="0.2"/>
    <row r="44997" ht="9.9499999999999993" hidden="1" customHeight="1" x14ac:dyDescent="0.2"/>
    <row r="44998" ht="9.9499999999999993" hidden="1" customHeight="1" x14ac:dyDescent="0.2"/>
    <row r="44999" ht="9.9499999999999993" hidden="1" customHeight="1" x14ac:dyDescent="0.2"/>
    <row r="45000" ht="9.9499999999999993" hidden="1" customHeight="1" x14ac:dyDescent="0.2"/>
    <row r="45001" ht="9.9499999999999993" hidden="1" customHeight="1" x14ac:dyDescent="0.2"/>
    <row r="45002" ht="9.9499999999999993" hidden="1" customHeight="1" x14ac:dyDescent="0.2"/>
    <row r="45003" ht="9.9499999999999993" hidden="1" customHeight="1" x14ac:dyDescent="0.2"/>
    <row r="45004" ht="9.9499999999999993" hidden="1" customHeight="1" x14ac:dyDescent="0.2"/>
    <row r="45005" ht="9.9499999999999993" hidden="1" customHeight="1" x14ac:dyDescent="0.2"/>
    <row r="45006" ht="9.9499999999999993" hidden="1" customHeight="1" x14ac:dyDescent="0.2"/>
    <row r="45007" ht="9.9499999999999993" hidden="1" customHeight="1" x14ac:dyDescent="0.2"/>
    <row r="45008" ht="9.9499999999999993" hidden="1" customHeight="1" x14ac:dyDescent="0.2"/>
    <row r="45009" ht="9.9499999999999993" hidden="1" customHeight="1" x14ac:dyDescent="0.2"/>
    <row r="45010" ht="9.9499999999999993" hidden="1" customHeight="1" x14ac:dyDescent="0.2"/>
    <row r="45011" ht="9.9499999999999993" hidden="1" customHeight="1" x14ac:dyDescent="0.2"/>
    <row r="45012" ht="9.9499999999999993" hidden="1" customHeight="1" x14ac:dyDescent="0.2"/>
    <row r="45013" ht="9.9499999999999993" hidden="1" customHeight="1" x14ac:dyDescent="0.2"/>
    <row r="45014" ht="9.9499999999999993" hidden="1" customHeight="1" x14ac:dyDescent="0.2"/>
    <row r="45015" ht="9.9499999999999993" hidden="1" customHeight="1" x14ac:dyDescent="0.2"/>
    <row r="45016" ht="9.9499999999999993" hidden="1" customHeight="1" x14ac:dyDescent="0.2"/>
    <row r="45017" ht="9.9499999999999993" hidden="1" customHeight="1" x14ac:dyDescent="0.2"/>
    <row r="45018" ht="9.9499999999999993" hidden="1" customHeight="1" x14ac:dyDescent="0.2"/>
    <row r="45019" ht="9.9499999999999993" hidden="1" customHeight="1" x14ac:dyDescent="0.2"/>
    <row r="45020" ht="9.9499999999999993" hidden="1" customHeight="1" x14ac:dyDescent="0.2"/>
    <row r="45021" ht="9.9499999999999993" hidden="1" customHeight="1" x14ac:dyDescent="0.2"/>
    <row r="45022" ht="9.9499999999999993" hidden="1" customHeight="1" x14ac:dyDescent="0.2"/>
    <row r="45023" ht="9.9499999999999993" hidden="1" customHeight="1" x14ac:dyDescent="0.2"/>
    <row r="45024" ht="9.9499999999999993" hidden="1" customHeight="1" x14ac:dyDescent="0.2"/>
    <row r="45025" ht="9.9499999999999993" hidden="1" customHeight="1" x14ac:dyDescent="0.2"/>
    <row r="45026" ht="9.9499999999999993" hidden="1" customHeight="1" x14ac:dyDescent="0.2"/>
    <row r="45027" ht="9.9499999999999993" hidden="1" customHeight="1" x14ac:dyDescent="0.2"/>
    <row r="45028" ht="9.9499999999999993" hidden="1" customHeight="1" x14ac:dyDescent="0.2"/>
    <row r="45029" ht="9.9499999999999993" hidden="1" customHeight="1" x14ac:dyDescent="0.2"/>
    <row r="45030" ht="9.9499999999999993" hidden="1" customHeight="1" x14ac:dyDescent="0.2"/>
    <row r="45031" ht="9.9499999999999993" hidden="1" customHeight="1" x14ac:dyDescent="0.2"/>
    <row r="45032" ht="9.9499999999999993" hidden="1" customHeight="1" x14ac:dyDescent="0.2"/>
    <row r="45033" ht="9.9499999999999993" hidden="1" customHeight="1" x14ac:dyDescent="0.2"/>
    <row r="45034" ht="9.9499999999999993" hidden="1" customHeight="1" x14ac:dyDescent="0.2"/>
    <row r="45035" ht="9.9499999999999993" hidden="1" customHeight="1" x14ac:dyDescent="0.2"/>
    <row r="45036" ht="9.9499999999999993" hidden="1" customHeight="1" x14ac:dyDescent="0.2"/>
    <row r="45037" ht="9.9499999999999993" hidden="1" customHeight="1" x14ac:dyDescent="0.2"/>
    <row r="45038" ht="9.9499999999999993" hidden="1" customHeight="1" x14ac:dyDescent="0.2"/>
    <row r="45039" ht="9.9499999999999993" hidden="1" customHeight="1" x14ac:dyDescent="0.2"/>
    <row r="45040" ht="9.9499999999999993" hidden="1" customHeight="1" x14ac:dyDescent="0.2"/>
    <row r="45041" ht="9.9499999999999993" hidden="1" customHeight="1" x14ac:dyDescent="0.2"/>
    <row r="45042" ht="9.9499999999999993" hidden="1" customHeight="1" x14ac:dyDescent="0.2"/>
    <row r="45043" ht="9.9499999999999993" hidden="1" customHeight="1" x14ac:dyDescent="0.2"/>
    <row r="45044" ht="9.9499999999999993" hidden="1" customHeight="1" x14ac:dyDescent="0.2"/>
    <row r="45045" ht="9.9499999999999993" hidden="1" customHeight="1" x14ac:dyDescent="0.2"/>
    <row r="45046" ht="9.9499999999999993" hidden="1" customHeight="1" x14ac:dyDescent="0.2"/>
    <row r="45047" ht="9.9499999999999993" hidden="1" customHeight="1" x14ac:dyDescent="0.2"/>
    <row r="45048" ht="9.9499999999999993" hidden="1" customHeight="1" x14ac:dyDescent="0.2"/>
    <row r="45049" ht="9.9499999999999993" hidden="1" customHeight="1" x14ac:dyDescent="0.2"/>
    <row r="45050" ht="9.9499999999999993" hidden="1" customHeight="1" x14ac:dyDescent="0.2"/>
    <row r="45051" ht="9.9499999999999993" hidden="1" customHeight="1" x14ac:dyDescent="0.2"/>
    <row r="45052" ht="9.9499999999999993" hidden="1" customHeight="1" x14ac:dyDescent="0.2"/>
    <row r="45053" ht="9.9499999999999993" hidden="1" customHeight="1" x14ac:dyDescent="0.2"/>
    <row r="45054" ht="9.9499999999999993" hidden="1" customHeight="1" x14ac:dyDescent="0.2"/>
    <row r="45055" ht="9.9499999999999993" hidden="1" customHeight="1" x14ac:dyDescent="0.2"/>
    <row r="45056" ht="9.9499999999999993" hidden="1" customHeight="1" x14ac:dyDescent="0.2"/>
    <row r="45057" ht="9.9499999999999993" hidden="1" customHeight="1" x14ac:dyDescent="0.2"/>
    <row r="45058" ht="9.9499999999999993" hidden="1" customHeight="1" x14ac:dyDescent="0.2"/>
    <row r="45059" ht="9.9499999999999993" hidden="1" customHeight="1" x14ac:dyDescent="0.2"/>
    <row r="45060" ht="9.9499999999999993" hidden="1" customHeight="1" x14ac:dyDescent="0.2"/>
    <row r="45061" ht="9.9499999999999993" hidden="1" customHeight="1" x14ac:dyDescent="0.2"/>
    <row r="45062" ht="9.9499999999999993" hidden="1" customHeight="1" x14ac:dyDescent="0.2"/>
    <row r="45063" ht="9.9499999999999993" hidden="1" customHeight="1" x14ac:dyDescent="0.2"/>
    <row r="45064" ht="9.9499999999999993" hidden="1" customHeight="1" x14ac:dyDescent="0.2"/>
    <row r="45065" ht="9.9499999999999993" hidden="1" customHeight="1" x14ac:dyDescent="0.2"/>
    <row r="45066" ht="9.9499999999999993" hidden="1" customHeight="1" x14ac:dyDescent="0.2"/>
    <row r="45067" ht="9.9499999999999993" hidden="1" customHeight="1" x14ac:dyDescent="0.2"/>
    <row r="45068" ht="9.9499999999999993" hidden="1" customHeight="1" x14ac:dyDescent="0.2"/>
    <row r="45069" ht="9.9499999999999993" hidden="1" customHeight="1" x14ac:dyDescent="0.2"/>
    <row r="45070" ht="9.9499999999999993" hidden="1" customHeight="1" x14ac:dyDescent="0.2"/>
    <row r="45071" ht="9.9499999999999993" hidden="1" customHeight="1" x14ac:dyDescent="0.2"/>
    <row r="45072" ht="9.9499999999999993" hidden="1" customHeight="1" x14ac:dyDescent="0.2"/>
    <row r="45073" ht="9.9499999999999993" hidden="1" customHeight="1" x14ac:dyDescent="0.2"/>
    <row r="45074" ht="9.9499999999999993" hidden="1" customHeight="1" x14ac:dyDescent="0.2"/>
    <row r="45075" ht="9.9499999999999993" hidden="1" customHeight="1" x14ac:dyDescent="0.2"/>
    <row r="45076" ht="9.9499999999999993" hidden="1" customHeight="1" x14ac:dyDescent="0.2"/>
    <row r="45077" ht="9.9499999999999993" hidden="1" customHeight="1" x14ac:dyDescent="0.2"/>
    <row r="45078" ht="9.9499999999999993" hidden="1" customHeight="1" x14ac:dyDescent="0.2"/>
    <row r="45079" ht="9.9499999999999993" hidden="1" customHeight="1" x14ac:dyDescent="0.2"/>
    <row r="45080" ht="9.9499999999999993" hidden="1" customHeight="1" x14ac:dyDescent="0.2"/>
    <row r="45081" ht="9.9499999999999993" hidden="1" customHeight="1" x14ac:dyDescent="0.2"/>
    <row r="45082" ht="9.9499999999999993" hidden="1" customHeight="1" x14ac:dyDescent="0.2"/>
    <row r="45083" ht="9.9499999999999993" hidden="1" customHeight="1" x14ac:dyDescent="0.2"/>
    <row r="45084" ht="9.9499999999999993" hidden="1" customHeight="1" x14ac:dyDescent="0.2"/>
    <row r="45085" ht="9.9499999999999993" hidden="1" customHeight="1" x14ac:dyDescent="0.2"/>
    <row r="45086" ht="9.9499999999999993" hidden="1" customHeight="1" x14ac:dyDescent="0.2"/>
    <row r="45087" ht="9.9499999999999993" hidden="1" customHeight="1" x14ac:dyDescent="0.2"/>
    <row r="45088" ht="9.9499999999999993" hidden="1" customHeight="1" x14ac:dyDescent="0.2"/>
    <row r="45089" ht="9.9499999999999993" hidden="1" customHeight="1" x14ac:dyDescent="0.2"/>
    <row r="45090" ht="9.9499999999999993" hidden="1" customHeight="1" x14ac:dyDescent="0.2"/>
    <row r="45091" ht="9.9499999999999993" hidden="1" customHeight="1" x14ac:dyDescent="0.2"/>
    <row r="45092" ht="9.9499999999999993" hidden="1" customHeight="1" x14ac:dyDescent="0.2"/>
    <row r="45093" ht="9.9499999999999993" hidden="1" customHeight="1" x14ac:dyDescent="0.2"/>
    <row r="45094" ht="9.9499999999999993" hidden="1" customHeight="1" x14ac:dyDescent="0.2"/>
    <row r="45095" ht="9.9499999999999993" hidden="1" customHeight="1" x14ac:dyDescent="0.2"/>
    <row r="45096" ht="9.9499999999999993" hidden="1" customHeight="1" x14ac:dyDescent="0.2"/>
    <row r="45097" ht="9.9499999999999993" hidden="1" customHeight="1" x14ac:dyDescent="0.2"/>
    <row r="45098" ht="9.9499999999999993" hidden="1" customHeight="1" x14ac:dyDescent="0.2"/>
    <row r="45099" ht="9.9499999999999993" hidden="1" customHeight="1" x14ac:dyDescent="0.2"/>
    <row r="45100" ht="9.9499999999999993" hidden="1" customHeight="1" x14ac:dyDescent="0.2"/>
    <row r="45101" ht="9.9499999999999993" hidden="1" customHeight="1" x14ac:dyDescent="0.2"/>
    <row r="45102" ht="9.9499999999999993" hidden="1" customHeight="1" x14ac:dyDescent="0.2"/>
    <row r="45103" ht="9.9499999999999993" hidden="1" customHeight="1" x14ac:dyDescent="0.2"/>
    <row r="45104" ht="9.9499999999999993" hidden="1" customHeight="1" x14ac:dyDescent="0.2"/>
    <row r="45105" ht="9.9499999999999993" hidden="1" customHeight="1" x14ac:dyDescent="0.2"/>
    <row r="45106" ht="9.9499999999999993" hidden="1" customHeight="1" x14ac:dyDescent="0.2"/>
    <row r="45107" ht="9.9499999999999993" hidden="1" customHeight="1" x14ac:dyDescent="0.2"/>
    <row r="45108" ht="9.9499999999999993" hidden="1" customHeight="1" x14ac:dyDescent="0.2"/>
    <row r="45109" ht="9.9499999999999993" hidden="1" customHeight="1" x14ac:dyDescent="0.2"/>
    <row r="45110" ht="9.9499999999999993" hidden="1" customHeight="1" x14ac:dyDescent="0.2"/>
    <row r="45111" ht="9.9499999999999993" hidden="1" customHeight="1" x14ac:dyDescent="0.2"/>
    <row r="45112" ht="9.9499999999999993" hidden="1" customHeight="1" x14ac:dyDescent="0.2"/>
    <row r="45113" ht="9.9499999999999993" hidden="1" customHeight="1" x14ac:dyDescent="0.2"/>
    <row r="45114" ht="9.9499999999999993" hidden="1" customHeight="1" x14ac:dyDescent="0.2"/>
    <row r="45115" ht="9.9499999999999993" hidden="1" customHeight="1" x14ac:dyDescent="0.2"/>
    <row r="45116" ht="9.9499999999999993" hidden="1" customHeight="1" x14ac:dyDescent="0.2"/>
    <row r="45117" ht="9.9499999999999993" hidden="1" customHeight="1" x14ac:dyDescent="0.2"/>
    <row r="45118" ht="9.9499999999999993" hidden="1" customHeight="1" x14ac:dyDescent="0.2"/>
    <row r="45119" ht="9.9499999999999993" hidden="1" customHeight="1" x14ac:dyDescent="0.2"/>
    <row r="45120" ht="9.9499999999999993" hidden="1" customHeight="1" x14ac:dyDescent="0.2"/>
    <row r="45121" ht="9.9499999999999993" hidden="1" customHeight="1" x14ac:dyDescent="0.2"/>
    <row r="45122" ht="9.9499999999999993" hidden="1" customHeight="1" x14ac:dyDescent="0.2"/>
    <row r="45123" ht="9.9499999999999993" hidden="1" customHeight="1" x14ac:dyDescent="0.2"/>
    <row r="45124" ht="9.9499999999999993" hidden="1" customHeight="1" x14ac:dyDescent="0.2"/>
    <row r="45125" ht="9.9499999999999993" hidden="1" customHeight="1" x14ac:dyDescent="0.2"/>
    <row r="45126" ht="9.9499999999999993" hidden="1" customHeight="1" x14ac:dyDescent="0.2"/>
    <row r="45127" ht="9.9499999999999993" hidden="1" customHeight="1" x14ac:dyDescent="0.2"/>
    <row r="45128" ht="9.9499999999999993" hidden="1" customHeight="1" x14ac:dyDescent="0.2"/>
    <row r="45129" ht="9.9499999999999993" hidden="1" customHeight="1" x14ac:dyDescent="0.2"/>
    <row r="45130" ht="9.9499999999999993" hidden="1" customHeight="1" x14ac:dyDescent="0.2"/>
    <row r="45131" ht="9.9499999999999993" hidden="1" customHeight="1" x14ac:dyDescent="0.2"/>
    <row r="45132" ht="9.9499999999999993" hidden="1" customHeight="1" x14ac:dyDescent="0.2"/>
    <row r="45133" ht="9.9499999999999993" hidden="1" customHeight="1" x14ac:dyDescent="0.2"/>
    <row r="45134" ht="9.9499999999999993" hidden="1" customHeight="1" x14ac:dyDescent="0.2"/>
    <row r="45135" ht="9.9499999999999993" hidden="1" customHeight="1" x14ac:dyDescent="0.2"/>
    <row r="45136" ht="9.9499999999999993" hidden="1" customHeight="1" x14ac:dyDescent="0.2"/>
    <row r="45137" ht="9.9499999999999993" hidden="1" customHeight="1" x14ac:dyDescent="0.2"/>
    <row r="45138" ht="9.9499999999999993" hidden="1" customHeight="1" x14ac:dyDescent="0.2"/>
    <row r="45139" ht="9.9499999999999993" hidden="1" customHeight="1" x14ac:dyDescent="0.2"/>
    <row r="45140" ht="9.9499999999999993" hidden="1" customHeight="1" x14ac:dyDescent="0.2"/>
    <row r="45141" ht="9.9499999999999993" hidden="1" customHeight="1" x14ac:dyDescent="0.2"/>
    <row r="45142" ht="9.9499999999999993" hidden="1" customHeight="1" x14ac:dyDescent="0.2"/>
    <row r="45143" ht="9.9499999999999993" hidden="1" customHeight="1" x14ac:dyDescent="0.2"/>
    <row r="45144" ht="9.9499999999999993" hidden="1" customHeight="1" x14ac:dyDescent="0.2"/>
    <row r="45145" ht="9.9499999999999993" hidden="1" customHeight="1" x14ac:dyDescent="0.2"/>
    <row r="45146" ht="9.9499999999999993" hidden="1" customHeight="1" x14ac:dyDescent="0.2"/>
    <row r="45147" ht="9.9499999999999993" hidden="1" customHeight="1" x14ac:dyDescent="0.2"/>
    <row r="45148" ht="9.9499999999999993" hidden="1" customHeight="1" x14ac:dyDescent="0.2"/>
    <row r="45149" ht="9.9499999999999993" hidden="1" customHeight="1" x14ac:dyDescent="0.2"/>
    <row r="45150" ht="9.9499999999999993" hidden="1" customHeight="1" x14ac:dyDescent="0.2"/>
    <row r="45151" ht="9.9499999999999993" hidden="1" customHeight="1" x14ac:dyDescent="0.2"/>
    <row r="45152" ht="9.9499999999999993" hidden="1" customHeight="1" x14ac:dyDescent="0.2"/>
    <row r="45153" ht="9.9499999999999993" hidden="1" customHeight="1" x14ac:dyDescent="0.2"/>
    <row r="45154" ht="9.9499999999999993" hidden="1" customHeight="1" x14ac:dyDescent="0.2"/>
    <row r="45155" ht="9.9499999999999993" hidden="1" customHeight="1" x14ac:dyDescent="0.2"/>
    <row r="45156" ht="9.9499999999999993" hidden="1" customHeight="1" x14ac:dyDescent="0.2"/>
    <row r="45157" ht="9.9499999999999993" hidden="1" customHeight="1" x14ac:dyDescent="0.2"/>
    <row r="45158" ht="9.9499999999999993" hidden="1" customHeight="1" x14ac:dyDescent="0.2"/>
    <row r="45159" ht="9.9499999999999993" hidden="1" customHeight="1" x14ac:dyDescent="0.2"/>
    <row r="45160" ht="9.9499999999999993" hidden="1" customHeight="1" x14ac:dyDescent="0.2"/>
    <row r="45161" ht="9.9499999999999993" hidden="1" customHeight="1" x14ac:dyDescent="0.2"/>
    <row r="45162" ht="9.9499999999999993" hidden="1" customHeight="1" x14ac:dyDescent="0.2"/>
    <row r="45163" ht="9.9499999999999993" hidden="1" customHeight="1" x14ac:dyDescent="0.2"/>
    <row r="45164" ht="9.9499999999999993" hidden="1" customHeight="1" x14ac:dyDescent="0.2"/>
    <row r="45165" ht="9.9499999999999993" hidden="1" customHeight="1" x14ac:dyDescent="0.2"/>
    <row r="45166" ht="9.9499999999999993" hidden="1" customHeight="1" x14ac:dyDescent="0.2"/>
    <row r="45167" ht="9.9499999999999993" hidden="1" customHeight="1" x14ac:dyDescent="0.2"/>
    <row r="45168" ht="9.9499999999999993" hidden="1" customHeight="1" x14ac:dyDescent="0.2"/>
    <row r="45169" ht="9.9499999999999993" hidden="1" customHeight="1" x14ac:dyDescent="0.2"/>
    <row r="45170" ht="9.9499999999999993" hidden="1" customHeight="1" x14ac:dyDescent="0.2"/>
    <row r="45171" ht="9.9499999999999993" hidden="1" customHeight="1" x14ac:dyDescent="0.2"/>
    <row r="45172" ht="9.9499999999999993" hidden="1" customHeight="1" x14ac:dyDescent="0.2"/>
    <row r="45173" ht="9.9499999999999993" hidden="1" customHeight="1" x14ac:dyDescent="0.2"/>
    <row r="45174" ht="9.9499999999999993" hidden="1" customHeight="1" x14ac:dyDescent="0.2"/>
    <row r="45175" ht="9.9499999999999993" hidden="1" customHeight="1" x14ac:dyDescent="0.2"/>
    <row r="45176" ht="9.9499999999999993" hidden="1" customHeight="1" x14ac:dyDescent="0.2"/>
    <row r="45177" ht="9.9499999999999993" hidden="1" customHeight="1" x14ac:dyDescent="0.2"/>
    <row r="45178" ht="9.9499999999999993" hidden="1" customHeight="1" x14ac:dyDescent="0.2"/>
    <row r="45179" ht="9.9499999999999993" hidden="1" customHeight="1" x14ac:dyDescent="0.2"/>
    <row r="45180" ht="9.9499999999999993" hidden="1" customHeight="1" x14ac:dyDescent="0.2"/>
    <row r="45181" ht="9.9499999999999993" hidden="1" customHeight="1" x14ac:dyDescent="0.2"/>
    <row r="45182" ht="9.9499999999999993" hidden="1" customHeight="1" x14ac:dyDescent="0.2"/>
    <row r="45183" ht="9.9499999999999993" hidden="1" customHeight="1" x14ac:dyDescent="0.2"/>
    <row r="45184" ht="9.9499999999999993" hidden="1" customHeight="1" x14ac:dyDescent="0.2"/>
    <row r="45185" ht="9.9499999999999993" hidden="1" customHeight="1" x14ac:dyDescent="0.2"/>
    <row r="45186" ht="9.9499999999999993" hidden="1" customHeight="1" x14ac:dyDescent="0.2"/>
    <row r="45187" ht="9.9499999999999993" hidden="1" customHeight="1" x14ac:dyDescent="0.2"/>
    <row r="45188" ht="9.9499999999999993" hidden="1" customHeight="1" x14ac:dyDescent="0.2"/>
    <row r="45189" ht="9.9499999999999993" hidden="1" customHeight="1" x14ac:dyDescent="0.2"/>
    <row r="45190" ht="9.9499999999999993" hidden="1" customHeight="1" x14ac:dyDescent="0.2"/>
    <row r="45191" ht="9.9499999999999993" hidden="1" customHeight="1" x14ac:dyDescent="0.2"/>
    <row r="45192" ht="9.9499999999999993" hidden="1" customHeight="1" x14ac:dyDescent="0.2"/>
    <row r="45193" ht="9.9499999999999993" hidden="1" customHeight="1" x14ac:dyDescent="0.2"/>
    <row r="45194" ht="9.9499999999999993" hidden="1" customHeight="1" x14ac:dyDescent="0.2"/>
    <row r="45195" ht="9.9499999999999993" hidden="1" customHeight="1" x14ac:dyDescent="0.2"/>
    <row r="45196" ht="9.9499999999999993" hidden="1" customHeight="1" x14ac:dyDescent="0.2"/>
    <row r="45197" ht="9.9499999999999993" hidden="1" customHeight="1" x14ac:dyDescent="0.2"/>
    <row r="45198" ht="9.9499999999999993" hidden="1" customHeight="1" x14ac:dyDescent="0.2"/>
    <row r="45199" ht="9.9499999999999993" hidden="1" customHeight="1" x14ac:dyDescent="0.2"/>
    <row r="45200" ht="9.9499999999999993" hidden="1" customHeight="1" x14ac:dyDescent="0.2"/>
    <row r="45201" ht="9.9499999999999993" hidden="1" customHeight="1" x14ac:dyDescent="0.2"/>
    <row r="45202" ht="9.9499999999999993" hidden="1" customHeight="1" x14ac:dyDescent="0.2"/>
    <row r="45203" ht="9.9499999999999993" hidden="1" customHeight="1" x14ac:dyDescent="0.2"/>
    <row r="45204" ht="9.9499999999999993" hidden="1" customHeight="1" x14ac:dyDescent="0.2"/>
    <row r="45205" ht="9.9499999999999993" hidden="1" customHeight="1" x14ac:dyDescent="0.2"/>
    <row r="45206" ht="9.9499999999999993" hidden="1" customHeight="1" x14ac:dyDescent="0.2"/>
    <row r="45207" ht="9.9499999999999993" hidden="1" customHeight="1" x14ac:dyDescent="0.2"/>
    <row r="45208" ht="9.9499999999999993" hidden="1" customHeight="1" x14ac:dyDescent="0.2"/>
    <row r="45209" ht="9.9499999999999993" hidden="1" customHeight="1" x14ac:dyDescent="0.2"/>
    <row r="45210" ht="9.9499999999999993" hidden="1" customHeight="1" x14ac:dyDescent="0.2"/>
    <row r="45211" ht="9.9499999999999993" hidden="1" customHeight="1" x14ac:dyDescent="0.2"/>
    <row r="45212" ht="9.9499999999999993" hidden="1" customHeight="1" x14ac:dyDescent="0.2"/>
    <row r="45213" ht="9.9499999999999993" hidden="1" customHeight="1" x14ac:dyDescent="0.2"/>
    <row r="45214" ht="9.9499999999999993" hidden="1" customHeight="1" x14ac:dyDescent="0.2"/>
    <row r="45215" ht="9.9499999999999993" hidden="1" customHeight="1" x14ac:dyDescent="0.2"/>
    <row r="45216" ht="9.9499999999999993" hidden="1" customHeight="1" x14ac:dyDescent="0.2"/>
    <row r="45217" ht="9.9499999999999993" hidden="1" customHeight="1" x14ac:dyDescent="0.2"/>
    <row r="45218" ht="9.9499999999999993" hidden="1" customHeight="1" x14ac:dyDescent="0.2"/>
    <row r="45219" ht="9.9499999999999993" hidden="1" customHeight="1" x14ac:dyDescent="0.2"/>
    <row r="45220" ht="9.9499999999999993" hidden="1" customHeight="1" x14ac:dyDescent="0.2"/>
    <row r="45221" ht="9.9499999999999993" hidden="1" customHeight="1" x14ac:dyDescent="0.2"/>
    <row r="45222" ht="9.9499999999999993" hidden="1" customHeight="1" x14ac:dyDescent="0.2"/>
    <row r="45223" ht="9.9499999999999993" hidden="1" customHeight="1" x14ac:dyDescent="0.2"/>
    <row r="45224" ht="9.9499999999999993" hidden="1" customHeight="1" x14ac:dyDescent="0.2"/>
    <row r="45225" ht="9.9499999999999993" hidden="1" customHeight="1" x14ac:dyDescent="0.2"/>
    <row r="45226" ht="9.9499999999999993" hidden="1" customHeight="1" x14ac:dyDescent="0.2"/>
    <row r="45227" ht="9.9499999999999993" hidden="1" customHeight="1" x14ac:dyDescent="0.2"/>
    <row r="45228" ht="9.9499999999999993" hidden="1" customHeight="1" x14ac:dyDescent="0.2"/>
    <row r="45229" ht="9.9499999999999993" hidden="1" customHeight="1" x14ac:dyDescent="0.2"/>
    <row r="45230" ht="9.9499999999999993" hidden="1" customHeight="1" x14ac:dyDescent="0.2"/>
    <row r="45231" ht="9.9499999999999993" hidden="1" customHeight="1" x14ac:dyDescent="0.2"/>
    <row r="45232" ht="9.9499999999999993" hidden="1" customHeight="1" x14ac:dyDescent="0.2"/>
    <row r="45233" ht="9.9499999999999993" hidden="1" customHeight="1" x14ac:dyDescent="0.2"/>
    <row r="45234" ht="9.9499999999999993" hidden="1" customHeight="1" x14ac:dyDescent="0.2"/>
    <row r="45235" ht="9.9499999999999993" hidden="1" customHeight="1" x14ac:dyDescent="0.2"/>
    <row r="45236" ht="9.9499999999999993" hidden="1" customHeight="1" x14ac:dyDescent="0.2"/>
    <row r="45237" ht="9.9499999999999993" hidden="1" customHeight="1" x14ac:dyDescent="0.2"/>
    <row r="45238" ht="9.9499999999999993" hidden="1" customHeight="1" x14ac:dyDescent="0.2"/>
    <row r="45239" ht="9.9499999999999993" hidden="1" customHeight="1" x14ac:dyDescent="0.2"/>
    <row r="45240" ht="9.9499999999999993" hidden="1" customHeight="1" x14ac:dyDescent="0.2"/>
    <row r="45241" ht="9.9499999999999993" hidden="1" customHeight="1" x14ac:dyDescent="0.2"/>
    <row r="45242" ht="9.9499999999999993" hidden="1" customHeight="1" x14ac:dyDescent="0.2"/>
    <row r="45243" ht="9.9499999999999993" hidden="1" customHeight="1" x14ac:dyDescent="0.2"/>
    <row r="45244" ht="9.9499999999999993" hidden="1" customHeight="1" x14ac:dyDescent="0.2"/>
    <row r="45245" ht="9.9499999999999993" hidden="1" customHeight="1" x14ac:dyDescent="0.2"/>
    <row r="45246" ht="9.9499999999999993" hidden="1" customHeight="1" x14ac:dyDescent="0.2"/>
    <row r="45247" ht="9.9499999999999993" hidden="1" customHeight="1" x14ac:dyDescent="0.2"/>
    <row r="45248" ht="9.9499999999999993" hidden="1" customHeight="1" x14ac:dyDescent="0.2"/>
    <row r="45249" ht="9.9499999999999993" hidden="1" customHeight="1" x14ac:dyDescent="0.2"/>
    <row r="45250" ht="9.9499999999999993" hidden="1" customHeight="1" x14ac:dyDescent="0.2"/>
    <row r="45251" ht="9.9499999999999993" hidden="1" customHeight="1" x14ac:dyDescent="0.2"/>
    <row r="45252" ht="9.9499999999999993" hidden="1" customHeight="1" x14ac:dyDescent="0.2"/>
    <row r="45253" ht="9.9499999999999993" hidden="1" customHeight="1" x14ac:dyDescent="0.2"/>
    <row r="45254" ht="9.9499999999999993" hidden="1" customHeight="1" x14ac:dyDescent="0.2"/>
    <row r="45255" ht="9.9499999999999993" hidden="1" customHeight="1" x14ac:dyDescent="0.2"/>
    <row r="45256" ht="9.9499999999999993" hidden="1" customHeight="1" x14ac:dyDescent="0.2"/>
    <row r="45257" ht="9.9499999999999993" hidden="1" customHeight="1" x14ac:dyDescent="0.2"/>
    <row r="45258" ht="9.9499999999999993" hidden="1" customHeight="1" x14ac:dyDescent="0.2"/>
    <row r="45259" ht="9.9499999999999993" hidden="1" customHeight="1" x14ac:dyDescent="0.2"/>
    <row r="45260" ht="9.9499999999999993" hidden="1" customHeight="1" x14ac:dyDescent="0.2"/>
    <row r="45261" ht="9.9499999999999993" hidden="1" customHeight="1" x14ac:dyDescent="0.2"/>
    <row r="45262" ht="9.9499999999999993" hidden="1" customHeight="1" x14ac:dyDescent="0.2"/>
    <row r="45263" ht="9.9499999999999993" hidden="1" customHeight="1" x14ac:dyDescent="0.2"/>
    <row r="45264" ht="9.9499999999999993" hidden="1" customHeight="1" x14ac:dyDescent="0.2"/>
    <row r="45265" ht="9.9499999999999993" hidden="1" customHeight="1" x14ac:dyDescent="0.2"/>
    <row r="45266" ht="9.9499999999999993" hidden="1" customHeight="1" x14ac:dyDescent="0.2"/>
    <row r="45267" ht="9.9499999999999993" hidden="1" customHeight="1" x14ac:dyDescent="0.2"/>
    <row r="45268" ht="9.9499999999999993" hidden="1" customHeight="1" x14ac:dyDescent="0.2"/>
    <row r="45269" ht="9.9499999999999993" hidden="1" customHeight="1" x14ac:dyDescent="0.2"/>
    <row r="45270" ht="9.9499999999999993" hidden="1" customHeight="1" x14ac:dyDescent="0.2"/>
    <row r="45271" ht="9.9499999999999993" hidden="1" customHeight="1" x14ac:dyDescent="0.2"/>
    <row r="45272" ht="9.9499999999999993" hidden="1" customHeight="1" x14ac:dyDescent="0.2"/>
    <row r="45273" ht="9.9499999999999993" hidden="1" customHeight="1" x14ac:dyDescent="0.2"/>
    <row r="45274" ht="9.9499999999999993" hidden="1" customHeight="1" x14ac:dyDescent="0.2"/>
    <row r="45275" ht="9.9499999999999993" hidden="1" customHeight="1" x14ac:dyDescent="0.2"/>
    <row r="45276" ht="9.9499999999999993" hidden="1" customHeight="1" x14ac:dyDescent="0.2"/>
    <row r="45277" ht="9.9499999999999993" hidden="1" customHeight="1" x14ac:dyDescent="0.2"/>
    <row r="45278" ht="9.9499999999999993" hidden="1" customHeight="1" x14ac:dyDescent="0.2"/>
    <row r="45279" ht="9.9499999999999993" hidden="1" customHeight="1" x14ac:dyDescent="0.2"/>
    <row r="45280" ht="9.9499999999999993" hidden="1" customHeight="1" x14ac:dyDescent="0.2"/>
    <row r="45281" ht="9.9499999999999993" hidden="1" customHeight="1" x14ac:dyDescent="0.2"/>
    <row r="45282" ht="9.9499999999999993" hidden="1" customHeight="1" x14ac:dyDescent="0.2"/>
    <row r="45283" ht="9.9499999999999993" hidden="1" customHeight="1" x14ac:dyDescent="0.2"/>
    <row r="45284" ht="9.9499999999999993" hidden="1" customHeight="1" x14ac:dyDescent="0.2"/>
    <row r="45285" ht="9.9499999999999993" hidden="1" customHeight="1" x14ac:dyDescent="0.2"/>
    <row r="45286" ht="9.9499999999999993" hidden="1" customHeight="1" x14ac:dyDescent="0.2"/>
    <row r="45287" ht="9.9499999999999993" hidden="1" customHeight="1" x14ac:dyDescent="0.2"/>
    <row r="45288" ht="9.9499999999999993" hidden="1" customHeight="1" x14ac:dyDescent="0.2"/>
    <row r="45289" ht="9.9499999999999993" hidden="1" customHeight="1" x14ac:dyDescent="0.2"/>
    <row r="45290" ht="9.9499999999999993" hidden="1" customHeight="1" x14ac:dyDescent="0.2"/>
    <row r="45291" ht="9.9499999999999993" hidden="1" customHeight="1" x14ac:dyDescent="0.2"/>
    <row r="45292" ht="9.9499999999999993" hidden="1" customHeight="1" x14ac:dyDescent="0.2"/>
    <row r="45293" ht="9.9499999999999993" hidden="1" customHeight="1" x14ac:dyDescent="0.2"/>
    <row r="45294" ht="9.9499999999999993" hidden="1" customHeight="1" x14ac:dyDescent="0.2"/>
    <row r="45295" ht="9.9499999999999993" hidden="1" customHeight="1" x14ac:dyDescent="0.2"/>
    <row r="45296" ht="9.9499999999999993" hidden="1" customHeight="1" x14ac:dyDescent="0.2"/>
    <row r="45297" ht="9.9499999999999993" hidden="1" customHeight="1" x14ac:dyDescent="0.2"/>
    <row r="45298" ht="9.9499999999999993" hidden="1" customHeight="1" x14ac:dyDescent="0.2"/>
    <row r="45299" ht="9.9499999999999993" hidden="1" customHeight="1" x14ac:dyDescent="0.2"/>
    <row r="45300" ht="9.9499999999999993" hidden="1" customHeight="1" x14ac:dyDescent="0.2"/>
    <row r="45301" ht="9.9499999999999993" hidden="1" customHeight="1" x14ac:dyDescent="0.2"/>
    <row r="45302" ht="9.9499999999999993" hidden="1" customHeight="1" x14ac:dyDescent="0.2"/>
    <row r="45303" ht="9.9499999999999993" hidden="1" customHeight="1" x14ac:dyDescent="0.2"/>
    <row r="45304" ht="9.9499999999999993" hidden="1" customHeight="1" x14ac:dyDescent="0.2"/>
    <row r="45305" ht="9.9499999999999993" hidden="1" customHeight="1" x14ac:dyDescent="0.2"/>
    <row r="45306" ht="9.9499999999999993" hidden="1" customHeight="1" x14ac:dyDescent="0.2"/>
    <row r="45307" ht="9.9499999999999993" hidden="1" customHeight="1" x14ac:dyDescent="0.2"/>
    <row r="45308" ht="9.9499999999999993" hidden="1" customHeight="1" x14ac:dyDescent="0.2"/>
    <row r="45309" ht="9.9499999999999993" hidden="1" customHeight="1" x14ac:dyDescent="0.2"/>
    <row r="45310" ht="9.9499999999999993" hidden="1" customHeight="1" x14ac:dyDescent="0.2"/>
    <row r="45311" ht="9.9499999999999993" hidden="1" customHeight="1" x14ac:dyDescent="0.2"/>
    <row r="45312" ht="9.9499999999999993" hidden="1" customHeight="1" x14ac:dyDescent="0.2"/>
    <row r="45313" ht="9.9499999999999993" hidden="1" customHeight="1" x14ac:dyDescent="0.2"/>
    <row r="45314" ht="9.9499999999999993" hidden="1" customHeight="1" x14ac:dyDescent="0.2"/>
    <row r="45315" ht="9.9499999999999993" hidden="1" customHeight="1" x14ac:dyDescent="0.2"/>
    <row r="45316" ht="9.9499999999999993" hidden="1" customHeight="1" x14ac:dyDescent="0.2"/>
    <row r="45317" ht="9.9499999999999993" hidden="1" customHeight="1" x14ac:dyDescent="0.2"/>
    <row r="45318" ht="9.9499999999999993" hidden="1" customHeight="1" x14ac:dyDescent="0.2"/>
    <row r="45319" ht="9.9499999999999993" hidden="1" customHeight="1" x14ac:dyDescent="0.2"/>
    <row r="45320" ht="9.9499999999999993" hidden="1" customHeight="1" x14ac:dyDescent="0.2"/>
    <row r="45321" ht="9.9499999999999993" hidden="1" customHeight="1" x14ac:dyDescent="0.2"/>
    <row r="45322" ht="9.9499999999999993" hidden="1" customHeight="1" x14ac:dyDescent="0.2"/>
    <row r="45323" ht="9.9499999999999993" hidden="1" customHeight="1" x14ac:dyDescent="0.2"/>
    <row r="45324" ht="9.9499999999999993" hidden="1" customHeight="1" x14ac:dyDescent="0.2"/>
    <row r="45325" ht="9.9499999999999993" hidden="1" customHeight="1" x14ac:dyDescent="0.2"/>
    <row r="45326" ht="9.9499999999999993" hidden="1" customHeight="1" x14ac:dyDescent="0.2"/>
    <row r="45327" ht="9.9499999999999993" hidden="1" customHeight="1" x14ac:dyDescent="0.2"/>
    <row r="45328" ht="9.9499999999999993" hidden="1" customHeight="1" x14ac:dyDescent="0.2"/>
    <row r="45329" ht="9.9499999999999993" hidden="1" customHeight="1" x14ac:dyDescent="0.2"/>
    <row r="45330" ht="9.9499999999999993" hidden="1" customHeight="1" x14ac:dyDescent="0.2"/>
    <row r="45331" ht="9.9499999999999993" hidden="1" customHeight="1" x14ac:dyDescent="0.2"/>
    <row r="45332" ht="9.9499999999999993" hidden="1" customHeight="1" x14ac:dyDescent="0.2"/>
    <row r="45333" ht="9.9499999999999993" hidden="1" customHeight="1" x14ac:dyDescent="0.2"/>
    <row r="45334" ht="9.9499999999999993" hidden="1" customHeight="1" x14ac:dyDescent="0.2"/>
    <row r="45335" ht="9.9499999999999993" hidden="1" customHeight="1" x14ac:dyDescent="0.2"/>
    <row r="45336" ht="9.9499999999999993" hidden="1" customHeight="1" x14ac:dyDescent="0.2"/>
    <row r="45337" ht="9.9499999999999993" hidden="1" customHeight="1" x14ac:dyDescent="0.2"/>
    <row r="45338" ht="9.9499999999999993" hidden="1" customHeight="1" x14ac:dyDescent="0.2"/>
    <row r="45339" ht="9.9499999999999993" hidden="1" customHeight="1" x14ac:dyDescent="0.2"/>
    <row r="45340" ht="9.9499999999999993" hidden="1" customHeight="1" x14ac:dyDescent="0.2"/>
    <row r="45341" ht="9.9499999999999993" hidden="1" customHeight="1" x14ac:dyDescent="0.2"/>
    <row r="45342" ht="9.9499999999999993" hidden="1" customHeight="1" x14ac:dyDescent="0.2"/>
    <row r="45343" ht="9.9499999999999993" hidden="1" customHeight="1" x14ac:dyDescent="0.2"/>
    <row r="45344" ht="9.9499999999999993" hidden="1" customHeight="1" x14ac:dyDescent="0.2"/>
    <row r="45345" ht="9.9499999999999993" hidden="1" customHeight="1" x14ac:dyDescent="0.2"/>
    <row r="45346" ht="9.9499999999999993" hidden="1" customHeight="1" x14ac:dyDescent="0.2"/>
    <row r="45347" ht="9.9499999999999993" hidden="1" customHeight="1" x14ac:dyDescent="0.2"/>
    <row r="45348" ht="9.9499999999999993" hidden="1" customHeight="1" x14ac:dyDescent="0.2"/>
    <row r="45349" ht="9.9499999999999993" hidden="1" customHeight="1" x14ac:dyDescent="0.2"/>
    <row r="45350" ht="9.9499999999999993" hidden="1" customHeight="1" x14ac:dyDescent="0.2"/>
    <row r="45351" ht="9.9499999999999993" hidden="1" customHeight="1" x14ac:dyDescent="0.2"/>
    <row r="45352" ht="9.9499999999999993" hidden="1" customHeight="1" x14ac:dyDescent="0.2"/>
    <row r="45353" ht="9.9499999999999993" hidden="1" customHeight="1" x14ac:dyDescent="0.2"/>
    <row r="45354" ht="9.9499999999999993" hidden="1" customHeight="1" x14ac:dyDescent="0.2"/>
    <row r="45355" ht="9.9499999999999993" hidden="1" customHeight="1" x14ac:dyDescent="0.2"/>
    <row r="45356" ht="9.9499999999999993" hidden="1" customHeight="1" x14ac:dyDescent="0.2"/>
    <row r="45357" ht="9.9499999999999993" hidden="1" customHeight="1" x14ac:dyDescent="0.2"/>
    <row r="45358" ht="9.9499999999999993" hidden="1" customHeight="1" x14ac:dyDescent="0.2"/>
    <row r="45359" ht="9.9499999999999993" hidden="1" customHeight="1" x14ac:dyDescent="0.2"/>
    <row r="45360" ht="9.9499999999999993" hidden="1" customHeight="1" x14ac:dyDescent="0.2"/>
    <row r="45361" ht="9.9499999999999993" hidden="1" customHeight="1" x14ac:dyDescent="0.2"/>
    <row r="45362" ht="9.9499999999999993" hidden="1" customHeight="1" x14ac:dyDescent="0.2"/>
    <row r="45363" ht="9.9499999999999993" hidden="1" customHeight="1" x14ac:dyDescent="0.2"/>
    <row r="45364" ht="9.9499999999999993" hidden="1" customHeight="1" x14ac:dyDescent="0.2"/>
    <row r="45365" ht="9.9499999999999993" hidden="1" customHeight="1" x14ac:dyDescent="0.2"/>
    <row r="45366" ht="9.9499999999999993" hidden="1" customHeight="1" x14ac:dyDescent="0.2"/>
    <row r="45367" ht="9.9499999999999993" hidden="1" customHeight="1" x14ac:dyDescent="0.2"/>
    <row r="45368" ht="9.9499999999999993" hidden="1" customHeight="1" x14ac:dyDescent="0.2"/>
    <row r="45369" ht="9.9499999999999993" hidden="1" customHeight="1" x14ac:dyDescent="0.2"/>
    <row r="45370" ht="9.9499999999999993" hidden="1" customHeight="1" x14ac:dyDescent="0.2"/>
    <row r="45371" ht="9.9499999999999993" hidden="1" customHeight="1" x14ac:dyDescent="0.2"/>
    <row r="45372" ht="9.9499999999999993" hidden="1" customHeight="1" x14ac:dyDescent="0.2"/>
    <row r="45373" ht="9.9499999999999993" hidden="1" customHeight="1" x14ac:dyDescent="0.2"/>
    <row r="45374" ht="9.9499999999999993" hidden="1" customHeight="1" x14ac:dyDescent="0.2"/>
    <row r="45375" ht="9.9499999999999993" hidden="1" customHeight="1" x14ac:dyDescent="0.2"/>
    <row r="45376" ht="9.9499999999999993" hidden="1" customHeight="1" x14ac:dyDescent="0.2"/>
    <row r="45377" ht="9.9499999999999993" hidden="1" customHeight="1" x14ac:dyDescent="0.2"/>
    <row r="45378" ht="9.9499999999999993" hidden="1" customHeight="1" x14ac:dyDescent="0.2"/>
    <row r="45379" ht="9.9499999999999993" hidden="1" customHeight="1" x14ac:dyDescent="0.2"/>
    <row r="45380" ht="9.9499999999999993" hidden="1" customHeight="1" x14ac:dyDescent="0.2"/>
    <row r="45381" ht="9.9499999999999993" hidden="1" customHeight="1" x14ac:dyDescent="0.2"/>
    <row r="45382" ht="9.9499999999999993" hidden="1" customHeight="1" x14ac:dyDescent="0.2"/>
    <row r="45383" ht="9.9499999999999993" hidden="1" customHeight="1" x14ac:dyDescent="0.2"/>
    <row r="45384" ht="9.9499999999999993" hidden="1" customHeight="1" x14ac:dyDescent="0.2"/>
    <row r="45385" ht="9.9499999999999993" hidden="1" customHeight="1" x14ac:dyDescent="0.2"/>
    <row r="45386" ht="9.9499999999999993" hidden="1" customHeight="1" x14ac:dyDescent="0.2"/>
    <row r="45387" ht="9.9499999999999993" hidden="1" customHeight="1" x14ac:dyDescent="0.2"/>
    <row r="45388" ht="9.9499999999999993" hidden="1" customHeight="1" x14ac:dyDescent="0.2"/>
    <row r="45389" ht="9.9499999999999993" hidden="1" customHeight="1" x14ac:dyDescent="0.2"/>
    <row r="45390" ht="9.9499999999999993" hidden="1" customHeight="1" x14ac:dyDescent="0.2"/>
    <row r="45391" ht="9.9499999999999993" hidden="1" customHeight="1" x14ac:dyDescent="0.2"/>
    <row r="45392" ht="9.9499999999999993" hidden="1" customHeight="1" x14ac:dyDescent="0.2"/>
    <row r="45393" ht="9.9499999999999993" hidden="1" customHeight="1" x14ac:dyDescent="0.2"/>
    <row r="45394" ht="9.9499999999999993" hidden="1" customHeight="1" x14ac:dyDescent="0.2"/>
    <row r="45395" ht="9.9499999999999993" hidden="1" customHeight="1" x14ac:dyDescent="0.2"/>
    <row r="45396" ht="9.9499999999999993" hidden="1" customHeight="1" x14ac:dyDescent="0.2"/>
    <row r="45397" ht="9.9499999999999993" hidden="1" customHeight="1" x14ac:dyDescent="0.2"/>
    <row r="45398" ht="9.9499999999999993" hidden="1" customHeight="1" x14ac:dyDescent="0.2"/>
    <row r="45399" ht="9.9499999999999993" hidden="1" customHeight="1" x14ac:dyDescent="0.2"/>
    <row r="45400" ht="9.9499999999999993" hidden="1" customHeight="1" x14ac:dyDescent="0.2"/>
    <row r="45401" ht="9.9499999999999993" hidden="1" customHeight="1" x14ac:dyDescent="0.2"/>
    <row r="45402" ht="9.9499999999999993" hidden="1" customHeight="1" x14ac:dyDescent="0.2"/>
    <row r="45403" ht="9.9499999999999993" hidden="1" customHeight="1" x14ac:dyDescent="0.2"/>
    <row r="45404" ht="9.9499999999999993" hidden="1" customHeight="1" x14ac:dyDescent="0.2"/>
    <row r="45405" ht="9.9499999999999993" hidden="1" customHeight="1" x14ac:dyDescent="0.2"/>
    <row r="45406" ht="9.9499999999999993" hidden="1" customHeight="1" x14ac:dyDescent="0.2"/>
    <row r="45407" ht="9.9499999999999993" hidden="1" customHeight="1" x14ac:dyDescent="0.2"/>
    <row r="45408" ht="9.9499999999999993" hidden="1" customHeight="1" x14ac:dyDescent="0.2"/>
    <row r="45409" ht="9.9499999999999993" hidden="1" customHeight="1" x14ac:dyDescent="0.2"/>
    <row r="45410" ht="9.9499999999999993" hidden="1" customHeight="1" x14ac:dyDescent="0.2"/>
    <row r="45411" ht="9.9499999999999993" hidden="1" customHeight="1" x14ac:dyDescent="0.2"/>
    <row r="45412" ht="9.9499999999999993" hidden="1" customHeight="1" x14ac:dyDescent="0.2"/>
    <row r="45413" ht="9.9499999999999993" hidden="1" customHeight="1" x14ac:dyDescent="0.2"/>
    <row r="45414" ht="9.9499999999999993" hidden="1" customHeight="1" x14ac:dyDescent="0.2"/>
    <row r="45415" ht="9.9499999999999993" hidden="1" customHeight="1" x14ac:dyDescent="0.2"/>
    <row r="45416" ht="9.9499999999999993" hidden="1" customHeight="1" x14ac:dyDescent="0.2"/>
    <row r="45417" ht="9.9499999999999993" hidden="1" customHeight="1" x14ac:dyDescent="0.2"/>
    <row r="45418" ht="9.9499999999999993" hidden="1" customHeight="1" x14ac:dyDescent="0.2"/>
    <row r="45419" ht="9.9499999999999993" hidden="1" customHeight="1" x14ac:dyDescent="0.2"/>
    <row r="45420" ht="9.9499999999999993" hidden="1" customHeight="1" x14ac:dyDescent="0.2"/>
    <row r="45421" ht="9.9499999999999993" hidden="1" customHeight="1" x14ac:dyDescent="0.2"/>
    <row r="45422" ht="9.9499999999999993" hidden="1" customHeight="1" x14ac:dyDescent="0.2"/>
    <row r="45423" ht="9.9499999999999993" hidden="1" customHeight="1" x14ac:dyDescent="0.2"/>
    <row r="45424" ht="9.9499999999999993" hidden="1" customHeight="1" x14ac:dyDescent="0.2"/>
    <row r="45425" ht="9.9499999999999993" hidden="1" customHeight="1" x14ac:dyDescent="0.2"/>
    <row r="45426" ht="9.9499999999999993" hidden="1" customHeight="1" x14ac:dyDescent="0.2"/>
    <row r="45427" ht="9.9499999999999993" hidden="1" customHeight="1" x14ac:dyDescent="0.2"/>
    <row r="45428" ht="9.9499999999999993" hidden="1" customHeight="1" x14ac:dyDescent="0.2"/>
    <row r="45429" ht="9.9499999999999993" hidden="1" customHeight="1" x14ac:dyDescent="0.2"/>
    <row r="45430" ht="9.9499999999999993" hidden="1" customHeight="1" x14ac:dyDescent="0.2"/>
    <row r="45431" ht="9.9499999999999993" hidden="1" customHeight="1" x14ac:dyDescent="0.2"/>
    <row r="45432" ht="9.9499999999999993" hidden="1" customHeight="1" x14ac:dyDescent="0.2"/>
    <row r="45433" ht="9.9499999999999993" hidden="1" customHeight="1" x14ac:dyDescent="0.2"/>
    <row r="45434" ht="9.9499999999999993" hidden="1" customHeight="1" x14ac:dyDescent="0.2"/>
    <row r="45435" ht="9.9499999999999993" hidden="1" customHeight="1" x14ac:dyDescent="0.2"/>
    <row r="45436" ht="9.9499999999999993" hidden="1" customHeight="1" x14ac:dyDescent="0.2"/>
    <row r="45437" ht="9.9499999999999993" hidden="1" customHeight="1" x14ac:dyDescent="0.2"/>
    <row r="45438" ht="9.9499999999999993" hidden="1" customHeight="1" x14ac:dyDescent="0.2"/>
    <row r="45439" ht="9.9499999999999993" hidden="1" customHeight="1" x14ac:dyDescent="0.2"/>
    <row r="45440" ht="9.9499999999999993" hidden="1" customHeight="1" x14ac:dyDescent="0.2"/>
    <row r="45441" ht="9.9499999999999993" hidden="1" customHeight="1" x14ac:dyDescent="0.2"/>
    <row r="45442" ht="9.9499999999999993" hidden="1" customHeight="1" x14ac:dyDescent="0.2"/>
    <row r="45443" ht="9.9499999999999993" hidden="1" customHeight="1" x14ac:dyDescent="0.2"/>
    <row r="45444" ht="9.9499999999999993" hidden="1" customHeight="1" x14ac:dyDescent="0.2"/>
    <row r="45445" ht="9.9499999999999993" hidden="1" customHeight="1" x14ac:dyDescent="0.2"/>
    <row r="45446" ht="9.9499999999999993" hidden="1" customHeight="1" x14ac:dyDescent="0.2"/>
    <row r="45447" ht="9.9499999999999993" hidden="1" customHeight="1" x14ac:dyDescent="0.2"/>
    <row r="45448" ht="9.9499999999999993" hidden="1" customHeight="1" x14ac:dyDescent="0.2"/>
    <row r="45449" ht="9.9499999999999993" hidden="1" customHeight="1" x14ac:dyDescent="0.2"/>
    <row r="45450" ht="9.9499999999999993" hidden="1" customHeight="1" x14ac:dyDescent="0.2"/>
    <row r="45451" ht="9.9499999999999993" hidden="1" customHeight="1" x14ac:dyDescent="0.2"/>
    <row r="45452" ht="9.9499999999999993" hidden="1" customHeight="1" x14ac:dyDescent="0.2"/>
    <row r="45453" ht="9.9499999999999993" hidden="1" customHeight="1" x14ac:dyDescent="0.2"/>
    <row r="45454" ht="9.9499999999999993" hidden="1" customHeight="1" x14ac:dyDescent="0.2"/>
    <row r="45455" ht="9.9499999999999993" hidden="1" customHeight="1" x14ac:dyDescent="0.2"/>
    <row r="45456" ht="9.9499999999999993" hidden="1" customHeight="1" x14ac:dyDescent="0.2"/>
    <row r="45457" ht="9.9499999999999993" hidden="1" customHeight="1" x14ac:dyDescent="0.2"/>
    <row r="45458" ht="9.9499999999999993" hidden="1" customHeight="1" x14ac:dyDescent="0.2"/>
    <row r="45459" ht="9.9499999999999993" hidden="1" customHeight="1" x14ac:dyDescent="0.2"/>
    <row r="45460" ht="9.9499999999999993" hidden="1" customHeight="1" x14ac:dyDescent="0.2"/>
    <row r="45461" ht="9.9499999999999993" hidden="1" customHeight="1" x14ac:dyDescent="0.2"/>
    <row r="45462" ht="9.9499999999999993" hidden="1" customHeight="1" x14ac:dyDescent="0.2"/>
    <row r="45463" ht="9.9499999999999993" hidden="1" customHeight="1" x14ac:dyDescent="0.2"/>
    <row r="45464" ht="9.9499999999999993" hidden="1" customHeight="1" x14ac:dyDescent="0.2"/>
    <row r="45465" ht="9.9499999999999993" hidden="1" customHeight="1" x14ac:dyDescent="0.2"/>
    <row r="45466" ht="9.9499999999999993" hidden="1" customHeight="1" x14ac:dyDescent="0.2"/>
    <row r="45467" ht="9.9499999999999993" hidden="1" customHeight="1" x14ac:dyDescent="0.2"/>
    <row r="45468" ht="9.9499999999999993" hidden="1" customHeight="1" x14ac:dyDescent="0.2"/>
    <row r="45469" ht="9.9499999999999993" hidden="1" customHeight="1" x14ac:dyDescent="0.2"/>
    <row r="45470" ht="9.9499999999999993" hidden="1" customHeight="1" x14ac:dyDescent="0.2"/>
    <row r="45471" ht="9.9499999999999993" hidden="1" customHeight="1" x14ac:dyDescent="0.2"/>
    <row r="45472" ht="9.9499999999999993" hidden="1" customHeight="1" x14ac:dyDescent="0.2"/>
    <row r="45473" ht="9.9499999999999993" hidden="1" customHeight="1" x14ac:dyDescent="0.2"/>
    <row r="45474" ht="9.9499999999999993" hidden="1" customHeight="1" x14ac:dyDescent="0.2"/>
    <row r="45475" ht="9.9499999999999993" hidden="1" customHeight="1" x14ac:dyDescent="0.2"/>
    <row r="45476" ht="9.9499999999999993" hidden="1" customHeight="1" x14ac:dyDescent="0.2"/>
    <row r="45477" ht="9.9499999999999993" hidden="1" customHeight="1" x14ac:dyDescent="0.2"/>
    <row r="45478" ht="9.9499999999999993" hidden="1" customHeight="1" x14ac:dyDescent="0.2"/>
    <row r="45479" ht="9.9499999999999993" hidden="1" customHeight="1" x14ac:dyDescent="0.2"/>
    <row r="45480" ht="9.9499999999999993" hidden="1" customHeight="1" x14ac:dyDescent="0.2"/>
    <row r="45481" ht="9.9499999999999993" hidden="1" customHeight="1" x14ac:dyDescent="0.2"/>
    <row r="45482" ht="9.9499999999999993" hidden="1" customHeight="1" x14ac:dyDescent="0.2"/>
    <row r="45483" ht="9.9499999999999993" hidden="1" customHeight="1" x14ac:dyDescent="0.2"/>
    <row r="45484" ht="9.9499999999999993" hidden="1" customHeight="1" x14ac:dyDescent="0.2"/>
    <row r="45485" ht="9.9499999999999993" hidden="1" customHeight="1" x14ac:dyDescent="0.2"/>
    <row r="45486" ht="9.9499999999999993" hidden="1" customHeight="1" x14ac:dyDescent="0.2"/>
    <row r="45487" ht="9.9499999999999993" hidden="1" customHeight="1" x14ac:dyDescent="0.2"/>
    <row r="45488" ht="9.9499999999999993" hidden="1" customHeight="1" x14ac:dyDescent="0.2"/>
    <row r="45489" ht="9.9499999999999993" hidden="1" customHeight="1" x14ac:dyDescent="0.2"/>
    <row r="45490" ht="9.9499999999999993" hidden="1" customHeight="1" x14ac:dyDescent="0.2"/>
    <row r="45491" ht="9.9499999999999993" hidden="1" customHeight="1" x14ac:dyDescent="0.2"/>
    <row r="45492" ht="9.9499999999999993" hidden="1" customHeight="1" x14ac:dyDescent="0.2"/>
    <row r="45493" ht="9.9499999999999993" hidden="1" customHeight="1" x14ac:dyDescent="0.2"/>
    <row r="45494" ht="9.9499999999999993" hidden="1" customHeight="1" x14ac:dyDescent="0.2"/>
    <row r="45495" ht="9.9499999999999993" hidden="1" customHeight="1" x14ac:dyDescent="0.2"/>
    <row r="45496" ht="9.9499999999999993" hidden="1" customHeight="1" x14ac:dyDescent="0.2"/>
    <row r="45497" ht="9.9499999999999993" hidden="1" customHeight="1" x14ac:dyDescent="0.2"/>
    <row r="45498" ht="9.9499999999999993" hidden="1" customHeight="1" x14ac:dyDescent="0.2"/>
    <row r="45499" ht="9.9499999999999993" hidden="1" customHeight="1" x14ac:dyDescent="0.2"/>
    <row r="45500" ht="9.9499999999999993" hidden="1" customHeight="1" x14ac:dyDescent="0.2"/>
    <row r="45501" ht="9.9499999999999993" hidden="1" customHeight="1" x14ac:dyDescent="0.2"/>
    <row r="45502" ht="9.9499999999999993" hidden="1" customHeight="1" x14ac:dyDescent="0.2"/>
    <row r="45503" ht="9.9499999999999993" hidden="1" customHeight="1" x14ac:dyDescent="0.2"/>
    <row r="45504" ht="9.9499999999999993" hidden="1" customHeight="1" x14ac:dyDescent="0.2"/>
    <row r="45505" ht="9.9499999999999993" hidden="1" customHeight="1" x14ac:dyDescent="0.2"/>
    <row r="45506" ht="9.9499999999999993" hidden="1" customHeight="1" x14ac:dyDescent="0.2"/>
    <row r="45507" ht="9.9499999999999993" hidden="1" customHeight="1" x14ac:dyDescent="0.2"/>
    <row r="45508" ht="9.9499999999999993" hidden="1" customHeight="1" x14ac:dyDescent="0.2"/>
    <row r="45509" ht="9.9499999999999993" hidden="1" customHeight="1" x14ac:dyDescent="0.2"/>
    <row r="45510" ht="9.9499999999999993" hidden="1" customHeight="1" x14ac:dyDescent="0.2"/>
    <row r="45511" ht="9.9499999999999993" hidden="1" customHeight="1" x14ac:dyDescent="0.2"/>
    <row r="45512" ht="9.9499999999999993" hidden="1" customHeight="1" x14ac:dyDescent="0.2"/>
    <row r="45513" ht="9.9499999999999993" hidden="1" customHeight="1" x14ac:dyDescent="0.2"/>
    <row r="45514" ht="9.9499999999999993" hidden="1" customHeight="1" x14ac:dyDescent="0.2"/>
    <row r="45515" ht="9.9499999999999993" hidden="1" customHeight="1" x14ac:dyDescent="0.2"/>
    <row r="45516" ht="9.9499999999999993" hidden="1" customHeight="1" x14ac:dyDescent="0.2"/>
    <row r="45517" ht="9.9499999999999993" hidden="1" customHeight="1" x14ac:dyDescent="0.2"/>
    <row r="45518" ht="9.9499999999999993" hidden="1" customHeight="1" x14ac:dyDescent="0.2"/>
    <row r="45519" ht="9.9499999999999993" hidden="1" customHeight="1" x14ac:dyDescent="0.2"/>
    <row r="45520" ht="9.9499999999999993" hidden="1" customHeight="1" x14ac:dyDescent="0.2"/>
    <row r="45521" ht="9.9499999999999993" hidden="1" customHeight="1" x14ac:dyDescent="0.2"/>
    <row r="45522" ht="9.9499999999999993" hidden="1" customHeight="1" x14ac:dyDescent="0.2"/>
    <row r="45523" ht="9.9499999999999993" hidden="1" customHeight="1" x14ac:dyDescent="0.2"/>
    <row r="45524" ht="9.9499999999999993" hidden="1" customHeight="1" x14ac:dyDescent="0.2"/>
    <row r="45525" ht="9.9499999999999993" hidden="1" customHeight="1" x14ac:dyDescent="0.2"/>
    <row r="45526" ht="9.9499999999999993" hidden="1" customHeight="1" x14ac:dyDescent="0.2"/>
    <row r="45527" ht="9.9499999999999993" hidden="1" customHeight="1" x14ac:dyDescent="0.2"/>
    <row r="45528" ht="9.9499999999999993" hidden="1" customHeight="1" x14ac:dyDescent="0.2"/>
    <row r="45529" ht="9.9499999999999993" hidden="1" customHeight="1" x14ac:dyDescent="0.2"/>
    <row r="45530" ht="9.9499999999999993" hidden="1" customHeight="1" x14ac:dyDescent="0.2"/>
    <row r="45531" ht="9.9499999999999993" hidden="1" customHeight="1" x14ac:dyDescent="0.2"/>
    <row r="45532" ht="9.9499999999999993" hidden="1" customHeight="1" x14ac:dyDescent="0.2"/>
    <row r="45533" ht="9.9499999999999993" hidden="1" customHeight="1" x14ac:dyDescent="0.2"/>
    <row r="45534" ht="9.9499999999999993" hidden="1" customHeight="1" x14ac:dyDescent="0.2"/>
    <row r="45535" ht="9.9499999999999993" hidden="1" customHeight="1" x14ac:dyDescent="0.2"/>
    <row r="45536" ht="9.9499999999999993" hidden="1" customHeight="1" x14ac:dyDescent="0.2"/>
    <row r="45537" ht="9.9499999999999993" hidden="1" customHeight="1" x14ac:dyDescent="0.2"/>
    <row r="45538" ht="9.9499999999999993" hidden="1" customHeight="1" x14ac:dyDescent="0.2"/>
    <row r="45539" ht="9.9499999999999993" hidden="1" customHeight="1" x14ac:dyDescent="0.2"/>
    <row r="45540" ht="9.9499999999999993" hidden="1" customHeight="1" x14ac:dyDescent="0.2"/>
    <row r="45541" ht="9.9499999999999993" hidden="1" customHeight="1" x14ac:dyDescent="0.2"/>
    <row r="45542" ht="9.9499999999999993" hidden="1" customHeight="1" x14ac:dyDescent="0.2"/>
    <row r="45543" ht="9.9499999999999993" hidden="1" customHeight="1" x14ac:dyDescent="0.2"/>
    <row r="45544" ht="9.9499999999999993" hidden="1" customHeight="1" x14ac:dyDescent="0.2"/>
    <row r="45545" ht="9.9499999999999993" hidden="1" customHeight="1" x14ac:dyDescent="0.2"/>
    <row r="45546" ht="9.9499999999999993" hidden="1" customHeight="1" x14ac:dyDescent="0.2"/>
    <row r="45547" ht="9.9499999999999993" hidden="1" customHeight="1" x14ac:dyDescent="0.2"/>
    <row r="45548" ht="9.9499999999999993" hidden="1" customHeight="1" x14ac:dyDescent="0.2"/>
    <row r="45549" ht="9.9499999999999993" hidden="1" customHeight="1" x14ac:dyDescent="0.2"/>
    <row r="45550" ht="9.9499999999999993" hidden="1" customHeight="1" x14ac:dyDescent="0.2"/>
    <row r="45551" ht="9.9499999999999993" hidden="1" customHeight="1" x14ac:dyDescent="0.2"/>
    <row r="45552" ht="9.9499999999999993" hidden="1" customHeight="1" x14ac:dyDescent="0.2"/>
    <row r="45553" ht="9.9499999999999993" hidden="1" customHeight="1" x14ac:dyDescent="0.2"/>
    <row r="45554" ht="9.9499999999999993" hidden="1" customHeight="1" x14ac:dyDescent="0.2"/>
    <row r="45555" ht="9.9499999999999993" hidden="1" customHeight="1" x14ac:dyDescent="0.2"/>
    <row r="45556" ht="9.9499999999999993" hidden="1" customHeight="1" x14ac:dyDescent="0.2"/>
    <row r="45557" ht="9.9499999999999993" hidden="1" customHeight="1" x14ac:dyDescent="0.2"/>
    <row r="45558" ht="9.9499999999999993" hidden="1" customHeight="1" x14ac:dyDescent="0.2"/>
    <row r="45559" ht="9.9499999999999993" hidden="1" customHeight="1" x14ac:dyDescent="0.2"/>
    <row r="45560" ht="9.9499999999999993" hidden="1" customHeight="1" x14ac:dyDescent="0.2"/>
    <row r="45561" ht="9.9499999999999993" hidden="1" customHeight="1" x14ac:dyDescent="0.2"/>
    <row r="45562" ht="9.9499999999999993" hidden="1" customHeight="1" x14ac:dyDescent="0.2"/>
    <row r="45563" ht="9.9499999999999993" hidden="1" customHeight="1" x14ac:dyDescent="0.2"/>
    <row r="45564" ht="9.9499999999999993" hidden="1" customHeight="1" x14ac:dyDescent="0.2"/>
    <row r="45565" ht="9.9499999999999993" hidden="1" customHeight="1" x14ac:dyDescent="0.2"/>
    <row r="45566" ht="9.9499999999999993" hidden="1" customHeight="1" x14ac:dyDescent="0.2"/>
    <row r="45567" ht="9.9499999999999993" hidden="1" customHeight="1" x14ac:dyDescent="0.2"/>
    <row r="45568" ht="9.9499999999999993" hidden="1" customHeight="1" x14ac:dyDescent="0.2"/>
    <row r="45569" ht="9.9499999999999993" hidden="1" customHeight="1" x14ac:dyDescent="0.2"/>
    <row r="45570" ht="9.9499999999999993" hidden="1" customHeight="1" x14ac:dyDescent="0.2"/>
    <row r="45571" ht="9.9499999999999993" hidden="1" customHeight="1" x14ac:dyDescent="0.2"/>
    <row r="45572" ht="9.9499999999999993" hidden="1" customHeight="1" x14ac:dyDescent="0.2"/>
    <row r="45573" ht="9.9499999999999993" hidden="1" customHeight="1" x14ac:dyDescent="0.2"/>
    <row r="45574" ht="9.9499999999999993" hidden="1" customHeight="1" x14ac:dyDescent="0.2"/>
    <row r="45575" ht="9.9499999999999993" hidden="1" customHeight="1" x14ac:dyDescent="0.2"/>
    <row r="45576" ht="9.9499999999999993" hidden="1" customHeight="1" x14ac:dyDescent="0.2"/>
    <row r="45577" ht="9.9499999999999993" hidden="1" customHeight="1" x14ac:dyDescent="0.2"/>
    <row r="45578" ht="9.9499999999999993" hidden="1" customHeight="1" x14ac:dyDescent="0.2"/>
    <row r="45579" ht="9.9499999999999993" hidden="1" customHeight="1" x14ac:dyDescent="0.2"/>
    <row r="45580" ht="9.9499999999999993" hidden="1" customHeight="1" x14ac:dyDescent="0.2"/>
    <row r="45581" ht="9.9499999999999993" hidden="1" customHeight="1" x14ac:dyDescent="0.2"/>
    <row r="45582" ht="9.9499999999999993" hidden="1" customHeight="1" x14ac:dyDescent="0.2"/>
    <row r="45583" ht="9.9499999999999993" hidden="1" customHeight="1" x14ac:dyDescent="0.2"/>
    <row r="45584" ht="9.9499999999999993" hidden="1" customHeight="1" x14ac:dyDescent="0.2"/>
    <row r="45585" ht="9.9499999999999993" hidden="1" customHeight="1" x14ac:dyDescent="0.2"/>
    <row r="45586" ht="9.9499999999999993" hidden="1" customHeight="1" x14ac:dyDescent="0.2"/>
    <row r="45587" ht="9.9499999999999993" hidden="1" customHeight="1" x14ac:dyDescent="0.2"/>
    <row r="45588" ht="9.9499999999999993" hidden="1" customHeight="1" x14ac:dyDescent="0.2"/>
    <row r="45589" ht="9.9499999999999993" hidden="1" customHeight="1" x14ac:dyDescent="0.2"/>
    <row r="45590" ht="9.9499999999999993" hidden="1" customHeight="1" x14ac:dyDescent="0.2"/>
    <row r="45591" ht="9.9499999999999993" hidden="1" customHeight="1" x14ac:dyDescent="0.2"/>
    <row r="45592" ht="9.9499999999999993" hidden="1" customHeight="1" x14ac:dyDescent="0.2"/>
    <row r="45593" ht="9.9499999999999993" hidden="1" customHeight="1" x14ac:dyDescent="0.2"/>
    <row r="45594" ht="9.9499999999999993" hidden="1" customHeight="1" x14ac:dyDescent="0.2"/>
    <row r="45595" ht="9.9499999999999993" hidden="1" customHeight="1" x14ac:dyDescent="0.2"/>
    <row r="45596" ht="9.9499999999999993" hidden="1" customHeight="1" x14ac:dyDescent="0.2"/>
    <row r="45597" ht="9.9499999999999993" hidden="1" customHeight="1" x14ac:dyDescent="0.2"/>
    <row r="45598" ht="9.9499999999999993" hidden="1" customHeight="1" x14ac:dyDescent="0.2"/>
    <row r="45599" ht="9.9499999999999993" hidden="1" customHeight="1" x14ac:dyDescent="0.2"/>
    <row r="45600" ht="9.9499999999999993" hidden="1" customHeight="1" x14ac:dyDescent="0.2"/>
    <row r="45601" ht="9.9499999999999993" hidden="1" customHeight="1" x14ac:dyDescent="0.2"/>
    <row r="45602" ht="9.9499999999999993" hidden="1" customHeight="1" x14ac:dyDescent="0.2"/>
    <row r="45603" ht="9.9499999999999993" hidden="1" customHeight="1" x14ac:dyDescent="0.2"/>
    <row r="45604" ht="9.9499999999999993" hidden="1" customHeight="1" x14ac:dyDescent="0.2"/>
    <row r="45605" ht="9.9499999999999993" hidden="1" customHeight="1" x14ac:dyDescent="0.2"/>
    <row r="45606" ht="9.9499999999999993" hidden="1" customHeight="1" x14ac:dyDescent="0.2"/>
    <row r="45607" ht="9.9499999999999993" hidden="1" customHeight="1" x14ac:dyDescent="0.2"/>
    <row r="45608" ht="9.9499999999999993" hidden="1" customHeight="1" x14ac:dyDescent="0.2"/>
    <row r="45609" ht="9.9499999999999993" hidden="1" customHeight="1" x14ac:dyDescent="0.2"/>
    <row r="45610" ht="9.9499999999999993" hidden="1" customHeight="1" x14ac:dyDescent="0.2"/>
    <row r="45611" ht="9.9499999999999993" hidden="1" customHeight="1" x14ac:dyDescent="0.2"/>
    <row r="45612" ht="9.9499999999999993" hidden="1" customHeight="1" x14ac:dyDescent="0.2"/>
    <row r="45613" ht="9.9499999999999993" hidden="1" customHeight="1" x14ac:dyDescent="0.2"/>
    <row r="45614" ht="9.9499999999999993" hidden="1" customHeight="1" x14ac:dyDescent="0.2"/>
    <row r="45615" ht="9.9499999999999993" hidden="1" customHeight="1" x14ac:dyDescent="0.2"/>
    <row r="45616" ht="9.9499999999999993" hidden="1" customHeight="1" x14ac:dyDescent="0.2"/>
    <row r="45617" ht="9.9499999999999993" hidden="1" customHeight="1" x14ac:dyDescent="0.2"/>
    <row r="45618" ht="9.9499999999999993" hidden="1" customHeight="1" x14ac:dyDescent="0.2"/>
    <row r="45619" ht="9.9499999999999993" hidden="1" customHeight="1" x14ac:dyDescent="0.2"/>
    <row r="45620" ht="9.9499999999999993" hidden="1" customHeight="1" x14ac:dyDescent="0.2"/>
    <row r="45621" ht="9.9499999999999993" hidden="1" customHeight="1" x14ac:dyDescent="0.2"/>
    <row r="45622" ht="9.9499999999999993" hidden="1" customHeight="1" x14ac:dyDescent="0.2"/>
    <row r="45623" ht="9.9499999999999993" hidden="1" customHeight="1" x14ac:dyDescent="0.2"/>
    <row r="45624" ht="9.9499999999999993" hidden="1" customHeight="1" x14ac:dyDescent="0.2"/>
    <row r="45625" ht="9.9499999999999993" hidden="1" customHeight="1" x14ac:dyDescent="0.2"/>
    <row r="45626" ht="9.9499999999999993" hidden="1" customHeight="1" x14ac:dyDescent="0.2"/>
    <row r="45627" ht="9.9499999999999993" hidden="1" customHeight="1" x14ac:dyDescent="0.2"/>
    <row r="45628" ht="9.9499999999999993" hidden="1" customHeight="1" x14ac:dyDescent="0.2"/>
    <row r="45629" ht="9.9499999999999993" hidden="1" customHeight="1" x14ac:dyDescent="0.2"/>
    <row r="45630" ht="9.9499999999999993" hidden="1" customHeight="1" x14ac:dyDescent="0.2"/>
    <row r="45631" ht="9.9499999999999993" hidden="1" customHeight="1" x14ac:dyDescent="0.2"/>
    <row r="45632" ht="9.9499999999999993" hidden="1" customHeight="1" x14ac:dyDescent="0.2"/>
    <row r="45633" ht="9.9499999999999993" hidden="1" customHeight="1" x14ac:dyDescent="0.2"/>
    <row r="45634" ht="9.9499999999999993" hidden="1" customHeight="1" x14ac:dyDescent="0.2"/>
    <row r="45635" ht="9.9499999999999993" hidden="1" customHeight="1" x14ac:dyDescent="0.2"/>
    <row r="45636" ht="9.9499999999999993" hidden="1" customHeight="1" x14ac:dyDescent="0.2"/>
    <row r="45637" ht="9.9499999999999993" hidden="1" customHeight="1" x14ac:dyDescent="0.2"/>
    <row r="45638" ht="9.9499999999999993" hidden="1" customHeight="1" x14ac:dyDescent="0.2"/>
    <row r="45639" ht="9.9499999999999993" hidden="1" customHeight="1" x14ac:dyDescent="0.2"/>
    <row r="45640" ht="9.9499999999999993" hidden="1" customHeight="1" x14ac:dyDescent="0.2"/>
    <row r="45641" ht="9.9499999999999993" hidden="1" customHeight="1" x14ac:dyDescent="0.2"/>
    <row r="45642" ht="9.9499999999999993" hidden="1" customHeight="1" x14ac:dyDescent="0.2"/>
    <row r="45643" ht="9.9499999999999993" hidden="1" customHeight="1" x14ac:dyDescent="0.2"/>
    <row r="45644" ht="9.9499999999999993" hidden="1" customHeight="1" x14ac:dyDescent="0.2"/>
    <row r="45645" ht="9.9499999999999993" hidden="1" customHeight="1" x14ac:dyDescent="0.2"/>
    <row r="45646" ht="9.9499999999999993" hidden="1" customHeight="1" x14ac:dyDescent="0.2"/>
    <row r="45647" ht="9.9499999999999993" hidden="1" customHeight="1" x14ac:dyDescent="0.2"/>
    <row r="45648" ht="9.9499999999999993" hidden="1" customHeight="1" x14ac:dyDescent="0.2"/>
    <row r="45649" ht="9.9499999999999993" hidden="1" customHeight="1" x14ac:dyDescent="0.2"/>
    <row r="45650" ht="9.9499999999999993" hidden="1" customHeight="1" x14ac:dyDescent="0.2"/>
    <row r="45651" ht="9.9499999999999993" hidden="1" customHeight="1" x14ac:dyDescent="0.2"/>
    <row r="45652" ht="9.9499999999999993" hidden="1" customHeight="1" x14ac:dyDescent="0.2"/>
    <row r="45653" ht="9.9499999999999993" hidden="1" customHeight="1" x14ac:dyDescent="0.2"/>
    <row r="45654" ht="9.9499999999999993" hidden="1" customHeight="1" x14ac:dyDescent="0.2"/>
    <row r="45655" ht="9.9499999999999993" hidden="1" customHeight="1" x14ac:dyDescent="0.2"/>
    <row r="45656" ht="9.9499999999999993" hidden="1" customHeight="1" x14ac:dyDescent="0.2"/>
    <row r="45657" ht="9.9499999999999993" hidden="1" customHeight="1" x14ac:dyDescent="0.2"/>
    <row r="45658" ht="9.9499999999999993" hidden="1" customHeight="1" x14ac:dyDescent="0.2"/>
    <row r="45659" ht="9.9499999999999993" hidden="1" customHeight="1" x14ac:dyDescent="0.2"/>
    <row r="45660" ht="9.9499999999999993" hidden="1" customHeight="1" x14ac:dyDescent="0.2"/>
    <row r="45661" ht="9.9499999999999993" hidden="1" customHeight="1" x14ac:dyDescent="0.2"/>
    <row r="45662" ht="9.9499999999999993" hidden="1" customHeight="1" x14ac:dyDescent="0.2"/>
    <row r="45663" ht="9.9499999999999993" hidden="1" customHeight="1" x14ac:dyDescent="0.2"/>
    <row r="45664" ht="9.9499999999999993" hidden="1" customHeight="1" x14ac:dyDescent="0.2"/>
    <row r="45665" ht="9.9499999999999993" hidden="1" customHeight="1" x14ac:dyDescent="0.2"/>
    <row r="45666" ht="9.9499999999999993" hidden="1" customHeight="1" x14ac:dyDescent="0.2"/>
    <row r="45667" ht="9.9499999999999993" hidden="1" customHeight="1" x14ac:dyDescent="0.2"/>
    <row r="45668" ht="9.9499999999999993" hidden="1" customHeight="1" x14ac:dyDescent="0.2"/>
    <row r="45669" ht="9.9499999999999993" hidden="1" customHeight="1" x14ac:dyDescent="0.2"/>
    <row r="45670" ht="9.9499999999999993" hidden="1" customHeight="1" x14ac:dyDescent="0.2"/>
    <row r="45671" ht="9.9499999999999993" hidden="1" customHeight="1" x14ac:dyDescent="0.2"/>
    <row r="45672" ht="9.9499999999999993" hidden="1" customHeight="1" x14ac:dyDescent="0.2"/>
    <row r="45673" ht="9.9499999999999993" hidden="1" customHeight="1" x14ac:dyDescent="0.2"/>
    <row r="45674" ht="9.9499999999999993" hidden="1" customHeight="1" x14ac:dyDescent="0.2"/>
    <row r="45675" ht="9.9499999999999993" hidden="1" customHeight="1" x14ac:dyDescent="0.2"/>
    <row r="45676" ht="9.9499999999999993" hidden="1" customHeight="1" x14ac:dyDescent="0.2"/>
    <row r="45677" ht="9.9499999999999993" hidden="1" customHeight="1" x14ac:dyDescent="0.2"/>
    <row r="45678" ht="9.9499999999999993" hidden="1" customHeight="1" x14ac:dyDescent="0.2"/>
    <row r="45679" ht="9.9499999999999993" hidden="1" customHeight="1" x14ac:dyDescent="0.2"/>
    <row r="45680" ht="9.9499999999999993" hidden="1" customHeight="1" x14ac:dyDescent="0.2"/>
    <row r="45681" ht="9.9499999999999993" hidden="1" customHeight="1" x14ac:dyDescent="0.2"/>
    <row r="45682" ht="9.9499999999999993" hidden="1" customHeight="1" x14ac:dyDescent="0.2"/>
    <row r="45683" ht="9.9499999999999993" hidden="1" customHeight="1" x14ac:dyDescent="0.2"/>
    <row r="45684" ht="9.9499999999999993" hidden="1" customHeight="1" x14ac:dyDescent="0.2"/>
    <row r="45685" ht="9.9499999999999993" hidden="1" customHeight="1" x14ac:dyDescent="0.2"/>
    <row r="45686" ht="9.9499999999999993" hidden="1" customHeight="1" x14ac:dyDescent="0.2"/>
    <row r="45687" ht="9.9499999999999993" hidden="1" customHeight="1" x14ac:dyDescent="0.2"/>
    <row r="45688" ht="9.9499999999999993" hidden="1" customHeight="1" x14ac:dyDescent="0.2"/>
    <row r="45689" ht="9.9499999999999993" hidden="1" customHeight="1" x14ac:dyDescent="0.2"/>
    <row r="45690" ht="9.9499999999999993" hidden="1" customHeight="1" x14ac:dyDescent="0.2"/>
    <row r="45691" ht="9.9499999999999993" hidden="1" customHeight="1" x14ac:dyDescent="0.2"/>
    <row r="45692" ht="9.9499999999999993" hidden="1" customHeight="1" x14ac:dyDescent="0.2"/>
    <row r="45693" ht="9.9499999999999993" hidden="1" customHeight="1" x14ac:dyDescent="0.2"/>
    <row r="45694" ht="9.9499999999999993" hidden="1" customHeight="1" x14ac:dyDescent="0.2"/>
    <row r="45695" ht="9.9499999999999993" hidden="1" customHeight="1" x14ac:dyDescent="0.2"/>
    <row r="45696" ht="9.9499999999999993" hidden="1" customHeight="1" x14ac:dyDescent="0.2"/>
    <row r="45697" ht="9.9499999999999993" hidden="1" customHeight="1" x14ac:dyDescent="0.2"/>
    <row r="45698" ht="9.9499999999999993" hidden="1" customHeight="1" x14ac:dyDescent="0.2"/>
    <row r="45699" ht="9.9499999999999993" hidden="1" customHeight="1" x14ac:dyDescent="0.2"/>
    <row r="45700" ht="9.9499999999999993" hidden="1" customHeight="1" x14ac:dyDescent="0.2"/>
    <row r="45701" ht="9.9499999999999993" hidden="1" customHeight="1" x14ac:dyDescent="0.2"/>
    <row r="45702" ht="9.9499999999999993" hidden="1" customHeight="1" x14ac:dyDescent="0.2"/>
    <row r="45703" ht="9.9499999999999993" hidden="1" customHeight="1" x14ac:dyDescent="0.2"/>
    <row r="45704" ht="9.9499999999999993" hidden="1" customHeight="1" x14ac:dyDescent="0.2"/>
    <row r="45705" ht="9.9499999999999993" hidden="1" customHeight="1" x14ac:dyDescent="0.2"/>
    <row r="45706" ht="9.9499999999999993" hidden="1" customHeight="1" x14ac:dyDescent="0.2"/>
    <row r="45707" ht="9.9499999999999993" hidden="1" customHeight="1" x14ac:dyDescent="0.2"/>
    <row r="45708" ht="9.9499999999999993" hidden="1" customHeight="1" x14ac:dyDescent="0.2"/>
    <row r="45709" ht="9.9499999999999993" hidden="1" customHeight="1" x14ac:dyDescent="0.2"/>
    <row r="45710" ht="9.9499999999999993" hidden="1" customHeight="1" x14ac:dyDescent="0.2"/>
    <row r="45711" ht="9.9499999999999993" hidden="1" customHeight="1" x14ac:dyDescent="0.2"/>
    <row r="45712" ht="9.9499999999999993" hidden="1" customHeight="1" x14ac:dyDescent="0.2"/>
    <row r="45713" ht="9.9499999999999993" hidden="1" customHeight="1" x14ac:dyDescent="0.2"/>
    <row r="45714" ht="9.9499999999999993" hidden="1" customHeight="1" x14ac:dyDescent="0.2"/>
    <row r="45715" ht="9.9499999999999993" hidden="1" customHeight="1" x14ac:dyDescent="0.2"/>
    <row r="45716" ht="9.9499999999999993" hidden="1" customHeight="1" x14ac:dyDescent="0.2"/>
    <row r="45717" ht="9.9499999999999993" hidden="1" customHeight="1" x14ac:dyDescent="0.2"/>
    <row r="45718" ht="9.9499999999999993" hidden="1" customHeight="1" x14ac:dyDescent="0.2"/>
    <row r="45719" ht="9.9499999999999993" hidden="1" customHeight="1" x14ac:dyDescent="0.2"/>
    <row r="45720" ht="9.9499999999999993" hidden="1" customHeight="1" x14ac:dyDescent="0.2"/>
    <row r="45721" ht="9.9499999999999993" hidden="1" customHeight="1" x14ac:dyDescent="0.2"/>
    <row r="45722" ht="9.9499999999999993" hidden="1" customHeight="1" x14ac:dyDescent="0.2"/>
    <row r="45723" ht="9.9499999999999993" hidden="1" customHeight="1" x14ac:dyDescent="0.2"/>
    <row r="45724" ht="9.9499999999999993" hidden="1" customHeight="1" x14ac:dyDescent="0.2"/>
    <row r="45725" ht="9.9499999999999993" hidden="1" customHeight="1" x14ac:dyDescent="0.2"/>
    <row r="45726" ht="9.9499999999999993" hidden="1" customHeight="1" x14ac:dyDescent="0.2"/>
    <row r="45727" ht="9.9499999999999993" hidden="1" customHeight="1" x14ac:dyDescent="0.2"/>
    <row r="45728" ht="9.9499999999999993" hidden="1" customHeight="1" x14ac:dyDescent="0.2"/>
    <row r="45729" ht="9.9499999999999993" hidden="1" customHeight="1" x14ac:dyDescent="0.2"/>
    <row r="45730" ht="9.9499999999999993" hidden="1" customHeight="1" x14ac:dyDescent="0.2"/>
    <row r="45731" ht="9.9499999999999993" hidden="1" customHeight="1" x14ac:dyDescent="0.2"/>
    <row r="45732" ht="9.9499999999999993" hidden="1" customHeight="1" x14ac:dyDescent="0.2"/>
    <row r="45733" ht="9.9499999999999993" hidden="1" customHeight="1" x14ac:dyDescent="0.2"/>
    <row r="45734" ht="9.9499999999999993" hidden="1" customHeight="1" x14ac:dyDescent="0.2"/>
    <row r="45735" ht="9.9499999999999993" hidden="1" customHeight="1" x14ac:dyDescent="0.2"/>
    <row r="45736" ht="9.9499999999999993" hidden="1" customHeight="1" x14ac:dyDescent="0.2"/>
    <row r="45737" ht="9.9499999999999993" hidden="1" customHeight="1" x14ac:dyDescent="0.2"/>
    <row r="45738" ht="9.9499999999999993" hidden="1" customHeight="1" x14ac:dyDescent="0.2"/>
    <row r="45739" ht="9.9499999999999993" hidden="1" customHeight="1" x14ac:dyDescent="0.2"/>
    <row r="45740" ht="9.9499999999999993" hidden="1" customHeight="1" x14ac:dyDescent="0.2"/>
    <row r="45741" ht="9.9499999999999993" hidden="1" customHeight="1" x14ac:dyDescent="0.2"/>
    <row r="45742" ht="9.9499999999999993" hidden="1" customHeight="1" x14ac:dyDescent="0.2"/>
    <row r="45743" ht="9.9499999999999993" hidden="1" customHeight="1" x14ac:dyDescent="0.2"/>
    <row r="45744" ht="9.9499999999999993" hidden="1" customHeight="1" x14ac:dyDescent="0.2"/>
    <row r="45745" ht="9.9499999999999993" hidden="1" customHeight="1" x14ac:dyDescent="0.2"/>
    <row r="45746" ht="9.9499999999999993" hidden="1" customHeight="1" x14ac:dyDescent="0.2"/>
    <row r="45747" ht="9.9499999999999993" hidden="1" customHeight="1" x14ac:dyDescent="0.2"/>
    <row r="45748" ht="9.9499999999999993" hidden="1" customHeight="1" x14ac:dyDescent="0.2"/>
    <row r="45749" ht="9.9499999999999993" hidden="1" customHeight="1" x14ac:dyDescent="0.2"/>
    <row r="45750" ht="9.9499999999999993" hidden="1" customHeight="1" x14ac:dyDescent="0.2"/>
    <row r="45751" ht="9.9499999999999993" hidden="1" customHeight="1" x14ac:dyDescent="0.2"/>
    <row r="45752" ht="9.9499999999999993" hidden="1" customHeight="1" x14ac:dyDescent="0.2"/>
    <row r="45753" ht="9.9499999999999993" hidden="1" customHeight="1" x14ac:dyDescent="0.2"/>
    <row r="45754" ht="9.9499999999999993" hidden="1" customHeight="1" x14ac:dyDescent="0.2"/>
    <row r="45755" ht="9.9499999999999993" hidden="1" customHeight="1" x14ac:dyDescent="0.2"/>
    <row r="45756" ht="9.9499999999999993" hidden="1" customHeight="1" x14ac:dyDescent="0.2"/>
    <row r="45757" ht="9.9499999999999993" hidden="1" customHeight="1" x14ac:dyDescent="0.2"/>
    <row r="45758" ht="9.9499999999999993" hidden="1" customHeight="1" x14ac:dyDescent="0.2"/>
    <row r="45759" ht="9.9499999999999993" hidden="1" customHeight="1" x14ac:dyDescent="0.2"/>
    <row r="45760" ht="9.9499999999999993" hidden="1" customHeight="1" x14ac:dyDescent="0.2"/>
    <row r="45761" ht="9.9499999999999993" hidden="1" customHeight="1" x14ac:dyDescent="0.2"/>
    <row r="45762" ht="9.9499999999999993" hidden="1" customHeight="1" x14ac:dyDescent="0.2"/>
    <row r="45763" ht="9.9499999999999993" hidden="1" customHeight="1" x14ac:dyDescent="0.2"/>
    <row r="45764" ht="9.9499999999999993" hidden="1" customHeight="1" x14ac:dyDescent="0.2"/>
    <row r="45765" ht="9.9499999999999993" hidden="1" customHeight="1" x14ac:dyDescent="0.2"/>
    <row r="45766" ht="9.9499999999999993" hidden="1" customHeight="1" x14ac:dyDescent="0.2"/>
    <row r="45767" ht="9.9499999999999993" hidden="1" customHeight="1" x14ac:dyDescent="0.2"/>
    <row r="45768" ht="9.9499999999999993" hidden="1" customHeight="1" x14ac:dyDescent="0.2"/>
    <row r="45769" ht="9.9499999999999993" hidden="1" customHeight="1" x14ac:dyDescent="0.2"/>
    <row r="45770" ht="9.9499999999999993" hidden="1" customHeight="1" x14ac:dyDescent="0.2"/>
    <row r="45771" ht="9.9499999999999993" hidden="1" customHeight="1" x14ac:dyDescent="0.2"/>
    <row r="45772" ht="9.9499999999999993" hidden="1" customHeight="1" x14ac:dyDescent="0.2"/>
    <row r="45773" ht="9.9499999999999993" hidden="1" customHeight="1" x14ac:dyDescent="0.2"/>
    <row r="45774" ht="9.9499999999999993" hidden="1" customHeight="1" x14ac:dyDescent="0.2"/>
    <row r="45775" ht="9.9499999999999993" hidden="1" customHeight="1" x14ac:dyDescent="0.2"/>
    <row r="45776" ht="9.9499999999999993" hidden="1" customHeight="1" x14ac:dyDescent="0.2"/>
    <row r="45777" ht="9.9499999999999993" hidden="1" customHeight="1" x14ac:dyDescent="0.2"/>
    <row r="45778" ht="9.9499999999999993" hidden="1" customHeight="1" x14ac:dyDescent="0.2"/>
    <row r="45779" ht="9.9499999999999993" hidden="1" customHeight="1" x14ac:dyDescent="0.2"/>
    <row r="45780" ht="9.9499999999999993" hidden="1" customHeight="1" x14ac:dyDescent="0.2"/>
    <row r="45781" ht="9.9499999999999993" hidden="1" customHeight="1" x14ac:dyDescent="0.2"/>
    <row r="45782" ht="9.9499999999999993" hidden="1" customHeight="1" x14ac:dyDescent="0.2"/>
    <row r="45783" ht="9.9499999999999993" hidden="1" customHeight="1" x14ac:dyDescent="0.2"/>
    <row r="45784" ht="9.9499999999999993" hidden="1" customHeight="1" x14ac:dyDescent="0.2"/>
    <row r="45785" ht="9.9499999999999993" hidden="1" customHeight="1" x14ac:dyDescent="0.2"/>
    <row r="45786" ht="9.9499999999999993" hidden="1" customHeight="1" x14ac:dyDescent="0.2"/>
    <row r="45787" ht="9.9499999999999993" hidden="1" customHeight="1" x14ac:dyDescent="0.2"/>
    <row r="45788" ht="9.9499999999999993" hidden="1" customHeight="1" x14ac:dyDescent="0.2"/>
    <row r="45789" ht="9.9499999999999993" hidden="1" customHeight="1" x14ac:dyDescent="0.2"/>
    <row r="45790" ht="9.9499999999999993" hidden="1" customHeight="1" x14ac:dyDescent="0.2"/>
    <row r="45791" ht="9.9499999999999993" hidden="1" customHeight="1" x14ac:dyDescent="0.2"/>
    <row r="45792" ht="9.9499999999999993" hidden="1" customHeight="1" x14ac:dyDescent="0.2"/>
    <row r="45793" ht="9.9499999999999993" hidden="1" customHeight="1" x14ac:dyDescent="0.2"/>
    <row r="45794" ht="9.9499999999999993" hidden="1" customHeight="1" x14ac:dyDescent="0.2"/>
    <row r="45795" ht="9.9499999999999993" hidden="1" customHeight="1" x14ac:dyDescent="0.2"/>
    <row r="45796" ht="9.9499999999999993" hidden="1" customHeight="1" x14ac:dyDescent="0.2"/>
    <row r="45797" ht="9.9499999999999993" hidden="1" customHeight="1" x14ac:dyDescent="0.2"/>
    <row r="45798" ht="9.9499999999999993" hidden="1" customHeight="1" x14ac:dyDescent="0.2"/>
    <row r="45799" ht="9.9499999999999993" hidden="1" customHeight="1" x14ac:dyDescent="0.2"/>
    <row r="45800" ht="9.9499999999999993" hidden="1" customHeight="1" x14ac:dyDescent="0.2"/>
    <row r="45801" ht="9.9499999999999993" hidden="1" customHeight="1" x14ac:dyDescent="0.2"/>
    <row r="45802" ht="9.9499999999999993" hidden="1" customHeight="1" x14ac:dyDescent="0.2"/>
    <row r="45803" ht="9.9499999999999993" hidden="1" customHeight="1" x14ac:dyDescent="0.2"/>
    <row r="45804" ht="9.9499999999999993" hidden="1" customHeight="1" x14ac:dyDescent="0.2"/>
    <row r="45805" ht="9.9499999999999993" hidden="1" customHeight="1" x14ac:dyDescent="0.2"/>
    <row r="45806" ht="9.9499999999999993" hidden="1" customHeight="1" x14ac:dyDescent="0.2"/>
    <row r="45807" ht="9.9499999999999993" hidden="1" customHeight="1" x14ac:dyDescent="0.2"/>
    <row r="45808" ht="9.9499999999999993" hidden="1" customHeight="1" x14ac:dyDescent="0.2"/>
    <row r="45809" ht="9.9499999999999993" hidden="1" customHeight="1" x14ac:dyDescent="0.2"/>
    <row r="45810" ht="9.9499999999999993" hidden="1" customHeight="1" x14ac:dyDescent="0.2"/>
    <row r="45811" ht="9.9499999999999993" hidden="1" customHeight="1" x14ac:dyDescent="0.2"/>
    <row r="45812" ht="9.9499999999999993" hidden="1" customHeight="1" x14ac:dyDescent="0.2"/>
    <row r="45813" ht="9.9499999999999993" hidden="1" customHeight="1" x14ac:dyDescent="0.2"/>
    <row r="45814" ht="9.9499999999999993" hidden="1" customHeight="1" x14ac:dyDescent="0.2"/>
    <row r="45815" ht="9.9499999999999993" hidden="1" customHeight="1" x14ac:dyDescent="0.2"/>
    <row r="45816" ht="9.9499999999999993" hidden="1" customHeight="1" x14ac:dyDescent="0.2"/>
    <row r="45817" ht="9.9499999999999993" hidden="1" customHeight="1" x14ac:dyDescent="0.2"/>
    <row r="45818" ht="9.9499999999999993" hidden="1" customHeight="1" x14ac:dyDescent="0.2"/>
    <row r="45819" ht="9.9499999999999993" hidden="1" customHeight="1" x14ac:dyDescent="0.2"/>
    <row r="45820" ht="9.9499999999999993" hidden="1" customHeight="1" x14ac:dyDescent="0.2"/>
    <row r="45821" ht="9.9499999999999993" hidden="1" customHeight="1" x14ac:dyDescent="0.2"/>
    <row r="45822" ht="9.9499999999999993" hidden="1" customHeight="1" x14ac:dyDescent="0.2"/>
    <row r="45823" ht="9.9499999999999993" hidden="1" customHeight="1" x14ac:dyDescent="0.2"/>
    <row r="45824" ht="9.9499999999999993" hidden="1" customHeight="1" x14ac:dyDescent="0.2"/>
    <row r="45825" ht="9.9499999999999993" hidden="1" customHeight="1" x14ac:dyDescent="0.2"/>
    <row r="45826" ht="9.9499999999999993" hidden="1" customHeight="1" x14ac:dyDescent="0.2"/>
    <row r="45827" ht="9.9499999999999993" hidden="1" customHeight="1" x14ac:dyDescent="0.2"/>
    <row r="45828" ht="9.9499999999999993" hidden="1" customHeight="1" x14ac:dyDescent="0.2"/>
    <row r="45829" ht="9.9499999999999993" hidden="1" customHeight="1" x14ac:dyDescent="0.2"/>
    <row r="45830" ht="9.9499999999999993" hidden="1" customHeight="1" x14ac:dyDescent="0.2"/>
    <row r="45831" ht="9.9499999999999993" hidden="1" customHeight="1" x14ac:dyDescent="0.2"/>
    <row r="45832" ht="9.9499999999999993" hidden="1" customHeight="1" x14ac:dyDescent="0.2"/>
    <row r="45833" ht="9.9499999999999993" hidden="1" customHeight="1" x14ac:dyDescent="0.2"/>
    <row r="45834" ht="9.9499999999999993" hidden="1" customHeight="1" x14ac:dyDescent="0.2"/>
    <row r="45835" ht="9.9499999999999993" hidden="1" customHeight="1" x14ac:dyDescent="0.2"/>
    <row r="45836" ht="9.9499999999999993" hidden="1" customHeight="1" x14ac:dyDescent="0.2"/>
    <row r="45837" ht="9.9499999999999993" hidden="1" customHeight="1" x14ac:dyDescent="0.2"/>
    <row r="45838" ht="9.9499999999999993" hidden="1" customHeight="1" x14ac:dyDescent="0.2"/>
    <row r="45839" ht="9.9499999999999993" hidden="1" customHeight="1" x14ac:dyDescent="0.2"/>
    <row r="45840" ht="9.9499999999999993" hidden="1" customHeight="1" x14ac:dyDescent="0.2"/>
    <row r="45841" ht="9.9499999999999993" hidden="1" customHeight="1" x14ac:dyDescent="0.2"/>
    <row r="45842" ht="9.9499999999999993" hidden="1" customHeight="1" x14ac:dyDescent="0.2"/>
    <row r="45843" ht="9.9499999999999993" hidden="1" customHeight="1" x14ac:dyDescent="0.2"/>
    <row r="45844" ht="9.9499999999999993" hidden="1" customHeight="1" x14ac:dyDescent="0.2"/>
    <row r="45845" ht="9.9499999999999993" hidden="1" customHeight="1" x14ac:dyDescent="0.2"/>
    <row r="45846" ht="9.9499999999999993" hidden="1" customHeight="1" x14ac:dyDescent="0.2"/>
    <row r="45847" ht="9.9499999999999993" hidden="1" customHeight="1" x14ac:dyDescent="0.2"/>
    <row r="45848" ht="9.9499999999999993" hidden="1" customHeight="1" x14ac:dyDescent="0.2"/>
    <row r="45849" ht="9.9499999999999993" hidden="1" customHeight="1" x14ac:dyDescent="0.2"/>
    <row r="45850" ht="9.9499999999999993" hidden="1" customHeight="1" x14ac:dyDescent="0.2"/>
    <row r="45851" ht="9.9499999999999993" hidden="1" customHeight="1" x14ac:dyDescent="0.2"/>
    <row r="45852" ht="9.9499999999999993" hidden="1" customHeight="1" x14ac:dyDescent="0.2"/>
    <row r="45853" ht="9.9499999999999993" hidden="1" customHeight="1" x14ac:dyDescent="0.2"/>
    <row r="45854" ht="9.9499999999999993" hidden="1" customHeight="1" x14ac:dyDescent="0.2"/>
    <row r="45855" ht="9.9499999999999993" hidden="1" customHeight="1" x14ac:dyDescent="0.2"/>
    <row r="45856" ht="9.9499999999999993" hidden="1" customHeight="1" x14ac:dyDescent="0.2"/>
    <row r="45857" ht="9.9499999999999993" hidden="1" customHeight="1" x14ac:dyDescent="0.2"/>
    <row r="45858" ht="9.9499999999999993" hidden="1" customHeight="1" x14ac:dyDescent="0.2"/>
    <row r="45859" ht="9.9499999999999993" hidden="1" customHeight="1" x14ac:dyDescent="0.2"/>
    <row r="45860" ht="9.9499999999999993" hidden="1" customHeight="1" x14ac:dyDescent="0.2"/>
    <row r="45861" ht="9.9499999999999993" hidden="1" customHeight="1" x14ac:dyDescent="0.2"/>
    <row r="45862" ht="9.9499999999999993" hidden="1" customHeight="1" x14ac:dyDescent="0.2"/>
    <row r="45863" ht="9.9499999999999993" hidden="1" customHeight="1" x14ac:dyDescent="0.2"/>
    <row r="45864" ht="9.9499999999999993" hidden="1" customHeight="1" x14ac:dyDescent="0.2"/>
    <row r="45865" ht="9.9499999999999993" hidden="1" customHeight="1" x14ac:dyDescent="0.2"/>
    <row r="45866" ht="9.9499999999999993" hidden="1" customHeight="1" x14ac:dyDescent="0.2"/>
    <row r="45867" ht="9.9499999999999993" hidden="1" customHeight="1" x14ac:dyDescent="0.2"/>
    <row r="45868" ht="9.9499999999999993" hidden="1" customHeight="1" x14ac:dyDescent="0.2"/>
    <row r="45869" ht="9.9499999999999993" hidden="1" customHeight="1" x14ac:dyDescent="0.2"/>
    <row r="45870" ht="9.9499999999999993" hidden="1" customHeight="1" x14ac:dyDescent="0.2"/>
    <row r="45871" ht="9.9499999999999993" hidden="1" customHeight="1" x14ac:dyDescent="0.2"/>
    <row r="45872" ht="9.9499999999999993" hidden="1" customHeight="1" x14ac:dyDescent="0.2"/>
    <row r="45873" ht="9.9499999999999993" hidden="1" customHeight="1" x14ac:dyDescent="0.2"/>
    <row r="45874" ht="9.9499999999999993" hidden="1" customHeight="1" x14ac:dyDescent="0.2"/>
    <row r="45875" ht="9.9499999999999993" hidden="1" customHeight="1" x14ac:dyDescent="0.2"/>
    <row r="45876" ht="9.9499999999999993" hidden="1" customHeight="1" x14ac:dyDescent="0.2"/>
    <row r="45877" ht="9.9499999999999993" hidden="1" customHeight="1" x14ac:dyDescent="0.2"/>
    <row r="45878" ht="9.9499999999999993" hidden="1" customHeight="1" x14ac:dyDescent="0.2"/>
    <row r="45879" ht="9.9499999999999993" hidden="1" customHeight="1" x14ac:dyDescent="0.2"/>
    <row r="45880" ht="9.9499999999999993" hidden="1" customHeight="1" x14ac:dyDescent="0.2"/>
    <row r="45881" ht="9.9499999999999993" hidden="1" customHeight="1" x14ac:dyDescent="0.2"/>
    <row r="45882" ht="9.9499999999999993" hidden="1" customHeight="1" x14ac:dyDescent="0.2"/>
    <row r="45883" ht="9.9499999999999993" hidden="1" customHeight="1" x14ac:dyDescent="0.2"/>
    <row r="45884" ht="9.9499999999999993" hidden="1" customHeight="1" x14ac:dyDescent="0.2"/>
    <row r="45885" ht="9.9499999999999993" hidden="1" customHeight="1" x14ac:dyDescent="0.2"/>
    <row r="45886" ht="9.9499999999999993" hidden="1" customHeight="1" x14ac:dyDescent="0.2"/>
    <row r="45887" ht="9.9499999999999993" hidden="1" customHeight="1" x14ac:dyDescent="0.2"/>
    <row r="45888" ht="9.9499999999999993" hidden="1" customHeight="1" x14ac:dyDescent="0.2"/>
    <row r="45889" ht="9.9499999999999993" hidden="1" customHeight="1" x14ac:dyDescent="0.2"/>
    <row r="45890" ht="9.9499999999999993" hidden="1" customHeight="1" x14ac:dyDescent="0.2"/>
    <row r="45891" ht="9.9499999999999993" hidden="1" customHeight="1" x14ac:dyDescent="0.2"/>
    <row r="45892" ht="9.9499999999999993" hidden="1" customHeight="1" x14ac:dyDescent="0.2"/>
    <row r="45893" ht="9.9499999999999993" hidden="1" customHeight="1" x14ac:dyDescent="0.2"/>
    <row r="45894" ht="9.9499999999999993" hidden="1" customHeight="1" x14ac:dyDescent="0.2"/>
    <row r="45895" ht="9.9499999999999993" hidden="1" customHeight="1" x14ac:dyDescent="0.2"/>
    <row r="45896" ht="9.9499999999999993" hidden="1" customHeight="1" x14ac:dyDescent="0.2"/>
    <row r="45897" ht="9.9499999999999993" hidden="1" customHeight="1" x14ac:dyDescent="0.2"/>
    <row r="45898" ht="9.9499999999999993" hidden="1" customHeight="1" x14ac:dyDescent="0.2"/>
    <row r="45899" ht="9.9499999999999993" hidden="1" customHeight="1" x14ac:dyDescent="0.2"/>
    <row r="45900" ht="9.9499999999999993" hidden="1" customHeight="1" x14ac:dyDescent="0.2"/>
    <row r="45901" ht="9.9499999999999993" hidden="1" customHeight="1" x14ac:dyDescent="0.2"/>
    <row r="45902" ht="9.9499999999999993" hidden="1" customHeight="1" x14ac:dyDescent="0.2"/>
    <row r="45903" ht="9.9499999999999993" hidden="1" customHeight="1" x14ac:dyDescent="0.2"/>
    <row r="45904" ht="9.9499999999999993" hidden="1" customHeight="1" x14ac:dyDescent="0.2"/>
    <row r="45905" ht="9.9499999999999993" hidden="1" customHeight="1" x14ac:dyDescent="0.2"/>
    <row r="45906" ht="9.9499999999999993" hidden="1" customHeight="1" x14ac:dyDescent="0.2"/>
    <row r="45907" ht="9.9499999999999993" hidden="1" customHeight="1" x14ac:dyDescent="0.2"/>
    <row r="45908" ht="9.9499999999999993" hidden="1" customHeight="1" x14ac:dyDescent="0.2"/>
    <row r="45909" ht="9.9499999999999993" hidden="1" customHeight="1" x14ac:dyDescent="0.2"/>
    <row r="45910" ht="9.9499999999999993" hidden="1" customHeight="1" x14ac:dyDescent="0.2"/>
    <row r="45911" ht="9.9499999999999993" hidden="1" customHeight="1" x14ac:dyDescent="0.2"/>
    <row r="45912" ht="9.9499999999999993" hidden="1" customHeight="1" x14ac:dyDescent="0.2"/>
    <row r="45913" ht="9.9499999999999993" hidden="1" customHeight="1" x14ac:dyDescent="0.2"/>
    <row r="45914" ht="9.9499999999999993" hidden="1" customHeight="1" x14ac:dyDescent="0.2"/>
    <row r="45915" ht="9.9499999999999993" hidden="1" customHeight="1" x14ac:dyDescent="0.2"/>
    <row r="45916" ht="9.9499999999999993" hidden="1" customHeight="1" x14ac:dyDescent="0.2"/>
    <row r="45917" ht="9.9499999999999993" hidden="1" customHeight="1" x14ac:dyDescent="0.2"/>
    <row r="45918" ht="9.9499999999999993" hidden="1" customHeight="1" x14ac:dyDescent="0.2"/>
    <row r="45919" ht="9.9499999999999993" hidden="1" customHeight="1" x14ac:dyDescent="0.2"/>
    <row r="45920" ht="9.9499999999999993" hidden="1" customHeight="1" x14ac:dyDescent="0.2"/>
    <row r="45921" ht="9.9499999999999993" hidden="1" customHeight="1" x14ac:dyDescent="0.2"/>
    <row r="45922" ht="9.9499999999999993" hidden="1" customHeight="1" x14ac:dyDescent="0.2"/>
    <row r="45923" ht="9.9499999999999993" hidden="1" customHeight="1" x14ac:dyDescent="0.2"/>
    <row r="45924" ht="9.9499999999999993" hidden="1" customHeight="1" x14ac:dyDescent="0.2"/>
    <row r="45925" ht="9.9499999999999993" hidden="1" customHeight="1" x14ac:dyDescent="0.2"/>
    <row r="45926" ht="9.9499999999999993" hidden="1" customHeight="1" x14ac:dyDescent="0.2"/>
    <row r="45927" ht="9.9499999999999993" hidden="1" customHeight="1" x14ac:dyDescent="0.2"/>
    <row r="45928" ht="9.9499999999999993" hidden="1" customHeight="1" x14ac:dyDescent="0.2"/>
    <row r="45929" ht="9.9499999999999993" hidden="1" customHeight="1" x14ac:dyDescent="0.2"/>
    <row r="45930" ht="9.9499999999999993" hidden="1" customHeight="1" x14ac:dyDescent="0.2"/>
    <row r="45931" ht="9.9499999999999993" hidden="1" customHeight="1" x14ac:dyDescent="0.2"/>
    <row r="45932" ht="9.9499999999999993" hidden="1" customHeight="1" x14ac:dyDescent="0.2"/>
    <row r="45933" ht="9.9499999999999993" hidden="1" customHeight="1" x14ac:dyDescent="0.2"/>
    <row r="45934" ht="9.9499999999999993" hidden="1" customHeight="1" x14ac:dyDescent="0.2"/>
    <row r="45935" ht="9.9499999999999993" hidden="1" customHeight="1" x14ac:dyDescent="0.2"/>
    <row r="45936" ht="9.9499999999999993" hidden="1" customHeight="1" x14ac:dyDescent="0.2"/>
    <row r="45937" ht="9.9499999999999993" hidden="1" customHeight="1" x14ac:dyDescent="0.2"/>
    <row r="45938" ht="9.9499999999999993" hidden="1" customHeight="1" x14ac:dyDescent="0.2"/>
    <row r="45939" ht="9.9499999999999993" hidden="1" customHeight="1" x14ac:dyDescent="0.2"/>
    <row r="45940" ht="9.9499999999999993" hidden="1" customHeight="1" x14ac:dyDescent="0.2"/>
    <row r="45941" ht="9.9499999999999993" hidden="1" customHeight="1" x14ac:dyDescent="0.2"/>
    <row r="45942" ht="9.9499999999999993" hidden="1" customHeight="1" x14ac:dyDescent="0.2"/>
    <row r="45943" ht="9.9499999999999993" hidden="1" customHeight="1" x14ac:dyDescent="0.2"/>
    <row r="45944" ht="9.9499999999999993" hidden="1" customHeight="1" x14ac:dyDescent="0.2"/>
    <row r="45945" ht="9.9499999999999993" hidden="1" customHeight="1" x14ac:dyDescent="0.2"/>
    <row r="45946" ht="9.9499999999999993" hidden="1" customHeight="1" x14ac:dyDescent="0.2"/>
    <row r="45947" ht="9.9499999999999993" hidden="1" customHeight="1" x14ac:dyDescent="0.2"/>
    <row r="45948" ht="9.9499999999999993" hidden="1" customHeight="1" x14ac:dyDescent="0.2"/>
    <row r="45949" ht="9.9499999999999993" hidden="1" customHeight="1" x14ac:dyDescent="0.2"/>
    <row r="45950" ht="9.9499999999999993" hidden="1" customHeight="1" x14ac:dyDescent="0.2"/>
    <row r="45951" ht="9.9499999999999993" hidden="1" customHeight="1" x14ac:dyDescent="0.2"/>
    <row r="45952" ht="9.9499999999999993" hidden="1" customHeight="1" x14ac:dyDescent="0.2"/>
    <row r="45953" ht="9.9499999999999993" hidden="1" customHeight="1" x14ac:dyDescent="0.2"/>
    <row r="45954" ht="9.9499999999999993" hidden="1" customHeight="1" x14ac:dyDescent="0.2"/>
    <row r="45955" ht="9.9499999999999993" hidden="1" customHeight="1" x14ac:dyDescent="0.2"/>
    <row r="45956" ht="9.9499999999999993" hidden="1" customHeight="1" x14ac:dyDescent="0.2"/>
    <row r="45957" ht="9.9499999999999993" hidden="1" customHeight="1" x14ac:dyDescent="0.2"/>
    <row r="45958" ht="9.9499999999999993" hidden="1" customHeight="1" x14ac:dyDescent="0.2"/>
    <row r="45959" ht="9.9499999999999993" hidden="1" customHeight="1" x14ac:dyDescent="0.2"/>
    <row r="45960" ht="9.9499999999999993" hidden="1" customHeight="1" x14ac:dyDescent="0.2"/>
    <row r="45961" ht="9.9499999999999993" hidden="1" customHeight="1" x14ac:dyDescent="0.2"/>
    <row r="45962" ht="9.9499999999999993" hidden="1" customHeight="1" x14ac:dyDescent="0.2"/>
    <row r="45963" ht="9.9499999999999993" hidden="1" customHeight="1" x14ac:dyDescent="0.2"/>
    <row r="45964" ht="9.9499999999999993" hidden="1" customHeight="1" x14ac:dyDescent="0.2"/>
    <row r="45965" ht="9.9499999999999993" hidden="1" customHeight="1" x14ac:dyDescent="0.2"/>
    <row r="45966" ht="9.9499999999999993" hidden="1" customHeight="1" x14ac:dyDescent="0.2"/>
    <row r="45967" ht="9.9499999999999993" hidden="1" customHeight="1" x14ac:dyDescent="0.2"/>
    <row r="45968" ht="9.9499999999999993" hidden="1" customHeight="1" x14ac:dyDescent="0.2"/>
    <row r="45969" ht="9.9499999999999993" hidden="1" customHeight="1" x14ac:dyDescent="0.2"/>
    <row r="45970" ht="9.9499999999999993" hidden="1" customHeight="1" x14ac:dyDescent="0.2"/>
    <row r="45971" ht="9.9499999999999993" hidden="1" customHeight="1" x14ac:dyDescent="0.2"/>
    <row r="45972" ht="9.9499999999999993" hidden="1" customHeight="1" x14ac:dyDescent="0.2"/>
    <row r="45973" ht="9.9499999999999993" hidden="1" customHeight="1" x14ac:dyDescent="0.2"/>
    <row r="45974" ht="9.9499999999999993" hidden="1" customHeight="1" x14ac:dyDescent="0.2"/>
    <row r="45975" ht="9.9499999999999993" hidden="1" customHeight="1" x14ac:dyDescent="0.2"/>
    <row r="45976" ht="9.9499999999999993" hidden="1" customHeight="1" x14ac:dyDescent="0.2"/>
    <row r="45977" ht="9.9499999999999993" hidden="1" customHeight="1" x14ac:dyDescent="0.2"/>
    <row r="45978" ht="9.9499999999999993" hidden="1" customHeight="1" x14ac:dyDescent="0.2"/>
    <row r="45979" ht="9.9499999999999993" hidden="1" customHeight="1" x14ac:dyDescent="0.2"/>
    <row r="45980" ht="9.9499999999999993" hidden="1" customHeight="1" x14ac:dyDescent="0.2"/>
    <row r="45981" ht="9.9499999999999993" hidden="1" customHeight="1" x14ac:dyDescent="0.2"/>
    <row r="45982" ht="9.9499999999999993" hidden="1" customHeight="1" x14ac:dyDescent="0.2"/>
    <row r="45983" ht="9.9499999999999993" hidden="1" customHeight="1" x14ac:dyDescent="0.2"/>
    <row r="45984" ht="9.9499999999999993" hidden="1" customHeight="1" x14ac:dyDescent="0.2"/>
    <row r="45985" ht="9.9499999999999993" hidden="1" customHeight="1" x14ac:dyDescent="0.2"/>
    <row r="45986" ht="9.9499999999999993" hidden="1" customHeight="1" x14ac:dyDescent="0.2"/>
    <row r="45987" ht="9.9499999999999993" hidden="1" customHeight="1" x14ac:dyDescent="0.2"/>
    <row r="45988" ht="9.9499999999999993" hidden="1" customHeight="1" x14ac:dyDescent="0.2"/>
    <row r="45989" ht="9.9499999999999993" hidden="1" customHeight="1" x14ac:dyDescent="0.2"/>
    <row r="45990" ht="9.9499999999999993" hidden="1" customHeight="1" x14ac:dyDescent="0.2"/>
    <row r="45991" ht="9.9499999999999993" hidden="1" customHeight="1" x14ac:dyDescent="0.2"/>
    <row r="45992" ht="9.9499999999999993" hidden="1" customHeight="1" x14ac:dyDescent="0.2"/>
    <row r="45993" ht="9.9499999999999993" hidden="1" customHeight="1" x14ac:dyDescent="0.2"/>
    <row r="45994" ht="9.9499999999999993" hidden="1" customHeight="1" x14ac:dyDescent="0.2"/>
    <row r="45995" ht="9.9499999999999993" hidden="1" customHeight="1" x14ac:dyDescent="0.2"/>
    <row r="45996" ht="9.9499999999999993" hidden="1" customHeight="1" x14ac:dyDescent="0.2"/>
    <row r="45997" ht="9.9499999999999993" hidden="1" customHeight="1" x14ac:dyDescent="0.2"/>
    <row r="45998" ht="9.9499999999999993" hidden="1" customHeight="1" x14ac:dyDescent="0.2"/>
    <row r="45999" ht="9.9499999999999993" hidden="1" customHeight="1" x14ac:dyDescent="0.2"/>
    <row r="46000" ht="9.9499999999999993" hidden="1" customHeight="1" x14ac:dyDescent="0.2"/>
    <row r="46001" ht="9.9499999999999993" hidden="1" customHeight="1" x14ac:dyDescent="0.2"/>
    <row r="46002" ht="9.9499999999999993" hidden="1" customHeight="1" x14ac:dyDescent="0.2"/>
    <row r="46003" ht="9.9499999999999993" hidden="1" customHeight="1" x14ac:dyDescent="0.2"/>
    <row r="46004" ht="9.9499999999999993" hidden="1" customHeight="1" x14ac:dyDescent="0.2"/>
    <row r="46005" ht="9.9499999999999993" hidden="1" customHeight="1" x14ac:dyDescent="0.2"/>
    <row r="46006" ht="9.9499999999999993" hidden="1" customHeight="1" x14ac:dyDescent="0.2"/>
    <row r="46007" ht="9.9499999999999993" hidden="1" customHeight="1" x14ac:dyDescent="0.2"/>
    <row r="46008" ht="9.9499999999999993" hidden="1" customHeight="1" x14ac:dyDescent="0.2"/>
    <row r="46009" ht="9.9499999999999993" hidden="1" customHeight="1" x14ac:dyDescent="0.2"/>
    <row r="46010" ht="9.9499999999999993" hidden="1" customHeight="1" x14ac:dyDescent="0.2"/>
    <row r="46011" ht="9.9499999999999993" hidden="1" customHeight="1" x14ac:dyDescent="0.2"/>
    <row r="46012" ht="9.9499999999999993" hidden="1" customHeight="1" x14ac:dyDescent="0.2"/>
    <row r="46013" ht="9.9499999999999993" hidden="1" customHeight="1" x14ac:dyDescent="0.2"/>
    <row r="46014" ht="9.9499999999999993" hidden="1" customHeight="1" x14ac:dyDescent="0.2"/>
    <row r="46015" ht="9.9499999999999993" hidden="1" customHeight="1" x14ac:dyDescent="0.2"/>
    <row r="46016" ht="9.9499999999999993" hidden="1" customHeight="1" x14ac:dyDescent="0.2"/>
    <row r="46017" ht="9.9499999999999993" hidden="1" customHeight="1" x14ac:dyDescent="0.2"/>
    <row r="46018" ht="9.9499999999999993" hidden="1" customHeight="1" x14ac:dyDescent="0.2"/>
    <row r="46019" ht="9.9499999999999993" hidden="1" customHeight="1" x14ac:dyDescent="0.2"/>
    <row r="46020" ht="9.9499999999999993" hidden="1" customHeight="1" x14ac:dyDescent="0.2"/>
    <row r="46021" ht="9.9499999999999993" hidden="1" customHeight="1" x14ac:dyDescent="0.2"/>
    <row r="46022" ht="9.9499999999999993" hidden="1" customHeight="1" x14ac:dyDescent="0.2"/>
    <row r="46023" ht="9.9499999999999993" hidden="1" customHeight="1" x14ac:dyDescent="0.2"/>
    <row r="46024" ht="9.9499999999999993" hidden="1" customHeight="1" x14ac:dyDescent="0.2"/>
    <row r="46025" ht="9.9499999999999993" hidden="1" customHeight="1" x14ac:dyDescent="0.2"/>
    <row r="46026" ht="9.9499999999999993" hidden="1" customHeight="1" x14ac:dyDescent="0.2"/>
    <row r="46027" ht="9.9499999999999993" hidden="1" customHeight="1" x14ac:dyDescent="0.2"/>
    <row r="46028" ht="9.9499999999999993" hidden="1" customHeight="1" x14ac:dyDescent="0.2"/>
    <row r="46029" ht="9.9499999999999993" hidden="1" customHeight="1" x14ac:dyDescent="0.2"/>
    <row r="46030" ht="9.9499999999999993" hidden="1" customHeight="1" x14ac:dyDescent="0.2"/>
    <row r="46031" ht="9.9499999999999993" hidden="1" customHeight="1" x14ac:dyDescent="0.2"/>
    <row r="46032" ht="9.9499999999999993" hidden="1" customHeight="1" x14ac:dyDescent="0.2"/>
    <row r="46033" ht="9.9499999999999993" hidden="1" customHeight="1" x14ac:dyDescent="0.2"/>
    <row r="46034" ht="9.9499999999999993" hidden="1" customHeight="1" x14ac:dyDescent="0.2"/>
    <row r="46035" ht="9.9499999999999993" hidden="1" customHeight="1" x14ac:dyDescent="0.2"/>
    <row r="46036" ht="9.9499999999999993" hidden="1" customHeight="1" x14ac:dyDescent="0.2"/>
    <row r="46037" ht="9.9499999999999993" hidden="1" customHeight="1" x14ac:dyDescent="0.2"/>
    <row r="46038" ht="9.9499999999999993" hidden="1" customHeight="1" x14ac:dyDescent="0.2"/>
    <row r="46039" ht="9.9499999999999993" hidden="1" customHeight="1" x14ac:dyDescent="0.2"/>
    <row r="46040" ht="9.9499999999999993" hidden="1" customHeight="1" x14ac:dyDescent="0.2"/>
    <row r="46041" ht="9.9499999999999993" hidden="1" customHeight="1" x14ac:dyDescent="0.2"/>
    <row r="46042" ht="9.9499999999999993" hidden="1" customHeight="1" x14ac:dyDescent="0.2"/>
    <row r="46043" ht="9.9499999999999993" hidden="1" customHeight="1" x14ac:dyDescent="0.2"/>
    <row r="46044" ht="9.9499999999999993" hidden="1" customHeight="1" x14ac:dyDescent="0.2"/>
    <row r="46045" ht="9.9499999999999993" hidden="1" customHeight="1" x14ac:dyDescent="0.2"/>
    <row r="46046" ht="9.9499999999999993" hidden="1" customHeight="1" x14ac:dyDescent="0.2"/>
    <row r="46047" ht="9.9499999999999993" hidden="1" customHeight="1" x14ac:dyDescent="0.2"/>
    <row r="46048" ht="9.9499999999999993" hidden="1" customHeight="1" x14ac:dyDescent="0.2"/>
    <row r="46049" ht="9.9499999999999993" hidden="1" customHeight="1" x14ac:dyDescent="0.2"/>
    <row r="46050" ht="9.9499999999999993" hidden="1" customHeight="1" x14ac:dyDescent="0.2"/>
    <row r="46051" ht="9.9499999999999993" hidden="1" customHeight="1" x14ac:dyDescent="0.2"/>
    <row r="46052" ht="9.9499999999999993" hidden="1" customHeight="1" x14ac:dyDescent="0.2"/>
    <row r="46053" ht="9.9499999999999993" hidden="1" customHeight="1" x14ac:dyDescent="0.2"/>
    <row r="46054" ht="9.9499999999999993" hidden="1" customHeight="1" x14ac:dyDescent="0.2"/>
    <row r="46055" ht="9.9499999999999993" hidden="1" customHeight="1" x14ac:dyDescent="0.2"/>
    <row r="46056" ht="9.9499999999999993" hidden="1" customHeight="1" x14ac:dyDescent="0.2"/>
    <row r="46057" ht="9.9499999999999993" hidden="1" customHeight="1" x14ac:dyDescent="0.2"/>
    <row r="46058" ht="9.9499999999999993" hidden="1" customHeight="1" x14ac:dyDescent="0.2"/>
    <row r="46059" ht="9.9499999999999993" hidden="1" customHeight="1" x14ac:dyDescent="0.2"/>
    <row r="46060" ht="9.9499999999999993" hidden="1" customHeight="1" x14ac:dyDescent="0.2"/>
    <row r="46061" ht="9.9499999999999993" hidden="1" customHeight="1" x14ac:dyDescent="0.2"/>
    <row r="46062" ht="9.9499999999999993" hidden="1" customHeight="1" x14ac:dyDescent="0.2"/>
    <row r="46063" ht="9.9499999999999993" hidden="1" customHeight="1" x14ac:dyDescent="0.2"/>
    <row r="46064" ht="9.9499999999999993" hidden="1" customHeight="1" x14ac:dyDescent="0.2"/>
    <row r="46065" ht="9.9499999999999993" hidden="1" customHeight="1" x14ac:dyDescent="0.2"/>
    <row r="46066" ht="9.9499999999999993" hidden="1" customHeight="1" x14ac:dyDescent="0.2"/>
    <row r="46067" ht="9.9499999999999993" hidden="1" customHeight="1" x14ac:dyDescent="0.2"/>
    <row r="46068" ht="9.9499999999999993" hidden="1" customHeight="1" x14ac:dyDescent="0.2"/>
    <row r="46069" ht="9.9499999999999993" hidden="1" customHeight="1" x14ac:dyDescent="0.2"/>
    <row r="46070" ht="9.9499999999999993" hidden="1" customHeight="1" x14ac:dyDescent="0.2"/>
    <row r="46071" ht="9.9499999999999993" hidden="1" customHeight="1" x14ac:dyDescent="0.2"/>
    <row r="46072" ht="9.9499999999999993" hidden="1" customHeight="1" x14ac:dyDescent="0.2"/>
    <row r="46073" ht="9.9499999999999993" hidden="1" customHeight="1" x14ac:dyDescent="0.2"/>
    <row r="46074" ht="9.9499999999999993" hidden="1" customHeight="1" x14ac:dyDescent="0.2"/>
    <row r="46075" ht="9.9499999999999993" hidden="1" customHeight="1" x14ac:dyDescent="0.2"/>
    <row r="46076" ht="9.9499999999999993" hidden="1" customHeight="1" x14ac:dyDescent="0.2"/>
    <row r="46077" ht="9.9499999999999993" hidden="1" customHeight="1" x14ac:dyDescent="0.2"/>
    <row r="46078" ht="9.9499999999999993" hidden="1" customHeight="1" x14ac:dyDescent="0.2"/>
    <row r="46079" ht="9.9499999999999993" hidden="1" customHeight="1" x14ac:dyDescent="0.2"/>
    <row r="46080" ht="9.9499999999999993" hidden="1" customHeight="1" x14ac:dyDescent="0.2"/>
    <row r="46081" ht="9.9499999999999993" hidden="1" customHeight="1" x14ac:dyDescent="0.2"/>
    <row r="46082" ht="9.9499999999999993" hidden="1" customHeight="1" x14ac:dyDescent="0.2"/>
    <row r="46083" ht="9.9499999999999993" hidden="1" customHeight="1" x14ac:dyDescent="0.2"/>
    <row r="46084" ht="9.9499999999999993" hidden="1" customHeight="1" x14ac:dyDescent="0.2"/>
    <row r="46085" ht="9.9499999999999993" hidden="1" customHeight="1" x14ac:dyDescent="0.2"/>
    <row r="46086" ht="9.9499999999999993" hidden="1" customHeight="1" x14ac:dyDescent="0.2"/>
    <row r="46087" ht="9.9499999999999993" hidden="1" customHeight="1" x14ac:dyDescent="0.2"/>
    <row r="46088" ht="9.9499999999999993" hidden="1" customHeight="1" x14ac:dyDescent="0.2"/>
    <row r="46089" ht="9.9499999999999993" hidden="1" customHeight="1" x14ac:dyDescent="0.2"/>
    <row r="46090" ht="9.9499999999999993" hidden="1" customHeight="1" x14ac:dyDescent="0.2"/>
    <row r="46091" ht="9.9499999999999993" hidden="1" customHeight="1" x14ac:dyDescent="0.2"/>
    <row r="46092" ht="9.9499999999999993" hidden="1" customHeight="1" x14ac:dyDescent="0.2"/>
    <row r="46093" ht="9.9499999999999993" hidden="1" customHeight="1" x14ac:dyDescent="0.2"/>
    <row r="46094" ht="9.9499999999999993" hidden="1" customHeight="1" x14ac:dyDescent="0.2"/>
    <row r="46095" ht="9.9499999999999993" hidden="1" customHeight="1" x14ac:dyDescent="0.2"/>
    <row r="46096" ht="9.9499999999999993" hidden="1" customHeight="1" x14ac:dyDescent="0.2"/>
    <row r="46097" ht="9.9499999999999993" hidden="1" customHeight="1" x14ac:dyDescent="0.2"/>
    <row r="46098" ht="9.9499999999999993" hidden="1" customHeight="1" x14ac:dyDescent="0.2"/>
    <row r="46099" ht="9.9499999999999993" hidden="1" customHeight="1" x14ac:dyDescent="0.2"/>
    <row r="46100" ht="9.9499999999999993" hidden="1" customHeight="1" x14ac:dyDescent="0.2"/>
    <row r="46101" ht="9.9499999999999993" hidden="1" customHeight="1" x14ac:dyDescent="0.2"/>
    <row r="46102" ht="9.9499999999999993" hidden="1" customHeight="1" x14ac:dyDescent="0.2"/>
    <row r="46103" ht="9.9499999999999993" hidden="1" customHeight="1" x14ac:dyDescent="0.2"/>
    <row r="46104" ht="9.9499999999999993" hidden="1" customHeight="1" x14ac:dyDescent="0.2"/>
    <row r="46105" ht="9.9499999999999993" hidden="1" customHeight="1" x14ac:dyDescent="0.2"/>
    <row r="46106" ht="9.9499999999999993" hidden="1" customHeight="1" x14ac:dyDescent="0.2"/>
    <row r="46107" ht="9.9499999999999993" hidden="1" customHeight="1" x14ac:dyDescent="0.2"/>
    <row r="46108" ht="9.9499999999999993" hidden="1" customHeight="1" x14ac:dyDescent="0.2"/>
    <row r="46109" ht="9.9499999999999993" hidden="1" customHeight="1" x14ac:dyDescent="0.2"/>
    <row r="46110" ht="9.9499999999999993" hidden="1" customHeight="1" x14ac:dyDescent="0.2"/>
    <row r="46111" ht="9.9499999999999993" hidden="1" customHeight="1" x14ac:dyDescent="0.2"/>
    <row r="46112" ht="9.9499999999999993" hidden="1" customHeight="1" x14ac:dyDescent="0.2"/>
    <row r="46113" ht="9.9499999999999993" hidden="1" customHeight="1" x14ac:dyDescent="0.2"/>
    <row r="46114" ht="9.9499999999999993" hidden="1" customHeight="1" x14ac:dyDescent="0.2"/>
    <row r="46115" ht="9.9499999999999993" hidden="1" customHeight="1" x14ac:dyDescent="0.2"/>
    <row r="46116" ht="9.9499999999999993" hidden="1" customHeight="1" x14ac:dyDescent="0.2"/>
    <row r="46117" ht="9.9499999999999993" hidden="1" customHeight="1" x14ac:dyDescent="0.2"/>
    <row r="46118" ht="9.9499999999999993" hidden="1" customHeight="1" x14ac:dyDescent="0.2"/>
    <row r="46119" ht="9.9499999999999993" hidden="1" customHeight="1" x14ac:dyDescent="0.2"/>
    <row r="46120" ht="9.9499999999999993" hidden="1" customHeight="1" x14ac:dyDescent="0.2"/>
    <row r="46121" ht="9.9499999999999993" hidden="1" customHeight="1" x14ac:dyDescent="0.2"/>
    <row r="46122" ht="9.9499999999999993" hidden="1" customHeight="1" x14ac:dyDescent="0.2"/>
    <row r="46123" ht="9.9499999999999993" hidden="1" customHeight="1" x14ac:dyDescent="0.2"/>
    <row r="46124" ht="9.9499999999999993" hidden="1" customHeight="1" x14ac:dyDescent="0.2"/>
    <row r="46125" ht="9.9499999999999993" hidden="1" customHeight="1" x14ac:dyDescent="0.2"/>
    <row r="46126" ht="9.9499999999999993" hidden="1" customHeight="1" x14ac:dyDescent="0.2"/>
    <row r="46127" ht="9.9499999999999993" hidden="1" customHeight="1" x14ac:dyDescent="0.2"/>
    <row r="46128" ht="9.9499999999999993" hidden="1" customHeight="1" x14ac:dyDescent="0.2"/>
    <row r="46129" ht="9.9499999999999993" hidden="1" customHeight="1" x14ac:dyDescent="0.2"/>
    <row r="46130" ht="9.9499999999999993" hidden="1" customHeight="1" x14ac:dyDescent="0.2"/>
    <row r="46131" ht="9.9499999999999993" hidden="1" customHeight="1" x14ac:dyDescent="0.2"/>
    <row r="46132" ht="9.9499999999999993" hidden="1" customHeight="1" x14ac:dyDescent="0.2"/>
    <row r="46133" ht="9.9499999999999993" hidden="1" customHeight="1" x14ac:dyDescent="0.2"/>
    <row r="46134" ht="9.9499999999999993" hidden="1" customHeight="1" x14ac:dyDescent="0.2"/>
    <row r="46135" ht="9.9499999999999993" hidden="1" customHeight="1" x14ac:dyDescent="0.2"/>
    <row r="46136" ht="9.9499999999999993" hidden="1" customHeight="1" x14ac:dyDescent="0.2"/>
    <row r="46137" ht="9.9499999999999993" hidden="1" customHeight="1" x14ac:dyDescent="0.2"/>
    <row r="46138" ht="9.9499999999999993" hidden="1" customHeight="1" x14ac:dyDescent="0.2"/>
    <row r="46139" ht="9.9499999999999993" hidden="1" customHeight="1" x14ac:dyDescent="0.2"/>
    <row r="46140" ht="9.9499999999999993" hidden="1" customHeight="1" x14ac:dyDescent="0.2"/>
    <row r="46141" ht="9.9499999999999993" hidden="1" customHeight="1" x14ac:dyDescent="0.2"/>
    <row r="46142" ht="9.9499999999999993" hidden="1" customHeight="1" x14ac:dyDescent="0.2"/>
    <row r="46143" ht="9.9499999999999993" hidden="1" customHeight="1" x14ac:dyDescent="0.2"/>
    <row r="46144" ht="9.9499999999999993" hidden="1" customHeight="1" x14ac:dyDescent="0.2"/>
    <row r="46145" ht="9.9499999999999993" hidden="1" customHeight="1" x14ac:dyDescent="0.2"/>
    <row r="46146" ht="9.9499999999999993" hidden="1" customHeight="1" x14ac:dyDescent="0.2"/>
    <row r="46147" ht="9.9499999999999993" hidden="1" customHeight="1" x14ac:dyDescent="0.2"/>
    <row r="46148" ht="9.9499999999999993" hidden="1" customHeight="1" x14ac:dyDescent="0.2"/>
    <row r="46149" ht="9.9499999999999993" hidden="1" customHeight="1" x14ac:dyDescent="0.2"/>
    <row r="46150" ht="9.9499999999999993" hidden="1" customHeight="1" x14ac:dyDescent="0.2"/>
    <row r="46151" ht="9.9499999999999993" hidden="1" customHeight="1" x14ac:dyDescent="0.2"/>
    <row r="46152" ht="9.9499999999999993" hidden="1" customHeight="1" x14ac:dyDescent="0.2"/>
    <row r="46153" ht="9.9499999999999993" hidden="1" customHeight="1" x14ac:dyDescent="0.2"/>
    <row r="46154" ht="9.9499999999999993" hidden="1" customHeight="1" x14ac:dyDescent="0.2"/>
    <row r="46155" ht="9.9499999999999993" hidden="1" customHeight="1" x14ac:dyDescent="0.2"/>
    <row r="46156" ht="9.9499999999999993" hidden="1" customHeight="1" x14ac:dyDescent="0.2"/>
    <row r="46157" ht="9.9499999999999993" hidden="1" customHeight="1" x14ac:dyDescent="0.2"/>
    <row r="46158" ht="9.9499999999999993" hidden="1" customHeight="1" x14ac:dyDescent="0.2"/>
    <row r="46159" ht="9.9499999999999993" hidden="1" customHeight="1" x14ac:dyDescent="0.2"/>
    <row r="46160" ht="9.9499999999999993" hidden="1" customHeight="1" x14ac:dyDescent="0.2"/>
    <row r="46161" ht="9.9499999999999993" hidden="1" customHeight="1" x14ac:dyDescent="0.2"/>
    <row r="46162" ht="9.9499999999999993" hidden="1" customHeight="1" x14ac:dyDescent="0.2"/>
    <row r="46163" ht="9.9499999999999993" hidden="1" customHeight="1" x14ac:dyDescent="0.2"/>
    <row r="46164" ht="9.9499999999999993" hidden="1" customHeight="1" x14ac:dyDescent="0.2"/>
    <row r="46165" ht="9.9499999999999993" hidden="1" customHeight="1" x14ac:dyDescent="0.2"/>
    <row r="46166" ht="9.9499999999999993" hidden="1" customHeight="1" x14ac:dyDescent="0.2"/>
    <row r="46167" ht="9.9499999999999993" hidden="1" customHeight="1" x14ac:dyDescent="0.2"/>
    <row r="46168" ht="9.9499999999999993" hidden="1" customHeight="1" x14ac:dyDescent="0.2"/>
    <row r="46169" ht="9.9499999999999993" hidden="1" customHeight="1" x14ac:dyDescent="0.2"/>
    <row r="46170" ht="9.9499999999999993" hidden="1" customHeight="1" x14ac:dyDescent="0.2"/>
    <row r="46171" ht="9.9499999999999993" hidden="1" customHeight="1" x14ac:dyDescent="0.2"/>
    <row r="46172" ht="9.9499999999999993" hidden="1" customHeight="1" x14ac:dyDescent="0.2"/>
    <row r="46173" ht="9.9499999999999993" hidden="1" customHeight="1" x14ac:dyDescent="0.2"/>
    <row r="46174" ht="9.9499999999999993" hidden="1" customHeight="1" x14ac:dyDescent="0.2"/>
    <row r="46175" ht="9.9499999999999993" hidden="1" customHeight="1" x14ac:dyDescent="0.2"/>
    <row r="46176" ht="9.9499999999999993" hidden="1" customHeight="1" x14ac:dyDescent="0.2"/>
    <row r="46177" ht="9.9499999999999993" hidden="1" customHeight="1" x14ac:dyDescent="0.2"/>
    <row r="46178" ht="9.9499999999999993" hidden="1" customHeight="1" x14ac:dyDescent="0.2"/>
    <row r="46179" ht="9.9499999999999993" hidden="1" customHeight="1" x14ac:dyDescent="0.2"/>
    <row r="46180" ht="9.9499999999999993" hidden="1" customHeight="1" x14ac:dyDescent="0.2"/>
    <row r="46181" ht="9.9499999999999993" hidden="1" customHeight="1" x14ac:dyDescent="0.2"/>
    <row r="46182" ht="9.9499999999999993" hidden="1" customHeight="1" x14ac:dyDescent="0.2"/>
    <row r="46183" ht="9.9499999999999993" hidden="1" customHeight="1" x14ac:dyDescent="0.2"/>
    <row r="46184" ht="9.9499999999999993" hidden="1" customHeight="1" x14ac:dyDescent="0.2"/>
    <row r="46185" ht="9.9499999999999993" hidden="1" customHeight="1" x14ac:dyDescent="0.2"/>
    <row r="46186" ht="9.9499999999999993" hidden="1" customHeight="1" x14ac:dyDescent="0.2"/>
    <row r="46187" ht="9.9499999999999993" hidden="1" customHeight="1" x14ac:dyDescent="0.2"/>
    <row r="46188" ht="9.9499999999999993" hidden="1" customHeight="1" x14ac:dyDescent="0.2"/>
    <row r="46189" ht="9.9499999999999993" hidden="1" customHeight="1" x14ac:dyDescent="0.2"/>
    <row r="46190" ht="9.9499999999999993" hidden="1" customHeight="1" x14ac:dyDescent="0.2"/>
    <row r="46191" ht="9.9499999999999993" hidden="1" customHeight="1" x14ac:dyDescent="0.2"/>
    <row r="46192" ht="9.9499999999999993" hidden="1" customHeight="1" x14ac:dyDescent="0.2"/>
    <row r="46193" ht="9.9499999999999993" hidden="1" customHeight="1" x14ac:dyDescent="0.2"/>
    <row r="46194" ht="9.9499999999999993" hidden="1" customHeight="1" x14ac:dyDescent="0.2"/>
    <row r="46195" ht="9.9499999999999993" hidden="1" customHeight="1" x14ac:dyDescent="0.2"/>
    <row r="46196" ht="9.9499999999999993" hidden="1" customHeight="1" x14ac:dyDescent="0.2"/>
    <row r="46197" ht="9.9499999999999993" hidden="1" customHeight="1" x14ac:dyDescent="0.2"/>
    <row r="46198" ht="9.9499999999999993" hidden="1" customHeight="1" x14ac:dyDescent="0.2"/>
    <row r="46199" ht="9.9499999999999993" hidden="1" customHeight="1" x14ac:dyDescent="0.2"/>
    <row r="46200" ht="9.9499999999999993" hidden="1" customHeight="1" x14ac:dyDescent="0.2"/>
    <row r="46201" ht="9.9499999999999993" hidden="1" customHeight="1" x14ac:dyDescent="0.2"/>
    <row r="46202" ht="9.9499999999999993" hidden="1" customHeight="1" x14ac:dyDescent="0.2"/>
    <row r="46203" ht="9.9499999999999993" hidden="1" customHeight="1" x14ac:dyDescent="0.2"/>
    <row r="46204" ht="9.9499999999999993" hidden="1" customHeight="1" x14ac:dyDescent="0.2"/>
    <row r="46205" ht="9.9499999999999993" hidden="1" customHeight="1" x14ac:dyDescent="0.2"/>
    <row r="46206" ht="9.9499999999999993" hidden="1" customHeight="1" x14ac:dyDescent="0.2"/>
    <row r="46207" ht="9.9499999999999993" hidden="1" customHeight="1" x14ac:dyDescent="0.2"/>
    <row r="46208" ht="9.9499999999999993" hidden="1" customHeight="1" x14ac:dyDescent="0.2"/>
    <row r="46209" ht="9.9499999999999993" hidden="1" customHeight="1" x14ac:dyDescent="0.2"/>
    <row r="46210" ht="9.9499999999999993" hidden="1" customHeight="1" x14ac:dyDescent="0.2"/>
    <row r="46211" ht="9.9499999999999993" hidden="1" customHeight="1" x14ac:dyDescent="0.2"/>
    <row r="46212" ht="9.9499999999999993" hidden="1" customHeight="1" x14ac:dyDescent="0.2"/>
    <row r="46213" ht="9.9499999999999993" hidden="1" customHeight="1" x14ac:dyDescent="0.2"/>
    <row r="46214" ht="9.9499999999999993" hidden="1" customHeight="1" x14ac:dyDescent="0.2"/>
    <row r="46215" ht="9.9499999999999993" hidden="1" customHeight="1" x14ac:dyDescent="0.2"/>
    <row r="46216" ht="9.9499999999999993" hidden="1" customHeight="1" x14ac:dyDescent="0.2"/>
    <row r="46217" ht="9.9499999999999993" hidden="1" customHeight="1" x14ac:dyDescent="0.2"/>
    <row r="46218" ht="9.9499999999999993" hidden="1" customHeight="1" x14ac:dyDescent="0.2"/>
    <row r="46219" ht="9.9499999999999993" hidden="1" customHeight="1" x14ac:dyDescent="0.2"/>
    <row r="46220" ht="9.9499999999999993" hidden="1" customHeight="1" x14ac:dyDescent="0.2"/>
    <row r="46221" ht="9.9499999999999993" hidden="1" customHeight="1" x14ac:dyDescent="0.2"/>
    <row r="46222" ht="9.9499999999999993" hidden="1" customHeight="1" x14ac:dyDescent="0.2"/>
    <row r="46223" ht="9.9499999999999993" hidden="1" customHeight="1" x14ac:dyDescent="0.2"/>
    <row r="46224" ht="9.9499999999999993" hidden="1" customHeight="1" x14ac:dyDescent="0.2"/>
    <row r="46225" ht="9.9499999999999993" hidden="1" customHeight="1" x14ac:dyDescent="0.2"/>
    <row r="46226" ht="9.9499999999999993" hidden="1" customHeight="1" x14ac:dyDescent="0.2"/>
    <row r="46227" ht="9.9499999999999993" hidden="1" customHeight="1" x14ac:dyDescent="0.2"/>
    <row r="46228" ht="9.9499999999999993" hidden="1" customHeight="1" x14ac:dyDescent="0.2"/>
    <row r="46229" ht="9.9499999999999993" hidden="1" customHeight="1" x14ac:dyDescent="0.2"/>
    <row r="46230" ht="9.9499999999999993" hidden="1" customHeight="1" x14ac:dyDescent="0.2"/>
    <row r="46231" ht="9.9499999999999993" hidden="1" customHeight="1" x14ac:dyDescent="0.2"/>
    <row r="46232" ht="9.9499999999999993" hidden="1" customHeight="1" x14ac:dyDescent="0.2"/>
    <row r="46233" ht="9.9499999999999993" hidden="1" customHeight="1" x14ac:dyDescent="0.2"/>
    <row r="46234" ht="9.9499999999999993" hidden="1" customHeight="1" x14ac:dyDescent="0.2"/>
    <row r="46235" ht="9.9499999999999993" hidden="1" customHeight="1" x14ac:dyDescent="0.2"/>
    <row r="46236" ht="9.9499999999999993" hidden="1" customHeight="1" x14ac:dyDescent="0.2"/>
    <row r="46237" ht="9.9499999999999993" hidden="1" customHeight="1" x14ac:dyDescent="0.2"/>
    <row r="46238" ht="9.9499999999999993" hidden="1" customHeight="1" x14ac:dyDescent="0.2"/>
    <row r="46239" ht="9.9499999999999993" hidden="1" customHeight="1" x14ac:dyDescent="0.2"/>
    <row r="46240" ht="9.9499999999999993" hidden="1" customHeight="1" x14ac:dyDescent="0.2"/>
    <row r="46241" ht="9.9499999999999993" hidden="1" customHeight="1" x14ac:dyDescent="0.2"/>
    <row r="46242" ht="9.9499999999999993" hidden="1" customHeight="1" x14ac:dyDescent="0.2"/>
    <row r="46243" ht="9.9499999999999993" hidden="1" customHeight="1" x14ac:dyDescent="0.2"/>
    <row r="46244" ht="9.9499999999999993" hidden="1" customHeight="1" x14ac:dyDescent="0.2"/>
    <row r="46245" ht="9.9499999999999993" hidden="1" customHeight="1" x14ac:dyDescent="0.2"/>
    <row r="46246" ht="9.9499999999999993" hidden="1" customHeight="1" x14ac:dyDescent="0.2"/>
    <row r="46247" ht="9.9499999999999993" hidden="1" customHeight="1" x14ac:dyDescent="0.2"/>
    <row r="46248" ht="9.9499999999999993" hidden="1" customHeight="1" x14ac:dyDescent="0.2"/>
    <row r="46249" ht="9.9499999999999993" hidden="1" customHeight="1" x14ac:dyDescent="0.2"/>
    <row r="46250" ht="9.9499999999999993" hidden="1" customHeight="1" x14ac:dyDescent="0.2"/>
    <row r="46251" ht="9.9499999999999993" hidden="1" customHeight="1" x14ac:dyDescent="0.2"/>
    <row r="46252" ht="9.9499999999999993" hidden="1" customHeight="1" x14ac:dyDescent="0.2"/>
    <row r="46253" ht="9.9499999999999993" hidden="1" customHeight="1" x14ac:dyDescent="0.2"/>
    <row r="46254" ht="9.9499999999999993" hidden="1" customHeight="1" x14ac:dyDescent="0.2"/>
    <row r="46255" ht="9.9499999999999993" hidden="1" customHeight="1" x14ac:dyDescent="0.2"/>
    <row r="46256" ht="9.9499999999999993" hidden="1" customHeight="1" x14ac:dyDescent="0.2"/>
    <row r="46257" ht="9.9499999999999993" hidden="1" customHeight="1" x14ac:dyDescent="0.2"/>
    <row r="46258" ht="9.9499999999999993" hidden="1" customHeight="1" x14ac:dyDescent="0.2"/>
    <row r="46259" ht="9.9499999999999993" hidden="1" customHeight="1" x14ac:dyDescent="0.2"/>
    <row r="46260" ht="9.9499999999999993" hidden="1" customHeight="1" x14ac:dyDescent="0.2"/>
    <row r="46261" ht="9.9499999999999993" hidden="1" customHeight="1" x14ac:dyDescent="0.2"/>
    <row r="46262" ht="9.9499999999999993" hidden="1" customHeight="1" x14ac:dyDescent="0.2"/>
    <row r="46263" ht="9.9499999999999993" hidden="1" customHeight="1" x14ac:dyDescent="0.2"/>
    <row r="46264" ht="9.9499999999999993" hidden="1" customHeight="1" x14ac:dyDescent="0.2"/>
    <row r="46265" ht="9.9499999999999993" hidden="1" customHeight="1" x14ac:dyDescent="0.2"/>
    <row r="46266" ht="9.9499999999999993" hidden="1" customHeight="1" x14ac:dyDescent="0.2"/>
    <row r="46267" ht="9.9499999999999993" hidden="1" customHeight="1" x14ac:dyDescent="0.2"/>
    <row r="46268" ht="9.9499999999999993" hidden="1" customHeight="1" x14ac:dyDescent="0.2"/>
    <row r="46269" ht="9.9499999999999993" hidden="1" customHeight="1" x14ac:dyDescent="0.2"/>
    <row r="46270" ht="9.9499999999999993" hidden="1" customHeight="1" x14ac:dyDescent="0.2"/>
    <row r="46271" ht="9.9499999999999993" hidden="1" customHeight="1" x14ac:dyDescent="0.2"/>
    <row r="46272" ht="9.9499999999999993" hidden="1" customHeight="1" x14ac:dyDescent="0.2"/>
    <row r="46273" ht="9.9499999999999993" hidden="1" customHeight="1" x14ac:dyDescent="0.2"/>
    <row r="46274" ht="9.9499999999999993" hidden="1" customHeight="1" x14ac:dyDescent="0.2"/>
    <row r="46275" ht="9.9499999999999993" hidden="1" customHeight="1" x14ac:dyDescent="0.2"/>
    <row r="46276" ht="9.9499999999999993" hidden="1" customHeight="1" x14ac:dyDescent="0.2"/>
    <row r="46277" ht="9.9499999999999993" hidden="1" customHeight="1" x14ac:dyDescent="0.2"/>
    <row r="46278" ht="9.9499999999999993" hidden="1" customHeight="1" x14ac:dyDescent="0.2"/>
    <row r="46279" ht="9.9499999999999993" hidden="1" customHeight="1" x14ac:dyDescent="0.2"/>
    <row r="46280" ht="9.9499999999999993" hidden="1" customHeight="1" x14ac:dyDescent="0.2"/>
    <row r="46281" ht="9.9499999999999993" hidden="1" customHeight="1" x14ac:dyDescent="0.2"/>
    <row r="46282" ht="9.9499999999999993" hidden="1" customHeight="1" x14ac:dyDescent="0.2"/>
    <row r="46283" ht="9.9499999999999993" hidden="1" customHeight="1" x14ac:dyDescent="0.2"/>
    <row r="46284" ht="9.9499999999999993" hidden="1" customHeight="1" x14ac:dyDescent="0.2"/>
    <row r="46285" ht="9.9499999999999993" hidden="1" customHeight="1" x14ac:dyDescent="0.2"/>
    <row r="46286" ht="9.9499999999999993" hidden="1" customHeight="1" x14ac:dyDescent="0.2"/>
    <row r="46287" ht="9.9499999999999993" hidden="1" customHeight="1" x14ac:dyDescent="0.2"/>
    <row r="46288" ht="9.9499999999999993" hidden="1" customHeight="1" x14ac:dyDescent="0.2"/>
    <row r="46289" ht="9.9499999999999993" hidden="1" customHeight="1" x14ac:dyDescent="0.2"/>
    <row r="46290" ht="9.9499999999999993" hidden="1" customHeight="1" x14ac:dyDescent="0.2"/>
    <row r="46291" ht="9.9499999999999993" hidden="1" customHeight="1" x14ac:dyDescent="0.2"/>
    <row r="46292" ht="9.9499999999999993" hidden="1" customHeight="1" x14ac:dyDescent="0.2"/>
    <row r="46293" ht="9.9499999999999993" hidden="1" customHeight="1" x14ac:dyDescent="0.2"/>
    <row r="46294" ht="9.9499999999999993" hidden="1" customHeight="1" x14ac:dyDescent="0.2"/>
    <row r="46295" ht="9.9499999999999993" hidden="1" customHeight="1" x14ac:dyDescent="0.2"/>
    <row r="46296" ht="9.9499999999999993" hidden="1" customHeight="1" x14ac:dyDescent="0.2"/>
    <row r="46297" ht="9.9499999999999993" hidden="1" customHeight="1" x14ac:dyDescent="0.2"/>
    <row r="46298" ht="9.9499999999999993" hidden="1" customHeight="1" x14ac:dyDescent="0.2"/>
    <row r="46299" ht="9.9499999999999993" hidden="1" customHeight="1" x14ac:dyDescent="0.2"/>
    <row r="46300" ht="9.9499999999999993" hidden="1" customHeight="1" x14ac:dyDescent="0.2"/>
    <row r="46301" ht="9.9499999999999993" hidden="1" customHeight="1" x14ac:dyDescent="0.2"/>
    <row r="46302" ht="9.9499999999999993" hidden="1" customHeight="1" x14ac:dyDescent="0.2"/>
    <row r="46303" ht="9.9499999999999993" hidden="1" customHeight="1" x14ac:dyDescent="0.2"/>
    <row r="46304" ht="9.9499999999999993" hidden="1" customHeight="1" x14ac:dyDescent="0.2"/>
    <row r="46305" ht="9.9499999999999993" hidden="1" customHeight="1" x14ac:dyDescent="0.2"/>
    <row r="46306" ht="9.9499999999999993" hidden="1" customHeight="1" x14ac:dyDescent="0.2"/>
    <row r="46307" ht="9.9499999999999993" hidden="1" customHeight="1" x14ac:dyDescent="0.2"/>
    <row r="46308" ht="9.9499999999999993" hidden="1" customHeight="1" x14ac:dyDescent="0.2"/>
    <row r="46309" ht="9.9499999999999993" hidden="1" customHeight="1" x14ac:dyDescent="0.2"/>
    <row r="46310" ht="9.9499999999999993" hidden="1" customHeight="1" x14ac:dyDescent="0.2"/>
    <row r="46311" ht="9.9499999999999993" hidden="1" customHeight="1" x14ac:dyDescent="0.2"/>
    <row r="46312" ht="9.9499999999999993" hidden="1" customHeight="1" x14ac:dyDescent="0.2"/>
    <row r="46313" ht="9.9499999999999993" hidden="1" customHeight="1" x14ac:dyDescent="0.2"/>
    <row r="46314" ht="9.9499999999999993" hidden="1" customHeight="1" x14ac:dyDescent="0.2"/>
    <row r="46315" ht="9.9499999999999993" hidden="1" customHeight="1" x14ac:dyDescent="0.2"/>
    <row r="46316" ht="9.9499999999999993" hidden="1" customHeight="1" x14ac:dyDescent="0.2"/>
    <row r="46317" ht="9.9499999999999993" hidden="1" customHeight="1" x14ac:dyDescent="0.2"/>
    <row r="46318" ht="9.9499999999999993" hidden="1" customHeight="1" x14ac:dyDescent="0.2"/>
    <row r="46319" ht="9.9499999999999993" hidden="1" customHeight="1" x14ac:dyDescent="0.2"/>
    <row r="46320" ht="9.9499999999999993" hidden="1" customHeight="1" x14ac:dyDescent="0.2"/>
    <row r="46321" ht="9.9499999999999993" hidden="1" customHeight="1" x14ac:dyDescent="0.2"/>
    <row r="46322" ht="9.9499999999999993" hidden="1" customHeight="1" x14ac:dyDescent="0.2"/>
    <row r="46323" ht="9.9499999999999993" hidden="1" customHeight="1" x14ac:dyDescent="0.2"/>
    <row r="46324" ht="9.9499999999999993" hidden="1" customHeight="1" x14ac:dyDescent="0.2"/>
    <row r="46325" ht="9.9499999999999993" hidden="1" customHeight="1" x14ac:dyDescent="0.2"/>
    <row r="46326" ht="9.9499999999999993" hidden="1" customHeight="1" x14ac:dyDescent="0.2"/>
    <row r="46327" ht="9.9499999999999993" hidden="1" customHeight="1" x14ac:dyDescent="0.2"/>
    <row r="46328" ht="9.9499999999999993" hidden="1" customHeight="1" x14ac:dyDescent="0.2"/>
    <row r="46329" ht="9.9499999999999993" hidden="1" customHeight="1" x14ac:dyDescent="0.2"/>
    <row r="46330" ht="9.9499999999999993" hidden="1" customHeight="1" x14ac:dyDescent="0.2"/>
    <row r="46331" ht="9.9499999999999993" hidden="1" customHeight="1" x14ac:dyDescent="0.2"/>
    <row r="46332" ht="9.9499999999999993" hidden="1" customHeight="1" x14ac:dyDescent="0.2"/>
    <row r="46333" ht="9.9499999999999993" hidden="1" customHeight="1" x14ac:dyDescent="0.2"/>
    <row r="46334" ht="9.9499999999999993" hidden="1" customHeight="1" x14ac:dyDescent="0.2"/>
    <row r="46335" ht="9.9499999999999993" hidden="1" customHeight="1" x14ac:dyDescent="0.2"/>
    <row r="46336" ht="9.9499999999999993" hidden="1" customHeight="1" x14ac:dyDescent="0.2"/>
    <row r="46337" ht="9.9499999999999993" hidden="1" customHeight="1" x14ac:dyDescent="0.2"/>
    <row r="46338" ht="9.9499999999999993" hidden="1" customHeight="1" x14ac:dyDescent="0.2"/>
    <row r="46339" ht="9.9499999999999993" hidden="1" customHeight="1" x14ac:dyDescent="0.2"/>
    <row r="46340" ht="9.9499999999999993" hidden="1" customHeight="1" x14ac:dyDescent="0.2"/>
    <row r="46341" ht="9.9499999999999993" hidden="1" customHeight="1" x14ac:dyDescent="0.2"/>
    <row r="46342" ht="9.9499999999999993" hidden="1" customHeight="1" x14ac:dyDescent="0.2"/>
    <row r="46343" ht="9.9499999999999993" hidden="1" customHeight="1" x14ac:dyDescent="0.2"/>
    <row r="46344" ht="9.9499999999999993" hidden="1" customHeight="1" x14ac:dyDescent="0.2"/>
    <row r="46345" ht="9.9499999999999993" hidden="1" customHeight="1" x14ac:dyDescent="0.2"/>
    <row r="46346" ht="9.9499999999999993" hidden="1" customHeight="1" x14ac:dyDescent="0.2"/>
    <row r="46347" ht="9.9499999999999993" hidden="1" customHeight="1" x14ac:dyDescent="0.2"/>
    <row r="46348" ht="9.9499999999999993" hidden="1" customHeight="1" x14ac:dyDescent="0.2"/>
    <row r="46349" ht="9.9499999999999993" hidden="1" customHeight="1" x14ac:dyDescent="0.2"/>
    <row r="46350" ht="9.9499999999999993" hidden="1" customHeight="1" x14ac:dyDescent="0.2"/>
    <row r="46351" ht="9.9499999999999993" hidden="1" customHeight="1" x14ac:dyDescent="0.2"/>
    <row r="46352" ht="9.9499999999999993" hidden="1" customHeight="1" x14ac:dyDescent="0.2"/>
    <row r="46353" ht="9.9499999999999993" hidden="1" customHeight="1" x14ac:dyDescent="0.2"/>
    <row r="46354" ht="9.9499999999999993" hidden="1" customHeight="1" x14ac:dyDescent="0.2"/>
    <row r="46355" ht="9.9499999999999993" hidden="1" customHeight="1" x14ac:dyDescent="0.2"/>
    <row r="46356" ht="9.9499999999999993" hidden="1" customHeight="1" x14ac:dyDescent="0.2"/>
    <row r="46357" ht="9.9499999999999993" hidden="1" customHeight="1" x14ac:dyDescent="0.2"/>
    <row r="46358" ht="9.9499999999999993" hidden="1" customHeight="1" x14ac:dyDescent="0.2"/>
    <row r="46359" ht="9.9499999999999993" hidden="1" customHeight="1" x14ac:dyDescent="0.2"/>
    <row r="46360" ht="9.9499999999999993" hidden="1" customHeight="1" x14ac:dyDescent="0.2"/>
    <row r="46361" ht="9.9499999999999993" hidden="1" customHeight="1" x14ac:dyDescent="0.2"/>
    <row r="46362" ht="9.9499999999999993" hidden="1" customHeight="1" x14ac:dyDescent="0.2"/>
    <row r="46363" ht="9.9499999999999993" hidden="1" customHeight="1" x14ac:dyDescent="0.2"/>
    <row r="46364" ht="9.9499999999999993" hidden="1" customHeight="1" x14ac:dyDescent="0.2"/>
    <row r="46365" ht="9.9499999999999993" hidden="1" customHeight="1" x14ac:dyDescent="0.2"/>
    <row r="46366" ht="9.9499999999999993" hidden="1" customHeight="1" x14ac:dyDescent="0.2"/>
    <row r="46367" ht="9.9499999999999993" hidden="1" customHeight="1" x14ac:dyDescent="0.2"/>
    <row r="46368" ht="9.9499999999999993" hidden="1" customHeight="1" x14ac:dyDescent="0.2"/>
    <row r="46369" ht="9.9499999999999993" hidden="1" customHeight="1" x14ac:dyDescent="0.2"/>
    <row r="46370" ht="9.9499999999999993" hidden="1" customHeight="1" x14ac:dyDescent="0.2"/>
    <row r="46371" ht="9.9499999999999993" hidden="1" customHeight="1" x14ac:dyDescent="0.2"/>
    <row r="46372" ht="9.9499999999999993" hidden="1" customHeight="1" x14ac:dyDescent="0.2"/>
    <row r="46373" ht="9.9499999999999993" hidden="1" customHeight="1" x14ac:dyDescent="0.2"/>
    <row r="46374" ht="9.9499999999999993" hidden="1" customHeight="1" x14ac:dyDescent="0.2"/>
    <row r="46375" ht="9.9499999999999993" hidden="1" customHeight="1" x14ac:dyDescent="0.2"/>
    <row r="46376" ht="9.9499999999999993" hidden="1" customHeight="1" x14ac:dyDescent="0.2"/>
    <row r="46377" ht="9.9499999999999993" hidden="1" customHeight="1" x14ac:dyDescent="0.2"/>
    <row r="46378" ht="9.9499999999999993" hidden="1" customHeight="1" x14ac:dyDescent="0.2"/>
    <row r="46379" ht="9.9499999999999993" hidden="1" customHeight="1" x14ac:dyDescent="0.2"/>
    <row r="46380" ht="9.9499999999999993" hidden="1" customHeight="1" x14ac:dyDescent="0.2"/>
    <row r="46381" ht="9.9499999999999993" hidden="1" customHeight="1" x14ac:dyDescent="0.2"/>
    <row r="46382" ht="9.9499999999999993" hidden="1" customHeight="1" x14ac:dyDescent="0.2"/>
    <row r="46383" ht="9.9499999999999993" hidden="1" customHeight="1" x14ac:dyDescent="0.2"/>
    <row r="46384" ht="9.9499999999999993" hidden="1" customHeight="1" x14ac:dyDescent="0.2"/>
    <row r="46385" ht="9.9499999999999993" hidden="1" customHeight="1" x14ac:dyDescent="0.2"/>
    <row r="46386" ht="9.9499999999999993" hidden="1" customHeight="1" x14ac:dyDescent="0.2"/>
    <row r="46387" ht="9.9499999999999993" hidden="1" customHeight="1" x14ac:dyDescent="0.2"/>
    <row r="46388" ht="9.9499999999999993" hidden="1" customHeight="1" x14ac:dyDescent="0.2"/>
    <row r="46389" ht="9.9499999999999993" hidden="1" customHeight="1" x14ac:dyDescent="0.2"/>
    <row r="46390" ht="9.9499999999999993" hidden="1" customHeight="1" x14ac:dyDescent="0.2"/>
    <row r="46391" ht="9.9499999999999993" hidden="1" customHeight="1" x14ac:dyDescent="0.2"/>
    <row r="46392" ht="9.9499999999999993" hidden="1" customHeight="1" x14ac:dyDescent="0.2"/>
    <row r="46393" ht="9.9499999999999993" hidden="1" customHeight="1" x14ac:dyDescent="0.2"/>
    <row r="46394" ht="9.9499999999999993" hidden="1" customHeight="1" x14ac:dyDescent="0.2"/>
    <row r="46395" ht="9.9499999999999993" hidden="1" customHeight="1" x14ac:dyDescent="0.2"/>
    <row r="46396" ht="9.9499999999999993" hidden="1" customHeight="1" x14ac:dyDescent="0.2"/>
    <row r="46397" ht="9.9499999999999993" hidden="1" customHeight="1" x14ac:dyDescent="0.2"/>
    <row r="46398" ht="9.9499999999999993" hidden="1" customHeight="1" x14ac:dyDescent="0.2"/>
    <row r="46399" ht="9.9499999999999993" hidden="1" customHeight="1" x14ac:dyDescent="0.2"/>
    <row r="46400" ht="9.9499999999999993" hidden="1" customHeight="1" x14ac:dyDescent="0.2"/>
    <row r="46401" ht="9.9499999999999993" hidden="1" customHeight="1" x14ac:dyDescent="0.2"/>
    <row r="46402" ht="9.9499999999999993" hidden="1" customHeight="1" x14ac:dyDescent="0.2"/>
    <row r="46403" ht="9.9499999999999993" hidden="1" customHeight="1" x14ac:dyDescent="0.2"/>
    <row r="46404" ht="9.9499999999999993" hidden="1" customHeight="1" x14ac:dyDescent="0.2"/>
    <row r="46405" ht="9.9499999999999993" hidden="1" customHeight="1" x14ac:dyDescent="0.2"/>
    <row r="46406" ht="9.9499999999999993" hidden="1" customHeight="1" x14ac:dyDescent="0.2"/>
    <row r="46407" ht="9.9499999999999993" hidden="1" customHeight="1" x14ac:dyDescent="0.2"/>
    <row r="46408" ht="9.9499999999999993" hidden="1" customHeight="1" x14ac:dyDescent="0.2"/>
    <row r="46409" ht="9.9499999999999993" hidden="1" customHeight="1" x14ac:dyDescent="0.2"/>
    <row r="46410" ht="9.9499999999999993" hidden="1" customHeight="1" x14ac:dyDescent="0.2"/>
    <row r="46411" ht="9.9499999999999993" hidden="1" customHeight="1" x14ac:dyDescent="0.2"/>
    <row r="46412" ht="9.9499999999999993" hidden="1" customHeight="1" x14ac:dyDescent="0.2"/>
    <row r="46413" ht="9.9499999999999993" hidden="1" customHeight="1" x14ac:dyDescent="0.2"/>
    <row r="46414" ht="9.9499999999999993" hidden="1" customHeight="1" x14ac:dyDescent="0.2"/>
    <row r="46415" ht="9.9499999999999993" hidden="1" customHeight="1" x14ac:dyDescent="0.2"/>
    <row r="46416" ht="9.9499999999999993" hidden="1" customHeight="1" x14ac:dyDescent="0.2"/>
    <row r="46417" ht="9.9499999999999993" hidden="1" customHeight="1" x14ac:dyDescent="0.2"/>
    <row r="46418" ht="9.9499999999999993" hidden="1" customHeight="1" x14ac:dyDescent="0.2"/>
    <row r="46419" ht="9.9499999999999993" hidden="1" customHeight="1" x14ac:dyDescent="0.2"/>
    <row r="46420" ht="9.9499999999999993" hidden="1" customHeight="1" x14ac:dyDescent="0.2"/>
    <row r="46421" ht="9.9499999999999993" hidden="1" customHeight="1" x14ac:dyDescent="0.2"/>
    <row r="46422" ht="9.9499999999999993" hidden="1" customHeight="1" x14ac:dyDescent="0.2"/>
    <row r="46423" ht="9.9499999999999993" hidden="1" customHeight="1" x14ac:dyDescent="0.2"/>
    <row r="46424" ht="9.9499999999999993" hidden="1" customHeight="1" x14ac:dyDescent="0.2"/>
    <row r="46425" ht="9.9499999999999993" hidden="1" customHeight="1" x14ac:dyDescent="0.2"/>
    <row r="46426" ht="9.9499999999999993" hidden="1" customHeight="1" x14ac:dyDescent="0.2"/>
    <row r="46427" ht="9.9499999999999993" hidden="1" customHeight="1" x14ac:dyDescent="0.2"/>
    <row r="46428" ht="9.9499999999999993" hidden="1" customHeight="1" x14ac:dyDescent="0.2"/>
    <row r="46429" ht="9.9499999999999993" hidden="1" customHeight="1" x14ac:dyDescent="0.2"/>
    <row r="46430" ht="9.9499999999999993" hidden="1" customHeight="1" x14ac:dyDescent="0.2"/>
    <row r="46431" ht="9.9499999999999993" hidden="1" customHeight="1" x14ac:dyDescent="0.2"/>
    <row r="46432" ht="9.9499999999999993" hidden="1" customHeight="1" x14ac:dyDescent="0.2"/>
    <row r="46433" ht="9.9499999999999993" hidden="1" customHeight="1" x14ac:dyDescent="0.2"/>
    <row r="46434" ht="9.9499999999999993" hidden="1" customHeight="1" x14ac:dyDescent="0.2"/>
    <row r="46435" ht="9.9499999999999993" hidden="1" customHeight="1" x14ac:dyDescent="0.2"/>
    <row r="46436" ht="9.9499999999999993" hidden="1" customHeight="1" x14ac:dyDescent="0.2"/>
    <row r="46437" ht="9.9499999999999993" hidden="1" customHeight="1" x14ac:dyDescent="0.2"/>
    <row r="46438" ht="9.9499999999999993" hidden="1" customHeight="1" x14ac:dyDescent="0.2"/>
    <row r="46439" ht="9.9499999999999993" hidden="1" customHeight="1" x14ac:dyDescent="0.2"/>
    <row r="46440" ht="9.9499999999999993" hidden="1" customHeight="1" x14ac:dyDescent="0.2"/>
    <row r="46441" ht="9.9499999999999993" hidden="1" customHeight="1" x14ac:dyDescent="0.2"/>
    <row r="46442" ht="9.9499999999999993" hidden="1" customHeight="1" x14ac:dyDescent="0.2"/>
    <row r="46443" ht="9.9499999999999993" hidden="1" customHeight="1" x14ac:dyDescent="0.2"/>
    <row r="46444" ht="9.9499999999999993" hidden="1" customHeight="1" x14ac:dyDescent="0.2"/>
    <row r="46445" ht="9.9499999999999993" hidden="1" customHeight="1" x14ac:dyDescent="0.2"/>
    <row r="46446" ht="9.9499999999999993" hidden="1" customHeight="1" x14ac:dyDescent="0.2"/>
    <row r="46447" ht="9.9499999999999993" hidden="1" customHeight="1" x14ac:dyDescent="0.2"/>
    <row r="46448" ht="9.9499999999999993" hidden="1" customHeight="1" x14ac:dyDescent="0.2"/>
    <row r="46449" ht="9.9499999999999993" hidden="1" customHeight="1" x14ac:dyDescent="0.2"/>
    <row r="46450" ht="9.9499999999999993" hidden="1" customHeight="1" x14ac:dyDescent="0.2"/>
    <row r="46451" ht="9.9499999999999993" hidden="1" customHeight="1" x14ac:dyDescent="0.2"/>
    <row r="46452" ht="9.9499999999999993" hidden="1" customHeight="1" x14ac:dyDescent="0.2"/>
    <row r="46453" ht="9.9499999999999993" hidden="1" customHeight="1" x14ac:dyDescent="0.2"/>
    <row r="46454" ht="9.9499999999999993" hidden="1" customHeight="1" x14ac:dyDescent="0.2"/>
    <row r="46455" ht="9.9499999999999993" hidden="1" customHeight="1" x14ac:dyDescent="0.2"/>
    <row r="46456" ht="9.9499999999999993" hidden="1" customHeight="1" x14ac:dyDescent="0.2"/>
    <row r="46457" ht="9.9499999999999993" hidden="1" customHeight="1" x14ac:dyDescent="0.2"/>
    <row r="46458" ht="9.9499999999999993" hidden="1" customHeight="1" x14ac:dyDescent="0.2"/>
    <row r="46459" ht="9.9499999999999993" hidden="1" customHeight="1" x14ac:dyDescent="0.2"/>
    <row r="46460" ht="9.9499999999999993" hidden="1" customHeight="1" x14ac:dyDescent="0.2"/>
    <row r="46461" ht="9.9499999999999993" hidden="1" customHeight="1" x14ac:dyDescent="0.2"/>
    <row r="46462" ht="9.9499999999999993" hidden="1" customHeight="1" x14ac:dyDescent="0.2"/>
    <row r="46463" ht="9.9499999999999993" hidden="1" customHeight="1" x14ac:dyDescent="0.2"/>
    <row r="46464" ht="9.9499999999999993" hidden="1" customHeight="1" x14ac:dyDescent="0.2"/>
    <row r="46465" ht="9.9499999999999993" hidden="1" customHeight="1" x14ac:dyDescent="0.2"/>
    <row r="46466" ht="9.9499999999999993" hidden="1" customHeight="1" x14ac:dyDescent="0.2"/>
    <row r="46467" ht="9.9499999999999993" hidden="1" customHeight="1" x14ac:dyDescent="0.2"/>
    <row r="46468" ht="9.9499999999999993" hidden="1" customHeight="1" x14ac:dyDescent="0.2"/>
    <row r="46469" ht="9.9499999999999993" hidden="1" customHeight="1" x14ac:dyDescent="0.2"/>
    <row r="46470" ht="9.9499999999999993" hidden="1" customHeight="1" x14ac:dyDescent="0.2"/>
    <row r="46471" ht="9.9499999999999993" hidden="1" customHeight="1" x14ac:dyDescent="0.2"/>
    <row r="46472" ht="9.9499999999999993" hidden="1" customHeight="1" x14ac:dyDescent="0.2"/>
    <row r="46473" ht="9.9499999999999993" hidden="1" customHeight="1" x14ac:dyDescent="0.2"/>
    <row r="46474" ht="9.9499999999999993" hidden="1" customHeight="1" x14ac:dyDescent="0.2"/>
    <row r="46475" ht="9.9499999999999993" hidden="1" customHeight="1" x14ac:dyDescent="0.2"/>
    <row r="46476" ht="9.9499999999999993" hidden="1" customHeight="1" x14ac:dyDescent="0.2"/>
    <row r="46477" ht="9.9499999999999993" hidden="1" customHeight="1" x14ac:dyDescent="0.2"/>
    <row r="46478" ht="9.9499999999999993" hidden="1" customHeight="1" x14ac:dyDescent="0.2"/>
    <row r="46479" ht="9.9499999999999993" hidden="1" customHeight="1" x14ac:dyDescent="0.2"/>
    <row r="46480" ht="9.9499999999999993" hidden="1" customHeight="1" x14ac:dyDescent="0.2"/>
    <row r="46481" ht="9.9499999999999993" hidden="1" customHeight="1" x14ac:dyDescent="0.2"/>
    <row r="46482" ht="9.9499999999999993" hidden="1" customHeight="1" x14ac:dyDescent="0.2"/>
    <row r="46483" ht="9.9499999999999993" hidden="1" customHeight="1" x14ac:dyDescent="0.2"/>
    <row r="46484" ht="9.9499999999999993" hidden="1" customHeight="1" x14ac:dyDescent="0.2"/>
    <row r="46485" ht="9.9499999999999993" hidden="1" customHeight="1" x14ac:dyDescent="0.2"/>
    <row r="46486" ht="9.9499999999999993" hidden="1" customHeight="1" x14ac:dyDescent="0.2"/>
    <row r="46487" ht="9.9499999999999993" hidden="1" customHeight="1" x14ac:dyDescent="0.2"/>
    <row r="46488" ht="9.9499999999999993" hidden="1" customHeight="1" x14ac:dyDescent="0.2"/>
    <row r="46489" ht="9.9499999999999993" hidden="1" customHeight="1" x14ac:dyDescent="0.2"/>
    <row r="46490" ht="9.9499999999999993" hidden="1" customHeight="1" x14ac:dyDescent="0.2"/>
    <row r="46491" ht="9.9499999999999993" hidden="1" customHeight="1" x14ac:dyDescent="0.2"/>
    <row r="46492" ht="9.9499999999999993" hidden="1" customHeight="1" x14ac:dyDescent="0.2"/>
    <row r="46493" ht="9.9499999999999993" hidden="1" customHeight="1" x14ac:dyDescent="0.2"/>
    <row r="46494" ht="9.9499999999999993" hidden="1" customHeight="1" x14ac:dyDescent="0.2"/>
    <row r="46495" ht="9.9499999999999993" hidden="1" customHeight="1" x14ac:dyDescent="0.2"/>
    <row r="46496" ht="9.9499999999999993" hidden="1" customHeight="1" x14ac:dyDescent="0.2"/>
    <row r="46497" ht="9.9499999999999993" hidden="1" customHeight="1" x14ac:dyDescent="0.2"/>
    <row r="46498" ht="9.9499999999999993" hidden="1" customHeight="1" x14ac:dyDescent="0.2"/>
    <row r="46499" ht="9.9499999999999993" hidden="1" customHeight="1" x14ac:dyDescent="0.2"/>
    <row r="46500" ht="9.9499999999999993" hidden="1" customHeight="1" x14ac:dyDescent="0.2"/>
    <row r="46501" ht="9.9499999999999993" hidden="1" customHeight="1" x14ac:dyDescent="0.2"/>
    <row r="46502" ht="9.9499999999999993" hidden="1" customHeight="1" x14ac:dyDescent="0.2"/>
    <row r="46503" ht="9.9499999999999993" hidden="1" customHeight="1" x14ac:dyDescent="0.2"/>
    <row r="46504" ht="9.9499999999999993" hidden="1" customHeight="1" x14ac:dyDescent="0.2"/>
    <row r="46505" ht="9.9499999999999993" hidden="1" customHeight="1" x14ac:dyDescent="0.2"/>
    <row r="46506" ht="9.9499999999999993" hidden="1" customHeight="1" x14ac:dyDescent="0.2"/>
    <row r="46507" ht="9.9499999999999993" hidden="1" customHeight="1" x14ac:dyDescent="0.2"/>
    <row r="46508" ht="9.9499999999999993" hidden="1" customHeight="1" x14ac:dyDescent="0.2"/>
    <row r="46509" ht="9.9499999999999993" hidden="1" customHeight="1" x14ac:dyDescent="0.2"/>
    <row r="46510" ht="9.9499999999999993" hidden="1" customHeight="1" x14ac:dyDescent="0.2"/>
    <row r="46511" ht="9.9499999999999993" hidden="1" customHeight="1" x14ac:dyDescent="0.2"/>
    <row r="46512" ht="9.9499999999999993" hidden="1" customHeight="1" x14ac:dyDescent="0.2"/>
    <row r="46513" ht="9.9499999999999993" hidden="1" customHeight="1" x14ac:dyDescent="0.2"/>
    <row r="46514" ht="9.9499999999999993" hidden="1" customHeight="1" x14ac:dyDescent="0.2"/>
    <row r="46515" ht="9.9499999999999993" hidden="1" customHeight="1" x14ac:dyDescent="0.2"/>
    <row r="46516" ht="9.9499999999999993" hidden="1" customHeight="1" x14ac:dyDescent="0.2"/>
    <row r="46517" ht="9.9499999999999993" hidden="1" customHeight="1" x14ac:dyDescent="0.2"/>
    <row r="46518" ht="9.9499999999999993" hidden="1" customHeight="1" x14ac:dyDescent="0.2"/>
    <row r="46519" ht="9.9499999999999993" hidden="1" customHeight="1" x14ac:dyDescent="0.2"/>
    <row r="46520" ht="9.9499999999999993" hidden="1" customHeight="1" x14ac:dyDescent="0.2"/>
    <row r="46521" ht="9.9499999999999993" hidden="1" customHeight="1" x14ac:dyDescent="0.2"/>
    <row r="46522" ht="9.9499999999999993" hidden="1" customHeight="1" x14ac:dyDescent="0.2"/>
    <row r="46523" ht="9.9499999999999993" hidden="1" customHeight="1" x14ac:dyDescent="0.2"/>
    <row r="46524" ht="9.9499999999999993" hidden="1" customHeight="1" x14ac:dyDescent="0.2"/>
    <row r="46525" ht="9.9499999999999993" hidden="1" customHeight="1" x14ac:dyDescent="0.2"/>
    <row r="46526" ht="9.9499999999999993" hidden="1" customHeight="1" x14ac:dyDescent="0.2"/>
    <row r="46527" ht="9.9499999999999993" hidden="1" customHeight="1" x14ac:dyDescent="0.2"/>
    <row r="46528" ht="9.9499999999999993" hidden="1" customHeight="1" x14ac:dyDescent="0.2"/>
    <row r="46529" ht="9.9499999999999993" hidden="1" customHeight="1" x14ac:dyDescent="0.2"/>
    <row r="46530" ht="9.9499999999999993" hidden="1" customHeight="1" x14ac:dyDescent="0.2"/>
    <row r="46531" ht="9.9499999999999993" hidden="1" customHeight="1" x14ac:dyDescent="0.2"/>
    <row r="46532" ht="9.9499999999999993" hidden="1" customHeight="1" x14ac:dyDescent="0.2"/>
    <row r="46533" ht="9.9499999999999993" hidden="1" customHeight="1" x14ac:dyDescent="0.2"/>
    <row r="46534" ht="9.9499999999999993" hidden="1" customHeight="1" x14ac:dyDescent="0.2"/>
    <row r="46535" ht="9.9499999999999993" hidden="1" customHeight="1" x14ac:dyDescent="0.2"/>
    <row r="46536" ht="9.9499999999999993" hidden="1" customHeight="1" x14ac:dyDescent="0.2"/>
    <row r="46537" ht="9.9499999999999993" hidden="1" customHeight="1" x14ac:dyDescent="0.2"/>
    <row r="46538" ht="9.9499999999999993" hidden="1" customHeight="1" x14ac:dyDescent="0.2"/>
    <row r="46539" ht="9.9499999999999993" hidden="1" customHeight="1" x14ac:dyDescent="0.2"/>
    <row r="46540" ht="9.9499999999999993" hidden="1" customHeight="1" x14ac:dyDescent="0.2"/>
    <row r="46541" ht="9.9499999999999993" hidden="1" customHeight="1" x14ac:dyDescent="0.2"/>
    <row r="46542" ht="9.9499999999999993" hidden="1" customHeight="1" x14ac:dyDescent="0.2"/>
    <row r="46543" ht="9.9499999999999993" hidden="1" customHeight="1" x14ac:dyDescent="0.2"/>
    <row r="46544" ht="9.9499999999999993" hidden="1" customHeight="1" x14ac:dyDescent="0.2"/>
    <row r="46545" ht="9.9499999999999993" hidden="1" customHeight="1" x14ac:dyDescent="0.2"/>
    <row r="46546" ht="9.9499999999999993" hidden="1" customHeight="1" x14ac:dyDescent="0.2"/>
    <row r="46547" ht="9.9499999999999993" hidden="1" customHeight="1" x14ac:dyDescent="0.2"/>
    <row r="46548" ht="9.9499999999999993" hidden="1" customHeight="1" x14ac:dyDescent="0.2"/>
    <row r="46549" ht="9.9499999999999993" hidden="1" customHeight="1" x14ac:dyDescent="0.2"/>
    <row r="46550" ht="9.9499999999999993" hidden="1" customHeight="1" x14ac:dyDescent="0.2"/>
    <row r="46551" ht="9.9499999999999993" hidden="1" customHeight="1" x14ac:dyDescent="0.2"/>
    <row r="46552" ht="9.9499999999999993" hidden="1" customHeight="1" x14ac:dyDescent="0.2"/>
    <row r="46553" ht="9.9499999999999993" hidden="1" customHeight="1" x14ac:dyDescent="0.2"/>
    <row r="46554" ht="9.9499999999999993" hidden="1" customHeight="1" x14ac:dyDescent="0.2"/>
    <row r="46555" ht="9.9499999999999993" hidden="1" customHeight="1" x14ac:dyDescent="0.2"/>
    <row r="46556" ht="9.9499999999999993" hidden="1" customHeight="1" x14ac:dyDescent="0.2"/>
    <row r="46557" ht="9.9499999999999993" hidden="1" customHeight="1" x14ac:dyDescent="0.2"/>
    <row r="46558" ht="9.9499999999999993" hidden="1" customHeight="1" x14ac:dyDescent="0.2"/>
    <row r="46559" ht="9.9499999999999993" hidden="1" customHeight="1" x14ac:dyDescent="0.2"/>
    <row r="46560" ht="9.9499999999999993" hidden="1" customHeight="1" x14ac:dyDescent="0.2"/>
    <row r="46561" ht="9.9499999999999993" hidden="1" customHeight="1" x14ac:dyDescent="0.2"/>
    <row r="46562" ht="9.9499999999999993" hidden="1" customHeight="1" x14ac:dyDescent="0.2"/>
    <row r="46563" ht="9.9499999999999993" hidden="1" customHeight="1" x14ac:dyDescent="0.2"/>
    <row r="46564" ht="9.9499999999999993" hidden="1" customHeight="1" x14ac:dyDescent="0.2"/>
    <row r="46565" ht="9.9499999999999993" hidden="1" customHeight="1" x14ac:dyDescent="0.2"/>
    <row r="46566" ht="9.9499999999999993" hidden="1" customHeight="1" x14ac:dyDescent="0.2"/>
    <row r="46567" ht="9.9499999999999993" hidden="1" customHeight="1" x14ac:dyDescent="0.2"/>
    <row r="46568" ht="9.9499999999999993" hidden="1" customHeight="1" x14ac:dyDescent="0.2"/>
    <row r="46569" ht="9.9499999999999993" hidden="1" customHeight="1" x14ac:dyDescent="0.2"/>
    <row r="46570" ht="9.9499999999999993" hidden="1" customHeight="1" x14ac:dyDescent="0.2"/>
    <row r="46571" ht="9.9499999999999993" hidden="1" customHeight="1" x14ac:dyDescent="0.2"/>
    <row r="46572" ht="9.9499999999999993" hidden="1" customHeight="1" x14ac:dyDescent="0.2"/>
    <row r="46573" ht="9.9499999999999993" hidden="1" customHeight="1" x14ac:dyDescent="0.2"/>
    <row r="46574" ht="9.9499999999999993" hidden="1" customHeight="1" x14ac:dyDescent="0.2"/>
    <row r="46575" ht="9.9499999999999993" hidden="1" customHeight="1" x14ac:dyDescent="0.2"/>
    <row r="46576" ht="9.9499999999999993" hidden="1" customHeight="1" x14ac:dyDescent="0.2"/>
    <row r="46577" ht="9.9499999999999993" hidden="1" customHeight="1" x14ac:dyDescent="0.2"/>
    <row r="46578" ht="9.9499999999999993" hidden="1" customHeight="1" x14ac:dyDescent="0.2"/>
    <row r="46579" ht="9.9499999999999993" hidden="1" customHeight="1" x14ac:dyDescent="0.2"/>
    <row r="46580" ht="9.9499999999999993" hidden="1" customHeight="1" x14ac:dyDescent="0.2"/>
    <row r="46581" ht="9.9499999999999993" hidden="1" customHeight="1" x14ac:dyDescent="0.2"/>
    <row r="46582" ht="9.9499999999999993" hidden="1" customHeight="1" x14ac:dyDescent="0.2"/>
    <row r="46583" ht="9.9499999999999993" hidden="1" customHeight="1" x14ac:dyDescent="0.2"/>
    <row r="46584" ht="9.9499999999999993" hidden="1" customHeight="1" x14ac:dyDescent="0.2"/>
    <row r="46585" ht="9.9499999999999993" hidden="1" customHeight="1" x14ac:dyDescent="0.2"/>
    <row r="46586" ht="9.9499999999999993" hidden="1" customHeight="1" x14ac:dyDescent="0.2"/>
    <row r="46587" ht="9.9499999999999993" hidden="1" customHeight="1" x14ac:dyDescent="0.2"/>
    <row r="46588" ht="9.9499999999999993" hidden="1" customHeight="1" x14ac:dyDescent="0.2"/>
    <row r="46589" ht="9.9499999999999993" hidden="1" customHeight="1" x14ac:dyDescent="0.2"/>
    <row r="46590" ht="9.9499999999999993" hidden="1" customHeight="1" x14ac:dyDescent="0.2"/>
    <row r="46591" ht="9.9499999999999993" hidden="1" customHeight="1" x14ac:dyDescent="0.2"/>
    <row r="46592" ht="9.9499999999999993" hidden="1" customHeight="1" x14ac:dyDescent="0.2"/>
    <row r="46593" ht="9.9499999999999993" hidden="1" customHeight="1" x14ac:dyDescent="0.2"/>
    <row r="46594" ht="9.9499999999999993" hidden="1" customHeight="1" x14ac:dyDescent="0.2"/>
    <row r="46595" ht="9.9499999999999993" hidden="1" customHeight="1" x14ac:dyDescent="0.2"/>
    <row r="46596" ht="9.9499999999999993" hidden="1" customHeight="1" x14ac:dyDescent="0.2"/>
    <row r="46597" ht="9.9499999999999993" hidden="1" customHeight="1" x14ac:dyDescent="0.2"/>
    <row r="46598" ht="9.9499999999999993" hidden="1" customHeight="1" x14ac:dyDescent="0.2"/>
    <row r="46599" ht="9.9499999999999993" hidden="1" customHeight="1" x14ac:dyDescent="0.2"/>
    <row r="46600" ht="9.9499999999999993" hidden="1" customHeight="1" x14ac:dyDescent="0.2"/>
    <row r="46601" ht="9.9499999999999993" hidden="1" customHeight="1" x14ac:dyDescent="0.2"/>
    <row r="46602" ht="9.9499999999999993" hidden="1" customHeight="1" x14ac:dyDescent="0.2"/>
    <row r="46603" ht="9.9499999999999993" hidden="1" customHeight="1" x14ac:dyDescent="0.2"/>
    <row r="46604" ht="9.9499999999999993" hidden="1" customHeight="1" x14ac:dyDescent="0.2"/>
    <row r="46605" ht="9.9499999999999993" hidden="1" customHeight="1" x14ac:dyDescent="0.2"/>
    <row r="46606" ht="9.9499999999999993" hidden="1" customHeight="1" x14ac:dyDescent="0.2"/>
    <row r="46607" ht="9.9499999999999993" hidden="1" customHeight="1" x14ac:dyDescent="0.2"/>
    <row r="46608" ht="9.9499999999999993" hidden="1" customHeight="1" x14ac:dyDescent="0.2"/>
    <row r="46609" ht="9.9499999999999993" hidden="1" customHeight="1" x14ac:dyDescent="0.2"/>
    <row r="46610" ht="9.9499999999999993" hidden="1" customHeight="1" x14ac:dyDescent="0.2"/>
    <row r="46611" ht="9.9499999999999993" hidden="1" customHeight="1" x14ac:dyDescent="0.2"/>
    <row r="46612" ht="9.9499999999999993" hidden="1" customHeight="1" x14ac:dyDescent="0.2"/>
    <row r="46613" ht="9.9499999999999993" hidden="1" customHeight="1" x14ac:dyDescent="0.2"/>
    <row r="46614" ht="9.9499999999999993" hidden="1" customHeight="1" x14ac:dyDescent="0.2"/>
    <row r="46615" ht="9.9499999999999993" hidden="1" customHeight="1" x14ac:dyDescent="0.2"/>
    <row r="46616" ht="9.9499999999999993" hidden="1" customHeight="1" x14ac:dyDescent="0.2"/>
    <row r="46617" ht="9.9499999999999993" hidden="1" customHeight="1" x14ac:dyDescent="0.2"/>
    <row r="46618" ht="9.9499999999999993" hidden="1" customHeight="1" x14ac:dyDescent="0.2"/>
    <row r="46619" ht="9.9499999999999993" hidden="1" customHeight="1" x14ac:dyDescent="0.2"/>
    <row r="46620" ht="9.9499999999999993" hidden="1" customHeight="1" x14ac:dyDescent="0.2"/>
    <row r="46621" ht="9.9499999999999993" hidden="1" customHeight="1" x14ac:dyDescent="0.2"/>
    <row r="46622" ht="9.9499999999999993" hidden="1" customHeight="1" x14ac:dyDescent="0.2"/>
    <row r="46623" ht="9.9499999999999993" hidden="1" customHeight="1" x14ac:dyDescent="0.2"/>
    <row r="46624" ht="9.9499999999999993" hidden="1" customHeight="1" x14ac:dyDescent="0.2"/>
    <row r="46625" ht="9.9499999999999993" hidden="1" customHeight="1" x14ac:dyDescent="0.2"/>
    <row r="46626" ht="9.9499999999999993" hidden="1" customHeight="1" x14ac:dyDescent="0.2"/>
    <row r="46627" ht="9.9499999999999993" hidden="1" customHeight="1" x14ac:dyDescent="0.2"/>
    <row r="46628" ht="9.9499999999999993" hidden="1" customHeight="1" x14ac:dyDescent="0.2"/>
    <row r="46629" ht="9.9499999999999993" hidden="1" customHeight="1" x14ac:dyDescent="0.2"/>
    <row r="46630" ht="9.9499999999999993" hidden="1" customHeight="1" x14ac:dyDescent="0.2"/>
    <row r="46631" ht="9.9499999999999993" hidden="1" customHeight="1" x14ac:dyDescent="0.2"/>
    <row r="46632" ht="9.9499999999999993" hidden="1" customHeight="1" x14ac:dyDescent="0.2"/>
    <row r="46633" ht="9.9499999999999993" hidden="1" customHeight="1" x14ac:dyDescent="0.2"/>
    <row r="46634" ht="9.9499999999999993" hidden="1" customHeight="1" x14ac:dyDescent="0.2"/>
    <row r="46635" ht="9.9499999999999993" hidden="1" customHeight="1" x14ac:dyDescent="0.2"/>
    <row r="46636" ht="9.9499999999999993" hidden="1" customHeight="1" x14ac:dyDescent="0.2"/>
    <row r="46637" ht="9.9499999999999993" hidden="1" customHeight="1" x14ac:dyDescent="0.2"/>
    <row r="46638" ht="9.9499999999999993" hidden="1" customHeight="1" x14ac:dyDescent="0.2"/>
    <row r="46639" ht="9.9499999999999993" hidden="1" customHeight="1" x14ac:dyDescent="0.2"/>
    <row r="46640" ht="9.9499999999999993" hidden="1" customHeight="1" x14ac:dyDescent="0.2"/>
    <row r="46641" ht="9.9499999999999993" hidden="1" customHeight="1" x14ac:dyDescent="0.2"/>
    <row r="46642" ht="9.9499999999999993" hidden="1" customHeight="1" x14ac:dyDescent="0.2"/>
    <row r="46643" ht="9.9499999999999993" hidden="1" customHeight="1" x14ac:dyDescent="0.2"/>
    <row r="46644" ht="9.9499999999999993" hidden="1" customHeight="1" x14ac:dyDescent="0.2"/>
    <row r="46645" ht="9.9499999999999993" hidden="1" customHeight="1" x14ac:dyDescent="0.2"/>
    <row r="46646" ht="9.9499999999999993" hidden="1" customHeight="1" x14ac:dyDescent="0.2"/>
    <row r="46647" ht="9.9499999999999993" hidden="1" customHeight="1" x14ac:dyDescent="0.2"/>
    <row r="46648" ht="9.9499999999999993" hidden="1" customHeight="1" x14ac:dyDescent="0.2"/>
    <row r="46649" ht="9.9499999999999993" hidden="1" customHeight="1" x14ac:dyDescent="0.2"/>
    <row r="46650" ht="9.9499999999999993" hidden="1" customHeight="1" x14ac:dyDescent="0.2"/>
    <row r="46651" ht="9.9499999999999993" hidden="1" customHeight="1" x14ac:dyDescent="0.2"/>
    <row r="46652" ht="9.9499999999999993" hidden="1" customHeight="1" x14ac:dyDescent="0.2"/>
    <row r="46653" ht="9.9499999999999993" hidden="1" customHeight="1" x14ac:dyDescent="0.2"/>
    <row r="46654" ht="9.9499999999999993" hidden="1" customHeight="1" x14ac:dyDescent="0.2"/>
    <row r="46655" ht="9.9499999999999993" hidden="1" customHeight="1" x14ac:dyDescent="0.2"/>
    <row r="46656" ht="9.9499999999999993" hidden="1" customHeight="1" x14ac:dyDescent="0.2"/>
    <row r="46657" ht="9.9499999999999993" hidden="1" customHeight="1" x14ac:dyDescent="0.2"/>
    <row r="46658" ht="9.9499999999999993" hidden="1" customHeight="1" x14ac:dyDescent="0.2"/>
    <row r="46659" ht="9.9499999999999993" hidden="1" customHeight="1" x14ac:dyDescent="0.2"/>
    <row r="46660" ht="9.9499999999999993" hidden="1" customHeight="1" x14ac:dyDescent="0.2"/>
    <row r="46661" ht="9.9499999999999993" hidden="1" customHeight="1" x14ac:dyDescent="0.2"/>
    <row r="46662" ht="9.9499999999999993" hidden="1" customHeight="1" x14ac:dyDescent="0.2"/>
    <row r="46663" ht="9.9499999999999993" hidden="1" customHeight="1" x14ac:dyDescent="0.2"/>
    <row r="46664" ht="9.9499999999999993" hidden="1" customHeight="1" x14ac:dyDescent="0.2"/>
    <row r="46665" ht="9.9499999999999993" hidden="1" customHeight="1" x14ac:dyDescent="0.2"/>
    <row r="46666" ht="9.9499999999999993" hidden="1" customHeight="1" x14ac:dyDescent="0.2"/>
    <row r="46667" ht="9.9499999999999993" hidden="1" customHeight="1" x14ac:dyDescent="0.2"/>
    <row r="46668" ht="9.9499999999999993" hidden="1" customHeight="1" x14ac:dyDescent="0.2"/>
    <row r="46669" ht="9.9499999999999993" hidden="1" customHeight="1" x14ac:dyDescent="0.2"/>
    <row r="46670" ht="9.9499999999999993" hidden="1" customHeight="1" x14ac:dyDescent="0.2"/>
    <row r="46671" ht="9.9499999999999993" hidden="1" customHeight="1" x14ac:dyDescent="0.2"/>
    <row r="46672" ht="9.9499999999999993" hidden="1" customHeight="1" x14ac:dyDescent="0.2"/>
    <row r="46673" ht="9.9499999999999993" hidden="1" customHeight="1" x14ac:dyDescent="0.2"/>
    <row r="46674" ht="9.9499999999999993" hidden="1" customHeight="1" x14ac:dyDescent="0.2"/>
    <row r="46675" ht="9.9499999999999993" hidden="1" customHeight="1" x14ac:dyDescent="0.2"/>
    <row r="46676" ht="9.9499999999999993" hidden="1" customHeight="1" x14ac:dyDescent="0.2"/>
    <row r="46677" ht="9.9499999999999993" hidden="1" customHeight="1" x14ac:dyDescent="0.2"/>
    <row r="46678" ht="9.9499999999999993" hidden="1" customHeight="1" x14ac:dyDescent="0.2"/>
    <row r="46679" ht="9.9499999999999993" hidden="1" customHeight="1" x14ac:dyDescent="0.2"/>
    <row r="46680" ht="9.9499999999999993" hidden="1" customHeight="1" x14ac:dyDescent="0.2"/>
    <row r="46681" ht="9.9499999999999993" hidden="1" customHeight="1" x14ac:dyDescent="0.2"/>
    <row r="46682" ht="9.9499999999999993" hidden="1" customHeight="1" x14ac:dyDescent="0.2"/>
    <row r="46683" ht="9.9499999999999993" hidden="1" customHeight="1" x14ac:dyDescent="0.2"/>
    <row r="46684" ht="9.9499999999999993" hidden="1" customHeight="1" x14ac:dyDescent="0.2"/>
    <row r="46685" ht="9.9499999999999993" hidden="1" customHeight="1" x14ac:dyDescent="0.2"/>
    <row r="46686" ht="9.9499999999999993" hidden="1" customHeight="1" x14ac:dyDescent="0.2"/>
    <row r="46687" ht="9.9499999999999993" hidden="1" customHeight="1" x14ac:dyDescent="0.2"/>
    <row r="46688" ht="9.9499999999999993" hidden="1" customHeight="1" x14ac:dyDescent="0.2"/>
    <row r="46689" ht="9.9499999999999993" hidden="1" customHeight="1" x14ac:dyDescent="0.2"/>
    <row r="46690" ht="9.9499999999999993" hidden="1" customHeight="1" x14ac:dyDescent="0.2"/>
    <row r="46691" ht="9.9499999999999993" hidden="1" customHeight="1" x14ac:dyDescent="0.2"/>
    <row r="46692" ht="9.9499999999999993" hidden="1" customHeight="1" x14ac:dyDescent="0.2"/>
    <row r="46693" ht="9.9499999999999993" hidden="1" customHeight="1" x14ac:dyDescent="0.2"/>
    <row r="46694" ht="9.9499999999999993" hidden="1" customHeight="1" x14ac:dyDescent="0.2"/>
    <row r="46695" ht="9.9499999999999993" hidden="1" customHeight="1" x14ac:dyDescent="0.2"/>
    <row r="46696" ht="9.9499999999999993" hidden="1" customHeight="1" x14ac:dyDescent="0.2"/>
    <row r="46697" ht="9.9499999999999993" hidden="1" customHeight="1" x14ac:dyDescent="0.2"/>
    <row r="46698" ht="9.9499999999999993" hidden="1" customHeight="1" x14ac:dyDescent="0.2"/>
    <row r="46699" ht="9.9499999999999993" hidden="1" customHeight="1" x14ac:dyDescent="0.2"/>
    <row r="46700" ht="9.9499999999999993" hidden="1" customHeight="1" x14ac:dyDescent="0.2"/>
    <row r="46701" ht="9.9499999999999993" hidden="1" customHeight="1" x14ac:dyDescent="0.2"/>
    <row r="46702" ht="9.9499999999999993" hidden="1" customHeight="1" x14ac:dyDescent="0.2"/>
    <row r="46703" ht="9.9499999999999993" hidden="1" customHeight="1" x14ac:dyDescent="0.2"/>
    <row r="46704" ht="9.9499999999999993" hidden="1" customHeight="1" x14ac:dyDescent="0.2"/>
    <row r="46705" ht="9.9499999999999993" hidden="1" customHeight="1" x14ac:dyDescent="0.2"/>
    <row r="46706" ht="9.9499999999999993" hidden="1" customHeight="1" x14ac:dyDescent="0.2"/>
    <row r="46707" ht="9.9499999999999993" hidden="1" customHeight="1" x14ac:dyDescent="0.2"/>
    <row r="46708" ht="9.9499999999999993" hidden="1" customHeight="1" x14ac:dyDescent="0.2"/>
    <row r="46709" ht="9.9499999999999993" hidden="1" customHeight="1" x14ac:dyDescent="0.2"/>
    <row r="46710" ht="9.9499999999999993" hidden="1" customHeight="1" x14ac:dyDescent="0.2"/>
    <row r="46711" ht="9.9499999999999993" hidden="1" customHeight="1" x14ac:dyDescent="0.2"/>
    <row r="46712" ht="9.9499999999999993" hidden="1" customHeight="1" x14ac:dyDescent="0.2"/>
    <row r="46713" ht="9.9499999999999993" hidden="1" customHeight="1" x14ac:dyDescent="0.2"/>
    <row r="46714" ht="9.9499999999999993" hidden="1" customHeight="1" x14ac:dyDescent="0.2"/>
    <row r="46715" ht="9.9499999999999993" hidden="1" customHeight="1" x14ac:dyDescent="0.2"/>
    <row r="46716" ht="9.9499999999999993" hidden="1" customHeight="1" x14ac:dyDescent="0.2"/>
    <row r="46717" ht="9.9499999999999993" hidden="1" customHeight="1" x14ac:dyDescent="0.2"/>
    <row r="46718" ht="9.9499999999999993" hidden="1" customHeight="1" x14ac:dyDescent="0.2"/>
    <row r="46719" ht="9.9499999999999993" hidden="1" customHeight="1" x14ac:dyDescent="0.2"/>
    <row r="46720" ht="9.9499999999999993" hidden="1" customHeight="1" x14ac:dyDescent="0.2"/>
    <row r="46721" ht="9.9499999999999993" hidden="1" customHeight="1" x14ac:dyDescent="0.2"/>
    <row r="46722" ht="9.9499999999999993" hidden="1" customHeight="1" x14ac:dyDescent="0.2"/>
    <row r="46723" ht="9.9499999999999993" hidden="1" customHeight="1" x14ac:dyDescent="0.2"/>
    <row r="46724" ht="9.9499999999999993" hidden="1" customHeight="1" x14ac:dyDescent="0.2"/>
    <row r="46725" ht="9.9499999999999993" hidden="1" customHeight="1" x14ac:dyDescent="0.2"/>
    <row r="46726" ht="9.9499999999999993" hidden="1" customHeight="1" x14ac:dyDescent="0.2"/>
    <row r="46727" ht="9.9499999999999993" hidden="1" customHeight="1" x14ac:dyDescent="0.2"/>
    <row r="46728" ht="9.9499999999999993" hidden="1" customHeight="1" x14ac:dyDescent="0.2"/>
    <row r="46729" ht="9.9499999999999993" hidden="1" customHeight="1" x14ac:dyDescent="0.2"/>
    <row r="46730" ht="9.9499999999999993" hidden="1" customHeight="1" x14ac:dyDescent="0.2"/>
    <row r="46731" ht="9.9499999999999993" hidden="1" customHeight="1" x14ac:dyDescent="0.2"/>
    <row r="46732" ht="9.9499999999999993" hidden="1" customHeight="1" x14ac:dyDescent="0.2"/>
    <row r="46733" ht="9.9499999999999993" hidden="1" customHeight="1" x14ac:dyDescent="0.2"/>
    <row r="46734" ht="9.9499999999999993" hidden="1" customHeight="1" x14ac:dyDescent="0.2"/>
    <row r="46735" ht="9.9499999999999993" hidden="1" customHeight="1" x14ac:dyDescent="0.2"/>
    <row r="46736" ht="9.9499999999999993" hidden="1" customHeight="1" x14ac:dyDescent="0.2"/>
    <row r="46737" ht="9.9499999999999993" hidden="1" customHeight="1" x14ac:dyDescent="0.2"/>
    <row r="46738" ht="9.9499999999999993" hidden="1" customHeight="1" x14ac:dyDescent="0.2"/>
    <row r="46739" ht="9.9499999999999993" hidden="1" customHeight="1" x14ac:dyDescent="0.2"/>
    <row r="46740" ht="9.9499999999999993" hidden="1" customHeight="1" x14ac:dyDescent="0.2"/>
    <row r="46741" ht="9.9499999999999993" hidden="1" customHeight="1" x14ac:dyDescent="0.2"/>
    <row r="46742" ht="9.9499999999999993" hidden="1" customHeight="1" x14ac:dyDescent="0.2"/>
    <row r="46743" ht="9.9499999999999993" hidden="1" customHeight="1" x14ac:dyDescent="0.2"/>
    <row r="46744" ht="9.9499999999999993" hidden="1" customHeight="1" x14ac:dyDescent="0.2"/>
    <row r="46745" ht="9.9499999999999993" hidden="1" customHeight="1" x14ac:dyDescent="0.2"/>
    <row r="46746" ht="9.9499999999999993" hidden="1" customHeight="1" x14ac:dyDescent="0.2"/>
    <row r="46747" ht="9.9499999999999993" hidden="1" customHeight="1" x14ac:dyDescent="0.2"/>
    <row r="46748" ht="9.9499999999999993" hidden="1" customHeight="1" x14ac:dyDescent="0.2"/>
    <row r="46749" ht="9.9499999999999993" hidden="1" customHeight="1" x14ac:dyDescent="0.2"/>
    <row r="46750" ht="9.9499999999999993" hidden="1" customHeight="1" x14ac:dyDescent="0.2"/>
    <row r="46751" ht="9.9499999999999993" hidden="1" customHeight="1" x14ac:dyDescent="0.2"/>
    <row r="46752" ht="9.9499999999999993" hidden="1" customHeight="1" x14ac:dyDescent="0.2"/>
    <row r="46753" ht="9.9499999999999993" hidden="1" customHeight="1" x14ac:dyDescent="0.2"/>
    <row r="46754" ht="9.9499999999999993" hidden="1" customHeight="1" x14ac:dyDescent="0.2"/>
    <row r="46755" ht="9.9499999999999993" hidden="1" customHeight="1" x14ac:dyDescent="0.2"/>
    <row r="46756" ht="9.9499999999999993" hidden="1" customHeight="1" x14ac:dyDescent="0.2"/>
    <row r="46757" ht="9.9499999999999993" hidden="1" customHeight="1" x14ac:dyDescent="0.2"/>
    <row r="46758" ht="9.9499999999999993" hidden="1" customHeight="1" x14ac:dyDescent="0.2"/>
    <row r="46759" ht="9.9499999999999993" hidden="1" customHeight="1" x14ac:dyDescent="0.2"/>
    <row r="46760" ht="9.9499999999999993" hidden="1" customHeight="1" x14ac:dyDescent="0.2"/>
    <row r="46761" ht="9.9499999999999993" hidden="1" customHeight="1" x14ac:dyDescent="0.2"/>
    <row r="46762" ht="9.9499999999999993" hidden="1" customHeight="1" x14ac:dyDescent="0.2"/>
    <row r="46763" ht="9.9499999999999993" hidden="1" customHeight="1" x14ac:dyDescent="0.2"/>
    <row r="46764" ht="9.9499999999999993" hidden="1" customHeight="1" x14ac:dyDescent="0.2"/>
    <row r="46765" ht="9.9499999999999993" hidden="1" customHeight="1" x14ac:dyDescent="0.2"/>
    <row r="46766" ht="9.9499999999999993" hidden="1" customHeight="1" x14ac:dyDescent="0.2"/>
    <row r="46767" ht="9.9499999999999993" hidden="1" customHeight="1" x14ac:dyDescent="0.2"/>
    <row r="46768" ht="9.9499999999999993" hidden="1" customHeight="1" x14ac:dyDescent="0.2"/>
    <row r="46769" ht="9.9499999999999993" hidden="1" customHeight="1" x14ac:dyDescent="0.2"/>
    <row r="46770" ht="9.9499999999999993" hidden="1" customHeight="1" x14ac:dyDescent="0.2"/>
    <row r="46771" ht="9.9499999999999993" hidden="1" customHeight="1" x14ac:dyDescent="0.2"/>
    <row r="46772" ht="9.9499999999999993" hidden="1" customHeight="1" x14ac:dyDescent="0.2"/>
    <row r="46773" ht="9.9499999999999993" hidden="1" customHeight="1" x14ac:dyDescent="0.2"/>
    <row r="46774" ht="9.9499999999999993" hidden="1" customHeight="1" x14ac:dyDescent="0.2"/>
    <row r="46775" ht="9.9499999999999993" hidden="1" customHeight="1" x14ac:dyDescent="0.2"/>
    <row r="46776" ht="9.9499999999999993" hidden="1" customHeight="1" x14ac:dyDescent="0.2"/>
    <row r="46777" ht="9.9499999999999993" hidden="1" customHeight="1" x14ac:dyDescent="0.2"/>
    <row r="46778" ht="9.9499999999999993" hidden="1" customHeight="1" x14ac:dyDescent="0.2"/>
    <row r="46779" ht="9.9499999999999993" hidden="1" customHeight="1" x14ac:dyDescent="0.2"/>
    <row r="46780" ht="9.9499999999999993" hidden="1" customHeight="1" x14ac:dyDescent="0.2"/>
    <row r="46781" ht="9.9499999999999993" hidden="1" customHeight="1" x14ac:dyDescent="0.2"/>
    <row r="46782" ht="9.9499999999999993" hidden="1" customHeight="1" x14ac:dyDescent="0.2"/>
    <row r="46783" ht="9.9499999999999993" hidden="1" customHeight="1" x14ac:dyDescent="0.2"/>
    <row r="46784" ht="9.9499999999999993" hidden="1" customHeight="1" x14ac:dyDescent="0.2"/>
    <row r="46785" ht="9.9499999999999993" hidden="1" customHeight="1" x14ac:dyDescent="0.2"/>
    <row r="46786" ht="9.9499999999999993" hidden="1" customHeight="1" x14ac:dyDescent="0.2"/>
    <row r="46787" ht="9.9499999999999993" hidden="1" customHeight="1" x14ac:dyDescent="0.2"/>
    <row r="46788" ht="9.9499999999999993" hidden="1" customHeight="1" x14ac:dyDescent="0.2"/>
    <row r="46789" ht="9.9499999999999993" hidden="1" customHeight="1" x14ac:dyDescent="0.2"/>
    <row r="46790" ht="9.9499999999999993" hidden="1" customHeight="1" x14ac:dyDescent="0.2"/>
    <row r="46791" ht="9.9499999999999993" hidden="1" customHeight="1" x14ac:dyDescent="0.2"/>
    <row r="46792" ht="9.9499999999999993" hidden="1" customHeight="1" x14ac:dyDescent="0.2"/>
    <row r="46793" ht="9.9499999999999993" hidden="1" customHeight="1" x14ac:dyDescent="0.2"/>
    <row r="46794" ht="9.9499999999999993" hidden="1" customHeight="1" x14ac:dyDescent="0.2"/>
    <row r="46795" ht="9.9499999999999993" hidden="1" customHeight="1" x14ac:dyDescent="0.2"/>
    <row r="46796" ht="9.9499999999999993" hidden="1" customHeight="1" x14ac:dyDescent="0.2"/>
    <row r="46797" ht="9.9499999999999993" hidden="1" customHeight="1" x14ac:dyDescent="0.2"/>
    <row r="46798" ht="9.9499999999999993" hidden="1" customHeight="1" x14ac:dyDescent="0.2"/>
    <row r="46799" ht="9.9499999999999993" hidden="1" customHeight="1" x14ac:dyDescent="0.2"/>
    <row r="46800" ht="9.9499999999999993" hidden="1" customHeight="1" x14ac:dyDescent="0.2"/>
    <row r="46801" ht="9.9499999999999993" hidden="1" customHeight="1" x14ac:dyDescent="0.2"/>
    <row r="46802" ht="9.9499999999999993" hidden="1" customHeight="1" x14ac:dyDescent="0.2"/>
    <row r="46803" ht="9.9499999999999993" hidden="1" customHeight="1" x14ac:dyDescent="0.2"/>
    <row r="46804" ht="9.9499999999999993" hidden="1" customHeight="1" x14ac:dyDescent="0.2"/>
    <row r="46805" ht="9.9499999999999993" hidden="1" customHeight="1" x14ac:dyDescent="0.2"/>
    <row r="46806" ht="9.9499999999999993" hidden="1" customHeight="1" x14ac:dyDescent="0.2"/>
    <row r="46807" ht="9.9499999999999993" hidden="1" customHeight="1" x14ac:dyDescent="0.2"/>
    <row r="46808" ht="9.9499999999999993" hidden="1" customHeight="1" x14ac:dyDescent="0.2"/>
    <row r="46809" ht="9.9499999999999993" hidden="1" customHeight="1" x14ac:dyDescent="0.2"/>
    <row r="46810" ht="9.9499999999999993" hidden="1" customHeight="1" x14ac:dyDescent="0.2"/>
    <row r="46811" ht="9.9499999999999993" hidden="1" customHeight="1" x14ac:dyDescent="0.2"/>
    <row r="46812" ht="9.9499999999999993" hidden="1" customHeight="1" x14ac:dyDescent="0.2"/>
    <row r="46813" ht="9.9499999999999993" hidden="1" customHeight="1" x14ac:dyDescent="0.2"/>
    <row r="46814" ht="9.9499999999999993" hidden="1" customHeight="1" x14ac:dyDescent="0.2"/>
    <row r="46815" ht="9.9499999999999993" hidden="1" customHeight="1" x14ac:dyDescent="0.2"/>
    <row r="46816" ht="9.9499999999999993" hidden="1" customHeight="1" x14ac:dyDescent="0.2"/>
    <row r="46817" ht="9.9499999999999993" hidden="1" customHeight="1" x14ac:dyDescent="0.2"/>
    <row r="46818" ht="9.9499999999999993" hidden="1" customHeight="1" x14ac:dyDescent="0.2"/>
    <row r="46819" ht="9.9499999999999993" hidden="1" customHeight="1" x14ac:dyDescent="0.2"/>
    <row r="46820" ht="9.9499999999999993" hidden="1" customHeight="1" x14ac:dyDescent="0.2"/>
    <row r="46821" ht="9.9499999999999993" hidden="1" customHeight="1" x14ac:dyDescent="0.2"/>
    <row r="46822" ht="9.9499999999999993" hidden="1" customHeight="1" x14ac:dyDescent="0.2"/>
    <row r="46823" ht="9.9499999999999993" hidden="1" customHeight="1" x14ac:dyDescent="0.2"/>
    <row r="46824" ht="9.9499999999999993" hidden="1" customHeight="1" x14ac:dyDescent="0.2"/>
    <row r="46825" ht="9.9499999999999993" hidden="1" customHeight="1" x14ac:dyDescent="0.2"/>
    <row r="46826" ht="9.9499999999999993" hidden="1" customHeight="1" x14ac:dyDescent="0.2"/>
    <row r="46827" ht="9.9499999999999993" hidden="1" customHeight="1" x14ac:dyDescent="0.2"/>
    <row r="46828" ht="9.9499999999999993" hidden="1" customHeight="1" x14ac:dyDescent="0.2"/>
    <row r="46829" ht="9.9499999999999993" hidden="1" customHeight="1" x14ac:dyDescent="0.2"/>
    <row r="46830" ht="9.9499999999999993" hidden="1" customHeight="1" x14ac:dyDescent="0.2"/>
    <row r="46831" ht="9.9499999999999993" hidden="1" customHeight="1" x14ac:dyDescent="0.2"/>
    <row r="46832" ht="9.9499999999999993" hidden="1" customHeight="1" x14ac:dyDescent="0.2"/>
    <row r="46833" ht="9.9499999999999993" hidden="1" customHeight="1" x14ac:dyDescent="0.2"/>
    <row r="46834" ht="9.9499999999999993" hidden="1" customHeight="1" x14ac:dyDescent="0.2"/>
    <row r="46835" ht="9.9499999999999993" hidden="1" customHeight="1" x14ac:dyDescent="0.2"/>
    <row r="46836" ht="9.9499999999999993" hidden="1" customHeight="1" x14ac:dyDescent="0.2"/>
    <row r="46837" ht="9.9499999999999993" hidden="1" customHeight="1" x14ac:dyDescent="0.2"/>
    <row r="46838" ht="9.9499999999999993" hidden="1" customHeight="1" x14ac:dyDescent="0.2"/>
    <row r="46839" ht="9.9499999999999993" hidden="1" customHeight="1" x14ac:dyDescent="0.2"/>
    <row r="46840" ht="9.9499999999999993" hidden="1" customHeight="1" x14ac:dyDescent="0.2"/>
    <row r="46841" ht="9.9499999999999993" hidden="1" customHeight="1" x14ac:dyDescent="0.2"/>
    <row r="46842" ht="9.9499999999999993" hidden="1" customHeight="1" x14ac:dyDescent="0.2"/>
    <row r="46843" ht="9.9499999999999993" hidden="1" customHeight="1" x14ac:dyDescent="0.2"/>
    <row r="46844" ht="9.9499999999999993" hidden="1" customHeight="1" x14ac:dyDescent="0.2"/>
    <row r="46845" ht="9.9499999999999993" hidden="1" customHeight="1" x14ac:dyDescent="0.2"/>
    <row r="46846" ht="9.9499999999999993" hidden="1" customHeight="1" x14ac:dyDescent="0.2"/>
    <row r="46847" ht="9.9499999999999993" hidden="1" customHeight="1" x14ac:dyDescent="0.2"/>
    <row r="46848" ht="9.9499999999999993" hidden="1" customHeight="1" x14ac:dyDescent="0.2"/>
    <row r="46849" ht="9.9499999999999993" hidden="1" customHeight="1" x14ac:dyDescent="0.2"/>
    <row r="46850" ht="9.9499999999999993" hidden="1" customHeight="1" x14ac:dyDescent="0.2"/>
    <row r="46851" ht="9.9499999999999993" hidden="1" customHeight="1" x14ac:dyDescent="0.2"/>
    <row r="46852" ht="9.9499999999999993" hidden="1" customHeight="1" x14ac:dyDescent="0.2"/>
    <row r="46853" ht="9.9499999999999993" hidden="1" customHeight="1" x14ac:dyDescent="0.2"/>
    <row r="46854" ht="9.9499999999999993" hidden="1" customHeight="1" x14ac:dyDescent="0.2"/>
    <row r="46855" ht="9.9499999999999993" hidden="1" customHeight="1" x14ac:dyDescent="0.2"/>
    <row r="46856" ht="9.9499999999999993" hidden="1" customHeight="1" x14ac:dyDescent="0.2"/>
    <row r="46857" ht="9.9499999999999993" hidden="1" customHeight="1" x14ac:dyDescent="0.2"/>
    <row r="46858" ht="9.9499999999999993" hidden="1" customHeight="1" x14ac:dyDescent="0.2"/>
    <row r="46859" ht="9.9499999999999993" hidden="1" customHeight="1" x14ac:dyDescent="0.2"/>
    <row r="46860" ht="9.9499999999999993" hidden="1" customHeight="1" x14ac:dyDescent="0.2"/>
    <row r="46861" ht="9.9499999999999993" hidden="1" customHeight="1" x14ac:dyDescent="0.2"/>
    <row r="46862" ht="9.9499999999999993" hidden="1" customHeight="1" x14ac:dyDescent="0.2"/>
    <row r="46863" ht="9.9499999999999993" hidden="1" customHeight="1" x14ac:dyDescent="0.2"/>
    <row r="46864" ht="9.9499999999999993" hidden="1" customHeight="1" x14ac:dyDescent="0.2"/>
    <row r="46865" ht="9.9499999999999993" hidden="1" customHeight="1" x14ac:dyDescent="0.2"/>
    <row r="46866" ht="9.9499999999999993" hidden="1" customHeight="1" x14ac:dyDescent="0.2"/>
    <row r="46867" ht="9.9499999999999993" hidden="1" customHeight="1" x14ac:dyDescent="0.2"/>
    <row r="46868" ht="9.9499999999999993" hidden="1" customHeight="1" x14ac:dyDescent="0.2"/>
    <row r="46869" ht="9.9499999999999993" hidden="1" customHeight="1" x14ac:dyDescent="0.2"/>
    <row r="46870" ht="9.9499999999999993" hidden="1" customHeight="1" x14ac:dyDescent="0.2"/>
    <row r="46871" ht="9.9499999999999993" hidden="1" customHeight="1" x14ac:dyDescent="0.2"/>
    <row r="46872" ht="9.9499999999999993" hidden="1" customHeight="1" x14ac:dyDescent="0.2"/>
    <row r="46873" ht="9.9499999999999993" hidden="1" customHeight="1" x14ac:dyDescent="0.2"/>
    <row r="46874" ht="9.9499999999999993" hidden="1" customHeight="1" x14ac:dyDescent="0.2"/>
    <row r="46875" ht="9.9499999999999993" hidden="1" customHeight="1" x14ac:dyDescent="0.2"/>
    <row r="46876" ht="9.9499999999999993" hidden="1" customHeight="1" x14ac:dyDescent="0.2"/>
    <row r="46877" ht="9.9499999999999993" hidden="1" customHeight="1" x14ac:dyDescent="0.2"/>
    <row r="46878" ht="9.9499999999999993" hidden="1" customHeight="1" x14ac:dyDescent="0.2"/>
    <row r="46879" ht="9.9499999999999993" hidden="1" customHeight="1" x14ac:dyDescent="0.2"/>
    <row r="46880" ht="9.9499999999999993" hidden="1" customHeight="1" x14ac:dyDescent="0.2"/>
    <row r="46881" ht="9.9499999999999993" hidden="1" customHeight="1" x14ac:dyDescent="0.2"/>
    <row r="46882" ht="9.9499999999999993" hidden="1" customHeight="1" x14ac:dyDescent="0.2"/>
    <row r="46883" ht="9.9499999999999993" hidden="1" customHeight="1" x14ac:dyDescent="0.2"/>
    <row r="46884" ht="9.9499999999999993" hidden="1" customHeight="1" x14ac:dyDescent="0.2"/>
    <row r="46885" ht="9.9499999999999993" hidden="1" customHeight="1" x14ac:dyDescent="0.2"/>
    <row r="46886" ht="9.9499999999999993" hidden="1" customHeight="1" x14ac:dyDescent="0.2"/>
    <row r="46887" ht="9.9499999999999993" hidden="1" customHeight="1" x14ac:dyDescent="0.2"/>
    <row r="46888" ht="9.9499999999999993" hidden="1" customHeight="1" x14ac:dyDescent="0.2"/>
    <row r="46889" ht="9.9499999999999993" hidden="1" customHeight="1" x14ac:dyDescent="0.2"/>
    <row r="46890" ht="9.9499999999999993" hidden="1" customHeight="1" x14ac:dyDescent="0.2"/>
    <row r="46891" ht="9.9499999999999993" hidden="1" customHeight="1" x14ac:dyDescent="0.2"/>
    <row r="46892" ht="9.9499999999999993" hidden="1" customHeight="1" x14ac:dyDescent="0.2"/>
    <row r="46893" ht="9.9499999999999993" hidden="1" customHeight="1" x14ac:dyDescent="0.2"/>
    <row r="46894" ht="9.9499999999999993" hidden="1" customHeight="1" x14ac:dyDescent="0.2"/>
    <row r="46895" ht="9.9499999999999993" hidden="1" customHeight="1" x14ac:dyDescent="0.2"/>
    <row r="46896" ht="9.9499999999999993" hidden="1" customHeight="1" x14ac:dyDescent="0.2"/>
    <row r="46897" ht="9.9499999999999993" hidden="1" customHeight="1" x14ac:dyDescent="0.2"/>
    <row r="46898" ht="9.9499999999999993" hidden="1" customHeight="1" x14ac:dyDescent="0.2"/>
    <row r="46899" ht="9.9499999999999993" hidden="1" customHeight="1" x14ac:dyDescent="0.2"/>
    <row r="46900" ht="9.9499999999999993" hidden="1" customHeight="1" x14ac:dyDescent="0.2"/>
    <row r="46901" ht="9.9499999999999993" hidden="1" customHeight="1" x14ac:dyDescent="0.2"/>
    <row r="46902" ht="9.9499999999999993" hidden="1" customHeight="1" x14ac:dyDescent="0.2"/>
    <row r="46903" ht="9.9499999999999993" hidden="1" customHeight="1" x14ac:dyDescent="0.2"/>
    <row r="46904" ht="9.9499999999999993" hidden="1" customHeight="1" x14ac:dyDescent="0.2"/>
    <row r="46905" ht="9.9499999999999993" hidden="1" customHeight="1" x14ac:dyDescent="0.2"/>
    <row r="46906" ht="9.9499999999999993" hidden="1" customHeight="1" x14ac:dyDescent="0.2"/>
    <row r="46907" ht="9.9499999999999993" hidden="1" customHeight="1" x14ac:dyDescent="0.2"/>
    <row r="46908" ht="9.9499999999999993" hidden="1" customHeight="1" x14ac:dyDescent="0.2"/>
    <row r="46909" ht="9.9499999999999993" hidden="1" customHeight="1" x14ac:dyDescent="0.2"/>
    <row r="46910" ht="9.9499999999999993" hidden="1" customHeight="1" x14ac:dyDescent="0.2"/>
    <row r="46911" ht="9.9499999999999993" hidden="1" customHeight="1" x14ac:dyDescent="0.2"/>
    <row r="46912" ht="9.9499999999999993" hidden="1" customHeight="1" x14ac:dyDescent="0.2"/>
    <row r="46913" ht="9.9499999999999993" hidden="1" customHeight="1" x14ac:dyDescent="0.2"/>
    <row r="46914" ht="9.9499999999999993" hidden="1" customHeight="1" x14ac:dyDescent="0.2"/>
    <row r="46915" ht="9.9499999999999993" hidden="1" customHeight="1" x14ac:dyDescent="0.2"/>
    <row r="46916" ht="9.9499999999999993" hidden="1" customHeight="1" x14ac:dyDescent="0.2"/>
    <row r="46917" ht="9.9499999999999993" hidden="1" customHeight="1" x14ac:dyDescent="0.2"/>
    <row r="46918" ht="9.9499999999999993" hidden="1" customHeight="1" x14ac:dyDescent="0.2"/>
    <row r="46919" ht="9.9499999999999993" hidden="1" customHeight="1" x14ac:dyDescent="0.2"/>
    <row r="46920" ht="9.9499999999999993" hidden="1" customHeight="1" x14ac:dyDescent="0.2"/>
    <row r="46921" ht="9.9499999999999993" hidden="1" customHeight="1" x14ac:dyDescent="0.2"/>
    <row r="46922" ht="9.9499999999999993" hidden="1" customHeight="1" x14ac:dyDescent="0.2"/>
    <row r="46923" ht="9.9499999999999993" hidden="1" customHeight="1" x14ac:dyDescent="0.2"/>
    <row r="46924" ht="9.9499999999999993" hidden="1" customHeight="1" x14ac:dyDescent="0.2"/>
    <row r="46925" ht="9.9499999999999993" hidden="1" customHeight="1" x14ac:dyDescent="0.2"/>
    <row r="46926" ht="9.9499999999999993" hidden="1" customHeight="1" x14ac:dyDescent="0.2"/>
    <row r="46927" ht="9.9499999999999993" hidden="1" customHeight="1" x14ac:dyDescent="0.2"/>
    <row r="46928" ht="9.9499999999999993" hidden="1" customHeight="1" x14ac:dyDescent="0.2"/>
    <row r="46929" ht="9.9499999999999993" hidden="1" customHeight="1" x14ac:dyDescent="0.2"/>
    <row r="46930" ht="9.9499999999999993" hidden="1" customHeight="1" x14ac:dyDescent="0.2"/>
    <row r="46931" ht="9.9499999999999993" hidden="1" customHeight="1" x14ac:dyDescent="0.2"/>
    <row r="46932" ht="9.9499999999999993" hidden="1" customHeight="1" x14ac:dyDescent="0.2"/>
    <row r="46933" ht="9.9499999999999993" hidden="1" customHeight="1" x14ac:dyDescent="0.2"/>
    <row r="46934" ht="9.9499999999999993" hidden="1" customHeight="1" x14ac:dyDescent="0.2"/>
    <row r="46935" ht="9.9499999999999993" hidden="1" customHeight="1" x14ac:dyDescent="0.2"/>
    <row r="46936" ht="9.9499999999999993" hidden="1" customHeight="1" x14ac:dyDescent="0.2"/>
    <row r="46937" ht="9.9499999999999993" hidden="1" customHeight="1" x14ac:dyDescent="0.2"/>
    <row r="46938" ht="9.9499999999999993" hidden="1" customHeight="1" x14ac:dyDescent="0.2"/>
    <row r="46939" ht="9.9499999999999993" hidden="1" customHeight="1" x14ac:dyDescent="0.2"/>
    <row r="46940" ht="9.9499999999999993" hidden="1" customHeight="1" x14ac:dyDescent="0.2"/>
    <row r="46941" ht="9.9499999999999993" hidden="1" customHeight="1" x14ac:dyDescent="0.2"/>
    <row r="46942" ht="9.9499999999999993" hidden="1" customHeight="1" x14ac:dyDescent="0.2"/>
    <row r="46943" ht="9.9499999999999993" hidden="1" customHeight="1" x14ac:dyDescent="0.2"/>
    <row r="46944" ht="9.9499999999999993" hidden="1" customHeight="1" x14ac:dyDescent="0.2"/>
    <row r="46945" ht="9.9499999999999993" hidden="1" customHeight="1" x14ac:dyDescent="0.2"/>
    <row r="46946" ht="9.9499999999999993" hidden="1" customHeight="1" x14ac:dyDescent="0.2"/>
    <row r="46947" ht="9.9499999999999993" hidden="1" customHeight="1" x14ac:dyDescent="0.2"/>
    <row r="46948" ht="9.9499999999999993" hidden="1" customHeight="1" x14ac:dyDescent="0.2"/>
    <row r="46949" ht="9.9499999999999993" hidden="1" customHeight="1" x14ac:dyDescent="0.2"/>
    <row r="46950" ht="9.9499999999999993" hidden="1" customHeight="1" x14ac:dyDescent="0.2"/>
    <row r="46951" ht="9.9499999999999993" hidden="1" customHeight="1" x14ac:dyDescent="0.2"/>
    <row r="46952" ht="9.9499999999999993" hidden="1" customHeight="1" x14ac:dyDescent="0.2"/>
    <row r="46953" ht="9.9499999999999993" hidden="1" customHeight="1" x14ac:dyDescent="0.2"/>
    <row r="46954" ht="9.9499999999999993" hidden="1" customHeight="1" x14ac:dyDescent="0.2"/>
    <row r="46955" ht="9.9499999999999993" hidden="1" customHeight="1" x14ac:dyDescent="0.2"/>
    <row r="46956" ht="9.9499999999999993" hidden="1" customHeight="1" x14ac:dyDescent="0.2"/>
    <row r="46957" ht="9.9499999999999993" hidden="1" customHeight="1" x14ac:dyDescent="0.2"/>
    <row r="46958" ht="9.9499999999999993" hidden="1" customHeight="1" x14ac:dyDescent="0.2"/>
    <row r="46959" ht="9.9499999999999993" hidden="1" customHeight="1" x14ac:dyDescent="0.2"/>
    <row r="46960" ht="9.9499999999999993" hidden="1" customHeight="1" x14ac:dyDescent="0.2"/>
    <row r="46961" ht="9.9499999999999993" hidden="1" customHeight="1" x14ac:dyDescent="0.2"/>
    <row r="46962" ht="9.9499999999999993" hidden="1" customHeight="1" x14ac:dyDescent="0.2"/>
    <row r="46963" ht="9.9499999999999993" hidden="1" customHeight="1" x14ac:dyDescent="0.2"/>
    <row r="46964" ht="9.9499999999999993" hidden="1" customHeight="1" x14ac:dyDescent="0.2"/>
    <row r="46965" ht="9.9499999999999993" hidden="1" customHeight="1" x14ac:dyDescent="0.2"/>
    <row r="46966" ht="9.9499999999999993" hidden="1" customHeight="1" x14ac:dyDescent="0.2"/>
    <row r="46967" ht="9.9499999999999993" hidden="1" customHeight="1" x14ac:dyDescent="0.2"/>
    <row r="46968" ht="9.9499999999999993" hidden="1" customHeight="1" x14ac:dyDescent="0.2"/>
    <row r="46969" ht="9.9499999999999993" hidden="1" customHeight="1" x14ac:dyDescent="0.2"/>
    <row r="46970" ht="9.9499999999999993" hidden="1" customHeight="1" x14ac:dyDescent="0.2"/>
    <row r="46971" ht="9.9499999999999993" hidden="1" customHeight="1" x14ac:dyDescent="0.2"/>
    <row r="46972" ht="9.9499999999999993" hidden="1" customHeight="1" x14ac:dyDescent="0.2"/>
    <row r="46973" ht="9.9499999999999993" hidden="1" customHeight="1" x14ac:dyDescent="0.2"/>
    <row r="46974" ht="9.9499999999999993" hidden="1" customHeight="1" x14ac:dyDescent="0.2"/>
    <row r="46975" ht="9.9499999999999993" hidden="1" customHeight="1" x14ac:dyDescent="0.2"/>
    <row r="46976" ht="9.9499999999999993" hidden="1" customHeight="1" x14ac:dyDescent="0.2"/>
    <row r="46977" ht="9.9499999999999993" hidden="1" customHeight="1" x14ac:dyDescent="0.2"/>
    <row r="46978" ht="9.9499999999999993" hidden="1" customHeight="1" x14ac:dyDescent="0.2"/>
    <row r="46979" ht="9.9499999999999993" hidden="1" customHeight="1" x14ac:dyDescent="0.2"/>
    <row r="46980" ht="9.9499999999999993" hidden="1" customHeight="1" x14ac:dyDescent="0.2"/>
    <row r="46981" ht="9.9499999999999993" hidden="1" customHeight="1" x14ac:dyDescent="0.2"/>
    <row r="46982" ht="9.9499999999999993" hidden="1" customHeight="1" x14ac:dyDescent="0.2"/>
    <row r="46983" ht="9.9499999999999993" hidden="1" customHeight="1" x14ac:dyDescent="0.2"/>
    <row r="46984" ht="9.9499999999999993" hidden="1" customHeight="1" x14ac:dyDescent="0.2"/>
    <row r="46985" ht="9.9499999999999993" hidden="1" customHeight="1" x14ac:dyDescent="0.2"/>
    <row r="46986" ht="9.9499999999999993" hidden="1" customHeight="1" x14ac:dyDescent="0.2"/>
    <row r="46987" ht="9.9499999999999993" hidden="1" customHeight="1" x14ac:dyDescent="0.2"/>
    <row r="46988" ht="9.9499999999999993" hidden="1" customHeight="1" x14ac:dyDescent="0.2"/>
    <row r="46989" ht="9.9499999999999993" hidden="1" customHeight="1" x14ac:dyDescent="0.2"/>
    <row r="46990" ht="9.9499999999999993" hidden="1" customHeight="1" x14ac:dyDescent="0.2"/>
    <row r="46991" ht="9.9499999999999993" hidden="1" customHeight="1" x14ac:dyDescent="0.2"/>
    <row r="46992" ht="9.9499999999999993" hidden="1" customHeight="1" x14ac:dyDescent="0.2"/>
    <row r="46993" ht="9.9499999999999993" hidden="1" customHeight="1" x14ac:dyDescent="0.2"/>
    <row r="46994" ht="9.9499999999999993" hidden="1" customHeight="1" x14ac:dyDescent="0.2"/>
    <row r="46995" ht="9.9499999999999993" hidden="1" customHeight="1" x14ac:dyDescent="0.2"/>
    <row r="46996" ht="9.9499999999999993" hidden="1" customHeight="1" x14ac:dyDescent="0.2"/>
    <row r="46997" ht="9.9499999999999993" hidden="1" customHeight="1" x14ac:dyDescent="0.2"/>
    <row r="46998" ht="9.9499999999999993" hidden="1" customHeight="1" x14ac:dyDescent="0.2"/>
    <row r="46999" ht="9.9499999999999993" hidden="1" customHeight="1" x14ac:dyDescent="0.2"/>
    <row r="47000" ht="9.9499999999999993" hidden="1" customHeight="1" x14ac:dyDescent="0.2"/>
    <row r="47001" ht="9.9499999999999993" hidden="1" customHeight="1" x14ac:dyDescent="0.2"/>
    <row r="47002" ht="9.9499999999999993" hidden="1" customHeight="1" x14ac:dyDescent="0.2"/>
    <row r="47003" ht="9.9499999999999993" hidden="1" customHeight="1" x14ac:dyDescent="0.2"/>
    <row r="47004" ht="9.9499999999999993" hidden="1" customHeight="1" x14ac:dyDescent="0.2"/>
    <row r="47005" ht="9.9499999999999993" hidden="1" customHeight="1" x14ac:dyDescent="0.2"/>
    <row r="47006" ht="9.9499999999999993" hidden="1" customHeight="1" x14ac:dyDescent="0.2"/>
    <row r="47007" ht="9.9499999999999993" hidden="1" customHeight="1" x14ac:dyDescent="0.2"/>
    <row r="47008" ht="9.9499999999999993" hidden="1" customHeight="1" x14ac:dyDescent="0.2"/>
    <row r="47009" ht="9.9499999999999993" hidden="1" customHeight="1" x14ac:dyDescent="0.2"/>
    <row r="47010" ht="9.9499999999999993" hidden="1" customHeight="1" x14ac:dyDescent="0.2"/>
    <row r="47011" ht="9.9499999999999993" hidden="1" customHeight="1" x14ac:dyDescent="0.2"/>
    <row r="47012" ht="9.9499999999999993" hidden="1" customHeight="1" x14ac:dyDescent="0.2"/>
    <row r="47013" ht="9.9499999999999993" hidden="1" customHeight="1" x14ac:dyDescent="0.2"/>
    <row r="47014" ht="9.9499999999999993" hidden="1" customHeight="1" x14ac:dyDescent="0.2"/>
    <row r="47015" ht="9.9499999999999993" hidden="1" customHeight="1" x14ac:dyDescent="0.2"/>
    <row r="47016" ht="9.9499999999999993" hidden="1" customHeight="1" x14ac:dyDescent="0.2"/>
    <row r="47017" ht="9.9499999999999993" hidden="1" customHeight="1" x14ac:dyDescent="0.2"/>
    <row r="47018" ht="9.9499999999999993" hidden="1" customHeight="1" x14ac:dyDescent="0.2"/>
    <row r="47019" ht="9.9499999999999993" hidden="1" customHeight="1" x14ac:dyDescent="0.2"/>
    <row r="47020" ht="9.9499999999999993" hidden="1" customHeight="1" x14ac:dyDescent="0.2"/>
    <row r="47021" ht="9.9499999999999993" hidden="1" customHeight="1" x14ac:dyDescent="0.2"/>
    <row r="47022" ht="9.9499999999999993" hidden="1" customHeight="1" x14ac:dyDescent="0.2"/>
    <row r="47023" ht="9.9499999999999993" hidden="1" customHeight="1" x14ac:dyDescent="0.2"/>
    <row r="47024" ht="9.9499999999999993" hidden="1" customHeight="1" x14ac:dyDescent="0.2"/>
    <row r="47025" ht="9.9499999999999993" hidden="1" customHeight="1" x14ac:dyDescent="0.2"/>
    <row r="47026" ht="9.9499999999999993" hidden="1" customHeight="1" x14ac:dyDescent="0.2"/>
    <row r="47027" ht="9.9499999999999993" hidden="1" customHeight="1" x14ac:dyDescent="0.2"/>
    <row r="47028" ht="9.9499999999999993" hidden="1" customHeight="1" x14ac:dyDescent="0.2"/>
    <row r="47029" ht="9.9499999999999993" hidden="1" customHeight="1" x14ac:dyDescent="0.2"/>
    <row r="47030" ht="9.9499999999999993" hidden="1" customHeight="1" x14ac:dyDescent="0.2"/>
    <row r="47031" ht="9.9499999999999993" hidden="1" customHeight="1" x14ac:dyDescent="0.2"/>
    <row r="47032" ht="9.9499999999999993" hidden="1" customHeight="1" x14ac:dyDescent="0.2"/>
    <row r="47033" ht="9.9499999999999993" hidden="1" customHeight="1" x14ac:dyDescent="0.2"/>
    <row r="47034" ht="9.9499999999999993" hidden="1" customHeight="1" x14ac:dyDescent="0.2"/>
    <row r="47035" ht="9.9499999999999993" hidden="1" customHeight="1" x14ac:dyDescent="0.2"/>
    <row r="47036" ht="9.9499999999999993" hidden="1" customHeight="1" x14ac:dyDescent="0.2"/>
    <row r="47037" ht="9.9499999999999993" hidden="1" customHeight="1" x14ac:dyDescent="0.2"/>
    <row r="47038" ht="9.9499999999999993" hidden="1" customHeight="1" x14ac:dyDescent="0.2"/>
    <row r="47039" ht="9.9499999999999993" hidden="1" customHeight="1" x14ac:dyDescent="0.2"/>
    <row r="47040" ht="9.9499999999999993" hidden="1" customHeight="1" x14ac:dyDescent="0.2"/>
    <row r="47041" ht="9.9499999999999993" hidden="1" customHeight="1" x14ac:dyDescent="0.2"/>
    <row r="47042" ht="9.9499999999999993" hidden="1" customHeight="1" x14ac:dyDescent="0.2"/>
    <row r="47043" ht="9.9499999999999993" hidden="1" customHeight="1" x14ac:dyDescent="0.2"/>
    <row r="47044" ht="9.9499999999999993" hidden="1" customHeight="1" x14ac:dyDescent="0.2"/>
    <row r="47045" ht="9.9499999999999993" hidden="1" customHeight="1" x14ac:dyDescent="0.2"/>
    <row r="47046" ht="9.9499999999999993" hidden="1" customHeight="1" x14ac:dyDescent="0.2"/>
    <row r="47047" ht="9.9499999999999993" hidden="1" customHeight="1" x14ac:dyDescent="0.2"/>
    <row r="47048" ht="9.9499999999999993" hidden="1" customHeight="1" x14ac:dyDescent="0.2"/>
    <row r="47049" ht="9.9499999999999993" hidden="1" customHeight="1" x14ac:dyDescent="0.2"/>
    <row r="47050" ht="9.9499999999999993" hidden="1" customHeight="1" x14ac:dyDescent="0.2"/>
    <row r="47051" ht="9.9499999999999993" hidden="1" customHeight="1" x14ac:dyDescent="0.2"/>
    <row r="47052" ht="9.9499999999999993" hidden="1" customHeight="1" x14ac:dyDescent="0.2"/>
    <row r="47053" ht="9.9499999999999993" hidden="1" customHeight="1" x14ac:dyDescent="0.2"/>
    <row r="47054" ht="9.9499999999999993" hidden="1" customHeight="1" x14ac:dyDescent="0.2"/>
    <row r="47055" ht="9.9499999999999993" hidden="1" customHeight="1" x14ac:dyDescent="0.2"/>
    <row r="47056" ht="9.9499999999999993" hidden="1" customHeight="1" x14ac:dyDescent="0.2"/>
    <row r="47057" ht="9.9499999999999993" hidden="1" customHeight="1" x14ac:dyDescent="0.2"/>
    <row r="47058" ht="9.9499999999999993" hidden="1" customHeight="1" x14ac:dyDescent="0.2"/>
    <row r="47059" ht="9.9499999999999993" hidden="1" customHeight="1" x14ac:dyDescent="0.2"/>
    <row r="47060" ht="9.9499999999999993" hidden="1" customHeight="1" x14ac:dyDescent="0.2"/>
    <row r="47061" ht="9.9499999999999993" hidden="1" customHeight="1" x14ac:dyDescent="0.2"/>
    <row r="47062" ht="9.9499999999999993" hidden="1" customHeight="1" x14ac:dyDescent="0.2"/>
    <row r="47063" ht="9.9499999999999993" hidden="1" customHeight="1" x14ac:dyDescent="0.2"/>
    <row r="47064" ht="9.9499999999999993" hidden="1" customHeight="1" x14ac:dyDescent="0.2"/>
    <row r="47065" ht="9.9499999999999993" hidden="1" customHeight="1" x14ac:dyDescent="0.2"/>
    <row r="47066" ht="9.9499999999999993" hidden="1" customHeight="1" x14ac:dyDescent="0.2"/>
    <row r="47067" ht="9.9499999999999993" hidden="1" customHeight="1" x14ac:dyDescent="0.2"/>
    <row r="47068" ht="9.9499999999999993" hidden="1" customHeight="1" x14ac:dyDescent="0.2"/>
    <row r="47069" ht="9.9499999999999993" hidden="1" customHeight="1" x14ac:dyDescent="0.2"/>
    <row r="47070" ht="9.9499999999999993" hidden="1" customHeight="1" x14ac:dyDescent="0.2"/>
    <row r="47071" ht="9.9499999999999993" hidden="1" customHeight="1" x14ac:dyDescent="0.2"/>
    <row r="47072" ht="9.9499999999999993" hidden="1" customHeight="1" x14ac:dyDescent="0.2"/>
    <row r="47073" ht="9.9499999999999993" hidden="1" customHeight="1" x14ac:dyDescent="0.2"/>
    <row r="47074" ht="9.9499999999999993" hidden="1" customHeight="1" x14ac:dyDescent="0.2"/>
    <row r="47075" ht="9.9499999999999993" hidden="1" customHeight="1" x14ac:dyDescent="0.2"/>
    <row r="47076" ht="9.9499999999999993" hidden="1" customHeight="1" x14ac:dyDescent="0.2"/>
    <row r="47077" ht="9.9499999999999993" hidden="1" customHeight="1" x14ac:dyDescent="0.2"/>
    <row r="47078" ht="9.9499999999999993" hidden="1" customHeight="1" x14ac:dyDescent="0.2"/>
    <row r="47079" ht="9.9499999999999993" hidden="1" customHeight="1" x14ac:dyDescent="0.2"/>
    <row r="47080" ht="9.9499999999999993" hidden="1" customHeight="1" x14ac:dyDescent="0.2"/>
    <row r="47081" ht="9.9499999999999993" hidden="1" customHeight="1" x14ac:dyDescent="0.2"/>
    <row r="47082" ht="9.9499999999999993" hidden="1" customHeight="1" x14ac:dyDescent="0.2"/>
    <row r="47083" ht="9.9499999999999993" hidden="1" customHeight="1" x14ac:dyDescent="0.2"/>
    <row r="47084" ht="9.9499999999999993" hidden="1" customHeight="1" x14ac:dyDescent="0.2"/>
    <row r="47085" ht="9.9499999999999993" hidden="1" customHeight="1" x14ac:dyDescent="0.2"/>
    <row r="47086" ht="9.9499999999999993" hidden="1" customHeight="1" x14ac:dyDescent="0.2"/>
    <row r="47087" ht="9.9499999999999993" hidden="1" customHeight="1" x14ac:dyDescent="0.2"/>
    <row r="47088" ht="9.9499999999999993" hidden="1" customHeight="1" x14ac:dyDescent="0.2"/>
    <row r="47089" ht="9.9499999999999993" hidden="1" customHeight="1" x14ac:dyDescent="0.2"/>
    <row r="47090" ht="9.9499999999999993" hidden="1" customHeight="1" x14ac:dyDescent="0.2"/>
    <row r="47091" ht="9.9499999999999993" hidden="1" customHeight="1" x14ac:dyDescent="0.2"/>
    <row r="47092" ht="9.9499999999999993" hidden="1" customHeight="1" x14ac:dyDescent="0.2"/>
    <row r="47093" ht="9.9499999999999993" hidden="1" customHeight="1" x14ac:dyDescent="0.2"/>
    <row r="47094" ht="9.9499999999999993" hidden="1" customHeight="1" x14ac:dyDescent="0.2"/>
    <row r="47095" ht="9.9499999999999993" hidden="1" customHeight="1" x14ac:dyDescent="0.2"/>
    <row r="47096" ht="9.9499999999999993" hidden="1" customHeight="1" x14ac:dyDescent="0.2"/>
    <row r="47097" ht="9.9499999999999993" hidden="1" customHeight="1" x14ac:dyDescent="0.2"/>
    <row r="47098" ht="9.9499999999999993" hidden="1" customHeight="1" x14ac:dyDescent="0.2"/>
    <row r="47099" ht="9.9499999999999993" hidden="1" customHeight="1" x14ac:dyDescent="0.2"/>
    <row r="47100" ht="9.9499999999999993" hidden="1" customHeight="1" x14ac:dyDescent="0.2"/>
    <row r="47101" ht="9.9499999999999993" hidden="1" customHeight="1" x14ac:dyDescent="0.2"/>
    <row r="47102" ht="9.9499999999999993" hidden="1" customHeight="1" x14ac:dyDescent="0.2"/>
    <row r="47103" ht="9.9499999999999993" hidden="1" customHeight="1" x14ac:dyDescent="0.2"/>
    <row r="47104" ht="9.9499999999999993" hidden="1" customHeight="1" x14ac:dyDescent="0.2"/>
    <row r="47105" ht="9.9499999999999993" hidden="1" customHeight="1" x14ac:dyDescent="0.2"/>
    <row r="47106" ht="9.9499999999999993" hidden="1" customHeight="1" x14ac:dyDescent="0.2"/>
    <row r="47107" ht="9.9499999999999993" hidden="1" customHeight="1" x14ac:dyDescent="0.2"/>
    <row r="47108" ht="9.9499999999999993" hidden="1" customHeight="1" x14ac:dyDescent="0.2"/>
    <row r="47109" ht="9.9499999999999993" hidden="1" customHeight="1" x14ac:dyDescent="0.2"/>
    <row r="47110" ht="9.9499999999999993" hidden="1" customHeight="1" x14ac:dyDescent="0.2"/>
    <row r="47111" ht="9.9499999999999993" hidden="1" customHeight="1" x14ac:dyDescent="0.2"/>
    <row r="47112" ht="9.9499999999999993" hidden="1" customHeight="1" x14ac:dyDescent="0.2"/>
    <row r="47113" ht="9.9499999999999993" hidden="1" customHeight="1" x14ac:dyDescent="0.2"/>
    <row r="47114" ht="9.9499999999999993" hidden="1" customHeight="1" x14ac:dyDescent="0.2"/>
    <row r="47115" ht="9.9499999999999993" hidden="1" customHeight="1" x14ac:dyDescent="0.2"/>
    <row r="47116" ht="9.9499999999999993" hidden="1" customHeight="1" x14ac:dyDescent="0.2"/>
    <row r="47117" ht="9.9499999999999993" hidden="1" customHeight="1" x14ac:dyDescent="0.2"/>
    <row r="47118" ht="9.9499999999999993" hidden="1" customHeight="1" x14ac:dyDescent="0.2"/>
    <row r="47119" ht="9.9499999999999993" hidden="1" customHeight="1" x14ac:dyDescent="0.2"/>
    <row r="47120" ht="9.9499999999999993" hidden="1" customHeight="1" x14ac:dyDescent="0.2"/>
    <row r="47121" ht="9.9499999999999993" hidden="1" customHeight="1" x14ac:dyDescent="0.2"/>
    <row r="47122" ht="9.9499999999999993" hidden="1" customHeight="1" x14ac:dyDescent="0.2"/>
    <row r="47123" ht="9.9499999999999993" hidden="1" customHeight="1" x14ac:dyDescent="0.2"/>
    <row r="47124" ht="9.9499999999999993" hidden="1" customHeight="1" x14ac:dyDescent="0.2"/>
    <row r="47125" ht="9.9499999999999993" hidden="1" customHeight="1" x14ac:dyDescent="0.2"/>
    <row r="47126" ht="9.9499999999999993" hidden="1" customHeight="1" x14ac:dyDescent="0.2"/>
    <row r="47127" ht="9.9499999999999993" hidden="1" customHeight="1" x14ac:dyDescent="0.2"/>
    <row r="47128" ht="9.9499999999999993" hidden="1" customHeight="1" x14ac:dyDescent="0.2"/>
    <row r="47129" ht="9.9499999999999993" hidden="1" customHeight="1" x14ac:dyDescent="0.2"/>
    <row r="47130" ht="9.9499999999999993" hidden="1" customHeight="1" x14ac:dyDescent="0.2"/>
    <row r="47131" ht="9.9499999999999993" hidden="1" customHeight="1" x14ac:dyDescent="0.2"/>
    <row r="47132" ht="9.9499999999999993" hidden="1" customHeight="1" x14ac:dyDescent="0.2"/>
    <row r="47133" ht="9.9499999999999993" hidden="1" customHeight="1" x14ac:dyDescent="0.2"/>
    <row r="47134" ht="9.9499999999999993" hidden="1" customHeight="1" x14ac:dyDescent="0.2"/>
    <row r="47135" ht="9.9499999999999993" hidden="1" customHeight="1" x14ac:dyDescent="0.2"/>
    <row r="47136" ht="9.9499999999999993" hidden="1" customHeight="1" x14ac:dyDescent="0.2"/>
    <row r="47137" ht="9.9499999999999993" hidden="1" customHeight="1" x14ac:dyDescent="0.2"/>
    <row r="47138" ht="9.9499999999999993" hidden="1" customHeight="1" x14ac:dyDescent="0.2"/>
    <row r="47139" ht="9.9499999999999993" hidden="1" customHeight="1" x14ac:dyDescent="0.2"/>
    <row r="47140" ht="9.9499999999999993" hidden="1" customHeight="1" x14ac:dyDescent="0.2"/>
    <row r="47141" ht="9.9499999999999993" hidden="1" customHeight="1" x14ac:dyDescent="0.2"/>
    <row r="47142" ht="9.9499999999999993" hidden="1" customHeight="1" x14ac:dyDescent="0.2"/>
    <row r="47143" ht="9.9499999999999993" hidden="1" customHeight="1" x14ac:dyDescent="0.2"/>
    <row r="47144" ht="9.9499999999999993" hidden="1" customHeight="1" x14ac:dyDescent="0.2"/>
    <row r="47145" ht="9.9499999999999993" hidden="1" customHeight="1" x14ac:dyDescent="0.2"/>
    <row r="47146" ht="9.9499999999999993" hidden="1" customHeight="1" x14ac:dyDescent="0.2"/>
    <row r="47147" ht="9.9499999999999993" hidden="1" customHeight="1" x14ac:dyDescent="0.2"/>
    <row r="47148" ht="9.9499999999999993" hidden="1" customHeight="1" x14ac:dyDescent="0.2"/>
    <row r="47149" ht="9.9499999999999993" hidden="1" customHeight="1" x14ac:dyDescent="0.2"/>
    <row r="47150" ht="9.9499999999999993" hidden="1" customHeight="1" x14ac:dyDescent="0.2"/>
    <row r="47151" ht="9.9499999999999993" hidden="1" customHeight="1" x14ac:dyDescent="0.2"/>
    <row r="47152" ht="9.9499999999999993" hidden="1" customHeight="1" x14ac:dyDescent="0.2"/>
    <row r="47153" ht="9.9499999999999993" hidden="1" customHeight="1" x14ac:dyDescent="0.2"/>
    <row r="47154" ht="9.9499999999999993" hidden="1" customHeight="1" x14ac:dyDescent="0.2"/>
    <row r="47155" ht="9.9499999999999993" hidden="1" customHeight="1" x14ac:dyDescent="0.2"/>
    <row r="47156" ht="9.9499999999999993" hidden="1" customHeight="1" x14ac:dyDescent="0.2"/>
    <row r="47157" ht="9.9499999999999993" hidden="1" customHeight="1" x14ac:dyDescent="0.2"/>
    <row r="47158" ht="9.9499999999999993" hidden="1" customHeight="1" x14ac:dyDescent="0.2"/>
    <row r="47159" ht="9.9499999999999993" hidden="1" customHeight="1" x14ac:dyDescent="0.2"/>
    <row r="47160" ht="9.9499999999999993" hidden="1" customHeight="1" x14ac:dyDescent="0.2"/>
    <row r="47161" ht="9.9499999999999993" hidden="1" customHeight="1" x14ac:dyDescent="0.2"/>
    <row r="47162" ht="9.9499999999999993" hidden="1" customHeight="1" x14ac:dyDescent="0.2"/>
    <row r="47163" ht="9.9499999999999993" hidden="1" customHeight="1" x14ac:dyDescent="0.2"/>
    <row r="47164" ht="9.9499999999999993" hidden="1" customHeight="1" x14ac:dyDescent="0.2"/>
    <row r="47165" ht="9.9499999999999993" hidden="1" customHeight="1" x14ac:dyDescent="0.2"/>
    <row r="47166" ht="9.9499999999999993" hidden="1" customHeight="1" x14ac:dyDescent="0.2"/>
    <row r="47167" ht="9.9499999999999993" hidden="1" customHeight="1" x14ac:dyDescent="0.2"/>
    <row r="47168" ht="9.9499999999999993" hidden="1" customHeight="1" x14ac:dyDescent="0.2"/>
    <row r="47169" ht="9.9499999999999993" hidden="1" customHeight="1" x14ac:dyDescent="0.2"/>
    <row r="47170" ht="9.9499999999999993" hidden="1" customHeight="1" x14ac:dyDescent="0.2"/>
    <row r="47171" ht="9.9499999999999993" hidden="1" customHeight="1" x14ac:dyDescent="0.2"/>
    <row r="47172" ht="9.9499999999999993" hidden="1" customHeight="1" x14ac:dyDescent="0.2"/>
    <row r="47173" ht="9.9499999999999993" hidden="1" customHeight="1" x14ac:dyDescent="0.2"/>
    <row r="47174" ht="9.9499999999999993" hidden="1" customHeight="1" x14ac:dyDescent="0.2"/>
    <row r="47175" ht="9.9499999999999993" hidden="1" customHeight="1" x14ac:dyDescent="0.2"/>
    <row r="47176" ht="9.9499999999999993" hidden="1" customHeight="1" x14ac:dyDescent="0.2"/>
    <row r="47177" ht="9.9499999999999993" hidden="1" customHeight="1" x14ac:dyDescent="0.2"/>
    <row r="47178" ht="9.9499999999999993" hidden="1" customHeight="1" x14ac:dyDescent="0.2"/>
    <row r="47179" ht="9.9499999999999993" hidden="1" customHeight="1" x14ac:dyDescent="0.2"/>
    <row r="47180" ht="9.9499999999999993" hidden="1" customHeight="1" x14ac:dyDescent="0.2"/>
    <row r="47181" ht="9.9499999999999993" hidden="1" customHeight="1" x14ac:dyDescent="0.2"/>
    <row r="47182" ht="9.9499999999999993" hidden="1" customHeight="1" x14ac:dyDescent="0.2"/>
    <row r="47183" ht="9.9499999999999993" hidden="1" customHeight="1" x14ac:dyDescent="0.2"/>
    <row r="47184" ht="9.9499999999999993" hidden="1" customHeight="1" x14ac:dyDescent="0.2"/>
    <row r="47185" ht="9.9499999999999993" hidden="1" customHeight="1" x14ac:dyDescent="0.2"/>
    <row r="47186" ht="9.9499999999999993" hidden="1" customHeight="1" x14ac:dyDescent="0.2"/>
    <row r="47187" ht="9.9499999999999993" hidden="1" customHeight="1" x14ac:dyDescent="0.2"/>
    <row r="47188" ht="9.9499999999999993" hidden="1" customHeight="1" x14ac:dyDescent="0.2"/>
    <row r="47189" ht="9.9499999999999993" hidden="1" customHeight="1" x14ac:dyDescent="0.2"/>
    <row r="47190" ht="9.9499999999999993" hidden="1" customHeight="1" x14ac:dyDescent="0.2"/>
    <row r="47191" ht="9.9499999999999993" hidden="1" customHeight="1" x14ac:dyDescent="0.2"/>
    <row r="47192" ht="9.9499999999999993" hidden="1" customHeight="1" x14ac:dyDescent="0.2"/>
    <row r="47193" ht="9.9499999999999993" hidden="1" customHeight="1" x14ac:dyDescent="0.2"/>
    <row r="47194" ht="9.9499999999999993" hidden="1" customHeight="1" x14ac:dyDescent="0.2"/>
    <row r="47195" ht="9.9499999999999993" hidden="1" customHeight="1" x14ac:dyDescent="0.2"/>
    <row r="47196" ht="9.9499999999999993" hidden="1" customHeight="1" x14ac:dyDescent="0.2"/>
    <row r="47197" ht="9.9499999999999993" hidden="1" customHeight="1" x14ac:dyDescent="0.2"/>
    <row r="47198" ht="9.9499999999999993" hidden="1" customHeight="1" x14ac:dyDescent="0.2"/>
    <row r="47199" ht="9.9499999999999993" hidden="1" customHeight="1" x14ac:dyDescent="0.2"/>
    <row r="47200" ht="9.9499999999999993" hidden="1" customHeight="1" x14ac:dyDescent="0.2"/>
    <row r="47201" ht="9.9499999999999993" hidden="1" customHeight="1" x14ac:dyDescent="0.2"/>
    <row r="47202" ht="9.9499999999999993" hidden="1" customHeight="1" x14ac:dyDescent="0.2"/>
    <row r="47203" ht="9.9499999999999993" hidden="1" customHeight="1" x14ac:dyDescent="0.2"/>
    <row r="47204" ht="9.9499999999999993" hidden="1" customHeight="1" x14ac:dyDescent="0.2"/>
    <row r="47205" ht="9.9499999999999993" hidden="1" customHeight="1" x14ac:dyDescent="0.2"/>
    <row r="47206" ht="9.9499999999999993" hidden="1" customHeight="1" x14ac:dyDescent="0.2"/>
    <row r="47207" ht="9.9499999999999993" hidden="1" customHeight="1" x14ac:dyDescent="0.2"/>
    <row r="47208" ht="9.9499999999999993" hidden="1" customHeight="1" x14ac:dyDescent="0.2"/>
    <row r="47209" ht="9.9499999999999993" hidden="1" customHeight="1" x14ac:dyDescent="0.2"/>
    <row r="47210" ht="9.9499999999999993" hidden="1" customHeight="1" x14ac:dyDescent="0.2"/>
    <row r="47211" ht="9.9499999999999993" hidden="1" customHeight="1" x14ac:dyDescent="0.2"/>
    <row r="47212" ht="9.9499999999999993" hidden="1" customHeight="1" x14ac:dyDescent="0.2"/>
    <row r="47213" ht="9.9499999999999993" hidden="1" customHeight="1" x14ac:dyDescent="0.2"/>
    <row r="47214" ht="9.9499999999999993" hidden="1" customHeight="1" x14ac:dyDescent="0.2"/>
    <row r="47215" ht="9.9499999999999993" hidden="1" customHeight="1" x14ac:dyDescent="0.2"/>
    <row r="47216" ht="9.9499999999999993" hidden="1" customHeight="1" x14ac:dyDescent="0.2"/>
    <row r="47217" ht="9.9499999999999993" hidden="1" customHeight="1" x14ac:dyDescent="0.2"/>
    <row r="47218" ht="9.9499999999999993" hidden="1" customHeight="1" x14ac:dyDescent="0.2"/>
    <row r="47219" ht="9.9499999999999993" hidden="1" customHeight="1" x14ac:dyDescent="0.2"/>
    <row r="47220" ht="9.9499999999999993" hidden="1" customHeight="1" x14ac:dyDescent="0.2"/>
    <row r="47221" ht="9.9499999999999993" hidden="1" customHeight="1" x14ac:dyDescent="0.2"/>
    <row r="47222" ht="9.9499999999999993" hidden="1" customHeight="1" x14ac:dyDescent="0.2"/>
    <row r="47223" ht="9.9499999999999993" hidden="1" customHeight="1" x14ac:dyDescent="0.2"/>
    <row r="47224" ht="9.9499999999999993" hidden="1" customHeight="1" x14ac:dyDescent="0.2"/>
    <row r="47225" ht="9.9499999999999993" hidden="1" customHeight="1" x14ac:dyDescent="0.2"/>
    <row r="47226" ht="9.9499999999999993" hidden="1" customHeight="1" x14ac:dyDescent="0.2"/>
    <row r="47227" ht="9.9499999999999993" hidden="1" customHeight="1" x14ac:dyDescent="0.2"/>
    <row r="47228" ht="9.9499999999999993" hidden="1" customHeight="1" x14ac:dyDescent="0.2"/>
    <row r="47229" ht="9.9499999999999993" hidden="1" customHeight="1" x14ac:dyDescent="0.2"/>
    <row r="47230" ht="9.9499999999999993" hidden="1" customHeight="1" x14ac:dyDescent="0.2"/>
    <row r="47231" ht="9.9499999999999993" hidden="1" customHeight="1" x14ac:dyDescent="0.2"/>
    <row r="47232" ht="9.9499999999999993" hidden="1" customHeight="1" x14ac:dyDescent="0.2"/>
    <row r="47233" ht="9.9499999999999993" hidden="1" customHeight="1" x14ac:dyDescent="0.2"/>
    <row r="47234" ht="9.9499999999999993" hidden="1" customHeight="1" x14ac:dyDescent="0.2"/>
    <row r="47235" ht="9.9499999999999993" hidden="1" customHeight="1" x14ac:dyDescent="0.2"/>
    <row r="47236" ht="9.9499999999999993" hidden="1" customHeight="1" x14ac:dyDescent="0.2"/>
    <row r="47237" ht="9.9499999999999993" hidden="1" customHeight="1" x14ac:dyDescent="0.2"/>
    <row r="47238" ht="9.9499999999999993" hidden="1" customHeight="1" x14ac:dyDescent="0.2"/>
    <row r="47239" ht="9.9499999999999993" hidden="1" customHeight="1" x14ac:dyDescent="0.2"/>
    <row r="47240" ht="9.9499999999999993" hidden="1" customHeight="1" x14ac:dyDescent="0.2"/>
    <row r="47241" ht="9.9499999999999993" hidden="1" customHeight="1" x14ac:dyDescent="0.2"/>
    <row r="47242" ht="9.9499999999999993" hidden="1" customHeight="1" x14ac:dyDescent="0.2"/>
    <row r="47243" ht="9.9499999999999993" hidden="1" customHeight="1" x14ac:dyDescent="0.2"/>
    <row r="47244" ht="9.9499999999999993" hidden="1" customHeight="1" x14ac:dyDescent="0.2"/>
    <row r="47245" ht="9.9499999999999993" hidden="1" customHeight="1" x14ac:dyDescent="0.2"/>
    <row r="47246" ht="9.9499999999999993" hidden="1" customHeight="1" x14ac:dyDescent="0.2"/>
    <row r="47247" ht="9.9499999999999993" hidden="1" customHeight="1" x14ac:dyDescent="0.2"/>
    <row r="47248" ht="9.9499999999999993" hidden="1" customHeight="1" x14ac:dyDescent="0.2"/>
    <row r="47249" ht="9.9499999999999993" hidden="1" customHeight="1" x14ac:dyDescent="0.2"/>
    <row r="47250" ht="9.9499999999999993" hidden="1" customHeight="1" x14ac:dyDescent="0.2"/>
    <row r="47251" ht="9.9499999999999993" hidden="1" customHeight="1" x14ac:dyDescent="0.2"/>
    <row r="47252" ht="9.9499999999999993" hidden="1" customHeight="1" x14ac:dyDescent="0.2"/>
    <row r="47253" ht="9.9499999999999993" hidden="1" customHeight="1" x14ac:dyDescent="0.2"/>
    <row r="47254" ht="9.9499999999999993" hidden="1" customHeight="1" x14ac:dyDescent="0.2"/>
    <row r="47255" ht="9.9499999999999993" hidden="1" customHeight="1" x14ac:dyDescent="0.2"/>
    <row r="47256" ht="9.9499999999999993" hidden="1" customHeight="1" x14ac:dyDescent="0.2"/>
    <row r="47257" ht="9.9499999999999993" hidden="1" customHeight="1" x14ac:dyDescent="0.2"/>
    <row r="47258" ht="9.9499999999999993" hidden="1" customHeight="1" x14ac:dyDescent="0.2"/>
    <row r="47259" ht="9.9499999999999993" hidden="1" customHeight="1" x14ac:dyDescent="0.2"/>
    <row r="47260" ht="9.9499999999999993" hidden="1" customHeight="1" x14ac:dyDescent="0.2"/>
    <row r="47261" ht="9.9499999999999993" hidden="1" customHeight="1" x14ac:dyDescent="0.2"/>
    <row r="47262" ht="9.9499999999999993" hidden="1" customHeight="1" x14ac:dyDescent="0.2"/>
    <row r="47263" ht="9.9499999999999993" hidden="1" customHeight="1" x14ac:dyDescent="0.2"/>
    <row r="47264" ht="9.9499999999999993" hidden="1" customHeight="1" x14ac:dyDescent="0.2"/>
    <row r="47265" ht="9.9499999999999993" hidden="1" customHeight="1" x14ac:dyDescent="0.2"/>
    <row r="47266" ht="9.9499999999999993" hidden="1" customHeight="1" x14ac:dyDescent="0.2"/>
    <row r="47267" ht="9.9499999999999993" hidden="1" customHeight="1" x14ac:dyDescent="0.2"/>
    <row r="47268" ht="9.9499999999999993" hidden="1" customHeight="1" x14ac:dyDescent="0.2"/>
    <row r="47269" ht="9.9499999999999993" hidden="1" customHeight="1" x14ac:dyDescent="0.2"/>
    <row r="47270" ht="9.9499999999999993" hidden="1" customHeight="1" x14ac:dyDescent="0.2"/>
    <row r="47271" ht="9.9499999999999993" hidden="1" customHeight="1" x14ac:dyDescent="0.2"/>
    <row r="47272" ht="9.9499999999999993" hidden="1" customHeight="1" x14ac:dyDescent="0.2"/>
    <row r="47273" ht="9.9499999999999993" hidden="1" customHeight="1" x14ac:dyDescent="0.2"/>
    <row r="47274" ht="9.9499999999999993" hidden="1" customHeight="1" x14ac:dyDescent="0.2"/>
    <row r="47275" ht="9.9499999999999993" hidden="1" customHeight="1" x14ac:dyDescent="0.2"/>
    <row r="47276" ht="9.9499999999999993" hidden="1" customHeight="1" x14ac:dyDescent="0.2"/>
    <row r="47277" ht="9.9499999999999993" hidden="1" customHeight="1" x14ac:dyDescent="0.2"/>
    <row r="47278" ht="9.9499999999999993" hidden="1" customHeight="1" x14ac:dyDescent="0.2"/>
    <row r="47279" ht="9.9499999999999993" hidden="1" customHeight="1" x14ac:dyDescent="0.2"/>
    <row r="47280" ht="9.9499999999999993" hidden="1" customHeight="1" x14ac:dyDescent="0.2"/>
    <row r="47281" ht="9.9499999999999993" hidden="1" customHeight="1" x14ac:dyDescent="0.2"/>
    <row r="47282" ht="9.9499999999999993" hidden="1" customHeight="1" x14ac:dyDescent="0.2"/>
    <row r="47283" ht="9.9499999999999993" hidden="1" customHeight="1" x14ac:dyDescent="0.2"/>
    <row r="47284" ht="9.9499999999999993" hidden="1" customHeight="1" x14ac:dyDescent="0.2"/>
    <row r="47285" ht="9.9499999999999993" hidden="1" customHeight="1" x14ac:dyDescent="0.2"/>
    <row r="47286" ht="9.9499999999999993" hidden="1" customHeight="1" x14ac:dyDescent="0.2"/>
    <row r="47287" ht="9.9499999999999993" hidden="1" customHeight="1" x14ac:dyDescent="0.2"/>
    <row r="47288" ht="9.9499999999999993" hidden="1" customHeight="1" x14ac:dyDescent="0.2"/>
    <row r="47289" ht="9.9499999999999993" hidden="1" customHeight="1" x14ac:dyDescent="0.2"/>
    <row r="47290" ht="9.9499999999999993" hidden="1" customHeight="1" x14ac:dyDescent="0.2"/>
    <row r="47291" ht="9.9499999999999993" hidden="1" customHeight="1" x14ac:dyDescent="0.2"/>
    <row r="47292" ht="9.9499999999999993" hidden="1" customHeight="1" x14ac:dyDescent="0.2"/>
    <row r="47293" ht="9.9499999999999993" hidden="1" customHeight="1" x14ac:dyDescent="0.2"/>
    <row r="47294" ht="9.9499999999999993" hidden="1" customHeight="1" x14ac:dyDescent="0.2"/>
    <row r="47295" ht="9.9499999999999993" hidden="1" customHeight="1" x14ac:dyDescent="0.2"/>
    <row r="47296" ht="9.9499999999999993" hidden="1" customHeight="1" x14ac:dyDescent="0.2"/>
    <row r="47297" ht="9.9499999999999993" hidden="1" customHeight="1" x14ac:dyDescent="0.2"/>
    <row r="47298" ht="9.9499999999999993" hidden="1" customHeight="1" x14ac:dyDescent="0.2"/>
    <row r="47299" ht="9.9499999999999993" hidden="1" customHeight="1" x14ac:dyDescent="0.2"/>
    <row r="47300" ht="9.9499999999999993" hidden="1" customHeight="1" x14ac:dyDescent="0.2"/>
    <row r="47301" ht="9.9499999999999993" hidden="1" customHeight="1" x14ac:dyDescent="0.2"/>
    <row r="47302" ht="9.9499999999999993" hidden="1" customHeight="1" x14ac:dyDescent="0.2"/>
    <row r="47303" ht="9.9499999999999993" hidden="1" customHeight="1" x14ac:dyDescent="0.2"/>
    <row r="47304" ht="9.9499999999999993" hidden="1" customHeight="1" x14ac:dyDescent="0.2"/>
    <row r="47305" ht="9.9499999999999993" hidden="1" customHeight="1" x14ac:dyDescent="0.2"/>
    <row r="47306" ht="9.9499999999999993" hidden="1" customHeight="1" x14ac:dyDescent="0.2"/>
    <row r="47307" ht="9.9499999999999993" hidden="1" customHeight="1" x14ac:dyDescent="0.2"/>
    <row r="47308" ht="9.9499999999999993" hidden="1" customHeight="1" x14ac:dyDescent="0.2"/>
    <row r="47309" ht="9.9499999999999993" hidden="1" customHeight="1" x14ac:dyDescent="0.2"/>
    <row r="47310" ht="9.9499999999999993" hidden="1" customHeight="1" x14ac:dyDescent="0.2"/>
    <row r="47311" ht="9.9499999999999993" hidden="1" customHeight="1" x14ac:dyDescent="0.2"/>
    <row r="47312" ht="9.9499999999999993" hidden="1" customHeight="1" x14ac:dyDescent="0.2"/>
    <row r="47313" ht="9.9499999999999993" hidden="1" customHeight="1" x14ac:dyDescent="0.2"/>
    <row r="47314" ht="9.9499999999999993" hidden="1" customHeight="1" x14ac:dyDescent="0.2"/>
    <row r="47315" ht="9.9499999999999993" hidden="1" customHeight="1" x14ac:dyDescent="0.2"/>
    <row r="47316" ht="9.9499999999999993" hidden="1" customHeight="1" x14ac:dyDescent="0.2"/>
    <row r="47317" ht="9.9499999999999993" hidden="1" customHeight="1" x14ac:dyDescent="0.2"/>
    <row r="47318" ht="9.9499999999999993" hidden="1" customHeight="1" x14ac:dyDescent="0.2"/>
    <row r="47319" ht="9.9499999999999993" hidden="1" customHeight="1" x14ac:dyDescent="0.2"/>
    <row r="47320" ht="9.9499999999999993" hidden="1" customHeight="1" x14ac:dyDescent="0.2"/>
    <row r="47321" ht="9.9499999999999993" hidden="1" customHeight="1" x14ac:dyDescent="0.2"/>
    <row r="47322" ht="9.9499999999999993" hidden="1" customHeight="1" x14ac:dyDescent="0.2"/>
    <row r="47323" ht="9.9499999999999993" hidden="1" customHeight="1" x14ac:dyDescent="0.2"/>
    <row r="47324" ht="9.9499999999999993" hidden="1" customHeight="1" x14ac:dyDescent="0.2"/>
    <row r="47325" ht="9.9499999999999993" hidden="1" customHeight="1" x14ac:dyDescent="0.2"/>
    <row r="47326" ht="9.9499999999999993" hidden="1" customHeight="1" x14ac:dyDescent="0.2"/>
    <row r="47327" ht="9.9499999999999993" hidden="1" customHeight="1" x14ac:dyDescent="0.2"/>
    <row r="47328" ht="9.9499999999999993" hidden="1" customHeight="1" x14ac:dyDescent="0.2"/>
    <row r="47329" ht="9.9499999999999993" hidden="1" customHeight="1" x14ac:dyDescent="0.2"/>
    <row r="47330" ht="9.9499999999999993" hidden="1" customHeight="1" x14ac:dyDescent="0.2"/>
    <row r="47331" ht="9.9499999999999993" hidden="1" customHeight="1" x14ac:dyDescent="0.2"/>
    <row r="47332" ht="9.9499999999999993" hidden="1" customHeight="1" x14ac:dyDescent="0.2"/>
    <row r="47333" ht="9.9499999999999993" hidden="1" customHeight="1" x14ac:dyDescent="0.2"/>
    <row r="47334" ht="9.9499999999999993" hidden="1" customHeight="1" x14ac:dyDescent="0.2"/>
    <row r="47335" ht="9.9499999999999993" hidden="1" customHeight="1" x14ac:dyDescent="0.2"/>
    <row r="47336" ht="9.9499999999999993" hidden="1" customHeight="1" x14ac:dyDescent="0.2"/>
    <row r="47337" ht="9.9499999999999993" hidden="1" customHeight="1" x14ac:dyDescent="0.2"/>
    <row r="47338" ht="9.9499999999999993" hidden="1" customHeight="1" x14ac:dyDescent="0.2"/>
    <row r="47339" ht="9.9499999999999993" hidden="1" customHeight="1" x14ac:dyDescent="0.2"/>
    <row r="47340" ht="9.9499999999999993" hidden="1" customHeight="1" x14ac:dyDescent="0.2"/>
    <row r="47341" ht="9.9499999999999993" hidden="1" customHeight="1" x14ac:dyDescent="0.2"/>
    <row r="47342" ht="9.9499999999999993" hidden="1" customHeight="1" x14ac:dyDescent="0.2"/>
    <row r="47343" ht="9.9499999999999993" hidden="1" customHeight="1" x14ac:dyDescent="0.2"/>
    <row r="47344" ht="9.9499999999999993" hidden="1" customHeight="1" x14ac:dyDescent="0.2"/>
    <row r="47345" ht="9.9499999999999993" hidden="1" customHeight="1" x14ac:dyDescent="0.2"/>
    <row r="47346" ht="9.9499999999999993" hidden="1" customHeight="1" x14ac:dyDescent="0.2"/>
    <row r="47347" ht="9.9499999999999993" hidden="1" customHeight="1" x14ac:dyDescent="0.2"/>
    <row r="47348" ht="9.9499999999999993" hidden="1" customHeight="1" x14ac:dyDescent="0.2"/>
    <row r="47349" ht="9.9499999999999993" hidden="1" customHeight="1" x14ac:dyDescent="0.2"/>
    <row r="47350" ht="9.9499999999999993" hidden="1" customHeight="1" x14ac:dyDescent="0.2"/>
    <row r="47351" ht="9.9499999999999993" hidden="1" customHeight="1" x14ac:dyDescent="0.2"/>
    <row r="47352" ht="9.9499999999999993" hidden="1" customHeight="1" x14ac:dyDescent="0.2"/>
    <row r="47353" ht="9.9499999999999993" hidden="1" customHeight="1" x14ac:dyDescent="0.2"/>
    <row r="47354" ht="9.9499999999999993" hidden="1" customHeight="1" x14ac:dyDescent="0.2"/>
    <row r="47355" ht="9.9499999999999993" hidden="1" customHeight="1" x14ac:dyDescent="0.2"/>
    <row r="47356" ht="9.9499999999999993" hidden="1" customHeight="1" x14ac:dyDescent="0.2"/>
    <row r="47357" ht="9.9499999999999993" hidden="1" customHeight="1" x14ac:dyDescent="0.2"/>
    <row r="47358" ht="9.9499999999999993" hidden="1" customHeight="1" x14ac:dyDescent="0.2"/>
    <row r="47359" ht="9.9499999999999993" hidden="1" customHeight="1" x14ac:dyDescent="0.2"/>
    <row r="47360" ht="9.9499999999999993" hidden="1" customHeight="1" x14ac:dyDescent="0.2"/>
    <row r="47361" ht="9.9499999999999993" hidden="1" customHeight="1" x14ac:dyDescent="0.2"/>
    <row r="47362" ht="9.9499999999999993" hidden="1" customHeight="1" x14ac:dyDescent="0.2"/>
    <row r="47363" ht="9.9499999999999993" hidden="1" customHeight="1" x14ac:dyDescent="0.2"/>
    <row r="47364" ht="9.9499999999999993" hidden="1" customHeight="1" x14ac:dyDescent="0.2"/>
    <row r="47365" ht="9.9499999999999993" hidden="1" customHeight="1" x14ac:dyDescent="0.2"/>
    <row r="47366" ht="9.9499999999999993" hidden="1" customHeight="1" x14ac:dyDescent="0.2"/>
    <row r="47367" ht="9.9499999999999993" hidden="1" customHeight="1" x14ac:dyDescent="0.2"/>
    <row r="47368" ht="9.9499999999999993" hidden="1" customHeight="1" x14ac:dyDescent="0.2"/>
    <row r="47369" ht="9.9499999999999993" hidden="1" customHeight="1" x14ac:dyDescent="0.2"/>
    <row r="47370" ht="9.9499999999999993" hidden="1" customHeight="1" x14ac:dyDescent="0.2"/>
    <row r="47371" ht="9.9499999999999993" hidden="1" customHeight="1" x14ac:dyDescent="0.2"/>
    <row r="47372" ht="9.9499999999999993" hidden="1" customHeight="1" x14ac:dyDescent="0.2"/>
    <row r="47373" ht="9.9499999999999993" hidden="1" customHeight="1" x14ac:dyDescent="0.2"/>
    <row r="47374" ht="9.9499999999999993" hidden="1" customHeight="1" x14ac:dyDescent="0.2"/>
    <row r="47375" ht="9.9499999999999993" hidden="1" customHeight="1" x14ac:dyDescent="0.2"/>
    <row r="47376" ht="9.9499999999999993" hidden="1" customHeight="1" x14ac:dyDescent="0.2"/>
    <row r="47377" ht="9.9499999999999993" hidden="1" customHeight="1" x14ac:dyDescent="0.2"/>
    <row r="47378" ht="9.9499999999999993" hidden="1" customHeight="1" x14ac:dyDescent="0.2"/>
    <row r="47379" ht="9.9499999999999993" hidden="1" customHeight="1" x14ac:dyDescent="0.2"/>
    <row r="47380" ht="9.9499999999999993" hidden="1" customHeight="1" x14ac:dyDescent="0.2"/>
    <row r="47381" ht="9.9499999999999993" hidden="1" customHeight="1" x14ac:dyDescent="0.2"/>
    <row r="47382" ht="9.9499999999999993" hidden="1" customHeight="1" x14ac:dyDescent="0.2"/>
    <row r="47383" ht="9.9499999999999993" hidden="1" customHeight="1" x14ac:dyDescent="0.2"/>
    <row r="47384" ht="9.9499999999999993" hidden="1" customHeight="1" x14ac:dyDescent="0.2"/>
    <row r="47385" ht="9.9499999999999993" hidden="1" customHeight="1" x14ac:dyDescent="0.2"/>
    <row r="47386" ht="9.9499999999999993" hidden="1" customHeight="1" x14ac:dyDescent="0.2"/>
    <row r="47387" ht="9.9499999999999993" hidden="1" customHeight="1" x14ac:dyDescent="0.2"/>
    <row r="47388" ht="9.9499999999999993" hidden="1" customHeight="1" x14ac:dyDescent="0.2"/>
    <row r="47389" ht="9.9499999999999993" hidden="1" customHeight="1" x14ac:dyDescent="0.2"/>
    <row r="47390" ht="9.9499999999999993" hidden="1" customHeight="1" x14ac:dyDescent="0.2"/>
    <row r="47391" ht="9.9499999999999993" hidden="1" customHeight="1" x14ac:dyDescent="0.2"/>
    <row r="47392" ht="9.9499999999999993" hidden="1" customHeight="1" x14ac:dyDescent="0.2"/>
    <row r="47393" ht="9.9499999999999993" hidden="1" customHeight="1" x14ac:dyDescent="0.2"/>
    <row r="47394" ht="9.9499999999999993" hidden="1" customHeight="1" x14ac:dyDescent="0.2"/>
    <row r="47395" ht="9.9499999999999993" hidden="1" customHeight="1" x14ac:dyDescent="0.2"/>
    <row r="47396" ht="9.9499999999999993" hidden="1" customHeight="1" x14ac:dyDescent="0.2"/>
    <row r="47397" ht="9.9499999999999993" hidden="1" customHeight="1" x14ac:dyDescent="0.2"/>
    <row r="47398" ht="9.9499999999999993" hidden="1" customHeight="1" x14ac:dyDescent="0.2"/>
    <row r="47399" ht="9.9499999999999993" hidden="1" customHeight="1" x14ac:dyDescent="0.2"/>
    <row r="47400" ht="9.9499999999999993" hidden="1" customHeight="1" x14ac:dyDescent="0.2"/>
    <row r="47401" ht="9.9499999999999993" hidden="1" customHeight="1" x14ac:dyDescent="0.2"/>
    <row r="47402" ht="9.9499999999999993" hidden="1" customHeight="1" x14ac:dyDescent="0.2"/>
    <row r="47403" ht="9.9499999999999993" hidden="1" customHeight="1" x14ac:dyDescent="0.2"/>
    <row r="47404" ht="9.9499999999999993" hidden="1" customHeight="1" x14ac:dyDescent="0.2"/>
    <row r="47405" ht="9.9499999999999993" hidden="1" customHeight="1" x14ac:dyDescent="0.2"/>
    <row r="47406" ht="9.9499999999999993" hidden="1" customHeight="1" x14ac:dyDescent="0.2"/>
    <row r="47407" ht="9.9499999999999993" hidden="1" customHeight="1" x14ac:dyDescent="0.2"/>
    <row r="47408" ht="9.9499999999999993" hidden="1" customHeight="1" x14ac:dyDescent="0.2"/>
    <row r="47409" ht="9.9499999999999993" hidden="1" customHeight="1" x14ac:dyDescent="0.2"/>
    <row r="47410" ht="9.9499999999999993" hidden="1" customHeight="1" x14ac:dyDescent="0.2"/>
    <row r="47411" ht="9.9499999999999993" hidden="1" customHeight="1" x14ac:dyDescent="0.2"/>
    <row r="47412" ht="9.9499999999999993" hidden="1" customHeight="1" x14ac:dyDescent="0.2"/>
    <row r="47413" ht="9.9499999999999993" hidden="1" customHeight="1" x14ac:dyDescent="0.2"/>
    <row r="47414" ht="9.9499999999999993" hidden="1" customHeight="1" x14ac:dyDescent="0.2"/>
    <row r="47415" ht="9.9499999999999993" hidden="1" customHeight="1" x14ac:dyDescent="0.2"/>
    <row r="47416" ht="9.9499999999999993" hidden="1" customHeight="1" x14ac:dyDescent="0.2"/>
    <row r="47417" ht="9.9499999999999993" hidden="1" customHeight="1" x14ac:dyDescent="0.2"/>
    <row r="47418" ht="9.9499999999999993" hidden="1" customHeight="1" x14ac:dyDescent="0.2"/>
    <row r="47419" ht="9.9499999999999993" hidden="1" customHeight="1" x14ac:dyDescent="0.2"/>
    <row r="47420" ht="9.9499999999999993" hidden="1" customHeight="1" x14ac:dyDescent="0.2"/>
    <row r="47421" ht="9.9499999999999993" hidden="1" customHeight="1" x14ac:dyDescent="0.2"/>
    <row r="47422" ht="9.9499999999999993" hidden="1" customHeight="1" x14ac:dyDescent="0.2"/>
    <row r="47423" ht="9.9499999999999993" hidden="1" customHeight="1" x14ac:dyDescent="0.2"/>
    <row r="47424" ht="9.9499999999999993" hidden="1" customHeight="1" x14ac:dyDescent="0.2"/>
    <row r="47425" ht="9.9499999999999993" hidden="1" customHeight="1" x14ac:dyDescent="0.2"/>
    <row r="47426" ht="9.9499999999999993" hidden="1" customHeight="1" x14ac:dyDescent="0.2"/>
    <row r="47427" ht="9.9499999999999993" hidden="1" customHeight="1" x14ac:dyDescent="0.2"/>
    <row r="47428" ht="9.9499999999999993" hidden="1" customHeight="1" x14ac:dyDescent="0.2"/>
    <row r="47429" ht="9.9499999999999993" hidden="1" customHeight="1" x14ac:dyDescent="0.2"/>
    <row r="47430" ht="9.9499999999999993" hidden="1" customHeight="1" x14ac:dyDescent="0.2"/>
    <row r="47431" ht="9.9499999999999993" hidden="1" customHeight="1" x14ac:dyDescent="0.2"/>
    <row r="47432" ht="9.9499999999999993" hidden="1" customHeight="1" x14ac:dyDescent="0.2"/>
    <row r="47433" ht="9.9499999999999993" hidden="1" customHeight="1" x14ac:dyDescent="0.2"/>
    <row r="47434" ht="9.9499999999999993" hidden="1" customHeight="1" x14ac:dyDescent="0.2"/>
    <row r="47435" ht="9.9499999999999993" hidden="1" customHeight="1" x14ac:dyDescent="0.2"/>
    <row r="47436" ht="9.9499999999999993" hidden="1" customHeight="1" x14ac:dyDescent="0.2"/>
    <row r="47437" ht="9.9499999999999993" hidden="1" customHeight="1" x14ac:dyDescent="0.2"/>
    <row r="47438" ht="9.9499999999999993" hidden="1" customHeight="1" x14ac:dyDescent="0.2"/>
    <row r="47439" ht="9.9499999999999993" hidden="1" customHeight="1" x14ac:dyDescent="0.2"/>
    <row r="47440" ht="9.9499999999999993" hidden="1" customHeight="1" x14ac:dyDescent="0.2"/>
    <row r="47441" ht="9.9499999999999993" hidden="1" customHeight="1" x14ac:dyDescent="0.2"/>
    <row r="47442" ht="9.9499999999999993" hidden="1" customHeight="1" x14ac:dyDescent="0.2"/>
    <row r="47443" ht="9.9499999999999993" hidden="1" customHeight="1" x14ac:dyDescent="0.2"/>
    <row r="47444" ht="9.9499999999999993" hidden="1" customHeight="1" x14ac:dyDescent="0.2"/>
    <row r="47445" ht="9.9499999999999993" hidden="1" customHeight="1" x14ac:dyDescent="0.2"/>
    <row r="47446" ht="9.9499999999999993" hidden="1" customHeight="1" x14ac:dyDescent="0.2"/>
    <row r="47447" ht="9.9499999999999993" hidden="1" customHeight="1" x14ac:dyDescent="0.2"/>
    <row r="47448" ht="9.9499999999999993" hidden="1" customHeight="1" x14ac:dyDescent="0.2"/>
    <row r="47449" ht="9.9499999999999993" hidden="1" customHeight="1" x14ac:dyDescent="0.2"/>
    <row r="47450" ht="9.9499999999999993" hidden="1" customHeight="1" x14ac:dyDescent="0.2"/>
    <row r="47451" ht="9.9499999999999993" hidden="1" customHeight="1" x14ac:dyDescent="0.2"/>
    <row r="47452" ht="9.9499999999999993" hidden="1" customHeight="1" x14ac:dyDescent="0.2"/>
    <row r="47453" ht="9.9499999999999993" hidden="1" customHeight="1" x14ac:dyDescent="0.2"/>
    <row r="47454" ht="9.9499999999999993" hidden="1" customHeight="1" x14ac:dyDescent="0.2"/>
    <row r="47455" ht="9.9499999999999993" hidden="1" customHeight="1" x14ac:dyDescent="0.2"/>
    <row r="47456" ht="9.9499999999999993" hidden="1" customHeight="1" x14ac:dyDescent="0.2"/>
    <row r="47457" ht="9.9499999999999993" hidden="1" customHeight="1" x14ac:dyDescent="0.2"/>
    <row r="47458" ht="9.9499999999999993" hidden="1" customHeight="1" x14ac:dyDescent="0.2"/>
    <row r="47459" ht="9.9499999999999993" hidden="1" customHeight="1" x14ac:dyDescent="0.2"/>
    <row r="47460" ht="9.9499999999999993" hidden="1" customHeight="1" x14ac:dyDescent="0.2"/>
    <row r="47461" ht="9.9499999999999993" hidden="1" customHeight="1" x14ac:dyDescent="0.2"/>
    <row r="47462" ht="9.9499999999999993" hidden="1" customHeight="1" x14ac:dyDescent="0.2"/>
    <row r="47463" ht="9.9499999999999993" hidden="1" customHeight="1" x14ac:dyDescent="0.2"/>
    <row r="47464" ht="9.9499999999999993" hidden="1" customHeight="1" x14ac:dyDescent="0.2"/>
    <row r="47465" ht="9.9499999999999993" hidden="1" customHeight="1" x14ac:dyDescent="0.2"/>
    <row r="47466" ht="9.9499999999999993" hidden="1" customHeight="1" x14ac:dyDescent="0.2"/>
    <row r="47467" ht="9.9499999999999993" hidden="1" customHeight="1" x14ac:dyDescent="0.2"/>
    <row r="47468" ht="9.9499999999999993" hidden="1" customHeight="1" x14ac:dyDescent="0.2"/>
    <row r="47469" ht="9.9499999999999993" hidden="1" customHeight="1" x14ac:dyDescent="0.2"/>
    <row r="47470" ht="9.9499999999999993" hidden="1" customHeight="1" x14ac:dyDescent="0.2"/>
    <row r="47471" ht="9.9499999999999993" hidden="1" customHeight="1" x14ac:dyDescent="0.2"/>
    <row r="47472" ht="9.9499999999999993" hidden="1" customHeight="1" x14ac:dyDescent="0.2"/>
    <row r="47473" ht="9.9499999999999993" hidden="1" customHeight="1" x14ac:dyDescent="0.2"/>
    <row r="47474" ht="9.9499999999999993" hidden="1" customHeight="1" x14ac:dyDescent="0.2"/>
    <row r="47475" ht="9.9499999999999993" hidden="1" customHeight="1" x14ac:dyDescent="0.2"/>
    <row r="47476" ht="9.9499999999999993" hidden="1" customHeight="1" x14ac:dyDescent="0.2"/>
    <row r="47477" ht="9.9499999999999993" hidden="1" customHeight="1" x14ac:dyDescent="0.2"/>
    <row r="47478" ht="9.9499999999999993" hidden="1" customHeight="1" x14ac:dyDescent="0.2"/>
    <row r="47479" ht="9.9499999999999993" hidden="1" customHeight="1" x14ac:dyDescent="0.2"/>
    <row r="47480" ht="9.9499999999999993" hidden="1" customHeight="1" x14ac:dyDescent="0.2"/>
    <row r="47481" ht="9.9499999999999993" hidden="1" customHeight="1" x14ac:dyDescent="0.2"/>
    <row r="47482" ht="9.9499999999999993" hidden="1" customHeight="1" x14ac:dyDescent="0.2"/>
    <row r="47483" ht="9.9499999999999993" hidden="1" customHeight="1" x14ac:dyDescent="0.2"/>
    <row r="47484" ht="9.9499999999999993" hidden="1" customHeight="1" x14ac:dyDescent="0.2"/>
    <row r="47485" ht="9.9499999999999993" hidden="1" customHeight="1" x14ac:dyDescent="0.2"/>
    <row r="47486" ht="9.9499999999999993" hidden="1" customHeight="1" x14ac:dyDescent="0.2"/>
    <row r="47487" ht="9.9499999999999993" hidden="1" customHeight="1" x14ac:dyDescent="0.2"/>
    <row r="47488" ht="9.9499999999999993" hidden="1" customHeight="1" x14ac:dyDescent="0.2"/>
    <row r="47489" ht="9.9499999999999993" hidden="1" customHeight="1" x14ac:dyDescent="0.2"/>
    <row r="47490" ht="9.9499999999999993" hidden="1" customHeight="1" x14ac:dyDescent="0.2"/>
    <row r="47491" ht="9.9499999999999993" hidden="1" customHeight="1" x14ac:dyDescent="0.2"/>
    <row r="47492" ht="9.9499999999999993" hidden="1" customHeight="1" x14ac:dyDescent="0.2"/>
    <row r="47493" ht="9.9499999999999993" hidden="1" customHeight="1" x14ac:dyDescent="0.2"/>
    <row r="47494" ht="9.9499999999999993" hidden="1" customHeight="1" x14ac:dyDescent="0.2"/>
    <row r="47495" ht="9.9499999999999993" hidden="1" customHeight="1" x14ac:dyDescent="0.2"/>
    <row r="47496" ht="9.9499999999999993" hidden="1" customHeight="1" x14ac:dyDescent="0.2"/>
    <row r="47497" ht="9.9499999999999993" hidden="1" customHeight="1" x14ac:dyDescent="0.2"/>
    <row r="47498" ht="9.9499999999999993" hidden="1" customHeight="1" x14ac:dyDescent="0.2"/>
    <row r="47499" ht="9.9499999999999993" hidden="1" customHeight="1" x14ac:dyDescent="0.2"/>
    <row r="47500" ht="9.9499999999999993" hidden="1" customHeight="1" x14ac:dyDescent="0.2"/>
    <row r="47501" ht="9.9499999999999993" hidden="1" customHeight="1" x14ac:dyDescent="0.2"/>
    <row r="47502" ht="9.9499999999999993" hidden="1" customHeight="1" x14ac:dyDescent="0.2"/>
    <row r="47503" ht="9.9499999999999993" hidden="1" customHeight="1" x14ac:dyDescent="0.2"/>
    <row r="47504" ht="9.9499999999999993" hidden="1" customHeight="1" x14ac:dyDescent="0.2"/>
    <row r="47505" ht="9.9499999999999993" hidden="1" customHeight="1" x14ac:dyDescent="0.2"/>
    <row r="47506" ht="9.9499999999999993" hidden="1" customHeight="1" x14ac:dyDescent="0.2"/>
    <row r="47507" ht="9.9499999999999993" hidden="1" customHeight="1" x14ac:dyDescent="0.2"/>
    <row r="47508" ht="9.9499999999999993" hidden="1" customHeight="1" x14ac:dyDescent="0.2"/>
    <row r="47509" ht="9.9499999999999993" hidden="1" customHeight="1" x14ac:dyDescent="0.2"/>
    <row r="47510" ht="9.9499999999999993" hidden="1" customHeight="1" x14ac:dyDescent="0.2"/>
    <row r="47511" ht="9.9499999999999993" hidden="1" customHeight="1" x14ac:dyDescent="0.2"/>
    <row r="47512" ht="9.9499999999999993" hidden="1" customHeight="1" x14ac:dyDescent="0.2"/>
    <row r="47513" ht="9.9499999999999993" hidden="1" customHeight="1" x14ac:dyDescent="0.2"/>
    <row r="47514" ht="9.9499999999999993" hidden="1" customHeight="1" x14ac:dyDescent="0.2"/>
    <row r="47515" ht="9.9499999999999993" hidden="1" customHeight="1" x14ac:dyDescent="0.2"/>
    <row r="47516" ht="9.9499999999999993" hidden="1" customHeight="1" x14ac:dyDescent="0.2"/>
    <row r="47517" ht="9.9499999999999993" hidden="1" customHeight="1" x14ac:dyDescent="0.2"/>
    <row r="47518" ht="9.9499999999999993" hidden="1" customHeight="1" x14ac:dyDescent="0.2"/>
    <row r="47519" ht="9.9499999999999993" hidden="1" customHeight="1" x14ac:dyDescent="0.2"/>
    <row r="47520" ht="9.9499999999999993" hidden="1" customHeight="1" x14ac:dyDescent="0.2"/>
    <row r="47521" ht="9.9499999999999993" hidden="1" customHeight="1" x14ac:dyDescent="0.2"/>
    <row r="47522" ht="9.9499999999999993" hidden="1" customHeight="1" x14ac:dyDescent="0.2"/>
    <row r="47523" ht="9.9499999999999993" hidden="1" customHeight="1" x14ac:dyDescent="0.2"/>
    <row r="47524" ht="9.9499999999999993" hidden="1" customHeight="1" x14ac:dyDescent="0.2"/>
    <row r="47525" ht="9.9499999999999993" hidden="1" customHeight="1" x14ac:dyDescent="0.2"/>
    <row r="47526" ht="9.9499999999999993" hidden="1" customHeight="1" x14ac:dyDescent="0.2"/>
    <row r="47527" ht="9.9499999999999993" hidden="1" customHeight="1" x14ac:dyDescent="0.2"/>
    <row r="47528" ht="9.9499999999999993" hidden="1" customHeight="1" x14ac:dyDescent="0.2"/>
    <row r="47529" ht="9.9499999999999993" hidden="1" customHeight="1" x14ac:dyDescent="0.2"/>
    <row r="47530" ht="9.9499999999999993" hidden="1" customHeight="1" x14ac:dyDescent="0.2"/>
    <row r="47531" ht="9.9499999999999993" hidden="1" customHeight="1" x14ac:dyDescent="0.2"/>
    <row r="47532" ht="9.9499999999999993" hidden="1" customHeight="1" x14ac:dyDescent="0.2"/>
    <row r="47533" ht="9.9499999999999993" hidden="1" customHeight="1" x14ac:dyDescent="0.2"/>
    <row r="47534" ht="9.9499999999999993" hidden="1" customHeight="1" x14ac:dyDescent="0.2"/>
    <row r="47535" ht="9.9499999999999993" hidden="1" customHeight="1" x14ac:dyDescent="0.2"/>
    <row r="47536" ht="9.9499999999999993" hidden="1" customHeight="1" x14ac:dyDescent="0.2"/>
    <row r="47537" ht="9.9499999999999993" hidden="1" customHeight="1" x14ac:dyDescent="0.2"/>
    <row r="47538" ht="9.9499999999999993" hidden="1" customHeight="1" x14ac:dyDescent="0.2"/>
    <row r="47539" ht="9.9499999999999993" hidden="1" customHeight="1" x14ac:dyDescent="0.2"/>
    <row r="47540" ht="9.9499999999999993" hidden="1" customHeight="1" x14ac:dyDescent="0.2"/>
    <row r="47541" ht="9.9499999999999993" hidden="1" customHeight="1" x14ac:dyDescent="0.2"/>
    <row r="47542" ht="9.9499999999999993" hidden="1" customHeight="1" x14ac:dyDescent="0.2"/>
    <row r="47543" ht="9.9499999999999993" hidden="1" customHeight="1" x14ac:dyDescent="0.2"/>
    <row r="47544" ht="9.9499999999999993" hidden="1" customHeight="1" x14ac:dyDescent="0.2"/>
    <row r="47545" ht="9.9499999999999993" hidden="1" customHeight="1" x14ac:dyDescent="0.2"/>
    <row r="47546" ht="9.9499999999999993" hidden="1" customHeight="1" x14ac:dyDescent="0.2"/>
    <row r="47547" ht="9.9499999999999993" hidden="1" customHeight="1" x14ac:dyDescent="0.2"/>
    <row r="47548" ht="9.9499999999999993" hidden="1" customHeight="1" x14ac:dyDescent="0.2"/>
    <row r="47549" ht="9.9499999999999993" hidden="1" customHeight="1" x14ac:dyDescent="0.2"/>
    <row r="47550" ht="9.9499999999999993" hidden="1" customHeight="1" x14ac:dyDescent="0.2"/>
    <row r="47551" ht="9.9499999999999993" hidden="1" customHeight="1" x14ac:dyDescent="0.2"/>
    <row r="47552" ht="9.9499999999999993" hidden="1" customHeight="1" x14ac:dyDescent="0.2"/>
    <row r="47553" ht="9.9499999999999993" hidden="1" customHeight="1" x14ac:dyDescent="0.2"/>
    <row r="47554" ht="9.9499999999999993" hidden="1" customHeight="1" x14ac:dyDescent="0.2"/>
    <row r="47555" ht="9.9499999999999993" hidden="1" customHeight="1" x14ac:dyDescent="0.2"/>
    <row r="47556" ht="9.9499999999999993" hidden="1" customHeight="1" x14ac:dyDescent="0.2"/>
    <row r="47557" ht="9.9499999999999993" hidden="1" customHeight="1" x14ac:dyDescent="0.2"/>
    <row r="47558" ht="9.9499999999999993" hidden="1" customHeight="1" x14ac:dyDescent="0.2"/>
    <row r="47559" ht="9.9499999999999993" hidden="1" customHeight="1" x14ac:dyDescent="0.2"/>
    <row r="47560" ht="9.9499999999999993" hidden="1" customHeight="1" x14ac:dyDescent="0.2"/>
    <row r="47561" ht="9.9499999999999993" hidden="1" customHeight="1" x14ac:dyDescent="0.2"/>
    <row r="47562" ht="9.9499999999999993" hidden="1" customHeight="1" x14ac:dyDescent="0.2"/>
    <row r="47563" ht="9.9499999999999993" hidden="1" customHeight="1" x14ac:dyDescent="0.2"/>
    <row r="47564" ht="9.9499999999999993" hidden="1" customHeight="1" x14ac:dyDescent="0.2"/>
    <row r="47565" ht="9.9499999999999993" hidden="1" customHeight="1" x14ac:dyDescent="0.2"/>
    <row r="47566" ht="9.9499999999999993" hidden="1" customHeight="1" x14ac:dyDescent="0.2"/>
    <row r="47567" ht="9.9499999999999993" hidden="1" customHeight="1" x14ac:dyDescent="0.2"/>
    <row r="47568" ht="9.9499999999999993" hidden="1" customHeight="1" x14ac:dyDescent="0.2"/>
    <row r="47569" ht="9.9499999999999993" hidden="1" customHeight="1" x14ac:dyDescent="0.2"/>
    <row r="47570" ht="9.9499999999999993" hidden="1" customHeight="1" x14ac:dyDescent="0.2"/>
    <row r="47571" ht="9.9499999999999993" hidden="1" customHeight="1" x14ac:dyDescent="0.2"/>
    <row r="47572" ht="9.9499999999999993" hidden="1" customHeight="1" x14ac:dyDescent="0.2"/>
    <row r="47573" ht="9.9499999999999993" hidden="1" customHeight="1" x14ac:dyDescent="0.2"/>
    <row r="47574" ht="9.9499999999999993" hidden="1" customHeight="1" x14ac:dyDescent="0.2"/>
    <row r="47575" ht="9.9499999999999993" hidden="1" customHeight="1" x14ac:dyDescent="0.2"/>
    <row r="47576" ht="9.9499999999999993" hidden="1" customHeight="1" x14ac:dyDescent="0.2"/>
    <row r="47577" ht="9.9499999999999993" hidden="1" customHeight="1" x14ac:dyDescent="0.2"/>
    <row r="47578" ht="9.9499999999999993" hidden="1" customHeight="1" x14ac:dyDescent="0.2"/>
    <row r="47579" ht="9.9499999999999993" hidden="1" customHeight="1" x14ac:dyDescent="0.2"/>
    <row r="47580" ht="9.9499999999999993" hidden="1" customHeight="1" x14ac:dyDescent="0.2"/>
    <row r="47581" ht="9.9499999999999993" hidden="1" customHeight="1" x14ac:dyDescent="0.2"/>
    <row r="47582" ht="9.9499999999999993" hidden="1" customHeight="1" x14ac:dyDescent="0.2"/>
    <row r="47583" ht="9.9499999999999993" hidden="1" customHeight="1" x14ac:dyDescent="0.2"/>
    <row r="47584" ht="9.9499999999999993" hidden="1" customHeight="1" x14ac:dyDescent="0.2"/>
    <row r="47585" ht="9.9499999999999993" hidden="1" customHeight="1" x14ac:dyDescent="0.2"/>
    <row r="47586" ht="9.9499999999999993" hidden="1" customHeight="1" x14ac:dyDescent="0.2"/>
    <row r="47587" ht="9.9499999999999993" hidden="1" customHeight="1" x14ac:dyDescent="0.2"/>
    <row r="47588" ht="9.9499999999999993" hidden="1" customHeight="1" x14ac:dyDescent="0.2"/>
    <row r="47589" ht="9.9499999999999993" hidden="1" customHeight="1" x14ac:dyDescent="0.2"/>
    <row r="47590" ht="9.9499999999999993" hidden="1" customHeight="1" x14ac:dyDescent="0.2"/>
    <row r="47591" ht="9.9499999999999993" hidden="1" customHeight="1" x14ac:dyDescent="0.2"/>
    <row r="47592" ht="9.9499999999999993" hidden="1" customHeight="1" x14ac:dyDescent="0.2"/>
    <row r="47593" ht="9.9499999999999993" hidden="1" customHeight="1" x14ac:dyDescent="0.2"/>
    <row r="47594" ht="9.9499999999999993" hidden="1" customHeight="1" x14ac:dyDescent="0.2"/>
    <row r="47595" ht="9.9499999999999993" hidden="1" customHeight="1" x14ac:dyDescent="0.2"/>
    <row r="47596" ht="9.9499999999999993" hidden="1" customHeight="1" x14ac:dyDescent="0.2"/>
    <row r="47597" ht="9.9499999999999993" hidden="1" customHeight="1" x14ac:dyDescent="0.2"/>
    <row r="47598" ht="9.9499999999999993" hidden="1" customHeight="1" x14ac:dyDescent="0.2"/>
    <row r="47599" ht="9.9499999999999993" hidden="1" customHeight="1" x14ac:dyDescent="0.2"/>
    <row r="47600" ht="9.9499999999999993" hidden="1" customHeight="1" x14ac:dyDescent="0.2"/>
    <row r="47601" ht="9.9499999999999993" hidden="1" customHeight="1" x14ac:dyDescent="0.2"/>
    <row r="47602" ht="9.9499999999999993" hidden="1" customHeight="1" x14ac:dyDescent="0.2"/>
    <row r="47603" ht="9.9499999999999993" hidden="1" customHeight="1" x14ac:dyDescent="0.2"/>
    <row r="47604" ht="9.9499999999999993" hidden="1" customHeight="1" x14ac:dyDescent="0.2"/>
    <row r="47605" ht="9.9499999999999993" hidden="1" customHeight="1" x14ac:dyDescent="0.2"/>
    <row r="47606" ht="9.9499999999999993" hidden="1" customHeight="1" x14ac:dyDescent="0.2"/>
    <row r="47607" ht="9.9499999999999993" hidden="1" customHeight="1" x14ac:dyDescent="0.2"/>
    <row r="47608" ht="9.9499999999999993" hidden="1" customHeight="1" x14ac:dyDescent="0.2"/>
    <row r="47609" ht="9.9499999999999993" hidden="1" customHeight="1" x14ac:dyDescent="0.2"/>
    <row r="47610" ht="9.9499999999999993" hidden="1" customHeight="1" x14ac:dyDescent="0.2"/>
    <row r="47611" ht="9.9499999999999993" hidden="1" customHeight="1" x14ac:dyDescent="0.2"/>
    <row r="47612" ht="9.9499999999999993" hidden="1" customHeight="1" x14ac:dyDescent="0.2"/>
    <row r="47613" ht="9.9499999999999993" hidden="1" customHeight="1" x14ac:dyDescent="0.2"/>
    <row r="47614" ht="9.9499999999999993" hidden="1" customHeight="1" x14ac:dyDescent="0.2"/>
    <row r="47615" ht="9.9499999999999993" hidden="1" customHeight="1" x14ac:dyDescent="0.2"/>
    <row r="47616" ht="9.9499999999999993" hidden="1" customHeight="1" x14ac:dyDescent="0.2"/>
    <row r="47617" ht="9.9499999999999993" hidden="1" customHeight="1" x14ac:dyDescent="0.2"/>
    <row r="47618" ht="9.9499999999999993" hidden="1" customHeight="1" x14ac:dyDescent="0.2"/>
    <row r="47619" ht="9.9499999999999993" hidden="1" customHeight="1" x14ac:dyDescent="0.2"/>
    <row r="47620" ht="9.9499999999999993" hidden="1" customHeight="1" x14ac:dyDescent="0.2"/>
    <row r="47621" ht="9.9499999999999993" hidden="1" customHeight="1" x14ac:dyDescent="0.2"/>
    <row r="47622" ht="9.9499999999999993" hidden="1" customHeight="1" x14ac:dyDescent="0.2"/>
    <row r="47623" ht="9.9499999999999993" hidden="1" customHeight="1" x14ac:dyDescent="0.2"/>
    <row r="47624" ht="9.9499999999999993" hidden="1" customHeight="1" x14ac:dyDescent="0.2"/>
    <row r="47625" ht="9.9499999999999993" hidden="1" customHeight="1" x14ac:dyDescent="0.2"/>
    <row r="47626" ht="9.9499999999999993" hidden="1" customHeight="1" x14ac:dyDescent="0.2"/>
    <row r="47627" ht="9.9499999999999993" hidden="1" customHeight="1" x14ac:dyDescent="0.2"/>
    <row r="47628" ht="9.9499999999999993" hidden="1" customHeight="1" x14ac:dyDescent="0.2"/>
    <row r="47629" ht="9.9499999999999993" hidden="1" customHeight="1" x14ac:dyDescent="0.2"/>
    <row r="47630" ht="9.9499999999999993" hidden="1" customHeight="1" x14ac:dyDescent="0.2"/>
    <row r="47631" ht="9.9499999999999993" hidden="1" customHeight="1" x14ac:dyDescent="0.2"/>
    <row r="47632" ht="9.9499999999999993" hidden="1" customHeight="1" x14ac:dyDescent="0.2"/>
    <row r="47633" ht="9.9499999999999993" hidden="1" customHeight="1" x14ac:dyDescent="0.2"/>
    <row r="47634" ht="9.9499999999999993" hidden="1" customHeight="1" x14ac:dyDescent="0.2"/>
    <row r="47635" ht="9.9499999999999993" hidden="1" customHeight="1" x14ac:dyDescent="0.2"/>
    <row r="47636" ht="9.9499999999999993" hidden="1" customHeight="1" x14ac:dyDescent="0.2"/>
    <row r="47637" ht="9.9499999999999993" hidden="1" customHeight="1" x14ac:dyDescent="0.2"/>
    <row r="47638" ht="9.9499999999999993" hidden="1" customHeight="1" x14ac:dyDescent="0.2"/>
    <row r="47639" ht="9.9499999999999993" hidden="1" customHeight="1" x14ac:dyDescent="0.2"/>
    <row r="47640" ht="9.9499999999999993" hidden="1" customHeight="1" x14ac:dyDescent="0.2"/>
    <row r="47641" ht="9.9499999999999993" hidden="1" customHeight="1" x14ac:dyDescent="0.2"/>
    <row r="47642" ht="9.9499999999999993" hidden="1" customHeight="1" x14ac:dyDescent="0.2"/>
    <row r="47643" ht="9.9499999999999993" hidden="1" customHeight="1" x14ac:dyDescent="0.2"/>
    <row r="47644" ht="9.9499999999999993" hidden="1" customHeight="1" x14ac:dyDescent="0.2"/>
    <row r="47645" ht="9.9499999999999993" hidden="1" customHeight="1" x14ac:dyDescent="0.2"/>
    <row r="47646" ht="9.9499999999999993" hidden="1" customHeight="1" x14ac:dyDescent="0.2"/>
    <row r="47647" ht="9.9499999999999993" hidden="1" customHeight="1" x14ac:dyDescent="0.2"/>
    <row r="47648" ht="9.9499999999999993" hidden="1" customHeight="1" x14ac:dyDescent="0.2"/>
    <row r="47649" ht="9.9499999999999993" hidden="1" customHeight="1" x14ac:dyDescent="0.2"/>
    <row r="47650" ht="9.9499999999999993" hidden="1" customHeight="1" x14ac:dyDescent="0.2"/>
    <row r="47651" ht="9.9499999999999993" hidden="1" customHeight="1" x14ac:dyDescent="0.2"/>
    <row r="47652" ht="9.9499999999999993" hidden="1" customHeight="1" x14ac:dyDescent="0.2"/>
    <row r="47653" ht="9.9499999999999993" hidden="1" customHeight="1" x14ac:dyDescent="0.2"/>
    <row r="47654" ht="9.9499999999999993" hidden="1" customHeight="1" x14ac:dyDescent="0.2"/>
    <row r="47655" ht="9.9499999999999993" hidden="1" customHeight="1" x14ac:dyDescent="0.2"/>
    <row r="47656" ht="9.9499999999999993" hidden="1" customHeight="1" x14ac:dyDescent="0.2"/>
    <row r="47657" ht="9.9499999999999993" hidden="1" customHeight="1" x14ac:dyDescent="0.2"/>
    <row r="47658" ht="9.9499999999999993" hidden="1" customHeight="1" x14ac:dyDescent="0.2"/>
    <row r="47659" ht="9.9499999999999993" hidden="1" customHeight="1" x14ac:dyDescent="0.2"/>
    <row r="47660" ht="9.9499999999999993" hidden="1" customHeight="1" x14ac:dyDescent="0.2"/>
    <row r="47661" ht="9.9499999999999993" hidden="1" customHeight="1" x14ac:dyDescent="0.2"/>
    <row r="47662" ht="9.9499999999999993" hidden="1" customHeight="1" x14ac:dyDescent="0.2"/>
    <row r="47663" ht="9.9499999999999993" hidden="1" customHeight="1" x14ac:dyDescent="0.2"/>
    <row r="47664" ht="9.9499999999999993" hidden="1" customHeight="1" x14ac:dyDescent="0.2"/>
    <row r="47665" ht="9.9499999999999993" hidden="1" customHeight="1" x14ac:dyDescent="0.2"/>
    <row r="47666" ht="9.9499999999999993" hidden="1" customHeight="1" x14ac:dyDescent="0.2"/>
    <row r="47667" ht="9.9499999999999993" hidden="1" customHeight="1" x14ac:dyDescent="0.2"/>
    <row r="47668" ht="9.9499999999999993" hidden="1" customHeight="1" x14ac:dyDescent="0.2"/>
    <row r="47669" ht="9.9499999999999993" hidden="1" customHeight="1" x14ac:dyDescent="0.2"/>
    <row r="47670" ht="9.9499999999999993" hidden="1" customHeight="1" x14ac:dyDescent="0.2"/>
    <row r="47671" ht="9.9499999999999993" hidden="1" customHeight="1" x14ac:dyDescent="0.2"/>
    <row r="47672" ht="9.9499999999999993" hidden="1" customHeight="1" x14ac:dyDescent="0.2"/>
    <row r="47673" ht="9.9499999999999993" hidden="1" customHeight="1" x14ac:dyDescent="0.2"/>
    <row r="47674" ht="9.9499999999999993" hidden="1" customHeight="1" x14ac:dyDescent="0.2"/>
    <row r="47675" ht="9.9499999999999993" hidden="1" customHeight="1" x14ac:dyDescent="0.2"/>
    <row r="47676" ht="9.9499999999999993" hidden="1" customHeight="1" x14ac:dyDescent="0.2"/>
    <row r="47677" ht="9.9499999999999993" hidden="1" customHeight="1" x14ac:dyDescent="0.2"/>
    <row r="47678" ht="9.9499999999999993" hidden="1" customHeight="1" x14ac:dyDescent="0.2"/>
    <row r="47679" ht="9.9499999999999993" hidden="1" customHeight="1" x14ac:dyDescent="0.2"/>
    <row r="47680" ht="9.9499999999999993" hidden="1" customHeight="1" x14ac:dyDescent="0.2"/>
    <row r="47681" ht="9.9499999999999993" hidden="1" customHeight="1" x14ac:dyDescent="0.2"/>
    <row r="47682" ht="9.9499999999999993" hidden="1" customHeight="1" x14ac:dyDescent="0.2"/>
    <row r="47683" ht="9.9499999999999993" hidden="1" customHeight="1" x14ac:dyDescent="0.2"/>
    <row r="47684" ht="9.9499999999999993" hidden="1" customHeight="1" x14ac:dyDescent="0.2"/>
    <row r="47685" ht="9.9499999999999993" hidden="1" customHeight="1" x14ac:dyDescent="0.2"/>
    <row r="47686" ht="9.9499999999999993" hidden="1" customHeight="1" x14ac:dyDescent="0.2"/>
    <row r="47687" ht="9.9499999999999993" hidden="1" customHeight="1" x14ac:dyDescent="0.2"/>
    <row r="47688" ht="9.9499999999999993" hidden="1" customHeight="1" x14ac:dyDescent="0.2"/>
    <row r="47689" ht="9.9499999999999993" hidden="1" customHeight="1" x14ac:dyDescent="0.2"/>
    <row r="47690" ht="9.9499999999999993" hidden="1" customHeight="1" x14ac:dyDescent="0.2"/>
    <row r="47691" ht="9.9499999999999993" hidden="1" customHeight="1" x14ac:dyDescent="0.2"/>
    <row r="47692" ht="9.9499999999999993" hidden="1" customHeight="1" x14ac:dyDescent="0.2"/>
    <row r="47693" ht="9.9499999999999993" hidden="1" customHeight="1" x14ac:dyDescent="0.2"/>
    <row r="47694" ht="9.9499999999999993" hidden="1" customHeight="1" x14ac:dyDescent="0.2"/>
    <row r="47695" ht="9.9499999999999993" hidden="1" customHeight="1" x14ac:dyDescent="0.2"/>
    <row r="47696" ht="9.9499999999999993" hidden="1" customHeight="1" x14ac:dyDescent="0.2"/>
    <row r="47697" ht="9.9499999999999993" hidden="1" customHeight="1" x14ac:dyDescent="0.2"/>
    <row r="47698" ht="9.9499999999999993" hidden="1" customHeight="1" x14ac:dyDescent="0.2"/>
    <row r="47699" ht="9.9499999999999993" hidden="1" customHeight="1" x14ac:dyDescent="0.2"/>
    <row r="47700" ht="9.9499999999999993" hidden="1" customHeight="1" x14ac:dyDescent="0.2"/>
    <row r="47701" ht="9.9499999999999993" hidden="1" customHeight="1" x14ac:dyDescent="0.2"/>
    <row r="47702" ht="9.9499999999999993" hidden="1" customHeight="1" x14ac:dyDescent="0.2"/>
    <row r="47703" ht="9.9499999999999993" hidden="1" customHeight="1" x14ac:dyDescent="0.2"/>
    <row r="47704" ht="9.9499999999999993" hidden="1" customHeight="1" x14ac:dyDescent="0.2"/>
    <row r="47705" ht="9.9499999999999993" hidden="1" customHeight="1" x14ac:dyDescent="0.2"/>
    <row r="47706" ht="9.9499999999999993" hidden="1" customHeight="1" x14ac:dyDescent="0.2"/>
    <row r="47707" ht="9.9499999999999993" hidden="1" customHeight="1" x14ac:dyDescent="0.2"/>
    <row r="47708" ht="9.9499999999999993" hidden="1" customHeight="1" x14ac:dyDescent="0.2"/>
    <row r="47709" ht="9.9499999999999993" hidden="1" customHeight="1" x14ac:dyDescent="0.2"/>
    <row r="47710" ht="9.9499999999999993" hidden="1" customHeight="1" x14ac:dyDescent="0.2"/>
    <row r="47711" ht="9.9499999999999993" hidden="1" customHeight="1" x14ac:dyDescent="0.2"/>
    <row r="47712" ht="9.9499999999999993" hidden="1" customHeight="1" x14ac:dyDescent="0.2"/>
    <row r="47713" ht="9.9499999999999993" hidden="1" customHeight="1" x14ac:dyDescent="0.2"/>
    <row r="47714" ht="9.9499999999999993" hidden="1" customHeight="1" x14ac:dyDescent="0.2"/>
    <row r="47715" ht="9.9499999999999993" hidden="1" customHeight="1" x14ac:dyDescent="0.2"/>
    <row r="47716" ht="9.9499999999999993" hidden="1" customHeight="1" x14ac:dyDescent="0.2"/>
    <row r="47717" ht="9.9499999999999993" hidden="1" customHeight="1" x14ac:dyDescent="0.2"/>
    <row r="47718" ht="9.9499999999999993" hidden="1" customHeight="1" x14ac:dyDescent="0.2"/>
    <row r="47719" ht="9.9499999999999993" hidden="1" customHeight="1" x14ac:dyDescent="0.2"/>
    <row r="47720" ht="9.9499999999999993" hidden="1" customHeight="1" x14ac:dyDescent="0.2"/>
    <row r="47721" ht="9.9499999999999993" hidden="1" customHeight="1" x14ac:dyDescent="0.2"/>
    <row r="47722" ht="9.9499999999999993" hidden="1" customHeight="1" x14ac:dyDescent="0.2"/>
    <row r="47723" ht="9.9499999999999993" hidden="1" customHeight="1" x14ac:dyDescent="0.2"/>
    <row r="47724" ht="9.9499999999999993" hidden="1" customHeight="1" x14ac:dyDescent="0.2"/>
    <row r="47725" ht="9.9499999999999993" hidden="1" customHeight="1" x14ac:dyDescent="0.2"/>
    <row r="47726" ht="9.9499999999999993" hidden="1" customHeight="1" x14ac:dyDescent="0.2"/>
    <row r="47727" ht="9.9499999999999993" hidden="1" customHeight="1" x14ac:dyDescent="0.2"/>
    <row r="47728" ht="9.9499999999999993" hidden="1" customHeight="1" x14ac:dyDescent="0.2"/>
    <row r="47729" ht="9.9499999999999993" hidden="1" customHeight="1" x14ac:dyDescent="0.2"/>
    <row r="47730" ht="9.9499999999999993" hidden="1" customHeight="1" x14ac:dyDescent="0.2"/>
    <row r="47731" ht="9.9499999999999993" hidden="1" customHeight="1" x14ac:dyDescent="0.2"/>
    <row r="47732" ht="9.9499999999999993" hidden="1" customHeight="1" x14ac:dyDescent="0.2"/>
    <row r="47733" ht="9.9499999999999993" hidden="1" customHeight="1" x14ac:dyDescent="0.2"/>
    <row r="47734" ht="9.9499999999999993" hidden="1" customHeight="1" x14ac:dyDescent="0.2"/>
    <row r="47735" ht="9.9499999999999993" hidden="1" customHeight="1" x14ac:dyDescent="0.2"/>
    <row r="47736" ht="9.9499999999999993" hidden="1" customHeight="1" x14ac:dyDescent="0.2"/>
    <row r="47737" ht="9.9499999999999993" hidden="1" customHeight="1" x14ac:dyDescent="0.2"/>
    <row r="47738" ht="9.9499999999999993" hidden="1" customHeight="1" x14ac:dyDescent="0.2"/>
    <row r="47739" ht="9.9499999999999993" hidden="1" customHeight="1" x14ac:dyDescent="0.2"/>
    <row r="47740" ht="9.9499999999999993" hidden="1" customHeight="1" x14ac:dyDescent="0.2"/>
    <row r="47741" ht="9.9499999999999993" hidden="1" customHeight="1" x14ac:dyDescent="0.2"/>
    <row r="47742" ht="9.9499999999999993" hidden="1" customHeight="1" x14ac:dyDescent="0.2"/>
    <row r="47743" ht="9.9499999999999993" hidden="1" customHeight="1" x14ac:dyDescent="0.2"/>
    <row r="47744" ht="9.9499999999999993" hidden="1" customHeight="1" x14ac:dyDescent="0.2"/>
    <row r="47745" ht="9.9499999999999993" hidden="1" customHeight="1" x14ac:dyDescent="0.2"/>
    <row r="47746" ht="9.9499999999999993" hidden="1" customHeight="1" x14ac:dyDescent="0.2"/>
    <row r="47747" ht="9.9499999999999993" hidden="1" customHeight="1" x14ac:dyDescent="0.2"/>
    <row r="47748" ht="9.9499999999999993" hidden="1" customHeight="1" x14ac:dyDescent="0.2"/>
    <row r="47749" ht="9.9499999999999993" hidden="1" customHeight="1" x14ac:dyDescent="0.2"/>
    <row r="47750" ht="9.9499999999999993" hidden="1" customHeight="1" x14ac:dyDescent="0.2"/>
    <row r="47751" ht="9.9499999999999993" hidden="1" customHeight="1" x14ac:dyDescent="0.2"/>
    <row r="47752" ht="9.9499999999999993" hidden="1" customHeight="1" x14ac:dyDescent="0.2"/>
    <row r="47753" ht="9.9499999999999993" hidden="1" customHeight="1" x14ac:dyDescent="0.2"/>
    <row r="47754" ht="9.9499999999999993" hidden="1" customHeight="1" x14ac:dyDescent="0.2"/>
    <row r="47755" ht="9.9499999999999993" hidden="1" customHeight="1" x14ac:dyDescent="0.2"/>
    <row r="47756" ht="9.9499999999999993" hidden="1" customHeight="1" x14ac:dyDescent="0.2"/>
    <row r="47757" ht="9.9499999999999993" hidden="1" customHeight="1" x14ac:dyDescent="0.2"/>
    <row r="47758" ht="9.9499999999999993" hidden="1" customHeight="1" x14ac:dyDescent="0.2"/>
    <row r="47759" ht="9.9499999999999993" hidden="1" customHeight="1" x14ac:dyDescent="0.2"/>
    <row r="47760" ht="9.9499999999999993" hidden="1" customHeight="1" x14ac:dyDescent="0.2"/>
    <row r="47761" ht="9.9499999999999993" hidden="1" customHeight="1" x14ac:dyDescent="0.2"/>
    <row r="47762" ht="9.9499999999999993" hidden="1" customHeight="1" x14ac:dyDescent="0.2"/>
    <row r="47763" ht="9.9499999999999993" hidden="1" customHeight="1" x14ac:dyDescent="0.2"/>
    <row r="47764" ht="9.9499999999999993" hidden="1" customHeight="1" x14ac:dyDescent="0.2"/>
    <row r="47765" ht="9.9499999999999993" hidden="1" customHeight="1" x14ac:dyDescent="0.2"/>
    <row r="47766" ht="9.9499999999999993" hidden="1" customHeight="1" x14ac:dyDescent="0.2"/>
    <row r="47767" ht="9.9499999999999993" hidden="1" customHeight="1" x14ac:dyDescent="0.2"/>
    <row r="47768" ht="9.9499999999999993" hidden="1" customHeight="1" x14ac:dyDescent="0.2"/>
    <row r="47769" ht="9.9499999999999993" hidden="1" customHeight="1" x14ac:dyDescent="0.2"/>
    <row r="47770" ht="9.9499999999999993" hidden="1" customHeight="1" x14ac:dyDescent="0.2"/>
    <row r="47771" ht="9.9499999999999993" hidden="1" customHeight="1" x14ac:dyDescent="0.2"/>
    <row r="47772" ht="9.9499999999999993" hidden="1" customHeight="1" x14ac:dyDescent="0.2"/>
    <row r="47773" ht="9.9499999999999993" hidden="1" customHeight="1" x14ac:dyDescent="0.2"/>
    <row r="47774" ht="9.9499999999999993" hidden="1" customHeight="1" x14ac:dyDescent="0.2"/>
    <row r="47775" ht="9.9499999999999993" hidden="1" customHeight="1" x14ac:dyDescent="0.2"/>
    <row r="47776" ht="9.9499999999999993" hidden="1" customHeight="1" x14ac:dyDescent="0.2"/>
    <row r="47777" ht="9.9499999999999993" hidden="1" customHeight="1" x14ac:dyDescent="0.2"/>
    <row r="47778" ht="9.9499999999999993" hidden="1" customHeight="1" x14ac:dyDescent="0.2"/>
    <row r="47779" ht="9.9499999999999993" hidden="1" customHeight="1" x14ac:dyDescent="0.2"/>
    <row r="47780" ht="9.9499999999999993" hidden="1" customHeight="1" x14ac:dyDescent="0.2"/>
    <row r="47781" ht="9.9499999999999993" hidden="1" customHeight="1" x14ac:dyDescent="0.2"/>
    <row r="47782" ht="9.9499999999999993" hidden="1" customHeight="1" x14ac:dyDescent="0.2"/>
    <row r="47783" ht="9.9499999999999993" hidden="1" customHeight="1" x14ac:dyDescent="0.2"/>
    <row r="47784" ht="9.9499999999999993" hidden="1" customHeight="1" x14ac:dyDescent="0.2"/>
    <row r="47785" ht="9.9499999999999993" hidden="1" customHeight="1" x14ac:dyDescent="0.2"/>
    <row r="47786" ht="9.9499999999999993" hidden="1" customHeight="1" x14ac:dyDescent="0.2"/>
    <row r="47787" ht="9.9499999999999993" hidden="1" customHeight="1" x14ac:dyDescent="0.2"/>
    <row r="47788" ht="9.9499999999999993" hidden="1" customHeight="1" x14ac:dyDescent="0.2"/>
    <row r="47789" ht="9.9499999999999993" hidden="1" customHeight="1" x14ac:dyDescent="0.2"/>
    <row r="47790" ht="9.9499999999999993" hidden="1" customHeight="1" x14ac:dyDescent="0.2"/>
    <row r="47791" ht="9.9499999999999993" hidden="1" customHeight="1" x14ac:dyDescent="0.2"/>
    <row r="47792" ht="9.9499999999999993" hidden="1" customHeight="1" x14ac:dyDescent="0.2"/>
    <row r="47793" ht="9.9499999999999993" hidden="1" customHeight="1" x14ac:dyDescent="0.2"/>
    <row r="47794" ht="9.9499999999999993" hidden="1" customHeight="1" x14ac:dyDescent="0.2"/>
    <row r="47795" ht="9.9499999999999993" hidden="1" customHeight="1" x14ac:dyDescent="0.2"/>
    <row r="47796" ht="9.9499999999999993" hidden="1" customHeight="1" x14ac:dyDescent="0.2"/>
    <row r="47797" ht="9.9499999999999993" hidden="1" customHeight="1" x14ac:dyDescent="0.2"/>
    <row r="47798" ht="9.9499999999999993" hidden="1" customHeight="1" x14ac:dyDescent="0.2"/>
    <row r="47799" ht="9.9499999999999993" hidden="1" customHeight="1" x14ac:dyDescent="0.2"/>
    <row r="47800" ht="9.9499999999999993" hidden="1" customHeight="1" x14ac:dyDescent="0.2"/>
    <row r="47801" ht="9.9499999999999993" hidden="1" customHeight="1" x14ac:dyDescent="0.2"/>
    <row r="47802" ht="9.9499999999999993" hidden="1" customHeight="1" x14ac:dyDescent="0.2"/>
    <row r="47803" ht="9.9499999999999993" hidden="1" customHeight="1" x14ac:dyDescent="0.2"/>
    <row r="47804" ht="9.9499999999999993" hidden="1" customHeight="1" x14ac:dyDescent="0.2"/>
    <row r="47805" ht="9.9499999999999993" hidden="1" customHeight="1" x14ac:dyDescent="0.2"/>
    <row r="47806" ht="9.9499999999999993" hidden="1" customHeight="1" x14ac:dyDescent="0.2"/>
    <row r="47807" ht="9.9499999999999993" hidden="1" customHeight="1" x14ac:dyDescent="0.2"/>
    <row r="47808" ht="9.9499999999999993" hidden="1" customHeight="1" x14ac:dyDescent="0.2"/>
    <row r="47809" ht="9.9499999999999993" hidden="1" customHeight="1" x14ac:dyDescent="0.2"/>
    <row r="47810" ht="9.9499999999999993" hidden="1" customHeight="1" x14ac:dyDescent="0.2"/>
    <row r="47811" ht="9.9499999999999993" hidden="1" customHeight="1" x14ac:dyDescent="0.2"/>
    <row r="47812" ht="9.9499999999999993" hidden="1" customHeight="1" x14ac:dyDescent="0.2"/>
    <row r="47813" ht="9.9499999999999993" hidden="1" customHeight="1" x14ac:dyDescent="0.2"/>
    <row r="47814" ht="9.9499999999999993" hidden="1" customHeight="1" x14ac:dyDescent="0.2"/>
    <row r="47815" ht="9.9499999999999993" hidden="1" customHeight="1" x14ac:dyDescent="0.2"/>
    <row r="47816" ht="9.9499999999999993" hidden="1" customHeight="1" x14ac:dyDescent="0.2"/>
    <row r="47817" ht="9.9499999999999993" hidden="1" customHeight="1" x14ac:dyDescent="0.2"/>
    <row r="47818" ht="9.9499999999999993" hidden="1" customHeight="1" x14ac:dyDescent="0.2"/>
    <row r="47819" ht="9.9499999999999993" hidden="1" customHeight="1" x14ac:dyDescent="0.2"/>
    <row r="47820" ht="9.9499999999999993" hidden="1" customHeight="1" x14ac:dyDescent="0.2"/>
    <row r="47821" ht="9.9499999999999993" hidden="1" customHeight="1" x14ac:dyDescent="0.2"/>
    <row r="47822" ht="9.9499999999999993" hidden="1" customHeight="1" x14ac:dyDescent="0.2"/>
    <row r="47823" ht="9.9499999999999993" hidden="1" customHeight="1" x14ac:dyDescent="0.2"/>
    <row r="47824" ht="9.9499999999999993" hidden="1" customHeight="1" x14ac:dyDescent="0.2"/>
    <row r="47825" ht="9.9499999999999993" hidden="1" customHeight="1" x14ac:dyDescent="0.2"/>
    <row r="47826" ht="9.9499999999999993" hidden="1" customHeight="1" x14ac:dyDescent="0.2"/>
    <row r="47827" ht="9.9499999999999993" hidden="1" customHeight="1" x14ac:dyDescent="0.2"/>
    <row r="47828" ht="9.9499999999999993" hidden="1" customHeight="1" x14ac:dyDescent="0.2"/>
    <row r="47829" ht="9.9499999999999993" hidden="1" customHeight="1" x14ac:dyDescent="0.2"/>
    <row r="47830" ht="9.9499999999999993" hidden="1" customHeight="1" x14ac:dyDescent="0.2"/>
    <row r="47831" ht="9.9499999999999993" hidden="1" customHeight="1" x14ac:dyDescent="0.2"/>
    <row r="47832" ht="9.9499999999999993" hidden="1" customHeight="1" x14ac:dyDescent="0.2"/>
    <row r="47833" ht="9.9499999999999993" hidden="1" customHeight="1" x14ac:dyDescent="0.2"/>
    <row r="47834" ht="9.9499999999999993" hidden="1" customHeight="1" x14ac:dyDescent="0.2"/>
    <row r="47835" ht="9.9499999999999993" hidden="1" customHeight="1" x14ac:dyDescent="0.2"/>
    <row r="47836" ht="9.9499999999999993" hidden="1" customHeight="1" x14ac:dyDescent="0.2"/>
    <row r="47837" ht="9.9499999999999993" hidden="1" customHeight="1" x14ac:dyDescent="0.2"/>
    <row r="47838" ht="9.9499999999999993" hidden="1" customHeight="1" x14ac:dyDescent="0.2"/>
    <row r="47839" ht="9.9499999999999993" hidden="1" customHeight="1" x14ac:dyDescent="0.2"/>
    <row r="47840" ht="9.9499999999999993" hidden="1" customHeight="1" x14ac:dyDescent="0.2"/>
    <row r="47841" ht="9.9499999999999993" hidden="1" customHeight="1" x14ac:dyDescent="0.2"/>
    <row r="47842" ht="9.9499999999999993" hidden="1" customHeight="1" x14ac:dyDescent="0.2"/>
    <row r="47843" ht="9.9499999999999993" hidden="1" customHeight="1" x14ac:dyDescent="0.2"/>
    <row r="47844" ht="9.9499999999999993" hidden="1" customHeight="1" x14ac:dyDescent="0.2"/>
    <row r="47845" ht="9.9499999999999993" hidden="1" customHeight="1" x14ac:dyDescent="0.2"/>
    <row r="47846" ht="9.9499999999999993" hidden="1" customHeight="1" x14ac:dyDescent="0.2"/>
    <row r="47847" ht="9.9499999999999993" hidden="1" customHeight="1" x14ac:dyDescent="0.2"/>
    <row r="47848" ht="9.9499999999999993" hidden="1" customHeight="1" x14ac:dyDescent="0.2"/>
    <row r="47849" ht="9.9499999999999993" hidden="1" customHeight="1" x14ac:dyDescent="0.2"/>
    <row r="47850" ht="9.9499999999999993" hidden="1" customHeight="1" x14ac:dyDescent="0.2"/>
    <row r="47851" ht="9.9499999999999993" hidden="1" customHeight="1" x14ac:dyDescent="0.2"/>
    <row r="47852" ht="9.9499999999999993" hidden="1" customHeight="1" x14ac:dyDescent="0.2"/>
    <row r="47853" ht="9.9499999999999993" hidden="1" customHeight="1" x14ac:dyDescent="0.2"/>
    <row r="47854" ht="9.9499999999999993" hidden="1" customHeight="1" x14ac:dyDescent="0.2"/>
    <row r="47855" ht="9.9499999999999993" hidden="1" customHeight="1" x14ac:dyDescent="0.2"/>
    <row r="47856" ht="9.9499999999999993" hidden="1" customHeight="1" x14ac:dyDescent="0.2"/>
    <row r="47857" ht="9.9499999999999993" hidden="1" customHeight="1" x14ac:dyDescent="0.2"/>
    <row r="47858" ht="9.9499999999999993" hidden="1" customHeight="1" x14ac:dyDescent="0.2"/>
    <row r="47859" ht="9.9499999999999993" hidden="1" customHeight="1" x14ac:dyDescent="0.2"/>
    <row r="47860" ht="9.9499999999999993" hidden="1" customHeight="1" x14ac:dyDescent="0.2"/>
    <row r="47861" ht="9.9499999999999993" hidden="1" customHeight="1" x14ac:dyDescent="0.2"/>
    <row r="47862" ht="9.9499999999999993" hidden="1" customHeight="1" x14ac:dyDescent="0.2"/>
    <row r="47863" ht="9.9499999999999993" hidden="1" customHeight="1" x14ac:dyDescent="0.2"/>
    <row r="47864" ht="9.9499999999999993" hidden="1" customHeight="1" x14ac:dyDescent="0.2"/>
    <row r="47865" ht="9.9499999999999993" hidden="1" customHeight="1" x14ac:dyDescent="0.2"/>
    <row r="47866" ht="9.9499999999999993" hidden="1" customHeight="1" x14ac:dyDescent="0.2"/>
    <row r="47867" ht="9.9499999999999993" hidden="1" customHeight="1" x14ac:dyDescent="0.2"/>
    <row r="47868" ht="9.9499999999999993" hidden="1" customHeight="1" x14ac:dyDescent="0.2"/>
    <row r="47869" ht="9.9499999999999993" hidden="1" customHeight="1" x14ac:dyDescent="0.2"/>
    <row r="47870" ht="9.9499999999999993" hidden="1" customHeight="1" x14ac:dyDescent="0.2"/>
    <row r="47871" ht="9.9499999999999993" hidden="1" customHeight="1" x14ac:dyDescent="0.2"/>
    <row r="47872" ht="9.9499999999999993" hidden="1" customHeight="1" x14ac:dyDescent="0.2"/>
    <row r="47873" ht="9.9499999999999993" hidden="1" customHeight="1" x14ac:dyDescent="0.2"/>
    <row r="47874" ht="9.9499999999999993" hidden="1" customHeight="1" x14ac:dyDescent="0.2"/>
    <row r="47875" ht="9.9499999999999993" hidden="1" customHeight="1" x14ac:dyDescent="0.2"/>
    <row r="47876" ht="9.9499999999999993" hidden="1" customHeight="1" x14ac:dyDescent="0.2"/>
    <row r="47877" ht="9.9499999999999993" hidden="1" customHeight="1" x14ac:dyDescent="0.2"/>
    <row r="47878" ht="9.9499999999999993" hidden="1" customHeight="1" x14ac:dyDescent="0.2"/>
    <row r="47879" ht="9.9499999999999993" hidden="1" customHeight="1" x14ac:dyDescent="0.2"/>
    <row r="47880" ht="9.9499999999999993" hidden="1" customHeight="1" x14ac:dyDescent="0.2"/>
    <row r="47881" ht="9.9499999999999993" hidden="1" customHeight="1" x14ac:dyDescent="0.2"/>
    <row r="47882" ht="9.9499999999999993" hidden="1" customHeight="1" x14ac:dyDescent="0.2"/>
    <row r="47883" ht="9.9499999999999993" hidden="1" customHeight="1" x14ac:dyDescent="0.2"/>
    <row r="47884" ht="9.9499999999999993" hidden="1" customHeight="1" x14ac:dyDescent="0.2"/>
    <row r="47885" ht="9.9499999999999993" hidden="1" customHeight="1" x14ac:dyDescent="0.2"/>
    <row r="47886" ht="9.9499999999999993" hidden="1" customHeight="1" x14ac:dyDescent="0.2"/>
    <row r="47887" ht="9.9499999999999993" hidden="1" customHeight="1" x14ac:dyDescent="0.2"/>
    <row r="47888" ht="9.9499999999999993" hidden="1" customHeight="1" x14ac:dyDescent="0.2"/>
    <row r="47889" ht="9.9499999999999993" hidden="1" customHeight="1" x14ac:dyDescent="0.2"/>
    <row r="47890" ht="9.9499999999999993" hidden="1" customHeight="1" x14ac:dyDescent="0.2"/>
    <row r="47891" ht="9.9499999999999993" hidden="1" customHeight="1" x14ac:dyDescent="0.2"/>
    <row r="47892" ht="9.9499999999999993" hidden="1" customHeight="1" x14ac:dyDescent="0.2"/>
    <row r="47893" ht="9.9499999999999993" hidden="1" customHeight="1" x14ac:dyDescent="0.2"/>
    <row r="47894" ht="9.9499999999999993" hidden="1" customHeight="1" x14ac:dyDescent="0.2"/>
    <row r="47895" ht="9.9499999999999993" hidden="1" customHeight="1" x14ac:dyDescent="0.2"/>
    <row r="47896" ht="9.9499999999999993" hidden="1" customHeight="1" x14ac:dyDescent="0.2"/>
    <row r="47897" ht="9.9499999999999993" hidden="1" customHeight="1" x14ac:dyDescent="0.2"/>
    <row r="47898" ht="9.9499999999999993" hidden="1" customHeight="1" x14ac:dyDescent="0.2"/>
    <row r="47899" ht="9.9499999999999993" hidden="1" customHeight="1" x14ac:dyDescent="0.2"/>
    <row r="47900" ht="9.9499999999999993" hidden="1" customHeight="1" x14ac:dyDescent="0.2"/>
    <row r="47901" ht="9.9499999999999993" hidden="1" customHeight="1" x14ac:dyDescent="0.2"/>
    <row r="47902" ht="9.9499999999999993" hidden="1" customHeight="1" x14ac:dyDescent="0.2"/>
    <row r="47903" ht="9.9499999999999993" hidden="1" customHeight="1" x14ac:dyDescent="0.2"/>
    <row r="47904" ht="9.9499999999999993" hidden="1" customHeight="1" x14ac:dyDescent="0.2"/>
    <row r="47905" ht="9.9499999999999993" hidden="1" customHeight="1" x14ac:dyDescent="0.2"/>
    <row r="47906" ht="9.9499999999999993" hidden="1" customHeight="1" x14ac:dyDescent="0.2"/>
    <row r="47907" ht="9.9499999999999993" hidden="1" customHeight="1" x14ac:dyDescent="0.2"/>
    <row r="47908" ht="9.9499999999999993" hidden="1" customHeight="1" x14ac:dyDescent="0.2"/>
    <row r="47909" ht="9.9499999999999993" hidden="1" customHeight="1" x14ac:dyDescent="0.2"/>
    <row r="47910" ht="9.9499999999999993" hidden="1" customHeight="1" x14ac:dyDescent="0.2"/>
    <row r="47911" ht="9.9499999999999993" hidden="1" customHeight="1" x14ac:dyDescent="0.2"/>
    <row r="47912" ht="9.9499999999999993" hidden="1" customHeight="1" x14ac:dyDescent="0.2"/>
    <row r="47913" ht="9.9499999999999993" hidden="1" customHeight="1" x14ac:dyDescent="0.2"/>
    <row r="47914" ht="9.9499999999999993" hidden="1" customHeight="1" x14ac:dyDescent="0.2"/>
    <row r="47915" ht="9.9499999999999993" hidden="1" customHeight="1" x14ac:dyDescent="0.2"/>
    <row r="47916" ht="9.9499999999999993" hidden="1" customHeight="1" x14ac:dyDescent="0.2"/>
    <row r="47917" ht="9.9499999999999993" hidden="1" customHeight="1" x14ac:dyDescent="0.2"/>
    <row r="47918" ht="9.9499999999999993" hidden="1" customHeight="1" x14ac:dyDescent="0.2"/>
    <row r="47919" ht="9.9499999999999993" hidden="1" customHeight="1" x14ac:dyDescent="0.2"/>
    <row r="47920" ht="9.9499999999999993" hidden="1" customHeight="1" x14ac:dyDescent="0.2"/>
    <row r="47921" ht="9.9499999999999993" hidden="1" customHeight="1" x14ac:dyDescent="0.2"/>
    <row r="47922" ht="9.9499999999999993" hidden="1" customHeight="1" x14ac:dyDescent="0.2"/>
    <row r="47923" ht="9.9499999999999993" hidden="1" customHeight="1" x14ac:dyDescent="0.2"/>
    <row r="47924" ht="9.9499999999999993" hidden="1" customHeight="1" x14ac:dyDescent="0.2"/>
    <row r="47925" ht="9.9499999999999993" hidden="1" customHeight="1" x14ac:dyDescent="0.2"/>
    <row r="47926" ht="9.9499999999999993" hidden="1" customHeight="1" x14ac:dyDescent="0.2"/>
    <row r="47927" ht="9.9499999999999993" hidden="1" customHeight="1" x14ac:dyDescent="0.2"/>
    <row r="47928" ht="9.9499999999999993" hidden="1" customHeight="1" x14ac:dyDescent="0.2"/>
    <row r="47929" ht="9.9499999999999993" hidden="1" customHeight="1" x14ac:dyDescent="0.2"/>
    <row r="47930" ht="9.9499999999999993" hidden="1" customHeight="1" x14ac:dyDescent="0.2"/>
    <row r="47931" ht="9.9499999999999993" hidden="1" customHeight="1" x14ac:dyDescent="0.2"/>
    <row r="47932" ht="9.9499999999999993" hidden="1" customHeight="1" x14ac:dyDescent="0.2"/>
    <row r="47933" ht="9.9499999999999993" hidden="1" customHeight="1" x14ac:dyDescent="0.2"/>
    <row r="47934" ht="9.9499999999999993" hidden="1" customHeight="1" x14ac:dyDescent="0.2"/>
    <row r="47935" ht="9.9499999999999993" hidden="1" customHeight="1" x14ac:dyDescent="0.2"/>
    <row r="47936" ht="9.9499999999999993" hidden="1" customHeight="1" x14ac:dyDescent="0.2"/>
    <row r="47937" ht="9.9499999999999993" hidden="1" customHeight="1" x14ac:dyDescent="0.2"/>
    <row r="47938" ht="9.9499999999999993" hidden="1" customHeight="1" x14ac:dyDescent="0.2"/>
    <row r="47939" ht="9.9499999999999993" hidden="1" customHeight="1" x14ac:dyDescent="0.2"/>
    <row r="47940" ht="9.9499999999999993" hidden="1" customHeight="1" x14ac:dyDescent="0.2"/>
    <row r="47941" ht="9.9499999999999993" hidden="1" customHeight="1" x14ac:dyDescent="0.2"/>
    <row r="47942" ht="9.9499999999999993" hidden="1" customHeight="1" x14ac:dyDescent="0.2"/>
    <row r="47943" ht="9.9499999999999993" hidden="1" customHeight="1" x14ac:dyDescent="0.2"/>
    <row r="47944" ht="9.9499999999999993" hidden="1" customHeight="1" x14ac:dyDescent="0.2"/>
    <row r="47945" ht="9.9499999999999993" hidden="1" customHeight="1" x14ac:dyDescent="0.2"/>
    <row r="47946" ht="9.9499999999999993" hidden="1" customHeight="1" x14ac:dyDescent="0.2"/>
    <row r="47947" ht="9.9499999999999993" hidden="1" customHeight="1" x14ac:dyDescent="0.2"/>
    <row r="47948" ht="9.9499999999999993" hidden="1" customHeight="1" x14ac:dyDescent="0.2"/>
    <row r="47949" ht="9.9499999999999993" hidden="1" customHeight="1" x14ac:dyDescent="0.2"/>
    <row r="47950" ht="9.9499999999999993" hidden="1" customHeight="1" x14ac:dyDescent="0.2"/>
    <row r="47951" ht="9.9499999999999993" hidden="1" customHeight="1" x14ac:dyDescent="0.2"/>
    <row r="47952" ht="9.9499999999999993" hidden="1" customHeight="1" x14ac:dyDescent="0.2"/>
    <row r="47953" ht="9.9499999999999993" hidden="1" customHeight="1" x14ac:dyDescent="0.2"/>
    <row r="47954" ht="9.9499999999999993" hidden="1" customHeight="1" x14ac:dyDescent="0.2"/>
    <row r="47955" ht="9.9499999999999993" hidden="1" customHeight="1" x14ac:dyDescent="0.2"/>
    <row r="47956" ht="9.9499999999999993" hidden="1" customHeight="1" x14ac:dyDescent="0.2"/>
    <row r="47957" ht="9.9499999999999993" hidden="1" customHeight="1" x14ac:dyDescent="0.2"/>
    <row r="47958" ht="9.9499999999999993" hidden="1" customHeight="1" x14ac:dyDescent="0.2"/>
    <row r="47959" ht="9.9499999999999993" hidden="1" customHeight="1" x14ac:dyDescent="0.2"/>
    <row r="47960" ht="9.9499999999999993" hidden="1" customHeight="1" x14ac:dyDescent="0.2"/>
    <row r="47961" ht="9.9499999999999993" hidden="1" customHeight="1" x14ac:dyDescent="0.2"/>
    <row r="47962" ht="9.9499999999999993" hidden="1" customHeight="1" x14ac:dyDescent="0.2"/>
    <row r="47963" ht="9.9499999999999993" hidden="1" customHeight="1" x14ac:dyDescent="0.2"/>
    <row r="47964" ht="9.9499999999999993" hidden="1" customHeight="1" x14ac:dyDescent="0.2"/>
    <row r="47965" ht="9.9499999999999993" hidden="1" customHeight="1" x14ac:dyDescent="0.2"/>
    <row r="47966" ht="9.9499999999999993" hidden="1" customHeight="1" x14ac:dyDescent="0.2"/>
    <row r="47967" ht="9.9499999999999993" hidden="1" customHeight="1" x14ac:dyDescent="0.2"/>
    <row r="47968" ht="9.9499999999999993" hidden="1" customHeight="1" x14ac:dyDescent="0.2"/>
    <row r="47969" ht="9.9499999999999993" hidden="1" customHeight="1" x14ac:dyDescent="0.2"/>
    <row r="47970" ht="9.9499999999999993" hidden="1" customHeight="1" x14ac:dyDescent="0.2"/>
    <row r="47971" ht="9.9499999999999993" hidden="1" customHeight="1" x14ac:dyDescent="0.2"/>
    <row r="47972" ht="9.9499999999999993" hidden="1" customHeight="1" x14ac:dyDescent="0.2"/>
    <row r="47973" ht="9.9499999999999993" hidden="1" customHeight="1" x14ac:dyDescent="0.2"/>
    <row r="47974" ht="9.9499999999999993" hidden="1" customHeight="1" x14ac:dyDescent="0.2"/>
    <row r="47975" ht="9.9499999999999993" hidden="1" customHeight="1" x14ac:dyDescent="0.2"/>
    <row r="47976" ht="9.9499999999999993" hidden="1" customHeight="1" x14ac:dyDescent="0.2"/>
    <row r="47977" ht="9.9499999999999993" hidden="1" customHeight="1" x14ac:dyDescent="0.2"/>
    <row r="47978" ht="9.9499999999999993" hidden="1" customHeight="1" x14ac:dyDescent="0.2"/>
    <row r="47979" ht="9.9499999999999993" hidden="1" customHeight="1" x14ac:dyDescent="0.2"/>
    <row r="47980" ht="9.9499999999999993" hidden="1" customHeight="1" x14ac:dyDescent="0.2"/>
    <row r="47981" ht="9.9499999999999993" hidden="1" customHeight="1" x14ac:dyDescent="0.2"/>
    <row r="47982" ht="9.9499999999999993" hidden="1" customHeight="1" x14ac:dyDescent="0.2"/>
    <row r="47983" ht="9.9499999999999993" hidden="1" customHeight="1" x14ac:dyDescent="0.2"/>
    <row r="47984" ht="9.9499999999999993" hidden="1" customHeight="1" x14ac:dyDescent="0.2"/>
    <row r="47985" ht="9.9499999999999993" hidden="1" customHeight="1" x14ac:dyDescent="0.2"/>
    <row r="47986" ht="9.9499999999999993" hidden="1" customHeight="1" x14ac:dyDescent="0.2"/>
    <row r="47987" ht="9.9499999999999993" hidden="1" customHeight="1" x14ac:dyDescent="0.2"/>
    <row r="47988" ht="9.9499999999999993" hidden="1" customHeight="1" x14ac:dyDescent="0.2"/>
    <row r="47989" ht="9.9499999999999993" hidden="1" customHeight="1" x14ac:dyDescent="0.2"/>
    <row r="47990" ht="9.9499999999999993" hidden="1" customHeight="1" x14ac:dyDescent="0.2"/>
    <row r="47991" ht="9.9499999999999993" hidden="1" customHeight="1" x14ac:dyDescent="0.2"/>
    <row r="47992" ht="9.9499999999999993" hidden="1" customHeight="1" x14ac:dyDescent="0.2"/>
    <row r="47993" ht="9.9499999999999993" hidden="1" customHeight="1" x14ac:dyDescent="0.2"/>
    <row r="47994" ht="9.9499999999999993" hidden="1" customHeight="1" x14ac:dyDescent="0.2"/>
    <row r="47995" ht="9.9499999999999993" hidden="1" customHeight="1" x14ac:dyDescent="0.2"/>
    <row r="47996" ht="9.9499999999999993" hidden="1" customHeight="1" x14ac:dyDescent="0.2"/>
    <row r="47997" ht="9.9499999999999993" hidden="1" customHeight="1" x14ac:dyDescent="0.2"/>
    <row r="47998" ht="9.9499999999999993" hidden="1" customHeight="1" x14ac:dyDescent="0.2"/>
    <row r="47999" ht="9.9499999999999993" hidden="1" customHeight="1" x14ac:dyDescent="0.2"/>
    <row r="48000" ht="9.9499999999999993" hidden="1" customHeight="1" x14ac:dyDescent="0.2"/>
    <row r="48001" ht="9.9499999999999993" hidden="1" customHeight="1" x14ac:dyDescent="0.2"/>
    <row r="48002" ht="9.9499999999999993" hidden="1" customHeight="1" x14ac:dyDescent="0.2"/>
    <row r="48003" ht="9.9499999999999993" hidden="1" customHeight="1" x14ac:dyDescent="0.2"/>
    <row r="48004" ht="9.9499999999999993" hidden="1" customHeight="1" x14ac:dyDescent="0.2"/>
    <row r="48005" ht="9.9499999999999993" hidden="1" customHeight="1" x14ac:dyDescent="0.2"/>
    <row r="48006" ht="9.9499999999999993" hidden="1" customHeight="1" x14ac:dyDescent="0.2"/>
    <row r="48007" ht="9.9499999999999993" hidden="1" customHeight="1" x14ac:dyDescent="0.2"/>
    <row r="48008" ht="9.9499999999999993" hidden="1" customHeight="1" x14ac:dyDescent="0.2"/>
    <row r="48009" ht="9.9499999999999993" hidden="1" customHeight="1" x14ac:dyDescent="0.2"/>
    <row r="48010" ht="9.9499999999999993" hidden="1" customHeight="1" x14ac:dyDescent="0.2"/>
    <row r="48011" ht="9.9499999999999993" hidden="1" customHeight="1" x14ac:dyDescent="0.2"/>
    <row r="48012" ht="9.9499999999999993" hidden="1" customHeight="1" x14ac:dyDescent="0.2"/>
    <row r="48013" ht="9.9499999999999993" hidden="1" customHeight="1" x14ac:dyDescent="0.2"/>
    <row r="48014" ht="9.9499999999999993" hidden="1" customHeight="1" x14ac:dyDescent="0.2"/>
    <row r="48015" ht="9.9499999999999993" hidden="1" customHeight="1" x14ac:dyDescent="0.2"/>
    <row r="48016" ht="9.9499999999999993" hidden="1" customHeight="1" x14ac:dyDescent="0.2"/>
    <row r="48017" ht="9.9499999999999993" hidden="1" customHeight="1" x14ac:dyDescent="0.2"/>
    <row r="48018" ht="9.9499999999999993" hidden="1" customHeight="1" x14ac:dyDescent="0.2"/>
    <row r="48019" ht="9.9499999999999993" hidden="1" customHeight="1" x14ac:dyDescent="0.2"/>
    <row r="48020" ht="9.9499999999999993" hidden="1" customHeight="1" x14ac:dyDescent="0.2"/>
    <row r="48021" ht="9.9499999999999993" hidden="1" customHeight="1" x14ac:dyDescent="0.2"/>
    <row r="48022" ht="9.9499999999999993" hidden="1" customHeight="1" x14ac:dyDescent="0.2"/>
    <row r="48023" ht="9.9499999999999993" hidden="1" customHeight="1" x14ac:dyDescent="0.2"/>
    <row r="48024" ht="9.9499999999999993" hidden="1" customHeight="1" x14ac:dyDescent="0.2"/>
    <row r="48025" ht="9.9499999999999993" hidden="1" customHeight="1" x14ac:dyDescent="0.2"/>
    <row r="48026" ht="9.9499999999999993" hidden="1" customHeight="1" x14ac:dyDescent="0.2"/>
    <row r="48027" ht="9.9499999999999993" hidden="1" customHeight="1" x14ac:dyDescent="0.2"/>
    <row r="48028" ht="9.9499999999999993" hidden="1" customHeight="1" x14ac:dyDescent="0.2"/>
    <row r="48029" ht="9.9499999999999993" hidden="1" customHeight="1" x14ac:dyDescent="0.2"/>
    <row r="48030" ht="9.9499999999999993" hidden="1" customHeight="1" x14ac:dyDescent="0.2"/>
    <row r="48031" ht="9.9499999999999993" hidden="1" customHeight="1" x14ac:dyDescent="0.2"/>
    <row r="48032" ht="9.9499999999999993" hidden="1" customHeight="1" x14ac:dyDescent="0.2"/>
    <row r="48033" ht="9.9499999999999993" hidden="1" customHeight="1" x14ac:dyDescent="0.2"/>
    <row r="48034" ht="9.9499999999999993" hidden="1" customHeight="1" x14ac:dyDescent="0.2"/>
    <row r="48035" ht="9.9499999999999993" hidden="1" customHeight="1" x14ac:dyDescent="0.2"/>
    <row r="48036" ht="9.9499999999999993" hidden="1" customHeight="1" x14ac:dyDescent="0.2"/>
    <row r="48037" ht="9.9499999999999993" hidden="1" customHeight="1" x14ac:dyDescent="0.2"/>
    <row r="48038" ht="9.9499999999999993" hidden="1" customHeight="1" x14ac:dyDescent="0.2"/>
    <row r="48039" ht="9.9499999999999993" hidden="1" customHeight="1" x14ac:dyDescent="0.2"/>
    <row r="48040" ht="9.9499999999999993" hidden="1" customHeight="1" x14ac:dyDescent="0.2"/>
    <row r="48041" ht="9.9499999999999993" hidden="1" customHeight="1" x14ac:dyDescent="0.2"/>
    <row r="48042" ht="9.9499999999999993" hidden="1" customHeight="1" x14ac:dyDescent="0.2"/>
    <row r="48043" ht="9.9499999999999993" hidden="1" customHeight="1" x14ac:dyDescent="0.2"/>
    <row r="48044" ht="9.9499999999999993" hidden="1" customHeight="1" x14ac:dyDescent="0.2"/>
    <row r="48045" ht="9.9499999999999993" hidden="1" customHeight="1" x14ac:dyDescent="0.2"/>
    <row r="48046" ht="9.9499999999999993" hidden="1" customHeight="1" x14ac:dyDescent="0.2"/>
    <row r="48047" ht="9.9499999999999993" hidden="1" customHeight="1" x14ac:dyDescent="0.2"/>
    <row r="48048" ht="9.9499999999999993" hidden="1" customHeight="1" x14ac:dyDescent="0.2"/>
    <row r="48049" ht="9.9499999999999993" hidden="1" customHeight="1" x14ac:dyDescent="0.2"/>
    <row r="48050" ht="9.9499999999999993" hidden="1" customHeight="1" x14ac:dyDescent="0.2"/>
    <row r="48051" ht="9.9499999999999993" hidden="1" customHeight="1" x14ac:dyDescent="0.2"/>
    <row r="48052" ht="9.9499999999999993" hidden="1" customHeight="1" x14ac:dyDescent="0.2"/>
    <row r="48053" ht="9.9499999999999993" hidden="1" customHeight="1" x14ac:dyDescent="0.2"/>
    <row r="48054" ht="9.9499999999999993" hidden="1" customHeight="1" x14ac:dyDescent="0.2"/>
    <row r="48055" ht="9.9499999999999993" hidden="1" customHeight="1" x14ac:dyDescent="0.2"/>
    <row r="48056" ht="9.9499999999999993" hidden="1" customHeight="1" x14ac:dyDescent="0.2"/>
    <row r="48057" ht="9.9499999999999993" hidden="1" customHeight="1" x14ac:dyDescent="0.2"/>
    <row r="48058" ht="9.9499999999999993" hidden="1" customHeight="1" x14ac:dyDescent="0.2"/>
    <row r="48059" ht="9.9499999999999993" hidden="1" customHeight="1" x14ac:dyDescent="0.2"/>
    <row r="48060" ht="9.9499999999999993" hidden="1" customHeight="1" x14ac:dyDescent="0.2"/>
    <row r="48061" ht="9.9499999999999993" hidden="1" customHeight="1" x14ac:dyDescent="0.2"/>
    <row r="48062" ht="9.9499999999999993" hidden="1" customHeight="1" x14ac:dyDescent="0.2"/>
    <row r="48063" ht="9.9499999999999993" hidden="1" customHeight="1" x14ac:dyDescent="0.2"/>
    <row r="48064" ht="9.9499999999999993" hidden="1" customHeight="1" x14ac:dyDescent="0.2"/>
    <row r="48065" ht="9.9499999999999993" hidden="1" customHeight="1" x14ac:dyDescent="0.2"/>
    <row r="48066" ht="9.9499999999999993" hidden="1" customHeight="1" x14ac:dyDescent="0.2"/>
    <row r="48067" ht="9.9499999999999993" hidden="1" customHeight="1" x14ac:dyDescent="0.2"/>
    <row r="48068" ht="9.9499999999999993" hidden="1" customHeight="1" x14ac:dyDescent="0.2"/>
    <row r="48069" ht="9.9499999999999993" hidden="1" customHeight="1" x14ac:dyDescent="0.2"/>
    <row r="48070" ht="9.9499999999999993" hidden="1" customHeight="1" x14ac:dyDescent="0.2"/>
    <row r="48071" ht="9.9499999999999993" hidden="1" customHeight="1" x14ac:dyDescent="0.2"/>
    <row r="48072" ht="9.9499999999999993" hidden="1" customHeight="1" x14ac:dyDescent="0.2"/>
    <row r="48073" ht="9.9499999999999993" hidden="1" customHeight="1" x14ac:dyDescent="0.2"/>
    <row r="48074" ht="9.9499999999999993" hidden="1" customHeight="1" x14ac:dyDescent="0.2"/>
    <row r="48075" ht="9.9499999999999993" hidden="1" customHeight="1" x14ac:dyDescent="0.2"/>
    <row r="48076" ht="9.9499999999999993" hidden="1" customHeight="1" x14ac:dyDescent="0.2"/>
    <row r="48077" ht="9.9499999999999993" hidden="1" customHeight="1" x14ac:dyDescent="0.2"/>
    <row r="48078" ht="9.9499999999999993" hidden="1" customHeight="1" x14ac:dyDescent="0.2"/>
    <row r="48079" ht="9.9499999999999993" hidden="1" customHeight="1" x14ac:dyDescent="0.2"/>
    <row r="48080" ht="9.9499999999999993" hidden="1" customHeight="1" x14ac:dyDescent="0.2"/>
    <row r="48081" ht="9.9499999999999993" hidden="1" customHeight="1" x14ac:dyDescent="0.2"/>
    <row r="48082" ht="9.9499999999999993" hidden="1" customHeight="1" x14ac:dyDescent="0.2"/>
    <row r="48083" ht="9.9499999999999993" hidden="1" customHeight="1" x14ac:dyDescent="0.2"/>
    <row r="48084" ht="9.9499999999999993" hidden="1" customHeight="1" x14ac:dyDescent="0.2"/>
    <row r="48085" ht="9.9499999999999993" hidden="1" customHeight="1" x14ac:dyDescent="0.2"/>
    <row r="48086" ht="9.9499999999999993" hidden="1" customHeight="1" x14ac:dyDescent="0.2"/>
    <row r="48087" ht="9.9499999999999993" hidden="1" customHeight="1" x14ac:dyDescent="0.2"/>
    <row r="48088" ht="9.9499999999999993" hidden="1" customHeight="1" x14ac:dyDescent="0.2"/>
    <row r="48089" ht="9.9499999999999993" hidden="1" customHeight="1" x14ac:dyDescent="0.2"/>
    <row r="48090" ht="9.9499999999999993" hidden="1" customHeight="1" x14ac:dyDescent="0.2"/>
    <row r="48091" ht="9.9499999999999993" hidden="1" customHeight="1" x14ac:dyDescent="0.2"/>
    <row r="48092" ht="9.9499999999999993" hidden="1" customHeight="1" x14ac:dyDescent="0.2"/>
    <row r="48093" ht="9.9499999999999993" hidden="1" customHeight="1" x14ac:dyDescent="0.2"/>
    <row r="48094" ht="9.9499999999999993" hidden="1" customHeight="1" x14ac:dyDescent="0.2"/>
    <row r="48095" ht="9.9499999999999993" hidden="1" customHeight="1" x14ac:dyDescent="0.2"/>
    <row r="48096" ht="9.9499999999999993" hidden="1" customHeight="1" x14ac:dyDescent="0.2"/>
    <row r="48097" ht="9.9499999999999993" hidden="1" customHeight="1" x14ac:dyDescent="0.2"/>
    <row r="48098" ht="9.9499999999999993" hidden="1" customHeight="1" x14ac:dyDescent="0.2"/>
    <row r="48099" ht="9.9499999999999993" hidden="1" customHeight="1" x14ac:dyDescent="0.2"/>
    <row r="48100" ht="9.9499999999999993" hidden="1" customHeight="1" x14ac:dyDescent="0.2"/>
    <row r="48101" ht="9.9499999999999993" hidden="1" customHeight="1" x14ac:dyDescent="0.2"/>
    <row r="48102" ht="9.9499999999999993" hidden="1" customHeight="1" x14ac:dyDescent="0.2"/>
    <row r="48103" ht="9.9499999999999993" hidden="1" customHeight="1" x14ac:dyDescent="0.2"/>
    <row r="48104" ht="9.9499999999999993" hidden="1" customHeight="1" x14ac:dyDescent="0.2"/>
    <row r="48105" ht="9.9499999999999993" hidden="1" customHeight="1" x14ac:dyDescent="0.2"/>
    <row r="48106" ht="9.9499999999999993" hidden="1" customHeight="1" x14ac:dyDescent="0.2"/>
    <row r="48107" ht="9.9499999999999993" hidden="1" customHeight="1" x14ac:dyDescent="0.2"/>
    <row r="48108" ht="9.9499999999999993" hidden="1" customHeight="1" x14ac:dyDescent="0.2"/>
    <row r="48109" ht="9.9499999999999993" hidden="1" customHeight="1" x14ac:dyDescent="0.2"/>
    <row r="48110" ht="9.9499999999999993" hidden="1" customHeight="1" x14ac:dyDescent="0.2"/>
    <row r="48111" ht="9.9499999999999993" hidden="1" customHeight="1" x14ac:dyDescent="0.2"/>
    <row r="48112" ht="9.9499999999999993" hidden="1" customHeight="1" x14ac:dyDescent="0.2"/>
    <row r="48113" ht="9.9499999999999993" hidden="1" customHeight="1" x14ac:dyDescent="0.2"/>
    <row r="48114" ht="9.9499999999999993" hidden="1" customHeight="1" x14ac:dyDescent="0.2"/>
    <row r="48115" ht="9.9499999999999993" hidden="1" customHeight="1" x14ac:dyDescent="0.2"/>
    <row r="48116" ht="9.9499999999999993" hidden="1" customHeight="1" x14ac:dyDescent="0.2"/>
    <row r="48117" ht="9.9499999999999993" hidden="1" customHeight="1" x14ac:dyDescent="0.2"/>
    <row r="48118" ht="9.9499999999999993" hidden="1" customHeight="1" x14ac:dyDescent="0.2"/>
    <row r="48119" ht="9.9499999999999993" hidden="1" customHeight="1" x14ac:dyDescent="0.2"/>
    <row r="48120" ht="9.9499999999999993" hidden="1" customHeight="1" x14ac:dyDescent="0.2"/>
    <row r="48121" ht="9.9499999999999993" hidden="1" customHeight="1" x14ac:dyDescent="0.2"/>
    <row r="48122" ht="9.9499999999999993" hidden="1" customHeight="1" x14ac:dyDescent="0.2"/>
    <row r="48123" ht="9.9499999999999993" hidden="1" customHeight="1" x14ac:dyDescent="0.2"/>
    <row r="48124" ht="9.9499999999999993" hidden="1" customHeight="1" x14ac:dyDescent="0.2"/>
    <row r="48125" ht="9.9499999999999993" hidden="1" customHeight="1" x14ac:dyDescent="0.2"/>
    <row r="48126" ht="9.9499999999999993" hidden="1" customHeight="1" x14ac:dyDescent="0.2"/>
    <row r="48127" ht="9.9499999999999993" hidden="1" customHeight="1" x14ac:dyDescent="0.2"/>
    <row r="48128" ht="9.9499999999999993" hidden="1" customHeight="1" x14ac:dyDescent="0.2"/>
    <row r="48129" ht="9.9499999999999993" hidden="1" customHeight="1" x14ac:dyDescent="0.2"/>
    <row r="48130" ht="9.9499999999999993" hidden="1" customHeight="1" x14ac:dyDescent="0.2"/>
    <row r="48131" ht="9.9499999999999993" hidden="1" customHeight="1" x14ac:dyDescent="0.2"/>
    <row r="48132" ht="9.9499999999999993" hidden="1" customHeight="1" x14ac:dyDescent="0.2"/>
    <row r="48133" ht="9.9499999999999993" hidden="1" customHeight="1" x14ac:dyDescent="0.2"/>
    <row r="48134" ht="9.9499999999999993" hidden="1" customHeight="1" x14ac:dyDescent="0.2"/>
    <row r="48135" ht="9.9499999999999993" hidden="1" customHeight="1" x14ac:dyDescent="0.2"/>
    <row r="48136" ht="9.9499999999999993" hidden="1" customHeight="1" x14ac:dyDescent="0.2"/>
    <row r="48137" ht="9.9499999999999993" hidden="1" customHeight="1" x14ac:dyDescent="0.2"/>
    <row r="48138" ht="9.9499999999999993" hidden="1" customHeight="1" x14ac:dyDescent="0.2"/>
    <row r="48139" ht="9.9499999999999993" hidden="1" customHeight="1" x14ac:dyDescent="0.2"/>
    <row r="48140" ht="9.9499999999999993" hidden="1" customHeight="1" x14ac:dyDescent="0.2"/>
    <row r="48141" ht="9.9499999999999993" hidden="1" customHeight="1" x14ac:dyDescent="0.2"/>
    <row r="48142" ht="9.9499999999999993" hidden="1" customHeight="1" x14ac:dyDescent="0.2"/>
    <row r="48143" ht="9.9499999999999993" hidden="1" customHeight="1" x14ac:dyDescent="0.2"/>
    <row r="48144" ht="9.9499999999999993" hidden="1" customHeight="1" x14ac:dyDescent="0.2"/>
    <row r="48145" ht="9.9499999999999993" hidden="1" customHeight="1" x14ac:dyDescent="0.2"/>
    <row r="48146" ht="9.9499999999999993" hidden="1" customHeight="1" x14ac:dyDescent="0.2"/>
    <row r="48147" ht="9.9499999999999993" hidden="1" customHeight="1" x14ac:dyDescent="0.2"/>
    <row r="48148" ht="9.9499999999999993" hidden="1" customHeight="1" x14ac:dyDescent="0.2"/>
    <row r="48149" ht="9.9499999999999993" hidden="1" customHeight="1" x14ac:dyDescent="0.2"/>
    <row r="48150" ht="9.9499999999999993" hidden="1" customHeight="1" x14ac:dyDescent="0.2"/>
    <row r="48151" ht="9.9499999999999993" hidden="1" customHeight="1" x14ac:dyDescent="0.2"/>
    <row r="48152" ht="9.9499999999999993" hidden="1" customHeight="1" x14ac:dyDescent="0.2"/>
    <row r="48153" ht="9.9499999999999993" hidden="1" customHeight="1" x14ac:dyDescent="0.2"/>
    <row r="48154" ht="9.9499999999999993" hidden="1" customHeight="1" x14ac:dyDescent="0.2"/>
    <row r="48155" ht="9.9499999999999993" hidden="1" customHeight="1" x14ac:dyDescent="0.2"/>
    <row r="48156" ht="9.9499999999999993" hidden="1" customHeight="1" x14ac:dyDescent="0.2"/>
    <row r="48157" ht="9.9499999999999993" hidden="1" customHeight="1" x14ac:dyDescent="0.2"/>
    <row r="48158" ht="9.9499999999999993" hidden="1" customHeight="1" x14ac:dyDescent="0.2"/>
    <row r="48159" ht="9.9499999999999993" hidden="1" customHeight="1" x14ac:dyDescent="0.2"/>
    <row r="48160" ht="9.9499999999999993" hidden="1" customHeight="1" x14ac:dyDescent="0.2"/>
    <row r="48161" ht="9.9499999999999993" hidden="1" customHeight="1" x14ac:dyDescent="0.2"/>
    <row r="48162" ht="9.9499999999999993" hidden="1" customHeight="1" x14ac:dyDescent="0.2"/>
    <row r="48163" ht="9.9499999999999993" hidden="1" customHeight="1" x14ac:dyDescent="0.2"/>
    <row r="48164" ht="9.9499999999999993" hidden="1" customHeight="1" x14ac:dyDescent="0.2"/>
    <row r="48165" ht="9.9499999999999993" hidden="1" customHeight="1" x14ac:dyDescent="0.2"/>
    <row r="48166" ht="9.9499999999999993" hidden="1" customHeight="1" x14ac:dyDescent="0.2"/>
    <row r="48167" ht="9.9499999999999993" hidden="1" customHeight="1" x14ac:dyDescent="0.2"/>
    <row r="48168" ht="9.9499999999999993" hidden="1" customHeight="1" x14ac:dyDescent="0.2"/>
    <row r="48169" ht="9.9499999999999993" hidden="1" customHeight="1" x14ac:dyDescent="0.2"/>
    <row r="48170" ht="9.9499999999999993" hidden="1" customHeight="1" x14ac:dyDescent="0.2"/>
    <row r="48171" ht="9.9499999999999993" hidden="1" customHeight="1" x14ac:dyDescent="0.2"/>
    <row r="48172" ht="9.9499999999999993" hidden="1" customHeight="1" x14ac:dyDescent="0.2"/>
    <row r="48173" ht="9.9499999999999993" hidden="1" customHeight="1" x14ac:dyDescent="0.2"/>
    <row r="48174" ht="9.9499999999999993" hidden="1" customHeight="1" x14ac:dyDescent="0.2"/>
    <row r="48175" ht="9.9499999999999993" hidden="1" customHeight="1" x14ac:dyDescent="0.2"/>
    <row r="48176" ht="9.9499999999999993" hidden="1" customHeight="1" x14ac:dyDescent="0.2"/>
    <row r="48177" ht="9.9499999999999993" hidden="1" customHeight="1" x14ac:dyDescent="0.2"/>
    <row r="48178" ht="9.9499999999999993" hidden="1" customHeight="1" x14ac:dyDescent="0.2"/>
    <row r="48179" ht="9.9499999999999993" hidden="1" customHeight="1" x14ac:dyDescent="0.2"/>
    <row r="48180" ht="9.9499999999999993" hidden="1" customHeight="1" x14ac:dyDescent="0.2"/>
    <row r="48181" ht="9.9499999999999993" hidden="1" customHeight="1" x14ac:dyDescent="0.2"/>
    <row r="48182" ht="9.9499999999999993" hidden="1" customHeight="1" x14ac:dyDescent="0.2"/>
    <row r="48183" ht="9.9499999999999993" hidden="1" customHeight="1" x14ac:dyDescent="0.2"/>
    <row r="48184" ht="9.9499999999999993" hidden="1" customHeight="1" x14ac:dyDescent="0.2"/>
    <row r="48185" ht="9.9499999999999993" hidden="1" customHeight="1" x14ac:dyDescent="0.2"/>
    <row r="48186" ht="9.9499999999999993" hidden="1" customHeight="1" x14ac:dyDescent="0.2"/>
    <row r="48187" ht="9.9499999999999993" hidden="1" customHeight="1" x14ac:dyDescent="0.2"/>
    <row r="48188" ht="9.9499999999999993" hidden="1" customHeight="1" x14ac:dyDescent="0.2"/>
    <row r="48189" ht="9.9499999999999993" hidden="1" customHeight="1" x14ac:dyDescent="0.2"/>
    <row r="48190" ht="9.9499999999999993" hidden="1" customHeight="1" x14ac:dyDescent="0.2"/>
    <row r="48191" ht="9.9499999999999993" hidden="1" customHeight="1" x14ac:dyDescent="0.2"/>
    <row r="48192" ht="9.9499999999999993" hidden="1" customHeight="1" x14ac:dyDescent="0.2"/>
    <row r="48193" ht="9.9499999999999993" hidden="1" customHeight="1" x14ac:dyDescent="0.2"/>
    <row r="48194" ht="9.9499999999999993" hidden="1" customHeight="1" x14ac:dyDescent="0.2"/>
    <row r="48195" ht="9.9499999999999993" hidden="1" customHeight="1" x14ac:dyDescent="0.2"/>
    <row r="48196" ht="9.9499999999999993" hidden="1" customHeight="1" x14ac:dyDescent="0.2"/>
    <row r="48197" ht="9.9499999999999993" hidden="1" customHeight="1" x14ac:dyDescent="0.2"/>
    <row r="48198" ht="9.9499999999999993" hidden="1" customHeight="1" x14ac:dyDescent="0.2"/>
    <row r="48199" ht="9.9499999999999993" hidden="1" customHeight="1" x14ac:dyDescent="0.2"/>
    <row r="48200" ht="9.9499999999999993" hidden="1" customHeight="1" x14ac:dyDescent="0.2"/>
    <row r="48201" ht="9.9499999999999993" hidden="1" customHeight="1" x14ac:dyDescent="0.2"/>
    <row r="48202" ht="9.9499999999999993" hidden="1" customHeight="1" x14ac:dyDescent="0.2"/>
    <row r="48203" ht="9.9499999999999993" hidden="1" customHeight="1" x14ac:dyDescent="0.2"/>
    <row r="48204" ht="9.9499999999999993" hidden="1" customHeight="1" x14ac:dyDescent="0.2"/>
    <row r="48205" ht="9.9499999999999993" hidden="1" customHeight="1" x14ac:dyDescent="0.2"/>
    <row r="48206" ht="9.9499999999999993" hidden="1" customHeight="1" x14ac:dyDescent="0.2"/>
    <row r="48207" ht="9.9499999999999993" hidden="1" customHeight="1" x14ac:dyDescent="0.2"/>
    <row r="48208" ht="9.9499999999999993" hidden="1" customHeight="1" x14ac:dyDescent="0.2"/>
    <row r="48209" ht="9.9499999999999993" hidden="1" customHeight="1" x14ac:dyDescent="0.2"/>
    <row r="48210" ht="9.9499999999999993" hidden="1" customHeight="1" x14ac:dyDescent="0.2"/>
    <row r="48211" ht="9.9499999999999993" hidden="1" customHeight="1" x14ac:dyDescent="0.2"/>
    <row r="48212" ht="9.9499999999999993" hidden="1" customHeight="1" x14ac:dyDescent="0.2"/>
    <row r="48213" ht="9.9499999999999993" hidden="1" customHeight="1" x14ac:dyDescent="0.2"/>
    <row r="48214" ht="9.9499999999999993" hidden="1" customHeight="1" x14ac:dyDescent="0.2"/>
    <row r="48215" ht="9.9499999999999993" hidden="1" customHeight="1" x14ac:dyDescent="0.2"/>
    <row r="48216" ht="9.9499999999999993" hidden="1" customHeight="1" x14ac:dyDescent="0.2"/>
    <row r="48217" ht="9.9499999999999993" hidden="1" customHeight="1" x14ac:dyDescent="0.2"/>
    <row r="48218" ht="9.9499999999999993" hidden="1" customHeight="1" x14ac:dyDescent="0.2"/>
    <row r="48219" ht="9.9499999999999993" hidden="1" customHeight="1" x14ac:dyDescent="0.2"/>
    <row r="48220" ht="9.9499999999999993" hidden="1" customHeight="1" x14ac:dyDescent="0.2"/>
    <row r="48221" ht="9.9499999999999993" hidden="1" customHeight="1" x14ac:dyDescent="0.2"/>
    <row r="48222" ht="9.9499999999999993" hidden="1" customHeight="1" x14ac:dyDescent="0.2"/>
    <row r="48223" ht="9.9499999999999993" hidden="1" customHeight="1" x14ac:dyDescent="0.2"/>
    <row r="48224" ht="9.9499999999999993" hidden="1" customHeight="1" x14ac:dyDescent="0.2"/>
    <row r="48225" ht="9.9499999999999993" hidden="1" customHeight="1" x14ac:dyDescent="0.2"/>
    <row r="48226" ht="9.9499999999999993" hidden="1" customHeight="1" x14ac:dyDescent="0.2"/>
    <row r="48227" ht="9.9499999999999993" hidden="1" customHeight="1" x14ac:dyDescent="0.2"/>
    <row r="48228" ht="9.9499999999999993" hidden="1" customHeight="1" x14ac:dyDescent="0.2"/>
    <row r="48229" ht="9.9499999999999993" hidden="1" customHeight="1" x14ac:dyDescent="0.2"/>
    <row r="48230" ht="9.9499999999999993" hidden="1" customHeight="1" x14ac:dyDescent="0.2"/>
    <row r="48231" ht="9.9499999999999993" hidden="1" customHeight="1" x14ac:dyDescent="0.2"/>
    <row r="48232" ht="9.9499999999999993" hidden="1" customHeight="1" x14ac:dyDescent="0.2"/>
    <row r="48233" ht="9.9499999999999993" hidden="1" customHeight="1" x14ac:dyDescent="0.2"/>
    <row r="48234" ht="9.9499999999999993" hidden="1" customHeight="1" x14ac:dyDescent="0.2"/>
    <row r="48235" ht="9.9499999999999993" hidden="1" customHeight="1" x14ac:dyDescent="0.2"/>
    <row r="48236" ht="9.9499999999999993" hidden="1" customHeight="1" x14ac:dyDescent="0.2"/>
    <row r="48237" ht="9.9499999999999993" hidden="1" customHeight="1" x14ac:dyDescent="0.2"/>
    <row r="48238" ht="9.9499999999999993" hidden="1" customHeight="1" x14ac:dyDescent="0.2"/>
    <row r="48239" ht="9.9499999999999993" hidden="1" customHeight="1" x14ac:dyDescent="0.2"/>
    <row r="48240" ht="9.9499999999999993" hidden="1" customHeight="1" x14ac:dyDescent="0.2"/>
    <row r="48241" ht="9.9499999999999993" hidden="1" customHeight="1" x14ac:dyDescent="0.2"/>
    <row r="48242" ht="9.9499999999999993" hidden="1" customHeight="1" x14ac:dyDescent="0.2"/>
    <row r="48243" ht="9.9499999999999993" hidden="1" customHeight="1" x14ac:dyDescent="0.2"/>
    <row r="48244" ht="9.9499999999999993" hidden="1" customHeight="1" x14ac:dyDescent="0.2"/>
    <row r="48245" ht="9.9499999999999993" hidden="1" customHeight="1" x14ac:dyDescent="0.2"/>
    <row r="48246" ht="9.9499999999999993" hidden="1" customHeight="1" x14ac:dyDescent="0.2"/>
    <row r="48247" ht="9.9499999999999993" hidden="1" customHeight="1" x14ac:dyDescent="0.2"/>
    <row r="48248" ht="9.9499999999999993" hidden="1" customHeight="1" x14ac:dyDescent="0.2"/>
    <row r="48249" ht="9.9499999999999993" hidden="1" customHeight="1" x14ac:dyDescent="0.2"/>
    <row r="48250" ht="9.9499999999999993" hidden="1" customHeight="1" x14ac:dyDescent="0.2"/>
    <row r="48251" ht="9.9499999999999993" hidden="1" customHeight="1" x14ac:dyDescent="0.2"/>
    <row r="48252" ht="9.9499999999999993" hidden="1" customHeight="1" x14ac:dyDescent="0.2"/>
    <row r="48253" ht="9.9499999999999993" hidden="1" customHeight="1" x14ac:dyDescent="0.2"/>
    <row r="48254" ht="9.9499999999999993" hidden="1" customHeight="1" x14ac:dyDescent="0.2"/>
    <row r="48255" ht="9.9499999999999993" hidden="1" customHeight="1" x14ac:dyDescent="0.2"/>
    <row r="48256" ht="9.9499999999999993" hidden="1" customHeight="1" x14ac:dyDescent="0.2"/>
    <row r="48257" ht="9.9499999999999993" hidden="1" customHeight="1" x14ac:dyDescent="0.2"/>
    <row r="48258" ht="9.9499999999999993" hidden="1" customHeight="1" x14ac:dyDescent="0.2"/>
    <row r="48259" ht="9.9499999999999993" hidden="1" customHeight="1" x14ac:dyDescent="0.2"/>
    <row r="48260" ht="9.9499999999999993" hidden="1" customHeight="1" x14ac:dyDescent="0.2"/>
    <row r="48261" ht="9.9499999999999993" hidden="1" customHeight="1" x14ac:dyDescent="0.2"/>
    <row r="48262" ht="9.9499999999999993" hidden="1" customHeight="1" x14ac:dyDescent="0.2"/>
    <row r="48263" ht="9.9499999999999993" hidden="1" customHeight="1" x14ac:dyDescent="0.2"/>
    <row r="48264" ht="9.9499999999999993" hidden="1" customHeight="1" x14ac:dyDescent="0.2"/>
    <row r="48265" ht="9.9499999999999993" hidden="1" customHeight="1" x14ac:dyDescent="0.2"/>
    <row r="48266" ht="9.9499999999999993" hidden="1" customHeight="1" x14ac:dyDescent="0.2"/>
    <row r="48267" ht="9.9499999999999993" hidden="1" customHeight="1" x14ac:dyDescent="0.2"/>
    <row r="48268" ht="9.9499999999999993" hidden="1" customHeight="1" x14ac:dyDescent="0.2"/>
    <row r="48269" ht="9.9499999999999993" hidden="1" customHeight="1" x14ac:dyDescent="0.2"/>
    <row r="48270" ht="9.9499999999999993" hidden="1" customHeight="1" x14ac:dyDescent="0.2"/>
    <row r="48271" ht="9.9499999999999993" hidden="1" customHeight="1" x14ac:dyDescent="0.2"/>
    <row r="48272" ht="9.9499999999999993" hidden="1" customHeight="1" x14ac:dyDescent="0.2"/>
    <row r="48273" ht="9.9499999999999993" hidden="1" customHeight="1" x14ac:dyDescent="0.2"/>
    <row r="48274" ht="9.9499999999999993" hidden="1" customHeight="1" x14ac:dyDescent="0.2"/>
    <row r="48275" ht="9.9499999999999993" hidden="1" customHeight="1" x14ac:dyDescent="0.2"/>
    <row r="48276" ht="9.9499999999999993" hidden="1" customHeight="1" x14ac:dyDescent="0.2"/>
    <row r="48277" ht="9.9499999999999993" hidden="1" customHeight="1" x14ac:dyDescent="0.2"/>
    <row r="48278" ht="9.9499999999999993" hidden="1" customHeight="1" x14ac:dyDescent="0.2"/>
    <row r="48279" ht="9.9499999999999993" hidden="1" customHeight="1" x14ac:dyDescent="0.2"/>
    <row r="48280" ht="9.9499999999999993" hidden="1" customHeight="1" x14ac:dyDescent="0.2"/>
    <row r="48281" ht="9.9499999999999993" hidden="1" customHeight="1" x14ac:dyDescent="0.2"/>
    <row r="48282" ht="9.9499999999999993" hidden="1" customHeight="1" x14ac:dyDescent="0.2"/>
    <row r="48283" ht="9.9499999999999993" hidden="1" customHeight="1" x14ac:dyDescent="0.2"/>
    <row r="48284" ht="9.9499999999999993" hidden="1" customHeight="1" x14ac:dyDescent="0.2"/>
    <row r="48285" ht="9.9499999999999993" hidden="1" customHeight="1" x14ac:dyDescent="0.2"/>
    <row r="48286" ht="9.9499999999999993" hidden="1" customHeight="1" x14ac:dyDescent="0.2"/>
    <row r="48287" ht="9.9499999999999993" hidden="1" customHeight="1" x14ac:dyDescent="0.2"/>
    <row r="48288" ht="9.9499999999999993" hidden="1" customHeight="1" x14ac:dyDescent="0.2"/>
    <row r="48289" ht="9.9499999999999993" hidden="1" customHeight="1" x14ac:dyDescent="0.2"/>
    <row r="48290" ht="9.9499999999999993" hidden="1" customHeight="1" x14ac:dyDescent="0.2"/>
    <row r="48291" ht="9.9499999999999993" hidden="1" customHeight="1" x14ac:dyDescent="0.2"/>
    <row r="48292" ht="9.9499999999999993" hidden="1" customHeight="1" x14ac:dyDescent="0.2"/>
    <row r="48293" ht="9.9499999999999993" hidden="1" customHeight="1" x14ac:dyDescent="0.2"/>
    <row r="48294" ht="9.9499999999999993" hidden="1" customHeight="1" x14ac:dyDescent="0.2"/>
    <row r="48295" ht="9.9499999999999993" hidden="1" customHeight="1" x14ac:dyDescent="0.2"/>
    <row r="48296" ht="9.9499999999999993" hidden="1" customHeight="1" x14ac:dyDescent="0.2"/>
    <row r="48297" ht="9.9499999999999993" hidden="1" customHeight="1" x14ac:dyDescent="0.2"/>
    <row r="48298" ht="9.9499999999999993" hidden="1" customHeight="1" x14ac:dyDescent="0.2"/>
    <row r="48299" ht="9.9499999999999993" hidden="1" customHeight="1" x14ac:dyDescent="0.2"/>
    <row r="48300" ht="9.9499999999999993" hidden="1" customHeight="1" x14ac:dyDescent="0.2"/>
    <row r="48301" ht="9.9499999999999993" hidden="1" customHeight="1" x14ac:dyDescent="0.2"/>
    <row r="48302" ht="9.9499999999999993" hidden="1" customHeight="1" x14ac:dyDescent="0.2"/>
    <row r="48303" ht="9.9499999999999993" hidden="1" customHeight="1" x14ac:dyDescent="0.2"/>
    <row r="48304" ht="9.9499999999999993" hidden="1" customHeight="1" x14ac:dyDescent="0.2"/>
    <row r="48305" ht="9.9499999999999993" hidden="1" customHeight="1" x14ac:dyDescent="0.2"/>
    <row r="48306" ht="9.9499999999999993" hidden="1" customHeight="1" x14ac:dyDescent="0.2"/>
    <row r="48307" ht="9.9499999999999993" hidden="1" customHeight="1" x14ac:dyDescent="0.2"/>
    <row r="48308" ht="9.9499999999999993" hidden="1" customHeight="1" x14ac:dyDescent="0.2"/>
    <row r="48309" ht="9.9499999999999993" hidden="1" customHeight="1" x14ac:dyDescent="0.2"/>
    <row r="48310" ht="9.9499999999999993" hidden="1" customHeight="1" x14ac:dyDescent="0.2"/>
    <row r="48311" ht="9.9499999999999993" hidden="1" customHeight="1" x14ac:dyDescent="0.2"/>
    <row r="48312" ht="9.9499999999999993" hidden="1" customHeight="1" x14ac:dyDescent="0.2"/>
    <row r="48313" ht="9.9499999999999993" hidden="1" customHeight="1" x14ac:dyDescent="0.2"/>
    <row r="48314" ht="9.9499999999999993" hidden="1" customHeight="1" x14ac:dyDescent="0.2"/>
    <row r="48315" ht="9.9499999999999993" hidden="1" customHeight="1" x14ac:dyDescent="0.2"/>
    <row r="48316" ht="9.9499999999999993" hidden="1" customHeight="1" x14ac:dyDescent="0.2"/>
    <row r="48317" ht="9.9499999999999993" hidden="1" customHeight="1" x14ac:dyDescent="0.2"/>
    <row r="48318" ht="9.9499999999999993" hidden="1" customHeight="1" x14ac:dyDescent="0.2"/>
    <row r="48319" ht="9.9499999999999993" hidden="1" customHeight="1" x14ac:dyDescent="0.2"/>
    <row r="48320" ht="9.9499999999999993" hidden="1" customHeight="1" x14ac:dyDescent="0.2"/>
    <row r="48321" ht="9.9499999999999993" hidden="1" customHeight="1" x14ac:dyDescent="0.2"/>
    <row r="48322" ht="9.9499999999999993" hidden="1" customHeight="1" x14ac:dyDescent="0.2"/>
    <row r="48323" ht="9.9499999999999993" hidden="1" customHeight="1" x14ac:dyDescent="0.2"/>
    <row r="48324" ht="9.9499999999999993" hidden="1" customHeight="1" x14ac:dyDescent="0.2"/>
    <row r="48325" ht="9.9499999999999993" hidden="1" customHeight="1" x14ac:dyDescent="0.2"/>
    <row r="48326" ht="9.9499999999999993" hidden="1" customHeight="1" x14ac:dyDescent="0.2"/>
    <row r="48327" ht="9.9499999999999993" hidden="1" customHeight="1" x14ac:dyDescent="0.2"/>
    <row r="48328" ht="9.9499999999999993" hidden="1" customHeight="1" x14ac:dyDescent="0.2"/>
    <row r="48329" ht="9.9499999999999993" hidden="1" customHeight="1" x14ac:dyDescent="0.2"/>
    <row r="48330" ht="9.9499999999999993" hidden="1" customHeight="1" x14ac:dyDescent="0.2"/>
    <row r="48331" ht="9.9499999999999993" hidden="1" customHeight="1" x14ac:dyDescent="0.2"/>
    <row r="48332" ht="9.9499999999999993" hidden="1" customHeight="1" x14ac:dyDescent="0.2"/>
    <row r="48333" ht="9.9499999999999993" hidden="1" customHeight="1" x14ac:dyDescent="0.2"/>
    <row r="48334" ht="9.9499999999999993" hidden="1" customHeight="1" x14ac:dyDescent="0.2"/>
    <row r="48335" ht="9.9499999999999993" hidden="1" customHeight="1" x14ac:dyDescent="0.2"/>
    <row r="48336" ht="9.9499999999999993" hidden="1" customHeight="1" x14ac:dyDescent="0.2"/>
    <row r="48337" ht="9.9499999999999993" hidden="1" customHeight="1" x14ac:dyDescent="0.2"/>
    <row r="48338" ht="9.9499999999999993" hidden="1" customHeight="1" x14ac:dyDescent="0.2"/>
    <row r="48339" ht="9.9499999999999993" hidden="1" customHeight="1" x14ac:dyDescent="0.2"/>
    <row r="48340" ht="9.9499999999999993" hidden="1" customHeight="1" x14ac:dyDescent="0.2"/>
    <row r="48341" ht="9.9499999999999993" hidden="1" customHeight="1" x14ac:dyDescent="0.2"/>
    <row r="48342" ht="9.9499999999999993" hidden="1" customHeight="1" x14ac:dyDescent="0.2"/>
    <row r="48343" ht="9.9499999999999993" hidden="1" customHeight="1" x14ac:dyDescent="0.2"/>
    <row r="48344" ht="9.9499999999999993" hidden="1" customHeight="1" x14ac:dyDescent="0.2"/>
    <row r="48345" ht="9.9499999999999993" hidden="1" customHeight="1" x14ac:dyDescent="0.2"/>
    <row r="48346" ht="9.9499999999999993" hidden="1" customHeight="1" x14ac:dyDescent="0.2"/>
    <row r="48347" ht="9.9499999999999993" hidden="1" customHeight="1" x14ac:dyDescent="0.2"/>
    <row r="48348" ht="9.9499999999999993" hidden="1" customHeight="1" x14ac:dyDescent="0.2"/>
    <row r="48349" ht="9.9499999999999993" hidden="1" customHeight="1" x14ac:dyDescent="0.2"/>
    <row r="48350" ht="9.9499999999999993" hidden="1" customHeight="1" x14ac:dyDescent="0.2"/>
    <row r="48351" ht="9.9499999999999993" hidden="1" customHeight="1" x14ac:dyDescent="0.2"/>
    <row r="48352" ht="9.9499999999999993" hidden="1" customHeight="1" x14ac:dyDescent="0.2"/>
    <row r="48353" ht="9.9499999999999993" hidden="1" customHeight="1" x14ac:dyDescent="0.2"/>
    <row r="48354" ht="9.9499999999999993" hidden="1" customHeight="1" x14ac:dyDescent="0.2"/>
    <row r="48355" ht="9.9499999999999993" hidden="1" customHeight="1" x14ac:dyDescent="0.2"/>
    <row r="48356" ht="9.9499999999999993" hidden="1" customHeight="1" x14ac:dyDescent="0.2"/>
    <row r="48357" ht="9.9499999999999993" hidden="1" customHeight="1" x14ac:dyDescent="0.2"/>
    <row r="48358" ht="9.9499999999999993" hidden="1" customHeight="1" x14ac:dyDescent="0.2"/>
    <row r="48359" ht="9.9499999999999993" hidden="1" customHeight="1" x14ac:dyDescent="0.2"/>
    <row r="48360" ht="9.9499999999999993" hidden="1" customHeight="1" x14ac:dyDescent="0.2"/>
    <row r="48361" ht="9.9499999999999993" hidden="1" customHeight="1" x14ac:dyDescent="0.2"/>
    <row r="48362" ht="9.9499999999999993" hidden="1" customHeight="1" x14ac:dyDescent="0.2"/>
    <row r="48363" ht="9.9499999999999993" hidden="1" customHeight="1" x14ac:dyDescent="0.2"/>
    <row r="48364" ht="9.9499999999999993" hidden="1" customHeight="1" x14ac:dyDescent="0.2"/>
    <row r="48365" ht="9.9499999999999993" hidden="1" customHeight="1" x14ac:dyDescent="0.2"/>
    <row r="48366" ht="9.9499999999999993" hidden="1" customHeight="1" x14ac:dyDescent="0.2"/>
    <row r="48367" ht="9.9499999999999993" hidden="1" customHeight="1" x14ac:dyDescent="0.2"/>
    <row r="48368" ht="9.9499999999999993" hidden="1" customHeight="1" x14ac:dyDescent="0.2"/>
    <row r="48369" ht="9.9499999999999993" hidden="1" customHeight="1" x14ac:dyDescent="0.2"/>
    <row r="48370" ht="9.9499999999999993" hidden="1" customHeight="1" x14ac:dyDescent="0.2"/>
    <row r="48371" ht="9.9499999999999993" hidden="1" customHeight="1" x14ac:dyDescent="0.2"/>
    <row r="48372" ht="9.9499999999999993" hidden="1" customHeight="1" x14ac:dyDescent="0.2"/>
    <row r="48373" ht="9.9499999999999993" hidden="1" customHeight="1" x14ac:dyDescent="0.2"/>
    <row r="48374" ht="9.9499999999999993" hidden="1" customHeight="1" x14ac:dyDescent="0.2"/>
    <row r="48375" ht="9.9499999999999993" hidden="1" customHeight="1" x14ac:dyDescent="0.2"/>
    <row r="48376" ht="9.9499999999999993" hidden="1" customHeight="1" x14ac:dyDescent="0.2"/>
    <row r="48377" ht="9.9499999999999993" hidden="1" customHeight="1" x14ac:dyDescent="0.2"/>
    <row r="48378" ht="9.9499999999999993" hidden="1" customHeight="1" x14ac:dyDescent="0.2"/>
    <row r="48379" ht="9.9499999999999993" hidden="1" customHeight="1" x14ac:dyDescent="0.2"/>
    <row r="48380" ht="9.9499999999999993" hidden="1" customHeight="1" x14ac:dyDescent="0.2"/>
    <row r="48381" ht="9.9499999999999993" hidden="1" customHeight="1" x14ac:dyDescent="0.2"/>
    <row r="48382" ht="9.9499999999999993" hidden="1" customHeight="1" x14ac:dyDescent="0.2"/>
    <row r="48383" ht="9.9499999999999993" hidden="1" customHeight="1" x14ac:dyDescent="0.2"/>
    <row r="48384" ht="9.9499999999999993" hidden="1" customHeight="1" x14ac:dyDescent="0.2"/>
    <row r="48385" ht="9.9499999999999993" hidden="1" customHeight="1" x14ac:dyDescent="0.2"/>
    <row r="48386" ht="9.9499999999999993" hidden="1" customHeight="1" x14ac:dyDescent="0.2"/>
    <row r="48387" ht="9.9499999999999993" hidden="1" customHeight="1" x14ac:dyDescent="0.2"/>
    <row r="48388" ht="9.9499999999999993" hidden="1" customHeight="1" x14ac:dyDescent="0.2"/>
    <row r="48389" ht="9.9499999999999993" hidden="1" customHeight="1" x14ac:dyDescent="0.2"/>
    <row r="48390" ht="9.9499999999999993" hidden="1" customHeight="1" x14ac:dyDescent="0.2"/>
    <row r="48391" ht="9.9499999999999993" hidden="1" customHeight="1" x14ac:dyDescent="0.2"/>
    <row r="48392" ht="9.9499999999999993" hidden="1" customHeight="1" x14ac:dyDescent="0.2"/>
    <row r="48393" ht="9.9499999999999993" hidden="1" customHeight="1" x14ac:dyDescent="0.2"/>
    <row r="48394" ht="9.9499999999999993" hidden="1" customHeight="1" x14ac:dyDescent="0.2"/>
    <row r="48395" ht="9.9499999999999993" hidden="1" customHeight="1" x14ac:dyDescent="0.2"/>
    <row r="48396" ht="9.9499999999999993" hidden="1" customHeight="1" x14ac:dyDescent="0.2"/>
    <row r="48397" ht="9.9499999999999993" hidden="1" customHeight="1" x14ac:dyDescent="0.2"/>
    <row r="48398" ht="9.9499999999999993" hidden="1" customHeight="1" x14ac:dyDescent="0.2"/>
    <row r="48399" ht="9.9499999999999993" hidden="1" customHeight="1" x14ac:dyDescent="0.2"/>
    <row r="48400" ht="9.9499999999999993" hidden="1" customHeight="1" x14ac:dyDescent="0.2"/>
    <row r="48401" ht="9.9499999999999993" hidden="1" customHeight="1" x14ac:dyDescent="0.2"/>
    <row r="48402" ht="9.9499999999999993" hidden="1" customHeight="1" x14ac:dyDescent="0.2"/>
    <row r="48403" ht="9.9499999999999993" hidden="1" customHeight="1" x14ac:dyDescent="0.2"/>
    <row r="48404" ht="9.9499999999999993" hidden="1" customHeight="1" x14ac:dyDescent="0.2"/>
    <row r="48405" ht="9.9499999999999993" hidden="1" customHeight="1" x14ac:dyDescent="0.2"/>
    <row r="48406" ht="9.9499999999999993" hidden="1" customHeight="1" x14ac:dyDescent="0.2"/>
    <row r="48407" ht="9.9499999999999993" hidden="1" customHeight="1" x14ac:dyDescent="0.2"/>
    <row r="48408" ht="9.9499999999999993" hidden="1" customHeight="1" x14ac:dyDescent="0.2"/>
    <row r="48409" ht="9.9499999999999993" hidden="1" customHeight="1" x14ac:dyDescent="0.2"/>
    <row r="48410" ht="9.9499999999999993" hidden="1" customHeight="1" x14ac:dyDescent="0.2"/>
    <row r="48411" ht="9.9499999999999993" hidden="1" customHeight="1" x14ac:dyDescent="0.2"/>
    <row r="48412" ht="9.9499999999999993" hidden="1" customHeight="1" x14ac:dyDescent="0.2"/>
    <row r="48413" ht="9.9499999999999993" hidden="1" customHeight="1" x14ac:dyDescent="0.2"/>
    <row r="48414" ht="9.9499999999999993" hidden="1" customHeight="1" x14ac:dyDescent="0.2"/>
    <row r="48415" ht="9.9499999999999993" hidden="1" customHeight="1" x14ac:dyDescent="0.2"/>
    <row r="48416" ht="9.9499999999999993" hidden="1" customHeight="1" x14ac:dyDescent="0.2"/>
    <row r="48417" ht="9.9499999999999993" hidden="1" customHeight="1" x14ac:dyDescent="0.2"/>
    <row r="48418" ht="9.9499999999999993" hidden="1" customHeight="1" x14ac:dyDescent="0.2"/>
    <row r="48419" ht="9.9499999999999993" hidden="1" customHeight="1" x14ac:dyDescent="0.2"/>
    <row r="48420" ht="9.9499999999999993" hidden="1" customHeight="1" x14ac:dyDescent="0.2"/>
    <row r="48421" ht="9.9499999999999993" hidden="1" customHeight="1" x14ac:dyDescent="0.2"/>
    <row r="48422" ht="9.9499999999999993" hidden="1" customHeight="1" x14ac:dyDescent="0.2"/>
    <row r="48423" ht="9.9499999999999993" hidden="1" customHeight="1" x14ac:dyDescent="0.2"/>
    <row r="48424" ht="9.9499999999999993" hidden="1" customHeight="1" x14ac:dyDescent="0.2"/>
    <row r="48425" ht="9.9499999999999993" hidden="1" customHeight="1" x14ac:dyDescent="0.2"/>
    <row r="48426" ht="9.9499999999999993" hidden="1" customHeight="1" x14ac:dyDescent="0.2"/>
    <row r="48427" ht="9.9499999999999993" hidden="1" customHeight="1" x14ac:dyDescent="0.2"/>
    <row r="48428" ht="9.9499999999999993" hidden="1" customHeight="1" x14ac:dyDescent="0.2"/>
    <row r="48429" ht="9.9499999999999993" hidden="1" customHeight="1" x14ac:dyDescent="0.2"/>
    <row r="48430" ht="9.9499999999999993" hidden="1" customHeight="1" x14ac:dyDescent="0.2"/>
    <row r="48431" ht="9.9499999999999993" hidden="1" customHeight="1" x14ac:dyDescent="0.2"/>
    <row r="48432" ht="9.9499999999999993" hidden="1" customHeight="1" x14ac:dyDescent="0.2"/>
    <row r="48433" ht="9.9499999999999993" hidden="1" customHeight="1" x14ac:dyDescent="0.2"/>
    <row r="48434" ht="9.9499999999999993" hidden="1" customHeight="1" x14ac:dyDescent="0.2"/>
    <row r="48435" ht="9.9499999999999993" hidden="1" customHeight="1" x14ac:dyDescent="0.2"/>
    <row r="48436" ht="9.9499999999999993" hidden="1" customHeight="1" x14ac:dyDescent="0.2"/>
    <row r="48437" ht="9.9499999999999993" hidden="1" customHeight="1" x14ac:dyDescent="0.2"/>
    <row r="48438" ht="9.9499999999999993" hidden="1" customHeight="1" x14ac:dyDescent="0.2"/>
    <row r="48439" ht="9.9499999999999993" hidden="1" customHeight="1" x14ac:dyDescent="0.2"/>
    <row r="48440" ht="9.9499999999999993" hidden="1" customHeight="1" x14ac:dyDescent="0.2"/>
    <row r="48441" ht="9.9499999999999993" hidden="1" customHeight="1" x14ac:dyDescent="0.2"/>
    <row r="48442" ht="9.9499999999999993" hidden="1" customHeight="1" x14ac:dyDescent="0.2"/>
    <row r="48443" ht="9.9499999999999993" hidden="1" customHeight="1" x14ac:dyDescent="0.2"/>
    <row r="48444" ht="9.9499999999999993" hidden="1" customHeight="1" x14ac:dyDescent="0.2"/>
    <row r="48445" ht="9.9499999999999993" hidden="1" customHeight="1" x14ac:dyDescent="0.2"/>
    <row r="48446" ht="9.9499999999999993" hidden="1" customHeight="1" x14ac:dyDescent="0.2"/>
    <row r="48447" ht="9.9499999999999993" hidden="1" customHeight="1" x14ac:dyDescent="0.2"/>
    <row r="48448" ht="9.9499999999999993" hidden="1" customHeight="1" x14ac:dyDescent="0.2"/>
    <row r="48449" ht="9.9499999999999993" hidden="1" customHeight="1" x14ac:dyDescent="0.2"/>
    <row r="48450" ht="9.9499999999999993" hidden="1" customHeight="1" x14ac:dyDescent="0.2"/>
    <row r="48451" ht="9.9499999999999993" hidden="1" customHeight="1" x14ac:dyDescent="0.2"/>
    <row r="48452" ht="9.9499999999999993" hidden="1" customHeight="1" x14ac:dyDescent="0.2"/>
    <row r="48453" ht="9.9499999999999993" hidden="1" customHeight="1" x14ac:dyDescent="0.2"/>
    <row r="48454" ht="9.9499999999999993" hidden="1" customHeight="1" x14ac:dyDescent="0.2"/>
    <row r="48455" ht="9.9499999999999993" hidden="1" customHeight="1" x14ac:dyDescent="0.2"/>
    <row r="48456" ht="9.9499999999999993" hidden="1" customHeight="1" x14ac:dyDescent="0.2"/>
    <row r="48457" ht="9.9499999999999993" hidden="1" customHeight="1" x14ac:dyDescent="0.2"/>
    <row r="48458" ht="9.9499999999999993" hidden="1" customHeight="1" x14ac:dyDescent="0.2"/>
    <row r="48459" ht="9.9499999999999993" hidden="1" customHeight="1" x14ac:dyDescent="0.2"/>
    <row r="48460" ht="9.9499999999999993" hidden="1" customHeight="1" x14ac:dyDescent="0.2"/>
    <row r="48461" ht="9.9499999999999993" hidden="1" customHeight="1" x14ac:dyDescent="0.2"/>
    <row r="48462" ht="9.9499999999999993" hidden="1" customHeight="1" x14ac:dyDescent="0.2"/>
    <row r="48463" ht="9.9499999999999993" hidden="1" customHeight="1" x14ac:dyDescent="0.2"/>
    <row r="48464" ht="9.9499999999999993" hidden="1" customHeight="1" x14ac:dyDescent="0.2"/>
    <row r="48465" ht="9.9499999999999993" hidden="1" customHeight="1" x14ac:dyDescent="0.2"/>
    <row r="48466" ht="9.9499999999999993" hidden="1" customHeight="1" x14ac:dyDescent="0.2"/>
    <row r="48467" ht="9.9499999999999993" hidden="1" customHeight="1" x14ac:dyDescent="0.2"/>
    <row r="48468" ht="9.9499999999999993" hidden="1" customHeight="1" x14ac:dyDescent="0.2"/>
    <row r="48469" ht="9.9499999999999993" hidden="1" customHeight="1" x14ac:dyDescent="0.2"/>
    <row r="48470" ht="9.9499999999999993" hidden="1" customHeight="1" x14ac:dyDescent="0.2"/>
    <row r="48471" ht="9.9499999999999993" hidden="1" customHeight="1" x14ac:dyDescent="0.2"/>
    <row r="48472" ht="9.9499999999999993" hidden="1" customHeight="1" x14ac:dyDescent="0.2"/>
    <row r="48473" ht="9.9499999999999993" hidden="1" customHeight="1" x14ac:dyDescent="0.2"/>
    <row r="48474" ht="9.9499999999999993" hidden="1" customHeight="1" x14ac:dyDescent="0.2"/>
    <row r="48475" ht="9.9499999999999993" hidden="1" customHeight="1" x14ac:dyDescent="0.2"/>
    <row r="48476" ht="9.9499999999999993" hidden="1" customHeight="1" x14ac:dyDescent="0.2"/>
    <row r="48477" ht="9.9499999999999993" hidden="1" customHeight="1" x14ac:dyDescent="0.2"/>
    <row r="48478" ht="9.9499999999999993" hidden="1" customHeight="1" x14ac:dyDescent="0.2"/>
    <row r="48479" ht="9.9499999999999993" hidden="1" customHeight="1" x14ac:dyDescent="0.2"/>
    <row r="48480" ht="9.9499999999999993" hidden="1" customHeight="1" x14ac:dyDescent="0.2"/>
    <row r="48481" ht="9.9499999999999993" hidden="1" customHeight="1" x14ac:dyDescent="0.2"/>
    <row r="48482" ht="9.9499999999999993" hidden="1" customHeight="1" x14ac:dyDescent="0.2"/>
    <row r="48483" ht="9.9499999999999993" hidden="1" customHeight="1" x14ac:dyDescent="0.2"/>
    <row r="48484" ht="9.9499999999999993" hidden="1" customHeight="1" x14ac:dyDescent="0.2"/>
    <row r="48485" ht="9.9499999999999993" hidden="1" customHeight="1" x14ac:dyDescent="0.2"/>
    <row r="48486" ht="9.9499999999999993" hidden="1" customHeight="1" x14ac:dyDescent="0.2"/>
    <row r="48487" ht="9.9499999999999993" hidden="1" customHeight="1" x14ac:dyDescent="0.2"/>
    <row r="48488" ht="9.9499999999999993" hidden="1" customHeight="1" x14ac:dyDescent="0.2"/>
    <row r="48489" ht="9.9499999999999993" hidden="1" customHeight="1" x14ac:dyDescent="0.2"/>
    <row r="48490" ht="9.9499999999999993" hidden="1" customHeight="1" x14ac:dyDescent="0.2"/>
    <row r="48491" ht="9.9499999999999993" hidden="1" customHeight="1" x14ac:dyDescent="0.2"/>
    <row r="48492" ht="9.9499999999999993" hidden="1" customHeight="1" x14ac:dyDescent="0.2"/>
    <row r="48493" ht="9.9499999999999993" hidden="1" customHeight="1" x14ac:dyDescent="0.2"/>
    <row r="48494" ht="9.9499999999999993" hidden="1" customHeight="1" x14ac:dyDescent="0.2"/>
    <row r="48495" ht="9.9499999999999993" hidden="1" customHeight="1" x14ac:dyDescent="0.2"/>
    <row r="48496" ht="9.9499999999999993" hidden="1" customHeight="1" x14ac:dyDescent="0.2"/>
    <row r="48497" ht="9.9499999999999993" hidden="1" customHeight="1" x14ac:dyDescent="0.2"/>
    <row r="48498" ht="9.9499999999999993" hidden="1" customHeight="1" x14ac:dyDescent="0.2"/>
    <row r="48499" ht="9.9499999999999993" hidden="1" customHeight="1" x14ac:dyDescent="0.2"/>
    <row r="48500" ht="9.9499999999999993" hidden="1" customHeight="1" x14ac:dyDescent="0.2"/>
    <row r="48501" ht="9.9499999999999993" hidden="1" customHeight="1" x14ac:dyDescent="0.2"/>
    <row r="48502" ht="9.9499999999999993" hidden="1" customHeight="1" x14ac:dyDescent="0.2"/>
    <row r="48503" ht="9.9499999999999993" hidden="1" customHeight="1" x14ac:dyDescent="0.2"/>
    <row r="48504" ht="9.9499999999999993" hidden="1" customHeight="1" x14ac:dyDescent="0.2"/>
    <row r="48505" ht="9.9499999999999993" hidden="1" customHeight="1" x14ac:dyDescent="0.2"/>
    <row r="48506" ht="9.9499999999999993" hidden="1" customHeight="1" x14ac:dyDescent="0.2"/>
    <row r="48507" ht="9.9499999999999993" hidden="1" customHeight="1" x14ac:dyDescent="0.2"/>
    <row r="48508" ht="9.9499999999999993" hidden="1" customHeight="1" x14ac:dyDescent="0.2"/>
    <row r="48509" ht="9.9499999999999993" hidden="1" customHeight="1" x14ac:dyDescent="0.2"/>
    <row r="48510" ht="9.9499999999999993" hidden="1" customHeight="1" x14ac:dyDescent="0.2"/>
    <row r="48511" ht="9.9499999999999993" hidden="1" customHeight="1" x14ac:dyDescent="0.2"/>
    <row r="48512" ht="9.9499999999999993" hidden="1" customHeight="1" x14ac:dyDescent="0.2"/>
    <row r="48513" ht="9.9499999999999993" hidden="1" customHeight="1" x14ac:dyDescent="0.2"/>
    <row r="48514" ht="9.9499999999999993" hidden="1" customHeight="1" x14ac:dyDescent="0.2"/>
    <row r="48515" ht="9.9499999999999993" hidden="1" customHeight="1" x14ac:dyDescent="0.2"/>
    <row r="48516" ht="9.9499999999999993" hidden="1" customHeight="1" x14ac:dyDescent="0.2"/>
    <row r="48517" ht="9.9499999999999993" hidden="1" customHeight="1" x14ac:dyDescent="0.2"/>
    <row r="48518" ht="9.9499999999999993" hidden="1" customHeight="1" x14ac:dyDescent="0.2"/>
    <row r="48519" ht="9.9499999999999993" hidden="1" customHeight="1" x14ac:dyDescent="0.2"/>
    <row r="48520" ht="9.9499999999999993" hidden="1" customHeight="1" x14ac:dyDescent="0.2"/>
    <row r="48521" ht="9.9499999999999993" hidden="1" customHeight="1" x14ac:dyDescent="0.2"/>
    <row r="48522" ht="9.9499999999999993" hidden="1" customHeight="1" x14ac:dyDescent="0.2"/>
    <row r="48523" ht="9.9499999999999993" hidden="1" customHeight="1" x14ac:dyDescent="0.2"/>
    <row r="48524" ht="9.9499999999999993" hidden="1" customHeight="1" x14ac:dyDescent="0.2"/>
    <row r="48525" ht="9.9499999999999993" hidden="1" customHeight="1" x14ac:dyDescent="0.2"/>
    <row r="48526" ht="9.9499999999999993" hidden="1" customHeight="1" x14ac:dyDescent="0.2"/>
    <row r="48527" ht="9.9499999999999993" hidden="1" customHeight="1" x14ac:dyDescent="0.2"/>
    <row r="48528" ht="9.9499999999999993" hidden="1" customHeight="1" x14ac:dyDescent="0.2"/>
    <row r="48529" ht="9.9499999999999993" hidden="1" customHeight="1" x14ac:dyDescent="0.2"/>
    <row r="48530" ht="9.9499999999999993" hidden="1" customHeight="1" x14ac:dyDescent="0.2"/>
    <row r="48531" ht="9.9499999999999993" hidden="1" customHeight="1" x14ac:dyDescent="0.2"/>
    <row r="48532" ht="9.9499999999999993" hidden="1" customHeight="1" x14ac:dyDescent="0.2"/>
    <row r="48533" ht="9.9499999999999993" hidden="1" customHeight="1" x14ac:dyDescent="0.2"/>
    <row r="48534" ht="9.9499999999999993" hidden="1" customHeight="1" x14ac:dyDescent="0.2"/>
    <row r="48535" ht="9.9499999999999993" hidden="1" customHeight="1" x14ac:dyDescent="0.2"/>
    <row r="48536" ht="9.9499999999999993" hidden="1" customHeight="1" x14ac:dyDescent="0.2"/>
    <row r="48537" ht="9.9499999999999993" hidden="1" customHeight="1" x14ac:dyDescent="0.2"/>
    <row r="48538" ht="9.9499999999999993" hidden="1" customHeight="1" x14ac:dyDescent="0.2"/>
    <row r="48539" ht="9.9499999999999993" hidden="1" customHeight="1" x14ac:dyDescent="0.2"/>
    <row r="48540" ht="9.9499999999999993" hidden="1" customHeight="1" x14ac:dyDescent="0.2"/>
    <row r="48541" ht="9.9499999999999993" hidden="1" customHeight="1" x14ac:dyDescent="0.2"/>
    <row r="48542" ht="9.9499999999999993" hidden="1" customHeight="1" x14ac:dyDescent="0.2"/>
    <row r="48543" ht="9.9499999999999993" hidden="1" customHeight="1" x14ac:dyDescent="0.2"/>
    <row r="48544" ht="9.9499999999999993" hidden="1" customHeight="1" x14ac:dyDescent="0.2"/>
    <row r="48545" ht="9.9499999999999993" hidden="1" customHeight="1" x14ac:dyDescent="0.2"/>
    <row r="48546" ht="9.9499999999999993" hidden="1" customHeight="1" x14ac:dyDescent="0.2"/>
    <row r="48547" ht="9.9499999999999993" hidden="1" customHeight="1" x14ac:dyDescent="0.2"/>
    <row r="48548" ht="9.9499999999999993" hidden="1" customHeight="1" x14ac:dyDescent="0.2"/>
    <row r="48549" ht="9.9499999999999993" hidden="1" customHeight="1" x14ac:dyDescent="0.2"/>
    <row r="48550" ht="9.9499999999999993" hidden="1" customHeight="1" x14ac:dyDescent="0.2"/>
    <row r="48551" ht="9.9499999999999993" hidden="1" customHeight="1" x14ac:dyDescent="0.2"/>
    <row r="48552" ht="9.9499999999999993" hidden="1" customHeight="1" x14ac:dyDescent="0.2"/>
    <row r="48553" ht="9.9499999999999993" hidden="1" customHeight="1" x14ac:dyDescent="0.2"/>
    <row r="48554" ht="9.9499999999999993" hidden="1" customHeight="1" x14ac:dyDescent="0.2"/>
    <row r="48555" ht="9.9499999999999993" hidden="1" customHeight="1" x14ac:dyDescent="0.2"/>
    <row r="48556" ht="9.9499999999999993" hidden="1" customHeight="1" x14ac:dyDescent="0.2"/>
    <row r="48557" ht="9.9499999999999993" hidden="1" customHeight="1" x14ac:dyDescent="0.2"/>
    <row r="48558" ht="9.9499999999999993" hidden="1" customHeight="1" x14ac:dyDescent="0.2"/>
    <row r="48559" ht="9.9499999999999993" hidden="1" customHeight="1" x14ac:dyDescent="0.2"/>
    <row r="48560" ht="9.9499999999999993" hidden="1" customHeight="1" x14ac:dyDescent="0.2"/>
    <row r="48561" ht="9.9499999999999993" hidden="1" customHeight="1" x14ac:dyDescent="0.2"/>
    <row r="48562" ht="9.9499999999999993" hidden="1" customHeight="1" x14ac:dyDescent="0.2"/>
    <row r="48563" ht="9.9499999999999993" hidden="1" customHeight="1" x14ac:dyDescent="0.2"/>
    <row r="48564" ht="9.9499999999999993" hidden="1" customHeight="1" x14ac:dyDescent="0.2"/>
    <row r="48565" ht="9.9499999999999993" hidden="1" customHeight="1" x14ac:dyDescent="0.2"/>
    <row r="48566" ht="9.9499999999999993" hidden="1" customHeight="1" x14ac:dyDescent="0.2"/>
    <row r="48567" ht="9.9499999999999993" hidden="1" customHeight="1" x14ac:dyDescent="0.2"/>
    <row r="48568" ht="9.9499999999999993" hidden="1" customHeight="1" x14ac:dyDescent="0.2"/>
    <row r="48569" ht="9.9499999999999993" hidden="1" customHeight="1" x14ac:dyDescent="0.2"/>
    <row r="48570" ht="9.9499999999999993" hidden="1" customHeight="1" x14ac:dyDescent="0.2"/>
    <row r="48571" ht="9.9499999999999993" hidden="1" customHeight="1" x14ac:dyDescent="0.2"/>
    <row r="48572" ht="9.9499999999999993" hidden="1" customHeight="1" x14ac:dyDescent="0.2"/>
    <row r="48573" ht="9.9499999999999993" hidden="1" customHeight="1" x14ac:dyDescent="0.2"/>
    <row r="48574" ht="9.9499999999999993" hidden="1" customHeight="1" x14ac:dyDescent="0.2"/>
    <row r="48575" ht="9.9499999999999993" hidden="1" customHeight="1" x14ac:dyDescent="0.2"/>
    <row r="48576" ht="9.9499999999999993" hidden="1" customHeight="1" x14ac:dyDescent="0.2"/>
    <row r="48577" ht="9.9499999999999993" hidden="1" customHeight="1" x14ac:dyDescent="0.2"/>
    <row r="48578" ht="9.9499999999999993" hidden="1" customHeight="1" x14ac:dyDescent="0.2"/>
    <row r="48579" ht="9.9499999999999993" hidden="1" customHeight="1" x14ac:dyDescent="0.2"/>
    <row r="48580" ht="9.9499999999999993" hidden="1" customHeight="1" x14ac:dyDescent="0.2"/>
    <row r="48581" ht="9.9499999999999993" hidden="1" customHeight="1" x14ac:dyDescent="0.2"/>
    <row r="48582" ht="9.9499999999999993" hidden="1" customHeight="1" x14ac:dyDescent="0.2"/>
    <row r="48583" ht="9.9499999999999993" hidden="1" customHeight="1" x14ac:dyDescent="0.2"/>
    <row r="48584" ht="9.9499999999999993" hidden="1" customHeight="1" x14ac:dyDescent="0.2"/>
    <row r="48585" ht="9.9499999999999993" hidden="1" customHeight="1" x14ac:dyDescent="0.2"/>
    <row r="48586" ht="9.9499999999999993" hidden="1" customHeight="1" x14ac:dyDescent="0.2"/>
    <row r="48587" ht="9.9499999999999993" hidden="1" customHeight="1" x14ac:dyDescent="0.2"/>
    <row r="48588" ht="9.9499999999999993" hidden="1" customHeight="1" x14ac:dyDescent="0.2"/>
    <row r="48589" ht="9.9499999999999993" hidden="1" customHeight="1" x14ac:dyDescent="0.2"/>
    <row r="48590" ht="9.9499999999999993" hidden="1" customHeight="1" x14ac:dyDescent="0.2"/>
    <row r="48591" ht="9.9499999999999993" hidden="1" customHeight="1" x14ac:dyDescent="0.2"/>
    <row r="48592" ht="9.9499999999999993" hidden="1" customHeight="1" x14ac:dyDescent="0.2"/>
    <row r="48593" ht="9.9499999999999993" hidden="1" customHeight="1" x14ac:dyDescent="0.2"/>
    <row r="48594" ht="9.9499999999999993" hidden="1" customHeight="1" x14ac:dyDescent="0.2"/>
    <row r="48595" ht="9.9499999999999993" hidden="1" customHeight="1" x14ac:dyDescent="0.2"/>
    <row r="48596" ht="9.9499999999999993" hidden="1" customHeight="1" x14ac:dyDescent="0.2"/>
    <row r="48597" ht="9.9499999999999993" hidden="1" customHeight="1" x14ac:dyDescent="0.2"/>
    <row r="48598" ht="9.9499999999999993" hidden="1" customHeight="1" x14ac:dyDescent="0.2"/>
    <row r="48599" ht="9.9499999999999993" hidden="1" customHeight="1" x14ac:dyDescent="0.2"/>
    <row r="48600" ht="9.9499999999999993" hidden="1" customHeight="1" x14ac:dyDescent="0.2"/>
    <row r="48601" ht="9.9499999999999993" hidden="1" customHeight="1" x14ac:dyDescent="0.2"/>
    <row r="48602" ht="9.9499999999999993" hidden="1" customHeight="1" x14ac:dyDescent="0.2"/>
    <row r="48603" ht="9.9499999999999993" hidden="1" customHeight="1" x14ac:dyDescent="0.2"/>
    <row r="48604" ht="9.9499999999999993" hidden="1" customHeight="1" x14ac:dyDescent="0.2"/>
    <row r="48605" ht="9.9499999999999993" hidden="1" customHeight="1" x14ac:dyDescent="0.2"/>
    <row r="48606" ht="9.9499999999999993" hidden="1" customHeight="1" x14ac:dyDescent="0.2"/>
    <row r="48607" ht="9.9499999999999993" hidden="1" customHeight="1" x14ac:dyDescent="0.2"/>
    <row r="48608" ht="9.9499999999999993" hidden="1" customHeight="1" x14ac:dyDescent="0.2"/>
    <row r="48609" ht="9.9499999999999993" hidden="1" customHeight="1" x14ac:dyDescent="0.2"/>
    <row r="48610" ht="9.9499999999999993" hidden="1" customHeight="1" x14ac:dyDescent="0.2"/>
    <row r="48611" ht="9.9499999999999993" hidden="1" customHeight="1" x14ac:dyDescent="0.2"/>
    <row r="48612" ht="9.9499999999999993" hidden="1" customHeight="1" x14ac:dyDescent="0.2"/>
    <row r="48613" ht="9.9499999999999993" hidden="1" customHeight="1" x14ac:dyDescent="0.2"/>
    <row r="48614" ht="9.9499999999999993" hidden="1" customHeight="1" x14ac:dyDescent="0.2"/>
    <row r="48615" ht="9.9499999999999993" hidden="1" customHeight="1" x14ac:dyDescent="0.2"/>
    <row r="48616" ht="9.9499999999999993" hidden="1" customHeight="1" x14ac:dyDescent="0.2"/>
    <row r="48617" ht="9.9499999999999993" hidden="1" customHeight="1" x14ac:dyDescent="0.2"/>
    <row r="48618" ht="9.9499999999999993" hidden="1" customHeight="1" x14ac:dyDescent="0.2"/>
    <row r="48619" ht="9.9499999999999993" hidden="1" customHeight="1" x14ac:dyDescent="0.2"/>
    <row r="48620" ht="9.9499999999999993" hidden="1" customHeight="1" x14ac:dyDescent="0.2"/>
    <row r="48621" ht="9.9499999999999993" hidden="1" customHeight="1" x14ac:dyDescent="0.2"/>
    <row r="48622" ht="9.9499999999999993" hidden="1" customHeight="1" x14ac:dyDescent="0.2"/>
    <row r="48623" ht="9.9499999999999993" hidden="1" customHeight="1" x14ac:dyDescent="0.2"/>
    <row r="48624" ht="9.9499999999999993" hidden="1" customHeight="1" x14ac:dyDescent="0.2"/>
    <row r="48625" ht="9.9499999999999993" hidden="1" customHeight="1" x14ac:dyDescent="0.2"/>
    <row r="48626" ht="9.9499999999999993" hidden="1" customHeight="1" x14ac:dyDescent="0.2"/>
    <row r="48627" ht="9.9499999999999993" hidden="1" customHeight="1" x14ac:dyDescent="0.2"/>
    <row r="48628" ht="9.9499999999999993" hidden="1" customHeight="1" x14ac:dyDescent="0.2"/>
    <row r="48629" ht="9.9499999999999993" hidden="1" customHeight="1" x14ac:dyDescent="0.2"/>
    <row r="48630" ht="9.9499999999999993" hidden="1" customHeight="1" x14ac:dyDescent="0.2"/>
    <row r="48631" ht="9.9499999999999993" hidden="1" customHeight="1" x14ac:dyDescent="0.2"/>
    <row r="48632" ht="9.9499999999999993" hidden="1" customHeight="1" x14ac:dyDescent="0.2"/>
    <row r="48633" ht="9.9499999999999993" hidden="1" customHeight="1" x14ac:dyDescent="0.2"/>
    <row r="48634" ht="9.9499999999999993" hidden="1" customHeight="1" x14ac:dyDescent="0.2"/>
    <row r="48635" ht="9.9499999999999993" hidden="1" customHeight="1" x14ac:dyDescent="0.2"/>
    <row r="48636" ht="9.9499999999999993" hidden="1" customHeight="1" x14ac:dyDescent="0.2"/>
    <row r="48637" ht="9.9499999999999993" hidden="1" customHeight="1" x14ac:dyDescent="0.2"/>
    <row r="48638" ht="9.9499999999999993" hidden="1" customHeight="1" x14ac:dyDescent="0.2"/>
    <row r="48639" ht="9.9499999999999993" hidden="1" customHeight="1" x14ac:dyDescent="0.2"/>
    <row r="48640" ht="9.9499999999999993" hidden="1" customHeight="1" x14ac:dyDescent="0.2"/>
    <row r="48641" ht="9.9499999999999993" hidden="1" customHeight="1" x14ac:dyDescent="0.2"/>
    <row r="48642" ht="9.9499999999999993" hidden="1" customHeight="1" x14ac:dyDescent="0.2"/>
    <row r="48643" ht="9.9499999999999993" hidden="1" customHeight="1" x14ac:dyDescent="0.2"/>
    <row r="48644" ht="9.9499999999999993" hidden="1" customHeight="1" x14ac:dyDescent="0.2"/>
    <row r="48645" ht="9.9499999999999993" hidden="1" customHeight="1" x14ac:dyDescent="0.2"/>
    <row r="48646" ht="9.9499999999999993" hidden="1" customHeight="1" x14ac:dyDescent="0.2"/>
    <row r="48647" ht="9.9499999999999993" hidden="1" customHeight="1" x14ac:dyDescent="0.2"/>
    <row r="48648" ht="9.9499999999999993" hidden="1" customHeight="1" x14ac:dyDescent="0.2"/>
    <row r="48649" ht="9.9499999999999993" hidden="1" customHeight="1" x14ac:dyDescent="0.2"/>
    <row r="48650" ht="9.9499999999999993" hidden="1" customHeight="1" x14ac:dyDescent="0.2"/>
    <row r="48651" ht="9.9499999999999993" hidden="1" customHeight="1" x14ac:dyDescent="0.2"/>
    <row r="48652" ht="9.9499999999999993" hidden="1" customHeight="1" x14ac:dyDescent="0.2"/>
    <row r="48653" ht="9.9499999999999993" hidden="1" customHeight="1" x14ac:dyDescent="0.2"/>
    <row r="48654" ht="9.9499999999999993" hidden="1" customHeight="1" x14ac:dyDescent="0.2"/>
    <row r="48655" ht="9.9499999999999993" hidden="1" customHeight="1" x14ac:dyDescent="0.2"/>
    <row r="48656" ht="9.9499999999999993" hidden="1" customHeight="1" x14ac:dyDescent="0.2"/>
    <row r="48657" ht="9.9499999999999993" hidden="1" customHeight="1" x14ac:dyDescent="0.2"/>
    <row r="48658" ht="9.9499999999999993" hidden="1" customHeight="1" x14ac:dyDescent="0.2"/>
    <row r="48659" ht="9.9499999999999993" hidden="1" customHeight="1" x14ac:dyDescent="0.2"/>
    <row r="48660" ht="9.9499999999999993" hidden="1" customHeight="1" x14ac:dyDescent="0.2"/>
    <row r="48661" ht="9.9499999999999993" hidden="1" customHeight="1" x14ac:dyDescent="0.2"/>
    <row r="48662" ht="9.9499999999999993" hidden="1" customHeight="1" x14ac:dyDescent="0.2"/>
    <row r="48663" ht="9.9499999999999993" hidden="1" customHeight="1" x14ac:dyDescent="0.2"/>
    <row r="48664" ht="9.9499999999999993" hidden="1" customHeight="1" x14ac:dyDescent="0.2"/>
    <row r="48665" ht="9.9499999999999993" hidden="1" customHeight="1" x14ac:dyDescent="0.2"/>
    <row r="48666" ht="9.9499999999999993" hidden="1" customHeight="1" x14ac:dyDescent="0.2"/>
    <row r="48667" ht="9.9499999999999993" hidden="1" customHeight="1" x14ac:dyDescent="0.2"/>
    <row r="48668" ht="9.9499999999999993" hidden="1" customHeight="1" x14ac:dyDescent="0.2"/>
    <row r="48669" ht="9.9499999999999993" hidden="1" customHeight="1" x14ac:dyDescent="0.2"/>
    <row r="48670" ht="9.9499999999999993" hidden="1" customHeight="1" x14ac:dyDescent="0.2"/>
    <row r="48671" ht="9.9499999999999993" hidden="1" customHeight="1" x14ac:dyDescent="0.2"/>
    <row r="48672" ht="9.9499999999999993" hidden="1" customHeight="1" x14ac:dyDescent="0.2"/>
    <row r="48673" ht="9.9499999999999993" hidden="1" customHeight="1" x14ac:dyDescent="0.2"/>
    <row r="48674" ht="9.9499999999999993" hidden="1" customHeight="1" x14ac:dyDescent="0.2"/>
    <row r="48675" ht="9.9499999999999993" hidden="1" customHeight="1" x14ac:dyDescent="0.2"/>
    <row r="48676" ht="9.9499999999999993" hidden="1" customHeight="1" x14ac:dyDescent="0.2"/>
    <row r="48677" ht="9.9499999999999993" hidden="1" customHeight="1" x14ac:dyDescent="0.2"/>
    <row r="48678" ht="9.9499999999999993" hidden="1" customHeight="1" x14ac:dyDescent="0.2"/>
    <row r="48679" ht="9.9499999999999993" hidden="1" customHeight="1" x14ac:dyDescent="0.2"/>
    <row r="48680" ht="9.9499999999999993" hidden="1" customHeight="1" x14ac:dyDescent="0.2"/>
    <row r="48681" ht="9.9499999999999993" hidden="1" customHeight="1" x14ac:dyDescent="0.2"/>
    <row r="48682" ht="9.9499999999999993" hidden="1" customHeight="1" x14ac:dyDescent="0.2"/>
    <row r="48683" ht="9.9499999999999993" hidden="1" customHeight="1" x14ac:dyDescent="0.2"/>
    <row r="48684" ht="9.9499999999999993" hidden="1" customHeight="1" x14ac:dyDescent="0.2"/>
    <row r="48685" ht="9.9499999999999993" hidden="1" customHeight="1" x14ac:dyDescent="0.2"/>
    <row r="48686" ht="9.9499999999999993" hidden="1" customHeight="1" x14ac:dyDescent="0.2"/>
    <row r="48687" ht="9.9499999999999993" hidden="1" customHeight="1" x14ac:dyDescent="0.2"/>
    <row r="48688" ht="9.9499999999999993" hidden="1" customHeight="1" x14ac:dyDescent="0.2"/>
    <row r="48689" ht="9.9499999999999993" hidden="1" customHeight="1" x14ac:dyDescent="0.2"/>
    <row r="48690" ht="9.9499999999999993" hidden="1" customHeight="1" x14ac:dyDescent="0.2"/>
    <row r="48691" ht="9.9499999999999993" hidden="1" customHeight="1" x14ac:dyDescent="0.2"/>
    <row r="48692" ht="9.9499999999999993" hidden="1" customHeight="1" x14ac:dyDescent="0.2"/>
    <row r="48693" ht="9.9499999999999993" hidden="1" customHeight="1" x14ac:dyDescent="0.2"/>
    <row r="48694" ht="9.9499999999999993" hidden="1" customHeight="1" x14ac:dyDescent="0.2"/>
    <row r="48695" ht="9.9499999999999993" hidden="1" customHeight="1" x14ac:dyDescent="0.2"/>
    <row r="48696" ht="9.9499999999999993" hidden="1" customHeight="1" x14ac:dyDescent="0.2"/>
    <row r="48697" ht="9.9499999999999993" hidden="1" customHeight="1" x14ac:dyDescent="0.2"/>
    <row r="48698" ht="9.9499999999999993" hidden="1" customHeight="1" x14ac:dyDescent="0.2"/>
    <row r="48699" ht="9.9499999999999993" hidden="1" customHeight="1" x14ac:dyDescent="0.2"/>
    <row r="48700" ht="9.9499999999999993" hidden="1" customHeight="1" x14ac:dyDescent="0.2"/>
    <row r="48701" ht="9.9499999999999993" hidden="1" customHeight="1" x14ac:dyDescent="0.2"/>
    <row r="48702" ht="9.9499999999999993" hidden="1" customHeight="1" x14ac:dyDescent="0.2"/>
    <row r="48703" ht="9.9499999999999993" hidden="1" customHeight="1" x14ac:dyDescent="0.2"/>
    <row r="48704" ht="9.9499999999999993" hidden="1" customHeight="1" x14ac:dyDescent="0.2"/>
    <row r="48705" ht="9.9499999999999993" hidden="1" customHeight="1" x14ac:dyDescent="0.2"/>
    <row r="48706" ht="9.9499999999999993" hidden="1" customHeight="1" x14ac:dyDescent="0.2"/>
    <row r="48707" ht="9.9499999999999993" hidden="1" customHeight="1" x14ac:dyDescent="0.2"/>
    <row r="48708" ht="9.9499999999999993" hidden="1" customHeight="1" x14ac:dyDescent="0.2"/>
    <row r="48709" ht="9.9499999999999993" hidden="1" customHeight="1" x14ac:dyDescent="0.2"/>
    <row r="48710" ht="9.9499999999999993" hidden="1" customHeight="1" x14ac:dyDescent="0.2"/>
    <row r="48711" ht="9.9499999999999993" hidden="1" customHeight="1" x14ac:dyDescent="0.2"/>
    <row r="48712" ht="9.9499999999999993" hidden="1" customHeight="1" x14ac:dyDescent="0.2"/>
    <row r="48713" ht="9.9499999999999993" hidden="1" customHeight="1" x14ac:dyDescent="0.2"/>
    <row r="48714" ht="9.9499999999999993" hidden="1" customHeight="1" x14ac:dyDescent="0.2"/>
    <row r="48715" ht="9.9499999999999993" hidden="1" customHeight="1" x14ac:dyDescent="0.2"/>
    <row r="48716" ht="9.9499999999999993" hidden="1" customHeight="1" x14ac:dyDescent="0.2"/>
    <row r="48717" ht="9.9499999999999993" hidden="1" customHeight="1" x14ac:dyDescent="0.2"/>
    <row r="48718" ht="9.9499999999999993" hidden="1" customHeight="1" x14ac:dyDescent="0.2"/>
    <row r="48719" ht="9.9499999999999993" hidden="1" customHeight="1" x14ac:dyDescent="0.2"/>
    <row r="48720" ht="9.9499999999999993" hidden="1" customHeight="1" x14ac:dyDescent="0.2"/>
    <row r="48721" ht="9.9499999999999993" hidden="1" customHeight="1" x14ac:dyDescent="0.2"/>
    <row r="48722" ht="9.9499999999999993" hidden="1" customHeight="1" x14ac:dyDescent="0.2"/>
    <row r="48723" ht="9.9499999999999993" hidden="1" customHeight="1" x14ac:dyDescent="0.2"/>
    <row r="48724" ht="9.9499999999999993" hidden="1" customHeight="1" x14ac:dyDescent="0.2"/>
    <row r="48725" ht="9.9499999999999993" hidden="1" customHeight="1" x14ac:dyDescent="0.2"/>
    <row r="48726" ht="9.9499999999999993" hidden="1" customHeight="1" x14ac:dyDescent="0.2"/>
    <row r="48727" ht="9.9499999999999993" hidden="1" customHeight="1" x14ac:dyDescent="0.2"/>
    <row r="48728" ht="9.9499999999999993" hidden="1" customHeight="1" x14ac:dyDescent="0.2"/>
    <row r="48729" ht="9.9499999999999993" hidden="1" customHeight="1" x14ac:dyDescent="0.2"/>
    <row r="48730" ht="9.9499999999999993" hidden="1" customHeight="1" x14ac:dyDescent="0.2"/>
    <row r="48731" ht="9.9499999999999993" hidden="1" customHeight="1" x14ac:dyDescent="0.2"/>
    <row r="48732" ht="9.9499999999999993" hidden="1" customHeight="1" x14ac:dyDescent="0.2"/>
    <row r="48733" ht="9.9499999999999993" hidden="1" customHeight="1" x14ac:dyDescent="0.2"/>
    <row r="48734" ht="9.9499999999999993" hidden="1" customHeight="1" x14ac:dyDescent="0.2"/>
    <row r="48735" ht="9.9499999999999993" hidden="1" customHeight="1" x14ac:dyDescent="0.2"/>
    <row r="48736" ht="9.9499999999999993" hidden="1" customHeight="1" x14ac:dyDescent="0.2"/>
    <row r="48737" ht="9.9499999999999993" hidden="1" customHeight="1" x14ac:dyDescent="0.2"/>
    <row r="48738" ht="9.9499999999999993" hidden="1" customHeight="1" x14ac:dyDescent="0.2"/>
    <row r="48739" ht="9.9499999999999993" hidden="1" customHeight="1" x14ac:dyDescent="0.2"/>
    <row r="48740" ht="9.9499999999999993" hidden="1" customHeight="1" x14ac:dyDescent="0.2"/>
    <row r="48741" ht="9.9499999999999993" hidden="1" customHeight="1" x14ac:dyDescent="0.2"/>
    <row r="48742" ht="9.9499999999999993" hidden="1" customHeight="1" x14ac:dyDescent="0.2"/>
    <row r="48743" ht="9.9499999999999993" hidden="1" customHeight="1" x14ac:dyDescent="0.2"/>
    <row r="48744" ht="9.9499999999999993" hidden="1" customHeight="1" x14ac:dyDescent="0.2"/>
    <row r="48745" ht="9.9499999999999993" hidden="1" customHeight="1" x14ac:dyDescent="0.2"/>
    <row r="48746" ht="9.9499999999999993" hidden="1" customHeight="1" x14ac:dyDescent="0.2"/>
    <row r="48747" ht="9.9499999999999993" hidden="1" customHeight="1" x14ac:dyDescent="0.2"/>
    <row r="48748" ht="9.9499999999999993" hidden="1" customHeight="1" x14ac:dyDescent="0.2"/>
    <row r="48749" ht="9.9499999999999993" hidden="1" customHeight="1" x14ac:dyDescent="0.2"/>
    <row r="48750" ht="9.9499999999999993" hidden="1" customHeight="1" x14ac:dyDescent="0.2"/>
    <row r="48751" ht="9.9499999999999993" hidden="1" customHeight="1" x14ac:dyDescent="0.2"/>
    <row r="48752" ht="9.9499999999999993" hidden="1" customHeight="1" x14ac:dyDescent="0.2"/>
    <row r="48753" ht="9.9499999999999993" hidden="1" customHeight="1" x14ac:dyDescent="0.2"/>
    <row r="48754" ht="9.9499999999999993" hidden="1" customHeight="1" x14ac:dyDescent="0.2"/>
    <row r="48755" ht="9.9499999999999993" hidden="1" customHeight="1" x14ac:dyDescent="0.2"/>
    <row r="48756" ht="9.9499999999999993" hidden="1" customHeight="1" x14ac:dyDescent="0.2"/>
    <row r="48757" ht="9.9499999999999993" hidden="1" customHeight="1" x14ac:dyDescent="0.2"/>
    <row r="48758" ht="9.9499999999999993" hidden="1" customHeight="1" x14ac:dyDescent="0.2"/>
    <row r="48759" ht="9.9499999999999993" hidden="1" customHeight="1" x14ac:dyDescent="0.2"/>
    <row r="48760" ht="9.9499999999999993" hidden="1" customHeight="1" x14ac:dyDescent="0.2"/>
    <row r="48761" ht="9.9499999999999993" hidden="1" customHeight="1" x14ac:dyDescent="0.2"/>
    <row r="48762" ht="9.9499999999999993" hidden="1" customHeight="1" x14ac:dyDescent="0.2"/>
    <row r="48763" ht="9.9499999999999993" hidden="1" customHeight="1" x14ac:dyDescent="0.2"/>
    <row r="48764" ht="9.9499999999999993" hidden="1" customHeight="1" x14ac:dyDescent="0.2"/>
    <row r="48765" ht="9.9499999999999993" hidden="1" customHeight="1" x14ac:dyDescent="0.2"/>
    <row r="48766" ht="9.9499999999999993" hidden="1" customHeight="1" x14ac:dyDescent="0.2"/>
    <row r="48767" ht="9.9499999999999993" hidden="1" customHeight="1" x14ac:dyDescent="0.2"/>
    <row r="48768" ht="9.9499999999999993" hidden="1" customHeight="1" x14ac:dyDescent="0.2"/>
    <row r="48769" ht="9.9499999999999993" hidden="1" customHeight="1" x14ac:dyDescent="0.2"/>
    <row r="48770" ht="9.9499999999999993" hidden="1" customHeight="1" x14ac:dyDescent="0.2"/>
    <row r="48771" ht="9.9499999999999993" hidden="1" customHeight="1" x14ac:dyDescent="0.2"/>
    <row r="48772" ht="9.9499999999999993" hidden="1" customHeight="1" x14ac:dyDescent="0.2"/>
    <row r="48773" ht="9.9499999999999993" hidden="1" customHeight="1" x14ac:dyDescent="0.2"/>
    <row r="48774" ht="9.9499999999999993" hidden="1" customHeight="1" x14ac:dyDescent="0.2"/>
    <row r="48775" ht="9.9499999999999993" hidden="1" customHeight="1" x14ac:dyDescent="0.2"/>
    <row r="48776" ht="9.9499999999999993" hidden="1" customHeight="1" x14ac:dyDescent="0.2"/>
    <row r="48777" ht="9.9499999999999993" hidden="1" customHeight="1" x14ac:dyDescent="0.2"/>
    <row r="48778" ht="9.9499999999999993" hidden="1" customHeight="1" x14ac:dyDescent="0.2"/>
    <row r="48779" ht="9.9499999999999993" hidden="1" customHeight="1" x14ac:dyDescent="0.2"/>
    <row r="48780" ht="9.9499999999999993" hidden="1" customHeight="1" x14ac:dyDescent="0.2"/>
    <row r="48781" ht="9.9499999999999993" hidden="1" customHeight="1" x14ac:dyDescent="0.2"/>
    <row r="48782" ht="9.9499999999999993" hidden="1" customHeight="1" x14ac:dyDescent="0.2"/>
    <row r="48783" ht="9.9499999999999993" hidden="1" customHeight="1" x14ac:dyDescent="0.2"/>
    <row r="48784" ht="9.9499999999999993" hidden="1" customHeight="1" x14ac:dyDescent="0.2"/>
    <row r="48785" ht="9.9499999999999993" hidden="1" customHeight="1" x14ac:dyDescent="0.2"/>
    <row r="48786" ht="9.9499999999999993" hidden="1" customHeight="1" x14ac:dyDescent="0.2"/>
    <row r="48787" ht="9.9499999999999993" hidden="1" customHeight="1" x14ac:dyDescent="0.2"/>
    <row r="48788" ht="9.9499999999999993" hidden="1" customHeight="1" x14ac:dyDescent="0.2"/>
    <row r="48789" ht="9.9499999999999993" hidden="1" customHeight="1" x14ac:dyDescent="0.2"/>
    <row r="48790" ht="9.9499999999999993" hidden="1" customHeight="1" x14ac:dyDescent="0.2"/>
    <row r="48791" ht="9.9499999999999993" hidden="1" customHeight="1" x14ac:dyDescent="0.2"/>
    <row r="48792" ht="9.9499999999999993" hidden="1" customHeight="1" x14ac:dyDescent="0.2"/>
    <row r="48793" ht="9.9499999999999993" hidden="1" customHeight="1" x14ac:dyDescent="0.2"/>
    <row r="48794" ht="9.9499999999999993" hidden="1" customHeight="1" x14ac:dyDescent="0.2"/>
    <row r="48795" ht="9.9499999999999993" hidden="1" customHeight="1" x14ac:dyDescent="0.2"/>
    <row r="48796" ht="9.9499999999999993" hidden="1" customHeight="1" x14ac:dyDescent="0.2"/>
    <row r="48797" ht="9.9499999999999993" hidden="1" customHeight="1" x14ac:dyDescent="0.2"/>
    <row r="48798" ht="9.9499999999999993" hidden="1" customHeight="1" x14ac:dyDescent="0.2"/>
    <row r="48799" ht="9.9499999999999993" hidden="1" customHeight="1" x14ac:dyDescent="0.2"/>
    <row r="48800" ht="9.9499999999999993" hidden="1" customHeight="1" x14ac:dyDescent="0.2"/>
    <row r="48801" ht="9.9499999999999993" hidden="1" customHeight="1" x14ac:dyDescent="0.2"/>
    <row r="48802" ht="9.9499999999999993" hidden="1" customHeight="1" x14ac:dyDescent="0.2"/>
    <row r="48803" ht="9.9499999999999993" hidden="1" customHeight="1" x14ac:dyDescent="0.2"/>
    <row r="48804" ht="9.9499999999999993" hidden="1" customHeight="1" x14ac:dyDescent="0.2"/>
    <row r="48805" ht="9.9499999999999993" hidden="1" customHeight="1" x14ac:dyDescent="0.2"/>
    <row r="48806" ht="9.9499999999999993" hidden="1" customHeight="1" x14ac:dyDescent="0.2"/>
    <row r="48807" ht="9.9499999999999993" hidden="1" customHeight="1" x14ac:dyDescent="0.2"/>
    <row r="48808" ht="9.9499999999999993" hidden="1" customHeight="1" x14ac:dyDescent="0.2"/>
    <row r="48809" ht="9.9499999999999993" hidden="1" customHeight="1" x14ac:dyDescent="0.2"/>
    <row r="48810" ht="9.9499999999999993" hidden="1" customHeight="1" x14ac:dyDescent="0.2"/>
    <row r="48811" ht="9.9499999999999993" hidden="1" customHeight="1" x14ac:dyDescent="0.2"/>
    <row r="48812" ht="9.9499999999999993" hidden="1" customHeight="1" x14ac:dyDescent="0.2"/>
    <row r="48813" ht="9.9499999999999993" hidden="1" customHeight="1" x14ac:dyDescent="0.2"/>
    <row r="48814" ht="9.9499999999999993" hidden="1" customHeight="1" x14ac:dyDescent="0.2"/>
    <row r="48815" ht="9.9499999999999993" hidden="1" customHeight="1" x14ac:dyDescent="0.2"/>
    <row r="48816" ht="9.9499999999999993" hidden="1" customHeight="1" x14ac:dyDescent="0.2"/>
    <row r="48817" ht="9.9499999999999993" hidden="1" customHeight="1" x14ac:dyDescent="0.2"/>
    <row r="48818" ht="9.9499999999999993" hidden="1" customHeight="1" x14ac:dyDescent="0.2"/>
    <row r="48819" ht="9.9499999999999993" hidden="1" customHeight="1" x14ac:dyDescent="0.2"/>
    <row r="48820" ht="9.9499999999999993" hidden="1" customHeight="1" x14ac:dyDescent="0.2"/>
    <row r="48821" ht="9.9499999999999993" hidden="1" customHeight="1" x14ac:dyDescent="0.2"/>
    <row r="48822" ht="9.9499999999999993" hidden="1" customHeight="1" x14ac:dyDescent="0.2"/>
    <row r="48823" ht="9.9499999999999993" hidden="1" customHeight="1" x14ac:dyDescent="0.2"/>
    <row r="48824" ht="9.9499999999999993" hidden="1" customHeight="1" x14ac:dyDescent="0.2"/>
    <row r="48825" ht="9.9499999999999993" hidden="1" customHeight="1" x14ac:dyDescent="0.2"/>
    <row r="48826" ht="9.9499999999999993" hidden="1" customHeight="1" x14ac:dyDescent="0.2"/>
    <row r="48827" ht="9.9499999999999993" hidden="1" customHeight="1" x14ac:dyDescent="0.2"/>
    <row r="48828" ht="9.9499999999999993" hidden="1" customHeight="1" x14ac:dyDescent="0.2"/>
    <row r="48829" ht="9.9499999999999993" hidden="1" customHeight="1" x14ac:dyDescent="0.2"/>
    <row r="48830" ht="9.9499999999999993" hidden="1" customHeight="1" x14ac:dyDescent="0.2"/>
    <row r="48831" ht="9.9499999999999993" hidden="1" customHeight="1" x14ac:dyDescent="0.2"/>
    <row r="48832" ht="9.9499999999999993" hidden="1" customHeight="1" x14ac:dyDescent="0.2"/>
    <row r="48833" ht="9.9499999999999993" hidden="1" customHeight="1" x14ac:dyDescent="0.2"/>
    <row r="48834" ht="9.9499999999999993" hidden="1" customHeight="1" x14ac:dyDescent="0.2"/>
    <row r="48835" ht="9.9499999999999993" hidden="1" customHeight="1" x14ac:dyDescent="0.2"/>
    <row r="48836" ht="9.9499999999999993" hidden="1" customHeight="1" x14ac:dyDescent="0.2"/>
    <row r="48837" ht="9.9499999999999993" hidden="1" customHeight="1" x14ac:dyDescent="0.2"/>
    <row r="48838" ht="9.9499999999999993" hidden="1" customHeight="1" x14ac:dyDescent="0.2"/>
    <row r="48839" ht="9.9499999999999993" hidden="1" customHeight="1" x14ac:dyDescent="0.2"/>
    <row r="48840" ht="9.9499999999999993" hidden="1" customHeight="1" x14ac:dyDescent="0.2"/>
    <row r="48841" ht="9.9499999999999993" hidden="1" customHeight="1" x14ac:dyDescent="0.2"/>
    <row r="48842" ht="9.9499999999999993" hidden="1" customHeight="1" x14ac:dyDescent="0.2"/>
    <row r="48843" ht="9.9499999999999993" hidden="1" customHeight="1" x14ac:dyDescent="0.2"/>
    <row r="48844" ht="9.9499999999999993" hidden="1" customHeight="1" x14ac:dyDescent="0.2"/>
    <row r="48845" ht="9.9499999999999993" hidden="1" customHeight="1" x14ac:dyDescent="0.2"/>
    <row r="48846" ht="9.9499999999999993" hidden="1" customHeight="1" x14ac:dyDescent="0.2"/>
    <row r="48847" ht="9.9499999999999993" hidden="1" customHeight="1" x14ac:dyDescent="0.2"/>
    <row r="48848" ht="9.9499999999999993" hidden="1" customHeight="1" x14ac:dyDescent="0.2"/>
    <row r="48849" ht="9.9499999999999993" hidden="1" customHeight="1" x14ac:dyDescent="0.2"/>
    <row r="48850" ht="9.9499999999999993" hidden="1" customHeight="1" x14ac:dyDescent="0.2"/>
    <row r="48851" ht="9.9499999999999993" hidden="1" customHeight="1" x14ac:dyDescent="0.2"/>
    <row r="48852" ht="9.9499999999999993" hidden="1" customHeight="1" x14ac:dyDescent="0.2"/>
    <row r="48853" ht="9.9499999999999993" hidden="1" customHeight="1" x14ac:dyDescent="0.2"/>
    <row r="48854" ht="9.9499999999999993" hidden="1" customHeight="1" x14ac:dyDescent="0.2"/>
    <row r="48855" ht="9.9499999999999993" hidden="1" customHeight="1" x14ac:dyDescent="0.2"/>
    <row r="48856" ht="9.9499999999999993" hidden="1" customHeight="1" x14ac:dyDescent="0.2"/>
    <row r="48857" ht="9.9499999999999993" hidden="1" customHeight="1" x14ac:dyDescent="0.2"/>
    <row r="48858" ht="9.9499999999999993" hidden="1" customHeight="1" x14ac:dyDescent="0.2"/>
    <row r="48859" ht="9.9499999999999993" hidden="1" customHeight="1" x14ac:dyDescent="0.2"/>
    <row r="48860" ht="9.9499999999999993" hidden="1" customHeight="1" x14ac:dyDescent="0.2"/>
    <row r="48861" ht="9.9499999999999993" hidden="1" customHeight="1" x14ac:dyDescent="0.2"/>
    <row r="48862" ht="9.9499999999999993" hidden="1" customHeight="1" x14ac:dyDescent="0.2"/>
    <row r="48863" ht="9.9499999999999993" hidden="1" customHeight="1" x14ac:dyDescent="0.2"/>
    <row r="48864" ht="9.9499999999999993" hidden="1" customHeight="1" x14ac:dyDescent="0.2"/>
    <row r="48865" ht="9.9499999999999993" hidden="1" customHeight="1" x14ac:dyDescent="0.2"/>
    <row r="48866" ht="9.9499999999999993" hidden="1" customHeight="1" x14ac:dyDescent="0.2"/>
    <row r="48867" ht="9.9499999999999993" hidden="1" customHeight="1" x14ac:dyDescent="0.2"/>
    <row r="48868" ht="9.9499999999999993" hidden="1" customHeight="1" x14ac:dyDescent="0.2"/>
    <row r="48869" ht="9.9499999999999993" hidden="1" customHeight="1" x14ac:dyDescent="0.2"/>
    <row r="48870" ht="9.9499999999999993" hidden="1" customHeight="1" x14ac:dyDescent="0.2"/>
    <row r="48871" ht="9.9499999999999993" hidden="1" customHeight="1" x14ac:dyDescent="0.2"/>
    <row r="48872" ht="9.9499999999999993" hidden="1" customHeight="1" x14ac:dyDescent="0.2"/>
    <row r="48873" ht="9.9499999999999993" hidden="1" customHeight="1" x14ac:dyDescent="0.2"/>
    <row r="48874" ht="9.9499999999999993" hidden="1" customHeight="1" x14ac:dyDescent="0.2"/>
    <row r="48875" ht="9.9499999999999993" hidden="1" customHeight="1" x14ac:dyDescent="0.2"/>
    <row r="48876" ht="9.9499999999999993" hidden="1" customHeight="1" x14ac:dyDescent="0.2"/>
    <row r="48877" ht="9.9499999999999993" hidden="1" customHeight="1" x14ac:dyDescent="0.2"/>
    <row r="48878" ht="9.9499999999999993" hidden="1" customHeight="1" x14ac:dyDescent="0.2"/>
    <row r="48879" ht="9.9499999999999993" hidden="1" customHeight="1" x14ac:dyDescent="0.2"/>
    <row r="48880" ht="9.9499999999999993" hidden="1" customHeight="1" x14ac:dyDescent="0.2"/>
    <row r="48881" ht="9.9499999999999993" hidden="1" customHeight="1" x14ac:dyDescent="0.2"/>
    <row r="48882" ht="9.9499999999999993" hidden="1" customHeight="1" x14ac:dyDescent="0.2"/>
    <row r="48883" ht="9.9499999999999993" hidden="1" customHeight="1" x14ac:dyDescent="0.2"/>
    <row r="48884" ht="9.9499999999999993" hidden="1" customHeight="1" x14ac:dyDescent="0.2"/>
    <row r="48885" ht="9.9499999999999993" hidden="1" customHeight="1" x14ac:dyDescent="0.2"/>
    <row r="48886" ht="9.9499999999999993" hidden="1" customHeight="1" x14ac:dyDescent="0.2"/>
    <row r="48887" ht="9.9499999999999993" hidden="1" customHeight="1" x14ac:dyDescent="0.2"/>
    <row r="48888" ht="9.9499999999999993" hidden="1" customHeight="1" x14ac:dyDescent="0.2"/>
    <row r="48889" ht="9.9499999999999993" hidden="1" customHeight="1" x14ac:dyDescent="0.2"/>
    <row r="48890" ht="9.9499999999999993" hidden="1" customHeight="1" x14ac:dyDescent="0.2"/>
    <row r="48891" ht="9.9499999999999993" hidden="1" customHeight="1" x14ac:dyDescent="0.2"/>
    <row r="48892" ht="9.9499999999999993" hidden="1" customHeight="1" x14ac:dyDescent="0.2"/>
    <row r="48893" ht="9.9499999999999993" hidden="1" customHeight="1" x14ac:dyDescent="0.2"/>
    <row r="48894" ht="9.9499999999999993" hidden="1" customHeight="1" x14ac:dyDescent="0.2"/>
    <row r="48895" ht="9.9499999999999993" hidden="1" customHeight="1" x14ac:dyDescent="0.2"/>
    <row r="48896" ht="9.9499999999999993" hidden="1" customHeight="1" x14ac:dyDescent="0.2"/>
    <row r="48897" ht="9.9499999999999993" hidden="1" customHeight="1" x14ac:dyDescent="0.2"/>
    <row r="48898" ht="9.9499999999999993" hidden="1" customHeight="1" x14ac:dyDescent="0.2"/>
    <row r="48899" ht="9.9499999999999993" hidden="1" customHeight="1" x14ac:dyDescent="0.2"/>
    <row r="48900" ht="9.9499999999999993" hidden="1" customHeight="1" x14ac:dyDescent="0.2"/>
    <row r="48901" ht="9.9499999999999993" hidden="1" customHeight="1" x14ac:dyDescent="0.2"/>
    <row r="48902" ht="9.9499999999999993" hidden="1" customHeight="1" x14ac:dyDescent="0.2"/>
    <row r="48903" ht="9.9499999999999993" hidden="1" customHeight="1" x14ac:dyDescent="0.2"/>
    <row r="48904" ht="9.9499999999999993" hidden="1" customHeight="1" x14ac:dyDescent="0.2"/>
    <row r="48905" ht="9.9499999999999993" hidden="1" customHeight="1" x14ac:dyDescent="0.2"/>
    <row r="48906" ht="9.9499999999999993" hidden="1" customHeight="1" x14ac:dyDescent="0.2"/>
    <row r="48907" ht="9.9499999999999993" hidden="1" customHeight="1" x14ac:dyDescent="0.2"/>
    <row r="48908" ht="9.9499999999999993" hidden="1" customHeight="1" x14ac:dyDescent="0.2"/>
    <row r="48909" ht="9.9499999999999993" hidden="1" customHeight="1" x14ac:dyDescent="0.2"/>
    <row r="48910" ht="9.9499999999999993" hidden="1" customHeight="1" x14ac:dyDescent="0.2"/>
    <row r="48911" ht="9.9499999999999993" hidden="1" customHeight="1" x14ac:dyDescent="0.2"/>
    <row r="48912" ht="9.9499999999999993" hidden="1" customHeight="1" x14ac:dyDescent="0.2"/>
    <row r="48913" ht="9.9499999999999993" hidden="1" customHeight="1" x14ac:dyDescent="0.2"/>
    <row r="48914" ht="9.9499999999999993" hidden="1" customHeight="1" x14ac:dyDescent="0.2"/>
    <row r="48915" ht="9.9499999999999993" hidden="1" customHeight="1" x14ac:dyDescent="0.2"/>
    <row r="48916" ht="9.9499999999999993" hidden="1" customHeight="1" x14ac:dyDescent="0.2"/>
    <row r="48917" ht="9.9499999999999993" hidden="1" customHeight="1" x14ac:dyDescent="0.2"/>
    <row r="48918" ht="9.9499999999999993" hidden="1" customHeight="1" x14ac:dyDescent="0.2"/>
    <row r="48919" ht="9.9499999999999993" hidden="1" customHeight="1" x14ac:dyDescent="0.2"/>
    <row r="48920" ht="9.9499999999999993" hidden="1" customHeight="1" x14ac:dyDescent="0.2"/>
    <row r="48921" ht="9.9499999999999993" hidden="1" customHeight="1" x14ac:dyDescent="0.2"/>
    <row r="48922" ht="9.9499999999999993" hidden="1" customHeight="1" x14ac:dyDescent="0.2"/>
    <row r="48923" ht="9.9499999999999993" hidden="1" customHeight="1" x14ac:dyDescent="0.2"/>
    <row r="48924" ht="9.9499999999999993" hidden="1" customHeight="1" x14ac:dyDescent="0.2"/>
    <row r="48925" ht="9.9499999999999993" hidden="1" customHeight="1" x14ac:dyDescent="0.2"/>
    <row r="48926" ht="9.9499999999999993" hidden="1" customHeight="1" x14ac:dyDescent="0.2"/>
    <row r="48927" ht="9.9499999999999993" hidden="1" customHeight="1" x14ac:dyDescent="0.2"/>
    <row r="48928" ht="9.9499999999999993" hidden="1" customHeight="1" x14ac:dyDescent="0.2"/>
    <row r="48929" ht="9.9499999999999993" hidden="1" customHeight="1" x14ac:dyDescent="0.2"/>
    <row r="48930" ht="9.9499999999999993" hidden="1" customHeight="1" x14ac:dyDescent="0.2"/>
    <row r="48931" ht="9.9499999999999993" hidden="1" customHeight="1" x14ac:dyDescent="0.2"/>
    <row r="48932" ht="9.9499999999999993" hidden="1" customHeight="1" x14ac:dyDescent="0.2"/>
    <row r="48933" ht="9.9499999999999993" hidden="1" customHeight="1" x14ac:dyDescent="0.2"/>
    <row r="48934" ht="9.9499999999999993" hidden="1" customHeight="1" x14ac:dyDescent="0.2"/>
    <row r="48935" ht="9.9499999999999993" hidden="1" customHeight="1" x14ac:dyDescent="0.2"/>
    <row r="48936" ht="9.9499999999999993" hidden="1" customHeight="1" x14ac:dyDescent="0.2"/>
    <row r="48937" ht="9.9499999999999993" hidden="1" customHeight="1" x14ac:dyDescent="0.2"/>
    <row r="48938" ht="9.9499999999999993" hidden="1" customHeight="1" x14ac:dyDescent="0.2"/>
    <row r="48939" ht="9.9499999999999993" hidden="1" customHeight="1" x14ac:dyDescent="0.2"/>
    <row r="48940" ht="9.9499999999999993" hidden="1" customHeight="1" x14ac:dyDescent="0.2"/>
    <row r="48941" ht="9.9499999999999993" hidden="1" customHeight="1" x14ac:dyDescent="0.2"/>
    <row r="48942" ht="9.9499999999999993" hidden="1" customHeight="1" x14ac:dyDescent="0.2"/>
    <row r="48943" ht="9.9499999999999993" hidden="1" customHeight="1" x14ac:dyDescent="0.2"/>
    <row r="48944" ht="9.9499999999999993" hidden="1" customHeight="1" x14ac:dyDescent="0.2"/>
    <row r="48945" ht="9.9499999999999993" hidden="1" customHeight="1" x14ac:dyDescent="0.2"/>
    <row r="48946" ht="9.9499999999999993" hidden="1" customHeight="1" x14ac:dyDescent="0.2"/>
    <row r="48947" ht="9.9499999999999993" hidden="1" customHeight="1" x14ac:dyDescent="0.2"/>
    <row r="48948" ht="9.9499999999999993" hidden="1" customHeight="1" x14ac:dyDescent="0.2"/>
    <row r="48949" ht="9.9499999999999993" hidden="1" customHeight="1" x14ac:dyDescent="0.2"/>
    <row r="48950" ht="9.9499999999999993" hidden="1" customHeight="1" x14ac:dyDescent="0.2"/>
    <row r="48951" ht="9.9499999999999993" hidden="1" customHeight="1" x14ac:dyDescent="0.2"/>
    <row r="48952" ht="9.9499999999999993" hidden="1" customHeight="1" x14ac:dyDescent="0.2"/>
    <row r="48953" ht="9.9499999999999993" hidden="1" customHeight="1" x14ac:dyDescent="0.2"/>
    <row r="48954" ht="9.9499999999999993" hidden="1" customHeight="1" x14ac:dyDescent="0.2"/>
    <row r="48955" ht="9.9499999999999993" hidden="1" customHeight="1" x14ac:dyDescent="0.2"/>
    <row r="48956" ht="9.9499999999999993" hidden="1" customHeight="1" x14ac:dyDescent="0.2"/>
    <row r="48957" ht="9.9499999999999993" hidden="1" customHeight="1" x14ac:dyDescent="0.2"/>
    <row r="48958" ht="9.9499999999999993" hidden="1" customHeight="1" x14ac:dyDescent="0.2"/>
    <row r="48959" ht="9.9499999999999993" hidden="1" customHeight="1" x14ac:dyDescent="0.2"/>
    <row r="48960" ht="9.9499999999999993" hidden="1" customHeight="1" x14ac:dyDescent="0.2"/>
    <row r="48961" ht="9.9499999999999993" hidden="1" customHeight="1" x14ac:dyDescent="0.2"/>
    <row r="48962" ht="9.9499999999999993" hidden="1" customHeight="1" x14ac:dyDescent="0.2"/>
    <row r="48963" ht="9.9499999999999993" hidden="1" customHeight="1" x14ac:dyDescent="0.2"/>
    <row r="48964" ht="9.9499999999999993" hidden="1" customHeight="1" x14ac:dyDescent="0.2"/>
    <row r="48965" ht="9.9499999999999993" hidden="1" customHeight="1" x14ac:dyDescent="0.2"/>
    <row r="48966" ht="9.9499999999999993" hidden="1" customHeight="1" x14ac:dyDescent="0.2"/>
    <row r="48967" ht="9.9499999999999993" hidden="1" customHeight="1" x14ac:dyDescent="0.2"/>
    <row r="48968" ht="9.9499999999999993" hidden="1" customHeight="1" x14ac:dyDescent="0.2"/>
    <row r="48969" ht="9.9499999999999993" hidden="1" customHeight="1" x14ac:dyDescent="0.2"/>
    <row r="48970" ht="9.9499999999999993" hidden="1" customHeight="1" x14ac:dyDescent="0.2"/>
    <row r="48971" ht="9.9499999999999993" hidden="1" customHeight="1" x14ac:dyDescent="0.2"/>
    <row r="48972" ht="9.9499999999999993" hidden="1" customHeight="1" x14ac:dyDescent="0.2"/>
    <row r="48973" ht="9.9499999999999993" hidden="1" customHeight="1" x14ac:dyDescent="0.2"/>
    <row r="48974" ht="9.9499999999999993" hidden="1" customHeight="1" x14ac:dyDescent="0.2"/>
    <row r="48975" ht="9.9499999999999993" hidden="1" customHeight="1" x14ac:dyDescent="0.2"/>
    <row r="48976" ht="9.9499999999999993" hidden="1" customHeight="1" x14ac:dyDescent="0.2"/>
    <row r="48977" ht="9.9499999999999993" hidden="1" customHeight="1" x14ac:dyDescent="0.2"/>
    <row r="48978" ht="9.9499999999999993" hidden="1" customHeight="1" x14ac:dyDescent="0.2"/>
    <row r="48979" ht="9.9499999999999993" hidden="1" customHeight="1" x14ac:dyDescent="0.2"/>
    <row r="48980" ht="9.9499999999999993" hidden="1" customHeight="1" x14ac:dyDescent="0.2"/>
    <row r="48981" ht="9.9499999999999993" hidden="1" customHeight="1" x14ac:dyDescent="0.2"/>
    <row r="48982" ht="9.9499999999999993" hidden="1" customHeight="1" x14ac:dyDescent="0.2"/>
    <row r="48983" ht="9.9499999999999993" hidden="1" customHeight="1" x14ac:dyDescent="0.2"/>
    <row r="48984" ht="9.9499999999999993" hidden="1" customHeight="1" x14ac:dyDescent="0.2"/>
    <row r="48985" ht="9.9499999999999993" hidden="1" customHeight="1" x14ac:dyDescent="0.2"/>
    <row r="48986" ht="9.9499999999999993" hidden="1" customHeight="1" x14ac:dyDescent="0.2"/>
    <row r="48987" ht="9.9499999999999993" hidden="1" customHeight="1" x14ac:dyDescent="0.2"/>
    <row r="48988" ht="9.9499999999999993" hidden="1" customHeight="1" x14ac:dyDescent="0.2"/>
    <row r="48989" ht="9.9499999999999993" hidden="1" customHeight="1" x14ac:dyDescent="0.2"/>
    <row r="48990" ht="9.9499999999999993" hidden="1" customHeight="1" x14ac:dyDescent="0.2"/>
    <row r="48991" ht="9.9499999999999993" hidden="1" customHeight="1" x14ac:dyDescent="0.2"/>
    <row r="48992" ht="9.9499999999999993" hidden="1" customHeight="1" x14ac:dyDescent="0.2"/>
    <row r="48993" ht="9.9499999999999993" hidden="1" customHeight="1" x14ac:dyDescent="0.2"/>
    <row r="48994" ht="9.9499999999999993" hidden="1" customHeight="1" x14ac:dyDescent="0.2"/>
    <row r="48995" ht="9.9499999999999993" hidden="1" customHeight="1" x14ac:dyDescent="0.2"/>
    <row r="48996" ht="9.9499999999999993" hidden="1" customHeight="1" x14ac:dyDescent="0.2"/>
    <row r="48997" ht="9.9499999999999993" hidden="1" customHeight="1" x14ac:dyDescent="0.2"/>
    <row r="48998" ht="9.9499999999999993" hidden="1" customHeight="1" x14ac:dyDescent="0.2"/>
    <row r="48999" ht="9.9499999999999993" hidden="1" customHeight="1" x14ac:dyDescent="0.2"/>
    <row r="49000" ht="9.9499999999999993" hidden="1" customHeight="1" x14ac:dyDescent="0.2"/>
    <row r="49001" ht="9.9499999999999993" hidden="1" customHeight="1" x14ac:dyDescent="0.2"/>
    <row r="49002" ht="9.9499999999999993" hidden="1" customHeight="1" x14ac:dyDescent="0.2"/>
    <row r="49003" ht="9.9499999999999993" hidden="1" customHeight="1" x14ac:dyDescent="0.2"/>
    <row r="49004" ht="9.9499999999999993" hidden="1" customHeight="1" x14ac:dyDescent="0.2"/>
    <row r="49005" ht="9.9499999999999993" hidden="1" customHeight="1" x14ac:dyDescent="0.2"/>
    <row r="49006" ht="9.9499999999999993" hidden="1" customHeight="1" x14ac:dyDescent="0.2"/>
    <row r="49007" ht="9.9499999999999993" hidden="1" customHeight="1" x14ac:dyDescent="0.2"/>
    <row r="49008" ht="9.9499999999999993" hidden="1" customHeight="1" x14ac:dyDescent="0.2"/>
    <row r="49009" ht="9.9499999999999993" hidden="1" customHeight="1" x14ac:dyDescent="0.2"/>
    <row r="49010" ht="9.9499999999999993" hidden="1" customHeight="1" x14ac:dyDescent="0.2"/>
    <row r="49011" ht="9.9499999999999993" hidden="1" customHeight="1" x14ac:dyDescent="0.2"/>
    <row r="49012" ht="9.9499999999999993" hidden="1" customHeight="1" x14ac:dyDescent="0.2"/>
    <row r="49013" ht="9.9499999999999993" hidden="1" customHeight="1" x14ac:dyDescent="0.2"/>
    <row r="49014" ht="9.9499999999999993" hidden="1" customHeight="1" x14ac:dyDescent="0.2"/>
    <row r="49015" ht="9.9499999999999993" hidden="1" customHeight="1" x14ac:dyDescent="0.2"/>
    <row r="49016" ht="9.9499999999999993" hidden="1" customHeight="1" x14ac:dyDescent="0.2"/>
    <row r="49017" ht="9.9499999999999993" hidden="1" customHeight="1" x14ac:dyDescent="0.2"/>
    <row r="49018" ht="9.9499999999999993" hidden="1" customHeight="1" x14ac:dyDescent="0.2"/>
    <row r="49019" ht="9.9499999999999993" hidden="1" customHeight="1" x14ac:dyDescent="0.2"/>
    <row r="49020" ht="9.9499999999999993" hidden="1" customHeight="1" x14ac:dyDescent="0.2"/>
    <row r="49021" ht="9.9499999999999993" hidden="1" customHeight="1" x14ac:dyDescent="0.2"/>
    <row r="49022" ht="9.9499999999999993" hidden="1" customHeight="1" x14ac:dyDescent="0.2"/>
    <row r="49023" ht="9.9499999999999993" hidden="1" customHeight="1" x14ac:dyDescent="0.2"/>
    <row r="49024" ht="9.9499999999999993" hidden="1" customHeight="1" x14ac:dyDescent="0.2"/>
    <row r="49025" ht="9.9499999999999993" hidden="1" customHeight="1" x14ac:dyDescent="0.2"/>
    <row r="49026" ht="9.9499999999999993" hidden="1" customHeight="1" x14ac:dyDescent="0.2"/>
    <row r="49027" ht="9.9499999999999993" hidden="1" customHeight="1" x14ac:dyDescent="0.2"/>
    <row r="49028" ht="9.9499999999999993" hidden="1" customHeight="1" x14ac:dyDescent="0.2"/>
    <row r="49029" ht="9.9499999999999993" hidden="1" customHeight="1" x14ac:dyDescent="0.2"/>
    <row r="49030" ht="9.9499999999999993" hidden="1" customHeight="1" x14ac:dyDescent="0.2"/>
    <row r="49031" ht="9.9499999999999993" hidden="1" customHeight="1" x14ac:dyDescent="0.2"/>
    <row r="49032" ht="9.9499999999999993" hidden="1" customHeight="1" x14ac:dyDescent="0.2"/>
    <row r="49033" ht="9.9499999999999993" hidden="1" customHeight="1" x14ac:dyDescent="0.2"/>
    <row r="49034" ht="9.9499999999999993" hidden="1" customHeight="1" x14ac:dyDescent="0.2"/>
    <row r="49035" ht="9.9499999999999993" hidden="1" customHeight="1" x14ac:dyDescent="0.2"/>
    <row r="49036" ht="9.9499999999999993" hidden="1" customHeight="1" x14ac:dyDescent="0.2"/>
    <row r="49037" ht="9.9499999999999993" hidden="1" customHeight="1" x14ac:dyDescent="0.2"/>
    <row r="49038" ht="9.9499999999999993" hidden="1" customHeight="1" x14ac:dyDescent="0.2"/>
    <row r="49039" ht="9.9499999999999993" hidden="1" customHeight="1" x14ac:dyDescent="0.2"/>
    <row r="49040" ht="9.9499999999999993" hidden="1" customHeight="1" x14ac:dyDescent="0.2"/>
    <row r="49041" ht="9.9499999999999993" hidden="1" customHeight="1" x14ac:dyDescent="0.2"/>
    <row r="49042" ht="9.9499999999999993" hidden="1" customHeight="1" x14ac:dyDescent="0.2"/>
    <row r="49043" ht="9.9499999999999993" hidden="1" customHeight="1" x14ac:dyDescent="0.2"/>
    <row r="49044" ht="9.9499999999999993" hidden="1" customHeight="1" x14ac:dyDescent="0.2"/>
    <row r="49045" ht="9.9499999999999993" hidden="1" customHeight="1" x14ac:dyDescent="0.2"/>
    <row r="49046" ht="9.9499999999999993" hidden="1" customHeight="1" x14ac:dyDescent="0.2"/>
    <row r="49047" ht="9.9499999999999993" hidden="1" customHeight="1" x14ac:dyDescent="0.2"/>
    <row r="49048" ht="9.9499999999999993" hidden="1" customHeight="1" x14ac:dyDescent="0.2"/>
    <row r="49049" ht="9.9499999999999993" hidden="1" customHeight="1" x14ac:dyDescent="0.2"/>
    <row r="49050" ht="9.9499999999999993" hidden="1" customHeight="1" x14ac:dyDescent="0.2"/>
    <row r="49051" ht="9.9499999999999993" hidden="1" customHeight="1" x14ac:dyDescent="0.2"/>
    <row r="49052" ht="9.9499999999999993" hidden="1" customHeight="1" x14ac:dyDescent="0.2"/>
    <row r="49053" ht="9.9499999999999993" hidden="1" customHeight="1" x14ac:dyDescent="0.2"/>
    <row r="49054" ht="9.9499999999999993" hidden="1" customHeight="1" x14ac:dyDescent="0.2"/>
    <row r="49055" ht="9.9499999999999993" hidden="1" customHeight="1" x14ac:dyDescent="0.2"/>
    <row r="49056" ht="9.9499999999999993" hidden="1" customHeight="1" x14ac:dyDescent="0.2"/>
    <row r="49057" ht="9.9499999999999993" hidden="1" customHeight="1" x14ac:dyDescent="0.2"/>
    <row r="49058" ht="9.9499999999999993" hidden="1" customHeight="1" x14ac:dyDescent="0.2"/>
    <row r="49059" ht="9.9499999999999993" hidden="1" customHeight="1" x14ac:dyDescent="0.2"/>
    <row r="49060" ht="9.9499999999999993" hidden="1" customHeight="1" x14ac:dyDescent="0.2"/>
    <row r="49061" ht="9.9499999999999993" hidden="1" customHeight="1" x14ac:dyDescent="0.2"/>
    <row r="49062" ht="9.9499999999999993" hidden="1" customHeight="1" x14ac:dyDescent="0.2"/>
    <row r="49063" ht="9.9499999999999993" hidden="1" customHeight="1" x14ac:dyDescent="0.2"/>
    <row r="49064" ht="9.9499999999999993" hidden="1" customHeight="1" x14ac:dyDescent="0.2"/>
    <row r="49065" ht="9.9499999999999993" hidden="1" customHeight="1" x14ac:dyDescent="0.2"/>
    <row r="49066" ht="9.9499999999999993" hidden="1" customHeight="1" x14ac:dyDescent="0.2"/>
    <row r="49067" ht="9.9499999999999993" hidden="1" customHeight="1" x14ac:dyDescent="0.2"/>
    <row r="49068" ht="9.9499999999999993" hidden="1" customHeight="1" x14ac:dyDescent="0.2"/>
    <row r="49069" ht="9.9499999999999993" hidden="1" customHeight="1" x14ac:dyDescent="0.2"/>
    <row r="49070" ht="9.9499999999999993" hidden="1" customHeight="1" x14ac:dyDescent="0.2"/>
    <row r="49071" ht="9.9499999999999993" hidden="1" customHeight="1" x14ac:dyDescent="0.2"/>
    <row r="49072" ht="9.9499999999999993" hidden="1" customHeight="1" x14ac:dyDescent="0.2"/>
    <row r="49073" ht="9.9499999999999993" hidden="1" customHeight="1" x14ac:dyDescent="0.2"/>
    <row r="49074" ht="9.9499999999999993" hidden="1" customHeight="1" x14ac:dyDescent="0.2"/>
    <row r="49075" ht="9.9499999999999993" hidden="1" customHeight="1" x14ac:dyDescent="0.2"/>
    <row r="49076" ht="9.9499999999999993" hidden="1" customHeight="1" x14ac:dyDescent="0.2"/>
    <row r="49077" ht="9.9499999999999993" hidden="1" customHeight="1" x14ac:dyDescent="0.2"/>
    <row r="49078" ht="9.9499999999999993" hidden="1" customHeight="1" x14ac:dyDescent="0.2"/>
    <row r="49079" ht="9.9499999999999993" hidden="1" customHeight="1" x14ac:dyDescent="0.2"/>
    <row r="49080" ht="9.9499999999999993" hidden="1" customHeight="1" x14ac:dyDescent="0.2"/>
    <row r="49081" ht="9.9499999999999993" hidden="1" customHeight="1" x14ac:dyDescent="0.2"/>
    <row r="49082" ht="9.9499999999999993" hidden="1" customHeight="1" x14ac:dyDescent="0.2"/>
    <row r="49083" ht="9.9499999999999993" hidden="1" customHeight="1" x14ac:dyDescent="0.2"/>
    <row r="49084" ht="9.9499999999999993" hidden="1" customHeight="1" x14ac:dyDescent="0.2"/>
    <row r="49085" ht="9.9499999999999993" hidden="1" customHeight="1" x14ac:dyDescent="0.2"/>
    <row r="49086" ht="9.9499999999999993" hidden="1" customHeight="1" x14ac:dyDescent="0.2"/>
    <row r="49087" ht="9.9499999999999993" hidden="1" customHeight="1" x14ac:dyDescent="0.2"/>
    <row r="49088" ht="9.9499999999999993" hidden="1" customHeight="1" x14ac:dyDescent="0.2"/>
    <row r="49089" ht="9.9499999999999993" hidden="1" customHeight="1" x14ac:dyDescent="0.2"/>
    <row r="49090" ht="9.9499999999999993" hidden="1" customHeight="1" x14ac:dyDescent="0.2"/>
    <row r="49091" ht="9.9499999999999993" hidden="1" customHeight="1" x14ac:dyDescent="0.2"/>
    <row r="49092" ht="9.9499999999999993" hidden="1" customHeight="1" x14ac:dyDescent="0.2"/>
    <row r="49093" ht="9.9499999999999993" hidden="1" customHeight="1" x14ac:dyDescent="0.2"/>
    <row r="49094" ht="9.9499999999999993" hidden="1" customHeight="1" x14ac:dyDescent="0.2"/>
    <row r="49095" ht="9.9499999999999993" hidden="1" customHeight="1" x14ac:dyDescent="0.2"/>
    <row r="49096" ht="9.9499999999999993" hidden="1" customHeight="1" x14ac:dyDescent="0.2"/>
    <row r="49097" ht="9.9499999999999993" hidden="1" customHeight="1" x14ac:dyDescent="0.2"/>
    <row r="49098" ht="9.9499999999999993" hidden="1" customHeight="1" x14ac:dyDescent="0.2"/>
    <row r="49099" ht="9.9499999999999993" hidden="1" customHeight="1" x14ac:dyDescent="0.2"/>
    <row r="49100" ht="9.9499999999999993" hidden="1" customHeight="1" x14ac:dyDescent="0.2"/>
    <row r="49101" ht="9.9499999999999993" hidden="1" customHeight="1" x14ac:dyDescent="0.2"/>
    <row r="49102" ht="9.9499999999999993" hidden="1" customHeight="1" x14ac:dyDescent="0.2"/>
    <row r="49103" ht="9.9499999999999993" hidden="1" customHeight="1" x14ac:dyDescent="0.2"/>
    <row r="49104" ht="9.9499999999999993" hidden="1" customHeight="1" x14ac:dyDescent="0.2"/>
    <row r="49105" ht="9.9499999999999993" hidden="1" customHeight="1" x14ac:dyDescent="0.2"/>
    <row r="49106" ht="9.9499999999999993" hidden="1" customHeight="1" x14ac:dyDescent="0.2"/>
    <row r="49107" ht="9.9499999999999993" hidden="1" customHeight="1" x14ac:dyDescent="0.2"/>
    <row r="49108" ht="9.9499999999999993" hidden="1" customHeight="1" x14ac:dyDescent="0.2"/>
    <row r="49109" ht="9.9499999999999993" hidden="1" customHeight="1" x14ac:dyDescent="0.2"/>
    <row r="49110" ht="9.9499999999999993" hidden="1" customHeight="1" x14ac:dyDescent="0.2"/>
    <row r="49111" ht="9.9499999999999993" hidden="1" customHeight="1" x14ac:dyDescent="0.2"/>
    <row r="49112" ht="9.9499999999999993" hidden="1" customHeight="1" x14ac:dyDescent="0.2"/>
    <row r="49113" ht="9.9499999999999993" hidden="1" customHeight="1" x14ac:dyDescent="0.2"/>
    <row r="49114" ht="9.9499999999999993" hidden="1" customHeight="1" x14ac:dyDescent="0.2"/>
    <row r="49115" ht="9.9499999999999993" hidden="1" customHeight="1" x14ac:dyDescent="0.2"/>
    <row r="49116" ht="9.9499999999999993" hidden="1" customHeight="1" x14ac:dyDescent="0.2"/>
    <row r="49117" ht="9.9499999999999993" hidden="1" customHeight="1" x14ac:dyDescent="0.2"/>
    <row r="49118" ht="9.9499999999999993" hidden="1" customHeight="1" x14ac:dyDescent="0.2"/>
    <row r="49119" ht="9.9499999999999993" hidden="1" customHeight="1" x14ac:dyDescent="0.2"/>
    <row r="49120" ht="9.9499999999999993" hidden="1" customHeight="1" x14ac:dyDescent="0.2"/>
    <row r="49121" ht="9.9499999999999993" hidden="1" customHeight="1" x14ac:dyDescent="0.2"/>
    <row r="49122" ht="9.9499999999999993" hidden="1" customHeight="1" x14ac:dyDescent="0.2"/>
    <row r="49123" ht="9.9499999999999993" hidden="1" customHeight="1" x14ac:dyDescent="0.2"/>
    <row r="49124" ht="9.9499999999999993" hidden="1" customHeight="1" x14ac:dyDescent="0.2"/>
    <row r="49125" ht="9.9499999999999993" hidden="1" customHeight="1" x14ac:dyDescent="0.2"/>
    <row r="49126" ht="9.9499999999999993" hidden="1" customHeight="1" x14ac:dyDescent="0.2"/>
    <row r="49127" ht="9.9499999999999993" hidden="1" customHeight="1" x14ac:dyDescent="0.2"/>
    <row r="49128" ht="9.9499999999999993" hidden="1" customHeight="1" x14ac:dyDescent="0.2"/>
    <row r="49129" ht="9.9499999999999993" hidden="1" customHeight="1" x14ac:dyDescent="0.2"/>
    <row r="49130" ht="9.9499999999999993" hidden="1" customHeight="1" x14ac:dyDescent="0.2"/>
    <row r="49131" ht="9.9499999999999993" hidden="1" customHeight="1" x14ac:dyDescent="0.2"/>
    <row r="49132" ht="9.9499999999999993" hidden="1" customHeight="1" x14ac:dyDescent="0.2"/>
    <row r="49133" ht="9.9499999999999993" hidden="1" customHeight="1" x14ac:dyDescent="0.2"/>
    <row r="49134" ht="9.9499999999999993" hidden="1" customHeight="1" x14ac:dyDescent="0.2"/>
    <row r="49135" ht="9.9499999999999993" hidden="1" customHeight="1" x14ac:dyDescent="0.2"/>
    <row r="49136" ht="9.9499999999999993" hidden="1" customHeight="1" x14ac:dyDescent="0.2"/>
    <row r="49137" ht="9.9499999999999993" hidden="1" customHeight="1" x14ac:dyDescent="0.2"/>
    <row r="49138" ht="9.9499999999999993" hidden="1" customHeight="1" x14ac:dyDescent="0.2"/>
    <row r="49139" ht="9.9499999999999993" hidden="1" customHeight="1" x14ac:dyDescent="0.2"/>
    <row r="49140" ht="9.9499999999999993" hidden="1" customHeight="1" x14ac:dyDescent="0.2"/>
    <row r="49141" ht="9.9499999999999993" hidden="1" customHeight="1" x14ac:dyDescent="0.2"/>
    <row r="49142" ht="9.9499999999999993" hidden="1" customHeight="1" x14ac:dyDescent="0.2"/>
    <row r="49143" ht="9.9499999999999993" hidden="1" customHeight="1" x14ac:dyDescent="0.2"/>
    <row r="49144" ht="9.9499999999999993" hidden="1" customHeight="1" x14ac:dyDescent="0.2"/>
    <row r="49145" ht="9.9499999999999993" hidden="1" customHeight="1" x14ac:dyDescent="0.2"/>
    <row r="49146" ht="9.9499999999999993" hidden="1" customHeight="1" x14ac:dyDescent="0.2"/>
    <row r="49147" ht="9.9499999999999993" hidden="1" customHeight="1" x14ac:dyDescent="0.2"/>
    <row r="49148" ht="9.9499999999999993" hidden="1" customHeight="1" x14ac:dyDescent="0.2"/>
    <row r="49149" ht="9.9499999999999993" hidden="1" customHeight="1" x14ac:dyDescent="0.2"/>
    <row r="49150" ht="9.9499999999999993" hidden="1" customHeight="1" x14ac:dyDescent="0.2"/>
    <row r="49151" ht="9.9499999999999993" hidden="1" customHeight="1" x14ac:dyDescent="0.2"/>
    <row r="49152" ht="9.9499999999999993" hidden="1" customHeight="1" x14ac:dyDescent="0.2"/>
    <row r="49153" ht="9.9499999999999993" hidden="1" customHeight="1" x14ac:dyDescent="0.2"/>
    <row r="49154" ht="9.9499999999999993" hidden="1" customHeight="1" x14ac:dyDescent="0.2"/>
    <row r="49155" ht="9.9499999999999993" hidden="1" customHeight="1" x14ac:dyDescent="0.2"/>
    <row r="49156" ht="9.9499999999999993" hidden="1" customHeight="1" x14ac:dyDescent="0.2"/>
    <row r="49157" ht="9.9499999999999993" hidden="1" customHeight="1" x14ac:dyDescent="0.2"/>
    <row r="49158" ht="9.9499999999999993" hidden="1" customHeight="1" x14ac:dyDescent="0.2"/>
    <row r="49159" ht="9.9499999999999993" hidden="1" customHeight="1" x14ac:dyDescent="0.2"/>
    <row r="49160" ht="9.9499999999999993" hidden="1" customHeight="1" x14ac:dyDescent="0.2"/>
    <row r="49161" ht="9.9499999999999993" hidden="1" customHeight="1" x14ac:dyDescent="0.2"/>
    <row r="49162" ht="9.9499999999999993" hidden="1" customHeight="1" x14ac:dyDescent="0.2"/>
    <row r="49163" ht="9.9499999999999993" hidden="1" customHeight="1" x14ac:dyDescent="0.2"/>
    <row r="49164" ht="9.9499999999999993" hidden="1" customHeight="1" x14ac:dyDescent="0.2"/>
    <row r="49165" ht="9.9499999999999993" hidden="1" customHeight="1" x14ac:dyDescent="0.2"/>
    <row r="49166" ht="9.9499999999999993" hidden="1" customHeight="1" x14ac:dyDescent="0.2"/>
    <row r="49167" ht="9.9499999999999993" hidden="1" customHeight="1" x14ac:dyDescent="0.2"/>
    <row r="49168" ht="9.9499999999999993" hidden="1" customHeight="1" x14ac:dyDescent="0.2"/>
    <row r="49169" ht="9.9499999999999993" hidden="1" customHeight="1" x14ac:dyDescent="0.2"/>
    <row r="49170" ht="9.9499999999999993" hidden="1" customHeight="1" x14ac:dyDescent="0.2"/>
    <row r="49171" ht="9.9499999999999993" hidden="1" customHeight="1" x14ac:dyDescent="0.2"/>
    <row r="49172" ht="9.9499999999999993" hidden="1" customHeight="1" x14ac:dyDescent="0.2"/>
    <row r="49173" ht="9.9499999999999993" hidden="1" customHeight="1" x14ac:dyDescent="0.2"/>
    <row r="49174" ht="9.9499999999999993" hidden="1" customHeight="1" x14ac:dyDescent="0.2"/>
    <row r="49175" ht="9.9499999999999993" hidden="1" customHeight="1" x14ac:dyDescent="0.2"/>
    <row r="49176" ht="9.9499999999999993" hidden="1" customHeight="1" x14ac:dyDescent="0.2"/>
    <row r="49177" ht="9.9499999999999993" hidden="1" customHeight="1" x14ac:dyDescent="0.2"/>
    <row r="49178" ht="9.9499999999999993" hidden="1" customHeight="1" x14ac:dyDescent="0.2"/>
    <row r="49179" ht="9.9499999999999993" hidden="1" customHeight="1" x14ac:dyDescent="0.2"/>
    <row r="49180" ht="9.9499999999999993" hidden="1" customHeight="1" x14ac:dyDescent="0.2"/>
    <row r="49181" ht="9.9499999999999993" hidden="1" customHeight="1" x14ac:dyDescent="0.2"/>
    <row r="49182" ht="9.9499999999999993" hidden="1" customHeight="1" x14ac:dyDescent="0.2"/>
    <row r="49183" ht="9.9499999999999993" hidden="1" customHeight="1" x14ac:dyDescent="0.2"/>
    <row r="49184" ht="9.9499999999999993" hidden="1" customHeight="1" x14ac:dyDescent="0.2"/>
    <row r="49185" ht="9.9499999999999993" hidden="1" customHeight="1" x14ac:dyDescent="0.2"/>
    <row r="49186" ht="9.9499999999999993" hidden="1" customHeight="1" x14ac:dyDescent="0.2"/>
    <row r="49187" ht="9.9499999999999993" hidden="1" customHeight="1" x14ac:dyDescent="0.2"/>
    <row r="49188" ht="9.9499999999999993" hidden="1" customHeight="1" x14ac:dyDescent="0.2"/>
    <row r="49189" ht="9.9499999999999993" hidden="1" customHeight="1" x14ac:dyDescent="0.2"/>
    <row r="49190" ht="9.9499999999999993" hidden="1" customHeight="1" x14ac:dyDescent="0.2"/>
    <row r="49191" ht="9.9499999999999993" hidden="1" customHeight="1" x14ac:dyDescent="0.2"/>
    <row r="49192" ht="9.9499999999999993" hidden="1" customHeight="1" x14ac:dyDescent="0.2"/>
    <row r="49193" ht="9.9499999999999993" hidden="1" customHeight="1" x14ac:dyDescent="0.2"/>
    <row r="49194" ht="9.9499999999999993" hidden="1" customHeight="1" x14ac:dyDescent="0.2"/>
    <row r="49195" ht="9.9499999999999993" hidden="1" customHeight="1" x14ac:dyDescent="0.2"/>
    <row r="49196" ht="9.9499999999999993" hidden="1" customHeight="1" x14ac:dyDescent="0.2"/>
    <row r="49197" ht="9.9499999999999993" hidden="1" customHeight="1" x14ac:dyDescent="0.2"/>
    <row r="49198" ht="9.9499999999999993" hidden="1" customHeight="1" x14ac:dyDescent="0.2"/>
    <row r="49199" ht="9.9499999999999993" hidden="1" customHeight="1" x14ac:dyDescent="0.2"/>
    <row r="49200" ht="9.9499999999999993" hidden="1" customHeight="1" x14ac:dyDescent="0.2"/>
    <row r="49201" ht="9.9499999999999993" hidden="1" customHeight="1" x14ac:dyDescent="0.2"/>
    <row r="49202" ht="9.9499999999999993" hidden="1" customHeight="1" x14ac:dyDescent="0.2"/>
    <row r="49203" ht="9.9499999999999993" hidden="1" customHeight="1" x14ac:dyDescent="0.2"/>
    <row r="49204" ht="9.9499999999999993" hidden="1" customHeight="1" x14ac:dyDescent="0.2"/>
    <row r="49205" ht="9.9499999999999993" hidden="1" customHeight="1" x14ac:dyDescent="0.2"/>
    <row r="49206" ht="9.9499999999999993" hidden="1" customHeight="1" x14ac:dyDescent="0.2"/>
    <row r="49207" ht="9.9499999999999993" hidden="1" customHeight="1" x14ac:dyDescent="0.2"/>
    <row r="49208" ht="9.9499999999999993" hidden="1" customHeight="1" x14ac:dyDescent="0.2"/>
    <row r="49209" ht="9.9499999999999993" hidden="1" customHeight="1" x14ac:dyDescent="0.2"/>
    <row r="49210" ht="9.9499999999999993" hidden="1" customHeight="1" x14ac:dyDescent="0.2"/>
    <row r="49211" ht="9.9499999999999993" hidden="1" customHeight="1" x14ac:dyDescent="0.2"/>
    <row r="49212" ht="9.9499999999999993" hidden="1" customHeight="1" x14ac:dyDescent="0.2"/>
    <row r="49213" ht="9.9499999999999993" hidden="1" customHeight="1" x14ac:dyDescent="0.2"/>
    <row r="49214" ht="9.9499999999999993" hidden="1" customHeight="1" x14ac:dyDescent="0.2"/>
    <row r="49215" ht="9.9499999999999993" hidden="1" customHeight="1" x14ac:dyDescent="0.2"/>
    <row r="49216" ht="9.9499999999999993" hidden="1" customHeight="1" x14ac:dyDescent="0.2"/>
    <row r="49217" ht="9.9499999999999993" hidden="1" customHeight="1" x14ac:dyDescent="0.2"/>
    <row r="49218" ht="9.9499999999999993" hidden="1" customHeight="1" x14ac:dyDescent="0.2"/>
    <row r="49219" ht="9.9499999999999993" hidden="1" customHeight="1" x14ac:dyDescent="0.2"/>
    <row r="49220" ht="9.9499999999999993" hidden="1" customHeight="1" x14ac:dyDescent="0.2"/>
    <row r="49221" ht="9.9499999999999993" hidden="1" customHeight="1" x14ac:dyDescent="0.2"/>
    <row r="49222" ht="9.9499999999999993" hidden="1" customHeight="1" x14ac:dyDescent="0.2"/>
    <row r="49223" ht="9.9499999999999993" hidden="1" customHeight="1" x14ac:dyDescent="0.2"/>
    <row r="49224" ht="9.9499999999999993" hidden="1" customHeight="1" x14ac:dyDescent="0.2"/>
    <row r="49225" ht="9.9499999999999993" hidden="1" customHeight="1" x14ac:dyDescent="0.2"/>
    <row r="49226" ht="9.9499999999999993" hidden="1" customHeight="1" x14ac:dyDescent="0.2"/>
    <row r="49227" ht="9.9499999999999993" hidden="1" customHeight="1" x14ac:dyDescent="0.2"/>
    <row r="49228" ht="9.9499999999999993" hidden="1" customHeight="1" x14ac:dyDescent="0.2"/>
    <row r="49229" ht="9.9499999999999993" hidden="1" customHeight="1" x14ac:dyDescent="0.2"/>
    <row r="49230" ht="9.9499999999999993" hidden="1" customHeight="1" x14ac:dyDescent="0.2"/>
    <row r="49231" ht="9.9499999999999993" hidden="1" customHeight="1" x14ac:dyDescent="0.2"/>
    <row r="49232" ht="9.9499999999999993" hidden="1" customHeight="1" x14ac:dyDescent="0.2"/>
    <row r="49233" ht="9.9499999999999993" hidden="1" customHeight="1" x14ac:dyDescent="0.2"/>
    <row r="49234" ht="9.9499999999999993" hidden="1" customHeight="1" x14ac:dyDescent="0.2"/>
    <row r="49235" ht="9.9499999999999993" hidden="1" customHeight="1" x14ac:dyDescent="0.2"/>
    <row r="49236" ht="9.9499999999999993" hidden="1" customHeight="1" x14ac:dyDescent="0.2"/>
    <row r="49237" ht="9.9499999999999993" hidden="1" customHeight="1" x14ac:dyDescent="0.2"/>
    <row r="49238" ht="9.9499999999999993" hidden="1" customHeight="1" x14ac:dyDescent="0.2"/>
    <row r="49239" ht="9.9499999999999993" hidden="1" customHeight="1" x14ac:dyDescent="0.2"/>
    <row r="49240" ht="9.9499999999999993" hidden="1" customHeight="1" x14ac:dyDescent="0.2"/>
    <row r="49241" ht="9.9499999999999993" hidden="1" customHeight="1" x14ac:dyDescent="0.2"/>
    <row r="49242" ht="9.9499999999999993" hidden="1" customHeight="1" x14ac:dyDescent="0.2"/>
    <row r="49243" ht="9.9499999999999993" hidden="1" customHeight="1" x14ac:dyDescent="0.2"/>
    <row r="49244" ht="9.9499999999999993" hidden="1" customHeight="1" x14ac:dyDescent="0.2"/>
    <row r="49245" ht="9.9499999999999993" hidden="1" customHeight="1" x14ac:dyDescent="0.2"/>
    <row r="49246" ht="9.9499999999999993" hidden="1" customHeight="1" x14ac:dyDescent="0.2"/>
    <row r="49247" ht="9.9499999999999993" hidden="1" customHeight="1" x14ac:dyDescent="0.2"/>
    <row r="49248" ht="9.9499999999999993" hidden="1" customHeight="1" x14ac:dyDescent="0.2"/>
    <row r="49249" ht="9.9499999999999993" hidden="1" customHeight="1" x14ac:dyDescent="0.2"/>
    <row r="49250" ht="9.9499999999999993" hidden="1" customHeight="1" x14ac:dyDescent="0.2"/>
    <row r="49251" ht="9.9499999999999993" hidden="1" customHeight="1" x14ac:dyDescent="0.2"/>
    <row r="49252" ht="9.9499999999999993" hidden="1" customHeight="1" x14ac:dyDescent="0.2"/>
    <row r="49253" ht="9.9499999999999993" hidden="1" customHeight="1" x14ac:dyDescent="0.2"/>
    <row r="49254" ht="9.9499999999999993" hidden="1" customHeight="1" x14ac:dyDescent="0.2"/>
    <row r="49255" ht="9.9499999999999993" hidden="1" customHeight="1" x14ac:dyDescent="0.2"/>
    <row r="49256" ht="9.9499999999999993" hidden="1" customHeight="1" x14ac:dyDescent="0.2"/>
    <row r="49257" ht="9.9499999999999993" hidden="1" customHeight="1" x14ac:dyDescent="0.2"/>
    <row r="49258" ht="9.9499999999999993" hidden="1" customHeight="1" x14ac:dyDescent="0.2"/>
    <row r="49259" ht="9.9499999999999993" hidden="1" customHeight="1" x14ac:dyDescent="0.2"/>
    <row r="49260" ht="9.9499999999999993" hidden="1" customHeight="1" x14ac:dyDescent="0.2"/>
    <row r="49261" ht="9.9499999999999993" hidden="1" customHeight="1" x14ac:dyDescent="0.2"/>
    <row r="49262" ht="9.9499999999999993" hidden="1" customHeight="1" x14ac:dyDescent="0.2"/>
    <row r="49263" ht="9.9499999999999993" hidden="1" customHeight="1" x14ac:dyDescent="0.2"/>
    <row r="49264" ht="9.9499999999999993" hidden="1" customHeight="1" x14ac:dyDescent="0.2"/>
    <row r="49265" ht="9.9499999999999993" hidden="1" customHeight="1" x14ac:dyDescent="0.2"/>
    <row r="49266" ht="9.9499999999999993" hidden="1" customHeight="1" x14ac:dyDescent="0.2"/>
    <row r="49267" ht="9.9499999999999993" hidden="1" customHeight="1" x14ac:dyDescent="0.2"/>
    <row r="49268" ht="9.9499999999999993" hidden="1" customHeight="1" x14ac:dyDescent="0.2"/>
    <row r="49269" ht="9.9499999999999993" hidden="1" customHeight="1" x14ac:dyDescent="0.2"/>
    <row r="49270" ht="9.9499999999999993" hidden="1" customHeight="1" x14ac:dyDescent="0.2"/>
    <row r="49271" ht="9.9499999999999993" hidden="1" customHeight="1" x14ac:dyDescent="0.2"/>
    <row r="49272" ht="9.9499999999999993" hidden="1" customHeight="1" x14ac:dyDescent="0.2"/>
    <row r="49273" ht="9.9499999999999993" hidden="1" customHeight="1" x14ac:dyDescent="0.2"/>
    <row r="49274" ht="9.9499999999999993" hidden="1" customHeight="1" x14ac:dyDescent="0.2"/>
    <row r="49275" ht="9.9499999999999993" hidden="1" customHeight="1" x14ac:dyDescent="0.2"/>
    <row r="49276" ht="9.9499999999999993" hidden="1" customHeight="1" x14ac:dyDescent="0.2"/>
    <row r="49277" ht="9.9499999999999993" hidden="1" customHeight="1" x14ac:dyDescent="0.2"/>
    <row r="49278" ht="9.9499999999999993" hidden="1" customHeight="1" x14ac:dyDescent="0.2"/>
    <row r="49279" ht="9.9499999999999993" hidden="1" customHeight="1" x14ac:dyDescent="0.2"/>
    <row r="49280" ht="9.9499999999999993" hidden="1" customHeight="1" x14ac:dyDescent="0.2"/>
    <row r="49281" ht="9.9499999999999993" hidden="1" customHeight="1" x14ac:dyDescent="0.2"/>
    <row r="49282" ht="9.9499999999999993" hidden="1" customHeight="1" x14ac:dyDescent="0.2"/>
    <row r="49283" ht="9.9499999999999993" hidden="1" customHeight="1" x14ac:dyDescent="0.2"/>
    <row r="49284" ht="9.9499999999999993" hidden="1" customHeight="1" x14ac:dyDescent="0.2"/>
    <row r="49285" ht="9.9499999999999993" hidden="1" customHeight="1" x14ac:dyDescent="0.2"/>
    <row r="49286" ht="9.9499999999999993" hidden="1" customHeight="1" x14ac:dyDescent="0.2"/>
    <row r="49287" ht="9.9499999999999993" hidden="1" customHeight="1" x14ac:dyDescent="0.2"/>
    <row r="49288" ht="9.9499999999999993" hidden="1" customHeight="1" x14ac:dyDescent="0.2"/>
    <row r="49289" ht="9.9499999999999993" hidden="1" customHeight="1" x14ac:dyDescent="0.2"/>
    <row r="49290" ht="9.9499999999999993" hidden="1" customHeight="1" x14ac:dyDescent="0.2"/>
    <row r="49291" ht="9.9499999999999993" hidden="1" customHeight="1" x14ac:dyDescent="0.2"/>
    <row r="49292" ht="9.9499999999999993" hidden="1" customHeight="1" x14ac:dyDescent="0.2"/>
    <row r="49293" ht="9.9499999999999993" hidden="1" customHeight="1" x14ac:dyDescent="0.2"/>
    <row r="49294" ht="9.9499999999999993" hidden="1" customHeight="1" x14ac:dyDescent="0.2"/>
    <row r="49295" ht="9.9499999999999993" hidden="1" customHeight="1" x14ac:dyDescent="0.2"/>
    <row r="49296" ht="9.9499999999999993" hidden="1" customHeight="1" x14ac:dyDescent="0.2"/>
    <row r="49297" ht="9.9499999999999993" hidden="1" customHeight="1" x14ac:dyDescent="0.2"/>
    <row r="49298" ht="9.9499999999999993" hidden="1" customHeight="1" x14ac:dyDescent="0.2"/>
    <row r="49299" ht="9.9499999999999993" hidden="1" customHeight="1" x14ac:dyDescent="0.2"/>
    <row r="49300" ht="9.9499999999999993" hidden="1" customHeight="1" x14ac:dyDescent="0.2"/>
    <row r="49301" ht="9.9499999999999993" hidden="1" customHeight="1" x14ac:dyDescent="0.2"/>
    <row r="49302" ht="9.9499999999999993" hidden="1" customHeight="1" x14ac:dyDescent="0.2"/>
    <row r="49303" ht="9.9499999999999993" hidden="1" customHeight="1" x14ac:dyDescent="0.2"/>
    <row r="49304" ht="9.9499999999999993" hidden="1" customHeight="1" x14ac:dyDescent="0.2"/>
    <row r="49305" ht="9.9499999999999993" hidden="1" customHeight="1" x14ac:dyDescent="0.2"/>
    <row r="49306" ht="9.9499999999999993" hidden="1" customHeight="1" x14ac:dyDescent="0.2"/>
    <row r="49307" ht="9.9499999999999993" hidden="1" customHeight="1" x14ac:dyDescent="0.2"/>
    <row r="49308" ht="9.9499999999999993" hidden="1" customHeight="1" x14ac:dyDescent="0.2"/>
    <row r="49309" ht="9.9499999999999993" hidden="1" customHeight="1" x14ac:dyDescent="0.2"/>
    <row r="49310" ht="9.9499999999999993" hidden="1" customHeight="1" x14ac:dyDescent="0.2"/>
    <row r="49311" ht="9.9499999999999993" hidden="1" customHeight="1" x14ac:dyDescent="0.2"/>
    <row r="49312" ht="9.9499999999999993" hidden="1" customHeight="1" x14ac:dyDescent="0.2"/>
    <row r="49313" ht="9.9499999999999993" hidden="1" customHeight="1" x14ac:dyDescent="0.2"/>
    <row r="49314" ht="9.9499999999999993" hidden="1" customHeight="1" x14ac:dyDescent="0.2"/>
    <row r="49315" ht="9.9499999999999993" hidden="1" customHeight="1" x14ac:dyDescent="0.2"/>
    <row r="49316" ht="9.9499999999999993" hidden="1" customHeight="1" x14ac:dyDescent="0.2"/>
    <row r="49317" ht="9.9499999999999993" hidden="1" customHeight="1" x14ac:dyDescent="0.2"/>
    <row r="49318" ht="9.9499999999999993" hidden="1" customHeight="1" x14ac:dyDescent="0.2"/>
    <row r="49319" ht="9.9499999999999993" hidden="1" customHeight="1" x14ac:dyDescent="0.2"/>
    <row r="49320" ht="9.9499999999999993" hidden="1" customHeight="1" x14ac:dyDescent="0.2"/>
    <row r="49321" ht="9.9499999999999993" hidden="1" customHeight="1" x14ac:dyDescent="0.2"/>
    <row r="49322" ht="9.9499999999999993" hidden="1" customHeight="1" x14ac:dyDescent="0.2"/>
    <row r="49323" ht="9.9499999999999993" hidden="1" customHeight="1" x14ac:dyDescent="0.2"/>
    <row r="49324" ht="9.9499999999999993" hidden="1" customHeight="1" x14ac:dyDescent="0.2"/>
    <row r="49325" ht="9.9499999999999993" hidden="1" customHeight="1" x14ac:dyDescent="0.2"/>
    <row r="49326" ht="9.9499999999999993" hidden="1" customHeight="1" x14ac:dyDescent="0.2"/>
    <row r="49327" ht="9.9499999999999993" hidden="1" customHeight="1" x14ac:dyDescent="0.2"/>
    <row r="49328" ht="9.9499999999999993" hidden="1" customHeight="1" x14ac:dyDescent="0.2"/>
    <row r="49329" ht="9.9499999999999993" hidden="1" customHeight="1" x14ac:dyDescent="0.2"/>
    <row r="49330" ht="9.9499999999999993" hidden="1" customHeight="1" x14ac:dyDescent="0.2"/>
    <row r="49331" ht="9.9499999999999993" hidden="1" customHeight="1" x14ac:dyDescent="0.2"/>
    <row r="49332" ht="9.9499999999999993" hidden="1" customHeight="1" x14ac:dyDescent="0.2"/>
    <row r="49333" ht="9.9499999999999993" hidden="1" customHeight="1" x14ac:dyDescent="0.2"/>
    <row r="49334" ht="9.9499999999999993" hidden="1" customHeight="1" x14ac:dyDescent="0.2"/>
    <row r="49335" ht="9.9499999999999993" hidden="1" customHeight="1" x14ac:dyDescent="0.2"/>
    <row r="49336" ht="9.9499999999999993" hidden="1" customHeight="1" x14ac:dyDescent="0.2"/>
    <row r="49337" ht="9.9499999999999993" hidden="1" customHeight="1" x14ac:dyDescent="0.2"/>
    <row r="49338" ht="9.9499999999999993" hidden="1" customHeight="1" x14ac:dyDescent="0.2"/>
    <row r="49339" ht="9.9499999999999993" hidden="1" customHeight="1" x14ac:dyDescent="0.2"/>
    <row r="49340" ht="9.9499999999999993" hidden="1" customHeight="1" x14ac:dyDescent="0.2"/>
    <row r="49341" ht="9.9499999999999993" hidden="1" customHeight="1" x14ac:dyDescent="0.2"/>
    <row r="49342" ht="9.9499999999999993" hidden="1" customHeight="1" x14ac:dyDescent="0.2"/>
    <row r="49343" ht="9.9499999999999993" hidden="1" customHeight="1" x14ac:dyDescent="0.2"/>
    <row r="49344" ht="9.9499999999999993" hidden="1" customHeight="1" x14ac:dyDescent="0.2"/>
    <row r="49345" ht="9.9499999999999993" hidden="1" customHeight="1" x14ac:dyDescent="0.2"/>
    <row r="49346" ht="9.9499999999999993" hidden="1" customHeight="1" x14ac:dyDescent="0.2"/>
    <row r="49347" ht="9.9499999999999993" hidden="1" customHeight="1" x14ac:dyDescent="0.2"/>
    <row r="49348" ht="9.9499999999999993" hidden="1" customHeight="1" x14ac:dyDescent="0.2"/>
    <row r="49349" ht="9.9499999999999993" hidden="1" customHeight="1" x14ac:dyDescent="0.2"/>
    <row r="49350" ht="9.9499999999999993" hidden="1" customHeight="1" x14ac:dyDescent="0.2"/>
    <row r="49351" ht="9.9499999999999993" hidden="1" customHeight="1" x14ac:dyDescent="0.2"/>
    <row r="49352" ht="9.9499999999999993" hidden="1" customHeight="1" x14ac:dyDescent="0.2"/>
    <row r="49353" ht="9.9499999999999993" hidden="1" customHeight="1" x14ac:dyDescent="0.2"/>
    <row r="49354" ht="9.9499999999999993" hidden="1" customHeight="1" x14ac:dyDescent="0.2"/>
    <row r="49355" ht="9.9499999999999993" hidden="1" customHeight="1" x14ac:dyDescent="0.2"/>
    <row r="49356" ht="9.9499999999999993" hidden="1" customHeight="1" x14ac:dyDescent="0.2"/>
    <row r="49357" ht="9.9499999999999993" hidden="1" customHeight="1" x14ac:dyDescent="0.2"/>
    <row r="49358" ht="9.9499999999999993" hidden="1" customHeight="1" x14ac:dyDescent="0.2"/>
    <row r="49359" ht="9.9499999999999993" hidden="1" customHeight="1" x14ac:dyDescent="0.2"/>
    <row r="49360" ht="9.9499999999999993" hidden="1" customHeight="1" x14ac:dyDescent="0.2"/>
    <row r="49361" ht="9.9499999999999993" hidden="1" customHeight="1" x14ac:dyDescent="0.2"/>
    <row r="49362" ht="9.9499999999999993" hidden="1" customHeight="1" x14ac:dyDescent="0.2"/>
    <row r="49363" ht="9.9499999999999993" hidden="1" customHeight="1" x14ac:dyDescent="0.2"/>
    <row r="49364" ht="9.9499999999999993" hidden="1" customHeight="1" x14ac:dyDescent="0.2"/>
    <row r="49365" ht="9.9499999999999993" hidden="1" customHeight="1" x14ac:dyDescent="0.2"/>
    <row r="49366" ht="9.9499999999999993" hidden="1" customHeight="1" x14ac:dyDescent="0.2"/>
    <row r="49367" ht="9.9499999999999993" hidden="1" customHeight="1" x14ac:dyDescent="0.2"/>
    <row r="49368" ht="9.9499999999999993" hidden="1" customHeight="1" x14ac:dyDescent="0.2"/>
    <row r="49369" ht="9.9499999999999993" hidden="1" customHeight="1" x14ac:dyDescent="0.2"/>
    <row r="49370" ht="9.9499999999999993" hidden="1" customHeight="1" x14ac:dyDescent="0.2"/>
    <row r="49371" ht="9.9499999999999993" hidden="1" customHeight="1" x14ac:dyDescent="0.2"/>
    <row r="49372" ht="9.9499999999999993" hidden="1" customHeight="1" x14ac:dyDescent="0.2"/>
    <row r="49373" ht="9.9499999999999993" hidden="1" customHeight="1" x14ac:dyDescent="0.2"/>
    <row r="49374" ht="9.9499999999999993" hidden="1" customHeight="1" x14ac:dyDescent="0.2"/>
    <row r="49375" ht="9.9499999999999993" hidden="1" customHeight="1" x14ac:dyDescent="0.2"/>
    <row r="49376" ht="9.9499999999999993" hidden="1" customHeight="1" x14ac:dyDescent="0.2"/>
    <row r="49377" ht="9.9499999999999993" hidden="1" customHeight="1" x14ac:dyDescent="0.2"/>
    <row r="49378" ht="9.9499999999999993" hidden="1" customHeight="1" x14ac:dyDescent="0.2"/>
    <row r="49379" ht="9.9499999999999993" hidden="1" customHeight="1" x14ac:dyDescent="0.2"/>
    <row r="49380" ht="9.9499999999999993" hidden="1" customHeight="1" x14ac:dyDescent="0.2"/>
    <row r="49381" ht="9.9499999999999993" hidden="1" customHeight="1" x14ac:dyDescent="0.2"/>
    <row r="49382" ht="9.9499999999999993" hidden="1" customHeight="1" x14ac:dyDescent="0.2"/>
    <row r="49383" ht="9.9499999999999993" hidden="1" customHeight="1" x14ac:dyDescent="0.2"/>
    <row r="49384" ht="9.9499999999999993" hidden="1" customHeight="1" x14ac:dyDescent="0.2"/>
    <row r="49385" ht="9.9499999999999993" hidden="1" customHeight="1" x14ac:dyDescent="0.2"/>
    <row r="49386" ht="9.9499999999999993" hidden="1" customHeight="1" x14ac:dyDescent="0.2"/>
    <row r="49387" ht="9.9499999999999993" hidden="1" customHeight="1" x14ac:dyDescent="0.2"/>
    <row r="49388" ht="9.9499999999999993" hidden="1" customHeight="1" x14ac:dyDescent="0.2"/>
    <row r="49389" ht="9.9499999999999993" hidden="1" customHeight="1" x14ac:dyDescent="0.2"/>
    <row r="49390" ht="9.9499999999999993" hidden="1" customHeight="1" x14ac:dyDescent="0.2"/>
    <row r="49391" ht="9.9499999999999993" hidden="1" customHeight="1" x14ac:dyDescent="0.2"/>
    <row r="49392" ht="9.9499999999999993" hidden="1" customHeight="1" x14ac:dyDescent="0.2"/>
    <row r="49393" ht="9.9499999999999993" hidden="1" customHeight="1" x14ac:dyDescent="0.2"/>
    <row r="49394" ht="9.9499999999999993" hidden="1" customHeight="1" x14ac:dyDescent="0.2"/>
    <row r="49395" ht="9.9499999999999993" hidden="1" customHeight="1" x14ac:dyDescent="0.2"/>
    <row r="49396" ht="9.9499999999999993" hidden="1" customHeight="1" x14ac:dyDescent="0.2"/>
    <row r="49397" ht="9.9499999999999993" hidden="1" customHeight="1" x14ac:dyDescent="0.2"/>
    <row r="49398" ht="9.9499999999999993" hidden="1" customHeight="1" x14ac:dyDescent="0.2"/>
    <row r="49399" ht="9.9499999999999993" hidden="1" customHeight="1" x14ac:dyDescent="0.2"/>
    <row r="49400" ht="9.9499999999999993" hidden="1" customHeight="1" x14ac:dyDescent="0.2"/>
    <row r="49401" ht="9.9499999999999993" hidden="1" customHeight="1" x14ac:dyDescent="0.2"/>
    <row r="49402" ht="9.9499999999999993" hidden="1" customHeight="1" x14ac:dyDescent="0.2"/>
    <row r="49403" ht="9.9499999999999993" hidden="1" customHeight="1" x14ac:dyDescent="0.2"/>
    <row r="49404" ht="9.9499999999999993" hidden="1" customHeight="1" x14ac:dyDescent="0.2"/>
    <row r="49405" ht="9.9499999999999993" hidden="1" customHeight="1" x14ac:dyDescent="0.2"/>
    <row r="49406" ht="9.9499999999999993" hidden="1" customHeight="1" x14ac:dyDescent="0.2"/>
    <row r="49407" ht="9.9499999999999993" hidden="1" customHeight="1" x14ac:dyDescent="0.2"/>
    <row r="49408" ht="9.9499999999999993" hidden="1" customHeight="1" x14ac:dyDescent="0.2"/>
    <row r="49409" ht="9.9499999999999993" hidden="1" customHeight="1" x14ac:dyDescent="0.2"/>
    <row r="49410" ht="9.9499999999999993" hidden="1" customHeight="1" x14ac:dyDescent="0.2"/>
    <row r="49411" ht="9.9499999999999993" hidden="1" customHeight="1" x14ac:dyDescent="0.2"/>
    <row r="49412" ht="9.9499999999999993" hidden="1" customHeight="1" x14ac:dyDescent="0.2"/>
    <row r="49413" ht="9.9499999999999993" hidden="1" customHeight="1" x14ac:dyDescent="0.2"/>
    <row r="49414" ht="9.9499999999999993" hidden="1" customHeight="1" x14ac:dyDescent="0.2"/>
    <row r="49415" ht="9.9499999999999993" hidden="1" customHeight="1" x14ac:dyDescent="0.2"/>
    <row r="49416" ht="9.9499999999999993" hidden="1" customHeight="1" x14ac:dyDescent="0.2"/>
    <row r="49417" ht="9.9499999999999993" hidden="1" customHeight="1" x14ac:dyDescent="0.2"/>
    <row r="49418" ht="9.9499999999999993" hidden="1" customHeight="1" x14ac:dyDescent="0.2"/>
    <row r="49419" ht="9.9499999999999993" hidden="1" customHeight="1" x14ac:dyDescent="0.2"/>
    <row r="49420" ht="9.9499999999999993" hidden="1" customHeight="1" x14ac:dyDescent="0.2"/>
    <row r="49421" ht="9.9499999999999993" hidden="1" customHeight="1" x14ac:dyDescent="0.2"/>
    <row r="49422" ht="9.9499999999999993" hidden="1" customHeight="1" x14ac:dyDescent="0.2"/>
    <row r="49423" ht="9.9499999999999993" hidden="1" customHeight="1" x14ac:dyDescent="0.2"/>
    <row r="49424" ht="9.9499999999999993" hidden="1" customHeight="1" x14ac:dyDescent="0.2"/>
    <row r="49425" ht="9.9499999999999993" hidden="1" customHeight="1" x14ac:dyDescent="0.2"/>
    <row r="49426" ht="9.9499999999999993" hidden="1" customHeight="1" x14ac:dyDescent="0.2"/>
    <row r="49427" ht="9.9499999999999993" hidden="1" customHeight="1" x14ac:dyDescent="0.2"/>
    <row r="49428" ht="9.9499999999999993" hidden="1" customHeight="1" x14ac:dyDescent="0.2"/>
    <row r="49429" ht="9.9499999999999993" hidden="1" customHeight="1" x14ac:dyDescent="0.2"/>
    <row r="49430" ht="9.9499999999999993" hidden="1" customHeight="1" x14ac:dyDescent="0.2"/>
    <row r="49431" ht="9.9499999999999993" hidden="1" customHeight="1" x14ac:dyDescent="0.2"/>
    <row r="49432" ht="9.9499999999999993" hidden="1" customHeight="1" x14ac:dyDescent="0.2"/>
    <row r="49433" ht="9.9499999999999993" hidden="1" customHeight="1" x14ac:dyDescent="0.2"/>
    <row r="49434" ht="9.9499999999999993" hidden="1" customHeight="1" x14ac:dyDescent="0.2"/>
    <row r="49435" ht="9.9499999999999993" hidden="1" customHeight="1" x14ac:dyDescent="0.2"/>
    <row r="49436" ht="9.9499999999999993" hidden="1" customHeight="1" x14ac:dyDescent="0.2"/>
    <row r="49437" ht="9.9499999999999993" hidden="1" customHeight="1" x14ac:dyDescent="0.2"/>
    <row r="49438" ht="9.9499999999999993" hidden="1" customHeight="1" x14ac:dyDescent="0.2"/>
    <row r="49439" ht="9.9499999999999993" hidden="1" customHeight="1" x14ac:dyDescent="0.2"/>
    <row r="49440" ht="9.9499999999999993" hidden="1" customHeight="1" x14ac:dyDescent="0.2"/>
    <row r="49441" ht="9.9499999999999993" hidden="1" customHeight="1" x14ac:dyDescent="0.2"/>
    <row r="49442" ht="9.9499999999999993" hidden="1" customHeight="1" x14ac:dyDescent="0.2"/>
    <row r="49443" ht="9.9499999999999993" hidden="1" customHeight="1" x14ac:dyDescent="0.2"/>
    <row r="49444" ht="9.9499999999999993" hidden="1" customHeight="1" x14ac:dyDescent="0.2"/>
    <row r="49445" ht="9.9499999999999993" hidden="1" customHeight="1" x14ac:dyDescent="0.2"/>
    <row r="49446" ht="9.9499999999999993" hidden="1" customHeight="1" x14ac:dyDescent="0.2"/>
    <row r="49447" ht="9.9499999999999993" hidden="1" customHeight="1" x14ac:dyDescent="0.2"/>
    <row r="49448" ht="9.9499999999999993" hidden="1" customHeight="1" x14ac:dyDescent="0.2"/>
    <row r="49449" ht="9.9499999999999993" hidden="1" customHeight="1" x14ac:dyDescent="0.2"/>
    <row r="49450" ht="9.9499999999999993" hidden="1" customHeight="1" x14ac:dyDescent="0.2"/>
    <row r="49451" ht="9.9499999999999993" hidden="1" customHeight="1" x14ac:dyDescent="0.2"/>
    <row r="49452" ht="9.9499999999999993" hidden="1" customHeight="1" x14ac:dyDescent="0.2"/>
    <row r="49453" ht="9.9499999999999993" hidden="1" customHeight="1" x14ac:dyDescent="0.2"/>
    <row r="49454" ht="9.9499999999999993" hidden="1" customHeight="1" x14ac:dyDescent="0.2"/>
    <row r="49455" ht="9.9499999999999993" hidden="1" customHeight="1" x14ac:dyDescent="0.2"/>
    <row r="49456" ht="9.9499999999999993" hidden="1" customHeight="1" x14ac:dyDescent="0.2"/>
    <row r="49457" ht="9.9499999999999993" hidden="1" customHeight="1" x14ac:dyDescent="0.2"/>
    <row r="49458" ht="9.9499999999999993" hidden="1" customHeight="1" x14ac:dyDescent="0.2"/>
    <row r="49459" ht="9.9499999999999993" hidden="1" customHeight="1" x14ac:dyDescent="0.2"/>
    <row r="49460" ht="9.9499999999999993" hidden="1" customHeight="1" x14ac:dyDescent="0.2"/>
    <row r="49461" ht="9.9499999999999993" hidden="1" customHeight="1" x14ac:dyDescent="0.2"/>
    <row r="49462" ht="9.9499999999999993" hidden="1" customHeight="1" x14ac:dyDescent="0.2"/>
    <row r="49463" ht="9.9499999999999993" hidden="1" customHeight="1" x14ac:dyDescent="0.2"/>
    <row r="49464" ht="9.9499999999999993" hidden="1" customHeight="1" x14ac:dyDescent="0.2"/>
    <row r="49465" ht="9.9499999999999993" hidden="1" customHeight="1" x14ac:dyDescent="0.2"/>
    <row r="49466" ht="9.9499999999999993" hidden="1" customHeight="1" x14ac:dyDescent="0.2"/>
    <row r="49467" ht="9.9499999999999993" hidden="1" customHeight="1" x14ac:dyDescent="0.2"/>
    <row r="49468" ht="9.9499999999999993" hidden="1" customHeight="1" x14ac:dyDescent="0.2"/>
    <row r="49469" ht="9.9499999999999993" hidden="1" customHeight="1" x14ac:dyDescent="0.2"/>
    <row r="49470" ht="9.9499999999999993" hidden="1" customHeight="1" x14ac:dyDescent="0.2"/>
    <row r="49471" ht="9.9499999999999993" hidden="1" customHeight="1" x14ac:dyDescent="0.2"/>
    <row r="49472" ht="9.9499999999999993" hidden="1" customHeight="1" x14ac:dyDescent="0.2"/>
    <row r="49473" ht="9.9499999999999993" hidden="1" customHeight="1" x14ac:dyDescent="0.2"/>
    <row r="49474" ht="9.9499999999999993" hidden="1" customHeight="1" x14ac:dyDescent="0.2"/>
    <row r="49475" ht="9.9499999999999993" hidden="1" customHeight="1" x14ac:dyDescent="0.2"/>
    <row r="49476" ht="9.9499999999999993" hidden="1" customHeight="1" x14ac:dyDescent="0.2"/>
    <row r="49477" ht="9.9499999999999993" hidden="1" customHeight="1" x14ac:dyDescent="0.2"/>
    <row r="49478" ht="9.9499999999999993" hidden="1" customHeight="1" x14ac:dyDescent="0.2"/>
    <row r="49479" ht="9.9499999999999993" hidden="1" customHeight="1" x14ac:dyDescent="0.2"/>
    <row r="49480" ht="9.9499999999999993" hidden="1" customHeight="1" x14ac:dyDescent="0.2"/>
    <row r="49481" ht="9.9499999999999993" hidden="1" customHeight="1" x14ac:dyDescent="0.2"/>
    <row r="49482" ht="9.9499999999999993" hidden="1" customHeight="1" x14ac:dyDescent="0.2"/>
    <row r="49483" ht="9.9499999999999993" hidden="1" customHeight="1" x14ac:dyDescent="0.2"/>
    <row r="49484" ht="9.9499999999999993" hidden="1" customHeight="1" x14ac:dyDescent="0.2"/>
    <row r="49485" ht="9.9499999999999993" hidden="1" customHeight="1" x14ac:dyDescent="0.2"/>
    <row r="49486" ht="9.9499999999999993" hidden="1" customHeight="1" x14ac:dyDescent="0.2"/>
    <row r="49487" ht="9.9499999999999993" hidden="1" customHeight="1" x14ac:dyDescent="0.2"/>
    <row r="49488" ht="9.9499999999999993" hidden="1" customHeight="1" x14ac:dyDescent="0.2"/>
    <row r="49489" ht="9.9499999999999993" hidden="1" customHeight="1" x14ac:dyDescent="0.2"/>
    <row r="49490" ht="9.9499999999999993" hidden="1" customHeight="1" x14ac:dyDescent="0.2"/>
    <row r="49491" ht="9.9499999999999993" hidden="1" customHeight="1" x14ac:dyDescent="0.2"/>
    <row r="49492" ht="9.9499999999999993" hidden="1" customHeight="1" x14ac:dyDescent="0.2"/>
    <row r="49493" ht="9.9499999999999993" hidden="1" customHeight="1" x14ac:dyDescent="0.2"/>
    <row r="49494" ht="9.9499999999999993" hidden="1" customHeight="1" x14ac:dyDescent="0.2"/>
    <row r="49495" ht="9.9499999999999993" hidden="1" customHeight="1" x14ac:dyDescent="0.2"/>
    <row r="49496" ht="9.9499999999999993" hidden="1" customHeight="1" x14ac:dyDescent="0.2"/>
    <row r="49497" ht="9.9499999999999993" hidden="1" customHeight="1" x14ac:dyDescent="0.2"/>
    <row r="49498" ht="9.9499999999999993" hidden="1" customHeight="1" x14ac:dyDescent="0.2"/>
    <row r="49499" ht="9.9499999999999993" hidden="1" customHeight="1" x14ac:dyDescent="0.2"/>
    <row r="49500" ht="9.9499999999999993" hidden="1" customHeight="1" x14ac:dyDescent="0.2"/>
    <row r="49501" ht="9.9499999999999993" hidden="1" customHeight="1" x14ac:dyDescent="0.2"/>
    <row r="49502" ht="9.9499999999999993" hidden="1" customHeight="1" x14ac:dyDescent="0.2"/>
    <row r="49503" ht="9.9499999999999993" hidden="1" customHeight="1" x14ac:dyDescent="0.2"/>
    <row r="49504" ht="9.9499999999999993" hidden="1" customHeight="1" x14ac:dyDescent="0.2"/>
    <row r="49505" ht="9.9499999999999993" hidden="1" customHeight="1" x14ac:dyDescent="0.2"/>
    <row r="49506" ht="9.9499999999999993" hidden="1" customHeight="1" x14ac:dyDescent="0.2"/>
    <row r="49507" ht="9.9499999999999993" hidden="1" customHeight="1" x14ac:dyDescent="0.2"/>
    <row r="49508" ht="9.9499999999999993" hidden="1" customHeight="1" x14ac:dyDescent="0.2"/>
    <row r="49509" ht="9.9499999999999993" hidden="1" customHeight="1" x14ac:dyDescent="0.2"/>
    <row r="49510" ht="9.9499999999999993" hidden="1" customHeight="1" x14ac:dyDescent="0.2"/>
    <row r="49511" ht="9.9499999999999993" hidden="1" customHeight="1" x14ac:dyDescent="0.2"/>
    <row r="49512" ht="9.9499999999999993" hidden="1" customHeight="1" x14ac:dyDescent="0.2"/>
    <row r="49513" ht="9.9499999999999993" hidden="1" customHeight="1" x14ac:dyDescent="0.2"/>
    <row r="49514" ht="9.9499999999999993" hidden="1" customHeight="1" x14ac:dyDescent="0.2"/>
    <row r="49515" ht="9.9499999999999993" hidden="1" customHeight="1" x14ac:dyDescent="0.2"/>
    <row r="49516" ht="9.9499999999999993" hidden="1" customHeight="1" x14ac:dyDescent="0.2"/>
    <row r="49517" ht="9.9499999999999993" hidden="1" customHeight="1" x14ac:dyDescent="0.2"/>
    <row r="49518" ht="9.9499999999999993" hidden="1" customHeight="1" x14ac:dyDescent="0.2"/>
    <row r="49519" ht="9.9499999999999993" hidden="1" customHeight="1" x14ac:dyDescent="0.2"/>
    <row r="49520" ht="9.9499999999999993" hidden="1" customHeight="1" x14ac:dyDescent="0.2"/>
    <row r="49521" ht="9.9499999999999993" hidden="1" customHeight="1" x14ac:dyDescent="0.2"/>
    <row r="49522" ht="9.9499999999999993" hidden="1" customHeight="1" x14ac:dyDescent="0.2"/>
    <row r="49523" ht="9.9499999999999993" hidden="1" customHeight="1" x14ac:dyDescent="0.2"/>
    <row r="49524" ht="9.9499999999999993" hidden="1" customHeight="1" x14ac:dyDescent="0.2"/>
    <row r="49525" ht="9.9499999999999993" hidden="1" customHeight="1" x14ac:dyDescent="0.2"/>
    <row r="49526" ht="9.9499999999999993" hidden="1" customHeight="1" x14ac:dyDescent="0.2"/>
    <row r="49527" ht="9.9499999999999993" hidden="1" customHeight="1" x14ac:dyDescent="0.2"/>
    <row r="49528" ht="9.9499999999999993" hidden="1" customHeight="1" x14ac:dyDescent="0.2"/>
    <row r="49529" ht="9.9499999999999993" hidden="1" customHeight="1" x14ac:dyDescent="0.2"/>
    <row r="49530" ht="9.9499999999999993" hidden="1" customHeight="1" x14ac:dyDescent="0.2"/>
    <row r="49531" ht="9.9499999999999993" hidden="1" customHeight="1" x14ac:dyDescent="0.2"/>
    <row r="49532" ht="9.9499999999999993" hidden="1" customHeight="1" x14ac:dyDescent="0.2"/>
    <row r="49533" ht="9.9499999999999993" hidden="1" customHeight="1" x14ac:dyDescent="0.2"/>
    <row r="49534" ht="9.9499999999999993" hidden="1" customHeight="1" x14ac:dyDescent="0.2"/>
    <row r="49535" ht="9.9499999999999993" hidden="1" customHeight="1" x14ac:dyDescent="0.2"/>
    <row r="49536" ht="9.9499999999999993" hidden="1" customHeight="1" x14ac:dyDescent="0.2"/>
    <row r="49537" ht="9.9499999999999993" hidden="1" customHeight="1" x14ac:dyDescent="0.2"/>
    <row r="49538" ht="9.9499999999999993" hidden="1" customHeight="1" x14ac:dyDescent="0.2"/>
    <row r="49539" ht="9.9499999999999993" hidden="1" customHeight="1" x14ac:dyDescent="0.2"/>
    <row r="49540" ht="9.9499999999999993" hidden="1" customHeight="1" x14ac:dyDescent="0.2"/>
    <row r="49541" ht="9.9499999999999993" hidden="1" customHeight="1" x14ac:dyDescent="0.2"/>
    <row r="49542" ht="9.9499999999999993" hidden="1" customHeight="1" x14ac:dyDescent="0.2"/>
    <row r="49543" ht="9.9499999999999993" hidden="1" customHeight="1" x14ac:dyDescent="0.2"/>
    <row r="49544" ht="9.9499999999999993" hidden="1" customHeight="1" x14ac:dyDescent="0.2"/>
    <row r="49545" ht="9.9499999999999993" hidden="1" customHeight="1" x14ac:dyDescent="0.2"/>
    <row r="49546" ht="9.9499999999999993" hidden="1" customHeight="1" x14ac:dyDescent="0.2"/>
    <row r="49547" ht="9.9499999999999993" hidden="1" customHeight="1" x14ac:dyDescent="0.2"/>
    <row r="49548" ht="9.9499999999999993" hidden="1" customHeight="1" x14ac:dyDescent="0.2"/>
    <row r="49549" ht="9.9499999999999993" hidden="1" customHeight="1" x14ac:dyDescent="0.2"/>
    <row r="49550" ht="9.9499999999999993" hidden="1" customHeight="1" x14ac:dyDescent="0.2"/>
    <row r="49551" ht="9.9499999999999993" hidden="1" customHeight="1" x14ac:dyDescent="0.2"/>
    <row r="49552" ht="9.9499999999999993" hidden="1" customHeight="1" x14ac:dyDescent="0.2"/>
    <row r="49553" ht="9.9499999999999993" hidden="1" customHeight="1" x14ac:dyDescent="0.2"/>
    <row r="49554" ht="9.9499999999999993" hidden="1" customHeight="1" x14ac:dyDescent="0.2"/>
    <row r="49555" ht="9.9499999999999993" hidden="1" customHeight="1" x14ac:dyDescent="0.2"/>
    <row r="49556" ht="9.9499999999999993" hidden="1" customHeight="1" x14ac:dyDescent="0.2"/>
    <row r="49557" ht="9.9499999999999993" hidden="1" customHeight="1" x14ac:dyDescent="0.2"/>
    <row r="49558" ht="9.9499999999999993" hidden="1" customHeight="1" x14ac:dyDescent="0.2"/>
    <row r="49559" ht="9.9499999999999993" hidden="1" customHeight="1" x14ac:dyDescent="0.2"/>
    <row r="49560" ht="9.9499999999999993" hidden="1" customHeight="1" x14ac:dyDescent="0.2"/>
    <row r="49561" ht="9.9499999999999993" hidden="1" customHeight="1" x14ac:dyDescent="0.2"/>
    <row r="49562" ht="9.9499999999999993" hidden="1" customHeight="1" x14ac:dyDescent="0.2"/>
    <row r="49563" ht="9.9499999999999993" hidden="1" customHeight="1" x14ac:dyDescent="0.2"/>
    <row r="49564" ht="9.9499999999999993" hidden="1" customHeight="1" x14ac:dyDescent="0.2"/>
    <row r="49565" ht="9.9499999999999993" hidden="1" customHeight="1" x14ac:dyDescent="0.2"/>
    <row r="49566" ht="9.9499999999999993" hidden="1" customHeight="1" x14ac:dyDescent="0.2"/>
    <row r="49567" ht="9.9499999999999993" hidden="1" customHeight="1" x14ac:dyDescent="0.2"/>
    <row r="49568" ht="9.9499999999999993" hidden="1" customHeight="1" x14ac:dyDescent="0.2"/>
    <row r="49569" ht="9.9499999999999993" hidden="1" customHeight="1" x14ac:dyDescent="0.2"/>
    <row r="49570" ht="9.9499999999999993" hidden="1" customHeight="1" x14ac:dyDescent="0.2"/>
    <row r="49571" ht="9.9499999999999993" hidden="1" customHeight="1" x14ac:dyDescent="0.2"/>
    <row r="49572" ht="9.9499999999999993" hidden="1" customHeight="1" x14ac:dyDescent="0.2"/>
    <row r="49573" ht="9.9499999999999993" hidden="1" customHeight="1" x14ac:dyDescent="0.2"/>
    <row r="49574" ht="9.9499999999999993" hidden="1" customHeight="1" x14ac:dyDescent="0.2"/>
    <row r="49575" ht="9.9499999999999993" hidden="1" customHeight="1" x14ac:dyDescent="0.2"/>
    <row r="49576" ht="9.9499999999999993" hidden="1" customHeight="1" x14ac:dyDescent="0.2"/>
    <row r="49577" ht="9.9499999999999993" hidden="1" customHeight="1" x14ac:dyDescent="0.2"/>
    <row r="49578" ht="9.9499999999999993" hidden="1" customHeight="1" x14ac:dyDescent="0.2"/>
    <row r="49579" ht="9.9499999999999993" hidden="1" customHeight="1" x14ac:dyDescent="0.2"/>
    <row r="49580" ht="9.9499999999999993" hidden="1" customHeight="1" x14ac:dyDescent="0.2"/>
    <row r="49581" ht="9.9499999999999993" hidden="1" customHeight="1" x14ac:dyDescent="0.2"/>
    <row r="49582" ht="9.9499999999999993" hidden="1" customHeight="1" x14ac:dyDescent="0.2"/>
    <row r="49583" ht="9.9499999999999993" hidden="1" customHeight="1" x14ac:dyDescent="0.2"/>
    <row r="49584" ht="9.9499999999999993" hidden="1" customHeight="1" x14ac:dyDescent="0.2"/>
    <row r="49585" ht="9.9499999999999993" hidden="1" customHeight="1" x14ac:dyDescent="0.2"/>
    <row r="49586" ht="9.9499999999999993" hidden="1" customHeight="1" x14ac:dyDescent="0.2"/>
    <row r="49587" ht="9.9499999999999993" hidden="1" customHeight="1" x14ac:dyDescent="0.2"/>
    <row r="49588" ht="9.9499999999999993" hidden="1" customHeight="1" x14ac:dyDescent="0.2"/>
    <row r="49589" ht="9.9499999999999993" hidden="1" customHeight="1" x14ac:dyDescent="0.2"/>
    <row r="49590" ht="9.9499999999999993" hidden="1" customHeight="1" x14ac:dyDescent="0.2"/>
    <row r="49591" ht="9.9499999999999993" hidden="1" customHeight="1" x14ac:dyDescent="0.2"/>
    <row r="49592" ht="9.9499999999999993" hidden="1" customHeight="1" x14ac:dyDescent="0.2"/>
    <row r="49593" ht="9.9499999999999993" hidden="1" customHeight="1" x14ac:dyDescent="0.2"/>
    <row r="49594" ht="9.9499999999999993" hidden="1" customHeight="1" x14ac:dyDescent="0.2"/>
    <row r="49595" ht="9.9499999999999993" hidden="1" customHeight="1" x14ac:dyDescent="0.2"/>
    <row r="49596" ht="9.9499999999999993" hidden="1" customHeight="1" x14ac:dyDescent="0.2"/>
    <row r="49597" ht="9.9499999999999993" hidden="1" customHeight="1" x14ac:dyDescent="0.2"/>
    <row r="49598" ht="9.9499999999999993" hidden="1" customHeight="1" x14ac:dyDescent="0.2"/>
    <row r="49599" ht="9.9499999999999993" hidden="1" customHeight="1" x14ac:dyDescent="0.2"/>
    <row r="49600" ht="9.9499999999999993" hidden="1" customHeight="1" x14ac:dyDescent="0.2"/>
    <row r="49601" ht="9.9499999999999993" hidden="1" customHeight="1" x14ac:dyDescent="0.2"/>
    <row r="49602" ht="9.9499999999999993" hidden="1" customHeight="1" x14ac:dyDescent="0.2"/>
    <row r="49603" ht="9.9499999999999993" hidden="1" customHeight="1" x14ac:dyDescent="0.2"/>
    <row r="49604" ht="9.9499999999999993" hidden="1" customHeight="1" x14ac:dyDescent="0.2"/>
    <row r="49605" ht="9.9499999999999993" hidden="1" customHeight="1" x14ac:dyDescent="0.2"/>
    <row r="49606" ht="9.9499999999999993" hidden="1" customHeight="1" x14ac:dyDescent="0.2"/>
    <row r="49607" ht="9.9499999999999993" hidden="1" customHeight="1" x14ac:dyDescent="0.2"/>
    <row r="49608" ht="9.9499999999999993" hidden="1" customHeight="1" x14ac:dyDescent="0.2"/>
    <row r="49609" ht="9.9499999999999993" hidden="1" customHeight="1" x14ac:dyDescent="0.2"/>
    <row r="49610" ht="9.9499999999999993" hidden="1" customHeight="1" x14ac:dyDescent="0.2"/>
    <row r="49611" ht="9.9499999999999993" hidden="1" customHeight="1" x14ac:dyDescent="0.2"/>
    <row r="49612" ht="9.9499999999999993" hidden="1" customHeight="1" x14ac:dyDescent="0.2"/>
    <row r="49613" ht="9.9499999999999993" hidden="1" customHeight="1" x14ac:dyDescent="0.2"/>
    <row r="49614" ht="9.9499999999999993" hidden="1" customHeight="1" x14ac:dyDescent="0.2"/>
    <row r="49615" ht="9.9499999999999993" hidden="1" customHeight="1" x14ac:dyDescent="0.2"/>
    <row r="49616" ht="9.9499999999999993" hidden="1" customHeight="1" x14ac:dyDescent="0.2"/>
    <row r="49617" ht="9.9499999999999993" hidden="1" customHeight="1" x14ac:dyDescent="0.2"/>
    <row r="49618" ht="9.9499999999999993" hidden="1" customHeight="1" x14ac:dyDescent="0.2"/>
    <row r="49619" ht="9.9499999999999993" hidden="1" customHeight="1" x14ac:dyDescent="0.2"/>
    <row r="49620" ht="9.9499999999999993" hidden="1" customHeight="1" x14ac:dyDescent="0.2"/>
    <row r="49621" ht="9.9499999999999993" hidden="1" customHeight="1" x14ac:dyDescent="0.2"/>
    <row r="49622" ht="9.9499999999999993" hidden="1" customHeight="1" x14ac:dyDescent="0.2"/>
    <row r="49623" ht="9.9499999999999993" hidden="1" customHeight="1" x14ac:dyDescent="0.2"/>
    <row r="49624" ht="9.9499999999999993" hidden="1" customHeight="1" x14ac:dyDescent="0.2"/>
    <row r="49625" ht="9.9499999999999993" hidden="1" customHeight="1" x14ac:dyDescent="0.2"/>
    <row r="49626" ht="9.9499999999999993" hidden="1" customHeight="1" x14ac:dyDescent="0.2"/>
    <row r="49627" ht="9.9499999999999993" hidden="1" customHeight="1" x14ac:dyDescent="0.2"/>
    <row r="49628" ht="9.9499999999999993" hidden="1" customHeight="1" x14ac:dyDescent="0.2"/>
    <row r="49629" ht="9.9499999999999993" hidden="1" customHeight="1" x14ac:dyDescent="0.2"/>
    <row r="49630" ht="9.9499999999999993" hidden="1" customHeight="1" x14ac:dyDescent="0.2"/>
    <row r="49631" ht="9.9499999999999993" hidden="1" customHeight="1" x14ac:dyDescent="0.2"/>
    <row r="49632" ht="9.9499999999999993" hidden="1" customHeight="1" x14ac:dyDescent="0.2"/>
    <row r="49633" ht="9.9499999999999993" hidden="1" customHeight="1" x14ac:dyDescent="0.2"/>
    <row r="49634" ht="9.9499999999999993" hidden="1" customHeight="1" x14ac:dyDescent="0.2"/>
    <row r="49635" ht="9.9499999999999993" hidden="1" customHeight="1" x14ac:dyDescent="0.2"/>
    <row r="49636" ht="9.9499999999999993" hidden="1" customHeight="1" x14ac:dyDescent="0.2"/>
    <row r="49637" ht="9.9499999999999993" hidden="1" customHeight="1" x14ac:dyDescent="0.2"/>
    <row r="49638" ht="9.9499999999999993" hidden="1" customHeight="1" x14ac:dyDescent="0.2"/>
    <row r="49639" ht="9.9499999999999993" hidden="1" customHeight="1" x14ac:dyDescent="0.2"/>
    <row r="49640" ht="9.9499999999999993" hidden="1" customHeight="1" x14ac:dyDescent="0.2"/>
    <row r="49641" ht="9.9499999999999993" hidden="1" customHeight="1" x14ac:dyDescent="0.2"/>
    <row r="49642" ht="9.9499999999999993" hidden="1" customHeight="1" x14ac:dyDescent="0.2"/>
    <row r="49643" ht="9.9499999999999993" hidden="1" customHeight="1" x14ac:dyDescent="0.2"/>
    <row r="49644" ht="9.9499999999999993" hidden="1" customHeight="1" x14ac:dyDescent="0.2"/>
    <row r="49645" ht="9.9499999999999993" hidden="1" customHeight="1" x14ac:dyDescent="0.2"/>
    <row r="49646" ht="9.9499999999999993" hidden="1" customHeight="1" x14ac:dyDescent="0.2"/>
    <row r="49647" ht="9.9499999999999993" hidden="1" customHeight="1" x14ac:dyDescent="0.2"/>
    <row r="49648" ht="9.9499999999999993" hidden="1" customHeight="1" x14ac:dyDescent="0.2"/>
    <row r="49649" ht="9.9499999999999993" hidden="1" customHeight="1" x14ac:dyDescent="0.2"/>
    <row r="49650" ht="9.9499999999999993" hidden="1" customHeight="1" x14ac:dyDescent="0.2"/>
    <row r="49651" ht="9.9499999999999993" hidden="1" customHeight="1" x14ac:dyDescent="0.2"/>
    <row r="49652" ht="9.9499999999999993" hidden="1" customHeight="1" x14ac:dyDescent="0.2"/>
    <row r="49653" ht="9.9499999999999993" hidden="1" customHeight="1" x14ac:dyDescent="0.2"/>
    <row r="49654" ht="9.9499999999999993" hidden="1" customHeight="1" x14ac:dyDescent="0.2"/>
    <row r="49655" ht="9.9499999999999993" hidden="1" customHeight="1" x14ac:dyDescent="0.2"/>
    <row r="49656" ht="9.9499999999999993" hidden="1" customHeight="1" x14ac:dyDescent="0.2"/>
    <row r="49657" ht="9.9499999999999993" hidden="1" customHeight="1" x14ac:dyDescent="0.2"/>
    <row r="49658" ht="9.9499999999999993" hidden="1" customHeight="1" x14ac:dyDescent="0.2"/>
    <row r="49659" ht="9.9499999999999993" hidden="1" customHeight="1" x14ac:dyDescent="0.2"/>
    <row r="49660" ht="9.9499999999999993" hidden="1" customHeight="1" x14ac:dyDescent="0.2"/>
    <row r="49661" ht="9.9499999999999993" hidden="1" customHeight="1" x14ac:dyDescent="0.2"/>
    <row r="49662" ht="9.9499999999999993" hidden="1" customHeight="1" x14ac:dyDescent="0.2"/>
    <row r="49663" ht="9.9499999999999993" hidden="1" customHeight="1" x14ac:dyDescent="0.2"/>
    <row r="49664" ht="9.9499999999999993" hidden="1" customHeight="1" x14ac:dyDescent="0.2"/>
    <row r="49665" ht="9.9499999999999993" hidden="1" customHeight="1" x14ac:dyDescent="0.2"/>
    <row r="49666" ht="9.9499999999999993" hidden="1" customHeight="1" x14ac:dyDescent="0.2"/>
    <row r="49667" ht="9.9499999999999993" hidden="1" customHeight="1" x14ac:dyDescent="0.2"/>
    <row r="49668" ht="9.9499999999999993" hidden="1" customHeight="1" x14ac:dyDescent="0.2"/>
    <row r="49669" ht="9.9499999999999993" hidden="1" customHeight="1" x14ac:dyDescent="0.2"/>
    <row r="49670" ht="9.9499999999999993" hidden="1" customHeight="1" x14ac:dyDescent="0.2"/>
    <row r="49671" ht="9.9499999999999993" hidden="1" customHeight="1" x14ac:dyDescent="0.2"/>
    <row r="49672" ht="9.9499999999999993" hidden="1" customHeight="1" x14ac:dyDescent="0.2"/>
    <row r="49673" ht="9.9499999999999993" hidden="1" customHeight="1" x14ac:dyDescent="0.2"/>
    <row r="49674" ht="9.9499999999999993" hidden="1" customHeight="1" x14ac:dyDescent="0.2"/>
    <row r="49675" ht="9.9499999999999993" hidden="1" customHeight="1" x14ac:dyDescent="0.2"/>
    <row r="49676" ht="9.9499999999999993" hidden="1" customHeight="1" x14ac:dyDescent="0.2"/>
    <row r="49677" ht="9.9499999999999993" hidden="1" customHeight="1" x14ac:dyDescent="0.2"/>
    <row r="49678" ht="9.9499999999999993" hidden="1" customHeight="1" x14ac:dyDescent="0.2"/>
    <row r="49679" ht="9.9499999999999993" hidden="1" customHeight="1" x14ac:dyDescent="0.2"/>
    <row r="49680" ht="9.9499999999999993" hidden="1" customHeight="1" x14ac:dyDescent="0.2"/>
    <row r="49681" ht="9.9499999999999993" hidden="1" customHeight="1" x14ac:dyDescent="0.2"/>
    <row r="49682" ht="9.9499999999999993" hidden="1" customHeight="1" x14ac:dyDescent="0.2"/>
    <row r="49683" ht="9.9499999999999993" hidden="1" customHeight="1" x14ac:dyDescent="0.2"/>
    <row r="49684" ht="9.9499999999999993" hidden="1" customHeight="1" x14ac:dyDescent="0.2"/>
    <row r="49685" ht="9.9499999999999993" hidden="1" customHeight="1" x14ac:dyDescent="0.2"/>
    <row r="49686" ht="9.9499999999999993" hidden="1" customHeight="1" x14ac:dyDescent="0.2"/>
    <row r="49687" ht="9.9499999999999993" hidden="1" customHeight="1" x14ac:dyDescent="0.2"/>
    <row r="49688" ht="9.9499999999999993" hidden="1" customHeight="1" x14ac:dyDescent="0.2"/>
    <row r="49689" ht="9.9499999999999993" hidden="1" customHeight="1" x14ac:dyDescent="0.2"/>
    <row r="49690" ht="9.9499999999999993" hidden="1" customHeight="1" x14ac:dyDescent="0.2"/>
    <row r="49691" ht="9.9499999999999993" hidden="1" customHeight="1" x14ac:dyDescent="0.2"/>
    <row r="49692" ht="9.9499999999999993" hidden="1" customHeight="1" x14ac:dyDescent="0.2"/>
    <row r="49693" ht="9.9499999999999993" hidden="1" customHeight="1" x14ac:dyDescent="0.2"/>
    <row r="49694" ht="9.9499999999999993" hidden="1" customHeight="1" x14ac:dyDescent="0.2"/>
    <row r="49695" ht="9.9499999999999993" hidden="1" customHeight="1" x14ac:dyDescent="0.2"/>
    <row r="49696" ht="9.9499999999999993" hidden="1" customHeight="1" x14ac:dyDescent="0.2"/>
    <row r="49697" ht="9.9499999999999993" hidden="1" customHeight="1" x14ac:dyDescent="0.2"/>
    <row r="49698" ht="9.9499999999999993" hidden="1" customHeight="1" x14ac:dyDescent="0.2"/>
    <row r="49699" ht="9.9499999999999993" hidden="1" customHeight="1" x14ac:dyDescent="0.2"/>
    <row r="49700" ht="9.9499999999999993" hidden="1" customHeight="1" x14ac:dyDescent="0.2"/>
    <row r="49701" ht="9.9499999999999993" hidden="1" customHeight="1" x14ac:dyDescent="0.2"/>
    <row r="49702" ht="9.9499999999999993" hidden="1" customHeight="1" x14ac:dyDescent="0.2"/>
    <row r="49703" ht="9.9499999999999993" hidden="1" customHeight="1" x14ac:dyDescent="0.2"/>
    <row r="49704" ht="9.9499999999999993" hidden="1" customHeight="1" x14ac:dyDescent="0.2"/>
    <row r="49705" ht="9.9499999999999993" hidden="1" customHeight="1" x14ac:dyDescent="0.2"/>
    <row r="49706" ht="9.9499999999999993" hidden="1" customHeight="1" x14ac:dyDescent="0.2"/>
    <row r="49707" ht="9.9499999999999993" hidden="1" customHeight="1" x14ac:dyDescent="0.2"/>
    <row r="49708" ht="9.9499999999999993" hidden="1" customHeight="1" x14ac:dyDescent="0.2"/>
    <row r="49709" ht="9.9499999999999993" hidden="1" customHeight="1" x14ac:dyDescent="0.2"/>
    <row r="49710" ht="9.9499999999999993" hidden="1" customHeight="1" x14ac:dyDescent="0.2"/>
    <row r="49711" ht="9.9499999999999993" hidden="1" customHeight="1" x14ac:dyDescent="0.2"/>
    <row r="49712" ht="9.9499999999999993" hidden="1" customHeight="1" x14ac:dyDescent="0.2"/>
    <row r="49713" ht="9.9499999999999993" hidden="1" customHeight="1" x14ac:dyDescent="0.2"/>
    <row r="49714" ht="9.9499999999999993" hidden="1" customHeight="1" x14ac:dyDescent="0.2"/>
    <row r="49715" ht="9.9499999999999993" hidden="1" customHeight="1" x14ac:dyDescent="0.2"/>
    <row r="49716" ht="9.9499999999999993" hidden="1" customHeight="1" x14ac:dyDescent="0.2"/>
    <row r="49717" ht="9.9499999999999993" hidden="1" customHeight="1" x14ac:dyDescent="0.2"/>
    <row r="49718" ht="9.9499999999999993" hidden="1" customHeight="1" x14ac:dyDescent="0.2"/>
    <row r="49719" ht="9.9499999999999993" hidden="1" customHeight="1" x14ac:dyDescent="0.2"/>
    <row r="49720" ht="9.9499999999999993" hidden="1" customHeight="1" x14ac:dyDescent="0.2"/>
    <row r="49721" ht="9.9499999999999993" hidden="1" customHeight="1" x14ac:dyDescent="0.2"/>
    <row r="49722" ht="9.9499999999999993" hidden="1" customHeight="1" x14ac:dyDescent="0.2"/>
    <row r="49723" ht="9.9499999999999993" hidden="1" customHeight="1" x14ac:dyDescent="0.2"/>
    <row r="49724" ht="9.9499999999999993" hidden="1" customHeight="1" x14ac:dyDescent="0.2"/>
    <row r="49725" ht="9.9499999999999993" hidden="1" customHeight="1" x14ac:dyDescent="0.2"/>
    <row r="49726" ht="9.9499999999999993" hidden="1" customHeight="1" x14ac:dyDescent="0.2"/>
    <row r="49727" ht="9.9499999999999993" hidden="1" customHeight="1" x14ac:dyDescent="0.2"/>
    <row r="49728" ht="9.9499999999999993" hidden="1" customHeight="1" x14ac:dyDescent="0.2"/>
    <row r="49729" ht="9.9499999999999993" hidden="1" customHeight="1" x14ac:dyDescent="0.2"/>
    <row r="49730" ht="9.9499999999999993" hidden="1" customHeight="1" x14ac:dyDescent="0.2"/>
    <row r="49731" ht="9.9499999999999993" hidden="1" customHeight="1" x14ac:dyDescent="0.2"/>
    <row r="49732" ht="9.9499999999999993" hidden="1" customHeight="1" x14ac:dyDescent="0.2"/>
    <row r="49733" ht="9.9499999999999993" hidden="1" customHeight="1" x14ac:dyDescent="0.2"/>
    <row r="49734" ht="9.9499999999999993" hidden="1" customHeight="1" x14ac:dyDescent="0.2"/>
    <row r="49735" ht="9.9499999999999993" hidden="1" customHeight="1" x14ac:dyDescent="0.2"/>
    <row r="49736" ht="9.9499999999999993" hidden="1" customHeight="1" x14ac:dyDescent="0.2"/>
    <row r="49737" ht="9.9499999999999993" hidden="1" customHeight="1" x14ac:dyDescent="0.2"/>
    <row r="49738" ht="9.9499999999999993" hidden="1" customHeight="1" x14ac:dyDescent="0.2"/>
    <row r="49739" ht="9.9499999999999993" hidden="1" customHeight="1" x14ac:dyDescent="0.2"/>
    <row r="49740" ht="9.9499999999999993" hidden="1" customHeight="1" x14ac:dyDescent="0.2"/>
    <row r="49741" ht="9.9499999999999993" hidden="1" customHeight="1" x14ac:dyDescent="0.2"/>
    <row r="49742" ht="9.9499999999999993" hidden="1" customHeight="1" x14ac:dyDescent="0.2"/>
    <row r="49743" ht="9.9499999999999993" hidden="1" customHeight="1" x14ac:dyDescent="0.2"/>
    <row r="49744" ht="9.9499999999999993" hidden="1" customHeight="1" x14ac:dyDescent="0.2"/>
    <row r="49745" ht="9.9499999999999993" hidden="1" customHeight="1" x14ac:dyDescent="0.2"/>
    <row r="49746" ht="9.9499999999999993" hidden="1" customHeight="1" x14ac:dyDescent="0.2"/>
    <row r="49747" ht="9.9499999999999993" hidden="1" customHeight="1" x14ac:dyDescent="0.2"/>
    <row r="49748" ht="9.9499999999999993" hidden="1" customHeight="1" x14ac:dyDescent="0.2"/>
    <row r="49749" ht="9.9499999999999993" hidden="1" customHeight="1" x14ac:dyDescent="0.2"/>
    <row r="49750" ht="9.9499999999999993" hidden="1" customHeight="1" x14ac:dyDescent="0.2"/>
    <row r="49751" ht="9.9499999999999993" hidden="1" customHeight="1" x14ac:dyDescent="0.2"/>
    <row r="49752" ht="9.9499999999999993" hidden="1" customHeight="1" x14ac:dyDescent="0.2"/>
    <row r="49753" ht="9.9499999999999993" hidden="1" customHeight="1" x14ac:dyDescent="0.2"/>
    <row r="49754" ht="9.9499999999999993" hidden="1" customHeight="1" x14ac:dyDescent="0.2"/>
    <row r="49755" ht="9.9499999999999993" hidden="1" customHeight="1" x14ac:dyDescent="0.2"/>
    <row r="49756" ht="9.9499999999999993" hidden="1" customHeight="1" x14ac:dyDescent="0.2"/>
    <row r="49757" ht="9.9499999999999993" hidden="1" customHeight="1" x14ac:dyDescent="0.2"/>
    <row r="49758" ht="9.9499999999999993" hidden="1" customHeight="1" x14ac:dyDescent="0.2"/>
    <row r="49759" ht="9.9499999999999993" hidden="1" customHeight="1" x14ac:dyDescent="0.2"/>
    <row r="49760" ht="9.9499999999999993" hidden="1" customHeight="1" x14ac:dyDescent="0.2"/>
    <row r="49761" ht="9.9499999999999993" hidden="1" customHeight="1" x14ac:dyDescent="0.2"/>
    <row r="49762" ht="9.9499999999999993" hidden="1" customHeight="1" x14ac:dyDescent="0.2"/>
    <row r="49763" ht="9.9499999999999993" hidden="1" customHeight="1" x14ac:dyDescent="0.2"/>
    <row r="49764" ht="9.9499999999999993" hidden="1" customHeight="1" x14ac:dyDescent="0.2"/>
    <row r="49765" ht="9.9499999999999993" hidden="1" customHeight="1" x14ac:dyDescent="0.2"/>
    <row r="49766" ht="9.9499999999999993" hidden="1" customHeight="1" x14ac:dyDescent="0.2"/>
    <row r="49767" ht="9.9499999999999993" hidden="1" customHeight="1" x14ac:dyDescent="0.2"/>
    <row r="49768" ht="9.9499999999999993" hidden="1" customHeight="1" x14ac:dyDescent="0.2"/>
    <row r="49769" ht="9.9499999999999993" hidden="1" customHeight="1" x14ac:dyDescent="0.2"/>
    <row r="49770" ht="9.9499999999999993" hidden="1" customHeight="1" x14ac:dyDescent="0.2"/>
    <row r="49771" ht="9.9499999999999993" hidden="1" customHeight="1" x14ac:dyDescent="0.2"/>
    <row r="49772" ht="9.9499999999999993" hidden="1" customHeight="1" x14ac:dyDescent="0.2"/>
    <row r="49773" ht="9.9499999999999993" hidden="1" customHeight="1" x14ac:dyDescent="0.2"/>
    <row r="49774" ht="9.9499999999999993" hidden="1" customHeight="1" x14ac:dyDescent="0.2"/>
    <row r="49775" ht="9.9499999999999993" hidden="1" customHeight="1" x14ac:dyDescent="0.2"/>
    <row r="49776" ht="9.9499999999999993" hidden="1" customHeight="1" x14ac:dyDescent="0.2"/>
    <row r="49777" ht="9.9499999999999993" hidden="1" customHeight="1" x14ac:dyDescent="0.2"/>
    <row r="49778" ht="9.9499999999999993" hidden="1" customHeight="1" x14ac:dyDescent="0.2"/>
    <row r="49779" ht="9.9499999999999993" hidden="1" customHeight="1" x14ac:dyDescent="0.2"/>
    <row r="49780" ht="9.9499999999999993" hidden="1" customHeight="1" x14ac:dyDescent="0.2"/>
    <row r="49781" ht="9.9499999999999993" hidden="1" customHeight="1" x14ac:dyDescent="0.2"/>
    <row r="49782" ht="9.9499999999999993" hidden="1" customHeight="1" x14ac:dyDescent="0.2"/>
    <row r="49783" ht="9.9499999999999993" hidden="1" customHeight="1" x14ac:dyDescent="0.2"/>
    <row r="49784" ht="9.9499999999999993" hidden="1" customHeight="1" x14ac:dyDescent="0.2"/>
    <row r="49785" ht="9.9499999999999993" hidden="1" customHeight="1" x14ac:dyDescent="0.2"/>
    <row r="49786" ht="9.9499999999999993" hidden="1" customHeight="1" x14ac:dyDescent="0.2"/>
    <row r="49787" ht="9.9499999999999993" hidden="1" customHeight="1" x14ac:dyDescent="0.2"/>
    <row r="49788" ht="9.9499999999999993" hidden="1" customHeight="1" x14ac:dyDescent="0.2"/>
    <row r="49789" ht="9.9499999999999993" hidden="1" customHeight="1" x14ac:dyDescent="0.2"/>
    <row r="49790" ht="9.9499999999999993" hidden="1" customHeight="1" x14ac:dyDescent="0.2"/>
    <row r="49791" ht="9.9499999999999993" hidden="1" customHeight="1" x14ac:dyDescent="0.2"/>
    <row r="49792" ht="9.9499999999999993" hidden="1" customHeight="1" x14ac:dyDescent="0.2"/>
    <row r="49793" ht="9.9499999999999993" hidden="1" customHeight="1" x14ac:dyDescent="0.2"/>
    <row r="49794" ht="9.9499999999999993" hidden="1" customHeight="1" x14ac:dyDescent="0.2"/>
    <row r="49795" ht="9.9499999999999993" hidden="1" customHeight="1" x14ac:dyDescent="0.2"/>
    <row r="49796" ht="9.9499999999999993" hidden="1" customHeight="1" x14ac:dyDescent="0.2"/>
    <row r="49797" ht="9.9499999999999993" hidden="1" customHeight="1" x14ac:dyDescent="0.2"/>
    <row r="49798" ht="9.9499999999999993" hidden="1" customHeight="1" x14ac:dyDescent="0.2"/>
    <row r="49799" ht="9.9499999999999993" hidden="1" customHeight="1" x14ac:dyDescent="0.2"/>
    <row r="49800" ht="9.9499999999999993" hidden="1" customHeight="1" x14ac:dyDescent="0.2"/>
    <row r="49801" ht="9.9499999999999993" hidden="1" customHeight="1" x14ac:dyDescent="0.2"/>
    <row r="49802" ht="9.9499999999999993" hidden="1" customHeight="1" x14ac:dyDescent="0.2"/>
    <row r="49803" ht="9.9499999999999993" hidden="1" customHeight="1" x14ac:dyDescent="0.2"/>
    <row r="49804" ht="9.9499999999999993" hidden="1" customHeight="1" x14ac:dyDescent="0.2"/>
    <row r="49805" ht="9.9499999999999993" hidden="1" customHeight="1" x14ac:dyDescent="0.2"/>
    <row r="49806" ht="9.9499999999999993" hidden="1" customHeight="1" x14ac:dyDescent="0.2"/>
    <row r="49807" ht="9.9499999999999993" hidden="1" customHeight="1" x14ac:dyDescent="0.2"/>
    <row r="49808" ht="9.9499999999999993" hidden="1" customHeight="1" x14ac:dyDescent="0.2"/>
    <row r="49809" ht="9.9499999999999993" hidden="1" customHeight="1" x14ac:dyDescent="0.2"/>
    <row r="49810" ht="9.9499999999999993" hidden="1" customHeight="1" x14ac:dyDescent="0.2"/>
    <row r="49811" ht="9.9499999999999993" hidden="1" customHeight="1" x14ac:dyDescent="0.2"/>
    <row r="49812" ht="9.9499999999999993" hidden="1" customHeight="1" x14ac:dyDescent="0.2"/>
    <row r="49813" ht="9.9499999999999993" hidden="1" customHeight="1" x14ac:dyDescent="0.2"/>
    <row r="49814" ht="9.9499999999999993" hidden="1" customHeight="1" x14ac:dyDescent="0.2"/>
    <row r="49815" ht="9.9499999999999993" hidden="1" customHeight="1" x14ac:dyDescent="0.2"/>
    <row r="49816" ht="9.9499999999999993" hidden="1" customHeight="1" x14ac:dyDescent="0.2"/>
    <row r="49817" ht="9.9499999999999993" hidden="1" customHeight="1" x14ac:dyDescent="0.2"/>
    <row r="49818" ht="9.9499999999999993" hidden="1" customHeight="1" x14ac:dyDescent="0.2"/>
    <row r="49819" ht="9.9499999999999993" hidden="1" customHeight="1" x14ac:dyDescent="0.2"/>
    <row r="49820" ht="9.9499999999999993" hidden="1" customHeight="1" x14ac:dyDescent="0.2"/>
    <row r="49821" ht="9.9499999999999993" hidden="1" customHeight="1" x14ac:dyDescent="0.2"/>
    <row r="49822" ht="9.9499999999999993" hidden="1" customHeight="1" x14ac:dyDescent="0.2"/>
    <row r="49823" ht="9.9499999999999993" hidden="1" customHeight="1" x14ac:dyDescent="0.2"/>
    <row r="49824" ht="9.9499999999999993" hidden="1" customHeight="1" x14ac:dyDescent="0.2"/>
    <row r="49825" ht="9.9499999999999993" hidden="1" customHeight="1" x14ac:dyDescent="0.2"/>
    <row r="49826" ht="9.9499999999999993" hidden="1" customHeight="1" x14ac:dyDescent="0.2"/>
    <row r="49827" ht="9.9499999999999993" hidden="1" customHeight="1" x14ac:dyDescent="0.2"/>
    <row r="49828" ht="9.9499999999999993" hidden="1" customHeight="1" x14ac:dyDescent="0.2"/>
    <row r="49829" ht="9.9499999999999993" hidden="1" customHeight="1" x14ac:dyDescent="0.2"/>
    <row r="49830" ht="9.9499999999999993" hidden="1" customHeight="1" x14ac:dyDescent="0.2"/>
    <row r="49831" ht="9.9499999999999993" hidden="1" customHeight="1" x14ac:dyDescent="0.2"/>
    <row r="49832" ht="9.9499999999999993" hidden="1" customHeight="1" x14ac:dyDescent="0.2"/>
    <row r="49833" ht="9.9499999999999993" hidden="1" customHeight="1" x14ac:dyDescent="0.2"/>
    <row r="49834" ht="9.9499999999999993" hidden="1" customHeight="1" x14ac:dyDescent="0.2"/>
    <row r="49835" ht="9.9499999999999993" hidden="1" customHeight="1" x14ac:dyDescent="0.2"/>
    <row r="49836" ht="9.9499999999999993" hidden="1" customHeight="1" x14ac:dyDescent="0.2"/>
    <row r="49837" ht="9.9499999999999993" hidden="1" customHeight="1" x14ac:dyDescent="0.2"/>
    <row r="49838" ht="9.9499999999999993" hidden="1" customHeight="1" x14ac:dyDescent="0.2"/>
    <row r="49839" ht="9.9499999999999993" hidden="1" customHeight="1" x14ac:dyDescent="0.2"/>
    <row r="49840" ht="9.9499999999999993" hidden="1" customHeight="1" x14ac:dyDescent="0.2"/>
    <row r="49841" ht="9.9499999999999993" hidden="1" customHeight="1" x14ac:dyDescent="0.2"/>
    <row r="49842" ht="9.9499999999999993" hidden="1" customHeight="1" x14ac:dyDescent="0.2"/>
    <row r="49843" ht="9.9499999999999993" hidden="1" customHeight="1" x14ac:dyDescent="0.2"/>
    <row r="49844" ht="9.9499999999999993" hidden="1" customHeight="1" x14ac:dyDescent="0.2"/>
    <row r="49845" ht="9.9499999999999993" hidden="1" customHeight="1" x14ac:dyDescent="0.2"/>
    <row r="49846" ht="9.9499999999999993" hidden="1" customHeight="1" x14ac:dyDescent="0.2"/>
    <row r="49847" ht="9.9499999999999993" hidden="1" customHeight="1" x14ac:dyDescent="0.2"/>
    <row r="49848" ht="9.9499999999999993" hidden="1" customHeight="1" x14ac:dyDescent="0.2"/>
    <row r="49849" ht="9.9499999999999993" hidden="1" customHeight="1" x14ac:dyDescent="0.2"/>
    <row r="49850" ht="9.9499999999999993" hidden="1" customHeight="1" x14ac:dyDescent="0.2"/>
    <row r="49851" ht="9.9499999999999993" hidden="1" customHeight="1" x14ac:dyDescent="0.2"/>
    <row r="49852" ht="9.9499999999999993" hidden="1" customHeight="1" x14ac:dyDescent="0.2"/>
    <row r="49853" ht="9.9499999999999993" hidden="1" customHeight="1" x14ac:dyDescent="0.2"/>
    <row r="49854" ht="9.9499999999999993" hidden="1" customHeight="1" x14ac:dyDescent="0.2"/>
    <row r="49855" ht="9.9499999999999993" hidden="1" customHeight="1" x14ac:dyDescent="0.2"/>
    <row r="49856" ht="9.9499999999999993" hidden="1" customHeight="1" x14ac:dyDescent="0.2"/>
    <row r="49857" ht="9.9499999999999993" hidden="1" customHeight="1" x14ac:dyDescent="0.2"/>
    <row r="49858" ht="9.9499999999999993" hidden="1" customHeight="1" x14ac:dyDescent="0.2"/>
    <row r="49859" ht="9.9499999999999993" hidden="1" customHeight="1" x14ac:dyDescent="0.2"/>
    <row r="49860" ht="9.9499999999999993" hidden="1" customHeight="1" x14ac:dyDescent="0.2"/>
    <row r="49861" ht="9.9499999999999993" hidden="1" customHeight="1" x14ac:dyDescent="0.2"/>
    <row r="49862" ht="9.9499999999999993" hidden="1" customHeight="1" x14ac:dyDescent="0.2"/>
    <row r="49863" ht="9.9499999999999993" hidden="1" customHeight="1" x14ac:dyDescent="0.2"/>
    <row r="49864" ht="9.9499999999999993" hidden="1" customHeight="1" x14ac:dyDescent="0.2"/>
    <row r="49865" ht="9.9499999999999993" hidden="1" customHeight="1" x14ac:dyDescent="0.2"/>
    <row r="49866" ht="9.9499999999999993" hidden="1" customHeight="1" x14ac:dyDescent="0.2"/>
    <row r="49867" ht="9.9499999999999993" hidden="1" customHeight="1" x14ac:dyDescent="0.2"/>
    <row r="49868" ht="9.9499999999999993" hidden="1" customHeight="1" x14ac:dyDescent="0.2"/>
    <row r="49869" ht="9.9499999999999993" hidden="1" customHeight="1" x14ac:dyDescent="0.2"/>
    <row r="49870" ht="9.9499999999999993" hidden="1" customHeight="1" x14ac:dyDescent="0.2"/>
    <row r="49871" ht="9.9499999999999993" hidden="1" customHeight="1" x14ac:dyDescent="0.2"/>
    <row r="49872" ht="9.9499999999999993" hidden="1" customHeight="1" x14ac:dyDescent="0.2"/>
    <row r="49873" ht="9.9499999999999993" hidden="1" customHeight="1" x14ac:dyDescent="0.2"/>
    <row r="49874" ht="9.9499999999999993" hidden="1" customHeight="1" x14ac:dyDescent="0.2"/>
    <row r="49875" ht="9.9499999999999993" hidden="1" customHeight="1" x14ac:dyDescent="0.2"/>
    <row r="49876" ht="9.9499999999999993" hidden="1" customHeight="1" x14ac:dyDescent="0.2"/>
    <row r="49877" ht="9.9499999999999993" hidden="1" customHeight="1" x14ac:dyDescent="0.2"/>
    <row r="49878" ht="9.9499999999999993" hidden="1" customHeight="1" x14ac:dyDescent="0.2"/>
    <row r="49879" ht="9.9499999999999993" hidden="1" customHeight="1" x14ac:dyDescent="0.2"/>
    <row r="49880" ht="9.9499999999999993" hidden="1" customHeight="1" x14ac:dyDescent="0.2"/>
    <row r="49881" ht="9.9499999999999993" hidden="1" customHeight="1" x14ac:dyDescent="0.2"/>
    <row r="49882" ht="9.9499999999999993" hidden="1" customHeight="1" x14ac:dyDescent="0.2"/>
    <row r="49883" ht="9.9499999999999993" hidden="1" customHeight="1" x14ac:dyDescent="0.2"/>
    <row r="49884" ht="9.9499999999999993" hidden="1" customHeight="1" x14ac:dyDescent="0.2"/>
    <row r="49885" ht="9.9499999999999993" hidden="1" customHeight="1" x14ac:dyDescent="0.2"/>
    <row r="49886" ht="9.9499999999999993" hidden="1" customHeight="1" x14ac:dyDescent="0.2"/>
    <row r="49887" ht="9.9499999999999993" hidden="1" customHeight="1" x14ac:dyDescent="0.2"/>
    <row r="49888" ht="9.9499999999999993" hidden="1" customHeight="1" x14ac:dyDescent="0.2"/>
    <row r="49889" ht="9.9499999999999993" hidden="1" customHeight="1" x14ac:dyDescent="0.2"/>
    <row r="49890" ht="9.9499999999999993" hidden="1" customHeight="1" x14ac:dyDescent="0.2"/>
    <row r="49891" ht="9.9499999999999993" hidden="1" customHeight="1" x14ac:dyDescent="0.2"/>
    <row r="49892" ht="9.9499999999999993" hidden="1" customHeight="1" x14ac:dyDescent="0.2"/>
    <row r="49893" ht="9.9499999999999993" hidden="1" customHeight="1" x14ac:dyDescent="0.2"/>
    <row r="49894" ht="9.9499999999999993" hidden="1" customHeight="1" x14ac:dyDescent="0.2"/>
    <row r="49895" ht="9.9499999999999993" hidden="1" customHeight="1" x14ac:dyDescent="0.2"/>
    <row r="49896" ht="9.9499999999999993" hidden="1" customHeight="1" x14ac:dyDescent="0.2"/>
    <row r="49897" ht="9.9499999999999993" hidden="1" customHeight="1" x14ac:dyDescent="0.2"/>
    <row r="49898" ht="9.9499999999999993" hidden="1" customHeight="1" x14ac:dyDescent="0.2"/>
    <row r="49899" ht="9.9499999999999993" hidden="1" customHeight="1" x14ac:dyDescent="0.2"/>
    <row r="49900" ht="9.9499999999999993" hidden="1" customHeight="1" x14ac:dyDescent="0.2"/>
    <row r="49901" ht="9.9499999999999993" hidden="1" customHeight="1" x14ac:dyDescent="0.2"/>
    <row r="49902" ht="9.9499999999999993" hidden="1" customHeight="1" x14ac:dyDescent="0.2"/>
    <row r="49903" ht="9.9499999999999993" hidden="1" customHeight="1" x14ac:dyDescent="0.2"/>
    <row r="49904" ht="9.9499999999999993" hidden="1" customHeight="1" x14ac:dyDescent="0.2"/>
    <row r="49905" ht="9.9499999999999993" hidden="1" customHeight="1" x14ac:dyDescent="0.2"/>
    <row r="49906" ht="9.9499999999999993" hidden="1" customHeight="1" x14ac:dyDescent="0.2"/>
    <row r="49907" ht="9.9499999999999993" hidden="1" customHeight="1" x14ac:dyDescent="0.2"/>
    <row r="49908" ht="9.9499999999999993" hidden="1" customHeight="1" x14ac:dyDescent="0.2"/>
    <row r="49909" ht="9.9499999999999993" hidden="1" customHeight="1" x14ac:dyDescent="0.2"/>
    <row r="49910" ht="9.9499999999999993" hidden="1" customHeight="1" x14ac:dyDescent="0.2"/>
    <row r="49911" ht="9.9499999999999993" hidden="1" customHeight="1" x14ac:dyDescent="0.2"/>
    <row r="49912" ht="9.9499999999999993" hidden="1" customHeight="1" x14ac:dyDescent="0.2"/>
    <row r="49913" ht="9.9499999999999993" hidden="1" customHeight="1" x14ac:dyDescent="0.2"/>
    <row r="49914" ht="9.9499999999999993" hidden="1" customHeight="1" x14ac:dyDescent="0.2"/>
    <row r="49915" ht="9.9499999999999993" hidden="1" customHeight="1" x14ac:dyDescent="0.2"/>
    <row r="49916" ht="9.9499999999999993" hidden="1" customHeight="1" x14ac:dyDescent="0.2"/>
    <row r="49917" ht="9.9499999999999993" hidden="1" customHeight="1" x14ac:dyDescent="0.2"/>
    <row r="49918" ht="9.9499999999999993" hidden="1" customHeight="1" x14ac:dyDescent="0.2"/>
    <row r="49919" ht="9.9499999999999993" hidden="1" customHeight="1" x14ac:dyDescent="0.2"/>
    <row r="49920" ht="9.9499999999999993" hidden="1" customHeight="1" x14ac:dyDescent="0.2"/>
    <row r="49921" ht="9.9499999999999993" hidden="1" customHeight="1" x14ac:dyDescent="0.2"/>
    <row r="49922" ht="9.9499999999999993" hidden="1" customHeight="1" x14ac:dyDescent="0.2"/>
    <row r="49923" ht="9.9499999999999993" hidden="1" customHeight="1" x14ac:dyDescent="0.2"/>
    <row r="49924" ht="9.9499999999999993" hidden="1" customHeight="1" x14ac:dyDescent="0.2"/>
    <row r="49925" ht="9.9499999999999993" hidden="1" customHeight="1" x14ac:dyDescent="0.2"/>
    <row r="49926" ht="9.9499999999999993" hidden="1" customHeight="1" x14ac:dyDescent="0.2"/>
    <row r="49927" ht="9.9499999999999993" hidden="1" customHeight="1" x14ac:dyDescent="0.2"/>
    <row r="49928" ht="9.9499999999999993" hidden="1" customHeight="1" x14ac:dyDescent="0.2"/>
    <row r="49929" ht="9.9499999999999993" hidden="1" customHeight="1" x14ac:dyDescent="0.2"/>
    <row r="49930" ht="9.9499999999999993" hidden="1" customHeight="1" x14ac:dyDescent="0.2"/>
    <row r="49931" ht="9.9499999999999993" hidden="1" customHeight="1" x14ac:dyDescent="0.2"/>
    <row r="49932" ht="9.9499999999999993" hidden="1" customHeight="1" x14ac:dyDescent="0.2"/>
    <row r="49933" ht="9.9499999999999993" hidden="1" customHeight="1" x14ac:dyDescent="0.2"/>
    <row r="49934" ht="9.9499999999999993" hidden="1" customHeight="1" x14ac:dyDescent="0.2"/>
    <row r="49935" ht="9.9499999999999993" hidden="1" customHeight="1" x14ac:dyDescent="0.2"/>
    <row r="49936" ht="9.9499999999999993" hidden="1" customHeight="1" x14ac:dyDescent="0.2"/>
    <row r="49937" ht="9.9499999999999993" hidden="1" customHeight="1" x14ac:dyDescent="0.2"/>
    <row r="49938" ht="9.9499999999999993" hidden="1" customHeight="1" x14ac:dyDescent="0.2"/>
    <row r="49939" ht="9.9499999999999993" hidden="1" customHeight="1" x14ac:dyDescent="0.2"/>
    <row r="49940" ht="9.9499999999999993" hidden="1" customHeight="1" x14ac:dyDescent="0.2"/>
    <row r="49941" ht="9.9499999999999993" hidden="1" customHeight="1" x14ac:dyDescent="0.2"/>
    <row r="49942" ht="9.9499999999999993" hidden="1" customHeight="1" x14ac:dyDescent="0.2"/>
    <row r="49943" ht="9.9499999999999993" hidden="1" customHeight="1" x14ac:dyDescent="0.2"/>
    <row r="49944" ht="9.9499999999999993" hidden="1" customHeight="1" x14ac:dyDescent="0.2"/>
    <row r="49945" ht="9.9499999999999993" hidden="1" customHeight="1" x14ac:dyDescent="0.2"/>
    <row r="49946" ht="9.9499999999999993" hidden="1" customHeight="1" x14ac:dyDescent="0.2"/>
    <row r="49947" ht="9.9499999999999993" hidden="1" customHeight="1" x14ac:dyDescent="0.2"/>
    <row r="49948" ht="9.9499999999999993" hidden="1" customHeight="1" x14ac:dyDescent="0.2"/>
    <row r="49949" ht="9.9499999999999993" hidden="1" customHeight="1" x14ac:dyDescent="0.2"/>
    <row r="49950" ht="9.9499999999999993" hidden="1" customHeight="1" x14ac:dyDescent="0.2"/>
    <row r="49951" ht="9.9499999999999993" hidden="1" customHeight="1" x14ac:dyDescent="0.2"/>
    <row r="49952" ht="9.9499999999999993" hidden="1" customHeight="1" x14ac:dyDescent="0.2"/>
    <row r="49953" ht="9.9499999999999993" hidden="1" customHeight="1" x14ac:dyDescent="0.2"/>
    <row r="49954" ht="9.9499999999999993" hidden="1" customHeight="1" x14ac:dyDescent="0.2"/>
    <row r="49955" ht="9.9499999999999993" hidden="1" customHeight="1" x14ac:dyDescent="0.2"/>
    <row r="49956" ht="9.9499999999999993" hidden="1" customHeight="1" x14ac:dyDescent="0.2"/>
    <row r="49957" ht="9.9499999999999993" hidden="1" customHeight="1" x14ac:dyDescent="0.2"/>
    <row r="49958" ht="9.9499999999999993" hidden="1" customHeight="1" x14ac:dyDescent="0.2"/>
    <row r="49959" ht="9.9499999999999993" hidden="1" customHeight="1" x14ac:dyDescent="0.2"/>
    <row r="49960" ht="9.9499999999999993" hidden="1" customHeight="1" x14ac:dyDescent="0.2"/>
    <row r="49961" ht="9.9499999999999993" hidden="1" customHeight="1" x14ac:dyDescent="0.2"/>
    <row r="49962" ht="9.9499999999999993" hidden="1" customHeight="1" x14ac:dyDescent="0.2"/>
    <row r="49963" ht="9.9499999999999993" hidden="1" customHeight="1" x14ac:dyDescent="0.2"/>
    <row r="49964" ht="9.9499999999999993" hidden="1" customHeight="1" x14ac:dyDescent="0.2"/>
    <row r="49965" ht="9.9499999999999993" hidden="1" customHeight="1" x14ac:dyDescent="0.2"/>
    <row r="49966" ht="9.9499999999999993" hidden="1" customHeight="1" x14ac:dyDescent="0.2"/>
    <row r="49967" ht="9.9499999999999993" hidden="1" customHeight="1" x14ac:dyDescent="0.2"/>
    <row r="49968" ht="9.9499999999999993" hidden="1" customHeight="1" x14ac:dyDescent="0.2"/>
    <row r="49969" ht="9.9499999999999993" hidden="1" customHeight="1" x14ac:dyDescent="0.2"/>
    <row r="49970" ht="9.9499999999999993" hidden="1" customHeight="1" x14ac:dyDescent="0.2"/>
    <row r="49971" ht="9.9499999999999993" hidden="1" customHeight="1" x14ac:dyDescent="0.2"/>
    <row r="49972" ht="9.9499999999999993" hidden="1" customHeight="1" x14ac:dyDescent="0.2"/>
    <row r="49973" ht="9.9499999999999993" hidden="1" customHeight="1" x14ac:dyDescent="0.2"/>
    <row r="49974" ht="9.9499999999999993" hidden="1" customHeight="1" x14ac:dyDescent="0.2"/>
    <row r="49975" ht="9.9499999999999993" hidden="1" customHeight="1" x14ac:dyDescent="0.2"/>
    <row r="49976" ht="9.9499999999999993" hidden="1" customHeight="1" x14ac:dyDescent="0.2"/>
    <row r="49977" ht="9.9499999999999993" hidden="1" customHeight="1" x14ac:dyDescent="0.2"/>
    <row r="49978" ht="9.9499999999999993" hidden="1" customHeight="1" x14ac:dyDescent="0.2"/>
    <row r="49979" ht="9.9499999999999993" hidden="1" customHeight="1" x14ac:dyDescent="0.2"/>
    <row r="49980" ht="9.9499999999999993" hidden="1" customHeight="1" x14ac:dyDescent="0.2"/>
    <row r="49981" ht="9.9499999999999993" hidden="1" customHeight="1" x14ac:dyDescent="0.2"/>
    <row r="49982" ht="9.9499999999999993" hidden="1" customHeight="1" x14ac:dyDescent="0.2"/>
    <row r="49983" ht="9.9499999999999993" hidden="1" customHeight="1" x14ac:dyDescent="0.2"/>
    <row r="49984" ht="9.9499999999999993" hidden="1" customHeight="1" x14ac:dyDescent="0.2"/>
    <row r="49985" ht="9.9499999999999993" hidden="1" customHeight="1" x14ac:dyDescent="0.2"/>
    <row r="49986" ht="9.9499999999999993" hidden="1" customHeight="1" x14ac:dyDescent="0.2"/>
    <row r="49987" ht="9.9499999999999993" hidden="1" customHeight="1" x14ac:dyDescent="0.2"/>
    <row r="49988" ht="9.9499999999999993" hidden="1" customHeight="1" x14ac:dyDescent="0.2"/>
    <row r="49989" ht="9.9499999999999993" hidden="1" customHeight="1" x14ac:dyDescent="0.2"/>
    <row r="49990" ht="9.9499999999999993" hidden="1" customHeight="1" x14ac:dyDescent="0.2"/>
    <row r="49991" ht="9.9499999999999993" hidden="1" customHeight="1" x14ac:dyDescent="0.2"/>
    <row r="49992" ht="9.9499999999999993" hidden="1" customHeight="1" x14ac:dyDescent="0.2"/>
    <row r="49993" ht="9.9499999999999993" hidden="1" customHeight="1" x14ac:dyDescent="0.2"/>
    <row r="49994" ht="9.9499999999999993" hidden="1" customHeight="1" x14ac:dyDescent="0.2"/>
    <row r="49995" ht="9.9499999999999993" hidden="1" customHeight="1" x14ac:dyDescent="0.2"/>
    <row r="49996" ht="9.9499999999999993" hidden="1" customHeight="1" x14ac:dyDescent="0.2"/>
    <row r="49997" ht="9.9499999999999993" hidden="1" customHeight="1" x14ac:dyDescent="0.2"/>
    <row r="49998" ht="9.9499999999999993" hidden="1" customHeight="1" x14ac:dyDescent="0.2"/>
    <row r="49999" ht="9.9499999999999993" hidden="1" customHeight="1" x14ac:dyDescent="0.2"/>
    <row r="50000" ht="9.9499999999999993" hidden="1" customHeight="1" x14ac:dyDescent="0.2"/>
    <row r="50001" ht="9.9499999999999993" hidden="1" customHeight="1" x14ac:dyDescent="0.2"/>
    <row r="50002" ht="9.9499999999999993" hidden="1" customHeight="1" x14ac:dyDescent="0.2"/>
    <row r="50003" ht="9.9499999999999993" hidden="1" customHeight="1" x14ac:dyDescent="0.2"/>
    <row r="50004" ht="9.9499999999999993" hidden="1" customHeight="1" x14ac:dyDescent="0.2"/>
    <row r="50005" ht="9.9499999999999993" hidden="1" customHeight="1" x14ac:dyDescent="0.2"/>
    <row r="50006" ht="9.9499999999999993" hidden="1" customHeight="1" x14ac:dyDescent="0.2"/>
    <row r="50007" ht="9.9499999999999993" hidden="1" customHeight="1" x14ac:dyDescent="0.2"/>
    <row r="50008" ht="9.9499999999999993" hidden="1" customHeight="1" x14ac:dyDescent="0.2"/>
    <row r="50009" ht="9.9499999999999993" hidden="1" customHeight="1" x14ac:dyDescent="0.2"/>
    <row r="50010" ht="9.9499999999999993" hidden="1" customHeight="1" x14ac:dyDescent="0.2"/>
    <row r="50011" ht="9.9499999999999993" hidden="1" customHeight="1" x14ac:dyDescent="0.2"/>
    <row r="50012" ht="9.9499999999999993" hidden="1" customHeight="1" x14ac:dyDescent="0.2"/>
    <row r="50013" ht="9.9499999999999993" hidden="1" customHeight="1" x14ac:dyDescent="0.2"/>
    <row r="50014" ht="9.9499999999999993" hidden="1" customHeight="1" x14ac:dyDescent="0.2"/>
    <row r="50015" ht="9.9499999999999993" hidden="1" customHeight="1" x14ac:dyDescent="0.2"/>
    <row r="50016" ht="9.9499999999999993" hidden="1" customHeight="1" x14ac:dyDescent="0.2"/>
    <row r="50017" ht="9.9499999999999993" hidden="1" customHeight="1" x14ac:dyDescent="0.2"/>
    <row r="50018" ht="9.9499999999999993" hidden="1" customHeight="1" x14ac:dyDescent="0.2"/>
    <row r="50019" ht="9.9499999999999993" hidden="1" customHeight="1" x14ac:dyDescent="0.2"/>
    <row r="50020" ht="9.9499999999999993" hidden="1" customHeight="1" x14ac:dyDescent="0.2"/>
    <row r="50021" ht="9.9499999999999993" hidden="1" customHeight="1" x14ac:dyDescent="0.2"/>
    <row r="50022" ht="9.9499999999999993" hidden="1" customHeight="1" x14ac:dyDescent="0.2"/>
    <row r="50023" ht="9.9499999999999993" hidden="1" customHeight="1" x14ac:dyDescent="0.2"/>
    <row r="50024" ht="9.9499999999999993" hidden="1" customHeight="1" x14ac:dyDescent="0.2"/>
    <row r="50025" ht="9.9499999999999993" hidden="1" customHeight="1" x14ac:dyDescent="0.2"/>
    <row r="50026" ht="9.9499999999999993" hidden="1" customHeight="1" x14ac:dyDescent="0.2"/>
    <row r="50027" ht="9.9499999999999993" hidden="1" customHeight="1" x14ac:dyDescent="0.2"/>
    <row r="50028" ht="9.9499999999999993" hidden="1" customHeight="1" x14ac:dyDescent="0.2"/>
    <row r="50029" ht="9.9499999999999993" hidden="1" customHeight="1" x14ac:dyDescent="0.2"/>
    <row r="50030" ht="9.9499999999999993" hidden="1" customHeight="1" x14ac:dyDescent="0.2"/>
    <row r="50031" ht="9.9499999999999993" hidden="1" customHeight="1" x14ac:dyDescent="0.2"/>
    <row r="50032" ht="9.9499999999999993" hidden="1" customHeight="1" x14ac:dyDescent="0.2"/>
    <row r="50033" ht="9.9499999999999993" hidden="1" customHeight="1" x14ac:dyDescent="0.2"/>
    <row r="50034" ht="9.9499999999999993" hidden="1" customHeight="1" x14ac:dyDescent="0.2"/>
    <row r="50035" ht="9.9499999999999993" hidden="1" customHeight="1" x14ac:dyDescent="0.2"/>
    <row r="50036" ht="9.9499999999999993" hidden="1" customHeight="1" x14ac:dyDescent="0.2"/>
    <row r="50037" ht="9.9499999999999993" hidden="1" customHeight="1" x14ac:dyDescent="0.2"/>
    <row r="50038" ht="9.9499999999999993" hidden="1" customHeight="1" x14ac:dyDescent="0.2"/>
    <row r="50039" ht="9.9499999999999993" hidden="1" customHeight="1" x14ac:dyDescent="0.2"/>
    <row r="50040" ht="9.9499999999999993" hidden="1" customHeight="1" x14ac:dyDescent="0.2"/>
    <row r="50041" ht="9.9499999999999993" hidden="1" customHeight="1" x14ac:dyDescent="0.2"/>
    <row r="50042" ht="9.9499999999999993" hidden="1" customHeight="1" x14ac:dyDescent="0.2"/>
    <row r="50043" ht="9.9499999999999993" hidden="1" customHeight="1" x14ac:dyDescent="0.2"/>
    <row r="50044" ht="9.9499999999999993" hidden="1" customHeight="1" x14ac:dyDescent="0.2"/>
    <row r="50045" ht="9.9499999999999993" hidden="1" customHeight="1" x14ac:dyDescent="0.2"/>
    <row r="50046" ht="9.9499999999999993" hidden="1" customHeight="1" x14ac:dyDescent="0.2"/>
    <row r="50047" ht="9.9499999999999993" hidden="1" customHeight="1" x14ac:dyDescent="0.2"/>
    <row r="50048" ht="9.9499999999999993" hidden="1" customHeight="1" x14ac:dyDescent="0.2"/>
    <row r="50049" ht="9.9499999999999993" hidden="1" customHeight="1" x14ac:dyDescent="0.2"/>
    <row r="50050" ht="9.9499999999999993" hidden="1" customHeight="1" x14ac:dyDescent="0.2"/>
    <row r="50051" ht="9.9499999999999993" hidden="1" customHeight="1" x14ac:dyDescent="0.2"/>
    <row r="50052" ht="9.9499999999999993" hidden="1" customHeight="1" x14ac:dyDescent="0.2"/>
    <row r="50053" ht="9.9499999999999993" hidden="1" customHeight="1" x14ac:dyDescent="0.2"/>
    <row r="50054" ht="9.9499999999999993" hidden="1" customHeight="1" x14ac:dyDescent="0.2"/>
    <row r="50055" ht="9.9499999999999993" hidden="1" customHeight="1" x14ac:dyDescent="0.2"/>
    <row r="50056" ht="9.9499999999999993" hidden="1" customHeight="1" x14ac:dyDescent="0.2"/>
    <row r="50057" ht="9.9499999999999993" hidden="1" customHeight="1" x14ac:dyDescent="0.2"/>
    <row r="50058" ht="9.9499999999999993" hidden="1" customHeight="1" x14ac:dyDescent="0.2"/>
    <row r="50059" ht="9.9499999999999993" hidden="1" customHeight="1" x14ac:dyDescent="0.2"/>
    <row r="50060" ht="9.9499999999999993" hidden="1" customHeight="1" x14ac:dyDescent="0.2"/>
    <row r="50061" ht="9.9499999999999993" hidden="1" customHeight="1" x14ac:dyDescent="0.2"/>
    <row r="50062" ht="9.9499999999999993" hidden="1" customHeight="1" x14ac:dyDescent="0.2"/>
    <row r="50063" ht="9.9499999999999993" hidden="1" customHeight="1" x14ac:dyDescent="0.2"/>
    <row r="50064" ht="9.9499999999999993" hidden="1" customHeight="1" x14ac:dyDescent="0.2"/>
    <row r="50065" ht="9.9499999999999993" hidden="1" customHeight="1" x14ac:dyDescent="0.2"/>
    <row r="50066" ht="9.9499999999999993" hidden="1" customHeight="1" x14ac:dyDescent="0.2"/>
    <row r="50067" ht="9.9499999999999993" hidden="1" customHeight="1" x14ac:dyDescent="0.2"/>
    <row r="50068" ht="9.9499999999999993" hidden="1" customHeight="1" x14ac:dyDescent="0.2"/>
    <row r="50069" ht="9.9499999999999993" hidden="1" customHeight="1" x14ac:dyDescent="0.2"/>
    <row r="50070" ht="9.9499999999999993" hidden="1" customHeight="1" x14ac:dyDescent="0.2"/>
    <row r="50071" ht="9.9499999999999993" hidden="1" customHeight="1" x14ac:dyDescent="0.2"/>
    <row r="50072" ht="9.9499999999999993" hidden="1" customHeight="1" x14ac:dyDescent="0.2"/>
    <row r="50073" ht="9.9499999999999993" hidden="1" customHeight="1" x14ac:dyDescent="0.2"/>
    <row r="50074" ht="9.9499999999999993" hidden="1" customHeight="1" x14ac:dyDescent="0.2"/>
    <row r="50075" ht="9.9499999999999993" hidden="1" customHeight="1" x14ac:dyDescent="0.2"/>
    <row r="50076" ht="9.9499999999999993" hidden="1" customHeight="1" x14ac:dyDescent="0.2"/>
    <row r="50077" ht="9.9499999999999993" hidden="1" customHeight="1" x14ac:dyDescent="0.2"/>
    <row r="50078" ht="9.9499999999999993" hidden="1" customHeight="1" x14ac:dyDescent="0.2"/>
    <row r="50079" ht="9.9499999999999993" hidden="1" customHeight="1" x14ac:dyDescent="0.2"/>
    <row r="50080" ht="9.9499999999999993" hidden="1" customHeight="1" x14ac:dyDescent="0.2"/>
    <row r="50081" ht="9.9499999999999993" hidden="1" customHeight="1" x14ac:dyDescent="0.2"/>
    <row r="50082" ht="9.9499999999999993" hidden="1" customHeight="1" x14ac:dyDescent="0.2"/>
    <row r="50083" ht="9.9499999999999993" hidden="1" customHeight="1" x14ac:dyDescent="0.2"/>
    <row r="50084" ht="9.9499999999999993" hidden="1" customHeight="1" x14ac:dyDescent="0.2"/>
    <row r="50085" ht="9.9499999999999993" hidden="1" customHeight="1" x14ac:dyDescent="0.2"/>
    <row r="50086" ht="9.9499999999999993" hidden="1" customHeight="1" x14ac:dyDescent="0.2"/>
    <row r="50087" ht="9.9499999999999993" hidden="1" customHeight="1" x14ac:dyDescent="0.2"/>
    <row r="50088" ht="9.9499999999999993" hidden="1" customHeight="1" x14ac:dyDescent="0.2"/>
    <row r="50089" ht="9.9499999999999993" hidden="1" customHeight="1" x14ac:dyDescent="0.2"/>
    <row r="50090" ht="9.9499999999999993" hidden="1" customHeight="1" x14ac:dyDescent="0.2"/>
    <row r="50091" ht="9.9499999999999993" hidden="1" customHeight="1" x14ac:dyDescent="0.2"/>
    <row r="50092" ht="9.9499999999999993" hidden="1" customHeight="1" x14ac:dyDescent="0.2"/>
    <row r="50093" ht="9.9499999999999993" hidden="1" customHeight="1" x14ac:dyDescent="0.2"/>
    <row r="50094" ht="9.9499999999999993" hidden="1" customHeight="1" x14ac:dyDescent="0.2"/>
    <row r="50095" ht="9.9499999999999993" hidden="1" customHeight="1" x14ac:dyDescent="0.2"/>
    <row r="50096" ht="9.9499999999999993" hidden="1" customHeight="1" x14ac:dyDescent="0.2"/>
    <row r="50097" ht="9.9499999999999993" hidden="1" customHeight="1" x14ac:dyDescent="0.2"/>
    <row r="50098" ht="9.9499999999999993" hidden="1" customHeight="1" x14ac:dyDescent="0.2"/>
    <row r="50099" ht="9.9499999999999993" hidden="1" customHeight="1" x14ac:dyDescent="0.2"/>
    <row r="50100" ht="9.9499999999999993" hidden="1" customHeight="1" x14ac:dyDescent="0.2"/>
    <row r="50101" ht="9.9499999999999993" hidden="1" customHeight="1" x14ac:dyDescent="0.2"/>
    <row r="50102" ht="9.9499999999999993" hidden="1" customHeight="1" x14ac:dyDescent="0.2"/>
    <row r="50103" ht="9.9499999999999993" hidden="1" customHeight="1" x14ac:dyDescent="0.2"/>
    <row r="50104" ht="9.9499999999999993" hidden="1" customHeight="1" x14ac:dyDescent="0.2"/>
    <row r="50105" ht="9.9499999999999993" hidden="1" customHeight="1" x14ac:dyDescent="0.2"/>
    <row r="50106" ht="9.9499999999999993" hidden="1" customHeight="1" x14ac:dyDescent="0.2"/>
    <row r="50107" ht="9.9499999999999993" hidden="1" customHeight="1" x14ac:dyDescent="0.2"/>
    <row r="50108" ht="9.9499999999999993" hidden="1" customHeight="1" x14ac:dyDescent="0.2"/>
    <row r="50109" ht="9.9499999999999993" hidden="1" customHeight="1" x14ac:dyDescent="0.2"/>
    <row r="50110" ht="9.9499999999999993" hidden="1" customHeight="1" x14ac:dyDescent="0.2"/>
    <row r="50111" ht="9.9499999999999993" hidden="1" customHeight="1" x14ac:dyDescent="0.2"/>
    <row r="50112" ht="9.9499999999999993" hidden="1" customHeight="1" x14ac:dyDescent="0.2"/>
    <row r="50113" ht="9.9499999999999993" hidden="1" customHeight="1" x14ac:dyDescent="0.2"/>
    <row r="50114" ht="9.9499999999999993" hidden="1" customHeight="1" x14ac:dyDescent="0.2"/>
    <row r="50115" ht="9.9499999999999993" hidden="1" customHeight="1" x14ac:dyDescent="0.2"/>
    <row r="50116" ht="9.9499999999999993" hidden="1" customHeight="1" x14ac:dyDescent="0.2"/>
    <row r="50117" ht="9.9499999999999993" hidden="1" customHeight="1" x14ac:dyDescent="0.2"/>
    <row r="50118" ht="9.9499999999999993" hidden="1" customHeight="1" x14ac:dyDescent="0.2"/>
    <row r="50119" ht="9.9499999999999993" hidden="1" customHeight="1" x14ac:dyDescent="0.2"/>
    <row r="50120" ht="9.9499999999999993" hidden="1" customHeight="1" x14ac:dyDescent="0.2"/>
    <row r="50121" ht="9.9499999999999993" hidden="1" customHeight="1" x14ac:dyDescent="0.2"/>
    <row r="50122" ht="9.9499999999999993" hidden="1" customHeight="1" x14ac:dyDescent="0.2"/>
    <row r="50123" ht="9.9499999999999993" hidden="1" customHeight="1" x14ac:dyDescent="0.2"/>
    <row r="50124" ht="9.9499999999999993" hidden="1" customHeight="1" x14ac:dyDescent="0.2"/>
    <row r="50125" ht="9.9499999999999993" hidden="1" customHeight="1" x14ac:dyDescent="0.2"/>
    <row r="50126" ht="9.9499999999999993" hidden="1" customHeight="1" x14ac:dyDescent="0.2"/>
    <row r="50127" ht="9.9499999999999993" hidden="1" customHeight="1" x14ac:dyDescent="0.2"/>
    <row r="50128" ht="9.9499999999999993" hidden="1" customHeight="1" x14ac:dyDescent="0.2"/>
    <row r="50129" ht="9.9499999999999993" hidden="1" customHeight="1" x14ac:dyDescent="0.2"/>
    <row r="50130" ht="9.9499999999999993" hidden="1" customHeight="1" x14ac:dyDescent="0.2"/>
    <row r="50131" ht="9.9499999999999993" hidden="1" customHeight="1" x14ac:dyDescent="0.2"/>
    <row r="50132" ht="9.9499999999999993" hidden="1" customHeight="1" x14ac:dyDescent="0.2"/>
    <row r="50133" ht="9.9499999999999993" hidden="1" customHeight="1" x14ac:dyDescent="0.2"/>
    <row r="50134" ht="9.9499999999999993" hidden="1" customHeight="1" x14ac:dyDescent="0.2"/>
    <row r="50135" ht="9.9499999999999993" hidden="1" customHeight="1" x14ac:dyDescent="0.2"/>
    <row r="50136" ht="9.9499999999999993" hidden="1" customHeight="1" x14ac:dyDescent="0.2"/>
    <row r="50137" ht="9.9499999999999993" hidden="1" customHeight="1" x14ac:dyDescent="0.2"/>
    <row r="50138" ht="9.9499999999999993" hidden="1" customHeight="1" x14ac:dyDescent="0.2"/>
    <row r="50139" ht="9.9499999999999993" hidden="1" customHeight="1" x14ac:dyDescent="0.2"/>
    <row r="50140" ht="9.9499999999999993" hidden="1" customHeight="1" x14ac:dyDescent="0.2"/>
    <row r="50141" ht="9.9499999999999993" hidden="1" customHeight="1" x14ac:dyDescent="0.2"/>
    <row r="50142" ht="9.9499999999999993" hidden="1" customHeight="1" x14ac:dyDescent="0.2"/>
    <row r="50143" ht="9.9499999999999993" hidden="1" customHeight="1" x14ac:dyDescent="0.2"/>
    <row r="50144" ht="9.9499999999999993" hidden="1" customHeight="1" x14ac:dyDescent="0.2"/>
    <row r="50145" ht="9.9499999999999993" hidden="1" customHeight="1" x14ac:dyDescent="0.2"/>
    <row r="50146" ht="9.9499999999999993" hidden="1" customHeight="1" x14ac:dyDescent="0.2"/>
    <row r="50147" ht="9.9499999999999993" hidden="1" customHeight="1" x14ac:dyDescent="0.2"/>
    <row r="50148" ht="9.9499999999999993" hidden="1" customHeight="1" x14ac:dyDescent="0.2"/>
    <row r="50149" ht="9.9499999999999993" hidden="1" customHeight="1" x14ac:dyDescent="0.2"/>
    <row r="50150" ht="9.9499999999999993" hidden="1" customHeight="1" x14ac:dyDescent="0.2"/>
    <row r="50151" ht="9.9499999999999993" hidden="1" customHeight="1" x14ac:dyDescent="0.2"/>
    <row r="50152" ht="9.9499999999999993" hidden="1" customHeight="1" x14ac:dyDescent="0.2"/>
    <row r="50153" ht="9.9499999999999993" hidden="1" customHeight="1" x14ac:dyDescent="0.2"/>
    <row r="50154" ht="9.9499999999999993" hidden="1" customHeight="1" x14ac:dyDescent="0.2"/>
    <row r="50155" ht="9.9499999999999993" hidden="1" customHeight="1" x14ac:dyDescent="0.2"/>
    <row r="50156" ht="9.9499999999999993" hidden="1" customHeight="1" x14ac:dyDescent="0.2"/>
    <row r="50157" ht="9.9499999999999993" hidden="1" customHeight="1" x14ac:dyDescent="0.2"/>
    <row r="50158" ht="9.9499999999999993" hidden="1" customHeight="1" x14ac:dyDescent="0.2"/>
    <row r="50159" ht="9.9499999999999993" hidden="1" customHeight="1" x14ac:dyDescent="0.2"/>
    <row r="50160" ht="9.9499999999999993" hidden="1" customHeight="1" x14ac:dyDescent="0.2"/>
    <row r="50161" ht="9.9499999999999993" hidden="1" customHeight="1" x14ac:dyDescent="0.2"/>
    <row r="50162" ht="9.9499999999999993" hidden="1" customHeight="1" x14ac:dyDescent="0.2"/>
    <row r="50163" ht="9.9499999999999993" hidden="1" customHeight="1" x14ac:dyDescent="0.2"/>
    <row r="50164" ht="9.9499999999999993" hidden="1" customHeight="1" x14ac:dyDescent="0.2"/>
    <row r="50165" ht="9.9499999999999993" hidden="1" customHeight="1" x14ac:dyDescent="0.2"/>
    <row r="50166" ht="9.9499999999999993" hidden="1" customHeight="1" x14ac:dyDescent="0.2"/>
    <row r="50167" ht="9.9499999999999993" hidden="1" customHeight="1" x14ac:dyDescent="0.2"/>
    <row r="50168" ht="9.9499999999999993" hidden="1" customHeight="1" x14ac:dyDescent="0.2"/>
    <row r="50169" ht="9.9499999999999993" hidden="1" customHeight="1" x14ac:dyDescent="0.2"/>
    <row r="50170" ht="9.9499999999999993" hidden="1" customHeight="1" x14ac:dyDescent="0.2"/>
    <row r="50171" ht="9.9499999999999993" hidden="1" customHeight="1" x14ac:dyDescent="0.2"/>
    <row r="50172" ht="9.9499999999999993" hidden="1" customHeight="1" x14ac:dyDescent="0.2"/>
    <row r="50173" ht="9.9499999999999993" hidden="1" customHeight="1" x14ac:dyDescent="0.2"/>
    <row r="50174" ht="9.9499999999999993" hidden="1" customHeight="1" x14ac:dyDescent="0.2"/>
    <row r="50175" ht="9.9499999999999993" hidden="1" customHeight="1" x14ac:dyDescent="0.2"/>
    <row r="50176" ht="9.9499999999999993" hidden="1" customHeight="1" x14ac:dyDescent="0.2"/>
    <row r="50177" ht="9.9499999999999993" hidden="1" customHeight="1" x14ac:dyDescent="0.2"/>
    <row r="50178" ht="9.9499999999999993" hidden="1" customHeight="1" x14ac:dyDescent="0.2"/>
    <row r="50179" ht="9.9499999999999993" hidden="1" customHeight="1" x14ac:dyDescent="0.2"/>
    <row r="50180" ht="9.9499999999999993" hidden="1" customHeight="1" x14ac:dyDescent="0.2"/>
    <row r="50181" ht="9.9499999999999993" hidden="1" customHeight="1" x14ac:dyDescent="0.2"/>
    <row r="50182" ht="9.9499999999999993" hidden="1" customHeight="1" x14ac:dyDescent="0.2"/>
    <row r="50183" ht="9.9499999999999993" hidden="1" customHeight="1" x14ac:dyDescent="0.2"/>
    <row r="50184" ht="9.9499999999999993" hidden="1" customHeight="1" x14ac:dyDescent="0.2"/>
    <row r="50185" ht="9.9499999999999993" hidden="1" customHeight="1" x14ac:dyDescent="0.2"/>
    <row r="50186" ht="9.9499999999999993" hidden="1" customHeight="1" x14ac:dyDescent="0.2"/>
    <row r="50187" ht="9.9499999999999993" hidden="1" customHeight="1" x14ac:dyDescent="0.2"/>
    <row r="50188" ht="9.9499999999999993" hidden="1" customHeight="1" x14ac:dyDescent="0.2"/>
    <row r="50189" ht="9.9499999999999993" hidden="1" customHeight="1" x14ac:dyDescent="0.2"/>
    <row r="50190" ht="9.9499999999999993" hidden="1" customHeight="1" x14ac:dyDescent="0.2"/>
    <row r="50191" ht="9.9499999999999993" hidden="1" customHeight="1" x14ac:dyDescent="0.2"/>
    <row r="50192" ht="9.9499999999999993" hidden="1" customHeight="1" x14ac:dyDescent="0.2"/>
    <row r="50193" ht="9.9499999999999993" hidden="1" customHeight="1" x14ac:dyDescent="0.2"/>
    <row r="50194" ht="9.9499999999999993" hidden="1" customHeight="1" x14ac:dyDescent="0.2"/>
    <row r="50195" ht="9.9499999999999993" hidden="1" customHeight="1" x14ac:dyDescent="0.2"/>
    <row r="50196" ht="9.9499999999999993" hidden="1" customHeight="1" x14ac:dyDescent="0.2"/>
    <row r="50197" ht="9.9499999999999993" hidden="1" customHeight="1" x14ac:dyDescent="0.2"/>
    <row r="50198" ht="9.9499999999999993" hidden="1" customHeight="1" x14ac:dyDescent="0.2"/>
    <row r="50199" ht="9.9499999999999993" hidden="1" customHeight="1" x14ac:dyDescent="0.2"/>
    <row r="50200" ht="9.9499999999999993" hidden="1" customHeight="1" x14ac:dyDescent="0.2"/>
    <row r="50201" ht="9.9499999999999993" hidden="1" customHeight="1" x14ac:dyDescent="0.2"/>
    <row r="50202" ht="9.9499999999999993" hidden="1" customHeight="1" x14ac:dyDescent="0.2"/>
    <row r="50203" ht="9.9499999999999993" hidden="1" customHeight="1" x14ac:dyDescent="0.2"/>
    <row r="50204" ht="9.9499999999999993" hidden="1" customHeight="1" x14ac:dyDescent="0.2"/>
    <row r="50205" ht="9.9499999999999993" hidden="1" customHeight="1" x14ac:dyDescent="0.2"/>
    <row r="50206" ht="9.9499999999999993" hidden="1" customHeight="1" x14ac:dyDescent="0.2"/>
    <row r="50207" ht="9.9499999999999993" hidden="1" customHeight="1" x14ac:dyDescent="0.2"/>
    <row r="50208" ht="9.9499999999999993" hidden="1" customHeight="1" x14ac:dyDescent="0.2"/>
    <row r="50209" ht="9.9499999999999993" hidden="1" customHeight="1" x14ac:dyDescent="0.2"/>
    <row r="50210" ht="9.9499999999999993" hidden="1" customHeight="1" x14ac:dyDescent="0.2"/>
    <row r="50211" ht="9.9499999999999993" hidden="1" customHeight="1" x14ac:dyDescent="0.2"/>
    <row r="50212" ht="9.9499999999999993" hidden="1" customHeight="1" x14ac:dyDescent="0.2"/>
    <row r="50213" ht="9.9499999999999993" hidden="1" customHeight="1" x14ac:dyDescent="0.2"/>
    <row r="50214" ht="9.9499999999999993" hidden="1" customHeight="1" x14ac:dyDescent="0.2"/>
    <row r="50215" ht="9.9499999999999993" hidden="1" customHeight="1" x14ac:dyDescent="0.2"/>
    <row r="50216" ht="9.9499999999999993" hidden="1" customHeight="1" x14ac:dyDescent="0.2"/>
    <row r="50217" ht="9.9499999999999993" hidden="1" customHeight="1" x14ac:dyDescent="0.2"/>
    <row r="50218" ht="9.9499999999999993" hidden="1" customHeight="1" x14ac:dyDescent="0.2"/>
    <row r="50219" ht="9.9499999999999993" hidden="1" customHeight="1" x14ac:dyDescent="0.2"/>
    <row r="50220" ht="9.9499999999999993" hidden="1" customHeight="1" x14ac:dyDescent="0.2"/>
    <row r="50221" ht="9.9499999999999993" hidden="1" customHeight="1" x14ac:dyDescent="0.2"/>
    <row r="50222" ht="9.9499999999999993" hidden="1" customHeight="1" x14ac:dyDescent="0.2"/>
    <row r="50223" ht="9.9499999999999993" hidden="1" customHeight="1" x14ac:dyDescent="0.2"/>
    <row r="50224" ht="9.9499999999999993" hidden="1" customHeight="1" x14ac:dyDescent="0.2"/>
    <row r="50225" ht="9.9499999999999993" hidden="1" customHeight="1" x14ac:dyDescent="0.2"/>
    <row r="50226" ht="9.9499999999999993" hidden="1" customHeight="1" x14ac:dyDescent="0.2"/>
    <row r="50227" ht="9.9499999999999993" hidden="1" customHeight="1" x14ac:dyDescent="0.2"/>
    <row r="50228" ht="9.9499999999999993" hidden="1" customHeight="1" x14ac:dyDescent="0.2"/>
    <row r="50229" ht="9.9499999999999993" hidden="1" customHeight="1" x14ac:dyDescent="0.2"/>
    <row r="50230" ht="9.9499999999999993" hidden="1" customHeight="1" x14ac:dyDescent="0.2"/>
    <row r="50231" ht="9.9499999999999993" hidden="1" customHeight="1" x14ac:dyDescent="0.2"/>
    <row r="50232" ht="9.9499999999999993" hidden="1" customHeight="1" x14ac:dyDescent="0.2"/>
    <row r="50233" ht="9.9499999999999993" hidden="1" customHeight="1" x14ac:dyDescent="0.2"/>
    <row r="50234" ht="9.9499999999999993" hidden="1" customHeight="1" x14ac:dyDescent="0.2"/>
    <row r="50235" ht="9.9499999999999993" hidden="1" customHeight="1" x14ac:dyDescent="0.2"/>
    <row r="50236" ht="9.9499999999999993" hidden="1" customHeight="1" x14ac:dyDescent="0.2"/>
    <row r="50237" ht="9.9499999999999993" hidden="1" customHeight="1" x14ac:dyDescent="0.2"/>
    <row r="50238" ht="9.9499999999999993" hidden="1" customHeight="1" x14ac:dyDescent="0.2"/>
    <row r="50239" ht="9.9499999999999993" hidden="1" customHeight="1" x14ac:dyDescent="0.2"/>
    <row r="50240" ht="9.9499999999999993" hidden="1" customHeight="1" x14ac:dyDescent="0.2"/>
    <row r="50241" ht="9.9499999999999993" hidden="1" customHeight="1" x14ac:dyDescent="0.2"/>
    <row r="50242" ht="9.9499999999999993" hidden="1" customHeight="1" x14ac:dyDescent="0.2"/>
    <row r="50243" ht="9.9499999999999993" hidden="1" customHeight="1" x14ac:dyDescent="0.2"/>
    <row r="50244" ht="9.9499999999999993" hidden="1" customHeight="1" x14ac:dyDescent="0.2"/>
    <row r="50245" ht="9.9499999999999993" hidden="1" customHeight="1" x14ac:dyDescent="0.2"/>
    <row r="50246" ht="9.9499999999999993" hidden="1" customHeight="1" x14ac:dyDescent="0.2"/>
    <row r="50247" ht="9.9499999999999993" hidden="1" customHeight="1" x14ac:dyDescent="0.2"/>
    <row r="50248" ht="9.9499999999999993" hidden="1" customHeight="1" x14ac:dyDescent="0.2"/>
    <row r="50249" ht="9.9499999999999993" hidden="1" customHeight="1" x14ac:dyDescent="0.2"/>
    <row r="50250" ht="9.9499999999999993" hidden="1" customHeight="1" x14ac:dyDescent="0.2"/>
    <row r="50251" ht="9.9499999999999993" hidden="1" customHeight="1" x14ac:dyDescent="0.2"/>
    <row r="50252" ht="9.9499999999999993" hidden="1" customHeight="1" x14ac:dyDescent="0.2"/>
    <row r="50253" ht="9.9499999999999993" hidden="1" customHeight="1" x14ac:dyDescent="0.2"/>
    <row r="50254" ht="9.9499999999999993" hidden="1" customHeight="1" x14ac:dyDescent="0.2"/>
    <row r="50255" ht="9.9499999999999993" hidden="1" customHeight="1" x14ac:dyDescent="0.2"/>
    <row r="50256" ht="9.9499999999999993" hidden="1" customHeight="1" x14ac:dyDescent="0.2"/>
    <row r="50257" ht="9.9499999999999993" hidden="1" customHeight="1" x14ac:dyDescent="0.2"/>
    <row r="50258" ht="9.9499999999999993" hidden="1" customHeight="1" x14ac:dyDescent="0.2"/>
    <row r="50259" ht="9.9499999999999993" hidden="1" customHeight="1" x14ac:dyDescent="0.2"/>
    <row r="50260" ht="9.9499999999999993" hidden="1" customHeight="1" x14ac:dyDescent="0.2"/>
    <row r="50261" ht="9.9499999999999993" hidden="1" customHeight="1" x14ac:dyDescent="0.2"/>
    <row r="50262" ht="9.9499999999999993" hidden="1" customHeight="1" x14ac:dyDescent="0.2"/>
    <row r="50263" ht="9.9499999999999993" hidden="1" customHeight="1" x14ac:dyDescent="0.2"/>
    <row r="50264" ht="9.9499999999999993" hidden="1" customHeight="1" x14ac:dyDescent="0.2"/>
    <row r="50265" ht="9.9499999999999993" hidden="1" customHeight="1" x14ac:dyDescent="0.2"/>
    <row r="50266" ht="9.9499999999999993" hidden="1" customHeight="1" x14ac:dyDescent="0.2"/>
    <row r="50267" ht="9.9499999999999993" hidden="1" customHeight="1" x14ac:dyDescent="0.2"/>
    <row r="50268" ht="9.9499999999999993" hidden="1" customHeight="1" x14ac:dyDescent="0.2"/>
    <row r="50269" ht="9.9499999999999993" hidden="1" customHeight="1" x14ac:dyDescent="0.2"/>
    <row r="50270" ht="9.9499999999999993" hidden="1" customHeight="1" x14ac:dyDescent="0.2"/>
    <row r="50271" ht="9.9499999999999993" hidden="1" customHeight="1" x14ac:dyDescent="0.2"/>
    <row r="50272" ht="9.9499999999999993" hidden="1" customHeight="1" x14ac:dyDescent="0.2"/>
    <row r="50273" ht="9.9499999999999993" hidden="1" customHeight="1" x14ac:dyDescent="0.2"/>
    <row r="50274" ht="9.9499999999999993" hidden="1" customHeight="1" x14ac:dyDescent="0.2"/>
    <row r="50275" ht="9.9499999999999993" hidden="1" customHeight="1" x14ac:dyDescent="0.2"/>
    <row r="50276" ht="9.9499999999999993" hidden="1" customHeight="1" x14ac:dyDescent="0.2"/>
    <row r="50277" ht="9.9499999999999993" hidden="1" customHeight="1" x14ac:dyDescent="0.2"/>
    <row r="50278" ht="9.9499999999999993" hidden="1" customHeight="1" x14ac:dyDescent="0.2"/>
    <row r="50279" ht="9.9499999999999993" hidden="1" customHeight="1" x14ac:dyDescent="0.2"/>
    <row r="50280" ht="9.9499999999999993" hidden="1" customHeight="1" x14ac:dyDescent="0.2"/>
    <row r="50281" ht="9.9499999999999993" hidden="1" customHeight="1" x14ac:dyDescent="0.2"/>
    <row r="50282" ht="9.9499999999999993" hidden="1" customHeight="1" x14ac:dyDescent="0.2"/>
    <row r="50283" ht="9.9499999999999993" hidden="1" customHeight="1" x14ac:dyDescent="0.2"/>
    <row r="50284" ht="9.9499999999999993" hidden="1" customHeight="1" x14ac:dyDescent="0.2"/>
    <row r="50285" ht="9.9499999999999993" hidden="1" customHeight="1" x14ac:dyDescent="0.2"/>
    <row r="50286" ht="9.9499999999999993" hidden="1" customHeight="1" x14ac:dyDescent="0.2"/>
    <row r="50287" ht="9.9499999999999993" hidden="1" customHeight="1" x14ac:dyDescent="0.2"/>
    <row r="50288" ht="9.9499999999999993" hidden="1" customHeight="1" x14ac:dyDescent="0.2"/>
    <row r="50289" ht="9.9499999999999993" hidden="1" customHeight="1" x14ac:dyDescent="0.2"/>
    <row r="50290" ht="9.9499999999999993" hidden="1" customHeight="1" x14ac:dyDescent="0.2"/>
    <row r="50291" ht="9.9499999999999993" hidden="1" customHeight="1" x14ac:dyDescent="0.2"/>
    <row r="50292" ht="9.9499999999999993" hidden="1" customHeight="1" x14ac:dyDescent="0.2"/>
    <row r="50293" ht="9.9499999999999993" hidden="1" customHeight="1" x14ac:dyDescent="0.2"/>
    <row r="50294" ht="9.9499999999999993" hidden="1" customHeight="1" x14ac:dyDescent="0.2"/>
    <row r="50295" ht="9.9499999999999993" hidden="1" customHeight="1" x14ac:dyDescent="0.2"/>
    <row r="50296" ht="9.9499999999999993" hidden="1" customHeight="1" x14ac:dyDescent="0.2"/>
    <row r="50297" ht="9.9499999999999993" hidden="1" customHeight="1" x14ac:dyDescent="0.2"/>
    <row r="50298" ht="9.9499999999999993" hidden="1" customHeight="1" x14ac:dyDescent="0.2"/>
    <row r="50299" ht="9.9499999999999993" hidden="1" customHeight="1" x14ac:dyDescent="0.2"/>
    <row r="50300" ht="9.9499999999999993" hidden="1" customHeight="1" x14ac:dyDescent="0.2"/>
    <row r="50301" ht="9.9499999999999993" hidden="1" customHeight="1" x14ac:dyDescent="0.2"/>
    <row r="50302" ht="9.9499999999999993" hidden="1" customHeight="1" x14ac:dyDescent="0.2"/>
    <row r="50303" ht="9.9499999999999993" hidden="1" customHeight="1" x14ac:dyDescent="0.2"/>
    <row r="50304" ht="9.9499999999999993" hidden="1" customHeight="1" x14ac:dyDescent="0.2"/>
    <row r="50305" ht="9.9499999999999993" hidden="1" customHeight="1" x14ac:dyDescent="0.2"/>
    <row r="50306" ht="9.9499999999999993" hidden="1" customHeight="1" x14ac:dyDescent="0.2"/>
    <row r="50307" ht="9.9499999999999993" hidden="1" customHeight="1" x14ac:dyDescent="0.2"/>
    <row r="50308" ht="9.9499999999999993" hidden="1" customHeight="1" x14ac:dyDescent="0.2"/>
    <row r="50309" ht="9.9499999999999993" hidden="1" customHeight="1" x14ac:dyDescent="0.2"/>
    <row r="50310" ht="9.9499999999999993" hidden="1" customHeight="1" x14ac:dyDescent="0.2"/>
    <row r="50311" ht="9.9499999999999993" hidden="1" customHeight="1" x14ac:dyDescent="0.2"/>
    <row r="50312" ht="9.9499999999999993" hidden="1" customHeight="1" x14ac:dyDescent="0.2"/>
    <row r="50313" ht="9.9499999999999993" hidden="1" customHeight="1" x14ac:dyDescent="0.2"/>
    <row r="50314" ht="9.9499999999999993" hidden="1" customHeight="1" x14ac:dyDescent="0.2"/>
    <row r="50315" ht="9.9499999999999993" hidden="1" customHeight="1" x14ac:dyDescent="0.2"/>
    <row r="50316" ht="9.9499999999999993" hidden="1" customHeight="1" x14ac:dyDescent="0.2"/>
    <row r="50317" ht="9.9499999999999993" hidden="1" customHeight="1" x14ac:dyDescent="0.2"/>
    <row r="50318" ht="9.9499999999999993" hidden="1" customHeight="1" x14ac:dyDescent="0.2"/>
    <row r="50319" ht="9.9499999999999993" hidden="1" customHeight="1" x14ac:dyDescent="0.2"/>
    <row r="50320" ht="9.9499999999999993" hidden="1" customHeight="1" x14ac:dyDescent="0.2"/>
    <row r="50321" ht="9.9499999999999993" hidden="1" customHeight="1" x14ac:dyDescent="0.2"/>
    <row r="50322" ht="9.9499999999999993" hidden="1" customHeight="1" x14ac:dyDescent="0.2"/>
    <row r="50323" ht="9.9499999999999993" hidden="1" customHeight="1" x14ac:dyDescent="0.2"/>
    <row r="50324" ht="9.9499999999999993" hidden="1" customHeight="1" x14ac:dyDescent="0.2"/>
    <row r="50325" ht="9.9499999999999993" hidden="1" customHeight="1" x14ac:dyDescent="0.2"/>
    <row r="50326" ht="9.9499999999999993" hidden="1" customHeight="1" x14ac:dyDescent="0.2"/>
    <row r="50327" ht="9.9499999999999993" hidden="1" customHeight="1" x14ac:dyDescent="0.2"/>
    <row r="50328" ht="9.9499999999999993" hidden="1" customHeight="1" x14ac:dyDescent="0.2"/>
    <row r="50329" ht="9.9499999999999993" hidden="1" customHeight="1" x14ac:dyDescent="0.2"/>
    <row r="50330" ht="9.9499999999999993" hidden="1" customHeight="1" x14ac:dyDescent="0.2"/>
    <row r="50331" ht="9.9499999999999993" hidden="1" customHeight="1" x14ac:dyDescent="0.2"/>
    <row r="50332" ht="9.9499999999999993" hidden="1" customHeight="1" x14ac:dyDescent="0.2"/>
    <row r="50333" ht="9.9499999999999993" hidden="1" customHeight="1" x14ac:dyDescent="0.2"/>
    <row r="50334" ht="9.9499999999999993" hidden="1" customHeight="1" x14ac:dyDescent="0.2"/>
    <row r="50335" ht="9.9499999999999993" hidden="1" customHeight="1" x14ac:dyDescent="0.2"/>
    <row r="50336" ht="9.9499999999999993" hidden="1" customHeight="1" x14ac:dyDescent="0.2"/>
    <row r="50337" ht="9.9499999999999993" hidden="1" customHeight="1" x14ac:dyDescent="0.2"/>
    <row r="50338" ht="9.9499999999999993" hidden="1" customHeight="1" x14ac:dyDescent="0.2"/>
    <row r="50339" ht="9.9499999999999993" hidden="1" customHeight="1" x14ac:dyDescent="0.2"/>
    <row r="50340" ht="9.9499999999999993" hidden="1" customHeight="1" x14ac:dyDescent="0.2"/>
    <row r="50341" ht="9.9499999999999993" hidden="1" customHeight="1" x14ac:dyDescent="0.2"/>
    <row r="50342" ht="9.9499999999999993" hidden="1" customHeight="1" x14ac:dyDescent="0.2"/>
    <row r="50343" ht="9.9499999999999993" hidden="1" customHeight="1" x14ac:dyDescent="0.2"/>
    <row r="50344" ht="9.9499999999999993" hidden="1" customHeight="1" x14ac:dyDescent="0.2"/>
    <row r="50345" ht="9.9499999999999993" hidden="1" customHeight="1" x14ac:dyDescent="0.2"/>
    <row r="50346" ht="9.9499999999999993" hidden="1" customHeight="1" x14ac:dyDescent="0.2"/>
    <row r="50347" ht="9.9499999999999993" hidden="1" customHeight="1" x14ac:dyDescent="0.2"/>
    <row r="50348" ht="9.9499999999999993" hidden="1" customHeight="1" x14ac:dyDescent="0.2"/>
    <row r="50349" ht="9.9499999999999993" hidden="1" customHeight="1" x14ac:dyDescent="0.2"/>
    <row r="50350" ht="9.9499999999999993" hidden="1" customHeight="1" x14ac:dyDescent="0.2"/>
    <row r="50351" ht="9.9499999999999993" hidden="1" customHeight="1" x14ac:dyDescent="0.2"/>
    <row r="50352" ht="9.9499999999999993" hidden="1" customHeight="1" x14ac:dyDescent="0.2"/>
    <row r="50353" ht="9.9499999999999993" hidden="1" customHeight="1" x14ac:dyDescent="0.2"/>
    <row r="50354" ht="9.9499999999999993" hidden="1" customHeight="1" x14ac:dyDescent="0.2"/>
    <row r="50355" ht="9.9499999999999993" hidden="1" customHeight="1" x14ac:dyDescent="0.2"/>
    <row r="50356" ht="9.9499999999999993" hidden="1" customHeight="1" x14ac:dyDescent="0.2"/>
    <row r="50357" ht="9.9499999999999993" hidden="1" customHeight="1" x14ac:dyDescent="0.2"/>
    <row r="50358" ht="9.9499999999999993" hidden="1" customHeight="1" x14ac:dyDescent="0.2"/>
    <row r="50359" ht="9.9499999999999993" hidden="1" customHeight="1" x14ac:dyDescent="0.2"/>
    <row r="50360" ht="9.9499999999999993" hidden="1" customHeight="1" x14ac:dyDescent="0.2"/>
    <row r="50361" ht="9.9499999999999993" hidden="1" customHeight="1" x14ac:dyDescent="0.2"/>
    <row r="50362" ht="9.9499999999999993" hidden="1" customHeight="1" x14ac:dyDescent="0.2"/>
    <row r="50363" ht="9.9499999999999993" hidden="1" customHeight="1" x14ac:dyDescent="0.2"/>
    <row r="50364" ht="9.9499999999999993" hidden="1" customHeight="1" x14ac:dyDescent="0.2"/>
    <row r="50365" ht="9.9499999999999993" hidden="1" customHeight="1" x14ac:dyDescent="0.2"/>
    <row r="50366" ht="9.9499999999999993" hidden="1" customHeight="1" x14ac:dyDescent="0.2"/>
    <row r="50367" ht="9.9499999999999993" hidden="1" customHeight="1" x14ac:dyDescent="0.2"/>
    <row r="50368" ht="9.9499999999999993" hidden="1" customHeight="1" x14ac:dyDescent="0.2"/>
    <row r="50369" ht="9.9499999999999993" hidden="1" customHeight="1" x14ac:dyDescent="0.2"/>
    <row r="50370" ht="9.9499999999999993" hidden="1" customHeight="1" x14ac:dyDescent="0.2"/>
    <row r="50371" ht="9.9499999999999993" hidden="1" customHeight="1" x14ac:dyDescent="0.2"/>
    <row r="50372" ht="9.9499999999999993" hidden="1" customHeight="1" x14ac:dyDescent="0.2"/>
    <row r="50373" ht="9.9499999999999993" hidden="1" customHeight="1" x14ac:dyDescent="0.2"/>
    <row r="50374" ht="9.9499999999999993" hidden="1" customHeight="1" x14ac:dyDescent="0.2"/>
    <row r="50375" ht="9.9499999999999993" hidden="1" customHeight="1" x14ac:dyDescent="0.2"/>
    <row r="50376" ht="9.9499999999999993" hidden="1" customHeight="1" x14ac:dyDescent="0.2"/>
    <row r="50377" ht="9.9499999999999993" hidden="1" customHeight="1" x14ac:dyDescent="0.2"/>
    <row r="50378" ht="9.9499999999999993" hidden="1" customHeight="1" x14ac:dyDescent="0.2"/>
    <row r="50379" ht="9.9499999999999993" hidden="1" customHeight="1" x14ac:dyDescent="0.2"/>
    <row r="50380" ht="9.9499999999999993" hidden="1" customHeight="1" x14ac:dyDescent="0.2"/>
    <row r="50381" ht="9.9499999999999993" hidden="1" customHeight="1" x14ac:dyDescent="0.2"/>
    <row r="50382" ht="9.9499999999999993" hidden="1" customHeight="1" x14ac:dyDescent="0.2"/>
    <row r="50383" ht="9.9499999999999993" hidden="1" customHeight="1" x14ac:dyDescent="0.2"/>
    <row r="50384" ht="9.9499999999999993" hidden="1" customHeight="1" x14ac:dyDescent="0.2"/>
    <row r="50385" ht="9.9499999999999993" hidden="1" customHeight="1" x14ac:dyDescent="0.2"/>
    <row r="50386" ht="9.9499999999999993" hidden="1" customHeight="1" x14ac:dyDescent="0.2"/>
    <row r="50387" ht="9.9499999999999993" hidden="1" customHeight="1" x14ac:dyDescent="0.2"/>
    <row r="50388" ht="9.9499999999999993" hidden="1" customHeight="1" x14ac:dyDescent="0.2"/>
    <row r="50389" ht="9.9499999999999993" hidden="1" customHeight="1" x14ac:dyDescent="0.2"/>
    <row r="50390" ht="9.9499999999999993" hidden="1" customHeight="1" x14ac:dyDescent="0.2"/>
    <row r="50391" ht="9.9499999999999993" hidden="1" customHeight="1" x14ac:dyDescent="0.2"/>
    <row r="50392" ht="9.9499999999999993" hidden="1" customHeight="1" x14ac:dyDescent="0.2"/>
    <row r="50393" ht="9.9499999999999993" hidden="1" customHeight="1" x14ac:dyDescent="0.2"/>
    <row r="50394" ht="9.9499999999999993" hidden="1" customHeight="1" x14ac:dyDescent="0.2"/>
    <row r="50395" ht="9.9499999999999993" hidden="1" customHeight="1" x14ac:dyDescent="0.2"/>
    <row r="50396" ht="9.9499999999999993" hidden="1" customHeight="1" x14ac:dyDescent="0.2"/>
    <row r="50397" ht="9.9499999999999993" hidden="1" customHeight="1" x14ac:dyDescent="0.2"/>
    <row r="50398" ht="9.9499999999999993" hidden="1" customHeight="1" x14ac:dyDescent="0.2"/>
    <row r="50399" ht="9.9499999999999993" hidden="1" customHeight="1" x14ac:dyDescent="0.2"/>
    <row r="50400" ht="9.9499999999999993" hidden="1" customHeight="1" x14ac:dyDescent="0.2"/>
    <row r="50401" ht="9.9499999999999993" hidden="1" customHeight="1" x14ac:dyDescent="0.2"/>
    <row r="50402" ht="9.9499999999999993" hidden="1" customHeight="1" x14ac:dyDescent="0.2"/>
    <row r="50403" ht="9.9499999999999993" hidden="1" customHeight="1" x14ac:dyDescent="0.2"/>
    <row r="50404" ht="9.9499999999999993" hidden="1" customHeight="1" x14ac:dyDescent="0.2"/>
    <row r="50405" ht="9.9499999999999993" hidden="1" customHeight="1" x14ac:dyDescent="0.2"/>
    <row r="50406" ht="9.9499999999999993" hidden="1" customHeight="1" x14ac:dyDescent="0.2"/>
    <row r="50407" ht="9.9499999999999993" hidden="1" customHeight="1" x14ac:dyDescent="0.2"/>
    <row r="50408" ht="9.9499999999999993" hidden="1" customHeight="1" x14ac:dyDescent="0.2"/>
    <row r="50409" ht="9.9499999999999993" hidden="1" customHeight="1" x14ac:dyDescent="0.2"/>
    <row r="50410" ht="9.9499999999999993" hidden="1" customHeight="1" x14ac:dyDescent="0.2"/>
    <row r="50411" ht="9.9499999999999993" hidden="1" customHeight="1" x14ac:dyDescent="0.2"/>
    <row r="50412" ht="9.9499999999999993" hidden="1" customHeight="1" x14ac:dyDescent="0.2"/>
    <row r="50413" ht="9.9499999999999993" hidden="1" customHeight="1" x14ac:dyDescent="0.2"/>
    <row r="50414" ht="9.9499999999999993" hidden="1" customHeight="1" x14ac:dyDescent="0.2"/>
    <row r="50415" ht="9.9499999999999993" hidden="1" customHeight="1" x14ac:dyDescent="0.2"/>
    <row r="50416" ht="9.9499999999999993" hidden="1" customHeight="1" x14ac:dyDescent="0.2"/>
    <row r="50417" ht="9.9499999999999993" hidden="1" customHeight="1" x14ac:dyDescent="0.2"/>
    <row r="50418" ht="9.9499999999999993" hidden="1" customHeight="1" x14ac:dyDescent="0.2"/>
    <row r="50419" ht="9.9499999999999993" hidden="1" customHeight="1" x14ac:dyDescent="0.2"/>
    <row r="50420" ht="9.9499999999999993" hidden="1" customHeight="1" x14ac:dyDescent="0.2"/>
    <row r="50421" ht="9.9499999999999993" hidden="1" customHeight="1" x14ac:dyDescent="0.2"/>
    <row r="50422" ht="9.9499999999999993" hidden="1" customHeight="1" x14ac:dyDescent="0.2"/>
    <row r="50423" ht="9.9499999999999993" hidden="1" customHeight="1" x14ac:dyDescent="0.2"/>
    <row r="50424" ht="9.9499999999999993" hidden="1" customHeight="1" x14ac:dyDescent="0.2"/>
    <row r="50425" ht="9.9499999999999993" hidden="1" customHeight="1" x14ac:dyDescent="0.2"/>
    <row r="50426" ht="9.9499999999999993" hidden="1" customHeight="1" x14ac:dyDescent="0.2"/>
    <row r="50427" ht="9.9499999999999993" hidden="1" customHeight="1" x14ac:dyDescent="0.2"/>
    <row r="50428" ht="9.9499999999999993" hidden="1" customHeight="1" x14ac:dyDescent="0.2"/>
    <row r="50429" ht="9.9499999999999993" hidden="1" customHeight="1" x14ac:dyDescent="0.2"/>
    <row r="50430" ht="9.9499999999999993" hidden="1" customHeight="1" x14ac:dyDescent="0.2"/>
    <row r="50431" ht="9.9499999999999993" hidden="1" customHeight="1" x14ac:dyDescent="0.2"/>
    <row r="50432" ht="9.9499999999999993" hidden="1" customHeight="1" x14ac:dyDescent="0.2"/>
    <row r="50433" ht="9.9499999999999993" hidden="1" customHeight="1" x14ac:dyDescent="0.2"/>
    <row r="50434" ht="9.9499999999999993" hidden="1" customHeight="1" x14ac:dyDescent="0.2"/>
    <row r="50435" ht="9.9499999999999993" hidden="1" customHeight="1" x14ac:dyDescent="0.2"/>
    <row r="50436" ht="9.9499999999999993" hidden="1" customHeight="1" x14ac:dyDescent="0.2"/>
    <row r="50437" ht="9.9499999999999993" hidden="1" customHeight="1" x14ac:dyDescent="0.2"/>
    <row r="50438" ht="9.9499999999999993" hidden="1" customHeight="1" x14ac:dyDescent="0.2"/>
    <row r="50439" ht="9.9499999999999993" hidden="1" customHeight="1" x14ac:dyDescent="0.2"/>
    <row r="50440" ht="9.9499999999999993" hidden="1" customHeight="1" x14ac:dyDescent="0.2"/>
    <row r="50441" ht="9.9499999999999993" hidden="1" customHeight="1" x14ac:dyDescent="0.2"/>
    <row r="50442" ht="9.9499999999999993" hidden="1" customHeight="1" x14ac:dyDescent="0.2"/>
    <row r="50443" ht="9.9499999999999993" hidden="1" customHeight="1" x14ac:dyDescent="0.2"/>
    <row r="50444" ht="9.9499999999999993" hidden="1" customHeight="1" x14ac:dyDescent="0.2"/>
    <row r="50445" ht="9.9499999999999993" hidden="1" customHeight="1" x14ac:dyDescent="0.2"/>
    <row r="50446" ht="9.9499999999999993" hidden="1" customHeight="1" x14ac:dyDescent="0.2"/>
    <row r="50447" ht="9.9499999999999993" hidden="1" customHeight="1" x14ac:dyDescent="0.2"/>
    <row r="50448" ht="9.9499999999999993" hidden="1" customHeight="1" x14ac:dyDescent="0.2"/>
    <row r="50449" ht="9.9499999999999993" hidden="1" customHeight="1" x14ac:dyDescent="0.2"/>
    <row r="50450" ht="9.9499999999999993" hidden="1" customHeight="1" x14ac:dyDescent="0.2"/>
    <row r="50451" ht="9.9499999999999993" hidden="1" customHeight="1" x14ac:dyDescent="0.2"/>
    <row r="50452" ht="9.9499999999999993" hidden="1" customHeight="1" x14ac:dyDescent="0.2"/>
    <row r="50453" ht="9.9499999999999993" hidden="1" customHeight="1" x14ac:dyDescent="0.2"/>
    <row r="50454" ht="9.9499999999999993" hidden="1" customHeight="1" x14ac:dyDescent="0.2"/>
    <row r="50455" ht="9.9499999999999993" hidden="1" customHeight="1" x14ac:dyDescent="0.2"/>
    <row r="50456" ht="9.9499999999999993" hidden="1" customHeight="1" x14ac:dyDescent="0.2"/>
    <row r="50457" ht="9.9499999999999993" hidden="1" customHeight="1" x14ac:dyDescent="0.2"/>
    <row r="50458" ht="9.9499999999999993" hidden="1" customHeight="1" x14ac:dyDescent="0.2"/>
    <row r="50459" ht="9.9499999999999993" hidden="1" customHeight="1" x14ac:dyDescent="0.2"/>
    <row r="50460" ht="9.9499999999999993" hidden="1" customHeight="1" x14ac:dyDescent="0.2"/>
    <row r="50461" ht="9.9499999999999993" hidden="1" customHeight="1" x14ac:dyDescent="0.2"/>
    <row r="50462" ht="9.9499999999999993" hidden="1" customHeight="1" x14ac:dyDescent="0.2"/>
    <row r="50463" ht="9.9499999999999993" hidden="1" customHeight="1" x14ac:dyDescent="0.2"/>
    <row r="50464" ht="9.9499999999999993" hidden="1" customHeight="1" x14ac:dyDescent="0.2"/>
    <row r="50465" ht="9.9499999999999993" hidden="1" customHeight="1" x14ac:dyDescent="0.2"/>
    <row r="50466" ht="9.9499999999999993" hidden="1" customHeight="1" x14ac:dyDescent="0.2"/>
    <row r="50467" ht="9.9499999999999993" hidden="1" customHeight="1" x14ac:dyDescent="0.2"/>
    <row r="50468" ht="9.9499999999999993" hidden="1" customHeight="1" x14ac:dyDescent="0.2"/>
    <row r="50469" ht="9.9499999999999993" hidden="1" customHeight="1" x14ac:dyDescent="0.2"/>
    <row r="50470" ht="9.9499999999999993" hidden="1" customHeight="1" x14ac:dyDescent="0.2"/>
    <row r="50471" ht="9.9499999999999993" hidden="1" customHeight="1" x14ac:dyDescent="0.2"/>
    <row r="50472" ht="9.9499999999999993" hidden="1" customHeight="1" x14ac:dyDescent="0.2"/>
    <row r="50473" ht="9.9499999999999993" hidden="1" customHeight="1" x14ac:dyDescent="0.2"/>
    <row r="50474" ht="9.9499999999999993" hidden="1" customHeight="1" x14ac:dyDescent="0.2"/>
    <row r="50475" ht="9.9499999999999993" hidden="1" customHeight="1" x14ac:dyDescent="0.2"/>
    <row r="50476" ht="9.9499999999999993" hidden="1" customHeight="1" x14ac:dyDescent="0.2"/>
    <row r="50477" ht="9.9499999999999993" hidden="1" customHeight="1" x14ac:dyDescent="0.2"/>
    <row r="50478" ht="9.9499999999999993" hidden="1" customHeight="1" x14ac:dyDescent="0.2"/>
    <row r="50479" ht="9.9499999999999993" hidden="1" customHeight="1" x14ac:dyDescent="0.2"/>
    <row r="50480" ht="9.9499999999999993" hidden="1" customHeight="1" x14ac:dyDescent="0.2"/>
    <row r="50481" ht="9.9499999999999993" hidden="1" customHeight="1" x14ac:dyDescent="0.2"/>
    <row r="50482" ht="9.9499999999999993" hidden="1" customHeight="1" x14ac:dyDescent="0.2"/>
    <row r="50483" ht="9.9499999999999993" hidden="1" customHeight="1" x14ac:dyDescent="0.2"/>
    <row r="50484" ht="9.9499999999999993" hidden="1" customHeight="1" x14ac:dyDescent="0.2"/>
    <row r="50485" ht="9.9499999999999993" hidden="1" customHeight="1" x14ac:dyDescent="0.2"/>
    <row r="50486" ht="9.9499999999999993" hidden="1" customHeight="1" x14ac:dyDescent="0.2"/>
    <row r="50487" ht="9.9499999999999993" hidden="1" customHeight="1" x14ac:dyDescent="0.2"/>
    <row r="50488" ht="9.9499999999999993" hidden="1" customHeight="1" x14ac:dyDescent="0.2"/>
    <row r="50489" ht="9.9499999999999993" hidden="1" customHeight="1" x14ac:dyDescent="0.2"/>
    <row r="50490" ht="9.9499999999999993" hidden="1" customHeight="1" x14ac:dyDescent="0.2"/>
    <row r="50491" ht="9.9499999999999993" hidden="1" customHeight="1" x14ac:dyDescent="0.2"/>
    <row r="50492" ht="9.9499999999999993" hidden="1" customHeight="1" x14ac:dyDescent="0.2"/>
    <row r="50493" ht="9.9499999999999993" hidden="1" customHeight="1" x14ac:dyDescent="0.2"/>
    <row r="50494" ht="9.9499999999999993" hidden="1" customHeight="1" x14ac:dyDescent="0.2"/>
    <row r="50495" ht="9.9499999999999993" hidden="1" customHeight="1" x14ac:dyDescent="0.2"/>
    <row r="50496" ht="9.9499999999999993" hidden="1" customHeight="1" x14ac:dyDescent="0.2"/>
    <row r="50497" ht="9.9499999999999993" hidden="1" customHeight="1" x14ac:dyDescent="0.2"/>
    <row r="50498" ht="9.9499999999999993" hidden="1" customHeight="1" x14ac:dyDescent="0.2"/>
    <row r="50499" ht="9.9499999999999993" hidden="1" customHeight="1" x14ac:dyDescent="0.2"/>
    <row r="50500" ht="9.9499999999999993" hidden="1" customHeight="1" x14ac:dyDescent="0.2"/>
    <row r="50501" ht="9.9499999999999993" hidden="1" customHeight="1" x14ac:dyDescent="0.2"/>
    <row r="50502" ht="9.9499999999999993" hidden="1" customHeight="1" x14ac:dyDescent="0.2"/>
    <row r="50503" ht="9.9499999999999993" hidden="1" customHeight="1" x14ac:dyDescent="0.2"/>
    <row r="50504" ht="9.9499999999999993" hidden="1" customHeight="1" x14ac:dyDescent="0.2"/>
    <row r="50505" ht="9.9499999999999993" hidden="1" customHeight="1" x14ac:dyDescent="0.2"/>
    <row r="50506" ht="9.9499999999999993" hidden="1" customHeight="1" x14ac:dyDescent="0.2"/>
    <row r="50507" ht="9.9499999999999993" hidden="1" customHeight="1" x14ac:dyDescent="0.2"/>
    <row r="50508" ht="9.9499999999999993" hidden="1" customHeight="1" x14ac:dyDescent="0.2"/>
    <row r="50509" ht="9.9499999999999993" hidden="1" customHeight="1" x14ac:dyDescent="0.2"/>
    <row r="50510" ht="9.9499999999999993" hidden="1" customHeight="1" x14ac:dyDescent="0.2"/>
    <row r="50511" ht="9.9499999999999993" hidden="1" customHeight="1" x14ac:dyDescent="0.2"/>
    <row r="50512" ht="9.9499999999999993" hidden="1" customHeight="1" x14ac:dyDescent="0.2"/>
    <row r="50513" ht="9.9499999999999993" hidden="1" customHeight="1" x14ac:dyDescent="0.2"/>
    <row r="50514" ht="9.9499999999999993" hidden="1" customHeight="1" x14ac:dyDescent="0.2"/>
    <row r="50515" ht="9.9499999999999993" hidden="1" customHeight="1" x14ac:dyDescent="0.2"/>
    <row r="50516" ht="9.9499999999999993" hidden="1" customHeight="1" x14ac:dyDescent="0.2"/>
    <row r="50517" ht="9.9499999999999993" hidden="1" customHeight="1" x14ac:dyDescent="0.2"/>
    <row r="50518" ht="9.9499999999999993" hidden="1" customHeight="1" x14ac:dyDescent="0.2"/>
    <row r="50519" ht="9.9499999999999993" hidden="1" customHeight="1" x14ac:dyDescent="0.2"/>
    <row r="50520" ht="9.9499999999999993" hidden="1" customHeight="1" x14ac:dyDescent="0.2"/>
    <row r="50521" ht="9.9499999999999993" hidden="1" customHeight="1" x14ac:dyDescent="0.2"/>
    <row r="50522" ht="9.9499999999999993" hidden="1" customHeight="1" x14ac:dyDescent="0.2"/>
    <row r="50523" ht="9.9499999999999993" hidden="1" customHeight="1" x14ac:dyDescent="0.2"/>
    <row r="50524" ht="9.9499999999999993" hidden="1" customHeight="1" x14ac:dyDescent="0.2"/>
    <row r="50525" ht="9.9499999999999993" hidden="1" customHeight="1" x14ac:dyDescent="0.2"/>
    <row r="50526" ht="9.9499999999999993" hidden="1" customHeight="1" x14ac:dyDescent="0.2"/>
    <row r="50527" ht="9.9499999999999993" hidden="1" customHeight="1" x14ac:dyDescent="0.2"/>
    <row r="50528" ht="9.9499999999999993" hidden="1" customHeight="1" x14ac:dyDescent="0.2"/>
    <row r="50529" ht="9.9499999999999993" hidden="1" customHeight="1" x14ac:dyDescent="0.2"/>
    <row r="50530" ht="9.9499999999999993" hidden="1" customHeight="1" x14ac:dyDescent="0.2"/>
    <row r="50531" ht="9.9499999999999993" hidden="1" customHeight="1" x14ac:dyDescent="0.2"/>
    <row r="50532" ht="9.9499999999999993" hidden="1" customHeight="1" x14ac:dyDescent="0.2"/>
    <row r="50533" ht="9.9499999999999993" hidden="1" customHeight="1" x14ac:dyDescent="0.2"/>
    <row r="50534" ht="9.9499999999999993" hidden="1" customHeight="1" x14ac:dyDescent="0.2"/>
    <row r="50535" ht="9.9499999999999993" hidden="1" customHeight="1" x14ac:dyDescent="0.2"/>
    <row r="50536" ht="9.9499999999999993" hidden="1" customHeight="1" x14ac:dyDescent="0.2"/>
    <row r="50537" ht="9.9499999999999993" hidden="1" customHeight="1" x14ac:dyDescent="0.2"/>
    <row r="50538" ht="9.9499999999999993" hidden="1" customHeight="1" x14ac:dyDescent="0.2"/>
    <row r="50539" ht="9.9499999999999993" hidden="1" customHeight="1" x14ac:dyDescent="0.2"/>
    <row r="50540" ht="9.9499999999999993" hidden="1" customHeight="1" x14ac:dyDescent="0.2"/>
    <row r="50541" ht="9.9499999999999993" hidden="1" customHeight="1" x14ac:dyDescent="0.2"/>
    <row r="50542" ht="9.9499999999999993" hidden="1" customHeight="1" x14ac:dyDescent="0.2"/>
    <row r="50543" ht="9.9499999999999993" hidden="1" customHeight="1" x14ac:dyDescent="0.2"/>
    <row r="50544" ht="9.9499999999999993" hidden="1" customHeight="1" x14ac:dyDescent="0.2"/>
    <row r="50545" ht="9.9499999999999993" hidden="1" customHeight="1" x14ac:dyDescent="0.2"/>
    <row r="50546" ht="9.9499999999999993" hidden="1" customHeight="1" x14ac:dyDescent="0.2"/>
    <row r="50547" ht="9.9499999999999993" hidden="1" customHeight="1" x14ac:dyDescent="0.2"/>
    <row r="50548" ht="9.9499999999999993" hidden="1" customHeight="1" x14ac:dyDescent="0.2"/>
    <row r="50549" ht="9.9499999999999993" hidden="1" customHeight="1" x14ac:dyDescent="0.2"/>
    <row r="50550" ht="9.9499999999999993" hidden="1" customHeight="1" x14ac:dyDescent="0.2"/>
    <row r="50551" ht="9.9499999999999993" hidden="1" customHeight="1" x14ac:dyDescent="0.2"/>
    <row r="50552" ht="9.9499999999999993" hidden="1" customHeight="1" x14ac:dyDescent="0.2"/>
    <row r="50553" ht="9.9499999999999993" hidden="1" customHeight="1" x14ac:dyDescent="0.2"/>
    <row r="50554" ht="9.9499999999999993" hidden="1" customHeight="1" x14ac:dyDescent="0.2"/>
    <row r="50555" ht="9.9499999999999993" hidden="1" customHeight="1" x14ac:dyDescent="0.2"/>
    <row r="50556" ht="9.9499999999999993" hidden="1" customHeight="1" x14ac:dyDescent="0.2"/>
    <row r="50557" ht="9.9499999999999993" hidden="1" customHeight="1" x14ac:dyDescent="0.2"/>
    <row r="50558" ht="9.9499999999999993" hidden="1" customHeight="1" x14ac:dyDescent="0.2"/>
    <row r="50559" ht="9.9499999999999993" hidden="1" customHeight="1" x14ac:dyDescent="0.2"/>
    <row r="50560" ht="9.9499999999999993" hidden="1" customHeight="1" x14ac:dyDescent="0.2"/>
    <row r="50561" ht="9.9499999999999993" hidden="1" customHeight="1" x14ac:dyDescent="0.2"/>
    <row r="50562" ht="9.9499999999999993" hidden="1" customHeight="1" x14ac:dyDescent="0.2"/>
    <row r="50563" ht="9.9499999999999993" hidden="1" customHeight="1" x14ac:dyDescent="0.2"/>
    <row r="50564" ht="9.9499999999999993" hidden="1" customHeight="1" x14ac:dyDescent="0.2"/>
    <row r="50565" ht="9.9499999999999993" hidden="1" customHeight="1" x14ac:dyDescent="0.2"/>
    <row r="50566" ht="9.9499999999999993" hidden="1" customHeight="1" x14ac:dyDescent="0.2"/>
    <row r="50567" ht="9.9499999999999993" hidden="1" customHeight="1" x14ac:dyDescent="0.2"/>
    <row r="50568" ht="9.9499999999999993" hidden="1" customHeight="1" x14ac:dyDescent="0.2"/>
    <row r="50569" ht="9.9499999999999993" hidden="1" customHeight="1" x14ac:dyDescent="0.2"/>
    <row r="50570" ht="9.9499999999999993" hidden="1" customHeight="1" x14ac:dyDescent="0.2"/>
    <row r="50571" ht="9.9499999999999993" hidden="1" customHeight="1" x14ac:dyDescent="0.2"/>
    <row r="50572" ht="9.9499999999999993" hidden="1" customHeight="1" x14ac:dyDescent="0.2"/>
    <row r="50573" ht="9.9499999999999993" hidden="1" customHeight="1" x14ac:dyDescent="0.2"/>
    <row r="50574" ht="9.9499999999999993" hidden="1" customHeight="1" x14ac:dyDescent="0.2"/>
    <row r="50575" ht="9.9499999999999993" hidden="1" customHeight="1" x14ac:dyDescent="0.2"/>
    <row r="50576" ht="9.9499999999999993" hidden="1" customHeight="1" x14ac:dyDescent="0.2"/>
    <row r="50577" ht="9.9499999999999993" hidden="1" customHeight="1" x14ac:dyDescent="0.2"/>
    <row r="50578" ht="9.9499999999999993" hidden="1" customHeight="1" x14ac:dyDescent="0.2"/>
    <row r="50579" ht="9.9499999999999993" hidden="1" customHeight="1" x14ac:dyDescent="0.2"/>
    <row r="50580" ht="9.9499999999999993" hidden="1" customHeight="1" x14ac:dyDescent="0.2"/>
    <row r="50581" ht="9.9499999999999993" hidden="1" customHeight="1" x14ac:dyDescent="0.2"/>
    <row r="50582" ht="9.9499999999999993" hidden="1" customHeight="1" x14ac:dyDescent="0.2"/>
    <row r="50583" ht="9.9499999999999993" hidden="1" customHeight="1" x14ac:dyDescent="0.2"/>
    <row r="50584" ht="9.9499999999999993" hidden="1" customHeight="1" x14ac:dyDescent="0.2"/>
    <row r="50585" ht="9.9499999999999993" hidden="1" customHeight="1" x14ac:dyDescent="0.2"/>
    <row r="50586" ht="9.9499999999999993" hidden="1" customHeight="1" x14ac:dyDescent="0.2"/>
    <row r="50587" ht="9.9499999999999993" hidden="1" customHeight="1" x14ac:dyDescent="0.2"/>
    <row r="50588" ht="9.9499999999999993" hidden="1" customHeight="1" x14ac:dyDescent="0.2"/>
    <row r="50589" ht="9.9499999999999993" hidden="1" customHeight="1" x14ac:dyDescent="0.2"/>
    <row r="50590" ht="9.9499999999999993" hidden="1" customHeight="1" x14ac:dyDescent="0.2"/>
    <row r="50591" ht="9.9499999999999993" hidden="1" customHeight="1" x14ac:dyDescent="0.2"/>
    <row r="50592" ht="9.9499999999999993" hidden="1" customHeight="1" x14ac:dyDescent="0.2"/>
    <row r="50593" ht="9.9499999999999993" hidden="1" customHeight="1" x14ac:dyDescent="0.2"/>
    <row r="50594" ht="9.9499999999999993" hidden="1" customHeight="1" x14ac:dyDescent="0.2"/>
    <row r="50595" ht="9.9499999999999993" hidden="1" customHeight="1" x14ac:dyDescent="0.2"/>
    <row r="50596" ht="9.9499999999999993" hidden="1" customHeight="1" x14ac:dyDescent="0.2"/>
    <row r="50597" ht="9.9499999999999993" hidden="1" customHeight="1" x14ac:dyDescent="0.2"/>
    <row r="50598" ht="9.9499999999999993" hidden="1" customHeight="1" x14ac:dyDescent="0.2"/>
    <row r="50599" ht="9.9499999999999993" hidden="1" customHeight="1" x14ac:dyDescent="0.2"/>
    <row r="50600" ht="9.9499999999999993" hidden="1" customHeight="1" x14ac:dyDescent="0.2"/>
    <row r="50601" ht="9.9499999999999993" hidden="1" customHeight="1" x14ac:dyDescent="0.2"/>
    <row r="50602" ht="9.9499999999999993" hidden="1" customHeight="1" x14ac:dyDescent="0.2"/>
    <row r="50603" ht="9.9499999999999993" hidden="1" customHeight="1" x14ac:dyDescent="0.2"/>
    <row r="50604" ht="9.9499999999999993" hidden="1" customHeight="1" x14ac:dyDescent="0.2"/>
    <row r="50605" ht="9.9499999999999993" hidden="1" customHeight="1" x14ac:dyDescent="0.2"/>
    <row r="50606" ht="9.9499999999999993" hidden="1" customHeight="1" x14ac:dyDescent="0.2"/>
    <row r="50607" ht="9.9499999999999993" hidden="1" customHeight="1" x14ac:dyDescent="0.2"/>
    <row r="50608" ht="9.9499999999999993" hidden="1" customHeight="1" x14ac:dyDescent="0.2"/>
    <row r="50609" ht="9.9499999999999993" hidden="1" customHeight="1" x14ac:dyDescent="0.2"/>
    <row r="50610" ht="9.9499999999999993" hidden="1" customHeight="1" x14ac:dyDescent="0.2"/>
    <row r="50611" ht="9.9499999999999993" hidden="1" customHeight="1" x14ac:dyDescent="0.2"/>
    <row r="50612" ht="9.9499999999999993" hidden="1" customHeight="1" x14ac:dyDescent="0.2"/>
    <row r="50613" ht="9.9499999999999993" hidden="1" customHeight="1" x14ac:dyDescent="0.2"/>
    <row r="50614" ht="9.9499999999999993" hidden="1" customHeight="1" x14ac:dyDescent="0.2"/>
    <row r="50615" ht="9.9499999999999993" hidden="1" customHeight="1" x14ac:dyDescent="0.2"/>
    <row r="50616" ht="9.9499999999999993" hidden="1" customHeight="1" x14ac:dyDescent="0.2"/>
    <row r="50617" ht="9.9499999999999993" hidden="1" customHeight="1" x14ac:dyDescent="0.2"/>
    <row r="50618" ht="9.9499999999999993" hidden="1" customHeight="1" x14ac:dyDescent="0.2"/>
    <row r="50619" ht="9.9499999999999993" hidden="1" customHeight="1" x14ac:dyDescent="0.2"/>
    <row r="50620" ht="9.9499999999999993" hidden="1" customHeight="1" x14ac:dyDescent="0.2"/>
    <row r="50621" ht="9.9499999999999993" hidden="1" customHeight="1" x14ac:dyDescent="0.2"/>
    <row r="50622" ht="9.9499999999999993" hidden="1" customHeight="1" x14ac:dyDescent="0.2"/>
    <row r="50623" ht="9.9499999999999993" hidden="1" customHeight="1" x14ac:dyDescent="0.2"/>
    <row r="50624" ht="9.9499999999999993" hidden="1" customHeight="1" x14ac:dyDescent="0.2"/>
    <row r="50625" ht="9.9499999999999993" hidden="1" customHeight="1" x14ac:dyDescent="0.2"/>
    <row r="50626" ht="9.9499999999999993" hidden="1" customHeight="1" x14ac:dyDescent="0.2"/>
    <row r="50627" ht="9.9499999999999993" hidden="1" customHeight="1" x14ac:dyDescent="0.2"/>
    <row r="50628" ht="9.9499999999999993" hidden="1" customHeight="1" x14ac:dyDescent="0.2"/>
    <row r="50629" ht="9.9499999999999993" hidden="1" customHeight="1" x14ac:dyDescent="0.2"/>
    <row r="50630" ht="9.9499999999999993" hidden="1" customHeight="1" x14ac:dyDescent="0.2"/>
    <row r="50631" ht="9.9499999999999993" hidden="1" customHeight="1" x14ac:dyDescent="0.2"/>
    <row r="50632" ht="9.9499999999999993" hidden="1" customHeight="1" x14ac:dyDescent="0.2"/>
    <row r="50633" ht="9.9499999999999993" hidden="1" customHeight="1" x14ac:dyDescent="0.2"/>
    <row r="50634" ht="9.9499999999999993" hidden="1" customHeight="1" x14ac:dyDescent="0.2"/>
    <row r="50635" ht="9.9499999999999993" hidden="1" customHeight="1" x14ac:dyDescent="0.2"/>
    <row r="50636" ht="9.9499999999999993" hidden="1" customHeight="1" x14ac:dyDescent="0.2"/>
    <row r="50637" ht="9.9499999999999993" hidden="1" customHeight="1" x14ac:dyDescent="0.2"/>
    <row r="50638" ht="9.9499999999999993" hidden="1" customHeight="1" x14ac:dyDescent="0.2"/>
    <row r="50639" ht="9.9499999999999993" hidden="1" customHeight="1" x14ac:dyDescent="0.2"/>
    <row r="50640" ht="9.9499999999999993" hidden="1" customHeight="1" x14ac:dyDescent="0.2"/>
    <row r="50641" ht="9.9499999999999993" hidden="1" customHeight="1" x14ac:dyDescent="0.2"/>
    <row r="50642" ht="9.9499999999999993" hidden="1" customHeight="1" x14ac:dyDescent="0.2"/>
    <row r="50643" ht="9.9499999999999993" hidden="1" customHeight="1" x14ac:dyDescent="0.2"/>
    <row r="50644" ht="9.9499999999999993" hidden="1" customHeight="1" x14ac:dyDescent="0.2"/>
    <row r="50645" ht="9.9499999999999993" hidden="1" customHeight="1" x14ac:dyDescent="0.2"/>
    <row r="50646" ht="9.9499999999999993" hidden="1" customHeight="1" x14ac:dyDescent="0.2"/>
    <row r="50647" ht="9.9499999999999993" hidden="1" customHeight="1" x14ac:dyDescent="0.2"/>
    <row r="50648" ht="9.9499999999999993" hidden="1" customHeight="1" x14ac:dyDescent="0.2"/>
    <row r="50649" ht="9.9499999999999993" hidden="1" customHeight="1" x14ac:dyDescent="0.2"/>
    <row r="50650" ht="9.9499999999999993" hidden="1" customHeight="1" x14ac:dyDescent="0.2"/>
    <row r="50651" ht="9.9499999999999993" hidden="1" customHeight="1" x14ac:dyDescent="0.2"/>
    <row r="50652" ht="9.9499999999999993" hidden="1" customHeight="1" x14ac:dyDescent="0.2"/>
    <row r="50653" ht="9.9499999999999993" hidden="1" customHeight="1" x14ac:dyDescent="0.2"/>
    <row r="50654" ht="9.9499999999999993" hidden="1" customHeight="1" x14ac:dyDescent="0.2"/>
    <row r="50655" ht="9.9499999999999993" hidden="1" customHeight="1" x14ac:dyDescent="0.2"/>
    <row r="50656" ht="9.9499999999999993" hidden="1" customHeight="1" x14ac:dyDescent="0.2"/>
    <row r="50657" ht="9.9499999999999993" hidden="1" customHeight="1" x14ac:dyDescent="0.2"/>
    <row r="50658" ht="9.9499999999999993" hidden="1" customHeight="1" x14ac:dyDescent="0.2"/>
    <row r="50659" ht="9.9499999999999993" hidden="1" customHeight="1" x14ac:dyDescent="0.2"/>
    <row r="50660" ht="9.9499999999999993" hidden="1" customHeight="1" x14ac:dyDescent="0.2"/>
    <row r="50661" ht="9.9499999999999993" hidden="1" customHeight="1" x14ac:dyDescent="0.2"/>
    <row r="50662" ht="9.9499999999999993" hidden="1" customHeight="1" x14ac:dyDescent="0.2"/>
    <row r="50663" ht="9.9499999999999993" hidden="1" customHeight="1" x14ac:dyDescent="0.2"/>
    <row r="50664" ht="9.9499999999999993" hidden="1" customHeight="1" x14ac:dyDescent="0.2"/>
    <row r="50665" ht="9.9499999999999993" hidden="1" customHeight="1" x14ac:dyDescent="0.2"/>
    <row r="50666" ht="9.9499999999999993" hidden="1" customHeight="1" x14ac:dyDescent="0.2"/>
    <row r="50667" ht="9.9499999999999993" hidden="1" customHeight="1" x14ac:dyDescent="0.2"/>
    <row r="50668" ht="9.9499999999999993" hidden="1" customHeight="1" x14ac:dyDescent="0.2"/>
    <row r="50669" ht="9.9499999999999993" hidden="1" customHeight="1" x14ac:dyDescent="0.2"/>
    <row r="50670" ht="9.9499999999999993" hidden="1" customHeight="1" x14ac:dyDescent="0.2"/>
    <row r="50671" ht="9.9499999999999993" hidden="1" customHeight="1" x14ac:dyDescent="0.2"/>
    <row r="50672" ht="9.9499999999999993" hidden="1" customHeight="1" x14ac:dyDescent="0.2"/>
    <row r="50673" ht="9.9499999999999993" hidden="1" customHeight="1" x14ac:dyDescent="0.2"/>
    <row r="50674" ht="9.9499999999999993" hidden="1" customHeight="1" x14ac:dyDescent="0.2"/>
    <row r="50675" ht="9.9499999999999993" hidden="1" customHeight="1" x14ac:dyDescent="0.2"/>
    <row r="50676" ht="9.9499999999999993" hidden="1" customHeight="1" x14ac:dyDescent="0.2"/>
    <row r="50677" ht="9.9499999999999993" hidden="1" customHeight="1" x14ac:dyDescent="0.2"/>
    <row r="50678" ht="9.9499999999999993" hidden="1" customHeight="1" x14ac:dyDescent="0.2"/>
    <row r="50679" ht="9.9499999999999993" hidden="1" customHeight="1" x14ac:dyDescent="0.2"/>
    <row r="50680" ht="9.9499999999999993" hidden="1" customHeight="1" x14ac:dyDescent="0.2"/>
    <row r="50681" ht="9.9499999999999993" hidden="1" customHeight="1" x14ac:dyDescent="0.2"/>
    <row r="50682" ht="9.9499999999999993" hidden="1" customHeight="1" x14ac:dyDescent="0.2"/>
    <row r="50683" ht="9.9499999999999993" hidden="1" customHeight="1" x14ac:dyDescent="0.2"/>
    <row r="50684" ht="9.9499999999999993" hidden="1" customHeight="1" x14ac:dyDescent="0.2"/>
    <row r="50685" ht="9.9499999999999993" hidden="1" customHeight="1" x14ac:dyDescent="0.2"/>
    <row r="50686" ht="9.9499999999999993" hidden="1" customHeight="1" x14ac:dyDescent="0.2"/>
    <row r="50687" ht="9.9499999999999993" hidden="1" customHeight="1" x14ac:dyDescent="0.2"/>
    <row r="50688" ht="9.9499999999999993" hidden="1" customHeight="1" x14ac:dyDescent="0.2"/>
    <row r="50689" ht="9.9499999999999993" hidden="1" customHeight="1" x14ac:dyDescent="0.2"/>
    <row r="50690" ht="9.9499999999999993" hidden="1" customHeight="1" x14ac:dyDescent="0.2"/>
    <row r="50691" ht="9.9499999999999993" hidden="1" customHeight="1" x14ac:dyDescent="0.2"/>
    <row r="50692" ht="9.9499999999999993" hidden="1" customHeight="1" x14ac:dyDescent="0.2"/>
    <row r="50693" ht="9.9499999999999993" hidden="1" customHeight="1" x14ac:dyDescent="0.2"/>
    <row r="50694" ht="9.9499999999999993" hidden="1" customHeight="1" x14ac:dyDescent="0.2"/>
    <row r="50695" ht="9.9499999999999993" hidden="1" customHeight="1" x14ac:dyDescent="0.2"/>
    <row r="50696" ht="9.9499999999999993" hidden="1" customHeight="1" x14ac:dyDescent="0.2"/>
    <row r="50697" ht="9.9499999999999993" hidden="1" customHeight="1" x14ac:dyDescent="0.2"/>
    <row r="50698" ht="9.9499999999999993" hidden="1" customHeight="1" x14ac:dyDescent="0.2"/>
    <row r="50699" ht="9.9499999999999993" hidden="1" customHeight="1" x14ac:dyDescent="0.2"/>
    <row r="50700" ht="9.9499999999999993" hidden="1" customHeight="1" x14ac:dyDescent="0.2"/>
    <row r="50701" ht="9.9499999999999993" hidden="1" customHeight="1" x14ac:dyDescent="0.2"/>
    <row r="50702" ht="9.9499999999999993" hidden="1" customHeight="1" x14ac:dyDescent="0.2"/>
    <row r="50703" ht="9.9499999999999993" hidden="1" customHeight="1" x14ac:dyDescent="0.2"/>
    <row r="50704" ht="9.9499999999999993" hidden="1" customHeight="1" x14ac:dyDescent="0.2"/>
    <row r="50705" ht="9.9499999999999993" hidden="1" customHeight="1" x14ac:dyDescent="0.2"/>
    <row r="50706" ht="9.9499999999999993" hidden="1" customHeight="1" x14ac:dyDescent="0.2"/>
    <row r="50707" ht="9.9499999999999993" hidden="1" customHeight="1" x14ac:dyDescent="0.2"/>
    <row r="50708" ht="9.9499999999999993" hidden="1" customHeight="1" x14ac:dyDescent="0.2"/>
    <row r="50709" ht="9.9499999999999993" hidden="1" customHeight="1" x14ac:dyDescent="0.2"/>
    <row r="50710" ht="9.9499999999999993" hidden="1" customHeight="1" x14ac:dyDescent="0.2"/>
    <row r="50711" ht="9.9499999999999993" hidden="1" customHeight="1" x14ac:dyDescent="0.2"/>
    <row r="50712" ht="9.9499999999999993" hidden="1" customHeight="1" x14ac:dyDescent="0.2"/>
    <row r="50713" ht="9.9499999999999993" hidden="1" customHeight="1" x14ac:dyDescent="0.2"/>
    <row r="50714" ht="9.9499999999999993" hidden="1" customHeight="1" x14ac:dyDescent="0.2"/>
    <row r="50715" ht="9.9499999999999993" hidden="1" customHeight="1" x14ac:dyDescent="0.2"/>
    <row r="50716" ht="9.9499999999999993" hidden="1" customHeight="1" x14ac:dyDescent="0.2"/>
    <row r="50717" ht="9.9499999999999993" hidden="1" customHeight="1" x14ac:dyDescent="0.2"/>
    <row r="50718" ht="9.9499999999999993" hidden="1" customHeight="1" x14ac:dyDescent="0.2"/>
    <row r="50719" ht="9.9499999999999993" hidden="1" customHeight="1" x14ac:dyDescent="0.2"/>
    <row r="50720" ht="9.9499999999999993" hidden="1" customHeight="1" x14ac:dyDescent="0.2"/>
    <row r="50721" ht="9.9499999999999993" hidden="1" customHeight="1" x14ac:dyDescent="0.2"/>
    <row r="50722" ht="9.9499999999999993" hidden="1" customHeight="1" x14ac:dyDescent="0.2"/>
    <row r="50723" ht="9.9499999999999993" hidden="1" customHeight="1" x14ac:dyDescent="0.2"/>
    <row r="50724" ht="9.9499999999999993" hidden="1" customHeight="1" x14ac:dyDescent="0.2"/>
    <row r="50725" ht="9.9499999999999993" hidden="1" customHeight="1" x14ac:dyDescent="0.2"/>
    <row r="50726" ht="9.9499999999999993" hidden="1" customHeight="1" x14ac:dyDescent="0.2"/>
    <row r="50727" ht="9.9499999999999993" hidden="1" customHeight="1" x14ac:dyDescent="0.2"/>
    <row r="50728" ht="9.9499999999999993" hidden="1" customHeight="1" x14ac:dyDescent="0.2"/>
    <row r="50729" ht="9.9499999999999993" hidden="1" customHeight="1" x14ac:dyDescent="0.2"/>
    <row r="50730" ht="9.9499999999999993" hidden="1" customHeight="1" x14ac:dyDescent="0.2"/>
    <row r="50731" ht="9.9499999999999993" hidden="1" customHeight="1" x14ac:dyDescent="0.2"/>
    <row r="50732" ht="9.9499999999999993" hidden="1" customHeight="1" x14ac:dyDescent="0.2"/>
    <row r="50733" ht="9.9499999999999993" hidden="1" customHeight="1" x14ac:dyDescent="0.2"/>
    <row r="50734" ht="9.9499999999999993" hidden="1" customHeight="1" x14ac:dyDescent="0.2"/>
    <row r="50735" ht="9.9499999999999993" hidden="1" customHeight="1" x14ac:dyDescent="0.2"/>
    <row r="50736" ht="9.9499999999999993" hidden="1" customHeight="1" x14ac:dyDescent="0.2"/>
    <row r="50737" ht="9.9499999999999993" hidden="1" customHeight="1" x14ac:dyDescent="0.2"/>
    <row r="50738" ht="9.9499999999999993" hidden="1" customHeight="1" x14ac:dyDescent="0.2"/>
    <row r="50739" ht="9.9499999999999993" hidden="1" customHeight="1" x14ac:dyDescent="0.2"/>
    <row r="50740" ht="9.9499999999999993" hidden="1" customHeight="1" x14ac:dyDescent="0.2"/>
    <row r="50741" ht="9.9499999999999993" hidden="1" customHeight="1" x14ac:dyDescent="0.2"/>
    <row r="50742" ht="9.9499999999999993" hidden="1" customHeight="1" x14ac:dyDescent="0.2"/>
    <row r="50743" ht="9.9499999999999993" hidden="1" customHeight="1" x14ac:dyDescent="0.2"/>
    <row r="50744" ht="9.9499999999999993" hidden="1" customHeight="1" x14ac:dyDescent="0.2"/>
    <row r="50745" ht="9.9499999999999993" hidden="1" customHeight="1" x14ac:dyDescent="0.2"/>
    <row r="50746" ht="9.9499999999999993" hidden="1" customHeight="1" x14ac:dyDescent="0.2"/>
    <row r="50747" ht="9.9499999999999993" hidden="1" customHeight="1" x14ac:dyDescent="0.2"/>
    <row r="50748" ht="9.9499999999999993" hidden="1" customHeight="1" x14ac:dyDescent="0.2"/>
    <row r="50749" ht="9.9499999999999993" hidden="1" customHeight="1" x14ac:dyDescent="0.2"/>
    <row r="50750" ht="9.9499999999999993" hidden="1" customHeight="1" x14ac:dyDescent="0.2"/>
    <row r="50751" ht="9.9499999999999993" hidden="1" customHeight="1" x14ac:dyDescent="0.2"/>
    <row r="50752" ht="9.9499999999999993" hidden="1" customHeight="1" x14ac:dyDescent="0.2"/>
    <row r="50753" ht="9.9499999999999993" hidden="1" customHeight="1" x14ac:dyDescent="0.2"/>
    <row r="50754" ht="9.9499999999999993" hidden="1" customHeight="1" x14ac:dyDescent="0.2"/>
    <row r="50755" ht="9.9499999999999993" hidden="1" customHeight="1" x14ac:dyDescent="0.2"/>
    <row r="50756" ht="9.9499999999999993" hidden="1" customHeight="1" x14ac:dyDescent="0.2"/>
    <row r="50757" ht="9.9499999999999993" hidden="1" customHeight="1" x14ac:dyDescent="0.2"/>
    <row r="50758" ht="9.9499999999999993" hidden="1" customHeight="1" x14ac:dyDescent="0.2"/>
    <row r="50759" ht="9.9499999999999993" hidden="1" customHeight="1" x14ac:dyDescent="0.2"/>
    <row r="50760" ht="9.9499999999999993" hidden="1" customHeight="1" x14ac:dyDescent="0.2"/>
    <row r="50761" ht="9.9499999999999993" hidden="1" customHeight="1" x14ac:dyDescent="0.2"/>
    <row r="50762" ht="9.9499999999999993" hidden="1" customHeight="1" x14ac:dyDescent="0.2"/>
    <row r="50763" ht="9.9499999999999993" hidden="1" customHeight="1" x14ac:dyDescent="0.2"/>
    <row r="50764" ht="9.9499999999999993" hidden="1" customHeight="1" x14ac:dyDescent="0.2"/>
    <row r="50765" ht="9.9499999999999993" hidden="1" customHeight="1" x14ac:dyDescent="0.2"/>
    <row r="50766" ht="9.9499999999999993" hidden="1" customHeight="1" x14ac:dyDescent="0.2"/>
    <row r="50767" ht="9.9499999999999993" hidden="1" customHeight="1" x14ac:dyDescent="0.2"/>
    <row r="50768" ht="9.9499999999999993" hidden="1" customHeight="1" x14ac:dyDescent="0.2"/>
    <row r="50769" ht="9.9499999999999993" hidden="1" customHeight="1" x14ac:dyDescent="0.2"/>
    <row r="50770" ht="9.9499999999999993" hidden="1" customHeight="1" x14ac:dyDescent="0.2"/>
    <row r="50771" ht="9.9499999999999993" hidden="1" customHeight="1" x14ac:dyDescent="0.2"/>
    <row r="50772" ht="9.9499999999999993" hidden="1" customHeight="1" x14ac:dyDescent="0.2"/>
    <row r="50773" ht="9.9499999999999993" hidden="1" customHeight="1" x14ac:dyDescent="0.2"/>
    <row r="50774" ht="9.9499999999999993" hidden="1" customHeight="1" x14ac:dyDescent="0.2"/>
    <row r="50775" ht="9.9499999999999993" hidden="1" customHeight="1" x14ac:dyDescent="0.2"/>
    <row r="50776" ht="9.9499999999999993" hidden="1" customHeight="1" x14ac:dyDescent="0.2"/>
    <row r="50777" ht="9.9499999999999993" hidden="1" customHeight="1" x14ac:dyDescent="0.2"/>
    <row r="50778" ht="9.9499999999999993" hidden="1" customHeight="1" x14ac:dyDescent="0.2"/>
    <row r="50779" ht="9.9499999999999993" hidden="1" customHeight="1" x14ac:dyDescent="0.2"/>
    <row r="50780" ht="9.9499999999999993" hidden="1" customHeight="1" x14ac:dyDescent="0.2"/>
    <row r="50781" ht="9.9499999999999993" hidden="1" customHeight="1" x14ac:dyDescent="0.2"/>
    <row r="50782" ht="9.9499999999999993" hidden="1" customHeight="1" x14ac:dyDescent="0.2"/>
    <row r="50783" ht="9.9499999999999993" hidden="1" customHeight="1" x14ac:dyDescent="0.2"/>
    <row r="50784" ht="9.9499999999999993" hidden="1" customHeight="1" x14ac:dyDescent="0.2"/>
    <row r="50785" ht="9.9499999999999993" hidden="1" customHeight="1" x14ac:dyDescent="0.2"/>
    <row r="50786" ht="9.9499999999999993" hidden="1" customHeight="1" x14ac:dyDescent="0.2"/>
    <row r="50787" ht="9.9499999999999993" hidden="1" customHeight="1" x14ac:dyDescent="0.2"/>
    <row r="50788" ht="9.9499999999999993" hidden="1" customHeight="1" x14ac:dyDescent="0.2"/>
    <row r="50789" ht="9.9499999999999993" hidden="1" customHeight="1" x14ac:dyDescent="0.2"/>
    <row r="50790" ht="9.9499999999999993" hidden="1" customHeight="1" x14ac:dyDescent="0.2"/>
    <row r="50791" ht="9.9499999999999993" hidden="1" customHeight="1" x14ac:dyDescent="0.2"/>
    <row r="50792" ht="9.9499999999999993" hidden="1" customHeight="1" x14ac:dyDescent="0.2"/>
    <row r="50793" ht="9.9499999999999993" hidden="1" customHeight="1" x14ac:dyDescent="0.2"/>
    <row r="50794" ht="9.9499999999999993" hidden="1" customHeight="1" x14ac:dyDescent="0.2"/>
    <row r="50795" ht="9.9499999999999993" hidden="1" customHeight="1" x14ac:dyDescent="0.2"/>
    <row r="50796" ht="9.9499999999999993" hidden="1" customHeight="1" x14ac:dyDescent="0.2"/>
    <row r="50797" ht="9.9499999999999993" hidden="1" customHeight="1" x14ac:dyDescent="0.2"/>
    <row r="50798" ht="9.9499999999999993" hidden="1" customHeight="1" x14ac:dyDescent="0.2"/>
    <row r="50799" ht="9.9499999999999993" hidden="1" customHeight="1" x14ac:dyDescent="0.2"/>
    <row r="50800" ht="9.9499999999999993" hidden="1" customHeight="1" x14ac:dyDescent="0.2"/>
    <row r="50801" ht="9.9499999999999993" hidden="1" customHeight="1" x14ac:dyDescent="0.2"/>
    <row r="50802" ht="9.9499999999999993" hidden="1" customHeight="1" x14ac:dyDescent="0.2"/>
    <row r="50803" ht="9.9499999999999993" hidden="1" customHeight="1" x14ac:dyDescent="0.2"/>
    <row r="50804" ht="9.9499999999999993" hidden="1" customHeight="1" x14ac:dyDescent="0.2"/>
    <row r="50805" ht="9.9499999999999993" hidden="1" customHeight="1" x14ac:dyDescent="0.2"/>
    <row r="50806" ht="9.9499999999999993" hidden="1" customHeight="1" x14ac:dyDescent="0.2"/>
    <row r="50807" ht="9.9499999999999993" hidden="1" customHeight="1" x14ac:dyDescent="0.2"/>
    <row r="50808" ht="9.9499999999999993" hidden="1" customHeight="1" x14ac:dyDescent="0.2"/>
    <row r="50809" ht="9.9499999999999993" hidden="1" customHeight="1" x14ac:dyDescent="0.2"/>
    <row r="50810" ht="9.9499999999999993" hidden="1" customHeight="1" x14ac:dyDescent="0.2"/>
    <row r="50811" ht="9.9499999999999993" hidden="1" customHeight="1" x14ac:dyDescent="0.2"/>
    <row r="50812" ht="9.9499999999999993" hidden="1" customHeight="1" x14ac:dyDescent="0.2"/>
    <row r="50813" ht="9.9499999999999993" hidden="1" customHeight="1" x14ac:dyDescent="0.2"/>
    <row r="50814" ht="9.9499999999999993" hidden="1" customHeight="1" x14ac:dyDescent="0.2"/>
    <row r="50815" ht="9.9499999999999993" hidden="1" customHeight="1" x14ac:dyDescent="0.2"/>
    <row r="50816" ht="9.9499999999999993" hidden="1" customHeight="1" x14ac:dyDescent="0.2"/>
    <row r="50817" ht="9.9499999999999993" hidden="1" customHeight="1" x14ac:dyDescent="0.2"/>
    <row r="50818" ht="9.9499999999999993" hidden="1" customHeight="1" x14ac:dyDescent="0.2"/>
    <row r="50819" ht="9.9499999999999993" hidden="1" customHeight="1" x14ac:dyDescent="0.2"/>
    <row r="50820" ht="9.9499999999999993" hidden="1" customHeight="1" x14ac:dyDescent="0.2"/>
    <row r="50821" ht="9.9499999999999993" hidden="1" customHeight="1" x14ac:dyDescent="0.2"/>
    <row r="50822" ht="9.9499999999999993" hidden="1" customHeight="1" x14ac:dyDescent="0.2"/>
    <row r="50823" ht="9.9499999999999993" hidden="1" customHeight="1" x14ac:dyDescent="0.2"/>
    <row r="50824" ht="9.9499999999999993" hidden="1" customHeight="1" x14ac:dyDescent="0.2"/>
    <row r="50825" ht="9.9499999999999993" hidden="1" customHeight="1" x14ac:dyDescent="0.2"/>
    <row r="50826" ht="9.9499999999999993" hidden="1" customHeight="1" x14ac:dyDescent="0.2"/>
    <row r="50827" ht="9.9499999999999993" hidden="1" customHeight="1" x14ac:dyDescent="0.2"/>
    <row r="50828" ht="9.9499999999999993" hidden="1" customHeight="1" x14ac:dyDescent="0.2"/>
    <row r="50829" ht="9.9499999999999993" hidden="1" customHeight="1" x14ac:dyDescent="0.2"/>
    <row r="50830" ht="9.9499999999999993" hidden="1" customHeight="1" x14ac:dyDescent="0.2"/>
    <row r="50831" ht="9.9499999999999993" hidden="1" customHeight="1" x14ac:dyDescent="0.2"/>
    <row r="50832" ht="9.9499999999999993" hidden="1" customHeight="1" x14ac:dyDescent="0.2"/>
    <row r="50833" ht="9.9499999999999993" hidden="1" customHeight="1" x14ac:dyDescent="0.2"/>
    <row r="50834" ht="9.9499999999999993" hidden="1" customHeight="1" x14ac:dyDescent="0.2"/>
    <row r="50835" ht="9.9499999999999993" hidden="1" customHeight="1" x14ac:dyDescent="0.2"/>
    <row r="50836" ht="9.9499999999999993" hidden="1" customHeight="1" x14ac:dyDescent="0.2"/>
    <row r="50837" ht="9.9499999999999993" hidden="1" customHeight="1" x14ac:dyDescent="0.2"/>
    <row r="50838" ht="9.9499999999999993" hidden="1" customHeight="1" x14ac:dyDescent="0.2"/>
    <row r="50839" ht="9.9499999999999993" hidden="1" customHeight="1" x14ac:dyDescent="0.2"/>
    <row r="50840" ht="9.9499999999999993" hidden="1" customHeight="1" x14ac:dyDescent="0.2"/>
    <row r="50841" ht="9.9499999999999993" hidden="1" customHeight="1" x14ac:dyDescent="0.2"/>
    <row r="50842" ht="9.9499999999999993" hidden="1" customHeight="1" x14ac:dyDescent="0.2"/>
    <row r="50843" ht="9.9499999999999993" hidden="1" customHeight="1" x14ac:dyDescent="0.2"/>
    <row r="50844" ht="9.9499999999999993" hidden="1" customHeight="1" x14ac:dyDescent="0.2"/>
    <row r="50845" ht="9.9499999999999993" hidden="1" customHeight="1" x14ac:dyDescent="0.2"/>
    <row r="50846" ht="9.9499999999999993" hidden="1" customHeight="1" x14ac:dyDescent="0.2"/>
    <row r="50847" ht="9.9499999999999993" hidden="1" customHeight="1" x14ac:dyDescent="0.2"/>
    <row r="50848" ht="9.9499999999999993" hidden="1" customHeight="1" x14ac:dyDescent="0.2"/>
    <row r="50849" ht="9.9499999999999993" hidden="1" customHeight="1" x14ac:dyDescent="0.2"/>
    <row r="50850" ht="9.9499999999999993" hidden="1" customHeight="1" x14ac:dyDescent="0.2"/>
    <row r="50851" ht="9.9499999999999993" hidden="1" customHeight="1" x14ac:dyDescent="0.2"/>
    <row r="50852" ht="9.9499999999999993" hidden="1" customHeight="1" x14ac:dyDescent="0.2"/>
    <row r="50853" ht="9.9499999999999993" hidden="1" customHeight="1" x14ac:dyDescent="0.2"/>
    <row r="50854" ht="9.9499999999999993" hidden="1" customHeight="1" x14ac:dyDescent="0.2"/>
    <row r="50855" ht="9.9499999999999993" hidden="1" customHeight="1" x14ac:dyDescent="0.2"/>
    <row r="50856" ht="9.9499999999999993" hidden="1" customHeight="1" x14ac:dyDescent="0.2"/>
    <row r="50857" ht="9.9499999999999993" hidden="1" customHeight="1" x14ac:dyDescent="0.2"/>
    <row r="50858" ht="9.9499999999999993" hidden="1" customHeight="1" x14ac:dyDescent="0.2"/>
    <row r="50859" ht="9.9499999999999993" hidden="1" customHeight="1" x14ac:dyDescent="0.2"/>
    <row r="50860" ht="9.9499999999999993" hidden="1" customHeight="1" x14ac:dyDescent="0.2"/>
    <row r="50861" ht="9.9499999999999993" hidden="1" customHeight="1" x14ac:dyDescent="0.2"/>
    <row r="50862" ht="9.9499999999999993" hidden="1" customHeight="1" x14ac:dyDescent="0.2"/>
    <row r="50863" ht="9.9499999999999993" hidden="1" customHeight="1" x14ac:dyDescent="0.2"/>
    <row r="50864" ht="9.9499999999999993" hidden="1" customHeight="1" x14ac:dyDescent="0.2"/>
    <row r="50865" ht="9.9499999999999993" hidden="1" customHeight="1" x14ac:dyDescent="0.2"/>
    <row r="50866" ht="9.9499999999999993" hidden="1" customHeight="1" x14ac:dyDescent="0.2"/>
    <row r="50867" ht="9.9499999999999993" hidden="1" customHeight="1" x14ac:dyDescent="0.2"/>
    <row r="50868" ht="9.9499999999999993" hidden="1" customHeight="1" x14ac:dyDescent="0.2"/>
    <row r="50869" ht="9.9499999999999993" hidden="1" customHeight="1" x14ac:dyDescent="0.2"/>
    <row r="50870" ht="9.9499999999999993" hidden="1" customHeight="1" x14ac:dyDescent="0.2"/>
    <row r="50871" ht="9.9499999999999993" hidden="1" customHeight="1" x14ac:dyDescent="0.2"/>
    <row r="50872" ht="9.9499999999999993" hidden="1" customHeight="1" x14ac:dyDescent="0.2"/>
    <row r="50873" ht="9.9499999999999993" hidden="1" customHeight="1" x14ac:dyDescent="0.2"/>
    <row r="50874" ht="9.9499999999999993" hidden="1" customHeight="1" x14ac:dyDescent="0.2"/>
    <row r="50875" ht="9.9499999999999993" hidden="1" customHeight="1" x14ac:dyDescent="0.2"/>
    <row r="50876" ht="9.9499999999999993" hidden="1" customHeight="1" x14ac:dyDescent="0.2"/>
    <row r="50877" ht="9.9499999999999993" hidden="1" customHeight="1" x14ac:dyDescent="0.2"/>
    <row r="50878" ht="9.9499999999999993" hidden="1" customHeight="1" x14ac:dyDescent="0.2"/>
    <row r="50879" ht="9.9499999999999993" hidden="1" customHeight="1" x14ac:dyDescent="0.2"/>
    <row r="50880" ht="9.9499999999999993" hidden="1" customHeight="1" x14ac:dyDescent="0.2"/>
    <row r="50881" ht="9.9499999999999993" hidden="1" customHeight="1" x14ac:dyDescent="0.2"/>
    <row r="50882" ht="9.9499999999999993" hidden="1" customHeight="1" x14ac:dyDescent="0.2"/>
    <row r="50883" ht="9.9499999999999993" hidden="1" customHeight="1" x14ac:dyDescent="0.2"/>
    <row r="50884" ht="9.9499999999999993" hidden="1" customHeight="1" x14ac:dyDescent="0.2"/>
    <row r="50885" ht="9.9499999999999993" hidden="1" customHeight="1" x14ac:dyDescent="0.2"/>
    <row r="50886" ht="9.9499999999999993" hidden="1" customHeight="1" x14ac:dyDescent="0.2"/>
    <row r="50887" ht="9.9499999999999993" hidden="1" customHeight="1" x14ac:dyDescent="0.2"/>
    <row r="50888" ht="9.9499999999999993" hidden="1" customHeight="1" x14ac:dyDescent="0.2"/>
    <row r="50889" ht="9.9499999999999993" hidden="1" customHeight="1" x14ac:dyDescent="0.2"/>
    <row r="50890" ht="9.9499999999999993" hidden="1" customHeight="1" x14ac:dyDescent="0.2"/>
    <row r="50891" ht="9.9499999999999993" hidden="1" customHeight="1" x14ac:dyDescent="0.2"/>
    <row r="50892" ht="9.9499999999999993" hidden="1" customHeight="1" x14ac:dyDescent="0.2"/>
    <row r="50893" ht="9.9499999999999993" hidden="1" customHeight="1" x14ac:dyDescent="0.2"/>
    <row r="50894" ht="9.9499999999999993" hidden="1" customHeight="1" x14ac:dyDescent="0.2"/>
    <row r="50895" ht="9.9499999999999993" hidden="1" customHeight="1" x14ac:dyDescent="0.2"/>
    <row r="50896" ht="9.9499999999999993" hidden="1" customHeight="1" x14ac:dyDescent="0.2"/>
    <row r="50897" ht="9.9499999999999993" hidden="1" customHeight="1" x14ac:dyDescent="0.2"/>
    <row r="50898" ht="9.9499999999999993" hidden="1" customHeight="1" x14ac:dyDescent="0.2"/>
    <row r="50899" ht="9.9499999999999993" hidden="1" customHeight="1" x14ac:dyDescent="0.2"/>
    <row r="50900" ht="9.9499999999999993" hidden="1" customHeight="1" x14ac:dyDescent="0.2"/>
    <row r="50901" ht="9.9499999999999993" hidden="1" customHeight="1" x14ac:dyDescent="0.2"/>
    <row r="50902" ht="9.9499999999999993" hidden="1" customHeight="1" x14ac:dyDescent="0.2"/>
    <row r="50903" ht="9.9499999999999993" hidden="1" customHeight="1" x14ac:dyDescent="0.2"/>
    <row r="50904" ht="9.9499999999999993" hidden="1" customHeight="1" x14ac:dyDescent="0.2"/>
    <row r="50905" ht="9.9499999999999993" hidden="1" customHeight="1" x14ac:dyDescent="0.2"/>
    <row r="50906" ht="9.9499999999999993" hidden="1" customHeight="1" x14ac:dyDescent="0.2"/>
    <row r="50907" ht="9.9499999999999993" hidden="1" customHeight="1" x14ac:dyDescent="0.2"/>
    <row r="50908" ht="9.9499999999999993" hidden="1" customHeight="1" x14ac:dyDescent="0.2"/>
    <row r="50909" ht="9.9499999999999993" hidden="1" customHeight="1" x14ac:dyDescent="0.2"/>
    <row r="50910" ht="9.9499999999999993" hidden="1" customHeight="1" x14ac:dyDescent="0.2"/>
    <row r="50911" ht="9.9499999999999993" hidden="1" customHeight="1" x14ac:dyDescent="0.2"/>
    <row r="50912" ht="9.9499999999999993" hidden="1" customHeight="1" x14ac:dyDescent="0.2"/>
    <row r="50913" ht="9.9499999999999993" hidden="1" customHeight="1" x14ac:dyDescent="0.2"/>
    <row r="50914" ht="9.9499999999999993" hidden="1" customHeight="1" x14ac:dyDescent="0.2"/>
    <row r="50915" ht="9.9499999999999993" hidden="1" customHeight="1" x14ac:dyDescent="0.2"/>
    <row r="50916" ht="9.9499999999999993" hidden="1" customHeight="1" x14ac:dyDescent="0.2"/>
    <row r="50917" ht="9.9499999999999993" hidden="1" customHeight="1" x14ac:dyDescent="0.2"/>
    <row r="50918" ht="9.9499999999999993" hidden="1" customHeight="1" x14ac:dyDescent="0.2"/>
    <row r="50919" ht="9.9499999999999993" hidden="1" customHeight="1" x14ac:dyDescent="0.2"/>
    <row r="50920" ht="9.9499999999999993" hidden="1" customHeight="1" x14ac:dyDescent="0.2"/>
    <row r="50921" ht="9.9499999999999993" hidden="1" customHeight="1" x14ac:dyDescent="0.2"/>
    <row r="50922" ht="9.9499999999999993" hidden="1" customHeight="1" x14ac:dyDescent="0.2"/>
    <row r="50923" ht="9.9499999999999993" hidden="1" customHeight="1" x14ac:dyDescent="0.2"/>
    <row r="50924" ht="9.9499999999999993" hidden="1" customHeight="1" x14ac:dyDescent="0.2"/>
    <row r="50925" ht="9.9499999999999993" hidden="1" customHeight="1" x14ac:dyDescent="0.2"/>
    <row r="50926" ht="9.9499999999999993" hidden="1" customHeight="1" x14ac:dyDescent="0.2"/>
    <row r="50927" ht="9.9499999999999993" hidden="1" customHeight="1" x14ac:dyDescent="0.2"/>
    <row r="50928" ht="9.9499999999999993" hidden="1" customHeight="1" x14ac:dyDescent="0.2"/>
    <row r="50929" ht="9.9499999999999993" hidden="1" customHeight="1" x14ac:dyDescent="0.2"/>
    <row r="50930" ht="9.9499999999999993" hidden="1" customHeight="1" x14ac:dyDescent="0.2"/>
    <row r="50931" ht="9.9499999999999993" hidden="1" customHeight="1" x14ac:dyDescent="0.2"/>
    <row r="50932" ht="9.9499999999999993" hidden="1" customHeight="1" x14ac:dyDescent="0.2"/>
    <row r="50933" ht="9.9499999999999993" hidden="1" customHeight="1" x14ac:dyDescent="0.2"/>
    <row r="50934" ht="9.9499999999999993" hidden="1" customHeight="1" x14ac:dyDescent="0.2"/>
    <row r="50935" ht="9.9499999999999993" hidden="1" customHeight="1" x14ac:dyDescent="0.2"/>
    <row r="50936" ht="9.9499999999999993" hidden="1" customHeight="1" x14ac:dyDescent="0.2"/>
    <row r="50937" ht="9.9499999999999993" hidden="1" customHeight="1" x14ac:dyDescent="0.2"/>
    <row r="50938" ht="9.9499999999999993" hidden="1" customHeight="1" x14ac:dyDescent="0.2"/>
    <row r="50939" ht="9.9499999999999993" hidden="1" customHeight="1" x14ac:dyDescent="0.2"/>
    <row r="50940" ht="9.9499999999999993" hidden="1" customHeight="1" x14ac:dyDescent="0.2"/>
    <row r="50941" ht="9.9499999999999993" hidden="1" customHeight="1" x14ac:dyDescent="0.2"/>
    <row r="50942" ht="9.9499999999999993" hidden="1" customHeight="1" x14ac:dyDescent="0.2"/>
    <row r="50943" ht="9.9499999999999993" hidden="1" customHeight="1" x14ac:dyDescent="0.2"/>
    <row r="50944" ht="9.9499999999999993" hidden="1" customHeight="1" x14ac:dyDescent="0.2"/>
    <row r="50945" ht="9.9499999999999993" hidden="1" customHeight="1" x14ac:dyDescent="0.2"/>
    <row r="50946" ht="9.9499999999999993" hidden="1" customHeight="1" x14ac:dyDescent="0.2"/>
    <row r="50947" ht="9.9499999999999993" hidden="1" customHeight="1" x14ac:dyDescent="0.2"/>
    <row r="50948" ht="9.9499999999999993" hidden="1" customHeight="1" x14ac:dyDescent="0.2"/>
    <row r="50949" ht="9.9499999999999993" hidden="1" customHeight="1" x14ac:dyDescent="0.2"/>
    <row r="50950" ht="9.9499999999999993" hidden="1" customHeight="1" x14ac:dyDescent="0.2"/>
    <row r="50951" ht="9.9499999999999993" hidden="1" customHeight="1" x14ac:dyDescent="0.2"/>
    <row r="50952" ht="9.9499999999999993" hidden="1" customHeight="1" x14ac:dyDescent="0.2"/>
    <row r="50953" ht="9.9499999999999993" hidden="1" customHeight="1" x14ac:dyDescent="0.2"/>
    <row r="50954" ht="9.9499999999999993" hidden="1" customHeight="1" x14ac:dyDescent="0.2"/>
    <row r="50955" ht="9.9499999999999993" hidden="1" customHeight="1" x14ac:dyDescent="0.2"/>
    <row r="50956" ht="9.9499999999999993" hidden="1" customHeight="1" x14ac:dyDescent="0.2"/>
    <row r="50957" ht="9.9499999999999993" hidden="1" customHeight="1" x14ac:dyDescent="0.2"/>
    <row r="50958" ht="9.9499999999999993" hidden="1" customHeight="1" x14ac:dyDescent="0.2"/>
    <row r="50959" ht="9.9499999999999993" hidden="1" customHeight="1" x14ac:dyDescent="0.2"/>
    <row r="50960" ht="9.9499999999999993" hidden="1" customHeight="1" x14ac:dyDescent="0.2"/>
    <row r="50961" ht="9.9499999999999993" hidden="1" customHeight="1" x14ac:dyDescent="0.2"/>
    <row r="50962" ht="9.9499999999999993" hidden="1" customHeight="1" x14ac:dyDescent="0.2"/>
    <row r="50963" ht="9.9499999999999993" hidden="1" customHeight="1" x14ac:dyDescent="0.2"/>
    <row r="50964" ht="9.9499999999999993" hidden="1" customHeight="1" x14ac:dyDescent="0.2"/>
    <row r="50965" ht="9.9499999999999993" hidden="1" customHeight="1" x14ac:dyDescent="0.2"/>
    <row r="50966" ht="9.9499999999999993" hidden="1" customHeight="1" x14ac:dyDescent="0.2"/>
    <row r="50967" ht="9.9499999999999993" hidden="1" customHeight="1" x14ac:dyDescent="0.2"/>
    <row r="50968" ht="9.9499999999999993" hidden="1" customHeight="1" x14ac:dyDescent="0.2"/>
    <row r="50969" ht="9.9499999999999993" hidden="1" customHeight="1" x14ac:dyDescent="0.2"/>
    <row r="50970" ht="9.9499999999999993" hidden="1" customHeight="1" x14ac:dyDescent="0.2"/>
    <row r="50971" ht="9.9499999999999993" hidden="1" customHeight="1" x14ac:dyDescent="0.2"/>
    <row r="50972" ht="9.9499999999999993" hidden="1" customHeight="1" x14ac:dyDescent="0.2"/>
    <row r="50973" ht="9.9499999999999993" hidden="1" customHeight="1" x14ac:dyDescent="0.2"/>
    <row r="50974" ht="9.9499999999999993" hidden="1" customHeight="1" x14ac:dyDescent="0.2"/>
    <row r="50975" ht="9.9499999999999993" hidden="1" customHeight="1" x14ac:dyDescent="0.2"/>
    <row r="50976" ht="9.9499999999999993" hidden="1" customHeight="1" x14ac:dyDescent="0.2"/>
    <row r="50977" ht="9.9499999999999993" hidden="1" customHeight="1" x14ac:dyDescent="0.2"/>
    <row r="50978" ht="9.9499999999999993" hidden="1" customHeight="1" x14ac:dyDescent="0.2"/>
    <row r="50979" ht="9.9499999999999993" hidden="1" customHeight="1" x14ac:dyDescent="0.2"/>
    <row r="50980" ht="9.9499999999999993" hidden="1" customHeight="1" x14ac:dyDescent="0.2"/>
    <row r="50981" ht="9.9499999999999993" hidden="1" customHeight="1" x14ac:dyDescent="0.2"/>
    <row r="50982" ht="9.9499999999999993" hidden="1" customHeight="1" x14ac:dyDescent="0.2"/>
    <row r="50983" ht="9.9499999999999993" hidden="1" customHeight="1" x14ac:dyDescent="0.2"/>
    <row r="50984" ht="9.9499999999999993" hidden="1" customHeight="1" x14ac:dyDescent="0.2"/>
    <row r="50985" ht="9.9499999999999993" hidden="1" customHeight="1" x14ac:dyDescent="0.2"/>
    <row r="50986" ht="9.9499999999999993" hidden="1" customHeight="1" x14ac:dyDescent="0.2"/>
    <row r="50987" ht="9.9499999999999993" hidden="1" customHeight="1" x14ac:dyDescent="0.2"/>
    <row r="50988" ht="9.9499999999999993" hidden="1" customHeight="1" x14ac:dyDescent="0.2"/>
    <row r="50989" ht="9.9499999999999993" hidden="1" customHeight="1" x14ac:dyDescent="0.2"/>
    <row r="50990" ht="9.9499999999999993" hidden="1" customHeight="1" x14ac:dyDescent="0.2"/>
    <row r="50991" ht="9.9499999999999993" hidden="1" customHeight="1" x14ac:dyDescent="0.2"/>
    <row r="50992" ht="9.9499999999999993" hidden="1" customHeight="1" x14ac:dyDescent="0.2"/>
    <row r="50993" ht="9.9499999999999993" hidden="1" customHeight="1" x14ac:dyDescent="0.2"/>
    <row r="50994" ht="9.9499999999999993" hidden="1" customHeight="1" x14ac:dyDescent="0.2"/>
    <row r="50995" ht="9.9499999999999993" hidden="1" customHeight="1" x14ac:dyDescent="0.2"/>
    <row r="50996" ht="9.9499999999999993" hidden="1" customHeight="1" x14ac:dyDescent="0.2"/>
    <row r="50997" ht="9.9499999999999993" hidden="1" customHeight="1" x14ac:dyDescent="0.2"/>
    <row r="50998" ht="9.9499999999999993" hidden="1" customHeight="1" x14ac:dyDescent="0.2"/>
    <row r="50999" ht="9.9499999999999993" hidden="1" customHeight="1" x14ac:dyDescent="0.2"/>
    <row r="51000" ht="9.9499999999999993" hidden="1" customHeight="1" x14ac:dyDescent="0.2"/>
    <row r="51001" ht="9.9499999999999993" hidden="1" customHeight="1" x14ac:dyDescent="0.2"/>
    <row r="51002" ht="9.9499999999999993" hidden="1" customHeight="1" x14ac:dyDescent="0.2"/>
    <row r="51003" ht="9.9499999999999993" hidden="1" customHeight="1" x14ac:dyDescent="0.2"/>
    <row r="51004" ht="9.9499999999999993" hidden="1" customHeight="1" x14ac:dyDescent="0.2"/>
    <row r="51005" ht="9.9499999999999993" hidden="1" customHeight="1" x14ac:dyDescent="0.2"/>
    <row r="51006" ht="9.9499999999999993" hidden="1" customHeight="1" x14ac:dyDescent="0.2"/>
    <row r="51007" ht="9.9499999999999993" hidden="1" customHeight="1" x14ac:dyDescent="0.2"/>
    <row r="51008" ht="9.9499999999999993" hidden="1" customHeight="1" x14ac:dyDescent="0.2"/>
    <row r="51009" ht="9.9499999999999993" hidden="1" customHeight="1" x14ac:dyDescent="0.2"/>
    <row r="51010" ht="9.9499999999999993" hidden="1" customHeight="1" x14ac:dyDescent="0.2"/>
    <row r="51011" ht="9.9499999999999993" hidden="1" customHeight="1" x14ac:dyDescent="0.2"/>
    <row r="51012" ht="9.9499999999999993" hidden="1" customHeight="1" x14ac:dyDescent="0.2"/>
    <row r="51013" ht="9.9499999999999993" hidden="1" customHeight="1" x14ac:dyDescent="0.2"/>
    <row r="51014" ht="9.9499999999999993" hidden="1" customHeight="1" x14ac:dyDescent="0.2"/>
    <row r="51015" ht="9.9499999999999993" hidden="1" customHeight="1" x14ac:dyDescent="0.2"/>
    <row r="51016" ht="9.9499999999999993" hidden="1" customHeight="1" x14ac:dyDescent="0.2"/>
    <row r="51017" ht="9.9499999999999993" hidden="1" customHeight="1" x14ac:dyDescent="0.2"/>
    <row r="51018" ht="9.9499999999999993" hidden="1" customHeight="1" x14ac:dyDescent="0.2"/>
    <row r="51019" ht="9.9499999999999993" hidden="1" customHeight="1" x14ac:dyDescent="0.2"/>
    <row r="51020" ht="9.9499999999999993" hidden="1" customHeight="1" x14ac:dyDescent="0.2"/>
    <row r="51021" ht="9.9499999999999993" hidden="1" customHeight="1" x14ac:dyDescent="0.2"/>
    <row r="51022" ht="9.9499999999999993" hidden="1" customHeight="1" x14ac:dyDescent="0.2"/>
    <row r="51023" ht="9.9499999999999993" hidden="1" customHeight="1" x14ac:dyDescent="0.2"/>
    <row r="51024" ht="9.9499999999999993" hidden="1" customHeight="1" x14ac:dyDescent="0.2"/>
    <row r="51025" ht="9.9499999999999993" hidden="1" customHeight="1" x14ac:dyDescent="0.2"/>
    <row r="51026" ht="9.9499999999999993" hidden="1" customHeight="1" x14ac:dyDescent="0.2"/>
    <row r="51027" ht="9.9499999999999993" hidden="1" customHeight="1" x14ac:dyDescent="0.2"/>
    <row r="51028" ht="9.9499999999999993" hidden="1" customHeight="1" x14ac:dyDescent="0.2"/>
    <row r="51029" ht="9.9499999999999993" hidden="1" customHeight="1" x14ac:dyDescent="0.2"/>
    <row r="51030" ht="9.9499999999999993" hidden="1" customHeight="1" x14ac:dyDescent="0.2"/>
    <row r="51031" ht="9.9499999999999993" hidden="1" customHeight="1" x14ac:dyDescent="0.2"/>
    <row r="51032" ht="9.9499999999999993" hidden="1" customHeight="1" x14ac:dyDescent="0.2"/>
    <row r="51033" ht="9.9499999999999993" hidden="1" customHeight="1" x14ac:dyDescent="0.2"/>
    <row r="51034" ht="9.9499999999999993" hidden="1" customHeight="1" x14ac:dyDescent="0.2"/>
    <row r="51035" ht="9.9499999999999993" hidden="1" customHeight="1" x14ac:dyDescent="0.2"/>
    <row r="51036" ht="9.9499999999999993" hidden="1" customHeight="1" x14ac:dyDescent="0.2"/>
    <row r="51037" ht="9.9499999999999993" hidden="1" customHeight="1" x14ac:dyDescent="0.2"/>
    <row r="51038" ht="9.9499999999999993" hidden="1" customHeight="1" x14ac:dyDescent="0.2"/>
    <row r="51039" ht="9.9499999999999993" hidden="1" customHeight="1" x14ac:dyDescent="0.2"/>
    <row r="51040" ht="9.9499999999999993" hidden="1" customHeight="1" x14ac:dyDescent="0.2"/>
    <row r="51041" ht="9.9499999999999993" hidden="1" customHeight="1" x14ac:dyDescent="0.2"/>
    <row r="51042" ht="9.9499999999999993" hidden="1" customHeight="1" x14ac:dyDescent="0.2"/>
    <row r="51043" ht="9.9499999999999993" hidden="1" customHeight="1" x14ac:dyDescent="0.2"/>
    <row r="51044" ht="9.9499999999999993" hidden="1" customHeight="1" x14ac:dyDescent="0.2"/>
    <row r="51045" ht="9.9499999999999993" hidden="1" customHeight="1" x14ac:dyDescent="0.2"/>
    <row r="51046" ht="9.9499999999999993" hidden="1" customHeight="1" x14ac:dyDescent="0.2"/>
    <row r="51047" ht="9.9499999999999993" hidden="1" customHeight="1" x14ac:dyDescent="0.2"/>
    <row r="51048" ht="9.9499999999999993" hidden="1" customHeight="1" x14ac:dyDescent="0.2"/>
    <row r="51049" ht="9.9499999999999993" hidden="1" customHeight="1" x14ac:dyDescent="0.2"/>
    <row r="51050" ht="9.9499999999999993" hidden="1" customHeight="1" x14ac:dyDescent="0.2"/>
    <row r="51051" ht="9.9499999999999993" hidden="1" customHeight="1" x14ac:dyDescent="0.2"/>
    <row r="51052" ht="9.9499999999999993" hidden="1" customHeight="1" x14ac:dyDescent="0.2"/>
    <row r="51053" ht="9.9499999999999993" hidden="1" customHeight="1" x14ac:dyDescent="0.2"/>
    <row r="51054" ht="9.9499999999999993" hidden="1" customHeight="1" x14ac:dyDescent="0.2"/>
    <row r="51055" ht="9.9499999999999993" hidden="1" customHeight="1" x14ac:dyDescent="0.2"/>
    <row r="51056" ht="9.9499999999999993" hidden="1" customHeight="1" x14ac:dyDescent="0.2"/>
    <row r="51057" ht="9.9499999999999993" hidden="1" customHeight="1" x14ac:dyDescent="0.2"/>
    <row r="51058" ht="9.9499999999999993" hidden="1" customHeight="1" x14ac:dyDescent="0.2"/>
    <row r="51059" ht="9.9499999999999993" hidden="1" customHeight="1" x14ac:dyDescent="0.2"/>
    <row r="51060" ht="9.9499999999999993" hidden="1" customHeight="1" x14ac:dyDescent="0.2"/>
    <row r="51061" ht="9.9499999999999993" hidden="1" customHeight="1" x14ac:dyDescent="0.2"/>
    <row r="51062" ht="9.9499999999999993" hidden="1" customHeight="1" x14ac:dyDescent="0.2"/>
    <row r="51063" ht="9.9499999999999993" hidden="1" customHeight="1" x14ac:dyDescent="0.2"/>
    <row r="51064" ht="9.9499999999999993" hidden="1" customHeight="1" x14ac:dyDescent="0.2"/>
    <row r="51065" ht="9.9499999999999993" hidden="1" customHeight="1" x14ac:dyDescent="0.2"/>
    <row r="51066" ht="9.9499999999999993" hidden="1" customHeight="1" x14ac:dyDescent="0.2"/>
    <row r="51067" ht="9.9499999999999993" hidden="1" customHeight="1" x14ac:dyDescent="0.2"/>
    <row r="51068" ht="9.9499999999999993" hidden="1" customHeight="1" x14ac:dyDescent="0.2"/>
    <row r="51069" ht="9.9499999999999993" hidden="1" customHeight="1" x14ac:dyDescent="0.2"/>
    <row r="51070" ht="9.9499999999999993" hidden="1" customHeight="1" x14ac:dyDescent="0.2"/>
    <row r="51071" ht="9.9499999999999993" hidden="1" customHeight="1" x14ac:dyDescent="0.2"/>
    <row r="51072" ht="9.9499999999999993" hidden="1" customHeight="1" x14ac:dyDescent="0.2"/>
    <row r="51073" ht="9.9499999999999993" hidden="1" customHeight="1" x14ac:dyDescent="0.2"/>
    <row r="51074" ht="9.9499999999999993" hidden="1" customHeight="1" x14ac:dyDescent="0.2"/>
    <row r="51075" ht="9.9499999999999993" hidden="1" customHeight="1" x14ac:dyDescent="0.2"/>
    <row r="51076" ht="9.9499999999999993" hidden="1" customHeight="1" x14ac:dyDescent="0.2"/>
    <row r="51077" ht="9.9499999999999993" hidden="1" customHeight="1" x14ac:dyDescent="0.2"/>
    <row r="51078" ht="9.9499999999999993" hidden="1" customHeight="1" x14ac:dyDescent="0.2"/>
    <row r="51079" ht="9.9499999999999993" hidden="1" customHeight="1" x14ac:dyDescent="0.2"/>
    <row r="51080" ht="9.9499999999999993" hidden="1" customHeight="1" x14ac:dyDescent="0.2"/>
    <row r="51081" ht="9.9499999999999993" hidden="1" customHeight="1" x14ac:dyDescent="0.2"/>
    <row r="51082" ht="9.9499999999999993" hidden="1" customHeight="1" x14ac:dyDescent="0.2"/>
    <row r="51083" ht="9.9499999999999993" hidden="1" customHeight="1" x14ac:dyDescent="0.2"/>
    <row r="51084" ht="9.9499999999999993" hidden="1" customHeight="1" x14ac:dyDescent="0.2"/>
    <row r="51085" ht="9.9499999999999993" hidden="1" customHeight="1" x14ac:dyDescent="0.2"/>
    <row r="51086" ht="9.9499999999999993" hidden="1" customHeight="1" x14ac:dyDescent="0.2"/>
    <row r="51087" ht="9.9499999999999993" hidden="1" customHeight="1" x14ac:dyDescent="0.2"/>
    <row r="51088" ht="9.9499999999999993" hidden="1" customHeight="1" x14ac:dyDescent="0.2"/>
    <row r="51089" ht="9.9499999999999993" hidden="1" customHeight="1" x14ac:dyDescent="0.2"/>
    <row r="51090" ht="9.9499999999999993" hidden="1" customHeight="1" x14ac:dyDescent="0.2"/>
    <row r="51091" ht="9.9499999999999993" hidden="1" customHeight="1" x14ac:dyDescent="0.2"/>
    <row r="51092" ht="9.9499999999999993" hidden="1" customHeight="1" x14ac:dyDescent="0.2"/>
    <row r="51093" ht="9.9499999999999993" hidden="1" customHeight="1" x14ac:dyDescent="0.2"/>
    <row r="51094" ht="9.9499999999999993" hidden="1" customHeight="1" x14ac:dyDescent="0.2"/>
    <row r="51095" ht="9.9499999999999993" hidden="1" customHeight="1" x14ac:dyDescent="0.2"/>
    <row r="51096" ht="9.9499999999999993" hidden="1" customHeight="1" x14ac:dyDescent="0.2"/>
    <row r="51097" ht="9.9499999999999993" hidden="1" customHeight="1" x14ac:dyDescent="0.2"/>
    <row r="51098" ht="9.9499999999999993" hidden="1" customHeight="1" x14ac:dyDescent="0.2"/>
    <row r="51099" ht="9.9499999999999993" hidden="1" customHeight="1" x14ac:dyDescent="0.2"/>
    <row r="51100" ht="9.9499999999999993" hidden="1" customHeight="1" x14ac:dyDescent="0.2"/>
    <row r="51101" ht="9.9499999999999993" hidden="1" customHeight="1" x14ac:dyDescent="0.2"/>
    <row r="51102" ht="9.9499999999999993" hidden="1" customHeight="1" x14ac:dyDescent="0.2"/>
    <row r="51103" ht="9.9499999999999993" hidden="1" customHeight="1" x14ac:dyDescent="0.2"/>
    <row r="51104" ht="9.9499999999999993" hidden="1" customHeight="1" x14ac:dyDescent="0.2"/>
    <row r="51105" ht="9.9499999999999993" hidden="1" customHeight="1" x14ac:dyDescent="0.2"/>
    <row r="51106" ht="9.9499999999999993" hidden="1" customHeight="1" x14ac:dyDescent="0.2"/>
    <row r="51107" ht="9.9499999999999993" hidden="1" customHeight="1" x14ac:dyDescent="0.2"/>
    <row r="51108" ht="9.9499999999999993" hidden="1" customHeight="1" x14ac:dyDescent="0.2"/>
    <row r="51109" ht="9.9499999999999993" hidden="1" customHeight="1" x14ac:dyDescent="0.2"/>
    <row r="51110" ht="9.9499999999999993" hidden="1" customHeight="1" x14ac:dyDescent="0.2"/>
    <row r="51111" ht="9.9499999999999993" hidden="1" customHeight="1" x14ac:dyDescent="0.2"/>
    <row r="51112" ht="9.9499999999999993" hidden="1" customHeight="1" x14ac:dyDescent="0.2"/>
    <row r="51113" ht="9.9499999999999993" hidden="1" customHeight="1" x14ac:dyDescent="0.2"/>
    <row r="51114" ht="9.9499999999999993" hidden="1" customHeight="1" x14ac:dyDescent="0.2"/>
    <row r="51115" ht="9.9499999999999993" hidden="1" customHeight="1" x14ac:dyDescent="0.2"/>
    <row r="51116" ht="9.9499999999999993" hidden="1" customHeight="1" x14ac:dyDescent="0.2"/>
    <row r="51117" ht="9.9499999999999993" hidden="1" customHeight="1" x14ac:dyDescent="0.2"/>
    <row r="51118" ht="9.9499999999999993" hidden="1" customHeight="1" x14ac:dyDescent="0.2"/>
    <row r="51119" ht="9.9499999999999993" hidden="1" customHeight="1" x14ac:dyDescent="0.2"/>
    <row r="51120" ht="9.9499999999999993" hidden="1" customHeight="1" x14ac:dyDescent="0.2"/>
    <row r="51121" ht="9.9499999999999993" hidden="1" customHeight="1" x14ac:dyDescent="0.2"/>
    <row r="51122" ht="9.9499999999999993" hidden="1" customHeight="1" x14ac:dyDescent="0.2"/>
    <row r="51123" ht="9.9499999999999993" hidden="1" customHeight="1" x14ac:dyDescent="0.2"/>
    <row r="51124" ht="9.9499999999999993" hidden="1" customHeight="1" x14ac:dyDescent="0.2"/>
    <row r="51125" ht="9.9499999999999993" hidden="1" customHeight="1" x14ac:dyDescent="0.2"/>
    <row r="51126" ht="9.9499999999999993" hidden="1" customHeight="1" x14ac:dyDescent="0.2"/>
    <row r="51127" ht="9.9499999999999993" hidden="1" customHeight="1" x14ac:dyDescent="0.2"/>
    <row r="51128" ht="9.9499999999999993" hidden="1" customHeight="1" x14ac:dyDescent="0.2"/>
    <row r="51129" ht="9.9499999999999993" hidden="1" customHeight="1" x14ac:dyDescent="0.2"/>
    <row r="51130" ht="9.9499999999999993" hidden="1" customHeight="1" x14ac:dyDescent="0.2"/>
    <row r="51131" ht="9.9499999999999993" hidden="1" customHeight="1" x14ac:dyDescent="0.2"/>
    <row r="51132" ht="9.9499999999999993" hidden="1" customHeight="1" x14ac:dyDescent="0.2"/>
    <row r="51133" ht="9.9499999999999993" hidden="1" customHeight="1" x14ac:dyDescent="0.2"/>
    <row r="51134" ht="9.9499999999999993" hidden="1" customHeight="1" x14ac:dyDescent="0.2"/>
    <row r="51135" ht="9.9499999999999993" hidden="1" customHeight="1" x14ac:dyDescent="0.2"/>
    <row r="51136" ht="9.9499999999999993" hidden="1" customHeight="1" x14ac:dyDescent="0.2"/>
    <row r="51137" ht="9.9499999999999993" hidden="1" customHeight="1" x14ac:dyDescent="0.2"/>
    <row r="51138" ht="9.9499999999999993" hidden="1" customHeight="1" x14ac:dyDescent="0.2"/>
    <row r="51139" ht="9.9499999999999993" hidden="1" customHeight="1" x14ac:dyDescent="0.2"/>
    <row r="51140" ht="9.9499999999999993" hidden="1" customHeight="1" x14ac:dyDescent="0.2"/>
    <row r="51141" ht="9.9499999999999993" hidden="1" customHeight="1" x14ac:dyDescent="0.2"/>
    <row r="51142" ht="9.9499999999999993" hidden="1" customHeight="1" x14ac:dyDescent="0.2"/>
    <row r="51143" ht="9.9499999999999993" hidden="1" customHeight="1" x14ac:dyDescent="0.2"/>
    <row r="51144" ht="9.9499999999999993" hidden="1" customHeight="1" x14ac:dyDescent="0.2"/>
    <row r="51145" ht="9.9499999999999993" hidden="1" customHeight="1" x14ac:dyDescent="0.2"/>
    <row r="51146" ht="9.9499999999999993" hidden="1" customHeight="1" x14ac:dyDescent="0.2"/>
    <row r="51147" ht="9.9499999999999993" hidden="1" customHeight="1" x14ac:dyDescent="0.2"/>
    <row r="51148" ht="9.9499999999999993" hidden="1" customHeight="1" x14ac:dyDescent="0.2"/>
    <row r="51149" ht="9.9499999999999993" hidden="1" customHeight="1" x14ac:dyDescent="0.2"/>
    <row r="51150" ht="9.9499999999999993" hidden="1" customHeight="1" x14ac:dyDescent="0.2"/>
    <row r="51151" ht="9.9499999999999993" hidden="1" customHeight="1" x14ac:dyDescent="0.2"/>
    <row r="51152" ht="9.9499999999999993" hidden="1" customHeight="1" x14ac:dyDescent="0.2"/>
    <row r="51153" ht="9.9499999999999993" hidden="1" customHeight="1" x14ac:dyDescent="0.2"/>
    <row r="51154" ht="9.9499999999999993" hidden="1" customHeight="1" x14ac:dyDescent="0.2"/>
    <row r="51155" ht="9.9499999999999993" hidden="1" customHeight="1" x14ac:dyDescent="0.2"/>
    <row r="51156" ht="9.9499999999999993" hidden="1" customHeight="1" x14ac:dyDescent="0.2"/>
    <row r="51157" ht="9.9499999999999993" hidden="1" customHeight="1" x14ac:dyDescent="0.2"/>
    <row r="51158" ht="9.9499999999999993" hidden="1" customHeight="1" x14ac:dyDescent="0.2"/>
    <row r="51159" ht="9.9499999999999993" hidden="1" customHeight="1" x14ac:dyDescent="0.2"/>
    <row r="51160" ht="9.9499999999999993" hidden="1" customHeight="1" x14ac:dyDescent="0.2"/>
    <row r="51161" ht="9.9499999999999993" hidden="1" customHeight="1" x14ac:dyDescent="0.2"/>
    <row r="51162" ht="9.9499999999999993" hidden="1" customHeight="1" x14ac:dyDescent="0.2"/>
    <row r="51163" ht="9.9499999999999993" hidden="1" customHeight="1" x14ac:dyDescent="0.2"/>
    <row r="51164" ht="9.9499999999999993" hidden="1" customHeight="1" x14ac:dyDescent="0.2"/>
    <row r="51165" ht="9.9499999999999993" hidden="1" customHeight="1" x14ac:dyDescent="0.2"/>
    <row r="51166" ht="9.9499999999999993" hidden="1" customHeight="1" x14ac:dyDescent="0.2"/>
    <row r="51167" ht="9.9499999999999993" hidden="1" customHeight="1" x14ac:dyDescent="0.2"/>
    <row r="51168" ht="9.9499999999999993" hidden="1" customHeight="1" x14ac:dyDescent="0.2"/>
    <row r="51169" ht="9.9499999999999993" hidden="1" customHeight="1" x14ac:dyDescent="0.2"/>
    <row r="51170" ht="9.9499999999999993" hidden="1" customHeight="1" x14ac:dyDescent="0.2"/>
    <row r="51171" ht="9.9499999999999993" hidden="1" customHeight="1" x14ac:dyDescent="0.2"/>
    <row r="51172" ht="9.9499999999999993" hidden="1" customHeight="1" x14ac:dyDescent="0.2"/>
    <row r="51173" ht="9.9499999999999993" hidden="1" customHeight="1" x14ac:dyDescent="0.2"/>
    <row r="51174" ht="9.9499999999999993" hidden="1" customHeight="1" x14ac:dyDescent="0.2"/>
    <row r="51175" ht="9.9499999999999993" hidden="1" customHeight="1" x14ac:dyDescent="0.2"/>
    <row r="51176" ht="9.9499999999999993" hidden="1" customHeight="1" x14ac:dyDescent="0.2"/>
    <row r="51177" ht="9.9499999999999993" hidden="1" customHeight="1" x14ac:dyDescent="0.2"/>
    <row r="51178" ht="9.9499999999999993" hidden="1" customHeight="1" x14ac:dyDescent="0.2"/>
    <row r="51179" ht="9.9499999999999993" hidden="1" customHeight="1" x14ac:dyDescent="0.2"/>
    <row r="51180" ht="9.9499999999999993" hidden="1" customHeight="1" x14ac:dyDescent="0.2"/>
    <row r="51181" ht="9.9499999999999993" hidden="1" customHeight="1" x14ac:dyDescent="0.2"/>
    <row r="51182" ht="9.9499999999999993" hidden="1" customHeight="1" x14ac:dyDescent="0.2"/>
    <row r="51183" ht="9.9499999999999993" hidden="1" customHeight="1" x14ac:dyDescent="0.2"/>
    <row r="51184" ht="9.9499999999999993" hidden="1" customHeight="1" x14ac:dyDescent="0.2"/>
    <row r="51185" ht="9.9499999999999993" hidden="1" customHeight="1" x14ac:dyDescent="0.2"/>
    <row r="51186" ht="9.9499999999999993" hidden="1" customHeight="1" x14ac:dyDescent="0.2"/>
    <row r="51187" ht="9.9499999999999993" hidden="1" customHeight="1" x14ac:dyDescent="0.2"/>
    <row r="51188" ht="9.9499999999999993" hidden="1" customHeight="1" x14ac:dyDescent="0.2"/>
    <row r="51189" ht="9.9499999999999993" hidden="1" customHeight="1" x14ac:dyDescent="0.2"/>
    <row r="51190" ht="9.9499999999999993" hidden="1" customHeight="1" x14ac:dyDescent="0.2"/>
    <row r="51191" ht="9.9499999999999993" hidden="1" customHeight="1" x14ac:dyDescent="0.2"/>
    <row r="51192" ht="9.9499999999999993" hidden="1" customHeight="1" x14ac:dyDescent="0.2"/>
    <row r="51193" ht="9.9499999999999993" hidden="1" customHeight="1" x14ac:dyDescent="0.2"/>
    <row r="51194" ht="9.9499999999999993" hidden="1" customHeight="1" x14ac:dyDescent="0.2"/>
    <row r="51195" ht="9.9499999999999993" hidden="1" customHeight="1" x14ac:dyDescent="0.2"/>
    <row r="51196" ht="9.9499999999999993" hidden="1" customHeight="1" x14ac:dyDescent="0.2"/>
    <row r="51197" ht="9.9499999999999993" hidden="1" customHeight="1" x14ac:dyDescent="0.2"/>
    <row r="51198" ht="9.9499999999999993" hidden="1" customHeight="1" x14ac:dyDescent="0.2"/>
    <row r="51199" ht="9.9499999999999993" hidden="1" customHeight="1" x14ac:dyDescent="0.2"/>
    <row r="51200" ht="9.9499999999999993" hidden="1" customHeight="1" x14ac:dyDescent="0.2"/>
    <row r="51201" ht="9.9499999999999993" hidden="1" customHeight="1" x14ac:dyDescent="0.2"/>
    <row r="51202" ht="9.9499999999999993" hidden="1" customHeight="1" x14ac:dyDescent="0.2"/>
    <row r="51203" ht="9.9499999999999993" hidden="1" customHeight="1" x14ac:dyDescent="0.2"/>
    <row r="51204" ht="9.9499999999999993" hidden="1" customHeight="1" x14ac:dyDescent="0.2"/>
    <row r="51205" ht="9.9499999999999993" hidden="1" customHeight="1" x14ac:dyDescent="0.2"/>
    <row r="51206" ht="9.9499999999999993" hidden="1" customHeight="1" x14ac:dyDescent="0.2"/>
    <row r="51207" ht="9.9499999999999993" hidden="1" customHeight="1" x14ac:dyDescent="0.2"/>
    <row r="51208" ht="9.9499999999999993" hidden="1" customHeight="1" x14ac:dyDescent="0.2"/>
    <row r="51209" ht="9.9499999999999993" hidden="1" customHeight="1" x14ac:dyDescent="0.2"/>
    <row r="51210" ht="9.9499999999999993" hidden="1" customHeight="1" x14ac:dyDescent="0.2"/>
    <row r="51211" ht="9.9499999999999993" hidden="1" customHeight="1" x14ac:dyDescent="0.2"/>
    <row r="51212" ht="9.9499999999999993" hidden="1" customHeight="1" x14ac:dyDescent="0.2"/>
    <row r="51213" ht="9.9499999999999993" hidden="1" customHeight="1" x14ac:dyDescent="0.2"/>
    <row r="51214" ht="9.9499999999999993" hidden="1" customHeight="1" x14ac:dyDescent="0.2"/>
    <row r="51215" ht="9.9499999999999993" hidden="1" customHeight="1" x14ac:dyDescent="0.2"/>
    <row r="51216" ht="9.9499999999999993" hidden="1" customHeight="1" x14ac:dyDescent="0.2"/>
    <row r="51217" ht="9.9499999999999993" hidden="1" customHeight="1" x14ac:dyDescent="0.2"/>
    <row r="51218" ht="9.9499999999999993" hidden="1" customHeight="1" x14ac:dyDescent="0.2"/>
    <row r="51219" ht="9.9499999999999993" hidden="1" customHeight="1" x14ac:dyDescent="0.2"/>
    <row r="51220" ht="9.9499999999999993" hidden="1" customHeight="1" x14ac:dyDescent="0.2"/>
    <row r="51221" ht="9.9499999999999993" hidden="1" customHeight="1" x14ac:dyDescent="0.2"/>
    <row r="51222" ht="9.9499999999999993" hidden="1" customHeight="1" x14ac:dyDescent="0.2"/>
    <row r="51223" ht="9.9499999999999993" hidden="1" customHeight="1" x14ac:dyDescent="0.2"/>
    <row r="51224" ht="9.9499999999999993" hidden="1" customHeight="1" x14ac:dyDescent="0.2"/>
    <row r="51225" ht="9.9499999999999993" hidden="1" customHeight="1" x14ac:dyDescent="0.2"/>
    <row r="51226" ht="9.9499999999999993" hidden="1" customHeight="1" x14ac:dyDescent="0.2"/>
    <row r="51227" ht="9.9499999999999993" hidden="1" customHeight="1" x14ac:dyDescent="0.2"/>
    <row r="51228" ht="9.9499999999999993" hidden="1" customHeight="1" x14ac:dyDescent="0.2"/>
    <row r="51229" ht="9.9499999999999993" hidden="1" customHeight="1" x14ac:dyDescent="0.2"/>
    <row r="51230" ht="9.9499999999999993" hidden="1" customHeight="1" x14ac:dyDescent="0.2"/>
    <row r="51231" ht="9.9499999999999993" hidden="1" customHeight="1" x14ac:dyDescent="0.2"/>
    <row r="51232" ht="9.9499999999999993" hidden="1" customHeight="1" x14ac:dyDescent="0.2"/>
    <row r="51233" ht="9.9499999999999993" hidden="1" customHeight="1" x14ac:dyDescent="0.2"/>
    <row r="51234" ht="9.9499999999999993" hidden="1" customHeight="1" x14ac:dyDescent="0.2"/>
    <row r="51235" ht="9.9499999999999993" hidden="1" customHeight="1" x14ac:dyDescent="0.2"/>
    <row r="51236" ht="9.9499999999999993" hidden="1" customHeight="1" x14ac:dyDescent="0.2"/>
    <row r="51237" ht="9.9499999999999993" hidden="1" customHeight="1" x14ac:dyDescent="0.2"/>
    <row r="51238" ht="9.9499999999999993" hidden="1" customHeight="1" x14ac:dyDescent="0.2"/>
    <row r="51239" ht="9.9499999999999993" hidden="1" customHeight="1" x14ac:dyDescent="0.2"/>
    <row r="51240" ht="9.9499999999999993" hidden="1" customHeight="1" x14ac:dyDescent="0.2"/>
    <row r="51241" ht="9.9499999999999993" hidden="1" customHeight="1" x14ac:dyDescent="0.2"/>
    <row r="51242" ht="9.9499999999999993" hidden="1" customHeight="1" x14ac:dyDescent="0.2"/>
    <row r="51243" ht="9.9499999999999993" hidden="1" customHeight="1" x14ac:dyDescent="0.2"/>
    <row r="51244" ht="9.9499999999999993" hidden="1" customHeight="1" x14ac:dyDescent="0.2"/>
    <row r="51245" ht="9.9499999999999993" hidden="1" customHeight="1" x14ac:dyDescent="0.2"/>
    <row r="51246" ht="9.9499999999999993" hidden="1" customHeight="1" x14ac:dyDescent="0.2"/>
    <row r="51247" ht="9.9499999999999993" hidden="1" customHeight="1" x14ac:dyDescent="0.2"/>
    <row r="51248" ht="9.9499999999999993" hidden="1" customHeight="1" x14ac:dyDescent="0.2"/>
    <row r="51249" ht="9.9499999999999993" hidden="1" customHeight="1" x14ac:dyDescent="0.2"/>
    <row r="51250" ht="9.9499999999999993" hidden="1" customHeight="1" x14ac:dyDescent="0.2"/>
    <row r="51251" ht="9.9499999999999993" hidden="1" customHeight="1" x14ac:dyDescent="0.2"/>
    <row r="51252" ht="9.9499999999999993" hidden="1" customHeight="1" x14ac:dyDescent="0.2"/>
    <row r="51253" ht="9.9499999999999993" hidden="1" customHeight="1" x14ac:dyDescent="0.2"/>
    <row r="51254" ht="9.9499999999999993" hidden="1" customHeight="1" x14ac:dyDescent="0.2"/>
    <row r="51255" ht="9.9499999999999993" hidden="1" customHeight="1" x14ac:dyDescent="0.2"/>
    <row r="51256" ht="9.9499999999999993" hidden="1" customHeight="1" x14ac:dyDescent="0.2"/>
    <row r="51257" ht="9.9499999999999993" hidden="1" customHeight="1" x14ac:dyDescent="0.2"/>
    <row r="51258" ht="9.9499999999999993" hidden="1" customHeight="1" x14ac:dyDescent="0.2"/>
    <row r="51259" ht="9.9499999999999993" hidden="1" customHeight="1" x14ac:dyDescent="0.2"/>
    <row r="51260" ht="9.9499999999999993" hidden="1" customHeight="1" x14ac:dyDescent="0.2"/>
    <row r="51261" ht="9.9499999999999993" hidden="1" customHeight="1" x14ac:dyDescent="0.2"/>
    <row r="51262" ht="9.9499999999999993" hidden="1" customHeight="1" x14ac:dyDescent="0.2"/>
    <row r="51263" ht="9.9499999999999993" hidden="1" customHeight="1" x14ac:dyDescent="0.2"/>
    <row r="51264" ht="9.9499999999999993" hidden="1" customHeight="1" x14ac:dyDescent="0.2"/>
    <row r="51265" ht="9.9499999999999993" hidden="1" customHeight="1" x14ac:dyDescent="0.2"/>
    <row r="51266" ht="9.9499999999999993" hidden="1" customHeight="1" x14ac:dyDescent="0.2"/>
    <row r="51267" ht="9.9499999999999993" hidden="1" customHeight="1" x14ac:dyDescent="0.2"/>
    <row r="51268" ht="9.9499999999999993" hidden="1" customHeight="1" x14ac:dyDescent="0.2"/>
    <row r="51269" ht="9.9499999999999993" hidden="1" customHeight="1" x14ac:dyDescent="0.2"/>
    <row r="51270" ht="9.9499999999999993" hidden="1" customHeight="1" x14ac:dyDescent="0.2"/>
    <row r="51271" ht="9.9499999999999993" hidden="1" customHeight="1" x14ac:dyDescent="0.2"/>
    <row r="51272" ht="9.9499999999999993" hidden="1" customHeight="1" x14ac:dyDescent="0.2"/>
    <row r="51273" ht="9.9499999999999993" hidden="1" customHeight="1" x14ac:dyDescent="0.2"/>
    <row r="51274" ht="9.9499999999999993" hidden="1" customHeight="1" x14ac:dyDescent="0.2"/>
    <row r="51275" ht="9.9499999999999993" hidden="1" customHeight="1" x14ac:dyDescent="0.2"/>
    <row r="51276" ht="9.9499999999999993" hidden="1" customHeight="1" x14ac:dyDescent="0.2"/>
    <row r="51277" ht="9.9499999999999993" hidden="1" customHeight="1" x14ac:dyDescent="0.2"/>
    <row r="51278" ht="9.9499999999999993" hidden="1" customHeight="1" x14ac:dyDescent="0.2"/>
    <row r="51279" ht="9.9499999999999993" hidden="1" customHeight="1" x14ac:dyDescent="0.2"/>
    <row r="51280" ht="9.9499999999999993" hidden="1" customHeight="1" x14ac:dyDescent="0.2"/>
    <row r="51281" ht="9.9499999999999993" hidden="1" customHeight="1" x14ac:dyDescent="0.2"/>
    <row r="51282" ht="9.9499999999999993" hidden="1" customHeight="1" x14ac:dyDescent="0.2"/>
    <row r="51283" ht="9.9499999999999993" hidden="1" customHeight="1" x14ac:dyDescent="0.2"/>
    <row r="51284" ht="9.9499999999999993" hidden="1" customHeight="1" x14ac:dyDescent="0.2"/>
    <row r="51285" ht="9.9499999999999993" hidden="1" customHeight="1" x14ac:dyDescent="0.2"/>
    <row r="51286" ht="9.9499999999999993" hidden="1" customHeight="1" x14ac:dyDescent="0.2"/>
    <row r="51287" ht="9.9499999999999993" hidden="1" customHeight="1" x14ac:dyDescent="0.2"/>
    <row r="51288" ht="9.9499999999999993" hidden="1" customHeight="1" x14ac:dyDescent="0.2"/>
    <row r="51289" ht="9.9499999999999993" hidden="1" customHeight="1" x14ac:dyDescent="0.2"/>
    <row r="51290" ht="9.9499999999999993" hidden="1" customHeight="1" x14ac:dyDescent="0.2"/>
    <row r="51291" ht="9.9499999999999993" hidden="1" customHeight="1" x14ac:dyDescent="0.2"/>
    <row r="51292" ht="9.9499999999999993" hidden="1" customHeight="1" x14ac:dyDescent="0.2"/>
    <row r="51293" ht="9.9499999999999993" hidden="1" customHeight="1" x14ac:dyDescent="0.2"/>
    <row r="51294" ht="9.9499999999999993" hidden="1" customHeight="1" x14ac:dyDescent="0.2"/>
    <row r="51295" ht="9.9499999999999993" hidden="1" customHeight="1" x14ac:dyDescent="0.2"/>
    <row r="51296" ht="9.9499999999999993" hidden="1" customHeight="1" x14ac:dyDescent="0.2"/>
    <row r="51297" ht="9.9499999999999993" hidden="1" customHeight="1" x14ac:dyDescent="0.2"/>
    <row r="51298" ht="9.9499999999999993" hidden="1" customHeight="1" x14ac:dyDescent="0.2"/>
    <row r="51299" ht="9.9499999999999993" hidden="1" customHeight="1" x14ac:dyDescent="0.2"/>
    <row r="51300" ht="9.9499999999999993" hidden="1" customHeight="1" x14ac:dyDescent="0.2"/>
    <row r="51301" ht="9.9499999999999993" hidden="1" customHeight="1" x14ac:dyDescent="0.2"/>
    <row r="51302" ht="9.9499999999999993" hidden="1" customHeight="1" x14ac:dyDescent="0.2"/>
    <row r="51303" ht="9.9499999999999993" hidden="1" customHeight="1" x14ac:dyDescent="0.2"/>
    <row r="51304" ht="9.9499999999999993" hidden="1" customHeight="1" x14ac:dyDescent="0.2"/>
    <row r="51305" ht="9.9499999999999993" hidden="1" customHeight="1" x14ac:dyDescent="0.2"/>
    <row r="51306" ht="9.9499999999999993" hidden="1" customHeight="1" x14ac:dyDescent="0.2"/>
    <row r="51307" ht="9.9499999999999993" hidden="1" customHeight="1" x14ac:dyDescent="0.2"/>
    <row r="51308" ht="9.9499999999999993" hidden="1" customHeight="1" x14ac:dyDescent="0.2"/>
    <row r="51309" ht="9.9499999999999993" hidden="1" customHeight="1" x14ac:dyDescent="0.2"/>
    <row r="51310" ht="9.9499999999999993" hidden="1" customHeight="1" x14ac:dyDescent="0.2"/>
    <row r="51311" ht="9.9499999999999993" hidden="1" customHeight="1" x14ac:dyDescent="0.2"/>
    <row r="51312" ht="9.9499999999999993" hidden="1" customHeight="1" x14ac:dyDescent="0.2"/>
    <row r="51313" ht="9.9499999999999993" hidden="1" customHeight="1" x14ac:dyDescent="0.2"/>
    <row r="51314" ht="9.9499999999999993" hidden="1" customHeight="1" x14ac:dyDescent="0.2"/>
    <row r="51315" ht="9.9499999999999993" hidden="1" customHeight="1" x14ac:dyDescent="0.2"/>
    <row r="51316" ht="9.9499999999999993" hidden="1" customHeight="1" x14ac:dyDescent="0.2"/>
    <row r="51317" ht="9.9499999999999993" hidden="1" customHeight="1" x14ac:dyDescent="0.2"/>
    <row r="51318" ht="9.9499999999999993" hidden="1" customHeight="1" x14ac:dyDescent="0.2"/>
    <row r="51319" ht="9.9499999999999993" hidden="1" customHeight="1" x14ac:dyDescent="0.2"/>
    <row r="51320" ht="9.9499999999999993" hidden="1" customHeight="1" x14ac:dyDescent="0.2"/>
    <row r="51321" ht="9.9499999999999993" hidden="1" customHeight="1" x14ac:dyDescent="0.2"/>
    <row r="51322" ht="9.9499999999999993" hidden="1" customHeight="1" x14ac:dyDescent="0.2"/>
    <row r="51323" ht="9.9499999999999993" hidden="1" customHeight="1" x14ac:dyDescent="0.2"/>
    <row r="51324" ht="9.9499999999999993" hidden="1" customHeight="1" x14ac:dyDescent="0.2"/>
    <row r="51325" ht="9.9499999999999993" hidden="1" customHeight="1" x14ac:dyDescent="0.2"/>
    <row r="51326" ht="9.9499999999999993" hidden="1" customHeight="1" x14ac:dyDescent="0.2"/>
    <row r="51327" ht="9.9499999999999993" hidden="1" customHeight="1" x14ac:dyDescent="0.2"/>
    <row r="51328" ht="9.9499999999999993" hidden="1" customHeight="1" x14ac:dyDescent="0.2"/>
    <row r="51329" ht="9.9499999999999993" hidden="1" customHeight="1" x14ac:dyDescent="0.2"/>
    <row r="51330" ht="9.9499999999999993" hidden="1" customHeight="1" x14ac:dyDescent="0.2"/>
    <row r="51331" ht="9.9499999999999993" hidden="1" customHeight="1" x14ac:dyDescent="0.2"/>
    <row r="51332" ht="9.9499999999999993" hidden="1" customHeight="1" x14ac:dyDescent="0.2"/>
    <row r="51333" ht="9.9499999999999993" hidden="1" customHeight="1" x14ac:dyDescent="0.2"/>
    <row r="51334" ht="9.9499999999999993" hidden="1" customHeight="1" x14ac:dyDescent="0.2"/>
    <row r="51335" ht="9.9499999999999993" hidden="1" customHeight="1" x14ac:dyDescent="0.2"/>
    <row r="51336" ht="9.9499999999999993" hidden="1" customHeight="1" x14ac:dyDescent="0.2"/>
    <row r="51337" ht="9.9499999999999993" hidden="1" customHeight="1" x14ac:dyDescent="0.2"/>
    <row r="51338" ht="9.9499999999999993" hidden="1" customHeight="1" x14ac:dyDescent="0.2"/>
    <row r="51339" ht="9.9499999999999993" hidden="1" customHeight="1" x14ac:dyDescent="0.2"/>
    <row r="51340" ht="9.9499999999999993" hidden="1" customHeight="1" x14ac:dyDescent="0.2"/>
    <row r="51341" ht="9.9499999999999993" hidden="1" customHeight="1" x14ac:dyDescent="0.2"/>
    <row r="51342" ht="9.9499999999999993" hidden="1" customHeight="1" x14ac:dyDescent="0.2"/>
    <row r="51343" ht="9.9499999999999993" hidden="1" customHeight="1" x14ac:dyDescent="0.2"/>
    <row r="51344" ht="9.9499999999999993" hidden="1" customHeight="1" x14ac:dyDescent="0.2"/>
    <row r="51345" ht="9.9499999999999993" hidden="1" customHeight="1" x14ac:dyDescent="0.2"/>
    <row r="51346" ht="9.9499999999999993" hidden="1" customHeight="1" x14ac:dyDescent="0.2"/>
    <row r="51347" ht="9.9499999999999993" hidden="1" customHeight="1" x14ac:dyDescent="0.2"/>
    <row r="51348" ht="9.9499999999999993" hidden="1" customHeight="1" x14ac:dyDescent="0.2"/>
    <row r="51349" ht="9.9499999999999993" hidden="1" customHeight="1" x14ac:dyDescent="0.2"/>
    <row r="51350" ht="9.9499999999999993" hidden="1" customHeight="1" x14ac:dyDescent="0.2"/>
    <row r="51351" ht="9.9499999999999993" hidden="1" customHeight="1" x14ac:dyDescent="0.2"/>
    <row r="51352" ht="9.9499999999999993" hidden="1" customHeight="1" x14ac:dyDescent="0.2"/>
    <row r="51353" ht="9.9499999999999993" hidden="1" customHeight="1" x14ac:dyDescent="0.2"/>
    <row r="51354" ht="9.9499999999999993" hidden="1" customHeight="1" x14ac:dyDescent="0.2"/>
    <row r="51355" ht="9.9499999999999993" hidden="1" customHeight="1" x14ac:dyDescent="0.2"/>
    <row r="51356" ht="9.9499999999999993" hidden="1" customHeight="1" x14ac:dyDescent="0.2"/>
    <row r="51357" ht="9.9499999999999993" hidden="1" customHeight="1" x14ac:dyDescent="0.2"/>
    <row r="51358" ht="9.9499999999999993" hidden="1" customHeight="1" x14ac:dyDescent="0.2"/>
    <row r="51359" ht="9.9499999999999993" hidden="1" customHeight="1" x14ac:dyDescent="0.2"/>
    <row r="51360" ht="9.9499999999999993" hidden="1" customHeight="1" x14ac:dyDescent="0.2"/>
    <row r="51361" ht="9.9499999999999993" hidden="1" customHeight="1" x14ac:dyDescent="0.2"/>
    <row r="51362" ht="9.9499999999999993" hidden="1" customHeight="1" x14ac:dyDescent="0.2"/>
    <row r="51363" ht="9.9499999999999993" hidden="1" customHeight="1" x14ac:dyDescent="0.2"/>
    <row r="51364" ht="9.9499999999999993" hidden="1" customHeight="1" x14ac:dyDescent="0.2"/>
    <row r="51365" ht="9.9499999999999993" hidden="1" customHeight="1" x14ac:dyDescent="0.2"/>
    <row r="51366" ht="9.9499999999999993" hidden="1" customHeight="1" x14ac:dyDescent="0.2"/>
    <row r="51367" ht="9.9499999999999993" hidden="1" customHeight="1" x14ac:dyDescent="0.2"/>
    <row r="51368" ht="9.9499999999999993" hidden="1" customHeight="1" x14ac:dyDescent="0.2"/>
    <row r="51369" ht="9.9499999999999993" hidden="1" customHeight="1" x14ac:dyDescent="0.2"/>
    <row r="51370" ht="9.9499999999999993" hidden="1" customHeight="1" x14ac:dyDescent="0.2"/>
    <row r="51371" ht="9.9499999999999993" hidden="1" customHeight="1" x14ac:dyDescent="0.2"/>
    <row r="51372" ht="9.9499999999999993" hidden="1" customHeight="1" x14ac:dyDescent="0.2"/>
    <row r="51373" ht="9.9499999999999993" hidden="1" customHeight="1" x14ac:dyDescent="0.2"/>
    <row r="51374" ht="9.9499999999999993" hidden="1" customHeight="1" x14ac:dyDescent="0.2"/>
    <row r="51375" ht="9.9499999999999993" hidden="1" customHeight="1" x14ac:dyDescent="0.2"/>
    <row r="51376" ht="9.9499999999999993" hidden="1" customHeight="1" x14ac:dyDescent="0.2"/>
    <row r="51377" ht="9.9499999999999993" hidden="1" customHeight="1" x14ac:dyDescent="0.2"/>
    <row r="51378" ht="9.9499999999999993" hidden="1" customHeight="1" x14ac:dyDescent="0.2"/>
    <row r="51379" ht="9.9499999999999993" hidden="1" customHeight="1" x14ac:dyDescent="0.2"/>
    <row r="51380" ht="9.9499999999999993" hidden="1" customHeight="1" x14ac:dyDescent="0.2"/>
    <row r="51381" ht="9.9499999999999993" hidden="1" customHeight="1" x14ac:dyDescent="0.2"/>
    <row r="51382" ht="9.9499999999999993" hidden="1" customHeight="1" x14ac:dyDescent="0.2"/>
    <row r="51383" ht="9.9499999999999993" hidden="1" customHeight="1" x14ac:dyDescent="0.2"/>
    <row r="51384" ht="9.9499999999999993" hidden="1" customHeight="1" x14ac:dyDescent="0.2"/>
    <row r="51385" ht="9.9499999999999993" hidden="1" customHeight="1" x14ac:dyDescent="0.2"/>
    <row r="51386" ht="9.9499999999999993" hidden="1" customHeight="1" x14ac:dyDescent="0.2"/>
    <row r="51387" ht="9.9499999999999993" hidden="1" customHeight="1" x14ac:dyDescent="0.2"/>
    <row r="51388" ht="9.9499999999999993" hidden="1" customHeight="1" x14ac:dyDescent="0.2"/>
    <row r="51389" ht="9.9499999999999993" hidden="1" customHeight="1" x14ac:dyDescent="0.2"/>
    <row r="51390" ht="9.9499999999999993" hidden="1" customHeight="1" x14ac:dyDescent="0.2"/>
    <row r="51391" ht="9.9499999999999993" hidden="1" customHeight="1" x14ac:dyDescent="0.2"/>
    <row r="51392" ht="9.9499999999999993" hidden="1" customHeight="1" x14ac:dyDescent="0.2"/>
    <row r="51393" ht="9.9499999999999993" hidden="1" customHeight="1" x14ac:dyDescent="0.2"/>
    <row r="51394" ht="9.9499999999999993" hidden="1" customHeight="1" x14ac:dyDescent="0.2"/>
    <row r="51395" ht="9.9499999999999993" hidden="1" customHeight="1" x14ac:dyDescent="0.2"/>
    <row r="51396" ht="9.9499999999999993" hidden="1" customHeight="1" x14ac:dyDescent="0.2"/>
    <row r="51397" ht="9.9499999999999993" hidden="1" customHeight="1" x14ac:dyDescent="0.2"/>
    <row r="51398" ht="9.9499999999999993" hidden="1" customHeight="1" x14ac:dyDescent="0.2"/>
    <row r="51399" ht="9.9499999999999993" hidden="1" customHeight="1" x14ac:dyDescent="0.2"/>
    <row r="51400" ht="9.9499999999999993" hidden="1" customHeight="1" x14ac:dyDescent="0.2"/>
    <row r="51401" ht="9.9499999999999993" hidden="1" customHeight="1" x14ac:dyDescent="0.2"/>
    <row r="51402" ht="9.9499999999999993" hidden="1" customHeight="1" x14ac:dyDescent="0.2"/>
    <row r="51403" ht="9.9499999999999993" hidden="1" customHeight="1" x14ac:dyDescent="0.2"/>
    <row r="51404" ht="9.9499999999999993" hidden="1" customHeight="1" x14ac:dyDescent="0.2"/>
    <row r="51405" ht="9.9499999999999993" hidden="1" customHeight="1" x14ac:dyDescent="0.2"/>
    <row r="51406" ht="9.9499999999999993" hidden="1" customHeight="1" x14ac:dyDescent="0.2"/>
    <row r="51407" ht="9.9499999999999993" hidden="1" customHeight="1" x14ac:dyDescent="0.2"/>
    <row r="51408" ht="9.9499999999999993" hidden="1" customHeight="1" x14ac:dyDescent="0.2"/>
    <row r="51409" ht="9.9499999999999993" hidden="1" customHeight="1" x14ac:dyDescent="0.2"/>
    <row r="51410" ht="9.9499999999999993" hidden="1" customHeight="1" x14ac:dyDescent="0.2"/>
    <row r="51411" ht="9.9499999999999993" hidden="1" customHeight="1" x14ac:dyDescent="0.2"/>
    <row r="51412" ht="9.9499999999999993" hidden="1" customHeight="1" x14ac:dyDescent="0.2"/>
    <row r="51413" ht="9.9499999999999993" hidden="1" customHeight="1" x14ac:dyDescent="0.2"/>
    <row r="51414" ht="9.9499999999999993" hidden="1" customHeight="1" x14ac:dyDescent="0.2"/>
    <row r="51415" ht="9.9499999999999993" hidden="1" customHeight="1" x14ac:dyDescent="0.2"/>
    <row r="51416" ht="9.9499999999999993" hidden="1" customHeight="1" x14ac:dyDescent="0.2"/>
    <row r="51417" ht="9.9499999999999993" hidden="1" customHeight="1" x14ac:dyDescent="0.2"/>
    <row r="51418" ht="9.9499999999999993" hidden="1" customHeight="1" x14ac:dyDescent="0.2"/>
    <row r="51419" ht="9.9499999999999993" hidden="1" customHeight="1" x14ac:dyDescent="0.2"/>
    <row r="51420" ht="9.9499999999999993" hidden="1" customHeight="1" x14ac:dyDescent="0.2"/>
    <row r="51421" ht="9.9499999999999993" hidden="1" customHeight="1" x14ac:dyDescent="0.2"/>
    <row r="51422" ht="9.9499999999999993" hidden="1" customHeight="1" x14ac:dyDescent="0.2"/>
    <row r="51423" ht="9.9499999999999993" hidden="1" customHeight="1" x14ac:dyDescent="0.2"/>
    <row r="51424" ht="9.9499999999999993" hidden="1" customHeight="1" x14ac:dyDescent="0.2"/>
    <row r="51425" ht="9.9499999999999993" hidden="1" customHeight="1" x14ac:dyDescent="0.2"/>
    <row r="51426" ht="9.9499999999999993" hidden="1" customHeight="1" x14ac:dyDescent="0.2"/>
    <row r="51427" ht="9.9499999999999993" hidden="1" customHeight="1" x14ac:dyDescent="0.2"/>
    <row r="51428" ht="9.9499999999999993" hidden="1" customHeight="1" x14ac:dyDescent="0.2"/>
    <row r="51429" ht="9.9499999999999993" hidden="1" customHeight="1" x14ac:dyDescent="0.2"/>
    <row r="51430" ht="9.9499999999999993" hidden="1" customHeight="1" x14ac:dyDescent="0.2"/>
    <row r="51431" ht="9.9499999999999993" hidden="1" customHeight="1" x14ac:dyDescent="0.2"/>
    <row r="51432" ht="9.9499999999999993" hidden="1" customHeight="1" x14ac:dyDescent="0.2"/>
    <row r="51433" ht="9.9499999999999993" hidden="1" customHeight="1" x14ac:dyDescent="0.2"/>
    <row r="51434" ht="9.9499999999999993" hidden="1" customHeight="1" x14ac:dyDescent="0.2"/>
    <row r="51435" ht="9.9499999999999993" hidden="1" customHeight="1" x14ac:dyDescent="0.2"/>
    <row r="51436" ht="9.9499999999999993" hidden="1" customHeight="1" x14ac:dyDescent="0.2"/>
    <row r="51437" ht="9.9499999999999993" hidden="1" customHeight="1" x14ac:dyDescent="0.2"/>
    <row r="51438" ht="9.9499999999999993" hidden="1" customHeight="1" x14ac:dyDescent="0.2"/>
    <row r="51439" ht="9.9499999999999993" hidden="1" customHeight="1" x14ac:dyDescent="0.2"/>
    <row r="51440" ht="9.9499999999999993" hidden="1" customHeight="1" x14ac:dyDescent="0.2"/>
    <row r="51441" ht="9.9499999999999993" hidden="1" customHeight="1" x14ac:dyDescent="0.2"/>
    <row r="51442" ht="9.9499999999999993" hidden="1" customHeight="1" x14ac:dyDescent="0.2"/>
    <row r="51443" ht="9.9499999999999993" hidden="1" customHeight="1" x14ac:dyDescent="0.2"/>
    <row r="51444" ht="9.9499999999999993" hidden="1" customHeight="1" x14ac:dyDescent="0.2"/>
    <row r="51445" ht="9.9499999999999993" hidden="1" customHeight="1" x14ac:dyDescent="0.2"/>
    <row r="51446" ht="9.9499999999999993" hidden="1" customHeight="1" x14ac:dyDescent="0.2"/>
    <row r="51447" ht="9.9499999999999993" hidden="1" customHeight="1" x14ac:dyDescent="0.2"/>
    <row r="51448" ht="9.9499999999999993" hidden="1" customHeight="1" x14ac:dyDescent="0.2"/>
    <row r="51449" ht="9.9499999999999993" hidden="1" customHeight="1" x14ac:dyDescent="0.2"/>
    <row r="51450" ht="9.9499999999999993" hidden="1" customHeight="1" x14ac:dyDescent="0.2"/>
    <row r="51451" ht="9.9499999999999993" hidden="1" customHeight="1" x14ac:dyDescent="0.2"/>
    <row r="51452" ht="9.9499999999999993" hidden="1" customHeight="1" x14ac:dyDescent="0.2"/>
    <row r="51453" ht="9.9499999999999993" hidden="1" customHeight="1" x14ac:dyDescent="0.2"/>
    <row r="51454" ht="9.9499999999999993" hidden="1" customHeight="1" x14ac:dyDescent="0.2"/>
    <row r="51455" ht="9.9499999999999993" hidden="1" customHeight="1" x14ac:dyDescent="0.2"/>
    <row r="51456" ht="9.9499999999999993" hidden="1" customHeight="1" x14ac:dyDescent="0.2"/>
    <row r="51457" ht="9.9499999999999993" hidden="1" customHeight="1" x14ac:dyDescent="0.2"/>
    <row r="51458" ht="9.9499999999999993" hidden="1" customHeight="1" x14ac:dyDescent="0.2"/>
    <row r="51459" ht="9.9499999999999993" hidden="1" customHeight="1" x14ac:dyDescent="0.2"/>
    <row r="51460" ht="9.9499999999999993" hidden="1" customHeight="1" x14ac:dyDescent="0.2"/>
    <row r="51461" ht="9.9499999999999993" hidden="1" customHeight="1" x14ac:dyDescent="0.2"/>
    <row r="51462" ht="9.9499999999999993" hidden="1" customHeight="1" x14ac:dyDescent="0.2"/>
    <row r="51463" ht="9.9499999999999993" hidden="1" customHeight="1" x14ac:dyDescent="0.2"/>
    <row r="51464" ht="9.9499999999999993" hidden="1" customHeight="1" x14ac:dyDescent="0.2"/>
    <row r="51465" ht="9.9499999999999993" hidden="1" customHeight="1" x14ac:dyDescent="0.2"/>
    <row r="51466" ht="9.9499999999999993" hidden="1" customHeight="1" x14ac:dyDescent="0.2"/>
    <row r="51467" ht="9.9499999999999993" hidden="1" customHeight="1" x14ac:dyDescent="0.2"/>
    <row r="51468" ht="9.9499999999999993" hidden="1" customHeight="1" x14ac:dyDescent="0.2"/>
    <row r="51469" ht="9.9499999999999993" hidden="1" customHeight="1" x14ac:dyDescent="0.2"/>
    <row r="51470" ht="9.9499999999999993" hidden="1" customHeight="1" x14ac:dyDescent="0.2"/>
    <row r="51471" ht="9.9499999999999993" hidden="1" customHeight="1" x14ac:dyDescent="0.2"/>
    <row r="51472" ht="9.9499999999999993" hidden="1" customHeight="1" x14ac:dyDescent="0.2"/>
    <row r="51473" ht="9.9499999999999993" hidden="1" customHeight="1" x14ac:dyDescent="0.2"/>
    <row r="51474" ht="9.9499999999999993" hidden="1" customHeight="1" x14ac:dyDescent="0.2"/>
    <row r="51475" ht="9.9499999999999993" hidden="1" customHeight="1" x14ac:dyDescent="0.2"/>
    <row r="51476" ht="9.9499999999999993" hidden="1" customHeight="1" x14ac:dyDescent="0.2"/>
    <row r="51477" ht="9.9499999999999993" hidden="1" customHeight="1" x14ac:dyDescent="0.2"/>
    <row r="51478" ht="9.9499999999999993" hidden="1" customHeight="1" x14ac:dyDescent="0.2"/>
    <row r="51479" ht="9.9499999999999993" hidden="1" customHeight="1" x14ac:dyDescent="0.2"/>
    <row r="51480" ht="9.9499999999999993" hidden="1" customHeight="1" x14ac:dyDescent="0.2"/>
    <row r="51481" ht="9.9499999999999993" hidden="1" customHeight="1" x14ac:dyDescent="0.2"/>
    <row r="51482" ht="9.9499999999999993" hidden="1" customHeight="1" x14ac:dyDescent="0.2"/>
    <row r="51483" ht="9.9499999999999993" hidden="1" customHeight="1" x14ac:dyDescent="0.2"/>
    <row r="51484" ht="9.9499999999999993" hidden="1" customHeight="1" x14ac:dyDescent="0.2"/>
    <row r="51485" ht="9.9499999999999993" hidden="1" customHeight="1" x14ac:dyDescent="0.2"/>
    <row r="51486" ht="9.9499999999999993" hidden="1" customHeight="1" x14ac:dyDescent="0.2"/>
    <row r="51487" ht="9.9499999999999993" hidden="1" customHeight="1" x14ac:dyDescent="0.2"/>
    <row r="51488" ht="9.9499999999999993" hidden="1" customHeight="1" x14ac:dyDescent="0.2"/>
    <row r="51489" ht="9.9499999999999993" hidden="1" customHeight="1" x14ac:dyDescent="0.2"/>
    <row r="51490" ht="9.9499999999999993" hidden="1" customHeight="1" x14ac:dyDescent="0.2"/>
    <row r="51491" ht="9.9499999999999993" hidden="1" customHeight="1" x14ac:dyDescent="0.2"/>
    <row r="51492" ht="9.9499999999999993" hidden="1" customHeight="1" x14ac:dyDescent="0.2"/>
    <row r="51493" ht="9.9499999999999993" hidden="1" customHeight="1" x14ac:dyDescent="0.2"/>
    <row r="51494" ht="9.9499999999999993" hidden="1" customHeight="1" x14ac:dyDescent="0.2"/>
    <row r="51495" ht="9.9499999999999993" hidden="1" customHeight="1" x14ac:dyDescent="0.2"/>
    <row r="51496" ht="9.9499999999999993" hidden="1" customHeight="1" x14ac:dyDescent="0.2"/>
    <row r="51497" ht="9.9499999999999993" hidden="1" customHeight="1" x14ac:dyDescent="0.2"/>
    <row r="51498" ht="9.9499999999999993" hidden="1" customHeight="1" x14ac:dyDescent="0.2"/>
    <row r="51499" ht="9.9499999999999993" hidden="1" customHeight="1" x14ac:dyDescent="0.2"/>
    <row r="51500" ht="9.9499999999999993" hidden="1" customHeight="1" x14ac:dyDescent="0.2"/>
    <row r="51501" ht="9.9499999999999993" hidden="1" customHeight="1" x14ac:dyDescent="0.2"/>
    <row r="51502" ht="9.9499999999999993" hidden="1" customHeight="1" x14ac:dyDescent="0.2"/>
    <row r="51503" ht="9.9499999999999993" hidden="1" customHeight="1" x14ac:dyDescent="0.2"/>
    <row r="51504" ht="9.9499999999999993" hidden="1" customHeight="1" x14ac:dyDescent="0.2"/>
    <row r="51505" ht="9.9499999999999993" hidden="1" customHeight="1" x14ac:dyDescent="0.2"/>
    <row r="51506" ht="9.9499999999999993" hidden="1" customHeight="1" x14ac:dyDescent="0.2"/>
    <row r="51507" ht="9.9499999999999993" hidden="1" customHeight="1" x14ac:dyDescent="0.2"/>
    <row r="51508" ht="9.9499999999999993" hidden="1" customHeight="1" x14ac:dyDescent="0.2"/>
    <row r="51509" ht="9.9499999999999993" hidden="1" customHeight="1" x14ac:dyDescent="0.2"/>
    <row r="51510" ht="9.9499999999999993" hidden="1" customHeight="1" x14ac:dyDescent="0.2"/>
    <row r="51511" ht="9.9499999999999993" hidden="1" customHeight="1" x14ac:dyDescent="0.2"/>
    <row r="51512" ht="9.9499999999999993" hidden="1" customHeight="1" x14ac:dyDescent="0.2"/>
    <row r="51513" ht="9.9499999999999993" hidden="1" customHeight="1" x14ac:dyDescent="0.2"/>
    <row r="51514" ht="9.9499999999999993" hidden="1" customHeight="1" x14ac:dyDescent="0.2"/>
    <row r="51515" ht="9.9499999999999993" hidden="1" customHeight="1" x14ac:dyDescent="0.2"/>
    <row r="51516" ht="9.9499999999999993" hidden="1" customHeight="1" x14ac:dyDescent="0.2"/>
    <row r="51517" ht="9.9499999999999993" hidden="1" customHeight="1" x14ac:dyDescent="0.2"/>
    <row r="51518" ht="9.9499999999999993" hidden="1" customHeight="1" x14ac:dyDescent="0.2"/>
    <row r="51519" ht="9.9499999999999993" hidden="1" customHeight="1" x14ac:dyDescent="0.2"/>
    <row r="51520" ht="9.9499999999999993" hidden="1" customHeight="1" x14ac:dyDescent="0.2"/>
    <row r="51521" ht="9.9499999999999993" hidden="1" customHeight="1" x14ac:dyDescent="0.2"/>
    <row r="51522" ht="9.9499999999999993" hidden="1" customHeight="1" x14ac:dyDescent="0.2"/>
    <row r="51523" ht="9.9499999999999993" hidden="1" customHeight="1" x14ac:dyDescent="0.2"/>
    <row r="51524" ht="9.9499999999999993" hidden="1" customHeight="1" x14ac:dyDescent="0.2"/>
    <row r="51525" ht="9.9499999999999993" hidden="1" customHeight="1" x14ac:dyDescent="0.2"/>
    <row r="51526" ht="9.9499999999999993" hidden="1" customHeight="1" x14ac:dyDescent="0.2"/>
    <row r="51527" ht="9.9499999999999993" hidden="1" customHeight="1" x14ac:dyDescent="0.2"/>
    <row r="51528" ht="9.9499999999999993" hidden="1" customHeight="1" x14ac:dyDescent="0.2"/>
    <row r="51529" ht="9.9499999999999993" hidden="1" customHeight="1" x14ac:dyDescent="0.2"/>
    <row r="51530" ht="9.9499999999999993" hidden="1" customHeight="1" x14ac:dyDescent="0.2"/>
    <row r="51531" ht="9.9499999999999993" hidden="1" customHeight="1" x14ac:dyDescent="0.2"/>
    <row r="51532" ht="9.9499999999999993" hidden="1" customHeight="1" x14ac:dyDescent="0.2"/>
    <row r="51533" ht="9.9499999999999993" hidden="1" customHeight="1" x14ac:dyDescent="0.2"/>
    <row r="51534" ht="9.9499999999999993" hidden="1" customHeight="1" x14ac:dyDescent="0.2"/>
    <row r="51535" ht="9.9499999999999993" hidden="1" customHeight="1" x14ac:dyDescent="0.2"/>
    <row r="51536" ht="9.9499999999999993" hidden="1" customHeight="1" x14ac:dyDescent="0.2"/>
    <row r="51537" ht="9.9499999999999993" hidden="1" customHeight="1" x14ac:dyDescent="0.2"/>
    <row r="51538" ht="9.9499999999999993" hidden="1" customHeight="1" x14ac:dyDescent="0.2"/>
    <row r="51539" ht="9.9499999999999993" hidden="1" customHeight="1" x14ac:dyDescent="0.2"/>
    <row r="51540" ht="9.9499999999999993" hidden="1" customHeight="1" x14ac:dyDescent="0.2"/>
    <row r="51541" ht="9.9499999999999993" hidden="1" customHeight="1" x14ac:dyDescent="0.2"/>
    <row r="51542" ht="9.9499999999999993" hidden="1" customHeight="1" x14ac:dyDescent="0.2"/>
    <row r="51543" ht="9.9499999999999993" hidden="1" customHeight="1" x14ac:dyDescent="0.2"/>
    <row r="51544" ht="9.9499999999999993" hidden="1" customHeight="1" x14ac:dyDescent="0.2"/>
    <row r="51545" ht="9.9499999999999993" hidden="1" customHeight="1" x14ac:dyDescent="0.2"/>
    <row r="51546" ht="9.9499999999999993" hidden="1" customHeight="1" x14ac:dyDescent="0.2"/>
    <row r="51547" ht="9.9499999999999993" hidden="1" customHeight="1" x14ac:dyDescent="0.2"/>
    <row r="51548" ht="9.9499999999999993" hidden="1" customHeight="1" x14ac:dyDescent="0.2"/>
    <row r="51549" ht="9.9499999999999993" hidden="1" customHeight="1" x14ac:dyDescent="0.2"/>
    <row r="51550" ht="9.9499999999999993" hidden="1" customHeight="1" x14ac:dyDescent="0.2"/>
    <row r="51551" ht="9.9499999999999993" hidden="1" customHeight="1" x14ac:dyDescent="0.2"/>
    <row r="51552" ht="9.9499999999999993" hidden="1" customHeight="1" x14ac:dyDescent="0.2"/>
    <row r="51553" ht="9.9499999999999993" hidden="1" customHeight="1" x14ac:dyDescent="0.2"/>
    <row r="51554" ht="9.9499999999999993" hidden="1" customHeight="1" x14ac:dyDescent="0.2"/>
    <row r="51555" ht="9.9499999999999993" hidden="1" customHeight="1" x14ac:dyDescent="0.2"/>
    <row r="51556" ht="9.9499999999999993" hidden="1" customHeight="1" x14ac:dyDescent="0.2"/>
    <row r="51557" ht="9.9499999999999993" hidden="1" customHeight="1" x14ac:dyDescent="0.2"/>
    <row r="51558" ht="9.9499999999999993" hidden="1" customHeight="1" x14ac:dyDescent="0.2"/>
    <row r="51559" ht="9.9499999999999993" hidden="1" customHeight="1" x14ac:dyDescent="0.2"/>
    <row r="51560" ht="9.9499999999999993" hidden="1" customHeight="1" x14ac:dyDescent="0.2"/>
    <row r="51561" ht="9.9499999999999993" hidden="1" customHeight="1" x14ac:dyDescent="0.2"/>
    <row r="51562" ht="9.9499999999999993" hidden="1" customHeight="1" x14ac:dyDescent="0.2"/>
    <row r="51563" ht="9.9499999999999993" hidden="1" customHeight="1" x14ac:dyDescent="0.2"/>
    <row r="51564" ht="9.9499999999999993" hidden="1" customHeight="1" x14ac:dyDescent="0.2"/>
    <row r="51565" ht="9.9499999999999993" hidden="1" customHeight="1" x14ac:dyDescent="0.2"/>
    <row r="51566" ht="9.9499999999999993" hidden="1" customHeight="1" x14ac:dyDescent="0.2"/>
    <row r="51567" ht="9.9499999999999993" hidden="1" customHeight="1" x14ac:dyDescent="0.2"/>
    <row r="51568" ht="9.9499999999999993" hidden="1" customHeight="1" x14ac:dyDescent="0.2"/>
    <row r="51569" ht="9.9499999999999993" hidden="1" customHeight="1" x14ac:dyDescent="0.2"/>
    <row r="51570" ht="9.9499999999999993" hidden="1" customHeight="1" x14ac:dyDescent="0.2"/>
    <row r="51571" ht="9.9499999999999993" hidden="1" customHeight="1" x14ac:dyDescent="0.2"/>
    <row r="51572" ht="9.9499999999999993" hidden="1" customHeight="1" x14ac:dyDescent="0.2"/>
    <row r="51573" ht="9.9499999999999993" hidden="1" customHeight="1" x14ac:dyDescent="0.2"/>
    <row r="51574" ht="9.9499999999999993" hidden="1" customHeight="1" x14ac:dyDescent="0.2"/>
    <row r="51575" ht="9.9499999999999993" hidden="1" customHeight="1" x14ac:dyDescent="0.2"/>
    <row r="51576" ht="9.9499999999999993" hidden="1" customHeight="1" x14ac:dyDescent="0.2"/>
    <row r="51577" ht="9.9499999999999993" hidden="1" customHeight="1" x14ac:dyDescent="0.2"/>
    <row r="51578" ht="9.9499999999999993" hidden="1" customHeight="1" x14ac:dyDescent="0.2"/>
    <row r="51579" ht="9.9499999999999993" hidden="1" customHeight="1" x14ac:dyDescent="0.2"/>
    <row r="51580" ht="9.9499999999999993" hidden="1" customHeight="1" x14ac:dyDescent="0.2"/>
    <row r="51581" ht="9.9499999999999993" hidden="1" customHeight="1" x14ac:dyDescent="0.2"/>
    <row r="51582" ht="9.9499999999999993" hidden="1" customHeight="1" x14ac:dyDescent="0.2"/>
    <row r="51583" ht="9.9499999999999993" hidden="1" customHeight="1" x14ac:dyDescent="0.2"/>
    <row r="51584" ht="9.9499999999999993" hidden="1" customHeight="1" x14ac:dyDescent="0.2"/>
    <row r="51585" ht="9.9499999999999993" hidden="1" customHeight="1" x14ac:dyDescent="0.2"/>
    <row r="51586" ht="9.9499999999999993" hidden="1" customHeight="1" x14ac:dyDescent="0.2"/>
    <row r="51587" ht="9.9499999999999993" hidden="1" customHeight="1" x14ac:dyDescent="0.2"/>
    <row r="51588" ht="9.9499999999999993" hidden="1" customHeight="1" x14ac:dyDescent="0.2"/>
    <row r="51589" ht="9.9499999999999993" hidden="1" customHeight="1" x14ac:dyDescent="0.2"/>
    <row r="51590" ht="9.9499999999999993" hidden="1" customHeight="1" x14ac:dyDescent="0.2"/>
    <row r="51591" ht="9.9499999999999993" hidden="1" customHeight="1" x14ac:dyDescent="0.2"/>
    <row r="51592" ht="9.9499999999999993" hidden="1" customHeight="1" x14ac:dyDescent="0.2"/>
    <row r="51593" ht="9.9499999999999993" hidden="1" customHeight="1" x14ac:dyDescent="0.2"/>
    <row r="51594" ht="9.9499999999999993" hidden="1" customHeight="1" x14ac:dyDescent="0.2"/>
    <row r="51595" ht="9.9499999999999993" hidden="1" customHeight="1" x14ac:dyDescent="0.2"/>
    <row r="51596" ht="9.9499999999999993" hidden="1" customHeight="1" x14ac:dyDescent="0.2"/>
    <row r="51597" ht="9.9499999999999993" hidden="1" customHeight="1" x14ac:dyDescent="0.2"/>
    <row r="51598" ht="9.9499999999999993" hidden="1" customHeight="1" x14ac:dyDescent="0.2"/>
    <row r="51599" ht="9.9499999999999993" hidden="1" customHeight="1" x14ac:dyDescent="0.2"/>
    <row r="51600" ht="9.9499999999999993" hidden="1" customHeight="1" x14ac:dyDescent="0.2"/>
    <row r="51601" ht="9.9499999999999993" hidden="1" customHeight="1" x14ac:dyDescent="0.2"/>
    <row r="51602" ht="9.9499999999999993" hidden="1" customHeight="1" x14ac:dyDescent="0.2"/>
    <row r="51603" ht="9.9499999999999993" hidden="1" customHeight="1" x14ac:dyDescent="0.2"/>
    <row r="51604" ht="9.9499999999999993" hidden="1" customHeight="1" x14ac:dyDescent="0.2"/>
    <row r="51605" ht="9.9499999999999993" hidden="1" customHeight="1" x14ac:dyDescent="0.2"/>
    <row r="51606" ht="9.9499999999999993" hidden="1" customHeight="1" x14ac:dyDescent="0.2"/>
    <row r="51607" ht="9.9499999999999993" hidden="1" customHeight="1" x14ac:dyDescent="0.2"/>
    <row r="51608" ht="9.9499999999999993" hidden="1" customHeight="1" x14ac:dyDescent="0.2"/>
    <row r="51609" ht="9.9499999999999993" hidden="1" customHeight="1" x14ac:dyDescent="0.2"/>
    <row r="51610" ht="9.9499999999999993" hidden="1" customHeight="1" x14ac:dyDescent="0.2"/>
    <row r="51611" ht="9.9499999999999993" hidden="1" customHeight="1" x14ac:dyDescent="0.2"/>
    <row r="51612" ht="9.9499999999999993" hidden="1" customHeight="1" x14ac:dyDescent="0.2"/>
    <row r="51613" ht="9.9499999999999993" hidden="1" customHeight="1" x14ac:dyDescent="0.2"/>
    <row r="51614" ht="9.9499999999999993" hidden="1" customHeight="1" x14ac:dyDescent="0.2"/>
    <row r="51615" ht="9.9499999999999993" hidden="1" customHeight="1" x14ac:dyDescent="0.2"/>
    <row r="51616" ht="9.9499999999999993" hidden="1" customHeight="1" x14ac:dyDescent="0.2"/>
    <row r="51617" ht="9.9499999999999993" hidden="1" customHeight="1" x14ac:dyDescent="0.2"/>
    <row r="51618" ht="9.9499999999999993" hidden="1" customHeight="1" x14ac:dyDescent="0.2"/>
    <row r="51619" ht="9.9499999999999993" hidden="1" customHeight="1" x14ac:dyDescent="0.2"/>
    <row r="51620" ht="9.9499999999999993" hidden="1" customHeight="1" x14ac:dyDescent="0.2"/>
    <row r="51621" ht="9.9499999999999993" hidden="1" customHeight="1" x14ac:dyDescent="0.2"/>
    <row r="51622" ht="9.9499999999999993" hidden="1" customHeight="1" x14ac:dyDescent="0.2"/>
    <row r="51623" ht="9.9499999999999993" hidden="1" customHeight="1" x14ac:dyDescent="0.2"/>
    <row r="51624" ht="9.9499999999999993" hidden="1" customHeight="1" x14ac:dyDescent="0.2"/>
    <row r="51625" ht="9.9499999999999993" hidden="1" customHeight="1" x14ac:dyDescent="0.2"/>
    <row r="51626" ht="9.9499999999999993" hidden="1" customHeight="1" x14ac:dyDescent="0.2"/>
    <row r="51627" ht="9.9499999999999993" hidden="1" customHeight="1" x14ac:dyDescent="0.2"/>
    <row r="51628" ht="9.9499999999999993" hidden="1" customHeight="1" x14ac:dyDescent="0.2"/>
    <row r="51629" ht="9.9499999999999993" hidden="1" customHeight="1" x14ac:dyDescent="0.2"/>
    <row r="51630" ht="9.9499999999999993" hidden="1" customHeight="1" x14ac:dyDescent="0.2"/>
    <row r="51631" ht="9.9499999999999993" hidden="1" customHeight="1" x14ac:dyDescent="0.2"/>
    <row r="51632" ht="9.9499999999999993" hidden="1" customHeight="1" x14ac:dyDescent="0.2"/>
    <row r="51633" ht="9.9499999999999993" hidden="1" customHeight="1" x14ac:dyDescent="0.2"/>
    <row r="51634" ht="9.9499999999999993" hidden="1" customHeight="1" x14ac:dyDescent="0.2"/>
    <row r="51635" ht="9.9499999999999993" hidden="1" customHeight="1" x14ac:dyDescent="0.2"/>
    <row r="51636" ht="9.9499999999999993" hidden="1" customHeight="1" x14ac:dyDescent="0.2"/>
    <row r="51637" ht="9.9499999999999993" hidden="1" customHeight="1" x14ac:dyDescent="0.2"/>
    <row r="51638" ht="9.9499999999999993" hidden="1" customHeight="1" x14ac:dyDescent="0.2"/>
    <row r="51639" ht="9.9499999999999993" hidden="1" customHeight="1" x14ac:dyDescent="0.2"/>
    <row r="51640" ht="9.9499999999999993" hidden="1" customHeight="1" x14ac:dyDescent="0.2"/>
    <row r="51641" ht="9.9499999999999993" hidden="1" customHeight="1" x14ac:dyDescent="0.2"/>
    <row r="51642" ht="9.9499999999999993" hidden="1" customHeight="1" x14ac:dyDescent="0.2"/>
    <row r="51643" ht="9.9499999999999993" hidden="1" customHeight="1" x14ac:dyDescent="0.2"/>
    <row r="51644" ht="9.9499999999999993" hidden="1" customHeight="1" x14ac:dyDescent="0.2"/>
    <row r="51645" ht="9.9499999999999993" hidden="1" customHeight="1" x14ac:dyDescent="0.2"/>
    <row r="51646" ht="9.9499999999999993" hidden="1" customHeight="1" x14ac:dyDescent="0.2"/>
    <row r="51647" ht="9.9499999999999993" hidden="1" customHeight="1" x14ac:dyDescent="0.2"/>
    <row r="51648" ht="9.9499999999999993" hidden="1" customHeight="1" x14ac:dyDescent="0.2"/>
    <row r="51649" ht="9.9499999999999993" hidden="1" customHeight="1" x14ac:dyDescent="0.2"/>
    <row r="51650" ht="9.9499999999999993" hidden="1" customHeight="1" x14ac:dyDescent="0.2"/>
    <row r="51651" ht="9.9499999999999993" hidden="1" customHeight="1" x14ac:dyDescent="0.2"/>
    <row r="51652" ht="9.9499999999999993" hidden="1" customHeight="1" x14ac:dyDescent="0.2"/>
    <row r="51653" ht="9.9499999999999993" hidden="1" customHeight="1" x14ac:dyDescent="0.2"/>
    <row r="51654" ht="9.9499999999999993" hidden="1" customHeight="1" x14ac:dyDescent="0.2"/>
    <row r="51655" ht="9.9499999999999993" hidden="1" customHeight="1" x14ac:dyDescent="0.2"/>
    <row r="51656" ht="9.9499999999999993" hidden="1" customHeight="1" x14ac:dyDescent="0.2"/>
    <row r="51657" ht="9.9499999999999993" hidden="1" customHeight="1" x14ac:dyDescent="0.2"/>
    <row r="51658" ht="9.9499999999999993" hidden="1" customHeight="1" x14ac:dyDescent="0.2"/>
    <row r="51659" ht="9.9499999999999993" hidden="1" customHeight="1" x14ac:dyDescent="0.2"/>
    <row r="51660" ht="9.9499999999999993" hidden="1" customHeight="1" x14ac:dyDescent="0.2"/>
    <row r="51661" ht="9.9499999999999993" hidden="1" customHeight="1" x14ac:dyDescent="0.2"/>
    <row r="51662" ht="9.9499999999999993" hidden="1" customHeight="1" x14ac:dyDescent="0.2"/>
    <row r="51663" ht="9.9499999999999993" hidden="1" customHeight="1" x14ac:dyDescent="0.2"/>
    <row r="51664" ht="9.9499999999999993" hidden="1" customHeight="1" x14ac:dyDescent="0.2"/>
    <row r="51665" ht="9.9499999999999993" hidden="1" customHeight="1" x14ac:dyDescent="0.2"/>
    <row r="51666" ht="9.9499999999999993" hidden="1" customHeight="1" x14ac:dyDescent="0.2"/>
    <row r="51667" ht="9.9499999999999993" hidden="1" customHeight="1" x14ac:dyDescent="0.2"/>
    <row r="51668" ht="9.9499999999999993" hidden="1" customHeight="1" x14ac:dyDescent="0.2"/>
    <row r="51669" ht="9.9499999999999993" hidden="1" customHeight="1" x14ac:dyDescent="0.2"/>
    <row r="51670" ht="9.9499999999999993" hidden="1" customHeight="1" x14ac:dyDescent="0.2"/>
    <row r="51671" ht="9.9499999999999993" hidden="1" customHeight="1" x14ac:dyDescent="0.2"/>
    <row r="51672" ht="9.9499999999999993" hidden="1" customHeight="1" x14ac:dyDescent="0.2"/>
    <row r="51673" ht="9.9499999999999993" hidden="1" customHeight="1" x14ac:dyDescent="0.2"/>
    <row r="51674" ht="9.9499999999999993" hidden="1" customHeight="1" x14ac:dyDescent="0.2"/>
    <row r="51675" ht="9.9499999999999993" hidden="1" customHeight="1" x14ac:dyDescent="0.2"/>
    <row r="51676" ht="9.9499999999999993" hidden="1" customHeight="1" x14ac:dyDescent="0.2"/>
    <row r="51677" ht="9.9499999999999993" hidden="1" customHeight="1" x14ac:dyDescent="0.2"/>
    <row r="51678" ht="9.9499999999999993" hidden="1" customHeight="1" x14ac:dyDescent="0.2"/>
    <row r="51679" ht="9.9499999999999993" hidden="1" customHeight="1" x14ac:dyDescent="0.2"/>
    <row r="51680" ht="9.9499999999999993" hidden="1" customHeight="1" x14ac:dyDescent="0.2"/>
    <row r="51681" ht="9.9499999999999993" hidden="1" customHeight="1" x14ac:dyDescent="0.2"/>
    <row r="51682" ht="9.9499999999999993" hidden="1" customHeight="1" x14ac:dyDescent="0.2"/>
    <row r="51683" ht="9.9499999999999993" hidden="1" customHeight="1" x14ac:dyDescent="0.2"/>
    <row r="51684" ht="9.9499999999999993" hidden="1" customHeight="1" x14ac:dyDescent="0.2"/>
    <row r="51685" ht="9.9499999999999993" hidden="1" customHeight="1" x14ac:dyDescent="0.2"/>
    <row r="51686" ht="9.9499999999999993" hidden="1" customHeight="1" x14ac:dyDescent="0.2"/>
    <row r="51687" ht="9.9499999999999993" hidden="1" customHeight="1" x14ac:dyDescent="0.2"/>
    <row r="51688" ht="9.9499999999999993" hidden="1" customHeight="1" x14ac:dyDescent="0.2"/>
    <row r="51689" ht="9.9499999999999993" hidden="1" customHeight="1" x14ac:dyDescent="0.2"/>
    <row r="51690" ht="9.9499999999999993" hidden="1" customHeight="1" x14ac:dyDescent="0.2"/>
    <row r="51691" ht="9.9499999999999993" hidden="1" customHeight="1" x14ac:dyDescent="0.2"/>
    <row r="51692" ht="9.9499999999999993" hidden="1" customHeight="1" x14ac:dyDescent="0.2"/>
    <row r="51693" ht="9.9499999999999993" hidden="1" customHeight="1" x14ac:dyDescent="0.2"/>
    <row r="51694" ht="9.9499999999999993" hidden="1" customHeight="1" x14ac:dyDescent="0.2"/>
    <row r="51695" ht="9.9499999999999993" hidden="1" customHeight="1" x14ac:dyDescent="0.2"/>
    <row r="51696" ht="9.9499999999999993" hidden="1" customHeight="1" x14ac:dyDescent="0.2"/>
    <row r="51697" ht="9.9499999999999993" hidden="1" customHeight="1" x14ac:dyDescent="0.2"/>
    <row r="51698" ht="9.9499999999999993" hidden="1" customHeight="1" x14ac:dyDescent="0.2"/>
    <row r="51699" ht="9.9499999999999993" hidden="1" customHeight="1" x14ac:dyDescent="0.2"/>
    <row r="51700" ht="9.9499999999999993" hidden="1" customHeight="1" x14ac:dyDescent="0.2"/>
    <row r="51701" ht="9.9499999999999993" hidden="1" customHeight="1" x14ac:dyDescent="0.2"/>
    <row r="51702" ht="9.9499999999999993" hidden="1" customHeight="1" x14ac:dyDescent="0.2"/>
    <row r="51703" ht="9.9499999999999993" hidden="1" customHeight="1" x14ac:dyDescent="0.2"/>
    <row r="51704" ht="9.9499999999999993" hidden="1" customHeight="1" x14ac:dyDescent="0.2"/>
    <row r="51705" ht="9.9499999999999993" hidden="1" customHeight="1" x14ac:dyDescent="0.2"/>
    <row r="51706" ht="9.9499999999999993" hidden="1" customHeight="1" x14ac:dyDescent="0.2"/>
    <row r="51707" ht="9.9499999999999993" hidden="1" customHeight="1" x14ac:dyDescent="0.2"/>
    <row r="51708" ht="9.9499999999999993" hidden="1" customHeight="1" x14ac:dyDescent="0.2"/>
    <row r="51709" ht="9.9499999999999993" hidden="1" customHeight="1" x14ac:dyDescent="0.2"/>
    <row r="51710" ht="9.9499999999999993" hidden="1" customHeight="1" x14ac:dyDescent="0.2"/>
    <row r="51711" ht="9.9499999999999993" hidden="1" customHeight="1" x14ac:dyDescent="0.2"/>
    <row r="51712" ht="9.9499999999999993" hidden="1" customHeight="1" x14ac:dyDescent="0.2"/>
    <row r="51713" ht="9.9499999999999993" hidden="1" customHeight="1" x14ac:dyDescent="0.2"/>
    <row r="51714" ht="9.9499999999999993" hidden="1" customHeight="1" x14ac:dyDescent="0.2"/>
    <row r="51715" ht="9.9499999999999993" hidden="1" customHeight="1" x14ac:dyDescent="0.2"/>
    <row r="51716" ht="9.9499999999999993" hidden="1" customHeight="1" x14ac:dyDescent="0.2"/>
    <row r="51717" ht="9.9499999999999993" hidden="1" customHeight="1" x14ac:dyDescent="0.2"/>
    <row r="51718" ht="9.9499999999999993" hidden="1" customHeight="1" x14ac:dyDescent="0.2"/>
    <row r="51719" ht="9.9499999999999993" hidden="1" customHeight="1" x14ac:dyDescent="0.2"/>
    <row r="51720" ht="9.9499999999999993" hidden="1" customHeight="1" x14ac:dyDescent="0.2"/>
    <row r="51721" ht="9.9499999999999993" hidden="1" customHeight="1" x14ac:dyDescent="0.2"/>
    <row r="51722" ht="9.9499999999999993" hidden="1" customHeight="1" x14ac:dyDescent="0.2"/>
    <row r="51723" ht="9.9499999999999993" hidden="1" customHeight="1" x14ac:dyDescent="0.2"/>
    <row r="51724" ht="9.9499999999999993" hidden="1" customHeight="1" x14ac:dyDescent="0.2"/>
    <row r="51725" ht="9.9499999999999993" hidden="1" customHeight="1" x14ac:dyDescent="0.2"/>
    <row r="51726" ht="9.9499999999999993" hidden="1" customHeight="1" x14ac:dyDescent="0.2"/>
    <row r="51727" ht="9.9499999999999993" hidden="1" customHeight="1" x14ac:dyDescent="0.2"/>
    <row r="51728" ht="9.9499999999999993" hidden="1" customHeight="1" x14ac:dyDescent="0.2"/>
    <row r="51729" ht="9.9499999999999993" hidden="1" customHeight="1" x14ac:dyDescent="0.2"/>
    <row r="51730" ht="9.9499999999999993" hidden="1" customHeight="1" x14ac:dyDescent="0.2"/>
    <row r="51731" ht="9.9499999999999993" hidden="1" customHeight="1" x14ac:dyDescent="0.2"/>
    <row r="51732" ht="9.9499999999999993" hidden="1" customHeight="1" x14ac:dyDescent="0.2"/>
    <row r="51733" ht="9.9499999999999993" hidden="1" customHeight="1" x14ac:dyDescent="0.2"/>
    <row r="51734" ht="9.9499999999999993" hidden="1" customHeight="1" x14ac:dyDescent="0.2"/>
    <row r="51735" ht="9.9499999999999993" hidden="1" customHeight="1" x14ac:dyDescent="0.2"/>
    <row r="51736" ht="9.9499999999999993" hidden="1" customHeight="1" x14ac:dyDescent="0.2"/>
    <row r="51737" ht="9.9499999999999993" hidden="1" customHeight="1" x14ac:dyDescent="0.2"/>
    <row r="51738" ht="9.9499999999999993" hidden="1" customHeight="1" x14ac:dyDescent="0.2"/>
    <row r="51739" ht="9.9499999999999993" hidden="1" customHeight="1" x14ac:dyDescent="0.2"/>
    <row r="51740" ht="9.9499999999999993" hidden="1" customHeight="1" x14ac:dyDescent="0.2"/>
    <row r="51741" ht="9.9499999999999993" hidden="1" customHeight="1" x14ac:dyDescent="0.2"/>
    <row r="51742" ht="9.9499999999999993" hidden="1" customHeight="1" x14ac:dyDescent="0.2"/>
    <row r="51743" ht="9.9499999999999993" hidden="1" customHeight="1" x14ac:dyDescent="0.2"/>
    <row r="51744" ht="9.9499999999999993" hidden="1" customHeight="1" x14ac:dyDescent="0.2"/>
    <row r="51745" ht="9.9499999999999993" hidden="1" customHeight="1" x14ac:dyDescent="0.2"/>
    <row r="51746" ht="9.9499999999999993" hidden="1" customHeight="1" x14ac:dyDescent="0.2"/>
    <row r="51747" ht="9.9499999999999993" hidden="1" customHeight="1" x14ac:dyDescent="0.2"/>
    <row r="51748" ht="9.9499999999999993" hidden="1" customHeight="1" x14ac:dyDescent="0.2"/>
    <row r="51749" ht="9.9499999999999993" hidden="1" customHeight="1" x14ac:dyDescent="0.2"/>
    <row r="51750" ht="9.9499999999999993" hidden="1" customHeight="1" x14ac:dyDescent="0.2"/>
    <row r="51751" ht="9.9499999999999993" hidden="1" customHeight="1" x14ac:dyDescent="0.2"/>
    <row r="51752" ht="9.9499999999999993" hidden="1" customHeight="1" x14ac:dyDescent="0.2"/>
    <row r="51753" ht="9.9499999999999993" hidden="1" customHeight="1" x14ac:dyDescent="0.2"/>
    <row r="51754" ht="9.9499999999999993" hidden="1" customHeight="1" x14ac:dyDescent="0.2"/>
    <row r="51755" ht="9.9499999999999993" hidden="1" customHeight="1" x14ac:dyDescent="0.2"/>
    <row r="51756" ht="9.9499999999999993" hidden="1" customHeight="1" x14ac:dyDescent="0.2"/>
    <row r="51757" ht="9.9499999999999993" hidden="1" customHeight="1" x14ac:dyDescent="0.2"/>
    <row r="51758" ht="9.9499999999999993" hidden="1" customHeight="1" x14ac:dyDescent="0.2"/>
    <row r="51759" ht="9.9499999999999993" hidden="1" customHeight="1" x14ac:dyDescent="0.2"/>
    <row r="51760" ht="9.9499999999999993" hidden="1" customHeight="1" x14ac:dyDescent="0.2"/>
    <row r="51761" ht="9.9499999999999993" hidden="1" customHeight="1" x14ac:dyDescent="0.2"/>
    <row r="51762" ht="9.9499999999999993" hidden="1" customHeight="1" x14ac:dyDescent="0.2"/>
    <row r="51763" ht="9.9499999999999993" hidden="1" customHeight="1" x14ac:dyDescent="0.2"/>
    <row r="51764" ht="9.9499999999999993" hidden="1" customHeight="1" x14ac:dyDescent="0.2"/>
    <row r="51765" ht="9.9499999999999993" hidden="1" customHeight="1" x14ac:dyDescent="0.2"/>
    <row r="51766" ht="9.9499999999999993" hidden="1" customHeight="1" x14ac:dyDescent="0.2"/>
    <row r="51767" ht="9.9499999999999993" hidden="1" customHeight="1" x14ac:dyDescent="0.2"/>
    <row r="51768" ht="9.9499999999999993" hidden="1" customHeight="1" x14ac:dyDescent="0.2"/>
    <row r="51769" ht="9.9499999999999993" hidden="1" customHeight="1" x14ac:dyDescent="0.2"/>
    <row r="51770" ht="9.9499999999999993" hidden="1" customHeight="1" x14ac:dyDescent="0.2"/>
    <row r="51771" ht="9.9499999999999993" hidden="1" customHeight="1" x14ac:dyDescent="0.2"/>
    <row r="51772" ht="9.9499999999999993" hidden="1" customHeight="1" x14ac:dyDescent="0.2"/>
    <row r="51773" ht="9.9499999999999993" hidden="1" customHeight="1" x14ac:dyDescent="0.2"/>
    <row r="51774" ht="9.9499999999999993" hidden="1" customHeight="1" x14ac:dyDescent="0.2"/>
    <row r="51775" ht="9.9499999999999993" hidden="1" customHeight="1" x14ac:dyDescent="0.2"/>
    <row r="51776" ht="9.9499999999999993" hidden="1" customHeight="1" x14ac:dyDescent="0.2"/>
    <row r="51777" ht="9.9499999999999993" hidden="1" customHeight="1" x14ac:dyDescent="0.2"/>
    <row r="51778" ht="9.9499999999999993" hidden="1" customHeight="1" x14ac:dyDescent="0.2"/>
    <row r="51779" ht="9.9499999999999993" hidden="1" customHeight="1" x14ac:dyDescent="0.2"/>
    <row r="51780" ht="9.9499999999999993" hidden="1" customHeight="1" x14ac:dyDescent="0.2"/>
    <row r="51781" ht="9.9499999999999993" hidden="1" customHeight="1" x14ac:dyDescent="0.2"/>
    <row r="51782" ht="9.9499999999999993" hidden="1" customHeight="1" x14ac:dyDescent="0.2"/>
    <row r="51783" ht="9.9499999999999993" hidden="1" customHeight="1" x14ac:dyDescent="0.2"/>
    <row r="51784" ht="9.9499999999999993" hidden="1" customHeight="1" x14ac:dyDescent="0.2"/>
    <row r="51785" ht="9.9499999999999993" hidden="1" customHeight="1" x14ac:dyDescent="0.2"/>
    <row r="51786" ht="9.9499999999999993" hidden="1" customHeight="1" x14ac:dyDescent="0.2"/>
    <row r="51787" ht="9.9499999999999993" hidden="1" customHeight="1" x14ac:dyDescent="0.2"/>
    <row r="51788" ht="9.9499999999999993" hidden="1" customHeight="1" x14ac:dyDescent="0.2"/>
    <row r="51789" ht="9.9499999999999993" hidden="1" customHeight="1" x14ac:dyDescent="0.2"/>
    <row r="51790" ht="9.9499999999999993" hidden="1" customHeight="1" x14ac:dyDescent="0.2"/>
    <row r="51791" ht="9.9499999999999993" hidden="1" customHeight="1" x14ac:dyDescent="0.2"/>
    <row r="51792" ht="9.9499999999999993" hidden="1" customHeight="1" x14ac:dyDescent="0.2"/>
    <row r="51793" ht="9.9499999999999993" hidden="1" customHeight="1" x14ac:dyDescent="0.2"/>
    <row r="51794" ht="9.9499999999999993" hidden="1" customHeight="1" x14ac:dyDescent="0.2"/>
    <row r="51795" ht="9.9499999999999993" hidden="1" customHeight="1" x14ac:dyDescent="0.2"/>
    <row r="51796" ht="9.9499999999999993" hidden="1" customHeight="1" x14ac:dyDescent="0.2"/>
    <row r="51797" ht="9.9499999999999993" hidden="1" customHeight="1" x14ac:dyDescent="0.2"/>
    <row r="51798" ht="9.9499999999999993" hidden="1" customHeight="1" x14ac:dyDescent="0.2"/>
    <row r="51799" ht="9.9499999999999993" hidden="1" customHeight="1" x14ac:dyDescent="0.2"/>
    <row r="51800" ht="9.9499999999999993" hidden="1" customHeight="1" x14ac:dyDescent="0.2"/>
    <row r="51801" ht="9.9499999999999993" hidden="1" customHeight="1" x14ac:dyDescent="0.2"/>
    <row r="51802" ht="9.9499999999999993" hidden="1" customHeight="1" x14ac:dyDescent="0.2"/>
    <row r="51803" ht="9.9499999999999993" hidden="1" customHeight="1" x14ac:dyDescent="0.2"/>
    <row r="51804" ht="9.9499999999999993" hidden="1" customHeight="1" x14ac:dyDescent="0.2"/>
    <row r="51805" ht="9.9499999999999993" hidden="1" customHeight="1" x14ac:dyDescent="0.2"/>
    <row r="51806" ht="9.9499999999999993" hidden="1" customHeight="1" x14ac:dyDescent="0.2"/>
    <row r="51807" ht="9.9499999999999993" hidden="1" customHeight="1" x14ac:dyDescent="0.2"/>
    <row r="51808" ht="9.9499999999999993" hidden="1" customHeight="1" x14ac:dyDescent="0.2"/>
    <row r="51809" ht="9.9499999999999993" hidden="1" customHeight="1" x14ac:dyDescent="0.2"/>
    <row r="51810" ht="9.9499999999999993" hidden="1" customHeight="1" x14ac:dyDescent="0.2"/>
    <row r="51811" ht="9.9499999999999993" hidden="1" customHeight="1" x14ac:dyDescent="0.2"/>
    <row r="51812" ht="9.9499999999999993" hidden="1" customHeight="1" x14ac:dyDescent="0.2"/>
    <row r="51813" ht="9.9499999999999993" hidden="1" customHeight="1" x14ac:dyDescent="0.2"/>
    <row r="51814" ht="9.9499999999999993" hidden="1" customHeight="1" x14ac:dyDescent="0.2"/>
    <row r="51815" ht="9.9499999999999993" hidden="1" customHeight="1" x14ac:dyDescent="0.2"/>
    <row r="51816" ht="9.9499999999999993" hidden="1" customHeight="1" x14ac:dyDescent="0.2"/>
    <row r="51817" ht="9.9499999999999993" hidden="1" customHeight="1" x14ac:dyDescent="0.2"/>
    <row r="51818" ht="9.9499999999999993" hidden="1" customHeight="1" x14ac:dyDescent="0.2"/>
    <row r="51819" ht="9.9499999999999993" hidden="1" customHeight="1" x14ac:dyDescent="0.2"/>
    <row r="51820" ht="9.9499999999999993" hidden="1" customHeight="1" x14ac:dyDescent="0.2"/>
    <row r="51821" ht="9.9499999999999993" hidden="1" customHeight="1" x14ac:dyDescent="0.2"/>
    <row r="51822" ht="9.9499999999999993" hidden="1" customHeight="1" x14ac:dyDescent="0.2"/>
    <row r="51823" ht="9.9499999999999993" hidden="1" customHeight="1" x14ac:dyDescent="0.2"/>
    <row r="51824" ht="9.9499999999999993" hidden="1" customHeight="1" x14ac:dyDescent="0.2"/>
    <row r="51825" ht="9.9499999999999993" hidden="1" customHeight="1" x14ac:dyDescent="0.2"/>
    <row r="51826" ht="9.9499999999999993" hidden="1" customHeight="1" x14ac:dyDescent="0.2"/>
    <row r="51827" ht="9.9499999999999993" hidden="1" customHeight="1" x14ac:dyDescent="0.2"/>
    <row r="51828" ht="9.9499999999999993" hidden="1" customHeight="1" x14ac:dyDescent="0.2"/>
    <row r="51829" ht="9.9499999999999993" hidden="1" customHeight="1" x14ac:dyDescent="0.2"/>
    <row r="51830" ht="9.9499999999999993" hidden="1" customHeight="1" x14ac:dyDescent="0.2"/>
    <row r="51831" ht="9.9499999999999993" hidden="1" customHeight="1" x14ac:dyDescent="0.2"/>
    <row r="51832" ht="9.9499999999999993" hidden="1" customHeight="1" x14ac:dyDescent="0.2"/>
    <row r="51833" ht="9.9499999999999993" hidden="1" customHeight="1" x14ac:dyDescent="0.2"/>
    <row r="51834" ht="9.9499999999999993" hidden="1" customHeight="1" x14ac:dyDescent="0.2"/>
    <row r="51835" ht="9.9499999999999993" hidden="1" customHeight="1" x14ac:dyDescent="0.2"/>
    <row r="51836" ht="9.9499999999999993" hidden="1" customHeight="1" x14ac:dyDescent="0.2"/>
    <row r="51837" ht="9.9499999999999993" hidden="1" customHeight="1" x14ac:dyDescent="0.2"/>
    <row r="51838" ht="9.9499999999999993" hidden="1" customHeight="1" x14ac:dyDescent="0.2"/>
    <row r="51839" ht="9.9499999999999993" hidden="1" customHeight="1" x14ac:dyDescent="0.2"/>
    <row r="51840" ht="9.9499999999999993" hidden="1" customHeight="1" x14ac:dyDescent="0.2"/>
    <row r="51841" ht="9.9499999999999993" hidden="1" customHeight="1" x14ac:dyDescent="0.2"/>
    <row r="51842" ht="9.9499999999999993" hidden="1" customHeight="1" x14ac:dyDescent="0.2"/>
    <row r="51843" ht="9.9499999999999993" hidden="1" customHeight="1" x14ac:dyDescent="0.2"/>
    <row r="51844" ht="9.9499999999999993" hidden="1" customHeight="1" x14ac:dyDescent="0.2"/>
    <row r="51845" ht="9.9499999999999993" hidden="1" customHeight="1" x14ac:dyDescent="0.2"/>
    <row r="51846" ht="9.9499999999999993" hidden="1" customHeight="1" x14ac:dyDescent="0.2"/>
    <row r="51847" ht="9.9499999999999993" hidden="1" customHeight="1" x14ac:dyDescent="0.2"/>
    <row r="51848" ht="9.9499999999999993" hidden="1" customHeight="1" x14ac:dyDescent="0.2"/>
    <row r="51849" ht="9.9499999999999993" hidden="1" customHeight="1" x14ac:dyDescent="0.2"/>
    <row r="51850" ht="9.9499999999999993" hidden="1" customHeight="1" x14ac:dyDescent="0.2"/>
    <row r="51851" ht="9.9499999999999993" hidden="1" customHeight="1" x14ac:dyDescent="0.2"/>
    <row r="51852" ht="9.9499999999999993" hidden="1" customHeight="1" x14ac:dyDescent="0.2"/>
    <row r="51853" ht="9.9499999999999993" hidden="1" customHeight="1" x14ac:dyDescent="0.2"/>
    <row r="51854" ht="9.9499999999999993" hidden="1" customHeight="1" x14ac:dyDescent="0.2"/>
    <row r="51855" ht="9.9499999999999993" hidden="1" customHeight="1" x14ac:dyDescent="0.2"/>
    <row r="51856" ht="9.9499999999999993" hidden="1" customHeight="1" x14ac:dyDescent="0.2"/>
    <row r="51857" ht="9.9499999999999993" hidden="1" customHeight="1" x14ac:dyDescent="0.2"/>
    <row r="51858" ht="9.9499999999999993" hidden="1" customHeight="1" x14ac:dyDescent="0.2"/>
    <row r="51859" ht="9.9499999999999993" hidden="1" customHeight="1" x14ac:dyDescent="0.2"/>
    <row r="51860" ht="9.9499999999999993" hidden="1" customHeight="1" x14ac:dyDescent="0.2"/>
    <row r="51861" ht="9.9499999999999993" hidden="1" customHeight="1" x14ac:dyDescent="0.2"/>
    <row r="51862" ht="9.9499999999999993" hidden="1" customHeight="1" x14ac:dyDescent="0.2"/>
    <row r="51863" ht="9.9499999999999993" hidden="1" customHeight="1" x14ac:dyDescent="0.2"/>
    <row r="51864" ht="9.9499999999999993" hidden="1" customHeight="1" x14ac:dyDescent="0.2"/>
    <row r="51865" ht="9.9499999999999993" hidden="1" customHeight="1" x14ac:dyDescent="0.2"/>
    <row r="51866" ht="9.9499999999999993" hidden="1" customHeight="1" x14ac:dyDescent="0.2"/>
    <row r="51867" ht="9.9499999999999993" hidden="1" customHeight="1" x14ac:dyDescent="0.2"/>
    <row r="51868" ht="9.9499999999999993" hidden="1" customHeight="1" x14ac:dyDescent="0.2"/>
    <row r="51869" ht="9.9499999999999993" hidden="1" customHeight="1" x14ac:dyDescent="0.2"/>
    <row r="51870" ht="9.9499999999999993" hidden="1" customHeight="1" x14ac:dyDescent="0.2"/>
    <row r="51871" ht="9.9499999999999993" hidden="1" customHeight="1" x14ac:dyDescent="0.2"/>
    <row r="51872" ht="9.9499999999999993" hidden="1" customHeight="1" x14ac:dyDescent="0.2"/>
    <row r="51873" ht="9.9499999999999993" hidden="1" customHeight="1" x14ac:dyDescent="0.2"/>
    <row r="51874" ht="9.9499999999999993" hidden="1" customHeight="1" x14ac:dyDescent="0.2"/>
    <row r="51875" ht="9.9499999999999993" hidden="1" customHeight="1" x14ac:dyDescent="0.2"/>
    <row r="51876" ht="9.9499999999999993" hidden="1" customHeight="1" x14ac:dyDescent="0.2"/>
    <row r="51877" ht="9.9499999999999993" hidden="1" customHeight="1" x14ac:dyDescent="0.2"/>
    <row r="51878" ht="9.9499999999999993" hidden="1" customHeight="1" x14ac:dyDescent="0.2"/>
    <row r="51879" ht="9.9499999999999993" hidden="1" customHeight="1" x14ac:dyDescent="0.2"/>
    <row r="51880" ht="9.9499999999999993" hidden="1" customHeight="1" x14ac:dyDescent="0.2"/>
    <row r="51881" ht="9.9499999999999993" hidden="1" customHeight="1" x14ac:dyDescent="0.2"/>
    <row r="51882" ht="9.9499999999999993" hidden="1" customHeight="1" x14ac:dyDescent="0.2"/>
    <row r="51883" ht="9.9499999999999993" hidden="1" customHeight="1" x14ac:dyDescent="0.2"/>
    <row r="51884" ht="9.9499999999999993" hidden="1" customHeight="1" x14ac:dyDescent="0.2"/>
    <row r="51885" ht="9.9499999999999993" hidden="1" customHeight="1" x14ac:dyDescent="0.2"/>
    <row r="51886" ht="9.9499999999999993" hidden="1" customHeight="1" x14ac:dyDescent="0.2"/>
    <row r="51887" ht="9.9499999999999993" hidden="1" customHeight="1" x14ac:dyDescent="0.2"/>
    <row r="51888" ht="9.9499999999999993" hidden="1" customHeight="1" x14ac:dyDescent="0.2"/>
    <row r="51889" ht="9.9499999999999993" hidden="1" customHeight="1" x14ac:dyDescent="0.2"/>
    <row r="51890" ht="9.9499999999999993" hidden="1" customHeight="1" x14ac:dyDescent="0.2"/>
    <row r="51891" ht="9.9499999999999993" hidden="1" customHeight="1" x14ac:dyDescent="0.2"/>
    <row r="51892" ht="9.9499999999999993" hidden="1" customHeight="1" x14ac:dyDescent="0.2"/>
    <row r="51893" ht="9.9499999999999993" hidden="1" customHeight="1" x14ac:dyDescent="0.2"/>
    <row r="51894" ht="9.9499999999999993" hidden="1" customHeight="1" x14ac:dyDescent="0.2"/>
    <row r="51895" ht="9.9499999999999993" hidden="1" customHeight="1" x14ac:dyDescent="0.2"/>
    <row r="51896" ht="9.9499999999999993" hidden="1" customHeight="1" x14ac:dyDescent="0.2"/>
    <row r="51897" ht="9.9499999999999993" hidden="1" customHeight="1" x14ac:dyDescent="0.2"/>
    <row r="51898" ht="9.9499999999999993" hidden="1" customHeight="1" x14ac:dyDescent="0.2"/>
    <row r="51899" ht="9.9499999999999993" hidden="1" customHeight="1" x14ac:dyDescent="0.2"/>
    <row r="51900" ht="9.9499999999999993" hidden="1" customHeight="1" x14ac:dyDescent="0.2"/>
    <row r="51901" ht="9.9499999999999993" hidden="1" customHeight="1" x14ac:dyDescent="0.2"/>
    <row r="51902" ht="9.9499999999999993" hidden="1" customHeight="1" x14ac:dyDescent="0.2"/>
    <row r="51903" ht="9.9499999999999993" hidden="1" customHeight="1" x14ac:dyDescent="0.2"/>
    <row r="51904" ht="9.9499999999999993" hidden="1" customHeight="1" x14ac:dyDescent="0.2"/>
    <row r="51905" ht="9.9499999999999993" hidden="1" customHeight="1" x14ac:dyDescent="0.2"/>
    <row r="51906" ht="9.9499999999999993" hidden="1" customHeight="1" x14ac:dyDescent="0.2"/>
    <row r="51907" ht="9.9499999999999993" hidden="1" customHeight="1" x14ac:dyDescent="0.2"/>
    <row r="51908" ht="9.9499999999999993" hidden="1" customHeight="1" x14ac:dyDescent="0.2"/>
    <row r="51909" ht="9.9499999999999993" hidden="1" customHeight="1" x14ac:dyDescent="0.2"/>
    <row r="51910" ht="9.9499999999999993" hidden="1" customHeight="1" x14ac:dyDescent="0.2"/>
    <row r="51911" ht="9.9499999999999993" hidden="1" customHeight="1" x14ac:dyDescent="0.2"/>
    <row r="51912" ht="9.9499999999999993" hidden="1" customHeight="1" x14ac:dyDescent="0.2"/>
    <row r="51913" ht="9.9499999999999993" hidden="1" customHeight="1" x14ac:dyDescent="0.2"/>
    <row r="51914" ht="9.9499999999999993" hidden="1" customHeight="1" x14ac:dyDescent="0.2"/>
    <row r="51915" ht="9.9499999999999993" hidden="1" customHeight="1" x14ac:dyDescent="0.2"/>
    <row r="51916" ht="9.9499999999999993" hidden="1" customHeight="1" x14ac:dyDescent="0.2"/>
    <row r="51917" ht="9.9499999999999993" hidden="1" customHeight="1" x14ac:dyDescent="0.2"/>
    <row r="51918" ht="9.9499999999999993" hidden="1" customHeight="1" x14ac:dyDescent="0.2"/>
    <row r="51919" ht="9.9499999999999993" hidden="1" customHeight="1" x14ac:dyDescent="0.2"/>
    <row r="51920" ht="9.9499999999999993" hidden="1" customHeight="1" x14ac:dyDescent="0.2"/>
    <row r="51921" ht="9.9499999999999993" hidden="1" customHeight="1" x14ac:dyDescent="0.2"/>
    <row r="51922" ht="9.9499999999999993" hidden="1" customHeight="1" x14ac:dyDescent="0.2"/>
    <row r="51923" ht="9.9499999999999993" hidden="1" customHeight="1" x14ac:dyDescent="0.2"/>
    <row r="51924" ht="9.9499999999999993" hidden="1" customHeight="1" x14ac:dyDescent="0.2"/>
    <row r="51925" ht="9.9499999999999993" hidden="1" customHeight="1" x14ac:dyDescent="0.2"/>
    <row r="51926" ht="9.9499999999999993" hidden="1" customHeight="1" x14ac:dyDescent="0.2"/>
    <row r="51927" ht="9.9499999999999993" hidden="1" customHeight="1" x14ac:dyDescent="0.2"/>
    <row r="51928" ht="9.9499999999999993" hidden="1" customHeight="1" x14ac:dyDescent="0.2"/>
    <row r="51929" ht="9.9499999999999993" hidden="1" customHeight="1" x14ac:dyDescent="0.2"/>
    <row r="51930" ht="9.9499999999999993" hidden="1" customHeight="1" x14ac:dyDescent="0.2"/>
    <row r="51931" ht="9.9499999999999993" hidden="1" customHeight="1" x14ac:dyDescent="0.2"/>
    <row r="51932" ht="9.9499999999999993" hidden="1" customHeight="1" x14ac:dyDescent="0.2"/>
    <row r="51933" ht="9.9499999999999993" hidden="1" customHeight="1" x14ac:dyDescent="0.2"/>
    <row r="51934" ht="9.9499999999999993" hidden="1" customHeight="1" x14ac:dyDescent="0.2"/>
    <row r="51935" ht="9.9499999999999993" hidden="1" customHeight="1" x14ac:dyDescent="0.2"/>
    <row r="51936" ht="9.9499999999999993" hidden="1" customHeight="1" x14ac:dyDescent="0.2"/>
    <row r="51937" ht="9.9499999999999993" hidden="1" customHeight="1" x14ac:dyDescent="0.2"/>
    <row r="51938" ht="9.9499999999999993" hidden="1" customHeight="1" x14ac:dyDescent="0.2"/>
    <row r="51939" ht="9.9499999999999993" hidden="1" customHeight="1" x14ac:dyDescent="0.2"/>
    <row r="51940" ht="9.9499999999999993" hidden="1" customHeight="1" x14ac:dyDescent="0.2"/>
    <row r="51941" ht="9.9499999999999993" hidden="1" customHeight="1" x14ac:dyDescent="0.2"/>
    <row r="51942" ht="9.9499999999999993" hidden="1" customHeight="1" x14ac:dyDescent="0.2"/>
    <row r="51943" ht="9.9499999999999993" hidden="1" customHeight="1" x14ac:dyDescent="0.2"/>
    <row r="51944" ht="9.9499999999999993" hidden="1" customHeight="1" x14ac:dyDescent="0.2"/>
    <row r="51945" ht="9.9499999999999993" hidden="1" customHeight="1" x14ac:dyDescent="0.2"/>
    <row r="51946" ht="9.9499999999999993" hidden="1" customHeight="1" x14ac:dyDescent="0.2"/>
    <row r="51947" ht="9.9499999999999993" hidden="1" customHeight="1" x14ac:dyDescent="0.2"/>
    <row r="51948" ht="9.9499999999999993" hidden="1" customHeight="1" x14ac:dyDescent="0.2"/>
    <row r="51949" ht="9.9499999999999993" hidden="1" customHeight="1" x14ac:dyDescent="0.2"/>
    <row r="51950" ht="9.9499999999999993" hidden="1" customHeight="1" x14ac:dyDescent="0.2"/>
    <row r="51951" ht="9.9499999999999993" hidden="1" customHeight="1" x14ac:dyDescent="0.2"/>
    <row r="51952" ht="9.9499999999999993" hidden="1" customHeight="1" x14ac:dyDescent="0.2"/>
    <row r="51953" ht="9.9499999999999993" hidden="1" customHeight="1" x14ac:dyDescent="0.2"/>
    <row r="51954" ht="9.9499999999999993" hidden="1" customHeight="1" x14ac:dyDescent="0.2"/>
    <row r="51955" ht="9.9499999999999993" hidden="1" customHeight="1" x14ac:dyDescent="0.2"/>
    <row r="51956" ht="9.9499999999999993" hidden="1" customHeight="1" x14ac:dyDescent="0.2"/>
    <row r="51957" ht="9.9499999999999993" hidden="1" customHeight="1" x14ac:dyDescent="0.2"/>
    <row r="51958" ht="9.9499999999999993" hidden="1" customHeight="1" x14ac:dyDescent="0.2"/>
    <row r="51959" ht="9.9499999999999993" hidden="1" customHeight="1" x14ac:dyDescent="0.2"/>
    <row r="51960" ht="9.9499999999999993" hidden="1" customHeight="1" x14ac:dyDescent="0.2"/>
    <row r="51961" ht="9.9499999999999993" hidden="1" customHeight="1" x14ac:dyDescent="0.2"/>
    <row r="51962" ht="9.9499999999999993" hidden="1" customHeight="1" x14ac:dyDescent="0.2"/>
    <row r="51963" ht="9.9499999999999993" hidden="1" customHeight="1" x14ac:dyDescent="0.2"/>
    <row r="51964" ht="9.9499999999999993" hidden="1" customHeight="1" x14ac:dyDescent="0.2"/>
    <row r="51965" ht="9.9499999999999993" hidden="1" customHeight="1" x14ac:dyDescent="0.2"/>
    <row r="51966" ht="9.9499999999999993" hidden="1" customHeight="1" x14ac:dyDescent="0.2"/>
    <row r="51967" ht="9.9499999999999993" hidden="1" customHeight="1" x14ac:dyDescent="0.2"/>
    <row r="51968" ht="9.9499999999999993" hidden="1" customHeight="1" x14ac:dyDescent="0.2"/>
    <row r="51969" ht="9.9499999999999993" hidden="1" customHeight="1" x14ac:dyDescent="0.2"/>
    <row r="51970" ht="9.9499999999999993" hidden="1" customHeight="1" x14ac:dyDescent="0.2"/>
    <row r="51971" ht="9.9499999999999993" hidden="1" customHeight="1" x14ac:dyDescent="0.2"/>
    <row r="51972" ht="9.9499999999999993" hidden="1" customHeight="1" x14ac:dyDescent="0.2"/>
    <row r="51973" ht="9.9499999999999993" hidden="1" customHeight="1" x14ac:dyDescent="0.2"/>
    <row r="51974" ht="9.9499999999999993" hidden="1" customHeight="1" x14ac:dyDescent="0.2"/>
    <row r="51975" ht="9.9499999999999993" hidden="1" customHeight="1" x14ac:dyDescent="0.2"/>
    <row r="51976" ht="9.9499999999999993" hidden="1" customHeight="1" x14ac:dyDescent="0.2"/>
    <row r="51977" ht="9.9499999999999993" hidden="1" customHeight="1" x14ac:dyDescent="0.2"/>
    <row r="51978" ht="9.9499999999999993" hidden="1" customHeight="1" x14ac:dyDescent="0.2"/>
    <row r="51979" ht="9.9499999999999993" hidden="1" customHeight="1" x14ac:dyDescent="0.2"/>
    <row r="51980" ht="9.9499999999999993" hidden="1" customHeight="1" x14ac:dyDescent="0.2"/>
    <row r="51981" ht="9.9499999999999993" hidden="1" customHeight="1" x14ac:dyDescent="0.2"/>
    <row r="51982" ht="9.9499999999999993" hidden="1" customHeight="1" x14ac:dyDescent="0.2"/>
    <row r="51983" ht="9.9499999999999993" hidden="1" customHeight="1" x14ac:dyDescent="0.2"/>
    <row r="51984" ht="9.9499999999999993" hidden="1" customHeight="1" x14ac:dyDescent="0.2"/>
    <row r="51985" ht="9.9499999999999993" hidden="1" customHeight="1" x14ac:dyDescent="0.2"/>
    <row r="51986" ht="9.9499999999999993" hidden="1" customHeight="1" x14ac:dyDescent="0.2"/>
    <row r="51987" ht="9.9499999999999993" hidden="1" customHeight="1" x14ac:dyDescent="0.2"/>
    <row r="51988" ht="9.9499999999999993" hidden="1" customHeight="1" x14ac:dyDescent="0.2"/>
    <row r="51989" ht="9.9499999999999993" hidden="1" customHeight="1" x14ac:dyDescent="0.2"/>
    <row r="51990" ht="9.9499999999999993" hidden="1" customHeight="1" x14ac:dyDescent="0.2"/>
    <row r="51991" ht="9.9499999999999993" hidden="1" customHeight="1" x14ac:dyDescent="0.2"/>
    <row r="51992" ht="9.9499999999999993" hidden="1" customHeight="1" x14ac:dyDescent="0.2"/>
    <row r="51993" ht="9.9499999999999993" hidden="1" customHeight="1" x14ac:dyDescent="0.2"/>
    <row r="51994" ht="9.9499999999999993" hidden="1" customHeight="1" x14ac:dyDescent="0.2"/>
    <row r="51995" ht="9.9499999999999993" hidden="1" customHeight="1" x14ac:dyDescent="0.2"/>
    <row r="51996" ht="9.9499999999999993" hidden="1" customHeight="1" x14ac:dyDescent="0.2"/>
    <row r="51997" ht="9.9499999999999993" hidden="1" customHeight="1" x14ac:dyDescent="0.2"/>
    <row r="51998" ht="9.9499999999999993" hidden="1" customHeight="1" x14ac:dyDescent="0.2"/>
    <row r="51999" ht="9.9499999999999993" hidden="1" customHeight="1" x14ac:dyDescent="0.2"/>
    <row r="52000" ht="9.9499999999999993" hidden="1" customHeight="1" x14ac:dyDescent="0.2"/>
    <row r="52001" ht="9.9499999999999993" hidden="1" customHeight="1" x14ac:dyDescent="0.2"/>
    <row r="52002" ht="9.9499999999999993" hidden="1" customHeight="1" x14ac:dyDescent="0.2"/>
    <row r="52003" ht="9.9499999999999993" hidden="1" customHeight="1" x14ac:dyDescent="0.2"/>
    <row r="52004" ht="9.9499999999999993" hidden="1" customHeight="1" x14ac:dyDescent="0.2"/>
    <row r="52005" ht="9.9499999999999993" hidden="1" customHeight="1" x14ac:dyDescent="0.2"/>
    <row r="52006" ht="9.9499999999999993" hidden="1" customHeight="1" x14ac:dyDescent="0.2"/>
    <row r="52007" ht="9.9499999999999993" hidden="1" customHeight="1" x14ac:dyDescent="0.2"/>
    <row r="52008" ht="9.9499999999999993" hidden="1" customHeight="1" x14ac:dyDescent="0.2"/>
    <row r="52009" ht="9.9499999999999993" hidden="1" customHeight="1" x14ac:dyDescent="0.2"/>
    <row r="52010" ht="9.9499999999999993" hidden="1" customHeight="1" x14ac:dyDescent="0.2"/>
    <row r="52011" ht="9.9499999999999993" hidden="1" customHeight="1" x14ac:dyDescent="0.2"/>
    <row r="52012" ht="9.9499999999999993" hidden="1" customHeight="1" x14ac:dyDescent="0.2"/>
    <row r="52013" ht="9.9499999999999993" hidden="1" customHeight="1" x14ac:dyDescent="0.2"/>
    <row r="52014" ht="9.9499999999999993" hidden="1" customHeight="1" x14ac:dyDescent="0.2"/>
    <row r="52015" ht="9.9499999999999993" hidden="1" customHeight="1" x14ac:dyDescent="0.2"/>
    <row r="52016" ht="9.9499999999999993" hidden="1" customHeight="1" x14ac:dyDescent="0.2"/>
    <row r="52017" ht="9.9499999999999993" hidden="1" customHeight="1" x14ac:dyDescent="0.2"/>
    <row r="52018" ht="9.9499999999999993" hidden="1" customHeight="1" x14ac:dyDescent="0.2"/>
    <row r="52019" ht="9.9499999999999993" hidden="1" customHeight="1" x14ac:dyDescent="0.2"/>
    <row r="52020" ht="9.9499999999999993" hidden="1" customHeight="1" x14ac:dyDescent="0.2"/>
    <row r="52021" ht="9.9499999999999993" hidden="1" customHeight="1" x14ac:dyDescent="0.2"/>
    <row r="52022" ht="9.9499999999999993" hidden="1" customHeight="1" x14ac:dyDescent="0.2"/>
    <row r="52023" ht="9.9499999999999993" hidden="1" customHeight="1" x14ac:dyDescent="0.2"/>
    <row r="52024" ht="9.9499999999999993" hidden="1" customHeight="1" x14ac:dyDescent="0.2"/>
    <row r="52025" ht="9.9499999999999993" hidden="1" customHeight="1" x14ac:dyDescent="0.2"/>
    <row r="52026" ht="9.9499999999999993" hidden="1" customHeight="1" x14ac:dyDescent="0.2"/>
    <row r="52027" ht="9.9499999999999993" hidden="1" customHeight="1" x14ac:dyDescent="0.2"/>
    <row r="52028" ht="9.9499999999999993" hidden="1" customHeight="1" x14ac:dyDescent="0.2"/>
    <row r="52029" ht="9.9499999999999993" hidden="1" customHeight="1" x14ac:dyDescent="0.2"/>
    <row r="52030" ht="9.9499999999999993" hidden="1" customHeight="1" x14ac:dyDescent="0.2"/>
    <row r="52031" ht="9.9499999999999993" hidden="1" customHeight="1" x14ac:dyDescent="0.2"/>
    <row r="52032" ht="9.9499999999999993" hidden="1" customHeight="1" x14ac:dyDescent="0.2"/>
    <row r="52033" ht="9.9499999999999993" hidden="1" customHeight="1" x14ac:dyDescent="0.2"/>
    <row r="52034" ht="9.9499999999999993" hidden="1" customHeight="1" x14ac:dyDescent="0.2"/>
    <row r="52035" ht="9.9499999999999993" hidden="1" customHeight="1" x14ac:dyDescent="0.2"/>
    <row r="52036" ht="9.9499999999999993" hidden="1" customHeight="1" x14ac:dyDescent="0.2"/>
    <row r="52037" ht="9.9499999999999993" hidden="1" customHeight="1" x14ac:dyDescent="0.2"/>
    <row r="52038" ht="9.9499999999999993" hidden="1" customHeight="1" x14ac:dyDescent="0.2"/>
    <row r="52039" ht="9.9499999999999993" hidden="1" customHeight="1" x14ac:dyDescent="0.2"/>
    <row r="52040" ht="9.9499999999999993" hidden="1" customHeight="1" x14ac:dyDescent="0.2"/>
    <row r="52041" ht="9.9499999999999993" hidden="1" customHeight="1" x14ac:dyDescent="0.2"/>
    <row r="52042" ht="9.9499999999999993" hidden="1" customHeight="1" x14ac:dyDescent="0.2"/>
    <row r="52043" ht="9.9499999999999993" hidden="1" customHeight="1" x14ac:dyDescent="0.2"/>
    <row r="52044" ht="9.9499999999999993" hidden="1" customHeight="1" x14ac:dyDescent="0.2"/>
    <row r="52045" ht="9.9499999999999993" hidden="1" customHeight="1" x14ac:dyDescent="0.2"/>
    <row r="52046" ht="9.9499999999999993" hidden="1" customHeight="1" x14ac:dyDescent="0.2"/>
    <row r="52047" ht="9.9499999999999993" hidden="1" customHeight="1" x14ac:dyDescent="0.2"/>
    <row r="52048" ht="9.9499999999999993" hidden="1" customHeight="1" x14ac:dyDescent="0.2"/>
    <row r="52049" ht="9.9499999999999993" hidden="1" customHeight="1" x14ac:dyDescent="0.2"/>
    <row r="52050" ht="9.9499999999999993" hidden="1" customHeight="1" x14ac:dyDescent="0.2"/>
    <row r="52051" ht="9.9499999999999993" hidden="1" customHeight="1" x14ac:dyDescent="0.2"/>
    <row r="52052" ht="9.9499999999999993" hidden="1" customHeight="1" x14ac:dyDescent="0.2"/>
    <row r="52053" ht="9.9499999999999993" hidden="1" customHeight="1" x14ac:dyDescent="0.2"/>
    <row r="52054" ht="9.9499999999999993" hidden="1" customHeight="1" x14ac:dyDescent="0.2"/>
    <row r="52055" ht="9.9499999999999993" hidden="1" customHeight="1" x14ac:dyDescent="0.2"/>
    <row r="52056" ht="9.9499999999999993" hidden="1" customHeight="1" x14ac:dyDescent="0.2"/>
    <row r="52057" ht="9.9499999999999993" hidden="1" customHeight="1" x14ac:dyDescent="0.2"/>
    <row r="52058" ht="9.9499999999999993" hidden="1" customHeight="1" x14ac:dyDescent="0.2"/>
    <row r="52059" ht="9.9499999999999993" hidden="1" customHeight="1" x14ac:dyDescent="0.2"/>
    <row r="52060" ht="9.9499999999999993" hidden="1" customHeight="1" x14ac:dyDescent="0.2"/>
    <row r="52061" ht="9.9499999999999993" hidden="1" customHeight="1" x14ac:dyDescent="0.2"/>
    <row r="52062" ht="9.9499999999999993" hidden="1" customHeight="1" x14ac:dyDescent="0.2"/>
    <row r="52063" ht="9.9499999999999993" hidden="1" customHeight="1" x14ac:dyDescent="0.2"/>
    <row r="52064" ht="9.9499999999999993" hidden="1" customHeight="1" x14ac:dyDescent="0.2"/>
    <row r="52065" ht="9.9499999999999993" hidden="1" customHeight="1" x14ac:dyDescent="0.2"/>
    <row r="52066" ht="9.9499999999999993" hidden="1" customHeight="1" x14ac:dyDescent="0.2"/>
    <row r="52067" ht="9.9499999999999993" hidden="1" customHeight="1" x14ac:dyDescent="0.2"/>
    <row r="52068" ht="9.9499999999999993" hidden="1" customHeight="1" x14ac:dyDescent="0.2"/>
    <row r="52069" ht="9.9499999999999993" hidden="1" customHeight="1" x14ac:dyDescent="0.2"/>
    <row r="52070" ht="9.9499999999999993" hidden="1" customHeight="1" x14ac:dyDescent="0.2"/>
    <row r="52071" ht="9.9499999999999993" hidden="1" customHeight="1" x14ac:dyDescent="0.2"/>
    <row r="52072" ht="9.9499999999999993" hidden="1" customHeight="1" x14ac:dyDescent="0.2"/>
    <row r="52073" ht="9.9499999999999993" hidden="1" customHeight="1" x14ac:dyDescent="0.2"/>
    <row r="52074" ht="9.9499999999999993" hidden="1" customHeight="1" x14ac:dyDescent="0.2"/>
    <row r="52075" ht="9.9499999999999993" hidden="1" customHeight="1" x14ac:dyDescent="0.2"/>
    <row r="52076" ht="9.9499999999999993" hidden="1" customHeight="1" x14ac:dyDescent="0.2"/>
    <row r="52077" ht="9.9499999999999993" hidden="1" customHeight="1" x14ac:dyDescent="0.2"/>
    <row r="52078" ht="9.9499999999999993" hidden="1" customHeight="1" x14ac:dyDescent="0.2"/>
    <row r="52079" ht="9.9499999999999993" hidden="1" customHeight="1" x14ac:dyDescent="0.2"/>
    <row r="52080" ht="9.9499999999999993" hidden="1" customHeight="1" x14ac:dyDescent="0.2"/>
    <row r="52081" ht="9.9499999999999993" hidden="1" customHeight="1" x14ac:dyDescent="0.2"/>
    <row r="52082" ht="9.9499999999999993" hidden="1" customHeight="1" x14ac:dyDescent="0.2"/>
    <row r="52083" ht="9.9499999999999993" hidden="1" customHeight="1" x14ac:dyDescent="0.2"/>
    <row r="52084" ht="9.9499999999999993" hidden="1" customHeight="1" x14ac:dyDescent="0.2"/>
    <row r="52085" ht="9.9499999999999993" hidden="1" customHeight="1" x14ac:dyDescent="0.2"/>
    <row r="52086" ht="9.9499999999999993" hidden="1" customHeight="1" x14ac:dyDescent="0.2"/>
    <row r="52087" ht="9.9499999999999993" hidden="1" customHeight="1" x14ac:dyDescent="0.2"/>
    <row r="52088" ht="9.9499999999999993" hidden="1" customHeight="1" x14ac:dyDescent="0.2"/>
    <row r="52089" ht="9.9499999999999993" hidden="1" customHeight="1" x14ac:dyDescent="0.2"/>
    <row r="52090" ht="9.9499999999999993" hidden="1" customHeight="1" x14ac:dyDescent="0.2"/>
    <row r="52091" ht="9.9499999999999993" hidden="1" customHeight="1" x14ac:dyDescent="0.2"/>
    <row r="52092" ht="9.9499999999999993" hidden="1" customHeight="1" x14ac:dyDescent="0.2"/>
    <row r="52093" ht="9.9499999999999993" hidden="1" customHeight="1" x14ac:dyDescent="0.2"/>
    <row r="52094" ht="9.9499999999999993" hidden="1" customHeight="1" x14ac:dyDescent="0.2"/>
    <row r="52095" ht="9.9499999999999993" hidden="1" customHeight="1" x14ac:dyDescent="0.2"/>
    <row r="52096" ht="9.9499999999999993" hidden="1" customHeight="1" x14ac:dyDescent="0.2"/>
    <row r="52097" ht="9.9499999999999993" hidden="1" customHeight="1" x14ac:dyDescent="0.2"/>
    <row r="52098" ht="9.9499999999999993" hidden="1" customHeight="1" x14ac:dyDescent="0.2"/>
    <row r="52099" ht="9.9499999999999993" hidden="1" customHeight="1" x14ac:dyDescent="0.2"/>
    <row r="52100" ht="9.9499999999999993" hidden="1" customHeight="1" x14ac:dyDescent="0.2"/>
    <row r="52101" ht="9.9499999999999993" hidden="1" customHeight="1" x14ac:dyDescent="0.2"/>
    <row r="52102" ht="9.9499999999999993" hidden="1" customHeight="1" x14ac:dyDescent="0.2"/>
    <row r="52103" ht="9.9499999999999993" hidden="1" customHeight="1" x14ac:dyDescent="0.2"/>
    <row r="52104" ht="9.9499999999999993" hidden="1" customHeight="1" x14ac:dyDescent="0.2"/>
    <row r="52105" ht="9.9499999999999993" hidden="1" customHeight="1" x14ac:dyDescent="0.2"/>
    <row r="52106" ht="9.9499999999999993" hidden="1" customHeight="1" x14ac:dyDescent="0.2"/>
    <row r="52107" ht="9.9499999999999993" hidden="1" customHeight="1" x14ac:dyDescent="0.2"/>
    <row r="52108" ht="9.9499999999999993" hidden="1" customHeight="1" x14ac:dyDescent="0.2"/>
    <row r="52109" ht="9.9499999999999993" hidden="1" customHeight="1" x14ac:dyDescent="0.2"/>
    <row r="52110" ht="9.9499999999999993" hidden="1" customHeight="1" x14ac:dyDescent="0.2"/>
    <row r="52111" ht="9.9499999999999993" hidden="1" customHeight="1" x14ac:dyDescent="0.2"/>
    <row r="52112" ht="9.9499999999999993" hidden="1" customHeight="1" x14ac:dyDescent="0.2"/>
    <row r="52113" ht="9.9499999999999993" hidden="1" customHeight="1" x14ac:dyDescent="0.2"/>
    <row r="52114" ht="9.9499999999999993" hidden="1" customHeight="1" x14ac:dyDescent="0.2"/>
    <row r="52115" ht="9.9499999999999993" hidden="1" customHeight="1" x14ac:dyDescent="0.2"/>
    <row r="52116" ht="9.9499999999999993" hidden="1" customHeight="1" x14ac:dyDescent="0.2"/>
    <row r="52117" ht="9.9499999999999993" hidden="1" customHeight="1" x14ac:dyDescent="0.2"/>
    <row r="52118" ht="9.9499999999999993" hidden="1" customHeight="1" x14ac:dyDescent="0.2"/>
    <row r="52119" ht="9.9499999999999993" hidden="1" customHeight="1" x14ac:dyDescent="0.2"/>
    <row r="52120" ht="9.9499999999999993" hidden="1" customHeight="1" x14ac:dyDescent="0.2"/>
    <row r="52121" ht="9.9499999999999993" hidden="1" customHeight="1" x14ac:dyDescent="0.2"/>
    <row r="52122" ht="9.9499999999999993" hidden="1" customHeight="1" x14ac:dyDescent="0.2"/>
    <row r="52123" ht="9.9499999999999993" hidden="1" customHeight="1" x14ac:dyDescent="0.2"/>
    <row r="52124" ht="9.9499999999999993" hidden="1" customHeight="1" x14ac:dyDescent="0.2"/>
    <row r="52125" ht="9.9499999999999993" hidden="1" customHeight="1" x14ac:dyDescent="0.2"/>
    <row r="52126" ht="9.9499999999999993" hidden="1" customHeight="1" x14ac:dyDescent="0.2"/>
    <row r="52127" ht="9.9499999999999993" hidden="1" customHeight="1" x14ac:dyDescent="0.2"/>
    <row r="52128" ht="9.9499999999999993" hidden="1" customHeight="1" x14ac:dyDescent="0.2"/>
    <row r="52129" ht="9.9499999999999993" hidden="1" customHeight="1" x14ac:dyDescent="0.2"/>
    <row r="52130" ht="9.9499999999999993" hidden="1" customHeight="1" x14ac:dyDescent="0.2"/>
    <row r="52131" ht="9.9499999999999993" hidden="1" customHeight="1" x14ac:dyDescent="0.2"/>
    <row r="52132" ht="9.9499999999999993" hidden="1" customHeight="1" x14ac:dyDescent="0.2"/>
    <row r="52133" ht="9.9499999999999993" hidden="1" customHeight="1" x14ac:dyDescent="0.2"/>
    <row r="52134" ht="9.9499999999999993" hidden="1" customHeight="1" x14ac:dyDescent="0.2"/>
    <row r="52135" ht="9.9499999999999993" hidden="1" customHeight="1" x14ac:dyDescent="0.2"/>
    <row r="52136" ht="9.9499999999999993" hidden="1" customHeight="1" x14ac:dyDescent="0.2"/>
    <row r="52137" ht="9.9499999999999993" hidden="1" customHeight="1" x14ac:dyDescent="0.2"/>
    <row r="52138" ht="9.9499999999999993" hidden="1" customHeight="1" x14ac:dyDescent="0.2"/>
    <row r="52139" ht="9.9499999999999993" hidden="1" customHeight="1" x14ac:dyDescent="0.2"/>
    <row r="52140" ht="9.9499999999999993" hidden="1" customHeight="1" x14ac:dyDescent="0.2"/>
    <row r="52141" ht="9.9499999999999993" hidden="1" customHeight="1" x14ac:dyDescent="0.2"/>
    <row r="52142" ht="9.9499999999999993" hidden="1" customHeight="1" x14ac:dyDescent="0.2"/>
    <row r="52143" ht="9.9499999999999993" hidden="1" customHeight="1" x14ac:dyDescent="0.2"/>
    <row r="52144" ht="9.9499999999999993" hidden="1" customHeight="1" x14ac:dyDescent="0.2"/>
    <row r="52145" ht="9.9499999999999993" hidden="1" customHeight="1" x14ac:dyDescent="0.2"/>
    <row r="52146" ht="9.9499999999999993" hidden="1" customHeight="1" x14ac:dyDescent="0.2"/>
    <row r="52147" ht="9.9499999999999993" hidden="1" customHeight="1" x14ac:dyDescent="0.2"/>
    <row r="52148" ht="9.9499999999999993" hidden="1" customHeight="1" x14ac:dyDescent="0.2"/>
    <row r="52149" ht="9.9499999999999993" hidden="1" customHeight="1" x14ac:dyDescent="0.2"/>
    <row r="52150" ht="9.9499999999999993" hidden="1" customHeight="1" x14ac:dyDescent="0.2"/>
    <row r="52151" ht="9.9499999999999993" hidden="1" customHeight="1" x14ac:dyDescent="0.2"/>
    <row r="52152" ht="9.9499999999999993" hidden="1" customHeight="1" x14ac:dyDescent="0.2"/>
    <row r="52153" ht="9.9499999999999993" hidden="1" customHeight="1" x14ac:dyDescent="0.2"/>
    <row r="52154" ht="9.9499999999999993" hidden="1" customHeight="1" x14ac:dyDescent="0.2"/>
    <row r="52155" ht="9.9499999999999993" hidden="1" customHeight="1" x14ac:dyDescent="0.2"/>
    <row r="52156" ht="9.9499999999999993" hidden="1" customHeight="1" x14ac:dyDescent="0.2"/>
    <row r="52157" ht="9.9499999999999993" hidden="1" customHeight="1" x14ac:dyDescent="0.2"/>
    <row r="52158" ht="9.9499999999999993" hidden="1" customHeight="1" x14ac:dyDescent="0.2"/>
    <row r="52159" ht="9.9499999999999993" hidden="1" customHeight="1" x14ac:dyDescent="0.2"/>
    <row r="52160" ht="9.9499999999999993" hidden="1" customHeight="1" x14ac:dyDescent="0.2"/>
    <row r="52161" ht="9.9499999999999993" hidden="1" customHeight="1" x14ac:dyDescent="0.2"/>
    <row r="52162" ht="9.9499999999999993" hidden="1" customHeight="1" x14ac:dyDescent="0.2"/>
    <row r="52163" ht="9.9499999999999993" hidden="1" customHeight="1" x14ac:dyDescent="0.2"/>
    <row r="52164" ht="9.9499999999999993" hidden="1" customHeight="1" x14ac:dyDescent="0.2"/>
    <row r="52165" ht="9.9499999999999993" hidden="1" customHeight="1" x14ac:dyDescent="0.2"/>
    <row r="52166" ht="9.9499999999999993" hidden="1" customHeight="1" x14ac:dyDescent="0.2"/>
    <row r="52167" ht="9.9499999999999993" hidden="1" customHeight="1" x14ac:dyDescent="0.2"/>
    <row r="52168" ht="9.9499999999999993" hidden="1" customHeight="1" x14ac:dyDescent="0.2"/>
    <row r="52169" ht="9.9499999999999993" hidden="1" customHeight="1" x14ac:dyDescent="0.2"/>
    <row r="52170" ht="9.9499999999999993" hidden="1" customHeight="1" x14ac:dyDescent="0.2"/>
    <row r="52171" ht="9.9499999999999993" hidden="1" customHeight="1" x14ac:dyDescent="0.2"/>
    <row r="52172" ht="9.9499999999999993" hidden="1" customHeight="1" x14ac:dyDescent="0.2"/>
    <row r="52173" ht="9.9499999999999993" hidden="1" customHeight="1" x14ac:dyDescent="0.2"/>
    <row r="52174" ht="9.9499999999999993" hidden="1" customHeight="1" x14ac:dyDescent="0.2"/>
    <row r="52175" ht="9.9499999999999993" hidden="1" customHeight="1" x14ac:dyDescent="0.2"/>
    <row r="52176" ht="9.9499999999999993" hidden="1" customHeight="1" x14ac:dyDescent="0.2"/>
    <row r="52177" ht="9.9499999999999993" hidden="1" customHeight="1" x14ac:dyDescent="0.2"/>
    <row r="52178" ht="9.9499999999999993" hidden="1" customHeight="1" x14ac:dyDescent="0.2"/>
    <row r="52179" ht="9.9499999999999993" hidden="1" customHeight="1" x14ac:dyDescent="0.2"/>
    <row r="52180" ht="9.9499999999999993" hidden="1" customHeight="1" x14ac:dyDescent="0.2"/>
    <row r="52181" ht="9.9499999999999993" hidden="1" customHeight="1" x14ac:dyDescent="0.2"/>
    <row r="52182" ht="9.9499999999999993" hidden="1" customHeight="1" x14ac:dyDescent="0.2"/>
    <row r="52183" ht="9.9499999999999993" hidden="1" customHeight="1" x14ac:dyDescent="0.2"/>
    <row r="52184" ht="9.9499999999999993" hidden="1" customHeight="1" x14ac:dyDescent="0.2"/>
    <row r="52185" ht="9.9499999999999993" hidden="1" customHeight="1" x14ac:dyDescent="0.2"/>
    <row r="52186" ht="9.9499999999999993" hidden="1" customHeight="1" x14ac:dyDescent="0.2"/>
    <row r="52187" ht="9.9499999999999993" hidden="1" customHeight="1" x14ac:dyDescent="0.2"/>
    <row r="52188" ht="9.9499999999999993" hidden="1" customHeight="1" x14ac:dyDescent="0.2"/>
    <row r="52189" ht="9.9499999999999993" hidden="1" customHeight="1" x14ac:dyDescent="0.2"/>
    <row r="52190" ht="9.9499999999999993" hidden="1" customHeight="1" x14ac:dyDescent="0.2"/>
    <row r="52191" ht="9.9499999999999993" hidden="1" customHeight="1" x14ac:dyDescent="0.2"/>
    <row r="52192" ht="9.9499999999999993" hidden="1" customHeight="1" x14ac:dyDescent="0.2"/>
    <row r="52193" ht="9.9499999999999993" hidden="1" customHeight="1" x14ac:dyDescent="0.2"/>
    <row r="52194" ht="9.9499999999999993" hidden="1" customHeight="1" x14ac:dyDescent="0.2"/>
    <row r="52195" ht="9.9499999999999993" hidden="1" customHeight="1" x14ac:dyDescent="0.2"/>
    <row r="52196" ht="9.9499999999999993" hidden="1" customHeight="1" x14ac:dyDescent="0.2"/>
    <row r="52197" ht="9.9499999999999993" hidden="1" customHeight="1" x14ac:dyDescent="0.2"/>
    <row r="52198" ht="9.9499999999999993" hidden="1" customHeight="1" x14ac:dyDescent="0.2"/>
    <row r="52199" ht="9.9499999999999993" hidden="1" customHeight="1" x14ac:dyDescent="0.2"/>
    <row r="52200" ht="9.9499999999999993" hidden="1" customHeight="1" x14ac:dyDescent="0.2"/>
    <row r="52201" ht="9.9499999999999993" hidden="1" customHeight="1" x14ac:dyDescent="0.2"/>
    <row r="52202" ht="9.9499999999999993" hidden="1" customHeight="1" x14ac:dyDescent="0.2"/>
    <row r="52203" ht="9.9499999999999993" hidden="1" customHeight="1" x14ac:dyDescent="0.2"/>
    <row r="52204" ht="9.9499999999999993" hidden="1" customHeight="1" x14ac:dyDescent="0.2"/>
    <row r="52205" ht="9.9499999999999993" hidden="1" customHeight="1" x14ac:dyDescent="0.2"/>
    <row r="52206" ht="9.9499999999999993" hidden="1" customHeight="1" x14ac:dyDescent="0.2"/>
    <row r="52207" ht="9.9499999999999993" hidden="1" customHeight="1" x14ac:dyDescent="0.2"/>
    <row r="52208" ht="9.9499999999999993" hidden="1" customHeight="1" x14ac:dyDescent="0.2"/>
    <row r="52209" ht="9.9499999999999993" hidden="1" customHeight="1" x14ac:dyDescent="0.2"/>
    <row r="52210" ht="9.9499999999999993" hidden="1" customHeight="1" x14ac:dyDescent="0.2"/>
    <row r="52211" ht="9.9499999999999993" hidden="1" customHeight="1" x14ac:dyDescent="0.2"/>
    <row r="52212" ht="9.9499999999999993" hidden="1" customHeight="1" x14ac:dyDescent="0.2"/>
    <row r="52213" ht="9.9499999999999993" hidden="1" customHeight="1" x14ac:dyDescent="0.2"/>
    <row r="52214" ht="9.9499999999999993" hidden="1" customHeight="1" x14ac:dyDescent="0.2"/>
    <row r="52215" ht="9.9499999999999993" hidden="1" customHeight="1" x14ac:dyDescent="0.2"/>
    <row r="52216" ht="9.9499999999999993" hidden="1" customHeight="1" x14ac:dyDescent="0.2"/>
    <row r="52217" ht="9.9499999999999993" hidden="1" customHeight="1" x14ac:dyDescent="0.2"/>
    <row r="52218" ht="9.9499999999999993" hidden="1" customHeight="1" x14ac:dyDescent="0.2"/>
    <row r="52219" ht="9.9499999999999993" hidden="1" customHeight="1" x14ac:dyDescent="0.2"/>
    <row r="52220" ht="9.9499999999999993" hidden="1" customHeight="1" x14ac:dyDescent="0.2"/>
    <row r="52221" ht="9.9499999999999993" hidden="1" customHeight="1" x14ac:dyDescent="0.2"/>
    <row r="52222" ht="9.9499999999999993" hidden="1" customHeight="1" x14ac:dyDescent="0.2"/>
    <row r="52223" ht="9.9499999999999993" hidden="1" customHeight="1" x14ac:dyDescent="0.2"/>
    <row r="52224" ht="9.9499999999999993" hidden="1" customHeight="1" x14ac:dyDescent="0.2"/>
    <row r="52225" ht="9.9499999999999993" hidden="1" customHeight="1" x14ac:dyDescent="0.2"/>
    <row r="52226" ht="9.9499999999999993" hidden="1" customHeight="1" x14ac:dyDescent="0.2"/>
    <row r="52227" ht="9.9499999999999993" hidden="1" customHeight="1" x14ac:dyDescent="0.2"/>
    <row r="52228" ht="9.9499999999999993" hidden="1" customHeight="1" x14ac:dyDescent="0.2"/>
    <row r="52229" ht="9.9499999999999993" hidden="1" customHeight="1" x14ac:dyDescent="0.2"/>
    <row r="52230" ht="9.9499999999999993" hidden="1" customHeight="1" x14ac:dyDescent="0.2"/>
    <row r="52231" ht="9.9499999999999993" hidden="1" customHeight="1" x14ac:dyDescent="0.2"/>
    <row r="52232" ht="9.9499999999999993" hidden="1" customHeight="1" x14ac:dyDescent="0.2"/>
    <row r="52233" ht="9.9499999999999993" hidden="1" customHeight="1" x14ac:dyDescent="0.2"/>
    <row r="52234" ht="9.9499999999999993" hidden="1" customHeight="1" x14ac:dyDescent="0.2"/>
    <row r="52235" ht="9.9499999999999993" hidden="1" customHeight="1" x14ac:dyDescent="0.2"/>
    <row r="52236" ht="9.9499999999999993" hidden="1" customHeight="1" x14ac:dyDescent="0.2"/>
    <row r="52237" ht="9.9499999999999993" hidden="1" customHeight="1" x14ac:dyDescent="0.2"/>
    <row r="52238" ht="9.9499999999999993" hidden="1" customHeight="1" x14ac:dyDescent="0.2"/>
    <row r="52239" ht="9.9499999999999993" hidden="1" customHeight="1" x14ac:dyDescent="0.2"/>
    <row r="52240" ht="9.9499999999999993" hidden="1" customHeight="1" x14ac:dyDescent="0.2"/>
    <row r="52241" ht="9.9499999999999993" hidden="1" customHeight="1" x14ac:dyDescent="0.2"/>
    <row r="52242" ht="9.9499999999999993" hidden="1" customHeight="1" x14ac:dyDescent="0.2"/>
    <row r="52243" ht="9.9499999999999993" hidden="1" customHeight="1" x14ac:dyDescent="0.2"/>
    <row r="52244" ht="9.9499999999999993" hidden="1" customHeight="1" x14ac:dyDescent="0.2"/>
    <row r="52245" ht="9.9499999999999993" hidden="1" customHeight="1" x14ac:dyDescent="0.2"/>
    <row r="52246" ht="9.9499999999999993" hidden="1" customHeight="1" x14ac:dyDescent="0.2"/>
    <row r="52247" ht="9.9499999999999993" hidden="1" customHeight="1" x14ac:dyDescent="0.2"/>
    <row r="52248" ht="9.9499999999999993" hidden="1" customHeight="1" x14ac:dyDescent="0.2"/>
    <row r="52249" ht="9.9499999999999993" hidden="1" customHeight="1" x14ac:dyDescent="0.2"/>
    <row r="52250" ht="9.9499999999999993" hidden="1" customHeight="1" x14ac:dyDescent="0.2"/>
    <row r="52251" ht="9.9499999999999993" hidden="1" customHeight="1" x14ac:dyDescent="0.2"/>
    <row r="52252" ht="9.9499999999999993" hidden="1" customHeight="1" x14ac:dyDescent="0.2"/>
    <row r="52253" ht="9.9499999999999993" hidden="1" customHeight="1" x14ac:dyDescent="0.2"/>
    <row r="52254" ht="9.9499999999999993" hidden="1" customHeight="1" x14ac:dyDescent="0.2"/>
    <row r="52255" ht="9.9499999999999993" hidden="1" customHeight="1" x14ac:dyDescent="0.2"/>
    <row r="52256" ht="9.9499999999999993" hidden="1" customHeight="1" x14ac:dyDescent="0.2"/>
    <row r="52257" ht="9.9499999999999993" hidden="1" customHeight="1" x14ac:dyDescent="0.2"/>
    <row r="52258" ht="9.9499999999999993" hidden="1" customHeight="1" x14ac:dyDescent="0.2"/>
    <row r="52259" ht="9.9499999999999993" hidden="1" customHeight="1" x14ac:dyDescent="0.2"/>
    <row r="52260" ht="9.9499999999999993" hidden="1" customHeight="1" x14ac:dyDescent="0.2"/>
    <row r="52261" ht="9.9499999999999993" hidden="1" customHeight="1" x14ac:dyDescent="0.2"/>
    <row r="52262" ht="9.9499999999999993" hidden="1" customHeight="1" x14ac:dyDescent="0.2"/>
    <row r="52263" ht="9.9499999999999993" hidden="1" customHeight="1" x14ac:dyDescent="0.2"/>
    <row r="52264" ht="9.9499999999999993" hidden="1" customHeight="1" x14ac:dyDescent="0.2"/>
    <row r="52265" ht="9.9499999999999993" hidden="1" customHeight="1" x14ac:dyDescent="0.2"/>
    <row r="52266" ht="9.9499999999999993" hidden="1" customHeight="1" x14ac:dyDescent="0.2"/>
    <row r="52267" ht="9.9499999999999993" hidden="1" customHeight="1" x14ac:dyDescent="0.2"/>
    <row r="52268" ht="9.9499999999999993" hidden="1" customHeight="1" x14ac:dyDescent="0.2"/>
    <row r="52269" ht="9.9499999999999993" hidden="1" customHeight="1" x14ac:dyDescent="0.2"/>
    <row r="52270" ht="9.9499999999999993" hidden="1" customHeight="1" x14ac:dyDescent="0.2"/>
    <row r="52271" ht="9.9499999999999993" hidden="1" customHeight="1" x14ac:dyDescent="0.2"/>
    <row r="52272" ht="9.9499999999999993" hidden="1" customHeight="1" x14ac:dyDescent="0.2"/>
    <row r="52273" ht="9.9499999999999993" hidden="1" customHeight="1" x14ac:dyDescent="0.2"/>
    <row r="52274" ht="9.9499999999999993" hidden="1" customHeight="1" x14ac:dyDescent="0.2"/>
    <row r="52275" ht="9.9499999999999993" hidden="1" customHeight="1" x14ac:dyDescent="0.2"/>
    <row r="52276" ht="9.9499999999999993" hidden="1" customHeight="1" x14ac:dyDescent="0.2"/>
    <row r="52277" ht="9.9499999999999993" hidden="1" customHeight="1" x14ac:dyDescent="0.2"/>
    <row r="52278" ht="9.9499999999999993" hidden="1" customHeight="1" x14ac:dyDescent="0.2"/>
    <row r="52279" ht="9.9499999999999993" hidden="1" customHeight="1" x14ac:dyDescent="0.2"/>
    <row r="52280" ht="9.9499999999999993" hidden="1" customHeight="1" x14ac:dyDescent="0.2"/>
    <row r="52281" ht="9.9499999999999993" hidden="1" customHeight="1" x14ac:dyDescent="0.2"/>
    <row r="52282" ht="9.9499999999999993" hidden="1" customHeight="1" x14ac:dyDescent="0.2"/>
    <row r="52283" ht="9.9499999999999993" hidden="1" customHeight="1" x14ac:dyDescent="0.2"/>
    <row r="52284" ht="9.9499999999999993" hidden="1" customHeight="1" x14ac:dyDescent="0.2"/>
    <row r="52285" ht="9.9499999999999993" hidden="1" customHeight="1" x14ac:dyDescent="0.2"/>
    <row r="52286" ht="9.9499999999999993" hidden="1" customHeight="1" x14ac:dyDescent="0.2"/>
    <row r="52287" ht="9.9499999999999993" hidden="1" customHeight="1" x14ac:dyDescent="0.2"/>
    <row r="52288" ht="9.9499999999999993" hidden="1" customHeight="1" x14ac:dyDescent="0.2"/>
    <row r="52289" ht="9.9499999999999993" hidden="1" customHeight="1" x14ac:dyDescent="0.2"/>
    <row r="52290" ht="9.9499999999999993" hidden="1" customHeight="1" x14ac:dyDescent="0.2"/>
    <row r="52291" ht="9.9499999999999993" hidden="1" customHeight="1" x14ac:dyDescent="0.2"/>
    <row r="52292" ht="9.9499999999999993" hidden="1" customHeight="1" x14ac:dyDescent="0.2"/>
    <row r="52293" ht="9.9499999999999993" hidden="1" customHeight="1" x14ac:dyDescent="0.2"/>
    <row r="52294" ht="9.9499999999999993" hidden="1" customHeight="1" x14ac:dyDescent="0.2"/>
    <row r="52295" ht="9.9499999999999993" hidden="1" customHeight="1" x14ac:dyDescent="0.2"/>
    <row r="52296" ht="9.9499999999999993" hidden="1" customHeight="1" x14ac:dyDescent="0.2"/>
    <row r="52297" ht="9.9499999999999993" hidden="1" customHeight="1" x14ac:dyDescent="0.2"/>
    <row r="52298" ht="9.9499999999999993" hidden="1" customHeight="1" x14ac:dyDescent="0.2"/>
    <row r="52299" ht="9.9499999999999993" hidden="1" customHeight="1" x14ac:dyDescent="0.2"/>
    <row r="52300" ht="9.9499999999999993" hidden="1" customHeight="1" x14ac:dyDescent="0.2"/>
    <row r="52301" ht="9.9499999999999993" hidden="1" customHeight="1" x14ac:dyDescent="0.2"/>
    <row r="52302" ht="9.9499999999999993" hidden="1" customHeight="1" x14ac:dyDescent="0.2"/>
    <row r="52303" ht="9.9499999999999993" hidden="1" customHeight="1" x14ac:dyDescent="0.2"/>
    <row r="52304" ht="9.9499999999999993" hidden="1" customHeight="1" x14ac:dyDescent="0.2"/>
    <row r="52305" ht="9.9499999999999993" hidden="1" customHeight="1" x14ac:dyDescent="0.2"/>
    <row r="52306" ht="9.9499999999999993" hidden="1" customHeight="1" x14ac:dyDescent="0.2"/>
    <row r="52307" ht="9.9499999999999993" hidden="1" customHeight="1" x14ac:dyDescent="0.2"/>
    <row r="52308" ht="9.9499999999999993" hidden="1" customHeight="1" x14ac:dyDescent="0.2"/>
    <row r="52309" ht="9.9499999999999993" hidden="1" customHeight="1" x14ac:dyDescent="0.2"/>
    <row r="52310" ht="9.9499999999999993" hidden="1" customHeight="1" x14ac:dyDescent="0.2"/>
    <row r="52311" ht="9.9499999999999993" hidden="1" customHeight="1" x14ac:dyDescent="0.2"/>
    <row r="52312" ht="9.9499999999999993" hidden="1" customHeight="1" x14ac:dyDescent="0.2"/>
    <row r="52313" ht="9.9499999999999993" hidden="1" customHeight="1" x14ac:dyDescent="0.2"/>
    <row r="52314" ht="9.9499999999999993" hidden="1" customHeight="1" x14ac:dyDescent="0.2"/>
    <row r="52315" ht="9.9499999999999993" hidden="1" customHeight="1" x14ac:dyDescent="0.2"/>
    <row r="52316" ht="9.9499999999999993" hidden="1" customHeight="1" x14ac:dyDescent="0.2"/>
    <row r="52317" ht="9.9499999999999993" hidden="1" customHeight="1" x14ac:dyDescent="0.2"/>
    <row r="52318" ht="9.9499999999999993" hidden="1" customHeight="1" x14ac:dyDescent="0.2"/>
    <row r="52319" ht="9.9499999999999993" hidden="1" customHeight="1" x14ac:dyDescent="0.2"/>
    <row r="52320" ht="9.9499999999999993" hidden="1" customHeight="1" x14ac:dyDescent="0.2"/>
    <row r="52321" ht="9.9499999999999993" hidden="1" customHeight="1" x14ac:dyDescent="0.2"/>
    <row r="52322" ht="9.9499999999999993" hidden="1" customHeight="1" x14ac:dyDescent="0.2"/>
    <row r="52323" ht="9.9499999999999993" hidden="1" customHeight="1" x14ac:dyDescent="0.2"/>
    <row r="52324" ht="9.9499999999999993" hidden="1" customHeight="1" x14ac:dyDescent="0.2"/>
    <row r="52325" ht="9.9499999999999993" hidden="1" customHeight="1" x14ac:dyDescent="0.2"/>
    <row r="52326" ht="9.9499999999999993" hidden="1" customHeight="1" x14ac:dyDescent="0.2"/>
    <row r="52327" ht="9.9499999999999993" hidden="1" customHeight="1" x14ac:dyDescent="0.2"/>
    <row r="52328" ht="9.9499999999999993" hidden="1" customHeight="1" x14ac:dyDescent="0.2"/>
    <row r="52329" ht="9.9499999999999993" hidden="1" customHeight="1" x14ac:dyDescent="0.2"/>
    <row r="52330" ht="9.9499999999999993" hidden="1" customHeight="1" x14ac:dyDescent="0.2"/>
    <row r="52331" ht="9.9499999999999993" hidden="1" customHeight="1" x14ac:dyDescent="0.2"/>
    <row r="52332" ht="9.9499999999999993" hidden="1" customHeight="1" x14ac:dyDescent="0.2"/>
    <row r="52333" ht="9.9499999999999993" hidden="1" customHeight="1" x14ac:dyDescent="0.2"/>
    <row r="52334" ht="9.9499999999999993" hidden="1" customHeight="1" x14ac:dyDescent="0.2"/>
    <row r="52335" ht="9.9499999999999993" hidden="1" customHeight="1" x14ac:dyDescent="0.2"/>
    <row r="52336" ht="9.9499999999999993" hidden="1" customHeight="1" x14ac:dyDescent="0.2"/>
    <row r="52337" ht="9.9499999999999993" hidden="1" customHeight="1" x14ac:dyDescent="0.2"/>
    <row r="52338" ht="9.9499999999999993" hidden="1" customHeight="1" x14ac:dyDescent="0.2"/>
    <row r="52339" ht="9.9499999999999993" hidden="1" customHeight="1" x14ac:dyDescent="0.2"/>
    <row r="52340" ht="9.9499999999999993" hidden="1" customHeight="1" x14ac:dyDescent="0.2"/>
    <row r="52341" ht="9.9499999999999993" hidden="1" customHeight="1" x14ac:dyDescent="0.2"/>
    <row r="52342" ht="9.9499999999999993" hidden="1" customHeight="1" x14ac:dyDescent="0.2"/>
    <row r="52343" ht="9.9499999999999993" hidden="1" customHeight="1" x14ac:dyDescent="0.2"/>
    <row r="52344" ht="9.9499999999999993" hidden="1" customHeight="1" x14ac:dyDescent="0.2"/>
    <row r="52345" ht="9.9499999999999993" hidden="1" customHeight="1" x14ac:dyDescent="0.2"/>
    <row r="52346" ht="9.9499999999999993" hidden="1" customHeight="1" x14ac:dyDescent="0.2"/>
    <row r="52347" ht="9.9499999999999993" hidden="1" customHeight="1" x14ac:dyDescent="0.2"/>
    <row r="52348" ht="9.9499999999999993" hidden="1" customHeight="1" x14ac:dyDescent="0.2"/>
    <row r="52349" ht="9.9499999999999993" hidden="1" customHeight="1" x14ac:dyDescent="0.2"/>
    <row r="52350" ht="9.9499999999999993" hidden="1" customHeight="1" x14ac:dyDescent="0.2"/>
    <row r="52351" ht="9.9499999999999993" hidden="1" customHeight="1" x14ac:dyDescent="0.2"/>
    <row r="52352" ht="9.9499999999999993" hidden="1" customHeight="1" x14ac:dyDescent="0.2"/>
    <row r="52353" ht="9.9499999999999993" hidden="1" customHeight="1" x14ac:dyDescent="0.2"/>
    <row r="52354" ht="9.9499999999999993" hidden="1" customHeight="1" x14ac:dyDescent="0.2"/>
    <row r="52355" ht="9.9499999999999993" hidden="1" customHeight="1" x14ac:dyDescent="0.2"/>
    <row r="52356" ht="9.9499999999999993" hidden="1" customHeight="1" x14ac:dyDescent="0.2"/>
    <row r="52357" ht="9.9499999999999993" hidden="1" customHeight="1" x14ac:dyDescent="0.2"/>
    <row r="52358" ht="9.9499999999999993" hidden="1" customHeight="1" x14ac:dyDescent="0.2"/>
    <row r="52359" ht="9.9499999999999993" hidden="1" customHeight="1" x14ac:dyDescent="0.2"/>
    <row r="52360" ht="9.9499999999999993" hidden="1" customHeight="1" x14ac:dyDescent="0.2"/>
    <row r="52361" ht="9.9499999999999993" hidden="1" customHeight="1" x14ac:dyDescent="0.2"/>
    <row r="52362" ht="9.9499999999999993" hidden="1" customHeight="1" x14ac:dyDescent="0.2"/>
    <row r="52363" ht="9.9499999999999993" hidden="1" customHeight="1" x14ac:dyDescent="0.2"/>
    <row r="52364" ht="9.9499999999999993" hidden="1" customHeight="1" x14ac:dyDescent="0.2"/>
    <row r="52365" ht="9.9499999999999993" hidden="1" customHeight="1" x14ac:dyDescent="0.2"/>
    <row r="52366" ht="9.9499999999999993" hidden="1" customHeight="1" x14ac:dyDescent="0.2"/>
    <row r="52367" ht="9.9499999999999993" hidden="1" customHeight="1" x14ac:dyDescent="0.2"/>
    <row r="52368" ht="9.9499999999999993" hidden="1" customHeight="1" x14ac:dyDescent="0.2"/>
    <row r="52369" ht="9.9499999999999993" hidden="1" customHeight="1" x14ac:dyDescent="0.2"/>
    <row r="52370" ht="9.9499999999999993" hidden="1" customHeight="1" x14ac:dyDescent="0.2"/>
    <row r="52371" ht="9.9499999999999993" hidden="1" customHeight="1" x14ac:dyDescent="0.2"/>
    <row r="52372" ht="9.9499999999999993" hidden="1" customHeight="1" x14ac:dyDescent="0.2"/>
    <row r="52373" ht="9.9499999999999993" hidden="1" customHeight="1" x14ac:dyDescent="0.2"/>
    <row r="52374" ht="9.9499999999999993" hidden="1" customHeight="1" x14ac:dyDescent="0.2"/>
    <row r="52375" ht="9.9499999999999993" hidden="1" customHeight="1" x14ac:dyDescent="0.2"/>
    <row r="52376" ht="9.9499999999999993" hidden="1" customHeight="1" x14ac:dyDescent="0.2"/>
    <row r="52377" ht="9.9499999999999993" hidden="1" customHeight="1" x14ac:dyDescent="0.2"/>
    <row r="52378" ht="9.9499999999999993" hidden="1" customHeight="1" x14ac:dyDescent="0.2"/>
    <row r="52379" ht="9.9499999999999993" hidden="1" customHeight="1" x14ac:dyDescent="0.2"/>
    <row r="52380" ht="9.9499999999999993" hidden="1" customHeight="1" x14ac:dyDescent="0.2"/>
    <row r="52381" ht="9.9499999999999993" hidden="1" customHeight="1" x14ac:dyDescent="0.2"/>
    <row r="52382" ht="9.9499999999999993" hidden="1" customHeight="1" x14ac:dyDescent="0.2"/>
    <row r="52383" ht="9.9499999999999993" hidden="1" customHeight="1" x14ac:dyDescent="0.2"/>
    <row r="52384" ht="9.9499999999999993" hidden="1" customHeight="1" x14ac:dyDescent="0.2"/>
    <row r="52385" ht="9.9499999999999993" hidden="1" customHeight="1" x14ac:dyDescent="0.2"/>
    <row r="52386" ht="9.9499999999999993" hidden="1" customHeight="1" x14ac:dyDescent="0.2"/>
    <row r="52387" ht="9.9499999999999993" hidden="1" customHeight="1" x14ac:dyDescent="0.2"/>
    <row r="52388" ht="9.9499999999999993" hidden="1" customHeight="1" x14ac:dyDescent="0.2"/>
    <row r="52389" ht="9.9499999999999993" hidden="1" customHeight="1" x14ac:dyDescent="0.2"/>
    <row r="52390" ht="9.9499999999999993" hidden="1" customHeight="1" x14ac:dyDescent="0.2"/>
    <row r="52391" ht="9.9499999999999993" hidden="1" customHeight="1" x14ac:dyDescent="0.2"/>
    <row r="52392" ht="9.9499999999999993" hidden="1" customHeight="1" x14ac:dyDescent="0.2"/>
    <row r="52393" ht="9.9499999999999993" hidden="1" customHeight="1" x14ac:dyDescent="0.2"/>
    <row r="52394" ht="9.9499999999999993" hidden="1" customHeight="1" x14ac:dyDescent="0.2"/>
    <row r="52395" ht="9.9499999999999993" hidden="1" customHeight="1" x14ac:dyDescent="0.2"/>
    <row r="52396" ht="9.9499999999999993" hidden="1" customHeight="1" x14ac:dyDescent="0.2"/>
    <row r="52397" ht="9.9499999999999993" hidden="1" customHeight="1" x14ac:dyDescent="0.2"/>
    <row r="52398" ht="9.9499999999999993" hidden="1" customHeight="1" x14ac:dyDescent="0.2"/>
    <row r="52399" ht="9.9499999999999993" hidden="1" customHeight="1" x14ac:dyDescent="0.2"/>
    <row r="52400" ht="9.9499999999999993" hidden="1" customHeight="1" x14ac:dyDescent="0.2"/>
    <row r="52401" ht="9.9499999999999993" hidden="1" customHeight="1" x14ac:dyDescent="0.2"/>
    <row r="52402" ht="9.9499999999999993" hidden="1" customHeight="1" x14ac:dyDescent="0.2"/>
    <row r="52403" ht="9.9499999999999993" hidden="1" customHeight="1" x14ac:dyDescent="0.2"/>
    <row r="52404" ht="9.9499999999999993" hidden="1" customHeight="1" x14ac:dyDescent="0.2"/>
    <row r="52405" ht="9.9499999999999993" hidden="1" customHeight="1" x14ac:dyDescent="0.2"/>
    <row r="52406" ht="9.9499999999999993" hidden="1" customHeight="1" x14ac:dyDescent="0.2"/>
    <row r="52407" ht="9.9499999999999993" hidden="1" customHeight="1" x14ac:dyDescent="0.2"/>
    <row r="52408" ht="9.9499999999999993" hidden="1" customHeight="1" x14ac:dyDescent="0.2"/>
    <row r="52409" ht="9.9499999999999993" hidden="1" customHeight="1" x14ac:dyDescent="0.2"/>
    <row r="52410" ht="9.9499999999999993" hidden="1" customHeight="1" x14ac:dyDescent="0.2"/>
    <row r="52411" ht="9.9499999999999993" hidden="1" customHeight="1" x14ac:dyDescent="0.2"/>
    <row r="52412" ht="9.9499999999999993" hidden="1" customHeight="1" x14ac:dyDescent="0.2"/>
    <row r="52413" ht="9.9499999999999993" hidden="1" customHeight="1" x14ac:dyDescent="0.2"/>
    <row r="52414" ht="9.9499999999999993" hidden="1" customHeight="1" x14ac:dyDescent="0.2"/>
    <row r="52415" ht="9.9499999999999993" hidden="1" customHeight="1" x14ac:dyDescent="0.2"/>
    <row r="52416" ht="9.9499999999999993" hidden="1" customHeight="1" x14ac:dyDescent="0.2"/>
    <row r="52417" ht="9.9499999999999993" hidden="1" customHeight="1" x14ac:dyDescent="0.2"/>
    <row r="52418" ht="9.9499999999999993" hidden="1" customHeight="1" x14ac:dyDescent="0.2"/>
    <row r="52419" ht="9.9499999999999993" hidden="1" customHeight="1" x14ac:dyDescent="0.2"/>
    <row r="52420" ht="9.9499999999999993" hidden="1" customHeight="1" x14ac:dyDescent="0.2"/>
    <row r="52421" ht="9.9499999999999993" hidden="1" customHeight="1" x14ac:dyDescent="0.2"/>
    <row r="52422" ht="9.9499999999999993" hidden="1" customHeight="1" x14ac:dyDescent="0.2"/>
    <row r="52423" ht="9.9499999999999993" hidden="1" customHeight="1" x14ac:dyDescent="0.2"/>
    <row r="52424" ht="9.9499999999999993" hidden="1" customHeight="1" x14ac:dyDescent="0.2"/>
    <row r="52425" ht="9.9499999999999993" hidden="1" customHeight="1" x14ac:dyDescent="0.2"/>
    <row r="52426" ht="9.9499999999999993" hidden="1" customHeight="1" x14ac:dyDescent="0.2"/>
    <row r="52427" ht="9.9499999999999993" hidden="1" customHeight="1" x14ac:dyDescent="0.2"/>
    <row r="52428" ht="9.9499999999999993" hidden="1" customHeight="1" x14ac:dyDescent="0.2"/>
    <row r="52429" ht="9.9499999999999993" hidden="1" customHeight="1" x14ac:dyDescent="0.2"/>
    <row r="52430" ht="9.9499999999999993" hidden="1" customHeight="1" x14ac:dyDescent="0.2"/>
    <row r="52431" ht="9.9499999999999993" hidden="1" customHeight="1" x14ac:dyDescent="0.2"/>
    <row r="52432" ht="9.9499999999999993" hidden="1" customHeight="1" x14ac:dyDescent="0.2"/>
    <row r="52433" ht="9.9499999999999993" hidden="1" customHeight="1" x14ac:dyDescent="0.2"/>
    <row r="52434" ht="9.9499999999999993" hidden="1" customHeight="1" x14ac:dyDescent="0.2"/>
    <row r="52435" ht="9.9499999999999993" hidden="1" customHeight="1" x14ac:dyDescent="0.2"/>
    <row r="52436" ht="9.9499999999999993" hidden="1" customHeight="1" x14ac:dyDescent="0.2"/>
    <row r="52437" ht="9.9499999999999993" hidden="1" customHeight="1" x14ac:dyDescent="0.2"/>
    <row r="52438" ht="9.9499999999999993" hidden="1" customHeight="1" x14ac:dyDescent="0.2"/>
    <row r="52439" ht="9.9499999999999993" hidden="1" customHeight="1" x14ac:dyDescent="0.2"/>
    <row r="52440" ht="9.9499999999999993" hidden="1" customHeight="1" x14ac:dyDescent="0.2"/>
    <row r="52441" ht="9.9499999999999993" hidden="1" customHeight="1" x14ac:dyDescent="0.2"/>
    <row r="52442" ht="9.9499999999999993" hidden="1" customHeight="1" x14ac:dyDescent="0.2"/>
    <row r="52443" ht="9.9499999999999993" hidden="1" customHeight="1" x14ac:dyDescent="0.2"/>
    <row r="52444" ht="9.9499999999999993" hidden="1" customHeight="1" x14ac:dyDescent="0.2"/>
    <row r="52445" ht="9.9499999999999993" hidden="1" customHeight="1" x14ac:dyDescent="0.2"/>
    <row r="52446" ht="9.9499999999999993" hidden="1" customHeight="1" x14ac:dyDescent="0.2"/>
    <row r="52447" ht="9.9499999999999993" hidden="1" customHeight="1" x14ac:dyDescent="0.2"/>
    <row r="52448" ht="9.9499999999999993" hidden="1" customHeight="1" x14ac:dyDescent="0.2"/>
    <row r="52449" ht="9.9499999999999993" hidden="1" customHeight="1" x14ac:dyDescent="0.2"/>
    <row r="52450" ht="9.9499999999999993" hidden="1" customHeight="1" x14ac:dyDescent="0.2"/>
    <row r="52451" ht="9.9499999999999993" hidden="1" customHeight="1" x14ac:dyDescent="0.2"/>
    <row r="52452" ht="9.9499999999999993" hidden="1" customHeight="1" x14ac:dyDescent="0.2"/>
    <row r="52453" ht="9.9499999999999993" hidden="1" customHeight="1" x14ac:dyDescent="0.2"/>
    <row r="52454" ht="9.9499999999999993" hidden="1" customHeight="1" x14ac:dyDescent="0.2"/>
    <row r="52455" ht="9.9499999999999993" hidden="1" customHeight="1" x14ac:dyDescent="0.2"/>
    <row r="52456" ht="9.9499999999999993" hidden="1" customHeight="1" x14ac:dyDescent="0.2"/>
    <row r="52457" ht="9.9499999999999993" hidden="1" customHeight="1" x14ac:dyDescent="0.2"/>
    <row r="52458" ht="9.9499999999999993" hidden="1" customHeight="1" x14ac:dyDescent="0.2"/>
    <row r="52459" ht="9.9499999999999993" hidden="1" customHeight="1" x14ac:dyDescent="0.2"/>
    <row r="52460" ht="9.9499999999999993" hidden="1" customHeight="1" x14ac:dyDescent="0.2"/>
    <row r="52461" ht="9.9499999999999993" hidden="1" customHeight="1" x14ac:dyDescent="0.2"/>
    <row r="52462" ht="9.9499999999999993" hidden="1" customHeight="1" x14ac:dyDescent="0.2"/>
    <row r="52463" ht="9.9499999999999993" hidden="1" customHeight="1" x14ac:dyDescent="0.2"/>
    <row r="52464" ht="9.9499999999999993" hidden="1" customHeight="1" x14ac:dyDescent="0.2"/>
    <row r="52465" ht="9.9499999999999993" hidden="1" customHeight="1" x14ac:dyDescent="0.2"/>
    <row r="52466" ht="9.9499999999999993" hidden="1" customHeight="1" x14ac:dyDescent="0.2"/>
    <row r="52467" ht="9.9499999999999993" hidden="1" customHeight="1" x14ac:dyDescent="0.2"/>
    <row r="52468" ht="9.9499999999999993" hidden="1" customHeight="1" x14ac:dyDescent="0.2"/>
    <row r="52469" ht="9.9499999999999993" hidden="1" customHeight="1" x14ac:dyDescent="0.2"/>
    <row r="52470" ht="9.9499999999999993" hidden="1" customHeight="1" x14ac:dyDescent="0.2"/>
    <row r="52471" ht="9.9499999999999993" hidden="1" customHeight="1" x14ac:dyDescent="0.2"/>
    <row r="52472" ht="9.9499999999999993" hidden="1" customHeight="1" x14ac:dyDescent="0.2"/>
    <row r="52473" ht="9.9499999999999993" hidden="1" customHeight="1" x14ac:dyDescent="0.2"/>
    <row r="52474" ht="9.9499999999999993" hidden="1" customHeight="1" x14ac:dyDescent="0.2"/>
    <row r="52475" ht="9.9499999999999993" hidden="1" customHeight="1" x14ac:dyDescent="0.2"/>
    <row r="52476" ht="9.9499999999999993" hidden="1" customHeight="1" x14ac:dyDescent="0.2"/>
    <row r="52477" ht="9.9499999999999993" hidden="1" customHeight="1" x14ac:dyDescent="0.2"/>
    <row r="52478" ht="9.9499999999999993" hidden="1" customHeight="1" x14ac:dyDescent="0.2"/>
    <row r="52479" ht="9.9499999999999993" hidden="1" customHeight="1" x14ac:dyDescent="0.2"/>
    <row r="52480" ht="9.9499999999999993" hidden="1" customHeight="1" x14ac:dyDescent="0.2"/>
    <row r="52481" ht="9.9499999999999993" hidden="1" customHeight="1" x14ac:dyDescent="0.2"/>
    <row r="52482" ht="9.9499999999999993" hidden="1" customHeight="1" x14ac:dyDescent="0.2"/>
    <row r="52483" ht="9.9499999999999993" hidden="1" customHeight="1" x14ac:dyDescent="0.2"/>
    <row r="52484" ht="9.9499999999999993" hidden="1" customHeight="1" x14ac:dyDescent="0.2"/>
    <row r="52485" ht="9.9499999999999993" hidden="1" customHeight="1" x14ac:dyDescent="0.2"/>
    <row r="52486" ht="9.9499999999999993" hidden="1" customHeight="1" x14ac:dyDescent="0.2"/>
    <row r="52487" ht="9.9499999999999993" hidden="1" customHeight="1" x14ac:dyDescent="0.2"/>
    <row r="52488" ht="9.9499999999999993" hidden="1" customHeight="1" x14ac:dyDescent="0.2"/>
    <row r="52489" ht="9.9499999999999993" hidden="1" customHeight="1" x14ac:dyDescent="0.2"/>
    <row r="52490" ht="9.9499999999999993" hidden="1" customHeight="1" x14ac:dyDescent="0.2"/>
    <row r="52491" ht="9.9499999999999993" hidden="1" customHeight="1" x14ac:dyDescent="0.2"/>
    <row r="52492" ht="9.9499999999999993" hidden="1" customHeight="1" x14ac:dyDescent="0.2"/>
    <row r="52493" ht="9.9499999999999993" hidden="1" customHeight="1" x14ac:dyDescent="0.2"/>
    <row r="52494" ht="9.9499999999999993" hidden="1" customHeight="1" x14ac:dyDescent="0.2"/>
    <row r="52495" ht="9.9499999999999993" hidden="1" customHeight="1" x14ac:dyDescent="0.2"/>
    <row r="52496" ht="9.9499999999999993" hidden="1" customHeight="1" x14ac:dyDescent="0.2"/>
    <row r="52497" ht="9.9499999999999993" hidden="1" customHeight="1" x14ac:dyDescent="0.2"/>
    <row r="52498" ht="9.9499999999999993" hidden="1" customHeight="1" x14ac:dyDescent="0.2"/>
    <row r="52499" ht="9.9499999999999993" hidden="1" customHeight="1" x14ac:dyDescent="0.2"/>
    <row r="52500" ht="9.9499999999999993" hidden="1" customHeight="1" x14ac:dyDescent="0.2"/>
    <row r="52501" ht="9.9499999999999993" hidden="1" customHeight="1" x14ac:dyDescent="0.2"/>
    <row r="52502" ht="9.9499999999999993" hidden="1" customHeight="1" x14ac:dyDescent="0.2"/>
    <row r="52503" ht="9.9499999999999993" hidden="1" customHeight="1" x14ac:dyDescent="0.2"/>
    <row r="52504" ht="9.9499999999999993" hidden="1" customHeight="1" x14ac:dyDescent="0.2"/>
    <row r="52505" ht="9.9499999999999993" hidden="1" customHeight="1" x14ac:dyDescent="0.2"/>
    <row r="52506" ht="9.9499999999999993" hidden="1" customHeight="1" x14ac:dyDescent="0.2"/>
    <row r="52507" ht="9.9499999999999993" hidden="1" customHeight="1" x14ac:dyDescent="0.2"/>
    <row r="52508" ht="9.9499999999999993" hidden="1" customHeight="1" x14ac:dyDescent="0.2"/>
    <row r="52509" ht="9.9499999999999993" hidden="1" customHeight="1" x14ac:dyDescent="0.2"/>
    <row r="52510" ht="9.9499999999999993" hidden="1" customHeight="1" x14ac:dyDescent="0.2"/>
    <row r="52511" ht="9.9499999999999993" hidden="1" customHeight="1" x14ac:dyDescent="0.2"/>
    <row r="52512" ht="9.9499999999999993" hidden="1" customHeight="1" x14ac:dyDescent="0.2"/>
    <row r="52513" ht="9.9499999999999993" hidden="1" customHeight="1" x14ac:dyDescent="0.2"/>
    <row r="52514" ht="9.9499999999999993" hidden="1" customHeight="1" x14ac:dyDescent="0.2"/>
    <row r="52515" ht="9.9499999999999993" hidden="1" customHeight="1" x14ac:dyDescent="0.2"/>
    <row r="52516" ht="9.9499999999999993" hidden="1" customHeight="1" x14ac:dyDescent="0.2"/>
    <row r="52517" ht="9.9499999999999993" hidden="1" customHeight="1" x14ac:dyDescent="0.2"/>
    <row r="52518" ht="9.9499999999999993" hidden="1" customHeight="1" x14ac:dyDescent="0.2"/>
    <row r="52519" ht="9.9499999999999993" hidden="1" customHeight="1" x14ac:dyDescent="0.2"/>
    <row r="52520" ht="9.9499999999999993" hidden="1" customHeight="1" x14ac:dyDescent="0.2"/>
    <row r="52521" ht="9.9499999999999993" hidden="1" customHeight="1" x14ac:dyDescent="0.2"/>
    <row r="52522" ht="9.9499999999999993" hidden="1" customHeight="1" x14ac:dyDescent="0.2"/>
    <row r="52523" ht="9.9499999999999993" hidden="1" customHeight="1" x14ac:dyDescent="0.2"/>
    <row r="52524" ht="9.9499999999999993" hidden="1" customHeight="1" x14ac:dyDescent="0.2"/>
    <row r="52525" ht="9.9499999999999993" hidden="1" customHeight="1" x14ac:dyDescent="0.2"/>
    <row r="52526" ht="9.9499999999999993" hidden="1" customHeight="1" x14ac:dyDescent="0.2"/>
    <row r="52527" ht="9.9499999999999993" hidden="1" customHeight="1" x14ac:dyDescent="0.2"/>
    <row r="52528" ht="9.9499999999999993" hidden="1" customHeight="1" x14ac:dyDescent="0.2"/>
    <row r="52529" ht="9.9499999999999993" hidden="1" customHeight="1" x14ac:dyDescent="0.2"/>
    <row r="52530" ht="9.9499999999999993" hidden="1" customHeight="1" x14ac:dyDescent="0.2"/>
    <row r="52531" ht="9.9499999999999993" hidden="1" customHeight="1" x14ac:dyDescent="0.2"/>
    <row r="52532" ht="9.9499999999999993" hidden="1" customHeight="1" x14ac:dyDescent="0.2"/>
    <row r="52533" ht="9.9499999999999993" hidden="1" customHeight="1" x14ac:dyDescent="0.2"/>
    <row r="52534" ht="9.9499999999999993" hidden="1" customHeight="1" x14ac:dyDescent="0.2"/>
    <row r="52535" ht="9.9499999999999993" hidden="1" customHeight="1" x14ac:dyDescent="0.2"/>
    <row r="52536" ht="9.9499999999999993" hidden="1" customHeight="1" x14ac:dyDescent="0.2"/>
    <row r="52537" ht="9.9499999999999993" hidden="1" customHeight="1" x14ac:dyDescent="0.2"/>
    <row r="52538" ht="9.9499999999999993" hidden="1" customHeight="1" x14ac:dyDescent="0.2"/>
    <row r="52539" ht="9.9499999999999993" hidden="1" customHeight="1" x14ac:dyDescent="0.2"/>
    <row r="52540" ht="9.9499999999999993" hidden="1" customHeight="1" x14ac:dyDescent="0.2"/>
    <row r="52541" ht="9.9499999999999993" hidden="1" customHeight="1" x14ac:dyDescent="0.2"/>
    <row r="52542" ht="9.9499999999999993" hidden="1" customHeight="1" x14ac:dyDescent="0.2"/>
    <row r="52543" ht="9.9499999999999993" hidden="1" customHeight="1" x14ac:dyDescent="0.2"/>
    <row r="52544" ht="9.9499999999999993" hidden="1" customHeight="1" x14ac:dyDescent="0.2"/>
    <row r="52545" ht="9.9499999999999993" hidden="1" customHeight="1" x14ac:dyDescent="0.2"/>
    <row r="52546" ht="9.9499999999999993" hidden="1" customHeight="1" x14ac:dyDescent="0.2"/>
    <row r="52547" ht="9.9499999999999993" hidden="1" customHeight="1" x14ac:dyDescent="0.2"/>
    <row r="52548" ht="9.9499999999999993" hidden="1" customHeight="1" x14ac:dyDescent="0.2"/>
    <row r="52549" ht="9.9499999999999993" hidden="1" customHeight="1" x14ac:dyDescent="0.2"/>
    <row r="52550" ht="9.9499999999999993" hidden="1" customHeight="1" x14ac:dyDescent="0.2"/>
    <row r="52551" ht="9.9499999999999993" hidden="1" customHeight="1" x14ac:dyDescent="0.2"/>
    <row r="52552" ht="9.9499999999999993" hidden="1" customHeight="1" x14ac:dyDescent="0.2"/>
    <row r="52553" ht="9.9499999999999993" hidden="1" customHeight="1" x14ac:dyDescent="0.2"/>
    <row r="52554" ht="9.9499999999999993" hidden="1" customHeight="1" x14ac:dyDescent="0.2"/>
    <row r="52555" ht="9.9499999999999993" hidden="1" customHeight="1" x14ac:dyDescent="0.2"/>
    <row r="52556" ht="9.9499999999999993" hidden="1" customHeight="1" x14ac:dyDescent="0.2"/>
    <row r="52557" ht="9.9499999999999993" hidden="1" customHeight="1" x14ac:dyDescent="0.2"/>
    <row r="52558" ht="9.9499999999999993" hidden="1" customHeight="1" x14ac:dyDescent="0.2"/>
    <row r="52559" ht="9.9499999999999993" hidden="1" customHeight="1" x14ac:dyDescent="0.2"/>
    <row r="52560" ht="9.9499999999999993" hidden="1" customHeight="1" x14ac:dyDescent="0.2"/>
    <row r="52561" ht="9.9499999999999993" hidden="1" customHeight="1" x14ac:dyDescent="0.2"/>
    <row r="52562" ht="9.9499999999999993" hidden="1" customHeight="1" x14ac:dyDescent="0.2"/>
    <row r="52563" ht="9.9499999999999993" hidden="1" customHeight="1" x14ac:dyDescent="0.2"/>
    <row r="52564" ht="9.9499999999999993" hidden="1" customHeight="1" x14ac:dyDescent="0.2"/>
    <row r="52565" ht="9.9499999999999993" hidden="1" customHeight="1" x14ac:dyDescent="0.2"/>
    <row r="52566" ht="9.9499999999999993" hidden="1" customHeight="1" x14ac:dyDescent="0.2"/>
    <row r="52567" ht="9.9499999999999993" hidden="1" customHeight="1" x14ac:dyDescent="0.2"/>
    <row r="52568" ht="9.9499999999999993" hidden="1" customHeight="1" x14ac:dyDescent="0.2"/>
    <row r="52569" ht="9.9499999999999993" hidden="1" customHeight="1" x14ac:dyDescent="0.2"/>
    <row r="52570" ht="9.9499999999999993" hidden="1" customHeight="1" x14ac:dyDescent="0.2"/>
    <row r="52571" ht="9.9499999999999993" hidden="1" customHeight="1" x14ac:dyDescent="0.2"/>
    <row r="52572" ht="9.9499999999999993" hidden="1" customHeight="1" x14ac:dyDescent="0.2"/>
    <row r="52573" ht="9.9499999999999993" hidden="1" customHeight="1" x14ac:dyDescent="0.2"/>
    <row r="52574" ht="9.9499999999999993" hidden="1" customHeight="1" x14ac:dyDescent="0.2"/>
    <row r="52575" ht="9.9499999999999993" hidden="1" customHeight="1" x14ac:dyDescent="0.2"/>
    <row r="52576" ht="9.9499999999999993" hidden="1" customHeight="1" x14ac:dyDescent="0.2"/>
    <row r="52577" ht="9.9499999999999993" hidden="1" customHeight="1" x14ac:dyDescent="0.2"/>
    <row r="52578" ht="9.9499999999999993" hidden="1" customHeight="1" x14ac:dyDescent="0.2"/>
    <row r="52579" ht="9.9499999999999993" hidden="1" customHeight="1" x14ac:dyDescent="0.2"/>
    <row r="52580" ht="9.9499999999999993" hidden="1" customHeight="1" x14ac:dyDescent="0.2"/>
    <row r="52581" ht="9.9499999999999993" hidden="1" customHeight="1" x14ac:dyDescent="0.2"/>
    <row r="52582" ht="9.9499999999999993" hidden="1" customHeight="1" x14ac:dyDescent="0.2"/>
    <row r="52583" ht="9.9499999999999993" hidden="1" customHeight="1" x14ac:dyDescent="0.2"/>
    <row r="52584" ht="9.9499999999999993" hidden="1" customHeight="1" x14ac:dyDescent="0.2"/>
    <row r="52585" ht="9.9499999999999993" hidden="1" customHeight="1" x14ac:dyDescent="0.2"/>
    <row r="52586" ht="9.9499999999999993" hidden="1" customHeight="1" x14ac:dyDescent="0.2"/>
    <row r="52587" ht="9.9499999999999993" hidden="1" customHeight="1" x14ac:dyDescent="0.2"/>
    <row r="52588" ht="9.9499999999999993" hidden="1" customHeight="1" x14ac:dyDescent="0.2"/>
    <row r="52589" ht="9.9499999999999993" hidden="1" customHeight="1" x14ac:dyDescent="0.2"/>
    <row r="52590" ht="9.9499999999999993" hidden="1" customHeight="1" x14ac:dyDescent="0.2"/>
    <row r="52591" ht="9.9499999999999993" hidden="1" customHeight="1" x14ac:dyDescent="0.2"/>
    <row r="52592" ht="9.9499999999999993" hidden="1" customHeight="1" x14ac:dyDescent="0.2"/>
    <row r="52593" ht="9.9499999999999993" hidden="1" customHeight="1" x14ac:dyDescent="0.2"/>
    <row r="52594" ht="9.9499999999999993" hidden="1" customHeight="1" x14ac:dyDescent="0.2"/>
    <row r="52595" ht="9.9499999999999993" hidden="1" customHeight="1" x14ac:dyDescent="0.2"/>
    <row r="52596" ht="9.9499999999999993" hidden="1" customHeight="1" x14ac:dyDescent="0.2"/>
    <row r="52597" ht="9.9499999999999993" hidden="1" customHeight="1" x14ac:dyDescent="0.2"/>
    <row r="52598" ht="9.9499999999999993" hidden="1" customHeight="1" x14ac:dyDescent="0.2"/>
    <row r="52599" ht="9.9499999999999993" hidden="1" customHeight="1" x14ac:dyDescent="0.2"/>
    <row r="52600" ht="9.9499999999999993" hidden="1" customHeight="1" x14ac:dyDescent="0.2"/>
    <row r="52601" ht="9.9499999999999993" hidden="1" customHeight="1" x14ac:dyDescent="0.2"/>
    <row r="52602" ht="9.9499999999999993" hidden="1" customHeight="1" x14ac:dyDescent="0.2"/>
    <row r="52603" ht="9.9499999999999993" hidden="1" customHeight="1" x14ac:dyDescent="0.2"/>
    <row r="52604" ht="9.9499999999999993" hidden="1" customHeight="1" x14ac:dyDescent="0.2"/>
    <row r="52605" ht="9.9499999999999993" hidden="1" customHeight="1" x14ac:dyDescent="0.2"/>
    <row r="52606" ht="9.9499999999999993" hidden="1" customHeight="1" x14ac:dyDescent="0.2"/>
    <row r="52607" ht="9.9499999999999993" hidden="1" customHeight="1" x14ac:dyDescent="0.2"/>
    <row r="52608" ht="9.9499999999999993" hidden="1" customHeight="1" x14ac:dyDescent="0.2"/>
    <row r="52609" ht="9.9499999999999993" hidden="1" customHeight="1" x14ac:dyDescent="0.2"/>
    <row r="52610" ht="9.9499999999999993" hidden="1" customHeight="1" x14ac:dyDescent="0.2"/>
    <row r="52611" ht="9.9499999999999993" hidden="1" customHeight="1" x14ac:dyDescent="0.2"/>
    <row r="52612" ht="9.9499999999999993" hidden="1" customHeight="1" x14ac:dyDescent="0.2"/>
    <row r="52613" ht="9.9499999999999993" hidden="1" customHeight="1" x14ac:dyDescent="0.2"/>
    <row r="52614" ht="9.9499999999999993" hidden="1" customHeight="1" x14ac:dyDescent="0.2"/>
    <row r="52615" ht="9.9499999999999993" hidden="1" customHeight="1" x14ac:dyDescent="0.2"/>
    <row r="52616" ht="9.9499999999999993" hidden="1" customHeight="1" x14ac:dyDescent="0.2"/>
    <row r="52617" ht="9.9499999999999993" hidden="1" customHeight="1" x14ac:dyDescent="0.2"/>
    <row r="52618" ht="9.9499999999999993" hidden="1" customHeight="1" x14ac:dyDescent="0.2"/>
    <row r="52619" ht="9.9499999999999993" hidden="1" customHeight="1" x14ac:dyDescent="0.2"/>
    <row r="52620" ht="9.9499999999999993" hidden="1" customHeight="1" x14ac:dyDescent="0.2"/>
    <row r="52621" ht="9.9499999999999993" hidden="1" customHeight="1" x14ac:dyDescent="0.2"/>
    <row r="52622" ht="9.9499999999999993" hidden="1" customHeight="1" x14ac:dyDescent="0.2"/>
    <row r="52623" ht="9.9499999999999993" hidden="1" customHeight="1" x14ac:dyDescent="0.2"/>
    <row r="52624" ht="9.9499999999999993" hidden="1" customHeight="1" x14ac:dyDescent="0.2"/>
    <row r="52625" ht="9.9499999999999993" hidden="1" customHeight="1" x14ac:dyDescent="0.2"/>
    <row r="52626" ht="9.9499999999999993" hidden="1" customHeight="1" x14ac:dyDescent="0.2"/>
    <row r="52627" ht="9.9499999999999993" hidden="1" customHeight="1" x14ac:dyDescent="0.2"/>
    <row r="52628" ht="9.9499999999999993" hidden="1" customHeight="1" x14ac:dyDescent="0.2"/>
    <row r="52629" ht="9.9499999999999993" hidden="1" customHeight="1" x14ac:dyDescent="0.2"/>
    <row r="52630" ht="9.9499999999999993" hidden="1" customHeight="1" x14ac:dyDescent="0.2"/>
    <row r="52631" ht="9.9499999999999993" hidden="1" customHeight="1" x14ac:dyDescent="0.2"/>
    <row r="52632" ht="9.9499999999999993" hidden="1" customHeight="1" x14ac:dyDescent="0.2"/>
    <row r="52633" ht="9.9499999999999993" hidden="1" customHeight="1" x14ac:dyDescent="0.2"/>
    <row r="52634" ht="9.9499999999999993" hidden="1" customHeight="1" x14ac:dyDescent="0.2"/>
    <row r="52635" ht="9.9499999999999993" hidden="1" customHeight="1" x14ac:dyDescent="0.2"/>
    <row r="52636" ht="9.9499999999999993" hidden="1" customHeight="1" x14ac:dyDescent="0.2"/>
    <row r="52637" ht="9.9499999999999993" hidden="1" customHeight="1" x14ac:dyDescent="0.2"/>
    <row r="52638" ht="9.9499999999999993" hidden="1" customHeight="1" x14ac:dyDescent="0.2"/>
    <row r="52639" ht="9.9499999999999993" hidden="1" customHeight="1" x14ac:dyDescent="0.2"/>
    <row r="52640" ht="9.9499999999999993" hidden="1" customHeight="1" x14ac:dyDescent="0.2"/>
    <row r="52641" ht="9.9499999999999993" hidden="1" customHeight="1" x14ac:dyDescent="0.2"/>
    <row r="52642" ht="9.9499999999999993" hidden="1" customHeight="1" x14ac:dyDescent="0.2"/>
    <row r="52643" ht="9.9499999999999993" hidden="1" customHeight="1" x14ac:dyDescent="0.2"/>
    <row r="52644" ht="9.9499999999999993" hidden="1" customHeight="1" x14ac:dyDescent="0.2"/>
    <row r="52645" ht="9.9499999999999993" hidden="1" customHeight="1" x14ac:dyDescent="0.2"/>
    <row r="52646" ht="9.9499999999999993" hidden="1" customHeight="1" x14ac:dyDescent="0.2"/>
    <row r="52647" ht="9.9499999999999993" hidden="1" customHeight="1" x14ac:dyDescent="0.2"/>
    <row r="52648" ht="9.9499999999999993" hidden="1" customHeight="1" x14ac:dyDescent="0.2"/>
    <row r="52649" ht="9.9499999999999993" hidden="1" customHeight="1" x14ac:dyDescent="0.2"/>
    <row r="52650" ht="9.9499999999999993" hidden="1" customHeight="1" x14ac:dyDescent="0.2"/>
    <row r="52651" ht="9.9499999999999993" hidden="1" customHeight="1" x14ac:dyDescent="0.2"/>
    <row r="52652" ht="9.9499999999999993" hidden="1" customHeight="1" x14ac:dyDescent="0.2"/>
    <row r="52653" ht="9.9499999999999993" hidden="1" customHeight="1" x14ac:dyDescent="0.2"/>
    <row r="52654" ht="9.9499999999999993" hidden="1" customHeight="1" x14ac:dyDescent="0.2"/>
    <row r="52655" ht="9.9499999999999993" hidden="1" customHeight="1" x14ac:dyDescent="0.2"/>
    <row r="52656" ht="9.9499999999999993" hidden="1" customHeight="1" x14ac:dyDescent="0.2"/>
    <row r="52657" ht="9.9499999999999993" hidden="1" customHeight="1" x14ac:dyDescent="0.2"/>
    <row r="52658" ht="9.9499999999999993" hidden="1" customHeight="1" x14ac:dyDescent="0.2"/>
    <row r="52659" ht="9.9499999999999993" hidden="1" customHeight="1" x14ac:dyDescent="0.2"/>
    <row r="52660" ht="9.9499999999999993" hidden="1" customHeight="1" x14ac:dyDescent="0.2"/>
    <row r="52661" ht="9.9499999999999993" hidden="1" customHeight="1" x14ac:dyDescent="0.2"/>
    <row r="52662" ht="9.9499999999999993" hidden="1" customHeight="1" x14ac:dyDescent="0.2"/>
    <row r="52663" ht="9.9499999999999993" hidden="1" customHeight="1" x14ac:dyDescent="0.2"/>
    <row r="52664" ht="9.9499999999999993" hidden="1" customHeight="1" x14ac:dyDescent="0.2"/>
    <row r="52665" ht="9.9499999999999993" hidden="1" customHeight="1" x14ac:dyDescent="0.2"/>
    <row r="52666" ht="9.9499999999999993" hidden="1" customHeight="1" x14ac:dyDescent="0.2"/>
    <row r="52667" ht="9.9499999999999993" hidden="1" customHeight="1" x14ac:dyDescent="0.2"/>
    <row r="52668" ht="9.9499999999999993" hidden="1" customHeight="1" x14ac:dyDescent="0.2"/>
    <row r="52669" ht="9.9499999999999993" hidden="1" customHeight="1" x14ac:dyDescent="0.2"/>
    <row r="52670" ht="9.9499999999999993" hidden="1" customHeight="1" x14ac:dyDescent="0.2"/>
    <row r="52671" ht="9.9499999999999993" hidden="1" customHeight="1" x14ac:dyDescent="0.2"/>
    <row r="52672" ht="9.9499999999999993" hidden="1" customHeight="1" x14ac:dyDescent="0.2"/>
    <row r="52673" ht="9.9499999999999993" hidden="1" customHeight="1" x14ac:dyDescent="0.2"/>
    <row r="52674" ht="9.9499999999999993" hidden="1" customHeight="1" x14ac:dyDescent="0.2"/>
    <row r="52675" ht="9.9499999999999993" hidden="1" customHeight="1" x14ac:dyDescent="0.2"/>
    <row r="52676" ht="9.9499999999999993" hidden="1" customHeight="1" x14ac:dyDescent="0.2"/>
    <row r="52677" ht="9.9499999999999993" hidden="1" customHeight="1" x14ac:dyDescent="0.2"/>
    <row r="52678" ht="9.9499999999999993" hidden="1" customHeight="1" x14ac:dyDescent="0.2"/>
    <row r="52679" ht="9.9499999999999993" hidden="1" customHeight="1" x14ac:dyDescent="0.2"/>
    <row r="52680" ht="9.9499999999999993" hidden="1" customHeight="1" x14ac:dyDescent="0.2"/>
    <row r="52681" ht="9.9499999999999993" hidden="1" customHeight="1" x14ac:dyDescent="0.2"/>
    <row r="52682" ht="9.9499999999999993" hidden="1" customHeight="1" x14ac:dyDescent="0.2"/>
    <row r="52683" ht="9.9499999999999993" hidden="1" customHeight="1" x14ac:dyDescent="0.2"/>
    <row r="52684" ht="9.9499999999999993" hidden="1" customHeight="1" x14ac:dyDescent="0.2"/>
    <row r="52685" ht="9.9499999999999993" hidden="1" customHeight="1" x14ac:dyDescent="0.2"/>
    <row r="52686" ht="9.9499999999999993" hidden="1" customHeight="1" x14ac:dyDescent="0.2"/>
    <row r="52687" ht="9.9499999999999993" hidden="1" customHeight="1" x14ac:dyDescent="0.2"/>
    <row r="52688" ht="9.9499999999999993" hidden="1" customHeight="1" x14ac:dyDescent="0.2"/>
    <row r="52689" ht="9.9499999999999993" hidden="1" customHeight="1" x14ac:dyDescent="0.2"/>
    <row r="52690" ht="9.9499999999999993" hidden="1" customHeight="1" x14ac:dyDescent="0.2"/>
    <row r="52691" ht="9.9499999999999993" hidden="1" customHeight="1" x14ac:dyDescent="0.2"/>
    <row r="52692" ht="9.9499999999999993" hidden="1" customHeight="1" x14ac:dyDescent="0.2"/>
    <row r="52693" ht="9.9499999999999993" hidden="1" customHeight="1" x14ac:dyDescent="0.2"/>
    <row r="52694" ht="9.9499999999999993" hidden="1" customHeight="1" x14ac:dyDescent="0.2"/>
    <row r="52695" ht="9.9499999999999993" hidden="1" customHeight="1" x14ac:dyDescent="0.2"/>
    <row r="52696" ht="9.9499999999999993" hidden="1" customHeight="1" x14ac:dyDescent="0.2"/>
    <row r="52697" ht="9.9499999999999993" hidden="1" customHeight="1" x14ac:dyDescent="0.2"/>
    <row r="52698" ht="9.9499999999999993" hidden="1" customHeight="1" x14ac:dyDescent="0.2"/>
    <row r="52699" ht="9.9499999999999993" hidden="1" customHeight="1" x14ac:dyDescent="0.2"/>
    <row r="52700" ht="9.9499999999999993" hidden="1" customHeight="1" x14ac:dyDescent="0.2"/>
    <row r="52701" ht="9.9499999999999993" hidden="1" customHeight="1" x14ac:dyDescent="0.2"/>
    <row r="52702" ht="9.9499999999999993" hidden="1" customHeight="1" x14ac:dyDescent="0.2"/>
    <row r="52703" ht="9.9499999999999993" hidden="1" customHeight="1" x14ac:dyDescent="0.2"/>
    <row r="52704" ht="9.9499999999999993" hidden="1" customHeight="1" x14ac:dyDescent="0.2"/>
    <row r="52705" ht="9.9499999999999993" hidden="1" customHeight="1" x14ac:dyDescent="0.2"/>
    <row r="52706" ht="9.9499999999999993" hidden="1" customHeight="1" x14ac:dyDescent="0.2"/>
    <row r="52707" ht="9.9499999999999993" hidden="1" customHeight="1" x14ac:dyDescent="0.2"/>
    <row r="52708" ht="9.9499999999999993" hidden="1" customHeight="1" x14ac:dyDescent="0.2"/>
    <row r="52709" ht="9.9499999999999993" hidden="1" customHeight="1" x14ac:dyDescent="0.2"/>
    <row r="52710" ht="9.9499999999999993" hidden="1" customHeight="1" x14ac:dyDescent="0.2"/>
    <row r="52711" ht="9.9499999999999993" hidden="1" customHeight="1" x14ac:dyDescent="0.2"/>
    <row r="52712" ht="9.9499999999999993" hidden="1" customHeight="1" x14ac:dyDescent="0.2"/>
    <row r="52713" ht="9.9499999999999993" hidden="1" customHeight="1" x14ac:dyDescent="0.2"/>
    <row r="52714" ht="9.9499999999999993" hidden="1" customHeight="1" x14ac:dyDescent="0.2"/>
    <row r="52715" ht="9.9499999999999993" hidden="1" customHeight="1" x14ac:dyDescent="0.2"/>
    <row r="52716" ht="9.9499999999999993" hidden="1" customHeight="1" x14ac:dyDescent="0.2"/>
    <row r="52717" ht="9.9499999999999993" hidden="1" customHeight="1" x14ac:dyDescent="0.2"/>
    <row r="52718" ht="9.9499999999999993" hidden="1" customHeight="1" x14ac:dyDescent="0.2"/>
    <row r="52719" ht="9.9499999999999993" hidden="1" customHeight="1" x14ac:dyDescent="0.2"/>
    <row r="52720" ht="9.9499999999999993" hidden="1" customHeight="1" x14ac:dyDescent="0.2"/>
    <row r="52721" ht="9.9499999999999993" hidden="1" customHeight="1" x14ac:dyDescent="0.2"/>
    <row r="52722" ht="9.9499999999999993" hidden="1" customHeight="1" x14ac:dyDescent="0.2"/>
    <row r="52723" ht="9.9499999999999993" hidden="1" customHeight="1" x14ac:dyDescent="0.2"/>
    <row r="52724" ht="9.9499999999999993" hidden="1" customHeight="1" x14ac:dyDescent="0.2"/>
    <row r="52725" ht="9.9499999999999993" hidden="1" customHeight="1" x14ac:dyDescent="0.2"/>
    <row r="52726" ht="9.9499999999999993" hidden="1" customHeight="1" x14ac:dyDescent="0.2"/>
    <row r="52727" ht="9.9499999999999993" hidden="1" customHeight="1" x14ac:dyDescent="0.2"/>
    <row r="52728" ht="9.9499999999999993" hidden="1" customHeight="1" x14ac:dyDescent="0.2"/>
    <row r="52729" ht="9.9499999999999993" hidden="1" customHeight="1" x14ac:dyDescent="0.2"/>
    <row r="52730" ht="9.9499999999999993" hidden="1" customHeight="1" x14ac:dyDescent="0.2"/>
    <row r="52731" ht="9.9499999999999993" hidden="1" customHeight="1" x14ac:dyDescent="0.2"/>
    <row r="52732" ht="9.9499999999999993" hidden="1" customHeight="1" x14ac:dyDescent="0.2"/>
    <row r="52733" ht="9.9499999999999993" hidden="1" customHeight="1" x14ac:dyDescent="0.2"/>
    <row r="52734" ht="9.9499999999999993" hidden="1" customHeight="1" x14ac:dyDescent="0.2"/>
    <row r="52735" ht="9.9499999999999993" hidden="1" customHeight="1" x14ac:dyDescent="0.2"/>
    <row r="52736" ht="9.9499999999999993" hidden="1" customHeight="1" x14ac:dyDescent="0.2"/>
    <row r="52737" ht="9.9499999999999993" hidden="1" customHeight="1" x14ac:dyDescent="0.2"/>
    <row r="52738" ht="9.9499999999999993" hidden="1" customHeight="1" x14ac:dyDescent="0.2"/>
    <row r="52739" ht="9.9499999999999993" hidden="1" customHeight="1" x14ac:dyDescent="0.2"/>
    <row r="52740" ht="9.9499999999999993" hidden="1" customHeight="1" x14ac:dyDescent="0.2"/>
    <row r="52741" ht="9.9499999999999993" hidden="1" customHeight="1" x14ac:dyDescent="0.2"/>
    <row r="52742" ht="9.9499999999999993" hidden="1" customHeight="1" x14ac:dyDescent="0.2"/>
    <row r="52743" ht="9.9499999999999993" hidden="1" customHeight="1" x14ac:dyDescent="0.2"/>
    <row r="52744" ht="9.9499999999999993" hidden="1" customHeight="1" x14ac:dyDescent="0.2"/>
    <row r="52745" ht="9.9499999999999993" hidden="1" customHeight="1" x14ac:dyDescent="0.2"/>
    <row r="52746" ht="9.9499999999999993" hidden="1" customHeight="1" x14ac:dyDescent="0.2"/>
    <row r="52747" ht="9.9499999999999993" hidden="1" customHeight="1" x14ac:dyDescent="0.2"/>
    <row r="52748" ht="9.9499999999999993" hidden="1" customHeight="1" x14ac:dyDescent="0.2"/>
    <row r="52749" ht="9.9499999999999993" hidden="1" customHeight="1" x14ac:dyDescent="0.2"/>
    <row r="52750" ht="9.9499999999999993" hidden="1" customHeight="1" x14ac:dyDescent="0.2"/>
    <row r="52751" ht="9.9499999999999993" hidden="1" customHeight="1" x14ac:dyDescent="0.2"/>
    <row r="52752" ht="9.9499999999999993" hidden="1" customHeight="1" x14ac:dyDescent="0.2"/>
    <row r="52753" ht="9.9499999999999993" hidden="1" customHeight="1" x14ac:dyDescent="0.2"/>
    <row r="52754" ht="9.9499999999999993" hidden="1" customHeight="1" x14ac:dyDescent="0.2"/>
    <row r="52755" ht="9.9499999999999993" hidden="1" customHeight="1" x14ac:dyDescent="0.2"/>
    <row r="52756" ht="9.9499999999999993" hidden="1" customHeight="1" x14ac:dyDescent="0.2"/>
    <row r="52757" ht="9.9499999999999993" hidden="1" customHeight="1" x14ac:dyDescent="0.2"/>
    <row r="52758" ht="9.9499999999999993" hidden="1" customHeight="1" x14ac:dyDescent="0.2"/>
    <row r="52759" ht="9.9499999999999993" hidden="1" customHeight="1" x14ac:dyDescent="0.2"/>
    <row r="52760" ht="9.9499999999999993" hidden="1" customHeight="1" x14ac:dyDescent="0.2"/>
    <row r="52761" ht="9.9499999999999993" hidden="1" customHeight="1" x14ac:dyDescent="0.2"/>
    <row r="52762" ht="9.9499999999999993" hidden="1" customHeight="1" x14ac:dyDescent="0.2"/>
    <row r="52763" ht="9.9499999999999993" hidden="1" customHeight="1" x14ac:dyDescent="0.2"/>
    <row r="52764" ht="9.9499999999999993" hidden="1" customHeight="1" x14ac:dyDescent="0.2"/>
    <row r="52765" ht="9.9499999999999993" hidden="1" customHeight="1" x14ac:dyDescent="0.2"/>
    <row r="52766" ht="9.9499999999999993" hidden="1" customHeight="1" x14ac:dyDescent="0.2"/>
    <row r="52767" ht="9.9499999999999993" hidden="1" customHeight="1" x14ac:dyDescent="0.2"/>
    <row r="52768" ht="9.9499999999999993" hidden="1" customHeight="1" x14ac:dyDescent="0.2"/>
    <row r="52769" ht="9.9499999999999993" hidden="1" customHeight="1" x14ac:dyDescent="0.2"/>
    <row r="52770" ht="9.9499999999999993" hidden="1" customHeight="1" x14ac:dyDescent="0.2"/>
    <row r="52771" ht="9.9499999999999993" hidden="1" customHeight="1" x14ac:dyDescent="0.2"/>
    <row r="52772" ht="9.9499999999999993" hidden="1" customHeight="1" x14ac:dyDescent="0.2"/>
    <row r="52773" ht="9.9499999999999993" hidden="1" customHeight="1" x14ac:dyDescent="0.2"/>
    <row r="52774" ht="9.9499999999999993" hidden="1" customHeight="1" x14ac:dyDescent="0.2"/>
    <row r="52775" ht="9.9499999999999993" hidden="1" customHeight="1" x14ac:dyDescent="0.2"/>
    <row r="52776" ht="9.9499999999999993" hidden="1" customHeight="1" x14ac:dyDescent="0.2"/>
    <row r="52777" ht="9.9499999999999993" hidden="1" customHeight="1" x14ac:dyDescent="0.2"/>
    <row r="52778" ht="9.9499999999999993" hidden="1" customHeight="1" x14ac:dyDescent="0.2"/>
    <row r="52779" ht="9.9499999999999993" hidden="1" customHeight="1" x14ac:dyDescent="0.2"/>
    <row r="52780" ht="9.9499999999999993" hidden="1" customHeight="1" x14ac:dyDescent="0.2"/>
    <row r="52781" ht="9.9499999999999993" hidden="1" customHeight="1" x14ac:dyDescent="0.2"/>
    <row r="52782" ht="9.9499999999999993" hidden="1" customHeight="1" x14ac:dyDescent="0.2"/>
    <row r="52783" ht="9.9499999999999993" hidden="1" customHeight="1" x14ac:dyDescent="0.2"/>
    <row r="52784" ht="9.9499999999999993" hidden="1" customHeight="1" x14ac:dyDescent="0.2"/>
    <row r="52785" ht="9.9499999999999993" hidden="1" customHeight="1" x14ac:dyDescent="0.2"/>
    <row r="52786" ht="9.9499999999999993" hidden="1" customHeight="1" x14ac:dyDescent="0.2"/>
    <row r="52787" ht="9.9499999999999993" hidden="1" customHeight="1" x14ac:dyDescent="0.2"/>
    <row r="52788" ht="9.9499999999999993" hidden="1" customHeight="1" x14ac:dyDescent="0.2"/>
    <row r="52789" ht="9.9499999999999993" hidden="1" customHeight="1" x14ac:dyDescent="0.2"/>
    <row r="52790" ht="9.9499999999999993" hidden="1" customHeight="1" x14ac:dyDescent="0.2"/>
    <row r="52791" ht="9.9499999999999993" hidden="1" customHeight="1" x14ac:dyDescent="0.2"/>
    <row r="52792" ht="9.9499999999999993" hidden="1" customHeight="1" x14ac:dyDescent="0.2"/>
    <row r="52793" ht="9.9499999999999993" hidden="1" customHeight="1" x14ac:dyDescent="0.2"/>
    <row r="52794" ht="9.9499999999999993" hidden="1" customHeight="1" x14ac:dyDescent="0.2"/>
    <row r="52795" ht="9.9499999999999993" hidden="1" customHeight="1" x14ac:dyDescent="0.2"/>
    <row r="52796" ht="9.9499999999999993" hidden="1" customHeight="1" x14ac:dyDescent="0.2"/>
    <row r="52797" ht="9.9499999999999993" hidden="1" customHeight="1" x14ac:dyDescent="0.2"/>
    <row r="52798" ht="9.9499999999999993" hidden="1" customHeight="1" x14ac:dyDescent="0.2"/>
    <row r="52799" ht="9.9499999999999993" hidden="1" customHeight="1" x14ac:dyDescent="0.2"/>
    <row r="52800" ht="9.9499999999999993" hidden="1" customHeight="1" x14ac:dyDescent="0.2"/>
    <row r="52801" ht="9.9499999999999993" hidden="1" customHeight="1" x14ac:dyDescent="0.2"/>
    <row r="52802" ht="9.9499999999999993" hidden="1" customHeight="1" x14ac:dyDescent="0.2"/>
    <row r="52803" ht="9.9499999999999993" hidden="1" customHeight="1" x14ac:dyDescent="0.2"/>
    <row r="52804" ht="9.9499999999999993" hidden="1" customHeight="1" x14ac:dyDescent="0.2"/>
    <row r="52805" ht="9.9499999999999993" hidden="1" customHeight="1" x14ac:dyDescent="0.2"/>
    <row r="52806" ht="9.9499999999999993" hidden="1" customHeight="1" x14ac:dyDescent="0.2"/>
    <row r="52807" ht="9.9499999999999993" hidden="1" customHeight="1" x14ac:dyDescent="0.2"/>
    <row r="52808" ht="9.9499999999999993" hidden="1" customHeight="1" x14ac:dyDescent="0.2"/>
    <row r="52809" ht="9.9499999999999993" hidden="1" customHeight="1" x14ac:dyDescent="0.2"/>
    <row r="52810" ht="9.9499999999999993" hidden="1" customHeight="1" x14ac:dyDescent="0.2"/>
    <row r="52811" ht="9.9499999999999993" hidden="1" customHeight="1" x14ac:dyDescent="0.2"/>
    <row r="52812" ht="9.9499999999999993" hidden="1" customHeight="1" x14ac:dyDescent="0.2"/>
    <row r="52813" ht="9.9499999999999993" hidden="1" customHeight="1" x14ac:dyDescent="0.2"/>
    <row r="52814" ht="9.9499999999999993" hidden="1" customHeight="1" x14ac:dyDescent="0.2"/>
    <row r="52815" ht="9.9499999999999993" hidden="1" customHeight="1" x14ac:dyDescent="0.2"/>
    <row r="52816" ht="9.9499999999999993" hidden="1" customHeight="1" x14ac:dyDescent="0.2"/>
    <row r="52817" ht="9.9499999999999993" hidden="1" customHeight="1" x14ac:dyDescent="0.2"/>
    <row r="52818" ht="9.9499999999999993" hidden="1" customHeight="1" x14ac:dyDescent="0.2"/>
    <row r="52819" ht="9.9499999999999993" hidden="1" customHeight="1" x14ac:dyDescent="0.2"/>
    <row r="52820" ht="9.9499999999999993" hidden="1" customHeight="1" x14ac:dyDescent="0.2"/>
    <row r="52821" ht="9.9499999999999993" hidden="1" customHeight="1" x14ac:dyDescent="0.2"/>
    <row r="52822" ht="9.9499999999999993" hidden="1" customHeight="1" x14ac:dyDescent="0.2"/>
    <row r="52823" ht="9.9499999999999993" hidden="1" customHeight="1" x14ac:dyDescent="0.2"/>
    <row r="52824" ht="9.9499999999999993" hidden="1" customHeight="1" x14ac:dyDescent="0.2"/>
    <row r="52825" ht="9.9499999999999993" hidden="1" customHeight="1" x14ac:dyDescent="0.2"/>
    <row r="52826" ht="9.9499999999999993" hidden="1" customHeight="1" x14ac:dyDescent="0.2"/>
    <row r="52827" ht="9.9499999999999993" hidden="1" customHeight="1" x14ac:dyDescent="0.2"/>
    <row r="52828" ht="9.9499999999999993" hidden="1" customHeight="1" x14ac:dyDescent="0.2"/>
    <row r="52829" ht="9.9499999999999993" hidden="1" customHeight="1" x14ac:dyDescent="0.2"/>
    <row r="52830" ht="9.9499999999999993" hidden="1" customHeight="1" x14ac:dyDescent="0.2"/>
    <row r="52831" ht="9.9499999999999993" hidden="1" customHeight="1" x14ac:dyDescent="0.2"/>
    <row r="52832" ht="9.9499999999999993" hidden="1" customHeight="1" x14ac:dyDescent="0.2"/>
    <row r="52833" ht="9.9499999999999993" hidden="1" customHeight="1" x14ac:dyDescent="0.2"/>
    <row r="52834" ht="9.9499999999999993" hidden="1" customHeight="1" x14ac:dyDescent="0.2"/>
    <row r="52835" ht="9.9499999999999993" hidden="1" customHeight="1" x14ac:dyDescent="0.2"/>
    <row r="52836" ht="9.9499999999999993" hidden="1" customHeight="1" x14ac:dyDescent="0.2"/>
    <row r="52837" ht="9.9499999999999993" hidden="1" customHeight="1" x14ac:dyDescent="0.2"/>
    <row r="52838" ht="9.9499999999999993" hidden="1" customHeight="1" x14ac:dyDescent="0.2"/>
    <row r="52839" ht="9.9499999999999993" hidden="1" customHeight="1" x14ac:dyDescent="0.2"/>
    <row r="52840" ht="9.9499999999999993" hidden="1" customHeight="1" x14ac:dyDescent="0.2"/>
    <row r="52841" ht="9.9499999999999993" hidden="1" customHeight="1" x14ac:dyDescent="0.2"/>
    <row r="52842" ht="9.9499999999999993" hidden="1" customHeight="1" x14ac:dyDescent="0.2"/>
    <row r="52843" ht="9.9499999999999993" hidden="1" customHeight="1" x14ac:dyDescent="0.2"/>
    <row r="52844" ht="9.9499999999999993" hidden="1" customHeight="1" x14ac:dyDescent="0.2"/>
    <row r="52845" ht="9.9499999999999993" hidden="1" customHeight="1" x14ac:dyDescent="0.2"/>
    <row r="52846" ht="9.9499999999999993" hidden="1" customHeight="1" x14ac:dyDescent="0.2"/>
    <row r="52847" ht="9.9499999999999993" hidden="1" customHeight="1" x14ac:dyDescent="0.2"/>
    <row r="52848" ht="9.9499999999999993" hidden="1" customHeight="1" x14ac:dyDescent="0.2"/>
    <row r="52849" ht="9.9499999999999993" hidden="1" customHeight="1" x14ac:dyDescent="0.2"/>
    <row r="52850" ht="9.9499999999999993" hidden="1" customHeight="1" x14ac:dyDescent="0.2"/>
    <row r="52851" ht="9.9499999999999993" hidden="1" customHeight="1" x14ac:dyDescent="0.2"/>
    <row r="52852" ht="9.9499999999999993" hidden="1" customHeight="1" x14ac:dyDescent="0.2"/>
    <row r="52853" ht="9.9499999999999993" hidden="1" customHeight="1" x14ac:dyDescent="0.2"/>
    <row r="52854" ht="9.9499999999999993" hidden="1" customHeight="1" x14ac:dyDescent="0.2"/>
    <row r="52855" ht="9.9499999999999993" hidden="1" customHeight="1" x14ac:dyDescent="0.2"/>
    <row r="52856" ht="9.9499999999999993" hidden="1" customHeight="1" x14ac:dyDescent="0.2"/>
    <row r="52857" ht="9.9499999999999993" hidden="1" customHeight="1" x14ac:dyDescent="0.2"/>
    <row r="52858" ht="9.9499999999999993" hidden="1" customHeight="1" x14ac:dyDescent="0.2"/>
    <row r="52859" ht="9.9499999999999993" hidden="1" customHeight="1" x14ac:dyDescent="0.2"/>
    <row r="52860" ht="9.9499999999999993" hidden="1" customHeight="1" x14ac:dyDescent="0.2"/>
    <row r="52861" ht="9.9499999999999993" hidden="1" customHeight="1" x14ac:dyDescent="0.2"/>
    <row r="52862" ht="9.9499999999999993" hidden="1" customHeight="1" x14ac:dyDescent="0.2"/>
    <row r="52863" ht="9.9499999999999993" hidden="1" customHeight="1" x14ac:dyDescent="0.2"/>
    <row r="52864" ht="9.9499999999999993" hidden="1" customHeight="1" x14ac:dyDescent="0.2"/>
    <row r="52865" ht="9.9499999999999993" hidden="1" customHeight="1" x14ac:dyDescent="0.2"/>
    <row r="52866" ht="9.9499999999999993" hidden="1" customHeight="1" x14ac:dyDescent="0.2"/>
    <row r="52867" ht="9.9499999999999993" hidden="1" customHeight="1" x14ac:dyDescent="0.2"/>
    <row r="52868" ht="9.9499999999999993" hidden="1" customHeight="1" x14ac:dyDescent="0.2"/>
    <row r="52869" ht="9.9499999999999993" hidden="1" customHeight="1" x14ac:dyDescent="0.2"/>
    <row r="52870" ht="9.9499999999999993" hidden="1" customHeight="1" x14ac:dyDescent="0.2"/>
    <row r="52871" ht="9.9499999999999993" hidden="1" customHeight="1" x14ac:dyDescent="0.2"/>
    <row r="52872" ht="9.9499999999999993" hidden="1" customHeight="1" x14ac:dyDescent="0.2"/>
    <row r="52873" ht="9.9499999999999993" hidden="1" customHeight="1" x14ac:dyDescent="0.2"/>
    <row r="52874" ht="9.9499999999999993" hidden="1" customHeight="1" x14ac:dyDescent="0.2"/>
    <row r="52875" ht="9.9499999999999993" hidden="1" customHeight="1" x14ac:dyDescent="0.2"/>
    <row r="52876" ht="9.9499999999999993" hidden="1" customHeight="1" x14ac:dyDescent="0.2"/>
    <row r="52877" ht="9.9499999999999993" hidden="1" customHeight="1" x14ac:dyDescent="0.2"/>
    <row r="52878" ht="9.9499999999999993" hidden="1" customHeight="1" x14ac:dyDescent="0.2"/>
    <row r="52879" ht="9.9499999999999993" hidden="1" customHeight="1" x14ac:dyDescent="0.2"/>
    <row r="52880" ht="9.9499999999999993" hidden="1" customHeight="1" x14ac:dyDescent="0.2"/>
    <row r="52881" ht="9.9499999999999993" hidden="1" customHeight="1" x14ac:dyDescent="0.2"/>
    <row r="52882" ht="9.9499999999999993" hidden="1" customHeight="1" x14ac:dyDescent="0.2"/>
    <row r="52883" ht="9.9499999999999993" hidden="1" customHeight="1" x14ac:dyDescent="0.2"/>
    <row r="52884" ht="9.9499999999999993" hidden="1" customHeight="1" x14ac:dyDescent="0.2"/>
    <row r="52885" ht="9.9499999999999993" hidden="1" customHeight="1" x14ac:dyDescent="0.2"/>
    <row r="52886" ht="9.9499999999999993" hidden="1" customHeight="1" x14ac:dyDescent="0.2"/>
    <row r="52887" ht="9.9499999999999993" hidden="1" customHeight="1" x14ac:dyDescent="0.2"/>
    <row r="52888" ht="9.9499999999999993" hidden="1" customHeight="1" x14ac:dyDescent="0.2"/>
    <row r="52889" ht="9.9499999999999993" hidden="1" customHeight="1" x14ac:dyDescent="0.2"/>
    <row r="52890" ht="9.9499999999999993" hidden="1" customHeight="1" x14ac:dyDescent="0.2"/>
    <row r="52891" ht="9.9499999999999993" hidden="1" customHeight="1" x14ac:dyDescent="0.2"/>
    <row r="52892" ht="9.9499999999999993" hidden="1" customHeight="1" x14ac:dyDescent="0.2"/>
    <row r="52893" ht="9.9499999999999993" hidden="1" customHeight="1" x14ac:dyDescent="0.2"/>
    <row r="52894" ht="9.9499999999999993" hidden="1" customHeight="1" x14ac:dyDescent="0.2"/>
    <row r="52895" ht="9.9499999999999993" hidden="1" customHeight="1" x14ac:dyDescent="0.2"/>
    <row r="52896" ht="9.9499999999999993" hidden="1" customHeight="1" x14ac:dyDescent="0.2"/>
    <row r="52897" ht="9.9499999999999993" hidden="1" customHeight="1" x14ac:dyDescent="0.2"/>
    <row r="52898" ht="9.9499999999999993" hidden="1" customHeight="1" x14ac:dyDescent="0.2"/>
    <row r="52899" ht="9.9499999999999993" hidden="1" customHeight="1" x14ac:dyDescent="0.2"/>
    <row r="52900" ht="9.9499999999999993" hidden="1" customHeight="1" x14ac:dyDescent="0.2"/>
    <row r="52901" ht="9.9499999999999993" hidden="1" customHeight="1" x14ac:dyDescent="0.2"/>
    <row r="52902" ht="9.9499999999999993" hidden="1" customHeight="1" x14ac:dyDescent="0.2"/>
    <row r="52903" ht="9.9499999999999993" hidden="1" customHeight="1" x14ac:dyDescent="0.2"/>
    <row r="52904" ht="9.9499999999999993" hidden="1" customHeight="1" x14ac:dyDescent="0.2"/>
    <row r="52905" ht="9.9499999999999993" hidden="1" customHeight="1" x14ac:dyDescent="0.2"/>
    <row r="52906" ht="9.9499999999999993" hidden="1" customHeight="1" x14ac:dyDescent="0.2"/>
    <row r="52907" ht="9.9499999999999993" hidden="1" customHeight="1" x14ac:dyDescent="0.2"/>
    <row r="52908" ht="9.9499999999999993" hidden="1" customHeight="1" x14ac:dyDescent="0.2"/>
    <row r="52909" ht="9.9499999999999993" hidden="1" customHeight="1" x14ac:dyDescent="0.2"/>
    <row r="52910" ht="9.9499999999999993" hidden="1" customHeight="1" x14ac:dyDescent="0.2"/>
    <row r="52911" ht="9.9499999999999993" hidden="1" customHeight="1" x14ac:dyDescent="0.2"/>
    <row r="52912" ht="9.9499999999999993" hidden="1" customHeight="1" x14ac:dyDescent="0.2"/>
    <row r="52913" ht="9.9499999999999993" hidden="1" customHeight="1" x14ac:dyDescent="0.2"/>
    <row r="52914" ht="9.9499999999999993" hidden="1" customHeight="1" x14ac:dyDescent="0.2"/>
    <row r="52915" ht="9.9499999999999993" hidden="1" customHeight="1" x14ac:dyDescent="0.2"/>
    <row r="52916" ht="9.9499999999999993" hidden="1" customHeight="1" x14ac:dyDescent="0.2"/>
    <row r="52917" ht="9.9499999999999993" hidden="1" customHeight="1" x14ac:dyDescent="0.2"/>
    <row r="52918" ht="9.9499999999999993" hidden="1" customHeight="1" x14ac:dyDescent="0.2"/>
    <row r="52919" ht="9.9499999999999993" hidden="1" customHeight="1" x14ac:dyDescent="0.2"/>
    <row r="52920" ht="9.9499999999999993" hidden="1" customHeight="1" x14ac:dyDescent="0.2"/>
    <row r="52921" ht="9.9499999999999993" hidden="1" customHeight="1" x14ac:dyDescent="0.2"/>
    <row r="52922" ht="9.9499999999999993" hidden="1" customHeight="1" x14ac:dyDescent="0.2"/>
    <row r="52923" ht="9.9499999999999993" hidden="1" customHeight="1" x14ac:dyDescent="0.2"/>
    <row r="52924" ht="9.9499999999999993" hidden="1" customHeight="1" x14ac:dyDescent="0.2"/>
    <row r="52925" ht="9.9499999999999993" hidden="1" customHeight="1" x14ac:dyDescent="0.2"/>
    <row r="52926" ht="9.9499999999999993" hidden="1" customHeight="1" x14ac:dyDescent="0.2"/>
    <row r="52927" ht="9.9499999999999993" hidden="1" customHeight="1" x14ac:dyDescent="0.2"/>
    <row r="52928" ht="9.9499999999999993" hidden="1" customHeight="1" x14ac:dyDescent="0.2"/>
    <row r="52929" ht="9.9499999999999993" hidden="1" customHeight="1" x14ac:dyDescent="0.2"/>
    <row r="52930" ht="9.9499999999999993" hidden="1" customHeight="1" x14ac:dyDescent="0.2"/>
    <row r="52931" ht="9.9499999999999993" hidden="1" customHeight="1" x14ac:dyDescent="0.2"/>
    <row r="52932" ht="9.9499999999999993" hidden="1" customHeight="1" x14ac:dyDescent="0.2"/>
    <row r="52933" ht="9.9499999999999993" hidden="1" customHeight="1" x14ac:dyDescent="0.2"/>
    <row r="52934" ht="9.9499999999999993" hidden="1" customHeight="1" x14ac:dyDescent="0.2"/>
    <row r="52935" ht="9.9499999999999993" hidden="1" customHeight="1" x14ac:dyDescent="0.2"/>
    <row r="52936" ht="9.9499999999999993" hidden="1" customHeight="1" x14ac:dyDescent="0.2"/>
    <row r="52937" ht="9.9499999999999993" hidden="1" customHeight="1" x14ac:dyDescent="0.2"/>
    <row r="52938" ht="9.9499999999999993" hidden="1" customHeight="1" x14ac:dyDescent="0.2"/>
    <row r="52939" ht="9.9499999999999993" hidden="1" customHeight="1" x14ac:dyDescent="0.2"/>
    <row r="52940" ht="9.9499999999999993" hidden="1" customHeight="1" x14ac:dyDescent="0.2"/>
    <row r="52941" ht="9.9499999999999993" hidden="1" customHeight="1" x14ac:dyDescent="0.2"/>
    <row r="52942" ht="9.9499999999999993" hidden="1" customHeight="1" x14ac:dyDescent="0.2"/>
    <row r="52943" ht="9.9499999999999993" hidden="1" customHeight="1" x14ac:dyDescent="0.2"/>
    <row r="52944" ht="9.9499999999999993" hidden="1" customHeight="1" x14ac:dyDescent="0.2"/>
    <row r="52945" ht="9.9499999999999993" hidden="1" customHeight="1" x14ac:dyDescent="0.2"/>
    <row r="52946" ht="9.9499999999999993" hidden="1" customHeight="1" x14ac:dyDescent="0.2"/>
    <row r="52947" ht="9.9499999999999993" hidden="1" customHeight="1" x14ac:dyDescent="0.2"/>
    <row r="52948" ht="9.9499999999999993" hidden="1" customHeight="1" x14ac:dyDescent="0.2"/>
    <row r="52949" ht="9.9499999999999993" hidden="1" customHeight="1" x14ac:dyDescent="0.2"/>
    <row r="52950" ht="9.9499999999999993" hidden="1" customHeight="1" x14ac:dyDescent="0.2"/>
    <row r="52951" ht="9.9499999999999993" hidden="1" customHeight="1" x14ac:dyDescent="0.2"/>
    <row r="52952" ht="9.9499999999999993" hidden="1" customHeight="1" x14ac:dyDescent="0.2"/>
    <row r="52953" ht="9.9499999999999993" hidden="1" customHeight="1" x14ac:dyDescent="0.2"/>
    <row r="52954" ht="9.9499999999999993" hidden="1" customHeight="1" x14ac:dyDescent="0.2"/>
    <row r="52955" ht="9.9499999999999993" hidden="1" customHeight="1" x14ac:dyDescent="0.2"/>
    <row r="52956" ht="9.9499999999999993" hidden="1" customHeight="1" x14ac:dyDescent="0.2"/>
    <row r="52957" ht="9.9499999999999993" hidden="1" customHeight="1" x14ac:dyDescent="0.2"/>
    <row r="52958" ht="9.9499999999999993" hidden="1" customHeight="1" x14ac:dyDescent="0.2"/>
    <row r="52959" ht="9.9499999999999993" hidden="1" customHeight="1" x14ac:dyDescent="0.2"/>
    <row r="52960" ht="9.9499999999999993" hidden="1" customHeight="1" x14ac:dyDescent="0.2"/>
    <row r="52961" ht="9.9499999999999993" hidden="1" customHeight="1" x14ac:dyDescent="0.2"/>
    <row r="52962" ht="9.9499999999999993" hidden="1" customHeight="1" x14ac:dyDescent="0.2"/>
    <row r="52963" ht="9.9499999999999993" hidden="1" customHeight="1" x14ac:dyDescent="0.2"/>
    <row r="52964" ht="9.9499999999999993" hidden="1" customHeight="1" x14ac:dyDescent="0.2"/>
    <row r="52965" ht="9.9499999999999993" hidden="1" customHeight="1" x14ac:dyDescent="0.2"/>
    <row r="52966" ht="9.9499999999999993" hidden="1" customHeight="1" x14ac:dyDescent="0.2"/>
    <row r="52967" ht="9.9499999999999993" hidden="1" customHeight="1" x14ac:dyDescent="0.2"/>
    <row r="52968" ht="9.9499999999999993" hidden="1" customHeight="1" x14ac:dyDescent="0.2"/>
    <row r="52969" ht="9.9499999999999993" hidden="1" customHeight="1" x14ac:dyDescent="0.2"/>
    <row r="52970" ht="9.9499999999999993" hidden="1" customHeight="1" x14ac:dyDescent="0.2"/>
    <row r="52971" ht="9.9499999999999993" hidden="1" customHeight="1" x14ac:dyDescent="0.2"/>
    <row r="52972" ht="9.9499999999999993" hidden="1" customHeight="1" x14ac:dyDescent="0.2"/>
    <row r="52973" ht="9.9499999999999993" hidden="1" customHeight="1" x14ac:dyDescent="0.2"/>
    <row r="52974" ht="9.9499999999999993" hidden="1" customHeight="1" x14ac:dyDescent="0.2"/>
    <row r="52975" ht="9.9499999999999993" hidden="1" customHeight="1" x14ac:dyDescent="0.2"/>
    <row r="52976" ht="9.9499999999999993" hidden="1" customHeight="1" x14ac:dyDescent="0.2"/>
    <row r="52977" ht="9.9499999999999993" hidden="1" customHeight="1" x14ac:dyDescent="0.2"/>
    <row r="52978" ht="9.9499999999999993" hidden="1" customHeight="1" x14ac:dyDescent="0.2"/>
    <row r="52979" ht="9.9499999999999993" hidden="1" customHeight="1" x14ac:dyDescent="0.2"/>
    <row r="52980" ht="9.9499999999999993" hidden="1" customHeight="1" x14ac:dyDescent="0.2"/>
    <row r="52981" ht="9.9499999999999993" hidden="1" customHeight="1" x14ac:dyDescent="0.2"/>
    <row r="52982" ht="9.9499999999999993" hidden="1" customHeight="1" x14ac:dyDescent="0.2"/>
    <row r="52983" ht="9.9499999999999993" hidden="1" customHeight="1" x14ac:dyDescent="0.2"/>
    <row r="52984" ht="9.9499999999999993" hidden="1" customHeight="1" x14ac:dyDescent="0.2"/>
    <row r="52985" ht="9.9499999999999993" hidden="1" customHeight="1" x14ac:dyDescent="0.2"/>
    <row r="52986" ht="9.9499999999999993" hidden="1" customHeight="1" x14ac:dyDescent="0.2"/>
    <row r="52987" ht="9.9499999999999993" hidden="1" customHeight="1" x14ac:dyDescent="0.2"/>
    <row r="52988" ht="9.9499999999999993" hidden="1" customHeight="1" x14ac:dyDescent="0.2"/>
    <row r="52989" ht="9.9499999999999993" hidden="1" customHeight="1" x14ac:dyDescent="0.2"/>
    <row r="52990" ht="9.9499999999999993" hidden="1" customHeight="1" x14ac:dyDescent="0.2"/>
    <row r="52991" ht="9.9499999999999993" hidden="1" customHeight="1" x14ac:dyDescent="0.2"/>
    <row r="52992" ht="9.9499999999999993" hidden="1" customHeight="1" x14ac:dyDescent="0.2"/>
    <row r="52993" ht="9.9499999999999993" hidden="1" customHeight="1" x14ac:dyDescent="0.2"/>
    <row r="52994" ht="9.9499999999999993" hidden="1" customHeight="1" x14ac:dyDescent="0.2"/>
    <row r="52995" ht="9.9499999999999993" hidden="1" customHeight="1" x14ac:dyDescent="0.2"/>
    <row r="52996" ht="9.9499999999999993" hidden="1" customHeight="1" x14ac:dyDescent="0.2"/>
    <row r="52997" ht="9.9499999999999993" hidden="1" customHeight="1" x14ac:dyDescent="0.2"/>
    <row r="52998" ht="9.9499999999999993" hidden="1" customHeight="1" x14ac:dyDescent="0.2"/>
    <row r="52999" ht="9.9499999999999993" hidden="1" customHeight="1" x14ac:dyDescent="0.2"/>
    <row r="53000" ht="9.9499999999999993" hidden="1" customHeight="1" x14ac:dyDescent="0.2"/>
    <row r="53001" ht="9.9499999999999993" hidden="1" customHeight="1" x14ac:dyDescent="0.2"/>
    <row r="53002" ht="9.9499999999999993" hidden="1" customHeight="1" x14ac:dyDescent="0.2"/>
    <row r="53003" ht="9.9499999999999993" hidden="1" customHeight="1" x14ac:dyDescent="0.2"/>
    <row r="53004" ht="9.9499999999999993" hidden="1" customHeight="1" x14ac:dyDescent="0.2"/>
    <row r="53005" ht="9.9499999999999993" hidden="1" customHeight="1" x14ac:dyDescent="0.2"/>
    <row r="53006" ht="9.9499999999999993" hidden="1" customHeight="1" x14ac:dyDescent="0.2"/>
    <row r="53007" ht="9.9499999999999993" hidden="1" customHeight="1" x14ac:dyDescent="0.2"/>
    <row r="53008" ht="9.9499999999999993" hidden="1" customHeight="1" x14ac:dyDescent="0.2"/>
    <row r="53009" ht="9.9499999999999993" hidden="1" customHeight="1" x14ac:dyDescent="0.2"/>
    <row r="53010" ht="9.9499999999999993" hidden="1" customHeight="1" x14ac:dyDescent="0.2"/>
    <row r="53011" ht="9.9499999999999993" hidden="1" customHeight="1" x14ac:dyDescent="0.2"/>
    <row r="53012" ht="9.9499999999999993" hidden="1" customHeight="1" x14ac:dyDescent="0.2"/>
    <row r="53013" ht="9.9499999999999993" hidden="1" customHeight="1" x14ac:dyDescent="0.2"/>
    <row r="53014" ht="9.9499999999999993" hidden="1" customHeight="1" x14ac:dyDescent="0.2"/>
    <row r="53015" ht="9.9499999999999993" hidden="1" customHeight="1" x14ac:dyDescent="0.2"/>
    <row r="53016" ht="9.9499999999999993" hidden="1" customHeight="1" x14ac:dyDescent="0.2"/>
    <row r="53017" ht="9.9499999999999993" hidden="1" customHeight="1" x14ac:dyDescent="0.2"/>
    <row r="53018" ht="9.9499999999999993" hidden="1" customHeight="1" x14ac:dyDescent="0.2"/>
    <row r="53019" ht="9.9499999999999993" hidden="1" customHeight="1" x14ac:dyDescent="0.2"/>
    <row r="53020" ht="9.9499999999999993" hidden="1" customHeight="1" x14ac:dyDescent="0.2"/>
    <row r="53021" ht="9.9499999999999993" hidden="1" customHeight="1" x14ac:dyDescent="0.2"/>
    <row r="53022" ht="9.9499999999999993" hidden="1" customHeight="1" x14ac:dyDescent="0.2"/>
    <row r="53023" ht="9.9499999999999993" hidden="1" customHeight="1" x14ac:dyDescent="0.2"/>
    <row r="53024" ht="9.9499999999999993" hidden="1" customHeight="1" x14ac:dyDescent="0.2"/>
    <row r="53025" ht="9.9499999999999993" hidden="1" customHeight="1" x14ac:dyDescent="0.2"/>
    <row r="53026" ht="9.9499999999999993" hidden="1" customHeight="1" x14ac:dyDescent="0.2"/>
    <row r="53027" ht="9.9499999999999993" hidden="1" customHeight="1" x14ac:dyDescent="0.2"/>
    <row r="53028" ht="9.9499999999999993" hidden="1" customHeight="1" x14ac:dyDescent="0.2"/>
    <row r="53029" ht="9.9499999999999993" hidden="1" customHeight="1" x14ac:dyDescent="0.2"/>
    <row r="53030" ht="9.9499999999999993" hidden="1" customHeight="1" x14ac:dyDescent="0.2"/>
    <row r="53031" ht="9.9499999999999993" hidden="1" customHeight="1" x14ac:dyDescent="0.2"/>
    <row r="53032" ht="9.9499999999999993" hidden="1" customHeight="1" x14ac:dyDescent="0.2"/>
    <row r="53033" ht="9.9499999999999993" hidden="1" customHeight="1" x14ac:dyDescent="0.2"/>
    <row r="53034" ht="9.9499999999999993" hidden="1" customHeight="1" x14ac:dyDescent="0.2"/>
    <row r="53035" ht="9.9499999999999993" hidden="1" customHeight="1" x14ac:dyDescent="0.2"/>
    <row r="53036" ht="9.9499999999999993" hidden="1" customHeight="1" x14ac:dyDescent="0.2"/>
    <row r="53037" ht="9.9499999999999993" hidden="1" customHeight="1" x14ac:dyDescent="0.2"/>
    <row r="53038" ht="9.9499999999999993" hidden="1" customHeight="1" x14ac:dyDescent="0.2"/>
    <row r="53039" ht="9.9499999999999993" hidden="1" customHeight="1" x14ac:dyDescent="0.2"/>
    <row r="53040" ht="9.9499999999999993" hidden="1" customHeight="1" x14ac:dyDescent="0.2"/>
    <row r="53041" ht="9.9499999999999993" hidden="1" customHeight="1" x14ac:dyDescent="0.2"/>
    <row r="53042" ht="9.9499999999999993" hidden="1" customHeight="1" x14ac:dyDescent="0.2"/>
    <row r="53043" ht="9.9499999999999993" hidden="1" customHeight="1" x14ac:dyDescent="0.2"/>
    <row r="53044" ht="9.9499999999999993" hidden="1" customHeight="1" x14ac:dyDescent="0.2"/>
    <row r="53045" ht="9.9499999999999993" hidden="1" customHeight="1" x14ac:dyDescent="0.2"/>
    <row r="53046" ht="9.9499999999999993" hidden="1" customHeight="1" x14ac:dyDescent="0.2"/>
    <row r="53047" ht="9.9499999999999993" hidden="1" customHeight="1" x14ac:dyDescent="0.2"/>
    <row r="53048" ht="9.9499999999999993" hidden="1" customHeight="1" x14ac:dyDescent="0.2"/>
    <row r="53049" ht="9.9499999999999993" hidden="1" customHeight="1" x14ac:dyDescent="0.2"/>
    <row r="53050" ht="9.9499999999999993" hidden="1" customHeight="1" x14ac:dyDescent="0.2"/>
    <row r="53051" ht="9.9499999999999993" hidden="1" customHeight="1" x14ac:dyDescent="0.2"/>
    <row r="53052" ht="9.9499999999999993" hidden="1" customHeight="1" x14ac:dyDescent="0.2"/>
    <row r="53053" ht="9.9499999999999993" hidden="1" customHeight="1" x14ac:dyDescent="0.2"/>
    <row r="53054" ht="9.9499999999999993" hidden="1" customHeight="1" x14ac:dyDescent="0.2"/>
    <row r="53055" ht="9.9499999999999993" hidden="1" customHeight="1" x14ac:dyDescent="0.2"/>
    <row r="53056" ht="9.9499999999999993" hidden="1" customHeight="1" x14ac:dyDescent="0.2"/>
    <row r="53057" ht="9.9499999999999993" hidden="1" customHeight="1" x14ac:dyDescent="0.2"/>
    <row r="53058" ht="9.9499999999999993" hidden="1" customHeight="1" x14ac:dyDescent="0.2"/>
    <row r="53059" ht="9.9499999999999993" hidden="1" customHeight="1" x14ac:dyDescent="0.2"/>
    <row r="53060" ht="9.9499999999999993" hidden="1" customHeight="1" x14ac:dyDescent="0.2"/>
    <row r="53061" ht="9.9499999999999993" hidden="1" customHeight="1" x14ac:dyDescent="0.2"/>
    <row r="53062" ht="9.9499999999999993" hidden="1" customHeight="1" x14ac:dyDescent="0.2"/>
    <row r="53063" ht="9.9499999999999993" hidden="1" customHeight="1" x14ac:dyDescent="0.2"/>
    <row r="53064" ht="9.9499999999999993" hidden="1" customHeight="1" x14ac:dyDescent="0.2"/>
    <row r="53065" ht="9.9499999999999993" hidden="1" customHeight="1" x14ac:dyDescent="0.2"/>
    <row r="53066" ht="9.9499999999999993" hidden="1" customHeight="1" x14ac:dyDescent="0.2"/>
    <row r="53067" ht="9.9499999999999993" hidden="1" customHeight="1" x14ac:dyDescent="0.2"/>
    <row r="53068" ht="9.9499999999999993" hidden="1" customHeight="1" x14ac:dyDescent="0.2"/>
    <row r="53069" ht="9.9499999999999993" hidden="1" customHeight="1" x14ac:dyDescent="0.2"/>
    <row r="53070" ht="9.9499999999999993" hidden="1" customHeight="1" x14ac:dyDescent="0.2"/>
    <row r="53071" ht="9.9499999999999993" hidden="1" customHeight="1" x14ac:dyDescent="0.2"/>
    <row r="53072" ht="9.9499999999999993" hidden="1" customHeight="1" x14ac:dyDescent="0.2"/>
    <row r="53073" ht="9.9499999999999993" hidden="1" customHeight="1" x14ac:dyDescent="0.2"/>
    <row r="53074" ht="9.9499999999999993" hidden="1" customHeight="1" x14ac:dyDescent="0.2"/>
    <row r="53075" ht="9.9499999999999993" hidden="1" customHeight="1" x14ac:dyDescent="0.2"/>
    <row r="53076" ht="9.9499999999999993" hidden="1" customHeight="1" x14ac:dyDescent="0.2"/>
    <row r="53077" ht="9.9499999999999993" hidden="1" customHeight="1" x14ac:dyDescent="0.2"/>
    <row r="53078" ht="9.9499999999999993" hidden="1" customHeight="1" x14ac:dyDescent="0.2"/>
    <row r="53079" ht="9.9499999999999993" hidden="1" customHeight="1" x14ac:dyDescent="0.2"/>
    <row r="53080" ht="9.9499999999999993" hidden="1" customHeight="1" x14ac:dyDescent="0.2"/>
    <row r="53081" ht="9.9499999999999993" hidden="1" customHeight="1" x14ac:dyDescent="0.2"/>
    <row r="53082" ht="9.9499999999999993" hidden="1" customHeight="1" x14ac:dyDescent="0.2"/>
    <row r="53083" ht="9.9499999999999993" hidden="1" customHeight="1" x14ac:dyDescent="0.2"/>
    <row r="53084" ht="9.9499999999999993" hidden="1" customHeight="1" x14ac:dyDescent="0.2"/>
    <row r="53085" ht="9.9499999999999993" hidden="1" customHeight="1" x14ac:dyDescent="0.2"/>
    <row r="53086" ht="9.9499999999999993" hidden="1" customHeight="1" x14ac:dyDescent="0.2"/>
    <row r="53087" ht="9.9499999999999993" hidden="1" customHeight="1" x14ac:dyDescent="0.2"/>
    <row r="53088" ht="9.9499999999999993" hidden="1" customHeight="1" x14ac:dyDescent="0.2"/>
    <row r="53089" ht="9.9499999999999993" hidden="1" customHeight="1" x14ac:dyDescent="0.2"/>
    <row r="53090" ht="9.9499999999999993" hidden="1" customHeight="1" x14ac:dyDescent="0.2"/>
    <row r="53091" ht="9.9499999999999993" hidden="1" customHeight="1" x14ac:dyDescent="0.2"/>
    <row r="53092" ht="9.9499999999999993" hidden="1" customHeight="1" x14ac:dyDescent="0.2"/>
    <row r="53093" ht="9.9499999999999993" hidden="1" customHeight="1" x14ac:dyDescent="0.2"/>
    <row r="53094" ht="9.9499999999999993" hidden="1" customHeight="1" x14ac:dyDescent="0.2"/>
    <row r="53095" ht="9.9499999999999993" hidden="1" customHeight="1" x14ac:dyDescent="0.2"/>
    <row r="53096" ht="9.9499999999999993" hidden="1" customHeight="1" x14ac:dyDescent="0.2"/>
    <row r="53097" ht="9.9499999999999993" hidden="1" customHeight="1" x14ac:dyDescent="0.2"/>
    <row r="53098" ht="9.9499999999999993" hidden="1" customHeight="1" x14ac:dyDescent="0.2"/>
    <row r="53099" ht="9.9499999999999993" hidden="1" customHeight="1" x14ac:dyDescent="0.2"/>
    <row r="53100" ht="9.9499999999999993" hidden="1" customHeight="1" x14ac:dyDescent="0.2"/>
    <row r="53101" ht="9.9499999999999993" hidden="1" customHeight="1" x14ac:dyDescent="0.2"/>
    <row r="53102" ht="9.9499999999999993" hidden="1" customHeight="1" x14ac:dyDescent="0.2"/>
    <row r="53103" ht="9.9499999999999993" hidden="1" customHeight="1" x14ac:dyDescent="0.2"/>
    <row r="53104" ht="9.9499999999999993" hidden="1" customHeight="1" x14ac:dyDescent="0.2"/>
    <row r="53105" ht="9.9499999999999993" hidden="1" customHeight="1" x14ac:dyDescent="0.2"/>
    <row r="53106" ht="9.9499999999999993" hidden="1" customHeight="1" x14ac:dyDescent="0.2"/>
    <row r="53107" ht="9.9499999999999993" hidden="1" customHeight="1" x14ac:dyDescent="0.2"/>
    <row r="53108" ht="9.9499999999999993" hidden="1" customHeight="1" x14ac:dyDescent="0.2"/>
    <row r="53109" ht="9.9499999999999993" hidden="1" customHeight="1" x14ac:dyDescent="0.2"/>
    <row r="53110" ht="9.9499999999999993" hidden="1" customHeight="1" x14ac:dyDescent="0.2"/>
    <row r="53111" ht="9.9499999999999993" hidden="1" customHeight="1" x14ac:dyDescent="0.2"/>
    <row r="53112" ht="9.9499999999999993" hidden="1" customHeight="1" x14ac:dyDescent="0.2"/>
    <row r="53113" ht="9.9499999999999993" hidden="1" customHeight="1" x14ac:dyDescent="0.2"/>
    <row r="53114" ht="9.9499999999999993" hidden="1" customHeight="1" x14ac:dyDescent="0.2"/>
    <row r="53115" ht="9.9499999999999993" hidden="1" customHeight="1" x14ac:dyDescent="0.2"/>
    <row r="53116" ht="9.9499999999999993" hidden="1" customHeight="1" x14ac:dyDescent="0.2"/>
    <row r="53117" ht="9.9499999999999993" hidden="1" customHeight="1" x14ac:dyDescent="0.2"/>
    <row r="53118" ht="9.9499999999999993" hidden="1" customHeight="1" x14ac:dyDescent="0.2"/>
    <row r="53119" ht="9.9499999999999993" hidden="1" customHeight="1" x14ac:dyDescent="0.2"/>
    <row r="53120" ht="9.9499999999999993" hidden="1" customHeight="1" x14ac:dyDescent="0.2"/>
    <row r="53121" ht="9.9499999999999993" hidden="1" customHeight="1" x14ac:dyDescent="0.2"/>
    <row r="53122" ht="9.9499999999999993" hidden="1" customHeight="1" x14ac:dyDescent="0.2"/>
    <row r="53123" ht="9.9499999999999993" hidden="1" customHeight="1" x14ac:dyDescent="0.2"/>
    <row r="53124" ht="9.9499999999999993" hidden="1" customHeight="1" x14ac:dyDescent="0.2"/>
    <row r="53125" ht="9.9499999999999993" hidden="1" customHeight="1" x14ac:dyDescent="0.2"/>
    <row r="53126" ht="9.9499999999999993" hidden="1" customHeight="1" x14ac:dyDescent="0.2"/>
    <row r="53127" ht="9.9499999999999993" hidden="1" customHeight="1" x14ac:dyDescent="0.2"/>
    <row r="53128" ht="9.9499999999999993" hidden="1" customHeight="1" x14ac:dyDescent="0.2"/>
    <row r="53129" ht="9.9499999999999993" hidden="1" customHeight="1" x14ac:dyDescent="0.2"/>
    <row r="53130" ht="9.9499999999999993" hidden="1" customHeight="1" x14ac:dyDescent="0.2"/>
    <row r="53131" ht="9.9499999999999993" hidden="1" customHeight="1" x14ac:dyDescent="0.2"/>
    <row r="53132" ht="9.9499999999999993" hidden="1" customHeight="1" x14ac:dyDescent="0.2"/>
    <row r="53133" ht="9.9499999999999993" hidden="1" customHeight="1" x14ac:dyDescent="0.2"/>
    <row r="53134" ht="9.9499999999999993" hidden="1" customHeight="1" x14ac:dyDescent="0.2"/>
    <row r="53135" ht="9.9499999999999993" hidden="1" customHeight="1" x14ac:dyDescent="0.2"/>
    <row r="53136" ht="9.9499999999999993" hidden="1" customHeight="1" x14ac:dyDescent="0.2"/>
    <row r="53137" ht="9.9499999999999993" hidden="1" customHeight="1" x14ac:dyDescent="0.2"/>
    <row r="53138" ht="9.9499999999999993" hidden="1" customHeight="1" x14ac:dyDescent="0.2"/>
    <row r="53139" ht="9.9499999999999993" hidden="1" customHeight="1" x14ac:dyDescent="0.2"/>
    <row r="53140" ht="9.9499999999999993" hidden="1" customHeight="1" x14ac:dyDescent="0.2"/>
    <row r="53141" ht="9.9499999999999993" hidden="1" customHeight="1" x14ac:dyDescent="0.2"/>
    <row r="53142" ht="9.9499999999999993" hidden="1" customHeight="1" x14ac:dyDescent="0.2"/>
    <row r="53143" ht="9.9499999999999993" hidden="1" customHeight="1" x14ac:dyDescent="0.2"/>
    <row r="53144" ht="9.9499999999999993" hidden="1" customHeight="1" x14ac:dyDescent="0.2"/>
    <row r="53145" ht="9.9499999999999993" hidden="1" customHeight="1" x14ac:dyDescent="0.2"/>
    <row r="53146" ht="9.9499999999999993" hidden="1" customHeight="1" x14ac:dyDescent="0.2"/>
    <row r="53147" ht="9.9499999999999993" hidden="1" customHeight="1" x14ac:dyDescent="0.2"/>
    <row r="53148" ht="9.9499999999999993" hidden="1" customHeight="1" x14ac:dyDescent="0.2"/>
    <row r="53149" ht="9.9499999999999993" hidden="1" customHeight="1" x14ac:dyDescent="0.2"/>
    <row r="53150" ht="9.9499999999999993" hidden="1" customHeight="1" x14ac:dyDescent="0.2"/>
    <row r="53151" ht="9.9499999999999993" hidden="1" customHeight="1" x14ac:dyDescent="0.2"/>
    <row r="53152" ht="9.9499999999999993" hidden="1" customHeight="1" x14ac:dyDescent="0.2"/>
    <row r="53153" ht="9.9499999999999993" hidden="1" customHeight="1" x14ac:dyDescent="0.2"/>
    <row r="53154" ht="9.9499999999999993" hidden="1" customHeight="1" x14ac:dyDescent="0.2"/>
    <row r="53155" ht="9.9499999999999993" hidden="1" customHeight="1" x14ac:dyDescent="0.2"/>
    <row r="53156" ht="9.9499999999999993" hidden="1" customHeight="1" x14ac:dyDescent="0.2"/>
    <row r="53157" ht="9.9499999999999993" hidden="1" customHeight="1" x14ac:dyDescent="0.2"/>
    <row r="53158" ht="9.9499999999999993" hidden="1" customHeight="1" x14ac:dyDescent="0.2"/>
    <row r="53159" ht="9.9499999999999993" hidden="1" customHeight="1" x14ac:dyDescent="0.2"/>
    <row r="53160" ht="9.9499999999999993" hidden="1" customHeight="1" x14ac:dyDescent="0.2"/>
    <row r="53161" ht="9.9499999999999993" hidden="1" customHeight="1" x14ac:dyDescent="0.2"/>
    <row r="53162" ht="9.9499999999999993" hidden="1" customHeight="1" x14ac:dyDescent="0.2"/>
    <row r="53163" ht="9.9499999999999993" hidden="1" customHeight="1" x14ac:dyDescent="0.2"/>
    <row r="53164" ht="9.9499999999999993" hidden="1" customHeight="1" x14ac:dyDescent="0.2"/>
    <row r="53165" ht="9.9499999999999993" hidden="1" customHeight="1" x14ac:dyDescent="0.2"/>
    <row r="53166" ht="9.9499999999999993" hidden="1" customHeight="1" x14ac:dyDescent="0.2"/>
    <row r="53167" ht="9.9499999999999993" hidden="1" customHeight="1" x14ac:dyDescent="0.2"/>
    <row r="53168" ht="9.9499999999999993" hidden="1" customHeight="1" x14ac:dyDescent="0.2"/>
    <row r="53169" ht="9.9499999999999993" hidden="1" customHeight="1" x14ac:dyDescent="0.2"/>
    <row r="53170" ht="9.9499999999999993" hidden="1" customHeight="1" x14ac:dyDescent="0.2"/>
    <row r="53171" ht="9.9499999999999993" hidden="1" customHeight="1" x14ac:dyDescent="0.2"/>
    <row r="53172" ht="9.9499999999999993" hidden="1" customHeight="1" x14ac:dyDescent="0.2"/>
    <row r="53173" ht="9.9499999999999993" hidden="1" customHeight="1" x14ac:dyDescent="0.2"/>
    <row r="53174" ht="9.9499999999999993" hidden="1" customHeight="1" x14ac:dyDescent="0.2"/>
    <row r="53175" ht="9.9499999999999993" hidden="1" customHeight="1" x14ac:dyDescent="0.2"/>
    <row r="53176" ht="9.9499999999999993" hidden="1" customHeight="1" x14ac:dyDescent="0.2"/>
    <row r="53177" ht="9.9499999999999993" hidden="1" customHeight="1" x14ac:dyDescent="0.2"/>
    <row r="53178" ht="9.9499999999999993" hidden="1" customHeight="1" x14ac:dyDescent="0.2"/>
    <row r="53179" ht="9.9499999999999993" hidden="1" customHeight="1" x14ac:dyDescent="0.2"/>
    <row r="53180" ht="9.9499999999999993" hidden="1" customHeight="1" x14ac:dyDescent="0.2"/>
    <row r="53181" ht="9.9499999999999993" hidden="1" customHeight="1" x14ac:dyDescent="0.2"/>
    <row r="53182" ht="9.9499999999999993" hidden="1" customHeight="1" x14ac:dyDescent="0.2"/>
    <row r="53183" ht="9.9499999999999993" hidden="1" customHeight="1" x14ac:dyDescent="0.2"/>
    <row r="53184" ht="9.9499999999999993" hidden="1" customHeight="1" x14ac:dyDescent="0.2"/>
    <row r="53185" ht="9.9499999999999993" hidden="1" customHeight="1" x14ac:dyDescent="0.2"/>
    <row r="53186" ht="9.9499999999999993" hidden="1" customHeight="1" x14ac:dyDescent="0.2"/>
    <row r="53187" ht="9.9499999999999993" hidden="1" customHeight="1" x14ac:dyDescent="0.2"/>
    <row r="53188" ht="9.9499999999999993" hidden="1" customHeight="1" x14ac:dyDescent="0.2"/>
    <row r="53189" ht="9.9499999999999993" hidden="1" customHeight="1" x14ac:dyDescent="0.2"/>
    <row r="53190" ht="9.9499999999999993" hidden="1" customHeight="1" x14ac:dyDescent="0.2"/>
    <row r="53191" ht="9.9499999999999993" hidden="1" customHeight="1" x14ac:dyDescent="0.2"/>
    <row r="53192" ht="9.9499999999999993" hidden="1" customHeight="1" x14ac:dyDescent="0.2"/>
    <row r="53193" ht="9.9499999999999993" hidden="1" customHeight="1" x14ac:dyDescent="0.2"/>
    <row r="53194" ht="9.9499999999999993" hidden="1" customHeight="1" x14ac:dyDescent="0.2"/>
    <row r="53195" ht="9.9499999999999993" hidden="1" customHeight="1" x14ac:dyDescent="0.2"/>
    <row r="53196" ht="9.9499999999999993" hidden="1" customHeight="1" x14ac:dyDescent="0.2"/>
    <row r="53197" ht="9.9499999999999993" hidden="1" customHeight="1" x14ac:dyDescent="0.2"/>
    <row r="53198" ht="9.9499999999999993" hidden="1" customHeight="1" x14ac:dyDescent="0.2"/>
    <row r="53199" ht="9.9499999999999993" hidden="1" customHeight="1" x14ac:dyDescent="0.2"/>
    <row r="53200" ht="9.9499999999999993" hidden="1" customHeight="1" x14ac:dyDescent="0.2"/>
    <row r="53201" ht="9.9499999999999993" hidden="1" customHeight="1" x14ac:dyDescent="0.2"/>
    <row r="53202" ht="9.9499999999999993" hidden="1" customHeight="1" x14ac:dyDescent="0.2"/>
    <row r="53203" ht="9.9499999999999993" hidden="1" customHeight="1" x14ac:dyDescent="0.2"/>
    <row r="53204" ht="9.9499999999999993" hidden="1" customHeight="1" x14ac:dyDescent="0.2"/>
    <row r="53205" ht="9.9499999999999993" hidden="1" customHeight="1" x14ac:dyDescent="0.2"/>
    <row r="53206" ht="9.9499999999999993" hidden="1" customHeight="1" x14ac:dyDescent="0.2"/>
    <row r="53207" ht="9.9499999999999993" hidden="1" customHeight="1" x14ac:dyDescent="0.2"/>
    <row r="53208" ht="9.9499999999999993" hidden="1" customHeight="1" x14ac:dyDescent="0.2"/>
    <row r="53209" ht="9.9499999999999993" hidden="1" customHeight="1" x14ac:dyDescent="0.2"/>
    <row r="53210" ht="9.9499999999999993" hidden="1" customHeight="1" x14ac:dyDescent="0.2"/>
    <row r="53211" ht="9.9499999999999993" hidden="1" customHeight="1" x14ac:dyDescent="0.2"/>
    <row r="53212" ht="9.9499999999999993" hidden="1" customHeight="1" x14ac:dyDescent="0.2"/>
    <row r="53213" ht="9.9499999999999993" hidden="1" customHeight="1" x14ac:dyDescent="0.2"/>
    <row r="53214" ht="9.9499999999999993" hidden="1" customHeight="1" x14ac:dyDescent="0.2"/>
    <row r="53215" ht="9.9499999999999993" hidden="1" customHeight="1" x14ac:dyDescent="0.2"/>
    <row r="53216" ht="9.9499999999999993" hidden="1" customHeight="1" x14ac:dyDescent="0.2"/>
    <row r="53217" ht="9.9499999999999993" hidden="1" customHeight="1" x14ac:dyDescent="0.2"/>
    <row r="53218" ht="9.9499999999999993" hidden="1" customHeight="1" x14ac:dyDescent="0.2"/>
    <row r="53219" ht="9.9499999999999993" hidden="1" customHeight="1" x14ac:dyDescent="0.2"/>
    <row r="53220" ht="9.9499999999999993" hidden="1" customHeight="1" x14ac:dyDescent="0.2"/>
    <row r="53221" ht="9.9499999999999993" hidden="1" customHeight="1" x14ac:dyDescent="0.2"/>
    <row r="53222" ht="9.9499999999999993" hidden="1" customHeight="1" x14ac:dyDescent="0.2"/>
    <row r="53223" ht="9.9499999999999993" hidden="1" customHeight="1" x14ac:dyDescent="0.2"/>
    <row r="53224" ht="9.9499999999999993" hidden="1" customHeight="1" x14ac:dyDescent="0.2"/>
    <row r="53225" ht="9.9499999999999993" hidden="1" customHeight="1" x14ac:dyDescent="0.2"/>
    <row r="53226" ht="9.9499999999999993" hidden="1" customHeight="1" x14ac:dyDescent="0.2"/>
    <row r="53227" ht="9.9499999999999993" hidden="1" customHeight="1" x14ac:dyDescent="0.2"/>
    <row r="53228" ht="9.9499999999999993" hidden="1" customHeight="1" x14ac:dyDescent="0.2"/>
    <row r="53229" ht="9.9499999999999993" hidden="1" customHeight="1" x14ac:dyDescent="0.2"/>
    <row r="53230" ht="9.9499999999999993" hidden="1" customHeight="1" x14ac:dyDescent="0.2"/>
    <row r="53231" ht="9.9499999999999993" hidden="1" customHeight="1" x14ac:dyDescent="0.2"/>
    <row r="53232" ht="9.9499999999999993" hidden="1" customHeight="1" x14ac:dyDescent="0.2"/>
    <row r="53233" ht="9.9499999999999993" hidden="1" customHeight="1" x14ac:dyDescent="0.2"/>
    <row r="53234" ht="9.9499999999999993" hidden="1" customHeight="1" x14ac:dyDescent="0.2"/>
    <row r="53235" ht="9.9499999999999993" hidden="1" customHeight="1" x14ac:dyDescent="0.2"/>
    <row r="53236" ht="9.9499999999999993" hidden="1" customHeight="1" x14ac:dyDescent="0.2"/>
    <row r="53237" ht="9.9499999999999993" hidden="1" customHeight="1" x14ac:dyDescent="0.2"/>
    <row r="53238" ht="9.9499999999999993" hidden="1" customHeight="1" x14ac:dyDescent="0.2"/>
    <row r="53239" ht="9.9499999999999993" hidden="1" customHeight="1" x14ac:dyDescent="0.2"/>
    <row r="53240" ht="9.9499999999999993" hidden="1" customHeight="1" x14ac:dyDescent="0.2"/>
    <row r="53241" ht="9.9499999999999993" hidden="1" customHeight="1" x14ac:dyDescent="0.2"/>
    <row r="53242" ht="9.9499999999999993" hidden="1" customHeight="1" x14ac:dyDescent="0.2"/>
    <row r="53243" ht="9.9499999999999993" hidden="1" customHeight="1" x14ac:dyDescent="0.2"/>
    <row r="53244" ht="9.9499999999999993" hidden="1" customHeight="1" x14ac:dyDescent="0.2"/>
    <row r="53245" ht="9.9499999999999993" hidden="1" customHeight="1" x14ac:dyDescent="0.2"/>
    <row r="53246" ht="9.9499999999999993" hidden="1" customHeight="1" x14ac:dyDescent="0.2"/>
    <row r="53247" ht="9.9499999999999993" hidden="1" customHeight="1" x14ac:dyDescent="0.2"/>
    <row r="53248" ht="9.9499999999999993" hidden="1" customHeight="1" x14ac:dyDescent="0.2"/>
    <row r="53249" ht="9.9499999999999993" hidden="1" customHeight="1" x14ac:dyDescent="0.2"/>
    <row r="53250" ht="9.9499999999999993" hidden="1" customHeight="1" x14ac:dyDescent="0.2"/>
    <row r="53251" ht="9.9499999999999993" hidden="1" customHeight="1" x14ac:dyDescent="0.2"/>
    <row r="53252" ht="9.9499999999999993" hidden="1" customHeight="1" x14ac:dyDescent="0.2"/>
    <row r="53253" ht="9.9499999999999993" hidden="1" customHeight="1" x14ac:dyDescent="0.2"/>
    <row r="53254" ht="9.9499999999999993" hidden="1" customHeight="1" x14ac:dyDescent="0.2"/>
    <row r="53255" ht="9.9499999999999993" hidden="1" customHeight="1" x14ac:dyDescent="0.2"/>
    <row r="53256" ht="9.9499999999999993" hidden="1" customHeight="1" x14ac:dyDescent="0.2"/>
    <row r="53257" ht="9.9499999999999993" hidden="1" customHeight="1" x14ac:dyDescent="0.2"/>
    <row r="53258" ht="9.9499999999999993" hidden="1" customHeight="1" x14ac:dyDescent="0.2"/>
    <row r="53259" ht="9.9499999999999993" hidden="1" customHeight="1" x14ac:dyDescent="0.2"/>
    <row r="53260" ht="9.9499999999999993" hidden="1" customHeight="1" x14ac:dyDescent="0.2"/>
    <row r="53261" ht="9.9499999999999993" hidden="1" customHeight="1" x14ac:dyDescent="0.2"/>
    <row r="53262" ht="9.9499999999999993" hidden="1" customHeight="1" x14ac:dyDescent="0.2"/>
    <row r="53263" ht="9.9499999999999993" hidden="1" customHeight="1" x14ac:dyDescent="0.2"/>
    <row r="53264" ht="9.9499999999999993" hidden="1" customHeight="1" x14ac:dyDescent="0.2"/>
    <row r="53265" ht="9.9499999999999993" hidden="1" customHeight="1" x14ac:dyDescent="0.2"/>
    <row r="53266" ht="9.9499999999999993" hidden="1" customHeight="1" x14ac:dyDescent="0.2"/>
    <row r="53267" ht="9.9499999999999993" hidden="1" customHeight="1" x14ac:dyDescent="0.2"/>
    <row r="53268" ht="9.9499999999999993" hidden="1" customHeight="1" x14ac:dyDescent="0.2"/>
    <row r="53269" ht="9.9499999999999993" hidden="1" customHeight="1" x14ac:dyDescent="0.2"/>
    <row r="53270" ht="9.9499999999999993" hidden="1" customHeight="1" x14ac:dyDescent="0.2"/>
    <row r="53271" ht="9.9499999999999993" hidden="1" customHeight="1" x14ac:dyDescent="0.2"/>
    <row r="53272" ht="9.9499999999999993" hidden="1" customHeight="1" x14ac:dyDescent="0.2"/>
    <row r="53273" ht="9.9499999999999993" hidden="1" customHeight="1" x14ac:dyDescent="0.2"/>
    <row r="53274" ht="9.9499999999999993" hidden="1" customHeight="1" x14ac:dyDescent="0.2"/>
    <row r="53275" ht="9.9499999999999993" hidden="1" customHeight="1" x14ac:dyDescent="0.2"/>
    <row r="53276" ht="9.9499999999999993" hidden="1" customHeight="1" x14ac:dyDescent="0.2"/>
    <row r="53277" ht="9.9499999999999993" hidden="1" customHeight="1" x14ac:dyDescent="0.2"/>
    <row r="53278" ht="9.9499999999999993" hidden="1" customHeight="1" x14ac:dyDescent="0.2"/>
    <row r="53279" ht="9.9499999999999993" hidden="1" customHeight="1" x14ac:dyDescent="0.2"/>
    <row r="53280" ht="9.9499999999999993" hidden="1" customHeight="1" x14ac:dyDescent="0.2"/>
    <row r="53281" ht="9.9499999999999993" hidden="1" customHeight="1" x14ac:dyDescent="0.2"/>
    <row r="53282" ht="9.9499999999999993" hidden="1" customHeight="1" x14ac:dyDescent="0.2"/>
    <row r="53283" ht="9.9499999999999993" hidden="1" customHeight="1" x14ac:dyDescent="0.2"/>
    <row r="53284" ht="9.9499999999999993" hidden="1" customHeight="1" x14ac:dyDescent="0.2"/>
    <row r="53285" ht="9.9499999999999993" hidden="1" customHeight="1" x14ac:dyDescent="0.2"/>
    <row r="53286" ht="9.9499999999999993" hidden="1" customHeight="1" x14ac:dyDescent="0.2"/>
    <row r="53287" ht="9.9499999999999993" hidden="1" customHeight="1" x14ac:dyDescent="0.2"/>
    <row r="53288" ht="9.9499999999999993" hidden="1" customHeight="1" x14ac:dyDescent="0.2"/>
    <row r="53289" ht="9.9499999999999993" hidden="1" customHeight="1" x14ac:dyDescent="0.2"/>
    <row r="53290" ht="9.9499999999999993" hidden="1" customHeight="1" x14ac:dyDescent="0.2"/>
    <row r="53291" ht="9.9499999999999993" hidden="1" customHeight="1" x14ac:dyDescent="0.2"/>
    <row r="53292" ht="9.9499999999999993" hidden="1" customHeight="1" x14ac:dyDescent="0.2"/>
    <row r="53293" ht="9.9499999999999993" hidden="1" customHeight="1" x14ac:dyDescent="0.2"/>
    <row r="53294" ht="9.9499999999999993" hidden="1" customHeight="1" x14ac:dyDescent="0.2"/>
    <row r="53295" ht="9.9499999999999993" hidden="1" customHeight="1" x14ac:dyDescent="0.2"/>
    <row r="53296" ht="9.9499999999999993" hidden="1" customHeight="1" x14ac:dyDescent="0.2"/>
    <row r="53297" ht="9.9499999999999993" hidden="1" customHeight="1" x14ac:dyDescent="0.2"/>
    <row r="53298" ht="9.9499999999999993" hidden="1" customHeight="1" x14ac:dyDescent="0.2"/>
    <row r="53299" ht="9.9499999999999993" hidden="1" customHeight="1" x14ac:dyDescent="0.2"/>
    <row r="53300" ht="9.9499999999999993" hidden="1" customHeight="1" x14ac:dyDescent="0.2"/>
    <row r="53301" ht="9.9499999999999993" hidden="1" customHeight="1" x14ac:dyDescent="0.2"/>
    <row r="53302" ht="9.9499999999999993" hidden="1" customHeight="1" x14ac:dyDescent="0.2"/>
    <row r="53303" ht="9.9499999999999993" hidden="1" customHeight="1" x14ac:dyDescent="0.2"/>
    <row r="53304" ht="9.9499999999999993" hidden="1" customHeight="1" x14ac:dyDescent="0.2"/>
    <row r="53305" ht="9.9499999999999993" hidden="1" customHeight="1" x14ac:dyDescent="0.2"/>
    <row r="53306" ht="9.9499999999999993" hidden="1" customHeight="1" x14ac:dyDescent="0.2"/>
    <row r="53307" ht="9.9499999999999993" hidden="1" customHeight="1" x14ac:dyDescent="0.2"/>
    <row r="53308" ht="9.9499999999999993" hidden="1" customHeight="1" x14ac:dyDescent="0.2"/>
    <row r="53309" ht="9.9499999999999993" hidden="1" customHeight="1" x14ac:dyDescent="0.2"/>
    <row r="53310" ht="9.9499999999999993" hidden="1" customHeight="1" x14ac:dyDescent="0.2"/>
    <row r="53311" ht="9.9499999999999993" hidden="1" customHeight="1" x14ac:dyDescent="0.2"/>
    <row r="53312" ht="9.9499999999999993" hidden="1" customHeight="1" x14ac:dyDescent="0.2"/>
    <row r="53313" ht="9.9499999999999993" hidden="1" customHeight="1" x14ac:dyDescent="0.2"/>
    <row r="53314" ht="9.9499999999999993" hidden="1" customHeight="1" x14ac:dyDescent="0.2"/>
    <row r="53315" ht="9.9499999999999993" hidden="1" customHeight="1" x14ac:dyDescent="0.2"/>
    <row r="53316" ht="9.9499999999999993" hidden="1" customHeight="1" x14ac:dyDescent="0.2"/>
    <row r="53317" ht="9.9499999999999993" hidden="1" customHeight="1" x14ac:dyDescent="0.2"/>
    <row r="53318" ht="9.9499999999999993" hidden="1" customHeight="1" x14ac:dyDescent="0.2"/>
    <row r="53319" ht="9.9499999999999993" hidden="1" customHeight="1" x14ac:dyDescent="0.2"/>
    <row r="53320" ht="9.9499999999999993" hidden="1" customHeight="1" x14ac:dyDescent="0.2"/>
    <row r="53321" ht="9.9499999999999993" hidden="1" customHeight="1" x14ac:dyDescent="0.2"/>
    <row r="53322" ht="9.9499999999999993" hidden="1" customHeight="1" x14ac:dyDescent="0.2"/>
    <row r="53323" ht="9.9499999999999993" hidden="1" customHeight="1" x14ac:dyDescent="0.2"/>
    <row r="53324" ht="9.9499999999999993" hidden="1" customHeight="1" x14ac:dyDescent="0.2"/>
    <row r="53325" ht="9.9499999999999993" hidden="1" customHeight="1" x14ac:dyDescent="0.2"/>
    <row r="53326" ht="9.9499999999999993" hidden="1" customHeight="1" x14ac:dyDescent="0.2"/>
    <row r="53327" ht="9.9499999999999993" hidden="1" customHeight="1" x14ac:dyDescent="0.2"/>
    <row r="53328" ht="9.9499999999999993" hidden="1" customHeight="1" x14ac:dyDescent="0.2"/>
    <row r="53329" ht="9.9499999999999993" hidden="1" customHeight="1" x14ac:dyDescent="0.2"/>
    <row r="53330" ht="9.9499999999999993" hidden="1" customHeight="1" x14ac:dyDescent="0.2"/>
    <row r="53331" ht="9.9499999999999993" hidden="1" customHeight="1" x14ac:dyDescent="0.2"/>
    <row r="53332" ht="9.9499999999999993" hidden="1" customHeight="1" x14ac:dyDescent="0.2"/>
    <row r="53333" ht="9.9499999999999993" hidden="1" customHeight="1" x14ac:dyDescent="0.2"/>
    <row r="53334" ht="9.9499999999999993" hidden="1" customHeight="1" x14ac:dyDescent="0.2"/>
    <row r="53335" ht="9.9499999999999993" hidden="1" customHeight="1" x14ac:dyDescent="0.2"/>
    <row r="53336" ht="9.9499999999999993" hidden="1" customHeight="1" x14ac:dyDescent="0.2"/>
    <row r="53337" ht="9.9499999999999993" hidden="1" customHeight="1" x14ac:dyDescent="0.2"/>
    <row r="53338" ht="9.9499999999999993" hidden="1" customHeight="1" x14ac:dyDescent="0.2"/>
    <row r="53339" ht="9.9499999999999993" hidden="1" customHeight="1" x14ac:dyDescent="0.2"/>
    <row r="53340" ht="9.9499999999999993" hidden="1" customHeight="1" x14ac:dyDescent="0.2"/>
    <row r="53341" ht="9.9499999999999993" hidden="1" customHeight="1" x14ac:dyDescent="0.2"/>
    <row r="53342" ht="9.9499999999999993" hidden="1" customHeight="1" x14ac:dyDescent="0.2"/>
    <row r="53343" ht="9.9499999999999993" hidden="1" customHeight="1" x14ac:dyDescent="0.2"/>
    <row r="53344" ht="9.9499999999999993" hidden="1" customHeight="1" x14ac:dyDescent="0.2"/>
    <row r="53345" ht="9.9499999999999993" hidden="1" customHeight="1" x14ac:dyDescent="0.2"/>
    <row r="53346" ht="9.9499999999999993" hidden="1" customHeight="1" x14ac:dyDescent="0.2"/>
    <row r="53347" ht="9.9499999999999993" hidden="1" customHeight="1" x14ac:dyDescent="0.2"/>
    <row r="53348" ht="9.9499999999999993" hidden="1" customHeight="1" x14ac:dyDescent="0.2"/>
    <row r="53349" ht="9.9499999999999993" hidden="1" customHeight="1" x14ac:dyDescent="0.2"/>
    <row r="53350" ht="9.9499999999999993" hidden="1" customHeight="1" x14ac:dyDescent="0.2"/>
    <row r="53351" ht="9.9499999999999993" hidden="1" customHeight="1" x14ac:dyDescent="0.2"/>
    <row r="53352" ht="9.9499999999999993" hidden="1" customHeight="1" x14ac:dyDescent="0.2"/>
    <row r="53353" ht="9.9499999999999993" hidden="1" customHeight="1" x14ac:dyDescent="0.2"/>
    <row r="53354" ht="9.9499999999999993" hidden="1" customHeight="1" x14ac:dyDescent="0.2"/>
    <row r="53355" ht="9.9499999999999993" hidden="1" customHeight="1" x14ac:dyDescent="0.2"/>
    <row r="53356" ht="9.9499999999999993" hidden="1" customHeight="1" x14ac:dyDescent="0.2"/>
    <row r="53357" ht="9.9499999999999993" hidden="1" customHeight="1" x14ac:dyDescent="0.2"/>
    <row r="53358" ht="9.9499999999999993" hidden="1" customHeight="1" x14ac:dyDescent="0.2"/>
    <row r="53359" ht="9.9499999999999993" hidden="1" customHeight="1" x14ac:dyDescent="0.2"/>
    <row r="53360" ht="9.9499999999999993" hidden="1" customHeight="1" x14ac:dyDescent="0.2"/>
    <row r="53361" ht="9.9499999999999993" hidden="1" customHeight="1" x14ac:dyDescent="0.2"/>
    <row r="53362" ht="9.9499999999999993" hidden="1" customHeight="1" x14ac:dyDescent="0.2"/>
    <row r="53363" ht="9.9499999999999993" hidden="1" customHeight="1" x14ac:dyDescent="0.2"/>
    <row r="53364" ht="9.9499999999999993" hidden="1" customHeight="1" x14ac:dyDescent="0.2"/>
    <row r="53365" ht="9.9499999999999993" hidden="1" customHeight="1" x14ac:dyDescent="0.2"/>
    <row r="53366" ht="9.9499999999999993" hidden="1" customHeight="1" x14ac:dyDescent="0.2"/>
    <row r="53367" ht="9.9499999999999993" hidden="1" customHeight="1" x14ac:dyDescent="0.2"/>
    <row r="53368" ht="9.9499999999999993" hidden="1" customHeight="1" x14ac:dyDescent="0.2"/>
    <row r="53369" ht="9.9499999999999993" hidden="1" customHeight="1" x14ac:dyDescent="0.2"/>
    <row r="53370" ht="9.9499999999999993" hidden="1" customHeight="1" x14ac:dyDescent="0.2"/>
    <row r="53371" ht="9.9499999999999993" hidden="1" customHeight="1" x14ac:dyDescent="0.2"/>
    <row r="53372" ht="9.9499999999999993" hidden="1" customHeight="1" x14ac:dyDescent="0.2"/>
    <row r="53373" ht="9.9499999999999993" hidden="1" customHeight="1" x14ac:dyDescent="0.2"/>
    <row r="53374" ht="9.9499999999999993" hidden="1" customHeight="1" x14ac:dyDescent="0.2"/>
    <row r="53375" ht="9.9499999999999993" hidden="1" customHeight="1" x14ac:dyDescent="0.2"/>
    <row r="53376" ht="9.9499999999999993" hidden="1" customHeight="1" x14ac:dyDescent="0.2"/>
    <row r="53377" ht="9.9499999999999993" hidden="1" customHeight="1" x14ac:dyDescent="0.2"/>
    <row r="53378" ht="9.9499999999999993" hidden="1" customHeight="1" x14ac:dyDescent="0.2"/>
    <row r="53379" ht="9.9499999999999993" hidden="1" customHeight="1" x14ac:dyDescent="0.2"/>
    <row r="53380" ht="9.9499999999999993" hidden="1" customHeight="1" x14ac:dyDescent="0.2"/>
    <row r="53381" ht="9.9499999999999993" hidden="1" customHeight="1" x14ac:dyDescent="0.2"/>
    <row r="53382" ht="9.9499999999999993" hidden="1" customHeight="1" x14ac:dyDescent="0.2"/>
    <row r="53383" ht="9.9499999999999993" hidden="1" customHeight="1" x14ac:dyDescent="0.2"/>
    <row r="53384" ht="9.9499999999999993" hidden="1" customHeight="1" x14ac:dyDescent="0.2"/>
    <row r="53385" ht="9.9499999999999993" hidden="1" customHeight="1" x14ac:dyDescent="0.2"/>
    <row r="53386" ht="9.9499999999999993" hidden="1" customHeight="1" x14ac:dyDescent="0.2"/>
    <row r="53387" ht="9.9499999999999993" hidden="1" customHeight="1" x14ac:dyDescent="0.2"/>
    <row r="53388" ht="9.9499999999999993" hidden="1" customHeight="1" x14ac:dyDescent="0.2"/>
    <row r="53389" ht="9.9499999999999993" hidden="1" customHeight="1" x14ac:dyDescent="0.2"/>
    <row r="53390" ht="9.9499999999999993" hidden="1" customHeight="1" x14ac:dyDescent="0.2"/>
    <row r="53391" ht="9.9499999999999993" hidden="1" customHeight="1" x14ac:dyDescent="0.2"/>
    <row r="53392" ht="9.9499999999999993" hidden="1" customHeight="1" x14ac:dyDescent="0.2"/>
    <row r="53393" ht="9.9499999999999993" hidden="1" customHeight="1" x14ac:dyDescent="0.2"/>
    <row r="53394" ht="9.9499999999999993" hidden="1" customHeight="1" x14ac:dyDescent="0.2"/>
    <row r="53395" ht="9.9499999999999993" hidden="1" customHeight="1" x14ac:dyDescent="0.2"/>
    <row r="53396" ht="9.9499999999999993" hidden="1" customHeight="1" x14ac:dyDescent="0.2"/>
    <row r="53397" ht="9.9499999999999993" hidden="1" customHeight="1" x14ac:dyDescent="0.2"/>
    <row r="53398" ht="9.9499999999999993" hidden="1" customHeight="1" x14ac:dyDescent="0.2"/>
    <row r="53399" ht="9.9499999999999993" hidden="1" customHeight="1" x14ac:dyDescent="0.2"/>
    <row r="53400" ht="9.9499999999999993" hidden="1" customHeight="1" x14ac:dyDescent="0.2"/>
    <row r="53401" ht="9.9499999999999993" hidden="1" customHeight="1" x14ac:dyDescent="0.2"/>
    <row r="53402" ht="9.9499999999999993" hidden="1" customHeight="1" x14ac:dyDescent="0.2"/>
    <row r="53403" ht="9.9499999999999993" hidden="1" customHeight="1" x14ac:dyDescent="0.2"/>
    <row r="53404" ht="9.9499999999999993" hidden="1" customHeight="1" x14ac:dyDescent="0.2"/>
    <row r="53405" ht="9.9499999999999993" hidden="1" customHeight="1" x14ac:dyDescent="0.2"/>
    <row r="53406" ht="9.9499999999999993" hidden="1" customHeight="1" x14ac:dyDescent="0.2"/>
    <row r="53407" ht="9.9499999999999993" hidden="1" customHeight="1" x14ac:dyDescent="0.2"/>
    <row r="53408" ht="9.9499999999999993" hidden="1" customHeight="1" x14ac:dyDescent="0.2"/>
    <row r="53409" ht="9.9499999999999993" hidden="1" customHeight="1" x14ac:dyDescent="0.2"/>
    <row r="53410" ht="9.9499999999999993" hidden="1" customHeight="1" x14ac:dyDescent="0.2"/>
    <row r="53411" ht="9.9499999999999993" hidden="1" customHeight="1" x14ac:dyDescent="0.2"/>
    <row r="53412" ht="9.9499999999999993" hidden="1" customHeight="1" x14ac:dyDescent="0.2"/>
    <row r="53413" ht="9.9499999999999993" hidden="1" customHeight="1" x14ac:dyDescent="0.2"/>
    <row r="53414" ht="9.9499999999999993" hidden="1" customHeight="1" x14ac:dyDescent="0.2"/>
    <row r="53415" ht="9.9499999999999993" hidden="1" customHeight="1" x14ac:dyDescent="0.2"/>
    <row r="53416" ht="9.9499999999999993" hidden="1" customHeight="1" x14ac:dyDescent="0.2"/>
    <row r="53417" ht="9.9499999999999993" hidden="1" customHeight="1" x14ac:dyDescent="0.2"/>
    <row r="53418" ht="9.9499999999999993" hidden="1" customHeight="1" x14ac:dyDescent="0.2"/>
    <row r="53419" ht="9.9499999999999993" hidden="1" customHeight="1" x14ac:dyDescent="0.2"/>
    <row r="53420" ht="9.9499999999999993" hidden="1" customHeight="1" x14ac:dyDescent="0.2"/>
    <row r="53421" ht="9.9499999999999993" hidden="1" customHeight="1" x14ac:dyDescent="0.2"/>
    <row r="53422" ht="9.9499999999999993" hidden="1" customHeight="1" x14ac:dyDescent="0.2"/>
    <row r="53423" ht="9.9499999999999993" hidden="1" customHeight="1" x14ac:dyDescent="0.2"/>
    <row r="53424" ht="9.9499999999999993" hidden="1" customHeight="1" x14ac:dyDescent="0.2"/>
    <row r="53425" ht="9.9499999999999993" hidden="1" customHeight="1" x14ac:dyDescent="0.2"/>
    <row r="53426" ht="9.9499999999999993" hidden="1" customHeight="1" x14ac:dyDescent="0.2"/>
    <row r="53427" ht="9.9499999999999993" hidden="1" customHeight="1" x14ac:dyDescent="0.2"/>
    <row r="53428" ht="9.9499999999999993" hidden="1" customHeight="1" x14ac:dyDescent="0.2"/>
    <row r="53429" ht="9.9499999999999993" hidden="1" customHeight="1" x14ac:dyDescent="0.2"/>
    <row r="53430" ht="9.9499999999999993" hidden="1" customHeight="1" x14ac:dyDescent="0.2"/>
    <row r="53431" ht="9.9499999999999993" hidden="1" customHeight="1" x14ac:dyDescent="0.2"/>
    <row r="53432" ht="9.9499999999999993" hidden="1" customHeight="1" x14ac:dyDescent="0.2"/>
    <row r="53433" ht="9.9499999999999993" hidden="1" customHeight="1" x14ac:dyDescent="0.2"/>
    <row r="53434" ht="9.9499999999999993" hidden="1" customHeight="1" x14ac:dyDescent="0.2"/>
    <row r="53435" ht="9.9499999999999993" hidden="1" customHeight="1" x14ac:dyDescent="0.2"/>
    <row r="53436" ht="9.9499999999999993" hidden="1" customHeight="1" x14ac:dyDescent="0.2"/>
    <row r="53437" ht="9.9499999999999993" hidden="1" customHeight="1" x14ac:dyDescent="0.2"/>
    <row r="53438" ht="9.9499999999999993" hidden="1" customHeight="1" x14ac:dyDescent="0.2"/>
    <row r="53439" ht="9.9499999999999993" hidden="1" customHeight="1" x14ac:dyDescent="0.2"/>
    <row r="53440" ht="9.9499999999999993" hidden="1" customHeight="1" x14ac:dyDescent="0.2"/>
    <row r="53441" ht="9.9499999999999993" hidden="1" customHeight="1" x14ac:dyDescent="0.2"/>
    <row r="53442" ht="9.9499999999999993" hidden="1" customHeight="1" x14ac:dyDescent="0.2"/>
    <row r="53443" ht="9.9499999999999993" hidden="1" customHeight="1" x14ac:dyDescent="0.2"/>
    <row r="53444" ht="9.9499999999999993" hidden="1" customHeight="1" x14ac:dyDescent="0.2"/>
    <row r="53445" ht="9.9499999999999993" hidden="1" customHeight="1" x14ac:dyDescent="0.2"/>
    <row r="53446" ht="9.9499999999999993" hidden="1" customHeight="1" x14ac:dyDescent="0.2"/>
    <row r="53447" ht="9.9499999999999993" hidden="1" customHeight="1" x14ac:dyDescent="0.2"/>
    <row r="53448" ht="9.9499999999999993" hidden="1" customHeight="1" x14ac:dyDescent="0.2"/>
    <row r="53449" ht="9.9499999999999993" hidden="1" customHeight="1" x14ac:dyDescent="0.2"/>
    <row r="53450" ht="9.9499999999999993" hidden="1" customHeight="1" x14ac:dyDescent="0.2"/>
    <row r="53451" ht="9.9499999999999993" hidden="1" customHeight="1" x14ac:dyDescent="0.2"/>
    <row r="53452" ht="9.9499999999999993" hidden="1" customHeight="1" x14ac:dyDescent="0.2"/>
    <row r="53453" ht="9.9499999999999993" hidden="1" customHeight="1" x14ac:dyDescent="0.2"/>
    <row r="53454" ht="9.9499999999999993" hidden="1" customHeight="1" x14ac:dyDescent="0.2"/>
    <row r="53455" ht="9.9499999999999993" hidden="1" customHeight="1" x14ac:dyDescent="0.2"/>
    <row r="53456" ht="9.9499999999999993" hidden="1" customHeight="1" x14ac:dyDescent="0.2"/>
    <row r="53457" ht="9.9499999999999993" hidden="1" customHeight="1" x14ac:dyDescent="0.2"/>
    <row r="53458" ht="9.9499999999999993" hidden="1" customHeight="1" x14ac:dyDescent="0.2"/>
    <row r="53459" ht="9.9499999999999993" hidden="1" customHeight="1" x14ac:dyDescent="0.2"/>
    <row r="53460" ht="9.9499999999999993" hidden="1" customHeight="1" x14ac:dyDescent="0.2"/>
    <row r="53461" ht="9.9499999999999993" hidden="1" customHeight="1" x14ac:dyDescent="0.2"/>
    <row r="53462" ht="9.9499999999999993" hidden="1" customHeight="1" x14ac:dyDescent="0.2"/>
    <row r="53463" ht="9.9499999999999993" hidden="1" customHeight="1" x14ac:dyDescent="0.2"/>
    <row r="53464" ht="9.9499999999999993" hidden="1" customHeight="1" x14ac:dyDescent="0.2"/>
    <row r="53465" ht="9.9499999999999993" hidden="1" customHeight="1" x14ac:dyDescent="0.2"/>
    <row r="53466" ht="9.9499999999999993" hidden="1" customHeight="1" x14ac:dyDescent="0.2"/>
    <row r="53467" ht="9.9499999999999993" hidden="1" customHeight="1" x14ac:dyDescent="0.2"/>
    <row r="53468" ht="9.9499999999999993" hidden="1" customHeight="1" x14ac:dyDescent="0.2"/>
    <row r="53469" ht="9.9499999999999993" hidden="1" customHeight="1" x14ac:dyDescent="0.2"/>
    <row r="53470" ht="9.9499999999999993" hidden="1" customHeight="1" x14ac:dyDescent="0.2"/>
    <row r="53471" ht="9.9499999999999993" hidden="1" customHeight="1" x14ac:dyDescent="0.2"/>
    <row r="53472" ht="9.9499999999999993" hidden="1" customHeight="1" x14ac:dyDescent="0.2"/>
    <row r="53473" ht="9.9499999999999993" hidden="1" customHeight="1" x14ac:dyDescent="0.2"/>
    <row r="53474" ht="9.9499999999999993" hidden="1" customHeight="1" x14ac:dyDescent="0.2"/>
    <row r="53475" ht="9.9499999999999993" hidden="1" customHeight="1" x14ac:dyDescent="0.2"/>
    <row r="53476" ht="9.9499999999999993" hidden="1" customHeight="1" x14ac:dyDescent="0.2"/>
    <row r="53477" ht="9.9499999999999993" hidden="1" customHeight="1" x14ac:dyDescent="0.2"/>
    <row r="53478" ht="9.9499999999999993" hidden="1" customHeight="1" x14ac:dyDescent="0.2"/>
    <row r="53479" ht="9.9499999999999993" hidden="1" customHeight="1" x14ac:dyDescent="0.2"/>
    <row r="53480" ht="9.9499999999999993" hidden="1" customHeight="1" x14ac:dyDescent="0.2"/>
    <row r="53481" ht="9.9499999999999993" hidden="1" customHeight="1" x14ac:dyDescent="0.2"/>
    <row r="53482" ht="9.9499999999999993" hidden="1" customHeight="1" x14ac:dyDescent="0.2"/>
    <row r="53483" ht="9.9499999999999993" hidden="1" customHeight="1" x14ac:dyDescent="0.2"/>
    <row r="53484" ht="9.9499999999999993" hidden="1" customHeight="1" x14ac:dyDescent="0.2"/>
    <row r="53485" ht="9.9499999999999993" hidden="1" customHeight="1" x14ac:dyDescent="0.2"/>
    <row r="53486" ht="9.9499999999999993" hidden="1" customHeight="1" x14ac:dyDescent="0.2"/>
    <row r="53487" ht="9.9499999999999993" hidden="1" customHeight="1" x14ac:dyDescent="0.2"/>
    <row r="53488" ht="9.9499999999999993" hidden="1" customHeight="1" x14ac:dyDescent="0.2"/>
    <row r="53489" ht="9.9499999999999993" hidden="1" customHeight="1" x14ac:dyDescent="0.2"/>
    <row r="53490" ht="9.9499999999999993" hidden="1" customHeight="1" x14ac:dyDescent="0.2"/>
    <row r="53491" ht="9.9499999999999993" hidden="1" customHeight="1" x14ac:dyDescent="0.2"/>
    <row r="53492" ht="9.9499999999999993" hidden="1" customHeight="1" x14ac:dyDescent="0.2"/>
    <row r="53493" ht="9.9499999999999993" hidden="1" customHeight="1" x14ac:dyDescent="0.2"/>
    <row r="53494" ht="9.9499999999999993" hidden="1" customHeight="1" x14ac:dyDescent="0.2"/>
    <row r="53495" ht="9.9499999999999993" hidden="1" customHeight="1" x14ac:dyDescent="0.2"/>
    <row r="53496" ht="9.9499999999999993" hidden="1" customHeight="1" x14ac:dyDescent="0.2"/>
    <row r="53497" ht="9.9499999999999993" hidden="1" customHeight="1" x14ac:dyDescent="0.2"/>
    <row r="53498" ht="9.9499999999999993" hidden="1" customHeight="1" x14ac:dyDescent="0.2"/>
    <row r="53499" ht="9.9499999999999993" hidden="1" customHeight="1" x14ac:dyDescent="0.2"/>
    <row r="53500" ht="9.9499999999999993" hidden="1" customHeight="1" x14ac:dyDescent="0.2"/>
    <row r="53501" ht="9.9499999999999993" hidden="1" customHeight="1" x14ac:dyDescent="0.2"/>
    <row r="53502" ht="9.9499999999999993" hidden="1" customHeight="1" x14ac:dyDescent="0.2"/>
    <row r="53503" ht="9.9499999999999993" hidden="1" customHeight="1" x14ac:dyDescent="0.2"/>
    <row r="53504" ht="9.9499999999999993" hidden="1" customHeight="1" x14ac:dyDescent="0.2"/>
    <row r="53505" ht="9.9499999999999993" hidden="1" customHeight="1" x14ac:dyDescent="0.2"/>
    <row r="53506" ht="9.9499999999999993" hidden="1" customHeight="1" x14ac:dyDescent="0.2"/>
    <row r="53507" ht="9.9499999999999993" hidden="1" customHeight="1" x14ac:dyDescent="0.2"/>
    <row r="53508" ht="9.9499999999999993" hidden="1" customHeight="1" x14ac:dyDescent="0.2"/>
    <row r="53509" ht="9.9499999999999993" hidden="1" customHeight="1" x14ac:dyDescent="0.2"/>
    <row r="53510" ht="9.9499999999999993" hidden="1" customHeight="1" x14ac:dyDescent="0.2"/>
    <row r="53511" ht="9.9499999999999993" hidden="1" customHeight="1" x14ac:dyDescent="0.2"/>
    <row r="53512" ht="9.9499999999999993" hidden="1" customHeight="1" x14ac:dyDescent="0.2"/>
    <row r="53513" ht="9.9499999999999993" hidden="1" customHeight="1" x14ac:dyDescent="0.2"/>
    <row r="53514" ht="9.9499999999999993" hidden="1" customHeight="1" x14ac:dyDescent="0.2"/>
    <row r="53515" ht="9.9499999999999993" hidden="1" customHeight="1" x14ac:dyDescent="0.2"/>
    <row r="53516" ht="9.9499999999999993" hidden="1" customHeight="1" x14ac:dyDescent="0.2"/>
    <row r="53517" ht="9.9499999999999993" hidden="1" customHeight="1" x14ac:dyDescent="0.2"/>
    <row r="53518" ht="9.9499999999999993" hidden="1" customHeight="1" x14ac:dyDescent="0.2"/>
    <row r="53519" ht="9.9499999999999993" hidden="1" customHeight="1" x14ac:dyDescent="0.2"/>
    <row r="53520" ht="9.9499999999999993" hidden="1" customHeight="1" x14ac:dyDescent="0.2"/>
    <row r="53521" ht="9.9499999999999993" hidden="1" customHeight="1" x14ac:dyDescent="0.2"/>
    <row r="53522" ht="9.9499999999999993" hidden="1" customHeight="1" x14ac:dyDescent="0.2"/>
    <row r="53523" ht="9.9499999999999993" hidden="1" customHeight="1" x14ac:dyDescent="0.2"/>
    <row r="53524" ht="9.9499999999999993" hidden="1" customHeight="1" x14ac:dyDescent="0.2"/>
    <row r="53525" ht="9.9499999999999993" hidden="1" customHeight="1" x14ac:dyDescent="0.2"/>
    <row r="53526" ht="9.9499999999999993" hidden="1" customHeight="1" x14ac:dyDescent="0.2"/>
    <row r="53527" ht="9.9499999999999993" hidden="1" customHeight="1" x14ac:dyDescent="0.2"/>
    <row r="53528" ht="9.9499999999999993" hidden="1" customHeight="1" x14ac:dyDescent="0.2"/>
    <row r="53529" ht="9.9499999999999993" hidden="1" customHeight="1" x14ac:dyDescent="0.2"/>
    <row r="53530" ht="9.9499999999999993" hidden="1" customHeight="1" x14ac:dyDescent="0.2"/>
    <row r="53531" ht="9.9499999999999993" hidden="1" customHeight="1" x14ac:dyDescent="0.2"/>
    <row r="53532" ht="9.9499999999999993" hidden="1" customHeight="1" x14ac:dyDescent="0.2"/>
    <row r="53533" ht="9.9499999999999993" hidden="1" customHeight="1" x14ac:dyDescent="0.2"/>
    <row r="53534" ht="9.9499999999999993" hidden="1" customHeight="1" x14ac:dyDescent="0.2"/>
    <row r="53535" ht="9.9499999999999993" hidden="1" customHeight="1" x14ac:dyDescent="0.2"/>
    <row r="53536" ht="9.9499999999999993" hidden="1" customHeight="1" x14ac:dyDescent="0.2"/>
    <row r="53537" ht="9.9499999999999993" hidden="1" customHeight="1" x14ac:dyDescent="0.2"/>
    <row r="53538" ht="9.9499999999999993" hidden="1" customHeight="1" x14ac:dyDescent="0.2"/>
    <row r="53539" ht="9.9499999999999993" hidden="1" customHeight="1" x14ac:dyDescent="0.2"/>
    <row r="53540" ht="9.9499999999999993" hidden="1" customHeight="1" x14ac:dyDescent="0.2"/>
    <row r="53541" ht="9.9499999999999993" hidden="1" customHeight="1" x14ac:dyDescent="0.2"/>
    <row r="53542" ht="9.9499999999999993" hidden="1" customHeight="1" x14ac:dyDescent="0.2"/>
    <row r="53543" ht="9.9499999999999993" hidden="1" customHeight="1" x14ac:dyDescent="0.2"/>
    <row r="53544" ht="9.9499999999999993" hidden="1" customHeight="1" x14ac:dyDescent="0.2"/>
    <row r="53545" ht="9.9499999999999993" hidden="1" customHeight="1" x14ac:dyDescent="0.2"/>
    <row r="53546" ht="9.9499999999999993" hidden="1" customHeight="1" x14ac:dyDescent="0.2"/>
    <row r="53547" ht="9.9499999999999993" hidden="1" customHeight="1" x14ac:dyDescent="0.2"/>
    <row r="53548" ht="9.9499999999999993" hidden="1" customHeight="1" x14ac:dyDescent="0.2"/>
    <row r="53549" ht="9.9499999999999993" hidden="1" customHeight="1" x14ac:dyDescent="0.2"/>
    <row r="53550" ht="9.9499999999999993" hidden="1" customHeight="1" x14ac:dyDescent="0.2"/>
    <row r="53551" ht="9.9499999999999993" hidden="1" customHeight="1" x14ac:dyDescent="0.2"/>
    <row r="53552" ht="9.9499999999999993" hidden="1" customHeight="1" x14ac:dyDescent="0.2"/>
    <row r="53553" ht="9.9499999999999993" hidden="1" customHeight="1" x14ac:dyDescent="0.2"/>
    <row r="53554" ht="9.9499999999999993" hidden="1" customHeight="1" x14ac:dyDescent="0.2"/>
    <row r="53555" ht="9.9499999999999993" hidden="1" customHeight="1" x14ac:dyDescent="0.2"/>
    <row r="53556" ht="9.9499999999999993" hidden="1" customHeight="1" x14ac:dyDescent="0.2"/>
    <row r="53557" ht="9.9499999999999993" hidden="1" customHeight="1" x14ac:dyDescent="0.2"/>
    <row r="53558" ht="9.9499999999999993" hidden="1" customHeight="1" x14ac:dyDescent="0.2"/>
    <row r="53559" ht="9.9499999999999993" hidden="1" customHeight="1" x14ac:dyDescent="0.2"/>
    <row r="53560" ht="9.9499999999999993" hidden="1" customHeight="1" x14ac:dyDescent="0.2"/>
    <row r="53561" ht="9.9499999999999993" hidden="1" customHeight="1" x14ac:dyDescent="0.2"/>
    <row r="53562" ht="9.9499999999999993" hidden="1" customHeight="1" x14ac:dyDescent="0.2"/>
    <row r="53563" ht="9.9499999999999993" hidden="1" customHeight="1" x14ac:dyDescent="0.2"/>
    <row r="53564" ht="9.9499999999999993" hidden="1" customHeight="1" x14ac:dyDescent="0.2"/>
    <row r="53565" ht="9.9499999999999993" hidden="1" customHeight="1" x14ac:dyDescent="0.2"/>
    <row r="53566" ht="9.9499999999999993" hidden="1" customHeight="1" x14ac:dyDescent="0.2"/>
    <row r="53567" ht="9.9499999999999993" hidden="1" customHeight="1" x14ac:dyDescent="0.2"/>
    <row r="53568" ht="9.9499999999999993" hidden="1" customHeight="1" x14ac:dyDescent="0.2"/>
    <row r="53569" ht="9.9499999999999993" hidden="1" customHeight="1" x14ac:dyDescent="0.2"/>
    <row r="53570" ht="9.9499999999999993" hidden="1" customHeight="1" x14ac:dyDescent="0.2"/>
    <row r="53571" ht="9.9499999999999993" hidden="1" customHeight="1" x14ac:dyDescent="0.2"/>
    <row r="53572" ht="9.9499999999999993" hidden="1" customHeight="1" x14ac:dyDescent="0.2"/>
    <row r="53573" ht="9.9499999999999993" hidden="1" customHeight="1" x14ac:dyDescent="0.2"/>
    <row r="53574" ht="9.9499999999999993" hidden="1" customHeight="1" x14ac:dyDescent="0.2"/>
    <row r="53575" ht="9.9499999999999993" hidden="1" customHeight="1" x14ac:dyDescent="0.2"/>
    <row r="53576" ht="9.9499999999999993" hidden="1" customHeight="1" x14ac:dyDescent="0.2"/>
    <row r="53577" ht="9.9499999999999993" hidden="1" customHeight="1" x14ac:dyDescent="0.2"/>
    <row r="53578" ht="9.9499999999999993" hidden="1" customHeight="1" x14ac:dyDescent="0.2"/>
    <row r="53579" ht="9.9499999999999993" hidden="1" customHeight="1" x14ac:dyDescent="0.2"/>
    <row r="53580" ht="9.9499999999999993" hidden="1" customHeight="1" x14ac:dyDescent="0.2"/>
    <row r="53581" ht="9.9499999999999993" hidden="1" customHeight="1" x14ac:dyDescent="0.2"/>
    <row r="53582" ht="9.9499999999999993" hidden="1" customHeight="1" x14ac:dyDescent="0.2"/>
    <row r="53583" ht="9.9499999999999993" hidden="1" customHeight="1" x14ac:dyDescent="0.2"/>
    <row r="53584" ht="9.9499999999999993" hidden="1" customHeight="1" x14ac:dyDescent="0.2"/>
    <row r="53585" ht="9.9499999999999993" hidden="1" customHeight="1" x14ac:dyDescent="0.2"/>
    <row r="53586" ht="9.9499999999999993" hidden="1" customHeight="1" x14ac:dyDescent="0.2"/>
    <row r="53587" ht="9.9499999999999993" hidden="1" customHeight="1" x14ac:dyDescent="0.2"/>
    <row r="53588" ht="9.9499999999999993" hidden="1" customHeight="1" x14ac:dyDescent="0.2"/>
    <row r="53589" ht="9.9499999999999993" hidden="1" customHeight="1" x14ac:dyDescent="0.2"/>
    <row r="53590" ht="9.9499999999999993" hidden="1" customHeight="1" x14ac:dyDescent="0.2"/>
    <row r="53591" ht="9.9499999999999993" hidden="1" customHeight="1" x14ac:dyDescent="0.2"/>
    <row r="53592" ht="9.9499999999999993" hidden="1" customHeight="1" x14ac:dyDescent="0.2"/>
    <row r="53593" ht="9.9499999999999993" hidden="1" customHeight="1" x14ac:dyDescent="0.2"/>
    <row r="53594" ht="9.9499999999999993" hidden="1" customHeight="1" x14ac:dyDescent="0.2"/>
    <row r="53595" ht="9.9499999999999993" hidden="1" customHeight="1" x14ac:dyDescent="0.2"/>
    <row r="53596" ht="9.9499999999999993" hidden="1" customHeight="1" x14ac:dyDescent="0.2"/>
    <row r="53597" ht="9.9499999999999993" hidden="1" customHeight="1" x14ac:dyDescent="0.2"/>
    <row r="53598" ht="9.9499999999999993" hidden="1" customHeight="1" x14ac:dyDescent="0.2"/>
    <row r="53599" ht="9.9499999999999993" hidden="1" customHeight="1" x14ac:dyDescent="0.2"/>
    <row r="53600" ht="9.9499999999999993" hidden="1" customHeight="1" x14ac:dyDescent="0.2"/>
    <row r="53601" ht="9.9499999999999993" hidden="1" customHeight="1" x14ac:dyDescent="0.2"/>
    <row r="53602" ht="9.9499999999999993" hidden="1" customHeight="1" x14ac:dyDescent="0.2"/>
    <row r="53603" ht="9.9499999999999993" hidden="1" customHeight="1" x14ac:dyDescent="0.2"/>
    <row r="53604" ht="9.9499999999999993" hidden="1" customHeight="1" x14ac:dyDescent="0.2"/>
    <row r="53605" ht="9.9499999999999993" hidden="1" customHeight="1" x14ac:dyDescent="0.2"/>
    <row r="53606" ht="9.9499999999999993" hidden="1" customHeight="1" x14ac:dyDescent="0.2"/>
    <row r="53607" ht="9.9499999999999993" hidden="1" customHeight="1" x14ac:dyDescent="0.2"/>
    <row r="53608" ht="9.9499999999999993" hidden="1" customHeight="1" x14ac:dyDescent="0.2"/>
    <row r="53609" ht="9.9499999999999993" hidden="1" customHeight="1" x14ac:dyDescent="0.2"/>
    <row r="53610" ht="9.9499999999999993" hidden="1" customHeight="1" x14ac:dyDescent="0.2"/>
    <row r="53611" ht="9.9499999999999993" hidden="1" customHeight="1" x14ac:dyDescent="0.2"/>
    <row r="53612" ht="9.9499999999999993" hidden="1" customHeight="1" x14ac:dyDescent="0.2"/>
    <row r="53613" ht="9.9499999999999993" hidden="1" customHeight="1" x14ac:dyDescent="0.2"/>
    <row r="53614" ht="9.9499999999999993" hidden="1" customHeight="1" x14ac:dyDescent="0.2"/>
    <row r="53615" ht="9.9499999999999993" hidden="1" customHeight="1" x14ac:dyDescent="0.2"/>
    <row r="53616" ht="9.9499999999999993" hidden="1" customHeight="1" x14ac:dyDescent="0.2"/>
    <row r="53617" ht="9.9499999999999993" hidden="1" customHeight="1" x14ac:dyDescent="0.2"/>
    <row r="53618" ht="9.9499999999999993" hidden="1" customHeight="1" x14ac:dyDescent="0.2"/>
    <row r="53619" ht="9.9499999999999993" hidden="1" customHeight="1" x14ac:dyDescent="0.2"/>
    <row r="53620" ht="9.9499999999999993" hidden="1" customHeight="1" x14ac:dyDescent="0.2"/>
    <row r="53621" ht="9.9499999999999993" hidden="1" customHeight="1" x14ac:dyDescent="0.2"/>
    <row r="53622" ht="9.9499999999999993" hidden="1" customHeight="1" x14ac:dyDescent="0.2"/>
    <row r="53623" ht="9.9499999999999993" hidden="1" customHeight="1" x14ac:dyDescent="0.2"/>
    <row r="53624" ht="9.9499999999999993" hidden="1" customHeight="1" x14ac:dyDescent="0.2"/>
    <row r="53625" ht="9.9499999999999993" hidden="1" customHeight="1" x14ac:dyDescent="0.2"/>
    <row r="53626" ht="9.9499999999999993" hidden="1" customHeight="1" x14ac:dyDescent="0.2"/>
    <row r="53627" ht="9.9499999999999993" hidden="1" customHeight="1" x14ac:dyDescent="0.2"/>
    <row r="53628" ht="9.9499999999999993" hidden="1" customHeight="1" x14ac:dyDescent="0.2"/>
    <row r="53629" ht="9.9499999999999993" hidden="1" customHeight="1" x14ac:dyDescent="0.2"/>
    <row r="53630" ht="9.9499999999999993" hidden="1" customHeight="1" x14ac:dyDescent="0.2"/>
    <row r="53631" ht="9.9499999999999993" hidden="1" customHeight="1" x14ac:dyDescent="0.2"/>
    <row r="53632" ht="9.9499999999999993" hidden="1" customHeight="1" x14ac:dyDescent="0.2"/>
    <row r="53633" ht="9.9499999999999993" hidden="1" customHeight="1" x14ac:dyDescent="0.2"/>
    <row r="53634" ht="9.9499999999999993" hidden="1" customHeight="1" x14ac:dyDescent="0.2"/>
    <row r="53635" ht="9.9499999999999993" hidden="1" customHeight="1" x14ac:dyDescent="0.2"/>
    <row r="53636" ht="9.9499999999999993" hidden="1" customHeight="1" x14ac:dyDescent="0.2"/>
    <row r="53637" ht="9.9499999999999993" hidden="1" customHeight="1" x14ac:dyDescent="0.2"/>
    <row r="53638" ht="9.9499999999999993" hidden="1" customHeight="1" x14ac:dyDescent="0.2"/>
    <row r="53639" ht="9.9499999999999993" hidden="1" customHeight="1" x14ac:dyDescent="0.2"/>
    <row r="53640" ht="9.9499999999999993" hidden="1" customHeight="1" x14ac:dyDescent="0.2"/>
    <row r="53641" ht="9.9499999999999993" hidden="1" customHeight="1" x14ac:dyDescent="0.2"/>
    <row r="53642" ht="9.9499999999999993" hidden="1" customHeight="1" x14ac:dyDescent="0.2"/>
    <row r="53643" ht="9.9499999999999993" hidden="1" customHeight="1" x14ac:dyDescent="0.2"/>
    <row r="53644" ht="9.9499999999999993" hidden="1" customHeight="1" x14ac:dyDescent="0.2"/>
    <row r="53645" ht="9.9499999999999993" hidden="1" customHeight="1" x14ac:dyDescent="0.2"/>
    <row r="53646" ht="9.9499999999999993" hidden="1" customHeight="1" x14ac:dyDescent="0.2"/>
    <row r="53647" ht="9.9499999999999993" hidden="1" customHeight="1" x14ac:dyDescent="0.2"/>
    <row r="53648" ht="9.9499999999999993" hidden="1" customHeight="1" x14ac:dyDescent="0.2"/>
    <row r="53649" ht="9.9499999999999993" hidden="1" customHeight="1" x14ac:dyDescent="0.2"/>
    <row r="53650" ht="9.9499999999999993" hidden="1" customHeight="1" x14ac:dyDescent="0.2"/>
    <row r="53651" ht="9.9499999999999993" hidden="1" customHeight="1" x14ac:dyDescent="0.2"/>
    <row r="53652" ht="9.9499999999999993" hidden="1" customHeight="1" x14ac:dyDescent="0.2"/>
    <row r="53653" ht="9.9499999999999993" hidden="1" customHeight="1" x14ac:dyDescent="0.2"/>
    <row r="53654" ht="9.9499999999999993" hidden="1" customHeight="1" x14ac:dyDescent="0.2"/>
    <row r="53655" ht="9.9499999999999993" hidden="1" customHeight="1" x14ac:dyDescent="0.2"/>
    <row r="53656" ht="9.9499999999999993" hidden="1" customHeight="1" x14ac:dyDescent="0.2"/>
    <row r="53657" ht="9.9499999999999993" hidden="1" customHeight="1" x14ac:dyDescent="0.2"/>
    <row r="53658" ht="9.9499999999999993" hidden="1" customHeight="1" x14ac:dyDescent="0.2"/>
    <row r="53659" ht="9.9499999999999993" hidden="1" customHeight="1" x14ac:dyDescent="0.2"/>
    <row r="53660" ht="9.9499999999999993" hidden="1" customHeight="1" x14ac:dyDescent="0.2"/>
    <row r="53661" ht="9.9499999999999993" hidden="1" customHeight="1" x14ac:dyDescent="0.2"/>
    <row r="53662" ht="9.9499999999999993" hidden="1" customHeight="1" x14ac:dyDescent="0.2"/>
    <row r="53663" ht="9.9499999999999993" hidden="1" customHeight="1" x14ac:dyDescent="0.2"/>
    <row r="53664" ht="9.9499999999999993" hidden="1" customHeight="1" x14ac:dyDescent="0.2"/>
    <row r="53665" ht="9.9499999999999993" hidden="1" customHeight="1" x14ac:dyDescent="0.2"/>
    <row r="53666" ht="9.9499999999999993" hidden="1" customHeight="1" x14ac:dyDescent="0.2"/>
    <row r="53667" ht="9.9499999999999993" hidden="1" customHeight="1" x14ac:dyDescent="0.2"/>
    <row r="53668" ht="9.9499999999999993" hidden="1" customHeight="1" x14ac:dyDescent="0.2"/>
    <row r="53669" ht="9.9499999999999993" hidden="1" customHeight="1" x14ac:dyDescent="0.2"/>
    <row r="53670" ht="9.9499999999999993" hidden="1" customHeight="1" x14ac:dyDescent="0.2"/>
    <row r="53671" ht="9.9499999999999993" hidden="1" customHeight="1" x14ac:dyDescent="0.2"/>
    <row r="53672" ht="9.9499999999999993" hidden="1" customHeight="1" x14ac:dyDescent="0.2"/>
    <row r="53673" ht="9.9499999999999993" hidden="1" customHeight="1" x14ac:dyDescent="0.2"/>
    <row r="53674" ht="9.9499999999999993" hidden="1" customHeight="1" x14ac:dyDescent="0.2"/>
    <row r="53675" ht="9.9499999999999993" hidden="1" customHeight="1" x14ac:dyDescent="0.2"/>
    <row r="53676" ht="9.9499999999999993" hidden="1" customHeight="1" x14ac:dyDescent="0.2"/>
    <row r="53677" ht="9.9499999999999993" hidden="1" customHeight="1" x14ac:dyDescent="0.2"/>
    <row r="53678" ht="9.9499999999999993" hidden="1" customHeight="1" x14ac:dyDescent="0.2"/>
    <row r="53679" ht="9.9499999999999993" hidden="1" customHeight="1" x14ac:dyDescent="0.2"/>
    <row r="53680" ht="9.9499999999999993" hidden="1" customHeight="1" x14ac:dyDescent="0.2"/>
    <row r="53681" ht="9.9499999999999993" hidden="1" customHeight="1" x14ac:dyDescent="0.2"/>
    <row r="53682" ht="9.9499999999999993" hidden="1" customHeight="1" x14ac:dyDescent="0.2"/>
    <row r="53683" ht="9.9499999999999993" hidden="1" customHeight="1" x14ac:dyDescent="0.2"/>
    <row r="53684" ht="9.9499999999999993" hidden="1" customHeight="1" x14ac:dyDescent="0.2"/>
    <row r="53685" ht="9.9499999999999993" hidden="1" customHeight="1" x14ac:dyDescent="0.2"/>
    <row r="53686" ht="9.9499999999999993" hidden="1" customHeight="1" x14ac:dyDescent="0.2"/>
    <row r="53687" ht="9.9499999999999993" hidden="1" customHeight="1" x14ac:dyDescent="0.2"/>
    <row r="53688" ht="9.9499999999999993" hidden="1" customHeight="1" x14ac:dyDescent="0.2"/>
    <row r="53689" ht="9.9499999999999993" hidden="1" customHeight="1" x14ac:dyDescent="0.2"/>
    <row r="53690" ht="9.9499999999999993" hidden="1" customHeight="1" x14ac:dyDescent="0.2"/>
    <row r="53691" ht="9.9499999999999993" hidden="1" customHeight="1" x14ac:dyDescent="0.2"/>
    <row r="53692" ht="9.9499999999999993" hidden="1" customHeight="1" x14ac:dyDescent="0.2"/>
    <row r="53693" ht="9.9499999999999993" hidden="1" customHeight="1" x14ac:dyDescent="0.2"/>
    <row r="53694" ht="9.9499999999999993" hidden="1" customHeight="1" x14ac:dyDescent="0.2"/>
    <row r="53695" ht="9.9499999999999993" hidden="1" customHeight="1" x14ac:dyDescent="0.2"/>
    <row r="53696" ht="9.9499999999999993" hidden="1" customHeight="1" x14ac:dyDescent="0.2"/>
    <row r="53697" ht="9.9499999999999993" hidden="1" customHeight="1" x14ac:dyDescent="0.2"/>
    <row r="53698" ht="9.9499999999999993" hidden="1" customHeight="1" x14ac:dyDescent="0.2"/>
    <row r="53699" ht="9.9499999999999993" hidden="1" customHeight="1" x14ac:dyDescent="0.2"/>
    <row r="53700" ht="9.9499999999999993" hidden="1" customHeight="1" x14ac:dyDescent="0.2"/>
    <row r="53701" ht="9.9499999999999993" hidden="1" customHeight="1" x14ac:dyDescent="0.2"/>
    <row r="53702" ht="9.9499999999999993" hidden="1" customHeight="1" x14ac:dyDescent="0.2"/>
    <row r="53703" ht="9.9499999999999993" hidden="1" customHeight="1" x14ac:dyDescent="0.2"/>
    <row r="53704" ht="9.9499999999999993" hidden="1" customHeight="1" x14ac:dyDescent="0.2"/>
    <row r="53705" ht="9.9499999999999993" hidden="1" customHeight="1" x14ac:dyDescent="0.2"/>
    <row r="53706" ht="9.9499999999999993" hidden="1" customHeight="1" x14ac:dyDescent="0.2"/>
    <row r="53707" ht="9.9499999999999993" hidden="1" customHeight="1" x14ac:dyDescent="0.2"/>
    <row r="53708" ht="9.9499999999999993" hidden="1" customHeight="1" x14ac:dyDescent="0.2"/>
    <row r="53709" ht="9.9499999999999993" hidden="1" customHeight="1" x14ac:dyDescent="0.2"/>
    <row r="53710" ht="9.9499999999999993" hidden="1" customHeight="1" x14ac:dyDescent="0.2"/>
    <row r="53711" ht="9.9499999999999993" hidden="1" customHeight="1" x14ac:dyDescent="0.2"/>
    <row r="53712" ht="9.9499999999999993" hidden="1" customHeight="1" x14ac:dyDescent="0.2"/>
    <row r="53713" ht="9.9499999999999993" hidden="1" customHeight="1" x14ac:dyDescent="0.2"/>
    <row r="53714" ht="9.9499999999999993" hidden="1" customHeight="1" x14ac:dyDescent="0.2"/>
    <row r="53715" ht="9.9499999999999993" hidden="1" customHeight="1" x14ac:dyDescent="0.2"/>
    <row r="53716" ht="9.9499999999999993" hidden="1" customHeight="1" x14ac:dyDescent="0.2"/>
    <row r="53717" ht="9.9499999999999993" hidden="1" customHeight="1" x14ac:dyDescent="0.2"/>
    <row r="53718" ht="9.9499999999999993" hidden="1" customHeight="1" x14ac:dyDescent="0.2"/>
    <row r="53719" ht="9.9499999999999993" hidden="1" customHeight="1" x14ac:dyDescent="0.2"/>
    <row r="53720" ht="9.9499999999999993" hidden="1" customHeight="1" x14ac:dyDescent="0.2"/>
    <row r="53721" ht="9.9499999999999993" hidden="1" customHeight="1" x14ac:dyDescent="0.2"/>
    <row r="53722" ht="9.9499999999999993" hidden="1" customHeight="1" x14ac:dyDescent="0.2"/>
    <row r="53723" ht="9.9499999999999993" hidden="1" customHeight="1" x14ac:dyDescent="0.2"/>
    <row r="53724" ht="9.9499999999999993" hidden="1" customHeight="1" x14ac:dyDescent="0.2"/>
    <row r="53725" ht="9.9499999999999993" hidden="1" customHeight="1" x14ac:dyDescent="0.2"/>
    <row r="53726" ht="9.9499999999999993" hidden="1" customHeight="1" x14ac:dyDescent="0.2"/>
    <row r="53727" ht="9.9499999999999993" hidden="1" customHeight="1" x14ac:dyDescent="0.2"/>
    <row r="53728" ht="9.9499999999999993" hidden="1" customHeight="1" x14ac:dyDescent="0.2"/>
    <row r="53729" ht="9.9499999999999993" hidden="1" customHeight="1" x14ac:dyDescent="0.2"/>
    <row r="53730" ht="9.9499999999999993" hidden="1" customHeight="1" x14ac:dyDescent="0.2"/>
    <row r="53731" ht="9.9499999999999993" hidden="1" customHeight="1" x14ac:dyDescent="0.2"/>
    <row r="53732" ht="9.9499999999999993" hidden="1" customHeight="1" x14ac:dyDescent="0.2"/>
    <row r="53733" ht="9.9499999999999993" hidden="1" customHeight="1" x14ac:dyDescent="0.2"/>
    <row r="53734" ht="9.9499999999999993" hidden="1" customHeight="1" x14ac:dyDescent="0.2"/>
    <row r="53735" ht="9.9499999999999993" hidden="1" customHeight="1" x14ac:dyDescent="0.2"/>
    <row r="53736" ht="9.9499999999999993" hidden="1" customHeight="1" x14ac:dyDescent="0.2"/>
    <row r="53737" ht="9.9499999999999993" hidden="1" customHeight="1" x14ac:dyDescent="0.2"/>
    <row r="53738" ht="9.9499999999999993" hidden="1" customHeight="1" x14ac:dyDescent="0.2"/>
    <row r="53739" ht="9.9499999999999993" hidden="1" customHeight="1" x14ac:dyDescent="0.2"/>
    <row r="53740" ht="9.9499999999999993" hidden="1" customHeight="1" x14ac:dyDescent="0.2"/>
    <row r="53741" ht="9.9499999999999993" hidden="1" customHeight="1" x14ac:dyDescent="0.2"/>
    <row r="53742" ht="9.9499999999999993" hidden="1" customHeight="1" x14ac:dyDescent="0.2"/>
    <row r="53743" ht="9.9499999999999993" hidden="1" customHeight="1" x14ac:dyDescent="0.2"/>
    <row r="53744" ht="9.9499999999999993" hidden="1" customHeight="1" x14ac:dyDescent="0.2"/>
    <row r="53745" ht="9.9499999999999993" hidden="1" customHeight="1" x14ac:dyDescent="0.2"/>
    <row r="53746" ht="9.9499999999999993" hidden="1" customHeight="1" x14ac:dyDescent="0.2"/>
    <row r="53747" ht="9.9499999999999993" hidden="1" customHeight="1" x14ac:dyDescent="0.2"/>
    <row r="53748" ht="9.9499999999999993" hidden="1" customHeight="1" x14ac:dyDescent="0.2"/>
    <row r="53749" ht="9.9499999999999993" hidden="1" customHeight="1" x14ac:dyDescent="0.2"/>
    <row r="53750" ht="9.9499999999999993" hidden="1" customHeight="1" x14ac:dyDescent="0.2"/>
    <row r="53751" ht="9.9499999999999993" hidden="1" customHeight="1" x14ac:dyDescent="0.2"/>
    <row r="53752" ht="9.9499999999999993" hidden="1" customHeight="1" x14ac:dyDescent="0.2"/>
    <row r="53753" ht="9.9499999999999993" hidden="1" customHeight="1" x14ac:dyDescent="0.2"/>
    <row r="53754" ht="9.9499999999999993" hidden="1" customHeight="1" x14ac:dyDescent="0.2"/>
    <row r="53755" ht="9.9499999999999993" hidden="1" customHeight="1" x14ac:dyDescent="0.2"/>
    <row r="53756" ht="9.9499999999999993" hidden="1" customHeight="1" x14ac:dyDescent="0.2"/>
    <row r="53757" ht="9.9499999999999993" hidden="1" customHeight="1" x14ac:dyDescent="0.2"/>
    <row r="53758" ht="9.9499999999999993" hidden="1" customHeight="1" x14ac:dyDescent="0.2"/>
    <row r="53759" ht="9.9499999999999993" hidden="1" customHeight="1" x14ac:dyDescent="0.2"/>
    <row r="53760" ht="9.9499999999999993" hidden="1" customHeight="1" x14ac:dyDescent="0.2"/>
    <row r="53761" ht="9.9499999999999993" hidden="1" customHeight="1" x14ac:dyDescent="0.2"/>
    <row r="53762" ht="9.9499999999999993" hidden="1" customHeight="1" x14ac:dyDescent="0.2"/>
    <row r="53763" ht="9.9499999999999993" hidden="1" customHeight="1" x14ac:dyDescent="0.2"/>
    <row r="53764" ht="9.9499999999999993" hidden="1" customHeight="1" x14ac:dyDescent="0.2"/>
    <row r="53765" ht="9.9499999999999993" hidden="1" customHeight="1" x14ac:dyDescent="0.2"/>
    <row r="53766" ht="9.9499999999999993" hidden="1" customHeight="1" x14ac:dyDescent="0.2"/>
    <row r="53767" ht="9.9499999999999993" hidden="1" customHeight="1" x14ac:dyDescent="0.2"/>
    <row r="53768" ht="9.9499999999999993" hidden="1" customHeight="1" x14ac:dyDescent="0.2"/>
    <row r="53769" ht="9.9499999999999993" hidden="1" customHeight="1" x14ac:dyDescent="0.2"/>
    <row r="53770" ht="9.9499999999999993" hidden="1" customHeight="1" x14ac:dyDescent="0.2"/>
    <row r="53771" ht="9.9499999999999993" hidden="1" customHeight="1" x14ac:dyDescent="0.2"/>
    <row r="53772" ht="9.9499999999999993" hidden="1" customHeight="1" x14ac:dyDescent="0.2"/>
    <row r="53773" ht="9.9499999999999993" hidden="1" customHeight="1" x14ac:dyDescent="0.2"/>
    <row r="53774" ht="9.9499999999999993" hidden="1" customHeight="1" x14ac:dyDescent="0.2"/>
    <row r="53775" ht="9.9499999999999993" hidden="1" customHeight="1" x14ac:dyDescent="0.2"/>
    <row r="53776" ht="9.9499999999999993" hidden="1" customHeight="1" x14ac:dyDescent="0.2"/>
    <row r="53777" ht="9.9499999999999993" hidden="1" customHeight="1" x14ac:dyDescent="0.2"/>
    <row r="53778" ht="9.9499999999999993" hidden="1" customHeight="1" x14ac:dyDescent="0.2"/>
    <row r="53779" ht="9.9499999999999993" hidden="1" customHeight="1" x14ac:dyDescent="0.2"/>
    <row r="53780" ht="9.9499999999999993" hidden="1" customHeight="1" x14ac:dyDescent="0.2"/>
    <row r="53781" ht="9.9499999999999993" hidden="1" customHeight="1" x14ac:dyDescent="0.2"/>
    <row r="53782" ht="9.9499999999999993" hidden="1" customHeight="1" x14ac:dyDescent="0.2"/>
    <row r="53783" ht="9.9499999999999993" hidden="1" customHeight="1" x14ac:dyDescent="0.2"/>
    <row r="53784" ht="9.9499999999999993" hidden="1" customHeight="1" x14ac:dyDescent="0.2"/>
    <row r="53785" ht="9.9499999999999993" hidden="1" customHeight="1" x14ac:dyDescent="0.2"/>
    <row r="53786" ht="9.9499999999999993" hidden="1" customHeight="1" x14ac:dyDescent="0.2"/>
    <row r="53787" ht="9.9499999999999993" hidden="1" customHeight="1" x14ac:dyDescent="0.2"/>
    <row r="53788" ht="9.9499999999999993" hidden="1" customHeight="1" x14ac:dyDescent="0.2"/>
    <row r="53789" ht="9.9499999999999993" hidden="1" customHeight="1" x14ac:dyDescent="0.2"/>
    <row r="53790" ht="9.9499999999999993" hidden="1" customHeight="1" x14ac:dyDescent="0.2"/>
    <row r="53791" ht="9.9499999999999993" hidden="1" customHeight="1" x14ac:dyDescent="0.2"/>
    <row r="53792" ht="9.9499999999999993" hidden="1" customHeight="1" x14ac:dyDescent="0.2"/>
    <row r="53793" ht="9.9499999999999993" hidden="1" customHeight="1" x14ac:dyDescent="0.2"/>
    <row r="53794" ht="9.9499999999999993" hidden="1" customHeight="1" x14ac:dyDescent="0.2"/>
    <row r="53795" ht="9.9499999999999993" hidden="1" customHeight="1" x14ac:dyDescent="0.2"/>
    <row r="53796" ht="9.9499999999999993" hidden="1" customHeight="1" x14ac:dyDescent="0.2"/>
    <row r="53797" ht="9.9499999999999993" hidden="1" customHeight="1" x14ac:dyDescent="0.2"/>
    <row r="53798" ht="9.9499999999999993" hidden="1" customHeight="1" x14ac:dyDescent="0.2"/>
    <row r="53799" ht="9.9499999999999993" hidden="1" customHeight="1" x14ac:dyDescent="0.2"/>
    <row r="53800" ht="9.9499999999999993" hidden="1" customHeight="1" x14ac:dyDescent="0.2"/>
    <row r="53801" ht="9.9499999999999993" hidden="1" customHeight="1" x14ac:dyDescent="0.2"/>
    <row r="53802" ht="9.9499999999999993" hidden="1" customHeight="1" x14ac:dyDescent="0.2"/>
    <row r="53803" ht="9.9499999999999993" hidden="1" customHeight="1" x14ac:dyDescent="0.2"/>
    <row r="53804" ht="9.9499999999999993" hidden="1" customHeight="1" x14ac:dyDescent="0.2"/>
    <row r="53805" ht="9.9499999999999993" hidden="1" customHeight="1" x14ac:dyDescent="0.2"/>
    <row r="53806" ht="9.9499999999999993" hidden="1" customHeight="1" x14ac:dyDescent="0.2"/>
    <row r="53807" ht="9.9499999999999993" hidden="1" customHeight="1" x14ac:dyDescent="0.2"/>
    <row r="53808" ht="9.9499999999999993" hidden="1" customHeight="1" x14ac:dyDescent="0.2"/>
    <row r="53809" ht="9.9499999999999993" hidden="1" customHeight="1" x14ac:dyDescent="0.2"/>
    <row r="53810" ht="9.9499999999999993" hidden="1" customHeight="1" x14ac:dyDescent="0.2"/>
    <row r="53811" ht="9.9499999999999993" hidden="1" customHeight="1" x14ac:dyDescent="0.2"/>
    <row r="53812" ht="9.9499999999999993" hidden="1" customHeight="1" x14ac:dyDescent="0.2"/>
    <row r="53813" ht="9.9499999999999993" hidden="1" customHeight="1" x14ac:dyDescent="0.2"/>
    <row r="53814" ht="9.9499999999999993" hidden="1" customHeight="1" x14ac:dyDescent="0.2"/>
    <row r="53815" ht="9.9499999999999993" hidden="1" customHeight="1" x14ac:dyDescent="0.2"/>
    <row r="53816" ht="9.9499999999999993" hidden="1" customHeight="1" x14ac:dyDescent="0.2"/>
    <row r="53817" ht="9.9499999999999993" hidden="1" customHeight="1" x14ac:dyDescent="0.2"/>
    <row r="53818" ht="9.9499999999999993" hidden="1" customHeight="1" x14ac:dyDescent="0.2"/>
    <row r="53819" ht="9.9499999999999993" hidden="1" customHeight="1" x14ac:dyDescent="0.2"/>
    <row r="53820" ht="9.9499999999999993" hidden="1" customHeight="1" x14ac:dyDescent="0.2"/>
    <row r="53821" ht="9.9499999999999993" hidden="1" customHeight="1" x14ac:dyDescent="0.2"/>
    <row r="53822" ht="9.9499999999999993" hidden="1" customHeight="1" x14ac:dyDescent="0.2"/>
    <row r="53823" ht="9.9499999999999993" hidden="1" customHeight="1" x14ac:dyDescent="0.2"/>
    <row r="53824" ht="9.9499999999999993" hidden="1" customHeight="1" x14ac:dyDescent="0.2"/>
    <row r="53825" ht="9.9499999999999993" hidden="1" customHeight="1" x14ac:dyDescent="0.2"/>
    <row r="53826" ht="9.9499999999999993" hidden="1" customHeight="1" x14ac:dyDescent="0.2"/>
    <row r="53827" ht="9.9499999999999993" hidden="1" customHeight="1" x14ac:dyDescent="0.2"/>
    <row r="53828" ht="9.9499999999999993" hidden="1" customHeight="1" x14ac:dyDescent="0.2"/>
    <row r="53829" ht="9.9499999999999993" hidden="1" customHeight="1" x14ac:dyDescent="0.2"/>
    <row r="53830" ht="9.9499999999999993" hidden="1" customHeight="1" x14ac:dyDescent="0.2"/>
    <row r="53831" ht="9.9499999999999993" hidden="1" customHeight="1" x14ac:dyDescent="0.2"/>
    <row r="53832" ht="9.9499999999999993" hidden="1" customHeight="1" x14ac:dyDescent="0.2"/>
    <row r="53833" ht="9.9499999999999993" hidden="1" customHeight="1" x14ac:dyDescent="0.2"/>
    <row r="53834" ht="9.9499999999999993" hidden="1" customHeight="1" x14ac:dyDescent="0.2"/>
    <row r="53835" ht="9.9499999999999993" hidden="1" customHeight="1" x14ac:dyDescent="0.2"/>
    <row r="53836" ht="9.9499999999999993" hidden="1" customHeight="1" x14ac:dyDescent="0.2"/>
    <row r="53837" ht="9.9499999999999993" hidden="1" customHeight="1" x14ac:dyDescent="0.2"/>
    <row r="53838" ht="9.9499999999999993" hidden="1" customHeight="1" x14ac:dyDescent="0.2"/>
    <row r="53839" ht="9.9499999999999993" hidden="1" customHeight="1" x14ac:dyDescent="0.2"/>
    <row r="53840" ht="9.9499999999999993" hidden="1" customHeight="1" x14ac:dyDescent="0.2"/>
    <row r="53841" ht="9.9499999999999993" hidden="1" customHeight="1" x14ac:dyDescent="0.2"/>
    <row r="53842" ht="9.9499999999999993" hidden="1" customHeight="1" x14ac:dyDescent="0.2"/>
    <row r="53843" ht="9.9499999999999993" hidden="1" customHeight="1" x14ac:dyDescent="0.2"/>
    <row r="53844" ht="9.9499999999999993" hidden="1" customHeight="1" x14ac:dyDescent="0.2"/>
    <row r="53845" ht="9.9499999999999993" hidden="1" customHeight="1" x14ac:dyDescent="0.2"/>
    <row r="53846" ht="9.9499999999999993" hidden="1" customHeight="1" x14ac:dyDescent="0.2"/>
    <row r="53847" ht="9.9499999999999993" hidden="1" customHeight="1" x14ac:dyDescent="0.2"/>
    <row r="53848" ht="9.9499999999999993" hidden="1" customHeight="1" x14ac:dyDescent="0.2"/>
    <row r="53849" ht="9.9499999999999993" hidden="1" customHeight="1" x14ac:dyDescent="0.2"/>
    <row r="53850" ht="9.9499999999999993" hidden="1" customHeight="1" x14ac:dyDescent="0.2"/>
    <row r="53851" ht="9.9499999999999993" hidden="1" customHeight="1" x14ac:dyDescent="0.2"/>
    <row r="53852" ht="9.9499999999999993" hidden="1" customHeight="1" x14ac:dyDescent="0.2"/>
    <row r="53853" ht="9.9499999999999993" hidden="1" customHeight="1" x14ac:dyDescent="0.2"/>
    <row r="53854" ht="9.9499999999999993" hidden="1" customHeight="1" x14ac:dyDescent="0.2"/>
    <row r="53855" ht="9.9499999999999993" hidden="1" customHeight="1" x14ac:dyDescent="0.2"/>
    <row r="53856" ht="9.9499999999999993" hidden="1" customHeight="1" x14ac:dyDescent="0.2"/>
    <row r="53857" ht="9.9499999999999993" hidden="1" customHeight="1" x14ac:dyDescent="0.2"/>
    <row r="53858" ht="9.9499999999999993" hidden="1" customHeight="1" x14ac:dyDescent="0.2"/>
    <row r="53859" ht="9.9499999999999993" hidden="1" customHeight="1" x14ac:dyDescent="0.2"/>
    <row r="53860" ht="9.9499999999999993" hidden="1" customHeight="1" x14ac:dyDescent="0.2"/>
    <row r="53861" ht="9.9499999999999993" hidden="1" customHeight="1" x14ac:dyDescent="0.2"/>
    <row r="53862" ht="9.9499999999999993" hidden="1" customHeight="1" x14ac:dyDescent="0.2"/>
    <row r="53863" ht="9.9499999999999993" hidden="1" customHeight="1" x14ac:dyDescent="0.2"/>
    <row r="53864" ht="9.9499999999999993" hidden="1" customHeight="1" x14ac:dyDescent="0.2"/>
    <row r="53865" ht="9.9499999999999993" hidden="1" customHeight="1" x14ac:dyDescent="0.2"/>
    <row r="53866" ht="9.9499999999999993" hidden="1" customHeight="1" x14ac:dyDescent="0.2"/>
    <row r="53867" ht="9.9499999999999993" hidden="1" customHeight="1" x14ac:dyDescent="0.2"/>
    <row r="53868" ht="9.9499999999999993" hidden="1" customHeight="1" x14ac:dyDescent="0.2"/>
    <row r="53869" ht="9.9499999999999993" hidden="1" customHeight="1" x14ac:dyDescent="0.2"/>
    <row r="53870" ht="9.9499999999999993" hidden="1" customHeight="1" x14ac:dyDescent="0.2"/>
    <row r="53871" ht="9.9499999999999993" hidden="1" customHeight="1" x14ac:dyDescent="0.2"/>
    <row r="53872" ht="9.9499999999999993" hidden="1" customHeight="1" x14ac:dyDescent="0.2"/>
    <row r="53873" ht="9.9499999999999993" hidden="1" customHeight="1" x14ac:dyDescent="0.2"/>
    <row r="53874" ht="9.9499999999999993" hidden="1" customHeight="1" x14ac:dyDescent="0.2"/>
    <row r="53875" ht="9.9499999999999993" hidden="1" customHeight="1" x14ac:dyDescent="0.2"/>
    <row r="53876" ht="9.9499999999999993" hidden="1" customHeight="1" x14ac:dyDescent="0.2"/>
    <row r="53877" ht="9.9499999999999993" hidden="1" customHeight="1" x14ac:dyDescent="0.2"/>
    <row r="53878" ht="9.9499999999999993" hidden="1" customHeight="1" x14ac:dyDescent="0.2"/>
    <row r="53879" ht="9.9499999999999993" hidden="1" customHeight="1" x14ac:dyDescent="0.2"/>
    <row r="53880" ht="9.9499999999999993" hidden="1" customHeight="1" x14ac:dyDescent="0.2"/>
    <row r="53881" ht="9.9499999999999993" hidden="1" customHeight="1" x14ac:dyDescent="0.2"/>
    <row r="53882" ht="9.9499999999999993" hidden="1" customHeight="1" x14ac:dyDescent="0.2"/>
    <row r="53883" ht="9.9499999999999993" hidden="1" customHeight="1" x14ac:dyDescent="0.2"/>
    <row r="53884" ht="9.9499999999999993" hidden="1" customHeight="1" x14ac:dyDescent="0.2"/>
    <row r="53885" ht="9.9499999999999993" hidden="1" customHeight="1" x14ac:dyDescent="0.2"/>
    <row r="53886" ht="9.9499999999999993" hidden="1" customHeight="1" x14ac:dyDescent="0.2"/>
    <row r="53887" ht="9.9499999999999993" hidden="1" customHeight="1" x14ac:dyDescent="0.2"/>
    <row r="53888" ht="9.9499999999999993" hidden="1" customHeight="1" x14ac:dyDescent="0.2"/>
    <row r="53889" ht="9.9499999999999993" hidden="1" customHeight="1" x14ac:dyDescent="0.2"/>
    <row r="53890" ht="9.9499999999999993" hidden="1" customHeight="1" x14ac:dyDescent="0.2"/>
    <row r="53891" ht="9.9499999999999993" hidden="1" customHeight="1" x14ac:dyDescent="0.2"/>
    <row r="53892" ht="9.9499999999999993" hidden="1" customHeight="1" x14ac:dyDescent="0.2"/>
    <row r="53893" ht="9.9499999999999993" hidden="1" customHeight="1" x14ac:dyDescent="0.2"/>
    <row r="53894" ht="9.9499999999999993" hidden="1" customHeight="1" x14ac:dyDescent="0.2"/>
    <row r="53895" ht="9.9499999999999993" hidden="1" customHeight="1" x14ac:dyDescent="0.2"/>
    <row r="53896" ht="9.9499999999999993" hidden="1" customHeight="1" x14ac:dyDescent="0.2"/>
    <row r="53897" ht="9.9499999999999993" hidden="1" customHeight="1" x14ac:dyDescent="0.2"/>
    <row r="53898" ht="9.9499999999999993" hidden="1" customHeight="1" x14ac:dyDescent="0.2"/>
    <row r="53899" ht="9.9499999999999993" hidden="1" customHeight="1" x14ac:dyDescent="0.2"/>
    <row r="53900" ht="9.9499999999999993" hidden="1" customHeight="1" x14ac:dyDescent="0.2"/>
    <row r="53901" ht="9.9499999999999993" hidden="1" customHeight="1" x14ac:dyDescent="0.2"/>
    <row r="53902" ht="9.9499999999999993" hidden="1" customHeight="1" x14ac:dyDescent="0.2"/>
    <row r="53903" ht="9.9499999999999993" hidden="1" customHeight="1" x14ac:dyDescent="0.2"/>
    <row r="53904" ht="9.9499999999999993" hidden="1" customHeight="1" x14ac:dyDescent="0.2"/>
    <row r="53905" ht="9.9499999999999993" hidden="1" customHeight="1" x14ac:dyDescent="0.2"/>
    <row r="53906" ht="9.9499999999999993" hidden="1" customHeight="1" x14ac:dyDescent="0.2"/>
    <row r="53907" ht="9.9499999999999993" hidden="1" customHeight="1" x14ac:dyDescent="0.2"/>
    <row r="53908" ht="9.9499999999999993" hidden="1" customHeight="1" x14ac:dyDescent="0.2"/>
    <row r="53909" ht="9.9499999999999993" hidden="1" customHeight="1" x14ac:dyDescent="0.2"/>
    <row r="53910" ht="9.9499999999999993" hidden="1" customHeight="1" x14ac:dyDescent="0.2"/>
    <row r="53911" ht="9.9499999999999993" hidden="1" customHeight="1" x14ac:dyDescent="0.2"/>
    <row r="53912" ht="9.9499999999999993" hidden="1" customHeight="1" x14ac:dyDescent="0.2"/>
    <row r="53913" ht="9.9499999999999993" hidden="1" customHeight="1" x14ac:dyDescent="0.2"/>
    <row r="53914" ht="9.9499999999999993" hidden="1" customHeight="1" x14ac:dyDescent="0.2"/>
    <row r="53915" ht="9.9499999999999993" hidden="1" customHeight="1" x14ac:dyDescent="0.2"/>
    <row r="53916" ht="9.9499999999999993" hidden="1" customHeight="1" x14ac:dyDescent="0.2"/>
    <row r="53917" ht="9.9499999999999993" hidden="1" customHeight="1" x14ac:dyDescent="0.2"/>
    <row r="53918" ht="9.9499999999999993" hidden="1" customHeight="1" x14ac:dyDescent="0.2"/>
    <row r="53919" ht="9.9499999999999993" hidden="1" customHeight="1" x14ac:dyDescent="0.2"/>
    <row r="53920" ht="9.9499999999999993" hidden="1" customHeight="1" x14ac:dyDescent="0.2"/>
    <row r="53921" ht="9.9499999999999993" hidden="1" customHeight="1" x14ac:dyDescent="0.2"/>
    <row r="53922" ht="9.9499999999999993" hidden="1" customHeight="1" x14ac:dyDescent="0.2"/>
    <row r="53923" ht="9.9499999999999993" hidden="1" customHeight="1" x14ac:dyDescent="0.2"/>
    <row r="53924" ht="9.9499999999999993" hidden="1" customHeight="1" x14ac:dyDescent="0.2"/>
    <row r="53925" ht="9.9499999999999993" hidden="1" customHeight="1" x14ac:dyDescent="0.2"/>
    <row r="53926" ht="9.9499999999999993" hidden="1" customHeight="1" x14ac:dyDescent="0.2"/>
    <row r="53927" ht="9.9499999999999993" hidden="1" customHeight="1" x14ac:dyDescent="0.2"/>
    <row r="53928" ht="9.9499999999999993" hidden="1" customHeight="1" x14ac:dyDescent="0.2"/>
    <row r="53929" ht="9.9499999999999993" hidden="1" customHeight="1" x14ac:dyDescent="0.2"/>
    <row r="53930" ht="9.9499999999999993" hidden="1" customHeight="1" x14ac:dyDescent="0.2"/>
    <row r="53931" ht="9.9499999999999993" hidden="1" customHeight="1" x14ac:dyDescent="0.2"/>
    <row r="53932" ht="9.9499999999999993" hidden="1" customHeight="1" x14ac:dyDescent="0.2"/>
    <row r="53933" ht="9.9499999999999993" hidden="1" customHeight="1" x14ac:dyDescent="0.2"/>
    <row r="53934" ht="9.9499999999999993" hidden="1" customHeight="1" x14ac:dyDescent="0.2"/>
    <row r="53935" ht="9.9499999999999993" hidden="1" customHeight="1" x14ac:dyDescent="0.2"/>
    <row r="53936" ht="9.9499999999999993" hidden="1" customHeight="1" x14ac:dyDescent="0.2"/>
    <row r="53937" ht="9.9499999999999993" hidden="1" customHeight="1" x14ac:dyDescent="0.2"/>
    <row r="53938" ht="9.9499999999999993" hidden="1" customHeight="1" x14ac:dyDescent="0.2"/>
    <row r="53939" ht="9.9499999999999993" hidden="1" customHeight="1" x14ac:dyDescent="0.2"/>
    <row r="53940" ht="9.9499999999999993" hidden="1" customHeight="1" x14ac:dyDescent="0.2"/>
    <row r="53941" ht="9.9499999999999993" hidden="1" customHeight="1" x14ac:dyDescent="0.2"/>
    <row r="53942" ht="9.9499999999999993" hidden="1" customHeight="1" x14ac:dyDescent="0.2"/>
    <row r="53943" ht="9.9499999999999993" hidden="1" customHeight="1" x14ac:dyDescent="0.2"/>
    <row r="53944" ht="9.9499999999999993" hidden="1" customHeight="1" x14ac:dyDescent="0.2"/>
    <row r="53945" ht="9.9499999999999993" hidden="1" customHeight="1" x14ac:dyDescent="0.2"/>
    <row r="53946" ht="9.9499999999999993" hidden="1" customHeight="1" x14ac:dyDescent="0.2"/>
    <row r="53947" ht="9.9499999999999993" hidden="1" customHeight="1" x14ac:dyDescent="0.2"/>
    <row r="53948" ht="9.9499999999999993" hidden="1" customHeight="1" x14ac:dyDescent="0.2"/>
    <row r="53949" ht="9.9499999999999993" hidden="1" customHeight="1" x14ac:dyDescent="0.2"/>
    <row r="53950" ht="9.9499999999999993" hidden="1" customHeight="1" x14ac:dyDescent="0.2"/>
    <row r="53951" ht="9.9499999999999993" hidden="1" customHeight="1" x14ac:dyDescent="0.2"/>
    <row r="53952" ht="9.9499999999999993" hidden="1" customHeight="1" x14ac:dyDescent="0.2"/>
    <row r="53953" ht="9.9499999999999993" hidden="1" customHeight="1" x14ac:dyDescent="0.2"/>
    <row r="53954" ht="9.9499999999999993" hidden="1" customHeight="1" x14ac:dyDescent="0.2"/>
    <row r="53955" ht="9.9499999999999993" hidden="1" customHeight="1" x14ac:dyDescent="0.2"/>
    <row r="53956" ht="9.9499999999999993" hidden="1" customHeight="1" x14ac:dyDescent="0.2"/>
    <row r="53957" ht="9.9499999999999993" hidden="1" customHeight="1" x14ac:dyDescent="0.2"/>
    <row r="53958" ht="9.9499999999999993" hidden="1" customHeight="1" x14ac:dyDescent="0.2"/>
    <row r="53959" ht="9.9499999999999993" hidden="1" customHeight="1" x14ac:dyDescent="0.2"/>
    <row r="53960" ht="9.9499999999999993" hidden="1" customHeight="1" x14ac:dyDescent="0.2"/>
    <row r="53961" ht="9.9499999999999993" hidden="1" customHeight="1" x14ac:dyDescent="0.2"/>
    <row r="53962" ht="9.9499999999999993" hidden="1" customHeight="1" x14ac:dyDescent="0.2"/>
    <row r="53963" ht="9.9499999999999993" hidden="1" customHeight="1" x14ac:dyDescent="0.2"/>
    <row r="53964" ht="9.9499999999999993" hidden="1" customHeight="1" x14ac:dyDescent="0.2"/>
    <row r="53965" ht="9.9499999999999993" hidden="1" customHeight="1" x14ac:dyDescent="0.2"/>
    <row r="53966" ht="9.9499999999999993" hidden="1" customHeight="1" x14ac:dyDescent="0.2"/>
    <row r="53967" ht="9.9499999999999993" hidden="1" customHeight="1" x14ac:dyDescent="0.2"/>
    <row r="53968" ht="9.9499999999999993" hidden="1" customHeight="1" x14ac:dyDescent="0.2"/>
    <row r="53969" ht="9.9499999999999993" hidden="1" customHeight="1" x14ac:dyDescent="0.2"/>
    <row r="53970" ht="9.9499999999999993" hidden="1" customHeight="1" x14ac:dyDescent="0.2"/>
    <row r="53971" ht="9.9499999999999993" hidden="1" customHeight="1" x14ac:dyDescent="0.2"/>
    <row r="53972" ht="9.9499999999999993" hidden="1" customHeight="1" x14ac:dyDescent="0.2"/>
    <row r="53973" ht="9.9499999999999993" hidden="1" customHeight="1" x14ac:dyDescent="0.2"/>
    <row r="53974" ht="9.9499999999999993" hidden="1" customHeight="1" x14ac:dyDescent="0.2"/>
    <row r="53975" ht="9.9499999999999993" hidden="1" customHeight="1" x14ac:dyDescent="0.2"/>
    <row r="53976" ht="9.9499999999999993" hidden="1" customHeight="1" x14ac:dyDescent="0.2"/>
    <row r="53977" ht="9.9499999999999993" hidden="1" customHeight="1" x14ac:dyDescent="0.2"/>
    <row r="53978" ht="9.9499999999999993" hidden="1" customHeight="1" x14ac:dyDescent="0.2"/>
    <row r="53979" ht="9.9499999999999993" hidden="1" customHeight="1" x14ac:dyDescent="0.2"/>
    <row r="53980" ht="9.9499999999999993" hidden="1" customHeight="1" x14ac:dyDescent="0.2"/>
    <row r="53981" ht="9.9499999999999993" hidden="1" customHeight="1" x14ac:dyDescent="0.2"/>
    <row r="53982" ht="9.9499999999999993" hidden="1" customHeight="1" x14ac:dyDescent="0.2"/>
    <row r="53983" ht="9.9499999999999993" hidden="1" customHeight="1" x14ac:dyDescent="0.2"/>
    <row r="53984" ht="9.9499999999999993" hidden="1" customHeight="1" x14ac:dyDescent="0.2"/>
    <row r="53985" ht="9.9499999999999993" hidden="1" customHeight="1" x14ac:dyDescent="0.2"/>
    <row r="53986" ht="9.9499999999999993" hidden="1" customHeight="1" x14ac:dyDescent="0.2"/>
    <row r="53987" ht="9.9499999999999993" hidden="1" customHeight="1" x14ac:dyDescent="0.2"/>
    <row r="53988" ht="9.9499999999999993" hidden="1" customHeight="1" x14ac:dyDescent="0.2"/>
    <row r="53989" ht="9.9499999999999993" hidden="1" customHeight="1" x14ac:dyDescent="0.2"/>
    <row r="53990" ht="9.9499999999999993" hidden="1" customHeight="1" x14ac:dyDescent="0.2"/>
    <row r="53991" ht="9.9499999999999993" hidden="1" customHeight="1" x14ac:dyDescent="0.2"/>
    <row r="53992" ht="9.9499999999999993" hidden="1" customHeight="1" x14ac:dyDescent="0.2"/>
    <row r="53993" ht="9.9499999999999993" hidden="1" customHeight="1" x14ac:dyDescent="0.2"/>
    <row r="53994" ht="9.9499999999999993" hidden="1" customHeight="1" x14ac:dyDescent="0.2"/>
    <row r="53995" ht="9.9499999999999993" hidden="1" customHeight="1" x14ac:dyDescent="0.2"/>
    <row r="53996" ht="9.9499999999999993" hidden="1" customHeight="1" x14ac:dyDescent="0.2"/>
    <row r="53997" ht="9.9499999999999993" hidden="1" customHeight="1" x14ac:dyDescent="0.2"/>
    <row r="53998" ht="9.9499999999999993" hidden="1" customHeight="1" x14ac:dyDescent="0.2"/>
    <row r="53999" ht="9.9499999999999993" hidden="1" customHeight="1" x14ac:dyDescent="0.2"/>
    <row r="54000" ht="9.9499999999999993" hidden="1" customHeight="1" x14ac:dyDescent="0.2"/>
    <row r="54001" ht="9.9499999999999993" hidden="1" customHeight="1" x14ac:dyDescent="0.2"/>
    <row r="54002" ht="9.9499999999999993" hidden="1" customHeight="1" x14ac:dyDescent="0.2"/>
    <row r="54003" ht="9.9499999999999993" hidden="1" customHeight="1" x14ac:dyDescent="0.2"/>
    <row r="54004" ht="9.9499999999999993" hidden="1" customHeight="1" x14ac:dyDescent="0.2"/>
    <row r="54005" ht="9.9499999999999993" hidden="1" customHeight="1" x14ac:dyDescent="0.2"/>
    <row r="54006" ht="9.9499999999999993" hidden="1" customHeight="1" x14ac:dyDescent="0.2"/>
    <row r="54007" ht="9.9499999999999993" hidden="1" customHeight="1" x14ac:dyDescent="0.2"/>
    <row r="54008" ht="9.9499999999999993" hidden="1" customHeight="1" x14ac:dyDescent="0.2"/>
    <row r="54009" ht="9.9499999999999993" hidden="1" customHeight="1" x14ac:dyDescent="0.2"/>
    <row r="54010" ht="9.9499999999999993" hidden="1" customHeight="1" x14ac:dyDescent="0.2"/>
    <row r="54011" ht="9.9499999999999993" hidden="1" customHeight="1" x14ac:dyDescent="0.2"/>
    <row r="54012" ht="9.9499999999999993" hidden="1" customHeight="1" x14ac:dyDescent="0.2"/>
    <row r="54013" ht="9.9499999999999993" hidden="1" customHeight="1" x14ac:dyDescent="0.2"/>
    <row r="54014" ht="9.9499999999999993" hidden="1" customHeight="1" x14ac:dyDescent="0.2"/>
    <row r="54015" ht="9.9499999999999993" hidden="1" customHeight="1" x14ac:dyDescent="0.2"/>
    <row r="54016" ht="9.9499999999999993" hidden="1" customHeight="1" x14ac:dyDescent="0.2"/>
    <row r="54017" ht="9.9499999999999993" hidden="1" customHeight="1" x14ac:dyDescent="0.2"/>
    <row r="54018" ht="9.9499999999999993" hidden="1" customHeight="1" x14ac:dyDescent="0.2"/>
    <row r="54019" ht="9.9499999999999993" hidden="1" customHeight="1" x14ac:dyDescent="0.2"/>
    <row r="54020" ht="9.9499999999999993" hidden="1" customHeight="1" x14ac:dyDescent="0.2"/>
    <row r="54021" ht="9.9499999999999993" hidden="1" customHeight="1" x14ac:dyDescent="0.2"/>
    <row r="54022" ht="9.9499999999999993" hidden="1" customHeight="1" x14ac:dyDescent="0.2"/>
    <row r="54023" ht="9.9499999999999993" hidden="1" customHeight="1" x14ac:dyDescent="0.2"/>
    <row r="54024" ht="9.9499999999999993" hidden="1" customHeight="1" x14ac:dyDescent="0.2"/>
    <row r="54025" ht="9.9499999999999993" hidden="1" customHeight="1" x14ac:dyDescent="0.2"/>
    <row r="54026" ht="9.9499999999999993" hidden="1" customHeight="1" x14ac:dyDescent="0.2"/>
    <row r="54027" ht="9.9499999999999993" hidden="1" customHeight="1" x14ac:dyDescent="0.2"/>
    <row r="54028" ht="9.9499999999999993" hidden="1" customHeight="1" x14ac:dyDescent="0.2"/>
    <row r="54029" ht="9.9499999999999993" hidden="1" customHeight="1" x14ac:dyDescent="0.2"/>
    <row r="54030" ht="9.9499999999999993" hidden="1" customHeight="1" x14ac:dyDescent="0.2"/>
    <row r="54031" ht="9.9499999999999993" hidden="1" customHeight="1" x14ac:dyDescent="0.2"/>
    <row r="54032" ht="9.9499999999999993" hidden="1" customHeight="1" x14ac:dyDescent="0.2"/>
    <row r="54033" ht="9.9499999999999993" hidden="1" customHeight="1" x14ac:dyDescent="0.2"/>
    <row r="54034" ht="9.9499999999999993" hidden="1" customHeight="1" x14ac:dyDescent="0.2"/>
    <row r="54035" ht="9.9499999999999993" hidden="1" customHeight="1" x14ac:dyDescent="0.2"/>
    <row r="54036" ht="9.9499999999999993" hidden="1" customHeight="1" x14ac:dyDescent="0.2"/>
    <row r="54037" ht="9.9499999999999993" hidden="1" customHeight="1" x14ac:dyDescent="0.2"/>
    <row r="54038" ht="9.9499999999999993" hidden="1" customHeight="1" x14ac:dyDescent="0.2"/>
    <row r="54039" ht="9.9499999999999993" hidden="1" customHeight="1" x14ac:dyDescent="0.2"/>
    <row r="54040" ht="9.9499999999999993" hidden="1" customHeight="1" x14ac:dyDescent="0.2"/>
    <row r="54041" ht="9.9499999999999993" hidden="1" customHeight="1" x14ac:dyDescent="0.2"/>
    <row r="54042" ht="9.9499999999999993" hidden="1" customHeight="1" x14ac:dyDescent="0.2"/>
    <row r="54043" ht="9.9499999999999993" hidden="1" customHeight="1" x14ac:dyDescent="0.2"/>
    <row r="54044" ht="9.9499999999999993" hidden="1" customHeight="1" x14ac:dyDescent="0.2"/>
    <row r="54045" ht="9.9499999999999993" hidden="1" customHeight="1" x14ac:dyDescent="0.2"/>
    <row r="54046" ht="9.9499999999999993" hidden="1" customHeight="1" x14ac:dyDescent="0.2"/>
    <row r="54047" ht="9.9499999999999993" hidden="1" customHeight="1" x14ac:dyDescent="0.2"/>
    <row r="54048" ht="9.9499999999999993" hidden="1" customHeight="1" x14ac:dyDescent="0.2"/>
    <row r="54049" ht="9.9499999999999993" hidden="1" customHeight="1" x14ac:dyDescent="0.2"/>
    <row r="54050" ht="9.9499999999999993" hidden="1" customHeight="1" x14ac:dyDescent="0.2"/>
    <row r="54051" ht="9.9499999999999993" hidden="1" customHeight="1" x14ac:dyDescent="0.2"/>
    <row r="54052" ht="9.9499999999999993" hidden="1" customHeight="1" x14ac:dyDescent="0.2"/>
    <row r="54053" ht="9.9499999999999993" hidden="1" customHeight="1" x14ac:dyDescent="0.2"/>
    <row r="54054" ht="9.9499999999999993" hidden="1" customHeight="1" x14ac:dyDescent="0.2"/>
    <row r="54055" ht="9.9499999999999993" hidden="1" customHeight="1" x14ac:dyDescent="0.2"/>
    <row r="54056" ht="9.9499999999999993" hidden="1" customHeight="1" x14ac:dyDescent="0.2"/>
    <row r="54057" ht="9.9499999999999993" hidden="1" customHeight="1" x14ac:dyDescent="0.2"/>
    <row r="54058" ht="9.9499999999999993" hidden="1" customHeight="1" x14ac:dyDescent="0.2"/>
    <row r="54059" ht="9.9499999999999993" hidden="1" customHeight="1" x14ac:dyDescent="0.2"/>
    <row r="54060" ht="9.9499999999999993" hidden="1" customHeight="1" x14ac:dyDescent="0.2"/>
    <row r="54061" ht="9.9499999999999993" hidden="1" customHeight="1" x14ac:dyDescent="0.2"/>
    <row r="54062" ht="9.9499999999999993" hidden="1" customHeight="1" x14ac:dyDescent="0.2"/>
    <row r="54063" ht="9.9499999999999993" hidden="1" customHeight="1" x14ac:dyDescent="0.2"/>
    <row r="54064" ht="9.9499999999999993" hidden="1" customHeight="1" x14ac:dyDescent="0.2"/>
    <row r="54065" ht="9.9499999999999993" hidden="1" customHeight="1" x14ac:dyDescent="0.2"/>
    <row r="54066" ht="9.9499999999999993" hidden="1" customHeight="1" x14ac:dyDescent="0.2"/>
    <row r="54067" ht="9.9499999999999993" hidden="1" customHeight="1" x14ac:dyDescent="0.2"/>
    <row r="54068" ht="9.9499999999999993" hidden="1" customHeight="1" x14ac:dyDescent="0.2"/>
    <row r="54069" ht="9.9499999999999993" hidden="1" customHeight="1" x14ac:dyDescent="0.2"/>
    <row r="54070" ht="9.9499999999999993" hidden="1" customHeight="1" x14ac:dyDescent="0.2"/>
    <row r="54071" ht="9.9499999999999993" hidden="1" customHeight="1" x14ac:dyDescent="0.2"/>
    <row r="54072" ht="9.9499999999999993" hidden="1" customHeight="1" x14ac:dyDescent="0.2"/>
    <row r="54073" ht="9.9499999999999993" hidden="1" customHeight="1" x14ac:dyDescent="0.2"/>
    <row r="54074" ht="9.9499999999999993" hidden="1" customHeight="1" x14ac:dyDescent="0.2"/>
    <row r="54075" ht="9.9499999999999993" hidden="1" customHeight="1" x14ac:dyDescent="0.2"/>
    <row r="54076" ht="9.9499999999999993" hidden="1" customHeight="1" x14ac:dyDescent="0.2"/>
    <row r="54077" ht="9.9499999999999993" hidden="1" customHeight="1" x14ac:dyDescent="0.2"/>
    <row r="54078" ht="9.9499999999999993" hidden="1" customHeight="1" x14ac:dyDescent="0.2"/>
    <row r="54079" ht="9.9499999999999993" hidden="1" customHeight="1" x14ac:dyDescent="0.2"/>
    <row r="54080" ht="9.9499999999999993" hidden="1" customHeight="1" x14ac:dyDescent="0.2"/>
    <row r="54081" ht="9.9499999999999993" hidden="1" customHeight="1" x14ac:dyDescent="0.2"/>
    <row r="54082" ht="9.9499999999999993" hidden="1" customHeight="1" x14ac:dyDescent="0.2"/>
    <row r="54083" ht="9.9499999999999993" hidden="1" customHeight="1" x14ac:dyDescent="0.2"/>
    <row r="54084" ht="9.9499999999999993" hidden="1" customHeight="1" x14ac:dyDescent="0.2"/>
    <row r="54085" ht="9.9499999999999993" hidden="1" customHeight="1" x14ac:dyDescent="0.2"/>
    <row r="54086" ht="9.9499999999999993" hidden="1" customHeight="1" x14ac:dyDescent="0.2"/>
    <row r="54087" ht="9.9499999999999993" hidden="1" customHeight="1" x14ac:dyDescent="0.2"/>
    <row r="54088" ht="9.9499999999999993" hidden="1" customHeight="1" x14ac:dyDescent="0.2"/>
    <row r="54089" ht="9.9499999999999993" hidden="1" customHeight="1" x14ac:dyDescent="0.2"/>
    <row r="54090" ht="9.9499999999999993" hidden="1" customHeight="1" x14ac:dyDescent="0.2"/>
    <row r="54091" ht="9.9499999999999993" hidden="1" customHeight="1" x14ac:dyDescent="0.2"/>
    <row r="54092" ht="9.9499999999999993" hidden="1" customHeight="1" x14ac:dyDescent="0.2"/>
    <row r="54093" ht="9.9499999999999993" hidden="1" customHeight="1" x14ac:dyDescent="0.2"/>
    <row r="54094" ht="9.9499999999999993" hidden="1" customHeight="1" x14ac:dyDescent="0.2"/>
    <row r="54095" ht="9.9499999999999993" hidden="1" customHeight="1" x14ac:dyDescent="0.2"/>
    <row r="54096" ht="9.9499999999999993" hidden="1" customHeight="1" x14ac:dyDescent="0.2"/>
    <row r="54097" ht="9.9499999999999993" hidden="1" customHeight="1" x14ac:dyDescent="0.2"/>
    <row r="54098" ht="9.9499999999999993" hidden="1" customHeight="1" x14ac:dyDescent="0.2"/>
    <row r="54099" ht="9.9499999999999993" hidden="1" customHeight="1" x14ac:dyDescent="0.2"/>
    <row r="54100" ht="9.9499999999999993" hidden="1" customHeight="1" x14ac:dyDescent="0.2"/>
    <row r="54101" ht="9.9499999999999993" hidden="1" customHeight="1" x14ac:dyDescent="0.2"/>
    <row r="54102" ht="9.9499999999999993" hidden="1" customHeight="1" x14ac:dyDescent="0.2"/>
    <row r="54103" ht="9.9499999999999993" hidden="1" customHeight="1" x14ac:dyDescent="0.2"/>
    <row r="54104" ht="9.9499999999999993" hidden="1" customHeight="1" x14ac:dyDescent="0.2"/>
    <row r="54105" ht="9.9499999999999993" hidden="1" customHeight="1" x14ac:dyDescent="0.2"/>
    <row r="54106" ht="9.9499999999999993" hidden="1" customHeight="1" x14ac:dyDescent="0.2"/>
    <row r="54107" ht="9.9499999999999993" hidden="1" customHeight="1" x14ac:dyDescent="0.2"/>
    <row r="54108" ht="9.9499999999999993" hidden="1" customHeight="1" x14ac:dyDescent="0.2"/>
    <row r="54109" ht="9.9499999999999993" hidden="1" customHeight="1" x14ac:dyDescent="0.2"/>
    <row r="54110" ht="9.9499999999999993" hidden="1" customHeight="1" x14ac:dyDescent="0.2"/>
    <row r="54111" ht="9.9499999999999993" hidden="1" customHeight="1" x14ac:dyDescent="0.2"/>
    <row r="54112" ht="9.9499999999999993" hidden="1" customHeight="1" x14ac:dyDescent="0.2"/>
    <row r="54113" ht="9.9499999999999993" hidden="1" customHeight="1" x14ac:dyDescent="0.2"/>
    <row r="54114" ht="9.9499999999999993" hidden="1" customHeight="1" x14ac:dyDescent="0.2"/>
    <row r="54115" ht="9.9499999999999993" hidden="1" customHeight="1" x14ac:dyDescent="0.2"/>
    <row r="54116" ht="9.9499999999999993" hidden="1" customHeight="1" x14ac:dyDescent="0.2"/>
    <row r="54117" ht="9.9499999999999993" hidden="1" customHeight="1" x14ac:dyDescent="0.2"/>
    <row r="54118" ht="9.9499999999999993" hidden="1" customHeight="1" x14ac:dyDescent="0.2"/>
    <row r="54119" ht="9.9499999999999993" hidden="1" customHeight="1" x14ac:dyDescent="0.2"/>
    <row r="54120" ht="9.9499999999999993" hidden="1" customHeight="1" x14ac:dyDescent="0.2"/>
    <row r="54121" ht="9.9499999999999993" hidden="1" customHeight="1" x14ac:dyDescent="0.2"/>
    <row r="54122" ht="9.9499999999999993" hidden="1" customHeight="1" x14ac:dyDescent="0.2"/>
    <row r="54123" ht="9.9499999999999993" hidden="1" customHeight="1" x14ac:dyDescent="0.2"/>
    <row r="54124" ht="9.9499999999999993" hidden="1" customHeight="1" x14ac:dyDescent="0.2"/>
    <row r="54125" ht="9.9499999999999993" hidden="1" customHeight="1" x14ac:dyDescent="0.2"/>
    <row r="54126" ht="9.9499999999999993" hidden="1" customHeight="1" x14ac:dyDescent="0.2"/>
    <row r="54127" ht="9.9499999999999993" hidden="1" customHeight="1" x14ac:dyDescent="0.2"/>
    <row r="54128" ht="9.9499999999999993" hidden="1" customHeight="1" x14ac:dyDescent="0.2"/>
    <row r="54129" ht="9.9499999999999993" hidden="1" customHeight="1" x14ac:dyDescent="0.2"/>
    <row r="54130" ht="9.9499999999999993" hidden="1" customHeight="1" x14ac:dyDescent="0.2"/>
    <row r="54131" ht="9.9499999999999993" hidden="1" customHeight="1" x14ac:dyDescent="0.2"/>
    <row r="54132" ht="9.9499999999999993" hidden="1" customHeight="1" x14ac:dyDescent="0.2"/>
    <row r="54133" ht="9.9499999999999993" hidden="1" customHeight="1" x14ac:dyDescent="0.2"/>
    <row r="54134" ht="9.9499999999999993" hidden="1" customHeight="1" x14ac:dyDescent="0.2"/>
    <row r="54135" ht="9.9499999999999993" hidden="1" customHeight="1" x14ac:dyDescent="0.2"/>
    <row r="54136" ht="9.9499999999999993" hidden="1" customHeight="1" x14ac:dyDescent="0.2"/>
    <row r="54137" ht="9.9499999999999993" hidden="1" customHeight="1" x14ac:dyDescent="0.2"/>
    <row r="54138" ht="9.9499999999999993" hidden="1" customHeight="1" x14ac:dyDescent="0.2"/>
    <row r="54139" ht="9.9499999999999993" hidden="1" customHeight="1" x14ac:dyDescent="0.2"/>
    <row r="54140" ht="9.9499999999999993" hidden="1" customHeight="1" x14ac:dyDescent="0.2"/>
    <row r="54141" ht="9.9499999999999993" hidden="1" customHeight="1" x14ac:dyDescent="0.2"/>
    <row r="54142" ht="9.9499999999999993" hidden="1" customHeight="1" x14ac:dyDescent="0.2"/>
    <row r="54143" ht="9.9499999999999993" hidden="1" customHeight="1" x14ac:dyDescent="0.2"/>
    <row r="54144" ht="9.9499999999999993" hidden="1" customHeight="1" x14ac:dyDescent="0.2"/>
    <row r="54145" ht="9.9499999999999993" hidden="1" customHeight="1" x14ac:dyDescent="0.2"/>
    <row r="54146" ht="9.9499999999999993" hidden="1" customHeight="1" x14ac:dyDescent="0.2"/>
    <row r="54147" ht="9.9499999999999993" hidden="1" customHeight="1" x14ac:dyDescent="0.2"/>
    <row r="54148" ht="9.9499999999999993" hidden="1" customHeight="1" x14ac:dyDescent="0.2"/>
    <row r="54149" ht="9.9499999999999993" hidden="1" customHeight="1" x14ac:dyDescent="0.2"/>
    <row r="54150" ht="9.9499999999999993" hidden="1" customHeight="1" x14ac:dyDescent="0.2"/>
    <row r="54151" ht="9.9499999999999993" hidden="1" customHeight="1" x14ac:dyDescent="0.2"/>
    <row r="54152" ht="9.9499999999999993" hidden="1" customHeight="1" x14ac:dyDescent="0.2"/>
    <row r="54153" ht="9.9499999999999993" hidden="1" customHeight="1" x14ac:dyDescent="0.2"/>
    <row r="54154" ht="9.9499999999999993" hidden="1" customHeight="1" x14ac:dyDescent="0.2"/>
    <row r="54155" ht="9.9499999999999993" hidden="1" customHeight="1" x14ac:dyDescent="0.2"/>
    <row r="54156" ht="9.9499999999999993" hidden="1" customHeight="1" x14ac:dyDescent="0.2"/>
    <row r="54157" ht="9.9499999999999993" hidden="1" customHeight="1" x14ac:dyDescent="0.2"/>
    <row r="54158" ht="9.9499999999999993" hidden="1" customHeight="1" x14ac:dyDescent="0.2"/>
    <row r="54159" ht="9.9499999999999993" hidden="1" customHeight="1" x14ac:dyDescent="0.2"/>
    <row r="54160" ht="9.9499999999999993" hidden="1" customHeight="1" x14ac:dyDescent="0.2"/>
    <row r="54161" ht="9.9499999999999993" hidden="1" customHeight="1" x14ac:dyDescent="0.2"/>
    <row r="54162" ht="9.9499999999999993" hidden="1" customHeight="1" x14ac:dyDescent="0.2"/>
    <row r="54163" ht="9.9499999999999993" hidden="1" customHeight="1" x14ac:dyDescent="0.2"/>
    <row r="54164" ht="9.9499999999999993" hidden="1" customHeight="1" x14ac:dyDescent="0.2"/>
    <row r="54165" ht="9.9499999999999993" hidden="1" customHeight="1" x14ac:dyDescent="0.2"/>
    <row r="54166" ht="9.9499999999999993" hidden="1" customHeight="1" x14ac:dyDescent="0.2"/>
    <row r="54167" ht="9.9499999999999993" hidden="1" customHeight="1" x14ac:dyDescent="0.2"/>
    <row r="54168" ht="9.9499999999999993" hidden="1" customHeight="1" x14ac:dyDescent="0.2"/>
    <row r="54169" ht="9.9499999999999993" hidden="1" customHeight="1" x14ac:dyDescent="0.2"/>
    <row r="54170" ht="9.9499999999999993" hidden="1" customHeight="1" x14ac:dyDescent="0.2"/>
    <row r="54171" ht="9.9499999999999993" hidden="1" customHeight="1" x14ac:dyDescent="0.2"/>
    <row r="54172" ht="9.9499999999999993" hidden="1" customHeight="1" x14ac:dyDescent="0.2"/>
    <row r="54173" ht="9.9499999999999993" hidden="1" customHeight="1" x14ac:dyDescent="0.2"/>
    <row r="54174" ht="9.9499999999999993" hidden="1" customHeight="1" x14ac:dyDescent="0.2"/>
    <row r="54175" ht="9.9499999999999993" hidden="1" customHeight="1" x14ac:dyDescent="0.2"/>
    <row r="54176" ht="9.9499999999999993" hidden="1" customHeight="1" x14ac:dyDescent="0.2"/>
    <row r="54177" ht="9.9499999999999993" hidden="1" customHeight="1" x14ac:dyDescent="0.2"/>
    <row r="54178" ht="9.9499999999999993" hidden="1" customHeight="1" x14ac:dyDescent="0.2"/>
    <row r="54179" ht="9.9499999999999993" hidden="1" customHeight="1" x14ac:dyDescent="0.2"/>
    <row r="54180" ht="9.9499999999999993" hidden="1" customHeight="1" x14ac:dyDescent="0.2"/>
    <row r="54181" ht="9.9499999999999993" hidden="1" customHeight="1" x14ac:dyDescent="0.2"/>
    <row r="54182" ht="9.9499999999999993" hidden="1" customHeight="1" x14ac:dyDescent="0.2"/>
    <row r="54183" ht="9.9499999999999993" hidden="1" customHeight="1" x14ac:dyDescent="0.2"/>
    <row r="54184" ht="9.9499999999999993" hidden="1" customHeight="1" x14ac:dyDescent="0.2"/>
    <row r="54185" ht="9.9499999999999993" hidden="1" customHeight="1" x14ac:dyDescent="0.2"/>
    <row r="54186" ht="9.9499999999999993" hidden="1" customHeight="1" x14ac:dyDescent="0.2"/>
    <row r="54187" ht="9.9499999999999993" hidden="1" customHeight="1" x14ac:dyDescent="0.2"/>
    <row r="54188" ht="9.9499999999999993" hidden="1" customHeight="1" x14ac:dyDescent="0.2"/>
    <row r="54189" ht="9.9499999999999993" hidden="1" customHeight="1" x14ac:dyDescent="0.2"/>
    <row r="54190" ht="9.9499999999999993" hidden="1" customHeight="1" x14ac:dyDescent="0.2"/>
    <row r="54191" ht="9.9499999999999993" hidden="1" customHeight="1" x14ac:dyDescent="0.2"/>
    <row r="54192" ht="9.9499999999999993" hidden="1" customHeight="1" x14ac:dyDescent="0.2"/>
    <row r="54193" ht="9.9499999999999993" hidden="1" customHeight="1" x14ac:dyDescent="0.2"/>
    <row r="54194" ht="9.9499999999999993" hidden="1" customHeight="1" x14ac:dyDescent="0.2"/>
    <row r="54195" ht="9.9499999999999993" hidden="1" customHeight="1" x14ac:dyDescent="0.2"/>
    <row r="54196" ht="9.9499999999999993" hidden="1" customHeight="1" x14ac:dyDescent="0.2"/>
    <row r="54197" ht="9.9499999999999993" hidden="1" customHeight="1" x14ac:dyDescent="0.2"/>
    <row r="54198" ht="9.9499999999999993" hidden="1" customHeight="1" x14ac:dyDescent="0.2"/>
    <row r="54199" ht="9.9499999999999993" hidden="1" customHeight="1" x14ac:dyDescent="0.2"/>
    <row r="54200" ht="9.9499999999999993" hidden="1" customHeight="1" x14ac:dyDescent="0.2"/>
    <row r="54201" ht="9.9499999999999993" hidden="1" customHeight="1" x14ac:dyDescent="0.2"/>
    <row r="54202" ht="9.9499999999999993" hidden="1" customHeight="1" x14ac:dyDescent="0.2"/>
    <row r="54203" ht="9.9499999999999993" hidden="1" customHeight="1" x14ac:dyDescent="0.2"/>
    <row r="54204" ht="9.9499999999999993" hidden="1" customHeight="1" x14ac:dyDescent="0.2"/>
    <row r="54205" ht="9.9499999999999993" hidden="1" customHeight="1" x14ac:dyDescent="0.2"/>
    <row r="54206" ht="9.9499999999999993" hidden="1" customHeight="1" x14ac:dyDescent="0.2"/>
    <row r="54207" ht="9.9499999999999993" hidden="1" customHeight="1" x14ac:dyDescent="0.2"/>
    <row r="54208" ht="9.9499999999999993" hidden="1" customHeight="1" x14ac:dyDescent="0.2"/>
    <row r="54209" ht="9.9499999999999993" hidden="1" customHeight="1" x14ac:dyDescent="0.2"/>
    <row r="54210" ht="9.9499999999999993" hidden="1" customHeight="1" x14ac:dyDescent="0.2"/>
    <row r="54211" ht="9.9499999999999993" hidden="1" customHeight="1" x14ac:dyDescent="0.2"/>
    <row r="54212" ht="9.9499999999999993" hidden="1" customHeight="1" x14ac:dyDescent="0.2"/>
    <row r="54213" ht="9.9499999999999993" hidden="1" customHeight="1" x14ac:dyDescent="0.2"/>
    <row r="54214" ht="9.9499999999999993" hidden="1" customHeight="1" x14ac:dyDescent="0.2"/>
    <row r="54215" ht="9.9499999999999993" hidden="1" customHeight="1" x14ac:dyDescent="0.2"/>
    <row r="54216" ht="9.9499999999999993" hidden="1" customHeight="1" x14ac:dyDescent="0.2"/>
    <row r="54217" ht="9.9499999999999993" hidden="1" customHeight="1" x14ac:dyDescent="0.2"/>
    <row r="54218" ht="9.9499999999999993" hidden="1" customHeight="1" x14ac:dyDescent="0.2"/>
    <row r="54219" ht="9.9499999999999993" hidden="1" customHeight="1" x14ac:dyDescent="0.2"/>
    <row r="54220" ht="9.9499999999999993" hidden="1" customHeight="1" x14ac:dyDescent="0.2"/>
    <row r="54221" ht="9.9499999999999993" hidden="1" customHeight="1" x14ac:dyDescent="0.2"/>
    <row r="54222" ht="9.9499999999999993" hidden="1" customHeight="1" x14ac:dyDescent="0.2"/>
    <row r="54223" ht="9.9499999999999993" hidden="1" customHeight="1" x14ac:dyDescent="0.2"/>
    <row r="54224" ht="9.9499999999999993" hidden="1" customHeight="1" x14ac:dyDescent="0.2"/>
    <row r="54225" ht="9.9499999999999993" hidden="1" customHeight="1" x14ac:dyDescent="0.2"/>
    <row r="54226" ht="9.9499999999999993" hidden="1" customHeight="1" x14ac:dyDescent="0.2"/>
    <row r="54227" ht="9.9499999999999993" hidden="1" customHeight="1" x14ac:dyDescent="0.2"/>
    <row r="54228" ht="9.9499999999999993" hidden="1" customHeight="1" x14ac:dyDescent="0.2"/>
    <row r="54229" ht="9.9499999999999993" hidden="1" customHeight="1" x14ac:dyDescent="0.2"/>
    <row r="54230" ht="9.9499999999999993" hidden="1" customHeight="1" x14ac:dyDescent="0.2"/>
    <row r="54231" ht="9.9499999999999993" hidden="1" customHeight="1" x14ac:dyDescent="0.2"/>
    <row r="54232" ht="9.9499999999999993" hidden="1" customHeight="1" x14ac:dyDescent="0.2"/>
    <row r="54233" ht="9.9499999999999993" hidden="1" customHeight="1" x14ac:dyDescent="0.2"/>
    <row r="54234" ht="9.9499999999999993" hidden="1" customHeight="1" x14ac:dyDescent="0.2"/>
    <row r="54235" ht="9.9499999999999993" hidden="1" customHeight="1" x14ac:dyDescent="0.2"/>
    <row r="54236" ht="9.9499999999999993" hidden="1" customHeight="1" x14ac:dyDescent="0.2"/>
    <row r="54237" ht="9.9499999999999993" hidden="1" customHeight="1" x14ac:dyDescent="0.2"/>
    <row r="54238" ht="9.9499999999999993" hidden="1" customHeight="1" x14ac:dyDescent="0.2"/>
    <row r="54239" ht="9.9499999999999993" hidden="1" customHeight="1" x14ac:dyDescent="0.2"/>
    <row r="54240" ht="9.9499999999999993" hidden="1" customHeight="1" x14ac:dyDescent="0.2"/>
    <row r="54241" ht="9.9499999999999993" hidden="1" customHeight="1" x14ac:dyDescent="0.2"/>
    <row r="54242" ht="9.9499999999999993" hidden="1" customHeight="1" x14ac:dyDescent="0.2"/>
    <row r="54243" ht="9.9499999999999993" hidden="1" customHeight="1" x14ac:dyDescent="0.2"/>
    <row r="54244" ht="9.9499999999999993" hidden="1" customHeight="1" x14ac:dyDescent="0.2"/>
    <row r="54245" ht="9.9499999999999993" hidden="1" customHeight="1" x14ac:dyDescent="0.2"/>
    <row r="54246" ht="9.9499999999999993" hidden="1" customHeight="1" x14ac:dyDescent="0.2"/>
    <row r="54247" ht="9.9499999999999993" hidden="1" customHeight="1" x14ac:dyDescent="0.2"/>
    <row r="54248" ht="9.9499999999999993" hidden="1" customHeight="1" x14ac:dyDescent="0.2"/>
    <row r="54249" ht="9.9499999999999993" hidden="1" customHeight="1" x14ac:dyDescent="0.2"/>
    <row r="54250" ht="9.9499999999999993" hidden="1" customHeight="1" x14ac:dyDescent="0.2"/>
    <row r="54251" ht="9.9499999999999993" hidden="1" customHeight="1" x14ac:dyDescent="0.2"/>
    <row r="54252" ht="9.9499999999999993" hidden="1" customHeight="1" x14ac:dyDescent="0.2"/>
    <row r="54253" ht="9.9499999999999993" hidden="1" customHeight="1" x14ac:dyDescent="0.2"/>
    <row r="54254" ht="9.9499999999999993" hidden="1" customHeight="1" x14ac:dyDescent="0.2"/>
    <row r="54255" ht="9.9499999999999993" hidden="1" customHeight="1" x14ac:dyDescent="0.2"/>
    <row r="54256" ht="9.9499999999999993" hidden="1" customHeight="1" x14ac:dyDescent="0.2"/>
    <row r="54257" ht="9.9499999999999993" hidden="1" customHeight="1" x14ac:dyDescent="0.2"/>
    <row r="54258" ht="9.9499999999999993" hidden="1" customHeight="1" x14ac:dyDescent="0.2"/>
    <row r="54259" ht="9.9499999999999993" hidden="1" customHeight="1" x14ac:dyDescent="0.2"/>
    <row r="54260" ht="9.9499999999999993" hidden="1" customHeight="1" x14ac:dyDescent="0.2"/>
    <row r="54261" ht="9.9499999999999993" hidden="1" customHeight="1" x14ac:dyDescent="0.2"/>
    <row r="54262" ht="9.9499999999999993" hidden="1" customHeight="1" x14ac:dyDescent="0.2"/>
    <row r="54263" ht="9.9499999999999993" hidden="1" customHeight="1" x14ac:dyDescent="0.2"/>
    <row r="54264" ht="9.9499999999999993" hidden="1" customHeight="1" x14ac:dyDescent="0.2"/>
    <row r="54265" ht="9.9499999999999993" hidden="1" customHeight="1" x14ac:dyDescent="0.2"/>
    <row r="54266" ht="9.9499999999999993" hidden="1" customHeight="1" x14ac:dyDescent="0.2"/>
    <row r="54267" ht="9.9499999999999993" hidden="1" customHeight="1" x14ac:dyDescent="0.2"/>
    <row r="54268" ht="9.9499999999999993" hidden="1" customHeight="1" x14ac:dyDescent="0.2"/>
    <row r="54269" ht="9.9499999999999993" hidden="1" customHeight="1" x14ac:dyDescent="0.2"/>
    <row r="54270" ht="9.9499999999999993" hidden="1" customHeight="1" x14ac:dyDescent="0.2"/>
    <row r="54271" ht="9.9499999999999993" hidden="1" customHeight="1" x14ac:dyDescent="0.2"/>
    <row r="54272" ht="9.9499999999999993" hidden="1" customHeight="1" x14ac:dyDescent="0.2"/>
    <row r="54273" ht="9.9499999999999993" hidden="1" customHeight="1" x14ac:dyDescent="0.2"/>
    <row r="54274" ht="9.9499999999999993" hidden="1" customHeight="1" x14ac:dyDescent="0.2"/>
    <row r="54275" ht="9.9499999999999993" hidden="1" customHeight="1" x14ac:dyDescent="0.2"/>
    <row r="54276" ht="9.9499999999999993" hidden="1" customHeight="1" x14ac:dyDescent="0.2"/>
    <row r="54277" ht="9.9499999999999993" hidden="1" customHeight="1" x14ac:dyDescent="0.2"/>
    <row r="54278" ht="9.9499999999999993" hidden="1" customHeight="1" x14ac:dyDescent="0.2"/>
    <row r="54279" ht="9.9499999999999993" hidden="1" customHeight="1" x14ac:dyDescent="0.2"/>
    <row r="54280" ht="9.9499999999999993" hidden="1" customHeight="1" x14ac:dyDescent="0.2"/>
    <row r="54281" ht="9.9499999999999993" hidden="1" customHeight="1" x14ac:dyDescent="0.2"/>
    <row r="54282" ht="9.9499999999999993" hidden="1" customHeight="1" x14ac:dyDescent="0.2"/>
    <row r="54283" ht="9.9499999999999993" hidden="1" customHeight="1" x14ac:dyDescent="0.2"/>
    <row r="54284" ht="9.9499999999999993" hidden="1" customHeight="1" x14ac:dyDescent="0.2"/>
    <row r="54285" ht="9.9499999999999993" hidden="1" customHeight="1" x14ac:dyDescent="0.2"/>
    <row r="54286" ht="9.9499999999999993" hidden="1" customHeight="1" x14ac:dyDescent="0.2"/>
    <row r="54287" ht="9.9499999999999993" hidden="1" customHeight="1" x14ac:dyDescent="0.2"/>
    <row r="54288" ht="9.9499999999999993" hidden="1" customHeight="1" x14ac:dyDescent="0.2"/>
    <row r="54289" ht="9.9499999999999993" hidden="1" customHeight="1" x14ac:dyDescent="0.2"/>
    <row r="54290" ht="9.9499999999999993" hidden="1" customHeight="1" x14ac:dyDescent="0.2"/>
    <row r="54291" ht="9.9499999999999993" hidden="1" customHeight="1" x14ac:dyDescent="0.2"/>
    <row r="54292" ht="9.9499999999999993" hidden="1" customHeight="1" x14ac:dyDescent="0.2"/>
    <row r="54293" ht="9.9499999999999993" hidden="1" customHeight="1" x14ac:dyDescent="0.2"/>
    <row r="54294" ht="9.9499999999999993" hidden="1" customHeight="1" x14ac:dyDescent="0.2"/>
    <row r="54295" ht="9.9499999999999993" hidden="1" customHeight="1" x14ac:dyDescent="0.2"/>
    <row r="54296" ht="9.9499999999999993" hidden="1" customHeight="1" x14ac:dyDescent="0.2"/>
    <row r="54297" ht="9.9499999999999993" hidden="1" customHeight="1" x14ac:dyDescent="0.2"/>
    <row r="54298" ht="9.9499999999999993" hidden="1" customHeight="1" x14ac:dyDescent="0.2"/>
    <row r="54299" ht="9.9499999999999993" hidden="1" customHeight="1" x14ac:dyDescent="0.2"/>
    <row r="54300" ht="9.9499999999999993" hidden="1" customHeight="1" x14ac:dyDescent="0.2"/>
    <row r="54301" ht="9.9499999999999993" hidden="1" customHeight="1" x14ac:dyDescent="0.2"/>
    <row r="54302" ht="9.9499999999999993" hidden="1" customHeight="1" x14ac:dyDescent="0.2"/>
    <row r="54303" ht="9.9499999999999993" hidden="1" customHeight="1" x14ac:dyDescent="0.2"/>
    <row r="54304" ht="9.9499999999999993" hidden="1" customHeight="1" x14ac:dyDescent="0.2"/>
    <row r="54305" ht="9.9499999999999993" hidden="1" customHeight="1" x14ac:dyDescent="0.2"/>
    <row r="54306" ht="9.9499999999999993" hidden="1" customHeight="1" x14ac:dyDescent="0.2"/>
    <row r="54307" ht="9.9499999999999993" hidden="1" customHeight="1" x14ac:dyDescent="0.2"/>
    <row r="54308" ht="9.9499999999999993" hidden="1" customHeight="1" x14ac:dyDescent="0.2"/>
    <row r="54309" ht="9.9499999999999993" hidden="1" customHeight="1" x14ac:dyDescent="0.2"/>
    <row r="54310" ht="9.9499999999999993" hidden="1" customHeight="1" x14ac:dyDescent="0.2"/>
    <row r="54311" ht="9.9499999999999993" hidden="1" customHeight="1" x14ac:dyDescent="0.2"/>
    <row r="54312" ht="9.9499999999999993" hidden="1" customHeight="1" x14ac:dyDescent="0.2"/>
    <row r="54313" ht="9.9499999999999993" hidden="1" customHeight="1" x14ac:dyDescent="0.2"/>
    <row r="54314" ht="9.9499999999999993" hidden="1" customHeight="1" x14ac:dyDescent="0.2"/>
    <row r="54315" ht="9.9499999999999993" hidden="1" customHeight="1" x14ac:dyDescent="0.2"/>
    <row r="54316" ht="9.9499999999999993" hidden="1" customHeight="1" x14ac:dyDescent="0.2"/>
    <row r="54317" ht="9.9499999999999993" hidden="1" customHeight="1" x14ac:dyDescent="0.2"/>
    <row r="54318" ht="9.9499999999999993" hidden="1" customHeight="1" x14ac:dyDescent="0.2"/>
    <row r="54319" ht="9.9499999999999993" hidden="1" customHeight="1" x14ac:dyDescent="0.2"/>
    <row r="54320" ht="9.9499999999999993" hidden="1" customHeight="1" x14ac:dyDescent="0.2"/>
    <row r="54321" ht="9.9499999999999993" hidden="1" customHeight="1" x14ac:dyDescent="0.2"/>
    <row r="54322" ht="9.9499999999999993" hidden="1" customHeight="1" x14ac:dyDescent="0.2"/>
    <row r="54323" ht="9.9499999999999993" hidden="1" customHeight="1" x14ac:dyDescent="0.2"/>
    <row r="54324" ht="9.9499999999999993" hidden="1" customHeight="1" x14ac:dyDescent="0.2"/>
    <row r="54325" ht="9.9499999999999993" hidden="1" customHeight="1" x14ac:dyDescent="0.2"/>
    <row r="54326" ht="9.9499999999999993" hidden="1" customHeight="1" x14ac:dyDescent="0.2"/>
    <row r="54327" ht="9.9499999999999993" hidden="1" customHeight="1" x14ac:dyDescent="0.2"/>
    <row r="54328" ht="9.9499999999999993" hidden="1" customHeight="1" x14ac:dyDescent="0.2"/>
    <row r="54329" ht="9.9499999999999993" hidden="1" customHeight="1" x14ac:dyDescent="0.2"/>
    <row r="54330" ht="9.9499999999999993" hidden="1" customHeight="1" x14ac:dyDescent="0.2"/>
    <row r="54331" ht="9.9499999999999993" hidden="1" customHeight="1" x14ac:dyDescent="0.2"/>
    <row r="54332" ht="9.9499999999999993" hidden="1" customHeight="1" x14ac:dyDescent="0.2"/>
    <row r="54333" ht="9.9499999999999993" hidden="1" customHeight="1" x14ac:dyDescent="0.2"/>
    <row r="54334" ht="9.9499999999999993" hidden="1" customHeight="1" x14ac:dyDescent="0.2"/>
    <row r="54335" ht="9.9499999999999993" hidden="1" customHeight="1" x14ac:dyDescent="0.2"/>
    <row r="54336" ht="9.9499999999999993" hidden="1" customHeight="1" x14ac:dyDescent="0.2"/>
    <row r="54337" ht="9.9499999999999993" hidden="1" customHeight="1" x14ac:dyDescent="0.2"/>
    <row r="54338" ht="9.9499999999999993" hidden="1" customHeight="1" x14ac:dyDescent="0.2"/>
    <row r="54339" ht="9.9499999999999993" hidden="1" customHeight="1" x14ac:dyDescent="0.2"/>
    <row r="54340" ht="9.9499999999999993" hidden="1" customHeight="1" x14ac:dyDescent="0.2"/>
    <row r="54341" ht="9.9499999999999993" hidden="1" customHeight="1" x14ac:dyDescent="0.2"/>
    <row r="54342" ht="9.9499999999999993" hidden="1" customHeight="1" x14ac:dyDescent="0.2"/>
    <row r="54343" ht="9.9499999999999993" hidden="1" customHeight="1" x14ac:dyDescent="0.2"/>
    <row r="54344" ht="9.9499999999999993" hidden="1" customHeight="1" x14ac:dyDescent="0.2"/>
    <row r="54345" ht="9.9499999999999993" hidden="1" customHeight="1" x14ac:dyDescent="0.2"/>
    <row r="54346" ht="9.9499999999999993" hidden="1" customHeight="1" x14ac:dyDescent="0.2"/>
    <row r="54347" ht="9.9499999999999993" hidden="1" customHeight="1" x14ac:dyDescent="0.2"/>
    <row r="54348" ht="9.9499999999999993" hidden="1" customHeight="1" x14ac:dyDescent="0.2"/>
    <row r="54349" ht="9.9499999999999993" hidden="1" customHeight="1" x14ac:dyDescent="0.2"/>
    <row r="54350" ht="9.9499999999999993" hidden="1" customHeight="1" x14ac:dyDescent="0.2"/>
    <row r="54351" ht="9.9499999999999993" hidden="1" customHeight="1" x14ac:dyDescent="0.2"/>
    <row r="54352" ht="9.9499999999999993" hidden="1" customHeight="1" x14ac:dyDescent="0.2"/>
    <row r="54353" ht="9.9499999999999993" hidden="1" customHeight="1" x14ac:dyDescent="0.2"/>
    <row r="54354" ht="9.9499999999999993" hidden="1" customHeight="1" x14ac:dyDescent="0.2"/>
    <row r="54355" ht="9.9499999999999993" hidden="1" customHeight="1" x14ac:dyDescent="0.2"/>
    <row r="54356" ht="9.9499999999999993" hidden="1" customHeight="1" x14ac:dyDescent="0.2"/>
    <row r="54357" ht="9.9499999999999993" hidden="1" customHeight="1" x14ac:dyDescent="0.2"/>
    <row r="54358" ht="9.9499999999999993" hidden="1" customHeight="1" x14ac:dyDescent="0.2"/>
    <row r="54359" ht="9.9499999999999993" hidden="1" customHeight="1" x14ac:dyDescent="0.2"/>
    <row r="54360" ht="9.9499999999999993" hidden="1" customHeight="1" x14ac:dyDescent="0.2"/>
    <row r="54361" ht="9.9499999999999993" hidden="1" customHeight="1" x14ac:dyDescent="0.2"/>
    <row r="54362" ht="9.9499999999999993" hidden="1" customHeight="1" x14ac:dyDescent="0.2"/>
    <row r="54363" ht="9.9499999999999993" hidden="1" customHeight="1" x14ac:dyDescent="0.2"/>
    <row r="54364" ht="9.9499999999999993" hidden="1" customHeight="1" x14ac:dyDescent="0.2"/>
    <row r="54365" ht="9.9499999999999993" hidden="1" customHeight="1" x14ac:dyDescent="0.2"/>
    <row r="54366" ht="9.9499999999999993" hidden="1" customHeight="1" x14ac:dyDescent="0.2"/>
    <row r="54367" ht="9.9499999999999993" hidden="1" customHeight="1" x14ac:dyDescent="0.2"/>
    <row r="54368" ht="9.9499999999999993" hidden="1" customHeight="1" x14ac:dyDescent="0.2"/>
    <row r="54369" ht="9.9499999999999993" hidden="1" customHeight="1" x14ac:dyDescent="0.2"/>
    <row r="54370" ht="9.9499999999999993" hidden="1" customHeight="1" x14ac:dyDescent="0.2"/>
    <row r="54371" ht="9.9499999999999993" hidden="1" customHeight="1" x14ac:dyDescent="0.2"/>
    <row r="54372" ht="9.9499999999999993" hidden="1" customHeight="1" x14ac:dyDescent="0.2"/>
    <row r="54373" ht="9.9499999999999993" hidden="1" customHeight="1" x14ac:dyDescent="0.2"/>
    <row r="54374" ht="9.9499999999999993" hidden="1" customHeight="1" x14ac:dyDescent="0.2"/>
    <row r="54375" ht="9.9499999999999993" hidden="1" customHeight="1" x14ac:dyDescent="0.2"/>
    <row r="54376" ht="9.9499999999999993" hidden="1" customHeight="1" x14ac:dyDescent="0.2"/>
    <row r="54377" ht="9.9499999999999993" hidden="1" customHeight="1" x14ac:dyDescent="0.2"/>
    <row r="54378" ht="9.9499999999999993" hidden="1" customHeight="1" x14ac:dyDescent="0.2"/>
    <row r="54379" ht="9.9499999999999993" hidden="1" customHeight="1" x14ac:dyDescent="0.2"/>
    <row r="54380" ht="9.9499999999999993" hidden="1" customHeight="1" x14ac:dyDescent="0.2"/>
    <row r="54381" ht="9.9499999999999993" hidden="1" customHeight="1" x14ac:dyDescent="0.2"/>
    <row r="54382" ht="9.9499999999999993" hidden="1" customHeight="1" x14ac:dyDescent="0.2"/>
    <row r="54383" ht="9.9499999999999993" hidden="1" customHeight="1" x14ac:dyDescent="0.2"/>
    <row r="54384" ht="9.9499999999999993" hidden="1" customHeight="1" x14ac:dyDescent="0.2"/>
    <row r="54385" ht="9.9499999999999993" hidden="1" customHeight="1" x14ac:dyDescent="0.2"/>
    <row r="54386" ht="9.9499999999999993" hidden="1" customHeight="1" x14ac:dyDescent="0.2"/>
    <row r="54387" ht="9.9499999999999993" hidden="1" customHeight="1" x14ac:dyDescent="0.2"/>
    <row r="54388" ht="9.9499999999999993" hidden="1" customHeight="1" x14ac:dyDescent="0.2"/>
    <row r="54389" ht="9.9499999999999993" hidden="1" customHeight="1" x14ac:dyDescent="0.2"/>
    <row r="54390" ht="9.9499999999999993" hidden="1" customHeight="1" x14ac:dyDescent="0.2"/>
    <row r="54391" ht="9.9499999999999993" hidden="1" customHeight="1" x14ac:dyDescent="0.2"/>
    <row r="54392" ht="9.9499999999999993" hidden="1" customHeight="1" x14ac:dyDescent="0.2"/>
    <row r="54393" ht="9.9499999999999993" hidden="1" customHeight="1" x14ac:dyDescent="0.2"/>
    <row r="54394" ht="9.9499999999999993" hidden="1" customHeight="1" x14ac:dyDescent="0.2"/>
    <row r="54395" ht="9.9499999999999993" hidden="1" customHeight="1" x14ac:dyDescent="0.2"/>
    <row r="54396" ht="9.9499999999999993" hidden="1" customHeight="1" x14ac:dyDescent="0.2"/>
    <row r="54397" ht="9.9499999999999993" hidden="1" customHeight="1" x14ac:dyDescent="0.2"/>
    <row r="54398" ht="9.9499999999999993" hidden="1" customHeight="1" x14ac:dyDescent="0.2"/>
    <row r="54399" ht="9.9499999999999993" hidden="1" customHeight="1" x14ac:dyDescent="0.2"/>
    <row r="54400" ht="9.9499999999999993" hidden="1" customHeight="1" x14ac:dyDescent="0.2"/>
    <row r="54401" ht="9.9499999999999993" hidden="1" customHeight="1" x14ac:dyDescent="0.2"/>
    <row r="54402" ht="9.9499999999999993" hidden="1" customHeight="1" x14ac:dyDescent="0.2"/>
    <row r="54403" ht="9.9499999999999993" hidden="1" customHeight="1" x14ac:dyDescent="0.2"/>
    <row r="54404" ht="9.9499999999999993" hidden="1" customHeight="1" x14ac:dyDescent="0.2"/>
    <row r="54405" ht="9.9499999999999993" hidden="1" customHeight="1" x14ac:dyDescent="0.2"/>
    <row r="54406" ht="9.9499999999999993" hidden="1" customHeight="1" x14ac:dyDescent="0.2"/>
    <row r="54407" ht="9.9499999999999993" hidden="1" customHeight="1" x14ac:dyDescent="0.2"/>
    <row r="54408" ht="9.9499999999999993" hidden="1" customHeight="1" x14ac:dyDescent="0.2"/>
    <row r="54409" ht="9.9499999999999993" hidden="1" customHeight="1" x14ac:dyDescent="0.2"/>
    <row r="54410" ht="9.9499999999999993" hidden="1" customHeight="1" x14ac:dyDescent="0.2"/>
    <row r="54411" ht="9.9499999999999993" hidden="1" customHeight="1" x14ac:dyDescent="0.2"/>
    <row r="54412" ht="9.9499999999999993" hidden="1" customHeight="1" x14ac:dyDescent="0.2"/>
    <row r="54413" ht="9.9499999999999993" hidden="1" customHeight="1" x14ac:dyDescent="0.2"/>
    <row r="54414" ht="9.9499999999999993" hidden="1" customHeight="1" x14ac:dyDescent="0.2"/>
    <row r="54415" ht="9.9499999999999993" hidden="1" customHeight="1" x14ac:dyDescent="0.2"/>
    <row r="54416" ht="9.9499999999999993" hidden="1" customHeight="1" x14ac:dyDescent="0.2"/>
    <row r="54417" ht="9.9499999999999993" hidden="1" customHeight="1" x14ac:dyDescent="0.2"/>
    <row r="54418" ht="9.9499999999999993" hidden="1" customHeight="1" x14ac:dyDescent="0.2"/>
    <row r="54419" ht="9.9499999999999993" hidden="1" customHeight="1" x14ac:dyDescent="0.2"/>
    <row r="54420" ht="9.9499999999999993" hidden="1" customHeight="1" x14ac:dyDescent="0.2"/>
    <row r="54421" ht="9.9499999999999993" hidden="1" customHeight="1" x14ac:dyDescent="0.2"/>
    <row r="54422" ht="9.9499999999999993" hidden="1" customHeight="1" x14ac:dyDescent="0.2"/>
    <row r="54423" ht="9.9499999999999993" hidden="1" customHeight="1" x14ac:dyDescent="0.2"/>
    <row r="54424" ht="9.9499999999999993" hidden="1" customHeight="1" x14ac:dyDescent="0.2"/>
    <row r="54425" ht="9.9499999999999993" hidden="1" customHeight="1" x14ac:dyDescent="0.2"/>
    <row r="54426" ht="9.9499999999999993" hidden="1" customHeight="1" x14ac:dyDescent="0.2"/>
    <row r="54427" ht="9.9499999999999993" hidden="1" customHeight="1" x14ac:dyDescent="0.2"/>
    <row r="54428" ht="9.9499999999999993" hidden="1" customHeight="1" x14ac:dyDescent="0.2"/>
    <row r="54429" ht="9.9499999999999993" hidden="1" customHeight="1" x14ac:dyDescent="0.2"/>
    <row r="54430" ht="9.9499999999999993" hidden="1" customHeight="1" x14ac:dyDescent="0.2"/>
    <row r="54431" ht="9.9499999999999993" hidden="1" customHeight="1" x14ac:dyDescent="0.2"/>
    <row r="54432" ht="9.9499999999999993" hidden="1" customHeight="1" x14ac:dyDescent="0.2"/>
    <row r="54433" ht="9.9499999999999993" hidden="1" customHeight="1" x14ac:dyDescent="0.2"/>
    <row r="54434" ht="9.9499999999999993" hidden="1" customHeight="1" x14ac:dyDescent="0.2"/>
    <row r="54435" ht="9.9499999999999993" hidden="1" customHeight="1" x14ac:dyDescent="0.2"/>
    <row r="54436" ht="9.9499999999999993" hidden="1" customHeight="1" x14ac:dyDescent="0.2"/>
    <row r="54437" ht="9.9499999999999993" hidden="1" customHeight="1" x14ac:dyDescent="0.2"/>
    <row r="54438" ht="9.9499999999999993" hidden="1" customHeight="1" x14ac:dyDescent="0.2"/>
    <row r="54439" ht="9.9499999999999993" hidden="1" customHeight="1" x14ac:dyDescent="0.2"/>
    <row r="54440" ht="9.9499999999999993" hidden="1" customHeight="1" x14ac:dyDescent="0.2"/>
    <row r="54441" ht="9.9499999999999993" hidden="1" customHeight="1" x14ac:dyDescent="0.2"/>
    <row r="54442" ht="9.9499999999999993" hidden="1" customHeight="1" x14ac:dyDescent="0.2"/>
    <row r="54443" ht="9.9499999999999993" hidden="1" customHeight="1" x14ac:dyDescent="0.2"/>
    <row r="54444" ht="9.9499999999999993" hidden="1" customHeight="1" x14ac:dyDescent="0.2"/>
    <row r="54445" ht="9.9499999999999993" hidden="1" customHeight="1" x14ac:dyDescent="0.2"/>
    <row r="54446" ht="9.9499999999999993" hidden="1" customHeight="1" x14ac:dyDescent="0.2"/>
    <row r="54447" ht="9.9499999999999993" hidden="1" customHeight="1" x14ac:dyDescent="0.2"/>
    <row r="54448" ht="9.9499999999999993" hidden="1" customHeight="1" x14ac:dyDescent="0.2"/>
    <row r="54449" ht="9.9499999999999993" hidden="1" customHeight="1" x14ac:dyDescent="0.2"/>
    <row r="54450" ht="9.9499999999999993" hidden="1" customHeight="1" x14ac:dyDescent="0.2"/>
    <row r="54451" ht="9.9499999999999993" hidden="1" customHeight="1" x14ac:dyDescent="0.2"/>
    <row r="54452" ht="9.9499999999999993" hidden="1" customHeight="1" x14ac:dyDescent="0.2"/>
    <row r="54453" ht="9.9499999999999993" hidden="1" customHeight="1" x14ac:dyDescent="0.2"/>
    <row r="54454" ht="9.9499999999999993" hidden="1" customHeight="1" x14ac:dyDescent="0.2"/>
    <row r="54455" ht="9.9499999999999993" hidden="1" customHeight="1" x14ac:dyDescent="0.2"/>
    <row r="54456" ht="9.9499999999999993" hidden="1" customHeight="1" x14ac:dyDescent="0.2"/>
    <row r="54457" ht="9.9499999999999993" hidden="1" customHeight="1" x14ac:dyDescent="0.2"/>
    <row r="54458" ht="9.9499999999999993" hidden="1" customHeight="1" x14ac:dyDescent="0.2"/>
    <row r="54459" ht="9.9499999999999993" hidden="1" customHeight="1" x14ac:dyDescent="0.2"/>
    <row r="54460" ht="9.9499999999999993" hidden="1" customHeight="1" x14ac:dyDescent="0.2"/>
    <row r="54461" ht="9.9499999999999993" hidden="1" customHeight="1" x14ac:dyDescent="0.2"/>
    <row r="54462" ht="9.9499999999999993" hidden="1" customHeight="1" x14ac:dyDescent="0.2"/>
    <row r="54463" ht="9.9499999999999993" hidden="1" customHeight="1" x14ac:dyDescent="0.2"/>
    <row r="54464" ht="9.9499999999999993" hidden="1" customHeight="1" x14ac:dyDescent="0.2"/>
    <row r="54465" ht="9.9499999999999993" hidden="1" customHeight="1" x14ac:dyDescent="0.2"/>
    <row r="54466" ht="9.9499999999999993" hidden="1" customHeight="1" x14ac:dyDescent="0.2"/>
    <row r="54467" ht="9.9499999999999993" hidden="1" customHeight="1" x14ac:dyDescent="0.2"/>
    <row r="54468" ht="9.9499999999999993" hidden="1" customHeight="1" x14ac:dyDescent="0.2"/>
    <row r="54469" ht="9.9499999999999993" hidden="1" customHeight="1" x14ac:dyDescent="0.2"/>
    <row r="54470" ht="9.9499999999999993" hidden="1" customHeight="1" x14ac:dyDescent="0.2"/>
    <row r="54471" ht="9.9499999999999993" hidden="1" customHeight="1" x14ac:dyDescent="0.2"/>
    <row r="54472" ht="9.9499999999999993" hidden="1" customHeight="1" x14ac:dyDescent="0.2"/>
    <row r="54473" ht="9.9499999999999993" hidden="1" customHeight="1" x14ac:dyDescent="0.2"/>
    <row r="54474" ht="9.9499999999999993" hidden="1" customHeight="1" x14ac:dyDescent="0.2"/>
    <row r="54475" ht="9.9499999999999993" hidden="1" customHeight="1" x14ac:dyDescent="0.2"/>
    <row r="54476" ht="9.9499999999999993" hidden="1" customHeight="1" x14ac:dyDescent="0.2"/>
    <row r="54477" ht="9.9499999999999993" hidden="1" customHeight="1" x14ac:dyDescent="0.2"/>
    <row r="54478" ht="9.9499999999999993" hidden="1" customHeight="1" x14ac:dyDescent="0.2"/>
    <row r="54479" ht="9.9499999999999993" hidden="1" customHeight="1" x14ac:dyDescent="0.2"/>
    <row r="54480" ht="9.9499999999999993" hidden="1" customHeight="1" x14ac:dyDescent="0.2"/>
    <row r="54481" ht="9.9499999999999993" hidden="1" customHeight="1" x14ac:dyDescent="0.2"/>
    <row r="54482" ht="9.9499999999999993" hidden="1" customHeight="1" x14ac:dyDescent="0.2"/>
    <row r="54483" ht="9.9499999999999993" hidden="1" customHeight="1" x14ac:dyDescent="0.2"/>
    <row r="54484" ht="9.9499999999999993" hidden="1" customHeight="1" x14ac:dyDescent="0.2"/>
    <row r="54485" ht="9.9499999999999993" hidden="1" customHeight="1" x14ac:dyDescent="0.2"/>
    <row r="54486" ht="9.9499999999999993" hidden="1" customHeight="1" x14ac:dyDescent="0.2"/>
    <row r="54487" ht="9.9499999999999993" hidden="1" customHeight="1" x14ac:dyDescent="0.2"/>
    <row r="54488" ht="9.9499999999999993" hidden="1" customHeight="1" x14ac:dyDescent="0.2"/>
    <row r="54489" ht="9.9499999999999993" hidden="1" customHeight="1" x14ac:dyDescent="0.2"/>
    <row r="54490" ht="9.9499999999999993" hidden="1" customHeight="1" x14ac:dyDescent="0.2"/>
    <row r="54491" ht="9.9499999999999993" hidden="1" customHeight="1" x14ac:dyDescent="0.2"/>
    <row r="54492" ht="9.9499999999999993" hidden="1" customHeight="1" x14ac:dyDescent="0.2"/>
    <row r="54493" ht="9.9499999999999993" hidden="1" customHeight="1" x14ac:dyDescent="0.2"/>
    <row r="54494" ht="9.9499999999999993" hidden="1" customHeight="1" x14ac:dyDescent="0.2"/>
    <row r="54495" ht="9.9499999999999993" hidden="1" customHeight="1" x14ac:dyDescent="0.2"/>
    <row r="54496" ht="9.9499999999999993" hidden="1" customHeight="1" x14ac:dyDescent="0.2"/>
    <row r="54497" ht="9.9499999999999993" hidden="1" customHeight="1" x14ac:dyDescent="0.2"/>
    <row r="54498" ht="9.9499999999999993" hidden="1" customHeight="1" x14ac:dyDescent="0.2"/>
    <row r="54499" ht="9.9499999999999993" hidden="1" customHeight="1" x14ac:dyDescent="0.2"/>
    <row r="54500" ht="9.9499999999999993" hidden="1" customHeight="1" x14ac:dyDescent="0.2"/>
    <row r="54501" ht="9.9499999999999993" hidden="1" customHeight="1" x14ac:dyDescent="0.2"/>
    <row r="54502" ht="9.9499999999999993" hidden="1" customHeight="1" x14ac:dyDescent="0.2"/>
    <row r="54503" ht="9.9499999999999993" hidden="1" customHeight="1" x14ac:dyDescent="0.2"/>
    <row r="54504" ht="9.9499999999999993" hidden="1" customHeight="1" x14ac:dyDescent="0.2"/>
    <row r="54505" ht="9.9499999999999993" hidden="1" customHeight="1" x14ac:dyDescent="0.2"/>
    <row r="54506" ht="9.9499999999999993" hidden="1" customHeight="1" x14ac:dyDescent="0.2"/>
    <row r="54507" ht="9.9499999999999993" hidden="1" customHeight="1" x14ac:dyDescent="0.2"/>
    <row r="54508" ht="9.9499999999999993" hidden="1" customHeight="1" x14ac:dyDescent="0.2"/>
    <row r="54509" ht="9.9499999999999993" hidden="1" customHeight="1" x14ac:dyDescent="0.2"/>
    <row r="54510" ht="9.9499999999999993" hidden="1" customHeight="1" x14ac:dyDescent="0.2"/>
    <row r="54511" ht="9.9499999999999993" hidden="1" customHeight="1" x14ac:dyDescent="0.2"/>
    <row r="54512" ht="9.9499999999999993" hidden="1" customHeight="1" x14ac:dyDescent="0.2"/>
    <row r="54513" ht="9.9499999999999993" hidden="1" customHeight="1" x14ac:dyDescent="0.2"/>
    <row r="54514" ht="9.9499999999999993" hidden="1" customHeight="1" x14ac:dyDescent="0.2"/>
    <row r="54515" ht="9.9499999999999993" hidden="1" customHeight="1" x14ac:dyDescent="0.2"/>
    <row r="54516" ht="9.9499999999999993" hidden="1" customHeight="1" x14ac:dyDescent="0.2"/>
    <row r="54517" ht="9.9499999999999993" hidden="1" customHeight="1" x14ac:dyDescent="0.2"/>
    <row r="54518" ht="9.9499999999999993" hidden="1" customHeight="1" x14ac:dyDescent="0.2"/>
    <row r="54519" ht="9.9499999999999993" hidden="1" customHeight="1" x14ac:dyDescent="0.2"/>
    <row r="54520" ht="9.9499999999999993" hidden="1" customHeight="1" x14ac:dyDescent="0.2"/>
    <row r="54521" ht="9.9499999999999993" hidden="1" customHeight="1" x14ac:dyDescent="0.2"/>
    <row r="54522" ht="9.9499999999999993" hidden="1" customHeight="1" x14ac:dyDescent="0.2"/>
    <row r="54523" ht="9.9499999999999993" hidden="1" customHeight="1" x14ac:dyDescent="0.2"/>
    <row r="54524" ht="9.9499999999999993" hidden="1" customHeight="1" x14ac:dyDescent="0.2"/>
    <row r="54525" ht="9.9499999999999993" hidden="1" customHeight="1" x14ac:dyDescent="0.2"/>
    <row r="54526" ht="9.9499999999999993" hidden="1" customHeight="1" x14ac:dyDescent="0.2"/>
    <row r="54527" ht="9.9499999999999993" hidden="1" customHeight="1" x14ac:dyDescent="0.2"/>
    <row r="54528" ht="9.9499999999999993" hidden="1" customHeight="1" x14ac:dyDescent="0.2"/>
    <row r="54529" ht="9.9499999999999993" hidden="1" customHeight="1" x14ac:dyDescent="0.2"/>
    <row r="54530" ht="9.9499999999999993" hidden="1" customHeight="1" x14ac:dyDescent="0.2"/>
    <row r="54531" ht="9.9499999999999993" hidden="1" customHeight="1" x14ac:dyDescent="0.2"/>
    <row r="54532" ht="9.9499999999999993" hidden="1" customHeight="1" x14ac:dyDescent="0.2"/>
    <row r="54533" ht="9.9499999999999993" hidden="1" customHeight="1" x14ac:dyDescent="0.2"/>
    <row r="54534" ht="9.9499999999999993" hidden="1" customHeight="1" x14ac:dyDescent="0.2"/>
    <row r="54535" ht="9.9499999999999993" hidden="1" customHeight="1" x14ac:dyDescent="0.2"/>
    <row r="54536" ht="9.9499999999999993" hidden="1" customHeight="1" x14ac:dyDescent="0.2"/>
    <row r="54537" ht="9.9499999999999993" hidden="1" customHeight="1" x14ac:dyDescent="0.2"/>
    <row r="54538" ht="9.9499999999999993" hidden="1" customHeight="1" x14ac:dyDescent="0.2"/>
    <row r="54539" ht="9.9499999999999993" hidden="1" customHeight="1" x14ac:dyDescent="0.2"/>
    <row r="54540" ht="9.9499999999999993" hidden="1" customHeight="1" x14ac:dyDescent="0.2"/>
    <row r="54541" ht="9.9499999999999993" hidden="1" customHeight="1" x14ac:dyDescent="0.2"/>
    <row r="54542" ht="9.9499999999999993" hidden="1" customHeight="1" x14ac:dyDescent="0.2"/>
    <row r="54543" ht="9.9499999999999993" hidden="1" customHeight="1" x14ac:dyDescent="0.2"/>
    <row r="54544" ht="9.9499999999999993" hidden="1" customHeight="1" x14ac:dyDescent="0.2"/>
    <row r="54545" ht="9.9499999999999993" hidden="1" customHeight="1" x14ac:dyDescent="0.2"/>
    <row r="54546" ht="9.9499999999999993" hidden="1" customHeight="1" x14ac:dyDescent="0.2"/>
    <row r="54547" ht="9.9499999999999993" hidden="1" customHeight="1" x14ac:dyDescent="0.2"/>
    <row r="54548" ht="9.9499999999999993" hidden="1" customHeight="1" x14ac:dyDescent="0.2"/>
    <row r="54549" ht="9.9499999999999993" hidden="1" customHeight="1" x14ac:dyDescent="0.2"/>
    <row r="54550" ht="9.9499999999999993" hidden="1" customHeight="1" x14ac:dyDescent="0.2"/>
    <row r="54551" ht="9.9499999999999993" hidden="1" customHeight="1" x14ac:dyDescent="0.2"/>
    <row r="54552" ht="9.9499999999999993" hidden="1" customHeight="1" x14ac:dyDescent="0.2"/>
    <row r="54553" ht="9.9499999999999993" hidden="1" customHeight="1" x14ac:dyDescent="0.2"/>
    <row r="54554" ht="9.9499999999999993" hidden="1" customHeight="1" x14ac:dyDescent="0.2"/>
    <row r="54555" ht="9.9499999999999993" hidden="1" customHeight="1" x14ac:dyDescent="0.2"/>
    <row r="54556" ht="9.9499999999999993" hidden="1" customHeight="1" x14ac:dyDescent="0.2"/>
    <row r="54557" ht="9.9499999999999993" hidden="1" customHeight="1" x14ac:dyDescent="0.2"/>
    <row r="54558" ht="9.9499999999999993" hidden="1" customHeight="1" x14ac:dyDescent="0.2"/>
    <row r="54559" ht="9.9499999999999993" hidden="1" customHeight="1" x14ac:dyDescent="0.2"/>
    <row r="54560" ht="9.9499999999999993" hidden="1" customHeight="1" x14ac:dyDescent="0.2"/>
    <row r="54561" ht="9.9499999999999993" hidden="1" customHeight="1" x14ac:dyDescent="0.2"/>
    <row r="54562" ht="9.9499999999999993" hidden="1" customHeight="1" x14ac:dyDescent="0.2"/>
    <row r="54563" ht="9.9499999999999993" hidden="1" customHeight="1" x14ac:dyDescent="0.2"/>
    <row r="54564" ht="9.9499999999999993" hidden="1" customHeight="1" x14ac:dyDescent="0.2"/>
    <row r="54565" ht="9.9499999999999993" hidden="1" customHeight="1" x14ac:dyDescent="0.2"/>
    <row r="54566" ht="9.9499999999999993" hidden="1" customHeight="1" x14ac:dyDescent="0.2"/>
    <row r="54567" ht="9.9499999999999993" hidden="1" customHeight="1" x14ac:dyDescent="0.2"/>
    <row r="54568" ht="9.9499999999999993" hidden="1" customHeight="1" x14ac:dyDescent="0.2"/>
    <row r="54569" ht="9.9499999999999993" hidden="1" customHeight="1" x14ac:dyDescent="0.2"/>
    <row r="54570" ht="9.9499999999999993" hidden="1" customHeight="1" x14ac:dyDescent="0.2"/>
    <row r="54571" ht="9.9499999999999993" hidden="1" customHeight="1" x14ac:dyDescent="0.2"/>
    <row r="54572" ht="9.9499999999999993" hidden="1" customHeight="1" x14ac:dyDescent="0.2"/>
    <row r="54573" ht="9.9499999999999993" hidden="1" customHeight="1" x14ac:dyDescent="0.2"/>
    <row r="54574" ht="9.9499999999999993" hidden="1" customHeight="1" x14ac:dyDescent="0.2"/>
    <row r="54575" ht="9.9499999999999993" hidden="1" customHeight="1" x14ac:dyDescent="0.2"/>
    <row r="54576" ht="9.9499999999999993" hidden="1" customHeight="1" x14ac:dyDescent="0.2"/>
    <row r="54577" ht="9.9499999999999993" hidden="1" customHeight="1" x14ac:dyDescent="0.2"/>
    <row r="54578" ht="9.9499999999999993" hidden="1" customHeight="1" x14ac:dyDescent="0.2"/>
    <row r="54579" ht="9.9499999999999993" hidden="1" customHeight="1" x14ac:dyDescent="0.2"/>
    <row r="54580" ht="9.9499999999999993" hidden="1" customHeight="1" x14ac:dyDescent="0.2"/>
    <row r="54581" ht="9.9499999999999993" hidden="1" customHeight="1" x14ac:dyDescent="0.2"/>
    <row r="54582" ht="9.9499999999999993" hidden="1" customHeight="1" x14ac:dyDescent="0.2"/>
    <row r="54583" ht="9.9499999999999993" hidden="1" customHeight="1" x14ac:dyDescent="0.2"/>
    <row r="54584" ht="9.9499999999999993" hidden="1" customHeight="1" x14ac:dyDescent="0.2"/>
    <row r="54585" ht="9.9499999999999993" hidden="1" customHeight="1" x14ac:dyDescent="0.2"/>
    <row r="54586" ht="9.9499999999999993" hidden="1" customHeight="1" x14ac:dyDescent="0.2"/>
    <row r="54587" ht="9.9499999999999993" hidden="1" customHeight="1" x14ac:dyDescent="0.2"/>
    <row r="54588" ht="9.9499999999999993" hidden="1" customHeight="1" x14ac:dyDescent="0.2"/>
    <row r="54589" ht="9.9499999999999993" hidden="1" customHeight="1" x14ac:dyDescent="0.2"/>
    <row r="54590" ht="9.9499999999999993" hidden="1" customHeight="1" x14ac:dyDescent="0.2"/>
    <row r="54591" ht="9.9499999999999993" hidden="1" customHeight="1" x14ac:dyDescent="0.2"/>
    <row r="54592" ht="9.9499999999999993" hidden="1" customHeight="1" x14ac:dyDescent="0.2"/>
    <row r="54593" ht="9.9499999999999993" hidden="1" customHeight="1" x14ac:dyDescent="0.2"/>
    <row r="54594" ht="9.9499999999999993" hidden="1" customHeight="1" x14ac:dyDescent="0.2"/>
    <row r="54595" ht="9.9499999999999993" hidden="1" customHeight="1" x14ac:dyDescent="0.2"/>
    <row r="54596" ht="9.9499999999999993" hidden="1" customHeight="1" x14ac:dyDescent="0.2"/>
    <row r="54597" ht="9.9499999999999993" hidden="1" customHeight="1" x14ac:dyDescent="0.2"/>
    <row r="54598" ht="9.9499999999999993" hidden="1" customHeight="1" x14ac:dyDescent="0.2"/>
    <row r="54599" ht="9.9499999999999993" hidden="1" customHeight="1" x14ac:dyDescent="0.2"/>
    <row r="54600" ht="9.9499999999999993" hidden="1" customHeight="1" x14ac:dyDescent="0.2"/>
    <row r="54601" ht="9.9499999999999993" hidden="1" customHeight="1" x14ac:dyDescent="0.2"/>
    <row r="54602" ht="9.9499999999999993" hidden="1" customHeight="1" x14ac:dyDescent="0.2"/>
    <row r="54603" ht="9.9499999999999993" hidden="1" customHeight="1" x14ac:dyDescent="0.2"/>
    <row r="54604" ht="9.9499999999999993" hidden="1" customHeight="1" x14ac:dyDescent="0.2"/>
    <row r="54605" ht="9.9499999999999993" hidden="1" customHeight="1" x14ac:dyDescent="0.2"/>
    <row r="54606" ht="9.9499999999999993" hidden="1" customHeight="1" x14ac:dyDescent="0.2"/>
    <row r="54607" ht="9.9499999999999993" hidden="1" customHeight="1" x14ac:dyDescent="0.2"/>
    <row r="54608" ht="9.9499999999999993" hidden="1" customHeight="1" x14ac:dyDescent="0.2"/>
    <row r="54609" ht="9.9499999999999993" hidden="1" customHeight="1" x14ac:dyDescent="0.2"/>
    <row r="54610" ht="9.9499999999999993" hidden="1" customHeight="1" x14ac:dyDescent="0.2"/>
    <row r="54611" ht="9.9499999999999993" hidden="1" customHeight="1" x14ac:dyDescent="0.2"/>
    <row r="54612" ht="9.9499999999999993" hidden="1" customHeight="1" x14ac:dyDescent="0.2"/>
    <row r="54613" ht="9.9499999999999993" hidden="1" customHeight="1" x14ac:dyDescent="0.2"/>
    <row r="54614" ht="9.9499999999999993" hidden="1" customHeight="1" x14ac:dyDescent="0.2"/>
    <row r="54615" ht="9.9499999999999993" hidden="1" customHeight="1" x14ac:dyDescent="0.2"/>
    <row r="54616" ht="9.9499999999999993" hidden="1" customHeight="1" x14ac:dyDescent="0.2"/>
    <row r="54617" ht="9.9499999999999993" hidden="1" customHeight="1" x14ac:dyDescent="0.2"/>
    <row r="54618" ht="9.9499999999999993" hidden="1" customHeight="1" x14ac:dyDescent="0.2"/>
    <row r="54619" ht="9.9499999999999993" hidden="1" customHeight="1" x14ac:dyDescent="0.2"/>
    <row r="54620" ht="9.9499999999999993" hidden="1" customHeight="1" x14ac:dyDescent="0.2"/>
    <row r="54621" ht="9.9499999999999993" hidden="1" customHeight="1" x14ac:dyDescent="0.2"/>
    <row r="54622" ht="9.9499999999999993" hidden="1" customHeight="1" x14ac:dyDescent="0.2"/>
    <row r="54623" ht="9.9499999999999993" hidden="1" customHeight="1" x14ac:dyDescent="0.2"/>
    <row r="54624" ht="9.9499999999999993" hidden="1" customHeight="1" x14ac:dyDescent="0.2"/>
    <row r="54625" ht="9.9499999999999993" hidden="1" customHeight="1" x14ac:dyDescent="0.2"/>
    <row r="54626" ht="9.9499999999999993" hidden="1" customHeight="1" x14ac:dyDescent="0.2"/>
    <row r="54627" ht="9.9499999999999993" hidden="1" customHeight="1" x14ac:dyDescent="0.2"/>
    <row r="54628" ht="9.9499999999999993" hidden="1" customHeight="1" x14ac:dyDescent="0.2"/>
    <row r="54629" ht="9.9499999999999993" hidden="1" customHeight="1" x14ac:dyDescent="0.2"/>
    <row r="54630" ht="9.9499999999999993" hidden="1" customHeight="1" x14ac:dyDescent="0.2"/>
    <row r="54631" ht="9.9499999999999993" hidden="1" customHeight="1" x14ac:dyDescent="0.2"/>
    <row r="54632" ht="9.9499999999999993" hidden="1" customHeight="1" x14ac:dyDescent="0.2"/>
    <row r="54633" ht="9.9499999999999993" hidden="1" customHeight="1" x14ac:dyDescent="0.2"/>
    <row r="54634" ht="9.9499999999999993" hidden="1" customHeight="1" x14ac:dyDescent="0.2"/>
    <row r="54635" ht="9.9499999999999993" hidden="1" customHeight="1" x14ac:dyDescent="0.2"/>
    <row r="54636" ht="9.9499999999999993" hidden="1" customHeight="1" x14ac:dyDescent="0.2"/>
    <row r="54637" ht="9.9499999999999993" hidden="1" customHeight="1" x14ac:dyDescent="0.2"/>
    <row r="54638" ht="9.9499999999999993" hidden="1" customHeight="1" x14ac:dyDescent="0.2"/>
    <row r="54639" ht="9.9499999999999993" hidden="1" customHeight="1" x14ac:dyDescent="0.2"/>
    <row r="54640" ht="9.9499999999999993" hidden="1" customHeight="1" x14ac:dyDescent="0.2"/>
    <row r="54641" ht="9.9499999999999993" hidden="1" customHeight="1" x14ac:dyDescent="0.2"/>
    <row r="54642" ht="9.9499999999999993" hidden="1" customHeight="1" x14ac:dyDescent="0.2"/>
    <row r="54643" ht="9.9499999999999993" hidden="1" customHeight="1" x14ac:dyDescent="0.2"/>
    <row r="54644" ht="9.9499999999999993" hidden="1" customHeight="1" x14ac:dyDescent="0.2"/>
    <row r="54645" ht="9.9499999999999993" hidden="1" customHeight="1" x14ac:dyDescent="0.2"/>
    <row r="54646" ht="9.9499999999999993" hidden="1" customHeight="1" x14ac:dyDescent="0.2"/>
    <row r="54647" ht="9.9499999999999993" hidden="1" customHeight="1" x14ac:dyDescent="0.2"/>
    <row r="54648" ht="9.9499999999999993" hidden="1" customHeight="1" x14ac:dyDescent="0.2"/>
    <row r="54649" ht="9.9499999999999993" hidden="1" customHeight="1" x14ac:dyDescent="0.2"/>
    <row r="54650" ht="9.9499999999999993" hidden="1" customHeight="1" x14ac:dyDescent="0.2"/>
    <row r="54651" ht="9.9499999999999993" hidden="1" customHeight="1" x14ac:dyDescent="0.2"/>
    <row r="54652" ht="9.9499999999999993" hidden="1" customHeight="1" x14ac:dyDescent="0.2"/>
    <row r="54653" ht="9.9499999999999993" hidden="1" customHeight="1" x14ac:dyDescent="0.2"/>
    <row r="54654" ht="9.9499999999999993" hidden="1" customHeight="1" x14ac:dyDescent="0.2"/>
    <row r="54655" ht="9.9499999999999993" hidden="1" customHeight="1" x14ac:dyDescent="0.2"/>
    <row r="54656" ht="9.9499999999999993" hidden="1" customHeight="1" x14ac:dyDescent="0.2"/>
    <row r="54657" ht="9.9499999999999993" hidden="1" customHeight="1" x14ac:dyDescent="0.2"/>
    <row r="54658" ht="9.9499999999999993" hidden="1" customHeight="1" x14ac:dyDescent="0.2"/>
    <row r="54659" ht="9.9499999999999993" hidden="1" customHeight="1" x14ac:dyDescent="0.2"/>
    <row r="54660" ht="9.9499999999999993" hidden="1" customHeight="1" x14ac:dyDescent="0.2"/>
    <row r="54661" ht="9.9499999999999993" hidden="1" customHeight="1" x14ac:dyDescent="0.2"/>
    <row r="54662" ht="9.9499999999999993" hidden="1" customHeight="1" x14ac:dyDescent="0.2"/>
    <row r="54663" ht="9.9499999999999993" hidden="1" customHeight="1" x14ac:dyDescent="0.2"/>
    <row r="54664" ht="9.9499999999999993" hidden="1" customHeight="1" x14ac:dyDescent="0.2"/>
    <row r="54665" ht="9.9499999999999993" hidden="1" customHeight="1" x14ac:dyDescent="0.2"/>
    <row r="54666" ht="9.9499999999999993" hidden="1" customHeight="1" x14ac:dyDescent="0.2"/>
    <row r="54667" ht="9.9499999999999993" hidden="1" customHeight="1" x14ac:dyDescent="0.2"/>
    <row r="54668" ht="9.9499999999999993" hidden="1" customHeight="1" x14ac:dyDescent="0.2"/>
    <row r="54669" ht="9.9499999999999993" hidden="1" customHeight="1" x14ac:dyDescent="0.2"/>
    <row r="54670" ht="9.9499999999999993" hidden="1" customHeight="1" x14ac:dyDescent="0.2"/>
    <row r="54671" ht="9.9499999999999993" hidden="1" customHeight="1" x14ac:dyDescent="0.2"/>
    <row r="54672" ht="9.9499999999999993" hidden="1" customHeight="1" x14ac:dyDescent="0.2"/>
    <row r="54673" ht="9.9499999999999993" hidden="1" customHeight="1" x14ac:dyDescent="0.2"/>
    <row r="54674" ht="9.9499999999999993" hidden="1" customHeight="1" x14ac:dyDescent="0.2"/>
    <row r="54675" ht="9.9499999999999993" hidden="1" customHeight="1" x14ac:dyDescent="0.2"/>
    <row r="54676" ht="9.9499999999999993" hidden="1" customHeight="1" x14ac:dyDescent="0.2"/>
    <row r="54677" ht="9.9499999999999993" hidden="1" customHeight="1" x14ac:dyDescent="0.2"/>
    <row r="54678" ht="9.9499999999999993" hidden="1" customHeight="1" x14ac:dyDescent="0.2"/>
    <row r="54679" ht="9.9499999999999993" hidden="1" customHeight="1" x14ac:dyDescent="0.2"/>
    <row r="54680" ht="9.9499999999999993" hidden="1" customHeight="1" x14ac:dyDescent="0.2"/>
    <row r="54681" ht="9.9499999999999993" hidden="1" customHeight="1" x14ac:dyDescent="0.2"/>
    <row r="54682" ht="9.9499999999999993" hidden="1" customHeight="1" x14ac:dyDescent="0.2"/>
    <row r="54683" ht="9.9499999999999993" hidden="1" customHeight="1" x14ac:dyDescent="0.2"/>
    <row r="54684" ht="9.9499999999999993" hidden="1" customHeight="1" x14ac:dyDescent="0.2"/>
    <row r="54685" ht="9.9499999999999993" hidden="1" customHeight="1" x14ac:dyDescent="0.2"/>
    <row r="54686" ht="9.9499999999999993" hidden="1" customHeight="1" x14ac:dyDescent="0.2"/>
    <row r="54687" ht="9.9499999999999993" hidden="1" customHeight="1" x14ac:dyDescent="0.2"/>
    <row r="54688" ht="9.9499999999999993" hidden="1" customHeight="1" x14ac:dyDescent="0.2"/>
    <row r="54689" ht="9.9499999999999993" hidden="1" customHeight="1" x14ac:dyDescent="0.2"/>
    <row r="54690" ht="9.9499999999999993" hidden="1" customHeight="1" x14ac:dyDescent="0.2"/>
    <row r="54691" ht="9.9499999999999993" hidden="1" customHeight="1" x14ac:dyDescent="0.2"/>
    <row r="54692" ht="9.9499999999999993" hidden="1" customHeight="1" x14ac:dyDescent="0.2"/>
    <row r="54693" ht="9.9499999999999993" hidden="1" customHeight="1" x14ac:dyDescent="0.2"/>
    <row r="54694" ht="9.9499999999999993" hidden="1" customHeight="1" x14ac:dyDescent="0.2"/>
    <row r="54695" ht="9.9499999999999993" hidden="1" customHeight="1" x14ac:dyDescent="0.2"/>
    <row r="54696" ht="9.9499999999999993" hidden="1" customHeight="1" x14ac:dyDescent="0.2"/>
    <row r="54697" ht="9.9499999999999993" hidden="1" customHeight="1" x14ac:dyDescent="0.2"/>
    <row r="54698" ht="9.9499999999999993" hidden="1" customHeight="1" x14ac:dyDescent="0.2"/>
    <row r="54699" ht="9.9499999999999993" hidden="1" customHeight="1" x14ac:dyDescent="0.2"/>
    <row r="54700" ht="9.9499999999999993" hidden="1" customHeight="1" x14ac:dyDescent="0.2"/>
    <row r="54701" ht="9.9499999999999993" hidden="1" customHeight="1" x14ac:dyDescent="0.2"/>
    <row r="54702" ht="9.9499999999999993" hidden="1" customHeight="1" x14ac:dyDescent="0.2"/>
    <row r="54703" ht="9.9499999999999993" hidden="1" customHeight="1" x14ac:dyDescent="0.2"/>
    <row r="54704" ht="9.9499999999999993" hidden="1" customHeight="1" x14ac:dyDescent="0.2"/>
    <row r="54705" ht="9.9499999999999993" hidden="1" customHeight="1" x14ac:dyDescent="0.2"/>
    <row r="54706" ht="9.9499999999999993" hidden="1" customHeight="1" x14ac:dyDescent="0.2"/>
    <row r="54707" ht="9.9499999999999993" hidden="1" customHeight="1" x14ac:dyDescent="0.2"/>
    <row r="54708" ht="9.9499999999999993" hidden="1" customHeight="1" x14ac:dyDescent="0.2"/>
    <row r="54709" ht="9.9499999999999993" hidden="1" customHeight="1" x14ac:dyDescent="0.2"/>
    <row r="54710" ht="9.9499999999999993" hidden="1" customHeight="1" x14ac:dyDescent="0.2"/>
    <row r="54711" ht="9.9499999999999993" hidden="1" customHeight="1" x14ac:dyDescent="0.2"/>
    <row r="54712" ht="9.9499999999999993" hidden="1" customHeight="1" x14ac:dyDescent="0.2"/>
    <row r="54713" ht="9.9499999999999993" hidden="1" customHeight="1" x14ac:dyDescent="0.2"/>
    <row r="54714" ht="9.9499999999999993" hidden="1" customHeight="1" x14ac:dyDescent="0.2"/>
    <row r="54715" ht="9.9499999999999993" hidden="1" customHeight="1" x14ac:dyDescent="0.2"/>
    <row r="54716" ht="9.9499999999999993" hidden="1" customHeight="1" x14ac:dyDescent="0.2"/>
    <row r="54717" ht="9.9499999999999993" hidden="1" customHeight="1" x14ac:dyDescent="0.2"/>
    <row r="54718" ht="9.9499999999999993" hidden="1" customHeight="1" x14ac:dyDescent="0.2"/>
    <row r="54719" ht="9.9499999999999993" hidden="1" customHeight="1" x14ac:dyDescent="0.2"/>
    <row r="54720" ht="9.9499999999999993" hidden="1" customHeight="1" x14ac:dyDescent="0.2"/>
    <row r="54721" ht="9.9499999999999993" hidden="1" customHeight="1" x14ac:dyDescent="0.2"/>
    <row r="54722" ht="9.9499999999999993" hidden="1" customHeight="1" x14ac:dyDescent="0.2"/>
    <row r="54723" ht="9.9499999999999993" hidden="1" customHeight="1" x14ac:dyDescent="0.2"/>
    <row r="54724" ht="9.9499999999999993" hidden="1" customHeight="1" x14ac:dyDescent="0.2"/>
    <row r="54725" ht="9.9499999999999993" hidden="1" customHeight="1" x14ac:dyDescent="0.2"/>
    <row r="54726" ht="9.9499999999999993" hidden="1" customHeight="1" x14ac:dyDescent="0.2"/>
    <row r="54727" ht="9.9499999999999993" hidden="1" customHeight="1" x14ac:dyDescent="0.2"/>
    <row r="54728" ht="9.9499999999999993" hidden="1" customHeight="1" x14ac:dyDescent="0.2"/>
    <row r="54729" ht="9.9499999999999993" hidden="1" customHeight="1" x14ac:dyDescent="0.2"/>
    <row r="54730" ht="9.9499999999999993" hidden="1" customHeight="1" x14ac:dyDescent="0.2"/>
    <row r="54731" ht="9.9499999999999993" hidden="1" customHeight="1" x14ac:dyDescent="0.2"/>
    <row r="54732" ht="9.9499999999999993" hidden="1" customHeight="1" x14ac:dyDescent="0.2"/>
    <row r="54733" ht="9.9499999999999993" hidden="1" customHeight="1" x14ac:dyDescent="0.2"/>
    <row r="54734" ht="9.9499999999999993" hidden="1" customHeight="1" x14ac:dyDescent="0.2"/>
    <row r="54735" ht="9.9499999999999993" hidden="1" customHeight="1" x14ac:dyDescent="0.2"/>
    <row r="54736" ht="9.9499999999999993" hidden="1" customHeight="1" x14ac:dyDescent="0.2"/>
    <row r="54737" ht="9.9499999999999993" hidden="1" customHeight="1" x14ac:dyDescent="0.2"/>
    <row r="54738" ht="9.9499999999999993" hidden="1" customHeight="1" x14ac:dyDescent="0.2"/>
    <row r="54739" ht="9.9499999999999993" hidden="1" customHeight="1" x14ac:dyDescent="0.2"/>
    <row r="54740" ht="9.9499999999999993" hidden="1" customHeight="1" x14ac:dyDescent="0.2"/>
    <row r="54741" ht="9.9499999999999993" hidden="1" customHeight="1" x14ac:dyDescent="0.2"/>
    <row r="54742" ht="9.9499999999999993" hidden="1" customHeight="1" x14ac:dyDescent="0.2"/>
    <row r="54743" ht="9.9499999999999993" hidden="1" customHeight="1" x14ac:dyDescent="0.2"/>
    <row r="54744" ht="9.9499999999999993" hidden="1" customHeight="1" x14ac:dyDescent="0.2"/>
    <row r="54745" ht="9.9499999999999993" hidden="1" customHeight="1" x14ac:dyDescent="0.2"/>
    <row r="54746" ht="9.9499999999999993" hidden="1" customHeight="1" x14ac:dyDescent="0.2"/>
    <row r="54747" ht="9.9499999999999993" hidden="1" customHeight="1" x14ac:dyDescent="0.2"/>
    <row r="54748" ht="9.9499999999999993" hidden="1" customHeight="1" x14ac:dyDescent="0.2"/>
    <row r="54749" ht="9.9499999999999993" hidden="1" customHeight="1" x14ac:dyDescent="0.2"/>
    <row r="54750" ht="9.9499999999999993" hidden="1" customHeight="1" x14ac:dyDescent="0.2"/>
    <row r="54751" ht="9.9499999999999993" hidden="1" customHeight="1" x14ac:dyDescent="0.2"/>
    <row r="54752" ht="9.9499999999999993" hidden="1" customHeight="1" x14ac:dyDescent="0.2"/>
    <row r="54753" ht="9.9499999999999993" hidden="1" customHeight="1" x14ac:dyDescent="0.2"/>
    <row r="54754" ht="9.9499999999999993" hidden="1" customHeight="1" x14ac:dyDescent="0.2"/>
    <row r="54755" ht="9.9499999999999993" hidden="1" customHeight="1" x14ac:dyDescent="0.2"/>
    <row r="54756" ht="9.9499999999999993" hidden="1" customHeight="1" x14ac:dyDescent="0.2"/>
    <row r="54757" ht="9.9499999999999993" hidden="1" customHeight="1" x14ac:dyDescent="0.2"/>
    <row r="54758" ht="9.9499999999999993" hidden="1" customHeight="1" x14ac:dyDescent="0.2"/>
    <row r="54759" ht="9.9499999999999993" hidden="1" customHeight="1" x14ac:dyDescent="0.2"/>
    <row r="54760" ht="9.9499999999999993" hidden="1" customHeight="1" x14ac:dyDescent="0.2"/>
    <row r="54761" ht="9.9499999999999993" hidden="1" customHeight="1" x14ac:dyDescent="0.2"/>
    <row r="54762" ht="9.9499999999999993" hidden="1" customHeight="1" x14ac:dyDescent="0.2"/>
    <row r="54763" ht="9.9499999999999993" hidden="1" customHeight="1" x14ac:dyDescent="0.2"/>
    <row r="54764" ht="9.9499999999999993" hidden="1" customHeight="1" x14ac:dyDescent="0.2"/>
    <row r="54765" ht="9.9499999999999993" hidden="1" customHeight="1" x14ac:dyDescent="0.2"/>
    <row r="54766" ht="9.9499999999999993" hidden="1" customHeight="1" x14ac:dyDescent="0.2"/>
    <row r="54767" ht="9.9499999999999993" hidden="1" customHeight="1" x14ac:dyDescent="0.2"/>
    <row r="54768" ht="9.9499999999999993" hidden="1" customHeight="1" x14ac:dyDescent="0.2"/>
    <row r="54769" ht="9.9499999999999993" hidden="1" customHeight="1" x14ac:dyDescent="0.2"/>
    <row r="54770" ht="9.9499999999999993" hidden="1" customHeight="1" x14ac:dyDescent="0.2"/>
    <row r="54771" ht="9.9499999999999993" hidden="1" customHeight="1" x14ac:dyDescent="0.2"/>
    <row r="54772" ht="9.9499999999999993" hidden="1" customHeight="1" x14ac:dyDescent="0.2"/>
    <row r="54773" ht="9.9499999999999993" hidden="1" customHeight="1" x14ac:dyDescent="0.2"/>
    <row r="54774" ht="9.9499999999999993" hidden="1" customHeight="1" x14ac:dyDescent="0.2"/>
    <row r="54775" ht="9.9499999999999993" hidden="1" customHeight="1" x14ac:dyDescent="0.2"/>
    <row r="54776" ht="9.9499999999999993" hidden="1" customHeight="1" x14ac:dyDescent="0.2"/>
    <row r="54777" ht="9.9499999999999993" hidden="1" customHeight="1" x14ac:dyDescent="0.2"/>
    <row r="54778" ht="9.9499999999999993" hidden="1" customHeight="1" x14ac:dyDescent="0.2"/>
    <row r="54779" ht="9.9499999999999993" hidden="1" customHeight="1" x14ac:dyDescent="0.2"/>
    <row r="54780" ht="9.9499999999999993" hidden="1" customHeight="1" x14ac:dyDescent="0.2"/>
    <row r="54781" ht="9.9499999999999993" hidden="1" customHeight="1" x14ac:dyDescent="0.2"/>
    <row r="54782" ht="9.9499999999999993" hidden="1" customHeight="1" x14ac:dyDescent="0.2"/>
    <row r="54783" ht="9.9499999999999993" hidden="1" customHeight="1" x14ac:dyDescent="0.2"/>
    <row r="54784" ht="9.9499999999999993" hidden="1" customHeight="1" x14ac:dyDescent="0.2"/>
    <row r="54785" ht="9.9499999999999993" hidden="1" customHeight="1" x14ac:dyDescent="0.2"/>
    <row r="54786" ht="9.9499999999999993" hidden="1" customHeight="1" x14ac:dyDescent="0.2"/>
    <row r="54787" ht="9.9499999999999993" hidden="1" customHeight="1" x14ac:dyDescent="0.2"/>
    <row r="54788" ht="9.9499999999999993" hidden="1" customHeight="1" x14ac:dyDescent="0.2"/>
    <row r="54789" ht="9.9499999999999993" hidden="1" customHeight="1" x14ac:dyDescent="0.2"/>
    <row r="54790" ht="9.9499999999999993" hidden="1" customHeight="1" x14ac:dyDescent="0.2"/>
    <row r="54791" ht="9.9499999999999993" hidden="1" customHeight="1" x14ac:dyDescent="0.2"/>
    <row r="54792" ht="9.9499999999999993" hidden="1" customHeight="1" x14ac:dyDescent="0.2"/>
    <row r="54793" ht="9.9499999999999993" hidden="1" customHeight="1" x14ac:dyDescent="0.2"/>
    <row r="54794" ht="9.9499999999999993" hidden="1" customHeight="1" x14ac:dyDescent="0.2"/>
    <row r="54795" ht="9.9499999999999993" hidden="1" customHeight="1" x14ac:dyDescent="0.2"/>
    <row r="54796" ht="9.9499999999999993" hidden="1" customHeight="1" x14ac:dyDescent="0.2"/>
    <row r="54797" ht="9.9499999999999993" hidden="1" customHeight="1" x14ac:dyDescent="0.2"/>
    <row r="54798" ht="9.9499999999999993" hidden="1" customHeight="1" x14ac:dyDescent="0.2"/>
    <row r="54799" ht="9.9499999999999993" hidden="1" customHeight="1" x14ac:dyDescent="0.2"/>
    <row r="54800" ht="9.9499999999999993" hidden="1" customHeight="1" x14ac:dyDescent="0.2"/>
    <row r="54801" ht="9.9499999999999993" hidden="1" customHeight="1" x14ac:dyDescent="0.2"/>
    <row r="54802" ht="9.9499999999999993" hidden="1" customHeight="1" x14ac:dyDescent="0.2"/>
    <row r="54803" ht="9.9499999999999993" hidden="1" customHeight="1" x14ac:dyDescent="0.2"/>
    <row r="54804" ht="9.9499999999999993" hidden="1" customHeight="1" x14ac:dyDescent="0.2"/>
    <row r="54805" ht="9.9499999999999993" hidden="1" customHeight="1" x14ac:dyDescent="0.2"/>
    <row r="54806" ht="9.9499999999999993" hidden="1" customHeight="1" x14ac:dyDescent="0.2"/>
    <row r="54807" ht="9.9499999999999993" hidden="1" customHeight="1" x14ac:dyDescent="0.2"/>
    <row r="54808" ht="9.9499999999999993" hidden="1" customHeight="1" x14ac:dyDescent="0.2"/>
    <row r="54809" ht="9.9499999999999993" hidden="1" customHeight="1" x14ac:dyDescent="0.2"/>
    <row r="54810" ht="9.9499999999999993" hidden="1" customHeight="1" x14ac:dyDescent="0.2"/>
    <row r="54811" ht="9.9499999999999993" hidden="1" customHeight="1" x14ac:dyDescent="0.2"/>
    <row r="54812" ht="9.9499999999999993" hidden="1" customHeight="1" x14ac:dyDescent="0.2"/>
    <row r="54813" ht="9.9499999999999993" hidden="1" customHeight="1" x14ac:dyDescent="0.2"/>
    <row r="54814" ht="9.9499999999999993" hidden="1" customHeight="1" x14ac:dyDescent="0.2"/>
    <row r="54815" ht="9.9499999999999993" hidden="1" customHeight="1" x14ac:dyDescent="0.2"/>
    <row r="54816" ht="9.9499999999999993" hidden="1" customHeight="1" x14ac:dyDescent="0.2"/>
    <row r="54817" ht="9.9499999999999993" hidden="1" customHeight="1" x14ac:dyDescent="0.2"/>
    <row r="54818" ht="9.9499999999999993" hidden="1" customHeight="1" x14ac:dyDescent="0.2"/>
    <row r="54819" ht="9.9499999999999993" hidden="1" customHeight="1" x14ac:dyDescent="0.2"/>
    <row r="54820" ht="9.9499999999999993" hidden="1" customHeight="1" x14ac:dyDescent="0.2"/>
    <row r="54821" ht="9.9499999999999993" hidden="1" customHeight="1" x14ac:dyDescent="0.2"/>
    <row r="54822" ht="9.9499999999999993" hidden="1" customHeight="1" x14ac:dyDescent="0.2"/>
    <row r="54823" ht="9.9499999999999993" hidden="1" customHeight="1" x14ac:dyDescent="0.2"/>
    <row r="54824" ht="9.9499999999999993" hidden="1" customHeight="1" x14ac:dyDescent="0.2"/>
    <row r="54825" ht="9.9499999999999993" hidden="1" customHeight="1" x14ac:dyDescent="0.2"/>
    <row r="54826" ht="9.9499999999999993" hidden="1" customHeight="1" x14ac:dyDescent="0.2"/>
    <row r="54827" ht="9.9499999999999993" hidden="1" customHeight="1" x14ac:dyDescent="0.2"/>
    <row r="54828" ht="9.9499999999999993" hidden="1" customHeight="1" x14ac:dyDescent="0.2"/>
    <row r="54829" ht="9.9499999999999993" hidden="1" customHeight="1" x14ac:dyDescent="0.2"/>
    <row r="54830" ht="9.9499999999999993" hidden="1" customHeight="1" x14ac:dyDescent="0.2"/>
    <row r="54831" ht="9.9499999999999993" hidden="1" customHeight="1" x14ac:dyDescent="0.2"/>
    <row r="54832" ht="9.9499999999999993" hidden="1" customHeight="1" x14ac:dyDescent="0.2"/>
    <row r="54833" ht="9.9499999999999993" hidden="1" customHeight="1" x14ac:dyDescent="0.2"/>
    <row r="54834" ht="9.9499999999999993" hidden="1" customHeight="1" x14ac:dyDescent="0.2"/>
    <row r="54835" ht="9.9499999999999993" hidden="1" customHeight="1" x14ac:dyDescent="0.2"/>
    <row r="54836" ht="9.9499999999999993" hidden="1" customHeight="1" x14ac:dyDescent="0.2"/>
    <row r="54837" ht="9.9499999999999993" hidden="1" customHeight="1" x14ac:dyDescent="0.2"/>
    <row r="54838" ht="9.9499999999999993" hidden="1" customHeight="1" x14ac:dyDescent="0.2"/>
    <row r="54839" ht="9.9499999999999993" hidden="1" customHeight="1" x14ac:dyDescent="0.2"/>
    <row r="54840" ht="9.9499999999999993" hidden="1" customHeight="1" x14ac:dyDescent="0.2"/>
    <row r="54841" ht="9.9499999999999993" hidden="1" customHeight="1" x14ac:dyDescent="0.2"/>
    <row r="54842" ht="9.9499999999999993" hidden="1" customHeight="1" x14ac:dyDescent="0.2"/>
    <row r="54843" ht="9.9499999999999993" hidden="1" customHeight="1" x14ac:dyDescent="0.2"/>
    <row r="54844" ht="9.9499999999999993" hidden="1" customHeight="1" x14ac:dyDescent="0.2"/>
    <row r="54845" ht="9.9499999999999993" hidden="1" customHeight="1" x14ac:dyDescent="0.2"/>
    <row r="54846" ht="9.9499999999999993" hidden="1" customHeight="1" x14ac:dyDescent="0.2"/>
    <row r="54847" ht="9.9499999999999993" hidden="1" customHeight="1" x14ac:dyDescent="0.2"/>
    <row r="54848" ht="9.9499999999999993" hidden="1" customHeight="1" x14ac:dyDescent="0.2"/>
    <row r="54849" ht="9.9499999999999993" hidden="1" customHeight="1" x14ac:dyDescent="0.2"/>
    <row r="54850" ht="9.9499999999999993" hidden="1" customHeight="1" x14ac:dyDescent="0.2"/>
    <row r="54851" ht="9.9499999999999993" hidden="1" customHeight="1" x14ac:dyDescent="0.2"/>
    <row r="54852" ht="9.9499999999999993" hidden="1" customHeight="1" x14ac:dyDescent="0.2"/>
    <row r="54853" ht="9.9499999999999993" hidden="1" customHeight="1" x14ac:dyDescent="0.2"/>
    <row r="54854" ht="9.9499999999999993" hidden="1" customHeight="1" x14ac:dyDescent="0.2"/>
    <row r="54855" ht="9.9499999999999993" hidden="1" customHeight="1" x14ac:dyDescent="0.2"/>
    <row r="54856" ht="9.9499999999999993" hidden="1" customHeight="1" x14ac:dyDescent="0.2"/>
    <row r="54857" ht="9.9499999999999993" hidden="1" customHeight="1" x14ac:dyDescent="0.2"/>
    <row r="54858" ht="9.9499999999999993" hidden="1" customHeight="1" x14ac:dyDescent="0.2"/>
    <row r="54859" ht="9.9499999999999993" hidden="1" customHeight="1" x14ac:dyDescent="0.2"/>
    <row r="54860" ht="9.9499999999999993" hidden="1" customHeight="1" x14ac:dyDescent="0.2"/>
    <row r="54861" ht="9.9499999999999993" hidden="1" customHeight="1" x14ac:dyDescent="0.2"/>
    <row r="54862" ht="9.9499999999999993" hidden="1" customHeight="1" x14ac:dyDescent="0.2"/>
    <row r="54863" ht="9.9499999999999993" hidden="1" customHeight="1" x14ac:dyDescent="0.2"/>
    <row r="54864" ht="9.9499999999999993" hidden="1" customHeight="1" x14ac:dyDescent="0.2"/>
    <row r="54865" ht="9.9499999999999993" hidden="1" customHeight="1" x14ac:dyDescent="0.2"/>
    <row r="54866" ht="9.9499999999999993" hidden="1" customHeight="1" x14ac:dyDescent="0.2"/>
    <row r="54867" ht="9.9499999999999993" hidden="1" customHeight="1" x14ac:dyDescent="0.2"/>
    <row r="54868" ht="9.9499999999999993" hidden="1" customHeight="1" x14ac:dyDescent="0.2"/>
    <row r="54869" ht="9.9499999999999993" hidden="1" customHeight="1" x14ac:dyDescent="0.2"/>
    <row r="54870" ht="9.9499999999999993" hidden="1" customHeight="1" x14ac:dyDescent="0.2"/>
    <row r="54871" ht="9.9499999999999993" hidden="1" customHeight="1" x14ac:dyDescent="0.2"/>
    <row r="54872" ht="9.9499999999999993" hidden="1" customHeight="1" x14ac:dyDescent="0.2"/>
    <row r="54873" ht="9.9499999999999993" hidden="1" customHeight="1" x14ac:dyDescent="0.2"/>
    <row r="54874" ht="9.9499999999999993" hidden="1" customHeight="1" x14ac:dyDescent="0.2"/>
    <row r="54875" ht="9.9499999999999993" hidden="1" customHeight="1" x14ac:dyDescent="0.2"/>
    <row r="54876" ht="9.9499999999999993" hidden="1" customHeight="1" x14ac:dyDescent="0.2"/>
    <row r="54877" ht="9.9499999999999993" hidden="1" customHeight="1" x14ac:dyDescent="0.2"/>
    <row r="54878" ht="9.9499999999999993" hidden="1" customHeight="1" x14ac:dyDescent="0.2"/>
    <row r="54879" ht="9.9499999999999993" hidden="1" customHeight="1" x14ac:dyDescent="0.2"/>
    <row r="54880" ht="9.9499999999999993" hidden="1" customHeight="1" x14ac:dyDescent="0.2"/>
    <row r="54881" ht="9.9499999999999993" hidden="1" customHeight="1" x14ac:dyDescent="0.2"/>
    <row r="54882" ht="9.9499999999999993" hidden="1" customHeight="1" x14ac:dyDescent="0.2"/>
    <row r="54883" ht="9.9499999999999993" hidden="1" customHeight="1" x14ac:dyDescent="0.2"/>
    <row r="54884" ht="9.9499999999999993" hidden="1" customHeight="1" x14ac:dyDescent="0.2"/>
    <row r="54885" ht="9.9499999999999993" hidden="1" customHeight="1" x14ac:dyDescent="0.2"/>
    <row r="54886" ht="9.9499999999999993" hidden="1" customHeight="1" x14ac:dyDescent="0.2"/>
    <row r="54887" ht="9.9499999999999993" hidden="1" customHeight="1" x14ac:dyDescent="0.2"/>
    <row r="54888" ht="9.9499999999999993" hidden="1" customHeight="1" x14ac:dyDescent="0.2"/>
    <row r="54889" ht="9.9499999999999993" hidden="1" customHeight="1" x14ac:dyDescent="0.2"/>
    <row r="54890" ht="9.9499999999999993" hidden="1" customHeight="1" x14ac:dyDescent="0.2"/>
    <row r="54891" ht="9.9499999999999993" hidden="1" customHeight="1" x14ac:dyDescent="0.2"/>
    <row r="54892" ht="9.9499999999999993" hidden="1" customHeight="1" x14ac:dyDescent="0.2"/>
    <row r="54893" ht="9.9499999999999993" hidden="1" customHeight="1" x14ac:dyDescent="0.2"/>
    <row r="54894" ht="9.9499999999999993" hidden="1" customHeight="1" x14ac:dyDescent="0.2"/>
    <row r="54895" ht="9.9499999999999993" hidden="1" customHeight="1" x14ac:dyDescent="0.2"/>
    <row r="54896" ht="9.9499999999999993" hidden="1" customHeight="1" x14ac:dyDescent="0.2"/>
    <row r="54897" ht="9.9499999999999993" hidden="1" customHeight="1" x14ac:dyDescent="0.2"/>
    <row r="54898" ht="9.9499999999999993" hidden="1" customHeight="1" x14ac:dyDescent="0.2"/>
    <row r="54899" ht="9.9499999999999993" hidden="1" customHeight="1" x14ac:dyDescent="0.2"/>
    <row r="54900" ht="9.9499999999999993" hidden="1" customHeight="1" x14ac:dyDescent="0.2"/>
    <row r="54901" ht="9.9499999999999993" hidden="1" customHeight="1" x14ac:dyDescent="0.2"/>
    <row r="54902" ht="9.9499999999999993" hidden="1" customHeight="1" x14ac:dyDescent="0.2"/>
    <row r="54903" ht="9.9499999999999993" hidden="1" customHeight="1" x14ac:dyDescent="0.2"/>
    <row r="54904" ht="9.9499999999999993" hidden="1" customHeight="1" x14ac:dyDescent="0.2"/>
    <row r="54905" ht="9.9499999999999993" hidden="1" customHeight="1" x14ac:dyDescent="0.2"/>
    <row r="54906" ht="9.9499999999999993" hidden="1" customHeight="1" x14ac:dyDescent="0.2"/>
    <row r="54907" ht="9.9499999999999993" hidden="1" customHeight="1" x14ac:dyDescent="0.2"/>
    <row r="54908" ht="9.9499999999999993" hidden="1" customHeight="1" x14ac:dyDescent="0.2"/>
    <row r="54909" ht="9.9499999999999993" hidden="1" customHeight="1" x14ac:dyDescent="0.2"/>
    <row r="54910" ht="9.9499999999999993" hidden="1" customHeight="1" x14ac:dyDescent="0.2"/>
    <row r="54911" ht="9.9499999999999993" hidden="1" customHeight="1" x14ac:dyDescent="0.2"/>
    <row r="54912" ht="9.9499999999999993" hidden="1" customHeight="1" x14ac:dyDescent="0.2"/>
    <row r="54913" ht="9.9499999999999993" hidden="1" customHeight="1" x14ac:dyDescent="0.2"/>
    <row r="54914" ht="9.9499999999999993" hidden="1" customHeight="1" x14ac:dyDescent="0.2"/>
    <row r="54915" ht="9.9499999999999993" hidden="1" customHeight="1" x14ac:dyDescent="0.2"/>
    <row r="54916" ht="9.9499999999999993" hidden="1" customHeight="1" x14ac:dyDescent="0.2"/>
    <row r="54917" ht="9.9499999999999993" hidden="1" customHeight="1" x14ac:dyDescent="0.2"/>
    <row r="54918" ht="9.9499999999999993" hidden="1" customHeight="1" x14ac:dyDescent="0.2"/>
    <row r="54919" ht="9.9499999999999993" hidden="1" customHeight="1" x14ac:dyDescent="0.2"/>
    <row r="54920" ht="9.9499999999999993" hidden="1" customHeight="1" x14ac:dyDescent="0.2"/>
    <row r="54921" ht="9.9499999999999993" hidden="1" customHeight="1" x14ac:dyDescent="0.2"/>
    <row r="54922" ht="9.9499999999999993" hidden="1" customHeight="1" x14ac:dyDescent="0.2"/>
    <row r="54923" ht="9.9499999999999993" hidden="1" customHeight="1" x14ac:dyDescent="0.2"/>
    <row r="54924" ht="9.9499999999999993" hidden="1" customHeight="1" x14ac:dyDescent="0.2"/>
    <row r="54925" ht="9.9499999999999993" hidden="1" customHeight="1" x14ac:dyDescent="0.2"/>
    <row r="54926" ht="9.9499999999999993" hidden="1" customHeight="1" x14ac:dyDescent="0.2"/>
    <row r="54927" ht="9.9499999999999993" hidden="1" customHeight="1" x14ac:dyDescent="0.2"/>
    <row r="54928" ht="9.9499999999999993" hidden="1" customHeight="1" x14ac:dyDescent="0.2"/>
    <row r="54929" ht="9.9499999999999993" hidden="1" customHeight="1" x14ac:dyDescent="0.2"/>
    <row r="54930" ht="9.9499999999999993" hidden="1" customHeight="1" x14ac:dyDescent="0.2"/>
    <row r="54931" ht="9.9499999999999993" hidden="1" customHeight="1" x14ac:dyDescent="0.2"/>
    <row r="54932" ht="9.9499999999999993" hidden="1" customHeight="1" x14ac:dyDescent="0.2"/>
    <row r="54933" ht="9.9499999999999993" hidden="1" customHeight="1" x14ac:dyDescent="0.2"/>
    <row r="54934" ht="9.9499999999999993" hidden="1" customHeight="1" x14ac:dyDescent="0.2"/>
    <row r="54935" ht="9.9499999999999993" hidden="1" customHeight="1" x14ac:dyDescent="0.2"/>
    <row r="54936" ht="9.9499999999999993" hidden="1" customHeight="1" x14ac:dyDescent="0.2"/>
    <row r="54937" ht="9.9499999999999993" hidden="1" customHeight="1" x14ac:dyDescent="0.2"/>
    <row r="54938" ht="9.9499999999999993" hidden="1" customHeight="1" x14ac:dyDescent="0.2"/>
    <row r="54939" ht="9.9499999999999993" hidden="1" customHeight="1" x14ac:dyDescent="0.2"/>
    <row r="54940" ht="9.9499999999999993" hidden="1" customHeight="1" x14ac:dyDescent="0.2"/>
    <row r="54941" ht="9.9499999999999993" hidden="1" customHeight="1" x14ac:dyDescent="0.2"/>
    <row r="54942" ht="9.9499999999999993" hidden="1" customHeight="1" x14ac:dyDescent="0.2"/>
    <row r="54943" ht="9.9499999999999993" hidden="1" customHeight="1" x14ac:dyDescent="0.2"/>
    <row r="54944" ht="9.9499999999999993" hidden="1" customHeight="1" x14ac:dyDescent="0.2"/>
    <row r="54945" ht="9.9499999999999993" hidden="1" customHeight="1" x14ac:dyDescent="0.2"/>
    <row r="54946" ht="9.9499999999999993" hidden="1" customHeight="1" x14ac:dyDescent="0.2"/>
    <row r="54947" ht="9.9499999999999993" hidden="1" customHeight="1" x14ac:dyDescent="0.2"/>
    <row r="54948" ht="9.9499999999999993" hidden="1" customHeight="1" x14ac:dyDescent="0.2"/>
    <row r="54949" ht="9.9499999999999993" hidden="1" customHeight="1" x14ac:dyDescent="0.2"/>
    <row r="54950" ht="9.9499999999999993" hidden="1" customHeight="1" x14ac:dyDescent="0.2"/>
    <row r="54951" ht="9.9499999999999993" hidden="1" customHeight="1" x14ac:dyDescent="0.2"/>
    <row r="54952" ht="9.9499999999999993" hidden="1" customHeight="1" x14ac:dyDescent="0.2"/>
    <row r="54953" ht="9.9499999999999993" hidden="1" customHeight="1" x14ac:dyDescent="0.2"/>
    <row r="54954" ht="9.9499999999999993" hidden="1" customHeight="1" x14ac:dyDescent="0.2"/>
    <row r="54955" ht="9.9499999999999993" hidden="1" customHeight="1" x14ac:dyDescent="0.2"/>
    <row r="54956" ht="9.9499999999999993" hidden="1" customHeight="1" x14ac:dyDescent="0.2"/>
    <row r="54957" ht="9.9499999999999993" hidden="1" customHeight="1" x14ac:dyDescent="0.2"/>
    <row r="54958" ht="9.9499999999999993" hidden="1" customHeight="1" x14ac:dyDescent="0.2"/>
    <row r="54959" ht="9.9499999999999993" hidden="1" customHeight="1" x14ac:dyDescent="0.2"/>
    <row r="54960" ht="9.9499999999999993" hidden="1" customHeight="1" x14ac:dyDescent="0.2"/>
    <row r="54961" ht="9.9499999999999993" hidden="1" customHeight="1" x14ac:dyDescent="0.2"/>
    <row r="54962" ht="9.9499999999999993" hidden="1" customHeight="1" x14ac:dyDescent="0.2"/>
    <row r="54963" ht="9.9499999999999993" hidden="1" customHeight="1" x14ac:dyDescent="0.2"/>
    <row r="54964" ht="9.9499999999999993" hidden="1" customHeight="1" x14ac:dyDescent="0.2"/>
    <row r="54965" ht="9.9499999999999993" hidden="1" customHeight="1" x14ac:dyDescent="0.2"/>
    <row r="54966" ht="9.9499999999999993" hidden="1" customHeight="1" x14ac:dyDescent="0.2"/>
    <row r="54967" ht="9.9499999999999993" hidden="1" customHeight="1" x14ac:dyDescent="0.2"/>
    <row r="54968" ht="9.9499999999999993" hidden="1" customHeight="1" x14ac:dyDescent="0.2"/>
    <row r="54969" ht="9.9499999999999993" hidden="1" customHeight="1" x14ac:dyDescent="0.2"/>
    <row r="54970" ht="9.9499999999999993" hidden="1" customHeight="1" x14ac:dyDescent="0.2"/>
    <row r="54971" ht="9.9499999999999993" hidden="1" customHeight="1" x14ac:dyDescent="0.2"/>
    <row r="54972" ht="9.9499999999999993" hidden="1" customHeight="1" x14ac:dyDescent="0.2"/>
    <row r="54973" ht="9.9499999999999993" hidden="1" customHeight="1" x14ac:dyDescent="0.2"/>
    <row r="54974" ht="9.9499999999999993" hidden="1" customHeight="1" x14ac:dyDescent="0.2"/>
    <row r="54975" ht="9.9499999999999993" hidden="1" customHeight="1" x14ac:dyDescent="0.2"/>
    <row r="54976" ht="9.9499999999999993" hidden="1" customHeight="1" x14ac:dyDescent="0.2"/>
    <row r="54977" ht="9.9499999999999993" hidden="1" customHeight="1" x14ac:dyDescent="0.2"/>
    <row r="54978" ht="9.9499999999999993" hidden="1" customHeight="1" x14ac:dyDescent="0.2"/>
    <row r="54979" ht="9.9499999999999993" hidden="1" customHeight="1" x14ac:dyDescent="0.2"/>
    <row r="54980" ht="9.9499999999999993" hidden="1" customHeight="1" x14ac:dyDescent="0.2"/>
    <row r="54981" ht="9.9499999999999993" hidden="1" customHeight="1" x14ac:dyDescent="0.2"/>
    <row r="54982" ht="9.9499999999999993" hidden="1" customHeight="1" x14ac:dyDescent="0.2"/>
    <row r="54983" ht="9.9499999999999993" hidden="1" customHeight="1" x14ac:dyDescent="0.2"/>
    <row r="54984" ht="9.9499999999999993" hidden="1" customHeight="1" x14ac:dyDescent="0.2"/>
    <row r="54985" ht="9.9499999999999993" hidden="1" customHeight="1" x14ac:dyDescent="0.2"/>
    <row r="54986" ht="9.9499999999999993" hidden="1" customHeight="1" x14ac:dyDescent="0.2"/>
    <row r="54987" ht="9.9499999999999993" hidden="1" customHeight="1" x14ac:dyDescent="0.2"/>
    <row r="54988" ht="9.9499999999999993" hidden="1" customHeight="1" x14ac:dyDescent="0.2"/>
    <row r="54989" ht="9.9499999999999993" hidden="1" customHeight="1" x14ac:dyDescent="0.2"/>
    <row r="54990" ht="9.9499999999999993" hidden="1" customHeight="1" x14ac:dyDescent="0.2"/>
    <row r="54991" ht="9.9499999999999993" hidden="1" customHeight="1" x14ac:dyDescent="0.2"/>
    <row r="54992" ht="9.9499999999999993" hidden="1" customHeight="1" x14ac:dyDescent="0.2"/>
    <row r="54993" ht="9.9499999999999993" hidden="1" customHeight="1" x14ac:dyDescent="0.2"/>
    <row r="54994" ht="9.9499999999999993" hidden="1" customHeight="1" x14ac:dyDescent="0.2"/>
    <row r="54995" ht="9.9499999999999993" hidden="1" customHeight="1" x14ac:dyDescent="0.2"/>
    <row r="54996" ht="9.9499999999999993" hidden="1" customHeight="1" x14ac:dyDescent="0.2"/>
    <row r="54997" ht="9.9499999999999993" hidden="1" customHeight="1" x14ac:dyDescent="0.2"/>
    <row r="54998" ht="9.9499999999999993" hidden="1" customHeight="1" x14ac:dyDescent="0.2"/>
    <row r="54999" ht="9.9499999999999993" hidden="1" customHeight="1" x14ac:dyDescent="0.2"/>
    <row r="55000" ht="9.9499999999999993" hidden="1" customHeight="1" x14ac:dyDescent="0.2"/>
    <row r="55001" ht="9.9499999999999993" hidden="1" customHeight="1" x14ac:dyDescent="0.2"/>
    <row r="55002" ht="9.9499999999999993" hidden="1" customHeight="1" x14ac:dyDescent="0.2"/>
    <row r="55003" ht="9.9499999999999993" hidden="1" customHeight="1" x14ac:dyDescent="0.2"/>
    <row r="55004" ht="9.9499999999999993" hidden="1" customHeight="1" x14ac:dyDescent="0.2"/>
    <row r="55005" ht="9.9499999999999993" hidden="1" customHeight="1" x14ac:dyDescent="0.2"/>
    <row r="55006" ht="9.9499999999999993" hidden="1" customHeight="1" x14ac:dyDescent="0.2"/>
    <row r="55007" ht="9.9499999999999993" hidden="1" customHeight="1" x14ac:dyDescent="0.2"/>
    <row r="55008" ht="9.9499999999999993" hidden="1" customHeight="1" x14ac:dyDescent="0.2"/>
    <row r="55009" ht="9.9499999999999993" hidden="1" customHeight="1" x14ac:dyDescent="0.2"/>
    <row r="55010" ht="9.9499999999999993" hidden="1" customHeight="1" x14ac:dyDescent="0.2"/>
    <row r="55011" ht="9.9499999999999993" hidden="1" customHeight="1" x14ac:dyDescent="0.2"/>
    <row r="55012" ht="9.9499999999999993" hidden="1" customHeight="1" x14ac:dyDescent="0.2"/>
    <row r="55013" ht="9.9499999999999993" hidden="1" customHeight="1" x14ac:dyDescent="0.2"/>
    <row r="55014" ht="9.9499999999999993" hidden="1" customHeight="1" x14ac:dyDescent="0.2"/>
    <row r="55015" ht="9.9499999999999993" hidden="1" customHeight="1" x14ac:dyDescent="0.2"/>
    <row r="55016" ht="9.9499999999999993" hidden="1" customHeight="1" x14ac:dyDescent="0.2"/>
    <row r="55017" ht="9.9499999999999993" hidden="1" customHeight="1" x14ac:dyDescent="0.2"/>
    <row r="55018" ht="9.9499999999999993" hidden="1" customHeight="1" x14ac:dyDescent="0.2"/>
    <row r="55019" ht="9.9499999999999993" hidden="1" customHeight="1" x14ac:dyDescent="0.2"/>
    <row r="55020" ht="9.9499999999999993" hidden="1" customHeight="1" x14ac:dyDescent="0.2"/>
    <row r="55021" ht="9.9499999999999993" hidden="1" customHeight="1" x14ac:dyDescent="0.2"/>
    <row r="55022" ht="9.9499999999999993" hidden="1" customHeight="1" x14ac:dyDescent="0.2"/>
    <row r="55023" ht="9.9499999999999993" hidden="1" customHeight="1" x14ac:dyDescent="0.2"/>
    <row r="55024" ht="9.9499999999999993" hidden="1" customHeight="1" x14ac:dyDescent="0.2"/>
    <row r="55025" ht="9.9499999999999993" hidden="1" customHeight="1" x14ac:dyDescent="0.2"/>
    <row r="55026" ht="9.9499999999999993" hidden="1" customHeight="1" x14ac:dyDescent="0.2"/>
    <row r="55027" ht="9.9499999999999993" hidden="1" customHeight="1" x14ac:dyDescent="0.2"/>
    <row r="55028" ht="9.9499999999999993" hidden="1" customHeight="1" x14ac:dyDescent="0.2"/>
    <row r="55029" ht="9.9499999999999993" hidden="1" customHeight="1" x14ac:dyDescent="0.2"/>
    <row r="55030" ht="9.9499999999999993" hidden="1" customHeight="1" x14ac:dyDescent="0.2"/>
    <row r="55031" ht="9.9499999999999993" hidden="1" customHeight="1" x14ac:dyDescent="0.2"/>
    <row r="55032" ht="9.9499999999999993" hidden="1" customHeight="1" x14ac:dyDescent="0.2"/>
    <row r="55033" ht="9.9499999999999993" hidden="1" customHeight="1" x14ac:dyDescent="0.2"/>
    <row r="55034" ht="9.9499999999999993" hidden="1" customHeight="1" x14ac:dyDescent="0.2"/>
    <row r="55035" ht="9.9499999999999993" hidden="1" customHeight="1" x14ac:dyDescent="0.2"/>
    <row r="55036" ht="9.9499999999999993" hidden="1" customHeight="1" x14ac:dyDescent="0.2"/>
    <row r="55037" ht="9.9499999999999993" hidden="1" customHeight="1" x14ac:dyDescent="0.2"/>
    <row r="55038" ht="9.9499999999999993" hidden="1" customHeight="1" x14ac:dyDescent="0.2"/>
    <row r="55039" ht="9.9499999999999993" hidden="1" customHeight="1" x14ac:dyDescent="0.2"/>
    <row r="55040" ht="9.9499999999999993" hidden="1" customHeight="1" x14ac:dyDescent="0.2"/>
    <row r="55041" ht="9.9499999999999993" hidden="1" customHeight="1" x14ac:dyDescent="0.2"/>
    <row r="55042" ht="9.9499999999999993" hidden="1" customHeight="1" x14ac:dyDescent="0.2"/>
    <row r="55043" ht="9.9499999999999993" hidden="1" customHeight="1" x14ac:dyDescent="0.2"/>
    <row r="55044" ht="9.9499999999999993" hidden="1" customHeight="1" x14ac:dyDescent="0.2"/>
    <row r="55045" ht="9.9499999999999993" hidden="1" customHeight="1" x14ac:dyDescent="0.2"/>
    <row r="55046" ht="9.9499999999999993" hidden="1" customHeight="1" x14ac:dyDescent="0.2"/>
    <row r="55047" ht="9.9499999999999993" hidden="1" customHeight="1" x14ac:dyDescent="0.2"/>
    <row r="55048" ht="9.9499999999999993" hidden="1" customHeight="1" x14ac:dyDescent="0.2"/>
    <row r="55049" ht="9.9499999999999993" hidden="1" customHeight="1" x14ac:dyDescent="0.2"/>
    <row r="55050" ht="9.9499999999999993" hidden="1" customHeight="1" x14ac:dyDescent="0.2"/>
    <row r="55051" ht="9.9499999999999993" hidden="1" customHeight="1" x14ac:dyDescent="0.2"/>
    <row r="55052" ht="9.9499999999999993" hidden="1" customHeight="1" x14ac:dyDescent="0.2"/>
    <row r="55053" ht="9.9499999999999993" hidden="1" customHeight="1" x14ac:dyDescent="0.2"/>
    <row r="55054" ht="9.9499999999999993" hidden="1" customHeight="1" x14ac:dyDescent="0.2"/>
    <row r="55055" ht="9.9499999999999993" hidden="1" customHeight="1" x14ac:dyDescent="0.2"/>
    <row r="55056" ht="9.9499999999999993" hidden="1" customHeight="1" x14ac:dyDescent="0.2"/>
    <row r="55057" ht="9.9499999999999993" hidden="1" customHeight="1" x14ac:dyDescent="0.2"/>
    <row r="55058" ht="9.9499999999999993" hidden="1" customHeight="1" x14ac:dyDescent="0.2"/>
    <row r="55059" ht="9.9499999999999993" hidden="1" customHeight="1" x14ac:dyDescent="0.2"/>
    <row r="55060" ht="9.9499999999999993" hidden="1" customHeight="1" x14ac:dyDescent="0.2"/>
    <row r="55061" ht="9.9499999999999993" hidden="1" customHeight="1" x14ac:dyDescent="0.2"/>
    <row r="55062" ht="9.9499999999999993" hidden="1" customHeight="1" x14ac:dyDescent="0.2"/>
    <row r="55063" ht="9.9499999999999993" hidden="1" customHeight="1" x14ac:dyDescent="0.2"/>
    <row r="55064" ht="9.9499999999999993" hidden="1" customHeight="1" x14ac:dyDescent="0.2"/>
    <row r="55065" ht="9.9499999999999993" hidden="1" customHeight="1" x14ac:dyDescent="0.2"/>
    <row r="55066" ht="9.9499999999999993" hidden="1" customHeight="1" x14ac:dyDescent="0.2"/>
    <row r="55067" ht="9.9499999999999993" hidden="1" customHeight="1" x14ac:dyDescent="0.2"/>
    <row r="55068" ht="9.9499999999999993" hidden="1" customHeight="1" x14ac:dyDescent="0.2"/>
    <row r="55069" ht="9.9499999999999993" hidden="1" customHeight="1" x14ac:dyDescent="0.2"/>
    <row r="55070" ht="9.9499999999999993" hidden="1" customHeight="1" x14ac:dyDescent="0.2"/>
    <row r="55071" ht="9.9499999999999993" hidden="1" customHeight="1" x14ac:dyDescent="0.2"/>
    <row r="55072" ht="9.9499999999999993" hidden="1" customHeight="1" x14ac:dyDescent="0.2"/>
    <row r="55073" ht="9.9499999999999993" hidden="1" customHeight="1" x14ac:dyDescent="0.2"/>
    <row r="55074" ht="9.9499999999999993" hidden="1" customHeight="1" x14ac:dyDescent="0.2"/>
    <row r="55075" ht="9.9499999999999993" hidden="1" customHeight="1" x14ac:dyDescent="0.2"/>
    <row r="55076" ht="9.9499999999999993" hidden="1" customHeight="1" x14ac:dyDescent="0.2"/>
    <row r="55077" ht="9.9499999999999993" hidden="1" customHeight="1" x14ac:dyDescent="0.2"/>
    <row r="55078" ht="9.9499999999999993" hidden="1" customHeight="1" x14ac:dyDescent="0.2"/>
    <row r="55079" ht="9.9499999999999993" hidden="1" customHeight="1" x14ac:dyDescent="0.2"/>
    <row r="55080" ht="9.9499999999999993" hidden="1" customHeight="1" x14ac:dyDescent="0.2"/>
    <row r="55081" ht="9.9499999999999993" hidden="1" customHeight="1" x14ac:dyDescent="0.2"/>
    <row r="55082" ht="9.9499999999999993" hidden="1" customHeight="1" x14ac:dyDescent="0.2"/>
    <row r="55083" ht="9.9499999999999993" hidden="1" customHeight="1" x14ac:dyDescent="0.2"/>
    <row r="55084" ht="9.9499999999999993" hidden="1" customHeight="1" x14ac:dyDescent="0.2"/>
    <row r="55085" ht="9.9499999999999993" hidden="1" customHeight="1" x14ac:dyDescent="0.2"/>
    <row r="55086" ht="9.9499999999999993" hidden="1" customHeight="1" x14ac:dyDescent="0.2"/>
    <row r="55087" ht="9.9499999999999993" hidden="1" customHeight="1" x14ac:dyDescent="0.2"/>
    <row r="55088" ht="9.9499999999999993" hidden="1" customHeight="1" x14ac:dyDescent="0.2"/>
    <row r="55089" ht="9.9499999999999993" hidden="1" customHeight="1" x14ac:dyDescent="0.2"/>
    <row r="55090" ht="9.9499999999999993" hidden="1" customHeight="1" x14ac:dyDescent="0.2"/>
    <row r="55091" ht="9.9499999999999993" hidden="1" customHeight="1" x14ac:dyDescent="0.2"/>
    <row r="55092" ht="9.9499999999999993" hidden="1" customHeight="1" x14ac:dyDescent="0.2"/>
    <row r="55093" ht="9.9499999999999993" hidden="1" customHeight="1" x14ac:dyDescent="0.2"/>
    <row r="55094" ht="9.9499999999999993" hidden="1" customHeight="1" x14ac:dyDescent="0.2"/>
    <row r="55095" ht="9.9499999999999993" hidden="1" customHeight="1" x14ac:dyDescent="0.2"/>
    <row r="55096" ht="9.9499999999999993" hidden="1" customHeight="1" x14ac:dyDescent="0.2"/>
    <row r="55097" ht="9.9499999999999993" hidden="1" customHeight="1" x14ac:dyDescent="0.2"/>
    <row r="55098" ht="9.9499999999999993" hidden="1" customHeight="1" x14ac:dyDescent="0.2"/>
    <row r="55099" ht="9.9499999999999993" hidden="1" customHeight="1" x14ac:dyDescent="0.2"/>
    <row r="55100" ht="9.9499999999999993" hidden="1" customHeight="1" x14ac:dyDescent="0.2"/>
    <row r="55101" ht="9.9499999999999993" hidden="1" customHeight="1" x14ac:dyDescent="0.2"/>
    <row r="55102" ht="9.9499999999999993" hidden="1" customHeight="1" x14ac:dyDescent="0.2"/>
    <row r="55103" ht="9.9499999999999993" hidden="1" customHeight="1" x14ac:dyDescent="0.2"/>
    <row r="55104" ht="9.9499999999999993" hidden="1" customHeight="1" x14ac:dyDescent="0.2"/>
    <row r="55105" ht="9.9499999999999993" hidden="1" customHeight="1" x14ac:dyDescent="0.2"/>
    <row r="55106" ht="9.9499999999999993" hidden="1" customHeight="1" x14ac:dyDescent="0.2"/>
    <row r="55107" ht="9.9499999999999993" hidden="1" customHeight="1" x14ac:dyDescent="0.2"/>
    <row r="55108" ht="9.9499999999999993" hidden="1" customHeight="1" x14ac:dyDescent="0.2"/>
    <row r="55109" ht="9.9499999999999993" hidden="1" customHeight="1" x14ac:dyDescent="0.2"/>
    <row r="55110" ht="9.9499999999999993" hidden="1" customHeight="1" x14ac:dyDescent="0.2"/>
    <row r="55111" ht="9.9499999999999993" hidden="1" customHeight="1" x14ac:dyDescent="0.2"/>
    <row r="55112" ht="9.9499999999999993" hidden="1" customHeight="1" x14ac:dyDescent="0.2"/>
    <row r="55113" ht="9.9499999999999993" hidden="1" customHeight="1" x14ac:dyDescent="0.2"/>
    <row r="55114" ht="9.9499999999999993" hidden="1" customHeight="1" x14ac:dyDescent="0.2"/>
    <row r="55115" ht="9.9499999999999993" hidden="1" customHeight="1" x14ac:dyDescent="0.2"/>
    <row r="55116" ht="9.9499999999999993" hidden="1" customHeight="1" x14ac:dyDescent="0.2"/>
    <row r="55117" ht="9.9499999999999993" hidden="1" customHeight="1" x14ac:dyDescent="0.2"/>
    <row r="55118" ht="9.9499999999999993" hidden="1" customHeight="1" x14ac:dyDescent="0.2"/>
    <row r="55119" ht="9.9499999999999993" hidden="1" customHeight="1" x14ac:dyDescent="0.2"/>
    <row r="55120" ht="9.9499999999999993" hidden="1" customHeight="1" x14ac:dyDescent="0.2"/>
    <row r="55121" ht="9.9499999999999993" hidden="1" customHeight="1" x14ac:dyDescent="0.2"/>
    <row r="55122" ht="9.9499999999999993" hidden="1" customHeight="1" x14ac:dyDescent="0.2"/>
    <row r="55123" ht="9.9499999999999993" hidden="1" customHeight="1" x14ac:dyDescent="0.2"/>
    <row r="55124" ht="9.9499999999999993" hidden="1" customHeight="1" x14ac:dyDescent="0.2"/>
    <row r="55125" ht="9.9499999999999993" hidden="1" customHeight="1" x14ac:dyDescent="0.2"/>
    <row r="55126" ht="9.9499999999999993" hidden="1" customHeight="1" x14ac:dyDescent="0.2"/>
    <row r="55127" ht="9.9499999999999993" hidden="1" customHeight="1" x14ac:dyDescent="0.2"/>
    <row r="55128" ht="9.9499999999999993" hidden="1" customHeight="1" x14ac:dyDescent="0.2"/>
    <row r="55129" ht="9.9499999999999993" hidden="1" customHeight="1" x14ac:dyDescent="0.2"/>
    <row r="55130" ht="9.9499999999999993" hidden="1" customHeight="1" x14ac:dyDescent="0.2"/>
    <row r="55131" ht="9.9499999999999993" hidden="1" customHeight="1" x14ac:dyDescent="0.2"/>
    <row r="55132" ht="9.9499999999999993" hidden="1" customHeight="1" x14ac:dyDescent="0.2"/>
    <row r="55133" ht="9.9499999999999993" hidden="1" customHeight="1" x14ac:dyDescent="0.2"/>
    <row r="55134" ht="9.9499999999999993" hidden="1" customHeight="1" x14ac:dyDescent="0.2"/>
    <row r="55135" ht="9.9499999999999993" hidden="1" customHeight="1" x14ac:dyDescent="0.2"/>
    <row r="55136" ht="9.9499999999999993" hidden="1" customHeight="1" x14ac:dyDescent="0.2"/>
    <row r="55137" ht="9.9499999999999993" hidden="1" customHeight="1" x14ac:dyDescent="0.2"/>
    <row r="55138" ht="9.9499999999999993" hidden="1" customHeight="1" x14ac:dyDescent="0.2"/>
    <row r="55139" ht="9.9499999999999993" hidden="1" customHeight="1" x14ac:dyDescent="0.2"/>
    <row r="55140" ht="9.9499999999999993" hidden="1" customHeight="1" x14ac:dyDescent="0.2"/>
    <row r="55141" ht="9.9499999999999993" hidden="1" customHeight="1" x14ac:dyDescent="0.2"/>
    <row r="55142" ht="9.9499999999999993" hidden="1" customHeight="1" x14ac:dyDescent="0.2"/>
    <row r="55143" ht="9.9499999999999993" hidden="1" customHeight="1" x14ac:dyDescent="0.2"/>
    <row r="55144" ht="9.9499999999999993" hidden="1" customHeight="1" x14ac:dyDescent="0.2"/>
    <row r="55145" ht="9.9499999999999993" hidden="1" customHeight="1" x14ac:dyDescent="0.2"/>
    <row r="55146" ht="9.9499999999999993" hidden="1" customHeight="1" x14ac:dyDescent="0.2"/>
    <row r="55147" ht="9.9499999999999993" hidden="1" customHeight="1" x14ac:dyDescent="0.2"/>
    <row r="55148" ht="9.9499999999999993" hidden="1" customHeight="1" x14ac:dyDescent="0.2"/>
    <row r="55149" ht="9.9499999999999993" hidden="1" customHeight="1" x14ac:dyDescent="0.2"/>
    <row r="55150" ht="9.9499999999999993" hidden="1" customHeight="1" x14ac:dyDescent="0.2"/>
    <row r="55151" ht="9.9499999999999993" hidden="1" customHeight="1" x14ac:dyDescent="0.2"/>
    <row r="55152" ht="9.9499999999999993" hidden="1" customHeight="1" x14ac:dyDescent="0.2"/>
    <row r="55153" ht="9.9499999999999993" hidden="1" customHeight="1" x14ac:dyDescent="0.2"/>
    <row r="55154" ht="9.9499999999999993" hidden="1" customHeight="1" x14ac:dyDescent="0.2"/>
    <row r="55155" ht="9.9499999999999993" hidden="1" customHeight="1" x14ac:dyDescent="0.2"/>
    <row r="55156" ht="9.9499999999999993" hidden="1" customHeight="1" x14ac:dyDescent="0.2"/>
    <row r="55157" ht="9.9499999999999993" hidden="1" customHeight="1" x14ac:dyDescent="0.2"/>
    <row r="55158" ht="9.9499999999999993" hidden="1" customHeight="1" x14ac:dyDescent="0.2"/>
    <row r="55159" ht="9.9499999999999993" hidden="1" customHeight="1" x14ac:dyDescent="0.2"/>
    <row r="55160" ht="9.9499999999999993" hidden="1" customHeight="1" x14ac:dyDescent="0.2"/>
    <row r="55161" ht="9.9499999999999993" hidden="1" customHeight="1" x14ac:dyDescent="0.2"/>
    <row r="55162" ht="9.9499999999999993" hidden="1" customHeight="1" x14ac:dyDescent="0.2"/>
    <row r="55163" ht="9.9499999999999993" hidden="1" customHeight="1" x14ac:dyDescent="0.2"/>
    <row r="55164" ht="9.9499999999999993" hidden="1" customHeight="1" x14ac:dyDescent="0.2"/>
    <row r="55165" ht="9.9499999999999993" hidden="1" customHeight="1" x14ac:dyDescent="0.2"/>
    <row r="55166" ht="9.9499999999999993" hidden="1" customHeight="1" x14ac:dyDescent="0.2"/>
    <row r="55167" ht="9.9499999999999993" hidden="1" customHeight="1" x14ac:dyDescent="0.2"/>
    <row r="55168" ht="9.9499999999999993" hidden="1" customHeight="1" x14ac:dyDescent="0.2"/>
    <row r="55169" ht="9.9499999999999993" hidden="1" customHeight="1" x14ac:dyDescent="0.2"/>
    <row r="55170" ht="9.9499999999999993" hidden="1" customHeight="1" x14ac:dyDescent="0.2"/>
    <row r="55171" ht="9.9499999999999993" hidden="1" customHeight="1" x14ac:dyDescent="0.2"/>
    <row r="55172" ht="9.9499999999999993" hidden="1" customHeight="1" x14ac:dyDescent="0.2"/>
    <row r="55173" ht="9.9499999999999993" hidden="1" customHeight="1" x14ac:dyDescent="0.2"/>
    <row r="55174" ht="9.9499999999999993" hidden="1" customHeight="1" x14ac:dyDescent="0.2"/>
    <row r="55175" ht="9.9499999999999993" hidden="1" customHeight="1" x14ac:dyDescent="0.2"/>
    <row r="55176" ht="9.9499999999999993" hidden="1" customHeight="1" x14ac:dyDescent="0.2"/>
    <row r="55177" ht="9.9499999999999993" hidden="1" customHeight="1" x14ac:dyDescent="0.2"/>
    <row r="55178" ht="9.9499999999999993" hidden="1" customHeight="1" x14ac:dyDescent="0.2"/>
    <row r="55179" ht="9.9499999999999993" hidden="1" customHeight="1" x14ac:dyDescent="0.2"/>
    <row r="55180" ht="9.9499999999999993" hidden="1" customHeight="1" x14ac:dyDescent="0.2"/>
    <row r="55181" ht="9.9499999999999993" hidden="1" customHeight="1" x14ac:dyDescent="0.2"/>
    <row r="55182" ht="9.9499999999999993" hidden="1" customHeight="1" x14ac:dyDescent="0.2"/>
    <row r="55183" ht="9.9499999999999993" hidden="1" customHeight="1" x14ac:dyDescent="0.2"/>
    <row r="55184" ht="9.9499999999999993" hidden="1" customHeight="1" x14ac:dyDescent="0.2"/>
    <row r="55185" ht="9.9499999999999993" hidden="1" customHeight="1" x14ac:dyDescent="0.2"/>
    <row r="55186" ht="9.9499999999999993" hidden="1" customHeight="1" x14ac:dyDescent="0.2"/>
    <row r="55187" ht="9.9499999999999993" hidden="1" customHeight="1" x14ac:dyDescent="0.2"/>
    <row r="55188" ht="9.9499999999999993" hidden="1" customHeight="1" x14ac:dyDescent="0.2"/>
    <row r="55189" ht="9.9499999999999993" hidden="1" customHeight="1" x14ac:dyDescent="0.2"/>
    <row r="55190" ht="9.9499999999999993" hidden="1" customHeight="1" x14ac:dyDescent="0.2"/>
    <row r="55191" ht="9.9499999999999993" hidden="1" customHeight="1" x14ac:dyDescent="0.2"/>
    <row r="55192" ht="9.9499999999999993" hidden="1" customHeight="1" x14ac:dyDescent="0.2"/>
    <row r="55193" ht="9.9499999999999993" hidden="1" customHeight="1" x14ac:dyDescent="0.2"/>
    <row r="55194" ht="9.9499999999999993" hidden="1" customHeight="1" x14ac:dyDescent="0.2"/>
    <row r="55195" ht="9.9499999999999993" hidden="1" customHeight="1" x14ac:dyDescent="0.2"/>
    <row r="55196" ht="9.9499999999999993" hidden="1" customHeight="1" x14ac:dyDescent="0.2"/>
    <row r="55197" ht="9.9499999999999993" hidden="1" customHeight="1" x14ac:dyDescent="0.2"/>
    <row r="55198" ht="9.9499999999999993" hidden="1" customHeight="1" x14ac:dyDescent="0.2"/>
    <row r="55199" ht="9.9499999999999993" hidden="1" customHeight="1" x14ac:dyDescent="0.2"/>
    <row r="55200" ht="9.9499999999999993" hidden="1" customHeight="1" x14ac:dyDescent="0.2"/>
    <row r="55201" ht="9.9499999999999993" hidden="1" customHeight="1" x14ac:dyDescent="0.2"/>
    <row r="55202" ht="9.9499999999999993" hidden="1" customHeight="1" x14ac:dyDescent="0.2"/>
    <row r="55203" ht="9.9499999999999993" hidden="1" customHeight="1" x14ac:dyDescent="0.2"/>
    <row r="55204" ht="9.9499999999999993" hidden="1" customHeight="1" x14ac:dyDescent="0.2"/>
    <row r="55205" ht="9.9499999999999993" hidden="1" customHeight="1" x14ac:dyDescent="0.2"/>
    <row r="55206" ht="9.9499999999999993" hidden="1" customHeight="1" x14ac:dyDescent="0.2"/>
    <row r="55207" ht="9.9499999999999993" hidden="1" customHeight="1" x14ac:dyDescent="0.2"/>
    <row r="55208" ht="9.9499999999999993" hidden="1" customHeight="1" x14ac:dyDescent="0.2"/>
    <row r="55209" ht="9.9499999999999993" hidden="1" customHeight="1" x14ac:dyDescent="0.2"/>
    <row r="55210" ht="9.9499999999999993" hidden="1" customHeight="1" x14ac:dyDescent="0.2"/>
    <row r="55211" ht="9.9499999999999993" hidden="1" customHeight="1" x14ac:dyDescent="0.2"/>
    <row r="55212" ht="9.9499999999999993" hidden="1" customHeight="1" x14ac:dyDescent="0.2"/>
    <row r="55213" ht="9.9499999999999993" hidden="1" customHeight="1" x14ac:dyDescent="0.2"/>
    <row r="55214" ht="9.9499999999999993" hidden="1" customHeight="1" x14ac:dyDescent="0.2"/>
    <row r="55215" ht="9.9499999999999993" hidden="1" customHeight="1" x14ac:dyDescent="0.2"/>
    <row r="55216" ht="9.9499999999999993" hidden="1" customHeight="1" x14ac:dyDescent="0.2"/>
    <row r="55217" ht="9.9499999999999993" hidden="1" customHeight="1" x14ac:dyDescent="0.2"/>
    <row r="55218" ht="9.9499999999999993" hidden="1" customHeight="1" x14ac:dyDescent="0.2"/>
    <row r="55219" ht="9.9499999999999993" hidden="1" customHeight="1" x14ac:dyDescent="0.2"/>
    <row r="55220" ht="9.9499999999999993" hidden="1" customHeight="1" x14ac:dyDescent="0.2"/>
    <row r="55221" ht="9.9499999999999993" hidden="1" customHeight="1" x14ac:dyDescent="0.2"/>
    <row r="55222" ht="9.9499999999999993" hidden="1" customHeight="1" x14ac:dyDescent="0.2"/>
    <row r="55223" ht="9.9499999999999993" hidden="1" customHeight="1" x14ac:dyDescent="0.2"/>
    <row r="55224" ht="9.9499999999999993" hidden="1" customHeight="1" x14ac:dyDescent="0.2"/>
    <row r="55225" ht="9.9499999999999993" hidden="1" customHeight="1" x14ac:dyDescent="0.2"/>
    <row r="55226" ht="9.9499999999999993" hidden="1" customHeight="1" x14ac:dyDescent="0.2"/>
    <row r="55227" ht="9.9499999999999993" hidden="1" customHeight="1" x14ac:dyDescent="0.2"/>
    <row r="55228" ht="9.9499999999999993" hidden="1" customHeight="1" x14ac:dyDescent="0.2"/>
    <row r="55229" ht="9.9499999999999993" hidden="1" customHeight="1" x14ac:dyDescent="0.2"/>
    <row r="55230" ht="9.9499999999999993" hidden="1" customHeight="1" x14ac:dyDescent="0.2"/>
    <row r="55231" ht="9.9499999999999993" hidden="1" customHeight="1" x14ac:dyDescent="0.2"/>
    <row r="55232" ht="9.9499999999999993" hidden="1" customHeight="1" x14ac:dyDescent="0.2"/>
    <row r="55233" ht="9.9499999999999993" hidden="1" customHeight="1" x14ac:dyDescent="0.2"/>
    <row r="55234" ht="9.9499999999999993" hidden="1" customHeight="1" x14ac:dyDescent="0.2"/>
    <row r="55235" ht="9.9499999999999993" hidden="1" customHeight="1" x14ac:dyDescent="0.2"/>
    <row r="55236" ht="9.9499999999999993" hidden="1" customHeight="1" x14ac:dyDescent="0.2"/>
    <row r="55237" ht="9.9499999999999993" hidden="1" customHeight="1" x14ac:dyDescent="0.2"/>
    <row r="55238" ht="9.9499999999999993" hidden="1" customHeight="1" x14ac:dyDescent="0.2"/>
    <row r="55239" ht="9.9499999999999993" hidden="1" customHeight="1" x14ac:dyDescent="0.2"/>
    <row r="55240" ht="9.9499999999999993" hidden="1" customHeight="1" x14ac:dyDescent="0.2"/>
    <row r="55241" ht="9.9499999999999993" hidden="1" customHeight="1" x14ac:dyDescent="0.2"/>
    <row r="55242" ht="9.9499999999999993" hidden="1" customHeight="1" x14ac:dyDescent="0.2"/>
    <row r="55243" ht="9.9499999999999993" hidden="1" customHeight="1" x14ac:dyDescent="0.2"/>
    <row r="55244" ht="9.9499999999999993" hidden="1" customHeight="1" x14ac:dyDescent="0.2"/>
    <row r="55245" ht="9.9499999999999993" hidden="1" customHeight="1" x14ac:dyDescent="0.2"/>
    <row r="55246" ht="9.9499999999999993" hidden="1" customHeight="1" x14ac:dyDescent="0.2"/>
    <row r="55247" ht="9.9499999999999993" hidden="1" customHeight="1" x14ac:dyDescent="0.2"/>
    <row r="55248" ht="9.9499999999999993" hidden="1" customHeight="1" x14ac:dyDescent="0.2"/>
    <row r="55249" ht="9.9499999999999993" hidden="1" customHeight="1" x14ac:dyDescent="0.2"/>
    <row r="55250" ht="9.9499999999999993" hidden="1" customHeight="1" x14ac:dyDescent="0.2"/>
    <row r="55251" ht="9.9499999999999993" hidden="1" customHeight="1" x14ac:dyDescent="0.2"/>
    <row r="55252" ht="9.9499999999999993" hidden="1" customHeight="1" x14ac:dyDescent="0.2"/>
    <row r="55253" ht="9.9499999999999993" hidden="1" customHeight="1" x14ac:dyDescent="0.2"/>
    <row r="55254" ht="9.9499999999999993" hidden="1" customHeight="1" x14ac:dyDescent="0.2"/>
    <row r="55255" ht="9.9499999999999993" hidden="1" customHeight="1" x14ac:dyDescent="0.2"/>
    <row r="55256" ht="9.9499999999999993" hidden="1" customHeight="1" x14ac:dyDescent="0.2"/>
    <row r="55257" ht="9.9499999999999993" hidden="1" customHeight="1" x14ac:dyDescent="0.2"/>
    <row r="55258" ht="9.9499999999999993" hidden="1" customHeight="1" x14ac:dyDescent="0.2"/>
    <row r="55259" ht="9.9499999999999993" hidden="1" customHeight="1" x14ac:dyDescent="0.2"/>
    <row r="55260" ht="9.9499999999999993" hidden="1" customHeight="1" x14ac:dyDescent="0.2"/>
    <row r="55261" ht="9.9499999999999993" hidden="1" customHeight="1" x14ac:dyDescent="0.2"/>
    <row r="55262" ht="9.9499999999999993" hidden="1" customHeight="1" x14ac:dyDescent="0.2"/>
    <row r="55263" ht="9.9499999999999993" hidden="1" customHeight="1" x14ac:dyDescent="0.2"/>
    <row r="55264" ht="9.9499999999999993" hidden="1" customHeight="1" x14ac:dyDescent="0.2"/>
    <row r="55265" ht="9.9499999999999993" hidden="1" customHeight="1" x14ac:dyDescent="0.2"/>
    <row r="55266" ht="9.9499999999999993" hidden="1" customHeight="1" x14ac:dyDescent="0.2"/>
    <row r="55267" ht="9.9499999999999993" hidden="1" customHeight="1" x14ac:dyDescent="0.2"/>
    <row r="55268" ht="9.9499999999999993" hidden="1" customHeight="1" x14ac:dyDescent="0.2"/>
    <row r="55269" ht="9.9499999999999993" hidden="1" customHeight="1" x14ac:dyDescent="0.2"/>
    <row r="55270" ht="9.9499999999999993" hidden="1" customHeight="1" x14ac:dyDescent="0.2"/>
    <row r="55271" ht="9.9499999999999993" hidden="1" customHeight="1" x14ac:dyDescent="0.2"/>
    <row r="55272" ht="9.9499999999999993" hidden="1" customHeight="1" x14ac:dyDescent="0.2"/>
    <row r="55273" ht="9.9499999999999993" hidden="1" customHeight="1" x14ac:dyDescent="0.2"/>
    <row r="55274" ht="9.9499999999999993" hidden="1" customHeight="1" x14ac:dyDescent="0.2"/>
    <row r="55275" ht="9.9499999999999993" hidden="1" customHeight="1" x14ac:dyDescent="0.2"/>
    <row r="55276" ht="9.9499999999999993" hidden="1" customHeight="1" x14ac:dyDescent="0.2"/>
    <row r="55277" ht="9.9499999999999993" hidden="1" customHeight="1" x14ac:dyDescent="0.2"/>
    <row r="55278" ht="9.9499999999999993" hidden="1" customHeight="1" x14ac:dyDescent="0.2"/>
    <row r="55279" ht="9.9499999999999993" hidden="1" customHeight="1" x14ac:dyDescent="0.2"/>
    <row r="55280" ht="9.9499999999999993" hidden="1" customHeight="1" x14ac:dyDescent="0.2"/>
    <row r="55281" ht="9.9499999999999993" hidden="1" customHeight="1" x14ac:dyDescent="0.2"/>
    <row r="55282" ht="9.9499999999999993" hidden="1" customHeight="1" x14ac:dyDescent="0.2"/>
    <row r="55283" ht="9.9499999999999993" hidden="1" customHeight="1" x14ac:dyDescent="0.2"/>
    <row r="55284" ht="9.9499999999999993" hidden="1" customHeight="1" x14ac:dyDescent="0.2"/>
    <row r="55285" ht="9.9499999999999993" hidden="1" customHeight="1" x14ac:dyDescent="0.2"/>
    <row r="55286" ht="9.9499999999999993" hidden="1" customHeight="1" x14ac:dyDescent="0.2"/>
    <row r="55287" ht="9.9499999999999993" hidden="1" customHeight="1" x14ac:dyDescent="0.2"/>
    <row r="55288" ht="9.9499999999999993" hidden="1" customHeight="1" x14ac:dyDescent="0.2"/>
    <row r="55289" ht="9.9499999999999993" hidden="1" customHeight="1" x14ac:dyDescent="0.2"/>
    <row r="55290" ht="9.9499999999999993" hidden="1" customHeight="1" x14ac:dyDescent="0.2"/>
    <row r="55291" ht="9.9499999999999993" hidden="1" customHeight="1" x14ac:dyDescent="0.2"/>
    <row r="55292" ht="9.9499999999999993" hidden="1" customHeight="1" x14ac:dyDescent="0.2"/>
    <row r="55293" ht="9.9499999999999993" hidden="1" customHeight="1" x14ac:dyDescent="0.2"/>
    <row r="55294" ht="9.9499999999999993" hidden="1" customHeight="1" x14ac:dyDescent="0.2"/>
    <row r="55295" ht="9.9499999999999993" hidden="1" customHeight="1" x14ac:dyDescent="0.2"/>
    <row r="55296" ht="9.9499999999999993" hidden="1" customHeight="1" x14ac:dyDescent="0.2"/>
    <row r="55297" ht="9.9499999999999993" hidden="1" customHeight="1" x14ac:dyDescent="0.2"/>
    <row r="55298" ht="9.9499999999999993" hidden="1" customHeight="1" x14ac:dyDescent="0.2"/>
    <row r="55299" ht="9.9499999999999993" hidden="1" customHeight="1" x14ac:dyDescent="0.2"/>
    <row r="55300" ht="9.9499999999999993" hidden="1" customHeight="1" x14ac:dyDescent="0.2"/>
    <row r="55301" ht="9.9499999999999993" hidden="1" customHeight="1" x14ac:dyDescent="0.2"/>
    <row r="55302" ht="9.9499999999999993" hidden="1" customHeight="1" x14ac:dyDescent="0.2"/>
    <row r="55303" ht="9.9499999999999993" hidden="1" customHeight="1" x14ac:dyDescent="0.2"/>
    <row r="55304" ht="9.9499999999999993" hidden="1" customHeight="1" x14ac:dyDescent="0.2"/>
    <row r="55305" ht="9.9499999999999993" hidden="1" customHeight="1" x14ac:dyDescent="0.2"/>
    <row r="55306" ht="9.9499999999999993" hidden="1" customHeight="1" x14ac:dyDescent="0.2"/>
    <row r="55307" ht="9.9499999999999993" hidden="1" customHeight="1" x14ac:dyDescent="0.2"/>
    <row r="55308" ht="9.9499999999999993" hidden="1" customHeight="1" x14ac:dyDescent="0.2"/>
    <row r="55309" ht="9.9499999999999993" hidden="1" customHeight="1" x14ac:dyDescent="0.2"/>
    <row r="55310" ht="9.9499999999999993" hidden="1" customHeight="1" x14ac:dyDescent="0.2"/>
    <row r="55311" ht="9.9499999999999993" hidden="1" customHeight="1" x14ac:dyDescent="0.2"/>
    <row r="55312" ht="9.9499999999999993" hidden="1" customHeight="1" x14ac:dyDescent="0.2"/>
    <row r="55313" ht="9.9499999999999993" hidden="1" customHeight="1" x14ac:dyDescent="0.2"/>
    <row r="55314" ht="9.9499999999999993" hidden="1" customHeight="1" x14ac:dyDescent="0.2"/>
    <row r="55315" ht="9.9499999999999993" hidden="1" customHeight="1" x14ac:dyDescent="0.2"/>
    <row r="55316" ht="9.9499999999999993" hidden="1" customHeight="1" x14ac:dyDescent="0.2"/>
    <row r="55317" ht="9.9499999999999993" hidden="1" customHeight="1" x14ac:dyDescent="0.2"/>
    <row r="55318" ht="9.9499999999999993" hidden="1" customHeight="1" x14ac:dyDescent="0.2"/>
    <row r="55319" ht="9.9499999999999993" hidden="1" customHeight="1" x14ac:dyDescent="0.2"/>
    <row r="55320" ht="9.9499999999999993" hidden="1" customHeight="1" x14ac:dyDescent="0.2"/>
    <row r="55321" ht="9.9499999999999993" hidden="1" customHeight="1" x14ac:dyDescent="0.2"/>
    <row r="55322" ht="9.9499999999999993" hidden="1" customHeight="1" x14ac:dyDescent="0.2"/>
    <row r="55323" ht="9.9499999999999993" hidden="1" customHeight="1" x14ac:dyDescent="0.2"/>
    <row r="55324" ht="9.9499999999999993" hidden="1" customHeight="1" x14ac:dyDescent="0.2"/>
    <row r="55325" ht="9.9499999999999993" hidden="1" customHeight="1" x14ac:dyDescent="0.2"/>
    <row r="55326" ht="9.9499999999999993" hidden="1" customHeight="1" x14ac:dyDescent="0.2"/>
    <row r="55327" ht="9.9499999999999993" hidden="1" customHeight="1" x14ac:dyDescent="0.2"/>
    <row r="55328" ht="9.9499999999999993" hidden="1" customHeight="1" x14ac:dyDescent="0.2"/>
    <row r="55329" ht="9.9499999999999993" hidden="1" customHeight="1" x14ac:dyDescent="0.2"/>
    <row r="55330" ht="9.9499999999999993" hidden="1" customHeight="1" x14ac:dyDescent="0.2"/>
    <row r="55331" ht="9.9499999999999993" hidden="1" customHeight="1" x14ac:dyDescent="0.2"/>
    <row r="55332" ht="9.9499999999999993" hidden="1" customHeight="1" x14ac:dyDescent="0.2"/>
    <row r="55333" ht="9.9499999999999993" hidden="1" customHeight="1" x14ac:dyDescent="0.2"/>
    <row r="55334" ht="9.9499999999999993" hidden="1" customHeight="1" x14ac:dyDescent="0.2"/>
    <row r="55335" ht="9.9499999999999993" hidden="1" customHeight="1" x14ac:dyDescent="0.2"/>
    <row r="55336" ht="9.9499999999999993" hidden="1" customHeight="1" x14ac:dyDescent="0.2"/>
    <row r="55337" ht="9.9499999999999993" hidden="1" customHeight="1" x14ac:dyDescent="0.2"/>
    <row r="55338" ht="9.9499999999999993" hidden="1" customHeight="1" x14ac:dyDescent="0.2"/>
    <row r="55339" ht="9.9499999999999993" hidden="1" customHeight="1" x14ac:dyDescent="0.2"/>
    <row r="55340" ht="9.9499999999999993" hidden="1" customHeight="1" x14ac:dyDescent="0.2"/>
    <row r="55341" ht="9.9499999999999993" hidden="1" customHeight="1" x14ac:dyDescent="0.2"/>
    <row r="55342" ht="9.9499999999999993" hidden="1" customHeight="1" x14ac:dyDescent="0.2"/>
    <row r="55343" ht="9.9499999999999993" hidden="1" customHeight="1" x14ac:dyDescent="0.2"/>
    <row r="55344" ht="9.9499999999999993" hidden="1" customHeight="1" x14ac:dyDescent="0.2"/>
    <row r="55345" ht="9.9499999999999993" hidden="1" customHeight="1" x14ac:dyDescent="0.2"/>
    <row r="55346" ht="9.9499999999999993" hidden="1" customHeight="1" x14ac:dyDescent="0.2"/>
    <row r="55347" ht="9.9499999999999993" hidden="1" customHeight="1" x14ac:dyDescent="0.2"/>
    <row r="55348" ht="9.9499999999999993" hidden="1" customHeight="1" x14ac:dyDescent="0.2"/>
    <row r="55349" ht="9.9499999999999993" hidden="1" customHeight="1" x14ac:dyDescent="0.2"/>
    <row r="55350" ht="9.9499999999999993" hidden="1" customHeight="1" x14ac:dyDescent="0.2"/>
    <row r="55351" ht="9.9499999999999993" hidden="1" customHeight="1" x14ac:dyDescent="0.2"/>
    <row r="55352" ht="9.9499999999999993" hidden="1" customHeight="1" x14ac:dyDescent="0.2"/>
    <row r="55353" ht="9.9499999999999993" hidden="1" customHeight="1" x14ac:dyDescent="0.2"/>
    <row r="55354" ht="9.9499999999999993" hidden="1" customHeight="1" x14ac:dyDescent="0.2"/>
    <row r="55355" ht="9.9499999999999993" hidden="1" customHeight="1" x14ac:dyDescent="0.2"/>
    <row r="55356" ht="9.9499999999999993" hidden="1" customHeight="1" x14ac:dyDescent="0.2"/>
    <row r="55357" ht="9.9499999999999993" hidden="1" customHeight="1" x14ac:dyDescent="0.2"/>
    <row r="55358" ht="9.9499999999999993" hidden="1" customHeight="1" x14ac:dyDescent="0.2"/>
    <row r="55359" ht="9.9499999999999993" hidden="1" customHeight="1" x14ac:dyDescent="0.2"/>
    <row r="55360" ht="9.9499999999999993" hidden="1" customHeight="1" x14ac:dyDescent="0.2"/>
    <row r="55361" ht="9.9499999999999993" hidden="1" customHeight="1" x14ac:dyDescent="0.2"/>
    <row r="55362" ht="9.9499999999999993" hidden="1" customHeight="1" x14ac:dyDescent="0.2"/>
    <row r="55363" ht="9.9499999999999993" hidden="1" customHeight="1" x14ac:dyDescent="0.2"/>
    <row r="55364" ht="9.9499999999999993" hidden="1" customHeight="1" x14ac:dyDescent="0.2"/>
    <row r="55365" ht="9.9499999999999993" hidden="1" customHeight="1" x14ac:dyDescent="0.2"/>
    <row r="55366" ht="9.9499999999999993" hidden="1" customHeight="1" x14ac:dyDescent="0.2"/>
    <row r="55367" ht="9.9499999999999993" hidden="1" customHeight="1" x14ac:dyDescent="0.2"/>
    <row r="55368" ht="9.9499999999999993" hidden="1" customHeight="1" x14ac:dyDescent="0.2"/>
    <row r="55369" ht="9.9499999999999993" hidden="1" customHeight="1" x14ac:dyDescent="0.2"/>
    <row r="55370" ht="9.9499999999999993" hidden="1" customHeight="1" x14ac:dyDescent="0.2"/>
    <row r="55371" ht="9.9499999999999993" hidden="1" customHeight="1" x14ac:dyDescent="0.2"/>
    <row r="55372" ht="9.9499999999999993" hidden="1" customHeight="1" x14ac:dyDescent="0.2"/>
    <row r="55373" ht="9.9499999999999993" hidden="1" customHeight="1" x14ac:dyDescent="0.2"/>
    <row r="55374" ht="9.9499999999999993" hidden="1" customHeight="1" x14ac:dyDescent="0.2"/>
    <row r="55375" ht="9.9499999999999993" hidden="1" customHeight="1" x14ac:dyDescent="0.2"/>
    <row r="55376" ht="9.9499999999999993" hidden="1" customHeight="1" x14ac:dyDescent="0.2"/>
    <row r="55377" ht="9.9499999999999993" hidden="1" customHeight="1" x14ac:dyDescent="0.2"/>
    <row r="55378" ht="9.9499999999999993" hidden="1" customHeight="1" x14ac:dyDescent="0.2"/>
    <row r="55379" ht="9.9499999999999993" hidden="1" customHeight="1" x14ac:dyDescent="0.2"/>
    <row r="55380" ht="9.9499999999999993" hidden="1" customHeight="1" x14ac:dyDescent="0.2"/>
    <row r="55381" ht="9.9499999999999993" hidden="1" customHeight="1" x14ac:dyDescent="0.2"/>
    <row r="55382" ht="9.9499999999999993" hidden="1" customHeight="1" x14ac:dyDescent="0.2"/>
    <row r="55383" ht="9.9499999999999993" hidden="1" customHeight="1" x14ac:dyDescent="0.2"/>
    <row r="55384" ht="9.9499999999999993" hidden="1" customHeight="1" x14ac:dyDescent="0.2"/>
    <row r="55385" ht="9.9499999999999993" hidden="1" customHeight="1" x14ac:dyDescent="0.2"/>
    <row r="55386" ht="9.9499999999999993" hidden="1" customHeight="1" x14ac:dyDescent="0.2"/>
    <row r="55387" ht="9.9499999999999993" hidden="1" customHeight="1" x14ac:dyDescent="0.2"/>
    <row r="55388" ht="9.9499999999999993" hidden="1" customHeight="1" x14ac:dyDescent="0.2"/>
    <row r="55389" ht="9.9499999999999993" hidden="1" customHeight="1" x14ac:dyDescent="0.2"/>
    <row r="55390" ht="9.9499999999999993" hidden="1" customHeight="1" x14ac:dyDescent="0.2"/>
    <row r="55391" ht="9.9499999999999993" hidden="1" customHeight="1" x14ac:dyDescent="0.2"/>
    <row r="55392" ht="9.9499999999999993" hidden="1" customHeight="1" x14ac:dyDescent="0.2"/>
    <row r="55393" ht="9.9499999999999993" hidden="1" customHeight="1" x14ac:dyDescent="0.2"/>
    <row r="55394" ht="9.9499999999999993" hidden="1" customHeight="1" x14ac:dyDescent="0.2"/>
    <row r="55395" ht="9.9499999999999993" hidden="1" customHeight="1" x14ac:dyDescent="0.2"/>
    <row r="55396" ht="9.9499999999999993" hidden="1" customHeight="1" x14ac:dyDescent="0.2"/>
    <row r="55397" ht="9.9499999999999993" hidden="1" customHeight="1" x14ac:dyDescent="0.2"/>
    <row r="55398" ht="9.9499999999999993" hidden="1" customHeight="1" x14ac:dyDescent="0.2"/>
    <row r="55399" ht="9.9499999999999993" hidden="1" customHeight="1" x14ac:dyDescent="0.2"/>
    <row r="55400" ht="9.9499999999999993" hidden="1" customHeight="1" x14ac:dyDescent="0.2"/>
    <row r="55401" ht="9.9499999999999993" hidden="1" customHeight="1" x14ac:dyDescent="0.2"/>
    <row r="55402" ht="9.9499999999999993" hidden="1" customHeight="1" x14ac:dyDescent="0.2"/>
    <row r="55403" ht="9.9499999999999993" hidden="1" customHeight="1" x14ac:dyDescent="0.2"/>
    <row r="55404" ht="9.9499999999999993" hidden="1" customHeight="1" x14ac:dyDescent="0.2"/>
    <row r="55405" ht="9.9499999999999993" hidden="1" customHeight="1" x14ac:dyDescent="0.2"/>
    <row r="55406" ht="9.9499999999999993" hidden="1" customHeight="1" x14ac:dyDescent="0.2"/>
    <row r="55407" ht="9.9499999999999993" hidden="1" customHeight="1" x14ac:dyDescent="0.2"/>
    <row r="55408" ht="9.9499999999999993" hidden="1" customHeight="1" x14ac:dyDescent="0.2"/>
    <row r="55409" ht="9.9499999999999993" hidden="1" customHeight="1" x14ac:dyDescent="0.2"/>
    <row r="55410" ht="9.9499999999999993" hidden="1" customHeight="1" x14ac:dyDescent="0.2"/>
    <row r="55411" ht="9.9499999999999993" hidden="1" customHeight="1" x14ac:dyDescent="0.2"/>
    <row r="55412" ht="9.9499999999999993" hidden="1" customHeight="1" x14ac:dyDescent="0.2"/>
    <row r="55413" ht="9.9499999999999993" hidden="1" customHeight="1" x14ac:dyDescent="0.2"/>
    <row r="55414" ht="9.9499999999999993" hidden="1" customHeight="1" x14ac:dyDescent="0.2"/>
    <row r="55415" ht="9.9499999999999993" hidden="1" customHeight="1" x14ac:dyDescent="0.2"/>
    <row r="55416" ht="9.9499999999999993" hidden="1" customHeight="1" x14ac:dyDescent="0.2"/>
    <row r="55417" ht="9.9499999999999993" hidden="1" customHeight="1" x14ac:dyDescent="0.2"/>
    <row r="55418" ht="9.9499999999999993" hidden="1" customHeight="1" x14ac:dyDescent="0.2"/>
    <row r="55419" ht="9.9499999999999993" hidden="1" customHeight="1" x14ac:dyDescent="0.2"/>
    <row r="55420" ht="9.9499999999999993" hidden="1" customHeight="1" x14ac:dyDescent="0.2"/>
    <row r="55421" ht="9.9499999999999993" hidden="1" customHeight="1" x14ac:dyDescent="0.2"/>
    <row r="55422" ht="9.9499999999999993" hidden="1" customHeight="1" x14ac:dyDescent="0.2"/>
    <row r="55423" ht="9.9499999999999993" hidden="1" customHeight="1" x14ac:dyDescent="0.2"/>
    <row r="55424" ht="9.9499999999999993" hidden="1" customHeight="1" x14ac:dyDescent="0.2"/>
    <row r="55425" ht="9.9499999999999993" hidden="1" customHeight="1" x14ac:dyDescent="0.2"/>
    <row r="55426" ht="9.9499999999999993" hidden="1" customHeight="1" x14ac:dyDescent="0.2"/>
    <row r="55427" ht="9.9499999999999993" hidden="1" customHeight="1" x14ac:dyDescent="0.2"/>
    <row r="55428" ht="9.9499999999999993" hidden="1" customHeight="1" x14ac:dyDescent="0.2"/>
    <row r="55429" ht="9.9499999999999993" hidden="1" customHeight="1" x14ac:dyDescent="0.2"/>
    <row r="55430" ht="9.9499999999999993" hidden="1" customHeight="1" x14ac:dyDescent="0.2"/>
    <row r="55431" ht="9.9499999999999993" hidden="1" customHeight="1" x14ac:dyDescent="0.2"/>
    <row r="55432" ht="9.9499999999999993" hidden="1" customHeight="1" x14ac:dyDescent="0.2"/>
    <row r="55433" ht="9.9499999999999993" hidden="1" customHeight="1" x14ac:dyDescent="0.2"/>
    <row r="55434" ht="9.9499999999999993" hidden="1" customHeight="1" x14ac:dyDescent="0.2"/>
    <row r="55435" ht="9.9499999999999993" hidden="1" customHeight="1" x14ac:dyDescent="0.2"/>
    <row r="55436" ht="9.9499999999999993" hidden="1" customHeight="1" x14ac:dyDescent="0.2"/>
    <row r="55437" ht="9.9499999999999993" hidden="1" customHeight="1" x14ac:dyDescent="0.2"/>
    <row r="55438" ht="9.9499999999999993" hidden="1" customHeight="1" x14ac:dyDescent="0.2"/>
    <row r="55439" ht="9.9499999999999993" hidden="1" customHeight="1" x14ac:dyDescent="0.2"/>
    <row r="55440" ht="9.9499999999999993" hidden="1" customHeight="1" x14ac:dyDescent="0.2"/>
    <row r="55441" ht="9.9499999999999993" hidden="1" customHeight="1" x14ac:dyDescent="0.2"/>
    <row r="55442" ht="9.9499999999999993" hidden="1" customHeight="1" x14ac:dyDescent="0.2"/>
    <row r="55443" ht="9.9499999999999993" hidden="1" customHeight="1" x14ac:dyDescent="0.2"/>
    <row r="55444" ht="9.9499999999999993" hidden="1" customHeight="1" x14ac:dyDescent="0.2"/>
    <row r="55445" ht="9.9499999999999993" hidden="1" customHeight="1" x14ac:dyDescent="0.2"/>
    <row r="55446" ht="9.9499999999999993" hidden="1" customHeight="1" x14ac:dyDescent="0.2"/>
    <row r="55447" ht="9.9499999999999993" hidden="1" customHeight="1" x14ac:dyDescent="0.2"/>
    <row r="55448" ht="9.9499999999999993" hidden="1" customHeight="1" x14ac:dyDescent="0.2"/>
    <row r="55449" ht="9.9499999999999993" hidden="1" customHeight="1" x14ac:dyDescent="0.2"/>
    <row r="55450" ht="9.9499999999999993" hidden="1" customHeight="1" x14ac:dyDescent="0.2"/>
    <row r="55451" ht="9.9499999999999993" hidden="1" customHeight="1" x14ac:dyDescent="0.2"/>
    <row r="55452" ht="9.9499999999999993" hidden="1" customHeight="1" x14ac:dyDescent="0.2"/>
    <row r="55453" ht="9.9499999999999993" hidden="1" customHeight="1" x14ac:dyDescent="0.2"/>
    <row r="55454" ht="9.9499999999999993" hidden="1" customHeight="1" x14ac:dyDescent="0.2"/>
    <row r="55455" ht="9.9499999999999993" hidden="1" customHeight="1" x14ac:dyDescent="0.2"/>
    <row r="55456" ht="9.9499999999999993" hidden="1" customHeight="1" x14ac:dyDescent="0.2"/>
    <row r="55457" ht="9.9499999999999993" hidden="1" customHeight="1" x14ac:dyDescent="0.2"/>
    <row r="55458" ht="9.9499999999999993" hidden="1" customHeight="1" x14ac:dyDescent="0.2"/>
    <row r="55459" ht="9.9499999999999993" hidden="1" customHeight="1" x14ac:dyDescent="0.2"/>
    <row r="55460" ht="9.9499999999999993" hidden="1" customHeight="1" x14ac:dyDescent="0.2"/>
    <row r="55461" ht="9.9499999999999993" hidden="1" customHeight="1" x14ac:dyDescent="0.2"/>
    <row r="55462" ht="9.9499999999999993" hidden="1" customHeight="1" x14ac:dyDescent="0.2"/>
    <row r="55463" ht="9.9499999999999993" hidden="1" customHeight="1" x14ac:dyDescent="0.2"/>
    <row r="55464" ht="9.9499999999999993" hidden="1" customHeight="1" x14ac:dyDescent="0.2"/>
    <row r="55465" ht="9.9499999999999993" hidden="1" customHeight="1" x14ac:dyDescent="0.2"/>
    <row r="55466" ht="9.9499999999999993" hidden="1" customHeight="1" x14ac:dyDescent="0.2"/>
    <row r="55467" ht="9.9499999999999993" hidden="1" customHeight="1" x14ac:dyDescent="0.2"/>
    <row r="55468" ht="9.9499999999999993" hidden="1" customHeight="1" x14ac:dyDescent="0.2"/>
    <row r="55469" ht="9.9499999999999993" hidden="1" customHeight="1" x14ac:dyDescent="0.2"/>
    <row r="55470" ht="9.9499999999999993" hidden="1" customHeight="1" x14ac:dyDescent="0.2"/>
    <row r="55471" ht="9.9499999999999993" hidden="1" customHeight="1" x14ac:dyDescent="0.2"/>
    <row r="55472" ht="9.9499999999999993" hidden="1" customHeight="1" x14ac:dyDescent="0.2"/>
    <row r="55473" ht="9.9499999999999993" hidden="1" customHeight="1" x14ac:dyDescent="0.2"/>
    <row r="55474" ht="9.9499999999999993" hidden="1" customHeight="1" x14ac:dyDescent="0.2"/>
    <row r="55475" ht="9.9499999999999993" hidden="1" customHeight="1" x14ac:dyDescent="0.2"/>
    <row r="55476" ht="9.9499999999999993" hidden="1" customHeight="1" x14ac:dyDescent="0.2"/>
    <row r="55477" ht="9.9499999999999993" hidden="1" customHeight="1" x14ac:dyDescent="0.2"/>
    <row r="55478" ht="9.9499999999999993" hidden="1" customHeight="1" x14ac:dyDescent="0.2"/>
    <row r="55479" ht="9.9499999999999993" hidden="1" customHeight="1" x14ac:dyDescent="0.2"/>
    <row r="55480" ht="9.9499999999999993" hidden="1" customHeight="1" x14ac:dyDescent="0.2"/>
    <row r="55481" ht="9.9499999999999993" hidden="1" customHeight="1" x14ac:dyDescent="0.2"/>
    <row r="55482" ht="9.9499999999999993" hidden="1" customHeight="1" x14ac:dyDescent="0.2"/>
    <row r="55483" ht="9.9499999999999993" hidden="1" customHeight="1" x14ac:dyDescent="0.2"/>
    <row r="55484" ht="9.9499999999999993" hidden="1" customHeight="1" x14ac:dyDescent="0.2"/>
    <row r="55485" ht="9.9499999999999993" hidden="1" customHeight="1" x14ac:dyDescent="0.2"/>
    <row r="55486" ht="9.9499999999999993" hidden="1" customHeight="1" x14ac:dyDescent="0.2"/>
    <row r="55487" ht="9.9499999999999993" hidden="1" customHeight="1" x14ac:dyDescent="0.2"/>
    <row r="55488" ht="9.9499999999999993" hidden="1" customHeight="1" x14ac:dyDescent="0.2"/>
    <row r="55489" ht="9.9499999999999993" hidden="1" customHeight="1" x14ac:dyDescent="0.2"/>
    <row r="55490" ht="9.9499999999999993" hidden="1" customHeight="1" x14ac:dyDescent="0.2"/>
    <row r="55491" ht="9.9499999999999993" hidden="1" customHeight="1" x14ac:dyDescent="0.2"/>
    <row r="55492" ht="9.9499999999999993" hidden="1" customHeight="1" x14ac:dyDescent="0.2"/>
    <row r="55493" ht="9.9499999999999993" hidden="1" customHeight="1" x14ac:dyDescent="0.2"/>
    <row r="55494" ht="9.9499999999999993" hidden="1" customHeight="1" x14ac:dyDescent="0.2"/>
    <row r="55495" ht="9.9499999999999993" hidden="1" customHeight="1" x14ac:dyDescent="0.2"/>
    <row r="55496" ht="9.9499999999999993" hidden="1" customHeight="1" x14ac:dyDescent="0.2"/>
    <row r="55497" ht="9.9499999999999993" hidden="1" customHeight="1" x14ac:dyDescent="0.2"/>
    <row r="55498" ht="9.9499999999999993" hidden="1" customHeight="1" x14ac:dyDescent="0.2"/>
    <row r="55499" ht="9.9499999999999993" hidden="1" customHeight="1" x14ac:dyDescent="0.2"/>
    <row r="55500" ht="9.9499999999999993" hidden="1" customHeight="1" x14ac:dyDescent="0.2"/>
    <row r="55501" ht="9.9499999999999993" hidden="1" customHeight="1" x14ac:dyDescent="0.2"/>
    <row r="55502" ht="9.9499999999999993" hidden="1" customHeight="1" x14ac:dyDescent="0.2"/>
    <row r="55503" ht="9.9499999999999993" hidden="1" customHeight="1" x14ac:dyDescent="0.2"/>
    <row r="55504" ht="9.9499999999999993" hidden="1" customHeight="1" x14ac:dyDescent="0.2"/>
    <row r="55505" ht="9.9499999999999993" hidden="1" customHeight="1" x14ac:dyDescent="0.2"/>
    <row r="55506" ht="9.9499999999999993" hidden="1" customHeight="1" x14ac:dyDescent="0.2"/>
    <row r="55507" ht="9.9499999999999993" hidden="1" customHeight="1" x14ac:dyDescent="0.2"/>
    <row r="55508" ht="9.9499999999999993" hidden="1" customHeight="1" x14ac:dyDescent="0.2"/>
    <row r="55509" ht="9.9499999999999993" hidden="1" customHeight="1" x14ac:dyDescent="0.2"/>
    <row r="55510" ht="9.9499999999999993" hidden="1" customHeight="1" x14ac:dyDescent="0.2"/>
    <row r="55511" ht="9.9499999999999993" hidden="1" customHeight="1" x14ac:dyDescent="0.2"/>
    <row r="55512" ht="9.9499999999999993" hidden="1" customHeight="1" x14ac:dyDescent="0.2"/>
    <row r="55513" ht="9.9499999999999993" hidden="1" customHeight="1" x14ac:dyDescent="0.2"/>
    <row r="55514" ht="9.9499999999999993" hidden="1" customHeight="1" x14ac:dyDescent="0.2"/>
    <row r="55515" ht="9.9499999999999993" hidden="1" customHeight="1" x14ac:dyDescent="0.2"/>
    <row r="55516" ht="9.9499999999999993" hidden="1" customHeight="1" x14ac:dyDescent="0.2"/>
    <row r="55517" ht="9.9499999999999993" hidden="1" customHeight="1" x14ac:dyDescent="0.2"/>
    <row r="55518" ht="9.9499999999999993" hidden="1" customHeight="1" x14ac:dyDescent="0.2"/>
    <row r="55519" ht="9.9499999999999993" hidden="1" customHeight="1" x14ac:dyDescent="0.2"/>
    <row r="55520" ht="9.9499999999999993" hidden="1" customHeight="1" x14ac:dyDescent="0.2"/>
    <row r="55521" ht="9.9499999999999993" hidden="1" customHeight="1" x14ac:dyDescent="0.2"/>
    <row r="55522" ht="9.9499999999999993" hidden="1" customHeight="1" x14ac:dyDescent="0.2"/>
    <row r="55523" ht="9.9499999999999993" hidden="1" customHeight="1" x14ac:dyDescent="0.2"/>
    <row r="55524" ht="9.9499999999999993" hidden="1" customHeight="1" x14ac:dyDescent="0.2"/>
    <row r="55525" ht="9.9499999999999993" hidden="1" customHeight="1" x14ac:dyDescent="0.2"/>
    <row r="55526" ht="9.9499999999999993" hidden="1" customHeight="1" x14ac:dyDescent="0.2"/>
    <row r="55527" ht="9.9499999999999993" hidden="1" customHeight="1" x14ac:dyDescent="0.2"/>
    <row r="55528" ht="9.9499999999999993" hidden="1" customHeight="1" x14ac:dyDescent="0.2"/>
    <row r="55529" ht="9.9499999999999993" hidden="1" customHeight="1" x14ac:dyDescent="0.2"/>
    <row r="55530" ht="9.9499999999999993" hidden="1" customHeight="1" x14ac:dyDescent="0.2"/>
    <row r="55531" ht="9.9499999999999993" hidden="1" customHeight="1" x14ac:dyDescent="0.2"/>
    <row r="55532" ht="9.9499999999999993" hidden="1" customHeight="1" x14ac:dyDescent="0.2"/>
    <row r="55533" ht="9.9499999999999993" hidden="1" customHeight="1" x14ac:dyDescent="0.2"/>
    <row r="55534" ht="9.9499999999999993" hidden="1" customHeight="1" x14ac:dyDescent="0.2"/>
    <row r="55535" ht="9.9499999999999993" hidden="1" customHeight="1" x14ac:dyDescent="0.2"/>
    <row r="55536" ht="9.9499999999999993" hidden="1" customHeight="1" x14ac:dyDescent="0.2"/>
    <row r="55537" ht="9.9499999999999993" hidden="1" customHeight="1" x14ac:dyDescent="0.2"/>
    <row r="55538" ht="9.9499999999999993" hidden="1" customHeight="1" x14ac:dyDescent="0.2"/>
    <row r="55539" ht="9.9499999999999993" hidden="1" customHeight="1" x14ac:dyDescent="0.2"/>
    <row r="55540" ht="9.9499999999999993" hidden="1" customHeight="1" x14ac:dyDescent="0.2"/>
    <row r="55541" ht="9.9499999999999993" hidden="1" customHeight="1" x14ac:dyDescent="0.2"/>
    <row r="55542" ht="9.9499999999999993" hidden="1" customHeight="1" x14ac:dyDescent="0.2"/>
    <row r="55543" ht="9.9499999999999993" hidden="1" customHeight="1" x14ac:dyDescent="0.2"/>
    <row r="55544" ht="9.9499999999999993" hidden="1" customHeight="1" x14ac:dyDescent="0.2"/>
    <row r="55545" ht="9.9499999999999993" hidden="1" customHeight="1" x14ac:dyDescent="0.2"/>
    <row r="55546" ht="9.9499999999999993" hidden="1" customHeight="1" x14ac:dyDescent="0.2"/>
    <row r="55547" ht="9.9499999999999993" hidden="1" customHeight="1" x14ac:dyDescent="0.2"/>
    <row r="55548" ht="9.9499999999999993" hidden="1" customHeight="1" x14ac:dyDescent="0.2"/>
    <row r="55549" ht="9.9499999999999993" hidden="1" customHeight="1" x14ac:dyDescent="0.2"/>
    <row r="55550" ht="9.9499999999999993" hidden="1" customHeight="1" x14ac:dyDescent="0.2"/>
    <row r="55551" ht="9.9499999999999993" hidden="1" customHeight="1" x14ac:dyDescent="0.2"/>
    <row r="55552" ht="9.9499999999999993" hidden="1" customHeight="1" x14ac:dyDescent="0.2"/>
    <row r="55553" ht="9.9499999999999993" hidden="1" customHeight="1" x14ac:dyDescent="0.2"/>
    <row r="55554" ht="9.9499999999999993" hidden="1" customHeight="1" x14ac:dyDescent="0.2"/>
    <row r="55555" ht="9.9499999999999993" hidden="1" customHeight="1" x14ac:dyDescent="0.2"/>
    <row r="55556" ht="9.9499999999999993" hidden="1" customHeight="1" x14ac:dyDescent="0.2"/>
    <row r="55557" ht="9.9499999999999993" hidden="1" customHeight="1" x14ac:dyDescent="0.2"/>
    <row r="55558" ht="9.9499999999999993" hidden="1" customHeight="1" x14ac:dyDescent="0.2"/>
    <row r="55559" ht="9.9499999999999993" hidden="1" customHeight="1" x14ac:dyDescent="0.2"/>
    <row r="55560" ht="9.9499999999999993" hidden="1" customHeight="1" x14ac:dyDescent="0.2"/>
    <row r="55561" ht="9.9499999999999993" hidden="1" customHeight="1" x14ac:dyDescent="0.2"/>
    <row r="55562" ht="9.9499999999999993" hidden="1" customHeight="1" x14ac:dyDescent="0.2"/>
    <row r="55563" ht="9.9499999999999993" hidden="1" customHeight="1" x14ac:dyDescent="0.2"/>
    <row r="55564" ht="9.9499999999999993" hidden="1" customHeight="1" x14ac:dyDescent="0.2"/>
    <row r="55565" ht="9.9499999999999993" hidden="1" customHeight="1" x14ac:dyDescent="0.2"/>
    <row r="55566" ht="9.9499999999999993" hidden="1" customHeight="1" x14ac:dyDescent="0.2"/>
    <row r="55567" ht="9.9499999999999993" hidden="1" customHeight="1" x14ac:dyDescent="0.2"/>
    <row r="55568" ht="9.9499999999999993" hidden="1" customHeight="1" x14ac:dyDescent="0.2"/>
    <row r="55569" ht="9.9499999999999993" hidden="1" customHeight="1" x14ac:dyDescent="0.2"/>
    <row r="55570" ht="9.9499999999999993" hidden="1" customHeight="1" x14ac:dyDescent="0.2"/>
    <row r="55571" ht="9.9499999999999993" hidden="1" customHeight="1" x14ac:dyDescent="0.2"/>
    <row r="55572" ht="9.9499999999999993" hidden="1" customHeight="1" x14ac:dyDescent="0.2"/>
    <row r="55573" ht="9.9499999999999993" hidden="1" customHeight="1" x14ac:dyDescent="0.2"/>
    <row r="55574" ht="9.9499999999999993" hidden="1" customHeight="1" x14ac:dyDescent="0.2"/>
    <row r="55575" ht="9.9499999999999993" hidden="1" customHeight="1" x14ac:dyDescent="0.2"/>
    <row r="55576" ht="9.9499999999999993" hidden="1" customHeight="1" x14ac:dyDescent="0.2"/>
    <row r="55577" ht="9.9499999999999993" hidden="1" customHeight="1" x14ac:dyDescent="0.2"/>
    <row r="55578" ht="9.9499999999999993" hidden="1" customHeight="1" x14ac:dyDescent="0.2"/>
    <row r="55579" ht="9.9499999999999993" hidden="1" customHeight="1" x14ac:dyDescent="0.2"/>
    <row r="55580" ht="9.9499999999999993" hidden="1" customHeight="1" x14ac:dyDescent="0.2"/>
    <row r="55581" ht="9.9499999999999993" hidden="1" customHeight="1" x14ac:dyDescent="0.2"/>
    <row r="55582" ht="9.9499999999999993" hidden="1" customHeight="1" x14ac:dyDescent="0.2"/>
    <row r="55583" ht="9.9499999999999993" hidden="1" customHeight="1" x14ac:dyDescent="0.2"/>
    <row r="55584" ht="9.9499999999999993" hidden="1" customHeight="1" x14ac:dyDescent="0.2"/>
    <row r="55585" ht="9.9499999999999993" hidden="1" customHeight="1" x14ac:dyDescent="0.2"/>
    <row r="55586" ht="9.9499999999999993" hidden="1" customHeight="1" x14ac:dyDescent="0.2"/>
    <row r="55587" ht="9.9499999999999993" hidden="1" customHeight="1" x14ac:dyDescent="0.2"/>
    <row r="55588" ht="9.9499999999999993" hidden="1" customHeight="1" x14ac:dyDescent="0.2"/>
    <row r="55589" ht="9.9499999999999993" hidden="1" customHeight="1" x14ac:dyDescent="0.2"/>
    <row r="55590" ht="9.9499999999999993" hidden="1" customHeight="1" x14ac:dyDescent="0.2"/>
    <row r="55591" ht="9.9499999999999993" hidden="1" customHeight="1" x14ac:dyDescent="0.2"/>
    <row r="55592" ht="9.9499999999999993" hidden="1" customHeight="1" x14ac:dyDescent="0.2"/>
    <row r="55593" ht="9.9499999999999993" hidden="1" customHeight="1" x14ac:dyDescent="0.2"/>
    <row r="55594" ht="9.9499999999999993" hidden="1" customHeight="1" x14ac:dyDescent="0.2"/>
    <row r="55595" ht="9.9499999999999993" hidden="1" customHeight="1" x14ac:dyDescent="0.2"/>
    <row r="55596" ht="9.9499999999999993" hidden="1" customHeight="1" x14ac:dyDescent="0.2"/>
    <row r="55597" ht="9.9499999999999993" hidden="1" customHeight="1" x14ac:dyDescent="0.2"/>
    <row r="55598" ht="9.9499999999999993" hidden="1" customHeight="1" x14ac:dyDescent="0.2"/>
    <row r="55599" ht="9.9499999999999993" hidden="1" customHeight="1" x14ac:dyDescent="0.2"/>
    <row r="55600" ht="9.9499999999999993" hidden="1" customHeight="1" x14ac:dyDescent="0.2"/>
    <row r="55601" ht="9.9499999999999993" hidden="1" customHeight="1" x14ac:dyDescent="0.2"/>
    <row r="55602" ht="9.9499999999999993" hidden="1" customHeight="1" x14ac:dyDescent="0.2"/>
    <row r="55603" ht="9.9499999999999993" hidden="1" customHeight="1" x14ac:dyDescent="0.2"/>
    <row r="55604" ht="9.9499999999999993" hidden="1" customHeight="1" x14ac:dyDescent="0.2"/>
    <row r="55605" ht="9.9499999999999993" hidden="1" customHeight="1" x14ac:dyDescent="0.2"/>
    <row r="55606" ht="9.9499999999999993" hidden="1" customHeight="1" x14ac:dyDescent="0.2"/>
    <row r="55607" ht="9.9499999999999993" hidden="1" customHeight="1" x14ac:dyDescent="0.2"/>
    <row r="55608" ht="9.9499999999999993" hidden="1" customHeight="1" x14ac:dyDescent="0.2"/>
    <row r="55609" ht="9.9499999999999993" hidden="1" customHeight="1" x14ac:dyDescent="0.2"/>
    <row r="55610" ht="9.9499999999999993" hidden="1" customHeight="1" x14ac:dyDescent="0.2"/>
    <row r="55611" ht="9.9499999999999993" hidden="1" customHeight="1" x14ac:dyDescent="0.2"/>
    <row r="55612" ht="9.9499999999999993" hidden="1" customHeight="1" x14ac:dyDescent="0.2"/>
    <row r="55613" ht="9.9499999999999993" hidden="1" customHeight="1" x14ac:dyDescent="0.2"/>
    <row r="55614" ht="9.9499999999999993" hidden="1" customHeight="1" x14ac:dyDescent="0.2"/>
    <row r="55615" ht="9.9499999999999993" hidden="1" customHeight="1" x14ac:dyDescent="0.2"/>
    <row r="55616" ht="9.9499999999999993" hidden="1" customHeight="1" x14ac:dyDescent="0.2"/>
    <row r="55617" ht="9.9499999999999993" hidden="1" customHeight="1" x14ac:dyDescent="0.2"/>
    <row r="55618" ht="9.9499999999999993" hidden="1" customHeight="1" x14ac:dyDescent="0.2"/>
    <row r="55619" ht="9.9499999999999993" hidden="1" customHeight="1" x14ac:dyDescent="0.2"/>
    <row r="55620" ht="9.9499999999999993" hidden="1" customHeight="1" x14ac:dyDescent="0.2"/>
    <row r="55621" ht="9.9499999999999993" hidden="1" customHeight="1" x14ac:dyDescent="0.2"/>
    <row r="55622" ht="9.9499999999999993" hidden="1" customHeight="1" x14ac:dyDescent="0.2"/>
    <row r="55623" ht="9.9499999999999993" hidden="1" customHeight="1" x14ac:dyDescent="0.2"/>
    <row r="55624" ht="9.9499999999999993" hidden="1" customHeight="1" x14ac:dyDescent="0.2"/>
    <row r="55625" ht="9.9499999999999993" hidden="1" customHeight="1" x14ac:dyDescent="0.2"/>
    <row r="55626" ht="9.9499999999999993" hidden="1" customHeight="1" x14ac:dyDescent="0.2"/>
    <row r="55627" ht="9.9499999999999993" hidden="1" customHeight="1" x14ac:dyDescent="0.2"/>
    <row r="55628" ht="9.9499999999999993" hidden="1" customHeight="1" x14ac:dyDescent="0.2"/>
    <row r="55629" ht="9.9499999999999993" hidden="1" customHeight="1" x14ac:dyDescent="0.2"/>
    <row r="55630" ht="9.9499999999999993" hidden="1" customHeight="1" x14ac:dyDescent="0.2"/>
    <row r="55631" ht="9.9499999999999993" hidden="1" customHeight="1" x14ac:dyDescent="0.2"/>
    <row r="55632" ht="9.9499999999999993" hidden="1" customHeight="1" x14ac:dyDescent="0.2"/>
    <row r="55633" ht="9.9499999999999993" hidden="1" customHeight="1" x14ac:dyDescent="0.2"/>
    <row r="55634" ht="9.9499999999999993" hidden="1" customHeight="1" x14ac:dyDescent="0.2"/>
    <row r="55635" ht="9.9499999999999993" hidden="1" customHeight="1" x14ac:dyDescent="0.2"/>
    <row r="55636" ht="9.9499999999999993" hidden="1" customHeight="1" x14ac:dyDescent="0.2"/>
    <row r="55637" ht="9.9499999999999993" hidden="1" customHeight="1" x14ac:dyDescent="0.2"/>
    <row r="55638" ht="9.9499999999999993" hidden="1" customHeight="1" x14ac:dyDescent="0.2"/>
    <row r="55639" ht="9.9499999999999993" hidden="1" customHeight="1" x14ac:dyDescent="0.2"/>
    <row r="55640" ht="9.9499999999999993" hidden="1" customHeight="1" x14ac:dyDescent="0.2"/>
    <row r="55641" ht="9.9499999999999993" hidden="1" customHeight="1" x14ac:dyDescent="0.2"/>
    <row r="55642" ht="9.9499999999999993" hidden="1" customHeight="1" x14ac:dyDescent="0.2"/>
    <row r="55643" ht="9.9499999999999993" hidden="1" customHeight="1" x14ac:dyDescent="0.2"/>
    <row r="55644" ht="9.9499999999999993" hidden="1" customHeight="1" x14ac:dyDescent="0.2"/>
    <row r="55645" ht="9.9499999999999993" hidden="1" customHeight="1" x14ac:dyDescent="0.2"/>
    <row r="55646" ht="9.9499999999999993" hidden="1" customHeight="1" x14ac:dyDescent="0.2"/>
    <row r="55647" ht="9.9499999999999993" hidden="1" customHeight="1" x14ac:dyDescent="0.2"/>
    <row r="55648" ht="9.9499999999999993" hidden="1" customHeight="1" x14ac:dyDescent="0.2"/>
    <row r="55649" ht="9.9499999999999993" hidden="1" customHeight="1" x14ac:dyDescent="0.2"/>
    <row r="55650" ht="9.9499999999999993" hidden="1" customHeight="1" x14ac:dyDescent="0.2"/>
    <row r="55651" ht="9.9499999999999993" hidden="1" customHeight="1" x14ac:dyDescent="0.2"/>
    <row r="55652" ht="9.9499999999999993" hidden="1" customHeight="1" x14ac:dyDescent="0.2"/>
    <row r="55653" ht="9.9499999999999993" hidden="1" customHeight="1" x14ac:dyDescent="0.2"/>
    <row r="55654" ht="9.9499999999999993" hidden="1" customHeight="1" x14ac:dyDescent="0.2"/>
    <row r="55655" ht="9.9499999999999993" hidden="1" customHeight="1" x14ac:dyDescent="0.2"/>
    <row r="55656" ht="9.9499999999999993" hidden="1" customHeight="1" x14ac:dyDescent="0.2"/>
    <row r="55657" ht="9.9499999999999993" hidden="1" customHeight="1" x14ac:dyDescent="0.2"/>
    <row r="55658" ht="9.9499999999999993" hidden="1" customHeight="1" x14ac:dyDescent="0.2"/>
    <row r="55659" ht="9.9499999999999993" hidden="1" customHeight="1" x14ac:dyDescent="0.2"/>
    <row r="55660" ht="9.9499999999999993" hidden="1" customHeight="1" x14ac:dyDescent="0.2"/>
    <row r="55661" ht="9.9499999999999993" hidden="1" customHeight="1" x14ac:dyDescent="0.2"/>
    <row r="55662" ht="9.9499999999999993" hidden="1" customHeight="1" x14ac:dyDescent="0.2"/>
    <row r="55663" ht="9.9499999999999993" hidden="1" customHeight="1" x14ac:dyDescent="0.2"/>
    <row r="55664" ht="9.9499999999999993" hidden="1" customHeight="1" x14ac:dyDescent="0.2"/>
    <row r="55665" ht="9.9499999999999993" hidden="1" customHeight="1" x14ac:dyDescent="0.2"/>
    <row r="55666" ht="9.9499999999999993" hidden="1" customHeight="1" x14ac:dyDescent="0.2"/>
    <row r="55667" ht="9.9499999999999993" hidden="1" customHeight="1" x14ac:dyDescent="0.2"/>
    <row r="55668" ht="9.9499999999999993" hidden="1" customHeight="1" x14ac:dyDescent="0.2"/>
    <row r="55669" ht="9.9499999999999993" hidden="1" customHeight="1" x14ac:dyDescent="0.2"/>
    <row r="55670" ht="9.9499999999999993" hidden="1" customHeight="1" x14ac:dyDescent="0.2"/>
    <row r="55671" ht="9.9499999999999993" hidden="1" customHeight="1" x14ac:dyDescent="0.2"/>
    <row r="55672" ht="9.9499999999999993" hidden="1" customHeight="1" x14ac:dyDescent="0.2"/>
    <row r="55673" ht="9.9499999999999993" hidden="1" customHeight="1" x14ac:dyDescent="0.2"/>
    <row r="55674" ht="9.9499999999999993" hidden="1" customHeight="1" x14ac:dyDescent="0.2"/>
    <row r="55675" ht="9.9499999999999993" hidden="1" customHeight="1" x14ac:dyDescent="0.2"/>
    <row r="55676" ht="9.9499999999999993" hidden="1" customHeight="1" x14ac:dyDescent="0.2"/>
    <row r="55677" ht="9.9499999999999993" hidden="1" customHeight="1" x14ac:dyDescent="0.2"/>
    <row r="55678" ht="9.9499999999999993" hidden="1" customHeight="1" x14ac:dyDescent="0.2"/>
    <row r="55679" ht="9.9499999999999993" hidden="1" customHeight="1" x14ac:dyDescent="0.2"/>
    <row r="55680" ht="9.9499999999999993" hidden="1" customHeight="1" x14ac:dyDescent="0.2"/>
    <row r="55681" ht="9.9499999999999993" hidden="1" customHeight="1" x14ac:dyDescent="0.2"/>
    <row r="55682" ht="9.9499999999999993" hidden="1" customHeight="1" x14ac:dyDescent="0.2"/>
    <row r="55683" ht="9.9499999999999993" hidden="1" customHeight="1" x14ac:dyDescent="0.2"/>
    <row r="55684" ht="9.9499999999999993" hidden="1" customHeight="1" x14ac:dyDescent="0.2"/>
    <row r="55685" ht="9.9499999999999993" hidden="1" customHeight="1" x14ac:dyDescent="0.2"/>
    <row r="55686" ht="9.9499999999999993" hidden="1" customHeight="1" x14ac:dyDescent="0.2"/>
    <row r="55687" ht="9.9499999999999993" hidden="1" customHeight="1" x14ac:dyDescent="0.2"/>
    <row r="55688" ht="9.9499999999999993" hidden="1" customHeight="1" x14ac:dyDescent="0.2"/>
    <row r="55689" ht="9.9499999999999993" hidden="1" customHeight="1" x14ac:dyDescent="0.2"/>
    <row r="55690" ht="9.9499999999999993" hidden="1" customHeight="1" x14ac:dyDescent="0.2"/>
    <row r="55691" ht="9.9499999999999993" hidden="1" customHeight="1" x14ac:dyDescent="0.2"/>
    <row r="55692" ht="9.9499999999999993" hidden="1" customHeight="1" x14ac:dyDescent="0.2"/>
    <row r="55693" ht="9.9499999999999993" hidden="1" customHeight="1" x14ac:dyDescent="0.2"/>
    <row r="55694" ht="9.9499999999999993" hidden="1" customHeight="1" x14ac:dyDescent="0.2"/>
    <row r="55695" ht="9.9499999999999993" hidden="1" customHeight="1" x14ac:dyDescent="0.2"/>
    <row r="55696" ht="9.9499999999999993" hidden="1" customHeight="1" x14ac:dyDescent="0.2"/>
    <row r="55697" ht="9.9499999999999993" hidden="1" customHeight="1" x14ac:dyDescent="0.2"/>
    <row r="55698" ht="9.9499999999999993" hidden="1" customHeight="1" x14ac:dyDescent="0.2"/>
    <row r="55699" ht="9.9499999999999993" hidden="1" customHeight="1" x14ac:dyDescent="0.2"/>
    <row r="55700" ht="9.9499999999999993" hidden="1" customHeight="1" x14ac:dyDescent="0.2"/>
    <row r="55701" ht="9.9499999999999993" hidden="1" customHeight="1" x14ac:dyDescent="0.2"/>
    <row r="55702" ht="9.9499999999999993" hidden="1" customHeight="1" x14ac:dyDescent="0.2"/>
    <row r="55703" ht="9.9499999999999993" hidden="1" customHeight="1" x14ac:dyDescent="0.2"/>
    <row r="55704" ht="9.9499999999999993" hidden="1" customHeight="1" x14ac:dyDescent="0.2"/>
    <row r="55705" ht="9.9499999999999993" hidden="1" customHeight="1" x14ac:dyDescent="0.2"/>
    <row r="55706" ht="9.9499999999999993" hidden="1" customHeight="1" x14ac:dyDescent="0.2"/>
    <row r="55707" ht="9.9499999999999993" hidden="1" customHeight="1" x14ac:dyDescent="0.2"/>
    <row r="55708" ht="9.9499999999999993" hidden="1" customHeight="1" x14ac:dyDescent="0.2"/>
    <row r="55709" ht="9.9499999999999993" hidden="1" customHeight="1" x14ac:dyDescent="0.2"/>
    <row r="55710" ht="9.9499999999999993" hidden="1" customHeight="1" x14ac:dyDescent="0.2"/>
    <row r="55711" ht="9.9499999999999993" hidden="1" customHeight="1" x14ac:dyDescent="0.2"/>
    <row r="55712" ht="9.9499999999999993" hidden="1" customHeight="1" x14ac:dyDescent="0.2"/>
    <row r="55713" ht="9.9499999999999993" hidden="1" customHeight="1" x14ac:dyDescent="0.2"/>
    <row r="55714" ht="9.9499999999999993" hidden="1" customHeight="1" x14ac:dyDescent="0.2"/>
    <row r="55715" ht="9.9499999999999993" hidden="1" customHeight="1" x14ac:dyDescent="0.2"/>
    <row r="55716" ht="9.9499999999999993" hidden="1" customHeight="1" x14ac:dyDescent="0.2"/>
    <row r="55717" ht="9.9499999999999993" hidden="1" customHeight="1" x14ac:dyDescent="0.2"/>
    <row r="55718" ht="9.9499999999999993" hidden="1" customHeight="1" x14ac:dyDescent="0.2"/>
    <row r="55719" ht="9.9499999999999993" hidden="1" customHeight="1" x14ac:dyDescent="0.2"/>
    <row r="55720" ht="9.9499999999999993" hidden="1" customHeight="1" x14ac:dyDescent="0.2"/>
    <row r="55721" ht="9.9499999999999993" hidden="1" customHeight="1" x14ac:dyDescent="0.2"/>
    <row r="55722" ht="9.9499999999999993" hidden="1" customHeight="1" x14ac:dyDescent="0.2"/>
    <row r="55723" ht="9.9499999999999993" hidden="1" customHeight="1" x14ac:dyDescent="0.2"/>
    <row r="55724" ht="9.9499999999999993" hidden="1" customHeight="1" x14ac:dyDescent="0.2"/>
    <row r="55725" ht="9.9499999999999993" hidden="1" customHeight="1" x14ac:dyDescent="0.2"/>
    <row r="55726" ht="9.9499999999999993" hidden="1" customHeight="1" x14ac:dyDescent="0.2"/>
    <row r="55727" ht="9.9499999999999993" hidden="1" customHeight="1" x14ac:dyDescent="0.2"/>
    <row r="55728" ht="9.9499999999999993" hidden="1" customHeight="1" x14ac:dyDescent="0.2"/>
    <row r="55729" ht="9.9499999999999993" hidden="1" customHeight="1" x14ac:dyDescent="0.2"/>
    <row r="55730" ht="9.9499999999999993" hidden="1" customHeight="1" x14ac:dyDescent="0.2"/>
    <row r="55731" ht="9.9499999999999993" hidden="1" customHeight="1" x14ac:dyDescent="0.2"/>
    <row r="55732" ht="9.9499999999999993" hidden="1" customHeight="1" x14ac:dyDescent="0.2"/>
    <row r="55733" ht="9.9499999999999993" hidden="1" customHeight="1" x14ac:dyDescent="0.2"/>
    <row r="55734" ht="9.9499999999999993" hidden="1" customHeight="1" x14ac:dyDescent="0.2"/>
    <row r="55735" ht="9.9499999999999993" hidden="1" customHeight="1" x14ac:dyDescent="0.2"/>
    <row r="55736" ht="9.9499999999999993" hidden="1" customHeight="1" x14ac:dyDescent="0.2"/>
    <row r="55737" ht="9.9499999999999993" hidden="1" customHeight="1" x14ac:dyDescent="0.2"/>
    <row r="55738" ht="9.9499999999999993" hidden="1" customHeight="1" x14ac:dyDescent="0.2"/>
    <row r="55739" ht="9.9499999999999993" hidden="1" customHeight="1" x14ac:dyDescent="0.2"/>
    <row r="55740" ht="9.9499999999999993" hidden="1" customHeight="1" x14ac:dyDescent="0.2"/>
    <row r="55741" ht="9.9499999999999993" hidden="1" customHeight="1" x14ac:dyDescent="0.2"/>
    <row r="55742" ht="9.9499999999999993" hidden="1" customHeight="1" x14ac:dyDescent="0.2"/>
    <row r="55743" ht="9.9499999999999993" hidden="1" customHeight="1" x14ac:dyDescent="0.2"/>
    <row r="55744" ht="9.9499999999999993" hidden="1" customHeight="1" x14ac:dyDescent="0.2"/>
    <row r="55745" ht="9.9499999999999993" hidden="1" customHeight="1" x14ac:dyDescent="0.2"/>
    <row r="55746" ht="9.9499999999999993" hidden="1" customHeight="1" x14ac:dyDescent="0.2"/>
    <row r="55747" ht="9.9499999999999993" hidden="1" customHeight="1" x14ac:dyDescent="0.2"/>
    <row r="55748" ht="9.9499999999999993" hidden="1" customHeight="1" x14ac:dyDescent="0.2"/>
    <row r="55749" ht="9.9499999999999993" hidden="1" customHeight="1" x14ac:dyDescent="0.2"/>
    <row r="55750" ht="9.9499999999999993" hidden="1" customHeight="1" x14ac:dyDescent="0.2"/>
    <row r="55751" ht="9.9499999999999993" hidden="1" customHeight="1" x14ac:dyDescent="0.2"/>
    <row r="55752" ht="9.9499999999999993" hidden="1" customHeight="1" x14ac:dyDescent="0.2"/>
    <row r="55753" ht="9.9499999999999993" hidden="1" customHeight="1" x14ac:dyDescent="0.2"/>
    <row r="55754" ht="9.9499999999999993" hidden="1" customHeight="1" x14ac:dyDescent="0.2"/>
    <row r="55755" ht="9.9499999999999993" hidden="1" customHeight="1" x14ac:dyDescent="0.2"/>
    <row r="55756" ht="9.9499999999999993" hidden="1" customHeight="1" x14ac:dyDescent="0.2"/>
    <row r="55757" ht="9.9499999999999993" hidden="1" customHeight="1" x14ac:dyDescent="0.2"/>
    <row r="55758" ht="9.9499999999999993" hidden="1" customHeight="1" x14ac:dyDescent="0.2"/>
    <row r="55759" ht="9.9499999999999993" hidden="1" customHeight="1" x14ac:dyDescent="0.2"/>
    <row r="55760" ht="9.9499999999999993" hidden="1" customHeight="1" x14ac:dyDescent="0.2"/>
    <row r="55761" ht="9.9499999999999993" hidden="1" customHeight="1" x14ac:dyDescent="0.2"/>
    <row r="55762" ht="9.9499999999999993" hidden="1" customHeight="1" x14ac:dyDescent="0.2"/>
    <row r="55763" ht="9.9499999999999993" hidden="1" customHeight="1" x14ac:dyDescent="0.2"/>
    <row r="55764" ht="9.9499999999999993" hidden="1" customHeight="1" x14ac:dyDescent="0.2"/>
    <row r="55765" ht="9.9499999999999993" hidden="1" customHeight="1" x14ac:dyDescent="0.2"/>
    <row r="55766" ht="9.9499999999999993" hidden="1" customHeight="1" x14ac:dyDescent="0.2"/>
    <row r="55767" ht="9.9499999999999993" hidden="1" customHeight="1" x14ac:dyDescent="0.2"/>
    <row r="55768" ht="9.9499999999999993" hidden="1" customHeight="1" x14ac:dyDescent="0.2"/>
    <row r="55769" ht="9.9499999999999993" hidden="1" customHeight="1" x14ac:dyDescent="0.2"/>
    <row r="55770" ht="9.9499999999999993" hidden="1" customHeight="1" x14ac:dyDescent="0.2"/>
    <row r="55771" ht="9.9499999999999993" hidden="1" customHeight="1" x14ac:dyDescent="0.2"/>
    <row r="55772" ht="9.9499999999999993" hidden="1" customHeight="1" x14ac:dyDescent="0.2"/>
    <row r="55773" ht="9.9499999999999993" hidden="1" customHeight="1" x14ac:dyDescent="0.2"/>
    <row r="55774" ht="9.9499999999999993" hidden="1" customHeight="1" x14ac:dyDescent="0.2"/>
    <row r="55775" ht="9.9499999999999993" hidden="1" customHeight="1" x14ac:dyDescent="0.2"/>
    <row r="55776" ht="9.9499999999999993" hidden="1" customHeight="1" x14ac:dyDescent="0.2"/>
    <row r="55777" ht="9.9499999999999993" hidden="1" customHeight="1" x14ac:dyDescent="0.2"/>
    <row r="55778" ht="9.9499999999999993" hidden="1" customHeight="1" x14ac:dyDescent="0.2"/>
    <row r="55779" ht="9.9499999999999993" hidden="1" customHeight="1" x14ac:dyDescent="0.2"/>
    <row r="55780" ht="9.9499999999999993" hidden="1" customHeight="1" x14ac:dyDescent="0.2"/>
    <row r="55781" ht="9.9499999999999993" hidden="1" customHeight="1" x14ac:dyDescent="0.2"/>
    <row r="55782" ht="9.9499999999999993" hidden="1" customHeight="1" x14ac:dyDescent="0.2"/>
    <row r="55783" ht="9.9499999999999993" hidden="1" customHeight="1" x14ac:dyDescent="0.2"/>
    <row r="55784" ht="9.9499999999999993" hidden="1" customHeight="1" x14ac:dyDescent="0.2"/>
    <row r="55785" ht="9.9499999999999993" hidden="1" customHeight="1" x14ac:dyDescent="0.2"/>
    <row r="55786" ht="9.9499999999999993" hidden="1" customHeight="1" x14ac:dyDescent="0.2"/>
    <row r="55787" ht="9.9499999999999993" hidden="1" customHeight="1" x14ac:dyDescent="0.2"/>
    <row r="55788" ht="9.9499999999999993" hidden="1" customHeight="1" x14ac:dyDescent="0.2"/>
    <row r="55789" ht="9.9499999999999993" hidden="1" customHeight="1" x14ac:dyDescent="0.2"/>
    <row r="55790" ht="9.9499999999999993" hidden="1" customHeight="1" x14ac:dyDescent="0.2"/>
    <row r="55791" ht="9.9499999999999993" hidden="1" customHeight="1" x14ac:dyDescent="0.2"/>
    <row r="55792" ht="9.9499999999999993" hidden="1" customHeight="1" x14ac:dyDescent="0.2"/>
    <row r="55793" ht="9.9499999999999993" hidden="1" customHeight="1" x14ac:dyDescent="0.2"/>
    <row r="55794" ht="9.9499999999999993" hidden="1" customHeight="1" x14ac:dyDescent="0.2"/>
    <row r="55795" ht="9.9499999999999993" hidden="1" customHeight="1" x14ac:dyDescent="0.2"/>
    <row r="55796" ht="9.9499999999999993" hidden="1" customHeight="1" x14ac:dyDescent="0.2"/>
    <row r="55797" ht="9.9499999999999993" hidden="1" customHeight="1" x14ac:dyDescent="0.2"/>
    <row r="55798" ht="9.9499999999999993" hidden="1" customHeight="1" x14ac:dyDescent="0.2"/>
    <row r="55799" ht="9.9499999999999993" hidden="1" customHeight="1" x14ac:dyDescent="0.2"/>
    <row r="55800" ht="9.9499999999999993" hidden="1" customHeight="1" x14ac:dyDescent="0.2"/>
    <row r="55801" ht="9.9499999999999993" hidden="1" customHeight="1" x14ac:dyDescent="0.2"/>
    <row r="55802" ht="9.9499999999999993" hidden="1" customHeight="1" x14ac:dyDescent="0.2"/>
    <row r="55803" ht="9.9499999999999993" hidden="1" customHeight="1" x14ac:dyDescent="0.2"/>
    <row r="55804" ht="9.9499999999999993" hidden="1" customHeight="1" x14ac:dyDescent="0.2"/>
    <row r="55805" ht="9.9499999999999993" hidden="1" customHeight="1" x14ac:dyDescent="0.2"/>
    <row r="55806" ht="9.9499999999999993" hidden="1" customHeight="1" x14ac:dyDescent="0.2"/>
    <row r="55807" ht="9.9499999999999993" hidden="1" customHeight="1" x14ac:dyDescent="0.2"/>
    <row r="55808" ht="9.9499999999999993" hidden="1" customHeight="1" x14ac:dyDescent="0.2"/>
    <row r="55809" ht="9.9499999999999993" hidden="1" customHeight="1" x14ac:dyDescent="0.2"/>
    <row r="55810" ht="9.9499999999999993" hidden="1" customHeight="1" x14ac:dyDescent="0.2"/>
    <row r="55811" ht="9.9499999999999993" hidden="1" customHeight="1" x14ac:dyDescent="0.2"/>
    <row r="55812" ht="9.9499999999999993" hidden="1" customHeight="1" x14ac:dyDescent="0.2"/>
    <row r="55813" ht="9.9499999999999993" hidden="1" customHeight="1" x14ac:dyDescent="0.2"/>
    <row r="55814" ht="9.9499999999999993" hidden="1" customHeight="1" x14ac:dyDescent="0.2"/>
    <row r="55815" ht="9.9499999999999993" hidden="1" customHeight="1" x14ac:dyDescent="0.2"/>
    <row r="55816" ht="9.9499999999999993" hidden="1" customHeight="1" x14ac:dyDescent="0.2"/>
    <row r="55817" ht="9.9499999999999993" hidden="1" customHeight="1" x14ac:dyDescent="0.2"/>
    <row r="55818" ht="9.9499999999999993" hidden="1" customHeight="1" x14ac:dyDescent="0.2"/>
    <row r="55819" ht="9.9499999999999993" hidden="1" customHeight="1" x14ac:dyDescent="0.2"/>
    <row r="55820" ht="9.9499999999999993" hidden="1" customHeight="1" x14ac:dyDescent="0.2"/>
    <row r="55821" ht="9.9499999999999993" hidden="1" customHeight="1" x14ac:dyDescent="0.2"/>
    <row r="55822" ht="9.9499999999999993" hidden="1" customHeight="1" x14ac:dyDescent="0.2"/>
    <row r="55823" ht="9.9499999999999993" hidden="1" customHeight="1" x14ac:dyDescent="0.2"/>
    <row r="55824" ht="9.9499999999999993" hidden="1" customHeight="1" x14ac:dyDescent="0.2"/>
    <row r="55825" ht="9.9499999999999993" hidden="1" customHeight="1" x14ac:dyDescent="0.2"/>
    <row r="55826" ht="9.9499999999999993" hidden="1" customHeight="1" x14ac:dyDescent="0.2"/>
    <row r="55827" ht="9.9499999999999993" hidden="1" customHeight="1" x14ac:dyDescent="0.2"/>
    <row r="55828" ht="9.9499999999999993" hidden="1" customHeight="1" x14ac:dyDescent="0.2"/>
    <row r="55829" ht="9.9499999999999993" hidden="1" customHeight="1" x14ac:dyDescent="0.2"/>
    <row r="55830" ht="9.9499999999999993" hidden="1" customHeight="1" x14ac:dyDescent="0.2"/>
    <row r="55831" ht="9.9499999999999993" hidden="1" customHeight="1" x14ac:dyDescent="0.2"/>
    <row r="55832" ht="9.9499999999999993" hidden="1" customHeight="1" x14ac:dyDescent="0.2"/>
    <row r="55833" ht="9.9499999999999993" hidden="1" customHeight="1" x14ac:dyDescent="0.2"/>
    <row r="55834" ht="9.9499999999999993" hidden="1" customHeight="1" x14ac:dyDescent="0.2"/>
    <row r="55835" ht="9.9499999999999993" hidden="1" customHeight="1" x14ac:dyDescent="0.2"/>
    <row r="55836" ht="9.9499999999999993" hidden="1" customHeight="1" x14ac:dyDescent="0.2"/>
    <row r="55837" ht="9.9499999999999993" hidden="1" customHeight="1" x14ac:dyDescent="0.2"/>
    <row r="55838" ht="9.9499999999999993" hidden="1" customHeight="1" x14ac:dyDescent="0.2"/>
    <row r="55839" ht="9.9499999999999993" hidden="1" customHeight="1" x14ac:dyDescent="0.2"/>
    <row r="55840" ht="9.9499999999999993" hidden="1" customHeight="1" x14ac:dyDescent="0.2"/>
    <row r="55841" ht="9.9499999999999993" hidden="1" customHeight="1" x14ac:dyDescent="0.2"/>
    <row r="55842" ht="9.9499999999999993" hidden="1" customHeight="1" x14ac:dyDescent="0.2"/>
    <row r="55843" ht="9.9499999999999993" hidden="1" customHeight="1" x14ac:dyDescent="0.2"/>
    <row r="55844" ht="9.9499999999999993" hidden="1" customHeight="1" x14ac:dyDescent="0.2"/>
    <row r="55845" ht="9.9499999999999993" hidden="1" customHeight="1" x14ac:dyDescent="0.2"/>
    <row r="55846" ht="9.9499999999999993" hidden="1" customHeight="1" x14ac:dyDescent="0.2"/>
    <row r="55847" ht="9.9499999999999993" hidden="1" customHeight="1" x14ac:dyDescent="0.2"/>
    <row r="55848" ht="9.9499999999999993" hidden="1" customHeight="1" x14ac:dyDescent="0.2"/>
    <row r="55849" ht="9.9499999999999993" hidden="1" customHeight="1" x14ac:dyDescent="0.2"/>
    <row r="55850" ht="9.9499999999999993" hidden="1" customHeight="1" x14ac:dyDescent="0.2"/>
    <row r="55851" ht="9.9499999999999993" hidden="1" customHeight="1" x14ac:dyDescent="0.2"/>
    <row r="55852" ht="9.9499999999999993" hidden="1" customHeight="1" x14ac:dyDescent="0.2"/>
    <row r="55853" ht="9.9499999999999993" hidden="1" customHeight="1" x14ac:dyDescent="0.2"/>
    <row r="55854" ht="9.9499999999999993" hidden="1" customHeight="1" x14ac:dyDescent="0.2"/>
    <row r="55855" ht="9.9499999999999993" hidden="1" customHeight="1" x14ac:dyDescent="0.2"/>
    <row r="55856" ht="9.9499999999999993" hidden="1" customHeight="1" x14ac:dyDescent="0.2"/>
    <row r="55857" ht="9.9499999999999993" hidden="1" customHeight="1" x14ac:dyDescent="0.2"/>
    <row r="55858" ht="9.9499999999999993" hidden="1" customHeight="1" x14ac:dyDescent="0.2"/>
    <row r="55859" ht="9.9499999999999993" hidden="1" customHeight="1" x14ac:dyDescent="0.2"/>
    <row r="55860" ht="9.9499999999999993" hidden="1" customHeight="1" x14ac:dyDescent="0.2"/>
    <row r="55861" ht="9.9499999999999993" hidden="1" customHeight="1" x14ac:dyDescent="0.2"/>
    <row r="55862" ht="9.9499999999999993" hidden="1" customHeight="1" x14ac:dyDescent="0.2"/>
    <row r="55863" ht="9.9499999999999993" hidden="1" customHeight="1" x14ac:dyDescent="0.2"/>
    <row r="55864" ht="9.9499999999999993" hidden="1" customHeight="1" x14ac:dyDescent="0.2"/>
    <row r="55865" ht="9.9499999999999993" hidden="1" customHeight="1" x14ac:dyDescent="0.2"/>
    <row r="55866" ht="9.9499999999999993" hidden="1" customHeight="1" x14ac:dyDescent="0.2"/>
    <row r="55867" ht="9.9499999999999993" hidden="1" customHeight="1" x14ac:dyDescent="0.2"/>
    <row r="55868" ht="9.9499999999999993" hidden="1" customHeight="1" x14ac:dyDescent="0.2"/>
    <row r="55869" ht="9.9499999999999993" hidden="1" customHeight="1" x14ac:dyDescent="0.2"/>
    <row r="55870" ht="9.9499999999999993" hidden="1" customHeight="1" x14ac:dyDescent="0.2"/>
    <row r="55871" ht="9.9499999999999993" hidden="1" customHeight="1" x14ac:dyDescent="0.2"/>
    <row r="55872" ht="9.9499999999999993" hidden="1" customHeight="1" x14ac:dyDescent="0.2"/>
    <row r="55873" ht="9.9499999999999993" hidden="1" customHeight="1" x14ac:dyDescent="0.2"/>
    <row r="55874" ht="9.9499999999999993" hidden="1" customHeight="1" x14ac:dyDescent="0.2"/>
    <row r="55875" ht="9.9499999999999993" hidden="1" customHeight="1" x14ac:dyDescent="0.2"/>
    <row r="55876" ht="9.9499999999999993" hidden="1" customHeight="1" x14ac:dyDescent="0.2"/>
    <row r="55877" ht="9.9499999999999993" hidden="1" customHeight="1" x14ac:dyDescent="0.2"/>
    <row r="55878" ht="9.9499999999999993" hidden="1" customHeight="1" x14ac:dyDescent="0.2"/>
    <row r="55879" ht="9.9499999999999993" hidden="1" customHeight="1" x14ac:dyDescent="0.2"/>
    <row r="55880" ht="9.9499999999999993" hidden="1" customHeight="1" x14ac:dyDescent="0.2"/>
    <row r="55881" ht="9.9499999999999993" hidden="1" customHeight="1" x14ac:dyDescent="0.2"/>
    <row r="55882" ht="9.9499999999999993" hidden="1" customHeight="1" x14ac:dyDescent="0.2"/>
    <row r="55883" ht="9.9499999999999993" hidden="1" customHeight="1" x14ac:dyDescent="0.2"/>
    <row r="55884" ht="9.9499999999999993" hidden="1" customHeight="1" x14ac:dyDescent="0.2"/>
    <row r="55885" ht="9.9499999999999993" hidden="1" customHeight="1" x14ac:dyDescent="0.2"/>
    <row r="55886" ht="9.9499999999999993" hidden="1" customHeight="1" x14ac:dyDescent="0.2"/>
    <row r="55887" ht="9.9499999999999993" hidden="1" customHeight="1" x14ac:dyDescent="0.2"/>
    <row r="55888" ht="9.9499999999999993" hidden="1" customHeight="1" x14ac:dyDescent="0.2"/>
    <row r="55889" ht="9.9499999999999993" hidden="1" customHeight="1" x14ac:dyDescent="0.2"/>
    <row r="55890" ht="9.9499999999999993" hidden="1" customHeight="1" x14ac:dyDescent="0.2"/>
    <row r="55891" ht="9.9499999999999993" hidden="1" customHeight="1" x14ac:dyDescent="0.2"/>
    <row r="55892" ht="9.9499999999999993" hidden="1" customHeight="1" x14ac:dyDescent="0.2"/>
    <row r="55893" ht="9.9499999999999993" hidden="1" customHeight="1" x14ac:dyDescent="0.2"/>
    <row r="55894" ht="9.9499999999999993" hidden="1" customHeight="1" x14ac:dyDescent="0.2"/>
    <row r="55895" ht="9.9499999999999993" hidden="1" customHeight="1" x14ac:dyDescent="0.2"/>
    <row r="55896" ht="9.9499999999999993" hidden="1" customHeight="1" x14ac:dyDescent="0.2"/>
    <row r="55897" ht="9.9499999999999993" hidden="1" customHeight="1" x14ac:dyDescent="0.2"/>
    <row r="55898" ht="9.9499999999999993" hidden="1" customHeight="1" x14ac:dyDescent="0.2"/>
    <row r="55899" ht="9.9499999999999993" hidden="1" customHeight="1" x14ac:dyDescent="0.2"/>
    <row r="55900" ht="9.9499999999999993" hidden="1" customHeight="1" x14ac:dyDescent="0.2"/>
    <row r="55901" ht="9.9499999999999993" hidden="1" customHeight="1" x14ac:dyDescent="0.2"/>
    <row r="55902" ht="9.9499999999999993" hidden="1" customHeight="1" x14ac:dyDescent="0.2"/>
    <row r="55903" ht="9.9499999999999993" hidden="1" customHeight="1" x14ac:dyDescent="0.2"/>
    <row r="55904" ht="9.9499999999999993" hidden="1" customHeight="1" x14ac:dyDescent="0.2"/>
    <row r="55905" ht="9.9499999999999993" hidden="1" customHeight="1" x14ac:dyDescent="0.2"/>
    <row r="55906" ht="9.9499999999999993" hidden="1" customHeight="1" x14ac:dyDescent="0.2"/>
    <row r="55907" ht="9.9499999999999993" hidden="1" customHeight="1" x14ac:dyDescent="0.2"/>
    <row r="55908" ht="9.9499999999999993" hidden="1" customHeight="1" x14ac:dyDescent="0.2"/>
    <row r="55909" ht="9.9499999999999993" hidden="1" customHeight="1" x14ac:dyDescent="0.2"/>
    <row r="55910" ht="9.9499999999999993" hidden="1" customHeight="1" x14ac:dyDescent="0.2"/>
    <row r="55911" ht="9.9499999999999993" hidden="1" customHeight="1" x14ac:dyDescent="0.2"/>
    <row r="55912" ht="9.9499999999999993" hidden="1" customHeight="1" x14ac:dyDescent="0.2"/>
    <row r="55913" ht="9.9499999999999993" hidden="1" customHeight="1" x14ac:dyDescent="0.2"/>
    <row r="55914" ht="9.9499999999999993" hidden="1" customHeight="1" x14ac:dyDescent="0.2"/>
    <row r="55915" ht="9.9499999999999993" hidden="1" customHeight="1" x14ac:dyDescent="0.2"/>
    <row r="55916" ht="9.9499999999999993" hidden="1" customHeight="1" x14ac:dyDescent="0.2"/>
    <row r="55917" ht="9.9499999999999993" hidden="1" customHeight="1" x14ac:dyDescent="0.2"/>
    <row r="55918" ht="9.9499999999999993" hidden="1" customHeight="1" x14ac:dyDescent="0.2"/>
    <row r="55919" ht="9.9499999999999993" hidden="1" customHeight="1" x14ac:dyDescent="0.2"/>
    <row r="55920" ht="9.9499999999999993" hidden="1" customHeight="1" x14ac:dyDescent="0.2"/>
    <row r="55921" ht="9.9499999999999993" hidden="1" customHeight="1" x14ac:dyDescent="0.2"/>
    <row r="55922" ht="9.9499999999999993" hidden="1" customHeight="1" x14ac:dyDescent="0.2"/>
    <row r="55923" ht="9.9499999999999993" hidden="1" customHeight="1" x14ac:dyDescent="0.2"/>
    <row r="55924" ht="9.9499999999999993" hidden="1" customHeight="1" x14ac:dyDescent="0.2"/>
    <row r="55925" ht="9.9499999999999993" hidden="1" customHeight="1" x14ac:dyDescent="0.2"/>
    <row r="55926" ht="9.9499999999999993" hidden="1" customHeight="1" x14ac:dyDescent="0.2"/>
    <row r="55927" ht="9.9499999999999993" hidden="1" customHeight="1" x14ac:dyDescent="0.2"/>
    <row r="55928" ht="9.9499999999999993" hidden="1" customHeight="1" x14ac:dyDescent="0.2"/>
    <row r="55929" ht="9.9499999999999993" hidden="1" customHeight="1" x14ac:dyDescent="0.2"/>
    <row r="55930" ht="9.9499999999999993" hidden="1" customHeight="1" x14ac:dyDescent="0.2"/>
    <row r="55931" ht="9.9499999999999993" hidden="1" customHeight="1" x14ac:dyDescent="0.2"/>
    <row r="55932" ht="9.9499999999999993" hidden="1" customHeight="1" x14ac:dyDescent="0.2"/>
    <row r="55933" ht="9.9499999999999993" hidden="1" customHeight="1" x14ac:dyDescent="0.2"/>
    <row r="55934" ht="9.9499999999999993" hidden="1" customHeight="1" x14ac:dyDescent="0.2"/>
    <row r="55935" ht="9.9499999999999993" hidden="1" customHeight="1" x14ac:dyDescent="0.2"/>
    <row r="55936" ht="9.9499999999999993" hidden="1" customHeight="1" x14ac:dyDescent="0.2"/>
    <row r="55937" ht="9.9499999999999993" hidden="1" customHeight="1" x14ac:dyDescent="0.2"/>
    <row r="55938" ht="9.9499999999999993" hidden="1" customHeight="1" x14ac:dyDescent="0.2"/>
    <row r="55939" ht="9.9499999999999993" hidden="1" customHeight="1" x14ac:dyDescent="0.2"/>
    <row r="55940" ht="9.9499999999999993" hidden="1" customHeight="1" x14ac:dyDescent="0.2"/>
    <row r="55941" ht="9.9499999999999993" hidden="1" customHeight="1" x14ac:dyDescent="0.2"/>
    <row r="55942" ht="9.9499999999999993" hidden="1" customHeight="1" x14ac:dyDescent="0.2"/>
    <row r="55943" ht="9.9499999999999993" hidden="1" customHeight="1" x14ac:dyDescent="0.2"/>
    <row r="55944" ht="9.9499999999999993" hidden="1" customHeight="1" x14ac:dyDescent="0.2"/>
    <row r="55945" ht="9.9499999999999993" hidden="1" customHeight="1" x14ac:dyDescent="0.2"/>
    <row r="55946" ht="9.9499999999999993" hidden="1" customHeight="1" x14ac:dyDescent="0.2"/>
    <row r="55947" ht="9.9499999999999993" hidden="1" customHeight="1" x14ac:dyDescent="0.2"/>
    <row r="55948" ht="9.9499999999999993" hidden="1" customHeight="1" x14ac:dyDescent="0.2"/>
    <row r="55949" ht="9.9499999999999993" hidden="1" customHeight="1" x14ac:dyDescent="0.2"/>
    <row r="55950" ht="9.9499999999999993" hidden="1" customHeight="1" x14ac:dyDescent="0.2"/>
    <row r="55951" ht="9.9499999999999993" hidden="1" customHeight="1" x14ac:dyDescent="0.2"/>
    <row r="55952" ht="9.9499999999999993" hidden="1" customHeight="1" x14ac:dyDescent="0.2"/>
    <row r="55953" ht="9.9499999999999993" hidden="1" customHeight="1" x14ac:dyDescent="0.2"/>
    <row r="55954" ht="9.9499999999999993" hidden="1" customHeight="1" x14ac:dyDescent="0.2"/>
    <row r="55955" ht="9.9499999999999993" hidden="1" customHeight="1" x14ac:dyDescent="0.2"/>
    <row r="55956" ht="9.9499999999999993" hidden="1" customHeight="1" x14ac:dyDescent="0.2"/>
    <row r="55957" ht="9.9499999999999993" hidden="1" customHeight="1" x14ac:dyDescent="0.2"/>
    <row r="55958" ht="9.9499999999999993" hidden="1" customHeight="1" x14ac:dyDescent="0.2"/>
    <row r="55959" ht="9.9499999999999993" hidden="1" customHeight="1" x14ac:dyDescent="0.2"/>
    <row r="55960" ht="9.9499999999999993" hidden="1" customHeight="1" x14ac:dyDescent="0.2"/>
    <row r="55961" ht="9.9499999999999993" hidden="1" customHeight="1" x14ac:dyDescent="0.2"/>
    <row r="55962" ht="9.9499999999999993" hidden="1" customHeight="1" x14ac:dyDescent="0.2"/>
    <row r="55963" ht="9.9499999999999993" hidden="1" customHeight="1" x14ac:dyDescent="0.2"/>
    <row r="55964" ht="9.9499999999999993" hidden="1" customHeight="1" x14ac:dyDescent="0.2"/>
    <row r="55965" ht="9.9499999999999993" hidden="1" customHeight="1" x14ac:dyDescent="0.2"/>
    <row r="55966" ht="9.9499999999999993" hidden="1" customHeight="1" x14ac:dyDescent="0.2"/>
    <row r="55967" ht="9.9499999999999993" hidden="1" customHeight="1" x14ac:dyDescent="0.2"/>
    <row r="55968" ht="9.9499999999999993" hidden="1" customHeight="1" x14ac:dyDescent="0.2"/>
    <row r="55969" ht="9.9499999999999993" hidden="1" customHeight="1" x14ac:dyDescent="0.2"/>
    <row r="55970" ht="9.9499999999999993" hidden="1" customHeight="1" x14ac:dyDescent="0.2"/>
    <row r="55971" ht="9.9499999999999993" hidden="1" customHeight="1" x14ac:dyDescent="0.2"/>
    <row r="55972" ht="9.9499999999999993" hidden="1" customHeight="1" x14ac:dyDescent="0.2"/>
    <row r="55973" ht="9.9499999999999993" hidden="1" customHeight="1" x14ac:dyDescent="0.2"/>
    <row r="55974" ht="9.9499999999999993" hidden="1" customHeight="1" x14ac:dyDescent="0.2"/>
    <row r="55975" ht="9.9499999999999993" hidden="1" customHeight="1" x14ac:dyDescent="0.2"/>
    <row r="55976" ht="9.9499999999999993" hidden="1" customHeight="1" x14ac:dyDescent="0.2"/>
    <row r="55977" ht="9.9499999999999993" hidden="1" customHeight="1" x14ac:dyDescent="0.2"/>
    <row r="55978" ht="9.9499999999999993" hidden="1" customHeight="1" x14ac:dyDescent="0.2"/>
    <row r="55979" ht="9.9499999999999993" hidden="1" customHeight="1" x14ac:dyDescent="0.2"/>
    <row r="55980" ht="9.9499999999999993" hidden="1" customHeight="1" x14ac:dyDescent="0.2"/>
    <row r="55981" ht="9.9499999999999993" hidden="1" customHeight="1" x14ac:dyDescent="0.2"/>
    <row r="55982" ht="9.9499999999999993" hidden="1" customHeight="1" x14ac:dyDescent="0.2"/>
    <row r="55983" ht="9.9499999999999993" hidden="1" customHeight="1" x14ac:dyDescent="0.2"/>
    <row r="55984" ht="9.9499999999999993" hidden="1" customHeight="1" x14ac:dyDescent="0.2"/>
    <row r="55985" ht="9.9499999999999993" hidden="1" customHeight="1" x14ac:dyDescent="0.2"/>
    <row r="55986" ht="9.9499999999999993" hidden="1" customHeight="1" x14ac:dyDescent="0.2"/>
    <row r="55987" ht="9.9499999999999993" hidden="1" customHeight="1" x14ac:dyDescent="0.2"/>
    <row r="55988" ht="9.9499999999999993" hidden="1" customHeight="1" x14ac:dyDescent="0.2"/>
    <row r="55989" ht="9.9499999999999993" hidden="1" customHeight="1" x14ac:dyDescent="0.2"/>
    <row r="55990" ht="9.9499999999999993" hidden="1" customHeight="1" x14ac:dyDescent="0.2"/>
    <row r="55991" ht="9.9499999999999993" hidden="1" customHeight="1" x14ac:dyDescent="0.2"/>
    <row r="55992" ht="9.9499999999999993" hidden="1" customHeight="1" x14ac:dyDescent="0.2"/>
    <row r="55993" ht="9.9499999999999993" hidden="1" customHeight="1" x14ac:dyDescent="0.2"/>
    <row r="55994" ht="9.9499999999999993" hidden="1" customHeight="1" x14ac:dyDescent="0.2"/>
    <row r="55995" ht="9.9499999999999993" hidden="1" customHeight="1" x14ac:dyDescent="0.2"/>
    <row r="55996" ht="9.9499999999999993" hidden="1" customHeight="1" x14ac:dyDescent="0.2"/>
    <row r="55997" ht="9.9499999999999993" hidden="1" customHeight="1" x14ac:dyDescent="0.2"/>
    <row r="55998" ht="9.9499999999999993" hidden="1" customHeight="1" x14ac:dyDescent="0.2"/>
    <row r="55999" ht="9.9499999999999993" hidden="1" customHeight="1" x14ac:dyDescent="0.2"/>
    <row r="56000" ht="9.9499999999999993" hidden="1" customHeight="1" x14ac:dyDescent="0.2"/>
    <row r="56001" ht="9.9499999999999993" hidden="1" customHeight="1" x14ac:dyDescent="0.2"/>
    <row r="56002" ht="9.9499999999999993" hidden="1" customHeight="1" x14ac:dyDescent="0.2"/>
    <row r="56003" ht="9.9499999999999993" hidden="1" customHeight="1" x14ac:dyDescent="0.2"/>
    <row r="56004" ht="9.9499999999999993" hidden="1" customHeight="1" x14ac:dyDescent="0.2"/>
    <row r="56005" ht="9.9499999999999993" hidden="1" customHeight="1" x14ac:dyDescent="0.2"/>
    <row r="56006" ht="9.9499999999999993" hidden="1" customHeight="1" x14ac:dyDescent="0.2"/>
    <row r="56007" ht="9.9499999999999993" hidden="1" customHeight="1" x14ac:dyDescent="0.2"/>
    <row r="56008" ht="9.9499999999999993" hidden="1" customHeight="1" x14ac:dyDescent="0.2"/>
    <row r="56009" ht="9.9499999999999993" hidden="1" customHeight="1" x14ac:dyDescent="0.2"/>
    <row r="56010" ht="9.9499999999999993" hidden="1" customHeight="1" x14ac:dyDescent="0.2"/>
    <row r="56011" ht="9.9499999999999993" hidden="1" customHeight="1" x14ac:dyDescent="0.2"/>
    <row r="56012" ht="9.9499999999999993" hidden="1" customHeight="1" x14ac:dyDescent="0.2"/>
    <row r="56013" ht="9.9499999999999993" hidden="1" customHeight="1" x14ac:dyDescent="0.2"/>
    <row r="56014" ht="9.9499999999999993" hidden="1" customHeight="1" x14ac:dyDescent="0.2"/>
    <row r="56015" ht="9.9499999999999993" hidden="1" customHeight="1" x14ac:dyDescent="0.2"/>
    <row r="56016" ht="9.9499999999999993" hidden="1" customHeight="1" x14ac:dyDescent="0.2"/>
    <row r="56017" ht="9.9499999999999993" hidden="1" customHeight="1" x14ac:dyDescent="0.2"/>
    <row r="56018" ht="9.9499999999999993" hidden="1" customHeight="1" x14ac:dyDescent="0.2"/>
    <row r="56019" ht="9.9499999999999993" hidden="1" customHeight="1" x14ac:dyDescent="0.2"/>
    <row r="56020" ht="9.9499999999999993" hidden="1" customHeight="1" x14ac:dyDescent="0.2"/>
    <row r="56021" ht="9.9499999999999993" hidden="1" customHeight="1" x14ac:dyDescent="0.2"/>
    <row r="56022" ht="9.9499999999999993" hidden="1" customHeight="1" x14ac:dyDescent="0.2"/>
    <row r="56023" ht="9.9499999999999993" hidden="1" customHeight="1" x14ac:dyDescent="0.2"/>
    <row r="56024" ht="9.9499999999999993" hidden="1" customHeight="1" x14ac:dyDescent="0.2"/>
    <row r="56025" ht="9.9499999999999993" hidden="1" customHeight="1" x14ac:dyDescent="0.2"/>
    <row r="56026" ht="9.9499999999999993" hidden="1" customHeight="1" x14ac:dyDescent="0.2"/>
    <row r="56027" ht="9.9499999999999993" hidden="1" customHeight="1" x14ac:dyDescent="0.2"/>
    <row r="56028" ht="9.9499999999999993" hidden="1" customHeight="1" x14ac:dyDescent="0.2"/>
    <row r="56029" ht="9.9499999999999993" hidden="1" customHeight="1" x14ac:dyDescent="0.2"/>
    <row r="56030" ht="9.9499999999999993" hidden="1" customHeight="1" x14ac:dyDescent="0.2"/>
    <row r="56031" ht="9.9499999999999993" hidden="1" customHeight="1" x14ac:dyDescent="0.2"/>
    <row r="56032" ht="9.9499999999999993" hidden="1" customHeight="1" x14ac:dyDescent="0.2"/>
    <row r="56033" ht="9.9499999999999993" hidden="1" customHeight="1" x14ac:dyDescent="0.2"/>
    <row r="56034" ht="9.9499999999999993" hidden="1" customHeight="1" x14ac:dyDescent="0.2"/>
    <row r="56035" ht="9.9499999999999993" hidden="1" customHeight="1" x14ac:dyDescent="0.2"/>
    <row r="56036" ht="9.9499999999999993" hidden="1" customHeight="1" x14ac:dyDescent="0.2"/>
    <row r="56037" ht="9.9499999999999993" hidden="1" customHeight="1" x14ac:dyDescent="0.2"/>
    <row r="56038" ht="9.9499999999999993" hidden="1" customHeight="1" x14ac:dyDescent="0.2"/>
    <row r="56039" ht="9.9499999999999993" hidden="1" customHeight="1" x14ac:dyDescent="0.2"/>
    <row r="56040" ht="9.9499999999999993" hidden="1" customHeight="1" x14ac:dyDescent="0.2"/>
    <row r="56041" ht="9.9499999999999993" hidden="1" customHeight="1" x14ac:dyDescent="0.2"/>
    <row r="56042" ht="9.9499999999999993" hidden="1" customHeight="1" x14ac:dyDescent="0.2"/>
    <row r="56043" ht="9.9499999999999993" hidden="1" customHeight="1" x14ac:dyDescent="0.2"/>
    <row r="56044" ht="9.9499999999999993" hidden="1" customHeight="1" x14ac:dyDescent="0.2"/>
    <row r="56045" ht="9.9499999999999993" hidden="1" customHeight="1" x14ac:dyDescent="0.2"/>
    <row r="56046" ht="9.9499999999999993" hidden="1" customHeight="1" x14ac:dyDescent="0.2"/>
    <row r="56047" ht="9.9499999999999993" hidden="1" customHeight="1" x14ac:dyDescent="0.2"/>
    <row r="56048" ht="9.9499999999999993" hidden="1" customHeight="1" x14ac:dyDescent="0.2"/>
    <row r="56049" ht="9.9499999999999993" hidden="1" customHeight="1" x14ac:dyDescent="0.2"/>
    <row r="56050" ht="9.9499999999999993" hidden="1" customHeight="1" x14ac:dyDescent="0.2"/>
    <row r="56051" ht="9.9499999999999993" hidden="1" customHeight="1" x14ac:dyDescent="0.2"/>
    <row r="56052" ht="9.9499999999999993" hidden="1" customHeight="1" x14ac:dyDescent="0.2"/>
    <row r="56053" ht="9.9499999999999993" hidden="1" customHeight="1" x14ac:dyDescent="0.2"/>
    <row r="56054" ht="9.9499999999999993" hidden="1" customHeight="1" x14ac:dyDescent="0.2"/>
    <row r="56055" ht="9.9499999999999993" hidden="1" customHeight="1" x14ac:dyDescent="0.2"/>
    <row r="56056" ht="9.9499999999999993" hidden="1" customHeight="1" x14ac:dyDescent="0.2"/>
    <row r="56057" ht="9.9499999999999993" hidden="1" customHeight="1" x14ac:dyDescent="0.2"/>
    <row r="56058" ht="9.9499999999999993" hidden="1" customHeight="1" x14ac:dyDescent="0.2"/>
    <row r="56059" ht="9.9499999999999993" hidden="1" customHeight="1" x14ac:dyDescent="0.2"/>
    <row r="56060" ht="9.9499999999999993" hidden="1" customHeight="1" x14ac:dyDescent="0.2"/>
    <row r="56061" ht="9.9499999999999993" hidden="1" customHeight="1" x14ac:dyDescent="0.2"/>
    <row r="56062" ht="9.9499999999999993" hidden="1" customHeight="1" x14ac:dyDescent="0.2"/>
    <row r="56063" ht="9.9499999999999993" hidden="1" customHeight="1" x14ac:dyDescent="0.2"/>
    <row r="56064" ht="9.9499999999999993" hidden="1" customHeight="1" x14ac:dyDescent="0.2"/>
    <row r="56065" ht="9.9499999999999993" hidden="1" customHeight="1" x14ac:dyDescent="0.2"/>
    <row r="56066" ht="9.9499999999999993" hidden="1" customHeight="1" x14ac:dyDescent="0.2"/>
    <row r="56067" ht="9.9499999999999993" hidden="1" customHeight="1" x14ac:dyDescent="0.2"/>
    <row r="56068" ht="9.9499999999999993" hidden="1" customHeight="1" x14ac:dyDescent="0.2"/>
    <row r="56069" ht="9.9499999999999993" hidden="1" customHeight="1" x14ac:dyDescent="0.2"/>
    <row r="56070" ht="9.9499999999999993" hidden="1" customHeight="1" x14ac:dyDescent="0.2"/>
    <row r="56071" ht="9.9499999999999993" hidden="1" customHeight="1" x14ac:dyDescent="0.2"/>
    <row r="56072" ht="9.9499999999999993" hidden="1" customHeight="1" x14ac:dyDescent="0.2"/>
    <row r="56073" ht="9.9499999999999993" hidden="1" customHeight="1" x14ac:dyDescent="0.2"/>
    <row r="56074" ht="9.9499999999999993" hidden="1" customHeight="1" x14ac:dyDescent="0.2"/>
    <row r="56075" ht="9.9499999999999993" hidden="1" customHeight="1" x14ac:dyDescent="0.2"/>
    <row r="56076" ht="9.9499999999999993" hidden="1" customHeight="1" x14ac:dyDescent="0.2"/>
    <row r="56077" ht="9.9499999999999993" hidden="1" customHeight="1" x14ac:dyDescent="0.2"/>
    <row r="56078" ht="9.9499999999999993" hidden="1" customHeight="1" x14ac:dyDescent="0.2"/>
    <row r="56079" ht="9.9499999999999993" hidden="1" customHeight="1" x14ac:dyDescent="0.2"/>
    <row r="56080" ht="9.9499999999999993" hidden="1" customHeight="1" x14ac:dyDescent="0.2"/>
    <row r="56081" ht="9.9499999999999993" hidden="1" customHeight="1" x14ac:dyDescent="0.2"/>
    <row r="56082" ht="9.9499999999999993" hidden="1" customHeight="1" x14ac:dyDescent="0.2"/>
    <row r="56083" ht="9.9499999999999993" hidden="1" customHeight="1" x14ac:dyDescent="0.2"/>
    <row r="56084" ht="9.9499999999999993" hidden="1" customHeight="1" x14ac:dyDescent="0.2"/>
    <row r="56085" ht="9.9499999999999993" hidden="1" customHeight="1" x14ac:dyDescent="0.2"/>
    <row r="56086" ht="9.9499999999999993" hidden="1" customHeight="1" x14ac:dyDescent="0.2"/>
    <row r="56087" ht="9.9499999999999993" hidden="1" customHeight="1" x14ac:dyDescent="0.2"/>
    <row r="56088" ht="9.9499999999999993" hidden="1" customHeight="1" x14ac:dyDescent="0.2"/>
    <row r="56089" ht="9.9499999999999993" hidden="1" customHeight="1" x14ac:dyDescent="0.2"/>
    <row r="56090" ht="9.9499999999999993" hidden="1" customHeight="1" x14ac:dyDescent="0.2"/>
    <row r="56091" ht="9.9499999999999993" hidden="1" customHeight="1" x14ac:dyDescent="0.2"/>
    <row r="56092" ht="9.9499999999999993" hidden="1" customHeight="1" x14ac:dyDescent="0.2"/>
    <row r="56093" ht="9.9499999999999993" hidden="1" customHeight="1" x14ac:dyDescent="0.2"/>
    <row r="56094" ht="9.9499999999999993" hidden="1" customHeight="1" x14ac:dyDescent="0.2"/>
    <row r="56095" ht="9.9499999999999993" hidden="1" customHeight="1" x14ac:dyDescent="0.2"/>
    <row r="56096" ht="9.9499999999999993" hidden="1" customHeight="1" x14ac:dyDescent="0.2"/>
    <row r="56097" ht="9.9499999999999993" hidden="1" customHeight="1" x14ac:dyDescent="0.2"/>
    <row r="56098" ht="9.9499999999999993" hidden="1" customHeight="1" x14ac:dyDescent="0.2"/>
    <row r="56099" ht="9.9499999999999993" hidden="1" customHeight="1" x14ac:dyDescent="0.2"/>
    <row r="56100" ht="9.9499999999999993" hidden="1" customHeight="1" x14ac:dyDescent="0.2"/>
    <row r="56101" ht="9.9499999999999993" hidden="1" customHeight="1" x14ac:dyDescent="0.2"/>
    <row r="56102" ht="9.9499999999999993" hidden="1" customHeight="1" x14ac:dyDescent="0.2"/>
    <row r="56103" ht="9.9499999999999993" hidden="1" customHeight="1" x14ac:dyDescent="0.2"/>
    <row r="56104" ht="9.9499999999999993" hidden="1" customHeight="1" x14ac:dyDescent="0.2"/>
    <row r="56105" ht="9.9499999999999993" hidden="1" customHeight="1" x14ac:dyDescent="0.2"/>
    <row r="56106" ht="9.9499999999999993" hidden="1" customHeight="1" x14ac:dyDescent="0.2"/>
    <row r="56107" ht="9.9499999999999993" hidden="1" customHeight="1" x14ac:dyDescent="0.2"/>
    <row r="56108" ht="9.9499999999999993" hidden="1" customHeight="1" x14ac:dyDescent="0.2"/>
    <row r="56109" ht="9.9499999999999993" hidden="1" customHeight="1" x14ac:dyDescent="0.2"/>
    <row r="56110" ht="9.9499999999999993" hidden="1" customHeight="1" x14ac:dyDescent="0.2"/>
    <row r="56111" ht="9.9499999999999993" hidden="1" customHeight="1" x14ac:dyDescent="0.2"/>
    <row r="56112" ht="9.9499999999999993" hidden="1" customHeight="1" x14ac:dyDescent="0.2"/>
    <row r="56113" ht="9.9499999999999993" hidden="1" customHeight="1" x14ac:dyDescent="0.2"/>
    <row r="56114" ht="9.9499999999999993" hidden="1" customHeight="1" x14ac:dyDescent="0.2"/>
    <row r="56115" ht="9.9499999999999993" hidden="1" customHeight="1" x14ac:dyDescent="0.2"/>
    <row r="56116" ht="9.9499999999999993" hidden="1" customHeight="1" x14ac:dyDescent="0.2"/>
    <row r="56117" ht="9.9499999999999993" hidden="1" customHeight="1" x14ac:dyDescent="0.2"/>
    <row r="56118" ht="9.9499999999999993" hidden="1" customHeight="1" x14ac:dyDescent="0.2"/>
    <row r="56119" ht="9.9499999999999993" hidden="1" customHeight="1" x14ac:dyDescent="0.2"/>
    <row r="56120" ht="9.9499999999999993" hidden="1" customHeight="1" x14ac:dyDescent="0.2"/>
    <row r="56121" ht="9.9499999999999993" hidden="1" customHeight="1" x14ac:dyDescent="0.2"/>
    <row r="56122" ht="9.9499999999999993" hidden="1" customHeight="1" x14ac:dyDescent="0.2"/>
    <row r="56123" ht="9.9499999999999993" hidden="1" customHeight="1" x14ac:dyDescent="0.2"/>
    <row r="56124" ht="9.9499999999999993" hidden="1" customHeight="1" x14ac:dyDescent="0.2"/>
    <row r="56125" ht="9.9499999999999993" hidden="1" customHeight="1" x14ac:dyDescent="0.2"/>
    <row r="56126" ht="9.9499999999999993" hidden="1" customHeight="1" x14ac:dyDescent="0.2"/>
    <row r="56127" ht="9.9499999999999993" hidden="1" customHeight="1" x14ac:dyDescent="0.2"/>
    <row r="56128" ht="9.9499999999999993" hidden="1" customHeight="1" x14ac:dyDescent="0.2"/>
    <row r="56129" ht="9.9499999999999993" hidden="1" customHeight="1" x14ac:dyDescent="0.2"/>
    <row r="56130" ht="9.9499999999999993" hidden="1" customHeight="1" x14ac:dyDescent="0.2"/>
    <row r="56131" ht="9.9499999999999993" hidden="1" customHeight="1" x14ac:dyDescent="0.2"/>
    <row r="56132" ht="9.9499999999999993" hidden="1" customHeight="1" x14ac:dyDescent="0.2"/>
    <row r="56133" ht="9.9499999999999993" hidden="1" customHeight="1" x14ac:dyDescent="0.2"/>
    <row r="56134" ht="9.9499999999999993" hidden="1" customHeight="1" x14ac:dyDescent="0.2"/>
    <row r="56135" ht="9.9499999999999993" hidden="1" customHeight="1" x14ac:dyDescent="0.2"/>
    <row r="56136" ht="9.9499999999999993" hidden="1" customHeight="1" x14ac:dyDescent="0.2"/>
    <row r="56137" ht="9.9499999999999993" hidden="1" customHeight="1" x14ac:dyDescent="0.2"/>
    <row r="56138" ht="9.9499999999999993" hidden="1" customHeight="1" x14ac:dyDescent="0.2"/>
    <row r="56139" ht="9.9499999999999993" hidden="1" customHeight="1" x14ac:dyDescent="0.2"/>
    <row r="56140" ht="9.9499999999999993" hidden="1" customHeight="1" x14ac:dyDescent="0.2"/>
    <row r="56141" ht="9.9499999999999993" hidden="1" customHeight="1" x14ac:dyDescent="0.2"/>
    <row r="56142" ht="9.9499999999999993" hidden="1" customHeight="1" x14ac:dyDescent="0.2"/>
    <row r="56143" ht="9.9499999999999993" hidden="1" customHeight="1" x14ac:dyDescent="0.2"/>
    <row r="56144" ht="9.9499999999999993" hidden="1" customHeight="1" x14ac:dyDescent="0.2"/>
    <row r="56145" ht="9.9499999999999993" hidden="1" customHeight="1" x14ac:dyDescent="0.2"/>
    <row r="56146" ht="9.9499999999999993" hidden="1" customHeight="1" x14ac:dyDescent="0.2"/>
    <row r="56147" ht="9.9499999999999993" hidden="1" customHeight="1" x14ac:dyDescent="0.2"/>
    <row r="56148" ht="9.9499999999999993" hidden="1" customHeight="1" x14ac:dyDescent="0.2"/>
    <row r="56149" ht="9.9499999999999993" hidden="1" customHeight="1" x14ac:dyDescent="0.2"/>
    <row r="56150" ht="9.9499999999999993" hidden="1" customHeight="1" x14ac:dyDescent="0.2"/>
    <row r="56151" ht="9.9499999999999993" hidden="1" customHeight="1" x14ac:dyDescent="0.2"/>
    <row r="56152" ht="9.9499999999999993" hidden="1" customHeight="1" x14ac:dyDescent="0.2"/>
    <row r="56153" ht="9.9499999999999993" hidden="1" customHeight="1" x14ac:dyDescent="0.2"/>
    <row r="56154" ht="9.9499999999999993" hidden="1" customHeight="1" x14ac:dyDescent="0.2"/>
    <row r="56155" ht="9.9499999999999993" hidden="1" customHeight="1" x14ac:dyDescent="0.2"/>
    <row r="56156" ht="9.9499999999999993" hidden="1" customHeight="1" x14ac:dyDescent="0.2"/>
    <row r="56157" ht="9.9499999999999993" hidden="1" customHeight="1" x14ac:dyDescent="0.2"/>
    <row r="56158" ht="9.9499999999999993" hidden="1" customHeight="1" x14ac:dyDescent="0.2"/>
    <row r="56159" ht="9.9499999999999993" hidden="1" customHeight="1" x14ac:dyDescent="0.2"/>
    <row r="56160" ht="9.9499999999999993" hidden="1" customHeight="1" x14ac:dyDescent="0.2"/>
    <row r="56161" ht="9.9499999999999993" hidden="1" customHeight="1" x14ac:dyDescent="0.2"/>
    <row r="56162" ht="9.9499999999999993" hidden="1" customHeight="1" x14ac:dyDescent="0.2"/>
    <row r="56163" ht="9.9499999999999993" hidden="1" customHeight="1" x14ac:dyDescent="0.2"/>
    <row r="56164" ht="9.9499999999999993" hidden="1" customHeight="1" x14ac:dyDescent="0.2"/>
    <row r="56165" ht="9.9499999999999993" hidden="1" customHeight="1" x14ac:dyDescent="0.2"/>
    <row r="56166" ht="9.9499999999999993" hidden="1" customHeight="1" x14ac:dyDescent="0.2"/>
    <row r="56167" ht="9.9499999999999993" hidden="1" customHeight="1" x14ac:dyDescent="0.2"/>
    <row r="56168" ht="9.9499999999999993" hidden="1" customHeight="1" x14ac:dyDescent="0.2"/>
    <row r="56169" ht="9.9499999999999993" hidden="1" customHeight="1" x14ac:dyDescent="0.2"/>
    <row r="56170" ht="9.9499999999999993" hidden="1" customHeight="1" x14ac:dyDescent="0.2"/>
    <row r="56171" ht="9.9499999999999993" hidden="1" customHeight="1" x14ac:dyDescent="0.2"/>
    <row r="56172" ht="9.9499999999999993" hidden="1" customHeight="1" x14ac:dyDescent="0.2"/>
    <row r="56173" ht="9.9499999999999993" hidden="1" customHeight="1" x14ac:dyDescent="0.2"/>
    <row r="56174" ht="9.9499999999999993" hidden="1" customHeight="1" x14ac:dyDescent="0.2"/>
    <row r="56175" ht="9.9499999999999993" hidden="1" customHeight="1" x14ac:dyDescent="0.2"/>
    <row r="56176" ht="9.9499999999999993" hidden="1" customHeight="1" x14ac:dyDescent="0.2"/>
    <row r="56177" ht="9.9499999999999993" hidden="1" customHeight="1" x14ac:dyDescent="0.2"/>
    <row r="56178" ht="9.9499999999999993" hidden="1" customHeight="1" x14ac:dyDescent="0.2"/>
    <row r="56179" ht="9.9499999999999993" hidden="1" customHeight="1" x14ac:dyDescent="0.2"/>
    <row r="56180" ht="9.9499999999999993" hidden="1" customHeight="1" x14ac:dyDescent="0.2"/>
    <row r="56181" ht="9.9499999999999993" hidden="1" customHeight="1" x14ac:dyDescent="0.2"/>
    <row r="56182" ht="9.9499999999999993" hidden="1" customHeight="1" x14ac:dyDescent="0.2"/>
    <row r="56183" ht="9.9499999999999993" hidden="1" customHeight="1" x14ac:dyDescent="0.2"/>
    <row r="56184" ht="9.9499999999999993" hidden="1" customHeight="1" x14ac:dyDescent="0.2"/>
    <row r="56185" ht="9.9499999999999993" hidden="1" customHeight="1" x14ac:dyDescent="0.2"/>
    <row r="56186" ht="9.9499999999999993" hidden="1" customHeight="1" x14ac:dyDescent="0.2"/>
    <row r="56187" ht="9.9499999999999993" hidden="1" customHeight="1" x14ac:dyDescent="0.2"/>
    <row r="56188" ht="9.9499999999999993" hidden="1" customHeight="1" x14ac:dyDescent="0.2"/>
    <row r="56189" ht="9.9499999999999993" hidden="1" customHeight="1" x14ac:dyDescent="0.2"/>
    <row r="56190" ht="9.9499999999999993" hidden="1" customHeight="1" x14ac:dyDescent="0.2"/>
    <row r="56191" ht="9.9499999999999993" hidden="1" customHeight="1" x14ac:dyDescent="0.2"/>
    <row r="56192" ht="9.9499999999999993" hidden="1" customHeight="1" x14ac:dyDescent="0.2"/>
    <row r="56193" ht="9.9499999999999993" hidden="1" customHeight="1" x14ac:dyDescent="0.2"/>
    <row r="56194" ht="9.9499999999999993" hidden="1" customHeight="1" x14ac:dyDescent="0.2"/>
    <row r="56195" ht="9.9499999999999993" hidden="1" customHeight="1" x14ac:dyDescent="0.2"/>
    <row r="56196" ht="9.9499999999999993" hidden="1" customHeight="1" x14ac:dyDescent="0.2"/>
    <row r="56197" ht="9.9499999999999993" hidden="1" customHeight="1" x14ac:dyDescent="0.2"/>
    <row r="56198" ht="9.9499999999999993" hidden="1" customHeight="1" x14ac:dyDescent="0.2"/>
    <row r="56199" ht="9.9499999999999993" hidden="1" customHeight="1" x14ac:dyDescent="0.2"/>
    <row r="56200" ht="9.9499999999999993" hidden="1" customHeight="1" x14ac:dyDescent="0.2"/>
    <row r="56201" ht="9.9499999999999993" hidden="1" customHeight="1" x14ac:dyDescent="0.2"/>
    <row r="56202" ht="9.9499999999999993" hidden="1" customHeight="1" x14ac:dyDescent="0.2"/>
    <row r="56203" ht="9.9499999999999993" hidden="1" customHeight="1" x14ac:dyDescent="0.2"/>
    <row r="56204" ht="9.9499999999999993" hidden="1" customHeight="1" x14ac:dyDescent="0.2"/>
    <row r="56205" ht="9.9499999999999993" hidden="1" customHeight="1" x14ac:dyDescent="0.2"/>
    <row r="56206" ht="9.9499999999999993" hidden="1" customHeight="1" x14ac:dyDescent="0.2"/>
    <row r="56207" ht="9.9499999999999993" hidden="1" customHeight="1" x14ac:dyDescent="0.2"/>
    <row r="56208" ht="9.9499999999999993" hidden="1" customHeight="1" x14ac:dyDescent="0.2"/>
    <row r="56209" ht="9.9499999999999993" hidden="1" customHeight="1" x14ac:dyDescent="0.2"/>
    <row r="56210" ht="9.9499999999999993" hidden="1" customHeight="1" x14ac:dyDescent="0.2"/>
    <row r="56211" ht="9.9499999999999993" hidden="1" customHeight="1" x14ac:dyDescent="0.2"/>
    <row r="56212" ht="9.9499999999999993" hidden="1" customHeight="1" x14ac:dyDescent="0.2"/>
    <row r="56213" ht="9.9499999999999993" hidden="1" customHeight="1" x14ac:dyDescent="0.2"/>
    <row r="56214" ht="9.9499999999999993" hidden="1" customHeight="1" x14ac:dyDescent="0.2"/>
    <row r="56215" ht="9.9499999999999993" hidden="1" customHeight="1" x14ac:dyDescent="0.2"/>
    <row r="56216" ht="9.9499999999999993" hidden="1" customHeight="1" x14ac:dyDescent="0.2"/>
    <row r="56217" ht="9.9499999999999993" hidden="1" customHeight="1" x14ac:dyDescent="0.2"/>
    <row r="56218" ht="9.9499999999999993" hidden="1" customHeight="1" x14ac:dyDescent="0.2"/>
    <row r="56219" ht="9.9499999999999993" hidden="1" customHeight="1" x14ac:dyDescent="0.2"/>
    <row r="56220" ht="9.9499999999999993" hidden="1" customHeight="1" x14ac:dyDescent="0.2"/>
    <row r="56221" ht="9.9499999999999993" hidden="1" customHeight="1" x14ac:dyDescent="0.2"/>
    <row r="56222" ht="9.9499999999999993" hidden="1" customHeight="1" x14ac:dyDescent="0.2"/>
    <row r="56223" ht="9.9499999999999993" hidden="1" customHeight="1" x14ac:dyDescent="0.2"/>
    <row r="56224" ht="9.9499999999999993" hidden="1" customHeight="1" x14ac:dyDescent="0.2"/>
    <row r="56225" ht="9.9499999999999993" hidden="1" customHeight="1" x14ac:dyDescent="0.2"/>
    <row r="56226" ht="9.9499999999999993" hidden="1" customHeight="1" x14ac:dyDescent="0.2"/>
    <row r="56227" ht="9.9499999999999993" hidden="1" customHeight="1" x14ac:dyDescent="0.2"/>
    <row r="56228" ht="9.9499999999999993" hidden="1" customHeight="1" x14ac:dyDescent="0.2"/>
    <row r="56229" ht="9.9499999999999993" hidden="1" customHeight="1" x14ac:dyDescent="0.2"/>
    <row r="56230" ht="9.9499999999999993" hidden="1" customHeight="1" x14ac:dyDescent="0.2"/>
    <row r="56231" ht="9.9499999999999993" hidden="1" customHeight="1" x14ac:dyDescent="0.2"/>
    <row r="56232" ht="9.9499999999999993" hidden="1" customHeight="1" x14ac:dyDescent="0.2"/>
    <row r="56233" ht="9.9499999999999993" hidden="1" customHeight="1" x14ac:dyDescent="0.2"/>
    <row r="56234" ht="9.9499999999999993" hidden="1" customHeight="1" x14ac:dyDescent="0.2"/>
    <row r="56235" ht="9.9499999999999993" hidden="1" customHeight="1" x14ac:dyDescent="0.2"/>
    <row r="56236" ht="9.9499999999999993" hidden="1" customHeight="1" x14ac:dyDescent="0.2"/>
    <row r="56237" ht="9.9499999999999993" hidden="1" customHeight="1" x14ac:dyDescent="0.2"/>
    <row r="56238" ht="9.9499999999999993" hidden="1" customHeight="1" x14ac:dyDescent="0.2"/>
    <row r="56239" ht="9.9499999999999993" hidden="1" customHeight="1" x14ac:dyDescent="0.2"/>
    <row r="56240" ht="9.9499999999999993" hidden="1" customHeight="1" x14ac:dyDescent="0.2"/>
    <row r="56241" ht="9.9499999999999993" hidden="1" customHeight="1" x14ac:dyDescent="0.2"/>
    <row r="56242" ht="9.9499999999999993" hidden="1" customHeight="1" x14ac:dyDescent="0.2"/>
    <row r="56243" ht="9.9499999999999993" hidden="1" customHeight="1" x14ac:dyDescent="0.2"/>
    <row r="56244" ht="9.9499999999999993" hidden="1" customHeight="1" x14ac:dyDescent="0.2"/>
    <row r="56245" ht="9.9499999999999993" hidden="1" customHeight="1" x14ac:dyDescent="0.2"/>
    <row r="56246" ht="9.9499999999999993" hidden="1" customHeight="1" x14ac:dyDescent="0.2"/>
    <row r="56247" ht="9.9499999999999993" hidden="1" customHeight="1" x14ac:dyDescent="0.2"/>
    <row r="56248" ht="9.9499999999999993" hidden="1" customHeight="1" x14ac:dyDescent="0.2"/>
    <row r="56249" ht="9.9499999999999993" hidden="1" customHeight="1" x14ac:dyDescent="0.2"/>
    <row r="56250" ht="9.9499999999999993" hidden="1" customHeight="1" x14ac:dyDescent="0.2"/>
    <row r="56251" ht="9.9499999999999993" hidden="1" customHeight="1" x14ac:dyDescent="0.2"/>
    <row r="56252" ht="9.9499999999999993" hidden="1" customHeight="1" x14ac:dyDescent="0.2"/>
    <row r="56253" ht="9.9499999999999993" hidden="1" customHeight="1" x14ac:dyDescent="0.2"/>
    <row r="56254" ht="9.9499999999999993" hidden="1" customHeight="1" x14ac:dyDescent="0.2"/>
    <row r="56255" ht="9.9499999999999993" hidden="1" customHeight="1" x14ac:dyDescent="0.2"/>
    <row r="56256" ht="9.9499999999999993" hidden="1" customHeight="1" x14ac:dyDescent="0.2"/>
    <row r="56257" ht="9.9499999999999993" hidden="1" customHeight="1" x14ac:dyDescent="0.2"/>
    <row r="56258" ht="9.9499999999999993" hidden="1" customHeight="1" x14ac:dyDescent="0.2"/>
    <row r="56259" ht="9.9499999999999993" hidden="1" customHeight="1" x14ac:dyDescent="0.2"/>
    <row r="56260" ht="9.9499999999999993" hidden="1" customHeight="1" x14ac:dyDescent="0.2"/>
    <row r="56261" ht="9.9499999999999993" hidden="1" customHeight="1" x14ac:dyDescent="0.2"/>
    <row r="56262" ht="9.9499999999999993" hidden="1" customHeight="1" x14ac:dyDescent="0.2"/>
    <row r="56263" ht="9.9499999999999993" hidden="1" customHeight="1" x14ac:dyDescent="0.2"/>
    <row r="56264" ht="9.9499999999999993" hidden="1" customHeight="1" x14ac:dyDescent="0.2"/>
    <row r="56265" ht="9.9499999999999993" hidden="1" customHeight="1" x14ac:dyDescent="0.2"/>
    <row r="56266" ht="9.9499999999999993" hidden="1" customHeight="1" x14ac:dyDescent="0.2"/>
    <row r="56267" ht="9.9499999999999993" hidden="1" customHeight="1" x14ac:dyDescent="0.2"/>
    <row r="56268" ht="9.9499999999999993" hidden="1" customHeight="1" x14ac:dyDescent="0.2"/>
    <row r="56269" ht="9.9499999999999993" hidden="1" customHeight="1" x14ac:dyDescent="0.2"/>
    <row r="56270" ht="9.9499999999999993" hidden="1" customHeight="1" x14ac:dyDescent="0.2"/>
    <row r="56271" ht="9.9499999999999993" hidden="1" customHeight="1" x14ac:dyDescent="0.2"/>
    <row r="56272" ht="9.9499999999999993" hidden="1" customHeight="1" x14ac:dyDescent="0.2"/>
    <row r="56273" ht="9.9499999999999993" hidden="1" customHeight="1" x14ac:dyDescent="0.2"/>
    <row r="56274" ht="9.9499999999999993" hidden="1" customHeight="1" x14ac:dyDescent="0.2"/>
    <row r="56275" ht="9.9499999999999993" hidden="1" customHeight="1" x14ac:dyDescent="0.2"/>
    <row r="56276" ht="9.9499999999999993" hidden="1" customHeight="1" x14ac:dyDescent="0.2"/>
    <row r="56277" ht="9.9499999999999993" hidden="1" customHeight="1" x14ac:dyDescent="0.2"/>
    <row r="56278" ht="9.9499999999999993" hidden="1" customHeight="1" x14ac:dyDescent="0.2"/>
    <row r="56279" ht="9.9499999999999993" hidden="1" customHeight="1" x14ac:dyDescent="0.2"/>
    <row r="56280" ht="9.9499999999999993" hidden="1" customHeight="1" x14ac:dyDescent="0.2"/>
    <row r="56281" ht="9.9499999999999993" hidden="1" customHeight="1" x14ac:dyDescent="0.2"/>
    <row r="56282" ht="9.9499999999999993" hidden="1" customHeight="1" x14ac:dyDescent="0.2"/>
    <row r="56283" ht="9.9499999999999993" hidden="1" customHeight="1" x14ac:dyDescent="0.2"/>
    <row r="56284" ht="9.9499999999999993" hidden="1" customHeight="1" x14ac:dyDescent="0.2"/>
    <row r="56285" ht="9.9499999999999993" hidden="1" customHeight="1" x14ac:dyDescent="0.2"/>
    <row r="56286" ht="9.9499999999999993" hidden="1" customHeight="1" x14ac:dyDescent="0.2"/>
    <row r="56287" ht="9.9499999999999993" hidden="1" customHeight="1" x14ac:dyDescent="0.2"/>
    <row r="56288" ht="9.9499999999999993" hidden="1" customHeight="1" x14ac:dyDescent="0.2"/>
    <row r="56289" ht="9.9499999999999993" hidden="1" customHeight="1" x14ac:dyDescent="0.2"/>
    <row r="56290" ht="9.9499999999999993" hidden="1" customHeight="1" x14ac:dyDescent="0.2"/>
    <row r="56291" ht="9.9499999999999993" hidden="1" customHeight="1" x14ac:dyDescent="0.2"/>
    <row r="56292" ht="9.9499999999999993" hidden="1" customHeight="1" x14ac:dyDescent="0.2"/>
    <row r="56293" ht="9.9499999999999993" hidden="1" customHeight="1" x14ac:dyDescent="0.2"/>
    <row r="56294" ht="9.9499999999999993" hidden="1" customHeight="1" x14ac:dyDescent="0.2"/>
    <row r="56295" ht="9.9499999999999993" hidden="1" customHeight="1" x14ac:dyDescent="0.2"/>
    <row r="56296" ht="9.9499999999999993" hidden="1" customHeight="1" x14ac:dyDescent="0.2"/>
    <row r="56297" ht="9.9499999999999993" hidden="1" customHeight="1" x14ac:dyDescent="0.2"/>
    <row r="56298" ht="9.9499999999999993" hidden="1" customHeight="1" x14ac:dyDescent="0.2"/>
    <row r="56299" ht="9.9499999999999993" hidden="1" customHeight="1" x14ac:dyDescent="0.2"/>
    <row r="56300" ht="9.9499999999999993" hidden="1" customHeight="1" x14ac:dyDescent="0.2"/>
    <row r="56301" ht="9.9499999999999993" hidden="1" customHeight="1" x14ac:dyDescent="0.2"/>
    <row r="56302" ht="9.9499999999999993" hidden="1" customHeight="1" x14ac:dyDescent="0.2"/>
    <row r="56303" ht="9.9499999999999993" hidden="1" customHeight="1" x14ac:dyDescent="0.2"/>
    <row r="56304" ht="9.9499999999999993" hidden="1" customHeight="1" x14ac:dyDescent="0.2"/>
    <row r="56305" ht="9.9499999999999993" hidden="1" customHeight="1" x14ac:dyDescent="0.2"/>
    <row r="56306" ht="9.9499999999999993" hidden="1" customHeight="1" x14ac:dyDescent="0.2"/>
    <row r="56307" ht="9.9499999999999993" hidden="1" customHeight="1" x14ac:dyDescent="0.2"/>
    <row r="56308" ht="9.9499999999999993" hidden="1" customHeight="1" x14ac:dyDescent="0.2"/>
    <row r="56309" ht="9.9499999999999993" hidden="1" customHeight="1" x14ac:dyDescent="0.2"/>
    <row r="56310" ht="9.9499999999999993" hidden="1" customHeight="1" x14ac:dyDescent="0.2"/>
    <row r="56311" ht="9.9499999999999993" hidden="1" customHeight="1" x14ac:dyDescent="0.2"/>
    <row r="56312" ht="9.9499999999999993" hidden="1" customHeight="1" x14ac:dyDescent="0.2"/>
    <row r="56313" ht="9.9499999999999993" hidden="1" customHeight="1" x14ac:dyDescent="0.2"/>
    <row r="56314" ht="9.9499999999999993" hidden="1" customHeight="1" x14ac:dyDescent="0.2"/>
    <row r="56315" ht="9.9499999999999993" hidden="1" customHeight="1" x14ac:dyDescent="0.2"/>
    <row r="56316" ht="9.9499999999999993" hidden="1" customHeight="1" x14ac:dyDescent="0.2"/>
    <row r="56317" ht="9.9499999999999993" hidden="1" customHeight="1" x14ac:dyDescent="0.2"/>
    <row r="56318" ht="9.9499999999999993" hidden="1" customHeight="1" x14ac:dyDescent="0.2"/>
    <row r="56319" ht="9.9499999999999993" hidden="1" customHeight="1" x14ac:dyDescent="0.2"/>
    <row r="56320" ht="9.9499999999999993" hidden="1" customHeight="1" x14ac:dyDescent="0.2"/>
    <row r="56321" ht="9.9499999999999993" hidden="1" customHeight="1" x14ac:dyDescent="0.2"/>
    <row r="56322" ht="9.9499999999999993" hidden="1" customHeight="1" x14ac:dyDescent="0.2"/>
    <row r="56323" ht="9.9499999999999993" hidden="1" customHeight="1" x14ac:dyDescent="0.2"/>
    <row r="56324" ht="9.9499999999999993" hidden="1" customHeight="1" x14ac:dyDescent="0.2"/>
    <row r="56325" ht="9.9499999999999993" hidden="1" customHeight="1" x14ac:dyDescent="0.2"/>
    <row r="56326" ht="9.9499999999999993" hidden="1" customHeight="1" x14ac:dyDescent="0.2"/>
    <row r="56327" ht="9.9499999999999993" hidden="1" customHeight="1" x14ac:dyDescent="0.2"/>
    <row r="56328" ht="9.9499999999999993" hidden="1" customHeight="1" x14ac:dyDescent="0.2"/>
    <row r="56329" ht="9.9499999999999993" hidden="1" customHeight="1" x14ac:dyDescent="0.2"/>
    <row r="56330" ht="9.9499999999999993" hidden="1" customHeight="1" x14ac:dyDescent="0.2"/>
    <row r="56331" ht="9.9499999999999993" hidden="1" customHeight="1" x14ac:dyDescent="0.2"/>
    <row r="56332" ht="9.9499999999999993" hidden="1" customHeight="1" x14ac:dyDescent="0.2"/>
    <row r="56333" ht="9.9499999999999993" hidden="1" customHeight="1" x14ac:dyDescent="0.2"/>
    <row r="56334" ht="9.9499999999999993" hidden="1" customHeight="1" x14ac:dyDescent="0.2"/>
    <row r="56335" ht="9.9499999999999993" hidden="1" customHeight="1" x14ac:dyDescent="0.2"/>
    <row r="56336" ht="9.9499999999999993" hidden="1" customHeight="1" x14ac:dyDescent="0.2"/>
    <row r="56337" ht="9.9499999999999993" hidden="1" customHeight="1" x14ac:dyDescent="0.2"/>
    <row r="56338" ht="9.9499999999999993" hidden="1" customHeight="1" x14ac:dyDescent="0.2"/>
    <row r="56339" ht="9.9499999999999993" hidden="1" customHeight="1" x14ac:dyDescent="0.2"/>
    <row r="56340" ht="9.9499999999999993" hidden="1" customHeight="1" x14ac:dyDescent="0.2"/>
    <row r="56341" ht="9.9499999999999993" hidden="1" customHeight="1" x14ac:dyDescent="0.2"/>
    <row r="56342" ht="9.9499999999999993" hidden="1" customHeight="1" x14ac:dyDescent="0.2"/>
    <row r="56343" ht="9.9499999999999993" hidden="1" customHeight="1" x14ac:dyDescent="0.2"/>
    <row r="56344" ht="9.9499999999999993" hidden="1" customHeight="1" x14ac:dyDescent="0.2"/>
    <row r="56345" ht="9.9499999999999993" hidden="1" customHeight="1" x14ac:dyDescent="0.2"/>
    <row r="56346" ht="9.9499999999999993" hidden="1" customHeight="1" x14ac:dyDescent="0.2"/>
    <row r="56347" ht="9.9499999999999993" hidden="1" customHeight="1" x14ac:dyDescent="0.2"/>
    <row r="56348" ht="9.9499999999999993" hidden="1" customHeight="1" x14ac:dyDescent="0.2"/>
    <row r="56349" ht="9.9499999999999993" hidden="1" customHeight="1" x14ac:dyDescent="0.2"/>
    <row r="56350" ht="9.9499999999999993" hidden="1" customHeight="1" x14ac:dyDescent="0.2"/>
    <row r="56351" ht="9.9499999999999993" hidden="1" customHeight="1" x14ac:dyDescent="0.2"/>
    <row r="56352" ht="9.9499999999999993" hidden="1" customHeight="1" x14ac:dyDescent="0.2"/>
    <row r="56353" ht="9.9499999999999993" hidden="1" customHeight="1" x14ac:dyDescent="0.2"/>
    <row r="56354" ht="9.9499999999999993" hidden="1" customHeight="1" x14ac:dyDescent="0.2"/>
    <row r="56355" ht="9.9499999999999993" hidden="1" customHeight="1" x14ac:dyDescent="0.2"/>
    <row r="56356" ht="9.9499999999999993" hidden="1" customHeight="1" x14ac:dyDescent="0.2"/>
    <row r="56357" ht="9.9499999999999993" hidden="1" customHeight="1" x14ac:dyDescent="0.2"/>
    <row r="56358" ht="9.9499999999999993" hidden="1" customHeight="1" x14ac:dyDescent="0.2"/>
    <row r="56359" ht="9.9499999999999993" hidden="1" customHeight="1" x14ac:dyDescent="0.2"/>
    <row r="56360" ht="9.9499999999999993" hidden="1" customHeight="1" x14ac:dyDescent="0.2"/>
    <row r="56361" ht="9.9499999999999993" hidden="1" customHeight="1" x14ac:dyDescent="0.2"/>
    <row r="56362" ht="9.9499999999999993" hidden="1" customHeight="1" x14ac:dyDescent="0.2"/>
    <row r="56363" ht="9.9499999999999993" hidden="1" customHeight="1" x14ac:dyDescent="0.2"/>
    <row r="56364" ht="9.9499999999999993" hidden="1" customHeight="1" x14ac:dyDescent="0.2"/>
    <row r="56365" ht="9.9499999999999993" hidden="1" customHeight="1" x14ac:dyDescent="0.2"/>
    <row r="56366" ht="9.9499999999999993" hidden="1" customHeight="1" x14ac:dyDescent="0.2"/>
    <row r="56367" ht="9.9499999999999993" hidden="1" customHeight="1" x14ac:dyDescent="0.2"/>
    <row r="56368" ht="9.9499999999999993" hidden="1" customHeight="1" x14ac:dyDescent="0.2"/>
    <row r="56369" ht="9.9499999999999993" hidden="1" customHeight="1" x14ac:dyDescent="0.2"/>
    <row r="56370" ht="9.9499999999999993" hidden="1" customHeight="1" x14ac:dyDescent="0.2"/>
    <row r="56371" ht="9.9499999999999993" hidden="1" customHeight="1" x14ac:dyDescent="0.2"/>
    <row r="56372" ht="9.9499999999999993" hidden="1" customHeight="1" x14ac:dyDescent="0.2"/>
    <row r="56373" ht="9.9499999999999993" hidden="1" customHeight="1" x14ac:dyDescent="0.2"/>
    <row r="56374" ht="9.9499999999999993" hidden="1" customHeight="1" x14ac:dyDescent="0.2"/>
    <row r="56375" ht="9.9499999999999993" hidden="1" customHeight="1" x14ac:dyDescent="0.2"/>
    <row r="56376" ht="9.9499999999999993" hidden="1" customHeight="1" x14ac:dyDescent="0.2"/>
    <row r="56377" ht="9.9499999999999993" hidden="1" customHeight="1" x14ac:dyDescent="0.2"/>
    <row r="56378" ht="9.9499999999999993" hidden="1" customHeight="1" x14ac:dyDescent="0.2"/>
    <row r="56379" ht="9.9499999999999993" hidden="1" customHeight="1" x14ac:dyDescent="0.2"/>
    <row r="56380" ht="9.9499999999999993" hidden="1" customHeight="1" x14ac:dyDescent="0.2"/>
    <row r="56381" ht="9.9499999999999993" hidden="1" customHeight="1" x14ac:dyDescent="0.2"/>
    <row r="56382" ht="9.9499999999999993" hidden="1" customHeight="1" x14ac:dyDescent="0.2"/>
    <row r="56383" ht="9.9499999999999993" hidden="1" customHeight="1" x14ac:dyDescent="0.2"/>
    <row r="56384" ht="9.9499999999999993" hidden="1" customHeight="1" x14ac:dyDescent="0.2"/>
    <row r="56385" ht="9.9499999999999993" hidden="1" customHeight="1" x14ac:dyDescent="0.2"/>
    <row r="56386" ht="9.9499999999999993" hidden="1" customHeight="1" x14ac:dyDescent="0.2"/>
    <row r="56387" ht="9.9499999999999993" hidden="1" customHeight="1" x14ac:dyDescent="0.2"/>
    <row r="56388" ht="9.9499999999999993" hidden="1" customHeight="1" x14ac:dyDescent="0.2"/>
    <row r="56389" ht="9.9499999999999993" hidden="1" customHeight="1" x14ac:dyDescent="0.2"/>
    <row r="56390" ht="9.9499999999999993" hidden="1" customHeight="1" x14ac:dyDescent="0.2"/>
    <row r="56391" ht="9.9499999999999993" hidden="1" customHeight="1" x14ac:dyDescent="0.2"/>
    <row r="56392" ht="9.9499999999999993" hidden="1" customHeight="1" x14ac:dyDescent="0.2"/>
    <row r="56393" ht="9.9499999999999993" hidden="1" customHeight="1" x14ac:dyDescent="0.2"/>
    <row r="56394" ht="9.9499999999999993" hidden="1" customHeight="1" x14ac:dyDescent="0.2"/>
    <row r="56395" ht="9.9499999999999993" hidden="1" customHeight="1" x14ac:dyDescent="0.2"/>
    <row r="56396" ht="9.9499999999999993" hidden="1" customHeight="1" x14ac:dyDescent="0.2"/>
    <row r="56397" ht="9.9499999999999993" hidden="1" customHeight="1" x14ac:dyDescent="0.2"/>
    <row r="56398" ht="9.9499999999999993" hidden="1" customHeight="1" x14ac:dyDescent="0.2"/>
    <row r="56399" ht="9.9499999999999993" hidden="1" customHeight="1" x14ac:dyDescent="0.2"/>
    <row r="56400" ht="9.9499999999999993" hidden="1" customHeight="1" x14ac:dyDescent="0.2"/>
    <row r="56401" ht="9.9499999999999993" hidden="1" customHeight="1" x14ac:dyDescent="0.2"/>
    <row r="56402" ht="9.9499999999999993" hidden="1" customHeight="1" x14ac:dyDescent="0.2"/>
    <row r="56403" ht="9.9499999999999993" hidden="1" customHeight="1" x14ac:dyDescent="0.2"/>
    <row r="56404" ht="9.9499999999999993" hidden="1" customHeight="1" x14ac:dyDescent="0.2"/>
    <row r="56405" ht="9.9499999999999993" hidden="1" customHeight="1" x14ac:dyDescent="0.2"/>
    <row r="56406" ht="9.9499999999999993" hidden="1" customHeight="1" x14ac:dyDescent="0.2"/>
    <row r="56407" ht="9.9499999999999993" hidden="1" customHeight="1" x14ac:dyDescent="0.2"/>
    <row r="56408" ht="9.9499999999999993" hidden="1" customHeight="1" x14ac:dyDescent="0.2"/>
    <row r="56409" ht="9.9499999999999993" hidden="1" customHeight="1" x14ac:dyDescent="0.2"/>
    <row r="56410" ht="9.9499999999999993" hidden="1" customHeight="1" x14ac:dyDescent="0.2"/>
    <row r="56411" ht="9.9499999999999993" hidden="1" customHeight="1" x14ac:dyDescent="0.2"/>
    <row r="56412" ht="9.9499999999999993" hidden="1" customHeight="1" x14ac:dyDescent="0.2"/>
    <row r="56413" ht="9.9499999999999993" hidden="1" customHeight="1" x14ac:dyDescent="0.2"/>
    <row r="56414" ht="9.9499999999999993" hidden="1" customHeight="1" x14ac:dyDescent="0.2"/>
    <row r="56415" ht="9.9499999999999993" hidden="1" customHeight="1" x14ac:dyDescent="0.2"/>
    <row r="56416" ht="9.9499999999999993" hidden="1" customHeight="1" x14ac:dyDescent="0.2"/>
    <row r="56417" ht="9.9499999999999993" hidden="1" customHeight="1" x14ac:dyDescent="0.2"/>
    <row r="56418" ht="9.9499999999999993" hidden="1" customHeight="1" x14ac:dyDescent="0.2"/>
    <row r="56419" ht="9.9499999999999993" hidden="1" customHeight="1" x14ac:dyDescent="0.2"/>
    <row r="56420" ht="9.9499999999999993" hidden="1" customHeight="1" x14ac:dyDescent="0.2"/>
    <row r="56421" ht="9.9499999999999993" hidden="1" customHeight="1" x14ac:dyDescent="0.2"/>
    <row r="56422" ht="9.9499999999999993" hidden="1" customHeight="1" x14ac:dyDescent="0.2"/>
    <row r="56423" ht="9.9499999999999993" hidden="1" customHeight="1" x14ac:dyDescent="0.2"/>
    <row r="56424" ht="9.9499999999999993" hidden="1" customHeight="1" x14ac:dyDescent="0.2"/>
    <row r="56425" ht="9.9499999999999993" hidden="1" customHeight="1" x14ac:dyDescent="0.2"/>
    <row r="56426" ht="9.9499999999999993" hidden="1" customHeight="1" x14ac:dyDescent="0.2"/>
    <row r="56427" ht="9.9499999999999993" hidden="1" customHeight="1" x14ac:dyDescent="0.2"/>
    <row r="56428" ht="9.9499999999999993" hidden="1" customHeight="1" x14ac:dyDescent="0.2"/>
    <row r="56429" ht="9.9499999999999993" hidden="1" customHeight="1" x14ac:dyDescent="0.2"/>
    <row r="56430" ht="9.9499999999999993" hidden="1" customHeight="1" x14ac:dyDescent="0.2"/>
    <row r="56431" ht="9.9499999999999993" hidden="1" customHeight="1" x14ac:dyDescent="0.2"/>
    <row r="56432" ht="9.9499999999999993" hidden="1" customHeight="1" x14ac:dyDescent="0.2"/>
    <row r="56433" ht="9.9499999999999993" hidden="1" customHeight="1" x14ac:dyDescent="0.2"/>
    <row r="56434" ht="9.9499999999999993" hidden="1" customHeight="1" x14ac:dyDescent="0.2"/>
    <row r="56435" ht="9.9499999999999993" hidden="1" customHeight="1" x14ac:dyDescent="0.2"/>
    <row r="56436" ht="9.9499999999999993" hidden="1" customHeight="1" x14ac:dyDescent="0.2"/>
    <row r="56437" ht="9.9499999999999993" hidden="1" customHeight="1" x14ac:dyDescent="0.2"/>
    <row r="56438" ht="9.9499999999999993" hidden="1" customHeight="1" x14ac:dyDescent="0.2"/>
    <row r="56439" ht="9.9499999999999993" hidden="1" customHeight="1" x14ac:dyDescent="0.2"/>
    <row r="56440" ht="9.9499999999999993" hidden="1" customHeight="1" x14ac:dyDescent="0.2"/>
    <row r="56441" ht="9.9499999999999993" hidden="1" customHeight="1" x14ac:dyDescent="0.2"/>
    <row r="56442" ht="9.9499999999999993" hidden="1" customHeight="1" x14ac:dyDescent="0.2"/>
    <row r="56443" ht="9.9499999999999993" hidden="1" customHeight="1" x14ac:dyDescent="0.2"/>
    <row r="56444" ht="9.9499999999999993" hidden="1" customHeight="1" x14ac:dyDescent="0.2"/>
    <row r="56445" ht="9.9499999999999993" hidden="1" customHeight="1" x14ac:dyDescent="0.2"/>
    <row r="56446" ht="9.9499999999999993" hidden="1" customHeight="1" x14ac:dyDescent="0.2"/>
    <row r="56447" ht="9.9499999999999993" hidden="1" customHeight="1" x14ac:dyDescent="0.2"/>
    <row r="56448" ht="9.9499999999999993" hidden="1" customHeight="1" x14ac:dyDescent="0.2"/>
    <row r="56449" ht="9.9499999999999993" hidden="1" customHeight="1" x14ac:dyDescent="0.2"/>
    <row r="56450" ht="9.9499999999999993" hidden="1" customHeight="1" x14ac:dyDescent="0.2"/>
    <row r="56451" ht="9.9499999999999993" hidden="1" customHeight="1" x14ac:dyDescent="0.2"/>
    <row r="56452" ht="9.9499999999999993" hidden="1" customHeight="1" x14ac:dyDescent="0.2"/>
    <row r="56453" ht="9.9499999999999993" hidden="1" customHeight="1" x14ac:dyDescent="0.2"/>
    <row r="56454" ht="9.9499999999999993" hidden="1" customHeight="1" x14ac:dyDescent="0.2"/>
    <row r="56455" ht="9.9499999999999993" hidden="1" customHeight="1" x14ac:dyDescent="0.2"/>
    <row r="56456" ht="9.9499999999999993" hidden="1" customHeight="1" x14ac:dyDescent="0.2"/>
    <row r="56457" ht="9.9499999999999993" hidden="1" customHeight="1" x14ac:dyDescent="0.2"/>
    <row r="56458" ht="9.9499999999999993" hidden="1" customHeight="1" x14ac:dyDescent="0.2"/>
    <row r="56459" ht="9.9499999999999993" hidden="1" customHeight="1" x14ac:dyDescent="0.2"/>
    <row r="56460" ht="9.9499999999999993" hidden="1" customHeight="1" x14ac:dyDescent="0.2"/>
    <row r="56461" ht="9.9499999999999993" hidden="1" customHeight="1" x14ac:dyDescent="0.2"/>
    <row r="56462" ht="9.9499999999999993" hidden="1" customHeight="1" x14ac:dyDescent="0.2"/>
    <row r="56463" ht="9.9499999999999993" hidden="1" customHeight="1" x14ac:dyDescent="0.2"/>
    <row r="56464" ht="9.9499999999999993" hidden="1" customHeight="1" x14ac:dyDescent="0.2"/>
    <row r="56465" ht="9.9499999999999993" hidden="1" customHeight="1" x14ac:dyDescent="0.2"/>
    <row r="56466" ht="9.9499999999999993" hidden="1" customHeight="1" x14ac:dyDescent="0.2"/>
    <row r="56467" ht="9.9499999999999993" hidden="1" customHeight="1" x14ac:dyDescent="0.2"/>
    <row r="56468" ht="9.9499999999999993" hidden="1" customHeight="1" x14ac:dyDescent="0.2"/>
    <row r="56469" ht="9.9499999999999993" hidden="1" customHeight="1" x14ac:dyDescent="0.2"/>
    <row r="56470" ht="9.9499999999999993" hidden="1" customHeight="1" x14ac:dyDescent="0.2"/>
    <row r="56471" ht="9.9499999999999993" hidden="1" customHeight="1" x14ac:dyDescent="0.2"/>
    <row r="56472" ht="9.9499999999999993" hidden="1" customHeight="1" x14ac:dyDescent="0.2"/>
    <row r="56473" ht="9.9499999999999993" hidden="1" customHeight="1" x14ac:dyDescent="0.2"/>
    <row r="56474" ht="9.9499999999999993" hidden="1" customHeight="1" x14ac:dyDescent="0.2"/>
    <row r="56475" ht="9.9499999999999993" hidden="1" customHeight="1" x14ac:dyDescent="0.2"/>
    <row r="56476" ht="9.9499999999999993" hidden="1" customHeight="1" x14ac:dyDescent="0.2"/>
    <row r="56477" ht="9.9499999999999993" hidden="1" customHeight="1" x14ac:dyDescent="0.2"/>
    <row r="56478" ht="9.9499999999999993" hidden="1" customHeight="1" x14ac:dyDescent="0.2"/>
    <row r="56479" ht="9.9499999999999993" hidden="1" customHeight="1" x14ac:dyDescent="0.2"/>
    <row r="56480" ht="9.9499999999999993" hidden="1" customHeight="1" x14ac:dyDescent="0.2"/>
    <row r="56481" ht="9.9499999999999993" hidden="1" customHeight="1" x14ac:dyDescent="0.2"/>
    <row r="56482" ht="9.9499999999999993" hidden="1" customHeight="1" x14ac:dyDescent="0.2"/>
    <row r="56483" ht="9.9499999999999993" hidden="1" customHeight="1" x14ac:dyDescent="0.2"/>
    <row r="56484" ht="9.9499999999999993" hidden="1" customHeight="1" x14ac:dyDescent="0.2"/>
    <row r="56485" ht="9.9499999999999993" hidden="1" customHeight="1" x14ac:dyDescent="0.2"/>
    <row r="56486" ht="9.9499999999999993" hidden="1" customHeight="1" x14ac:dyDescent="0.2"/>
    <row r="56487" ht="9.9499999999999993" hidden="1" customHeight="1" x14ac:dyDescent="0.2"/>
    <row r="56488" ht="9.9499999999999993" hidden="1" customHeight="1" x14ac:dyDescent="0.2"/>
    <row r="56489" ht="9.9499999999999993" hidden="1" customHeight="1" x14ac:dyDescent="0.2"/>
    <row r="56490" ht="9.9499999999999993" hidden="1" customHeight="1" x14ac:dyDescent="0.2"/>
    <row r="56491" ht="9.9499999999999993" hidden="1" customHeight="1" x14ac:dyDescent="0.2"/>
    <row r="56492" ht="9.9499999999999993" hidden="1" customHeight="1" x14ac:dyDescent="0.2"/>
    <row r="56493" ht="9.9499999999999993" hidden="1" customHeight="1" x14ac:dyDescent="0.2"/>
    <row r="56494" ht="9.9499999999999993" hidden="1" customHeight="1" x14ac:dyDescent="0.2"/>
    <row r="56495" ht="9.9499999999999993" hidden="1" customHeight="1" x14ac:dyDescent="0.2"/>
    <row r="56496" ht="9.9499999999999993" hidden="1" customHeight="1" x14ac:dyDescent="0.2"/>
    <row r="56497" ht="9.9499999999999993" hidden="1" customHeight="1" x14ac:dyDescent="0.2"/>
    <row r="56498" ht="9.9499999999999993" hidden="1" customHeight="1" x14ac:dyDescent="0.2"/>
    <row r="56499" ht="9.9499999999999993" hidden="1" customHeight="1" x14ac:dyDescent="0.2"/>
    <row r="56500" ht="9.9499999999999993" hidden="1" customHeight="1" x14ac:dyDescent="0.2"/>
    <row r="56501" ht="9.9499999999999993" hidden="1" customHeight="1" x14ac:dyDescent="0.2"/>
    <row r="56502" ht="9.9499999999999993" hidden="1" customHeight="1" x14ac:dyDescent="0.2"/>
    <row r="56503" ht="9.9499999999999993" hidden="1" customHeight="1" x14ac:dyDescent="0.2"/>
    <row r="56504" ht="9.9499999999999993" hidden="1" customHeight="1" x14ac:dyDescent="0.2"/>
    <row r="56505" ht="9.9499999999999993" hidden="1" customHeight="1" x14ac:dyDescent="0.2"/>
    <row r="56506" ht="9.9499999999999993" hidden="1" customHeight="1" x14ac:dyDescent="0.2"/>
    <row r="56507" ht="9.9499999999999993" hidden="1" customHeight="1" x14ac:dyDescent="0.2"/>
    <row r="56508" ht="9.9499999999999993" hidden="1" customHeight="1" x14ac:dyDescent="0.2"/>
    <row r="56509" ht="9.9499999999999993" hidden="1" customHeight="1" x14ac:dyDescent="0.2"/>
    <row r="56510" ht="9.9499999999999993" hidden="1" customHeight="1" x14ac:dyDescent="0.2"/>
    <row r="56511" ht="9.9499999999999993" hidden="1" customHeight="1" x14ac:dyDescent="0.2"/>
    <row r="56512" ht="9.9499999999999993" hidden="1" customHeight="1" x14ac:dyDescent="0.2"/>
    <row r="56513" ht="9.9499999999999993" hidden="1" customHeight="1" x14ac:dyDescent="0.2"/>
    <row r="56514" ht="9.9499999999999993" hidden="1" customHeight="1" x14ac:dyDescent="0.2"/>
    <row r="56515" ht="9.9499999999999993" hidden="1" customHeight="1" x14ac:dyDescent="0.2"/>
    <row r="56516" ht="9.9499999999999993" hidden="1" customHeight="1" x14ac:dyDescent="0.2"/>
    <row r="56517" ht="9.9499999999999993" hidden="1" customHeight="1" x14ac:dyDescent="0.2"/>
    <row r="56518" ht="9.9499999999999993" hidden="1" customHeight="1" x14ac:dyDescent="0.2"/>
    <row r="56519" ht="9.9499999999999993" hidden="1" customHeight="1" x14ac:dyDescent="0.2"/>
    <row r="56520" ht="9.9499999999999993" hidden="1" customHeight="1" x14ac:dyDescent="0.2"/>
    <row r="56521" ht="9.9499999999999993" hidden="1" customHeight="1" x14ac:dyDescent="0.2"/>
    <row r="56522" ht="9.9499999999999993" hidden="1" customHeight="1" x14ac:dyDescent="0.2"/>
    <row r="56523" ht="9.9499999999999993" hidden="1" customHeight="1" x14ac:dyDescent="0.2"/>
    <row r="56524" ht="9.9499999999999993" hidden="1" customHeight="1" x14ac:dyDescent="0.2"/>
    <row r="56525" ht="9.9499999999999993" hidden="1" customHeight="1" x14ac:dyDescent="0.2"/>
    <row r="56526" ht="9.9499999999999993" hidden="1" customHeight="1" x14ac:dyDescent="0.2"/>
    <row r="56527" ht="9.9499999999999993" hidden="1" customHeight="1" x14ac:dyDescent="0.2"/>
    <row r="56528" ht="9.9499999999999993" hidden="1" customHeight="1" x14ac:dyDescent="0.2"/>
    <row r="56529" ht="9.9499999999999993" hidden="1" customHeight="1" x14ac:dyDescent="0.2"/>
    <row r="56530" ht="9.9499999999999993" hidden="1" customHeight="1" x14ac:dyDescent="0.2"/>
    <row r="56531" ht="9.9499999999999993" hidden="1" customHeight="1" x14ac:dyDescent="0.2"/>
    <row r="56532" ht="9.9499999999999993" hidden="1" customHeight="1" x14ac:dyDescent="0.2"/>
    <row r="56533" ht="9.9499999999999993" hidden="1" customHeight="1" x14ac:dyDescent="0.2"/>
    <row r="56534" ht="9.9499999999999993" hidden="1" customHeight="1" x14ac:dyDescent="0.2"/>
    <row r="56535" ht="9.9499999999999993" hidden="1" customHeight="1" x14ac:dyDescent="0.2"/>
    <row r="56536" ht="9.9499999999999993" hidden="1" customHeight="1" x14ac:dyDescent="0.2"/>
    <row r="56537" ht="9.9499999999999993" hidden="1" customHeight="1" x14ac:dyDescent="0.2"/>
    <row r="56538" ht="9.9499999999999993" hidden="1" customHeight="1" x14ac:dyDescent="0.2"/>
    <row r="56539" ht="9.9499999999999993" hidden="1" customHeight="1" x14ac:dyDescent="0.2"/>
    <row r="56540" ht="9.9499999999999993" hidden="1" customHeight="1" x14ac:dyDescent="0.2"/>
    <row r="56541" ht="9.9499999999999993" hidden="1" customHeight="1" x14ac:dyDescent="0.2"/>
    <row r="56542" ht="9.9499999999999993" hidden="1" customHeight="1" x14ac:dyDescent="0.2"/>
    <row r="56543" ht="9.9499999999999993" hidden="1" customHeight="1" x14ac:dyDescent="0.2"/>
    <row r="56544" ht="9.9499999999999993" hidden="1" customHeight="1" x14ac:dyDescent="0.2"/>
    <row r="56545" ht="9.9499999999999993" hidden="1" customHeight="1" x14ac:dyDescent="0.2"/>
    <row r="56546" ht="9.9499999999999993" hidden="1" customHeight="1" x14ac:dyDescent="0.2"/>
    <row r="56547" ht="9.9499999999999993" hidden="1" customHeight="1" x14ac:dyDescent="0.2"/>
    <row r="56548" ht="9.9499999999999993" hidden="1" customHeight="1" x14ac:dyDescent="0.2"/>
    <row r="56549" ht="9.9499999999999993" hidden="1" customHeight="1" x14ac:dyDescent="0.2"/>
    <row r="56550" ht="9.9499999999999993" hidden="1" customHeight="1" x14ac:dyDescent="0.2"/>
    <row r="56551" ht="9.9499999999999993" hidden="1" customHeight="1" x14ac:dyDescent="0.2"/>
    <row r="56552" ht="9.9499999999999993" hidden="1" customHeight="1" x14ac:dyDescent="0.2"/>
    <row r="56553" ht="9.9499999999999993" hidden="1" customHeight="1" x14ac:dyDescent="0.2"/>
    <row r="56554" ht="9.9499999999999993" hidden="1" customHeight="1" x14ac:dyDescent="0.2"/>
    <row r="56555" ht="9.9499999999999993" hidden="1" customHeight="1" x14ac:dyDescent="0.2"/>
    <row r="56556" ht="9.9499999999999993" hidden="1" customHeight="1" x14ac:dyDescent="0.2"/>
    <row r="56557" ht="9.9499999999999993" hidden="1" customHeight="1" x14ac:dyDescent="0.2"/>
    <row r="56558" ht="9.9499999999999993" hidden="1" customHeight="1" x14ac:dyDescent="0.2"/>
    <row r="56559" ht="9.9499999999999993" hidden="1" customHeight="1" x14ac:dyDescent="0.2"/>
    <row r="56560" ht="9.9499999999999993" hidden="1" customHeight="1" x14ac:dyDescent="0.2"/>
    <row r="56561" ht="9.9499999999999993" hidden="1" customHeight="1" x14ac:dyDescent="0.2"/>
    <row r="56562" ht="9.9499999999999993" hidden="1" customHeight="1" x14ac:dyDescent="0.2"/>
    <row r="56563" ht="9.9499999999999993" hidden="1" customHeight="1" x14ac:dyDescent="0.2"/>
    <row r="56564" ht="9.9499999999999993" hidden="1" customHeight="1" x14ac:dyDescent="0.2"/>
    <row r="56565" ht="9.9499999999999993" hidden="1" customHeight="1" x14ac:dyDescent="0.2"/>
    <row r="56566" ht="9.9499999999999993" hidden="1" customHeight="1" x14ac:dyDescent="0.2"/>
    <row r="56567" ht="9.9499999999999993" hidden="1" customHeight="1" x14ac:dyDescent="0.2"/>
    <row r="56568" ht="9.9499999999999993" hidden="1" customHeight="1" x14ac:dyDescent="0.2"/>
    <row r="56569" ht="9.9499999999999993" hidden="1" customHeight="1" x14ac:dyDescent="0.2"/>
    <row r="56570" ht="9.9499999999999993" hidden="1" customHeight="1" x14ac:dyDescent="0.2"/>
    <row r="56571" ht="9.9499999999999993" hidden="1" customHeight="1" x14ac:dyDescent="0.2"/>
    <row r="56572" ht="9.9499999999999993" hidden="1" customHeight="1" x14ac:dyDescent="0.2"/>
    <row r="56573" ht="9.9499999999999993" hidden="1" customHeight="1" x14ac:dyDescent="0.2"/>
    <row r="56574" ht="9.9499999999999993" hidden="1" customHeight="1" x14ac:dyDescent="0.2"/>
    <row r="56575" ht="9.9499999999999993" hidden="1" customHeight="1" x14ac:dyDescent="0.2"/>
    <row r="56576" ht="9.9499999999999993" hidden="1" customHeight="1" x14ac:dyDescent="0.2"/>
    <row r="56577" ht="9.9499999999999993" hidden="1" customHeight="1" x14ac:dyDescent="0.2"/>
    <row r="56578" ht="9.9499999999999993" hidden="1" customHeight="1" x14ac:dyDescent="0.2"/>
    <row r="56579" ht="9.9499999999999993" hidden="1" customHeight="1" x14ac:dyDescent="0.2"/>
    <row r="56580" ht="9.9499999999999993" hidden="1" customHeight="1" x14ac:dyDescent="0.2"/>
    <row r="56581" ht="9.9499999999999993" hidden="1" customHeight="1" x14ac:dyDescent="0.2"/>
    <row r="56582" ht="9.9499999999999993" hidden="1" customHeight="1" x14ac:dyDescent="0.2"/>
    <row r="56583" ht="9.9499999999999993" hidden="1" customHeight="1" x14ac:dyDescent="0.2"/>
    <row r="56584" ht="9.9499999999999993" hidden="1" customHeight="1" x14ac:dyDescent="0.2"/>
    <row r="56585" ht="9.9499999999999993" hidden="1" customHeight="1" x14ac:dyDescent="0.2"/>
    <row r="56586" ht="9.9499999999999993" hidden="1" customHeight="1" x14ac:dyDescent="0.2"/>
    <row r="56587" ht="9.9499999999999993" hidden="1" customHeight="1" x14ac:dyDescent="0.2"/>
    <row r="56588" ht="9.9499999999999993" hidden="1" customHeight="1" x14ac:dyDescent="0.2"/>
    <row r="56589" ht="9.9499999999999993" hidden="1" customHeight="1" x14ac:dyDescent="0.2"/>
    <row r="56590" ht="9.9499999999999993" hidden="1" customHeight="1" x14ac:dyDescent="0.2"/>
    <row r="56591" ht="9.9499999999999993" hidden="1" customHeight="1" x14ac:dyDescent="0.2"/>
    <row r="56592" ht="9.9499999999999993" hidden="1" customHeight="1" x14ac:dyDescent="0.2"/>
    <row r="56593" ht="9.9499999999999993" hidden="1" customHeight="1" x14ac:dyDescent="0.2"/>
    <row r="56594" ht="9.9499999999999993" hidden="1" customHeight="1" x14ac:dyDescent="0.2"/>
    <row r="56595" ht="9.9499999999999993" hidden="1" customHeight="1" x14ac:dyDescent="0.2"/>
    <row r="56596" ht="9.9499999999999993" hidden="1" customHeight="1" x14ac:dyDescent="0.2"/>
    <row r="56597" ht="9.9499999999999993" hidden="1" customHeight="1" x14ac:dyDescent="0.2"/>
    <row r="56598" ht="9.9499999999999993" hidden="1" customHeight="1" x14ac:dyDescent="0.2"/>
    <row r="56599" ht="9.9499999999999993" hidden="1" customHeight="1" x14ac:dyDescent="0.2"/>
    <row r="56600" ht="9.9499999999999993" hidden="1" customHeight="1" x14ac:dyDescent="0.2"/>
    <row r="56601" ht="9.9499999999999993" hidden="1" customHeight="1" x14ac:dyDescent="0.2"/>
    <row r="56602" ht="9.9499999999999993" hidden="1" customHeight="1" x14ac:dyDescent="0.2"/>
    <row r="56603" ht="9.9499999999999993" hidden="1" customHeight="1" x14ac:dyDescent="0.2"/>
    <row r="56604" ht="9.9499999999999993" hidden="1" customHeight="1" x14ac:dyDescent="0.2"/>
    <row r="56605" ht="9.9499999999999993" hidden="1" customHeight="1" x14ac:dyDescent="0.2"/>
    <row r="56606" ht="9.9499999999999993" hidden="1" customHeight="1" x14ac:dyDescent="0.2"/>
    <row r="56607" ht="9.9499999999999993" hidden="1" customHeight="1" x14ac:dyDescent="0.2"/>
    <row r="56608" ht="9.9499999999999993" hidden="1" customHeight="1" x14ac:dyDescent="0.2"/>
    <row r="56609" ht="9.9499999999999993" hidden="1" customHeight="1" x14ac:dyDescent="0.2"/>
    <row r="56610" ht="9.9499999999999993" hidden="1" customHeight="1" x14ac:dyDescent="0.2"/>
    <row r="56611" ht="9.9499999999999993" hidden="1" customHeight="1" x14ac:dyDescent="0.2"/>
    <row r="56612" ht="9.9499999999999993" hidden="1" customHeight="1" x14ac:dyDescent="0.2"/>
    <row r="56613" ht="9.9499999999999993" hidden="1" customHeight="1" x14ac:dyDescent="0.2"/>
    <row r="56614" ht="9.9499999999999993" hidden="1" customHeight="1" x14ac:dyDescent="0.2"/>
    <row r="56615" ht="9.9499999999999993" hidden="1" customHeight="1" x14ac:dyDescent="0.2"/>
    <row r="56616" ht="9.9499999999999993" hidden="1" customHeight="1" x14ac:dyDescent="0.2"/>
    <row r="56617" ht="9.9499999999999993" hidden="1" customHeight="1" x14ac:dyDescent="0.2"/>
    <row r="56618" ht="9.9499999999999993" hidden="1" customHeight="1" x14ac:dyDescent="0.2"/>
    <row r="56619" ht="9.9499999999999993" hidden="1" customHeight="1" x14ac:dyDescent="0.2"/>
    <row r="56620" ht="9.9499999999999993" hidden="1" customHeight="1" x14ac:dyDescent="0.2"/>
    <row r="56621" ht="9.9499999999999993" hidden="1" customHeight="1" x14ac:dyDescent="0.2"/>
    <row r="56622" ht="9.9499999999999993" hidden="1" customHeight="1" x14ac:dyDescent="0.2"/>
    <row r="56623" ht="9.9499999999999993" hidden="1" customHeight="1" x14ac:dyDescent="0.2"/>
    <row r="56624" ht="9.9499999999999993" hidden="1" customHeight="1" x14ac:dyDescent="0.2"/>
    <row r="56625" ht="9.9499999999999993" hidden="1" customHeight="1" x14ac:dyDescent="0.2"/>
    <row r="56626" ht="9.9499999999999993" hidden="1" customHeight="1" x14ac:dyDescent="0.2"/>
    <row r="56627" ht="9.9499999999999993" hidden="1" customHeight="1" x14ac:dyDescent="0.2"/>
    <row r="56628" ht="9.9499999999999993" hidden="1" customHeight="1" x14ac:dyDescent="0.2"/>
    <row r="56629" ht="9.9499999999999993" hidden="1" customHeight="1" x14ac:dyDescent="0.2"/>
    <row r="56630" ht="9.9499999999999993" hidden="1" customHeight="1" x14ac:dyDescent="0.2"/>
    <row r="56631" ht="9.9499999999999993" hidden="1" customHeight="1" x14ac:dyDescent="0.2"/>
    <row r="56632" ht="9.9499999999999993" hidden="1" customHeight="1" x14ac:dyDescent="0.2"/>
    <row r="56633" ht="9.9499999999999993" hidden="1" customHeight="1" x14ac:dyDescent="0.2"/>
    <row r="56634" ht="9.9499999999999993" hidden="1" customHeight="1" x14ac:dyDescent="0.2"/>
    <row r="56635" ht="9.9499999999999993" hidden="1" customHeight="1" x14ac:dyDescent="0.2"/>
    <row r="56636" ht="9.9499999999999993" hidden="1" customHeight="1" x14ac:dyDescent="0.2"/>
    <row r="56637" ht="9.9499999999999993" hidden="1" customHeight="1" x14ac:dyDescent="0.2"/>
    <row r="56638" ht="9.9499999999999993" hidden="1" customHeight="1" x14ac:dyDescent="0.2"/>
    <row r="56639" ht="9.9499999999999993" hidden="1" customHeight="1" x14ac:dyDescent="0.2"/>
    <row r="56640" ht="9.9499999999999993" hidden="1" customHeight="1" x14ac:dyDescent="0.2"/>
    <row r="56641" ht="9.9499999999999993" hidden="1" customHeight="1" x14ac:dyDescent="0.2"/>
    <row r="56642" ht="9.9499999999999993" hidden="1" customHeight="1" x14ac:dyDescent="0.2"/>
    <row r="56643" ht="9.9499999999999993" hidden="1" customHeight="1" x14ac:dyDescent="0.2"/>
    <row r="56644" ht="9.9499999999999993" hidden="1" customHeight="1" x14ac:dyDescent="0.2"/>
    <row r="56645" ht="9.9499999999999993" hidden="1" customHeight="1" x14ac:dyDescent="0.2"/>
    <row r="56646" ht="9.9499999999999993" hidden="1" customHeight="1" x14ac:dyDescent="0.2"/>
    <row r="56647" ht="9.9499999999999993" hidden="1" customHeight="1" x14ac:dyDescent="0.2"/>
    <row r="56648" ht="9.9499999999999993" hidden="1" customHeight="1" x14ac:dyDescent="0.2"/>
    <row r="56649" ht="9.9499999999999993" hidden="1" customHeight="1" x14ac:dyDescent="0.2"/>
    <row r="56650" ht="9.9499999999999993" hidden="1" customHeight="1" x14ac:dyDescent="0.2"/>
    <row r="56651" ht="9.9499999999999993" hidden="1" customHeight="1" x14ac:dyDescent="0.2"/>
    <row r="56652" ht="9.9499999999999993" hidden="1" customHeight="1" x14ac:dyDescent="0.2"/>
    <row r="56653" ht="9.9499999999999993" hidden="1" customHeight="1" x14ac:dyDescent="0.2"/>
    <row r="56654" ht="9.9499999999999993" hidden="1" customHeight="1" x14ac:dyDescent="0.2"/>
    <row r="56655" ht="9.9499999999999993" hidden="1" customHeight="1" x14ac:dyDescent="0.2"/>
    <row r="56656" ht="9.9499999999999993" hidden="1" customHeight="1" x14ac:dyDescent="0.2"/>
    <row r="56657" ht="9.9499999999999993" hidden="1" customHeight="1" x14ac:dyDescent="0.2"/>
    <row r="56658" ht="9.9499999999999993" hidden="1" customHeight="1" x14ac:dyDescent="0.2"/>
    <row r="56659" ht="9.9499999999999993" hidden="1" customHeight="1" x14ac:dyDescent="0.2"/>
    <row r="56660" ht="9.9499999999999993" hidden="1" customHeight="1" x14ac:dyDescent="0.2"/>
    <row r="56661" ht="9.9499999999999993" hidden="1" customHeight="1" x14ac:dyDescent="0.2"/>
    <row r="56662" ht="9.9499999999999993" hidden="1" customHeight="1" x14ac:dyDescent="0.2"/>
    <row r="56663" ht="9.9499999999999993" hidden="1" customHeight="1" x14ac:dyDescent="0.2"/>
    <row r="56664" ht="9.9499999999999993" hidden="1" customHeight="1" x14ac:dyDescent="0.2"/>
    <row r="56665" ht="9.9499999999999993" hidden="1" customHeight="1" x14ac:dyDescent="0.2"/>
    <row r="56666" ht="9.9499999999999993" hidden="1" customHeight="1" x14ac:dyDescent="0.2"/>
    <row r="56667" ht="9.9499999999999993" hidden="1" customHeight="1" x14ac:dyDescent="0.2"/>
    <row r="56668" ht="9.9499999999999993" hidden="1" customHeight="1" x14ac:dyDescent="0.2"/>
    <row r="56669" ht="9.9499999999999993" hidden="1" customHeight="1" x14ac:dyDescent="0.2"/>
    <row r="56670" ht="9.9499999999999993" hidden="1" customHeight="1" x14ac:dyDescent="0.2"/>
    <row r="56671" ht="9.9499999999999993" hidden="1" customHeight="1" x14ac:dyDescent="0.2"/>
    <row r="56672" ht="9.9499999999999993" hidden="1" customHeight="1" x14ac:dyDescent="0.2"/>
    <row r="56673" ht="9.9499999999999993" hidden="1" customHeight="1" x14ac:dyDescent="0.2"/>
    <row r="56674" ht="9.9499999999999993" hidden="1" customHeight="1" x14ac:dyDescent="0.2"/>
    <row r="56675" ht="9.9499999999999993" hidden="1" customHeight="1" x14ac:dyDescent="0.2"/>
    <row r="56676" ht="9.9499999999999993" hidden="1" customHeight="1" x14ac:dyDescent="0.2"/>
    <row r="56677" ht="9.9499999999999993" hidden="1" customHeight="1" x14ac:dyDescent="0.2"/>
    <row r="56678" ht="9.9499999999999993" hidden="1" customHeight="1" x14ac:dyDescent="0.2"/>
    <row r="56679" ht="9.9499999999999993" hidden="1" customHeight="1" x14ac:dyDescent="0.2"/>
    <row r="56680" ht="9.9499999999999993" hidden="1" customHeight="1" x14ac:dyDescent="0.2"/>
    <row r="56681" ht="9.9499999999999993" hidden="1" customHeight="1" x14ac:dyDescent="0.2"/>
    <row r="56682" ht="9.9499999999999993" hidden="1" customHeight="1" x14ac:dyDescent="0.2"/>
    <row r="56683" ht="9.9499999999999993" hidden="1" customHeight="1" x14ac:dyDescent="0.2"/>
    <row r="56684" ht="9.9499999999999993" hidden="1" customHeight="1" x14ac:dyDescent="0.2"/>
    <row r="56685" ht="9.9499999999999993" hidden="1" customHeight="1" x14ac:dyDescent="0.2"/>
    <row r="56686" ht="9.9499999999999993" hidden="1" customHeight="1" x14ac:dyDescent="0.2"/>
    <row r="56687" ht="9.9499999999999993" hidden="1" customHeight="1" x14ac:dyDescent="0.2"/>
    <row r="56688" ht="9.9499999999999993" hidden="1" customHeight="1" x14ac:dyDescent="0.2"/>
    <row r="56689" ht="9.9499999999999993" hidden="1" customHeight="1" x14ac:dyDescent="0.2"/>
    <row r="56690" ht="9.9499999999999993" hidden="1" customHeight="1" x14ac:dyDescent="0.2"/>
    <row r="56691" ht="9.9499999999999993" hidden="1" customHeight="1" x14ac:dyDescent="0.2"/>
    <row r="56692" ht="9.9499999999999993" hidden="1" customHeight="1" x14ac:dyDescent="0.2"/>
    <row r="56693" ht="9.9499999999999993" hidden="1" customHeight="1" x14ac:dyDescent="0.2"/>
    <row r="56694" ht="9.9499999999999993" hidden="1" customHeight="1" x14ac:dyDescent="0.2"/>
    <row r="56695" ht="9.9499999999999993" hidden="1" customHeight="1" x14ac:dyDescent="0.2"/>
    <row r="56696" ht="9.9499999999999993" hidden="1" customHeight="1" x14ac:dyDescent="0.2"/>
    <row r="56697" ht="9.9499999999999993" hidden="1" customHeight="1" x14ac:dyDescent="0.2"/>
    <row r="56698" ht="9.9499999999999993" hidden="1" customHeight="1" x14ac:dyDescent="0.2"/>
    <row r="56699" ht="9.9499999999999993" hidden="1" customHeight="1" x14ac:dyDescent="0.2"/>
    <row r="56700" ht="9.9499999999999993" hidden="1" customHeight="1" x14ac:dyDescent="0.2"/>
    <row r="56701" ht="9.9499999999999993" hidden="1" customHeight="1" x14ac:dyDescent="0.2"/>
    <row r="56702" ht="9.9499999999999993" hidden="1" customHeight="1" x14ac:dyDescent="0.2"/>
    <row r="56703" ht="9.9499999999999993" hidden="1" customHeight="1" x14ac:dyDescent="0.2"/>
    <row r="56704" ht="9.9499999999999993" hidden="1" customHeight="1" x14ac:dyDescent="0.2"/>
    <row r="56705" ht="9.9499999999999993" hidden="1" customHeight="1" x14ac:dyDescent="0.2"/>
    <row r="56706" ht="9.9499999999999993" hidden="1" customHeight="1" x14ac:dyDescent="0.2"/>
    <row r="56707" ht="9.9499999999999993" hidden="1" customHeight="1" x14ac:dyDescent="0.2"/>
    <row r="56708" ht="9.9499999999999993" hidden="1" customHeight="1" x14ac:dyDescent="0.2"/>
    <row r="56709" ht="9.9499999999999993" hidden="1" customHeight="1" x14ac:dyDescent="0.2"/>
    <row r="56710" ht="9.9499999999999993" hidden="1" customHeight="1" x14ac:dyDescent="0.2"/>
    <row r="56711" ht="9.9499999999999993" hidden="1" customHeight="1" x14ac:dyDescent="0.2"/>
    <row r="56712" ht="9.9499999999999993" hidden="1" customHeight="1" x14ac:dyDescent="0.2"/>
    <row r="56713" ht="9.9499999999999993" hidden="1" customHeight="1" x14ac:dyDescent="0.2"/>
    <row r="56714" ht="9.9499999999999993" hidden="1" customHeight="1" x14ac:dyDescent="0.2"/>
    <row r="56715" ht="9.9499999999999993" hidden="1" customHeight="1" x14ac:dyDescent="0.2"/>
    <row r="56716" ht="9.9499999999999993" hidden="1" customHeight="1" x14ac:dyDescent="0.2"/>
    <row r="56717" ht="9.9499999999999993" hidden="1" customHeight="1" x14ac:dyDescent="0.2"/>
    <row r="56718" ht="9.9499999999999993" hidden="1" customHeight="1" x14ac:dyDescent="0.2"/>
    <row r="56719" ht="9.9499999999999993" hidden="1" customHeight="1" x14ac:dyDescent="0.2"/>
    <row r="56720" ht="9.9499999999999993" hidden="1" customHeight="1" x14ac:dyDescent="0.2"/>
    <row r="56721" ht="9.9499999999999993" hidden="1" customHeight="1" x14ac:dyDescent="0.2"/>
    <row r="56722" ht="9.9499999999999993" hidden="1" customHeight="1" x14ac:dyDescent="0.2"/>
    <row r="56723" ht="9.9499999999999993" hidden="1" customHeight="1" x14ac:dyDescent="0.2"/>
    <row r="56724" ht="9.9499999999999993" hidden="1" customHeight="1" x14ac:dyDescent="0.2"/>
    <row r="56725" ht="9.9499999999999993" hidden="1" customHeight="1" x14ac:dyDescent="0.2"/>
    <row r="56726" ht="9.9499999999999993" hidden="1" customHeight="1" x14ac:dyDescent="0.2"/>
    <row r="56727" ht="9.9499999999999993" hidden="1" customHeight="1" x14ac:dyDescent="0.2"/>
    <row r="56728" ht="9.9499999999999993" hidden="1" customHeight="1" x14ac:dyDescent="0.2"/>
    <row r="56729" ht="9.9499999999999993" hidden="1" customHeight="1" x14ac:dyDescent="0.2"/>
    <row r="56730" ht="9.9499999999999993" hidden="1" customHeight="1" x14ac:dyDescent="0.2"/>
    <row r="56731" ht="9.9499999999999993" hidden="1" customHeight="1" x14ac:dyDescent="0.2"/>
    <row r="56732" ht="9.9499999999999993" hidden="1" customHeight="1" x14ac:dyDescent="0.2"/>
    <row r="56733" ht="9.9499999999999993" hidden="1" customHeight="1" x14ac:dyDescent="0.2"/>
    <row r="56734" ht="9.9499999999999993" hidden="1" customHeight="1" x14ac:dyDescent="0.2"/>
    <row r="56735" ht="9.9499999999999993" hidden="1" customHeight="1" x14ac:dyDescent="0.2"/>
    <row r="56736" ht="9.9499999999999993" hidden="1" customHeight="1" x14ac:dyDescent="0.2"/>
    <row r="56737" ht="9.9499999999999993" hidden="1" customHeight="1" x14ac:dyDescent="0.2"/>
    <row r="56738" ht="9.9499999999999993" hidden="1" customHeight="1" x14ac:dyDescent="0.2"/>
    <row r="56739" ht="9.9499999999999993" hidden="1" customHeight="1" x14ac:dyDescent="0.2"/>
    <row r="56740" ht="9.9499999999999993" hidden="1" customHeight="1" x14ac:dyDescent="0.2"/>
    <row r="56741" ht="9.9499999999999993" hidden="1" customHeight="1" x14ac:dyDescent="0.2"/>
    <row r="56742" ht="9.9499999999999993" hidden="1" customHeight="1" x14ac:dyDescent="0.2"/>
    <row r="56743" ht="9.9499999999999993" hidden="1" customHeight="1" x14ac:dyDescent="0.2"/>
    <row r="56744" ht="9.9499999999999993" hidden="1" customHeight="1" x14ac:dyDescent="0.2"/>
    <row r="56745" ht="9.9499999999999993" hidden="1" customHeight="1" x14ac:dyDescent="0.2"/>
    <row r="56746" ht="9.9499999999999993" hidden="1" customHeight="1" x14ac:dyDescent="0.2"/>
    <row r="56747" ht="9.9499999999999993" hidden="1" customHeight="1" x14ac:dyDescent="0.2"/>
    <row r="56748" ht="9.9499999999999993" hidden="1" customHeight="1" x14ac:dyDescent="0.2"/>
    <row r="56749" ht="9.9499999999999993" hidden="1" customHeight="1" x14ac:dyDescent="0.2"/>
    <row r="56750" ht="9.9499999999999993" hidden="1" customHeight="1" x14ac:dyDescent="0.2"/>
    <row r="56751" ht="9.9499999999999993" hidden="1" customHeight="1" x14ac:dyDescent="0.2"/>
    <row r="56752" ht="9.9499999999999993" hidden="1" customHeight="1" x14ac:dyDescent="0.2"/>
    <row r="56753" ht="9.9499999999999993" hidden="1" customHeight="1" x14ac:dyDescent="0.2"/>
    <row r="56754" ht="9.9499999999999993" hidden="1" customHeight="1" x14ac:dyDescent="0.2"/>
    <row r="56755" ht="9.9499999999999993" hidden="1" customHeight="1" x14ac:dyDescent="0.2"/>
    <row r="56756" ht="9.9499999999999993" hidden="1" customHeight="1" x14ac:dyDescent="0.2"/>
    <row r="56757" ht="9.9499999999999993" hidden="1" customHeight="1" x14ac:dyDescent="0.2"/>
    <row r="56758" ht="9.9499999999999993" hidden="1" customHeight="1" x14ac:dyDescent="0.2"/>
    <row r="56759" ht="9.9499999999999993" hidden="1" customHeight="1" x14ac:dyDescent="0.2"/>
    <row r="56760" ht="9.9499999999999993" hidden="1" customHeight="1" x14ac:dyDescent="0.2"/>
    <row r="56761" ht="9.9499999999999993" hidden="1" customHeight="1" x14ac:dyDescent="0.2"/>
    <row r="56762" ht="9.9499999999999993" hidden="1" customHeight="1" x14ac:dyDescent="0.2"/>
    <row r="56763" ht="9.9499999999999993" hidden="1" customHeight="1" x14ac:dyDescent="0.2"/>
    <row r="56764" ht="9.9499999999999993" hidden="1" customHeight="1" x14ac:dyDescent="0.2"/>
    <row r="56765" ht="9.9499999999999993" hidden="1" customHeight="1" x14ac:dyDescent="0.2"/>
    <row r="56766" ht="9.9499999999999993" hidden="1" customHeight="1" x14ac:dyDescent="0.2"/>
    <row r="56767" ht="9.9499999999999993" hidden="1" customHeight="1" x14ac:dyDescent="0.2"/>
    <row r="56768" ht="9.9499999999999993" hidden="1" customHeight="1" x14ac:dyDescent="0.2"/>
    <row r="56769" ht="9.9499999999999993" hidden="1" customHeight="1" x14ac:dyDescent="0.2"/>
    <row r="56770" ht="9.9499999999999993" hidden="1" customHeight="1" x14ac:dyDescent="0.2"/>
    <row r="56771" ht="9.9499999999999993" hidden="1" customHeight="1" x14ac:dyDescent="0.2"/>
    <row r="56772" ht="9.9499999999999993" hidden="1" customHeight="1" x14ac:dyDescent="0.2"/>
    <row r="56773" ht="9.9499999999999993" hidden="1" customHeight="1" x14ac:dyDescent="0.2"/>
    <row r="56774" ht="9.9499999999999993" hidden="1" customHeight="1" x14ac:dyDescent="0.2"/>
    <row r="56775" ht="9.9499999999999993" hidden="1" customHeight="1" x14ac:dyDescent="0.2"/>
    <row r="56776" ht="9.9499999999999993" hidden="1" customHeight="1" x14ac:dyDescent="0.2"/>
    <row r="56777" ht="9.9499999999999993" hidden="1" customHeight="1" x14ac:dyDescent="0.2"/>
    <row r="56778" ht="9.9499999999999993" hidden="1" customHeight="1" x14ac:dyDescent="0.2"/>
    <row r="56779" ht="9.9499999999999993" hidden="1" customHeight="1" x14ac:dyDescent="0.2"/>
    <row r="56780" ht="9.9499999999999993" hidden="1" customHeight="1" x14ac:dyDescent="0.2"/>
    <row r="56781" ht="9.9499999999999993" hidden="1" customHeight="1" x14ac:dyDescent="0.2"/>
    <row r="56782" ht="9.9499999999999993" hidden="1" customHeight="1" x14ac:dyDescent="0.2"/>
    <row r="56783" ht="9.9499999999999993" hidden="1" customHeight="1" x14ac:dyDescent="0.2"/>
    <row r="56784" ht="9.9499999999999993" hidden="1" customHeight="1" x14ac:dyDescent="0.2"/>
    <row r="56785" ht="9.9499999999999993" hidden="1" customHeight="1" x14ac:dyDescent="0.2"/>
    <row r="56786" ht="9.9499999999999993" hidden="1" customHeight="1" x14ac:dyDescent="0.2"/>
    <row r="56787" ht="9.9499999999999993" hidden="1" customHeight="1" x14ac:dyDescent="0.2"/>
    <row r="56788" ht="9.9499999999999993" hidden="1" customHeight="1" x14ac:dyDescent="0.2"/>
    <row r="56789" ht="9.9499999999999993" hidden="1" customHeight="1" x14ac:dyDescent="0.2"/>
    <row r="56790" ht="9.9499999999999993" hidden="1" customHeight="1" x14ac:dyDescent="0.2"/>
    <row r="56791" ht="9.9499999999999993" hidden="1" customHeight="1" x14ac:dyDescent="0.2"/>
    <row r="56792" ht="9.9499999999999993" hidden="1" customHeight="1" x14ac:dyDescent="0.2"/>
    <row r="56793" ht="9.9499999999999993" hidden="1" customHeight="1" x14ac:dyDescent="0.2"/>
    <row r="56794" ht="9.9499999999999993" hidden="1" customHeight="1" x14ac:dyDescent="0.2"/>
    <row r="56795" ht="9.9499999999999993" hidden="1" customHeight="1" x14ac:dyDescent="0.2"/>
    <row r="56796" ht="9.9499999999999993" hidden="1" customHeight="1" x14ac:dyDescent="0.2"/>
    <row r="56797" ht="9.9499999999999993" hidden="1" customHeight="1" x14ac:dyDescent="0.2"/>
    <row r="56798" ht="9.9499999999999993" hidden="1" customHeight="1" x14ac:dyDescent="0.2"/>
    <row r="56799" ht="9.9499999999999993" hidden="1" customHeight="1" x14ac:dyDescent="0.2"/>
    <row r="56800" ht="9.9499999999999993" hidden="1" customHeight="1" x14ac:dyDescent="0.2"/>
    <row r="56801" ht="9.9499999999999993" hidden="1" customHeight="1" x14ac:dyDescent="0.2"/>
    <row r="56802" ht="9.9499999999999993" hidden="1" customHeight="1" x14ac:dyDescent="0.2"/>
    <row r="56803" ht="9.9499999999999993" hidden="1" customHeight="1" x14ac:dyDescent="0.2"/>
    <row r="56804" ht="9.9499999999999993" hidden="1" customHeight="1" x14ac:dyDescent="0.2"/>
    <row r="56805" ht="9.9499999999999993" hidden="1" customHeight="1" x14ac:dyDescent="0.2"/>
    <row r="56806" ht="9.9499999999999993" hidden="1" customHeight="1" x14ac:dyDescent="0.2"/>
    <row r="56807" ht="9.9499999999999993" hidden="1" customHeight="1" x14ac:dyDescent="0.2"/>
    <row r="56808" ht="9.9499999999999993" hidden="1" customHeight="1" x14ac:dyDescent="0.2"/>
    <row r="56809" ht="9.9499999999999993" hidden="1" customHeight="1" x14ac:dyDescent="0.2"/>
    <row r="56810" ht="9.9499999999999993" hidden="1" customHeight="1" x14ac:dyDescent="0.2"/>
    <row r="56811" ht="9.9499999999999993" hidden="1" customHeight="1" x14ac:dyDescent="0.2"/>
    <row r="56812" ht="9.9499999999999993" hidden="1" customHeight="1" x14ac:dyDescent="0.2"/>
    <row r="56813" ht="9.9499999999999993" hidden="1" customHeight="1" x14ac:dyDescent="0.2"/>
    <row r="56814" ht="9.9499999999999993" hidden="1" customHeight="1" x14ac:dyDescent="0.2"/>
    <row r="56815" ht="9.9499999999999993" hidden="1" customHeight="1" x14ac:dyDescent="0.2"/>
    <row r="56816" ht="9.9499999999999993" hidden="1" customHeight="1" x14ac:dyDescent="0.2"/>
    <row r="56817" ht="9.9499999999999993" hidden="1" customHeight="1" x14ac:dyDescent="0.2"/>
    <row r="56818" ht="9.9499999999999993" hidden="1" customHeight="1" x14ac:dyDescent="0.2"/>
    <row r="56819" ht="9.9499999999999993" hidden="1" customHeight="1" x14ac:dyDescent="0.2"/>
    <row r="56820" ht="9.9499999999999993" hidden="1" customHeight="1" x14ac:dyDescent="0.2"/>
    <row r="56821" ht="9.9499999999999993" hidden="1" customHeight="1" x14ac:dyDescent="0.2"/>
    <row r="56822" ht="9.9499999999999993" hidden="1" customHeight="1" x14ac:dyDescent="0.2"/>
    <row r="56823" ht="9.9499999999999993" hidden="1" customHeight="1" x14ac:dyDescent="0.2"/>
    <row r="56824" ht="9.9499999999999993" hidden="1" customHeight="1" x14ac:dyDescent="0.2"/>
    <row r="56825" ht="9.9499999999999993" hidden="1" customHeight="1" x14ac:dyDescent="0.2"/>
    <row r="56826" ht="9.9499999999999993" hidden="1" customHeight="1" x14ac:dyDescent="0.2"/>
    <row r="56827" ht="9.9499999999999993" hidden="1" customHeight="1" x14ac:dyDescent="0.2"/>
    <row r="56828" ht="9.9499999999999993" hidden="1" customHeight="1" x14ac:dyDescent="0.2"/>
    <row r="56829" ht="9.9499999999999993" hidden="1" customHeight="1" x14ac:dyDescent="0.2"/>
    <row r="56830" ht="9.9499999999999993" hidden="1" customHeight="1" x14ac:dyDescent="0.2"/>
    <row r="56831" ht="9.9499999999999993" hidden="1" customHeight="1" x14ac:dyDescent="0.2"/>
    <row r="56832" ht="9.9499999999999993" hidden="1" customHeight="1" x14ac:dyDescent="0.2"/>
    <row r="56833" ht="9.9499999999999993" hidden="1" customHeight="1" x14ac:dyDescent="0.2"/>
    <row r="56834" ht="9.9499999999999993" hidden="1" customHeight="1" x14ac:dyDescent="0.2"/>
    <row r="56835" ht="9.9499999999999993" hidden="1" customHeight="1" x14ac:dyDescent="0.2"/>
    <row r="56836" ht="9.9499999999999993" hidden="1" customHeight="1" x14ac:dyDescent="0.2"/>
    <row r="56837" ht="9.9499999999999993" hidden="1" customHeight="1" x14ac:dyDescent="0.2"/>
    <row r="56838" ht="9.9499999999999993" hidden="1" customHeight="1" x14ac:dyDescent="0.2"/>
    <row r="56839" ht="9.9499999999999993" hidden="1" customHeight="1" x14ac:dyDescent="0.2"/>
    <row r="56840" ht="9.9499999999999993" hidden="1" customHeight="1" x14ac:dyDescent="0.2"/>
    <row r="56841" ht="9.9499999999999993" hidden="1" customHeight="1" x14ac:dyDescent="0.2"/>
    <row r="56842" ht="9.9499999999999993" hidden="1" customHeight="1" x14ac:dyDescent="0.2"/>
    <row r="56843" ht="9.9499999999999993" hidden="1" customHeight="1" x14ac:dyDescent="0.2"/>
    <row r="56844" ht="9.9499999999999993" hidden="1" customHeight="1" x14ac:dyDescent="0.2"/>
    <row r="56845" ht="9.9499999999999993" hidden="1" customHeight="1" x14ac:dyDescent="0.2"/>
    <row r="56846" ht="9.9499999999999993" hidden="1" customHeight="1" x14ac:dyDescent="0.2"/>
    <row r="56847" ht="9.9499999999999993" hidden="1" customHeight="1" x14ac:dyDescent="0.2"/>
    <row r="56848" ht="9.9499999999999993" hidden="1" customHeight="1" x14ac:dyDescent="0.2"/>
    <row r="56849" ht="9.9499999999999993" hidden="1" customHeight="1" x14ac:dyDescent="0.2"/>
    <row r="56850" ht="9.9499999999999993" hidden="1" customHeight="1" x14ac:dyDescent="0.2"/>
    <row r="56851" ht="9.9499999999999993" hidden="1" customHeight="1" x14ac:dyDescent="0.2"/>
    <row r="56852" ht="9.9499999999999993" hidden="1" customHeight="1" x14ac:dyDescent="0.2"/>
    <row r="56853" ht="9.9499999999999993" hidden="1" customHeight="1" x14ac:dyDescent="0.2"/>
    <row r="56854" ht="9.9499999999999993" hidden="1" customHeight="1" x14ac:dyDescent="0.2"/>
    <row r="56855" ht="9.9499999999999993" hidden="1" customHeight="1" x14ac:dyDescent="0.2"/>
    <row r="56856" ht="9.9499999999999993" hidden="1" customHeight="1" x14ac:dyDescent="0.2"/>
    <row r="56857" ht="9.9499999999999993" hidden="1" customHeight="1" x14ac:dyDescent="0.2"/>
    <row r="56858" ht="9.9499999999999993" hidden="1" customHeight="1" x14ac:dyDescent="0.2"/>
    <row r="56859" ht="9.9499999999999993" hidden="1" customHeight="1" x14ac:dyDescent="0.2"/>
    <row r="56860" ht="9.9499999999999993" hidden="1" customHeight="1" x14ac:dyDescent="0.2"/>
    <row r="56861" ht="9.9499999999999993" hidden="1" customHeight="1" x14ac:dyDescent="0.2"/>
    <row r="56862" ht="9.9499999999999993" hidden="1" customHeight="1" x14ac:dyDescent="0.2"/>
    <row r="56863" ht="9.9499999999999993" hidden="1" customHeight="1" x14ac:dyDescent="0.2"/>
    <row r="56864" ht="9.9499999999999993" hidden="1" customHeight="1" x14ac:dyDescent="0.2"/>
    <row r="56865" ht="9.9499999999999993" hidden="1" customHeight="1" x14ac:dyDescent="0.2"/>
    <row r="56866" ht="9.9499999999999993" hidden="1" customHeight="1" x14ac:dyDescent="0.2"/>
    <row r="56867" ht="9.9499999999999993" hidden="1" customHeight="1" x14ac:dyDescent="0.2"/>
    <row r="56868" ht="9.9499999999999993" hidden="1" customHeight="1" x14ac:dyDescent="0.2"/>
    <row r="56869" ht="9.9499999999999993" hidden="1" customHeight="1" x14ac:dyDescent="0.2"/>
    <row r="56870" ht="9.9499999999999993" hidden="1" customHeight="1" x14ac:dyDescent="0.2"/>
    <row r="56871" ht="9.9499999999999993" hidden="1" customHeight="1" x14ac:dyDescent="0.2"/>
    <row r="56872" ht="9.9499999999999993" hidden="1" customHeight="1" x14ac:dyDescent="0.2"/>
    <row r="56873" ht="9.9499999999999993" hidden="1" customHeight="1" x14ac:dyDescent="0.2"/>
    <row r="56874" ht="9.9499999999999993" hidden="1" customHeight="1" x14ac:dyDescent="0.2"/>
    <row r="56875" ht="9.9499999999999993" hidden="1" customHeight="1" x14ac:dyDescent="0.2"/>
    <row r="56876" ht="9.9499999999999993" hidden="1" customHeight="1" x14ac:dyDescent="0.2"/>
    <row r="56877" ht="9.9499999999999993" hidden="1" customHeight="1" x14ac:dyDescent="0.2"/>
    <row r="56878" ht="9.9499999999999993" hidden="1" customHeight="1" x14ac:dyDescent="0.2"/>
    <row r="56879" ht="9.9499999999999993" hidden="1" customHeight="1" x14ac:dyDescent="0.2"/>
    <row r="56880" ht="9.9499999999999993" hidden="1" customHeight="1" x14ac:dyDescent="0.2"/>
    <row r="56881" ht="9.9499999999999993" hidden="1" customHeight="1" x14ac:dyDescent="0.2"/>
    <row r="56882" ht="9.9499999999999993" hidden="1" customHeight="1" x14ac:dyDescent="0.2"/>
    <row r="56883" ht="9.9499999999999993" hidden="1" customHeight="1" x14ac:dyDescent="0.2"/>
    <row r="56884" ht="9.9499999999999993" hidden="1" customHeight="1" x14ac:dyDescent="0.2"/>
    <row r="56885" ht="9.9499999999999993" hidden="1" customHeight="1" x14ac:dyDescent="0.2"/>
    <row r="56886" ht="9.9499999999999993" hidden="1" customHeight="1" x14ac:dyDescent="0.2"/>
    <row r="56887" ht="9.9499999999999993" hidden="1" customHeight="1" x14ac:dyDescent="0.2"/>
    <row r="56888" ht="9.9499999999999993" hidden="1" customHeight="1" x14ac:dyDescent="0.2"/>
    <row r="56889" ht="9.9499999999999993" hidden="1" customHeight="1" x14ac:dyDescent="0.2"/>
    <row r="56890" ht="9.9499999999999993" hidden="1" customHeight="1" x14ac:dyDescent="0.2"/>
    <row r="56891" ht="9.9499999999999993" hidden="1" customHeight="1" x14ac:dyDescent="0.2"/>
    <row r="56892" ht="9.9499999999999993" hidden="1" customHeight="1" x14ac:dyDescent="0.2"/>
    <row r="56893" ht="9.9499999999999993" hidden="1" customHeight="1" x14ac:dyDescent="0.2"/>
    <row r="56894" ht="9.9499999999999993" hidden="1" customHeight="1" x14ac:dyDescent="0.2"/>
    <row r="56895" ht="9.9499999999999993" hidden="1" customHeight="1" x14ac:dyDescent="0.2"/>
    <row r="56896" ht="9.9499999999999993" hidden="1" customHeight="1" x14ac:dyDescent="0.2"/>
    <row r="56897" ht="9.9499999999999993" hidden="1" customHeight="1" x14ac:dyDescent="0.2"/>
    <row r="56898" ht="9.9499999999999993" hidden="1" customHeight="1" x14ac:dyDescent="0.2"/>
    <row r="56899" ht="9.9499999999999993" hidden="1" customHeight="1" x14ac:dyDescent="0.2"/>
    <row r="56900" ht="9.9499999999999993" hidden="1" customHeight="1" x14ac:dyDescent="0.2"/>
    <row r="56901" ht="9.9499999999999993" hidden="1" customHeight="1" x14ac:dyDescent="0.2"/>
    <row r="56902" ht="9.9499999999999993" hidden="1" customHeight="1" x14ac:dyDescent="0.2"/>
    <row r="56903" ht="9.9499999999999993" hidden="1" customHeight="1" x14ac:dyDescent="0.2"/>
    <row r="56904" ht="9.9499999999999993" hidden="1" customHeight="1" x14ac:dyDescent="0.2"/>
    <row r="56905" ht="9.9499999999999993" hidden="1" customHeight="1" x14ac:dyDescent="0.2"/>
    <row r="56906" ht="9.9499999999999993" hidden="1" customHeight="1" x14ac:dyDescent="0.2"/>
    <row r="56907" ht="9.9499999999999993" hidden="1" customHeight="1" x14ac:dyDescent="0.2"/>
    <row r="56908" ht="9.9499999999999993" hidden="1" customHeight="1" x14ac:dyDescent="0.2"/>
    <row r="56909" ht="9.9499999999999993" hidden="1" customHeight="1" x14ac:dyDescent="0.2"/>
    <row r="56910" ht="9.9499999999999993" hidden="1" customHeight="1" x14ac:dyDescent="0.2"/>
    <row r="56911" ht="9.9499999999999993" hidden="1" customHeight="1" x14ac:dyDescent="0.2"/>
    <row r="56912" ht="9.9499999999999993" hidden="1" customHeight="1" x14ac:dyDescent="0.2"/>
    <row r="56913" ht="9.9499999999999993" hidden="1" customHeight="1" x14ac:dyDescent="0.2"/>
    <row r="56914" ht="9.9499999999999993" hidden="1" customHeight="1" x14ac:dyDescent="0.2"/>
    <row r="56915" ht="9.9499999999999993" hidden="1" customHeight="1" x14ac:dyDescent="0.2"/>
    <row r="56916" ht="9.9499999999999993" hidden="1" customHeight="1" x14ac:dyDescent="0.2"/>
    <row r="56917" ht="9.9499999999999993" hidden="1" customHeight="1" x14ac:dyDescent="0.2"/>
    <row r="56918" ht="9.9499999999999993" hidden="1" customHeight="1" x14ac:dyDescent="0.2"/>
    <row r="56919" ht="9.9499999999999993" hidden="1" customHeight="1" x14ac:dyDescent="0.2"/>
    <row r="56920" ht="9.9499999999999993" hidden="1" customHeight="1" x14ac:dyDescent="0.2"/>
    <row r="56921" ht="9.9499999999999993" hidden="1" customHeight="1" x14ac:dyDescent="0.2"/>
    <row r="56922" ht="9.9499999999999993" hidden="1" customHeight="1" x14ac:dyDescent="0.2"/>
    <row r="56923" ht="9.9499999999999993" hidden="1" customHeight="1" x14ac:dyDescent="0.2"/>
    <row r="56924" ht="9.9499999999999993" hidden="1" customHeight="1" x14ac:dyDescent="0.2"/>
    <row r="56925" ht="9.9499999999999993" hidden="1" customHeight="1" x14ac:dyDescent="0.2"/>
    <row r="56926" ht="9.9499999999999993" hidden="1" customHeight="1" x14ac:dyDescent="0.2"/>
    <row r="56927" ht="9.9499999999999993" hidden="1" customHeight="1" x14ac:dyDescent="0.2"/>
    <row r="56928" ht="9.9499999999999993" hidden="1" customHeight="1" x14ac:dyDescent="0.2"/>
    <row r="56929" ht="9.9499999999999993" hidden="1" customHeight="1" x14ac:dyDescent="0.2"/>
    <row r="56930" ht="9.9499999999999993" hidden="1" customHeight="1" x14ac:dyDescent="0.2"/>
    <row r="56931" ht="9.9499999999999993" hidden="1" customHeight="1" x14ac:dyDescent="0.2"/>
    <row r="56932" ht="9.9499999999999993" hidden="1" customHeight="1" x14ac:dyDescent="0.2"/>
    <row r="56933" ht="9.9499999999999993" hidden="1" customHeight="1" x14ac:dyDescent="0.2"/>
    <row r="56934" ht="9.9499999999999993" hidden="1" customHeight="1" x14ac:dyDescent="0.2"/>
    <row r="56935" ht="9.9499999999999993" hidden="1" customHeight="1" x14ac:dyDescent="0.2"/>
    <row r="56936" ht="9.9499999999999993" hidden="1" customHeight="1" x14ac:dyDescent="0.2"/>
    <row r="56937" ht="9.9499999999999993" hidden="1" customHeight="1" x14ac:dyDescent="0.2"/>
    <row r="56938" ht="9.9499999999999993" hidden="1" customHeight="1" x14ac:dyDescent="0.2"/>
    <row r="56939" ht="9.9499999999999993" hidden="1" customHeight="1" x14ac:dyDescent="0.2"/>
    <row r="56940" ht="9.9499999999999993" hidden="1" customHeight="1" x14ac:dyDescent="0.2"/>
    <row r="56941" ht="9.9499999999999993" hidden="1" customHeight="1" x14ac:dyDescent="0.2"/>
    <row r="56942" ht="9.9499999999999993" hidden="1" customHeight="1" x14ac:dyDescent="0.2"/>
    <row r="56943" ht="9.9499999999999993" hidden="1" customHeight="1" x14ac:dyDescent="0.2"/>
    <row r="56944" ht="9.9499999999999993" hidden="1" customHeight="1" x14ac:dyDescent="0.2"/>
    <row r="56945" ht="9.9499999999999993" hidden="1" customHeight="1" x14ac:dyDescent="0.2"/>
    <row r="56946" ht="9.9499999999999993" hidden="1" customHeight="1" x14ac:dyDescent="0.2"/>
    <row r="56947" ht="9.9499999999999993" hidden="1" customHeight="1" x14ac:dyDescent="0.2"/>
    <row r="56948" ht="9.9499999999999993" hidden="1" customHeight="1" x14ac:dyDescent="0.2"/>
    <row r="56949" ht="9.9499999999999993" hidden="1" customHeight="1" x14ac:dyDescent="0.2"/>
    <row r="56950" ht="9.9499999999999993" hidden="1" customHeight="1" x14ac:dyDescent="0.2"/>
    <row r="56951" ht="9.9499999999999993" hidden="1" customHeight="1" x14ac:dyDescent="0.2"/>
    <row r="56952" ht="9.9499999999999993" hidden="1" customHeight="1" x14ac:dyDescent="0.2"/>
    <row r="56953" ht="9.9499999999999993" hidden="1" customHeight="1" x14ac:dyDescent="0.2"/>
    <row r="56954" ht="9.9499999999999993" hidden="1" customHeight="1" x14ac:dyDescent="0.2"/>
    <row r="56955" ht="9.9499999999999993" hidden="1" customHeight="1" x14ac:dyDescent="0.2"/>
    <row r="56956" ht="9.9499999999999993" hidden="1" customHeight="1" x14ac:dyDescent="0.2"/>
    <row r="56957" ht="9.9499999999999993" hidden="1" customHeight="1" x14ac:dyDescent="0.2"/>
    <row r="56958" ht="9.9499999999999993" hidden="1" customHeight="1" x14ac:dyDescent="0.2"/>
    <row r="56959" ht="9.9499999999999993" hidden="1" customHeight="1" x14ac:dyDescent="0.2"/>
    <row r="56960" ht="9.9499999999999993" hidden="1" customHeight="1" x14ac:dyDescent="0.2"/>
    <row r="56961" ht="9.9499999999999993" hidden="1" customHeight="1" x14ac:dyDescent="0.2"/>
    <row r="56962" ht="9.9499999999999993" hidden="1" customHeight="1" x14ac:dyDescent="0.2"/>
    <row r="56963" ht="9.9499999999999993" hidden="1" customHeight="1" x14ac:dyDescent="0.2"/>
    <row r="56964" ht="9.9499999999999993" hidden="1" customHeight="1" x14ac:dyDescent="0.2"/>
    <row r="56965" ht="9.9499999999999993" hidden="1" customHeight="1" x14ac:dyDescent="0.2"/>
    <row r="56966" ht="9.9499999999999993" hidden="1" customHeight="1" x14ac:dyDescent="0.2"/>
    <row r="56967" ht="9.9499999999999993" hidden="1" customHeight="1" x14ac:dyDescent="0.2"/>
    <row r="56968" ht="9.9499999999999993" hidden="1" customHeight="1" x14ac:dyDescent="0.2"/>
    <row r="56969" ht="9.9499999999999993" hidden="1" customHeight="1" x14ac:dyDescent="0.2"/>
    <row r="56970" ht="9.9499999999999993" hidden="1" customHeight="1" x14ac:dyDescent="0.2"/>
    <row r="56971" ht="9.9499999999999993" hidden="1" customHeight="1" x14ac:dyDescent="0.2"/>
    <row r="56972" ht="9.9499999999999993" hidden="1" customHeight="1" x14ac:dyDescent="0.2"/>
    <row r="56973" ht="9.9499999999999993" hidden="1" customHeight="1" x14ac:dyDescent="0.2"/>
    <row r="56974" ht="9.9499999999999993" hidden="1" customHeight="1" x14ac:dyDescent="0.2"/>
    <row r="56975" ht="9.9499999999999993" hidden="1" customHeight="1" x14ac:dyDescent="0.2"/>
    <row r="56976" ht="9.9499999999999993" hidden="1" customHeight="1" x14ac:dyDescent="0.2"/>
    <row r="56977" ht="9.9499999999999993" hidden="1" customHeight="1" x14ac:dyDescent="0.2"/>
    <row r="56978" ht="9.9499999999999993" hidden="1" customHeight="1" x14ac:dyDescent="0.2"/>
    <row r="56979" ht="9.9499999999999993" hidden="1" customHeight="1" x14ac:dyDescent="0.2"/>
    <row r="56980" ht="9.9499999999999993" hidden="1" customHeight="1" x14ac:dyDescent="0.2"/>
    <row r="56981" ht="9.9499999999999993" hidden="1" customHeight="1" x14ac:dyDescent="0.2"/>
    <row r="56982" ht="9.9499999999999993" hidden="1" customHeight="1" x14ac:dyDescent="0.2"/>
    <row r="56983" ht="9.9499999999999993" hidden="1" customHeight="1" x14ac:dyDescent="0.2"/>
    <row r="56984" ht="9.9499999999999993" hidden="1" customHeight="1" x14ac:dyDescent="0.2"/>
    <row r="56985" ht="9.9499999999999993" hidden="1" customHeight="1" x14ac:dyDescent="0.2"/>
    <row r="56986" ht="9.9499999999999993" hidden="1" customHeight="1" x14ac:dyDescent="0.2"/>
    <row r="56987" ht="9.9499999999999993" hidden="1" customHeight="1" x14ac:dyDescent="0.2"/>
    <row r="56988" ht="9.9499999999999993" hidden="1" customHeight="1" x14ac:dyDescent="0.2"/>
    <row r="56989" ht="9.9499999999999993" hidden="1" customHeight="1" x14ac:dyDescent="0.2"/>
    <row r="56990" ht="9.9499999999999993" hidden="1" customHeight="1" x14ac:dyDescent="0.2"/>
    <row r="56991" ht="9.9499999999999993" hidden="1" customHeight="1" x14ac:dyDescent="0.2"/>
    <row r="56992" ht="9.9499999999999993" hidden="1" customHeight="1" x14ac:dyDescent="0.2"/>
    <row r="56993" ht="9.9499999999999993" hidden="1" customHeight="1" x14ac:dyDescent="0.2"/>
    <row r="56994" ht="9.9499999999999993" hidden="1" customHeight="1" x14ac:dyDescent="0.2"/>
    <row r="56995" ht="9.9499999999999993" hidden="1" customHeight="1" x14ac:dyDescent="0.2"/>
    <row r="56996" ht="9.9499999999999993" hidden="1" customHeight="1" x14ac:dyDescent="0.2"/>
    <row r="56997" ht="9.9499999999999993" hidden="1" customHeight="1" x14ac:dyDescent="0.2"/>
    <row r="56998" ht="9.9499999999999993" hidden="1" customHeight="1" x14ac:dyDescent="0.2"/>
    <row r="56999" ht="9.9499999999999993" hidden="1" customHeight="1" x14ac:dyDescent="0.2"/>
    <row r="57000" ht="9.9499999999999993" hidden="1" customHeight="1" x14ac:dyDescent="0.2"/>
    <row r="57001" ht="9.9499999999999993" hidden="1" customHeight="1" x14ac:dyDescent="0.2"/>
    <row r="57002" ht="9.9499999999999993" hidden="1" customHeight="1" x14ac:dyDescent="0.2"/>
    <row r="57003" ht="9.9499999999999993" hidden="1" customHeight="1" x14ac:dyDescent="0.2"/>
    <row r="57004" ht="9.9499999999999993" hidden="1" customHeight="1" x14ac:dyDescent="0.2"/>
    <row r="57005" ht="9.9499999999999993" hidden="1" customHeight="1" x14ac:dyDescent="0.2"/>
    <row r="57006" ht="9.9499999999999993" hidden="1" customHeight="1" x14ac:dyDescent="0.2"/>
    <row r="57007" ht="9.9499999999999993" hidden="1" customHeight="1" x14ac:dyDescent="0.2"/>
    <row r="57008" ht="9.9499999999999993" hidden="1" customHeight="1" x14ac:dyDescent="0.2"/>
    <row r="57009" ht="9.9499999999999993" hidden="1" customHeight="1" x14ac:dyDescent="0.2"/>
    <row r="57010" ht="9.9499999999999993" hidden="1" customHeight="1" x14ac:dyDescent="0.2"/>
    <row r="57011" ht="9.9499999999999993" hidden="1" customHeight="1" x14ac:dyDescent="0.2"/>
    <row r="57012" ht="9.9499999999999993" hidden="1" customHeight="1" x14ac:dyDescent="0.2"/>
    <row r="57013" ht="9.9499999999999993" hidden="1" customHeight="1" x14ac:dyDescent="0.2"/>
    <row r="57014" ht="9.9499999999999993" hidden="1" customHeight="1" x14ac:dyDescent="0.2"/>
    <row r="57015" ht="9.9499999999999993" hidden="1" customHeight="1" x14ac:dyDescent="0.2"/>
    <row r="57016" ht="9.9499999999999993" hidden="1" customHeight="1" x14ac:dyDescent="0.2"/>
    <row r="57017" ht="9.9499999999999993" hidden="1" customHeight="1" x14ac:dyDescent="0.2"/>
    <row r="57018" ht="9.9499999999999993" hidden="1" customHeight="1" x14ac:dyDescent="0.2"/>
    <row r="57019" ht="9.9499999999999993" hidden="1" customHeight="1" x14ac:dyDescent="0.2"/>
    <row r="57020" ht="9.9499999999999993" hidden="1" customHeight="1" x14ac:dyDescent="0.2"/>
    <row r="57021" ht="9.9499999999999993" hidden="1" customHeight="1" x14ac:dyDescent="0.2"/>
    <row r="57022" ht="9.9499999999999993" hidden="1" customHeight="1" x14ac:dyDescent="0.2"/>
    <row r="57023" ht="9.9499999999999993" hidden="1" customHeight="1" x14ac:dyDescent="0.2"/>
    <row r="57024" ht="9.9499999999999993" hidden="1" customHeight="1" x14ac:dyDescent="0.2"/>
    <row r="57025" ht="9.9499999999999993" hidden="1" customHeight="1" x14ac:dyDescent="0.2"/>
    <row r="57026" ht="9.9499999999999993" hidden="1" customHeight="1" x14ac:dyDescent="0.2"/>
    <row r="57027" ht="9.9499999999999993" hidden="1" customHeight="1" x14ac:dyDescent="0.2"/>
    <row r="57028" ht="9.9499999999999993" hidden="1" customHeight="1" x14ac:dyDescent="0.2"/>
    <row r="57029" ht="9.9499999999999993" hidden="1" customHeight="1" x14ac:dyDescent="0.2"/>
    <row r="57030" ht="9.9499999999999993" hidden="1" customHeight="1" x14ac:dyDescent="0.2"/>
    <row r="57031" ht="9.9499999999999993" hidden="1" customHeight="1" x14ac:dyDescent="0.2"/>
    <row r="57032" ht="9.9499999999999993" hidden="1" customHeight="1" x14ac:dyDescent="0.2"/>
    <row r="57033" ht="9.9499999999999993" hidden="1" customHeight="1" x14ac:dyDescent="0.2"/>
    <row r="57034" ht="9.9499999999999993" hidden="1" customHeight="1" x14ac:dyDescent="0.2"/>
    <row r="57035" ht="9.9499999999999993" hidden="1" customHeight="1" x14ac:dyDescent="0.2"/>
    <row r="57036" ht="9.9499999999999993" hidden="1" customHeight="1" x14ac:dyDescent="0.2"/>
    <row r="57037" ht="9.9499999999999993" hidden="1" customHeight="1" x14ac:dyDescent="0.2"/>
    <row r="57038" ht="9.9499999999999993" hidden="1" customHeight="1" x14ac:dyDescent="0.2"/>
    <row r="57039" ht="9.9499999999999993" hidden="1" customHeight="1" x14ac:dyDescent="0.2"/>
    <row r="57040" ht="9.9499999999999993" hidden="1" customHeight="1" x14ac:dyDescent="0.2"/>
    <row r="57041" ht="9.9499999999999993" hidden="1" customHeight="1" x14ac:dyDescent="0.2"/>
    <row r="57042" ht="9.9499999999999993" hidden="1" customHeight="1" x14ac:dyDescent="0.2"/>
    <row r="57043" ht="9.9499999999999993" hidden="1" customHeight="1" x14ac:dyDescent="0.2"/>
    <row r="57044" ht="9.9499999999999993" hidden="1" customHeight="1" x14ac:dyDescent="0.2"/>
    <row r="57045" ht="9.9499999999999993" hidden="1" customHeight="1" x14ac:dyDescent="0.2"/>
    <row r="57046" ht="9.9499999999999993" hidden="1" customHeight="1" x14ac:dyDescent="0.2"/>
    <row r="57047" ht="9.9499999999999993" hidden="1" customHeight="1" x14ac:dyDescent="0.2"/>
    <row r="57048" ht="9.9499999999999993" hidden="1" customHeight="1" x14ac:dyDescent="0.2"/>
    <row r="57049" ht="9.9499999999999993" hidden="1" customHeight="1" x14ac:dyDescent="0.2"/>
    <row r="57050" ht="9.9499999999999993" hidden="1" customHeight="1" x14ac:dyDescent="0.2"/>
    <row r="57051" ht="9.9499999999999993" hidden="1" customHeight="1" x14ac:dyDescent="0.2"/>
    <row r="57052" ht="9.9499999999999993" hidden="1" customHeight="1" x14ac:dyDescent="0.2"/>
    <row r="57053" ht="9.9499999999999993" hidden="1" customHeight="1" x14ac:dyDescent="0.2"/>
    <row r="57054" ht="9.9499999999999993" hidden="1" customHeight="1" x14ac:dyDescent="0.2"/>
    <row r="57055" ht="9.9499999999999993" hidden="1" customHeight="1" x14ac:dyDescent="0.2"/>
    <row r="57056" ht="9.9499999999999993" hidden="1" customHeight="1" x14ac:dyDescent="0.2"/>
    <row r="57057" ht="9.9499999999999993" hidden="1" customHeight="1" x14ac:dyDescent="0.2"/>
    <row r="57058" ht="9.9499999999999993" hidden="1" customHeight="1" x14ac:dyDescent="0.2"/>
    <row r="57059" ht="9.9499999999999993" hidden="1" customHeight="1" x14ac:dyDescent="0.2"/>
    <row r="57060" ht="9.9499999999999993" hidden="1" customHeight="1" x14ac:dyDescent="0.2"/>
    <row r="57061" ht="9.9499999999999993" hidden="1" customHeight="1" x14ac:dyDescent="0.2"/>
    <row r="57062" ht="9.9499999999999993" hidden="1" customHeight="1" x14ac:dyDescent="0.2"/>
    <row r="57063" ht="9.9499999999999993" hidden="1" customHeight="1" x14ac:dyDescent="0.2"/>
    <row r="57064" ht="9.9499999999999993" hidden="1" customHeight="1" x14ac:dyDescent="0.2"/>
    <row r="57065" ht="9.9499999999999993" hidden="1" customHeight="1" x14ac:dyDescent="0.2"/>
    <row r="57066" ht="9.9499999999999993" hidden="1" customHeight="1" x14ac:dyDescent="0.2"/>
    <row r="57067" ht="9.9499999999999993" hidden="1" customHeight="1" x14ac:dyDescent="0.2"/>
    <row r="57068" ht="9.9499999999999993" hidden="1" customHeight="1" x14ac:dyDescent="0.2"/>
    <row r="57069" ht="9.9499999999999993" hidden="1" customHeight="1" x14ac:dyDescent="0.2"/>
    <row r="57070" ht="9.9499999999999993" hidden="1" customHeight="1" x14ac:dyDescent="0.2"/>
    <row r="57071" ht="9.9499999999999993" hidden="1" customHeight="1" x14ac:dyDescent="0.2"/>
    <row r="57072" ht="9.9499999999999993" hidden="1" customHeight="1" x14ac:dyDescent="0.2"/>
    <row r="57073" ht="9.9499999999999993" hidden="1" customHeight="1" x14ac:dyDescent="0.2"/>
    <row r="57074" ht="9.9499999999999993" hidden="1" customHeight="1" x14ac:dyDescent="0.2"/>
    <row r="57075" ht="9.9499999999999993" hidden="1" customHeight="1" x14ac:dyDescent="0.2"/>
    <row r="57076" ht="9.9499999999999993" hidden="1" customHeight="1" x14ac:dyDescent="0.2"/>
    <row r="57077" ht="9.9499999999999993" hidden="1" customHeight="1" x14ac:dyDescent="0.2"/>
    <row r="57078" ht="9.9499999999999993" hidden="1" customHeight="1" x14ac:dyDescent="0.2"/>
    <row r="57079" ht="9.9499999999999993" hidden="1" customHeight="1" x14ac:dyDescent="0.2"/>
    <row r="57080" ht="9.9499999999999993" hidden="1" customHeight="1" x14ac:dyDescent="0.2"/>
    <row r="57081" ht="9.9499999999999993" hidden="1" customHeight="1" x14ac:dyDescent="0.2"/>
    <row r="57082" ht="9.9499999999999993" hidden="1" customHeight="1" x14ac:dyDescent="0.2"/>
    <row r="57083" ht="9.9499999999999993" hidden="1" customHeight="1" x14ac:dyDescent="0.2"/>
    <row r="57084" ht="9.9499999999999993" hidden="1" customHeight="1" x14ac:dyDescent="0.2"/>
    <row r="57085" ht="9.9499999999999993" hidden="1" customHeight="1" x14ac:dyDescent="0.2"/>
    <row r="57086" ht="9.9499999999999993" hidden="1" customHeight="1" x14ac:dyDescent="0.2"/>
    <row r="57087" ht="9.9499999999999993" hidden="1" customHeight="1" x14ac:dyDescent="0.2"/>
    <row r="57088" ht="9.9499999999999993" hidden="1" customHeight="1" x14ac:dyDescent="0.2"/>
    <row r="57089" ht="9.9499999999999993" hidden="1" customHeight="1" x14ac:dyDescent="0.2"/>
    <row r="57090" ht="9.9499999999999993" hidden="1" customHeight="1" x14ac:dyDescent="0.2"/>
    <row r="57091" ht="9.9499999999999993" hidden="1" customHeight="1" x14ac:dyDescent="0.2"/>
    <row r="57092" ht="9.9499999999999993" hidden="1" customHeight="1" x14ac:dyDescent="0.2"/>
    <row r="57093" ht="9.9499999999999993" hidden="1" customHeight="1" x14ac:dyDescent="0.2"/>
    <row r="57094" ht="9.9499999999999993" hidden="1" customHeight="1" x14ac:dyDescent="0.2"/>
    <row r="57095" ht="9.9499999999999993" hidden="1" customHeight="1" x14ac:dyDescent="0.2"/>
    <row r="57096" ht="9.9499999999999993" hidden="1" customHeight="1" x14ac:dyDescent="0.2"/>
    <row r="57097" ht="9.9499999999999993" hidden="1" customHeight="1" x14ac:dyDescent="0.2"/>
    <row r="57098" ht="9.9499999999999993" hidden="1" customHeight="1" x14ac:dyDescent="0.2"/>
    <row r="57099" ht="9.9499999999999993" hidden="1" customHeight="1" x14ac:dyDescent="0.2"/>
    <row r="57100" ht="9.9499999999999993" hidden="1" customHeight="1" x14ac:dyDescent="0.2"/>
    <row r="57101" ht="9.9499999999999993" hidden="1" customHeight="1" x14ac:dyDescent="0.2"/>
    <row r="57102" ht="9.9499999999999993" hidden="1" customHeight="1" x14ac:dyDescent="0.2"/>
    <row r="57103" ht="9.9499999999999993" hidden="1" customHeight="1" x14ac:dyDescent="0.2"/>
    <row r="57104" ht="9.9499999999999993" hidden="1" customHeight="1" x14ac:dyDescent="0.2"/>
    <row r="57105" ht="9.9499999999999993" hidden="1" customHeight="1" x14ac:dyDescent="0.2"/>
    <row r="57106" ht="9.9499999999999993" hidden="1" customHeight="1" x14ac:dyDescent="0.2"/>
    <row r="57107" ht="9.9499999999999993" hidden="1" customHeight="1" x14ac:dyDescent="0.2"/>
    <row r="57108" ht="9.9499999999999993" hidden="1" customHeight="1" x14ac:dyDescent="0.2"/>
    <row r="57109" ht="9.9499999999999993" hidden="1" customHeight="1" x14ac:dyDescent="0.2"/>
    <row r="57110" ht="9.9499999999999993" hidden="1" customHeight="1" x14ac:dyDescent="0.2"/>
    <row r="57111" ht="9.9499999999999993" hidden="1" customHeight="1" x14ac:dyDescent="0.2"/>
    <row r="57112" ht="9.9499999999999993" hidden="1" customHeight="1" x14ac:dyDescent="0.2"/>
    <row r="57113" ht="9.9499999999999993" hidden="1" customHeight="1" x14ac:dyDescent="0.2"/>
    <row r="57114" ht="9.9499999999999993" hidden="1" customHeight="1" x14ac:dyDescent="0.2"/>
    <row r="57115" ht="9.9499999999999993" hidden="1" customHeight="1" x14ac:dyDescent="0.2"/>
    <row r="57116" ht="9.9499999999999993" hidden="1" customHeight="1" x14ac:dyDescent="0.2"/>
    <row r="57117" ht="9.9499999999999993" hidden="1" customHeight="1" x14ac:dyDescent="0.2"/>
    <row r="57118" ht="9.9499999999999993" hidden="1" customHeight="1" x14ac:dyDescent="0.2"/>
    <row r="57119" ht="9.9499999999999993" hidden="1" customHeight="1" x14ac:dyDescent="0.2"/>
    <row r="57120" ht="9.9499999999999993" hidden="1" customHeight="1" x14ac:dyDescent="0.2"/>
    <row r="57121" ht="9.9499999999999993" hidden="1" customHeight="1" x14ac:dyDescent="0.2"/>
    <row r="57122" ht="9.9499999999999993" hidden="1" customHeight="1" x14ac:dyDescent="0.2"/>
    <row r="57123" ht="9.9499999999999993" hidden="1" customHeight="1" x14ac:dyDescent="0.2"/>
    <row r="57124" ht="9.9499999999999993" hidden="1" customHeight="1" x14ac:dyDescent="0.2"/>
    <row r="57125" ht="9.9499999999999993" hidden="1" customHeight="1" x14ac:dyDescent="0.2"/>
    <row r="57126" ht="9.9499999999999993" hidden="1" customHeight="1" x14ac:dyDescent="0.2"/>
    <row r="57127" ht="9.9499999999999993" hidden="1" customHeight="1" x14ac:dyDescent="0.2"/>
    <row r="57128" ht="9.9499999999999993" hidden="1" customHeight="1" x14ac:dyDescent="0.2"/>
    <row r="57129" ht="9.9499999999999993" hidden="1" customHeight="1" x14ac:dyDescent="0.2"/>
    <row r="57130" ht="9.9499999999999993" hidden="1" customHeight="1" x14ac:dyDescent="0.2"/>
    <row r="57131" ht="9.9499999999999993" hidden="1" customHeight="1" x14ac:dyDescent="0.2"/>
    <row r="57132" ht="9.9499999999999993" hidden="1" customHeight="1" x14ac:dyDescent="0.2"/>
    <row r="57133" ht="9.9499999999999993" hidden="1" customHeight="1" x14ac:dyDescent="0.2"/>
    <row r="57134" ht="9.9499999999999993" hidden="1" customHeight="1" x14ac:dyDescent="0.2"/>
    <row r="57135" ht="9.9499999999999993" hidden="1" customHeight="1" x14ac:dyDescent="0.2"/>
    <row r="57136" ht="9.9499999999999993" hidden="1" customHeight="1" x14ac:dyDescent="0.2"/>
    <row r="57137" ht="9.9499999999999993" hidden="1" customHeight="1" x14ac:dyDescent="0.2"/>
    <row r="57138" ht="9.9499999999999993" hidden="1" customHeight="1" x14ac:dyDescent="0.2"/>
    <row r="57139" ht="9.9499999999999993" hidden="1" customHeight="1" x14ac:dyDescent="0.2"/>
    <row r="57140" ht="9.9499999999999993" hidden="1" customHeight="1" x14ac:dyDescent="0.2"/>
    <row r="57141" ht="9.9499999999999993" hidden="1" customHeight="1" x14ac:dyDescent="0.2"/>
    <row r="57142" ht="9.9499999999999993" hidden="1" customHeight="1" x14ac:dyDescent="0.2"/>
    <row r="57143" ht="9.9499999999999993" hidden="1" customHeight="1" x14ac:dyDescent="0.2"/>
    <row r="57144" ht="9.9499999999999993" hidden="1" customHeight="1" x14ac:dyDescent="0.2"/>
    <row r="57145" ht="9.9499999999999993" hidden="1" customHeight="1" x14ac:dyDescent="0.2"/>
    <row r="57146" ht="9.9499999999999993" hidden="1" customHeight="1" x14ac:dyDescent="0.2"/>
    <row r="57147" ht="9.9499999999999993" hidden="1" customHeight="1" x14ac:dyDescent="0.2"/>
    <row r="57148" ht="9.9499999999999993" hidden="1" customHeight="1" x14ac:dyDescent="0.2"/>
    <row r="57149" ht="9.9499999999999993" hidden="1" customHeight="1" x14ac:dyDescent="0.2"/>
    <row r="57150" ht="9.9499999999999993" hidden="1" customHeight="1" x14ac:dyDescent="0.2"/>
    <row r="57151" ht="9.9499999999999993" hidden="1" customHeight="1" x14ac:dyDescent="0.2"/>
    <row r="57152" ht="9.9499999999999993" hidden="1" customHeight="1" x14ac:dyDescent="0.2"/>
    <row r="57153" ht="9.9499999999999993" hidden="1" customHeight="1" x14ac:dyDescent="0.2"/>
    <row r="57154" ht="9.9499999999999993" hidden="1" customHeight="1" x14ac:dyDescent="0.2"/>
    <row r="57155" ht="9.9499999999999993" hidden="1" customHeight="1" x14ac:dyDescent="0.2"/>
    <row r="57156" ht="9.9499999999999993" hidden="1" customHeight="1" x14ac:dyDescent="0.2"/>
    <row r="57157" ht="9.9499999999999993" hidden="1" customHeight="1" x14ac:dyDescent="0.2"/>
    <row r="57158" ht="9.9499999999999993" hidden="1" customHeight="1" x14ac:dyDescent="0.2"/>
    <row r="57159" ht="9.9499999999999993" hidden="1" customHeight="1" x14ac:dyDescent="0.2"/>
    <row r="57160" ht="9.9499999999999993" hidden="1" customHeight="1" x14ac:dyDescent="0.2"/>
    <row r="57161" ht="9.9499999999999993" hidden="1" customHeight="1" x14ac:dyDescent="0.2"/>
    <row r="57162" ht="9.9499999999999993" hidden="1" customHeight="1" x14ac:dyDescent="0.2"/>
    <row r="57163" ht="9.9499999999999993" hidden="1" customHeight="1" x14ac:dyDescent="0.2"/>
    <row r="57164" ht="9.9499999999999993" hidden="1" customHeight="1" x14ac:dyDescent="0.2"/>
    <row r="57165" ht="9.9499999999999993" hidden="1" customHeight="1" x14ac:dyDescent="0.2"/>
    <row r="57166" ht="9.9499999999999993" hidden="1" customHeight="1" x14ac:dyDescent="0.2"/>
    <row r="57167" ht="9.9499999999999993" hidden="1" customHeight="1" x14ac:dyDescent="0.2"/>
    <row r="57168" ht="9.9499999999999993" hidden="1" customHeight="1" x14ac:dyDescent="0.2"/>
    <row r="57169" ht="9.9499999999999993" hidden="1" customHeight="1" x14ac:dyDescent="0.2"/>
    <row r="57170" ht="9.9499999999999993" hidden="1" customHeight="1" x14ac:dyDescent="0.2"/>
    <row r="57171" ht="9.9499999999999993" hidden="1" customHeight="1" x14ac:dyDescent="0.2"/>
    <row r="57172" ht="9.9499999999999993" hidden="1" customHeight="1" x14ac:dyDescent="0.2"/>
    <row r="57173" ht="9.9499999999999993" hidden="1" customHeight="1" x14ac:dyDescent="0.2"/>
    <row r="57174" ht="9.9499999999999993" hidden="1" customHeight="1" x14ac:dyDescent="0.2"/>
    <row r="57175" ht="9.9499999999999993" hidden="1" customHeight="1" x14ac:dyDescent="0.2"/>
    <row r="57176" ht="9.9499999999999993" hidden="1" customHeight="1" x14ac:dyDescent="0.2"/>
    <row r="57177" ht="9.9499999999999993" hidden="1" customHeight="1" x14ac:dyDescent="0.2"/>
    <row r="57178" ht="9.9499999999999993" hidden="1" customHeight="1" x14ac:dyDescent="0.2"/>
    <row r="57179" ht="9.9499999999999993" hidden="1" customHeight="1" x14ac:dyDescent="0.2"/>
    <row r="57180" ht="9.9499999999999993" hidden="1" customHeight="1" x14ac:dyDescent="0.2"/>
    <row r="57181" ht="9.9499999999999993" hidden="1" customHeight="1" x14ac:dyDescent="0.2"/>
    <row r="57182" ht="9.9499999999999993" hidden="1" customHeight="1" x14ac:dyDescent="0.2"/>
    <row r="57183" ht="9.9499999999999993" hidden="1" customHeight="1" x14ac:dyDescent="0.2"/>
    <row r="57184" ht="9.9499999999999993" hidden="1" customHeight="1" x14ac:dyDescent="0.2"/>
    <row r="57185" ht="9.9499999999999993" hidden="1" customHeight="1" x14ac:dyDescent="0.2"/>
    <row r="57186" ht="9.9499999999999993" hidden="1" customHeight="1" x14ac:dyDescent="0.2"/>
    <row r="57187" ht="9.9499999999999993" hidden="1" customHeight="1" x14ac:dyDescent="0.2"/>
    <row r="57188" ht="9.9499999999999993" hidden="1" customHeight="1" x14ac:dyDescent="0.2"/>
    <row r="57189" ht="9.9499999999999993" hidden="1" customHeight="1" x14ac:dyDescent="0.2"/>
    <row r="57190" ht="9.9499999999999993" hidden="1" customHeight="1" x14ac:dyDescent="0.2"/>
    <row r="57191" ht="9.9499999999999993" hidden="1" customHeight="1" x14ac:dyDescent="0.2"/>
    <row r="57192" ht="9.9499999999999993" hidden="1" customHeight="1" x14ac:dyDescent="0.2"/>
    <row r="57193" ht="9.9499999999999993" hidden="1" customHeight="1" x14ac:dyDescent="0.2"/>
    <row r="57194" ht="9.9499999999999993" hidden="1" customHeight="1" x14ac:dyDescent="0.2"/>
    <row r="57195" ht="9.9499999999999993" hidden="1" customHeight="1" x14ac:dyDescent="0.2"/>
    <row r="57196" ht="9.9499999999999993" hidden="1" customHeight="1" x14ac:dyDescent="0.2"/>
    <row r="57197" ht="9.9499999999999993" hidden="1" customHeight="1" x14ac:dyDescent="0.2"/>
    <row r="57198" ht="9.9499999999999993" hidden="1" customHeight="1" x14ac:dyDescent="0.2"/>
    <row r="57199" ht="9.9499999999999993" hidden="1" customHeight="1" x14ac:dyDescent="0.2"/>
    <row r="57200" ht="9.9499999999999993" hidden="1" customHeight="1" x14ac:dyDescent="0.2"/>
    <row r="57201" ht="9.9499999999999993" hidden="1" customHeight="1" x14ac:dyDescent="0.2"/>
    <row r="57202" ht="9.9499999999999993" hidden="1" customHeight="1" x14ac:dyDescent="0.2"/>
    <row r="57203" ht="9.9499999999999993" hidden="1" customHeight="1" x14ac:dyDescent="0.2"/>
    <row r="57204" ht="9.9499999999999993" hidden="1" customHeight="1" x14ac:dyDescent="0.2"/>
    <row r="57205" ht="9.9499999999999993" hidden="1" customHeight="1" x14ac:dyDescent="0.2"/>
    <row r="57206" ht="9.9499999999999993" hidden="1" customHeight="1" x14ac:dyDescent="0.2"/>
    <row r="57207" ht="9.9499999999999993" hidden="1" customHeight="1" x14ac:dyDescent="0.2"/>
    <row r="57208" ht="9.9499999999999993" hidden="1" customHeight="1" x14ac:dyDescent="0.2"/>
    <row r="57209" ht="9.9499999999999993" hidden="1" customHeight="1" x14ac:dyDescent="0.2"/>
    <row r="57210" ht="9.9499999999999993" hidden="1" customHeight="1" x14ac:dyDescent="0.2"/>
    <row r="57211" ht="9.9499999999999993" hidden="1" customHeight="1" x14ac:dyDescent="0.2"/>
    <row r="57212" ht="9.9499999999999993" hidden="1" customHeight="1" x14ac:dyDescent="0.2"/>
    <row r="57213" ht="9.9499999999999993" hidden="1" customHeight="1" x14ac:dyDescent="0.2"/>
    <row r="57214" ht="9.9499999999999993" hidden="1" customHeight="1" x14ac:dyDescent="0.2"/>
    <row r="57215" ht="9.9499999999999993" hidden="1" customHeight="1" x14ac:dyDescent="0.2"/>
    <row r="57216" ht="9.9499999999999993" hidden="1" customHeight="1" x14ac:dyDescent="0.2"/>
    <row r="57217" ht="9.9499999999999993" hidden="1" customHeight="1" x14ac:dyDescent="0.2"/>
    <row r="57218" ht="9.9499999999999993" hidden="1" customHeight="1" x14ac:dyDescent="0.2"/>
    <row r="57219" ht="9.9499999999999993" hidden="1" customHeight="1" x14ac:dyDescent="0.2"/>
    <row r="57220" ht="9.9499999999999993" hidden="1" customHeight="1" x14ac:dyDescent="0.2"/>
    <row r="57221" ht="9.9499999999999993" hidden="1" customHeight="1" x14ac:dyDescent="0.2"/>
    <row r="57222" ht="9.9499999999999993" hidden="1" customHeight="1" x14ac:dyDescent="0.2"/>
    <row r="57223" ht="9.9499999999999993" hidden="1" customHeight="1" x14ac:dyDescent="0.2"/>
    <row r="57224" ht="9.9499999999999993" hidden="1" customHeight="1" x14ac:dyDescent="0.2"/>
    <row r="57225" ht="9.9499999999999993" hidden="1" customHeight="1" x14ac:dyDescent="0.2"/>
    <row r="57226" ht="9.9499999999999993" hidden="1" customHeight="1" x14ac:dyDescent="0.2"/>
    <row r="57227" ht="9.9499999999999993" hidden="1" customHeight="1" x14ac:dyDescent="0.2"/>
    <row r="57228" ht="9.9499999999999993" hidden="1" customHeight="1" x14ac:dyDescent="0.2"/>
    <row r="57229" ht="9.9499999999999993" hidden="1" customHeight="1" x14ac:dyDescent="0.2"/>
    <row r="57230" ht="9.9499999999999993" hidden="1" customHeight="1" x14ac:dyDescent="0.2"/>
    <row r="57231" ht="9.9499999999999993" hidden="1" customHeight="1" x14ac:dyDescent="0.2"/>
    <row r="57232" ht="9.9499999999999993" hidden="1" customHeight="1" x14ac:dyDescent="0.2"/>
    <row r="57233" ht="9.9499999999999993" hidden="1" customHeight="1" x14ac:dyDescent="0.2"/>
    <row r="57234" ht="9.9499999999999993" hidden="1" customHeight="1" x14ac:dyDescent="0.2"/>
    <row r="57235" ht="9.9499999999999993" hidden="1" customHeight="1" x14ac:dyDescent="0.2"/>
    <row r="57236" ht="9.9499999999999993" hidden="1" customHeight="1" x14ac:dyDescent="0.2"/>
    <row r="57237" ht="9.9499999999999993" hidden="1" customHeight="1" x14ac:dyDescent="0.2"/>
    <row r="57238" ht="9.9499999999999993" hidden="1" customHeight="1" x14ac:dyDescent="0.2"/>
    <row r="57239" ht="9.9499999999999993" hidden="1" customHeight="1" x14ac:dyDescent="0.2"/>
    <row r="57240" ht="9.9499999999999993" hidden="1" customHeight="1" x14ac:dyDescent="0.2"/>
    <row r="57241" ht="9.9499999999999993" hidden="1" customHeight="1" x14ac:dyDescent="0.2"/>
    <row r="57242" ht="9.9499999999999993" hidden="1" customHeight="1" x14ac:dyDescent="0.2"/>
    <row r="57243" ht="9.9499999999999993" hidden="1" customHeight="1" x14ac:dyDescent="0.2"/>
    <row r="57244" ht="9.9499999999999993" hidden="1" customHeight="1" x14ac:dyDescent="0.2"/>
    <row r="57245" ht="9.9499999999999993" hidden="1" customHeight="1" x14ac:dyDescent="0.2"/>
    <row r="57246" ht="9.9499999999999993" hidden="1" customHeight="1" x14ac:dyDescent="0.2"/>
    <row r="57247" ht="9.9499999999999993" hidden="1" customHeight="1" x14ac:dyDescent="0.2"/>
    <row r="57248" ht="9.9499999999999993" hidden="1" customHeight="1" x14ac:dyDescent="0.2"/>
    <row r="57249" ht="9.9499999999999993" hidden="1" customHeight="1" x14ac:dyDescent="0.2"/>
    <row r="57250" ht="9.9499999999999993" hidden="1" customHeight="1" x14ac:dyDescent="0.2"/>
    <row r="57251" ht="9.9499999999999993" hidden="1" customHeight="1" x14ac:dyDescent="0.2"/>
    <row r="57252" ht="9.9499999999999993" hidden="1" customHeight="1" x14ac:dyDescent="0.2"/>
    <row r="57253" ht="9.9499999999999993" hidden="1" customHeight="1" x14ac:dyDescent="0.2"/>
    <row r="57254" ht="9.9499999999999993" hidden="1" customHeight="1" x14ac:dyDescent="0.2"/>
    <row r="57255" ht="9.9499999999999993" hidden="1" customHeight="1" x14ac:dyDescent="0.2"/>
    <row r="57256" ht="9.9499999999999993" hidden="1" customHeight="1" x14ac:dyDescent="0.2"/>
    <row r="57257" ht="9.9499999999999993" hidden="1" customHeight="1" x14ac:dyDescent="0.2"/>
    <row r="57258" ht="9.9499999999999993" hidden="1" customHeight="1" x14ac:dyDescent="0.2"/>
    <row r="57259" ht="9.9499999999999993" hidden="1" customHeight="1" x14ac:dyDescent="0.2"/>
    <row r="57260" ht="9.9499999999999993" hidden="1" customHeight="1" x14ac:dyDescent="0.2"/>
    <row r="57261" ht="9.9499999999999993" hidden="1" customHeight="1" x14ac:dyDescent="0.2"/>
    <row r="57262" ht="9.9499999999999993" hidden="1" customHeight="1" x14ac:dyDescent="0.2"/>
    <row r="57263" ht="9.9499999999999993" hidden="1" customHeight="1" x14ac:dyDescent="0.2"/>
    <row r="57264" ht="9.9499999999999993" hidden="1" customHeight="1" x14ac:dyDescent="0.2"/>
    <row r="57265" ht="9.9499999999999993" hidden="1" customHeight="1" x14ac:dyDescent="0.2"/>
    <row r="57266" ht="9.9499999999999993" hidden="1" customHeight="1" x14ac:dyDescent="0.2"/>
    <row r="57267" ht="9.9499999999999993" hidden="1" customHeight="1" x14ac:dyDescent="0.2"/>
    <row r="57268" ht="9.9499999999999993" hidden="1" customHeight="1" x14ac:dyDescent="0.2"/>
    <row r="57269" ht="9.9499999999999993" hidden="1" customHeight="1" x14ac:dyDescent="0.2"/>
    <row r="57270" ht="9.9499999999999993" hidden="1" customHeight="1" x14ac:dyDescent="0.2"/>
    <row r="57271" ht="9.9499999999999993" hidden="1" customHeight="1" x14ac:dyDescent="0.2"/>
    <row r="57272" ht="9.9499999999999993" hidden="1" customHeight="1" x14ac:dyDescent="0.2"/>
    <row r="57273" ht="9.9499999999999993" hidden="1" customHeight="1" x14ac:dyDescent="0.2"/>
    <row r="57274" ht="9.9499999999999993" hidden="1" customHeight="1" x14ac:dyDescent="0.2"/>
    <row r="57275" ht="9.9499999999999993" hidden="1" customHeight="1" x14ac:dyDescent="0.2"/>
    <row r="57276" ht="9.9499999999999993" hidden="1" customHeight="1" x14ac:dyDescent="0.2"/>
    <row r="57277" ht="9.9499999999999993" hidden="1" customHeight="1" x14ac:dyDescent="0.2"/>
    <row r="57278" ht="9.9499999999999993" hidden="1" customHeight="1" x14ac:dyDescent="0.2"/>
    <row r="57279" ht="9.9499999999999993" hidden="1" customHeight="1" x14ac:dyDescent="0.2"/>
    <row r="57280" ht="9.9499999999999993" hidden="1" customHeight="1" x14ac:dyDescent="0.2"/>
    <row r="57281" ht="9.9499999999999993" hidden="1" customHeight="1" x14ac:dyDescent="0.2"/>
    <row r="57282" ht="9.9499999999999993" hidden="1" customHeight="1" x14ac:dyDescent="0.2"/>
    <row r="57283" ht="9.9499999999999993" hidden="1" customHeight="1" x14ac:dyDescent="0.2"/>
    <row r="57284" ht="9.9499999999999993" hidden="1" customHeight="1" x14ac:dyDescent="0.2"/>
    <row r="57285" ht="9.9499999999999993" hidden="1" customHeight="1" x14ac:dyDescent="0.2"/>
    <row r="57286" ht="9.9499999999999993" hidden="1" customHeight="1" x14ac:dyDescent="0.2"/>
    <row r="57287" ht="9.9499999999999993" hidden="1" customHeight="1" x14ac:dyDescent="0.2"/>
    <row r="57288" ht="9.9499999999999993" hidden="1" customHeight="1" x14ac:dyDescent="0.2"/>
    <row r="57289" ht="9.9499999999999993" hidden="1" customHeight="1" x14ac:dyDescent="0.2"/>
    <row r="57290" ht="9.9499999999999993" hidden="1" customHeight="1" x14ac:dyDescent="0.2"/>
    <row r="57291" ht="9.9499999999999993" hidden="1" customHeight="1" x14ac:dyDescent="0.2"/>
    <row r="57292" ht="9.9499999999999993" hidden="1" customHeight="1" x14ac:dyDescent="0.2"/>
    <row r="57293" ht="9.9499999999999993" hidden="1" customHeight="1" x14ac:dyDescent="0.2"/>
    <row r="57294" ht="9.9499999999999993" hidden="1" customHeight="1" x14ac:dyDescent="0.2"/>
    <row r="57295" ht="9.9499999999999993" hidden="1" customHeight="1" x14ac:dyDescent="0.2"/>
    <row r="57296" ht="9.9499999999999993" hidden="1" customHeight="1" x14ac:dyDescent="0.2"/>
    <row r="57297" ht="9.9499999999999993" hidden="1" customHeight="1" x14ac:dyDescent="0.2"/>
    <row r="57298" ht="9.9499999999999993" hidden="1" customHeight="1" x14ac:dyDescent="0.2"/>
    <row r="57299" ht="9.9499999999999993" hidden="1" customHeight="1" x14ac:dyDescent="0.2"/>
    <row r="57300" ht="9.9499999999999993" hidden="1" customHeight="1" x14ac:dyDescent="0.2"/>
    <row r="57301" ht="9.9499999999999993" hidden="1" customHeight="1" x14ac:dyDescent="0.2"/>
    <row r="57302" ht="9.9499999999999993" hidden="1" customHeight="1" x14ac:dyDescent="0.2"/>
    <row r="57303" ht="9.9499999999999993" hidden="1" customHeight="1" x14ac:dyDescent="0.2"/>
    <row r="57304" ht="9.9499999999999993" hidden="1" customHeight="1" x14ac:dyDescent="0.2"/>
    <row r="57305" ht="9.9499999999999993" hidden="1" customHeight="1" x14ac:dyDescent="0.2"/>
    <row r="57306" ht="9.9499999999999993" hidden="1" customHeight="1" x14ac:dyDescent="0.2"/>
    <row r="57307" ht="9.9499999999999993" hidden="1" customHeight="1" x14ac:dyDescent="0.2"/>
    <row r="57308" ht="9.9499999999999993" hidden="1" customHeight="1" x14ac:dyDescent="0.2"/>
    <row r="57309" ht="9.9499999999999993" hidden="1" customHeight="1" x14ac:dyDescent="0.2"/>
    <row r="57310" ht="9.9499999999999993" hidden="1" customHeight="1" x14ac:dyDescent="0.2"/>
    <row r="57311" ht="9.9499999999999993" hidden="1" customHeight="1" x14ac:dyDescent="0.2"/>
    <row r="57312" ht="9.9499999999999993" hidden="1" customHeight="1" x14ac:dyDescent="0.2"/>
    <row r="57313" ht="9.9499999999999993" hidden="1" customHeight="1" x14ac:dyDescent="0.2"/>
    <row r="57314" ht="9.9499999999999993" hidden="1" customHeight="1" x14ac:dyDescent="0.2"/>
    <row r="57315" ht="9.9499999999999993" hidden="1" customHeight="1" x14ac:dyDescent="0.2"/>
    <row r="57316" ht="9.9499999999999993" hidden="1" customHeight="1" x14ac:dyDescent="0.2"/>
    <row r="57317" ht="9.9499999999999993" hidden="1" customHeight="1" x14ac:dyDescent="0.2"/>
    <row r="57318" ht="9.9499999999999993" hidden="1" customHeight="1" x14ac:dyDescent="0.2"/>
    <row r="57319" ht="9.9499999999999993" hidden="1" customHeight="1" x14ac:dyDescent="0.2"/>
    <row r="57320" ht="9.9499999999999993" hidden="1" customHeight="1" x14ac:dyDescent="0.2"/>
    <row r="57321" ht="9.9499999999999993" hidden="1" customHeight="1" x14ac:dyDescent="0.2"/>
    <row r="57322" ht="9.9499999999999993" hidden="1" customHeight="1" x14ac:dyDescent="0.2"/>
    <row r="57323" ht="9.9499999999999993" hidden="1" customHeight="1" x14ac:dyDescent="0.2"/>
    <row r="57324" ht="9.9499999999999993" hidden="1" customHeight="1" x14ac:dyDescent="0.2"/>
    <row r="57325" ht="9.9499999999999993" hidden="1" customHeight="1" x14ac:dyDescent="0.2"/>
    <row r="57326" ht="9.9499999999999993" hidden="1" customHeight="1" x14ac:dyDescent="0.2"/>
    <row r="57327" ht="9.9499999999999993" hidden="1" customHeight="1" x14ac:dyDescent="0.2"/>
    <row r="57328" ht="9.9499999999999993" hidden="1" customHeight="1" x14ac:dyDescent="0.2"/>
    <row r="57329" ht="9.9499999999999993" hidden="1" customHeight="1" x14ac:dyDescent="0.2"/>
    <row r="57330" ht="9.9499999999999993" hidden="1" customHeight="1" x14ac:dyDescent="0.2"/>
    <row r="57331" ht="9.9499999999999993" hidden="1" customHeight="1" x14ac:dyDescent="0.2"/>
    <row r="57332" ht="9.9499999999999993" hidden="1" customHeight="1" x14ac:dyDescent="0.2"/>
    <row r="57333" ht="9.9499999999999993" hidden="1" customHeight="1" x14ac:dyDescent="0.2"/>
    <row r="57334" ht="9.9499999999999993" hidden="1" customHeight="1" x14ac:dyDescent="0.2"/>
    <row r="57335" ht="9.9499999999999993" hidden="1" customHeight="1" x14ac:dyDescent="0.2"/>
    <row r="57336" ht="9.9499999999999993" hidden="1" customHeight="1" x14ac:dyDescent="0.2"/>
    <row r="57337" ht="9.9499999999999993" hidden="1" customHeight="1" x14ac:dyDescent="0.2"/>
    <row r="57338" ht="9.9499999999999993" hidden="1" customHeight="1" x14ac:dyDescent="0.2"/>
    <row r="57339" ht="9.9499999999999993" hidden="1" customHeight="1" x14ac:dyDescent="0.2"/>
    <row r="57340" ht="9.9499999999999993" hidden="1" customHeight="1" x14ac:dyDescent="0.2"/>
    <row r="57341" ht="9.9499999999999993" hidden="1" customHeight="1" x14ac:dyDescent="0.2"/>
    <row r="57342" ht="9.9499999999999993" hidden="1" customHeight="1" x14ac:dyDescent="0.2"/>
    <row r="57343" ht="9.9499999999999993" hidden="1" customHeight="1" x14ac:dyDescent="0.2"/>
    <row r="57344" ht="9.9499999999999993" hidden="1" customHeight="1" x14ac:dyDescent="0.2"/>
    <row r="57345" ht="9.9499999999999993" hidden="1" customHeight="1" x14ac:dyDescent="0.2"/>
    <row r="57346" ht="9.9499999999999993" hidden="1" customHeight="1" x14ac:dyDescent="0.2"/>
    <row r="57347" ht="9.9499999999999993" hidden="1" customHeight="1" x14ac:dyDescent="0.2"/>
    <row r="57348" ht="9.9499999999999993" hidden="1" customHeight="1" x14ac:dyDescent="0.2"/>
    <row r="57349" ht="9.9499999999999993" hidden="1" customHeight="1" x14ac:dyDescent="0.2"/>
    <row r="57350" ht="9.9499999999999993" hidden="1" customHeight="1" x14ac:dyDescent="0.2"/>
    <row r="57351" ht="9.9499999999999993" hidden="1" customHeight="1" x14ac:dyDescent="0.2"/>
    <row r="57352" ht="9.9499999999999993" hidden="1" customHeight="1" x14ac:dyDescent="0.2"/>
    <row r="57353" ht="9.9499999999999993" hidden="1" customHeight="1" x14ac:dyDescent="0.2"/>
    <row r="57354" ht="9.9499999999999993" hidden="1" customHeight="1" x14ac:dyDescent="0.2"/>
    <row r="57355" ht="9.9499999999999993" hidden="1" customHeight="1" x14ac:dyDescent="0.2"/>
    <row r="57356" ht="9.9499999999999993" hidden="1" customHeight="1" x14ac:dyDescent="0.2"/>
    <row r="57357" ht="9.9499999999999993" hidden="1" customHeight="1" x14ac:dyDescent="0.2"/>
    <row r="57358" ht="9.9499999999999993" hidden="1" customHeight="1" x14ac:dyDescent="0.2"/>
    <row r="57359" ht="9.9499999999999993" hidden="1" customHeight="1" x14ac:dyDescent="0.2"/>
    <row r="57360" ht="9.9499999999999993" hidden="1" customHeight="1" x14ac:dyDescent="0.2"/>
    <row r="57361" ht="9.9499999999999993" hidden="1" customHeight="1" x14ac:dyDescent="0.2"/>
    <row r="57362" ht="9.9499999999999993" hidden="1" customHeight="1" x14ac:dyDescent="0.2"/>
    <row r="57363" ht="9.9499999999999993" hidden="1" customHeight="1" x14ac:dyDescent="0.2"/>
    <row r="57364" ht="9.9499999999999993" hidden="1" customHeight="1" x14ac:dyDescent="0.2"/>
    <row r="57365" ht="9.9499999999999993" hidden="1" customHeight="1" x14ac:dyDescent="0.2"/>
    <row r="57366" ht="9.9499999999999993" hidden="1" customHeight="1" x14ac:dyDescent="0.2"/>
    <row r="57367" ht="9.9499999999999993" hidden="1" customHeight="1" x14ac:dyDescent="0.2"/>
    <row r="57368" ht="9.9499999999999993" hidden="1" customHeight="1" x14ac:dyDescent="0.2"/>
    <row r="57369" ht="9.9499999999999993" hidden="1" customHeight="1" x14ac:dyDescent="0.2"/>
    <row r="57370" ht="9.9499999999999993" hidden="1" customHeight="1" x14ac:dyDescent="0.2"/>
    <row r="57371" ht="9.9499999999999993" hidden="1" customHeight="1" x14ac:dyDescent="0.2"/>
    <row r="57372" ht="9.9499999999999993" hidden="1" customHeight="1" x14ac:dyDescent="0.2"/>
    <row r="57373" ht="9.9499999999999993" hidden="1" customHeight="1" x14ac:dyDescent="0.2"/>
    <row r="57374" ht="9.9499999999999993" hidden="1" customHeight="1" x14ac:dyDescent="0.2"/>
    <row r="57375" ht="9.9499999999999993" hidden="1" customHeight="1" x14ac:dyDescent="0.2"/>
    <row r="57376" ht="9.9499999999999993" hidden="1" customHeight="1" x14ac:dyDescent="0.2"/>
    <row r="57377" ht="9.9499999999999993" hidden="1" customHeight="1" x14ac:dyDescent="0.2"/>
    <row r="57378" ht="9.9499999999999993" hidden="1" customHeight="1" x14ac:dyDescent="0.2"/>
    <row r="57379" ht="9.9499999999999993" hidden="1" customHeight="1" x14ac:dyDescent="0.2"/>
    <row r="57380" ht="9.9499999999999993" hidden="1" customHeight="1" x14ac:dyDescent="0.2"/>
    <row r="57381" ht="9.9499999999999993" hidden="1" customHeight="1" x14ac:dyDescent="0.2"/>
    <row r="57382" ht="9.9499999999999993" hidden="1" customHeight="1" x14ac:dyDescent="0.2"/>
    <row r="57383" ht="9.9499999999999993" hidden="1" customHeight="1" x14ac:dyDescent="0.2"/>
    <row r="57384" ht="9.9499999999999993" hidden="1" customHeight="1" x14ac:dyDescent="0.2"/>
    <row r="57385" ht="9.9499999999999993" hidden="1" customHeight="1" x14ac:dyDescent="0.2"/>
    <row r="57386" ht="9.9499999999999993" hidden="1" customHeight="1" x14ac:dyDescent="0.2"/>
    <row r="57387" ht="9.9499999999999993" hidden="1" customHeight="1" x14ac:dyDescent="0.2"/>
    <row r="57388" ht="9.9499999999999993" hidden="1" customHeight="1" x14ac:dyDescent="0.2"/>
    <row r="57389" ht="9.9499999999999993" hidden="1" customHeight="1" x14ac:dyDescent="0.2"/>
    <row r="57390" ht="9.9499999999999993" hidden="1" customHeight="1" x14ac:dyDescent="0.2"/>
    <row r="57391" ht="9.9499999999999993" hidden="1" customHeight="1" x14ac:dyDescent="0.2"/>
    <row r="57392" ht="9.9499999999999993" hidden="1" customHeight="1" x14ac:dyDescent="0.2"/>
    <row r="57393" ht="9.9499999999999993" hidden="1" customHeight="1" x14ac:dyDescent="0.2"/>
    <row r="57394" ht="9.9499999999999993" hidden="1" customHeight="1" x14ac:dyDescent="0.2"/>
    <row r="57395" ht="9.9499999999999993" hidden="1" customHeight="1" x14ac:dyDescent="0.2"/>
    <row r="57396" ht="9.9499999999999993" hidden="1" customHeight="1" x14ac:dyDescent="0.2"/>
    <row r="57397" ht="9.9499999999999993" hidden="1" customHeight="1" x14ac:dyDescent="0.2"/>
    <row r="57398" ht="9.9499999999999993" hidden="1" customHeight="1" x14ac:dyDescent="0.2"/>
    <row r="57399" ht="9.9499999999999993" hidden="1" customHeight="1" x14ac:dyDescent="0.2"/>
    <row r="57400" ht="9.9499999999999993" hidden="1" customHeight="1" x14ac:dyDescent="0.2"/>
    <row r="57401" ht="9.9499999999999993" hidden="1" customHeight="1" x14ac:dyDescent="0.2"/>
    <row r="57402" ht="9.9499999999999993" hidden="1" customHeight="1" x14ac:dyDescent="0.2"/>
    <row r="57403" ht="9.9499999999999993" hidden="1" customHeight="1" x14ac:dyDescent="0.2"/>
    <row r="57404" ht="9.9499999999999993" hidden="1" customHeight="1" x14ac:dyDescent="0.2"/>
    <row r="57405" ht="9.9499999999999993" hidden="1" customHeight="1" x14ac:dyDescent="0.2"/>
    <row r="57406" ht="9.9499999999999993" hidden="1" customHeight="1" x14ac:dyDescent="0.2"/>
    <row r="57407" ht="9.9499999999999993" hidden="1" customHeight="1" x14ac:dyDescent="0.2"/>
    <row r="57408" ht="9.9499999999999993" hidden="1" customHeight="1" x14ac:dyDescent="0.2"/>
    <row r="57409" ht="9.9499999999999993" hidden="1" customHeight="1" x14ac:dyDescent="0.2"/>
    <row r="57410" ht="9.9499999999999993" hidden="1" customHeight="1" x14ac:dyDescent="0.2"/>
    <row r="57411" ht="9.9499999999999993" hidden="1" customHeight="1" x14ac:dyDescent="0.2"/>
    <row r="57412" ht="9.9499999999999993" hidden="1" customHeight="1" x14ac:dyDescent="0.2"/>
    <row r="57413" ht="9.9499999999999993" hidden="1" customHeight="1" x14ac:dyDescent="0.2"/>
    <row r="57414" ht="9.9499999999999993" hidden="1" customHeight="1" x14ac:dyDescent="0.2"/>
    <row r="57415" ht="9.9499999999999993" hidden="1" customHeight="1" x14ac:dyDescent="0.2"/>
    <row r="57416" ht="9.9499999999999993" hidden="1" customHeight="1" x14ac:dyDescent="0.2"/>
    <row r="57417" ht="9.9499999999999993" hidden="1" customHeight="1" x14ac:dyDescent="0.2"/>
    <row r="57418" ht="9.9499999999999993" hidden="1" customHeight="1" x14ac:dyDescent="0.2"/>
    <row r="57419" ht="9.9499999999999993" hidden="1" customHeight="1" x14ac:dyDescent="0.2"/>
    <row r="57420" ht="9.9499999999999993" hidden="1" customHeight="1" x14ac:dyDescent="0.2"/>
    <row r="57421" ht="9.9499999999999993" hidden="1" customHeight="1" x14ac:dyDescent="0.2"/>
    <row r="57422" ht="9.9499999999999993" hidden="1" customHeight="1" x14ac:dyDescent="0.2"/>
    <row r="57423" ht="9.9499999999999993" hidden="1" customHeight="1" x14ac:dyDescent="0.2"/>
    <row r="57424" ht="9.9499999999999993" hidden="1" customHeight="1" x14ac:dyDescent="0.2"/>
    <row r="57425" ht="9.9499999999999993" hidden="1" customHeight="1" x14ac:dyDescent="0.2"/>
    <row r="57426" ht="9.9499999999999993" hidden="1" customHeight="1" x14ac:dyDescent="0.2"/>
    <row r="57427" ht="9.9499999999999993" hidden="1" customHeight="1" x14ac:dyDescent="0.2"/>
    <row r="57428" ht="9.9499999999999993" hidden="1" customHeight="1" x14ac:dyDescent="0.2"/>
    <row r="57429" ht="9.9499999999999993" hidden="1" customHeight="1" x14ac:dyDescent="0.2"/>
    <row r="57430" ht="9.9499999999999993" hidden="1" customHeight="1" x14ac:dyDescent="0.2"/>
    <row r="57431" ht="9.9499999999999993" hidden="1" customHeight="1" x14ac:dyDescent="0.2"/>
    <row r="57432" ht="9.9499999999999993" hidden="1" customHeight="1" x14ac:dyDescent="0.2"/>
    <row r="57433" ht="9.9499999999999993" hidden="1" customHeight="1" x14ac:dyDescent="0.2"/>
    <row r="57434" ht="9.9499999999999993" hidden="1" customHeight="1" x14ac:dyDescent="0.2"/>
    <row r="57435" ht="9.9499999999999993" hidden="1" customHeight="1" x14ac:dyDescent="0.2"/>
    <row r="57436" ht="9.9499999999999993" hidden="1" customHeight="1" x14ac:dyDescent="0.2"/>
    <row r="57437" ht="9.9499999999999993" hidden="1" customHeight="1" x14ac:dyDescent="0.2"/>
    <row r="57438" ht="9.9499999999999993" hidden="1" customHeight="1" x14ac:dyDescent="0.2"/>
    <row r="57439" ht="9.9499999999999993" hidden="1" customHeight="1" x14ac:dyDescent="0.2"/>
    <row r="57440" ht="9.9499999999999993" hidden="1" customHeight="1" x14ac:dyDescent="0.2"/>
    <row r="57441" ht="9.9499999999999993" hidden="1" customHeight="1" x14ac:dyDescent="0.2"/>
    <row r="57442" ht="9.9499999999999993" hidden="1" customHeight="1" x14ac:dyDescent="0.2"/>
    <row r="57443" ht="9.9499999999999993" hidden="1" customHeight="1" x14ac:dyDescent="0.2"/>
    <row r="57444" ht="9.9499999999999993" hidden="1" customHeight="1" x14ac:dyDescent="0.2"/>
    <row r="57445" ht="9.9499999999999993" hidden="1" customHeight="1" x14ac:dyDescent="0.2"/>
    <row r="57446" ht="9.9499999999999993" hidden="1" customHeight="1" x14ac:dyDescent="0.2"/>
    <row r="57447" ht="9.9499999999999993" hidden="1" customHeight="1" x14ac:dyDescent="0.2"/>
    <row r="57448" ht="9.9499999999999993" hidden="1" customHeight="1" x14ac:dyDescent="0.2"/>
    <row r="57449" ht="9.9499999999999993" hidden="1" customHeight="1" x14ac:dyDescent="0.2"/>
    <row r="57450" ht="9.9499999999999993" hidden="1" customHeight="1" x14ac:dyDescent="0.2"/>
    <row r="57451" ht="9.9499999999999993" hidden="1" customHeight="1" x14ac:dyDescent="0.2"/>
    <row r="57452" ht="9.9499999999999993" hidden="1" customHeight="1" x14ac:dyDescent="0.2"/>
    <row r="57453" ht="9.9499999999999993" hidden="1" customHeight="1" x14ac:dyDescent="0.2"/>
    <row r="57454" ht="9.9499999999999993" hidden="1" customHeight="1" x14ac:dyDescent="0.2"/>
    <row r="57455" ht="9.9499999999999993" hidden="1" customHeight="1" x14ac:dyDescent="0.2"/>
    <row r="57456" ht="9.9499999999999993" hidden="1" customHeight="1" x14ac:dyDescent="0.2"/>
    <row r="57457" ht="9.9499999999999993" hidden="1" customHeight="1" x14ac:dyDescent="0.2"/>
    <row r="57458" ht="9.9499999999999993" hidden="1" customHeight="1" x14ac:dyDescent="0.2"/>
    <row r="57459" ht="9.9499999999999993" hidden="1" customHeight="1" x14ac:dyDescent="0.2"/>
    <row r="57460" ht="9.9499999999999993" hidden="1" customHeight="1" x14ac:dyDescent="0.2"/>
    <row r="57461" ht="9.9499999999999993" hidden="1" customHeight="1" x14ac:dyDescent="0.2"/>
    <row r="57462" ht="9.9499999999999993" hidden="1" customHeight="1" x14ac:dyDescent="0.2"/>
    <row r="57463" ht="9.9499999999999993" hidden="1" customHeight="1" x14ac:dyDescent="0.2"/>
    <row r="57464" ht="9.9499999999999993" hidden="1" customHeight="1" x14ac:dyDescent="0.2"/>
    <row r="57465" ht="9.9499999999999993" hidden="1" customHeight="1" x14ac:dyDescent="0.2"/>
    <row r="57466" ht="9.9499999999999993" hidden="1" customHeight="1" x14ac:dyDescent="0.2"/>
    <row r="57467" ht="9.9499999999999993" hidden="1" customHeight="1" x14ac:dyDescent="0.2"/>
    <row r="57468" ht="9.9499999999999993" hidden="1" customHeight="1" x14ac:dyDescent="0.2"/>
    <row r="57469" ht="9.9499999999999993" hidden="1" customHeight="1" x14ac:dyDescent="0.2"/>
    <row r="57470" ht="9.9499999999999993" hidden="1" customHeight="1" x14ac:dyDescent="0.2"/>
    <row r="57471" ht="9.9499999999999993" hidden="1" customHeight="1" x14ac:dyDescent="0.2"/>
    <row r="57472" ht="9.9499999999999993" hidden="1" customHeight="1" x14ac:dyDescent="0.2"/>
    <row r="57473" ht="9.9499999999999993" hidden="1" customHeight="1" x14ac:dyDescent="0.2"/>
    <row r="57474" ht="9.9499999999999993" hidden="1" customHeight="1" x14ac:dyDescent="0.2"/>
    <row r="57475" ht="9.9499999999999993" hidden="1" customHeight="1" x14ac:dyDescent="0.2"/>
    <row r="57476" ht="9.9499999999999993" hidden="1" customHeight="1" x14ac:dyDescent="0.2"/>
    <row r="57477" ht="9.9499999999999993" hidden="1" customHeight="1" x14ac:dyDescent="0.2"/>
    <row r="57478" ht="9.9499999999999993" hidden="1" customHeight="1" x14ac:dyDescent="0.2"/>
    <row r="57479" ht="9.9499999999999993" hidden="1" customHeight="1" x14ac:dyDescent="0.2"/>
    <row r="57480" ht="9.9499999999999993" hidden="1" customHeight="1" x14ac:dyDescent="0.2"/>
    <row r="57481" ht="9.9499999999999993" hidden="1" customHeight="1" x14ac:dyDescent="0.2"/>
    <row r="57482" ht="9.9499999999999993" hidden="1" customHeight="1" x14ac:dyDescent="0.2"/>
    <row r="57483" ht="9.9499999999999993" hidden="1" customHeight="1" x14ac:dyDescent="0.2"/>
    <row r="57484" ht="9.9499999999999993" hidden="1" customHeight="1" x14ac:dyDescent="0.2"/>
    <row r="57485" ht="9.9499999999999993" hidden="1" customHeight="1" x14ac:dyDescent="0.2"/>
    <row r="57486" ht="9.9499999999999993" hidden="1" customHeight="1" x14ac:dyDescent="0.2"/>
    <row r="57487" ht="9.9499999999999993" hidden="1" customHeight="1" x14ac:dyDescent="0.2"/>
    <row r="57488" ht="9.9499999999999993" hidden="1" customHeight="1" x14ac:dyDescent="0.2"/>
    <row r="57489" ht="9.9499999999999993" hidden="1" customHeight="1" x14ac:dyDescent="0.2"/>
    <row r="57490" ht="9.9499999999999993" hidden="1" customHeight="1" x14ac:dyDescent="0.2"/>
    <row r="57491" ht="9.9499999999999993" hidden="1" customHeight="1" x14ac:dyDescent="0.2"/>
    <row r="57492" ht="9.9499999999999993" hidden="1" customHeight="1" x14ac:dyDescent="0.2"/>
    <row r="57493" ht="9.9499999999999993" hidden="1" customHeight="1" x14ac:dyDescent="0.2"/>
    <row r="57494" ht="9.9499999999999993" hidden="1" customHeight="1" x14ac:dyDescent="0.2"/>
    <row r="57495" ht="9.9499999999999993" hidden="1" customHeight="1" x14ac:dyDescent="0.2"/>
    <row r="57496" ht="9.9499999999999993" hidden="1" customHeight="1" x14ac:dyDescent="0.2"/>
    <row r="57497" ht="9.9499999999999993" hidden="1" customHeight="1" x14ac:dyDescent="0.2"/>
    <row r="57498" ht="9.9499999999999993" hidden="1" customHeight="1" x14ac:dyDescent="0.2"/>
    <row r="57499" ht="9.9499999999999993" hidden="1" customHeight="1" x14ac:dyDescent="0.2"/>
    <row r="57500" ht="9.9499999999999993" hidden="1" customHeight="1" x14ac:dyDescent="0.2"/>
    <row r="57501" ht="9.9499999999999993" hidden="1" customHeight="1" x14ac:dyDescent="0.2"/>
    <row r="57502" ht="9.9499999999999993" hidden="1" customHeight="1" x14ac:dyDescent="0.2"/>
    <row r="57503" ht="9.9499999999999993" hidden="1" customHeight="1" x14ac:dyDescent="0.2"/>
    <row r="57504" ht="9.9499999999999993" hidden="1" customHeight="1" x14ac:dyDescent="0.2"/>
    <row r="57505" ht="9.9499999999999993" hidden="1" customHeight="1" x14ac:dyDescent="0.2"/>
    <row r="57506" ht="9.9499999999999993" hidden="1" customHeight="1" x14ac:dyDescent="0.2"/>
    <row r="57507" ht="9.9499999999999993" hidden="1" customHeight="1" x14ac:dyDescent="0.2"/>
    <row r="57508" ht="9.9499999999999993" hidden="1" customHeight="1" x14ac:dyDescent="0.2"/>
    <row r="57509" ht="9.9499999999999993" hidden="1" customHeight="1" x14ac:dyDescent="0.2"/>
    <row r="57510" ht="9.9499999999999993" hidden="1" customHeight="1" x14ac:dyDescent="0.2"/>
    <row r="57511" ht="9.9499999999999993" hidden="1" customHeight="1" x14ac:dyDescent="0.2"/>
    <row r="57512" ht="9.9499999999999993" hidden="1" customHeight="1" x14ac:dyDescent="0.2"/>
    <row r="57513" ht="9.9499999999999993" hidden="1" customHeight="1" x14ac:dyDescent="0.2"/>
    <row r="57514" ht="9.9499999999999993" hidden="1" customHeight="1" x14ac:dyDescent="0.2"/>
    <row r="57515" ht="9.9499999999999993" hidden="1" customHeight="1" x14ac:dyDescent="0.2"/>
    <row r="57516" ht="9.9499999999999993" hidden="1" customHeight="1" x14ac:dyDescent="0.2"/>
    <row r="57517" ht="9.9499999999999993" hidden="1" customHeight="1" x14ac:dyDescent="0.2"/>
    <row r="57518" ht="9.9499999999999993" hidden="1" customHeight="1" x14ac:dyDescent="0.2"/>
    <row r="57519" ht="9.9499999999999993" hidden="1" customHeight="1" x14ac:dyDescent="0.2"/>
    <row r="57520" ht="9.9499999999999993" hidden="1" customHeight="1" x14ac:dyDescent="0.2"/>
    <row r="57521" ht="9.9499999999999993" hidden="1" customHeight="1" x14ac:dyDescent="0.2"/>
    <row r="57522" ht="9.9499999999999993" hidden="1" customHeight="1" x14ac:dyDescent="0.2"/>
    <row r="57523" ht="9.9499999999999993" hidden="1" customHeight="1" x14ac:dyDescent="0.2"/>
    <row r="57524" ht="9.9499999999999993" hidden="1" customHeight="1" x14ac:dyDescent="0.2"/>
    <row r="57525" ht="9.9499999999999993" hidden="1" customHeight="1" x14ac:dyDescent="0.2"/>
    <row r="57526" ht="9.9499999999999993" hidden="1" customHeight="1" x14ac:dyDescent="0.2"/>
    <row r="57527" ht="9.9499999999999993" hidden="1" customHeight="1" x14ac:dyDescent="0.2"/>
    <row r="57528" ht="9.9499999999999993" hidden="1" customHeight="1" x14ac:dyDescent="0.2"/>
    <row r="57529" ht="9.9499999999999993" hidden="1" customHeight="1" x14ac:dyDescent="0.2"/>
    <row r="57530" ht="9.9499999999999993" hidden="1" customHeight="1" x14ac:dyDescent="0.2"/>
    <row r="57531" ht="9.9499999999999993" hidden="1" customHeight="1" x14ac:dyDescent="0.2"/>
    <row r="57532" ht="9.9499999999999993" hidden="1" customHeight="1" x14ac:dyDescent="0.2"/>
    <row r="57533" ht="9.9499999999999993" hidden="1" customHeight="1" x14ac:dyDescent="0.2"/>
    <row r="57534" ht="9.9499999999999993" hidden="1" customHeight="1" x14ac:dyDescent="0.2"/>
    <row r="57535" ht="9.9499999999999993" hidden="1" customHeight="1" x14ac:dyDescent="0.2"/>
    <row r="57536" ht="9.9499999999999993" hidden="1" customHeight="1" x14ac:dyDescent="0.2"/>
    <row r="57537" ht="9.9499999999999993" hidden="1" customHeight="1" x14ac:dyDescent="0.2"/>
    <row r="57538" ht="9.9499999999999993" hidden="1" customHeight="1" x14ac:dyDescent="0.2"/>
    <row r="57539" ht="9.9499999999999993" hidden="1" customHeight="1" x14ac:dyDescent="0.2"/>
    <row r="57540" ht="9.9499999999999993" hidden="1" customHeight="1" x14ac:dyDescent="0.2"/>
    <row r="57541" ht="9.9499999999999993" hidden="1" customHeight="1" x14ac:dyDescent="0.2"/>
    <row r="57542" ht="9.9499999999999993" hidden="1" customHeight="1" x14ac:dyDescent="0.2"/>
    <row r="57543" ht="9.9499999999999993" hidden="1" customHeight="1" x14ac:dyDescent="0.2"/>
    <row r="57544" ht="9.9499999999999993" hidden="1" customHeight="1" x14ac:dyDescent="0.2"/>
    <row r="57545" ht="9.9499999999999993" hidden="1" customHeight="1" x14ac:dyDescent="0.2"/>
    <row r="57546" ht="9.9499999999999993" hidden="1" customHeight="1" x14ac:dyDescent="0.2"/>
    <row r="57547" ht="9.9499999999999993" hidden="1" customHeight="1" x14ac:dyDescent="0.2"/>
    <row r="57548" ht="9.9499999999999993" hidden="1" customHeight="1" x14ac:dyDescent="0.2"/>
    <row r="57549" ht="9.9499999999999993" hidden="1" customHeight="1" x14ac:dyDescent="0.2"/>
    <row r="57550" ht="9.9499999999999993" hidden="1" customHeight="1" x14ac:dyDescent="0.2"/>
    <row r="57551" ht="9.9499999999999993" hidden="1" customHeight="1" x14ac:dyDescent="0.2"/>
    <row r="57552" ht="9.9499999999999993" hidden="1" customHeight="1" x14ac:dyDescent="0.2"/>
    <row r="57553" ht="9.9499999999999993" hidden="1" customHeight="1" x14ac:dyDescent="0.2"/>
    <row r="57554" ht="9.9499999999999993" hidden="1" customHeight="1" x14ac:dyDescent="0.2"/>
    <row r="57555" ht="9.9499999999999993" hidden="1" customHeight="1" x14ac:dyDescent="0.2"/>
    <row r="57556" ht="9.9499999999999993" hidden="1" customHeight="1" x14ac:dyDescent="0.2"/>
    <row r="57557" ht="9.9499999999999993" hidden="1" customHeight="1" x14ac:dyDescent="0.2"/>
    <row r="57558" ht="9.9499999999999993" hidden="1" customHeight="1" x14ac:dyDescent="0.2"/>
    <row r="57559" ht="9.9499999999999993" hidden="1" customHeight="1" x14ac:dyDescent="0.2"/>
    <row r="57560" ht="9.9499999999999993" hidden="1" customHeight="1" x14ac:dyDescent="0.2"/>
    <row r="57561" ht="9.9499999999999993" hidden="1" customHeight="1" x14ac:dyDescent="0.2"/>
    <row r="57562" ht="9.9499999999999993" hidden="1" customHeight="1" x14ac:dyDescent="0.2"/>
    <row r="57563" ht="9.9499999999999993" hidden="1" customHeight="1" x14ac:dyDescent="0.2"/>
    <row r="57564" ht="9.9499999999999993" hidden="1" customHeight="1" x14ac:dyDescent="0.2"/>
    <row r="57565" ht="9.9499999999999993" hidden="1" customHeight="1" x14ac:dyDescent="0.2"/>
    <row r="57566" ht="9.9499999999999993" hidden="1" customHeight="1" x14ac:dyDescent="0.2"/>
    <row r="57567" ht="9.9499999999999993" hidden="1" customHeight="1" x14ac:dyDescent="0.2"/>
    <row r="57568" ht="9.9499999999999993" hidden="1" customHeight="1" x14ac:dyDescent="0.2"/>
    <row r="57569" ht="9.9499999999999993" hidden="1" customHeight="1" x14ac:dyDescent="0.2"/>
    <row r="57570" ht="9.9499999999999993" hidden="1" customHeight="1" x14ac:dyDescent="0.2"/>
    <row r="57571" ht="9.9499999999999993" hidden="1" customHeight="1" x14ac:dyDescent="0.2"/>
    <row r="57572" ht="9.9499999999999993" hidden="1" customHeight="1" x14ac:dyDescent="0.2"/>
    <row r="57573" ht="9.9499999999999993" hidden="1" customHeight="1" x14ac:dyDescent="0.2"/>
    <row r="57574" ht="9.9499999999999993" hidden="1" customHeight="1" x14ac:dyDescent="0.2"/>
    <row r="57575" ht="9.9499999999999993" hidden="1" customHeight="1" x14ac:dyDescent="0.2"/>
    <row r="57576" ht="9.9499999999999993" hidden="1" customHeight="1" x14ac:dyDescent="0.2"/>
    <row r="57577" ht="9.9499999999999993" hidden="1" customHeight="1" x14ac:dyDescent="0.2"/>
    <row r="57578" ht="9.9499999999999993" hidden="1" customHeight="1" x14ac:dyDescent="0.2"/>
    <row r="57579" ht="9.9499999999999993" hidden="1" customHeight="1" x14ac:dyDescent="0.2"/>
    <row r="57580" ht="9.9499999999999993" hidden="1" customHeight="1" x14ac:dyDescent="0.2"/>
    <row r="57581" ht="9.9499999999999993" hidden="1" customHeight="1" x14ac:dyDescent="0.2"/>
    <row r="57582" ht="9.9499999999999993" hidden="1" customHeight="1" x14ac:dyDescent="0.2"/>
    <row r="57583" ht="9.9499999999999993" hidden="1" customHeight="1" x14ac:dyDescent="0.2"/>
    <row r="57584" ht="9.9499999999999993" hidden="1" customHeight="1" x14ac:dyDescent="0.2"/>
    <row r="57585" ht="9.9499999999999993" hidden="1" customHeight="1" x14ac:dyDescent="0.2"/>
    <row r="57586" ht="9.9499999999999993" hidden="1" customHeight="1" x14ac:dyDescent="0.2"/>
    <row r="57587" ht="9.9499999999999993" hidden="1" customHeight="1" x14ac:dyDescent="0.2"/>
    <row r="57588" ht="9.9499999999999993" hidden="1" customHeight="1" x14ac:dyDescent="0.2"/>
    <row r="57589" ht="9.9499999999999993" hidden="1" customHeight="1" x14ac:dyDescent="0.2"/>
    <row r="57590" ht="9.9499999999999993" hidden="1" customHeight="1" x14ac:dyDescent="0.2"/>
    <row r="57591" ht="9.9499999999999993" hidden="1" customHeight="1" x14ac:dyDescent="0.2"/>
    <row r="57592" ht="9.9499999999999993" hidden="1" customHeight="1" x14ac:dyDescent="0.2"/>
    <row r="57593" ht="9.9499999999999993" hidden="1" customHeight="1" x14ac:dyDescent="0.2"/>
    <row r="57594" ht="9.9499999999999993" hidden="1" customHeight="1" x14ac:dyDescent="0.2"/>
    <row r="57595" ht="9.9499999999999993" hidden="1" customHeight="1" x14ac:dyDescent="0.2"/>
    <row r="57596" ht="9.9499999999999993" hidden="1" customHeight="1" x14ac:dyDescent="0.2"/>
    <row r="57597" ht="9.9499999999999993" hidden="1" customHeight="1" x14ac:dyDescent="0.2"/>
    <row r="57598" ht="9.9499999999999993" hidden="1" customHeight="1" x14ac:dyDescent="0.2"/>
    <row r="57599" ht="9.9499999999999993" hidden="1" customHeight="1" x14ac:dyDescent="0.2"/>
    <row r="57600" ht="9.9499999999999993" hidden="1" customHeight="1" x14ac:dyDescent="0.2"/>
    <row r="57601" ht="9.9499999999999993" hidden="1" customHeight="1" x14ac:dyDescent="0.2"/>
    <row r="57602" ht="9.9499999999999993" hidden="1" customHeight="1" x14ac:dyDescent="0.2"/>
    <row r="57603" ht="9.9499999999999993" hidden="1" customHeight="1" x14ac:dyDescent="0.2"/>
    <row r="57604" ht="9.9499999999999993" hidden="1" customHeight="1" x14ac:dyDescent="0.2"/>
    <row r="57605" ht="9.9499999999999993" hidden="1" customHeight="1" x14ac:dyDescent="0.2"/>
    <row r="57606" ht="9.9499999999999993" hidden="1" customHeight="1" x14ac:dyDescent="0.2"/>
    <row r="57607" ht="9.9499999999999993" hidden="1" customHeight="1" x14ac:dyDescent="0.2"/>
    <row r="57608" ht="9.9499999999999993" hidden="1" customHeight="1" x14ac:dyDescent="0.2"/>
    <row r="57609" ht="9.9499999999999993" hidden="1" customHeight="1" x14ac:dyDescent="0.2"/>
    <row r="57610" ht="9.9499999999999993" hidden="1" customHeight="1" x14ac:dyDescent="0.2"/>
    <row r="57611" ht="9.9499999999999993" hidden="1" customHeight="1" x14ac:dyDescent="0.2"/>
    <row r="57612" ht="9.9499999999999993" hidden="1" customHeight="1" x14ac:dyDescent="0.2"/>
    <row r="57613" ht="9.9499999999999993" hidden="1" customHeight="1" x14ac:dyDescent="0.2"/>
    <row r="57614" ht="9.9499999999999993" hidden="1" customHeight="1" x14ac:dyDescent="0.2"/>
    <row r="57615" ht="9.9499999999999993" hidden="1" customHeight="1" x14ac:dyDescent="0.2"/>
    <row r="57616" ht="9.9499999999999993" hidden="1" customHeight="1" x14ac:dyDescent="0.2"/>
    <row r="57617" ht="9.9499999999999993" hidden="1" customHeight="1" x14ac:dyDescent="0.2"/>
    <row r="57618" ht="9.9499999999999993" hidden="1" customHeight="1" x14ac:dyDescent="0.2"/>
    <row r="57619" ht="9.9499999999999993" hidden="1" customHeight="1" x14ac:dyDescent="0.2"/>
    <row r="57620" ht="9.9499999999999993" hidden="1" customHeight="1" x14ac:dyDescent="0.2"/>
    <row r="57621" ht="9.9499999999999993" hidden="1" customHeight="1" x14ac:dyDescent="0.2"/>
    <row r="57622" ht="9.9499999999999993" hidden="1" customHeight="1" x14ac:dyDescent="0.2"/>
    <row r="57623" ht="9.9499999999999993" hidden="1" customHeight="1" x14ac:dyDescent="0.2"/>
    <row r="57624" ht="9.9499999999999993" hidden="1" customHeight="1" x14ac:dyDescent="0.2"/>
    <row r="57625" ht="9.9499999999999993" hidden="1" customHeight="1" x14ac:dyDescent="0.2"/>
    <row r="57626" ht="9.9499999999999993" hidden="1" customHeight="1" x14ac:dyDescent="0.2"/>
    <row r="57627" ht="9.9499999999999993" hidden="1" customHeight="1" x14ac:dyDescent="0.2"/>
    <row r="57628" ht="9.9499999999999993" hidden="1" customHeight="1" x14ac:dyDescent="0.2"/>
    <row r="57629" ht="9.9499999999999993" hidden="1" customHeight="1" x14ac:dyDescent="0.2"/>
    <row r="57630" ht="9.9499999999999993" hidden="1" customHeight="1" x14ac:dyDescent="0.2"/>
    <row r="57631" ht="9.9499999999999993" hidden="1" customHeight="1" x14ac:dyDescent="0.2"/>
    <row r="57632" ht="9.9499999999999993" hidden="1" customHeight="1" x14ac:dyDescent="0.2"/>
    <row r="57633" ht="9.9499999999999993" hidden="1" customHeight="1" x14ac:dyDescent="0.2"/>
    <row r="57634" ht="9.9499999999999993" hidden="1" customHeight="1" x14ac:dyDescent="0.2"/>
    <row r="57635" ht="9.9499999999999993" hidden="1" customHeight="1" x14ac:dyDescent="0.2"/>
    <row r="57636" ht="9.9499999999999993" hidden="1" customHeight="1" x14ac:dyDescent="0.2"/>
    <row r="57637" ht="9.9499999999999993" hidden="1" customHeight="1" x14ac:dyDescent="0.2"/>
    <row r="57638" ht="9.9499999999999993" hidden="1" customHeight="1" x14ac:dyDescent="0.2"/>
    <row r="57639" ht="9.9499999999999993" hidden="1" customHeight="1" x14ac:dyDescent="0.2"/>
    <row r="57640" ht="9.9499999999999993" hidden="1" customHeight="1" x14ac:dyDescent="0.2"/>
    <row r="57641" ht="9.9499999999999993" hidden="1" customHeight="1" x14ac:dyDescent="0.2"/>
    <row r="57642" ht="9.9499999999999993" hidden="1" customHeight="1" x14ac:dyDescent="0.2"/>
    <row r="57643" ht="9.9499999999999993" hidden="1" customHeight="1" x14ac:dyDescent="0.2"/>
    <row r="57644" ht="9.9499999999999993" hidden="1" customHeight="1" x14ac:dyDescent="0.2"/>
    <row r="57645" ht="9.9499999999999993" hidden="1" customHeight="1" x14ac:dyDescent="0.2"/>
    <row r="57646" ht="9.9499999999999993" hidden="1" customHeight="1" x14ac:dyDescent="0.2"/>
    <row r="57647" ht="9.9499999999999993" hidden="1" customHeight="1" x14ac:dyDescent="0.2"/>
    <row r="57648" ht="9.9499999999999993" hidden="1" customHeight="1" x14ac:dyDescent="0.2"/>
    <row r="57649" ht="9.9499999999999993" hidden="1" customHeight="1" x14ac:dyDescent="0.2"/>
    <row r="57650" ht="9.9499999999999993" hidden="1" customHeight="1" x14ac:dyDescent="0.2"/>
    <row r="57651" ht="9.9499999999999993" hidden="1" customHeight="1" x14ac:dyDescent="0.2"/>
    <row r="57652" ht="9.9499999999999993" hidden="1" customHeight="1" x14ac:dyDescent="0.2"/>
    <row r="57653" ht="9.9499999999999993" hidden="1" customHeight="1" x14ac:dyDescent="0.2"/>
    <row r="57654" ht="9.9499999999999993" hidden="1" customHeight="1" x14ac:dyDescent="0.2"/>
    <row r="57655" ht="9.9499999999999993" hidden="1" customHeight="1" x14ac:dyDescent="0.2"/>
    <row r="57656" ht="9.9499999999999993" hidden="1" customHeight="1" x14ac:dyDescent="0.2"/>
    <row r="57657" ht="9.9499999999999993" hidden="1" customHeight="1" x14ac:dyDescent="0.2"/>
    <row r="57658" ht="9.9499999999999993" hidden="1" customHeight="1" x14ac:dyDescent="0.2"/>
    <row r="57659" ht="9.9499999999999993" hidden="1" customHeight="1" x14ac:dyDescent="0.2"/>
    <row r="57660" ht="9.9499999999999993" hidden="1" customHeight="1" x14ac:dyDescent="0.2"/>
    <row r="57661" ht="9.9499999999999993" hidden="1" customHeight="1" x14ac:dyDescent="0.2"/>
    <row r="57662" ht="9.9499999999999993" hidden="1" customHeight="1" x14ac:dyDescent="0.2"/>
    <row r="57663" ht="9.9499999999999993" hidden="1" customHeight="1" x14ac:dyDescent="0.2"/>
    <row r="57664" ht="9.9499999999999993" hidden="1" customHeight="1" x14ac:dyDescent="0.2"/>
    <row r="57665" ht="9.9499999999999993" hidden="1" customHeight="1" x14ac:dyDescent="0.2"/>
    <row r="57666" ht="9.9499999999999993" hidden="1" customHeight="1" x14ac:dyDescent="0.2"/>
    <row r="57667" ht="9.9499999999999993" hidden="1" customHeight="1" x14ac:dyDescent="0.2"/>
    <row r="57668" ht="9.9499999999999993" hidden="1" customHeight="1" x14ac:dyDescent="0.2"/>
    <row r="57669" ht="9.9499999999999993" hidden="1" customHeight="1" x14ac:dyDescent="0.2"/>
    <row r="57670" ht="9.9499999999999993" hidden="1" customHeight="1" x14ac:dyDescent="0.2"/>
    <row r="57671" ht="9.9499999999999993" hidden="1" customHeight="1" x14ac:dyDescent="0.2"/>
    <row r="57672" ht="9.9499999999999993" hidden="1" customHeight="1" x14ac:dyDescent="0.2"/>
    <row r="57673" ht="9.9499999999999993" hidden="1" customHeight="1" x14ac:dyDescent="0.2"/>
    <row r="57674" ht="9.9499999999999993" hidden="1" customHeight="1" x14ac:dyDescent="0.2"/>
    <row r="57675" ht="9.9499999999999993" hidden="1" customHeight="1" x14ac:dyDescent="0.2"/>
    <row r="57676" ht="9.9499999999999993" hidden="1" customHeight="1" x14ac:dyDescent="0.2"/>
    <row r="57677" ht="9.9499999999999993" hidden="1" customHeight="1" x14ac:dyDescent="0.2"/>
    <row r="57678" ht="9.9499999999999993" hidden="1" customHeight="1" x14ac:dyDescent="0.2"/>
    <row r="57679" ht="9.9499999999999993" hidden="1" customHeight="1" x14ac:dyDescent="0.2"/>
    <row r="57680" ht="9.9499999999999993" hidden="1" customHeight="1" x14ac:dyDescent="0.2"/>
    <row r="57681" ht="9.9499999999999993" hidden="1" customHeight="1" x14ac:dyDescent="0.2"/>
    <row r="57682" ht="9.9499999999999993" hidden="1" customHeight="1" x14ac:dyDescent="0.2"/>
    <row r="57683" ht="9.9499999999999993" hidden="1" customHeight="1" x14ac:dyDescent="0.2"/>
    <row r="57684" ht="9.9499999999999993" hidden="1" customHeight="1" x14ac:dyDescent="0.2"/>
    <row r="57685" ht="9.9499999999999993" hidden="1" customHeight="1" x14ac:dyDescent="0.2"/>
    <row r="57686" ht="9.9499999999999993" hidden="1" customHeight="1" x14ac:dyDescent="0.2"/>
    <row r="57687" ht="9.9499999999999993" hidden="1" customHeight="1" x14ac:dyDescent="0.2"/>
    <row r="57688" ht="9.9499999999999993" hidden="1" customHeight="1" x14ac:dyDescent="0.2"/>
    <row r="57689" ht="9.9499999999999993" hidden="1" customHeight="1" x14ac:dyDescent="0.2"/>
    <row r="57690" ht="9.9499999999999993" hidden="1" customHeight="1" x14ac:dyDescent="0.2"/>
    <row r="57691" ht="9.9499999999999993" hidden="1" customHeight="1" x14ac:dyDescent="0.2"/>
    <row r="57692" ht="9.9499999999999993" hidden="1" customHeight="1" x14ac:dyDescent="0.2"/>
    <row r="57693" ht="9.9499999999999993" hidden="1" customHeight="1" x14ac:dyDescent="0.2"/>
    <row r="57694" ht="9.9499999999999993" hidden="1" customHeight="1" x14ac:dyDescent="0.2"/>
    <row r="57695" ht="9.9499999999999993" hidden="1" customHeight="1" x14ac:dyDescent="0.2"/>
    <row r="57696" ht="9.9499999999999993" hidden="1" customHeight="1" x14ac:dyDescent="0.2"/>
    <row r="57697" ht="9.9499999999999993" hidden="1" customHeight="1" x14ac:dyDescent="0.2"/>
    <row r="57698" ht="9.9499999999999993" hidden="1" customHeight="1" x14ac:dyDescent="0.2"/>
    <row r="57699" ht="9.9499999999999993" hidden="1" customHeight="1" x14ac:dyDescent="0.2"/>
    <row r="57700" ht="9.9499999999999993" hidden="1" customHeight="1" x14ac:dyDescent="0.2"/>
    <row r="57701" ht="9.9499999999999993" hidden="1" customHeight="1" x14ac:dyDescent="0.2"/>
    <row r="57702" ht="9.9499999999999993" hidden="1" customHeight="1" x14ac:dyDescent="0.2"/>
    <row r="57703" ht="9.9499999999999993" hidden="1" customHeight="1" x14ac:dyDescent="0.2"/>
    <row r="57704" ht="9.9499999999999993" hidden="1" customHeight="1" x14ac:dyDescent="0.2"/>
    <row r="57705" ht="9.9499999999999993" hidden="1" customHeight="1" x14ac:dyDescent="0.2"/>
    <row r="57706" ht="9.9499999999999993" hidden="1" customHeight="1" x14ac:dyDescent="0.2"/>
    <row r="57707" ht="9.9499999999999993" hidden="1" customHeight="1" x14ac:dyDescent="0.2"/>
    <row r="57708" ht="9.9499999999999993" hidden="1" customHeight="1" x14ac:dyDescent="0.2"/>
    <row r="57709" ht="9.9499999999999993" hidden="1" customHeight="1" x14ac:dyDescent="0.2"/>
    <row r="57710" ht="9.9499999999999993" hidden="1" customHeight="1" x14ac:dyDescent="0.2"/>
    <row r="57711" ht="9.9499999999999993" hidden="1" customHeight="1" x14ac:dyDescent="0.2"/>
    <row r="57712" ht="9.9499999999999993" hidden="1" customHeight="1" x14ac:dyDescent="0.2"/>
    <row r="57713" ht="9.9499999999999993" hidden="1" customHeight="1" x14ac:dyDescent="0.2"/>
    <row r="57714" ht="9.9499999999999993" hidden="1" customHeight="1" x14ac:dyDescent="0.2"/>
    <row r="57715" ht="9.9499999999999993" hidden="1" customHeight="1" x14ac:dyDescent="0.2"/>
    <row r="57716" ht="9.9499999999999993" hidden="1" customHeight="1" x14ac:dyDescent="0.2"/>
    <row r="57717" ht="9.9499999999999993" hidden="1" customHeight="1" x14ac:dyDescent="0.2"/>
    <row r="57718" ht="9.9499999999999993" hidden="1" customHeight="1" x14ac:dyDescent="0.2"/>
    <row r="57719" ht="9.9499999999999993" hidden="1" customHeight="1" x14ac:dyDescent="0.2"/>
    <row r="57720" ht="9.9499999999999993" hidden="1" customHeight="1" x14ac:dyDescent="0.2"/>
    <row r="57721" ht="9.9499999999999993" hidden="1" customHeight="1" x14ac:dyDescent="0.2"/>
    <row r="57722" ht="9.9499999999999993" hidden="1" customHeight="1" x14ac:dyDescent="0.2"/>
    <row r="57723" ht="9.9499999999999993" hidden="1" customHeight="1" x14ac:dyDescent="0.2"/>
    <row r="57724" ht="9.9499999999999993" hidden="1" customHeight="1" x14ac:dyDescent="0.2"/>
    <row r="57725" ht="9.9499999999999993" hidden="1" customHeight="1" x14ac:dyDescent="0.2"/>
    <row r="57726" ht="9.9499999999999993" hidden="1" customHeight="1" x14ac:dyDescent="0.2"/>
    <row r="57727" ht="9.9499999999999993" hidden="1" customHeight="1" x14ac:dyDescent="0.2"/>
    <row r="57728" ht="9.9499999999999993" hidden="1" customHeight="1" x14ac:dyDescent="0.2"/>
    <row r="57729" ht="9.9499999999999993" hidden="1" customHeight="1" x14ac:dyDescent="0.2"/>
    <row r="57730" ht="9.9499999999999993" hidden="1" customHeight="1" x14ac:dyDescent="0.2"/>
    <row r="57731" ht="9.9499999999999993" hidden="1" customHeight="1" x14ac:dyDescent="0.2"/>
    <row r="57732" ht="9.9499999999999993" hidden="1" customHeight="1" x14ac:dyDescent="0.2"/>
    <row r="57733" ht="9.9499999999999993" hidden="1" customHeight="1" x14ac:dyDescent="0.2"/>
    <row r="57734" ht="9.9499999999999993" hidden="1" customHeight="1" x14ac:dyDescent="0.2"/>
    <row r="57735" ht="9.9499999999999993" hidden="1" customHeight="1" x14ac:dyDescent="0.2"/>
    <row r="57736" ht="9.9499999999999993" hidden="1" customHeight="1" x14ac:dyDescent="0.2"/>
    <row r="57737" ht="9.9499999999999993" hidden="1" customHeight="1" x14ac:dyDescent="0.2"/>
    <row r="57738" ht="9.9499999999999993" hidden="1" customHeight="1" x14ac:dyDescent="0.2"/>
    <row r="57739" ht="9.9499999999999993" hidden="1" customHeight="1" x14ac:dyDescent="0.2"/>
    <row r="57740" ht="9.9499999999999993" hidden="1" customHeight="1" x14ac:dyDescent="0.2"/>
    <row r="57741" ht="9.9499999999999993" hidden="1" customHeight="1" x14ac:dyDescent="0.2"/>
    <row r="57742" ht="9.9499999999999993" hidden="1" customHeight="1" x14ac:dyDescent="0.2"/>
    <row r="57743" ht="9.9499999999999993" hidden="1" customHeight="1" x14ac:dyDescent="0.2"/>
    <row r="57744" ht="9.9499999999999993" hidden="1" customHeight="1" x14ac:dyDescent="0.2"/>
    <row r="57745" ht="9.9499999999999993" hidden="1" customHeight="1" x14ac:dyDescent="0.2"/>
    <row r="57746" ht="9.9499999999999993" hidden="1" customHeight="1" x14ac:dyDescent="0.2"/>
    <row r="57747" ht="9.9499999999999993" hidden="1" customHeight="1" x14ac:dyDescent="0.2"/>
    <row r="57748" ht="9.9499999999999993" hidden="1" customHeight="1" x14ac:dyDescent="0.2"/>
    <row r="57749" ht="9.9499999999999993" hidden="1" customHeight="1" x14ac:dyDescent="0.2"/>
    <row r="57750" ht="9.9499999999999993" hidden="1" customHeight="1" x14ac:dyDescent="0.2"/>
    <row r="57751" ht="9.9499999999999993" hidden="1" customHeight="1" x14ac:dyDescent="0.2"/>
    <row r="57752" ht="9.9499999999999993" hidden="1" customHeight="1" x14ac:dyDescent="0.2"/>
    <row r="57753" ht="9.9499999999999993" hidden="1" customHeight="1" x14ac:dyDescent="0.2"/>
    <row r="57754" ht="9.9499999999999993" hidden="1" customHeight="1" x14ac:dyDescent="0.2"/>
    <row r="57755" ht="9.9499999999999993" hidden="1" customHeight="1" x14ac:dyDescent="0.2"/>
    <row r="57756" ht="9.9499999999999993" hidden="1" customHeight="1" x14ac:dyDescent="0.2"/>
    <row r="57757" ht="9.9499999999999993" hidden="1" customHeight="1" x14ac:dyDescent="0.2"/>
    <row r="57758" ht="9.9499999999999993" hidden="1" customHeight="1" x14ac:dyDescent="0.2"/>
    <row r="57759" ht="9.9499999999999993" hidden="1" customHeight="1" x14ac:dyDescent="0.2"/>
    <row r="57760" ht="9.9499999999999993" hidden="1" customHeight="1" x14ac:dyDescent="0.2"/>
    <row r="57761" ht="9.9499999999999993" hidden="1" customHeight="1" x14ac:dyDescent="0.2"/>
    <row r="57762" ht="9.9499999999999993" hidden="1" customHeight="1" x14ac:dyDescent="0.2"/>
    <row r="57763" ht="9.9499999999999993" hidden="1" customHeight="1" x14ac:dyDescent="0.2"/>
    <row r="57764" ht="9.9499999999999993" hidden="1" customHeight="1" x14ac:dyDescent="0.2"/>
    <row r="57765" ht="9.9499999999999993" hidden="1" customHeight="1" x14ac:dyDescent="0.2"/>
    <row r="57766" ht="9.9499999999999993" hidden="1" customHeight="1" x14ac:dyDescent="0.2"/>
    <row r="57767" ht="9.9499999999999993" hidden="1" customHeight="1" x14ac:dyDescent="0.2"/>
    <row r="57768" ht="9.9499999999999993" hidden="1" customHeight="1" x14ac:dyDescent="0.2"/>
    <row r="57769" ht="9.9499999999999993" hidden="1" customHeight="1" x14ac:dyDescent="0.2"/>
    <row r="57770" ht="9.9499999999999993" hidden="1" customHeight="1" x14ac:dyDescent="0.2"/>
    <row r="57771" ht="9.9499999999999993" hidden="1" customHeight="1" x14ac:dyDescent="0.2"/>
    <row r="57772" ht="9.9499999999999993" hidden="1" customHeight="1" x14ac:dyDescent="0.2"/>
    <row r="57773" ht="9.9499999999999993" hidden="1" customHeight="1" x14ac:dyDescent="0.2"/>
    <row r="57774" ht="9.9499999999999993" hidden="1" customHeight="1" x14ac:dyDescent="0.2"/>
    <row r="57775" ht="9.9499999999999993" hidden="1" customHeight="1" x14ac:dyDescent="0.2"/>
    <row r="57776" ht="9.9499999999999993" hidden="1" customHeight="1" x14ac:dyDescent="0.2"/>
    <row r="57777" ht="9.9499999999999993" hidden="1" customHeight="1" x14ac:dyDescent="0.2"/>
    <row r="57778" ht="9.9499999999999993" hidden="1" customHeight="1" x14ac:dyDescent="0.2"/>
    <row r="57779" ht="9.9499999999999993" hidden="1" customHeight="1" x14ac:dyDescent="0.2"/>
    <row r="57780" ht="9.9499999999999993" hidden="1" customHeight="1" x14ac:dyDescent="0.2"/>
    <row r="57781" ht="9.9499999999999993" hidden="1" customHeight="1" x14ac:dyDescent="0.2"/>
    <row r="57782" ht="9.9499999999999993" hidden="1" customHeight="1" x14ac:dyDescent="0.2"/>
    <row r="57783" ht="9.9499999999999993" hidden="1" customHeight="1" x14ac:dyDescent="0.2"/>
    <row r="57784" ht="9.9499999999999993" hidden="1" customHeight="1" x14ac:dyDescent="0.2"/>
    <row r="57785" ht="9.9499999999999993" hidden="1" customHeight="1" x14ac:dyDescent="0.2"/>
    <row r="57786" ht="9.9499999999999993" hidden="1" customHeight="1" x14ac:dyDescent="0.2"/>
    <row r="57787" ht="9.9499999999999993" hidden="1" customHeight="1" x14ac:dyDescent="0.2"/>
    <row r="57788" ht="9.9499999999999993" hidden="1" customHeight="1" x14ac:dyDescent="0.2"/>
    <row r="57789" ht="9.9499999999999993" hidden="1" customHeight="1" x14ac:dyDescent="0.2"/>
    <row r="57790" ht="9.9499999999999993" hidden="1" customHeight="1" x14ac:dyDescent="0.2"/>
    <row r="57791" ht="9.9499999999999993" hidden="1" customHeight="1" x14ac:dyDescent="0.2"/>
    <row r="57792" ht="9.9499999999999993" hidden="1" customHeight="1" x14ac:dyDescent="0.2"/>
    <row r="57793" ht="9.9499999999999993" hidden="1" customHeight="1" x14ac:dyDescent="0.2"/>
    <row r="57794" ht="9.9499999999999993" hidden="1" customHeight="1" x14ac:dyDescent="0.2"/>
    <row r="57795" ht="9.9499999999999993" hidden="1" customHeight="1" x14ac:dyDescent="0.2"/>
    <row r="57796" ht="9.9499999999999993" hidden="1" customHeight="1" x14ac:dyDescent="0.2"/>
    <row r="57797" ht="9.9499999999999993" hidden="1" customHeight="1" x14ac:dyDescent="0.2"/>
    <row r="57798" ht="9.9499999999999993" hidden="1" customHeight="1" x14ac:dyDescent="0.2"/>
    <row r="57799" ht="9.9499999999999993" hidden="1" customHeight="1" x14ac:dyDescent="0.2"/>
    <row r="57800" ht="9.9499999999999993" hidden="1" customHeight="1" x14ac:dyDescent="0.2"/>
    <row r="57801" ht="9.9499999999999993" hidden="1" customHeight="1" x14ac:dyDescent="0.2"/>
    <row r="57802" ht="9.9499999999999993" hidden="1" customHeight="1" x14ac:dyDescent="0.2"/>
    <row r="57803" ht="9.9499999999999993" hidden="1" customHeight="1" x14ac:dyDescent="0.2"/>
    <row r="57804" ht="9.9499999999999993" hidden="1" customHeight="1" x14ac:dyDescent="0.2"/>
    <row r="57805" ht="9.9499999999999993" hidden="1" customHeight="1" x14ac:dyDescent="0.2"/>
    <row r="57806" ht="9.9499999999999993" hidden="1" customHeight="1" x14ac:dyDescent="0.2"/>
    <row r="57807" ht="9.9499999999999993" hidden="1" customHeight="1" x14ac:dyDescent="0.2"/>
    <row r="57808" ht="9.9499999999999993" hidden="1" customHeight="1" x14ac:dyDescent="0.2"/>
    <row r="57809" ht="9.9499999999999993" hidden="1" customHeight="1" x14ac:dyDescent="0.2"/>
    <row r="57810" ht="9.9499999999999993" hidden="1" customHeight="1" x14ac:dyDescent="0.2"/>
    <row r="57811" ht="9.9499999999999993" hidden="1" customHeight="1" x14ac:dyDescent="0.2"/>
    <row r="57812" ht="9.9499999999999993" hidden="1" customHeight="1" x14ac:dyDescent="0.2"/>
    <row r="57813" ht="9.9499999999999993" hidden="1" customHeight="1" x14ac:dyDescent="0.2"/>
    <row r="57814" ht="9.9499999999999993" hidden="1" customHeight="1" x14ac:dyDescent="0.2"/>
    <row r="57815" ht="9.9499999999999993" hidden="1" customHeight="1" x14ac:dyDescent="0.2"/>
    <row r="57816" ht="9.9499999999999993" hidden="1" customHeight="1" x14ac:dyDescent="0.2"/>
    <row r="57817" ht="9.9499999999999993" hidden="1" customHeight="1" x14ac:dyDescent="0.2"/>
    <row r="57818" ht="9.9499999999999993" hidden="1" customHeight="1" x14ac:dyDescent="0.2"/>
    <row r="57819" ht="9.9499999999999993" hidden="1" customHeight="1" x14ac:dyDescent="0.2"/>
    <row r="57820" ht="9.9499999999999993" hidden="1" customHeight="1" x14ac:dyDescent="0.2"/>
    <row r="57821" ht="9.9499999999999993" hidden="1" customHeight="1" x14ac:dyDescent="0.2"/>
    <row r="57822" ht="9.9499999999999993" hidden="1" customHeight="1" x14ac:dyDescent="0.2"/>
    <row r="57823" ht="9.9499999999999993" hidden="1" customHeight="1" x14ac:dyDescent="0.2"/>
    <row r="57824" ht="9.9499999999999993" hidden="1" customHeight="1" x14ac:dyDescent="0.2"/>
    <row r="57825" ht="9.9499999999999993" hidden="1" customHeight="1" x14ac:dyDescent="0.2"/>
    <row r="57826" ht="9.9499999999999993" hidden="1" customHeight="1" x14ac:dyDescent="0.2"/>
    <row r="57827" ht="9.9499999999999993" hidden="1" customHeight="1" x14ac:dyDescent="0.2"/>
    <row r="57828" ht="9.9499999999999993" hidden="1" customHeight="1" x14ac:dyDescent="0.2"/>
    <row r="57829" ht="9.9499999999999993" hidden="1" customHeight="1" x14ac:dyDescent="0.2"/>
    <row r="57830" ht="9.9499999999999993" hidden="1" customHeight="1" x14ac:dyDescent="0.2"/>
    <row r="57831" ht="9.9499999999999993" hidden="1" customHeight="1" x14ac:dyDescent="0.2"/>
    <row r="57832" ht="9.9499999999999993" hidden="1" customHeight="1" x14ac:dyDescent="0.2"/>
    <row r="57833" ht="9.9499999999999993" hidden="1" customHeight="1" x14ac:dyDescent="0.2"/>
    <row r="57834" ht="9.9499999999999993" hidden="1" customHeight="1" x14ac:dyDescent="0.2"/>
    <row r="57835" ht="9.9499999999999993" hidden="1" customHeight="1" x14ac:dyDescent="0.2"/>
    <row r="57836" ht="9.9499999999999993" hidden="1" customHeight="1" x14ac:dyDescent="0.2"/>
    <row r="57837" ht="9.9499999999999993" hidden="1" customHeight="1" x14ac:dyDescent="0.2"/>
    <row r="57838" ht="9.9499999999999993" hidden="1" customHeight="1" x14ac:dyDescent="0.2"/>
    <row r="57839" ht="9.9499999999999993" hidden="1" customHeight="1" x14ac:dyDescent="0.2"/>
    <row r="57840" ht="9.9499999999999993" hidden="1" customHeight="1" x14ac:dyDescent="0.2"/>
    <row r="57841" ht="9.9499999999999993" hidden="1" customHeight="1" x14ac:dyDescent="0.2"/>
    <row r="57842" ht="9.9499999999999993" hidden="1" customHeight="1" x14ac:dyDescent="0.2"/>
    <row r="57843" ht="9.9499999999999993" hidden="1" customHeight="1" x14ac:dyDescent="0.2"/>
    <row r="57844" ht="9.9499999999999993" hidden="1" customHeight="1" x14ac:dyDescent="0.2"/>
    <row r="57845" ht="9.9499999999999993" hidden="1" customHeight="1" x14ac:dyDescent="0.2"/>
    <row r="57846" ht="9.9499999999999993" hidden="1" customHeight="1" x14ac:dyDescent="0.2"/>
    <row r="57847" ht="9.9499999999999993" hidden="1" customHeight="1" x14ac:dyDescent="0.2"/>
    <row r="57848" ht="9.9499999999999993" hidden="1" customHeight="1" x14ac:dyDescent="0.2"/>
    <row r="57849" ht="9.9499999999999993" hidden="1" customHeight="1" x14ac:dyDescent="0.2"/>
    <row r="57850" ht="9.9499999999999993" hidden="1" customHeight="1" x14ac:dyDescent="0.2"/>
    <row r="57851" ht="9.9499999999999993" hidden="1" customHeight="1" x14ac:dyDescent="0.2"/>
    <row r="57852" ht="9.9499999999999993" hidden="1" customHeight="1" x14ac:dyDescent="0.2"/>
    <row r="57853" ht="9.9499999999999993" hidden="1" customHeight="1" x14ac:dyDescent="0.2"/>
    <row r="57854" ht="9.9499999999999993" hidden="1" customHeight="1" x14ac:dyDescent="0.2"/>
    <row r="57855" ht="9.9499999999999993" hidden="1" customHeight="1" x14ac:dyDescent="0.2"/>
    <row r="57856" ht="9.9499999999999993" hidden="1" customHeight="1" x14ac:dyDescent="0.2"/>
    <row r="57857" ht="9.9499999999999993" hidden="1" customHeight="1" x14ac:dyDescent="0.2"/>
    <row r="57858" ht="9.9499999999999993" hidden="1" customHeight="1" x14ac:dyDescent="0.2"/>
    <row r="57859" ht="9.9499999999999993" hidden="1" customHeight="1" x14ac:dyDescent="0.2"/>
    <row r="57860" ht="9.9499999999999993" hidden="1" customHeight="1" x14ac:dyDescent="0.2"/>
    <row r="57861" ht="9.9499999999999993" hidden="1" customHeight="1" x14ac:dyDescent="0.2"/>
    <row r="57862" ht="9.9499999999999993" hidden="1" customHeight="1" x14ac:dyDescent="0.2"/>
    <row r="57863" ht="9.9499999999999993" hidden="1" customHeight="1" x14ac:dyDescent="0.2"/>
    <row r="57864" ht="9.9499999999999993" hidden="1" customHeight="1" x14ac:dyDescent="0.2"/>
    <row r="57865" ht="9.9499999999999993" hidden="1" customHeight="1" x14ac:dyDescent="0.2"/>
    <row r="57866" ht="9.9499999999999993" hidden="1" customHeight="1" x14ac:dyDescent="0.2"/>
    <row r="57867" ht="9.9499999999999993" hidden="1" customHeight="1" x14ac:dyDescent="0.2"/>
    <row r="57868" ht="9.9499999999999993" hidden="1" customHeight="1" x14ac:dyDescent="0.2"/>
    <row r="57869" ht="9.9499999999999993" hidden="1" customHeight="1" x14ac:dyDescent="0.2"/>
    <row r="57870" ht="9.9499999999999993" hidden="1" customHeight="1" x14ac:dyDescent="0.2"/>
    <row r="57871" ht="9.9499999999999993" hidden="1" customHeight="1" x14ac:dyDescent="0.2"/>
    <row r="57872" ht="9.9499999999999993" hidden="1" customHeight="1" x14ac:dyDescent="0.2"/>
    <row r="57873" ht="9.9499999999999993" hidden="1" customHeight="1" x14ac:dyDescent="0.2"/>
    <row r="57874" ht="9.9499999999999993" hidden="1" customHeight="1" x14ac:dyDescent="0.2"/>
    <row r="57875" ht="9.9499999999999993" hidden="1" customHeight="1" x14ac:dyDescent="0.2"/>
    <row r="57876" ht="9.9499999999999993" hidden="1" customHeight="1" x14ac:dyDescent="0.2"/>
    <row r="57877" ht="9.9499999999999993" hidden="1" customHeight="1" x14ac:dyDescent="0.2"/>
    <row r="57878" ht="9.9499999999999993" hidden="1" customHeight="1" x14ac:dyDescent="0.2"/>
    <row r="57879" ht="9.9499999999999993" hidden="1" customHeight="1" x14ac:dyDescent="0.2"/>
    <row r="57880" ht="9.9499999999999993" hidden="1" customHeight="1" x14ac:dyDescent="0.2"/>
    <row r="57881" ht="9.9499999999999993" hidden="1" customHeight="1" x14ac:dyDescent="0.2"/>
    <row r="57882" ht="9.9499999999999993" hidden="1" customHeight="1" x14ac:dyDescent="0.2"/>
    <row r="57883" ht="9.9499999999999993" hidden="1" customHeight="1" x14ac:dyDescent="0.2"/>
    <row r="57884" ht="9.9499999999999993" hidden="1" customHeight="1" x14ac:dyDescent="0.2"/>
    <row r="57885" ht="9.9499999999999993" hidden="1" customHeight="1" x14ac:dyDescent="0.2"/>
    <row r="57886" ht="9.9499999999999993" hidden="1" customHeight="1" x14ac:dyDescent="0.2"/>
    <row r="57887" ht="9.9499999999999993" hidden="1" customHeight="1" x14ac:dyDescent="0.2"/>
    <row r="57888" ht="9.9499999999999993" hidden="1" customHeight="1" x14ac:dyDescent="0.2"/>
    <row r="57889" ht="9.9499999999999993" hidden="1" customHeight="1" x14ac:dyDescent="0.2"/>
    <row r="57890" ht="9.9499999999999993" hidden="1" customHeight="1" x14ac:dyDescent="0.2"/>
    <row r="57891" ht="9.9499999999999993" hidden="1" customHeight="1" x14ac:dyDescent="0.2"/>
    <row r="57892" ht="9.9499999999999993" hidden="1" customHeight="1" x14ac:dyDescent="0.2"/>
    <row r="57893" ht="9.9499999999999993" hidden="1" customHeight="1" x14ac:dyDescent="0.2"/>
    <row r="57894" ht="9.9499999999999993" hidden="1" customHeight="1" x14ac:dyDescent="0.2"/>
    <row r="57895" ht="9.9499999999999993" hidden="1" customHeight="1" x14ac:dyDescent="0.2"/>
    <row r="57896" ht="9.9499999999999993" hidden="1" customHeight="1" x14ac:dyDescent="0.2"/>
    <row r="57897" ht="9.9499999999999993" hidden="1" customHeight="1" x14ac:dyDescent="0.2"/>
    <row r="57898" ht="9.9499999999999993" hidden="1" customHeight="1" x14ac:dyDescent="0.2"/>
    <row r="57899" ht="9.9499999999999993" hidden="1" customHeight="1" x14ac:dyDescent="0.2"/>
    <row r="57900" ht="9.9499999999999993" hidden="1" customHeight="1" x14ac:dyDescent="0.2"/>
    <row r="57901" ht="9.9499999999999993" hidden="1" customHeight="1" x14ac:dyDescent="0.2"/>
    <row r="57902" ht="9.9499999999999993" hidden="1" customHeight="1" x14ac:dyDescent="0.2"/>
    <row r="57903" ht="9.9499999999999993" hidden="1" customHeight="1" x14ac:dyDescent="0.2"/>
    <row r="57904" ht="9.9499999999999993" hidden="1" customHeight="1" x14ac:dyDescent="0.2"/>
    <row r="57905" ht="9.9499999999999993" hidden="1" customHeight="1" x14ac:dyDescent="0.2"/>
    <row r="57906" ht="9.9499999999999993" hidden="1" customHeight="1" x14ac:dyDescent="0.2"/>
    <row r="57907" ht="9.9499999999999993" hidden="1" customHeight="1" x14ac:dyDescent="0.2"/>
    <row r="57908" ht="9.9499999999999993" hidden="1" customHeight="1" x14ac:dyDescent="0.2"/>
    <row r="57909" ht="9.9499999999999993" hidden="1" customHeight="1" x14ac:dyDescent="0.2"/>
    <row r="57910" ht="9.9499999999999993" hidden="1" customHeight="1" x14ac:dyDescent="0.2"/>
    <row r="57911" ht="9.9499999999999993" hidden="1" customHeight="1" x14ac:dyDescent="0.2"/>
    <row r="57912" ht="9.9499999999999993" hidden="1" customHeight="1" x14ac:dyDescent="0.2"/>
    <row r="57913" ht="9.9499999999999993" hidden="1" customHeight="1" x14ac:dyDescent="0.2"/>
    <row r="57914" ht="9.9499999999999993" hidden="1" customHeight="1" x14ac:dyDescent="0.2"/>
    <row r="57915" ht="9.9499999999999993" hidden="1" customHeight="1" x14ac:dyDescent="0.2"/>
    <row r="57916" ht="9.9499999999999993" hidden="1" customHeight="1" x14ac:dyDescent="0.2"/>
    <row r="57917" ht="9.9499999999999993" hidden="1" customHeight="1" x14ac:dyDescent="0.2"/>
    <row r="57918" ht="9.9499999999999993" hidden="1" customHeight="1" x14ac:dyDescent="0.2"/>
    <row r="57919" ht="9.9499999999999993" hidden="1" customHeight="1" x14ac:dyDescent="0.2"/>
    <row r="57920" ht="9.9499999999999993" hidden="1" customHeight="1" x14ac:dyDescent="0.2"/>
    <row r="57921" ht="9.9499999999999993" hidden="1" customHeight="1" x14ac:dyDescent="0.2"/>
    <row r="57922" ht="9.9499999999999993" hidden="1" customHeight="1" x14ac:dyDescent="0.2"/>
    <row r="57923" ht="9.9499999999999993" hidden="1" customHeight="1" x14ac:dyDescent="0.2"/>
    <row r="57924" ht="9.9499999999999993" hidden="1" customHeight="1" x14ac:dyDescent="0.2"/>
    <row r="57925" ht="9.9499999999999993" hidden="1" customHeight="1" x14ac:dyDescent="0.2"/>
    <row r="57926" ht="9.9499999999999993" hidden="1" customHeight="1" x14ac:dyDescent="0.2"/>
    <row r="57927" ht="9.9499999999999993" hidden="1" customHeight="1" x14ac:dyDescent="0.2"/>
    <row r="57928" ht="9.9499999999999993" hidden="1" customHeight="1" x14ac:dyDescent="0.2"/>
    <row r="57929" ht="9.9499999999999993" hidden="1" customHeight="1" x14ac:dyDescent="0.2"/>
    <row r="57930" ht="9.9499999999999993" hidden="1" customHeight="1" x14ac:dyDescent="0.2"/>
    <row r="57931" ht="9.9499999999999993" hidden="1" customHeight="1" x14ac:dyDescent="0.2"/>
    <row r="57932" ht="9.9499999999999993" hidden="1" customHeight="1" x14ac:dyDescent="0.2"/>
    <row r="57933" ht="9.9499999999999993" hidden="1" customHeight="1" x14ac:dyDescent="0.2"/>
    <row r="57934" ht="9.9499999999999993" hidden="1" customHeight="1" x14ac:dyDescent="0.2"/>
    <row r="57935" ht="9.9499999999999993" hidden="1" customHeight="1" x14ac:dyDescent="0.2"/>
    <row r="57936" ht="9.9499999999999993" hidden="1" customHeight="1" x14ac:dyDescent="0.2"/>
    <row r="57937" ht="9.9499999999999993" hidden="1" customHeight="1" x14ac:dyDescent="0.2"/>
    <row r="57938" ht="9.9499999999999993" hidden="1" customHeight="1" x14ac:dyDescent="0.2"/>
    <row r="57939" ht="9.9499999999999993" hidden="1" customHeight="1" x14ac:dyDescent="0.2"/>
    <row r="57940" ht="9.9499999999999993" hidden="1" customHeight="1" x14ac:dyDescent="0.2"/>
    <row r="57941" ht="9.9499999999999993" hidden="1" customHeight="1" x14ac:dyDescent="0.2"/>
    <row r="57942" ht="9.9499999999999993" hidden="1" customHeight="1" x14ac:dyDescent="0.2"/>
    <row r="57943" ht="9.9499999999999993" hidden="1" customHeight="1" x14ac:dyDescent="0.2"/>
    <row r="57944" ht="9.9499999999999993" hidden="1" customHeight="1" x14ac:dyDescent="0.2"/>
    <row r="57945" ht="9.9499999999999993" hidden="1" customHeight="1" x14ac:dyDescent="0.2"/>
    <row r="57946" ht="9.9499999999999993" hidden="1" customHeight="1" x14ac:dyDescent="0.2"/>
    <row r="57947" ht="9.9499999999999993" hidden="1" customHeight="1" x14ac:dyDescent="0.2"/>
    <row r="57948" ht="9.9499999999999993" hidden="1" customHeight="1" x14ac:dyDescent="0.2"/>
    <row r="57949" ht="9.9499999999999993" hidden="1" customHeight="1" x14ac:dyDescent="0.2"/>
    <row r="57950" ht="9.9499999999999993" hidden="1" customHeight="1" x14ac:dyDescent="0.2"/>
    <row r="57951" ht="9.9499999999999993" hidden="1" customHeight="1" x14ac:dyDescent="0.2"/>
    <row r="57952" ht="9.9499999999999993" hidden="1" customHeight="1" x14ac:dyDescent="0.2"/>
    <row r="57953" ht="9.9499999999999993" hidden="1" customHeight="1" x14ac:dyDescent="0.2"/>
    <row r="57954" ht="9.9499999999999993" hidden="1" customHeight="1" x14ac:dyDescent="0.2"/>
    <row r="57955" ht="9.9499999999999993" hidden="1" customHeight="1" x14ac:dyDescent="0.2"/>
    <row r="57956" ht="9.9499999999999993" hidden="1" customHeight="1" x14ac:dyDescent="0.2"/>
    <row r="57957" ht="9.9499999999999993" hidden="1" customHeight="1" x14ac:dyDescent="0.2"/>
    <row r="57958" ht="9.9499999999999993" hidden="1" customHeight="1" x14ac:dyDescent="0.2"/>
    <row r="57959" ht="9.9499999999999993" hidden="1" customHeight="1" x14ac:dyDescent="0.2"/>
    <row r="57960" ht="9.9499999999999993" hidden="1" customHeight="1" x14ac:dyDescent="0.2"/>
    <row r="57961" ht="9.9499999999999993" hidden="1" customHeight="1" x14ac:dyDescent="0.2"/>
    <row r="57962" ht="9.9499999999999993" hidden="1" customHeight="1" x14ac:dyDescent="0.2"/>
    <row r="57963" ht="9.9499999999999993" hidden="1" customHeight="1" x14ac:dyDescent="0.2"/>
    <row r="57964" ht="9.9499999999999993" hidden="1" customHeight="1" x14ac:dyDescent="0.2"/>
    <row r="57965" ht="9.9499999999999993" hidden="1" customHeight="1" x14ac:dyDescent="0.2"/>
    <row r="57966" ht="9.9499999999999993" hidden="1" customHeight="1" x14ac:dyDescent="0.2"/>
    <row r="57967" ht="9.9499999999999993" hidden="1" customHeight="1" x14ac:dyDescent="0.2"/>
    <row r="57968" ht="9.9499999999999993" hidden="1" customHeight="1" x14ac:dyDescent="0.2"/>
    <row r="57969" ht="9.9499999999999993" hidden="1" customHeight="1" x14ac:dyDescent="0.2"/>
    <row r="57970" ht="9.9499999999999993" hidden="1" customHeight="1" x14ac:dyDescent="0.2"/>
    <row r="57971" ht="9.9499999999999993" hidden="1" customHeight="1" x14ac:dyDescent="0.2"/>
    <row r="57972" ht="9.9499999999999993" hidden="1" customHeight="1" x14ac:dyDescent="0.2"/>
    <row r="57973" ht="9.9499999999999993" hidden="1" customHeight="1" x14ac:dyDescent="0.2"/>
    <row r="57974" ht="9.9499999999999993" hidden="1" customHeight="1" x14ac:dyDescent="0.2"/>
    <row r="57975" ht="9.9499999999999993" hidden="1" customHeight="1" x14ac:dyDescent="0.2"/>
    <row r="57976" ht="9.9499999999999993" hidden="1" customHeight="1" x14ac:dyDescent="0.2"/>
    <row r="57977" ht="9.9499999999999993" hidden="1" customHeight="1" x14ac:dyDescent="0.2"/>
    <row r="57978" ht="9.9499999999999993" hidden="1" customHeight="1" x14ac:dyDescent="0.2"/>
    <row r="57979" ht="9.9499999999999993" hidden="1" customHeight="1" x14ac:dyDescent="0.2"/>
    <row r="57980" ht="9.9499999999999993" hidden="1" customHeight="1" x14ac:dyDescent="0.2"/>
    <row r="57981" ht="9.9499999999999993" hidden="1" customHeight="1" x14ac:dyDescent="0.2"/>
    <row r="57982" ht="9.9499999999999993" hidden="1" customHeight="1" x14ac:dyDescent="0.2"/>
    <row r="57983" ht="9.9499999999999993" hidden="1" customHeight="1" x14ac:dyDescent="0.2"/>
    <row r="57984" ht="9.9499999999999993" hidden="1" customHeight="1" x14ac:dyDescent="0.2"/>
    <row r="57985" ht="9.9499999999999993" hidden="1" customHeight="1" x14ac:dyDescent="0.2"/>
    <row r="57986" ht="9.9499999999999993" hidden="1" customHeight="1" x14ac:dyDescent="0.2"/>
    <row r="57987" ht="9.9499999999999993" hidden="1" customHeight="1" x14ac:dyDescent="0.2"/>
    <row r="57988" ht="9.9499999999999993" hidden="1" customHeight="1" x14ac:dyDescent="0.2"/>
    <row r="57989" ht="9.9499999999999993" hidden="1" customHeight="1" x14ac:dyDescent="0.2"/>
    <row r="57990" ht="9.9499999999999993" hidden="1" customHeight="1" x14ac:dyDescent="0.2"/>
    <row r="57991" ht="9.9499999999999993" hidden="1" customHeight="1" x14ac:dyDescent="0.2"/>
    <row r="57992" ht="9.9499999999999993" hidden="1" customHeight="1" x14ac:dyDescent="0.2"/>
    <row r="57993" ht="9.9499999999999993" hidden="1" customHeight="1" x14ac:dyDescent="0.2"/>
    <row r="57994" ht="9.9499999999999993" hidden="1" customHeight="1" x14ac:dyDescent="0.2"/>
    <row r="57995" ht="9.9499999999999993" hidden="1" customHeight="1" x14ac:dyDescent="0.2"/>
    <row r="57996" ht="9.9499999999999993" hidden="1" customHeight="1" x14ac:dyDescent="0.2"/>
    <row r="57997" ht="9.9499999999999993" hidden="1" customHeight="1" x14ac:dyDescent="0.2"/>
    <row r="57998" ht="9.9499999999999993" hidden="1" customHeight="1" x14ac:dyDescent="0.2"/>
    <row r="57999" ht="9.9499999999999993" hidden="1" customHeight="1" x14ac:dyDescent="0.2"/>
    <row r="58000" ht="9.9499999999999993" hidden="1" customHeight="1" x14ac:dyDescent="0.2"/>
    <row r="58001" ht="9.9499999999999993" hidden="1" customHeight="1" x14ac:dyDescent="0.2"/>
    <row r="58002" ht="9.9499999999999993" hidden="1" customHeight="1" x14ac:dyDescent="0.2"/>
    <row r="58003" ht="9.9499999999999993" hidden="1" customHeight="1" x14ac:dyDescent="0.2"/>
    <row r="58004" ht="9.9499999999999993" hidden="1" customHeight="1" x14ac:dyDescent="0.2"/>
    <row r="58005" ht="9.9499999999999993" hidden="1" customHeight="1" x14ac:dyDescent="0.2"/>
    <row r="58006" ht="9.9499999999999993" hidden="1" customHeight="1" x14ac:dyDescent="0.2"/>
    <row r="58007" ht="9.9499999999999993" hidden="1" customHeight="1" x14ac:dyDescent="0.2"/>
    <row r="58008" ht="9.9499999999999993" hidden="1" customHeight="1" x14ac:dyDescent="0.2"/>
    <row r="58009" ht="9.9499999999999993" hidden="1" customHeight="1" x14ac:dyDescent="0.2"/>
    <row r="58010" ht="9.9499999999999993" hidden="1" customHeight="1" x14ac:dyDescent="0.2"/>
    <row r="58011" ht="9.9499999999999993" hidden="1" customHeight="1" x14ac:dyDescent="0.2"/>
    <row r="58012" ht="9.9499999999999993" hidden="1" customHeight="1" x14ac:dyDescent="0.2"/>
    <row r="58013" ht="9.9499999999999993" hidden="1" customHeight="1" x14ac:dyDescent="0.2"/>
    <row r="58014" ht="9.9499999999999993" hidden="1" customHeight="1" x14ac:dyDescent="0.2"/>
    <row r="58015" ht="9.9499999999999993" hidden="1" customHeight="1" x14ac:dyDescent="0.2"/>
    <row r="58016" ht="9.9499999999999993" hidden="1" customHeight="1" x14ac:dyDescent="0.2"/>
    <row r="58017" ht="9.9499999999999993" hidden="1" customHeight="1" x14ac:dyDescent="0.2"/>
    <row r="58018" ht="9.9499999999999993" hidden="1" customHeight="1" x14ac:dyDescent="0.2"/>
    <row r="58019" ht="9.9499999999999993" hidden="1" customHeight="1" x14ac:dyDescent="0.2"/>
    <row r="58020" ht="9.9499999999999993" hidden="1" customHeight="1" x14ac:dyDescent="0.2"/>
    <row r="58021" ht="9.9499999999999993" hidden="1" customHeight="1" x14ac:dyDescent="0.2"/>
    <row r="58022" ht="9.9499999999999993" hidden="1" customHeight="1" x14ac:dyDescent="0.2"/>
    <row r="58023" ht="9.9499999999999993" hidden="1" customHeight="1" x14ac:dyDescent="0.2"/>
    <row r="58024" ht="9.9499999999999993" hidden="1" customHeight="1" x14ac:dyDescent="0.2"/>
    <row r="58025" ht="9.9499999999999993" hidden="1" customHeight="1" x14ac:dyDescent="0.2"/>
    <row r="58026" ht="9.9499999999999993" hidden="1" customHeight="1" x14ac:dyDescent="0.2"/>
    <row r="58027" ht="9.9499999999999993" hidden="1" customHeight="1" x14ac:dyDescent="0.2"/>
    <row r="58028" ht="9.9499999999999993" hidden="1" customHeight="1" x14ac:dyDescent="0.2"/>
    <row r="58029" ht="9.9499999999999993" hidden="1" customHeight="1" x14ac:dyDescent="0.2"/>
    <row r="58030" ht="9.9499999999999993" hidden="1" customHeight="1" x14ac:dyDescent="0.2"/>
    <row r="58031" ht="9.9499999999999993" hidden="1" customHeight="1" x14ac:dyDescent="0.2"/>
    <row r="58032" ht="9.9499999999999993" hidden="1" customHeight="1" x14ac:dyDescent="0.2"/>
    <row r="58033" ht="9.9499999999999993" hidden="1" customHeight="1" x14ac:dyDescent="0.2"/>
    <row r="58034" ht="9.9499999999999993" hidden="1" customHeight="1" x14ac:dyDescent="0.2"/>
    <row r="58035" ht="9.9499999999999993" hidden="1" customHeight="1" x14ac:dyDescent="0.2"/>
    <row r="58036" ht="9.9499999999999993" hidden="1" customHeight="1" x14ac:dyDescent="0.2"/>
    <row r="58037" ht="9.9499999999999993" hidden="1" customHeight="1" x14ac:dyDescent="0.2"/>
    <row r="58038" ht="9.9499999999999993" hidden="1" customHeight="1" x14ac:dyDescent="0.2"/>
    <row r="58039" ht="9.9499999999999993" hidden="1" customHeight="1" x14ac:dyDescent="0.2"/>
    <row r="58040" ht="9.9499999999999993" hidden="1" customHeight="1" x14ac:dyDescent="0.2"/>
    <row r="58041" ht="9.9499999999999993" hidden="1" customHeight="1" x14ac:dyDescent="0.2"/>
    <row r="58042" ht="9.9499999999999993" hidden="1" customHeight="1" x14ac:dyDescent="0.2"/>
    <row r="58043" ht="9.9499999999999993" hidden="1" customHeight="1" x14ac:dyDescent="0.2"/>
    <row r="58044" ht="9.9499999999999993" hidden="1" customHeight="1" x14ac:dyDescent="0.2"/>
    <row r="58045" ht="9.9499999999999993" hidden="1" customHeight="1" x14ac:dyDescent="0.2"/>
    <row r="58046" ht="9.9499999999999993" hidden="1" customHeight="1" x14ac:dyDescent="0.2"/>
    <row r="58047" ht="9.9499999999999993" hidden="1" customHeight="1" x14ac:dyDescent="0.2"/>
    <row r="58048" ht="9.9499999999999993" hidden="1" customHeight="1" x14ac:dyDescent="0.2"/>
    <row r="58049" ht="9.9499999999999993" hidden="1" customHeight="1" x14ac:dyDescent="0.2"/>
    <row r="58050" ht="9.9499999999999993" hidden="1" customHeight="1" x14ac:dyDescent="0.2"/>
    <row r="58051" ht="9.9499999999999993" hidden="1" customHeight="1" x14ac:dyDescent="0.2"/>
    <row r="58052" ht="9.9499999999999993" hidden="1" customHeight="1" x14ac:dyDescent="0.2"/>
    <row r="58053" ht="9.9499999999999993" hidden="1" customHeight="1" x14ac:dyDescent="0.2"/>
    <row r="58054" ht="9.9499999999999993" hidden="1" customHeight="1" x14ac:dyDescent="0.2"/>
    <row r="58055" ht="9.9499999999999993" hidden="1" customHeight="1" x14ac:dyDescent="0.2"/>
    <row r="58056" ht="9.9499999999999993" hidden="1" customHeight="1" x14ac:dyDescent="0.2"/>
    <row r="58057" ht="9.9499999999999993" hidden="1" customHeight="1" x14ac:dyDescent="0.2"/>
    <row r="58058" ht="9.9499999999999993" hidden="1" customHeight="1" x14ac:dyDescent="0.2"/>
    <row r="58059" ht="9.9499999999999993" hidden="1" customHeight="1" x14ac:dyDescent="0.2"/>
    <row r="58060" ht="9.9499999999999993" hidden="1" customHeight="1" x14ac:dyDescent="0.2"/>
    <row r="58061" ht="9.9499999999999993" hidden="1" customHeight="1" x14ac:dyDescent="0.2"/>
    <row r="58062" ht="9.9499999999999993" hidden="1" customHeight="1" x14ac:dyDescent="0.2"/>
    <row r="58063" ht="9.9499999999999993" hidden="1" customHeight="1" x14ac:dyDescent="0.2"/>
    <row r="58064" ht="9.9499999999999993" hidden="1" customHeight="1" x14ac:dyDescent="0.2"/>
    <row r="58065" ht="9.9499999999999993" hidden="1" customHeight="1" x14ac:dyDescent="0.2"/>
    <row r="58066" ht="9.9499999999999993" hidden="1" customHeight="1" x14ac:dyDescent="0.2"/>
    <row r="58067" ht="9.9499999999999993" hidden="1" customHeight="1" x14ac:dyDescent="0.2"/>
    <row r="58068" ht="9.9499999999999993" hidden="1" customHeight="1" x14ac:dyDescent="0.2"/>
    <row r="58069" ht="9.9499999999999993" hidden="1" customHeight="1" x14ac:dyDescent="0.2"/>
    <row r="58070" ht="9.9499999999999993" hidden="1" customHeight="1" x14ac:dyDescent="0.2"/>
    <row r="58071" ht="9.9499999999999993" hidden="1" customHeight="1" x14ac:dyDescent="0.2"/>
    <row r="58072" ht="9.9499999999999993" hidden="1" customHeight="1" x14ac:dyDescent="0.2"/>
    <row r="58073" ht="9.9499999999999993" hidden="1" customHeight="1" x14ac:dyDescent="0.2"/>
    <row r="58074" ht="9.9499999999999993" hidden="1" customHeight="1" x14ac:dyDescent="0.2"/>
    <row r="58075" ht="9.9499999999999993" hidden="1" customHeight="1" x14ac:dyDescent="0.2"/>
    <row r="58076" ht="9.9499999999999993" hidden="1" customHeight="1" x14ac:dyDescent="0.2"/>
    <row r="58077" ht="9.9499999999999993" hidden="1" customHeight="1" x14ac:dyDescent="0.2"/>
    <row r="58078" ht="9.9499999999999993" hidden="1" customHeight="1" x14ac:dyDescent="0.2"/>
    <row r="58079" ht="9.9499999999999993" hidden="1" customHeight="1" x14ac:dyDescent="0.2"/>
    <row r="58080" ht="9.9499999999999993" hidden="1" customHeight="1" x14ac:dyDescent="0.2"/>
    <row r="58081" ht="9.9499999999999993" hidden="1" customHeight="1" x14ac:dyDescent="0.2"/>
    <row r="58082" ht="9.9499999999999993" hidden="1" customHeight="1" x14ac:dyDescent="0.2"/>
    <row r="58083" ht="9.9499999999999993" hidden="1" customHeight="1" x14ac:dyDescent="0.2"/>
    <row r="58084" ht="9.9499999999999993" hidden="1" customHeight="1" x14ac:dyDescent="0.2"/>
    <row r="58085" ht="9.9499999999999993" hidden="1" customHeight="1" x14ac:dyDescent="0.2"/>
    <row r="58086" ht="9.9499999999999993" hidden="1" customHeight="1" x14ac:dyDescent="0.2"/>
    <row r="58087" ht="9.9499999999999993" hidden="1" customHeight="1" x14ac:dyDescent="0.2"/>
    <row r="58088" ht="9.9499999999999993" hidden="1" customHeight="1" x14ac:dyDescent="0.2"/>
    <row r="58089" ht="9.9499999999999993" hidden="1" customHeight="1" x14ac:dyDescent="0.2"/>
    <row r="58090" ht="9.9499999999999993" hidden="1" customHeight="1" x14ac:dyDescent="0.2"/>
    <row r="58091" ht="9.9499999999999993" hidden="1" customHeight="1" x14ac:dyDescent="0.2"/>
    <row r="58092" ht="9.9499999999999993" hidden="1" customHeight="1" x14ac:dyDescent="0.2"/>
    <row r="58093" ht="9.9499999999999993" hidden="1" customHeight="1" x14ac:dyDescent="0.2"/>
    <row r="58094" ht="9.9499999999999993" hidden="1" customHeight="1" x14ac:dyDescent="0.2"/>
    <row r="58095" ht="9.9499999999999993" hidden="1" customHeight="1" x14ac:dyDescent="0.2"/>
    <row r="58096" ht="9.9499999999999993" hidden="1" customHeight="1" x14ac:dyDescent="0.2"/>
    <row r="58097" ht="9.9499999999999993" hidden="1" customHeight="1" x14ac:dyDescent="0.2"/>
    <row r="58098" ht="9.9499999999999993" hidden="1" customHeight="1" x14ac:dyDescent="0.2"/>
    <row r="58099" ht="9.9499999999999993" hidden="1" customHeight="1" x14ac:dyDescent="0.2"/>
    <row r="58100" ht="9.9499999999999993" hidden="1" customHeight="1" x14ac:dyDescent="0.2"/>
    <row r="58101" ht="9.9499999999999993" hidden="1" customHeight="1" x14ac:dyDescent="0.2"/>
    <row r="58102" ht="9.9499999999999993" hidden="1" customHeight="1" x14ac:dyDescent="0.2"/>
    <row r="58103" ht="9.9499999999999993" hidden="1" customHeight="1" x14ac:dyDescent="0.2"/>
    <row r="58104" ht="9.9499999999999993" hidden="1" customHeight="1" x14ac:dyDescent="0.2"/>
    <row r="58105" ht="9.9499999999999993" hidden="1" customHeight="1" x14ac:dyDescent="0.2"/>
    <row r="58106" ht="9.9499999999999993" hidden="1" customHeight="1" x14ac:dyDescent="0.2"/>
    <row r="58107" ht="9.9499999999999993" hidden="1" customHeight="1" x14ac:dyDescent="0.2"/>
    <row r="58108" ht="9.9499999999999993" hidden="1" customHeight="1" x14ac:dyDescent="0.2"/>
    <row r="58109" ht="9.9499999999999993" hidden="1" customHeight="1" x14ac:dyDescent="0.2"/>
    <row r="58110" ht="9.9499999999999993" hidden="1" customHeight="1" x14ac:dyDescent="0.2"/>
    <row r="58111" ht="9.9499999999999993" hidden="1" customHeight="1" x14ac:dyDescent="0.2"/>
    <row r="58112" ht="9.9499999999999993" hidden="1" customHeight="1" x14ac:dyDescent="0.2"/>
    <row r="58113" ht="9.9499999999999993" hidden="1" customHeight="1" x14ac:dyDescent="0.2"/>
    <row r="58114" ht="9.9499999999999993" hidden="1" customHeight="1" x14ac:dyDescent="0.2"/>
    <row r="58115" ht="9.9499999999999993" hidden="1" customHeight="1" x14ac:dyDescent="0.2"/>
    <row r="58116" ht="9.9499999999999993" hidden="1" customHeight="1" x14ac:dyDescent="0.2"/>
    <row r="58117" ht="9.9499999999999993" hidden="1" customHeight="1" x14ac:dyDescent="0.2"/>
    <row r="58118" ht="9.9499999999999993" hidden="1" customHeight="1" x14ac:dyDescent="0.2"/>
    <row r="58119" ht="9.9499999999999993" hidden="1" customHeight="1" x14ac:dyDescent="0.2"/>
    <row r="58120" ht="9.9499999999999993" hidden="1" customHeight="1" x14ac:dyDescent="0.2"/>
    <row r="58121" ht="9.9499999999999993" hidden="1" customHeight="1" x14ac:dyDescent="0.2"/>
    <row r="58122" ht="9.9499999999999993" hidden="1" customHeight="1" x14ac:dyDescent="0.2"/>
    <row r="58123" ht="9.9499999999999993" hidden="1" customHeight="1" x14ac:dyDescent="0.2"/>
    <row r="58124" ht="9.9499999999999993" hidden="1" customHeight="1" x14ac:dyDescent="0.2"/>
    <row r="58125" ht="9.9499999999999993" hidden="1" customHeight="1" x14ac:dyDescent="0.2"/>
    <row r="58126" ht="9.9499999999999993" hidden="1" customHeight="1" x14ac:dyDescent="0.2"/>
    <row r="58127" ht="9.9499999999999993" hidden="1" customHeight="1" x14ac:dyDescent="0.2"/>
    <row r="58128" ht="9.9499999999999993" hidden="1" customHeight="1" x14ac:dyDescent="0.2"/>
    <row r="58129" ht="9.9499999999999993" hidden="1" customHeight="1" x14ac:dyDescent="0.2"/>
    <row r="58130" ht="9.9499999999999993" hidden="1" customHeight="1" x14ac:dyDescent="0.2"/>
    <row r="58131" ht="9.9499999999999993" hidden="1" customHeight="1" x14ac:dyDescent="0.2"/>
    <row r="58132" ht="9.9499999999999993" hidden="1" customHeight="1" x14ac:dyDescent="0.2"/>
    <row r="58133" ht="9.9499999999999993" hidden="1" customHeight="1" x14ac:dyDescent="0.2"/>
    <row r="58134" ht="9.9499999999999993" hidden="1" customHeight="1" x14ac:dyDescent="0.2"/>
    <row r="58135" ht="9.9499999999999993" hidden="1" customHeight="1" x14ac:dyDescent="0.2"/>
    <row r="58136" ht="9.9499999999999993" hidden="1" customHeight="1" x14ac:dyDescent="0.2"/>
    <row r="58137" ht="9.9499999999999993" hidden="1" customHeight="1" x14ac:dyDescent="0.2"/>
    <row r="58138" ht="9.9499999999999993" hidden="1" customHeight="1" x14ac:dyDescent="0.2"/>
    <row r="58139" ht="9.9499999999999993" hidden="1" customHeight="1" x14ac:dyDescent="0.2"/>
    <row r="58140" ht="9.9499999999999993" hidden="1" customHeight="1" x14ac:dyDescent="0.2"/>
    <row r="58141" ht="9.9499999999999993" hidden="1" customHeight="1" x14ac:dyDescent="0.2"/>
    <row r="58142" ht="9.9499999999999993" hidden="1" customHeight="1" x14ac:dyDescent="0.2"/>
    <row r="58143" ht="9.9499999999999993" hidden="1" customHeight="1" x14ac:dyDescent="0.2"/>
    <row r="58144" ht="9.9499999999999993" hidden="1" customHeight="1" x14ac:dyDescent="0.2"/>
    <row r="58145" ht="9.9499999999999993" hidden="1" customHeight="1" x14ac:dyDescent="0.2"/>
    <row r="58146" ht="9.9499999999999993" hidden="1" customHeight="1" x14ac:dyDescent="0.2"/>
    <row r="58147" ht="9.9499999999999993" hidden="1" customHeight="1" x14ac:dyDescent="0.2"/>
    <row r="58148" ht="9.9499999999999993" hidden="1" customHeight="1" x14ac:dyDescent="0.2"/>
    <row r="58149" ht="9.9499999999999993" hidden="1" customHeight="1" x14ac:dyDescent="0.2"/>
    <row r="58150" ht="9.9499999999999993" hidden="1" customHeight="1" x14ac:dyDescent="0.2"/>
    <row r="58151" ht="9.9499999999999993" hidden="1" customHeight="1" x14ac:dyDescent="0.2"/>
    <row r="58152" ht="9.9499999999999993" hidden="1" customHeight="1" x14ac:dyDescent="0.2"/>
    <row r="58153" ht="9.9499999999999993" hidden="1" customHeight="1" x14ac:dyDescent="0.2"/>
    <row r="58154" ht="9.9499999999999993" hidden="1" customHeight="1" x14ac:dyDescent="0.2"/>
    <row r="58155" ht="9.9499999999999993" hidden="1" customHeight="1" x14ac:dyDescent="0.2"/>
    <row r="58156" ht="9.9499999999999993" hidden="1" customHeight="1" x14ac:dyDescent="0.2"/>
    <row r="58157" ht="9.9499999999999993" hidden="1" customHeight="1" x14ac:dyDescent="0.2"/>
    <row r="58158" ht="9.9499999999999993" hidden="1" customHeight="1" x14ac:dyDescent="0.2"/>
    <row r="58159" ht="9.9499999999999993" hidden="1" customHeight="1" x14ac:dyDescent="0.2"/>
    <row r="58160" ht="9.9499999999999993" hidden="1" customHeight="1" x14ac:dyDescent="0.2"/>
    <row r="58161" ht="9.9499999999999993" hidden="1" customHeight="1" x14ac:dyDescent="0.2"/>
    <row r="58162" ht="9.9499999999999993" hidden="1" customHeight="1" x14ac:dyDescent="0.2"/>
    <row r="58163" ht="9.9499999999999993" hidden="1" customHeight="1" x14ac:dyDescent="0.2"/>
    <row r="58164" ht="9.9499999999999993" hidden="1" customHeight="1" x14ac:dyDescent="0.2"/>
    <row r="58165" ht="9.9499999999999993" hidden="1" customHeight="1" x14ac:dyDescent="0.2"/>
    <row r="58166" ht="9.9499999999999993" hidden="1" customHeight="1" x14ac:dyDescent="0.2"/>
    <row r="58167" ht="9.9499999999999993" hidden="1" customHeight="1" x14ac:dyDescent="0.2"/>
    <row r="58168" ht="9.9499999999999993" hidden="1" customHeight="1" x14ac:dyDescent="0.2"/>
    <row r="58169" ht="9.9499999999999993" hidden="1" customHeight="1" x14ac:dyDescent="0.2"/>
    <row r="58170" ht="9.9499999999999993" hidden="1" customHeight="1" x14ac:dyDescent="0.2"/>
    <row r="58171" ht="9.9499999999999993" hidden="1" customHeight="1" x14ac:dyDescent="0.2"/>
    <row r="58172" ht="9.9499999999999993" hidden="1" customHeight="1" x14ac:dyDescent="0.2"/>
    <row r="58173" ht="9.9499999999999993" hidden="1" customHeight="1" x14ac:dyDescent="0.2"/>
    <row r="58174" ht="9.9499999999999993" hidden="1" customHeight="1" x14ac:dyDescent="0.2"/>
    <row r="58175" ht="9.9499999999999993" hidden="1" customHeight="1" x14ac:dyDescent="0.2"/>
    <row r="58176" ht="9.9499999999999993" hidden="1" customHeight="1" x14ac:dyDescent="0.2"/>
    <row r="58177" ht="9.9499999999999993" hidden="1" customHeight="1" x14ac:dyDescent="0.2"/>
    <row r="58178" ht="9.9499999999999993" hidden="1" customHeight="1" x14ac:dyDescent="0.2"/>
    <row r="58179" ht="9.9499999999999993" hidden="1" customHeight="1" x14ac:dyDescent="0.2"/>
    <row r="58180" ht="9.9499999999999993" hidden="1" customHeight="1" x14ac:dyDescent="0.2"/>
    <row r="58181" ht="9.9499999999999993" hidden="1" customHeight="1" x14ac:dyDescent="0.2"/>
    <row r="58182" ht="9.9499999999999993" hidden="1" customHeight="1" x14ac:dyDescent="0.2"/>
    <row r="58183" ht="9.9499999999999993" hidden="1" customHeight="1" x14ac:dyDescent="0.2"/>
    <row r="58184" ht="9.9499999999999993" hidden="1" customHeight="1" x14ac:dyDescent="0.2"/>
    <row r="58185" ht="9.9499999999999993" hidden="1" customHeight="1" x14ac:dyDescent="0.2"/>
    <row r="58186" ht="9.9499999999999993" hidden="1" customHeight="1" x14ac:dyDescent="0.2"/>
    <row r="58187" ht="9.9499999999999993" hidden="1" customHeight="1" x14ac:dyDescent="0.2"/>
    <row r="58188" ht="9.9499999999999993" hidden="1" customHeight="1" x14ac:dyDescent="0.2"/>
    <row r="58189" ht="9.9499999999999993" hidden="1" customHeight="1" x14ac:dyDescent="0.2"/>
    <row r="58190" ht="9.9499999999999993" hidden="1" customHeight="1" x14ac:dyDescent="0.2"/>
    <row r="58191" ht="9.9499999999999993" hidden="1" customHeight="1" x14ac:dyDescent="0.2"/>
    <row r="58192" ht="9.9499999999999993" hidden="1" customHeight="1" x14ac:dyDescent="0.2"/>
    <row r="58193" ht="9.9499999999999993" hidden="1" customHeight="1" x14ac:dyDescent="0.2"/>
    <row r="58194" ht="9.9499999999999993" hidden="1" customHeight="1" x14ac:dyDescent="0.2"/>
    <row r="58195" ht="9.9499999999999993" hidden="1" customHeight="1" x14ac:dyDescent="0.2"/>
    <row r="58196" ht="9.9499999999999993" hidden="1" customHeight="1" x14ac:dyDescent="0.2"/>
    <row r="58197" ht="9.9499999999999993" hidden="1" customHeight="1" x14ac:dyDescent="0.2"/>
    <row r="58198" ht="9.9499999999999993" hidden="1" customHeight="1" x14ac:dyDescent="0.2"/>
    <row r="58199" ht="9.9499999999999993" hidden="1" customHeight="1" x14ac:dyDescent="0.2"/>
    <row r="58200" ht="9.9499999999999993" hidden="1" customHeight="1" x14ac:dyDescent="0.2"/>
    <row r="58201" ht="9.9499999999999993" hidden="1" customHeight="1" x14ac:dyDescent="0.2"/>
    <row r="58202" ht="9.9499999999999993" hidden="1" customHeight="1" x14ac:dyDescent="0.2"/>
    <row r="58203" ht="9.9499999999999993" hidden="1" customHeight="1" x14ac:dyDescent="0.2"/>
    <row r="58204" ht="9.9499999999999993" hidden="1" customHeight="1" x14ac:dyDescent="0.2"/>
    <row r="58205" ht="9.9499999999999993" hidden="1" customHeight="1" x14ac:dyDescent="0.2"/>
    <row r="58206" ht="9.9499999999999993" hidden="1" customHeight="1" x14ac:dyDescent="0.2"/>
    <row r="58207" ht="9.9499999999999993" hidden="1" customHeight="1" x14ac:dyDescent="0.2"/>
    <row r="58208" ht="9.9499999999999993" hidden="1" customHeight="1" x14ac:dyDescent="0.2"/>
    <row r="58209" ht="9.9499999999999993" hidden="1" customHeight="1" x14ac:dyDescent="0.2"/>
    <row r="58210" ht="9.9499999999999993" hidden="1" customHeight="1" x14ac:dyDescent="0.2"/>
    <row r="58211" ht="9.9499999999999993" hidden="1" customHeight="1" x14ac:dyDescent="0.2"/>
    <row r="58212" ht="9.9499999999999993" hidden="1" customHeight="1" x14ac:dyDescent="0.2"/>
    <row r="58213" ht="9.9499999999999993" hidden="1" customHeight="1" x14ac:dyDescent="0.2"/>
    <row r="58214" ht="9.9499999999999993" hidden="1" customHeight="1" x14ac:dyDescent="0.2"/>
    <row r="58215" ht="9.9499999999999993" hidden="1" customHeight="1" x14ac:dyDescent="0.2"/>
    <row r="58216" ht="9.9499999999999993" hidden="1" customHeight="1" x14ac:dyDescent="0.2"/>
    <row r="58217" ht="9.9499999999999993" hidden="1" customHeight="1" x14ac:dyDescent="0.2"/>
    <row r="58218" ht="9.9499999999999993" hidden="1" customHeight="1" x14ac:dyDescent="0.2"/>
    <row r="58219" ht="9.9499999999999993" hidden="1" customHeight="1" x14ac:dyDescent="0.2"/>
    <row r="58220" ht="9.9499999999999993" hidden="1" customHeight="1" x14ac:dyDescent="0.2"/>
    <row r="58221" ht="9.9499999999999993" hidden="1" customHeight="1" x14ac:dyDescent="0.2"/>
    <row r="58222" ht="9.9499999999999993" hidden="1" customHeight="1" x14ac:dyDescent="0.2"/>
    <row r="58223" ht="9.9499999999999993" hidden="1" customHeight="1" x14ac:dyDescent="0.2"/>
    <row r="58224" ht="9.9499999999999993" hidden="1" customHeight="1" x14ac:dyDescent="0.2"/>
    <row r="58225" ht="9.9499999999999993" hidden="1" customHeight="1" x14ac:dyDescent="0.2"/>
    <row r="58226" ht="9.9499999999999993" hidden="1" customHeight="1" x14ac:dyDescent="0.2"/>
    <row r="58227" ht="9.9499999999999993" hidden="1" customHeight="1" x14ac:dyDescent="0.2"/>
    <row r="58228" ht="9.9499999999999993" hidden="1" customHeight="1" x14ac:dyDescent="0.2"/>
    <row r="58229" ht="9.9499999999999993" hidden="1" customHeight="1" x14ac:dyDescent="0.2"/>
    <row r="58230" ht="9.9499999999999993" hidden="1" customHeight="1" x14ac:dyDescent="0.2"/>
    <row r="58231" ht="9.9499999999999993" hidden="1" customHeight="1" x14ac:dyDescent="0.2"/>
    <row r="58232" ht="9.9499999999999993" hidden="1" customHeight="1" x14ac:dyDescent="0.2"/>
    <row r="58233" ht="9.9499999999999993" hidden="1" customHeight="1" x14ac:dyDescent="0.2"/>
    <row r="58234" ht="9.9499999999999993" hidden="1" customHeight="1" x14ac:dyDescent="0.2"/>
    <row r="58235" ht="9.9499999999999993" hidden="1" customHeight="1" x14ac:dyDescent="0.2"/>
    <row r="58236" ht="9.9499999999999993" hidden="1" customHeight="1" x14ac:dyDescent="0.2"/>
    <row r="58237" ht="9.9499999999999993" hidden="1" customHeight="1" x14ac:dyDescent="0.2"/>
    <row r="58238" ht="9.9499999999999993" hidden="1" customHeight="1" x14ac:dyDescent="0.2"/>
    <row r="58239" ht="9.9499999999999993" hidden="1" customHeight="1" x14ac:dyDescent="0.2"/>
    <row r="58240" ht="9.9499999999999993" hidden="1" customHeight="1" x14ac:dyDescent="0.2"/>
    <row r="58241" ht="9.9499999999999993" hidden="1" customHeight="1" x14ac:dyDescent="0.2"/>
    <row r="58242" ht="9.9499999999999993" hidden="1" customHeight="1" x14ac:dyDescent="0.2"/>
    <row r="58243" ht="9.9499999999999993" hidden="1" customHeight="1" x14ac:dyDescent="0.2"/>
    <row r="58244" ht="9.9499999999999993" hidden="1" customHeight="1" x14ac:dyDescent="0.2"/>
    <row r="58245" ht="9.9499999999999993" hidden="1" customHeight="1" x14ac:dyDescent="0.2"/>
    <row r="58246" ht="9.9499999999999993" hidden="1" customHeight="1" x14ac:dyDescent="0.2"/>
    <row r="58247" ht="9.9499999999999993" hidden="1" customHeight="1" x14ac:dyDescent="0.2"/>
    <row r="58248" ht="9.9499999999999993" hidden="1" customHeight="1" x14ac:dyDescent="0.2"/>
    <row r="58249" ht="9.9499999999999993" hidden="1" customHeight="1" x14ac:dyDescent="0.2"/>
    <row r="58250" ht="9.9499999999999993" hidden="1" customHeight="1" x14ac:dyDescent="0.2"/>
    <row r="58251" ht="9.9499999999999993" hidden="1" customHeight="1" x14ac:dyDescent="0.2"/>
    <row r="58252" ht="9.9499999999999993" hidden="1" customHeight="1" x14ac:dyDescent="0.2"/>
    <row r="58253" ht="9.9499999999999993" hidden="1" customHeight="1" x14ac:dyDescent="0.2"/>
    <row r="58254" ht="9.9499999999999993" hidden="1" customHeight="1" x14ac:dyDescent="0.2"/>
    <row r="58255" ht="9.9499999999999993" hidden="1" customHeight="1" x14ac:dyDescent="0.2"/>
    <row r="58256" ht="9.9499999999999993" hidden="1" customHeight="1" x14ac:dyDescent="0.2"/>
    <row r="58257" ht="9.9499999999999993" hidden="1" customHeight="1" x14ac:dyDescent="0.2"/>
    <row r="58258" ht="9.9499999999999993" hidden="1" customHeight="1" x14ac:dyDescent="0.2"/>
    <row r="58259" ht="9.9499999999999993" hidden="1" customHeight="1" x14ac:dyDescent="0.2"/>
    <row r="58260" ht="9.9499999999999993" hidden="1" customHeight="1" x14ac:dyDescent="0.2"/>
    <row r="58261" ht="9.9499999999999993" hidden="1" customHeight="1" x14ac:dyDescent="0.2"/>
    <row r="58262" ht="9.9499999999999993" hidden="1" customHeight="1" x14ac:dyDescent="0.2"/>
    <row r="58263" ht="9.9499999999999993" hidden="1" customHeight="1" x14ac:dyDescent="0.2"/>
    <row r="58264" ht="9.9499999999999993" hidden="1" customHeight="1" x14ac:dyDescent="0.2"/>
    <row r="58265" ht="9.9499999999999993" hidden="1" customHeight="1" x14ac:dyDescent="0.2"/>
    <row r="58266" ht="9.9499999999999993" hidden="1" customHeight="1" x14ac:dyDescent="0.2"/>
    <row r="58267" ht="9.9499999999999993" hidden="1" customHeight="1" x14ac:dyDescent="0.2"/>
    <row r="58268" ht="9.9499999999999993" hidden="1" customHeight="1" x14ac:dyDescent="0.2"/>
    <row r="58269" ht="9.9499999999999993" hidden="1" customHeight="1" x14ac:dyDescent="0.2"/>
    <row r="58270" ht="9.9499999999999993" hidden="1" customHeight="1" x14ac:dyDescent="0.2"/>
    <row r="58271" ht="9.9499999999999993" hidden="1" customHeight="1" x14ac:dyDescent="0.2"/>
    <row r="58272" ht="9.9499999999999993" hidden="1" customHeight="1" x14ac:dyDescent="0.2"/>
    <row r="58273" ht="9.9499999999999993" hidden="1" customHeight="1" x14ac:dyDescent="0.2"/>
    <row r="58274" ht="9.9499999999999993" hidden="1" customHeight="1" x14ac:dyDescent="0.2"/>
    <row r="58275" ht="9.9499999999999993" hidden="1" customHeight="1" x14ac:dyDescent="0.2"/>
    <row r="58276" ht="9.9499999999999993" hidden="1" customHeight="1" x14ac:dyDescent="0.2"/>
    <row r="58277" ht="9.9499999999999993" hidden="1" customHeight="1" x14ac:dyDescent="0.2"/>
    <row r="58278" ht="9.9499999999999993" hidden="1" customHeight="1" x14ac:dyDescent="0.2"/>
    <row r="58279" ht="9.9499999999999993" hidden="1" customHeight="1" x14ac:dyDescent="0.2"/>
    <row r="58280" ht="9.9499999999999993" hidden="1" customHeight="1" x14ac:dyDescent="0.2"/>
    <row r="58281" ht="9.9499999999999993" hidden="1" customHeight="1" x14ac:dyDescent="0.2"/>
    <row r="58282" ht="9.9499999999999993" hidden="1" customHeight="1" x14ac:dyDescent="0.2"/>
    <row r="58283" ht="9.9499999999999993" hidden="1" customHeight="1" x14ac:dyDescent="0.2"/>
    <row r="58284" ht="9.9499999999999993" hidden="1" customHeight="1" x14ac:dyDescent="0.2"/>
    <row r="58285" ht="9.9499999999999993" hidden="1" customHeight="1" x14ac:dyDescent="0.2"/>
    <row r="58286" ht="9.9499999999999993" hidden="1" customHeight="1" x14ac:dyDescent="0.2"/>
    <row r="58287" ht="9.9499999999999993" hidden="1" customHeight="1" x14ac:dyDescent="0.2"/>
    <row r="58288" ht="9.9499999999999993" hidden="1" customHeight="1" x14ac:dyDescent="0.2"/>
    <row r="58289" ht="9.9499999999999993" hidden="1" customHeight="1" x14ac:dyDescent="0.2"/>
    <row r="58290" ht="9.9499999999999993" hidden="1" customHeight="1" x14ac:dyDescent="0.2"/>
    <row r="58291" ht="9.9499999999999993" hidden="1" customHeight="1" x14ac:dyDescent="0.2"/>
    <row r="58292" ht="9.9499999999999993" hidden="1" customHeight="1" x14ac:dyDescent="0.2"/>
    <row r="58293" ht="9.9499999999999993" hidden="1" customHeight="1" x14ac:dyDescent="0.2"/>
    <row r="58294" ht="9.9499999999999993" hidden="1" customHeight="1" x14ac:dyDescent="0.2"/>
    <row r="58295" ht="9.9499999999999993" hidden="1" customHeight="1" x14ac:dyDescent="0.2"/>
    <row r="58296" ht="9.9499999999999993" hidden="1" customHeight="1" x14ac:dyDescent="0.2"/>
    <row r="58297" ht="9.9499999999999993" hidden="1" customHeight="1" x14ac:dyDescent="0.2"/>
    <row r="58298" ht="9.9499999999999993" hidden="1" customHeight="1" x14ac:dyDescent="0.2"/>
    <row r="58299" ht="9.9499999999999993" hidden="1" customHeight="1" x14ac:dyDescent="0.2"/>
    <row r="58300" ht="9.9499999999999993" hidden="1" customHeight="1" x14ac:dyDescent="0.2"/>
    <row r="58301" ht="9.9499999999999993" hidden="1" customHeight="1" x14ac:dyDescent="0.2"/>
    <row r="58302" ht="9.9499999999999993" hidden="1" customHeight="1" x14ac:dyDescent="0.2"/>
    <row r="58303" ht="9.9499999999999993" hidden="1" customHeight="1" x14ac:dyDescent="0.2"/>
    <row r="58304" ht="9.9499999999999993" hidden="1" customHeight="1" x14ac:dyDescent="0.2"/>
    <row r="58305" ht="9.9499999999999993" hidden="1" customHeight="1" x14ac:dyDescent="0.2"/>
    <row r="58306" ht="9.9499999999999993" hidden="1" customHeight="1" x14ac:dyDescent="0.2"/>
    <row r="58307" ht="9.9499999999999993" hidden="1" customHeight="1" x14ac:dyDescent="0.2"/>
    <row r="58308" ht="9.9499999999999993" hidden="1" customHeight="1" x14ac:dyDescent="0.2"/>
    <row r="58309" ht="9.9499999999999993" hidden="1" customHeight="1" x14ac:dyDescent="0.2"/>
    <row r="58310" ht="9.9499999999999993" hidden="1" customHeight="1" x14ac:dyDescent="0.2"/>
    <row r="58311" ht="9.9499999999999993" hidden="1" customHeight="1" x14ac:dyDescent="0.2"/>
    <row r="58312" ht="9.9499999999999993" hidden="1" customHeight="1" x14ac:dyDescent="0.2"/>
    <row r="58313" ht="9.9499999999999993" hidden="1" customHeight="1" x14ac:dyDescent="0.2"/>
    <row r="58314" ht="9.9499999999999993" hidden="1" customHeight="1" x14ac:dyDescent="0.2"/>
    <row r="58315" ht="9.9499999999999993" hidden="1" customHeight="1" x14ac:dyDescent="0.2"/>
    <row r="58316" ht="9.9499999999999993" hidden="1" customHeight="1" x14ac:dyDescent="0.2"/>
    <row r="58317" ht="9.9499999999999993" hidden="1" customHeight="1" x14ac:dyDescent="0.2"/>
    <row r="58318" ht="9.9499999999999993" hidden="1" customHeight="1" x14ac:dyDescent="0.2"/>
    <row r="58319" ht="9.9499999999999993" hidden="1" customHeight="1" x14ac:dyDescent="0.2"/>
    <row r="58320" ht="9.9499999999999993" hidden="1" customHeight="1" x14ac:dyDescent="0.2"/>
    <row r="58321" ht="9.9499999999999993" hidden="1" customHeight="1" x14ac:dyDescent="0.2"/>
    <row r="58322" ht="9.9499999999999993" hidden="1" customHeight="1" x14ac:dyDescent="0.2"/>
    <row r="58323" ht="9.9499999999999993" hidden="1" customHeight="1" x14ac:dyDescent="0.2"/>
    <row r="58324" ht="9.9499999999999993" hidden="1" customHeight="1" x14ac:dyDescent="0.2"/>
    <row r="58325" ht="9.9499999999999993" hidden="1" customHeight="1" x14ac:dyDescent="0.2"/>
    <row r="58326" ht="9.9499999999999993" hidden="1" customHeight="1" x14ac:dyDescent="0.2"/>
    <row r="58327" ht="9.9499999999999993" hidden="1" customHeight="1" x14ac:dyDescent="0.2"/>
    <row r="58328" ht="9.9499999999999993" hidden="1" customHeight="1" x14ac:dyDescent="0.2"/>
    <row r="58329" ht="9.9499999999999993" hidden="1" customHeight="1" x14ac:dyDescent="0.2"/>
    <row r="58330" ht="9.9499999999999993" hidden="1" customHeight="1" x14ac:dyDescent="0.2"/>
    <row r="58331" ht="9.9499999999999993" hidden="1" customHeight="1" x14ac:dyDescent="0.2"/>
    <row r="58332" ht="9.9499999999999993" hidden="1" customHeight="1" x14ac:dyDescent="0.2"/>
    <row r="58333" ht="9.9499999999999993" hidden="1" customHeight="1" x14ac:dyDescent="0.2"/>
    <row r="58334" ht="9.9499999999999993" hidden="1" customHeight="1" x14ac:dyDescent="0.2"/>
    <row r="58335" ht="9.9499999999999993" hidden="1" customHeight="1" x14ac:dyDescent="0.2"/>
    <row r="58336" ht="9.9499999999999993" hidden="1" customHeight="1" x14ac:dyDescent="0.2"/>
    <row r="58337" ht="9.9499999999999993" hidden="1" customHeight="1" x14ac:dyDescent="0.2"/>
    <row r="58338" ht="9.9499999999999993" hidden="1" customHeight="1" x14ac:dyDescent="0.2"/>
    <row r="58339" ht="9.9499999999999993" hidden="1" customHeight="1" x14ac:dyDescent="0.2"/>
    <row r="58340" ht="9.9499999999999993" hidden="1" customHeight="1" x14ac:dyDescent="0.2"/>
    <row r="58341" ht="9.9499999999999993" hidden="1" customHeight="1" x14ac:dyDescent="0.2"/>
    <row r="58342" ht="9.9499999999999993" hidden="1" customHeight="1" x14ac:dyDescent="0.2"/>
    <row r="58343" ht="9.9499999999999993" hidden="1" customHeight="1" x14ac:dyDescent="0.2"/>
    <row r="58344" ht="9.9499999999999993" hidden="1" customHeight="1" x14ac:dyDescent="0.2"/>
    <row r="58345" ht="9.9499999999999993" hidden="1" customHeight="1" x14ac:dyDescent="0.2"/>
    <row r="58346" ht="9.9499999999999993" hidden="1" customHeight="1" x14ac:dyDescent="0.2"/>
    <row r="58347" ht="9.9499999999999993" hidden="1" customHeight="1" x14ac:dyDescent="0.2"/>
    <row r="58348" ht="9.9499999999999993" hidden="1" customHeight="1" x14ac:dyDescent="0.2"/>
    <row r="58349" ht="9.9499999999999993" hidden="1" customHeight="1" x14ac:dyDescent="0.2"/>
    <row r="58350" ht="9.9499999999999993" hidden="1" customHeight="1" x14ac:dyDescent="0.2"/>
    <row r="58351" ht="9.9499999999999993" hidden="1" customHeight="1" x14ac:dyDescent="0.2"/>
    <row r="58352" ht="9.9499999999999993" hidden="1" customHeight="1" x14ac:dyDescent="0.2"/>
    <row r="58353" ht="9.9499999999999993" hidden="1" customHeight="1" x14ac:dyDescent="0.2"/>
    <row r="58354" ht="9.9499999999999993" hidden="1" customHeight="1" x14ac:dyDescent="0.2"/>
    <row r="58355" ht="9.9499999999999993" hidden="1" customHeight="1" x14ac:dyDescent="0.2"/>
    <row r="58356" ht="9.9499999999999993" hidden="1" customHeight="1" x14ac:dyDescent="0.2"/>
    <row r="58357" ht="9.9499999999999993" hidden="1" customHeight="1" x14ac:dyDescent="0.2"/>
    <row r="58358" ht="9.9499999999999993" hidden="1" customHeight="1" x14ac:dyDescent="0.2"/>
    <row r="58359" ht="9.9499999999999993" hidden="1" customHeight="1" x14ac:dyDescent="0.2"/>
    <row r="58360" ht="9.9499999999999993" hidden="1" customHeight="1" x14ac:dyDescent="0.2"/>
    <row r="58361" ht="9.9499999999999993" hidden="1" customHeight="1" x14ac:dyDescent="0.2"/>
    <row r="58362" ht="9.9499999999999993" hidden="1" customHeight="1" x14ac:dyDescent="0.2"/>
    <row r="58363" ht="9.9499999999999993" hidden="1" customHeight="1" x14ac:dyDescent="0.2"/>
    <row r="58364" ht="9.9499999999999993" hidden="1" customHeight="1" x14ac:dyDescent="0.2"/>
    <row r="58365" ht="9.9499999999999993" hidden="1" customHeight="1" x14ac:dyDescent="0.2"/>
    <row r="58366" ht="9.9499999999999993" hidden="1" customHeight="1" x14ac:dyDescent="0.2"/>
    <row r="58367" ht="9.9499999999999993" hidden="1" customHeight="1" x14ac:dyDescent="0.2"/>
    <row r="58368" ht="9.9499999999999993" hidden="1" customHeight="1" x14ac:dyDescent="0.2"/>
    <row r="58369" ht="9.9499999999999993" hidden="1" customHeight="1" x14ac:dyDescent="0.2"/>
    <row r="58370" ht="9.9499999999999993" hidden="1" customHeight="1" x14ac:dyDescent="0.2"/>
    <row r="58371" ht="9.9499999999999993" hidden="1" customHeight="1" x14ac:dyDescent="0.2"/>
    <row r="58372" ht="9.9499999999999993" hidden="1" customHeight="1" x14ac:dyDescent="0.2"/>
    <row r="58373" ht="9.9499999999999993" hidden="1" customHeight="1" x14ac:dyDescent="0.2"/>
    <row r="58374" ht="9.9499999999999993" hidden="1" customHeight="1" x14ac:dyDescent="0.2"/>
    <row r="58375" ht="9.9499999999999993" hidden="1" customHeight="1" x14ac:dyDescent="0.2"/>
    <row r="58376" ht="9.9499999999999993" hidden="1" customHeight="1" x14ac:dyDescent="0.2"/>
    <row r="58377" ht="9.9499999999999993" hidden="1" customHeight="1" x14ac:dyDescent="0.2"/>
    <row r="58378" ht="9.9499999999999993" hidden="1" customHeight="1" x14ac:dyDescent="0.2"/>
    <row r="58379" ht="9.9499999999999993" hidden="1" customHeight="1" x14ac:dyDescent="0.2"/>
    <row r="58380" ht="9.9499999999999993" hidden="1" customHeight="1" x14ac:dyDescent="0.2"/>
    <row r="58381" ht="9.9499999999999993" hidden="1" customHeight="1" x14ac:dyDescent="0.2"/>
    <row r="58382" ht="9.9499999999999993" hidden="1" customHeight="1" x14ac:dyDescent="0.2"/>
    <row r="58383" ht="9.9499999999999993" hidden="1" customHeight="1" x14ac:dyDescent="0.2"/>
    <row r="58384" ht="9.9499999999999993" hidden="1" customHeight="1" x14ac:dyDescent="0.2"/>
    <row r="58385" ht="9.9499999999999993" hidden="1" customHeight="1" x14ac:dyDescent="0.2"/>
    <row r="58386" ht="9.9499999999999993" hidden="1" customHeight="1" x14ac:dyDescent="0.2"/>
    <row r="58387" ht="9.9499999999999993" hidden="1" customHeight="1" x14ac:dyDescent="0.2"/>
    <row r="58388" ht="9.9499999999999993" hidden="1" customHeight="1" x14ac:dyDescent="0.2"/>
    <row r="58389" ht="9.9499999999999993" hidden="1" customHeight="1" x14ac:dyDescent="0.2"/>
    <row r="58390" ht="9.9499999999999993" hidden="1" customHeight="1" x14ac:dyDescent="0.2"/>
    <row r="58391" ht="9.9499999999999993" hidden="1" customHeight="1" x14ac:dyDescent="0.2"/>
    <row r="58392" ht="9.9499999999999993" hidden="1" customHeight="1" x14ac:dyDescent="0.2"/>
    <row r="58393" ht="9.9499999999999993" hidden="1" customHeight="1" x14ac:dyDescent="0.2"/>
    <row r="58394" ht="9.9499999999999993" hidden="1" customHeight="1" x14ac:dyDescent="0.2"/>
    <row r="58395" ht="9.9499999999999993" hidden="1" customHeight="1" x14ac:dyDescent="0.2"/>
    <row r="58396" ht="9.9499999999999993" hidden="1" customHeight="1" x14ac:dyDescent="0.2"/>
    <row r="58397" ht="9.9499999999999993" hidden="1" customHeight="1" x14ac:dyDescent="0.2"/>
    <row r="58398" ht="9.9499999999999993" hidden="1" customHeight="1" x14ac:dyDescent="0.2"/>
    <row r="58399" ht="9.9499999999999993" hidden="1" customHeight="1" x14ac:dyDescent="0.2"/>
    <row r="58400" ht="9.9499999999999993" hidden="1" customHeight="1" x14ac:dyDescent="0.2"/>
    <row r="58401" ht="9.9499999999999993" hidden="1" customHeight="1" x14ac:dyDescent="0.2"/>
    <row r="58402" ht="9.9499999999999993" hidden="1" customHeight="1" x14ac:dyDescent="0.2"/>
    <row r="58403" ht="9.9499999999999993" hidden="1" customHeight="1" x14ac:dyDescent="0.2"/>
    <row r="58404" ht="9.9499999999999993" hidden="1" customHeight="1" x14ac:dyDescent="0.2"/>
    <row r="58405" ht="9.9499999999999993" hidden="1" customHeight="1" x14ac:dyDescent="0.2"/>
    <row r="58406" ht="9.9499999999999993" hidden="1" customHeight="1" x14ac:dyDescent="0.2"/>
    <row r="58407" ht="9.9499999999999993" hidden="1" customHeight="1" x14ac:dyDescent="0.2"/>
    <row r="58408" ht="9.9499999999999993" hidden="1" customHeight="1" x14ac:dyDescent="0.2"/>
    <row r="58409" ht="9.9499999999999993" hidden="1" customHeight="1" x14ac:dyDescent="0.2"/>
    <row r="58410" ht="9.9499999999999993" hidden="1" customHeight="1" x14ac:dyDescent="0.2"/>
    <row r="58411" ht="9.9499999999999993" hidden="1" customHeight="1" x14ac:dyDescent="0.2"/>
    <row r="58412" ht="9.9499999999999993" hidden="1" customHeight="1" x14ac:dyDescent="0.2"/>
    <row r="58413" ht="9.9499999999999993" hidden="1" customHeight="1" x14ac:dyDescent="0.2"/>
    <row r="58414" ht="9.9499999999999993" hidden="1" customHeight="1" x14ac:dyDescent="0.2"/>
    <row r="58415" ht="9.9499999999999993" hidden="1" customHeight="1" x14ac:dyDescent="0.2"/>
    <row r="58416" ht="9.9499999999999993" hidden="1" customHeight="1" x14ac:dyDescent="0.2"/>
    <row r="58417" ht="9.9499999999999993" hidden="1" customHeight="1" x14ac:dyDescent="0.2"/>
    <row r="58418" ht="9.9499999999999993" hidden="1" customHeight="1" x14ac:dyDescent="0.2"/>
    <row r="58419" ht="9.9499999999999993" hidden="1" customHeight="1" x14ac:dyDescent="0.2"/>
    <row r="58420" ht="9.9499999999999993" hidden="1" customHeight="1" x14ac:dyDescent="0.2"/>
    <row r="58421" ht="9.9499999999999993" hidden="1" customHeight="1" x14ac:dyDescent="0.2"/>
    <row r="58422" ht="9.9499999999999993" hidden="1" customHeight="1" x14ac:dyDescent="0.2"/>
    <row r="58423" ht="9.9499999999999993" hidden="1" customHeight="1" x14ac:dyDescent="0.2"/>
    <row r="58424" ht="9.9499999999999993" hidden="1" customHeight="1" x14ac:dyDescent="0.2"/>
    <row r="58425" ht="9.9499999999999993" hidden="1" customHeight="1" x14ac:dyDescent="0.2"/>
    <row r="58426" ht="9.9499999999999993" hidden="1" customHeight="1" x14ac:dyDescent="0.2"/>
    <row r="58427" ht="9.9499999999999993" hidden="1" customHeight="1" x14ac:dyDescent="0.2"/>
    <row r="58428" ht="9.9499999999999993" hidden="1" customHeight="1" x14ac:dyDescent="0.2"/>
    <row r="58429" ht="9.9499999999999993" hidden="1" customHeight="1" x14ac:dyDescent="0.2"/>
    <row r="58430" ht="9.9499999999999993" hidden="1" customHeight="1" x14ac:dyDescent="0.2"/>
    <row r="58431" ht="9.9499999999999993" hidden="1" customHeight="1" x14ac:dyDescent="0.2"/>
    <row r="58432" ht="9.9499999999999993" hidden="1" customHeight="1" x14ac:dyDescent="0.2"/>
    <row r="58433" ht="9.9499999999999993" hidden="1" customHeight="1" x14ac:dyDescent="0.2"/>
    <row r="58434" ht="9.9499999999999993" hidden="1" customHeight="1" x14ac:dyDescent="0.2"/>
    <row r="58435" ht="9.9499999999999993" hidden="1" customHeight="1" x14ac:dyDescent="0.2"/>
    <row r="58436" ht="9.9499999999999993" hidden="1" customHeight="1" x14ac:dyDescent="0.2"/>
    <row r="58437" ht="9.9499999999999993" hidden="1" customHeight="1" x14ac:dyDescent="0.2"/>
    <row r="58438" ht="9.9499999999999993" hidden="1" customHeight="1" x14ac:dyDescent="0.2"/>
    <row r="58439" ht="9.9499999999999993" hidden="1" customHeight="1" x14ac:dyDescent="0.2"/>
    <row r="58440" ht="9.9499999999999993" hidden="1" customHeight="1" x14ac:dyDescent="0.2"/>
    <row r="58441" ht="9.9499999999999993" hidden="1" customHeight="1" x14ac:dyDescent="0.2"/>
    <row r="58442" ht="9.9499999999999993" hidden="1" customHeight="1" x14ac:dyDescent="0.2"/>
    <row r="58443" ht="9.9499999999999993" hidden="1" customHeight="1" x14ac:dyDescent="0.2"/>
    <row r="58444" ht="9.9499999999999993" hidden="1" customHeight="1" x14ac:dyDescent="0.2"/>
    <row r="58445" ht="9.9499999999999993" hidden="1" customHeight="1" x14ac:dyDescent="0.2"/>
    <row r="58446" ht="9.9499999999999993" hidden="1" customHeight="1" x14ac:dyDescent="0.2"/>
    <row r="58447" ht="9.9499999999999993" hidden="1" customHeight="1" x14ac:dyDescent="0.2"/>
    <row r="58448" ht="9.9499999999999993" hidden="1" customHeight="1" x14ac:dyDescent="0.2"/>
    <row r="58449" ht="9.9499999999999993" hidden="1" customHeight="1" x14ac:dyDescent="0.2"/>
    <row r="58450" ht="9.9499999999999993" hidden="1" customHeight="1" x14ac:dyDescent="0.2"/>
    <row r="58451" ht="9.9499999999999993" hidden="1" customHeight="1" x14ac:dyDescent="0.2"/>
    <row r="58452" ht="9.9499999999999993" hidden="1" customHeight="1" x14ac:dyDescent="0.2"/>
    <row r="58453" ht="9.9499999999999993" hidden="1" customHeight="1" x14ac:dyDescent="0.2"/>
    <row r="58454" ht="9.9499999999999993" hidden="1" customHeight="1" x14ac:dyDescent="0.2"/>
    <row r="58455" ht="9.9499999999999993" hidden="1" customHeight="1" x14ac:dyDescent="0.2"/>
    <row r="58456" ht="9.9499999999999993" hidden="1" customHeight="1" x14ac:dyDescent="0.2"/>
    <row r="58457" ht="9.9499999999999993" hidden="1" customHeight="1" x14ac:dyDescent="0.2"/>
    <row r="58458" ht="9.9499999999999993" hidden="1" customHeight="1" x14ac:dyDescent="0.2"/>
    <row r="58459" ht="9.9499999999999993" hidden="1" customHeight="1" x14ac:dyDescent="0.2"/>
    <row r="58460" ht="9.9499999999999993" hidden="1" customHeight="1" x14ac:dyDescent="0.2"/>
    <row r="58461" ht="9.9499999999999993" hidden="1" customHeight="1" x14ac:dyDescent="0.2"/>
    <row r="58462" ht="9.9499999999999993" hidden="1" customHeight="1" x14ac:dyDescent="0.2"/>
    <row r="58463" ht="9.9499999999999993" hidden="1" customHeight="1" x14ac:dyDescent="0.2"/>
    <row r="58464" ht="9.9499999999999993" hidden="1" customHeight="1" x14ac:dyDescent="0.2"/>
    <row r="58465" ht="9.9499999999999993" hidden="1" customHeight="1" x14ac:dyDescent="0.2"/>
    <row r="58466" ht="9.9499999999999993" hidden="1" customHeight="1" x14ac:dyDescent="0.2"/>
    <row r="58467" ht="9.9499999999999993" hidden="1" customHeight="1" x14ac:dyDescent="0.2"/>
    <row r="58468" ht="9.9499999999999993" hidden="1" customHeight="1" x14ac:dyDescent="0.2"/>
    <row r="58469" ht="9.9499999999999993" hidden="1" customHeight="1" x14ac:dyDescent="0.2"/>
    <row r="58470" ht="9.9499999999999993" hidden="1" customHeight="1" x14ac:dyDescent="0.2"/>
    <row r="58471" ht="9.9499999999999993" hidden="1" customHeight="1" x14ac:dyDescent="0.2"/>
    <row r="58472" ht="9.9499999999999993" hidden="1" customHeight="1" x14ac:dyDescent="0.2"/>
    <row r="58473" ht="9.9499999999999993" hidden="1" customHeight="1" x14ac:dyDescent="0.2"/>
    <row r="58474" ht="9.9499999999999993" hidden="1" customHeight="1" x14ac:dyDescent="0.2"/>
    <row r="58475" ht="9.9499999999999993" hidden="1" customHeight="1" x14ac:dyDescent="0.2"/>
    <row r="58476" ht="9.9499999999999993" hidden="1" customHeight="1" x14ac:dyDescent="0.2"/>
    <row r="58477" ht="9.9499999999999993" hidden="1" customHeight="1" x14ac:dyDescent="0.2"/>
    <row r="58478" ht="9.9499999999999993" hidden="1" customHeight="1" x14ac:dyDescent="0.2"/>
    <row r="58479" ht="9.9499999999999993" hidden="1" customHeight="1" x14ac:dyDescent="0.2"/>
    <row r="58480" ht="9.9499999999999993" hidden="1" customHeight="1" x14ac:dyDescent="0.2"/>
    <row r="58481" ht="9.9499999999999993" hidden="1" customHeight="1" x14ac:dyDescent="0.2"/>
    <row r="58482" ht="9.9499999999999993" hidden="1" customHeight="1" x14ac:dyDescent="0.2"/>
    <row r="58483" ht="9.9499999999999993" hidden="1" customHeight="1" x14ac:dyDescent="0.2"/>
    <row r="58484" ht="9.9499999999999993" hidden="1" customHeight="1" x14ac:dyDescent="0.2"/>
    <row r="58485" ht="9.9499999999999993" hidden="1" customHeight="1" x14ac:dyDescent="0.2"/>
    <row r="58486" ht="9.9499999999999993" hidden="1" customHeight="1" x14ac:dyDescent="0.2"/>
    <row r="58487" ht="9.9499999999999993" hidden="1" customHeight="1" x14ac:dyDescent="0.2"/>
    <row r="58488" ht="9.9499999999999993" hidden="1" customHeight="1" x14ac:dyDescent="0.2"/>
    <row r="58489" ht="9.9499999999999993" hidden="1" customHeight="1" x14ac:dyDescent="0.2"/>
    <row r="58490" ht="9.9499999999999993" hidden="1" customHeight="1" x14ac:dyDescent="0.2"/>
    <row r="58491" ht="9.9499999999999993" hidden="1" customHeight="1" x14ac:dyDescent="0.2"/>
    <row r="58492" ht="9.9499999999999993" hidden="1" customHeight="1" x14ac:dyDescent="0.2"/>
    <row r="58493" ht="9.9499999999999993" hidden="1" customHeight="1" x14ac:dyDescent="0.2"/>
    <row r="58494" ht="9.9499999999999993" hidden="1" customHeight="1" x14ac:dyDescent="0.2"/>
    <row r="58495" ht="9.9499999999999993" hidden="1" customHeight="1" x14ac:dyDescent="0.2"/>
    <row r="58496" ht="9.9499999999999993" hidden="1" customHeight="1" x14ac:dyDescent="0.2"/>
    <row r="58497" ht="9.9499999999999993" hidden="1" customHeight="1" x14ac:dyDescent="0.2"/>
    <row r="58498" ht="9.9499999999999993" hidden="1" customHeight="1" x14ac:dyDescent="0.2"/>
    <row r="58499" ht="9.9499999999999993" hidden="1" customHeight="1" x14ac:dyDescent="0.2"/>
    <row r="58500" ht="9.9499999999999993" hidden="1" customHeight="1" x14ac:dyDescent="0.2"/>
    <row r="58501" ht="9.9499999999999993" hidden="1" customHeight="1" x14ac:dyDescent="0.2"/>
    <row r="58502" ht="9.9499999999999993" hidden="1" customHeight="1" x14ac:dyDescent="0.2"/>
    <row r="58503" ht="9.9499999999999993" hidden="1" customHeight="1" x14ac:dyDescent="0.2"/>
    <row r="58504" ht="9.9499999999999993" hidden="1" customHeight="1" x14ac:dyDescent="0.2"/>
    <row r="58505" ht="9.9499999999999993" hidden="1" customHeight="1" x14ac:dyDescent="0.2"/>
    <row r="58506" ht="9.9499999999999993" hidden="1" customHeight="1" x14ac:dyDescent="0.2"/>
    <row r="58507" ht="9.9499999999999993" hidden="1" customHeight="1" x14ac:dyDescent="0.2"/>
    <row r="58508" ht="9.9499999999999993" hidden="1" customHeight="1" x14ac:dyDescent="0.2"/>
    <row r="58509" ht="9.9499999999999993" hidden="1" customHeight="1" x14ac:dyDescent="0.2"/>
    <row r="58510" ht="9.9499999999999993" hidden="1" customHeight="1" x14ac:dyDescent="0.2"/>
    <row r="58511" ht="9.9499999999999993" hidden="1" customHeight="1" x14ac:dyDescent="0.2"/>
    <row r="58512" ht="9.9499999999999993" hidden="1" customHeight="1" x14ac:dyDescent="0.2"/>
    <row r="58513" ht="9.9499999999999993" hidden="1" customHeight="1" x14ac:dyDescent="0.2"/>
    <row r="58514" ht="9.9499999999999993" hidden="1" customHeight="1" x14ac:dyDescent="0.2"/>
    <row r="58515" ht="9.9499999999999993" hidden="1" customHeight="1" x14ac:dyDescent="0.2"/>
    <row r="58516" ht="9.9499999999999993" hidden="1" customHeight="1" x14ac:dyDescent="0.2"/>
    <row r="58517" ht="9.9499999999999993" hidden="1" customHeight="1" x14ac:dyDescent="0.2"/>
    <row r="58518" ht="9.9499999999999993" hidden="1" customHeight="1" x14ac:dyDescent="0.2"/>
    <row r="58519" ht="9.9499999999999993" hidden="1" customHeight="1" x14ac:dyDescent="0.2"/>
    <row r="58520" ht="9.9499999999999993" hidden="1" customHeight="1" x14ac:dyDescent="0.2"/>
    <row r="58521" ht="9.9499999999999993" hidden="1" customHeight="1" x14ac:dyDescent="0.2"/>
    <row r="58522" ht="9.9499999999999993" hidden="1" customHeight="1" x14ac:dyDescent="0.2"/>
    <row r="58523" ht="9.9499999999999993" hidden="1" customHeight="1" x14ac:dyDescent="0.2"/>
    <row r="58524" ht="9.9499999999999993" hidden="1" customHeight="1" x14ac:dyDescent="0.2"/>
    <row r="58525" ht="9.9499999999999993" hidden="1" customHeight="1" x14ac:dyDescent="0.2"/>
    <row r="58526" ht="9.9499999999999993" hidden="1" customHeight="1" x14ac:dyDescent="0.2"/>
    <row r="58527" ht="9.9499999999999993" hidden="1" customHeight="1" x14ac:dyDescent="0.2"/>
    <row r="58528" ht="9.9499999999999993" hidden="1" customHeight="1" x14ac:dyDescent="0.2"/>
    <row r="58529" ht="9.9499999999999993" hidden="1" customHeight="1" x14ac:dyDescent="0.2"/>
    <row r="58530" ht="9.9499999999999993" hidden="1" customHeight="1" x14ac:dyDescent="0.2"/>
    <row r="58531" ht="9.9499999999999993" hidden="1" customHeight="1" x14ac:dyDescent="0.2"/>
    <row r="58532" ht="9.9499999999999993" hidden="1" customHeight="1" x14ac:dyDescent="0.2"/>
    <row r="58533" ht="9.9499999999999993" hidden="1" customHeight="1" x14ac:dyDescent="0.2"/>
    <row r="58534" ht="9.9499999999999993" hidden="1" customHeight="1" x14ac:dyDescent="0.2"/>
    <row r="58535" ht="9.9499999999999993" hidden="1" customHeight="1" x14ac:dyDescent="0.2"/>
    <row r="58536" ht="9.9499999999999993" hidden="1" customHeight="1" x14ac:dyDescent="0.2"/>
    <row r="58537" ht="9.9499999999999993" hidden="1" customHeight="1" x14ac:dyDescent="0.2"/>
    <row r="58538" ht="9.9499999999999993" hidden="1" customHeight="1" x14ac:dyDescent="0.2"/>
    <row r="58539" ht="9.9499999999999993" hidden="1" customHeight="1" x14ac:dyDescent="0.2"/>
    <row r="58540" ht="9.9499999999999993" hidden="1" customHeight="1" x14ac:dyDescent="0.2"/>
    <row r="58541" ht="9.9499999999999993" hidden="1" customHeight="1" x14ac:dyDescent="0.2"/>
    <row r="58542" ht="9.9499999999999993" hidden="1" customHeight="1" x14ac:dyDescent="0.2"/>
    <row r="58543" ht="9.9499999999999993" hidden="1" customHeight="1" x14ac:dyDescent="0.2"/>
    <row r="58544" ht="9.9499999999999993" hidden="1" customHeight="1" x14ac:dyDescent="0.2"/>
    <row r="58545" ht="9.9499999999999993" hidden="1" customHeight="1" x14ac:dyDescent="0.2"/>
    <row r="58546" ht="9.9499999999999993" hidden="1" customHeight="1" x14ac:dyDescent="0.2"/>
    <row r="58547" ht="9.9499999999999993" hidden="1" customHeight="1" x14ac:dyDescent="0.2"/>
    <row r="58548" ht="9.9499999999999993" hidden="1" customHeight="1" x14ac:dyDescent="0.2"/>
    <row r="58549" ht="9.9499999999999993" hidden="1" customHeight="1" x14ac:dyDescent="0.2"/>
    <row r="58550" ht="9.9499999999999993" hidden="1" customHeight="1" x14ac:dyDescent="0.2"/>
    <row r="58551" ht="9.9499999999999993" hidden="1" customHeight="1" x14ac:dyDescent="0.2"/>
    <row r="58552" ht="9.9499999999999993" hidden="1" customHeight="1" x14ac:dyDescent="0.2"/>
    <row r="58553" ht="9.9499999999999993" hidden="1" customHeight="1" x14ac:dyDescent="0.2"/>
    <row r="58554" ht="9.9499999999999993" hidden="1" customHeight="1" x14ac:dyDescent="0.2"/>
    <row r="58555" ht="9.9499999999999993" hidden="1" customHeight="1" x14ac:dyDescent="0.2"/>
    <row r="58556" ht="9.9499999999999993" hidden="1" customHeight="1" x14ac:dyDescent="0.2"/>
    <row r="58557" ht="9.9499999999999993" hidden="1" customHeight="1" x14ac:dyDescent="0.2"/>
    <row r="58558" ht="9.9499999999999993" hidden="1" customHeight="1" x14ac:dyDescent="0.2"/>
    <row r="58559" ht="9.9499999999999993" hidden="1" customHeight="1" x14ac:dyDescent="0.2"/>
    <row r="58560" ht="9.9499999999999993" hidden="1" customHeight="1" x14ac:dyDescent="0.2"/>
    <row r="58561" ht="9.9499999999999993" hidden="1" customHeight="1" x14ac:dyDescent="0.2"/>
    <row r="58562" ht="9.9499999999999993" hidden="1" customHeight="1" x14ac:dyDescent="0.2"/>
    <row r="58563" ht="9.9499999999999993" hidden="1" customHeight="1" x14ac:dyDescent="0.2"/>
    <row r="58564" ht="9.9499999999999993" hidden="1" customHeight="1" x14ac:dyDescent="0.2"/>
    <row r="58565" ht="9.9499999999999993" hidden="1" customHeight="1" x14ac:dyDescent="0.2"/>
    <row r="58566" ht="9.9499999999999993" hidden="1" customHeight="1" x14ac:dyDescent="0.2"/>
    <row r="58567" ht="9.9499999999999993" hidden="1" customHeight="1" x14ac:dyDescent="0.2"/>
    <row r="58568" ht="9.9499999999999993" hidden="1" customHeight="1" x14ac:dyDescent="0.2"/>
    <row r="58569" ht="9.9499999999999993" hidden="1" customHeight="1" x14ac:dyDescent="0.2"/>
    <row r="58570" ht="9.9499999999999993" hidden="1" customHeight="1" x14ac:dyDescent="0.2"/>
    <row r="58571" ht="9.9499999999999993" hidden="1" customHeight="1" x14ac:dyDescent="0.2"/>
    <row r="58572" ht="9.9499999999999993" hidden="1" customHeight="1" x14ac:dyDescent="0.2"/>
    <row r="58573" ht="9.9499999999999993" hidden="1" customHeight="1" x14ac:dyDescent="0.2"/>
    <row r="58574" ht="9.9499999999999993" hidden="1" customHeight="1" x14ac:dyDescent="0.2"/>
    <row r="58575" ht="9.9499999999999993" hidden="1" customHeight="1" x14ac:dyDescent="0.2"/>
    <row r="58576" ht="9.9499999999999993" hidden="1" customHeight="1" x14ac:dyDescent="0.2"/>
    <row r="58577" ht="9.9499999999999993" hidden="1" customHeight="1" x14ac:dyDescent="0.2"/>
    <row r="58578" ht="9.9499999999999993" hidden="1" customHeight="1" x14ac:dyDescent="0.2"/>
    <row r="58579" ht="9.9499999999999993" hidden="1" customHeight="1" x14ac:dyDescent="0.2"/>
    <row r="58580" ht="9.9499999999999993" hidden="1" customHeight="1" x14ac:dyDescent="0.2"/>
    <row r="58581" ht="9.9499999999999993" hidden="1" customHeight="1" x14ac:dyDescent="0.2"/>
    <row r="58582" ht="9.9499999999999993" hidden="1" customHeight="1" x14ac:dyDescent="0.2"/>
    <row r="58583" ht="9.9499999999999993" hidden="1" customHeight="1" x14ac:dyDescent="0.2"/>
    <row r="58584" ht="9.9499999999999993" hidden="1" customHeight="1" x14ac:dyDescent="0.2"/>
    <row r="58585" ht="9.9499999999999993" hidden="1" customHeight="1" x14ac:dyDescent="0.2"/>
    <row r="58586" ht="9.9499999999999993" hidden="1" customHeight="1" x14ac:dyDescent="0.2"/>
    <row r="58587" ht="9.9499999999999993" hidden="1" customHeight="1" x14ac:dyDescent="0.2"/>
    <row r="58588" ht="9.9499999999999993" hidden="1" customHeight="1" x14ac:dyDescent="0.2"/>
    <row r="58589" ht="9.9499999999999993" hidden="1" customHeight="1" x14ac:dyDescent="0.2"/>
    <row r="58590" ht="9.9499999999999993" hidden="1" customHeight="1" x14ac:dyDescent="0.2"/>
    <row r="58591" ht="9.9499999999999993" hidden="1" customHeight="1" x14ac:dyDescent="0.2"/>
    <row r="58592" ht="9.9499999999999993" hidden="1" customHeight="1" x14ac:dyDescent="0.2"/>
    <row r="58593" ht="9.9499999999999993" hidden="1" customHeight="1" x14ac:dyDescent="0.2"/>
    <row r="58594" ht="9.9499999999999993" hidden="1" customHeight="1" x14ac:dyDescent="0.2"/>
    <row r="58595" ht="9.9499999999999993" hidden="1" customHeight="1" x14ac:dyDescent="0.2"/>
    <row r="58596" ht="9.9499999999999993" hidden="1" customHeight="1" x14ac:dyDescent="0.2"/>
    <row r="58597" ht="9.9499999999999993" hidden="1" customHeight="1" x14ac:dyDescent="0.2"/>
    <row r="58598" ht="9.9499999999999993" hidden="1" customHeight="1" x14ac:dyDescent="0.2"/>
    <row r="58599" ht="9.9499999999999993" hidden="1" customHeight="1" x14ac:dyDescent="0.2"/>
    <row r="58600" ht="9.9499999999999993" hidden="1" customHeight="1" x14ac:dyDescent="0.2"/>
    <row r="58601" ht="9.9499999999999993" hidden="1" customHeight="1" x14ac:dyDescent="0.2"/>
    <row r="58602" ht="9.9499999999999993" hidden="1" customHeight="1" x14ac:dyDescent="0.2"/>
    <row r="58603" ht="9.9499999999999993" hidden="1" customHeight="1" x14ac:dyDescent="0.2"/>
    <row r="58604" ht="9.9499999999999993" hidden="1" customHeight="1" x14ac:dyDescent="0.2"/>
    <row r="58605" ht="9.9499999999999993" hidden="1" customHeight="1" x14ac:dyDescent="0.2"/>
    <row r="58606" ht="9.9499999999999993" hidden="1" customHeight="1" x14ac:dyDescent="0.2"/>
    <row r="58607" ht="9.9499999999999993" hidden="1" customHeight="1" x14ac:dyDescent="0.2"/>
    <row r="58608" ht="9.9499999999999993" hidden="1" customHeight="1" x14ac:dyDescent="0.2"/>
    <row r="58609" ht="9.9499999999999993" hidden="1" customHeight="1" x14ac:dyDescent="0.2"/>
    <row r="58610" ht="9.9499999999999993" hidden="1" customHeight="1" x14ac:dyDescent="0.2"/>
    <row r="58611" ht="9.9499999999999993" hidden="1" customHeight="1" x14ac:dyDescent="0.2"/>
    <row r="58612" ht="9.9499999999999993" hidden="1" customHeight="1" x14ac:dyDescent="0.2"/>
    <row r="58613" ht="9.9499999999999993" hidden="1" customHeight="1" x14ac:dyDescent="0.2"/>
    <row r="58614" ht="9.9499999999999993" hidden="1" customHeight="1" x14ac:dyDescent="0.2"/>
    <row r="58615" ht="9.9499999999999993" hidden="1" customHeight="1" x14ac:dyDescent="0.2"/>
    <row r="58616" ht="9.9499999999999993" hidden="1" customHeight="1" x14ac:dyDescent="0.2"/>
    <row r="58617" ht="9.9499999999999993" hidden="1" customHeight="1" x14ac:dyDescent="0.2"/>
    <row r="58618" ht="9.9499999999999993" hidden="1" customHeight="1" x14ac:dyDescent="0.2"/>
    <row r="58619" ht="9.9499999999999993" hidden="1" customHeight="1" x14ac:dyDescent="0.2"/>
    <row r="58620" ht="9.9499999999999993" hidden="1" customHeight="1" x14ac:dyDescent="0.2"/>
    <row r="58621" ht="9.9499999999999993" hidden="1" customHeight="1" x14ac:dyDescent="0.2"/>
    <row r="58622" ht="9.9499999999999993" hidden="1" customHeight="1" x14ac:dyDescent="0.2"/>
    <row r="58623" ht="9.9499999999999993" hidden="1" customHeight="1" x14ac:dyDescent="0.2"/>
    <row r="58624" ht="9.9499999999999993" hidden="1" customHeight="1" x14ac:dyDescent="0.2"/>
    <row r="58625" ht="9.9499999999999993" hidden="1" customHeight="1" x14ac:dyDescent="0.2"/>
    <row r="58626" ht="9.9499999999999993" hidden="1" customHeight="1" x14ac:dyDescent="0.2"/>
    <row r="58627" ht="9.9499999999999993" hidden="1" customHeight="1" x14ac:dyDescent="0.2"/>
    <row r="58628" ht="9.9499999999999993" hidden="1" customHeight="1" x14ac:dyDescent="0.2"/>
    <row r="58629" ht="9.9499999999999993" hidden="1" customHeight="1" x14ac:dyDescent="0.2"/>
    <row r="58630" ht="9.9499999999999993" hidden="1" customHeight="1" x14ac:dyDescent="0.2"/>
    <row r="58631" ht="9.9499999999999993" hidden="1" customHeight="1" x14ac:dyDescent="0.2"/>
    <row r="58632" ht="9.9499999999999993" hidden="1" customHeight="1" x14ac:dyDescent="0.2"/>
    <row r="58633" ht="9.9499999999999993" hidden="1" customHeight="1" x14ac:dyDescent="0.2"/>
    <row r="58634" ht="9.9499999999999993" hidden="1" customHeight="1" x14ac:dyDescent="0.2"/>
    <row r="58635" ht="9.9499999999999993" hidden="1" customHeight="1" x14ac:dyDescent="0.2"/>
    <row r="58636" ht="9.9499999999999993" hidden="1" customHeight="1" x14ac:dyDescent="0.2"/>
    <row r="58637" ht="9.9499999999999993" hidden="1" customHeight="1" x14ac:dyDescent="0.2"/>
    <row r="58638" ht="9.9499999999999993" hidden="1" customHeight="1" x14ac:dyDescent="0.2"/>
    <row r="58639" ht="9.9499999999999993" hidden="1" customHeight="1" x14ac:dyDescent="0.2"/>
    <row r="58640" ht="9.9499999999999993" hidden="1" customHeight="1" x14ac:dyDescent="0.2"/>
    <row r="58641" ht="9.9499999999999993" hidden="1" customHeight="1" x14ac:dyDescent="0.2"/>
    <row r="58642" ht="9.9499999999999993" hidden="1" customHeight="1" x14ac:dyDescent="0.2"/>
    <row r="58643" ht="9.9499999999999993" hidden="1" customHeight="1" x14ac:dyDescent="0.2"/>
    <row r="58644" ht="9.9499999999999993" hidden="1" customHeight="1" x14ac:dyDescent="0.2"/>
    <row r="58645" ht="9.9499999999999993" hidden="1" customHeight="1" x14ac:dyDescent="0.2"/>
    <row r="58646" ht="9.9499999999999993" hidden="1" customHeight="1" x14ac:dyDescent="0.2"/>
    <row r="58647" ht="9.9499999999999993" hidden="1" customHeight="1" x14ac:dyDescent="0.2"/>
    <row r="58648" ht="9.9499999999999993" hidden="1" customHeight="1" x14ac:dyDescent="0.2"/>
    <row r="58649" ht="9.9499999999999993" hidden="1" customHeight="1" x14ac:dyDescent="0.2"/>
    <row r="58650" ht="9.9499999999999993" hidden="1" customHeight="1" x14ac:dyDescent="0.2"/>
    <row r="58651" ht="9.9499999999999993" hidden="1" customHeight="1" x14ac:dyDescent="0.2"/>
    <row r="58652" ht="9.9499999999999993" hidden="1" customHeight="1" x14ac:dyDescent="0.2"/>
    <row r="58653" ht="9.9499999999999993" hidden="1" customHeight="1" x14ac:dyDescent="0.2"/>
    <row r="58654" ht="9.9499999999999993" hidden="1" customHeight="1" x14ac:dyDescent="0.2"/>
    <row r="58655" ht="9.9499999999999993" hidden="1" customHeight="1" x14ac:dyDescent="0.2"/>
    <row r="58656" ht="9.9499999999999993" hidden="1" customHeight="1" x14ac:dyDescent="0.2"/>
    <row r="58657" ht="9.9499999999999993" hidden="1" customHeight="1" x14ac:dyDescent="0.2"/>
    <row r="58658" ht="9.9499999999999993" hidden="1" customHeight="1" x14ac:dyDescent="0.2"/>
    <row r="58659" ht="9.9499999999999993" hidden="1" customHeight="1" x14ac:dyDescent="0.2"/>
    <row r="58660" ht="9.9499999999999993" hidden="1" customHeight="1" x14ac:dyDescent="0.2"/>
    <row r="58661" ht="9.9499999999999993" hidden="1" customHeight="1" x14ac:dyDescent="0.2"/>
    <row r="58662" ht="9.9499999999999993" hidden="1" customHeight="1" x14ac:dyDescent="0.2"/>
    <row r="58663" ht="9.9499999999999993" hidden="1" customHeight="1" x14ac:dyDescent="0.2"/>
    <row r="58664" ht="9.9499999999999993" hidden="1" customHeight="1" x14ac:dyDescent="0.2"/>
    <row r="58665" ht="9.9499999999999993" hidden="1" customHeight="1" x14ac:dyDescent="0.2"/>
    <row r="58666" ht="9.9499999999999993" hidden="1" customHeight="1" x14ac:dyDescent="0.2"/>
    <row r="58667" ht="9.9499999999999993" hidden="1" customHeight="1" x14ac:dyDescent="0.2"/>
    <row r="58668" ht="9.9499999999999993" hidden="1" customHeight="1" x14ac:dyDescent="0.2"/>
    <row r="58669" ht="9.9499999999999993" hidden="1" customHeight="1" x14ac:dyDescent="0.2"/>
    <row r="58670" ht="9.9499999999999993" hidden="1" customHeight="1" x14ac:dyDescent="0.2"/>
    <row r="58671" ht="9.9499999999999993" hidden="1" customHeight="1" x14ac:dyDescent="0.2"/>
    <row r="58672" ht="9.9499999999999993" hidden="1" customHeight="1" x14ac:dyDescent="0.2"/>
    <row r="58673" ht="9.9499999999999993" hidden="1" customHeight="1" x14ac:dyDescent="0.2"/>
    <row r="58674" ht="9.9499999999999993" hidden="1" customHeight="1" x14ac:dyDescent="0.2"/>
    <row r="58675" ht="9.9499999999999993" hidden="1" customHeight="1" x14ac:dyDescent="0.2"/>
    <row r="58676" ht="9.9499999999999993" hidden="1" customHeight="1" x14ac:dyDescent="0.2"/>
    <row r="58677" ht="9.9499999999999993" hidden="1" customHeight="1" x14ac:dyDescent="0.2"/>
    <row r="58678" ht="9.9499999999999993" hidden="1" customHeight="1" x14ac:dyDescent="0.2"/>
    <row r="58679" ht="9.9499999999999993" hidden="1" customHeight="1" x14ac:dyDescent="0.2"/>
    <row r="58680" ht="9.9499999999999993" hidden="1" customHeight="1" x14ac:dyDescent="0.2"/>
    <row r="58681" ht="9.9499999999999993" hidden="1" customHeight="1" x14ac:dyDescent="0.2"/>
    <row r="58682" ht="9.9499999999999993" hidden="1" customHeight="1" x14ac:dyDescent="0.2"/>
    <row r="58683" ht="9.9499999999999993" hidden="1" customHeight="1" x14ac:dyDescent="0.2"/>
    <row r="58684" ht="9.9499999999999993" hidden="1" customHeight="1" x14ac:dyDescent="0.2"/>
    <row r="58685" ht="9.9499999999999993" hidden="1" customHeight="1" x14ac:dyDescent="0.2"/>
    <row r="58686" ht="9.9499999999999993" hidden="1" customHeight="1" x14ac:dyDescent="0.2"/>
    <row r="58687" ht="9.9499999999999993" hidden="1" customHeight="1" x14ac:dyDescent="0.2"/>
    <row r="58688" ht="9.9499999999999993" hidden="1" customHeight="1" x14ac:dyDescent="0.2"/>
    <row r="58689" ht="9.9499999999999993" hidden="1" customHeight="1" x14ac:dyDescent="0.2"/>
    <row r="58690" ht="9.9499999999999993" hidden="1" customHeight="1" x14ac:dyDescent="0.2"/>
    <row r="58691" ht="9.9499999999999993" hidden="1" customHeight="1" x14ac:dyDescent="0.2"/>
    <row r="58692" ht="9.9499999999999993" hidden="1" customHeight="1" x14ac:dyDescent="0.2"/>
    <row r="58693" ht="9.9499999999999993" hidden="1" customHeight="1" x14ac:dyDescent="0.2"/>
    <row r="58694" ht="9.9499999999999993" hidden="1" customHeight="1" x14ac:dyDescent="0.2"/>
    <row r="58695" ht="9.9499999999999993" hidden="1" customHeight="1" x14ac:dyDescent="0.2"/>
    <row r="58696" ht="9.9499999999999993" hidden="1" customHeight="1" x14ac:dyDescent="0.2"/>
    <row r="58697" ht="9.9499999999999993" hidden="1" customHeight="1" x14ac:dyDescent="0.2"/>
    <row r="58698" ht="9.9499999999999993" hidden="1" customHeight="1" x14ac:dyDescent="0.2"/>
    <row r="58699" ht="9.9499999999999993" hidden="1" customHeight="1" x14ac:dyDescent="0.2"/>
    <row r="58700" ht="9.9499999999999993" hidden="1" customHeight="1" x14ac:dyDescent="0.2"/>
    <row r="58701" ht="9.9499999999999993" hidden="1" customHeight="1" x14ac:dyDescent="0.2"/>
    <row r="58702" ht="9.9499999999999993" hidden="1" customHeight="1" x14ac:dyDescent="0.2"/>
    <row r="58703" ht="9.9499999999999993" hidden="1" customHeight="1" x14ac:dyDescent="0.2"/>
    <row r="58704" ht="9.9499999999999993" hidden="1" customHeight="1" x14ac:dyDescent="0.2"/>
    <row r="58705" ht="9.9499999999999993" hidden="1" customHeight="1" x14ac:dyDescent="0.2"/>
    <row r="58706" ht="9.9499999999999993" hidden="1" customHeight="1" x14ac:dyDescent="0.2"/>
    <row r="58707" ht="9.9499999999999993" hidden="1" customHeight="1" x14ac:dyDescent="0.2"/>
    <row r="58708" ht="9.9499999999999993" hidden="1" customHeight="1" x14ac:dyDescent="0.2"/>
    <row r="58709" ht="9.9499999999999993" hidden="1" customHeight="1" x14ac:dyDescent="0.2"/>
    <row r="58710" ht="9.9499999999999993" hidden="1" customHeight="1" x14ac:dyDescent="0.2"/>
    <row r="58711" ht="9.9499999999999993" hidden="1" customHeight="1" x14ac:dyDescent="0.2"/>
    <row r="58712" ht="9.9499999999999993" hidden="1" customHeight="1" x14ac:dyDescent="0.2"/>
    <row r="58713" ht="9.9499999999999993" hidden="1" customHeight="1" x14ac:dyDescent="0.2"/>
    <row r="58714" ht="9.9499999999999993" hidden="1" customHeight="1" x14ac:dyDescent="0.2"/>
    <row r="58715" ht="9.9499999999999993" hidden="1" customHeight="1" x14ac:dyDescent="0.2"/>
    <row r="58716" ht="9.9499999999999993" hidden="1" customHeight="1" x14ac:dyDescent="0.2"/>
    <row r="58717" ht="9.9499999999999993" hidden="1" customHeight="1" x14ac:dyDescent="0.2"/>
    <row r="58718" ht="9.9499999999999993" hidden="1" customHeight="1" x14ac:dyDescent="0.2"/>
    <row r="58719" ht="9.9499999999999993" hidden="1" customHeight="1" x14ac:dyDescent="0.2"/>
    <row r="58720" ht="9.9499999999999993" hidden="1" customHeight="1" x14ac:dyDescent="0.2"/>
    <row r="58721" ht="9.9499999999999993" hidden="1" customHeight="1" x14ac:dyDescent="0.2"/>
    <row r="58722" ht="9.9499999999999993" hidden="1" customHeight="1" x14ac:dyDescent="0.2"/>
    <row r="58723" ht="9.9499999999999993" hidden="1" customHeight="1" x14ac:dyDescent="0.2"/>
    <row r="58724" ht="9.9499999999999993" hidden="1" customHeight="1" x14ac:dyDescent="0.2"/>
    <row r="58725" ht="9.9499999999999993" hidden="1" customHeight="1" x14ac:dyDescent="0.2"/>
    <row r="58726" ht="9.9499999999999993" hidden="1" customHeight="1" x14ac:dyDescent="0.2"/>
    <row r="58727" ht="9.9499999999999993" hidden="1" customHeight="1" x14ac:dyDescent="0.2"/>
    <row r="58728" ht="9.9499999999999993" hidden="1" customHeight="1" x14ac:dyDescent="0.2"/>
    <row r="58729" ht="9.9499999999999993" hidden="1" customHeight="1" x14ac:dyDescent="0.2"/>
    <row r="58730" ht="9.9499999999999993" hidden="1" customHeight="1" x14ac:dyDescent="0.2"/>
    <row r="58731" ht="9.9499999999999993" hidden="1" customHeight="1" x14ac:dyDescent="0.2"/>
    <row r="58732" ht="9.9499999999999993" hidden="1" customHeight="1" x14ac:dyDescent="0.2"/>
    <row r="58733" ht="9.9499999999999993" hidden="1" customHeight="1" x14ac:dyDescent="0.2"/>
    <row r="58734" ht="9.9499999999999993" hidden="1" customHeight="1" x14ac:dyDescent="0.2"/>
    <row r="58735" ht="9.9499999999999993" hidden="1" customHeight="1" x14ac:dyDescent="0.2"/>
    <row r="58736" ht="9.9499999999999993" hidden="1" customHeight="1" x14ac:dyDescent="0.2"/>
    <row r="58737" ht="9.9499999999999993" hidden="1" customHeight="1" x14ac:dyDescent="0.2"/>
    <row r="58738" ht="9.9499999999999993" hidden="1" customHeight="1" x14ac:dyDescent="0.2"/>
    <row r="58739" ht="9.9499999999999993" hidden="1" customHeight="1" x14ac:dyDescent="0.2"/>
    <row r="58740" ht="9.9499999999999993" hidden="1" customHeight="1" x14ac:dyDescent="0.2"/>
    <row r="58741" ht="9.9499999999999993" hidden="1" customHeight="1" x14ac:dyDescent="0.2"/>
    <row r="58742" ht="9.9499999999999993" hidden="1" customHeight="1" x14ac:dyDescent="0.2"/>
    <row r="58743" ht="9.9499999999999993" hidden="1" customHeight="1" x14ac:dyDescent="0.2"/>
    <row r="58744" ht="9.9499999999999993" hidden="1" customHeight="1" x14ac:dyDescent="0.2"/>
    <row r="58745" ht="9.9499999999999993" hidden="1" customHeight="1" x14ac:dyDescent="0.2"/>
    <row r="58746" ht="9.9499999999999993" hidden="1" customHeight="1" x14ac:dyDescent="0.2"/>
    <row r="58747" ht="9.9499999999999993" hidden="1" customHeight="1" x14ac:dyDescent="0.2"/>
    <row r="58748" ht="9.9499999999999993" hidden="1" customHeight="1" x14ac:dyDescent="0.2"/>
    <row r="58749" ht="9.9499999999999993" hidden="1" customHeight="1" x14ac:dyDescent="0.2"/>
    <row r="58750" ht="9.9499999999999993" hidden="1" customHeight="1" x14ac:dyDescent="0.2"/>
    <row r="58751" ht="9.9499999999999993" hidden="1" customHeight="1" x14ac:dyDescent="0.2"/>
    <row r="58752" ht="9.9499999999999993" hidden="1" customHeight="1" x14ac:dyDescent="0.2"/>
    <row r="58753" ht="9.9499999999999993" hidden="1" customHeight="1" x14ac:dyDescent="0.2"/>
    <row r="58754" ht="9.9499999999999993" hidden="1" customHeight="1" x14ac:dyDescent="0.2"/>
    <row r="58755" ht="9.9499999999999993" hidden="1" customHeight="1" x14ac:dyDescent="0.2"/>
    <row r="58756" ht="9.9499999999999993" hidden="1" customHeight="1" x14ac:dyDescent="0.2"/>
    <row r="58757" ht="9.9499999999999993" hidden="1" customHeight="1" x14ac:dyDescent="0.2"/>
    <row r="58758" ht="9.9499999999999993" hidden="1" customHeight="1" x14ac:dyDescent="0.2"/>
    <row r="58759" ht="9.9499999999999993" hidden="1" customHeight="1" x14ac:dyDescent="0.2"/>
    <row r="58760" ht="9.9499999999999993" hidden="1" customHeight="1" x14ac:dyDescent="0.2"/>
    <row r="58761" ht="9.9499999999999993" hidden="1" customHeight="1" x14ac:dyDescent="0.2"/>
    <row r="58762" ht="9.9499999999999993" hidden="1" customHeight="1" x14ac:dyDescent="0.2"/>
    <row r="58763" ht="9.9499999999999993" hidden="1" customHeight="1" x14ac:dyDescent="0.2"/>
    <row r="58764" ht="9.9499999999999993" hidden="1" customHeight="1" x14ac:dyDescent="0.2"/>
    <row r="58765" ht="9.9499999999999993" hidden="1" customHeight="1" x14ac:dyDescent="0.2"/>
    <row r="58766" ht="9.9499999999999993" hidden="1" customHeight="1" x14ac:dyDescent="0.2"/>
    <row r="58767" ht="9.9499999999999993" hidden="1" customHeight="1" x14ac:dyDescent="0.2"/>
    <row r="58768" ht="9.9499999999999993" hidden="1" customHeight="1" x14ac:dyDescent="0.2"/>
    <row r="58769" ht="9.9499999999999993" hidden="1" customHeight="1" x14ac:dyDescent="0.2"/>
    <row r="58770" ht="9.9499999999999993" hidden="1" customHeight="1" x14ac:dyDescent="0.2"/>
    <row r="58771" ht="9.9499999999999993" hidden="1" customHeight="1" x14ac:dyDescent="0.2"/>
    <row r="58772" ht="9.9499999999999993" hidden="1" customHeight="1" x14ac:dyDescent="0.2"/>
    <row r="58773" ht="9.9499999999999993" hidden="1" customHeight="1" x14ac:dyDescent="0.2"/>
    <row r="58774" ht="9.9499999999999993" hidden="1" customHeight="1" x14ac:dyDescent="0.2"/>
    <row r="58775" ht="9.9499999999999993" hidden="1" customHeight="1" x14ac:dyDescent="0.2"/>
    <row r="58776" ht="9.9499999999999993" hidden="1" customHeight="1" x14ac:dyDescent="0.2"/>
    <row r="58777" ht="9.9499999999999993" hidden="1" customHeight="1" x14ac:dyDescent="0.2"/>
    <row r="58778" ht="9.9499999999999993" hidden="1" customHeight="1" x14ac:dyDescent="0.2"/>
    <row r="58779" ht="9.9499999999999993" hidden="1" customHeight="1" x14ac:dyDescent="0.2"/>
    <row r="58780" ht="9.9499999999999993" hidden="1" customHeight="1" x14ac:dyDescent="0.2"/>
    <row r="58781" ht="9.9499999999999993" hidden="1" customHeight="1" x14ac:dyDescent="0.2"/>
    <row r="58782" ht="9.9499999999999993" hidden="1" customHeight="1" x14ac:dyDescent="0.2"/>
    <row r="58783" ht="9.9499999999999993" hidden="1" customHeight="1" x14ac:dyDescent="0.2"/>
    <row r="58784" ht="9.9499999999999993" hidden="1" customHeight="1" x14ac:dyDescent="0.2"/>
    <row r="58785" ht="9.9499999999999993" hidden="1" customHeight="1" x14ac:dyDescent="0.2"/>
    <row r="58786" ht="9.9499999999999993" hidden="1" customHeight="1" x14ac:dyDescent="0.2"/>
    <row r="58787" ht="9.9499999999999993" hidden="1" customHeight="1" x14ac:dyDescent="0.2"/>
    <row r="58788" ht="9.9499999999999993" hidden="1" customHeight="1" x14ac:dyDescent="0.2"/>
    <row r="58789" ht="9.9499999999999993" hidden="1" customHeight="1" x14ac:dyDescent="0.2"/>
    <row r="58790" ht="9.9499999999999993" hidden="1" customHeight="1" x14ac:dyDescent="0.2"/>
    <row r="58791" ht="9.9499999999999993" hidden="1" customHeight="1" x14ac:dyDescent="0.2"/>
    <row r="58792" ht="9.9499999999999993" hidden="1" customHeight="1" x14ac:dyDescent="0.2"/>
    <row r="58793" ht="9.9499999999999993" hidden="1" customHeight="1" x14ac:dyDescent="0.2"/>
    <row r="58794" ht="9.9499999999999993" hidden="1" customHeight="1" x14ac:dyDescent="0.2"/>
    <row r="58795" ht="9.9499999999999993" hidden="1" customHeight="1" x14ac:dyDescent="0.2"/>
    <row r="58796" ht="9.9499999999999993" hidden="1" customHeight="1" x14ac:dyDescent="0.2"/>
    <row r="58797" ht="9.9499999999999993" hidden="1" customHeight="1" x14ac:dyDescent="0.2"/>
    <row r="58798" ht="9.9499999999999993" hidden="1" customHeight="1" x14ac:dyDescent="0.2"/>
    <row r="58799" ht="9.9499999999999993" hidden="1" customHeight="1" x14ac:dyDescent="0.2"/>
    <row r="58800" ht="9.9499999999999993" hidden="1" customHeight="1" x14ac:dyDescent="0.2"/>
    <row r="58801" ht="9.9499999999999993" hidden="1" customHeight="1" x14ac:dyDescent="0.2"/>
    <row r="58802" ht="9.9499999999999993" hidden="1" customHeight="1" x14ac:dyDescent="0.2"/>
    <row r="58803" ht="9.9499999999999993" hidden="1" customHeight="1" x14ac:dyDescent="0.2"/>
    <row r="58804" ht="9.9499999999999993" hidden="1" customHeight="1" x14ac:dyDescent="0.2"/>
    <row r="58805" ht="9.9499999999999993" hidden="1" customHeight="1" x14ac:dyDescent="0.2"/>
    <row r="58806" ht="9.9499999999999993" hidden="1" customHeight="1" x14ac:dyDescent="0.2"/>
    <row r="58807" ht="9.9499999999999993" hidden="1" customHeight="1" x14ac:dyDescent="0.2"/>
    <row r="58808" ht="9.9499999999999993" hidden="1" customHeight="1" x14ac:dyDescent="0.2"/>
    <row r="58809" ht="9.9499999999999993" hidden="1" customHeight="1" x14ac:dyDescent="0.2"/>
    <row r="58810" ht="9.9499999999999993" hidden="1" customHeight="1" x14ac:dyDescent="0.2"/>
    <row r="58811" ht="9.9499999999999993" hidden="1" customHeight="1" x14ac:dyDescent="0.2"/>
    <row r="58812" ht="9.9499999999999993" hidden="1" customHeight="1" x14ac:dyDescent="0.2"/>
    <row r="58813" ht="9.9499999999999993" hidden="1" customHeight="1" x14ac:dyDescent="0.2"/>
    <row r="58814" ht="9.9499999999999993" hidden="1" customHeight="1" x14ac:dyDescent="0.2"/>
    <row r="58815" ht="9.9499999999999993" hidden="1" customHeight="1" x14ac:dyDescent="0.2"/>
    <row r="58816" ht="9.9499999999999993" hidden="1" customHeight="1" x14ac:dyDescent="0.2"/>
    <row r="58817" ht="9.9499999999999993" hidden="1" customHeight="1" x14ac:dyDescent="0.2"/>
    <row r="58818" ht="9.9499999999999993" hidden="1" customHeight="1" x14ac:dyDescent="0.2"/>
    <row r="58819" ht="9.9499999999999993" hidden="1" customHeight="1" x14ac:dyDescent="0.2"/>
    <row r="58820" ht="9.9499999999999993" hidden="1" customHeight="1" x14ac:dyDescent="0.2"/>
    <row r="58821" ht="9.9499999999999993" hidden="1" customHeight="1" x14ac:dyDescent="0.2"/>
    <row r="58822" ht="9.9499999999999993" hidden="1" customHeight="1" x14ac:dyDescent="0.2"/>
    <row r="58823" ht="9.9499999999999993" hidden="1" customHeight="1" x14ac:dyDescent="0.2"/>
    <row r="58824" ht="9.9499999999999993" hidden="1" customHeight="1" x14ac:dyDescent="0.2"/>
    <row r="58825" ht="9.9499999999999993" hidden="1" customHeight="1" x14ac:dyDescent="0.2"/>
    <row r="58826" ht="9.9499999999999993" hidden="1" customHeight="1" x14ac:dyDescent="0.2"/>
    <row r="58827" ht="9.9499999999999993" hidden="1" customHeight="1" x14ac:dyDescent="0.2"/>
    <row r="58828" ht="9.9499999999999993" hidden="1" customHeight="1" x14ac:dyDescent="0.2"/>
    <row r="58829" ht="9.9499999999999993" hidden="1" customHeight="1" x14ac:dyDescent="0.2"/>
    <row r="58830" ht="9.9499999999999993" hidden="1" customHeight="1" x14ac:dyDescent="0.2"/>
    <row r="58831" ht="9.9499999999999993" hidden="1" customHeight="1" x14ac:dyDescent="0.2"/>
    <row r="58832" ht="9.9499999999999993" hidden="1" customHeight="1" x14ac:dyDescent="0.2"/>
    <row r="58833" ht="9.9499999999999993" hidden="1" customHeight="1" x14ac:dyDescent="0.2"/>
    <row r="58834" ht="9.9499999999999993" hidden="1" customHeight="1" x14ac:dyDescent="0.2"/>
    <row r="58835" ht="9.9499999999999993" hidden="1" customHeight="1" x14ac:dyDescent="0.2"/>
    <row r="58836" ht="9.9499999999999993" hidden="1" customHeight="1" x14ac:dyDescent="0.2"/>
    <row r="58837" ht="9.9499999999999993" hidden="1" customHeight="1" x14ac:dyDescent="0.2"/>
    <row r="58838" ht="9.9499999999999993" hidden="1" customHeight="1" x14ac:dyDescent="0.2"/>
    <row r="58839" ht="9.9499999999999993" hidden="1" customHeight="1" x14ac:dyDescent="0.2"/>
    <row r="58840" ht="9.9499999999999993" hidden="1" customHeight="1" x14ac:dyDescent="0.2"/>
    <row r="58841" ht="9.9499999999999993" hidden="1" customHeight="1" x14ac:dyDescent="0.2"/>
    <row r="58842" ht="9.9499999999999993" hidden="1" customHeight="1" x14ac:dyDescent="0.2"/>
    <row r="58843" ht="9.9499999999999993" hidden="1" customHeight="1" x14ac:dyDescent="0.2"/>
    <row r="58844" ht="9.9499999999999993" hidden="1" customHeight="1" x14ac:dyDescent="0.2"/>
    <row r="58845" ht="9.9499999999999993" hidden="1" customHeight="1" x14ac:dyDescent="0.2"/>
    <row r="58846" ht="9.9499999999999993" hidden="1" customHeight="1" x14ac:dyDescent="0.2"/>
    <row r="58847" ht="9.9499999999999993" hidden="1" customHeight="1" x14ac:dyDescent="0.2"/>
    <row r="58848" ht="9.9499999999999993" hidden="1" customHeight="1" x14ac:dyDescent="0.2"/>
    <row r="58849" ht="9.9499999999999993" hidden="1" customHeight="1" x14ac:dyDescent="0.2"/>
    <row r="58850" ht="9.9499999999999993" hidden="1" customHeight="1" x14ac:dyDescent="0.2"/>
    <row r="58851" ht="9.9499999999999993" hidden="1" customHeight="1" x14ac:dyDescent="0.2"/>
    <row r="58852" ht="9.9499999999999993" hidden="1" customHeight="1" x14ac:dyDescent="0.2"/>
    <row r="58853" ht="9.9499999999999993" hidden="1" customHeight="1" x14ac:dyDescent="0.2"/>
    <row r="58854" ht="9.9499999999999993" hidden="1" customHeight="1" x14ac:dyDescent="0.2"/>
    <row r="58855" ht="9.9499999999999993" hidden="1" customHeight="1" x14ac:dyDescent="0.2"/>
    <row r="58856" ht="9.9499999999999993" hidden="1" customHeight="1" x14ac:dyDescent="0.2"/>
    <row r="58857" ht="9.9499999999999993" hidden="1" customHeight="1" x14ac:dyDescent="0.2"/>
    <row r="58858" ht="9.9499999999999993" hidden="1" customHeight="1" x14ac:dyDescent="0.2"/>
    <row r="58859" ht="9.9499999999999993" hidden="1" customHeight="1" x14ac:dyDescent="0.2"/>
    <row r="58860" ht="9.9499999999999993" hidden="1" customHeight="1" x14ac:dyDescent="0.2"/>
    <row r="58861" ht="9.9499999999999993" hidden="1" customHeight="1" x14ac:dyDescent="0.2"/>
    <row r="58862" ht="9.9499999999999993" hidden="1" customHeight="1" x14ac:dyDescent="0.2"/>
    <row r="58863" ht="9.9499999999999993" hidden="1" customHeight="1" x14ac:dyDescent="0.2"/>
    <row r="58864" ht="9.9499999999999993" hidden="1" customHeight="1" x14ac:dyDescent="0.2"/>
    <row r="58865" ht="9.9499999999999993" hidden="1" customHeight="1" x14ac:dyDescent="0.2"/>
    <row r="58866" ht="9.9499999999999993" hidden="1" customHeight="1" x14ac:dyDescent="0.2"/>
    <row r="58867" ht="9.9499999999999993" hidden="1" customHeight="1" x14ac:dyDescent="0.2"/>
    <row r="58868" ht="9.9499999999999993" hidden="1" customHeight="1" x14ac:dyDescent="0.2"/>
    <row r="58869" ht="9.9499999999999993" hidden="1" customHeight="1" x14ac:dyDescent="0.2"/>
    <row r="58870" ht="9.9499999999999993" hidden="1" customHeight="1" x14ac:dyDescent="0.2"/>
    <row r="58871" ht="9.9499999999999993" hidden="1" customHeight="1" x14ac:dyDescent="0.2"/>
    <row r="58872" ht="9.9499999999999993" hidden="1" customHeight="1" x14ac:dyDescent="0.2"/>
    <row r="58873" ht="9.9499999999999993" hidden="1" customHeight="1" x14ac:dyDescent="0.2"/>
    <row r="58874" ht="9.9499999999999993" hidden="1" customHeight="1" x14ac:dyDescent="0.2"/>
    <row r="58875" ht="9.9499999999999993" hidden="1" customHeight="1" x14ac:dyDescent="0.2"/>
    <row r="58876" ht="9.9499999999999993" hidden="1" customHeight="1" x14ac:dyDescent="0.2"/>
    <row r="58877" ht="9.9499999999999993" hidden="1" customHeight="1" x14ac:dyDescent="0.2"/>
    <row r="58878" ht="9.9499999999999993" hidden="1" customHeight="1" x14ac:dyDescent="0.2"/>
    <row r="58879" ht="9.9499999999999993" hidden="1" customHeight="1" x14ac:dyDescent="0.2"/>
    <row r="58880" ht="9.9499999999999993" hidden="1" customHeight="1" x14ac:dyDescent="0.2"/>
    <row r="58881" ht="9.9499999999999993" hidden="1" customHeight="1" x14ac:dyDescent="0.2"/>
    <row r="58882" ht="9.9499999999999993" hidden="1" customHeight="1" x14ac:dyDescent="0.2"/>
    <row r="58883" ht="9.9499999999999993" hidden="1" customHeight="1" x14ac:dyDescent="0.2"/>
    <row r="58884" ht="9.9499999999999993" hidden="1" customHeight="1" x14ac:dyDescent="0.2"/>
    <row r="58885" ht="9.9499999999999993" hidden="1" customHeight="1" x14ac:dyDescent="0.2"/>
    <row r="58886" ht="9.9499999999999993" hidden="1" customHeight="1" x14ac:dyDescent="0.2"/>
    <row r="58887" ht="9.9499999999999993" hidden="1" customHeight="1" x14ac:dyDescent="0.2"/>
    <row r="58888" ht="9.9499999999999993" hidden="1" customHeight="1" x14ac:dyDescent="0.2"/>
    <row r="58889" ht="9.9499999999999993" hidden="1" customHeight="1" x14ac:dyDescent="0.2"/>
    <row r="58890" ht="9.9499999999999993" hidden="1" customHeight="1" x14ac:dyDescent="0.2"/>
    <row r="58891" ht="9.9499999999999993" hidden="1" customHeight="1" x14ac:dyDescent="0.2"/>
    <row r="58892" ht="9.9499999999999993" hidden="1" customHeight="1" x14ac:dyDescent="0.2"/>
    <row r="58893" ht="9.9499999999999993" hidden="1" customHeight="1" x14ac:dyDescent="0.2"/>
    <row r="58894" ht="9.9499999999999993" hidden="1" customHeight="1" x14ac:dyDescent="0.2"/>
    <row r="58895" ht="9.9499999999999993" hidden="1" customHeight="1" x14ac:dyDescent="0.2"/>
    <row r="58896" ht="9.9499999999999993" hidden="1" customHeight="1" x14ac:dyDescent="0.2"/>
    <row r="58897" ht="9.9499999999999993" hidden="1" customHeight="1" x14ac:dyDescent="0.2"/>
    <row r="58898" ht="9.9499999999999993" hidden="1" customHeight="1" x14ac:dyDescent="0.2"/>
    <row r="58899" ht="9.9499999999999993" hidden="1" customHeight="1" x14ac:dyDescent="0.2"/>
    <row r="58900" ht="9.9499999999999993" hidden="1" customHeight="1" x14ac:dyDescent="0.2"/>
    <row r="58901" ht="9.9499999999999993" hidden="1" customHeight="1" x14ac:dyDescent="0.2"/>
    <row r="58902" ht="9.9499999999999993" hidden="1" customHeight="1" x14ac:dyDescent="0.2"/>
    <row r="58903" ht="9.9499999999999993" hidden="1" customHeight="1" x14ac:dyDescent="0.2"/>
    <row r="58904" ht="9.9499999999999993" hidden="1" customHeight="1" x14ac:dyDescent="0.2"/>
    <row r="58905" ht="9.9499999999999993" hidden="1" customHeight="1" x14ac:dyDescent="0.2"/>
    <row r="58906" ht="9.9499999999999993" hidden="1" customHeight="1" x14ac:dyDescent="0.2"/>
    <row r="58907" ht="9.9499999999999993" hidden="1" customHeight="1" x14ac:dyDescent="0.2"/>
    <row r="58908" ht="9.9499999999999993" hidden="1" customHeight="1" x14ac:dyDescent="0.2"/>
    <row r="58909" ht="9.9499999999999993" hidden="1" customHeight="1" x14ac:dyDescent="0.2"/>
    <row r="58910" ht="9.9499999999999993" hidden="1" customHeight="1" x14ac:dyDescent="0.2"/>
    <row r="58911" ht="9.9499999999999993" hidden="1" customHeight="1" x14ac:dyDescent="0.2"/>
    <row r="58912" ht="9.9499999999999993" hidden="1" customHeight="1" x14ac:dyDescent="0.2"/>
    <row r="58913" ht="9.9499999999999993" hidden="1" customHeight="1" x14ac:dyDescent="0.2"/>
    <row r="58914" ht="9.9499999999999993" hidden="1" customHeight="1" x14ac:dyDescent="0.2"/>
    <row r="58915" ht="9.9499999999999993" hidden="1" customHeight="1" x14ac:dyDescent="0.2"/>
    <row r="58916" ht="9.9499999999999993" hidden="1" customHeight="1" x14ac:dyDescent="0.2"/>
    <row r="58917" ht="9.9499999999999993" hidden="1" customHeight="1" x14ac:dyDescent="0.2"/>
    <row r="58918" ht="9.9499999999999993" hidden="1" customHeight="1" x14ac:dyDescent="0.2"/>
    <row r="58919" ht="9.9499999999999993" hidden="1" customHeight="1" x14ac:dyDescent="0.2"/>
    <row r="58920" ht="9.9499999999999993" hidden="1" customHeight="1" x14ac:dyDescent="0.2"/>
    <row r="58921" ht="9.9499999999999993" hidden="1" customHeight="1" x14ac:dyDescent="0.2"/>
    <row r="58922" ht="9.9499999999999993" hidden="1" customHeight="1" x14ac:dyDescent="0.2"/>
    <row r="58923" ht="9.9499999999999993" hidden="1" customHeight="1" x14ac:dyDescent="0.2"/>
    <row r="58924" ht="9.9499999999999993" hidden="1" customHeight="1" x14ac:dyDescent="0.2"/>
    <row r="58925" ht="9.9499999999999993" hidden="1" customHeight="1" x14ac:dyDescent="0.2"/>
    <row r="58926" ht="9.9499999999999993" hidden="1" customHeight="1" x14ac:dyDescent="0.2"/>
    <row r="58927" ht="9.9499999999999993" hidden="1" customHeight="1" x14ac:dyDescent="0.2"/>
    <row r="58928" ht="9.9499999999999993" hidden="1" customHeight="1" x14ac:dyDescent="0.2"/>
    <row r="58929" ht="9.9499999999999993" hidden="1" customHeight="1" x14ac:dyDescent="0.2"/>
    <row r="58930" ht="9.9499999999999993" hidden="1" customHeight="1" x14ac:dyDescent="0.2"/>
    <row r="58931" ht="9.9499999999999993" hidden="1" customHeight="1" x14ac:dyDescent="0.2"/>
    <row r="58932" ht="9.9499999999999993" hidden="1" customHeight="1" x14ac:dyDescent="0.2"/>
    <row r="58933" ht="9.9499999999999993" hidden="1" customHeight="1" x14ac:dyDescent="0.2"/>
    <row r="58934" ht="9.9499999999999993" hidden="1" customHeight="1" x14ac:dyDescent="0.2"/>
    <row r="58935" ht="9.9499999999999993" hidden="1" customHeight="1" x14ac:dyDescent="0.2"/>
    <row r="58936" ht="9.9499999999999993" hidden="1" customHeight="1" x14ac:dyDescent="0.2"/>
    <row r="58937" ht="9.9499999999999993" hidden="1" customHeight="1" x14ac:dyDescent="0.2"/>
    <row r="58938" ht="9.9499999999999993" hidden="1" customHeight="1" x14ac:dyDescent="0.2"/>
    <row r="58939" ht="9.9499999999999993" hidden="1" customHeight="1" x14ac:dyDescent="0.2"/>
    <row r="58940" ht="9.9499999999999993" hidden="1" customHeight="1" x14ac:dyDescent="0.2"/>
    <row r="58941" ht="9.9499999999999993" hidden="1" customHeight="1" x14ac:dyDescent="0.2"/>
    <row r="58942" ht="9.9499999999999993" hidden="1" customHeight="1" x14ac:dyDescent="0.2"/>
    <row r="58943" ht="9.9499999999999993" hidden="1" customHeight="1" x14ac:dyDescent="0.2"/>
    <row r="58944" ht="9.9499999999999993" hidden="1" customHeight="1" x14ac:dyDescent="0.2"/>
    <row r="58945" ht="9.9499999999999993" hidden="1" customHeight="1" x14ac:dyDescent="0.2"/>
    <row r="58946" ht="9.9499999999999993" hidden="1" customHeight="1" x14ac:dyDescent="0.2"/>
    <row r="58947" ht="9.9499999999999993" hidden="1" customHeight="1" x14ac:dyDescent="0.2"/>
    <row r="58948" ht="9.9499999999999993" hidden="1" customHeight="1" x14ac:dyDescent="0.2"/>
    <row r="58949" ht="9.9499999999999993" hidden="1" customHeight="1" x14ac:dyDescent="0.2"/>
    <row r="58950" ht="9.9499999999999993" hidden="1" customHeight="1" x14ac:dyDescent="0.2"/>
    <row r="58951" ht="9.9499999999999993" hidden="1" customHeight="1" x14ac:dyDescent="0.2"/>
    <row r="58952" ht="9.9499999999999993" hidden="1" customHeight="1" x14ac:dyDescent="0.2"/>
    <row r="58953" ht="9.9499999999999993" hidden="1" customHeight="1" x14ac:dyDescent="0.2"/>
    <row r="58954" ht="9.9499999999999993" hidden="1" customHeight="1" x14ac:dyDescent="0.2"/>
    <row r="58955" ht="9.9499999999999993" hidden="1" customHeight="1" x14ac:dyDescent="0.2"/>
    <row r="58956" ht="9.9499999999999993" hidden="1" customHeight="1" x14ac:dyDescent="0.2"/>
    <row r="58957" ht="9.9499999999999993" hidden="1" customHeight="1" x14ac:dyDescent="0.2"/>
    <row r="58958" ht="9.9499999999999993" hidden="1" customHeight="1" x14ac:dyDescent="0.2"/>
    <row r="58959" ht="9.9499999999999993" hidden="1" customHeight="1" x14ac:dyDescent="0.2"/>
    <row r="58960" ht="9.9499999999999993" hidden="1" customHeight="1" x14ac:dyDescent="0.2"/>
    <row r="58961" ht="9.9499999999999993" hidden="1" customHeight="1" x14ac:dyDescent="0.2"/>
    <row r="58962" ht="9.9499999999999993" hidden="1" customHeight="1" x14ac:dyDescent="0.2"/>
    <row r="58963" ht="9.9499999999999993" hidden="1" customHeight="1" x14ac:dyDescent="0.2"/>
    <row r="58964" ht="9.9499999999999993" hidden="1" customHeight="1" x14ac:dyDescent="0.2"/>
    <row r="58965" ht="9.9499999999999993" hidden="1" customHeight="1" x14ac:dyDescent="0.2"/>
    <row r="58966" ht="9.9499999999999993" hidden="1" customHeight="1" x14ac:dyDescent="0.2"/>
    <row r="58967" ht="9.9499999999999993" hidden="1" customHeight="1" x14ac:dyDescent="0.2"/>
    <row r="58968" ht="9.9499999999999993" hidden="1" customHeight="1" x14ac:dyDescent="0.2"/>
    <row r="58969" ht="9.9499999999999993" hidden="1" customHeight="1" x14ac:dyDescent="0.2"/>
    <row r="58970" ht="9.9499999999999993" hidden="1" customHeight="1" x14ac:dyDescent="0.2"/>
    <row r="58971" ht="9.9499999999999993" hidden="1" customHeight="1" x14ac:dyDescent="0.2"/>
    <row r="58972" ht="9.9499999999999993" hidden="1" customHeight="1" x14ac:dyDescent="0.2"/>
    <row r="58973" ht="9.9499999999999993" hidden="1" customHeight="1" x14ac:dyDescent="0.2"/>
    <row r="58974" ht="9.9499999999999993" hidden="1" customHeight="1" x14ac:dyDescent="0.2"/>
    <row r="58975" ht="9.9499999999999993" hidden="1" customHeight="1" x14ac:dyDescent="0.2"/>
    <row r="58976" ht="9.9499999999999993" hidden="1" customHeight="1" x14ac:dyDescent="0.2"/>
    <row r="58977" ht="9.9499999999999993" hidden="1" customHeight="1" x14ac:dyDescent="0.2"/>
    <row r="58978" ht="9.9499999999999993" hidden="1" customHeight="1" x14ac:dyDescent="0.2"/>
    <row r="58979" ht="9.9499999999999993" hidden="1" customHeight="1" x14ac:dyDescent="0.2"/>
    <row r="58980" ht="9.9499999999999993" hidden="1" customHeight="1" x14ac:dyDescent="0.2"/>
    <row r="58981" ht="9.9499999999999993" hidden="1" customHeight="1" x14ac:dyDescent="0.2"/>
    <row r="58982" ht="9.9499999999999993" hidden="1" customHeight="1" x14ac:dyDescent="0.2"/>
    <row r="58983" ht="9.9499999999999993" hidden="1" customHeight="1" x14ac:dyDescent="0.2"/>
    <row r="58984" ht="9.9499999999999993" hidden="1" customHeight="1" x14ac:dyDescent="0.2"/>
    <row r="58985" ht="9.9499999999999993" hidden="1" customHeight="1" x14ac:dyDescent="0.2"/>
    <row r="58986" ht="9.9499999999999993" hidden="1" customHeight="1" x14ac:dyDescent="0.2"/>
    <row r="58987" ht="9.9499999999999993" hidden="1" customHeight="1" x14ac:dyDescent="0.2"/>
    <row r="58988" ht="9.9499999999999993" hidden="1" customHeight="1" x14ac:dyDescent="0.2"/>
    <row r="58989" ht="9.9499999999999993" hidden="1" customHeight="1" x14ac:dyDescent="0.2"/>
    <row r="58990" ht="9.9499999999999993" hidden="1" customHeight="1" x14ac:dyDescent="0.2"/>
    <row r="58991" ht="9.9499999999999993" hidden="1" customHeight="1" x14ac:dyDescent="0.2"/>
    <row r="58992" ht="9.9499999999999993" hidden="1" customHeight="1" x14ac:dyDescent="0.2"/>
    <row r="58993" ht="9.9499999999999993" hidden="1" customHeight="1" x14ac:dyDescent="0.2"/>
    <row r="58994" ht="9.9499999999999993" hidden="1" customHeight="1" x14ac:dyDescent="0.2"/>
    <row r="58995" ht="9.9499999999999993" hidden="1" customHeight="1" x14ac:dyDescent="0.2"/>
    <row r="58996" ht="9.9499999999999993" hidden="1" customHeight="1" x14ac:dyDescent="0.2"/>
    <row r="58997" ht="9.9499999999999993" hidden="1" customHeight="1" x14ac:dyDescent="0.2"/>
    <row r="58998" ht="9.9499999999999993" hidden="1" customHeight="1" x14ac:dyDescent="0.2"/>
    <row r="58999" ht="9.9499999999999993" hidden="1" customHeight="1" x14ac:dyDescent="0.2"/>
    <row r="59000" ht="9.9499999999999993" hidden="1" customHeight="1" x14ac:dyDescent="0.2"/>
    <row r="59001" ht="9.9499999999999993" hidden="1" customHeight="1" x14ac:dyDescent="0.2"/>
    <row r="59002" ht="9.9499999999999993" hidden="1" customHeight="1" x14ac:dyDescent="0.2"/>
    <row r="59003" ht="9.9499999999999993" hidden="1" customHeight="1" x14ac:dyDescent="0.2"/>
    <row r="59004" ht="9.9499999999999993" hidden="1" customHeight="1" x14ac:dyDescent="0.2"/>
    <row r="59005" ht="9.9499999999999993" hidden="1" customHeight="1" x14ac:dyDescent="0.2"/>
    <row r="59006" ht="9.9499999999999993" hidden="1" customHeight="1" x14ac:dyDescent="0.2"/>
    <row r="59007" ht="9.9499999999999993" hidden="1" customHeight="1" x14ac:dyDescent="0.2"/>
    <row r="59008" ht="9.9499999999999993" hidden="1" customHeight="1" x14ac:dyDescent="0.2"/>
    <row r="59009" ht="9.9499999999999993" hidden="1" customHeight="1" x14ac:dyDescent="0.2"/>
    <row r="59010" ht="9.9499999999999993" hidden="1" customHeight="1" x14ac:dyDescent="0.2"/>
    <row r="59011" ht="9.9499999999999993" hidden="1" customHeight="1" x14ac:dyDescent="0.2"/>
    <row r="59012" ht="9.9499999999999993" hidden="1" customHeight="1" x14ac:dyDescent="0.2"/>
    <row r="59013" ht="9.9499999999999993" hidden="1" customHeight="1" x14ac:dyDescent="0.2"/>
    <row r="59014" ht="9.9499999999999993" hidden="1" customHeight="1" x14ac:dyDescent="0.2"/>
    <row r="59015" ht="9.9499999999999993" hidden="1" customHeight="1" x14ac:dyDescent="0.2"/>
    <row r="59016" ht="9.9499999999999993" hidden="1" customHeight="1" x14ac:dyDescent="0.2"/>
    <row r="59017" ht="9.9499999999999993" hidden="1" customHeight="1" x14ac:dyDescent="0.2"/>
    <row r="59018" ht="9.9499999999999993" hidden="1" customHeight="1" x14ac:dyDescent="0.2"/>
    <row r="59019" ht="9.9499999999999993" hidden="1" customHeight="1" x14ac:dyDescent="0.2"/>
    <row r="59020" ht="9.9499999999999993" hidden="1" customHeight="1" x14ac:dyDescent="0.2"/>
    <row r="59021" ht="9.9499999999999993" hidden="1" customHeight="1" x14ac:dyDescent="0.2"/>
    <row r="59022" ht="9.9499999999999993" hidden="1" customHeight="1" x14ac:dyDescent="0.2"/>
    <row r="59023" ht="9.9499999999999993" hidden="1" customHeight="1" x14ac:dyDescent="0.2"/>
    <row r="59024" ht="9.9499999999999993" hidden="1" customHeight="1" x14ac:dyDescent="0.2"/>
    <row r="59025" ht="9.9499999999999993" hidden="1" customHeight="1" x14ac:dyDescent="0.2"/>
    <row r="59026" ht="9.9499999999999993" hidden="1" customHeight="1" x14ac:dyDescent="0.2"/>
    <row r="59027" ht="9.9499999999999993" hidden="1" customHeight="1" x14ac:dyDescent="0.2"/>
    <row r="59028" ht="9.9499999999999993" hidden="1" customHeight="1" x14ac:dyDescent="0.2"/>
    <row r="59029" ht="9.9499999999999993" hidden="1" customHeight="1" x14ac:dyDescent="0.2"/>
    <row r="59030" ht="9.9499999999999993" hidden="1" customHeight="1" x14ac:dyDescent="0.2"/>
    <row r="59031" ht="9.9499999999999993" hidden="1" customHeight="1" x14ac:dyDescent="0.2"/>
    <row r="59032" ht="9.9499999999999993" hidden="1" customHeight="1" x14ac:dyDescent="0.2"/>
    <row r="59033" ht="9.9499999999999993" hidden="1" customHeight="1" x14ac:dyDescent="0.2"/>
    <row r="59034" ht="9.9499999999999993" hidden="1" customHeight="1" x14ac:dyDescent="0.2"/>
    <row r="59035" ht="9.9499999999999993" hidden="1" customHeight="1" x14ac:dyDescent="0.2"/>
    <row r="59036" ht="9.9499999999999993" hidden="1" customHeight="1" x14ac:dyDescent="0.2"/>
    <row r="59037" ht="9.9499999999999993" hidden="1" customHeight="1" x14ac:dyDescent="0.2"/>
    <row r="59038" ht="9.9499999999999993" hidden="1" customHeight="1" x14ac:dyDescent="0.2"/>
    <row r="59039" ht="9.9499999999999993" hidden="1" customHeight="1" x14ac:dyDescent="0.2"/>
    <row r="59040" ht="9.9499999999999993" hidden="1" customHeight="1" x14ac:dyDescent="0.2"/>
    <row r="59041" ht="9.9499999999999993" hidden="1" customHeight="1" x14ac:dyDescent="0.2"/>
    <row r="59042" ht="9.9499999999999993" hidden="1" customHeight="1" x14ac:dyDescent="0.2"/>
    <row r="59043" ht="9.9499999999999993" hidden="1" customHeight="1" x14ac:dyDescent="0.2"/>
    <row r="59044" ht="9.9499999999999993" hidden="1" customHeight="1" x14ac:dyDescent="0.2"/>
    <row r="59045" ht="9.9499999999999993" hidden="1" customHeight="1" x14ac:dyDescent="0.2"/>
    <row r="59046" ht="9.9499999999999993" hidden="1" customHeight="1" x14ac:dyDescent="0.2"/>
    <row r="59047" ht="9.9499999999999993" hidden="1" customHeight="1" x14ac:dyDescent="0.2"/>
    <row r="59048" ht="9.9499999999999993" hidden="1" customHeight="1" x14ac:dyDescent="0.2"/>
    <row r="59049" ht="9.9499999999999993" hidden="1" customHeight="1" x14ac:dyDescent="0.2"/>
    <row r="59050" ht="9.9499999999999993" hidden="1" customHeight="1" x14ac:dyDescent="0.2"/>
    <row r="59051" ht="9.9499999999999993" hidden="1" customHeight="1" x14ac:dyDescent="0.2"/>
    <row r="59052" ht="9.9499999999999993" hidden="1" customHeight="1" x14ac:dyDescent="0.2"/>
    <row r="59053" ht="9.9499999999999993" hidden="1" customHeight="1" x14ac:dyDescent="0.2"/>
    <row r="59054" ht="9.9499999999999993" hidden="1" customHeight="1" x14ac:dyDescent="0.2"/>
    <row r="59055" ht="9.9499999999999993" hidden="1" customHeight="1" x14ac:dyDescent="0.2"/>
    <row r="59056" ht="9.9499999999999993" hidden="1" customHeight="1" x14ac:dyDescent="0.2"/>
    <row r="59057" ht="9.9499999999999993" hidden="1" customHeight="1" x14ac:dyDescent="0.2"/>
    <row r="59058" ht="9.9499999999999993" hidden="1" customHeight="1" x14ac:dyDescent="0.2"/>
    <row r="59059" ht="9.9499999999999993" hidden="1" customHeight="1" x14ac:dyDescent="0.2"/>
    <row r="59060" ht="9.9499999999999993" hidden="1" customHeight="1" x14ac:dyDescent="0.2"/>
    <row r="59061" ht="9.9499999999999993" hidden="1" customHeight="1" x14ac:dyDescent="0.2"/>
    <row r="59062" ht="9.9499999999999993" hidden="1" customHeight="1" x14ac:dyDescent="0.2"/>
    <row r="59063" ht="9.9499999999999993" hidden="1" customHeight="1" x14ac:dyDescent="0.2"/>
    <row r="59064" ht="9.9499999999999993" hidden="1" customHeight="1" x14ac:dyDescent="0.2"/>
    <row r="59065" ht="9.9499999999999993" hidden="1" customHeight="1" x14ac:dyDescent="0.2"/>
    <row r="59066" ht="9.9499999999999993" hidden="1" customHeight="1" x14ac:dyDescent="0.2"/>
    <row r="59067" ht="9.9499999999999993" hidden="1" customHeight="1" x14ac:dyDescent="0.2"/>
    <row r="59068" ht="9.9499999999999993" hidden="1" customHeight="1" x14ac:dyDescent="0.2"/>
    <row r="59069" ht="9.9499999999999993" hidden="1" customHeight="1" x14ac:dyDescent="0.2"/>
    <row r="59070" ht="9.9499999999999993" hidden="1" customHeight="1" x14ac:dyDescent="0.2"/>
    <row r="59071" ht="9.9499999999999993" hidden="1" customHeight="1" x14ac:dyDescent="0.2"/>
    <row r="59072" ht="9.9499999999999993" hidden="1" customHeight="1" x14ac:dyDescent="0.2"/>
    <row r="59073" ht="9.9499999999999993" hidden="1" customHeight="1" x14ac:dyDescent="0.2"/>
    <row r="59074" ht="9.9499999999999993" hidden="1" customHeight="1" x14ac:dyDescent="0.2"/>
    <row r="59075" ht="9.9499999999999993" hidden="1" customHeight="1" x14ac:dyDescent="0.2"/>
    <row r="59076" ht="9.9499999999999993" hidden="1" customHeight="1" x14ac:dyDescent="0.2"/>
    <row r="59077" ht="9.9499999999999993" hidden="1" customHeight="1" x14ac:dyDescent="0.2"/>
    <row r="59078" ht="9.9499999999999993" hidden="1" customHeight="1" x14ac:dyDescent="0.2"/>
    <row r="59079" ht="9.9499999999999993" hidden="1" customHeight="1" x14ac:dyDescent="0.2"/>
    <row r="59080" ht="9.9499999999999993" hidden="1" customHeight="1" x14ac:dyDescent="0.2"/>
    <row r="59081" ht="9.9499999999999993" hidden="1" customHeight="1" x14ac:dyDescent="0.2"/>
    <row r="59082" ht="9.9499999999999993" hidden="1" customHeight="1" x14ac:dyDescent="0.2"/>
    <row r="59083" ht="9.9499999999999993" hidden="1" customHeight="1" x14ac:dyDescent="0.2"/>
    <row r="59084" ht="9.9499999999999993" hidden="1" customHeight="1" x14ac:dyDescent="0.2"/>
    <row r="59085" ht="9.9499999999999993" hidden="1" customHeight="1" x14ac:dyDescent="0.2"/>
    <row r="59086" ht="9.9499999999999993" hidden="1" customHeight="1" x14ac:dyDescent="0.2"/>
    <row r="59087" ht="9.9499999999999993" hidden="1" customHeight="1" x14ac:dyDescent="0.2"/>
    <row r="59088" ht="9.9499999999999993" hidden="1" customHeight="1" x14ac:dyDescent="0.2"/>
    <row r="59089" ht="9.9499999999999993" hidden="1" customHeight="1" x14ac:dyDescent="0.2"/>
    <row r="59090" ht="9.9499999999999993" hidden="1" customHeight="1" x14ac:dyDescent="0.2"/>
    <row r="59091" ht="9.9499999999999993" hidden="1" customHeight="1" x14ac:dyDescent="0.2"/>
    <row r="59092" ht="9.9499999999999993" hidden="1" customHeight="1" x14ac:dyDescent="0.2"/>
    <row r="59093" ht="9.9499999999999993" hidden="1" customHeight="1" x14ac:dyDescent="0.2"/>
    <row r="59094" ht="9.9499999999999993" hidden="1" customHeight="1" x14ac:dyDescent="0.2"/>
    <row r="59095" ht="9.9499999999999993" hidden="1" customHeight="1" x14ac:dyDescent="0.2"/>
    <row r="59096" ht="9.9499999999999993" hidden="1" customHeight="1" x14ac:dyDescent="0.2"/>
    <row r="59097" ht="9.9499999999999993" hidden="1" customHeight="1" x14ac:dyDescent="0.2"/>
    <row r="59098" ht="9.9499999999999993" hidden="1" customHeight="1" x14ac:dyDescent="0.2"/>
    <row r="59099" ht="9.9499999999999993" hidden="1" customHeight="1" x14ac:dyDescent="0.2"/>
    <row r="59100" ht="9.9499999999999993" hidden="1" customHeight="1" x14ac:dyDescent="0.2"/>
    <row r="59101" ht="9.9499999999999993" hidden="1" customHeight="1" x14ac:dyDescent="0.2"/>
    <row r="59102" ht="9.9499999999999993" hidden="1" customHeight="1" x14ac:dyDescent="0.2"/>
    <row r="59103" ht="9.9499999999999993" hidden="1" customHeight="1" x14ac:dyDescent="0.2"/>
    <row r="59104" ht="9.9499999999999993" hidden="1" customHeight="1" x14ac:dyDescent="0.2"/>
    <row r="59105" ht="9.9499999999999993" hidden="1" customHeight="1" x14ac:dyDescent="0.2"/>
    <row r="59106" ht="9.9499999999999993" hidden="1" customHeight="1" x14ac:dyDescent="0.2"/>
    <row r="59107" ht="9.9499999999999993" hidden="1" customHeight="1" x14ac:dyDescent="0.2"/>
    <row r="59108" ht="9.9499999999999993" hidden="1" customHeight="1" x14ac:dyDescent="0.2"/>
    <row r="59109" ht="9.9499999999999993" hidden="1" customHeight="1" x14ac:dyDescent="0.2"/>
    <row r="59110" ht="9.9499999999999993" hidden="1" customHeight="1" x14ac:dyDescent="0.2"/>
    <row r="59111" ht="9.9499999999999993" hidden="1" customHeight="1" x14ac:dyDescent="0.2"/>
    <row r="59112" ht="9.9499999999999993" hidden="1" customHeight="1" x14ac:dyDescent="0.2"/>
    <row r="59113" ht="9.9499999999999993" hidden="1" customHeight="1" x14ac:dyDescent="0.2"/>
    <row r="59114" ht="9.9499999999999993" hidden="1" customHeight="1" x14ac:dyDescent="0.2"/>
    <row r="59115" ht="9.9499999999999993" hidden="1" customHeight="1" x14ac:dyDescent="0.2"/>
    <row r="59116" ht="9.9499999999999993" hidden="1" customHeight="1" x14ac:dyDescent="0.2"/>
    <row r="59117" ht="9.9499999999999993" hidden="1" customHeight="1" x14ac:dyDescent="0.2"/>
    <row r="59118" ht="9.9499999999999993" hidden="1" customHeight="1" x14ac:dyDescent="0.2"/>
    <row r="59119" ht="9.9499999999999993" hidden="1" customHeight="1" x14ac:dyDescent="0.2"/>
    <row r="59120" ht="9.9499999999999993" hidden="1" customHeight="1" x14ac:dyDescent="0.2"/>
    <row r="59121" ht="9.9499999999999993" hidden="1" customHeight="1" x14ac:dyDescent="0.2"/>
    <row r="59122" ht="9.9499999999999993" hidden="1" customHeight="1" x14ac:dyDescent="0.2"/>
    <row r="59123" ht="9.9499999999999993" hidden="1" customHeight="1" x14ac:dyDescent="0.2"/>
    <row r="59124" ht="9.9499999999999993" hidden="1" customHeight="1" x14ac:dyDescent="0.2"/>
    <row r="59125" ht="9.9499999999999993" hidden="1" customHeight="1" x14ac:dyDescent="0.2"/>
    <row r="59126" ht="9.9499999999999993" hidden="1" customHeight="1" x14ac:dyDescent="0.2"/>
    <row r="59127" ht="9.9499999999999993" hidden="1" customHeight="1" x14ac:dyDescent="0.2"/>
    <row r="59128" ht="9.9499999999999993" hidden="1" customHeight="1" x14ac:dyDescent="0.2"/>
    <row r="59129" ht="9.9499999999999993" hidden="1" customHeight="1" x14ac:dyDescent="0.2"/>
    <row r="59130" ht="9.9499999999999993" hidden="1" customHeight="1" x14ac:dyDescent="0.2"/>
    <row r="59131" ht="9.9499999999999993" hidden="1" customHeight="1" x14ac:dyDescent="0.2"/>
    <row r="59132" ht="9.9499999999999993" hidden="1" customHeight="1" x14ac:dyDescent="0.2"/>
    <row r="59133" ht="9.9499999999999993" hidden="1" customHeight="1" x14ac:dyDescent="0.2"/>
    <row r="59134" ht="9.9499999999999993" hidden="1" customHeight="1" x14ac:dyDescent="0.2"/>
    <row r="59135" ht="9.9499999999999993" hidden="1" customHeight="1" x14ac:dyDescent="0.2"/>
    <row r="59136" ht="9.9499999999999993" hidden="1" customHeight="1" x14ac:dyDescent="0.2"/>
    <row r="59137" ht="9.9499999999999993" hidden="1" customHeight="1" x14ac:dyDescent="0.2"/>
    <row r="59138" ht="9.9499999999999993" hidden="1" customHeight="1" x14ac:dyDescent="0.2"/>
    <row r="59139" ht="9.9499999999999993" hidden="1" customHeight="1" x14ac:dyDescent="0.2"/>
    <row r="59140" ht="9.9499999999999993" hidden="1" customHeight="1" x14ac:dyDescent="0.2"/>
    <row r="59141" ht="9.9499999999999993" hidden="1" customHeight="1" x14ac:dyDescent="0.2"/>
    <row r="59142" ht="9.9499999999999993" hidden="1" customHeight="1" x14ac:dyDescent="0.2"/>
    <row r="59143" ht="9.9499999999999993" hidden="1" customHeight="1" x14ac:dyDescent="0.2"/>
    <row r="59144" ht="9.9499999999999993" hidden="1" customHeight="1" x14ac:dyDescent="0.2"/>
    <row r="59145" ht="9.9499999999999993" hidden="1" customHeight="1" x14ac:dyDescent="0.2"/>
    <row r="59146" ht="9.9499999999999993" hidden="1" customHeight="1" x14ac:dyDescent="0.2"/>
    <row r="59147" ht="9.9499999999999993" hidden="1" customHeight="1" x14ac:dyDescent="0.2"/>
    <row r="59148" ht="9.9499999999999993" hidden="1" customHeight="1" x14ac:dyDescent="0.2"/>
    <row r="59149" ht="9.9499999999999993" hidden="1" customHeight="1" x14ac:dyDescent="0.2"/>
    <row r="59150" ht="9.9499999999999993" hidden="1" customHeight="1" x14ac:dyDescent="0.2"/>
    <row r="59151" ht="9.9499999999999993" hidden="1" customHeight="1" x14ac:dyDescent="0.2"/>
    <row r="59152" ht="9.9499999999999993" hidden="1" customHeight="1" x14ac:dyDescent="0.2"/>
    <row r="59153" ht="9.9499999999999993" hidden="1" customHeight="1" x14ac:dyDescent="0.2"/>
    <row r="59154" ht="9.9499999999999993" hidden="1" customHeight="1" x14ac:dyDescent="0.2"/>
    <row r="59155" ht="9.9499999999999993" hidden="1" customHeight="1" x14ac:dyDescent="0.2"/>
    <row r="59156" ht="9.9499999999999993" hidden="1" customHeight="1" x14ac:dyDescent="0.2"/>
    <row r="59157" ht="9.9499999999999993" hidden="1" customHeight="1" x14ac:dyDescent="0.2"/>
    <row r="59158" ht="9.9499999999999993" hidden="1" customHeight="1" x14ac:dyDescent="0.2"/>
    <row r="59159" ht="9.9499999999999993" hidden="1" customHeight="1" x14ac:dyDescent="0.2"/>
    <row r="59160" ht="9.9499999999999993" hidden="1" customHeight="1" x14ac:dyDescent="0.2"/>
    <row r="59161" ht="9.9499999999999993" hidden="1" customHeight="1" x14ac:dyDescent="0.2"/>
    <row r="59162" ht="9.9499999999999993" hidden="1" customHeight="1" x14ac:dyDescent="0.2"/>
    <row r="59163" ht="9.9499999999999993" hidden="1" customHeight="1" x14ac:dyDescent="0.2"/>
    <row r="59164" ht="9.9499999999999993" hidden="1" customHeight="1" x14ac:dyDescent="0.2"/>
    <row r="59165" ht="9.9499999999999993" hidden="1" customHeight="1" x14ac:dyDescent="0.2"/>
    <row r="59166" ht="9.9499999999999993" hidden="1" customHeight="1" x14ac:dyDescent="0.2"/>
    <row r="59167" ht="9.9499999999999993" hidden="1" customHeight="1" x14ac:dyDescent="0.2"/>
    <row r="59168" ht="9.9499999999999993" hidden="1" customHeight="1" x14ac:dyDescent="0.2"/>
    <row r="59169" ht="9.9499999999999993" hidden="1" customHeight="1" x14ac:dyDescent="0.2"/>
    <row r="59170" ht="9.9499999999999993" hidden="1" customHeight="1" x14ac:dyDescent="0.2"/>
    <row r="59171" ht="9.9499999999999993" hidden="1" customHeight="1" x14ac:dyDescent="0.2"/>
    <row r="59172" ht="9.9499999999999993" hidden="1" customHeight="1" x14ac:dyDescent="0.2"/>
    <row r="59173" ht="9.9499999999999993" hidden="1" customHeight="1" x14ac:dyDescent="0.2"/>
    <row r="59174" ht="9.9499999999999993" hidden="1" customHeight="1" x14ac:dyDescent="0.2"/>
    <row r="59175" ht="9.9499999999999993" hidden="1" customHeight="1" x14ac:dyDescent="0.2"/>
    <row r="59176" ht="9.9499999999999993" hidden="1" customHeight="1" x14ac:dyDescent="0.2"/>
    <row r="59177" ht="9.9499999999999993" hidden="1" customHeight="1" x14ac:dyDescent="0.2"/>
    <row r="59178" ht="9.9499999999999993" hidden="1" customHeight="1" x14ac:dyDescent="0.2"/>
    <row r="59179" ht="9.9499999999999993" hidden="1" customHeight="1" x14ac:dyDescent="0.2"/>
    <row r="59180" ht="9.9499999999999993" hidden="1" customHeight="1" x14ac:dyDescent="0.2"/>
    <row r="59181" ht="9.9499999999999993" hidden="1" customHeight="1" x14ac:dyDescent="0.2"/>
    <row r="59182" ht="9.9499999999999993" hidden="1" customHeight="1" x14ac:dyDescent="0.2"/>
    <row r="59183" ht="9.9499999999999993" hidden="1" customHeight="1" x14ac:dyDescent="0.2"/>
    <row r="59184" ht="9.9499999999999993" hidden="1" customHeight="1" x14ac:dyDescent="0.2"/>
    <row r="59185" ht="9.9499999999999993" hidden="1" customHeight="1" x14ac:dyDescent="0.2"/>
    <row r="59186" ht="9.9499999999999993" hidden="1" customHeight="1" x14ac:dyDescent="0.2"/>
    <row r="59187" ht="9.9499999999999993" hidden="1" customHeight="1" x14ac:dyDescent="0.2"/>
    <row r="59188" ht="9.9499999999999993" hidden="1" customHeight="1" x14ac:dyDescent="0.2"/>
    <row r="59189" ht="9.9499999999999993" hidden="1" customHeight="1" x14ac:dyDescent="0.2"/>
    <row r="59190" ht="9.9499999999999993" hidden="1" customHeight="1" x14ac:dyDescent="0.2"/>
    <row r="59191" ht="9.9499999999999993" hidden="1" customHeight="1" x14ac:dyDescent="0.2"/>
    <row r="59192" ht="9.9499999999999993" hidden="1" customHeight="1" x14ac:dyDescent="0.2"/>
    <row r="59193" ht="9.9499999999999993" hidden="1" customHeight="1" x14ac:dyDescent="0.2"/>
    <row r="59194" ht="9.9499999999999993" hidden="1" customHeight="1" x14ac:dyDescent="0.2"/>
    <row r="59195" ht="9.9499999999999993" hidden="1" customHeight="1" x14ac:dyDescent="0.2"/>
    <row r="59196" ht="9.9499999999999993" hidden="1" customHeight="1" x14ac:dyDescent="0.2"/>
    <row r="59197" ht="9.9499999999999993" hidden="1" customHeight="1" x14ac:dyDescent="0.2"/>
    <row r="59198" ht="9.9499999999999993" hidden="1" customHeight="1" x14ac:dyDescent="0.2"/>
    <row r="59199" ht="9.9499999999999993" hidden="1" customHeight="1" x14ac:dyDescent="0.2"/>
    <row r="59200" ht="9.9499999999999993" hidden="1" customHeight="1" x14ac:dyDescent="0.2"/>
    <row r="59201" ht="9.9499999999999993" hidden="1" customHeight="1" x14ac:dyDescent="0.2"/>
    <row r="59202" ht="9.9499999999999993" hidden="1" customHeight="1" x14ac:dyDescent="0.2"/>
    <row r="59203" ht="9.9499999999999993" hidden="1" customHeight="1" x14ac:dyDescent="0.2"/>
    <row r="59204" ht="9.9499999999999993" hidden="1" customHeight="1" x14ac:dyDescent="0.2"/>
    <row r="59205" ht="9.9499999999999993" hidden="1" customHeight="1" x14ac:dyDescent="0.2"/>
    <row r="59206" ht="9.9499999999999993" hidden="1" customHeight="1" x14ac:dyDescent="0.2"/>
    <row r="59207" ht="9.9499999999999993" hidden="1" customHeight="1" x14ac:dyDescent="0.2"/>
    <row r="59208" ht="9.9499999999999993" hidden="1" customHeight="1" x14ac:dyDescent="0.2"/>
    <row r="59209" ht="9.9499999999999993" hidden="1" customHeight="1" x14ac:dyDescent="0.2"/>
    <row r="59210" ht="9.9499999999999993" hidden="1" customHeight="1" x14ac:dyDescent="0.2"/>
    <row r="59211" ht="9.9499999999999993" hidden="1" customHeight="1" x14ac:dyDescent="0.2"/>
    <row r="59212" ht="9.9499999999999993" hidden="1" customHeight="1" x14ac:dyDescent="0.2"/>
    <row r="59213" ht="9.9499999999999993" hidden="1" customHeight="1" x14ac:dyDescent="0.2"/>
    <row r="59214" ht="9.9499999999999993" hidden="1" customHeight="1" x14ac:dyDescent="0.2"/>
    <row r="59215" ht="9.9499999999999993" hidden="1" customHeight="1" x14ac:dyDescent="0.2"/>
    <row r="59216" ht="9.9499999999999993" hidden="1" customHeight="1" x14ac:dyDescent="0.2"/>
    <row r="59217" ht="9.9499999999999993" hidden="1" customHeight="1" x14ac:dyDescent="0.2"/>
    <row r="59218" ht="9.9499999999999993" hidden="1" customHeight="1" x14ac:dyDescent="0.2"/>
    <row r="59219" ht="9.9499999999999993" hidden="1" customHeight="1" x14ac:dyDescent="0.2"/>
    <row r="59220" ht="9.9499999999999993" hidden="1" customHeight="1" x14ac:dyDescent="0.2"/>
    <row r="59221" ht="9.9499999999999993" hidden="1" customHeight="1" x14ac:dyDescent="0.2"/>
    <row r="59222" ht="9.9499999999999993" hidden="1" customHeight="1" x14ac:dyDescent="0.2"/>
    <row r="59223" ht="9.9499999999999993" hidden="1" customHeight="1" x14ac:dyDescent="0.2"/>
    <row r="59224" ht="9.9499999999999993" hidden="1" customHeight="1" x14ac:dyDescent="0.2"/>
    <row r="59225" ht="9.9499999999999993" hidden="1" customHeight="1" x14ac:dyDescent="0.2"/>
    <row r="59226" ht="9.9499999999999993" hidden="1" customHeight="1" x14ac:dyDescent="0.2"/>
    <row r="59227" ht="9.9499999999999993" hidden="1" customHeight="1" x14ac:dyDescent="0.2"/>
    <row r="59228" ht="9.9499999999999993" hidden="1" customHeight="1" x14ac:dyDescent="0.2"/>
    <row r="59229" ht="9.9499999999999993" hidden="1" customHeight="1" x14ac:dyDescent="0.2"/>
    <row r="59230" ht="9.9499999999999993" hidden="1" customHeight="1" x14ac:dyDescent="0.2"/>
    <row r="59231" ht="9.9499999999999993" hidden="1" customHeight="1" x14ac:dyDescent="0.2"/>
    <row r="59232" ht="9.9499999999999993" hidden="1" customHeight="1" x14ac:dyDescent="0.2"/>
    <row r="59233" ht="9.9499999999999993" hidden="1" customHeight="1" x14ac:dyDescent="0.2"/>
    <row r="59234" ht="9.9499999999999993" hidden="1" customHeight="1" x14ac:dyDescent="0.2"/>
    <row r="59235" ht="9.9499999999999993" hidden="1" customHeight="1" x14ac:dyDescent="0.2"/>
    <row r="59236" ht="9.9499999999999993" hidden="1" customHeight="1" x14ac:dyDescent="0.2"/>
    <row r="59237" ht="9.9499999999999993" hidden="1" customHeight="1" x14ac:dyDescent="0.2"/>
    <row r="59238" ht="9.9499999999999993" hidden="1" customHeight="1" x14ac:dyDescent="0.2"/>
    <row r="59239" ht="9.9499999999999993" hidden="1" customHeight="1" x14ac:dyDescent="0.2"/>
    <row r="59240" ht="9.9499999999999993" hidden="1" customHeight="1" x14ac:dyDescent="0.2"/>
    <row r="59241" ht="9.9499999999999993" hidden="1" customHeight="1" x14ac:dyDescent="0.2"/>
    <row r="59242" ht="9.9499999999999993" hidden="1" customHeight="1" x14ac:dyDescent="0.2"/>
    <row r="59243" ht="9.9499999999999993" hidden="1" customHeight="1" x14ac:dyDescent="0.2"/>
    <row r="59244" ht="9.9499999999999993" hidden="1" customHeight="1" x14ac:dyDescent="0.2"/>
    <row r="59245" ht="9.9499999999999993" hidden="1" customHeight="1" x14ac:dyDescent="0.2"/>
    <row r="59246" ht="9.9499999999999993" hidden="1" customHeight="1" x14ac:dyDescent="0.2"/>
    <row r="59247" ht="9.9499999999999993" hidden="1" customHeight="1" x14ac:dyDescent="0.2"/>
    <row r="59248" ht="9.9499999999999993" hidden="1" customHeight="1" x14ac:dyDescent="0.2"/>
    <row r="59249" ht="9.9499999999999993" hidden="1" customHeight="1" x14ac:dyDescent="0.2"/>
    <row r="59250" ht="9.9499999999999993" hidden="1" customHeight="1" x14ac:dyDescent="0.2"/>
    <row r="59251" ht="9.9499999999999993" hidden="1" customHeight="1" x14ac:dyDescent="0.2"/>
    <row r="59252" ht="9.9499999999999993" hidden="1" customHeight="1" x14ac:dyDescent="0.2"/>
    <row r="59253" ht="9.9499999999999993" hidden="1" customHeight="1" x14ac:dyDescent="0.2"/>
    <row r="59254" ht="9.9499999999999993" hidden="1" customHeight="1" x14ac:dyDescent="0.2"/>
    <row r="59255" ht="9.9499999999999993" hidden="1" customHeight="1" x14ac:dyDescent="0.2"/>
    <row r="59256" ht="9.9499999999999993" hidden="1" customHeight="1" x14ac:dyDescent="0.2"/>
    <row r="59257" ht="9.9499999999999993" hidden="1" customHeight="1" x14ac:dyDescent="0.2"/>
    <row r="59258" ht="9.9499999999999993" hidden="1" customHeight="1" x14ac:dyDescent="0.2"/>
    <row r="59259" ht="9.9499999999999993" hidden="1" customHeight="1" x14ac:dyDescent="0.2"/>
    <row r="59260" ht="9.9499999999999993" hidden="1" customHeight="1" x14ac:dyDescent="0.2"/>
    <row r="59261" ht="9.9499999999999993" hidden="1" customHeight="1" x14ac:dyDescent="0.2"/>
    <row r="59262" ht="9.9499999999999993" hidden="1" customHeight="1" x14ac:dyDescent="0.2"/>
    <row r="59263" ht="9.9499999999999993" hidden="1" customHeight="1" x14ac:dyDescent="0.2"/>
    <row r="59264" ht="9.9499999999999993" hidden="1" customHeight="1" x14ac:dyDescent="0.2"/>
    <row r="59265" ht="9.9499999999999993" hidden="1" customHeight="1" x14ac:dyDescent="0.2"/>
    <row r="59266" ht="9.9499999999999993" hidden="1" customHeight="1" x14ac:dyDescent="0.2"/>
    <row r="59267" ht="9.9499999999999993" hidden="1" customHeight="1" x14ac:dyDescent="0.2"/>
    <row r="59268" ht="9.9499999999999993" hidden="1" customHeight="1" x14ac:dyDescent="0.2"/>
    <row r="59269" ht="9.9499999999999993" hidden="1" customHeight="1" x14ac:dyDescent="0.2"/>
    <row r="59270" ht="9.9499999999999993" hidden="1" customHeight="1" x14ac:dyDescent="0.2"/>
    <row r="59271" ht="9.9499999999999993" hidden="1" customHeight="1" x14ac:dyDescent="0.2"/>
    <row r="59272" ht="9.9499999999999993" hidden="1" customHeight="1" x14ac:dyDescent="0.2"/>
    <row r="59273" ht="9.9499999999999993" hidden="1" customHeight="1" x14ac:dyDescent="0.2"/>
    <row r="59274" ht="9.9499999999999993" hidden="1" customHeight="1" x14ac:dyDescent="0.2"/>
    <row r="59275" ht="9.9499999999999993" hidden="1" customHeight="1" x14ac:dyDescent="0.2"/>
    <row r="59276" ht="9.9499999999999993" hidden="1" customHeight="1" x14ac:dyDescent="0.2"/>
    <row r="59277" ht="9.9499999999999993" hidden="1" customHeight="1" x14ac:dyDescent="0.2"/>
    <row r="59278" ht="9.9499999999999993" hidden="1" customHeight="1" x14ac:dyDescent="0.2"/>
    <row r="59279" ht="9.9499999999999993" hidden="1" customHeight="1" x14ac:dyDescent="0.2"/>
    <row r="59280" ht="9.9499999999999993" hidden="1" customHeight="1" x14ac:dyDescent="0.2"/>
    <row r="59281" ht="9.9499999999999993" hidden="1" customHeight="1" x14ac:dyDescent="0.2"/>
    <row r="59282" ht="9.9499999999999993" hidden="1" customHeight="1" x14ac:dyDescent="0.2"/>
    <row r="59283" ht="9.9499999999999993" hidden="1" customHeight="1" x14ac:dyDescent="0.2"/>
    <row r="59284" ht="9.9499999999999993" hidden="1" customHeight="1" x14ac:dyDescent="0.2"/>
    <row r="59285" ht="9.9499999999999993" hidden="1" customHeight="1" x14ac:dyDescent="0.2"/>
    <row r="59286" ht="9.9499999999999993" hidden="1" customHeight="1" x14ac:dyDescent="0.2"/>
    <row r="59287" ht="9.9499999999999993" hidden="1" customHeight="1" x14ac:dyDescent="0.2"/>
    <row r="59288" ht="9.9499999999999993" hidden="1" customHeight="1" x14ac:dyDescent="0.2"/>
    <row r="59289" ht="9.9499999999999993" hidden="1" customHeight="1" x14ac:dyDescent="0.2"/>
    <row r="59290" ht="9.9499999999999993" hidden="1" customHeight="1" x14ac:dyDescent="0.2"/>
    <row r="59291" ht="9.9499999999999993" hidden="1" customHeight="1" x14ac:dyDescent="0.2"/>
    <row r="59292" ht="9.9499999999999993" hidden="1" customHeight="1" x14ac:dyDescent="0.2"/>
    <row r="59293" ht="9.9499999999999993" hidden="1" customHeight="1" x14ac:dyDescent="0.2"/>
    <row r="59294" ht="9.9499999999999993" hidden="1" customHeight="1" x14ac:dyDescent="0.2"/>
    <row r="59295" ht="9.9499999999999993" hidden="1" customHeight="1" x14ac:dyDescent="0.2"/>
    <row r="59296" ht="9.9499999999999993" hidden="1" customHeight="1" x14ac:dyDescent="0.2"/>
    <row r="59297" ht="9.9499999999999993" hidden="1" customHeight="1" x14ac:dyDescent="0.2"/>
    <row r="59298" ht="9.9499999999999993" hidden="1" customHeight="1" x14ac:dyDescent="0.2"/>
    <row r="59299" ht="9.9499999999999993" hidden="1" customHeight="1" x14ac:dyDescent="0.2"/>
    <row r="59300" ht="9.9499999999999993" hidden="1" customHeight="1" x14ac:dyDescent="0.2"/>
    <row r="59301" ht="9.9499999999999993" hidden="1" customHeight="1" x14ac:dyDescent="0.2"/>
    <row r="59302" ht="9.9499999999999993" hidden="1" customHeight="1" x14ac:dyDescent="0.2"/>
    <row r="59303" ht="9.9499999999999993" hidden="1" customHeight="1" x14ac:dyDescent="0.2"/>
    <row r="59304" ht="9.9499999999999993" hidden="1" customHeight="1" x14ac:dyDescent="0.2"/>
    <row r="59305" ht="9.9499999999999993" hidden="1" customHeight="1" x14ac:dyDescent="0.2"/>
    <row r="59306" ht="9.9499999999999993" hidden="1" customHeight="1" x14ac:dyDescent="0.2"/>
    <row r="59307" ht="9.9499999999999993" hidden="1" customHeight="1" x14ac:dyDescent="0.2"/>
    <row r="59308" ht="9.9499999999999993" hidden="1" customHeight="1" x14ac:dyDescent="0.2"/>
    <row r="59309" ht="9.9499999999999993" hidden="1" customHeight="1" x14ac:dyDescent="0.2"/>
    <row r="59310" ht="9.9499999999999993" hidden="1" customHeight="1" x14ac:dyDescent="0.2"/>
    <row r="59311" ht="9.9499999999999993" hidden="1" customHeight="1" x14ac:dyDescent="0.2"/>
    <row r="59312" ht="9.9499999999999993" hidden="1" customHeight="1" x14ac:dyDescent="0.2"/>
    <row r="59313" ht="9.9499999999999993" hidden="1" customHeight="1" x14ac:dyDescent="0.2"/>
    <row r="59314" ht="9.9499999999999993" hidden="1" customHeight="1" x14ac:dyDescent="0.2"/>
    <row r="59315" ht="9.9499999999999993" hidden="1" customHeight="1" x14ac:dyDescent="0.2"/>
    <row r="59316" ht="9.9499999999999993" hidden="1" customHeight="1" x14ac:dyDescent="0.2"/>
    <row r="59317" ht="9.9499999999999993" hidden="1" customHeight="1" x14ac:dyDescent="0.2"/>
    <row r="59318" ht="9.9499999999999993" hidden="1" customHeight="1" x14ac:dyDescent="0.2"/>
    <row r="59319" ht="9.9499999999999993" hidden="1" customHeight="1" x14ac:dyDescent="0.2"/>
    <row r="59320" ht="9.9499999999999993" hidden="1" customHeight="1" x14ac:dyDescent="0.2"/>
    <row r="59321" ht="9.9499999999999993" hidden="1" customHeight="1" x14ac:dyDescent="0.2"/>
    <row r="59322" ht="9.9499999999999993" hidden="1" customHeight="1" x14ac:dyDescent="0.2"/>
    <row r="59323" ht="9.9499999999999993" hidden="1" customHeight="1" x14ac:dyDescent="0.2"/>
    <row r="59324" ht="9.9499999999999993" hidden="1" customHeight="1" x14ac:dyDescent="0.2"/>
    <row r="59325" ht="9.9499999999999993" hidden="1" customHeight="1" x14ac:dyDescent="0.2"/>
    <row r="59326" ht="9.9499999999999993" hidden="1" customHeight="1" x14ac:dyDescent="0.2"/>
    <row r="59327" ht="9.9499999999999993" hidden="1" customHeight="1" x14ac:dyDescent="0.2"/>
    <row r="59328" ht="9.9499999999999993" hidden="1" customHeight="1" x14ac:dyDescent="0.2"/>
    <row r="59329" ht="9.9499999999999993" hidden="1" customHeight="1" x14ac:dyDescent="0.2"/>
    <row r="59330" ht="9.9499999999999993" hidden="1" customHeight="1" x14ac:dyDescent="0.2"/>
    <row r="59331" ht="9.9499999999999993" hidden="1" customHeight="1" x14ac:dyDescent="0.2"/>
    <row r="59332" ht="9.9499999999999993" hidden="1" customHeight="1" x14ac:dyDescent="0.2"/>
    <row r="59333" ht="9.9499999999999993" hidden="1" customHeight="1" x14ac:dyDescent="0.2"/>
    <row r="59334" ht="9.9499999999999993" hidden="1" customHeight="1" x14ac:dyDescent="0.2"/>
    <row r="59335" ht="9.9499999999999993" hidden="1" customHeight="1" x14ac:dyDescent="0.2"/>
    <row r="59336" ht="9.9499999999999993" hidden="1" customHeight="1" x14ac:dyDescent="0.2"/>
    <row r="59337" ht="9.9499999999999993" hidden="1" customHeight="1" x14ac:dyDescent="0.2"/>
    <row r="59338" ht="9.9499999999999993" hidden="1" customHeight="1" x14ac:dyDescent="0.2"/>
    <row r="59339" ht="9.9499999999999993" hidden="1" customHeight="1" x14ac:dyDescent="0.2"/>
    <row r="59340" ht="9.9499999999999993" hidden="1" customHeight="1" x14ac:dyDescent="0.2"/>
    <row r="59341" ht="9.9499999999999993" hidden="1" customHeight="1" x14ac:dyDescent="0.2"/>
    <row r="59342" ht="9.9499999999999993" hidden="1" customHeight="1" x14ac:dyDescent="0.2"/>
    <row r="59343" ht="9.9499999999999993" hidden="1" customHeight="1" x14ac:dyDescent="0.2"/>
    <row r="59344" ht="9.9499999999999993" hidden="1" customHeight="1" x14ac:dyDescent="0.2"/>
    <row r="59345" ht="9.9499999999999993" hidden="1" customHeight="1" x14ac:dyDescent="0.2"/>
    <row r="59346" ht="9.9499999999999993" hidden="1" customHeight="1" x14ac:dyDescent="0.2"/>
    <row r="59347" ht="9.9499999999999993" hidden="1" customHeight="1" x14ac:dyDescent="0.2"/>
    <row r="59348" ht="9.9499999999999993" hidden="1" customHeight="1" x14ac:dyDescent="0.2"/>
    <row r="59349" ht="9.9499999999999993" hidden="1" customHeight="1" x14ac:dyDescent="0.2"/>
    <row r="59350" ht="9.9499999999999993" hidden="1" customHeight="1" x14ac:dyDescent="0.2"/>
    <row r="59351" ht="9.9499999999999993" hidden="1" customHeight="1" x14ac:dyDescent="0.2"/>
    <row r="59352" ht="9.9499999999999993" hidden="1" customHeight="1" x14ac:dyDescent="0.2"/>
    <row r="59353" ht="9.9499999999999993" hidden="1" customHeight="1" x14ac:dyDescent="0.2"/>
    <row r="59354" ht="9.9499999999999993" hidden="1" customHeight="1" x14ac:dyDescent="0.2"/>
    <row r="59355" ht="9.9499999999999993" hidden="1" customHeight="1" x14ac:dyDescent="0.2"/>
    <row r="59356" ht="9.9499999999999993" hidden="1" customHeight="1" x14ac:dyDescent="0.2"/>
    <row r="59357" ht="9.9499999999999993" hidden="1" customHeight="1" x14ac:dyDescent="0.2"/>
    <row r="59358" ht="9.9499999999999993" hidden="1" customHeight="1" x14ac:dyDescent="0.2"/>
    <row r="59359" ht="9.9499999999999993" hidden="1" customHeight="1" x14ac:dyDescent="0.2"/>
    <row r="59360" ht="9.9499999999999993" hidden="1" customHeight="1" x14ac:dyDescent="0.2"/>
    <row r="59361" ht="9.9499999999999993" hidden="1" customHeight="1" x14ac:dyDescent="0.2"/>
    <row r="59362" ht="9.9499999999999993" hidden="1" customHeight="1" x14ac:dyDescent="0.2"/>
    <row r="59363" ht="9.9499999999999993" hidden="1" customHeight="1" x14ac:dyDescent="0.2"/>
    <row r="59364" ht="9.9499999999999993" hidden="1" customHeight="1" x14ac:dyDescent="0.2"/>
    <row r="59365" ht="9.9499999999999993" hidden="1" customHeight="1" x14ac:dyDescent="0.2"/>
    <row r="59366" ht="9.9499999999999993" hidden="1" customHeight="1" x14ac:dyDescent="0.2"/>
    <row r="59367" ht="9.9499999999999993" hidden="1" customHeight="1" x14ac:dyDescent="0.2"/>
    <row r="59368" ht="9.9499999999999993" hidden="1" customHeight="1" x14ac:dyDescent="0.2"/>
    <row r="59369" ht="9.9499999999999993" hidden="1" customHeight="1" x14ac:dyDescent="0.2"/>
    <row r="59370" ht="9.9499999999999993" hidden="1" customHeight="1" x14ac:dyDescent="0.2"/>
    <row r="59371" ht="9.9499999999999993" hidden="1" customHeight="1" x14ac:dyDescent="0.2"/>
    <row r="59372" ht="9.9499999999999993" hidden="1" customHeight="1" x14ac:dyDescent="0.2"/>
    <row r="59373" ht="9.9499999999999993" hidden="1" customHeight="1" x14ac:dyDescent="0.2"/>
    <row r="59374" ht="9.9499999999999993" hidden="1" customHeight="1" x14ac:dyDescent="0.2"/>
    <row r="59375" ht="9.9499999999999993" hidden="1" customHeight="1" x14ac:dyDescent="0.2"/>
    <row r="59376" ht="9.9499999999999993" hidden="1" customHeight="1" x14ac:dyDescent="0.2"/>
    <row r="59377" ht="9.9499999999999993" hidden="1" customHeight="1" x14ac:dyDescent="0.2"/>
    <row r="59378" ht="9.9499999999999993" hidden="1" customHeight="1" x14ac:dyDescent="0.2"/>
    <row r="59379" ht="9.9499999999999993" hidden="1" customHeight="1" x14ac:dyDescent="0.2"/>
    <row r="59380" ht="9.9499999999999993" hidden="1" customHeight="1" x14ac:dyDescent="0.2"/>
    <row r="59381" ht="9.9499999999999993" hidden="1" customHeight="1" x14ac:dyDescent="0.2"/>
    <row r="59382" ht="9.9499999999999993" hidden="1" customHeight="1" x14ac:dyDescent="0.2"/>
    <row r="59383" ht="9.9499999999999993" hidden="1" customHeight="1" x14ac:dyDescent="0.2"/>
    <row r="59384" ht="9.9499999999999993" hidden="1" customHeight="1" x14ac:dyDescent="0.2"/>
    <row r="59385" ht="9.9499999999999993" hidden="1" customHeight="1" x14ac:dyDescent="0.2"/>
    <row r="59386" ht="9.9499999999999993" hidden="1" customHeight="1" x14ac:dyDescent="0.2"/>
    <row r="59387" ht="9.9499999999999993" hidden="1" customHeight="1" x14ac:dyDescent="0.2"/>
    <row r="59388" ht="9.9499999999999993" hidden="1" customHeight="1" x14ac:dyDescent="0.2"/>
    <row r="59389" ht="9.9499999999999993" hidden="1" customHeight="1" x14ac:dyDescent="0.2"/>
    <row r="59390" ht="9.9499999999999993" hidden="1" customHeight="1" x14ac:dyDescent="0.2"/>
    <row r="59391" ht="9.9499999999999993" hidden="1" customHeight="1" x14ac:dyDescent="0.2"/>
    <row r="59392" ht="9.9499999999999993" hidden="1" customHeight="1" x14ac:dyDescent="0.2"/>
    <row r="59393" ht="9.9499999999999993" hidden="1" customHeight="1" x14ac:dyDescent="0.2"/>
    <row r="59394" ht="9.9499999999999993" hidden="1" customHeight="1" x14ac:dyDescent="0.2"/>
    <row r="59395" ht="9.9499999999999993" hidden="1" customHeight="1" x14ac:dyDescent="0.2"/>
    <row r="59396" ht="9.9499999999999993" hidden="1" customHeight="1" x14ac:dyDescent="0.2"/>
    <row r="59397" ht="9.9499999999999993" hidden="1" customHeight="1" x14ac:dyDescent="0.2"/>
    <row r="59398" ht="9.9499999999999993" hidden="1" customHeight="1" x14ac:dyDescent="0.2"/>
    <row r="59399" ht="9.9499999999999993" hidden="1" customHeight="1" x14ac:dyDescent="0.2"/>
    <row r="59400" ht="9.9499999999999993" hidden="1" customHeight="1" x14ac:dyDescent="0.2"/>
    <row r="59401" ht="9.9499999999999993" hidden="1" customHeight="1" x14ac:dyDescent="0.2"/>
    <row r="59402" ht="9.9499999999999993" hidden="1" customHeight="1" x14ac:dyDescent="0.2"/>
    <row r="59403" ht="9.9499999999999993" hidden="1" customHeight="1" x14ac:dyDescent="0.2"/>
    <row r="59404" ht="9.9499999999999993" hidden="1" customHeight="1" x14ac:dyDescent="0.2"/>
    <row r="59405" ht="9.9499999999999993" hidden="1" customHeight="1" x14ac:dyDescent="0.2"/>
    <row r="59406" ht="9.9499999999999993" hidden="1" customHeight="1" x14ac:dyDescent="0.2"/>
    <row r="59407" ht="9.9499999999999993" hidden="1" customHeight="1" x14ac:dyDescent="0.2"/>
    <row r="59408" ht="9.9499999999999993" hidden="1" customHeight="1" x14ac:dyDescent="0.2"/>
    <row r="59409" ht="9.9499999999999993" hidden="1" customHeight="1" x14ac:dyDescent="0.2"/>
    <row r="59410" ht="9.9499999999999993" hidden="1" customHeight="1" x14ac:dyDescent="0.2"/>
    <row r="59411" ht="9.9499999999999993" hidden="1" customHeight="1" x14ac:dyDescent="0.2"/>
    <row r="59412" ht="9.9499999999999993" hidden="1" customHeight="1" x14ac:dyDescent="0.2"/>
    <row r="59413" ht="9.9499999999999993" hidden="1" customHeight="1" x14ac:dyDescent="0.2"/>
    <row r="59414" ht="9.9499999999999993" hidden="1" customHeight="1" x14ac:dyDescent="0.2"/>
    <row r="59415" ht="9.9499999999999993" hidden="1" customHeight="1" x14ac:dyDescent="0.2"/>
    <row r="59416" ht="9.9499999999999993" hidden="1" customHeight="1" x14ac:dyDescent="0.2"/>
    <row r="59417" ht="9.9499999999999993" hidden="1" customHeight="1" x14ac:dyDescent="0.2"/>
    <row r="59418" ht="9.9499999999999993" hidden="1" customHeight="1" x14ac:dyDescent="0.2"/>
    <row r="59419" ht="9.9499999999999993" hidden="1" customHeight="1" x14ac:dyDescent="0.2"/>
    <row r="59420" ht="9.9499999999999993" hidden="1" customHeight="1" x14ac:dyDescent="0.2"/>
    <row r="59421" ht="9.9499999999999993" hidden="1" customHeight="1" x14ac:dyDescent="0.2"/>
    <row r="59422" ht="9.9499999999999993" hidden="1" customHeight="1" x14ac:dyDescent="0.2"/>
    <row r="59423" ht="9.9499999999999993" hidden="1" customHeight="1" x14ac:dyDescent="0.2"/>
    <row r="59424" ht="9.9499999999999993" hidden="1" customHeight="1" x14ac:dyDescent="0.2"/>
    <row r="59425" ht="9.9499999999999993" hidden="1" customHeight="1" x14ac:dyDescent="0.2"/>
    <row r="59426" ht="9.9499999999999993" hidden="1" customHeight="1" x14ac:dyDescent="0.2"/>
    <row r="59427" ht="9.9499999999999993" hidden="1" customHeight="1" x14ac:dyDescent="0.2"/>
    <row r="59428" ht="9.9499999999999993" hidden="1" customHeight="1" x14ac:dyDescent="0.2"/>
    <row r="59429" ht="9.9499999999999993" hidden="1" customHeight="1" x14ac:dyDescent="0.2"/>
    <row r="59430" ht="9.9499999999999993" hidden="1" customHeight="1" x14ac:dyDescent="0.2"/>
    <row r="59431" ht="9.9499999999999993" hidden="1" customHeight="1" x14ac:dyDescent="0.2"/>
    <row r="59432" ht="9.9499999999999993" hidden="1" customHeight="1" x14ac:dyDescent="0.2"/>
    <row r="59433" ht="9.9499999999999993" hidden="1" customHeight="1" x14ac:dyDescent="0.2"/>
    <row r="59434" ht="9.9499999999999993" hidden="1" customHeight="1" x14ac:dyDescent="0.2"/>
    <row r="59435" ht="9.9499999999999993" hidden="1" customHeight="1" x14ac:dyDescent="0.2"/>
    <row r="59436" ht="9.9499999999999993" hidden="1" customHeight="1" x14ac:dyDescent="0.2"/>
    <row r="59437" ht="9.9499999999999993" hidden="1" customHeight="1" x14ac:dyDescent="0.2"/>
    <row r="59438" ht="9.9499999999999993" hidden="1" customHeight="1" x14ac:dyDescent="0.2"/>
    <row r="59439" ht="9.9499999999999993" hidden="1" customHeight="1" x14ac:dyDescent="0.2"/>
    <row r="59440" ht="9.9499999999999993" hidden="1" customHeight="1" x14ac:dyDescent="0.2"/>
    <row r="59441" ht="9.9499999999999993" hidden="1" customHeight="1" x14ac:dyDescent="0.2"/>
    <row r="59442" ht="9.9499999999999993" hidden="1" customHeight="1" x14ac:dyDescent="0.2"/>
    <row r="59443" ht="9.9499999999999993" hidden="1" customHeight="1" x14ac:dyDescent="0.2"/>
    <row r="59444" ht="9.9499999999999993" hidden="1" customHeight="1" x14ac:dyDescent="0.2"/>
    <row r="59445" ht="9.9499999999999993" hidden="1" customHeight="1" x14ac:dyDescent="0.2"/>
    <row r="59446" ht="9.9499999999999993" hidden="1" customHeight="1" x14ac:dyDescent="0.2"/>
    <row r="59447" ht="9.9499999999999993" hidden="1" customHeight="1" x14ac:dyDescent="0.2"/>
    <row r="59448" ht="9.9499999999999993" hidden="1" customHeight="1" x14ac:dyDescent="0.2"/>
    <row r="59449" ht="9.9499999999999993" hidden="1" customHeight="1" x14ac:dyDescent="0.2"/>
    <row r="59450" ht="9.9499999999999993" hidden="1" customHeight="1" x14ac:dyDescent="0.2"/>
    <row r="59451" ht="9.9499999999999993" hidden="1" customHeight="1" x14ac:dyDescent="0.2"/>
    <row r="59452" ht="9.9499999999999993" hidden="1" customHeight="1" x14ac:dyDescent="0.2"/>
    <row r="59453" ht="9.9499999999999993" hidden="1" customHeight="1" x14ac:dyDescent="0.2"/>
    <row r="59454" ht="9.9499999999999993" hidden="1" customHeight="1" x14ac:dyDescent="0.2"/>
    <row r="59455" ht="9.9499999999999993" hidden="1" customHeight="1" x14ac:dyDescent="0.2"/>
    <row r="59456" ht="9.9499999999999993" hidden="1" customHeight="1" x14ac:dyDescent="0.2"/>
    <row r="59457" ht="9.9499999999999993" hidden="1" customHeight="1" x14ac:dyDescent="0.2"/>
    <row r="59458" ht="9.9499999999999993" hidden="1" customHeight="1" x14ac:dyDescent="0.2"/>
    <row r="59459" ht="9.9499999999999993" hidden="1" customHeight="1" x14ac:dyDescent="0.2"/>
    <row r="59460" ht="9.9499999999999993" hidden="1" customHeight="1" x14ac:dyDescent="0.2"/>
    <row r="59461" ht="9.9499999999999993" hidden="1" customHeight="1" x14ac:dyDescent="0.2"/>
    <row r="59462" ht="9.9499999999999993" hidden="1" customHeight="1" x14ac:dyDescent="0.2"/>
    <row r="59463" ht="9.9499999999999993" hidden="1" customHeight="1" x14ac:dyDescent="0.2"/>
    <row r="59464" ht="9.9499999999999993" hidden="1" customHeight="1" x14ac:dyDescent="0.2"/>
    <row r="59465" ht="9.9499999999999993" hidden="1" customHeight="1" x14ac:dyDescent="0.2"/>
    <row r="59466" ht="9.9499999999999993" hidden="1" customHeight="1" x14ac:dyDescent="0.2"/>
    <row r="59467" ht="9.9499999999999993" hidden="1" customHeight="1" x14ac:dyDescent="0.2"/>
    <row r="59468" ht="9.9499999999999993" hidden="1" customHeight="1" x14ac:dyDescent="0.2"/>
    <row r="59469" ht="9.9499999999999993" hidden="1" customHeight="1" x14ac:dyDescent="0.2"/>
    <row r="59470" ht="9.9499999999999993" hidden="1" customHeight="1" x14ac:dyDescent="0.2"/>
    <row r="59471" ht="9.9499999999999993" hidden="1" customHeight="1" x14ac:dyDescent="0.2"/>
    <row r="59472" ht="9.9499999999999993" hidden="1" customHeight="1" x14ac:dyDescent="0.2"/>
    <row r="59473" ht="9.9499999999999993" hidden="1" customHeight="1" x14ac:dyDescent="0.2"/>
    <row r="59474" ht="9.9499999999999993" hidden="1" customHeight="1" x14ac:dyDescent="0.2"/>
    <row r="59475" ht="9.9499999999999993" hidden="1" customHeight="1" x14ac:dyDescent="0.2"/>
    <row r="59476" ht="9.9499999999999993" hidden="1" customHeight="1" x14ac:dyDescent="0.2"/>
    <row r="59477" ht="9.9499999999999993" hidden="1" customHeight="1" x14ac:dyDescent="0.2"/>
    <row r="59478" ht="9.9499999999999993" hidden="1" customHeight="1" x14ac:dyDescent="0.2"/>
    <row r="59479" ht="9.9499999999999993" hidden="1" customHeight="1" x14ac:dyDescent="0.2"/>
    <row r="59480" ht="9.9499999999999993" hidden="1" customHeight="1" x14ac:dyDescent="0.2"/>
    <row r="59481" ht="9.9499999999999993" hidden="1" customHeight="1" x14ac:dyDescent="0.2"/>
    <row r="59482" ht="9.9499999999999993" hidden="1" customHeight="1" x14ac:dyDescent="0.2"/>
    <row r="59483" ht="9.9499999999999993" hidden="1" customHeight="1" x14ac:dyDescent="0.2"/>
    <row r="59484" ht="9.9499999999999993" hidden="1" customHeight="1" x14ac:dyDescent="0.2"/>
    <row r="59485" ht="9.9499999999999993" hidden="1" customHeight="1" x14ac:dyDescent="0.2"/>
    <row r="59486" ht="9.9499999999999993" hidden="1" customHeight="1" x14ac:dyDescent="0.2"/>
    <row r="59487" ht="9.9499999999999993" hidden="1" customHeight="1" x14ac:dyDescent="0.2"/>
    <row r="59488" ht="9.9499999999999993" hidden="1" customHeight="1" x14ac:dyDescent="0.2"/>
    <row r="59489" ht="9.9499999999999993" hidden="1" customHeight="1" x14ac:dyDescent="0.2"/>
    <row r="59490" ht="9.9499999999999993" hidden="1" customHeight="1" x14ac:dyDescent="0.2"/>
    <row r="59491" ht="9.9499999999999993" hidden="1" customHeight="1" x14ac:dyDescent="0.2"/>
    <row r="59492" ht="9.9499999999999993" hidden="1" customHeight="1" x14ac:dyDescent="0.2"/>
    <row r="59493" ht="9.9499999999999993" hidden="1" customHeight="1" x14ac:dyDescent="0.2"/>
    <row r="59494" ht="9.9499999999999993" hidden="1" customHeight="1" x14ac:dyDescent="0.2"/>
    <row r="59495" ht="9.9499999999999993" hidden="1" customHeight="1" x14ac:dyDescent="0.2"/>
    <row r="59496" ht="9.9499999999999993" hidden="1" customHeight="1" x14ac:dyDescent="0.2"/>
    <row r="59497" ht="9.9499999999999993" hidden="1" customHeight="1" x14ac:dyDescent="0.2"/>
    <row r="59498" ht="9.9499999999999993" hidden="1" customHeight="1" x14ac:dyDescent="0.2"/>
    <row r="59499" ht="9.9499999999999993" hidden="1" customHeight="1" x14ac:dyDescent="0.2"/>
    <row r="59500" ht="9.9499999999999993" hidden="1" customHeight="1" x14ac:dyDescent="0.2"/>
    <row r="59501" ht="9.9499999999999993" hidden="1" customHeight="1" x14ac:dyDescent="0.2"/>
    <row r="59502" ht="9.9499999999999993" hidden="1" customHeight="1" x14ac:dyDescent="0.2"/>
    <row r="59503" ht="9.9499999999999993" hidden="1" customHeight="1" x14ac:dyDescent="0.2"/>
    <row r="59504" ht="9.9499999999999993" hidden="1" customHeight="1" x14ac:dyDescent="0.2"/>
    <row r="59505" ht="9.9499999999999993" hidden="1" customHeight="1" x14ac:dyDescent="0.2"/>
    <row r="59506" ht="9.9499999999999993" hidden="1" customHeight="1" x14ac:dyDescent="0.2"/>
    <row r="59507" ht="9.9499999999999993" hidden="1" customHeight="1" x14ac:dyDescent="0.2"/>
    <row r="59508" ht="9.9499999999999993" hidden="1" customHeight="1" x14ac:dyDescent="0.2"/>
    <row r="59509" ht="9.9499999999999993" hidden="1" customHeight="1" x14ac:dyDescent="0.2"/>
    <row r="59510" ht="9.9499999999999993" hidden="1" customHeight="1" x14ac:dyDescent="0.2"/>
    <row r="59511" ht="9.9499999999999993" hidden="1" customHeight="1" x14ac:dyDescent="0.2"/>
    <row r="59512" ht="9.9499999999999993" hidden="1" customHeight="1" x14ac:dyDescent="0.2"/>
    <row r="59513" ht="9.9499999999999993" hidden="1" customHeight="1" x14ac:dyDescent="0.2"/>
    <row r="59514" ht="9.9499999999999993" hidden="1" customHeight="1" x14ac:dyDescent="0.2"/>
    <row r="59515" ht="9.9499999999999993" hidden="1" customHeight="1" x14ac:dyDescent="0.2"/>
    <row r="59516" ht="9.9499999999999993" hidden="1" customHeight="1" x14ac:dyDescent="0.2"/>
    <row r="59517" ht="9.9499999999999993" hidden="1" customHeight="1" x14ac:dyDescent="0.2"/>
    <row r="59518" ht="9.9499999999999993" hidden="1" customHeight="1" x14ac:dyDescent="0.2"/>
    <row r="59519" ht="9.9499999999999993" hidden="1" customHeight="1" x14ac:dyDescent="0.2"/>
    <row r="59520" ht="9.9499999999999993" hidden="1" customHeight="1" x14ac:dyDescent="0.2"/>
    <row r="59521" ht="9.9499999999999993" hidden="1" customHeight="1" x14ac:dyDescent="0.2"/>
    <row r="59522" ht="9.9499999999999993" hidden="1" customHeight="1" x14ac:dyDescent="0.2"/>
    <row r="59523" ht="9.9499999999999993" hidden="1" customHeight="1" x14ac:dyDescent="0.2"/>
    <row r="59524" ht="9.9499999999999993" hidden="1" customHeight="1" x14ac:dyDescent="0.2"/>
    <row r="59525" ht="9.9499999999999993" hidden="1" customHeight="1" x14ac:dyDescent="0.2"/>
    <row r="59526" ht="9.9499999999999993" hidden="1" customHeight="1" x14ac:dyDescent="0.2"/>
    <row r="59527" ht="9.9499999999999993" hidden="1" customHeight="1" x14ac:dyDescent="0.2"/>
    <row r="59528" ht="9.9499999999999993" hidden="1" customHeight="1" x14ac:dyDescent="0.2"/>
    <row r="59529" ht="9.9499999999999993" hidden="1" customHeight="1" x14ac:dyDescent="0.2"/>
    <row r="59530" ht="9.9499999999999993" hidden="1" customHeight="1" x14ac:dyDescent="0.2"/>
    <row r="59531" ht="9.9499999999999993" hidden="1" customHeight="1" x14ac:dyDescent="0.2"/>
    <row r="59532" ht="9.9499999999999993" hidden="1" customHeight="1" x14ac:dyDescent="0.2"/>
    <row r="59533" ht="9.9499999999999993" hidden="1" customHeight="1" x14ac:dyDescent="0.2"/>
    <row r="59534" ht="9.9499999999999993" hidden="1" customHeight="1" x14ac:dyDescent="0.2"/>
    <row r="59535" ht="9.9499999999999993" hidden="1" customHeight="1" x14ac:dyDescent="0.2"/>
    <row r="59536" ht="9.9499999999999993" hidden="1" customHeight="1" x14ac:dyDescent="0.2"/>
    <row r="59537" ht="9.9499999999999993" hidden="1" customHeight="1" x14ac:dyDescent="0.2"/>
    <row r="59538" ht="9.9499999999999993" hidden="1" customHeight="1" x14ac:dyDescent="0.2"/>
    <row r="59539" ht="9.9499999999999993" hidden="1" customHeight="1" x14ac:dyDescent="0.2"/>
    <row r="59540" ht="9.9499999999999993" hidden="1" customHeight="1" x14ac:dyDescent="0.2"/>
    <row r="59541" ht="9.9499999999999993" hidden="1" customHeight="1" x14ac:dyDescent="0.2"/>
    <row r="59542" ht="9.9499999999999993" hidden="1" customHeight="1" x14ac:dyDescent="0.2"/>
    <row r="59543" ht="9.9499999999999993" hidden="1" customHeight="1" x14ac:dyDescent="0.2"/>
    <row r="59544" ht="9.9499999999999993" hidden="1" customHeight="1" x14ac:dyDescent="0.2"/>
    <row r="59545" ht="9.9499999999999993" hidden="1" customHeight="1" x14ac:dyDescent="0.2"/>
    <row r="59546" ht="9.9499999999999993" hidden="1" customHeight="1" x14ac:dyDescent="0.2"/>
    <row r="59547" ht="9.9499999999999993" hidden="1" customHeight="1" x14ac:dyDescent="0.2"/>
    <row r="59548" ht="9.9499999999999993" hidden="1" customHeight="1" x14ac:dyDescent="0.2"/>
    <row r="59549" ht="9.9499999999999993" hidden="1" customHeight="1" x14ac:dyDescent="0.2"/>
    <row r="59550" ht="9.9499999999999993" hidden="1" customHeight="1" x14ac:dyDescent="0.2"/>
    <row r="59551" ht="9.9499999999999993" hidden="1" customHeight="1" x14ac:dyDescent="0.2"/>
    <row r="59552" ht="9.9499999999999993" hidden="1" customHeight="1" x14ac:dyDescent="0.2"/>
    <row r="59553" ht="9.9499999999999993" hidden="1" customHeight="1" x14ac:dyDescent="0.2"/>
    <row r="59554" ht="9.9499999999999993" hidden="1" customHeight="1" x14ac:dyDescent="0.2"/>
    <row r="59555" ht="9.9499999999999993" hidden="1" customHeight="1" x14ac:dyDescent="0.2"/>
    <row r="59556" ht="9.9499999999999993" hidden="1" customHeight="1" x14ac:dyDescent="0.2"/>
    <row r="59557" ht="9.9499999999999993" hidden="1" customHeight="1" x14ac:dyDescent="0.2"/>
    <row r="59558" ht="9.9499999999999993" hidden="1" customHeight="1" x14ac:dyDescent="0.2"/>
    <row r="59559" ht="9.9499999999999993" hidden="1" customHeight="1" x14ac:dyDescent="0.2"/>
    <row r="59560" ht="9.9499999999999993" hidden="1" customHeight="1" x14ac:dyDescent="0.2"/>
    <row r="59561" ht="9.9499999999999993" hidden="1" customHeight="1" x14ac:dyDescent="0.2"/>
    <row r="59562" ht="9.9499999999999993" hidden="1" customHeight="1" x14ac:dyDescent="0.2"/>
    <row r="59563" ht="9.9499999999999993" hidden="1" customHeight="1" x14ac:dyDescent="0.2"/>
    <row r="59564" ht="9.9499999999999993" hidden="1" customHeight="1" x14ac:dyDescent="0.2"/>
    <row r="59565" ht="9.9499999999999993" hidden="1" customHeight="1" x14ac:dyDescent="0.2"/>
    <row r="59566" ht="9.9499999999999993" hidden="1" customHeight="1" x14ac:dyDescent="0.2"/>
    <row r="59567" ht="9.9499999999999993" hidden="1" customHeight="1" x14ac:dyDescent="0.2"/>
    <row r="59568" ht="9.9499999999999993" hidden="1" customHeight="1" x14ac:dyDescent="0.2"/>
    <row r="59569" ht="9.9499999999999993" hidden="1" customHeight="1" x14ac:dyDescent="0.2"/>
    <row r="59570" ht="9.9499999999999993" hidden="1" customHeight="1" x14ac:dyDescent="0.2"/>
    <row r="59571" ht="9.9499999999999993" hidden="1" customHeight="1" x14ac:dyDescent="0.2"/>
    <row r="59572" ht="9.9499999999999993" hidden="1" customHeight="1" x14ac:dyDescent="0.2"/>
    <row r="59573" ht="9.9499999999999993" hidden="1" customHeight="1" x14ac:dyDescent="0.2"/>
    <row r="59574" ht="9.9499999999999993" hidden="1" customHeight="1" x14ac:dyDescent="0.2"/>
    <row r="59575" ht="9.9499999999999993" hidden="1" customHeight="1" x14ac:dyDescent="0.2"/>
    <row r="59576" ht="9.9499999999999993" hidden="1" customHeight="1" x14ac:dyDescent="0.2"/>
    <row r="59577" ht="9.9499999999999993" hidden="1" customHeight="1" x14ac:dyDescent="0.2"/>
    <row r="59578" ht="9.9499999999999993" hidden="1" customHeight="1" x14ac:dyDescent="0.2"/>
    <row r="59579" ht="9.9499999999999993" hidden="1" customHeight="1" x14ac:dyDescent="0.2"/>
    <row r="59580" ht="9.9499999999999993" hidden="1" customHeight="1" x14ac:dyDescent="0.2"/>
    <row r="59581" ht="9.9499999999999993" hidden="1" customHeight="1" x14ac:dyDescent="0.2"/>
    <row r="59582" ht="9.9499999999999993" hidden="1" customHeight="1" x14ac:dyDescent="0.2"/>
    <row r="59583" ht="9.9499999999999993" hidden="1" customHeight="1" x14ac:dyDescent="0.2"/>
    <row r="59584" ht="9.9499999999999993" hidden="1" customHeight="1" x14ac:dyDescent="0.2"/>
    <row r="59585" ht="9.9499999999999993" hidden="1" customHeight="1" x14ac:dyDescent="0.2"/>
    <row r="59586" ht="9.9499999999999993" hidden="1" customHeight="1" x14ac:dyDescent="0.2"/>
    <row r="59587" ht="9.9499999999999993" hidden="1" customHeight="1" x14ac:dyDescent="0.2"/>
    <row r="59588" ht="9.9499999999999993" hidden="1" customHeight="1" x14ac:dyDescent="0.2"/>
    <row r="59589" ht="9.9499999999999993" hidden="1" customHeight="1" x14ac:dyDescent="0.2"/>
    <row r="59590" ht="9.9499999999999993" hidden="1" customHeight="1" x14ac:dyDescent="0.2"/>
    <row r="59591" ht="9.9499999999999993" hidden="1" customHeight="1" x14ac:dyDescent="0.2"/>
    <row r="59592" ht="9.9499999999999993" hidden="1" customHeight="1" x14ac:dyDescent="0.2"/>
    <row r="59593" ht="9.9499999999999993" hidden="1" customHeight="1" x14ac:dyDescent="0.2"/>
    <row r="59594" ht="9.9499999999999993" hidden="1" customHeight="1" x14ac:dyDescent="0.2"/>
    <row r="59595" ht="9.9499999999999993" hidden="1" customHeight="1" x14ac:dyDescent="0.2"/>
    <row r="59596" ht="9.9499999999999993" hidden="1" customHeight="1" x14ac:dyDescent="0.2"/>
    <row r="59597" ht="9.9499999999999993" hidden="1" customHeight="1" x14ac:dyDescent="0.2"/>
    <row r="59598" ht="9.9499999999999993" hidden="1" customHeight="1" x14ac:dyDescent="0.2"/>
    <row r="59599" ht="9.9499999999999993" hidden="1" customHeight="1" x14ac:dyDescent="0.2"/>
    <row r="59600" ht="9.9499999999999993" hidden="1" customHeight="1" x14ac:dyDescent="0.2"/>
    <row r="59601" ht="9.9499999999999993" hidden="1" customHeight="1" x14ac:dyDescent="0.2"/>
    <row r="59602" ht="9.9499999999999993" hidden="1" customHeight="1" x14ac:dyDescent="0.2"/>
    <row r="59603" ht="9.9499999999999993" hidden="1" customHeight="1" x14ac:dyDescent="0.2"/>
    <row r="59604" ht="9.9499999999999993" hidden="1" customHeight="1" x14ac:dyDescent="0.2"/>
    <row r="59605" ht="9.9499999999999993" hidden="1" customHeight="1" x14ac:dyDescent="0.2"/>
    <row r="59606" ht="9.9499999999999993" hidden="1" customHeight="1" x14ac:dyDescent="0.2"/>
    <row r="59607" ht="9.9499999999999993" hidden="1" customHeight="1" x14ac:dyDescent="0.2"/>
    <row r="59608" ht="9.9499999999999993" hidden="1" customHeight="1" x14ac:dyDescent="0.2"/>
    <row r="59609" ht="9.9499999999999993" hidden="1" customHeight="1" x14ac:dyDescent="0.2"/>
    <row r="59610" ht="9.9499999999999993" hidden="1" customHeight="1" x14ac:dyDescent="0.2"/>
    <row r="59611" ht="9.9499999999999993" hidden="1" customHeight="1" x14ac:dyDescent="0.2"/>
    <row r="59612" ht="9.9499999999999993" hidden="1" customHeight="1" x14ac:dyDescent="0.2"/>
    <row r="59613" ht="9.9499999999999993" hidden="1" customHeight="1" x14ac:dyDescent="0.2"/>
    <row r="59614" ht="9.9499999999999993" hidden="1" customHeight="1" x14ac:dyDescent="0.2"/>
    <row r="59615" ht="9.9499999999999993" hidden="1" customHeight="1" x14ac:dyDescent="0.2"/>
    <row r="59616" ht="9.9499999999999993" hidden="1" customHeight="1" x14ac:dyDescent="0.2"/>
    <row r="59617" ht="9.9499999999999993" hidden="1" customHeight="1" x14ac:dyDescent="0.2"/>
    <row r="59618" ht="9.9499999999999993" hidden="1" customHeight="1" x14ac:dyDescent="0.2"/>
    <row r="59619" ht="9.9499999999999993" hidden="1" customHeight="1" x14ac:dyDescent="0.2"/>
    <row r="59620" ht="9.9499999999999993" hidden="1" customHeight="1" x14ac:dyDescent="0.2"/>
    <row r="59621" ht="9.9499999999999993" hidden="1" customHeight="1" x14ac:dyDescent="0.2"/>
    <row r="59622" ht="9.9499999999999993" hidden="1" customHeight="1" x14ac:dyDescent="0.2"/>
    <row r="59623" ht="9.9499999999999993" hidden="1" customHeight="1" x14ac:dyDescent="0.2"/>
    <row r="59624" ht="9.9499999999999993" hidden="1" customHeight="1" x14ac:dyDescent="0.2"/>
    <row r="59625" ht="9.9499999999999993" hidden="1" customHeight="1" x14ac:dyDescent="0.2"/>
    <row r="59626" ht="9.9499999999999993" hidden="1" customHeight="1" x14ac:dyDescent="0.2"/>
    <row r="59627" ht="9.9499999999999993" hidden="1" customHeight="1" x14ac:dyDescent="0.2"/>
    <row r="59628" ht="9.9499999999999993" hidden="1" customHeight="1" x14ac:dyDescent="0.2"/>
    <row r="59629" ht="9.9499999999999993" hidden="1" customHeight="1" x14ac:dyDescent="0.2"/>
    <row r="59630" ht="9.9499999999999993" hidden="1" customHeight="1" x14ac:dyDescent="0.2"/>
    <row r="59631" ht="9.9499999999999993" hidden="1" customHeight="1" x14ac:dyDescent="0.2"/>
    <row r="59632" ht="9.9499999999999993" hidden="1" customHeight="1" x14ac:dyDescent="0.2"/>
    <row r="59633" ht="9.9499999999999993" hidden="1" customHeight="1" x14ac:dyDescent="0.2"/>
    <row r="59634" ht="9.9499999999999993" hidden="1" customHeight="1" x14ac:dyDescent="0.2"/>
    <row r="59635" ht="9.9499999999999993" hidden="1" customHeight="1" x14ac:dyDescent="0.2"/>
    <row r="59636" ht="9.9499999999999993" hidden="1" customHeight="1" x14ac:dyDescent="0.2"/>
    <row r="59637" ht="9.9499999999999993" hidden="1" customHeight="1" x14ac:dyDescent="0.2"/>
    <row r="59638" ht="9.9499999999999993" hidden="1" customHeight="1" x14ac:dyDescent="0.2"/>
    <row r="59639" ht="9.9499999999999993" hidden="1" customHeight="1" x14ac:dyDescent="0.2"/>
    <row r="59640" ht="9.9499999999999993" hidden="1" customHeight="1" x14ac:dyDescent="0.2"/>
    <row r="59641" ht="9.9499999999999993" hidden="1" customHeight="1" x14ac:dyDescent="0.2"/>
    <row r="59642" ht="9.9499999999999993" hidden="1" customHeight="1" x14ac:dyDescent="0.2"/>
    <row r="59643" ht="9.9499999999999993" hidden="1" customHeight="1" x14ac:dyDescent="0.2"/>
    <row r="59644" ht="9.9499999999999993" hidden="1" customHeight="1" x14ac:dyDescent="0.2"/>
    <row r="59645" ht="9.9499999999999993" hidden="1" customHeight="1" x14ac:dyDescent="0.2"/>
    <row r="59646" ht="9.9499999999999993" hidden="1" customHeight="1" x14ac:dyDescent="0.2"/>
    <row r="59647" ht="9.9499999999999993" hidden="1" customHeight="1" x14ac:dyDescent="0.2"/>
    <row r="59648" ht="9.9499999999999993" hidden="1" customHeight="1" x14ac:dyDescent="0.2"/>
    <row r="59649" ht="9.9499999999999993" hidden="1" customHeight="1" x14ac:dyDescent="0.2"/>
    <row r="59650" ht="9.9499999999999993" hidden="1" customHeight="1" x14ac:dyDescent="0.2"/>
    <row r="59651" ht="9.9499999999999993" hidden="1" customHeight="1" x14ac:dyDescent="0.2"/>
    <row r="59652" ht="9.9499999999999993" hidden="1" customHeight="1" x14ac:dyDescent="0.2"/>
    <row r="59653" ht="9.9499999999999993" hidden="1" customHeight="1" x14ac:dyDescent="0.2"/>
    <row r="59654" ht="9.9499999999999993" hidden="1" customHeight="1" x14ac:dyDescent="0.2"/>
    <row r="59655" ht="9.9499999999999993" hidden="1" customHeight="1" x14ac:dyDescent="0.2"/>
    <row r="59656" ht="9.9499999999999993" hidden="1" customHeight="1" x14ac:dyDescent="0.2"/>
    <row r="59657" ht="9.9499999999999993" hidden="1" customHeight="1" x14ac:dyDescent="0.2"/>
    <row r="59658" ht="9.9499999999999993" hidden="1" customHeight="1" x14ac:dyDescent="0.2"/>
    <row r="59659" ht="9.9499999999999993" hidden="1" customHeight="1" x14ac:dyDescent="0.2"/>
    <row r="59660" ht="9.9499999999999993" hidden="1" customHeight="1" x14ac:dyDescent="0.2"/>
    <row r="59661" ht="9.9499999999999993" hidden="1" customHeight="1" x14ac:dyDescent="0.2"/>
    <row r="59662" ht="9.9499999999999993" hidden="1" customHeight="1" x14ac:dyDescent="0.2"/>
    <row r="59663" ht="9.9499999999999993" hidden="1" customHeight="1" x14ac:dyDescent="0.2"/>
    <row r="59664" ht="9.9499999999999993" hidden="1" customHeight="1" x14ac:dyDescent="0.2"/>
    <row r="59665" ht="9.9499999999999993" hidden="1" customHeight="1" x14ac:dyDescent="0.2"/>
    <row r="59666" ht="9.9499999999999993" hidden="1" customHeight="1" x14ac:dyDescent="0.2"/>
    <row r="59667" ht="9.9499999999999993" hidden="1" customHeight="1" x14ac:dyDescent="0.2"/>
    <row r="59668" ht="9.9499999999999993" hidden="1" customHeight="1" x14ac:dyDescent="0.2"/>
    <row r="59669" ht="9.9499999999999993" hidden="1" customHeight="1" x14ac:dyDescent="0.2"/>
    <row r="59670" ht="9.9499999999999993" hidden="1" customHeight="1" x14ac:dyDescent="0.2"/>
    <row r="59671" ht="9.9499999999999993" hidden="1" customHeight="1" x14ac:dyDescent="0.2"/>
    <row r="59672" ht="9.9499999999999993" hidden="1" customHeight="1" x14ac:dyDescent="0.2"/>
    <row r="59673" ht="9.9499999999999993" hidden="1" customHeight="1" x14ac:dyDescent="0.2"/>
    <row r="59674" ht="9.9499999999999993" hidden="1" customHeight="1" x14ac:dyDescent="0.2"/>
    <row r="59675" ht="9.9499999999999993" hidden="1" customHeight="1" x14ac:dyDescent="0.2"/>
    <row r="59676" ht="9.9499999999999993" hidden="1" customHeight="1" x14ac:dyDescent="0.2"/>
    <row r="59677" ht="9.9499999999999993" hidden="1" customHeight="1" x14ac:dyDescent="0.2"/>
    <row r="59678" ht="9.9499999999999993" hidden="1" customHeight="1" x14ac:dyDescent="0.2"/>
    <row r="59679" ht="9.9499999999999993" hidden="1" customHeight="1" x14ac:dyDescent="0.2"/>
    <row r="59680" ht="9.9499999999999993" hidden="1" customHeight="1" x14ac:dyDescent="0.2"/>
    <row r="59681" ht="9.9499999999999993" hidden="1" customHeight="1" x14ac:dyDescent="0.2"/>
    <row r="59682" ht="9.9499999999999993" hidden="1" customHeight="1" x14ac:dyDescent="0.2"/>
    <row r="59683" ht="9.9499999999999993" hidden="1" customHeight="1" x14ac:dyDescent="0.2"/>
    <row r="59684" ht="9.9499999999999993" hidden="1" customHeight="1" x14ac:dyDescent="0.2"/>
    <row r="59685" ht="9.9499999999999993" hidden="1" customHeight="1" x14ac:dyDescent="0.2"/>
    <row r="59686" ht="9.9499999999999993" hidden="1" customHeight="1" x14ac:dyDescent="0.2"/>
    <row r="59687" ht="9.9499999999999993" hidden="1" customHeight="1" x14ac:dyDescent="0.2"/>
    <row r="59688" ht="9.9499999999999993" hidden="1" customHeight="1" x14ac:dyDescent="0.2"/>
    <row r="59689" ht="9.9499999999999993" hidden="1" customHeight="1" x14ac:dyDescent="0.2"/>
    <row r="59690" ht="9.9499999999999993" hidden="1" customHeight="1" x14ac:dyDescent="0.2"/>
    <row r="59691" ht="9.9499999999999993" hidden="1" customHeight="1" x14ac:dyDescent="0.2"/>
    <row r="59692" ht="9.9499999999999993" hidden="1" customHeight="1" x14ac:dyDescent="0.2"/>
    <row r="59693" ht="9.9499999999999993" hidden="1" customHeight="1" x14ac:dyDescent="0.2"/>
    <row r="59694" ht="9.9499999999999993" hidden="1" customHeight="1" x14ac:dyDescent="0.2"/>
    <row r="59695" ht="9.9499999999999993" hidden="1" customHeight="1" x14ac:dyDescent="0.2"/>
    <row r="59696" ht="9.9499999999999993" hidden="1" customHeight="1" x14ac:dyDescent="0.2"/>
    <row r="59697" ht="9.9499999999999993" hidden="1" customHeight="1" x14ac:dyDescent="0.2"/>
    <row r="59698" ht="9.9499999999999993" hidden="1" customHeight="1" x14ac:dyDescent="0.2"/>
    <row r="59699" ht="9.9499999999999993" hidden="1" customHeight="1" x14ac:dyDescent="0.2"/>
    <row r="59700" ht="9.9499999999999993" hidden="1" customHeight="1" x14ac:dyDescent="0.2"/>
    <row r="59701" ht="9.9499999999999993" hidden="1" customHeight="1" x14ac:dyDescent="0.2"/>
    <row r="59702" ht="9.9499999999999993" hidden="1" customHeight="1" x14ac:dyDescent="0.2"/>
    <row r="59703" ht="9.9499999999999993" hidden="1" customHeight="1" x14ac:dyDescent="0.2"/>
    <row r="59704" ht="9.9499999999999993" hidden="1" customHeight="1" x14ac:dyDescent="0.2"/>
    <row r="59705" ht="9.9499999999999993" hidden="1" customHeight="1" x14ac:dyDescent="0.2"/>
    <row r="59706" ht="9.9499999999999993" hidden="1" customHeight="1" x14ac:dyDescent="0.2"/>
    <row r="59707" ht="9.9499999999999993" hidden="1" customHeight="1" x14ac:dyDescent="0.2"/>
    <row r="59708" ht="9.9499999999999993" hidden="1" customHeight="1" x14ac:dyDescent="0.2"/>
    <row r="59709" ht="9.9499999999999993" hidden="1" customHeight="1" x14ac:dyDescent="0.2"/>
    <row r="59710" ht="9.9499999999999993" hidden="1" customHeight="1" x14ac:dyDescent="0.2"/>
    <row r="59711" ht="9.9499999999999993" hidden="1" customHeight="1" x14ac:dyDescent="0.2"/>
    <row r="59712" ht="9.9499999999999993" hidden="1" customHeight="1" x14ac:dyDescent="0.2"/>
    <row r="59713" ht="9.9499999999999993" hidden="1" customHeight="1" x14ac:dyDescent="0.2"/>
    <row r="59714" ht="9.9499999999999993" hidden="1" customHeight="1" x14ac:dyDescent="0.2"/>
    <row r="59715" ht="9.9499999999999993" hidden="1" customHeight="1" x14ac:dyDescent="0.2"/>
    <row r="59716" ht="9.9499999999999993" hidden="1" customHeight="1" x14ac:dyDescent="0.2"/>
    <row r="59717" ht="9.9499999999999993" hidden="1" customHeight="1" x14ac:dyDescent="0.2"/>
    <row r="59718" ht="9.9499999999999993" hidden="1" customHeight="1" x14ac:dyDescent="0.2"/>
    <row r="59719" ht="9.9499999999999993" hidden="1" customHeight="1" x14ac:dyDescent="0.2"/>
    <row r="59720" ht="9.9499999999999993" hidden="1" customHeight="1" x14ac:dyDescent="0.2"/>
    <row r="59721" ht="9.9499999999999993" hidden="1" customHeight="1" x14ac:dyDescent="0.2"/>
    <row r="59722" ht="9.9499999999999993" hidden="1" customHeight="1" x14ac:dyDescent="0.2"/>
    <row r="59723" ht="9.9499999999999993" hidden="1" customHeight="1" x14ac:dyDescent="0.2"/>
    <row r="59724" ht="9.9499999999999993" hidden="1" customHeight="1" x14ac:dyDescent="0.2"/>
    <row r="59725" ht="9.9499999999999993" hidden="1" customHeight="1" x14ac:dyDescent="0.2"/>
    <row r="59726" ht="9.9499999999999993" hidden="1" customHeight="1" x14ac:dyDescent="0.2"/>
    <row r="59727" ht="9.9499999999999993" hidden="1" customHeight="1" x14ac:dyDescent="0.2"/>
    <row r="59728" ht="9.9499999999999993" hidden="1" customHeight="1" x14ac:dyDescent="0.2"/>
    <row r="59729" ht="9.9499999999999993" hidden="1" customHeight="1" x14ac:dyDescent="0.2"/>
    <row r="59730" ht="9.9499999999999993" hidden="1" customHeight="1" x14ac:dyDescent="0.2"/>
    <row r="59731" ht="9.9499999999999993" hidden="1" customHeight="1" x14ac:dyDescent="0.2"/>
    <row r="59732" ht="9.9499999999999993" hidden="1" customHeight="1" x14ac:dyDescent="0.2"/>
    <row r="59733" ht="9.9499999999999993" hidden="1" customHeight="1" x14ac:dyDescent="0.2"/>
    <row r="59734" ht="9.9499999999999993" hidden="1" customHeight="1" x14ac:dyDescent="0.2"/>
    <row r="59735" ht="9.9499999999999993" hidden="1" customHeight="1" x14ac:dyDescent="0.2"/>
    <row r="59736" ht="9.9499999999999993" hidden="1" customHeight="1" x14ac:dyDescent="0.2"/>
    <row r="59737" ht="9.9499999999999993" hidden="1" customHeight="1" x14ac:dyDescent="0.2"/>
    <row r="59738" ht="9.9499999999999993" hidden="1" customHeight="1" x14ac:dyDescent="0.2"/>
    <row r="59739" ht="9.9499999999999993" hidden="1" customHeight="1" x14ac:dyDescent="0.2"/>
    <row r="59740" ht="9.9499999999999993" hidden="1" customHeight="1" x14ac:dyDescent="0.2"/>
    <row r="59741" ht="9.9499999999999993" hidden="1" customHeight="1" x14ac:dyDescent="0.2"/>
    <row r="59742" ht="9.9499999999999993" hidden="1" customHeight="1" x14ac:dyDescent="0.2"/>
    <row r="59743" ht="9.9499999999999993" hidden="1" customHeight="1" x14ac:dyDescent="0.2"/>
    <row r="59744" ht="9.9499999999999993" hidden="1" customHeight="1" x14ac:dyDescent="0.2"/>
    <row r="59745" ht="9.9499999999999993" hidden="1" customHeight="1" x14ac:dyDescent="0.2"/>
    <row r="59746" ht="9.9499999999999993" hidden="1" customHeight="1" x14ac:dyDescent="0.2"/>
    <row r="59747" ht="9.9499999999999993" hidden="1" customHeight="1" x14ac:dyDescent="0.2"/>
    <row r="59748" ht="9.9499999999999993" hidden="1" customHeight="1" x14ac:dyDescent="0.2"/>
    <row r="59749" ht="9.9499999999999993" hidden="1" customHeight="1" x14ac:dyDescent="0.2"/>
    <row r="59750" ht="9.9499999999999993" hidden="1" customHeight="1" x14ac:dyDescent="0.2"/>
    <row r="59751" ht="9.9499999999999993" hidden="1" customHeight="1" x14ac:dyDescent="0.2"/>
    <row r="59752" ht="9.9499999999999993" hidden="1" customHeight="1" x14ac:dyDescent="0.2"/>
    <row r="59753" ht="9.9499999999999993" hidden="1" customHeight="1" x14ac:dyDescent="0.2"/>
    <row r="59754" ht="9.9499999999999993" hidden="1" customHeight="1" x14ac:dyDescent="0.2"/>
    <row r="59755" ht="9.9499999999999993" hidden="1" customHeight="1" x14ac:dyDescent="0.2"/>
    <row r="59756" ht="9.9499999999999993" hidden="1" customHeight="1" x14ac:dyDescent="0.2"/>
    <row r="59757" ht="9.9499999999999993" hidden="1" customHeight="1" x14ac:dyDescent="0.2"/>
    <row r="59758" ht="9.9499999999999993" hidden="1" customHeight="1" x14ac:dyDescent="0.2"/>
    <row r="59759" ht="9.9499999999999993" hidden="1" customHeight="1" x14ac:dyDescent="0.2"/>
    <row r="59760" ht="9.9499999999999993" hidden="1" customHeight="1" x14ac:dyDescent="0.2"/>
    <row r="59761" ht="9.9499999999999993" hidden="1" customHeight="1" x14ac:dyDescent="0.2"/>
    <row r="59762" ht="9.9499999999999993" hidden="1" customHeight="1" x14ac:dyDescent="0.2"/>
    <row r="59763" ht="9.9499999999999993" hidden="1" customHeight="1" x14ac:dyDescent="0.2"/>
    <row r="59764" ht="9.9499999999999993" hidden="1" customHeight="1" x14ac:dyDescent="0.2"/>
    <row r="59765" ht="9.9499999999999993" hidden="1" customHeight="1" x14ac:dyDescent="0.2"/>
    <row r="59766" ht="9.9499999999999993" hidden="1" customHeight="1" x14ac:dyDescent="0.2"/>
    <row r="59767" ht="9.9499999999999993" hidden="1" customHeight="1" x14ac:dyDescent="0.2"/>
    <row r="59768" ht="9.9499999999999993" hidden="1" customHeight="1" x14ac:dyDescent="0.2"/>
    <row r="59769" ht="9.9499999999999993" hidden="1" customHeight="1" x14ac:dyDescent="0.2"/>
    <row r="59770" ht="9.9499999999999993" hidden="1" customHeight="1" x14ac:dyDescent="0.2"/>
    <row r="59771" ht="9.9499999999999993" hidden="1" customHeight="1" x14ac:dyDescent="0.2"/>
    <row r="59772" ht="9.9499999999999993" hidden="1" customHeight="1" x14ac:dyDescent="0.2"/>
    <row r="59773" ht="9.9499999999999993" hidden="1" customHeight="1" x14ac:dyDescent="0.2"/>
    <row r="59774" ht="9.9499999999999993" hidden="1" customHeight="1" x14ac:dyDescent="0.2"/>
    <row r="59775" ht="9.9499999999999993" hidden="1" customHeight="1" x14ac:dyDescent="0.2"/>
    <row r="59776" ht="9.9499999999999993" hidden="1" customHeight="1" x14ac:dyDescent="0.2"/>
    <row r="59777" ht="9.9499999999999993" hidden="1" customHeight="1" x14ac:dyDescent="0.2"/>
    <row r="59778" ht="9.9499999999999993" hidden="1" customHeight="1" x14ac:dyDescent="0.2"/>
    <row r="59779" ht="9.9499999999999993" hidden="1" customHeight="1" x14ac:dyDescent="0.2"/>
    <row r="59780" ht="9.9499999999999993" hidden="1" customHeight="1" x14ac:dyDescent="0.2"/>
    <row r="59781" ht="9.9499999999999993" hidden="1" customHeight="1" x14ac:dyDescent="0.2"/>
    <row r="59782" ht="9.9499999999999993" hidden="1" customHeight="1" x14ac:dyDescent="0.2"/>
    <row r="59783" ht="9.9499999999999993" hidden="1" customHeight="1" x14ac:dyDescent="0.2"/>
    <row r="59784" ht="9.9499999999999993" hidden="1" customHeight="1" x14ac:dyDescent="0.2"/>
    <row r="59785" ht="9.9499999999999993" hidden="1" customHeight="1" x14ac:dyDescent="0.2"/>
    <row r="59786" ht="9.9499999999999993" hidden="1" customHeight="1" x14ac:dyDescent="0.2"/>
    <row r="59787" ht="9.9499999999999993" hidden="1" customHeight="1" x14ac:dyDescent="0.2"/>
    <row r="59788" ht="9.9499999999999993" hidden="1" customHeight="1" x14ac:dyDescent="0.2"/>
    <row r="59789" ht="9.9499999999999993" hidden="1" customHeight="1" x14ac:dyDescent="0.2"/>
    <row r="59790" ht="9.9499999999999993" hidden="1" customHeight="1" x14ac:dyDescent="0.2"/>
    <row r="59791" ht="9.9499999999999993" hidden="1" customHeight="1" x14ac:dyDescent="0.2"/>
    <row r="59792" ht="9.9499999999999993" hidden="1" customHeight="1" x14ac:dyDescent="0.2"/>
    <row r="59793" ht="9.9499999999999993" hidden="1" customHeight="1" x14ac:dyDescent="0.2"/>
    <row r="59794" ht="9.9499999999999993" hidden="1" customHeight="1" x14ac:dyDescent="0.2"/>
    <row r="59795" ht="9.9499999999999993" hidden="1" customHeight="1" x14ac:dyDescent="0.2"/>
    <row r="59796" ht="9.9499999999999993" hidden="1" customHeight="1" x14ac:dyDescent="0.2"/>
    <row r="59797" ht="9.9499999999999993" hidden="1" customHeight="1" x14ac:dyDescent="0.2"/>
    <row r="59798" ht="9.9499999999999993" hidden="1" customHeight="1" x14ac:dyDescent="0.2"/>
    <row r="59799" ht="9.9499999999999993" hidden="1" customHeight="1" x14ac:dyDescent="0.2"/>
    <row r="59800" ht="9.9499999999999993" hidden="1" customHeight="1" x14ac:dyDescent="0.2"/>
    <row r="59801" ht="9.9499999999999993" hidden="1" customHeight="1" x14ac:dyDescent="0.2"/>
    <row r="59802" ht="9.9499999999999993" hidden="1" customHeight="1" x14ac:dyDescent="0.2"/>
    <row r="59803" ht="9.9499999999999993" hidden="1" customHeight="1" x14ac:dyDescent="0.2"/>
    <row r="59804" ht="9.9499999999999993" hidden="1" customHeight="1" x14ac:dyDescent="0.2"/>
    <row r="59805" ht="9.9499999999999993" hidden="1" customHeight="1" x14ac:dyDescent="0.2"/>
    <row r="59806" ht="9.9499999999999993" hidden="1" customHeight="1" x14ac:dyDescent="0.2"/>
    <row r="59807" ht="9.9499999999999993" hidden="1" customHeight="1" x14ac:dyDescent="0.2"/>
    <row r="59808" ht="9.9499999999999993" hidden="1" customHeight="1" x14ac:dyDescent="0.2"/>
    <row r="59809" ht="9.9499999999999993" hidden="1" customHeight="1" x14ac:dyDescent="0.2"/>
    <row r="59810" ht="9.9499999999999993" hidden="1" customHeight="1" x14ac:dyDescent="0.2"/>
    <row r="59811" ht="9.9499999999999993" hidden="1" customHeight="1" x14ac:dyDescent="0.2"/>
    <row r="59812" ht="9.9499999999999993" hidden="1" customHeight="1" x14ac:dyDescent="0.2"/>
    <row r="59813" ht="9.9499999999999993" hidden="1" customHeight="1" x14ac:dyDescent="0.2"/>
    <row r="59814" ht="9.9499999999999993" hidden="1" customHeight="1" x14ac:dyDescent="0.2"/>
    <row r="59815" ht="9.9499999999999993" hidden="1" customHeight="1" x14ac:dyDescent="0.2"/>
    <row r="59816" ht="9.9499999999999993" hidden="1" customHeight="1" x14ac:dyDescent="0.2"/>
    <row r="59817" ht="9.9499999999999993" hidden="1" customHeight="1" x14ac:dyDescent="0.2"/>
    <row r="59818" ht="9.9499999999999993" hidden="1" customHeight="1" x14ac:dyDescent="0.2"/>
    <row r="59819" ht="9.9499999999999993" hidden="1" customHeight="1" x14ac:dyDescent="0.2"/>
    <row r="59820" ht="9.9499999999999993" hidden="1" customHeight="1" x14ac:dyDescent="0.2"/>
    <row r="59821" ht="9.9499999999999993" hidden="1" customHeight="1" x14ac:dyDescent="0.2"/>
    <row r="59822" ht="9.9499999999999993" hidden="1" customHeight="1" x14ac:dyDescent="0.2"/>
    <row r="59823" ht="9.9499999999999993" hidden="1" customHeight="1" x14ac:dyDescent="0.2"/>
    <row r="59824" ht="9.9499999999999993" hidden="1" customHeight="1" x14ac:dyDescent="0.2"/>
    <row r="59825" ht="9.9499999999999993" hidden="1" customHeight="1" x14ac:dyDescent="0.2"/>
    <row r="59826" ht="9.9499999999999993" hidden="1" customHeight="1" x14ac:dyDescent="0.2"/>
    <row r="59827" ht="9.9499999999999993" hidden="1" customHeight="1" x14ac:dyDescent="0.2"/>
    <row r="59828" ht="9.9499999999999993" hidden="1" customHeight="1" x14ac:dyDescent="0.2"/>
    <row r="59829" ht="9.9499999999999993" hidden="1" customHeight="1" x14ac:dyDescent="0.2"/>
    <row r="59830" ht="9.9499999999999993" hidden="1" customHeight="1" x14ac:dyDescent="0.2"/>
    <row r="59831" ht="9.9499999999999993" hidden="1" customHeight="1" x14ac:dyDescent="0.2"/>
    <row r="59832" ht="9.9499999999999993" hidden="1" customHeight="1" x14ac:dyDescent="0.2"/>
    <row r="59833" ht="9.9499999999999993" hidden="1" customHeight="1" x14ac:dyDescent="0.2"/>
    <row r="59834" ht="9.9499999999999993" hidden="1" customHeight="1" x14ac:dyDescent="0.2"/>
    <row r="59835" ht="9.9499999999999993" hidden="1" customHeight="1" x14ac:dyDescent="0.2"/>
    <row r="59836" ht="9.9499999999999993" hidden="1" customHeight="1" x14ac:dyDescent="0.2"/>
    <row r="59837" ht="9.9499999999999993" hidden="1" customHeight="1" x14ac:dyDescent="0.2"/>
    <row r="59838" ht="9.9499999999999993" hidden="1" customHeight="1" x14ac:dyDescent="0.2"/>
    <row r="59839" ht="9.9499999999999993" hidden="1" customHeight="1" x14ac:dyDescent="0.2"/>
    <row r="59840" ht="9.9499999999999993" hidden="1" customHeight="1" x14ac:dyDescent="0.2"/>
    <row r="59841" ht="9.9499999999999993" hidden="1" customHeight="1" x14ac:dyDescent="0.2"/>
    <row r="59842" ht="9.9499999999999993" hidden="1" customHeight="1" x14ac:dyDescent="0.2"/>
    <row r="59843" ht="9.9499999999999993" hidden="1" customHeight="1" x14ac:dyDescent="0.2"/>
    <row r="59844" ht="9.9499999999999993" hidden="1" customHeight="1" x14ac:dyDescent="0.2"/>
    <row r="59845" ht="9.9499999999999993" hidden="1" customHeight="1" x14ac:dyDescent="0.2"/>
    <row r="59846" ht="9.9499999999999993" hidden="1" customHeight="1" x14ac:dyDescent="0.2"/>
    <row r="59847" ht="9.9499999999999993" hidden="1" customHeight="1" x14ac:dyDescent="0.2"/>
    <row r="59848" ht="9.9499999999999993" hidden="1" customHeight="1" x14ac:dyDescent="0.2"/>
    <row r="59849" ht="9.9499999999999993" hidden="1" customHeight="1" x14ac:dyDescent="0.2"/>
    <row r="59850" ht="9.9499999999999993" hidden="1" customHeight="1" x14ac:dyDescent="0.2"/>
    <row r="59851" ht="9.9499999999999993" hidden="1" customHeight="1" x14ac:dyDescent="0.2"/>
    <row r="59852" ht="9.9499999999999993" hidden="1" customHeight="1" x14ac:dyDescent="0.2"/>
    <row r="59853" ht="9.9499999999999993" hidden="1" customHeight="1" x14ac:dyDescent="0.2"/>
    <row r="59854" ht="9.9499999999999993" hidden="1" customHeight="1" x14ac:dyDescent="0.2"/>
    <row r="59855" ht="9.9499999999999993" hidden="1" customHeight="1" x14ac:dyDescent="0.2"/>
    <row r="59856" ht="9.9499999999999993" hidden="1" customHeight="1" x14ac:dyDescent="0.2"/>
    <row r="59857" ht="9.9499999999999993" hidden="1" customHeight="1" x14ac:dyDescent="0.2"/>
    <row r="59858" ht="9.9499999999999993" hidden="1" customHeight="1" x14ac:dyDescent="0.2"/>
    <row r="59859" ht="9.9499999999999993" hidden="1" customHeight="1" x14ac:dyDescent="0.2"/>
    <row r="59860" ht="9.9499999999999993" hidden="1" customHeight="1" x14ac:dyDescent="0.2"/>
    <row r="59861" ht="9.9499999999999993" hidden="1" customHeight="1" x14ac:dyDescent="0.2"/>
    <row r="59862" ht="9.9499999999999993" hidden="1" customHeight="1" x14ac:dyDescent="0.2"/>
    <row r="59863" ht="9.9499999999999993" hidden="1" customHeight="1" x14ac:dyDescent="0.2"/>
    <row r="59864" ht="9.9499999999999993" hidden="1" customHeight="1" x14ac:dyDescent="0.2"/>
    <row r="59865" ht="9.9499999999999993" hidden="1" customHeight="1" x14ac:dyDescent="0.2"/>
    <row r="59866" ht="9.9499999999999993" hidden="1" customHeight="1" x14ac:dyDescent="0.2"/>
    <row r="59867" ht="9.9499999999999993" hidden="1" customHeight="1" x14ac:dyDescent="0.2"/>
    <row r="59868" ht="9.9499999999999993" hidden="1" customHeight="1" x14ac:dyDescent="0.2"/>
    <row r="59869" ht="9.9499999999999993" hidden="1" customHeight="1" x14ac:dyDescent="0.2"/>
    <row r="59870" ht="9.9499999999999993" hidden="1" customHeight="1" x14ac:dyDescent="0.2"/>
    <row r="59871" ht="9.9499999999999993" hidden="1" customHeight="1" x14ac:dyDescent="0.2"/>
    <row r="59872" ht="9.9499999999999993" hidden="1" customHeight="1" x14ac:dyDescent="0.2"/>
    <row r="59873" ht="9.9499999999999993" hidden="1" customHeight="1" x14ac:dyDescent="0.2"/>
    <row r="59874" ht="9.9499999999999993" hidden="1" customHeight="1" x14ac:dyDescent="0.2"/>
    <row r="59875" ht="9.9499999999999993" hidden="1" customHeight="1" x14ac:dyDescent="0.2"/>
    <row r="59876" ht="9.9499999999999993" hidden="1" customHeight="1" x14ac:dyDescent="0.2"/>
    <row r="59877" ht="9.9499999999999993" hidden="1" customHeight="1" x14ac:dyDescent="0.2"/>
    <row r="59878" ht="9.9499999999999993" hidden="1" customHeight="1" x14ac:dyDescent="0.2"/>
    <row r="59879" ht="9.9499999999999993" hidden="1" customHeight="1" x14ac:dyDescent="0.2"/>
    <row r="59880" ht="9.9499999999999993" hidden="1" customHeight="1" x14ac:dyDescent="0.2"/>
    <row r="59881" ht="9.9499999999999993" hidden="1" customHeight="1" x14ac:dyDescent="0.2"/>
    <row r="59882" ht="9.9499999999999993" hidden="1" customHeight="1" x14ac:dyDescent="0.2"/>
    <row r="59883" ht="9.9499999999999993" hidden="1" customHeight="1" x14ac:dyDescent="0.2"/>
    <row r="59884" ht="9.9499999999999993" hidden="1" customHeight="1" x14ac:dyDescent="0.2"/>
    <row r="59885" ht="9.9499999999999993" hidden="1" customHeight="1" x14ac:dyDescent="0.2"/>
    <row r="59886" ht="9.9499999999999993" hidden="1" customHeight="1" x14ac:dyDescent="0.2"/>
    <row r="59887" ht="9.9499999999999993" hidden="1" customHeight="1" x14ac:dyDescent="0.2"/>
    <row r="59888" ht="9.9499999999999993" hidden="1" customHeight="1" x14ac:dyDescent="0.2"/>
    <row r="59889" ht="9.9499999999999993" hidden="1" customHeight="1" x14ac:dyDescent="0.2"/>
    <row r="59890" ht="9.9499999999999993" hidden="1" customHeight="1" x14ac:dyDescent="0.2"/>
    <row r="59891" ht="9.9499999999999993" hidden="1" customHeight="1" x14ac:dyDescent="0.2"/>
    <row r="59892" ht="9.9499999999999993" hidden="1" customHeight="1" x14ac:dyDescent="0.2"/>
    <row r="59893" ht="9.9499999999999993" hidden="1" customHeight="1" x14ac:dyDescent="0.2"/>
    <row r="59894" ht="9.9499999999999993" hidden="1" customHeight="1" x14ac:dyDescent="0.2"/>
    <row r="59895" ht="9.9499999999999993" hidden="1" customHeight="1" x14ac:dyDescent="0.2"/>
    <row r="59896" ht="9.9499999999999993" hidden="1" customHeight="1" x14ac:dyDescent="0.2"/>
    <row r="59897" ht="9.9499999999999993" hidden="1" customHeight="1" x14ac:dyDescent="0.2"/>
    <row r="59898" ht="9.9499999999999993" hidden="1" customHeight="1" x14ac:dyDescent="0.2"/>
    <row r="59899" ht="9.9499999999999993" hidden="1" customHeight="1" x14ac:dyDescent="0.2"/>
    <row r="59900" ht="9.9499999999999993" hidden="1" customHeight="1" x14ac:dyDescent="0.2"/>
    <row r="59901" ht="9.9499999999999993" hidden="1" customHeight="1" x14ac:dyDescent="0.2"/>
    <row r="59902" ht="9.9499999999999993" hidden="1" customHeight="1" x14ac:dyDescent="0.2"/>
    <row r="59903" ht="9.9499999999999993" hidden="1" customHeight="1" x14ac:dyDescent="0.2"/>
    <row r="59904" ht="9.9499999999999993" hidden="1" customHeight="1" x14ac:dyDescent="0.2"/>
    <row r="59905" ht="9.9499999999999993" hidden="1" customHeight="1" x14ac:dyDescent="0.2"/>
    <row r="59906" ht="9.9499999999999993" hidden="1" customHeight="1" x14ac:dyDescent="0.2"/>
    <row r="59907" ht="9.9499999999999993" hidden="1" customHeight="1" x14ac:dyDescent="0.2"/>
    <row r="59908" ht="9.9499999999999993" hidden="1" customHeight="1" x14ac:dyDescent="0.2"/>
    <row r="59909" ht="9.9499999999999993" hidden="1" customHeight="1" x14ac:dyDescent="0.2"/>
    <row r="59910" ht="9.9499999999999993" hidden="1" customHeight="1" x14ac:dyDescent="0.2"/>
    <row r="59911" ht="9.9499999999999993" hidden="1" customHeight="1" x14ac:dyDescent="0.2"/>
    <row r="59912" ht="9.9499999999999993" hidden="1" customHeight="1" x14ac:dyDescent="0.2"/>
    <row r="59913" ht="9.9499999999999993" hidden="1" customHeight="1" x14ac:dyDescent="0.2"/>
    <row r="59914" ht="9.9499999999999993" hidden="1" customHeight="1" x14ac:dyDescent="0.2"/>
    <row r="59915" ht="9.9499999999999993" hidden="1" customHeight="1" x14ac:dyDescent="0.2"/>
    <row r="59916" ht="9.9499999999999993" hidden="1" customHeight="1" x14ac:dyDescent="0.2"/>
    <row r="59917" ht="9.9499999999999993" hidden="1" customHeight="1" x14ac:dyDescent="0.2"/>
    <row r="59918" ht="9.9499999999999993" hidden="1" customHeight="1" x14ac:dyDescent="0.2"/>
    <row r="59919" ht="9.9499999999999993" hidden="1" customHeight="1" x14ac:dyDescent="0.2"/>
    <row r="59920" ht="9.9499999999999993" hidden="1" customHeight="1" x14ac:dyDescent="0.2"/>
    <row r="59921" ht="9.9499999999999993" hidden="1" customHeight="1" x14ac:dyDescent="0.2"/>
    <row r="59922" ht="9.9499999999999993" hidden="1" customHeight="1" x14ac:dyDescent="0.2"/>
    <row r="59923" ht="9.9499999999999993" hidden="1" customHeight="1" x14ac:dyDescent="0.2"/>
    <row r="59924" ht="9.9499999999999993" hidden="1" customHeight="1" x14ac:dyDescent="0.2"/>
    <row r="59925" ht="9.9499999999999993" hidden="1" customHeight="1" x14ac:dyDescent="0.2"/>
    <row r="59926" ht="9.9499999999999993" hidden="1" customHeight="1" x14ac:dyDescent="0.2"/>
    <row r="59927" ht="9.9499999999999993" hidden="1" customHeight="1" x14ac:dyDescent="0.2"/>
    <row r="59928" ht="9.9499999999999993" hidden="1" customHeight="1" x14ac:dyDescent="0.2"/>
    <row r="59929" ht="9.9499999999999993" hidden="1" customHeight="1" x14ac:dyDescent="0.2"/>
    <row r="59930" ht="9.9499999999999993" hidden="1" customHeight="1" x14ac:dyDescent="0.2"/>
    <row r="59931" ht="9.9499999999999993" hidden="1" customHeight="1" x14ac:dyDescent="0.2"/>
    <row r="59932" ht="9.9499999999999993" hidden="1" customHeight="1" x14ac:dyDescent="0.2"/>
    <row r="59933" ht="9.9499999999999993" hidden="1" customHeight="1" x14ac:dyDescent="0.2"/>
    <row r="59934" ht="9.9499999999999993" hidden="1" customHeight="1" x14ac:dyDescent="0.2"/>
    <row r="59935" ht="9.9499999999999993" hidden="1" customHeight="1" x14ac:dyDescent="0.2"/>
    <row r="59936" ht="9.9499999999999993" hidden="1" customHeight="1" x14ac:dyDescent="0.2"/>
    <row r="59937" ht="9.9499999999999993" hidden="1" customHeight="1" x14ac:dyDescent="0.2"/>
    <row r="59938" ht="9.9499999999999993" hidden="1" customHeight="1" x14ac:dyDescent="0.2"/>
    <row r="59939" ht="9.9499999999999993" hidden="1" customHeight="1" x14ac:dyDescent="0.2"/>
    <row r="59940" ht="9.9499999999999993" hidden="1" customHeight="1" x14ac:dyDescent="0.2"/>
    <row r="59941" ht="9.9499999999999993" hidden="1" customHeight="1" x14ac:dyDescent="0.2"/>
    <row r="59942" ht="9.9499999999999993" hidden="1" customHeight="1" x14ac:dyDescent="0.2"/>
    <row r="59943" ht="9.9499999999999993" hidden="1" customHeight="1" x14ac:dyDescent="0.2"/>
    <row r="59944" ht="9.9499999999999993" hidden="1" customHeight="1" x14ac:dyDescent="0.2"/>
    <row r="59945" ht="9.9499999999999993" hidden="1" customHeight="1" x14ac:dyDescent="0.2"/>
    <row r="59946" ht="9.9499999999999993" hidden="1" customHeight="1" x14ac:dyDescent="0.2"/>
    <row r="59947" ht="9.9499999999999993" hidden="1" customHeight="1" x14ac:dyDescent="0.2"/>
    <row r="59948" ht="9.9499999999999993" hidden="1" customHeight="1" x14ac:dyDescent="0.2"/>
    <row r="59949" ht="9.9499999999999993" hidden="1" customHeight="1" x14ac:dyDescent="0.2"/>
    <row r="59950" ht="9.9499999999999993" hidden="1" customHeight="1" x14ac:dyDescent="0.2"/>
    <row r="59951" ht="9.9499999999999993" hidden="1" customHeight="1" x14ac:dyDescent="0.2"/>
    <row r="59952" ht="9.9499999999999993" hidden="1" customHeight="1" x14ac:dyDescent="0.2"/>
    <row r="59953" ht="9.9499999999999993" hidden="1" customHeight="1" x14ac:dyDescent="0.2"/>
    <row r="59954" ht="9.9499999999999993" hidden="1" customHeight="1" x14ac:dyDescent="0.2"/>
    <row r="59955" ht="9.9499999999999993" hidden="1" customHeight="1" x14ac:dyDescent="0.2"/>
    <row r="59956" ht="9.9499999999999993" hidden="1" customHeight="1" x14ac:dyDescent="0.2"/>
    <row r="59957" ht="9.9499999999999993" hidden="1" customHeight="1" x14ac:dyDescent="0.2"/>
    <row r="59958" ht="9.9499999999999993" hidden="1" customHeight="1" x14ac:dyDescent="0.2"/>
    <row r="59959" ht="9.9499999999999993" hidden="1" customHeight="1" x14ac:dyDescent="0.2"/>
    <row r="59960" ht="9.9499999999999993" hidden="1" customHeight="1" x14ac:dyDescent="0.2"/>
    <row r="59961" ht="9.9499999999999993" hidden="1" customHeight="1" x14ac:dyDescent="0.2"/>
    <row r="59962" ht="9.9499999999999993" hidden="1" customHeight="1" x14ac:dyDescent="0.2"/>
    <row r="59963" ht="9.9499999999999993" hidden="1" customHeight="1" x14ac:dyDescent="0.2"/>
    <row r="59964" ht="9.9499999999999993" hidden="1" customHeight="1" x14ac:dyDescent="0.2"/>
    <row r="59965" ht="9.9499999999999993" hidden="1" customHeight="1" x14ac:dyDescent="0.2"/>
    <row r="59966" ht="9.9499999999999993" hidden="1" customHeight="1" x14ac:dyDescent="0.2"/>
    <row r="59967" ht="9.9499999999999993" hidden="1" customHeight="1" x14ac:dyDescent="0.2"/>
    <row r="59968" ht="9.9499999999999993" hidden="1" customHeight="1" x14ac:dyDescent="0.2"/>
    <row r="59969" ht="9.9499999999999993" hidden="1" customHeight="1" x14ac:dyDescent="0.2"/>
    <row r="59970" ht="9.9499999999999993" hidden="1" customHeight="1" x14ac:dyDescent="0.2"/>
    <row r="59971" ht="9.9499999999999993" hidden="1" customHeight="1" x14ac:dyDescent="0.2"/>
    <row r="59972" ht="9.9499999999999993" hidden="1" customHeight="1" x14ac:dyDescent="0.2"/>
    <row r="59973" ht="9.9499999999999993" hidden="1" customHeight="1" x14ac:dyDescent="0.2"/>
    <row r="59974" ht="9.9499999999999993" hidden="1" customHeight="1" x14ac:dyDescent="0.2"/>
    <row r="59975" ht="9.9499999999999993" hidden="1" customHeight="1" x14ac:dyDescent="0.2"/>
    <row r="59976" ht="9.9499999999999993" hidden="1" customHeight="1" x14ac:dyDescent="0.2"/>
    <row r="59977" ht="9.9499999999999993" hidden="1" customHeight="1" x14ac:dyDescent="0.2"/>
    <row r="59978" ht="9.9499999999999993" hidden="1" customHeight="1" x14ac:dyDescent="0.2"/>
    <row r="59979" ht="9.9499999999999993" hidden="1" customHeight="1" x14ac:dyDescent="0.2"/>
    <row r="59980" ht="9.9499999999999993" hidden="1" customHeight="1" x14ac:dyDescent="0.2"/>
    <row r="59981" ht="9.9499999999999993" hidden="1" customHeight="1" x14ac:dyDescent="0.2"/>
    <row r="59982" ht="9.9499999999999993" hidden="1" customHeight="1" x14ac:dyDescent="0.2"/>
    <row r="59983" ht="9.9499999999999993" hidden="1" customHeight="1" x14ac:dyDescent="0.2"/>
    <row r="59984" ht="9.9499999999999993" hidden="1" customHeight="1" x14ac:dyDescent="0.2"/>
    <row r="59985" ht="9.9499999999999993" hidden="1" customHeight="1" x14ac:dyDescent="0.2"/>
    <row r="59986" ht="9.9499999999999993" hidden="1" customHeight="1" x14ac:dyDescent="0.2"/>
    <row r="59987" ht="9.9499999999999993" hidden="1" customHeight="1" x14ac:dyDescent="0.2"/>
    <row r="59988" ht="9.9499999999999993" hidden="1" customHeight="1" x14ac:dyDescent="0.2"/>
    <row r="59989" ht="9.9499999999999993" hidden="1" customHeight="1" x14ac:dyDescent="0.2"/>
    <row r="59990" ht="9.9499999999999993" hidden="1" customHeight="1" x14ac:dyDescent="0.2"/>
    <row r="59991" ht="9.9499999999999993" hidden="1" customHeight="1" x14ac:dyDescent="0.2"/>
    <row r="59992" ht="9.9499999999999993" hidden="1" customHeight="1" x14ac:dyDescent="0.2"/>
    <row r="59993" ht="9.9499999999999993" hidden="1" customHeight="1" x14ac:dyDescent="0.2"/>
    <row r="59994" ht="9.9499999999999993" hidden="1" customHeight="1" x14ac:dyDescent="0.2"/>
    <row r="59995" ht="9.9499999999999993" hidden="1" customHeight="1" x14ac:dyDescent="0.2"/>
    <row r="59996" ht="9.9499999999999993" hidden="1" customHeight="1" x14ac:dyDescent="0.2"/>
    <row r="59997" ht="9.9499999999999993" hidden="1" customHeight="1" x14ac:dyDescent="0.2"/>
    <row r="59998" ht="9.9499999999999993" hidden="1" customHeight="1" x14ac:dyDescent="0.2"/>
    <row r="59999" ht="9.9499999999999993" hidden="1" customHeight="1" x14ac:dyDescent="0.2"/>
    <row r="60000" ht="9.9499999999999993" hidden="1" customHeight="1" x14ac:dyDescent="0.2"/>
    <row r="60001" ht="9.9499999999999993" hidden="1" customHeight="1" x14ac:dyDescent="0.2"/>
    <row r="60002" ht="9.9499999999999993" hidden="1" customHeight="1" x14ac:dyDescent="0.2"/>
    <row r="60003" ht="9.9499999999999993" hidden="1" customHeight="1" x14ac:dyDescent="0.2"/>
    <row r="60004" ht="9.9499999999999993" hidden="1" customHeight="1" x14ac:dyDescent="0.2"/>
    <row r="60005" ht="9.9499999999999993" hidden="1" customHeight="1" x14ac:dyDescent="0.2"/>
    <row r="60006" ht="9.9499999999999993" hidden="1" customHeight="1" x14ac:dyDescent="0.2"/>
    <row r="60007" ht="9.9499999999999993" hidden="1" customHeight="1" x14ac:dyDescent="0.2"/>
    <row r="60008" ht="9.9499999999999993" hidden="1" customHeight="1" x14ac:dyDescent="0.2"/>
    <row r="60009" ht="9.9499999999999993" hidden="1" customHeight="1" x14ac:dyDescent="0.2"/>
    <row r="60010" ht="9.9499999999999993" hidden="1" customHeight="1" x14ac:dyDescent="0.2"/>
    <row r="60011" ht="9.9499999999999993" hidden="1" customHeight="1" x14ac:dyDescent="0.2"/>
    <row r="60012" ht="9.9499999999999993" hidden="1" customHeight="1" x14ac:dyDescent="0.2"/>
    <row r="60013" ht="9.9499999999999993" hidden="1" customHeight="1" x14ac:dyDescent="0.2"/>
    <row r="60014" ht="9.9499999999999993" hidden="1" customHeight="1" x14ac:dyDescent="0.2"/>
    <row r="60015" ht="9.9499999999999993" hidden="1" customHeight="1" x14ac:dyDescent="0.2"/>
    <row r="60016" ht="9.9499999999999993" hidden="1" customHeight="1" x14ac:dyDescent="0.2"/>
    <row r="60017" ht="9.9499999999999993" hidden="1" customHeight="1" x14ac:dyDescent="0.2"/>
    <row r="60018" ht="9.9499999999999993" hidden="1" customHeight="1" x14ac:dyDescent="0.2"/>
    <row r="60019" ht="9.9499999999999993" hidden="1" customHeight="1" x14ac:dyDescent="0.2"/>
    <row r="60020" ht="9.9499999999999993" hidden="1" customHeight="1" x14ac:dyDescent="0.2"/>
    <row r="60021" ht="9.9499999999999993" hidden="1" customHeight="1" x14ac:dyDescent="0.2"/>
    <row r="60022" ht="9.9499999999999993" hidden="1" customHeight="1" x14ac:dyDescent="0.2"/>
    <row r="60023" ht="9.9499999999999993" hidden="1" customHeight="1" x14ac:dyDescent="0.2"/>
    <row r="60024" ht="9.9499999999999993" hidden="1" customHeight="1" x14ac:dyDescent="0.2"/>
    <row r="60025" ht="9.9499999999999993" hidden="1" customHeight="1" x14ac:dyDescent="0.2"/>
    <row r="60026" ht="9.9499999999999993" hidden="1" customHeight="1" x14ac:dyDescent="0.2"/>
    <row r="60027" ht="9.9499999999999993" hidden="1" customHeight="1" x14ac:dyDescent="0.2"/>
    <row r="60028" ht="9.9499999999999993" hidden="1" customHeight="1" x14ac:dyDescent="0.2"/>
    <row r="60029" ht="9.9499999999999993" hidden="1" customHeight="1" x14ac:dyDescent="0.2"/>
    <row r="60030" ht="9.9499999999999993" hidden="1" customHeight="1" x14ac:dyDescent="0.2"/>
    <row r="60031" ht="9.9499999999999993" hidden="1" customHeight="1" x14ac:dyDescent="0.2"/>
    <row r="60032" ht="9.9499999999999993" hidden="1" customHeight="1" x14ac:dyDescent="0.2"/>
    <row r="60033" ht="9.9499999999999993" hidden="1" customHeight="1" x14ac:dyDescent="0.2"/>
    <row r="60034" ht="9.9499999999999993" hidden="1" customHeight="1" x14ac:dyDescent="0.2"/>
    <row r="60035" ht="9.9499999999999993" hidden="1" customHeight="1" x14ac:dyDescent="0.2"/>
    <row r="60036" ht="9.9499999999999993" hidden="1" customHeight="1" x14ac:dyDescent="0.2"/>
    <row r="60037" ht="9.9499999999999993" hidden="1" customHeight="1" x14ac:dyDescent="0.2"/>
    <row r="60038" ht="9.9499999999999993" hidden="1" customHeight="1" x14ac:dyDescent="0.2"/>
    <row r="60039" ht="9.9499999999999993" hidden="1" customHeight="1" x14ac:dyDescent="0.2"/>
    <row r="60040" ht="9.9499999999999993" hidden="1" customHeight="1" x14ac:dyDescent="0.2"/>
    <row r="60041" ht="9.9499999999999993" hidden="1" customHeight="1" x14ac:dyDescent="0.2"/>
    <row r="60042" ht="9.9499999999999993" hidden="1" customHeight="1" x14ac:dyDescent="0.2"/>
    <row r="60043" ht="9.9499999999999993" hidden="1" customHeight="1" x14ac:dyDescent="0.2"/>
    <row r="60044" ht="9.9499999999999993" hidden="1" customHeight="1" x14ac:dyDescent="0.2"/>
    <row r="60045" ht="9.9499999999999993" hidden="1" customHeight="1" x14ac:dyDescent="0.2"/>
    <row r="60046" ht="9.9499999999999993" hidden="1" customHeight="1" x14ac:dyDescent="0.2"/>
    <row r="60047" ht="9.9499999999999993" hidden="1" customHeight="1" x14ac:dyDescent="0.2"/>
    <row r="60048" ht="9.9499999999999993" hidden="1" customHeight="1" x14ac:dyDescent="0.2"/>
    <row r="60049" ht="9.9499999999999993" hidden="1" customHeight="1" x14ac:dyDescent="0.2"/>
    <row r="60050" ht="9.9499999999999993" hidden="1" customHeight="1" x14ac:dyDescent="0.2"/>
    <row r="60051" ht="9.9499999999999993" hidden="1" customHeight="1" x14ac:dyDescent="0.2"/>
    <row r="60052" ht="9.9499999999999993" hidden="1" customHeight="1" x14ac:dyDescent="0.2"/>
    <row r="60053" ht="9.9499999999999993" hidden="1" customHeight="1" x14ac:dyDescent="0.2"/>
    <row r="60054" ht="9.9499999999999993" hidden="1" customHeight="1" x14ac:dyDescent="0.2"/>
    <row r="60055" ht="9.9499999999999993" hidden="1" customHeight="1" x14ac:dyDescent="0.2"/>
    <row r="60056" ht="9.9499999999999993" hidden="1" customHeight="1" x14ac:dyDescent="0.2"/>
    <row r="60057" ht="9.9499999999999993" hidden="1" customHeight="1" x14ac:dyDescent="0.2"/>
    <row r="60058" ht="9.9499999999999993" hidden="1" customHeight="1" x14ac:dyDescent="0.2"/>
    <row r="60059" ht="9.9499999999999993" hidden="1" customHeight="1" x14ac:dyDescent="0.2"/>
    <row r="60060" ht="9.9499999999999993" hidden="1" customHeight="1" x14ac:dyDescent="0.2"/>
    <row r="60061" ht="9.9499999999999993" hidden="1" customHeight="1" x14ac:dyDescent="0.2"/>
    <row r="60062" ht="9.9499999999999993" hidden="1" customHeight="1" x14ac:dyDescent="0.2"/>
    <row r="60063" ht="9.9499999999999993" hidden="1" customHeight="1" x14ac:dyDescent="0.2"/>
    <row r="60064" ht="9.9499999999999993" hidden="1" customHeight="1" x14ac:dyDescent="0.2"/>
    <row r="60065" ht="9.9499999999999993" hidden="1" customHeight="1" x14ac:dyDescent="0.2"/>
    <row r="60066" ht="9.9499999999999993" hidden="1" customHeight="1" x14ac:dyDescent="0.2"/>
    <row r="60067" ht="9.9499999999999993" hidden="1" customHeight="1" x14ac:dyDescent="0.2"/>
    <row r="60068" ht="9.9499999999999993" hidden="1" customHeight="1" x14ac:dyDescent="0.2"/>
    <row r="60069" ht="9.9499999999999993" hidden="1" customHeight="1" x14ac:dyDescent="0.2"/>
    <row r="60070" ht="9.9499999999999993" hidden="1" customHeight="1" x14ac:dyDescent="0.2"/>
    <row r="60071" ht="9.9499999999999993" hidden="1" customHeight="1" x14ac:dyDescent="0.2"/>
    <row r="60072" ht="9.9499999999999993" hidden="1" customHeight="1" x14ac:dyDescent="0.2"/>
    <row r="60073" ht="9.9499999999999993" hidden="1" customHeight="1" x14ac:dyDescent="0.2"/>
    <row r="60074" ht="9.9499999999999993" hidden="1" customHeight="1" x14ac:dyDescent="0.2"/>
    <row r="60075" ht="9.9499999999999993" hidden="1" customHeight="1" x14ac:dyDescent="0.2"/>
    <row r="60076" ht="9.9499999999999993" hidden="1" customHeight="1" x14ac:dyDescent="0.2"/>
    <row r="60077" ht="9.9499999999999993" hidden="1" customHeight="1" x14ac:dyDescent="0.2"/>
    <row r="60078" ht="9.9499999999999993" hidden="1" customHeight="1" x14ac:dyDescent="0.2"/>
    <row r="60079" ht="9.9499999999999993" hidden="1" customHeight="1" x14ac:dyDescent="0.2"/>
    <row r="60080" ht="9.9499999999999993" hidden="1" customHeight="1" x14ac:dyDescent="0.2"/>
    <row r="60081" ht="9.9499999999999993" hidden="1" customHeight="1" x14ac:dyDescent="0.2"/>
    <row r="60082" ht="9.9499999999999993" hidden="1" customHeight="1" x14ac:dyDescent="0.2"/>
    <row r="60083" ht="9.9499999999999993" hidden="1" customHeight="1" x14ac:dyDescent="0.2"/>
    <row r="60084" ht="9.9499999999999993" hidden="1" customHeight="1" x14ac:dyDescent="0.2"/>
    <row r="60085" ht="9.9499999999999993" hidden="1" customHeight="1" x14ac:dyDescent="0.2"/>
    <row r="60086" ht="9.9499999999999993" hidden="1" customHeight="1" x14ac:dyDescent="0.2"/>
    <row r="60087" ht="9.9499999999999993" hidden="1" customHeight="1" x14ac:dyDescent="0.2"/>
    <row r="60088" ht="9.9499999999999993" hidden="1" customHeight="1" x14ac:dyDescent="0.2"/>
    <row r="60089" ht="9.9499999999999993" hidden="1" customHeight="1" x14ac:dyDescent="0.2"/>
    <row r="60090" ht="9.9499999999999993" hidden="1" customHeight="1" x14ac:dyDescent="0.2"/>
    <row r="60091" ht="9.9499999999999993" hidden="1" customHeight="1" x14ac:dyDescent="0.2"/>
    <row r="60092" ht="9.9499999999999993" hidden="1" customHeight="1" x14ac:dyDescent="0.2"/>
    <row r="60093" ht="9.9499999999999993" hidden="1" customHeight="1" x14ac:dyDescent="0.2"/>
    <row r="60094" ht="9.9499999999999993" hidden="1" customHeight="1" x14ac:dyDescent="0.2"/>
    <row r="60095" ht="9.9499999999999993" hidden="1" customHeight="1" x14ac:dyDescent="0.2"/>
    <row r="60096" ht="9.9499999999999993" hidden="1" customHeight="1" x14ac:dyDescent="0.2"/>
    <row r="60097" ht="9.9499999999999993" hidden="1" customHeight="1" x14ac:dyDescent="0.2"/>
    <row r="60098" ht="9.9499999999999993" hidden="1" customHeight="1" x14ac:dyDescent="0.2"/>
    <row r="60099" ht="9.9499999999999993" hidden="1" customHeight="1" x14ac:dyDescent="0.2"/>
    <row r="60100" ht="9.9499999999999993" hidden="1" customHeight="1" x14ac:dyDescent="0.2"/>
    <row r="60101" ht="9.9499999999999993" hidden="1" customHeight="1" x14ac:dyDescent="0.2"/>
    <row r="60102" ht="9.9499999999999993" hidden="1" customHeight="1" x14ac:dyDescent="0.2"/>
    <row r="60103" ht="9.9499999999999993" hidden="1" customHeight="1" x14ac:dyDescent="0.2"/>
    <row r="60104" ht="9.9499999999999993" hidden="1" customHeight="1" x14ac:dyDescent="0.2"/>
    <row r="60105" ht="9.9499999999999993" hidden="1" customHeight="1" x14ac:dyDescent="0.2"/>
    <row r="60106" ht="9.9499999999999993" hidden="1" customHeight="1" x14ac:dyDescent="0.2"/>
    <row r="60107" ht="9.9499999999999993" hidden="1" customHeight="1" x14ac:dyDescent="0.2"/>
    <row r="60108" ht="9.9499999999999993" hidden="1" customHeight="1" x14ac:dyDescent="0.2"/>
    <row r="60109" ht="9.9499999999999993" hidden="1" customHeight="1" x14ac:dyDescent="0.2"/>
    <row r="60110" ht="9.9499999999999993" hidden="1" customHeight="1" x14ac:dyDescent="0.2"/>
    <row r="60111" ht="9.9499999999999993" hidden="1" customHeight="1" x14ac:dyDescent="0.2"/>
    <row r="60112" ht="9.9499999999999993" hidden="1" customHeight="1" x14ac:dyDescent="0.2"/>
    <row r="60113" ht="9.9499999999999993" hidden="1" customHeight="1" x14ac:dyDescent="0.2"/>
    <row r="60114" ht="9.9499999999999993" hidden="1" customHeight="1" x14ac:dyDescent="0.2"/>
    <row r="60115" ht="9.9499999999999993" hidden="1" customHeight="1" x14ac:dyDescent="0.2"/>
    <row r="60116" ht="9.9499999999999993" hidden="1" customHeight="1" x14ac:dyDescent="0.2"/>
    <row r="60117" ht="9.9499999999999993" hidden="1" customHeight="1" x14ac:dyDescent="0.2"/>
    <row r="60118" ht="9.9499999999999993" hidden="1" customHeight="1" x14ac:dyDescent="0.2"/>
    <row r="60119" ht="9.9499999999999993" hidden="1" customHeight="1" x14ac:dyDescent="0.2"/>
    <row r="60120" ht="9.9499999999999993" hidden="1" customHeight="1" x14ac:dyDescent="0.2"/>
    <row r="60121" ht="9.9499999999999993" hidden="1" customHeight="1" x14ac:dyDescent="0.2"/>
    <row r="60122" ht="9.9499999999999993" hidden="1" customHeight="1" x14ac:dyDescent="0.2"/>
    <row r="60123" ht="9.9499999999999993" hidden="1" customHeight="1" x14ac:dyDescent="0.2"/>
    <row r="60124" ht="9.9499999999999993" hidden="1" customHeight="1" x14ac:dyDescent="0.2"/>
    <row r="60125" ht="9.9499999999999993" hidden="1" customHeight="1" x14ac:dyDescent="0.2"/>
    <row r="60126" ht="9.9499999999999993" hidden="1" customHeight="1" x14ac:dyDescent="0.2"/>
    <row r="60127" ht="9.9499999999999993" hidden="1" customHeight="1" x14ac:dyDescent="0.2"/>
    <row r="60128" ht="9.9499999999999993" hidden="1" customHeight="1" x14ac:dyDescent="0.2"/>
    <row r="60129" ht="9.9499999999999993" hidden="1" customHeight="1" x14ac:dyDescent="0.2"/>
    <row r="60130" ht="9.9499999999999993" hidden="1" customHeight="1" x14ac:dyDescent="0.2"/>
    <row r="60131" ht="9.9499999999999993" hidden="1" customHeight="1" x14ac:dyDescent="0.2"/>
    <row r="60132" ht="9.9499999999999993" hidden="1" customHeight="1" x14ac:dyDescent="0.2"/>
    <row r="60133" ht="9.9499999999999993" hidden="1" customHeight="1" x14ac:dyDescent="0.2"/>
    <row r="60134" ht="9.9499999999999993" hidden="1" customHeight="1" x14ac:dyDescent="0.2"/>
    <row r="60135" ht="9.9499999999999993" hidden="1" customHeight="1" x14ac:dyDescent="0.2"/>
    <row r="60136" ht="9.9499999999999993" hidden="1" customHeight="1" x14ac:dyDescent="0.2"/>
    <row r="60137" ht="9.9499999999999993" hidden="1" customHeight="1" x14ac:dyDescent="0.2"/>
    <row r="60138" ht="9.9499999999999993" hidden="1" customHeight="1" x14ac:dyDescent="0.2"/>
    <row r="60139" ht="9.9499999999999993" hidden="1" customHeight="1" x14ac:dyDescent="0.2"/>
    <row r="60140" ht="9.9499999999999993" hidden="1" customHeight="1" x14ac:dyDescent="0.2"/>
    <row r="60141" ht="9.9499999999999993" hidden="1" customHeight="1" x14ac:dyDescent="0.2"/>
    <row r="60142" ht="9.9499999999999993" hidden="1" customHeight="1" x14ac:dyDescent="0.2"/>
    <row r="60143" ht="9.9499999999999993" hidden="1" customHeight="1" x14ac:dyDescent="0.2"/>
    <row r="60144" ht="9.9499999999999993" hidden="1" customHeight="1" x14ac:dyDescent="0.2"/>
    <row r="60145" ht="9.9499999999999993" hidden="1" customHeight="1" x14ac:dyDescent="0.2"/>
    <row r="60146" ht="9.9499999999999993" hidden="1" customHeight="1" x14ac:dyDescent="0.2"/>
    <row r="60147" ht="9.9499999999999993" hidden="1" customHeight="1" x14ac:dyDescent="0.2"/>
    <row r="60148" ht="9.9499999999999993" hidden="1" customHeight="1" x14ac:dyDescent="0.2"/>
    <row r="60149" ht="9.9499999999999993" hidden="1" customHeight="1" x14ac:dyDescent="0.2"/>
    <row r="60150" ht="9.9499999999999993" hidden="1" customHeight="1" x14ac:dyDescent="0.2"/>
    <row r="60151" ht="9.9499999999999993" hidden="1" customHeight="1" x14ac:dyDescent="0.2"/>
    <row r="60152" ht="9.9499999999999993" hidden="1" customHeight="1" x14ac:dyDescent="0.2"/>
    <row r="60153" ht="9.9499999999999993" hidden="1" customHeight="1" x14ac:dyDescent="0.2"/>
    <row r="60154" ht="9.9499999999999993" hidden="1" customHeight="1" x14ac:dyDescent="0.2"/>
    <row r="60155" ht="9.9499999999999993" hidden="1" customHeight="1" x14ac:dyDescent="0.2"/>
    <row r="60156" ht="9.9499999999999993" hidden="1" customHeight="1" x14ac:dyDescent="0.2"/>
    <row r="60157" ht="9.9499999999999993" hidden="1" customHeight="1" x14ac:dyDescent="0.2"/>
    <row r="60158" ht="9.9499999999999993" hidden="1" customHeight="1" x14ac:dyDescent="0.2"/>
    <row r="60159" ht="9.9499999999999993" hidden="1" customHeight="1" x14ac:dyDescent="0.2"/>
    <row r="60160" ht="9.9499999999999993" hidden="1" customHeight="1" x14ac:dyDescent="0.2"/>
    <row r="60161" ht="9.9499999999999993" hidden="1" customHeight="1" x14ac:dyDescent="0.2"/>
    <row r="60162" ht="9.9499999999999993" hidden="1" customHeight="1" x14ac:dyDescent="0.2"/>
    <row r="60163" ht="9.9499999999999993" hidden="1" customHeight="1" x14ac:dyDescent="0.2"/>
    <row r="60164" ht="9.9499999999999993" hidden="1" customHeight="1" x14ac:dyDescent="0.2"/>
    <row r="60165" ht="9.9499999999999993" hidden="1" customHeight="1" x14ac:dyDescent="0.2"/>
    <row r="60166" ht="9.9499999999999993" hidden="1" customHeight="1" x14ac:dyDescent="0.2"/>
    <row r="60167" ht="9.9499999999999993" hidden="1" customHeight="1" x14ac:dyDescent="0.2"/>
    <row r="60168" ht="9.9499999999999993" hidden="1" customHeight="1" x14ac:dyDescent="0.2"/>
    <row r="60169" ht="9.9499999999999993" hidden="1" customHeight="1" x14ac:dyDescent="0.2"/>
    <row r="60170" ht="9.9499999999999993" hidden="1" customHeight="1" x14ac:dyDescent="0.2"/>
    <row r="60171" ht="9.9499999999999993" hidden="1" customHeight="1" x14ac:dyDescent="0.2"/>
    <row r="60172" ht="9.9499999999999993" hidden="1" customHeight="1" x14ac:dyDescent="0.2"/>
    <row r="60173" ht="9.9499999999999993" hidden="1" customHeight="1" x14ac:dyDescent="0.2"/>
    <row r="60174" ht="9.9499999999999993" hidden="1" customHeight="1" x14ac:dyDescent="0.2"/>
    <row r="60175" ht="9.9499999999999993" hidden="1" customHeight="1" x14ac:dyDescent="0.2"/>
    <row r="60176" ht="9.9499999999999993" hidden="1" customHeight="1" x14ac:dyDescent="0.2"/>
    <row r="60177" ht="9.9499999999999993" hidden="1" customHeight="1" x14ac:dyDescent="0.2"/>
    <row r="60178" ht="9.9499999999999993" hidden="1" customHeight="1" x14ac:dyDescent="0.2"/>
    <row r="60179" ht="9.9499999999999993" hidden="1" customHeight="1" x14ac:dyDescent="0.2"/>
    <row r="60180" ht="9.9499999999999993" hidden="1" customHeight="1" x14ac:dyDescent="0.2"/>
    <row r="60181" ht="9.9499999999999993" hidden="1" customHeight="1" x14ac:dyDescent="0.2"/>
    <row r="60182" ht="9.9499999999999993" hidden="1" customHeight="1" x14ac:dyDescent="0.2"/>
    <row r="60183" ht="9.9499999999999993" hidden="1" customHeight="1" x14ac:dyDescent="0.2"/>
    <row r="60184" ht="9.9499999999999993" hidden="1" customHeight="1" x14ac:dyDescent="0.2"/>
    <row r="60185" ht="9.9499999999999993" hidden="1" customHeight="1" x14ac:dyDescent="0.2"/>
    <row r="60186" ht="9.9499999999999993" hidden="1" customHeight="1" x14ac:dyDescent="0.2"/>
    <row r="60187" ht="9.9499999999999993" hidden="1" customHeight="1" x14ac:dyDescent="0.2"/>
    <row r="60188" ht="9.9499999999999993" hidden="1" customHeight="1" x14ac:dyDescent="0.2"/>
    <row r="60189" ht="9.9499999999999993" hidden="1" customHeight="1" x14ac:dyDescent="0.2"/>
    <row r="60190" ht="9.9499999999999993" hidden="1" customHeight="1" x14ac:dyDescent="0.2"/>
    <row r="60191" ht="9.9499999999999993" hidden="1" customHeight="1" x14ac:dyDescent="0.2"/>
    <row r="60192" ht="9.9499999999999993" hidden="1" customHeight="1" x14ac:dyDescent="0.2"/>
    <row r="60193" ht="9.9499999999999993" hidden="1" customHeight="1" x14ac:dyDescent="0.2"/>
    <row r="60194" ht="9.9499999999999993" hidden="1" customHeight="1" x14ac:dyDescent="0.2"/>
    <row r="60195" ht="9.9499999999999993" hidden="1" customHeight="1" x14ac:dyDescent="0.2"/>
    <row r="60196" ht="9.9499999999999993" hidden="1" customHeight="1" x14ac:dyDescent="0.2"/>
    <row r="60197" ht="9.9499999999999993" hidden="1" customHeight="1" x14ac:dyDescent="0.2"/>
    <row r="60198" ht="9.9499999999999993" hidden="1" customHeight="1" x14ac:dyDescent="0.2"/>
    <row r="60199" ht="9.9499999999999993" hidden="1" customHeight="1" x14ac:dyDescent="0.2"/>
    <row r="60200" ht="9.9499999999999993" hidden="1" customHeight="1" x14ac:dyDescent="0.2"/>
    <row r="60201" ht="9.9499999999999993" hidden="1" customHeight="1" x14ac:dyDescent="0.2"/>
    <row r="60202" ht="9.9499999999999993" hidden="1" customHeight="1" x14ac:dyDescent="0.2"/>
    <row r="60203" ht="9.9499999999999993" hidden="1" customHeight="1" x14ac:dyDescent="0.2"/>
    <row r="60204" ht="9.9499999999999993" hidden="1" customHeight="1" x14ac:dyDescent="0.2"/>
    <row r="60205" ht="9.9499999999999993" hidden="1" customHeight="1" x14ac:dyDescent="0.2"/>
    <row r="60206" ht="9.9499999999999993" hidden="1" customHeight="1" x14ac:dyDescent="0.2"/>
    <row r="60207" ht="9.9499999999999993" hidden="1" customHeight="1" x14ac:dyDescent="0.2"/>
    <row r="60208" ht="9.9499999999999993" hidden="1" customHeight="1" x14ac:dyDescent="0.2"/>
    <row r="60209" ht="9.9499999999999993" hidden="1" customHeight="1" x14ac:dyDescent="0.2"/>
    <row r="60210" ht="9.9499999999999993" hidden="1" customHeight="1" x14ac:dyDescent="0.2"/>
    <row r="60211" ht="9.9499999999999993" hidden="1" customHeight="1" x14ac:dyDescent="0.2"/>
    <row r="60212" ht="9.9499999999999993" hidden="1" customHeight="1" x14ac:dyDescent="0.2"/>
    <row r="60213" ht="9.9499999999999993" hidden="1" customHeight="1" x14ac:dyDescent="0.2"/>
    <row r="60214" ht="9.9499999999999993" hidden="1" customHeight="1" x14ac:dyDescent="0.2"/>
    <row r="60215" ht="9.9499999999999993" hidden="1" customHeight="1" x14ac:dyDescent="0.2"/>
    <row r="60216" ht="9.9499999999999993" hidden="1" customHeight="1" x14ac:dyDescent="0.2"/>
    <row r="60217" ht="9.9499999999999993" hidden="1" customHeight="1" x14ac:dyDescent="0.2"/>
    <row r="60218" ht="9.9499999999999993" hidden="1" customHeight="1" x14ac:dyDescent="0.2"/>
    <row r="60219" ht="9.9499999999999993" hidden="1" customHeight="1" x14ac:dyDescent="0.2"/>
    <row r="60220" ht="9.9499999999999993" hidden="1" customHeight="1" x14ac:dyDescent="0.2"/>
    <row r="60221" ht="9.9499999999999993" hidden="1" customHeight="1" x14ac:dyDescent="0.2"/>
    <row r="60222" ht="9.9499999999999993" hidden="1" customHeight="1" x14ac:dyDescent="0.2"/>
    <row r="60223" ht="9.9499999999999993" hidden="1" customHeight="1" x14ac:dyDescent="0.2"/>
    <row r="60224" ht="9.9499999999999993" hidden="1" customHeight="1" x14ac:dyDescent="0.2"/>
    <row r="60225" ht="9.9499999999999993" hidden="1" customHeight="1" x14ac:dyDescent="0.2"/>
    <row r="60226" ht="9.9499999999999993" hidden="1" customHeight="1" x14ac:dyDescent="0.2"/>
    <row r="60227" ht="9.9499999999999993" hidden="1" customHeight="1" x14ac:dyDescent="0.2"/>
    <row r="60228" ht="9.9499999999999993" hidden="1" customHeight="1" x14ac:dyDescent="0.2"/>
    <row r="60229" ht="9.9499999999999993" hidden="1" customHeight="1" x14ac:dyDescent="0.2"/>
    <row r="60230" ht="9.9499999999999993" hidden="1" customHeight="1" x14ac:dyDescent="0.2"/>
    <row r="60231" ht="9.9499999999999993" hidden="1" customHeight="1" x14ac:dyDescent="0.2"/>
    <row r="60232" ht="9.9499999999999993" hidden="1" customHeight="1" x14ac:dyDescent="0.2"/>
    <row r="60233" ht="9.9499999999999993" hidden="1" customHeight="1" x14ac:dyDescent="0.2"/>
    <row r="60234" ht="9.9499999999999993" hidden="1" customHeight="1" x14ac:dyDescent="0.2"/>
    <row r="60235" ht="9.9499999999999993" hidden="1" customHeight="1" x14ac:dyDescent="0.2"/>
    <row r="60236" ht="9.9499999999999993" hidden="1" customHeight="1" x14ac:dyDescent="0.2"/>
    <row r="60237" ht="9.9499999999999993" hidden="1" customHeight="1" x14ac:dyDescent="0.2"/>
    <row r="60238" ht="9.9499999999999993" hidden="1" customHeight="1" x14ac:dyDescent="0.2"/>
    <row r="60239" ht="9.9499999999999993" hidden="1" customHeight="1" x14ac:dyDescent="0.2"/>
    <row r="60240" ht="9.9499999999999993" hidden="1" customHeight="1" x14ac:dyDescent="0.2"/>
    <row r="60241" ht="9.9499999999999993" hidden="1" customHeight="1" x14ac:dyDescent="0.2"/>
    <row r="60242" ht="9.9499999999999993" hidden="1" customHeight="1" x14ac:dyDescent="0.2"/>
    <row r="60243" ht="9.9499999999999993" hidden="1" customHeight="1" x14ac:dyDescent="0.2"/>
    <row r="60244" ht="9.9499999999999993" hidden="1" customHeight="1" x14ac:dyDescent="0.2"/>
    <row r="60245" ht="9.9499999999999993" hidden="1" customHeight="1" x14ac:dyDescent="0.2"/>
    <row r="60246" ht="9.9499999999999993" hidden="1" customHeight="1" x14ac:dyDescent="0.2"/>
    <row r="60247" ht="9.9499999999999993" hidden="1" customHeight="1" x14ac:dyDescent="0.2"/>
    <row r="60248" ht="9.9499999999999993" hidden="1" customHeight="1" x14ac:dyDescent="0.2"/>
    <row r="60249" ht="9.9499999999999993" hidden="1" customHeight="1" x14ac:dyDescent="0.2"/>
    <row r="60250" ht="9.9499999999999993" hidden="1" customHeight="1" x14ac:dyDescent="0.2"/>
    <row r="60251" ht="9.9499999999999993" hidden="1" customHeight="1" x14ac:dyDescent="0.2"/>
    <row r="60252" ht="9.9499999999999993" hidden="1" customHeight="1" x14ac:dyDescent="0.2"/>
    <row r="60253" ht="9.9499999999999993" hidden="1" customHeight="1" x14ac:dyDescent="0.2"/>
    <row r="60254" ht="9.9499999999999993" hidden="1" customHeight="1" x14ac:dyDescent="0.2"/>
    <row r="60255" ht="9.9499999999999993" hidden="1" customHeight="1" x14ac:dyDescent="0.2"/>
    <row r="60256" ht="9.9499999999999993" hidden="1" customHeight="1" x14ac:dyDescent="0.2"/>
    <row r="60257" ht="9.9499999999999993" hidden="1" customHeight="1" x14ac:dyDescent="0.2"/>
    <row r="60258" ht="9.9499999999999993" hidden="1" customHeight="1" x14ac:dyDescent="0.2"/>
    <row r="60259" ht="9.9499999999999993" hidden="1" customHeight="1" x14ac:dyDescent="0.2"/>
    <row r="60260" ht="9.9499999999999993" hidden="1" customHeight="1" x14ac:dyDescent="0.2"/>
    <row r="60261" ht="9.9499999999999993" hidden="1" customHeight="1" x14ac:dyDescent="0.2"/>
    <row r="60262" ht="9.9499999999999993" hidden="1" customHeight="1" x14ac:dyDescent="0.2"/>
    <row r="60263" ht="9.9499999999999993" hidden="1" customHeight="1" x14ac:dyDescent="0.2"/>
    <row r="60264" ht="9.9499999999999993" hidden="1" customHeight="1" x14ac:dyDescent="0.2"/>
    <row r="60265" ht="9.9499999999999993" hidden="1" customHeight="1" x14ac:dyDescent="0.2"/>
    <row r="60266" ht="9.9499999999999993" hidden="1" customHeight="1" x14ac:dyDescent="0.2"/>
    <row r="60267" ht="9.9499999999999993" hidden="1" customHeight="1" x14ac:dyDescent="0.2"/>
    <row r="60268" ht="9.9499999999999993" hidden="1" customHeight="1" x14ac:dyDescent="0.2"/>
    <row r="60269" ht="9.9499999999999993" hidden="1" customHeight="1" x14ac:dyDescent="0.2"/>
    <row r="60270" ht="9.9499999999999993" hidden="1" customHeight="1" x14ac:dyDescent="0.2"/>
    <row r="60271" ht="9.9499999999999993" hidden="1" customHeight="1" x14ac:dyDescent="0.2"/>
    <row r="60272" ht="9.9499999999999993" hidden="1" customHeight="1" x14ac:dyDescent="0.2"/>
    <row r="60273" ht="9.9499999999999993" hidden="1" customHeight="1" x14ac:dyDescent="0.2"/>
    <row r="60274" ht="9.9499999999999993" hidden="1" customHeight="1" x14ac:dyDescent="0.2"/>
    <row r="60275" ht="9.9499999999999993" hidden="1" customHeight="1" x14ac:dyDescent="0.2"/>
    <row r="60276" ht="9.9499999999999993" hidden="1" customHeight="1" x14ac:dyDescent="0.2"/>
    <row r="60277" ht="9.9499999999999993" hidden="1" customHeight="1" x14ac:dyDescent="0.2"/>
    <row r="60278" ht="9.9499999999999993" hidden="1" customHeight="1" x14ac:dyDescent="0.2"/>
    <row r="60279" ht="9.9499999999999993" hidden="1" customHeight="1" x14ac:dyDescent="0.2"/>
    <row r="60280" ht="9.9499999999999993" hidden="1" customHeight="1" x14ac:dyDescent="0.2"/>
    <row r="60281" ht="9.9499999999999993" hidden="1" customHeight="1" x14ac:dyDescent="0.2"/>
    <row r="60282" ht="9.9499999999999993" hidden="1" customHeight="1" x14ac:dyDescent="0.2"/>
    <row r="60283" ht="9.9499999999999993" hidden="1" customHeight="1" x14ac:dyDescent="0.2"/>
    <row r="60284" ht="9.9499999999999993" hidden="1" customHeight="1" x14ac:dyDescent="0.2"/>
    <row r="60285" ht="9.9499999999999993" hidden="1" customHeight="1" x14ac:dyDescent="0.2"/>
    <row r="60286" ht="9.9499999999999993" hidden="1" customHeight="1" x14ac:dyDescent="0.2"/>
    <row r="60287" ht="9.9499999999999993" hidden="1" customHeight="1" x14ac:dyDescent="0.2"/>
    <row r="60288" ht="9.9499999999999993" hidden="1" customHeight="1" x14ac:dyDescent="0.2"/>
    <row r="60289" ht="9.9499999999999993" hidden="1" customHeight="1" x14ac:dyDescent="0.2"/>
    <row r="60290" ht="9.9499999999999993" hidden="1" customHeight="1" x14ac:dyDescent="0.2"/>
    <row r="60291" ht="9.9499999999999993" hidden="1" customHeight="1" x14ac:dyDescent="0.2"/>
    <row r="60292" ht="9.9499999999999993" hidden="1" customHeight="1" x14ac:dyDescent="0.2"/>
    <row r="60293" ht="9.9499999999999993" hidden="1" customHeight="1" x14ac:dyDescent="0.2"/>
    <row r="60294" ht="9.9499999999999993" hidden="1" customHeight="1" x14ac:dyDescent="0.2"/>
    <row r="60295" ht="9.9499999999999993" hidden="1" customHeight="1" x14ac:dyDescent="0.2"/>
    <row r="60296" ht="9.9499999999999993" hidden="1" customHeight="1" x14ac:dyDescent="0.2"/>
    <row r="60297" ht="9.9499999999999993" hidden="1" customHeight="1" x14ac:dyDescent="0.2"/>
    <row r="60298" ht="9.9499999999999993" hidden="1" customHeight="1" x14ac:dyDescent="0.2"/>
    <row r="60299" ht="9.9499999999999993" hidden="1" customHeight="1" x14ac:dyDescent="0.2"/>
    <row r="60300" ht="9.9499999999999993" hidden="1" customHeight="1" x14ac:dyDescent="0.2"/>
    <row r="60301" ht="9.9499999999999993" hidden="1" customHeight="1" x14ac:dyDescent="0.2"/>
    <row r="60302" ht="9.9499999999999993" hidden="1" customHeight="1" x14ac:dyDescent="0.2"/>
    <row r="60303" ht="9.9499999999999993" hidden="1" customHeight="1" x14ac:dyDescent="0.2"/>
    <row r="60304" ht="9.9499999999999993" hidden="1" customHeight="1" x14ac:dyDescent="0.2"/>
    <row r="60305" ht="9.9499999999999993" hidden="1" customHeight="1" x14ac:dyDescent="0.2"/>
    <row r="60306" ht="9.9499999999999993" hidden="1" customHeight="1" x14ac:dyDescent="0.2"/>
    <row r="60307" ht="9.9499999999999993" hidden="1" customHeight="1" x14ac:dyDescent="0.2"/>
    <row r="60308" ht="9.9499999999999993" hidden="1" customHeight="1" x14ac:dyDescent="0.2"/>
    <row r="60309" ht="9.9499999999999993" hidden="1" customHeight="1" x14ac:dyDescent="0.2"/>
    <row r="60310" ht="9.9499999999999993" hidden="1" customHeight="1" x14ac:dyDescent="0.2"/>
    <row r="60311" ht="9.9499999999999993" hidden="1" customHeight="1" x14ac:dyDescent="0.2"/>
    <row r="60312" ht="9.9499999999999993" hidden="1" customHeight="1" x14ac:dyDescent="0.2"/>
    <row r="60313" ht="9.9499999999999993" hidden="1" customHeight="1" x14ac:dyDescent="0.2"/>
    <row r="60314" ht="9.9499999999999993" hidden="1" customHeight="1" x14ac:dyDescent="0.2"/>
    <row r="60315" ht="9.9499999999999993" hidden="1" customHeight="1" x14ac:dyDescent="0.2"/>
    <row r="60316" ht="9.9499999999999993" hidden="1" customHeight="1" x14ac:dyDescent="0.2"/>
    <row r="60317" ht="9.9499999999999993" hidden="1" customHeight="1" x14ac:dyDescent="0.2"/>
    <row r="60318" ht="9.9499999999999993" hidden="1" customHeight="1" x14ac:dyDescent="0.2"/>
    <row r="60319" ht="9.9499999999999993" hidden="1" customHeight="1" x14ac:dyDescent="0.2"/>
    <row r="60320" ht="9.9499999999999993" hidden="1" customHeight="1" x14ac:dyDescent="0.2"/>
    <row r="60321" ht="9.9499999999999993" hidden="1" customHeight="1" x14ac:dyDescent="0.2"/>
    <row r="60322" ht="9.9499999999999993" hidden="1" customHeight="1" x14ac:dyDescent="0.2"/>
    <row r="60323" ht="9.9499999999999993" hidden="1" customHeight="1" x14ac:dyDescent="0.2"/>
    <row r="60324" ht="9.9499999999999993" hidden="1" customHeight="1" x14ac:dyDescent="0.2"/>
    <row r="60325" ht="9.9499999999999993" hidden="1" customHeight="1" x14ac:dyDescent="0.2"/>
    <row r="60326" ht="9.9499999999999993" hidden="1" customHeight="1" x14ac:dyDescent="0.2"/>
    <row r="60327" ht="9.9499999999999993" hidden="1" customHeight="1" x14ac:dyDescent="0.2"/>
    <row r="60328" ht="9.9499999999999993" hidden="1" customHeight="1" x14ac:dyDescent="0.2"/>
    <row r="60329" ht="9.9499999999999993" hidden="1" customHeight="1" x14ac:dyDescent="0.2"/>
    <row r="60330" ht="9.9499999999999993" hidden="1" customHeight="1" x14ac:dyDescent="0.2"/>
    <row r="60331" ht="9.9499999999999993" hidden="1" customHeight="1" x14ac:dyDescent="0.2"/>
    <row r="60332" ht="9.9499999999999993" hidden="1" customHeight="1" x14ac:dyDescent="0.2"/>
    <row r="60333" ht="9.9499999999999993" hidden="1" customHeight="1" x14ac:dyDescent="0.2"/>
    <row r="60334" ht="9.9499999999999993" hidden="1" customHeight="1" x14ac:dyDescent="0.2"/>
    <row r="60335" ht="9.9499999999999993" hidden="1" customHeight="1" x14ac:dyDescent="0.2"/>
    <row r="60336" ht="9.9499999999999993" hidden="1" customHeight="1" x14ac:dyDescent="0.2"/>
    <row r="60337" ht="9.9499999999999993" hidden="1" customHeight="1" x14ac:dyDescent="0.2"/>
    <row r="60338" ht="9.9499999999999993" hidden="1" customHeight="1" x14ac:dyDescent="0.2"/>
    <row r="60339" ht="9.9499999999999993" hidden="1" customHeight="1" x14ac:dyDescent="0.2"/>
    <row r="60340" ht="9.9499999999999993" hidden="1" customHeight="1" x14ac:dyDescent="0.2"/>
    <row r="60341" ht="9.9499999999999993" hidden="1" customHeight="1" x14ac:dyDescent="0.2"/>
    <row r="60342" ht="9.9499999999999993" hidden="1" customHeight="1" x14ac:dyDescent="0.2"/>
    <row r="60343" ht="9.9499999999999993" hidden="1" customHeight="1" x14ac:dyDescent="0.2"/>
    <row r="60344" ht="9.9499999999999993" hidden="1" customHeight="1" x14ac:dyDescent="0.2"/>
    <row r="60345" ht="9.9499999999999993" hidden="1" customHeight="1" x14ac:dyDescent="0.2"/>
    <row r="60346" ht="9.9499999999999993" hidden="1" customHeight="1" x14ac:dyDescent="0.2"/>
    <row r="60347" ht="9.9499999999999993" hidden="1" customHeight="1" x14ac:dyDescent="0.2"/>
    <row r="60348" ht="9.9499999999999993" hidden="1" customHeight="1" x14ac:dyDescent="0.2"/>
    <row r="60349" ht="9.9499999999999993" hidden="1" customHeight="1" x14ac:dyDescent="0.2"/>
    <row r="60350" ht="9.9499999999999993" hidden="1" customHeight="1" x14ac:dyDescent="0.2"/>
    <row r="60351" ht="9.9499999999999993" hidden="1" customHeight="1" x14ac:dyDescent="0.2"/>
    <row r="60352" ht="9.9499999999999993" hidden="1" customHeight="1" x14ac:dyDescent="0.2"/>
    <row r="60353" ht="9.9499999999999993" hidden="1" customHeight="1" x14ac:dyDescent="0.2"/>
    <row r="60354" ht="9.9499999999999993" hidden="1" customHeight="1" x14ac:dyDescent="0.2"/>
    <row r="60355" ht="9.9499999999999993" hidden="1" customHeight="1" x14ac:dyDescent="0.2"/>
    <row r="60356" ht="9.9499999999999993" hidden="1" customHeight="1" x14ac:dyDescent="0.2"/>
    <row r="60357" ht="9.9499999999999993" hidden="1" customHeight="1" x14ac:dyDescent="0.2"/>
    <row r="60358" ht="9.9499999999999993" hidden="1" customHeight="1" x14ac:dyDescent="0.2"/>
    <row r="60359" ht="9.9499999999999993" hidden="1" customHeight="1" x14ac:dyDescent="0.2"/>
    <row r="60360" ht="9.9499999999999993" hidden="1" customHeight="1" x14ac:dyDescent="0.2"/>
    <row r="60361" ht="9.9499999999999993" hidden="1" customHeight="1" x14ac:dyDescent="0.2"/>
    <row r="60362" ht="9.9499999999999993" hidden="1" customHeight="1" x14ac:dyDescent="0.2"/>
    <row r="60363" ht="9.9499999999999993" hidden="1" customHeight="1" x14ac:dyDescent="0.2"/>
    <row r="60364" ht="9.9499999999999993" hidden="1" customHeight="1" x14ac:dyDescent="0.2"/>
    <row r="60365" ht="9.9499999999999993" hidden="1" customHeight="1" x14ac:dyDescent="0.2"/>
    <row r="60366" ht="9.9499999999999993" hidden="1" customHeight="1" x14ac:dyDescent="0.2"/>
    <row r="60367" ht="9.9499999999999993" hidden="1" customHeight="1" x14ac:dyDescent="0.2"/>
    <row r="60368" ht="9.9499999999999993" hidden="1" customHeight="1" x14ac:dyDescent="0.2"/>
    <row r="60369" ht="9.9499999999999993" hidden="1" customHeight="1" x14ac:dyDescent="0.2"/>
    <row r="60370" ht="9.9499999999999993" hidden="1" customHeight="1" x14ac:dyDescent="0.2"/>
    <row r="60371" ht="9.9499999999999993" hidden="1" customHeight="1" x14ac:dyDescent="0.2"/>
    <row r="60372" ht="9.9499999999999993" hidden="1" customHeight="1" x14ac:dyDescent="0.2"/>
    <row r="60373" ht="9.9499999999999993" hidden="1" customHeight="1" x14ac:dyDescent="0.2"/>
    <row r="60374" ht="9.9499999999999993" hidden="1" customHeight="1" x14ac:dyDescent="0.2"/>
    <row r="60375" ht="9.9499999999999993" hidden="1" customHeight="1" x14ac:dyDescent="0.2"/>
    <row r="60376" ht="9.9499999999999993" hidden="1" customHeight="1" x14ac:dyDescent="0.2"/>
    <row r="60377" ht="9.9499999999999993" hidden="1" customHeight="1" x14ac:dyDescent="0.2"/>
    <row r="60378" ht="9.9499999999999993" hidden="1" customHeight="1" x14ac:dyDescent="0.2"/>
    <row r="60379" ht="9.9499999999999993" hidden="1" customHeight="1" x14ac:dyDescent="0.2"/>
    <row r="60380" ht="9.9499999999999993" hidden="1" customHeight="1" x14ac:dyDescent="0.2"/>
    <row r="60381" ht="9.9499999999999993" hidden="1" customHeight="1" x14ac:dyDescent="0.2"/>
    <row r="60382" ht="9.9499999999999993" hidden="1" customHeight="1" x14ac:dyDescent="0.2"/>
    <row r="60383" ht="9.9499999999999993" hidden="1" customHeight="1" x14ac:dyDescent="0.2"/>
    <row r="60384" ht="9.9499999999999993" hidden="1" customHeight="1" x14ac:dyDescent="0.2"/>
    <row r="60385" ht="9.9499999999999993" hidden="1" customHeight="1" x14ac:dyDescent="0.2"/>
    <row r="60386" ht="9.9499999999999993" hidden="1" customHeight="1" x14ac:dyDescent="0.2"/>
    <row r="60387" ht="9.9499999999999993" hidden="1" customHeight="1" x14ac:dyDescent="0.2"/>
    <row r="60388" ht="9.9499999999999993" hidden="1" customHeight="1" x14ac:dyDescent="0.2"/>
    <row r="60389" ht="9.9499999999999993" hidden="1" customHeight="1" x14ac:dyDescent="0.2"/>
    <row r="60390" ht="9.9499999999999993" hidden="1" customHeight="1" x14ac:dyDescent="0.2"/>
    <row r="60391" ht="9.9499999999999993" hidden="1" customHeight="1" x14ac:dyDescent="0.2"/>
    <row r="60392" ht="9.9499999999999993" hidden="1" customHeight="1" x14ac:dyDescent="0.2"/>
    <row r="60393" ht="9.9499999999999993" hidden="1" customHeight="1" x14ac:dyDescent="0.2"/>
    <row r="60394" ht="9.9499999999999993" hidden="1" customHeight="1" x14ac:dyDescent="0.2"/>
    <row r="60395" ht="9.9499999999999993" hidden="1" customHeight="1" x14ac:dyDescent="0.2"/>
    <row r="60396" ht="9.9499999999999993" hidden="1" customHeight="1" x14ac:dyDescent="0.2"/>
    <row r="60397" ht="9.9499999999999993" hidden="1" customHeight="1" x14ac:dyDescent="0.2"/>
    <row r="60398" ht="9.9499999999999993" hidden="1" customHeight="1" x14ac:dyDescent="0.2"/>
    <row r="60399" ht="9.9499999999999993" hidden="1" customHeight="1" x14ac:dyDescent="0.2"/>
    <row r="60400" ht="9.9499999999999993" hidden="1" customHeight="1" x14ac:dyDescent="0.2"/>
    <row r="60401" ht="9.9499999999999993" hidden="1" customHeight="1" x14ac:dyDescent="0.2"/>
    <row r="60402" ht="9.9499999999999993" hidden="1" customHeight="1" x14ac:dyDescent="0.2"/>
    <row r="60403" ht="9.9499999999999993" hidden="1" customHeight="1" x14ac:dyDescent="0.2"/>
    <row r="60404" ht="9.9499999999999993" hidden="1" customHeight="1" x14ac:dyDescent="0.2"/>
    <row r="60405" ht="9.9499999999999993" hidden="1" customHeight="1" x14ac:dyDescent="0.2"/>
    <row r="60406" ht="9.9499999999999993" hidden="1" customHeight="1" x14ac:dyDescent="0.2"/>
    <row r="60407" ht="9.9499999999999993" hidden="1" customHeight="1" x14ac:dyDescent="0.2"/>
    <row r="60408" ht="9.9499999999999993" hidden="1" customHeight="1" x14ac:dyDescent="0.2"/>
    <row r="60409" ht="9.9499999999999993" hidden="1" customHeight="1" x14ac:dyDescent="0.2"/>
    <row r="60410" ht="9.9499999999999993" hidden="1" customHeight="1" x14ac:dyDescent="0.2"/>
    <row r="60411" ht="9.9499999999999993" hidden="1" customHeight="1" x14ac:dyDescent="0.2"/>
    <row r="60412" ht="9.9499999999999993" hidden="1" customHeight="1" x14ac:dyDescent="0.2"/>
    <row r="60413" ht="9.9499999999999993" hidden="1" customHeight="1" x14ac:dyDescent="0.2"/>
    <row r="60414" ht="9.9499999999999993" hidden="1" customHeight="1" x14ac:dyDescent="0.2"/>
    <row r="60415" ht="9.9499999999999993" hidden="1" customHeight="1" x14ac:dyDescent="0.2"/>
    <row r="60416" ht="9.9499999999999993" hidden="1" customHeight="1" x14ac:dyDescent="0.2"/>
    <row r="60417" ht="9.9499999999999993" hidden="1" customHeight="1" x14ac:dyDescent="0.2"/>
    <row r="60418" ht="9.9499999999999993" hidden="1" customHeight="1" x14ac:dyDescent="0.2"/>
    <row r="60419" ht="9.9499999999999993" hidden="1" customHeight="1" x14ac:dyDescent="0.2"/>
    <row r="60420" ht="9.9499999999999993" hidden="1" customHeight="1" x14ac:dyDescent="0.2"/>
    <row r="60421" ht="9.9499999999999993" hidden="1" customHeight="1" x14ac:dyDescent="0.2"/>
    <row r="60422" ht="9.9499999999999993" hidden="1" customHeight="1" x14ac:dyDescent="0.2"/>
    <row r="60423" ht="9.9499999999999993" hidden="1" customHeight="1" x14ac:dyDescent="0.2"/>
    <row r="60424" ht="9.9499999999999993" hidden="1" customHeight="1" x14ac:dyDescent="0.2"/>
    <row r="60425" ht="9.9499999999999993" hidden="1" customHeight="1" x14ac:dyDescent="0.2"/>
    <row r="60426" ht="9.9499999999999993" hidden="1" customHeight="1" x14ac:dyDescent="0.2"/>
    <row r="60427" ht="9.9499999999999993" hidden="1" customHeight="1" x14ac:dyDescent="0.2"/>
    <row r="60428" ht="9.9499999999999993" hidden="1" customHeight="1" x14ac:dyDescent="0.2"/>
    <row r="60429" ht="9.9499999999999993" hidden="1" customHeight="1" x14ac:dyDescent="0.2"/>
    <row r="60430" ht="9.9499999999999993" hidden="1" customHeight="1" x14ac:dyDescent="0.2"/>
    <row r="60431" ht="9.9499999999999993" hidden="1" customHeight="1" x14ac:dyDescent="0.2"/>
    <row r="60432" ht="9.9499999999999993" hidden="1" customHeight="1" x14ac:dyDescent="0.2"/>
    <row r="60433" ht="9.9499999999999993" hidden="1" customHeight="1" x14ac:dyDescent="0.2"/>
    <row r="60434" ht="9.9499999999999993" hidden="1" customHeight="1" x14ac:dyDescent="0.2"/>
    <row r="60435" ht="9.9499999999999993" hidden="1" customHeight="1" x14ac:dyDescent="0.2"/>
    <row r="60436" ht="9.9499999999999993" hidden="1" customHeight="1" x14ac:dyDescent="0.2"/>
    <row r="60437" ht="9.9499999999999993" hidden="1" customHeight="1" x14ac:dyDescent="0.2"/>
    <row r="60438" ht="9.9499999999999993" hidden="1" customHeight="1" x14ac:dyDescent="0.2"/>
    <row r="60439" ht="9.9499999999999993" hidden="1" customHeight="1" x14ac:dyDescent="0.2"/>
    <row r="60440" ht="9.9499999999999993" hidden="1" customHeight="1" x14ac:dyDescent="0.2"/>
    <row r="60441" ht="9.9499999999999993" hidden="1" customHeight="1" x14ac:dyDescent="0.2"/>
    <row r="60442" ht="9.9499999999999993" hidden="1" customHeight="1" x14ac:dyDescent="0.2"/>
    <row r="60443" ht="9.9499999999999993" hidden="1" customHeight="1" x14ac:dyDescent="0.2"/>
    <row r="60444" ht="9.9499999999999993" hidden="1" customHeight="1" x14ac:dyDescent="0.2"/>
    <row r="60445" ht="9.9499999999999993" hidden="1" customHeight="1" x14ac:dyDescent="0.2"/>
    <row r="60446" ht="9.9499999999999993" hidden="1" customHeight="1" x14ac:dyDescent="0.2"/>
    <row r="60447" ht="9.9499999999999993" hidden="1" customHeight="1" x14ac:dyDescent="0.2"/>
    <row r="60448" ht="9.9499999999999993" hidden="1" customHeight="1" x14ac:dyDescent="0.2"/>
    <row r="60449" ht="9.9499999999999993" hidden="1" customHeight="1" x14ac:dyDescent="0.2"/>
    <row r="60450" ht="9.9499999999999993" hidden="1" customHeight="1" x14ac:dyDescent="0.2"/>
    <row r="60451" ht="9.9499999999999993" hidden="1" customHeight="1" x14ac:dyDescent="0.2"/>
    <row r="60452" ht="9.9499999999999993" hidden="1" customHeight="1" x14ac:dyDescent="0.2"/>
    <row r="60453" ht="9.9499999999999993" hidden="1" customHeight="1" x14ac:dyDescent="0.2"/>
    <row r="60454" ht="9.9499999999999993" hidden="1" customHeight="1" x14ac:dyDescent="0.2"/>
    <row r="60455" ht="9.9499999999999993" hidden="1" customHeight="1" x14ac:dyDescent="0.2"/>
    <row r="60456" ht="9.9499999999999993" hidden="1" customHeight="1" x14ac:dyDescent="0.2"/>
    <row r="60457" ht="9.9499999999999993" hidden="1" customHeight="1" x14ac:dyDescent="0.2"/>
    <row r="60458" ht="9.9499999999999993" hidden="1" customHeight="1" x14ac:dyDescent="0.2"/>
    <row r="60459" ht="9.9499999999999993" hidden="1" customHeight="1" x14ac:dyDescent="0.2"/>
    <row r="60460" ht="9.9499999999999993" hidden="1" customHeight="1" x14ac:dyDescent="0.2"/>
    <row r="60461" ht="9.9499999999999993" hidden="1" customHeight="1" x14ac:dyDescent="0.2"/>
    <row r="60462" ht="9.9499999999999993" hidden="1" customHeight="1" x14ac:dyDescent="0.2"/>
    <row r="60463" ht="9.9499999999999993" hidden="1" customHeight="1" x14ac:dyDescent="0.2"/>
    <row r="60464" ht="9.9499999999999993" hidden="1" customHeight="1" x14ac:dyDescent="0.2"/>
    <row r="60465" ht="9.9499999999999993" hidden="1" customHeight="1" x14ac:dyDescent="0.2"/>
    <row r="60466" ht="9.9499999999999993" hidden="1" customHeight="1" x14ac:dyDescent="0.2"/>
    <row r="60467" ht="9.9499999999999993" hidden="1" customHeight="1" x14ac:dyDescent="0.2"/>
    <row r="60468" ht="9.9499999999999993" hidden="1" customHeight="1" x14ac:dyDescent="0.2"/>
    <row r="60469" ht="9.9499999999999993" hidden="1" customHeight="1" x14ac:dyDescent="0.2"/>
    <row r="60470" ht="9.9499999999999993" hidden="1" customHeight="1" x14ac:dyDescent="0.2"/>
    <row r="60471" ht="9.9499999999999993" hidden="1" customHeight="1" x14ac:dyDescent="0.2"/>
    <row r="60472" ht="9.9499999999999993" hidden="1" customHeight="1" x14ac:dyDescent="0.2"/>
    <row r="60473" ht="9.9499999999999993" hidden="1" customHeight="1" x14ac:dyDescent="0.2"/>
    <row r="60474" ht="9.9499999999999993" hidden="1" customHeight="1" x14ac:dyDescent="0.2"/>
    <row r="60475" ht="9.9499999999999993" hidden="1" customHeight="1" x14ac:dyDescent="0.2"/>
    <row r="60476" ht="9.9499999999999993" hidden="1" customHeight="1" x14ac:dyDescent="0.2"/>
    <row r="60477" ht="9.9499999999999993" hidden="1" customHeight="1" x14ac:dyDescent="0.2"/>
    <row r="60478" ht="9.9499999999999993" hidden="1" customHeight="1" x14ac:dyDescent="0.2"/>
    <row r="60479" ht="9.9499999999999993" hidden="1" customHeight="1" x14ac:dyDescent="0.2"/>
    <row r="60480" ht="9.9499999999999993" hidden="1" customHeight="1" x14ac:dyDescent="0.2"/>
    <row r="60481" ht="9.9499999999999993" hidden="1" customHeight="1" x14ac:dyDescent="0.2"/>
    <row r="60482" ht="9.9499999999999993" hidden="1" customHeight="1" x14ac:dyDescent="0.2"/>
    <row r="60483" ht="9.9499999999999993" hidden="1" customHeight="1" x14ac:dyDescent="0.2"/>
    <row r="60484" ht="9.9499999999999993" hidden="1" customHeight="1" x14ac:dyDescent="0.2"/>
    <row r="60485" ht="9.9499999999999993" hidden="1" customHeight="1" x14ac:dyDescent="0.2"/>
    <row r="60486" ht="9.9499999999999993" hidden="1" customHeight="1" x14ac:dyDescent="0.2"/>
    <row r="60487" ht="9.9499999999999993" hidden="1" customHeight="1" x14ac:dyDescent="0.2"/>
    <row r="60488" ht="9.9499999999999993" hidden="1" customHeight="1" x14ac:dyDescent="0.2"/>
    <row r="60489" ht="9.9499999999999993" hidden="1" customHeight="1" x14ac:dyDescent="0.2"/>
    <row r="60490" ht="9.9499999999999993" hidden="1" customHeight="1" x14ac:dyDescent="0.2"/>
    <row r="60491" ht="9.9499999999999993" hidden="1" customHeight="1" x14ac:dyDescent="0.2"/>
    <row r="60492" ht="9.9499999999999993" hidden="1" customHeight="1" x14ac:dyDescent="0.2"/>
    <row r="60493" ht="9.9499999999999993" hidden="1" customHeight="1" x14ac:dyDescent="0.2"/>
    <row r="60494" ht="9.9499999999999993" hidden="1" customHeight="1" x14ac:dyDescent="0.2"/>
    <row r="60495" ht="9.9499999999999993" hidden="1" customHeight="1" x14ac:dyDescent="0.2"/>
    <row r="60496" ht="9.9499999999999993" hidden="1" customHeight="1" x14ac:dyDescent="0.2"/>
    <row r="60497" ht="9.9499999999999993" hidden="1" customHeight="1" x14ac:dyDescent="0.2"/>
    <row r="60498" ht="9.9499999999999993" hidden="1" customHeight="1" x14ac:dyDescent="0.2"/>
    <row r="60499" ht="9.9499999999999993" hidden="1" customHeight="1" x14ac:dyDescent="0.2"/>
    <row r="60500" ht="9.9499999999999993" hidden="1" customHeight="1" x14ac:dyDescent="0.2"/>
    <row r="60501" ht="9.9499999999999993" hidden="1" customHeight="1" x14ac:dyDescent="0.2"/>
    <row r="60502" ht="9.9499999999999993" hidden="1" customHeight="1" x14ac:dyDescent="0.2"/>
    <row r="60503" ht="9.9499999999999993" hidden="1" customHeight="1" x14ac:dyDescent="0.2"/>
    <row r="60504" ht="9.9499999999999993" hidden="1" customHeight="1" x14ac:dyDescent="0.2"/>
    <row r="60505" ht="9.9499999999999993" hidden="1" customHeight="1" x14ac:dyDescent="0.2"/>
    <row r="60506" ht="9.9499999999999993" hidden="1" customHeight="1" x14ac:dyDescent="0.2"/>
    <row r="60507" ht="9.9499999999999993" hidden="1" customHeight="1" x14ac:dyDescent="0.2"/>
    <row r="60508" ht="9.9499999999999993" hidden="1" customHeight="1" x14ac:dyDescent="0.2"/>
    <row r="60509" ht="9.9499999999999993" hidden="1" customHeight="1" x14ac:dyDescent="0.2"/>
    <row r="60510" ht="9.9499999999999993" hidden="1" customHeight="1" x14ac:dyDescent="0.2"/>
    <row r="60511" ht="9.9499999999999993" hidden="1" customHeight="1" x14ac:dyDescent="0.2"/>
    <row r="60512" ht="9.9499999999999993" hidden="1" customHeight="1" x14ac:dyDescent="0.2"/>
    <row r="60513" ht="9.9499999999999993" hidden="1" customHeight="1" x14ac:dyDescent="0.2"/>
    <row r="60514" ht="9.9499999999999993" hidden="1" customHeight="1" x14ac:dyDescent="0.2"/>
    <row r="60515" ht="9.9499999999999993" hidden="1" customHeight="1" x14ac:dyDescent="0.2"/>
    <row r="60516" ht="9.9499999999999993" hidden="1" customHeight="1" x14ac:dyDescent="0.2"/>
    <row r="60517" ht="9.9499999999999993" hidden="1" customHeight="1" x14ac:dyDescent="0.2"/>
    <row r="60518" ht="9.9499999999999993" hidden="1" customHeight="1" x14ac:dyDescent="0.2"/>
    <row r="60519" ht="9.9499999999999993" hidden="1" customHeight="1" x14ac:dyDescent="0.2"/>
    <row r="60520" ht="9.9499999999999993" hidden="1" customHeight="1" x14ac:dyDescent="0.2"/>
    <row r="60521" ht="9.9499999999999993" hidden="1" customHeight="1" x14ac:dyDescent="0.2"/>
    <row r="60522" ht="9.9499999999999993" hidden="1" customHeight="1" x14ac:dyDescent="0.2"/>
    <row r="60523" ht="9.9499999999999993" hidden="1" customHeight="1" x14ac:dyDescent="0.2"/>
    <row r="60524" ht="9.9499999999999993" hidden="1" customHeight="1" x14ac:dyDescent="0.2"/>
    <row r="60525" ht="9.9499999999999993" hidden="1" customHeight="1" x14ac:dyDescent="0.2"/>
    <row r="60526" ht="9.9499999999999993" hidden="1" customHeight="1" x14ac:dyDescent="0.2"/>
    <row r="60527" ht="9.9499999999999993" hidden="1" customHeight="1" x14ac:dyDescent="0.2"/>
    <row r="60528" ht="9.9499999999999993" hidden="1" customHeight="1" x14ac:dyDescent="0.2"/>
    <row r="60529" ht="9.9499999999999993" hidden="1" customHeight="1" x14ac:dyDescent="0.2"/>
    <row r="60530" ht="9.9499999999999993" hidden="1" customHeight="1" x14ac:dyDescent="0.2"/>
    <row r="60531" ht="9.9499999999999993" hidden="1" customHeight="1" x14ac:dyDescent="0.2"/>
    <row r="60532" ht="9.9499999999999993" hidden="1" customHeight="1" x14ac:dyDescent="0.2"/>
    <row r="60533" ht="9.9499999999999993" hidden="1" customHeight="1" x14ac:dyDescent="0.2"/>
    <row r="60534" ht="9.9499999999999993" hidden="1" customHeight="1" x14ac:dyDescent="0.2"/>
    <row r="60535" ht="9.9499999999999993" hidden="1" customHeight="1" x14ac:dyDescent="0.2"/>
    <row r="60536" ht="9.9499999999999993" hidden="1" customHeight="1" x14ac:dyDescent="0.2"/>
    <row r="60537" ht="9.9499999999999993" hidden="1" customHeight="1" x14ac:dyDescent="0.2"/>
    <row r="60538" ht="9.9499999999999993" hidden="1" customHeight="1" x14ac:dyDescent="0.2"/>
    <row r="60539" ht="9.9499999999999993" hidden="1" customHeight="1" x14ac:dyDescent="0.2"/>
    <row r="60540" ht="9.9499999999999993" hidden="1" customHeight="1" x14ac:dyDescent="0.2"/>
    <row r="60541" ht="9.9499999999999993" hidden="1" customHeight="1" x14ac:dyDescent="0.2"/>
    <row r="60542" ht="9.9499999999999993" hidden="1" customHeight="1" x14ac:dyDescent="0.2"/>
    <row r="60543" ht="9.9499999999999993" hidden="1" customHeight="1" x14ac:dyDescent="0.2"/>
    <row r="60544" ht="9.9499999999999993" hidden="1" customHeight="1" x14ac:dyDescent="0.2"/>
    <row r="60545" ht="9.9499999999999993" hidden="1" customHeight="1" x14ac:dyDescent="0.2"/>
    <row r="60546" ht="9.9499999999999993" hidden="1" customHeight="1" x14ac:dyDescent="0.2"/>
    <row r="60547" ht="9.9499999999999993" hidden="1" customHeight="1" x14ac:dyDescent="0.2"/>
    <row r="60548" ht="9.9499999999999993" hidden="1" customHeight="1" x14ac:dyDescent="0.2"/>
    <row r="60549" ht="9.9499999999999993" hidden="1" customHeight="1" x14ac:dyDescent="0.2"/>
    <row r="60550" ht="9.9499999999999993" hidden="1" customHeight="1" x14ac:dyDescent="0.2"/>
    <row r="60551" ht="9.9499999999999993" hidden="1" customHeight="1" x14ac:dyDescent="0.2"/>
    <row r="60552" ht="9.9499999999999993" hidden="1" customHeight="1" x14ac:dyDescent="0.2"/>
    <row r="60553" ht="9.9499999999999993" hidden="1" customHeight="1" x14ac:dyDescent="0.2"/>
    <row r="60554" ht="9.9499999999999993" hidden="1" customHeight="1" x14ac:dyDescent="0.2"/>
    <row r="60555" ht="9.9499999999999993" hidden="1" customHeight="1" x14ac:dyDescent="0.2"/>
    <row r="60556" ht="9.9499999999999993" hidden="1" customHeight="1" x14ac:dyDescent="0.2"/>
    <row r="60557" ht="9.9499999999999993" hidden="1" customHeight="1" x14ac:dyDescent="0.2"/>
    <row r="60558" ht="9.9499999999999993" hidden="1" customHeight="1" x14ac:dyDescent="0.2"/>
    <row r="60559" ht="9.9499999999999993" hidden="1" customHeight="1" x14ac:dyDescent="0.2"/>
    <row r="60560" ht="9.9499999999999993" hidden="1" customHeight="1" x14ac:dyDescent="0.2"/>
    <row r="60561" ht="9.9499999999999993" hidden="1" customHeight="1" x14ac:dyDescent="0.2"/>
    <row r="60562" ht="9.9499999999999993" hidden="1" customHeight="1" x14ac:dyDescent="0.2"/>
    <row r="60563" ht="9.9499999999999993" hidden="1" customHeight="1" x14ac:dyDescent="0.2"/>
    <row r="60564" ht="9.9499999999999993" hidden="1" customHeight="1" x14ac:dyDescent="0.2"/>
    <row r="60565" ht="9.9499999999999993" hidden="1" customHeight="1" x14ac:dyDescent="0.2"/>
    <row r="60566" ht="9.9499999999999993" hidden="1" customHeight="1" x14ac:dyDescent="0.2"/>
    <row r="60567" ht="9.9499999999999993" hidden="1" customHeight="1" x14ac:dyDescent="0.2"/>
    <row r="60568" ht="9.9499999999999993" hidden="1" customHeight="1" x14ac:dyDescent="0.2"/>
    <row r="60569" ht="9.9499999999999993" hidden="1" customHeight="1" x14ac:dyDescent="0.2"/>
    <row r="60570" ht="9.9499999999999993" hidden="1" customHeight="1" x14ac:dyDescent="0.2"/>
    <row r="60571" ht="9.9499999999999993" hidden="1" customHeight="1" x14ac:dyDescent="0.2"/>
    <row r="60572" ht="9.9499999999999993" hidden="1" customHeight="1" x14ac:dyDescent="0.2"/>
    <row r="60573" ht="9.9499999999999993" hidden="1" customHeight="1" x14ac:dyDescent="0.2"/>
    <row r="60574" ht="9.9499999999999993" hidden="1" customHeight="1" x14ac:dyDescent="0.2"/>
    <row r="60575" ht="9.9499999999999993" hidden="1" customHeight="1" x14ac:dyDescent="0.2"/>
    <row r="60576" ht="9.9499999999999993" hidden="1" customHeight="1" x14ac:dyDescent="0.2"/>
    <row r="60577" ht="9.9499999999999993" hidden="1" customHeight="1" x14ac:dyDescent="0.2"/>
    <row r="60578" ht="9.9499999999999993" hidden="1" customHeight="1" x14ac:dyDescent="0.2"/>
    <row r="60579" ht="9.9499999999999993" hidden="1" customHeight="1" x14ac:dyDescent="0.2"/>
    <row r="60580" ht="9.9499999999999993" hidden="1" customHeight="1" x14ac:dyDescent="0.2"/>
    <row r="60581" ht="9.9499999999999993" hidden="1" customHeight="1" x14ac:dyDescent="0.2"/>
    <row r="60582" ht="9.9499999999999993" hidden="1" customHeight="1" x14ac:dyDescent="0.2"/>
    <row r="60583" ht="9.9499999999999993" hidden="1" customHeight="1" x14ac:dyDescent="0.2"/>
    <row r="60584" ht="9.9499999999999993" hidden="1" customHeight="1" x14ac:dyDescent="0.2"/>
    <row r="60585" ht="9.9499999999999993" hidden="1" customHeight="1" x14ac:dyDescent="0.2"/>
    <row r="60586" ht="9.9499999999999993" hidden="1" customHeight="1" x14ac:dyDescent="0.2"/>
    <row r="60587" ht="9.9499999999999993" hidden="1" customHeight="1" x14ac:dyDescent="0.2"/>
    <row r="60588" ht="9.9499999999999993" hidden="1" customHeight="1" x14ac:dyDescent="0.2"/>
    <row r="60589" ht="9.9499999999999993" hidden="1" customHeight="1" x14ac:dyDescent="0.2"/>
    <row r="60590" ht="9.9499999999999993" hidden="1" customHeight="1" x14ac:dyDescent="0.2"/>
    <row r="60591" ht="9.9499999999999993" hidden="1" customHeight="1" x14ac:dyDescent="0.2"/>
    <row r="60592" ht="9.9499999999999993" hidden="1" customHeight="1" x14ac:dyDescent="0.2"/>
    <row r="60593" ht="9.9499999999999993" hidden="1" customHeight="1" x14ac:dyDescent="0.2"/>
    <row r="60594" ht="9.9499999999999993" hidden="1" customHeight="1" x14ac:dyDescent="0.2"/>
    <row r="60595" ht="9.9499999999999993" hidden="1" customHeight="1" x14ac:dyDescent="0.2"/>
    <row r="60596" ht="9.9499999999999993" hidden="1" customHeight="1" x14ac:dyDescent="0.2"/>
    <row r="60597" ht="9.9499999999999993" hidden="1" customHeight="1" x14ac:dyDescent="0.2"/>
    <row r="60598" ht="9.9499999999999993" hidden="1" customHeight="1" x14ac:dyDescent="0.2"/>
    <row r="60599" ht="9.9499999999999993" hidden="1" customHeight="1" x14ac:dyDescent="0.2"/>
    <row r="60600" ht="9.9499999999999993" hidden="1" customHeight="1" x14ac:dyDescent="0.2"/>
    <row r="60601" ht="9.9499999999999993" hidden="1" customHeight="1" x14ac:dyDescent="0.2"/>
    <row r="60602" ht="9.9499999999999993" hidden="1" customHeight="1" x14ac:dyDescent="0.2"/>
    <row r="60603" ht="9.9499999999999993" hidden="1" customHeight="1" x14ac:dyDescent="0.2"/>
    <row r="60604" ht="9.9499999999999993" hidden="1" customHeight="1" x14ac:dyDescent="0.2"/>
    <row r="60605" ht="9.9499999999999993" hidden="1" customHeight="1" x14ac:dyDescent="0.2"/>
    <row r="60606" ht="9.9499999999999993" hidden="1" customHeight="1" x14ac:dyDescent="0.2"/>
    <row r="60607" ht="9.9499999999999993" hidden="1" customHeight="1" x14ac:dyDescent="0.2"/>
    <row r="60608" ht="9.9499999999999993" hidden="1" customHeight="1" x14ac:dyDescent="0.2"/>
    <row r="60609" ht="9.9499999999999993" hidden="1" customHeight="1" x14ac:dyDescent="0.2"/>
    <row r="60610" ht="9.9499999999999993" hidden="1" customHeight="1" x14ac:dyDescent="0.2"/>
    <row r="60611" ht="9.9499999999999993" hidden="1" customHeight="1" x14ac:dyDescent="0.2"/>
    <row r="60612" ht="9.9499999999999993" hidden="1" customHeight="1" x14ac:dyDescent="0.2"/>
    <row r="60613" ht="9.9499999999999993" hidden="1" customHeight="1" x14ac:dyDescent="0.2"/>
    <row r="60614" ht="9.9499999999999993" hidden="1" customHeight="1" x14ac:dyDescent="0.2"/>
    <row r="60615" ht="9.9499999999999993" hidden="1" customHeight="1" x14ac:dyDescent="0.2"/>
    <row r="60616" ht="9.9499999999999993" hidden="1" customHeight="1" x14ac:dyDescent="0.2"/>
    <row r="60617" ht="9.9499999999999993" hidden="1" customHeight="1" x14ac:dyDescent="0.2"/>
    <row r="60618" ht="9.9499999999999993" hidden="1" customHeight="1" x14ac:dyDescent="0.2"/>
    <row r="60619" ht="9.9499999999999993" hidden="1" customHeight="1" x14ac:dyDescent="0.2"/>
    <row r="60620" ht="9.9499999999999993" hidden="1" customHeight="1" x14ac:dyDescent="0.2"/>
    <row r="60621" ht="9.9499999999999993" hidden="1" customHeight="1" x14ac:dyDescent="0.2"/>
    <row r="60622" ht="9.9499999999999993" hidden="1" customHeight="1" x14ac:dyDescent="0.2"/>
    <row r="60623" ht="9.9499999999999993" hidden="1" customHeight="1" x14ac:dyDescent="0.2"/>
    <row r="60624" ht="9.9499999999999993" hidden="1" customHeight="1" x14ac:dyDescent="0.2"/>
    <row r="60625" ht="9.9499999999999993" hidden="1" customHeight="1" x14ac:dyDescent="0.2"/>
    <row r="60626" ht="9.9499999999999993" hidden="1" customHeight="1" x14ac:dyDescent="0.2"/>
    <row r="60627" ht="9.9499999999999993" hidden="1" customHeight="1" x14ac:dyDescent="0.2"/>
    <row r="60628" ht="9.9499999999999993" hidden="1" customHeight="1" x14ac:dyDescent="0.2"/>
    <row r="60629" ht="9.9499999999999993" hidden="1" customHeight="1" x14ac:dyDescent="0.2"/>
    <row r="60630" ht="9.9499999999999993" hidden="1" customHeight="1" x14ac:dyDescent="0.2"/>
    <row r="60631" ht="9.9499999999999993" hidden="1" customHeight="1" x14ac:dyDescent="0.2"/>
    <row r="60632" ht="9.9499999999999993" hidden="1" customHeight="1" x14ac:dyDescent="0.2"/>
    <row r="60633" ht="9.9499999999999993" hidden="1" customHeight="1" x14ac:dyDescent="0.2"/>
    <row r="60634" ht="9.9499999999999993" hidden="1" customHeight="1" x14ac:dyDescent="0.2"/>
    <row r="60635" ht="9.9499999999999993" hidden="1" customHeight="1" x14ac:dyDescent="0.2"/>
    <row r="60636" ht="9.9499999999999993" hidden="1" customHeight="1" x14ac:dyDescent="0.2"/>
    <row r="60637" ht="9.9499999999999993" hidden="1" customHeight="1" x14ac:dyDescent="0.2"/>
    <row r="60638" ht="9.9499999999999993" hidden="1" customHeight="1" x14ac:dyDescent="0.2"/>
    <row r="60639" ht="9.9499999999999993" hidden="1" customHeight="1" x14ac:dyDescent="0.2"/>
    <row r="60640" ht="9.9499999999999993" hidden="1" customHeight="1" x14ac:dyDescent="0.2"/>
    <row r="60641" ht="9.9499999999999993" hidden="1" customHeight="1" x14ac:dyDescent="0.2"/>
    <row r="60642" ht="9.9499999999999993" hidden="1" customHeight="1" x14ac:dyDescent="0.2"/>
    <row r="60643" ht="9.9499999999999993" hidden="1" customHeight="1" x14ac:dyDescent="0.2"/>
    <row r="60644" ht="9.9499999999999993" hidden="1" customHeight="1" x14ac:dyDescent="0.2"/>
    <row r="60645" ht="9.9499999999999993" hidden="1" customHeight="1" x14ac:dyDescent="0.2"/>
    <row r="60646" ht="9.9499999999999993" hidden="1" customHeight="1" x14ac:dyDescent="0.2"/>
    <row r="60647" ht="9.9499999999999993" hidden="1" customHeight="1" x14ac:dyDescent="0.2"/>
    <row r="60648" ht="9.9499999999999993" hidden="1" customHeight="1" x14ac:dyDescent="0.2"/>
    <row r="60649" ht="9.9499999999999993" hidden="1" customHeight="1" x14ac:dyDescent="0.2"/>
    <row r="60650" ht="9.9499999999999993" hidden="1" customHeight="1" x14ac:dyDescent="0.2"/>
    <row r="60651" ht="9.9499999999999993" hidden="1" customHeight="1" x14ac:dyDescent="0.2"/>
    <row r="60652" ht="9.9499999999999993" hidden="1" customHeight="1" x14ac:dyDescent="0.2"/>
    <row r="60653" ht="9.9499999999999993" hidden="1" customHeight="1" x14ac:dyDescent="0.2"/>
    <row r="60654" ht="9.9499999999999993" hidden="1" customHeight="1" x14ac:dyDescent="0.2"/>
    <row r="60655" ht="9.9499999999999993" hidden="1" customHeight="1" x14ac:dyDescent="0.2"/>
    <row r="60656" ht="9.9499999999999993" hidden="1" customHeight="1" x14ac:dyDescent="0.2"/>
    <row r="60657" ht="9.9499999999999993" hidden="1" customHeight="1" x14ac:dyDescent="0.2"/>
    <row r="60658" ht="9.9499999999999993" hidden="1" customHeight="1" x14ac:dyDescent="0.2"/>
    <row r="60659" ht="9.9499999999999993" hidden="1" customHeight="1" x14ac:dyDescent="0.2"/>
    <row r="60660" ht="9.9499999999999993" hidden="1" customHeight="1" x14ac:dyDescent="0.2"/>
    <row r="60661" ht="9.9499999999999993" hidden="1" customHeight="1" x14ac:dyDescent="0.2"/>
    <row r="60662" ht="9.9499999999999993" hidden="1" customHeight="1" x14ac:dyDescent="0.2"/>
    <row r="60663" ht="9.9499999999999993" hidden="1" customHeight="1" x14ac:dyDescent="0.2"/>
    <row r="60664" ht="9.9499999999999993" hidden="1" customHeight="1" x14ac:dyDescent="0.2"/>
    <row r="60665" ht="9.9499999999999993" hidden="1" customHeight="1" x14ac:dyDescent="0.2"/>
    <row r="60666" ht="9.9499999999999993" hidden="1" customHeight="1" x14ac:dyDescent="0.2"/>
    <row r="60667" ht="9.9499999999999993" hidden="1" customHeight="1" x14ac:dyDescent="0.2"/>
    <row r="60668" ht="9.9499999999999993" hidden="1" customHeight="1" x14ac:dyDescent="0.2"/>
    <row r="60669" ht="9.9499999999999993" hidden="1" customHeight="1" x14ac:dyDescent="0.2"/>
    <row r="60670" ht="9.9499999999999993" hidden="1" customHeight="1" x14ac:dyDescent="0.2"/>
    <row r="60671" ht="9.9499999999999993" hidden="1" customHeight="1" x14ac:dyDescent="0.2"/>
    <row r="60672" ht="9.9499999999999993" hidden="1" customHeight="1" x14ac:dyDescent="0.2"/>
    <row r="60673" ht="9.9499999999999993" hidden="1" customHeight="1" x14ac:dyDescent="0.2"/>
    <row r="60674" ht="9.9499999999999993" hidden="1" customHeight="1" x14ac:dyDescent="0.2"/>
    <row r="60675" ht="9.9499999999999993" hidden="1" customHeight="1" x14ac:dyDescent="0.2"/>
    <row r="60676" ht="9.9499999999999993" hidden="1" customHeight="1" x14ac:dyDescent="0.2"/>
    <row r="60677" ht="9.9499999999999993" hidden="1" customHeight="1" x14ac:dyDescent="0.2"/>
    <row r="60678" ht="9.9499999999999993" hidden="1" customHeight="1" x14ac:dyDescent="0.2"/>
    <row r="60679" ht="9.9499999999999993" hidden="1" customHeight="1" x14ac:dyDescent="0.2"/>
    <row r="60680" ht="9.9499999999999993" hidden="1" customHeight="1" x14ac:dyDescent="0.2"/>
    <row r="60681" ht="9.9499999999999993" hidden="1" customHeight="1" x14ac:dyDescent="0.2"/>
    <row r="60682" ht="9.9499999999999993" hidden="1" customHeight="1" x14ac:dyDescent="0.2"/>
    <row r="60683" ht="9.9499999999999993" hidden="1" customHeight="1" x14ac:dyDescent="0.2"/>
    <row r="60684" ht="9.9499999999999993" hidden="1" customHeight="1" x14ac:dyDescent="0.2"/>
    <row r="60685" ht="9.9499999999999993" hidden="1" customHeight="1" x14ac:dyDescent="0.2"/>
    <row r="60686" ht="9.9499999999999993" hidden="1" customHeight="1" x14ac:dyDescent="0.2"/>
    <row r="60687" ht="9.9499999999999993" hidden="1" customHeight="1" x14ac:dyDescent="0.2"/>
    <row r="60688" ht="9.9499999999999993" hidden="1" customHeight="1" x14ac:dyDescent="0.2"/>
    <row r="60689" ht="9.9499999999999993" hidden="1" customHeight="1" x14ac:dyDescent="0.2"/>
    <row r="60690" ht="9.9499999999999993" hidden="1" customHeight="1" x14ac:dyDescent="0.2"/>
    <row r="60691" ht="9.9499999999999993" hidden="1" customHeight="1" x14ac:dyDescent="0.2"/>
    <row r="60692" ht="9.9499999999999993" hidden="1" customHeight="1" x14ac:dyDescent="0.2"/>
    <row r="60693" ht="9.9499999999999993" hidden="1" customHeight="1" x14ac:dyDescent="0.2"/>
    <row r="60694" ht="9.9499999999999993" hidden="1" customHeight="1" x14ac:dyDescent="0.2"/>
    <row r="60695" ht="9.9499999999999993" hidden="1" customHeight="1" x14ac:dyDescent="0.2"/>
    <row r="60696" ht="9.9499999999999993" hidden="1" customHeight="1" x14ac:dyDescent="0.2"/>
    <row r="60697" ht="9.9499999999999993" hidden="1" customHeight="1" x14ac:dyDescent="0.2"/>
    <row r="60698" ht="9.9499999999999993" hidden="1" customHeight="1" x14ac:dyDescent="0.2"/>
    <row r="60699" ht="9.9499999999999993" hidden="1" customHeight="1" x14ac:dyDescent="0.2"/>
    <row r="60700" ht="9.9499999999999993" hidden="1" customHeight="1" x14ac:dyDescent="0.2"/>
    <row r="60701" ht="9.9499999999999993" hidden="1" customHeight="1" x14ac:dyDescent="0.2"/>
    <row r="60702" ht="9.9499999999999993" hidden="1" customHeight="1" x14ac:dyDescent="0.2"/>
    <row r="60703" ht="9.9499999999999993" hidden="1" customHeight="1" x14ac:dyDescent="0.2"/>
    <row r="60704" ht="9.9499999999999993" hidden="1" customHeight="1" x14ac:dyDescent="0.2"/>
    <row r="60705" ht="9.9499999999999993" hidden="1" customHeight="1" x14ac:dyDescent="0.2"/>
    <row r="60706" ht="9.9499999999999993" hidden="1" customHeight="1" x14ac:dyDescent="0.2"/>
    <row r="60707" ht="9.9499999999999993" hidden="1" customHeight="1" x14ac:dyDescent="0.2"/>
    <row r="60708" ht="9.9499999999999993" hidden="1" customHeight="1" x14ac:dyDescent="0.2"/>
    <row r="60709" ht="9.9499999999999993" hidden="1" customHeight="1" x14ac:dyDescent="0.2"/>
    <row r="60710" ht="9.9499999999999993" hidden="1" customHeight="1" x14ac:dyDescent="0.2"/>
    <row r="60711" ht="9.9499999999999993" hidden="1" customHeight="1" x14ac:dyDescent="0.2"/>
    <row r="60712" ht="9.9499999999999993" hidden="1" customHeight="1" x14ac:dyDescent="0.2"/>
    <row r="60713" ht="9.9499999999999993" hidden="1" customHeight="1" x14ac:dyDescent="0.2"/>
    <row r="60714" ht="9.9499999999999993" hidden="1" customHeight="1" x14ac:dyDescent="0.2"/>
    <row r="60715" ht="9.9499999999999993" hidden="1" customHeight="1" x14ac:dyDescent="0.2"/>
    <row r="60716" ht="9.9499999999999993" hidden="1" customHeight="1" x14ac:dyDescent="0.2"/>
    <row r="60717" ht="9.9499999999999993" hidden="1" customHeight="1" x14ac:dyDescent="0.2"/>
    <row r="60718" ht="9.9499999999999993" hidden="1" customHeight="1" x14ac:dyDescent="0.2"/>
    <row r="60719" ht="9.9499999999999993" hidden="1" customHeight="1" x14ac:dyDescent="0.2"/>
    <row r="60720" ht="9.9499999999999993" hidden="1" customHeight="1" x14ac:dyDescent="0.2"/>
    <row r="60721" ht="9.9499999999999993" hidden="1" customHeight="1" x14ac:dyDescent="0.2"/>
    <row r="60722" ht="9.9499999999999993" hidden="1" customHeight="1" x14ac:dyDescent="0.2"/>
    <row r="60723" ht="9.9499999999999993" hidden="1" customHeight="1" x14ac:dyDescent="0.2"/>
    <row r="60724" ht="9.9499999999999993" hidden="1" customHeight="1" x14ac:dyDescent="0.2"/>
    <row r="60725" ht="9.9499999999999993" hidden="1" customHeight="1" x14ac:dyDescent="0.2"/>
    <row r="60726" ht="9.9499999999999993" hidden="1" customHeight="1" x14ac:dyDescent="0.2"/>
    <row r="60727" ht="9.9499999999999993" hidden="1" customHeight="1" x14ac:dyDescent="0.2"/>
    <row r="60728" ht="9.9499999999999993" hidden="1" customHeight="1" x14ac:dyDescent="0.2"/>
    <row r="60729" ht="9.9499999999999993" hidden="1" customHeight="1" x14ac:dyDescent="0.2"/>
    <row r="60730" ht="9.9499999999999993" hidden="1" customHeight="1" x14ac:dyDescent="0.2"/>
    <row r="60731" ht="9.9499999999999993" hidden="1" customHeight="1" x14ac:dyDescent="0.2"/>
    <row r="60732" ht="9.9499999999999993" hidden="1" customHeight="1" x14ac:dyDescent="0.2"/>
    <row r="60733" ht="9.9499999999999993" hidden="1" customHeight="1" x14ac:dyDescent="0.2"/>
    <row r="60734" ht="9.9499999999999993" hidden="1" customHeight="1" x14ac:dyDescent="0.2"/>
    <row r="60735" ht="9.9499999999999993" hidden="1" customHeight="1" x14ac:dyDescent="0.2"/>
    <row r="60736" ht="9.9499999999999993" hidden="1" customHeight="1" x14ac:dyDescent="0.2"/>
    <row r="60737" ht="9.9499999999999993" hidden="1" customHeight="1" x14ac:dyDescent="0.2"/>
    <row r="60738" ht="9.9499999999999993" hidden="1" customHeight="1" x14ac:dyDescent="0.2"/>
    <row r="60739" ht="9.9499999999999993" hidden="1" customHeight="1" x14ac:dyDescent="0.2"/>
    <row r="60740" ht="9.9499999999999993" hidden="1" customHeight="1" x14ac:dyDescent="0.2"/>
    <row r="60741" ht="9.9499999999999993" hidden="1" customHeight="1" x14ac:dyDescent="0.2"/>
    <row r="60742" ht="9.9499999999999993" hidden="1" customHeight="1" x14ac:dyDescent="0.2"/>
    <row r="60743" ht="9.9499999999999993" hidden="1" customHeight="1" x14ac:dyDescent="0.2"/>
    <row r="60744" ht="9.9499999999999993" hidden="1" customHeight="1" x14ac:dyDescent="0.2"/>
    <row r="60745" ht="9.9499999999999993" hidden="1" customHeight="1" x14ac:dyDescent="0.2"/>
    <row r="60746" ht="9.9499999999999993" hidden="1" customHeight="1" x14ac:dyDescent="0.2"/>
    <row r="60747" ht="9.9499999999999993" hidden="1" customHeight="1" x14ac:dyDescent="0.2"/>
    <row r="60748" ht="9.9499999999999993" hidden="1" customHeight="1" x14ac:dyDescent="0.2"/>
    <row r="60749" ht="9.9499999999999993" hidden="1" customHeight="1" x14ac:dyDescent="0.2"/>
    <row r="60750" ht="9.9499999999999993" hidden="1" customHeight="1" x14ac:dyDescent="0.2"/>
    <row r="60751" ht="9.9499999999999993" hidden="1" customHeight="1" x14ac:dyDescent="0.2"/>
    <row r="60752" ht="9.9499999999999993" hidden="1" customHeight="1" x14ac:dyDescent="0.2"/>
    <row r="60753" ht="9.9499999999999993" hidden="1" customHeight="1" x14ac:dyDescent="0.2"/>
    <row r="60754" ht="9.9499999999999993" hidden="1" customHeight="1" x14ac:dyDescent="0.2"/>
    <row r="60755" ht="9.9499999999999993" hidden="1" customHeight="1" x14ac:dyDescent="0.2"/>
    <row r="60756" ht="9.9499999999999993" hidden="1" customHeight="1" x14ac:dyDescent="0.2"/>
    <row r="60757" ht="9.9499999999999993" hidden="1" customHeight="1" x14ac:dyDescent="0.2"/>
    <row r="60758" ht="9.9499999999999993" hidden="1" customHeight="1" x14ac:dyDescent="0.2"/>
    <row r="60759" ht="9.9499999999999993" hidden="1" customHeight="1" x14ac:dyDescent="0.2"/>
    <row r="60760" ht="9.9499999999999993" hidden="1" customHeight="1" x14ac:dyDescent="0.2"/>
    <row r="60761" ht="9.9499999999999993" hidden="1" customHeight="1" x14ac:dyDescent="0.2"/>
    <row r="60762" ht="9.9499999999999993" hidden="1" customHeight="1" x14ac:dyDescent="0.2"/>
    <row r="60763" ht="9.9499999999999993" hidden="1" customHeight="1" x14ac:dyDescent="0.2"/>
    <row r="60764" ht="9.9499999999999993" hidden="1" customHeight="1" x14ac:dyDescent="0.2"/>
    <row r="60765" ht="9.9499999999999993" hidden="1" customHeight="1" x14ac:dyDescent="0.2"/>
    <row r="60766" ht="9.9499999999999993" hidden="1" customHeight="1" x14ac:dyDescent="0.2"/>
    <row r="60767" ht="9.9499999999999993" hidden="1" customHeight="1" x14ac:dyDescent="0.2"/>
    <row r="60768" ht="9.9499999999999993" hidden="1" customHeight="1" x14ac:dyDescent="0.2"/>
    <row r="60769" ht="9.9499999999999993" hidden="1" customHeight="1" x14ac:dyDescent="0.2"/>
    <row r="60770" ht="9.9499999999999993" hidden="1" customHeight="1" x14ac:dyDescent="0.2"/>
    <row r="60771" ht="9.9499999999999993" hidden="1" customHeight="1" x14ac:dyDescent="0.2"/>
    <row r="60772" ht="9.9499999999999993" hidden="1" customHeight="1" x14ac:dyDescent="0.2"/>
    <row r="60773" ht="9.9499999999999993" hidden="1" customHeight="1" x14ac:dyDescent="0.2"/>
    <row r="60774" ht="9.9499999999999993" hidden="1" customHeight="1" x14ac:dyDescent="0.2"/>
    <row r="60775" ht="9.9499999999999993" hidden="1" customHeight="1" x14ac:dyDescent="0.2"/>
    <row r="60776" ht="9.9499999999999993" hidden="1" customHeight="1" x14ac:dyDescent="0.2"/>
    <row r="60777" ht="9.9499999999999993" hidden="1" customHeight="1" x14ac:dyDescent="0.2"/>
    <row r="60778" ht="9.9499999999999993" hidden="1" customHeight="1" x14ac:dyDescent="0.2"/>
    <row r="60779" ht="9.9499999999999993" hidden="1" customHeight="1" x14ac:dyDescent="0.2"/>
    <row r="60780" ht="9.9499999999999993" hidden="1" customHeight="1" x14ac:dyDescent="0.2"/>
    <row r="60781" ht="9.9499999999999993" hidden="1" customHeight="1" x14ac:dyDescent="0.2"/>
    <row r="60782" ht="9.9499999999999993" hidden="1" customHeight="1" x14ac:dyDescent="0.2"/>
    <row r="60783" ht="9.9499999999999993" hidden="1" customHeight="1" x14ac:dyDescent="0.2"/>
    <row r="60784" ht="9.9499999999999993" hidden="1" customHeight="1" x14ac:dyDescent="0.2"/>
    <row r="60785" ht="9.9499999999999993" hidden="1" customHeight="1" x14ac:dyDescent="0.2"/>
    <row r="60786" ht="9.9499999999999993" hidden="1" customHeight="1" x14ac:dyDescent="0.2"/>
    <row r="60787" ht="9.9499999999999993" hidden="1" customHeight="1" x14ac:dyDescent="0.2"/>
    <row r="60788" ht="9.9499999999999993" hidden="1" customHeight="1" x14ac:dyDescent="0.2"/>
    <row r="60789" ht="9.9499999999999993" hidden="1" customHeight="1" x14ac:dyDescent="0.2"/>
    <row r="60790" ht="9.9499999999999993" hidden="1" customHeight="1" x14ac:dyDescent="0.2"/>
    <row r="60791" ht="9.9499999999999993" hidden="1" customHeight="1" x14ac:dyDescent="0.2"/>
    <row r="60792" ht="9.9499999999999993" hidden="1" customHeight="1" x14ac:dyDescent="0.2"/>
    <row r="60793" ht="9.9499999999999993" hidden="1" customHeight="1" x14ac:dyDescent="0.2"/>
    <row r="60794" ht="9.9499999999999993" hidden="1" customHeight="1" x14ac:dyDescent="0.2"/>
    <row r="60795" ht="9.9499999999999993" hidden="1" customHeight="1" x14ac:dyDescent="0.2"/>
    <row r="60796" ht="9.9499999999999993" hidden="1" customHeight="1" x14ac:dyDescent="0.2"/>
    <row r="60797" ht="9.9499999999999993" hidden="1" customHeight="1" x14ac:dyDescent="0.2"/>
    <row r="60798" ht="9.9499999999999993" hidden="1" customHeight="1" x14ac:dyDescent="0.2"/>
    <row r="60799" ht="9.9499999999999993" hidden="1" customHeight="1" x14ac:dyDescent="0.2"/>
    <row r="60800" ht="9.9499999999999993" hidden="1" customHeight="1" x14ac:dyDescent="0.2"/>
    <row r="60801" ht="9.9499999999999993" hidden="1" customHeight="1" x14ac:dyDescent="0.2"/>
    <row r="60802" ht="9.9499999999999993" hidden="1" customHeight="1" x14ac:dyDescent="0.2"/>
    <row r="60803" ht="9.9499999999999993" hidden="1" customHeight="1" x14ac:dyDescent="0.2"/>
    <row r="60804" ht="9.9499999999999993" hidden="1" customHeight="1" x14ac:dyDescent="0.2"/>
    <row r="60805" ht="9.9499999999999993" hidden="1" customHeight="1" x14ac:dyDescent="0.2"/>
    <row r="60806" ht="9.9499999999999993" hidden="1" customHeight="1" x14ac:dyDescent="0.2"/>
    <row r="60807" ht="9.9499999999999993" hidden="1" customHeight="1" x14ac:dyDescent="0.2"/>
    <row r="60808" ht="9.9499999999999993" hidden="1" customHeight="1" x14ac:dyDescent="0.2"/>
    <row r="60809" ht="9.9499999999999993" hidden="1" customHeight="1" x14ac:dyDescent="0.2"/>
    <row r="60810" ht="9.9499999999999993" hidden="1" customHeight="1" x14ac:dyDescent="0.2"/>
    <row r="60811" ht="9.9499999999999993" hidden="1" customHeight="1" x14ac:dyDescent="0.2"/>
    <row r="60812" ht="9.9499999999999993" hidden="1" customHeight="1" x14ac:dyDescent="0.2"/>
    <row r="60813" ht="9.9499999999999993" hidden="1" customHeight="1" x14ac:dyDescent="0.2"/>
    <row r="60814" ht="9.9499999999999993" hidden="1" customHeight="1" x14ac:dyDescent="0.2"/>
    <row r="60815" ht="9.9499999999999993" hidden="1" customHeight="1" x14ac:dyDescent="0.2"/>
    <row r="60816" ht="9.9499999999999993" hidden="1" customHeight="1" x14ac:dyDescent="0.2"/>
    <row r="60817" ht="9.9499999999999993" hidden="1" customHeight="1" x14ac:dyDescent="0.2"/>
    <row r="60818" ht="9.9499999999999993" hidden="1" customHeight="1" x14ac:dyDescent="0.2"/>
    <row r="60819" ht="9.9499999999999993" hidden="1" customHeight="1" x14ac:dyDescent="0.2"/>
    <row r="60820" ht="9.9499999999999993" hidden="1" customHeight="1" x14ac:dyDescent="0.2"/>
    <row r="60821" ht="9.9499999999999993" hidden="1" customHeight="1" x14ac:dyDescent="0.2"/>
    <row r="60822" ht="9.9499999999999993" hidden="1" customHeight="1" x14ac:dyDescent="0.2"/>
    <row r="60823" ht="9.9499999999999993" hidden="1" customHeight="1" x14ac:dyDescent="0.2"/>
    <row r="60824" ht="9.9499999999999993" hidden="1" customHeight="1" x14ac:dyDescent="0.2"/>
    <row r="60825" ht="9.9499999999999993" hidden="1" customHeight="1" x14ac:dyDescent="0.2"/>
    <row r="60826" ht="9.9499999999999993" hidden="1" customHeight="1" x14ac:dyDescent="0.2"/>
    <row r="60827" ht="9.9499999999999993" hidden="1" customHeight="1" x14ac:dyDescent="0.2"/>
    <row r="60828" ht="9.9499999999999993" hidden="1" customHeight="1" x14ac:dyDescent="0.2"/>
    <row r="60829" ht="9.9499999999999993" hidden="1" customHeight="1" x14ac:dyDescent="0.2"/>
    <row r="60830" ht="9.9499999999999993" hidden="1" customHeight="1" x14ac:dyDescent="0.2"/>
    <row r="60831" ht="9.9499999999999993" hidden="1" customHeight="1" x14ac:dyDescent="0.2"/>
    <row r="60832" ht="9.9499999999999993" hidden="1" customHeight="1" x14ac:dyDescent="0.2"/>
    <row r="60833" ht="9.9499999999999993" hidden="1" customHeight="1" x14ac:dyDescent="0.2"/>
    <row r="60834" ht="9.9499999999999993" hidden="1" customHeight="1" x14ac:dyDescent="0.2"/>
    <row r="60835" ht="9.9499999999999993" hidden="1" customHeight="1" x14ac:dyDescent="0.2"/>
    <row r="60836" ht="9.9499999999999993" hidden="1" customHeight="1" x14ac:dyDescent="0.2"/>
    <row r="60837" ht="9.9499999999999993" hidden="1" customHeight="1" x14ac:dyDescent="0.2"/>
    <row r="60838" ht="9.9499999999999993" hidden="1" customHeight="1" x14ac:dyDescent="0.2"/>
    <row r="60839" ht="9.9499999999999993" hidden="1" customHeight="1" x14ac:dyDescent="0.2"/>
    <row r="60840" ht="9.9499999999999993" hidden="1" customHeight="1" x14ac:dyDescent="0.2"/>
    <row r="60841" ht="9.9499999999999993" hidden="1" customHeight="1" x14ac:dyDescent="0.2"/>
    <row r="60842" ht="9.9499999999999993" hidden="1" customHeight="1" x14ac:dyDescent="0.2"/>
    <row r="60843" ht="9.9499999999999993" hidden="1" customHeight="1" x14ac:dyDescent="0.2"/>
    <row r="60844" ht="9.9499999999999993" hidden="1" customHeight="1" x14ac:dyDescent="0.2"/>
    <row r="60845" ht="9.9499999999999993" hidden="1" customHeight="1" x14ac:dyDescent="0.2"/>
    <row r="60846" ht="9.9499999999999993" hidden="1" customHeight="1" x14ac:dyDescent="0.2"/>
    <row r="60847" ht="9.9499999999999993" hidden="1" customHeight="1" x14ac:dyDescent="0.2"/>
    <row r="60848" ht="9.9499999999999993" hidden="1" customHeight="1" x14ac:dyDescent="0.2"/>
    <row r="60849" ht="9.9499999999999993" hidden="1" customHeight="1" x14ac:dyDescent="0.2"/>
    <row r="60850" ht="9.9499999999999993" hidden="1" customHeight="1" x14ac:dyDescent="0.2"/>
    <row r="60851" ht="9.9499999999999993" hidden="1" customHeight="1" x14ac:dyDescent="0.2"/>
    <row r="60852" ht="9.9499999999999993" hidden="1" customHeight="1" x14ac:dyDescent="0.2"/>
    <row r="60853" ht="9.9499999999999993" hidden="1" customHeight="1" x14ac:dyDescent="0.2"/>
    <row r="60854" ht="9.9499999999999993" hidden="1" customHeight="1" x14ac:dyDescent="0.2"/>
    <row r="60855" ht="9.9499999999999993" hidden="1" customHeight="1" x14ac:dyDescent="0.2"/>
    <row r="60856" ht="9.9499999999999993" hidden="1" customHeight="1" x14ac:dyDescent="0.2"/>
    <row r="60857" ht="9.9499999999999993" hidden="1" customHeight="1" x14ac:dyDescent="0.2"/>
    <row r="60858" ht="9.9499999999999993" hidden="1" customHeight="1" x14ac:dyDescent="0.2"/>
    <row r="60859" ht="9.9499999999999993" hidden="1" customHeight="1" x14ac:dyDescent="0.2"/>
    <row r="60860" ht="9.9499999999999993" hidden="1" customHeight="1" x14ac:dyDescent="0.2"/>
    <row r="60861" ht="9.9499999999999993" hidden="1" customHeight="1" x14ac:dyDescent="0.2"/>
    <row r="60862" ht="9.9499999999999993" hidden="1" customHeight="1" x14ac:dyDescent="0.2"/>
    <row r="60863" ht="9.9499999999999993" hidden="1" customHeight="1" x14ac:dyDescent="0.2"/>
    <row r="60864" ht="9.9499999999999993" hidden="1" customHeight="1" x14ac:dyDescent="0.2"/>
    <row r="60865" ht="9.9499999999999993" hidden="1" customHeight="1" x14ac:dyDescent="0.2"/>
    <row r="60866" ht="9.9499999999999993" hidden="1" customHeight="1" x14ac:dyDescent="0.2"/>
    <row r="60867" ht="9.9499999999999993" hidden="1" customHeight="1" x14ac:dyDescent="0.2"/>
    <row r="60868" ht="9.9499999999999993" hidden="1" customHeight="1" x14ac:dyDescent="0.2"/>
    <row r="60869" ht="9.9499999999999993" hidden="1" customHeight="1" x14ac:dyDescent="0.2"/>
    <row r="60870" ht="9.9499999999999993" hidden="1" customHeight="1" x14ac:dyDescent="0.2"/>
    <row r="60871" ht="9.9499999999999993" hidden="1" customHeight="1" x14ac:dyDescent="0.2"/>
    <row r="60872" ht="9.9499999999999993" hidden="1" customHeight="1" x14ac:dyDescent="0.2"/>
    <row r="60873" ht="9.9499999999999993" hidden="1" customHeight="1" x14ac:dyDescent="0.2"/>
    <row r="60874" ht="9.9499999999999993" hidden="1" customHeight="1" x14ac:dyDescent="0.2"/>
    <row r="60875" ht="9.9499999999999993" hidden="1" customHeight="1" x14ac:dyDescent="0.2"/>
    <row r="60876" ht="9.9499999999999993" hidden="1" customHeight="1" x14ac:dyDescent="0.2"/>
    <row r="60877" ht="9.9499999999999993" hidden="1" customHeight="1" x14ac:dyDescent="0.2"/>
    <row r="60878" ht="9.9499999999999993" hidden="1" customHeight="1" x14ac:dyDescent="0.2"/>
    <row r="60879" ht="9.9499999999999993" hidden="1" customHeight="1" x14ac:dyDescent="0.2"/>
    <row r="60880" ht="9.9499999999999993" hidden="1" customHeight="1" x14ac:dyDescent="0.2"/>
    <row r="60881" ht="9.9499999999999993" hidden="1" customHeight="1" x14ac:dyDescent="0.2"/>
    <row r="60882" ht="9.9499999999999993" hidden="1" customHeight="1" x14ac:dyDescent="0.2"/>
    <row r="60883" ht="9.9499999999999993" hidden="1" customHeight="1" x14ac:dyDescent="0.2"/>
    <row r="60884" ht="9.9499999999999993" hidden="1" customHeight="1" x14ac:dyDescent="0.2"/>
    <row r="60885" ht="9.9499999999999993" hidden="1" customHeight="1" x14ac:dyDescent="0.2"/>
    <row r="60886" ht="9.9499999999999993" hidden="1" customHeight="1" x14ac:dyDescent="0.2"/>
    <row r="60887" ht="9.9499999999999993" hidden="1" customHeight="1" x14ac:dyDescent="0.2"/>
    <row r="60888" ht="9.9499999999999993" hidden="1" customHeight="1" x14ac:dyDescent="0.2"/>
    <row r="60889" ht="9.9499999999999993" hidden="1" customHeight="1" x14ac:dyDescent="0.2"/>
    <row r="60890" ht="9.9499999999999993" hidden="1" customHeight="1" x14ac:dyDescent="0.2"/>
    <row r="60891" ht="9.9499999999999993" hidden="1" customHeight="1" x14ac:dyDescent="0.2"/>
    <row r="60892" ht="9.9499999999999993" hidden="1" customHeight="1" x14ac:dyDescent="0.2"/>
    <row r="60893" ht="9.9499999999999993" hidden="1" customHeight="1" x14ac:dyDescent="0.2"/>
    <row r="60894" ht="9.9499999999999993" hidden="1" customHeight="1" x14ac:dyDescent="0.2"/>
    <row r="60895" ht="9.9499999999999993" hidden="1" customHeight="1" x14ac:dyDescent="0.2"/>
    <row r="60896" ht="9.9499999999999993" hidden="1" customHeight="1" x14ac:dyDescent="0.2"/>
    <row r="60897" ht="9.9499999999999993" hidden="1" customHeight="1" x14ac:dyDescent="0.2"/>
    <row r="60898" ht="9.9499999999999993" hidden="1" customHeight="1" x14ac:dyDescent="0.2"/>
    <row r="60899" ht="9.9499999999999993" hidden="1" customHeight="1" x14ac:dyDescent="0.2"/>
    <row r="60900" ht="9.9499999999999993" hidden="1" customHeight="1" x14ac:dyDescent="0.2"/>
    <row r="60901" ht="9.9499999999999993" hidden="1" customHeight="1" x14ac:dyDescent="0.2"/>
    <row r="60902" ht="9.9499999999999993" hidden="1" customHeight="1" x14ac:dyDescent="0.2"/>
    <row r="60903" ht="9.9499999999999993" hidden="1" customHeight="1" x14ac:dyDescent="0.2"/>
    <row r="60904" ht="9.9499999999999993" hidden="1" customHeight="1" x14ac:dyDescent="0.2"/>
    <row r="60905" ht="9.9499999999999993" hidden="1" customHeight="1" x14ac:dyDescent="0.2"/>
    <row r="60906" ht="9.9499999999999993" hidden="1" customHeight="1" x14ac:dyDescent="0.2"/>
    <row r="60907" ht="9.9499999999999993" hidden="1" customHeight="1" x14ac:dyDescent="0.2"/>
    <row r="60908" ht="9.9499999999999993" hidden="1" customHeight="1" x14ac:dyDescent="0.2"/>
    <row r="60909" ht="9.9499999999999993" hidden="1" customHeight="1" x14ac:dyDescent="0.2"/>
    <row r="60910" ht="9.9499999999999993" hidden="1" customHeight="1" x14ac:dyDescent="0.2"/>
    <row r="60911" ht="9.9499999999999993" hidden="1" customHeight="1" x14ac:dyDescent="0.2"/>
    <row r="60912" ht="9.9499999999999993" hidden="1" customHeight="1" x14ac:dyDescent="0.2"/>
    <row r="60913" ht="9.9499999999999993" hidden="1" customHeight="1" x14ac:dyDescent="0.2"/>
    <row r="60914" ht="9.9499999999999993" hidden="1" customHeight="1" x14ac:dyDescent="0.2"/>
    <row r="60915" ht="9.9499999999999993" hidden="1" customHeight="1" x14ac:dyDescent="0.2"/>
    <row r="60916" ht="9.9499999999999993" hidden="1" customHeight="1" x14ac:dyDescent="0.2"/>
    <row r="60917" ht="9.9499999999999993" hidden="1" customHeight="1" x14ac:dyDescent="0.2"/>
    <row r="60918" ht="9.9499999999999993" hidden="1" customHeight="1" x14ac:dyDescent="0.2"/>
    <row r="60919" ht="9.9499999999999993" hidden="1" customHeight="1" x14ac:dyDescent="0.2"/>
    <row r="60920" ht="9.9499999999999993" hidden="1" customHeight="1" x14ac:dyDescent="0.2"/>
    <row r="60921" ht="9.9499999999999993" hidden="1" customHeight="1" x14ac:dyDescent="0.2"/>
    <row r="60922" ht="9.9499999999999993" hidden="1" customHeight="1" x14ac:dyDescent="0.2"/>
    <row r="60923" ht="9.9499999999999993" hidden="1" customHeight="1" x14ac:dyDescent="0.2"/>
    <row r="60924" ht="9.9499999999999993" hidden="1" customHeight="1" x14ac:dyDescent="0.2"/>
    <row r="60925" ht="9.9499999999999993" hidden="1" customHeight="1" x14ac:dyDescent="0.2"/>
    <row r="60926" ht="9.9499999999999993" hidden="1" customHeight="1" x14ac:dyDescent="0.2"/>
    <row r="60927" ht="9.9499999999999993" hidden="1" customHeight="1" x14ac:dyDescent="0.2"/>
    <row r="60928" ht="9.9499999999999993" hidden="1" customHeight="1" x14ac:dyDescent="0.2"/>
    <row r="60929" ht="9.9499999999999993" hidden="1" customHeight="1" x14ac:dyDescent="0.2"/>
    <row r="60930" ht="9.9499999999999993" hidden="1" customHeight="1" x14ac:dyDescent="0.2"/>
    <row r="60931" ht="9.9499999999999993" hidden="1" customHeight="1" x14ac:dyDescent="0.2"/>
    <row r="60932" ht="9.9499999999999993" hidden="1" customHeight="1" x14ac:dyDescent="0.2"/>
    <row r="60933" ht="9.9499999999999993" hidden="1" customHeight="1" x14ac:dyDescent="0.2"/>
    <row r="60934" ht="9.9499999999999993" hidden="1" customHeight="1" x14ac:dyDescent="0.2"/>
    <row r="60935" ht="9.9499999999999993" hidden="1" customHeight="1" x14ac:dyDescent="0.2"/>
    <row r="60936" ht="9.9499999999999993" hidden="1" customHeight="1" x14ac:dyDescent="0.2"/>
    <row r="60937" ht="9.9499999999999993" hidden="1" customHeight="1" x14ac:dyDescent="0.2"/>
    <row r="60938" ht="9.9499999999999993" hidden="1" customHeight="1" x14ac:dyDescent="0.2"/>
    <row r="60939" ht="9.9499999999999993" hidden="1" customHeight="1" x14ac:dyDescent="0.2"/>
    <row r="60940" ht="9.9499999999999993" hidden="1" customHeight="1" x14ac:dyDescent="0.2"/>
    <row r="60941" ht="9.9499999999999993" hidden="1" customHeight="1" x14ac:dyDescent="0.2"/>
    <row r="60942" ht="9.9499999999999993" hidden="1" customHeight="1" x14ac:dyDescent="0.2"/>
    <row r="60943" ht="9.9499999999999993" hidden="1" customHeight="1" x14ac:dyDescent="0.2"/>
    <row r="60944" ht="9.9499999999999993" hidden="1" customHeight="1" x14ac:dyDescent="0.2"/>
    <row r="60945" ht="9.9499999999999993" hidden="1" customHeight="1" x14ac:dyDescent="0.2"/>
    <row r="60946" ht="9.9499999999999993" hidden="1" customHeight="1" x14ac:dyDescent="0.2"/>
    <row r="60947" ht="9.9499999999999993" hidden="1" customHeight="1" x14ac:dyDescent="0.2"/>
    <row r="60948" ht="9.9499999999999993" hidden="1" customHeight="1" x14ac:dyDescent="0.2"/>
    <row r="60949" ht="9.9499999999999993" hidden="1" customHeight="1" x14ac:dyDescent="0.2"/>
    <row r="60950" ht="9.9499999999999993" hidden="1" customHeight="1" x14ac:dyDescent="0.2"/>
    <row r="60951" ht="9.9499999999999993" hidden="1" customHeight="1" x14ac:dyDescent="0.2"/>
    <row r="60952" ht="9.9499999999999993" hidden="1" customHeight="1" x14ac:dyDescent="0.2"/>
    <row r="60953" ht="9.9499999999999993" hidden="1" customHeight="1" x14ac:dyDescent="0.2"/>
    <row r="60954" ht="9.9499999999999993" hidden="1" customHeight="1" x14ac:dyDescent="0.2"/>
    <row r="60955" ht="9.9499999999999993" hidden="1" customHeight="1" x14ac:dyDescent="0.2"/>
    <row r="60956" ht="9.9499999999999993" hidden="1" customHeight="1" x14ac:dyDescent="0.2"/>
    <row r="60957" ht="9.9499999999999993" hidden="1" customHeight="1" x14ac:dyDescent="0.2"/>
    <row r="60958" ht="9.9499999999999993" hidden="1" customHeight="1" x14ac:dyDescent="0.2"/>
    <row r="60959" ht="9.9499999999999993" hidden="1" customHeight="1" x14ac:dyDescent="0.2"/>
    <row r="60960" ht="9.9499999999999993" hidden="1" customHeight="1" x14ac:dyDescent="0.2"/>
    <row r="60961" ht="9.9499999999999993" hidden="1" customHeight="1" x14ac:dyDescent="0.2"/>
    <row r="60962" ht="9.9499999999999993" hidden="1" customHeight="1" x14ac:dyDescent="0.2"/>
    <row r="60963" ht="9.9499999999999993" hidden="1" customHeight="1" x14ac:dyDescent="0.2"/>
    <row r="60964" ht="9.9499999999999993" hidden="1" customHeight="1" x14ac:dyDescent="0.2"/>
    <row r="60965" ht="9.9499999999999993" hidden="1" customHeight="1" x14ac:dyDescent="0.2"/>
    <row r="60966" ht="9.9499999999999993" hidden="1" customHeight="1" x14ac:dyDescent="0.2"/>
    <row r="60967" ht="9.9499999999999993" hidden="1" customHeight="1" x14ac:dyDescent="0.2"/>
    <row r="60968" ht="9.9499999999999993" hidden="1" customHeight="1" x14ac:dyDescent="0.2"/>
    <row r="60969" ht="9.9499999999999993" hidden="1" customHeight="1" x14ac:dyDescent="0.2"/>
    <row r="60970" ht="9.9499999999999993" hidden="1" customHeight="1" x14ac:dyDescent="0.2"/>
    <row r="60971" ht="9.9499999999999993" hidden="1" customHeight="1" x14ac:dyDescent="0.2"/>
    <row r="60972" ht="9.9499999999999993" hidden="1" customHeight="1" x14ac:dyDescent="0.2"/>
    <row r="60973" ht="9.9499999999999993" hidden="1" customHeight="1" x14ac:dyDescent="0.2"/>
    <row r="60974" ht="9.9499999999999993" hidden="1" customHeight="1" x14ac:dyDescent="0.2"/>
    <row r="60975" ht="9.9499999999999993" hidden="1" customHeight="1" x14ac:dyDescent="0.2"/>
    <row r="60976" ht="9.9499999999999993" hidden="1" customHeight="1" x14ac:dyDescent="0.2"/>
    <row r="60977" ht="9.9499999999999993" hidden="1" customHeight="1" x14ac:dyDescent="0.2"/>
    <row r="60978" ht="9.9499999999999993" hidden="1" customHeight="1" x14ac:dyDescent="0.2"/>
    <row r="60979" ht="9.9499999999999993" hidden="1" customHeight="1" x14ac:dyDescent="0.2"/>
    <row r="60980" ht="9.9499999999999993" hidden="1" customHeight="1" x14ac:dyDescent="0.2"/>
    <row r="60981" ht="9.9499999999999993" hidden="1" customHeight="1" x14ac:dyDescent="0.2"/>
    <row r="60982" ht="9.9499999999999993" hidden="1" customHeight="1" x14ac:dyDescent="0.2"/>
    <row r="60983" ht="9.9499999999999993" hidden="1" customHeight="1" x14ac:dyDescent="0.2"/>
    <row r="60984" ht="9.9499999999999993" hidden="1" customHeight="1" x14ac:dyDescent="0.2"/>
    <row r="60985" ht="9.9499999999999993" hidden="1" customHeight="1" x14ac:dyDescent="0.2"/>
    <row r="60986" ht="9.9499999999999993" hidden="1" customHeight="1" x14ac:dyDescent="0.2"/>
    <row r="60987" ht="9.9499999999999993" hidden="1" customHeight="1" x14ac:dyDescent="0.2"/>
    <row r="60988" ht="9.9499999999999993" hidden="1" customHeight="1" x14ac:dyDescent="0.2"/>
    <row r="60989" ht="9.9499999999999993" hidden="1" customHeight="1" x14ac:dyDescent="0.2"/>
    <row r="60990" ht="9.9499999999999993" hidden="1" customHeight="1" x14ac:dyDescent="0.2"/>
    <row r="60991" ht="9.9499999999999993" hidden="1" customHeight="1" x14ac:dyDescent="0.2"/>
    <row r="60992" ht="9.9499999999999993" hidden="1" customHeight="1" x14ac:dyDescent="0.2"/>
    <row r="60993" ht="9.9499999999999993" hidden="1" customHeight="1" x14ac:dyDescent="0.2"/>
    <row r="60994" ht="9.9499999999999993" hidden="1" customHeight="1" x14ac:dyDescent="0.2"/>
    <row r="60995" ht="9.9499999999999993" hidden="1" customHeight="1" x14ac:dyDescent="0.2"/>
    <row r="60996" ht="9.9499999999999993" hidden="1" customHeight="1" x14ac:dyDescent="0.2"/>
    <row r="60997" ht="9.9499999999999993" hidden="1" customHeight="1" x14ac:dyDescent="0.2"/>
    <row r="60998" ht="9.9499999999999993" hidden="1" customHeight="1" x14ac:dyDescent="0.2"/>
    <row r="60999" ht="9.9499999999999993" hidden="1" customHeight="1" x14ac:dyDescent="0.2"/>
    <row r="61000" ht="9.9499999999999993" hidden="1" customHeight="1" x14ac:dyDescent="0.2"/>
    <row r="61001" ht="9.9499999999999993" hidden="1" customHeight="1" x14ac:dyDescent="0.2"/>
    <row r="61002" ht="9.9499999999999993" hidden="1" customHeight="1" x14ac:dyDescent="0.2"/>
    <row r="61003" ht="9.9499999999999993" hidden="1" customHeight="1" x14ac:dyDescent="0.2"/>
    <row r="61004" ht="9.9499999999999993" hidden="1" customHeight="1" x14ac:dyDescent="0.2"/>
    <row r="61005" ht="9.9499999999999993" hidden="1" customHeight="1" x14ac:dyDescent="0.2"/>
    <row r="61006" ht="9.9499999999999993" hidden="1" customHeight="1" x14ac:dyDescent="0.2"/>
    <row r="61007" ht="9.9499999999999993" hidden="1" customHeight="1" x14ac:dyDescent="0.2"/>
    <row r="61008" ht="9.9499999999999993" hidden="1" customHeight="1" x14ac:dyDescent="0.2"/>
    <row r="61009" ht="9.9499999999999993" hidden="1" customHeight="1" x14ac:dyDescent="0.2"/>
    <row r="61010" ht="9.9499999999999993" hidden="1" customHeight="1" x14ac:dyDescent="0.2"/>
    <row r="61011" ht="9.9499999999999993" hidden="1" customHeight="1" x14ac:dyDescent="0.2"/>
    <row r="61012" ht="9.9499999999999993" hidden="1" customHeight="1" x14ac:dyDescent="0.2"/>
    <row r="61013" ht="9.9499999999999993" hidden="1" customHeight="1" x14ac:dyDescent="0.2"/>
    <row r="61014" ht="9.9499999999999993" hidden="1" customHeight="1" x14ac:dyDescent="0.2"/>
    <row r="61015" ht="9.9499999999999993" hidden="1" customHeight="1" x14ac:dyDescent="0.2"/>
    <row r="61016" ht="9.9499999999999993" hidden="1" customHeight="1" x14ac:dyDescent="0.2"/>
    <row r="61017" ht="9.9499999999999993" hidden="1" customHeight="1" x14ac:dyDescent="0.2"/>
    <row r="61018" ht="9.9499999999999993" hidden="1" customHeight="1" x14ac:dyDescent="0.2"/>
    <row r="61019" ht="9.9499999999999993" hidden="1" customHeight="1" x14ac:dyDescent="0.2"/>
    <row r="61020" ht="9.9499999999999993" hidden="1" customHeight="1" x14ac:dyDescent="0.2"/>
    <row r="61021" ht="9.9499999999999993" hidden="1" customHeight="1" x14ac:dyDescent="0.2"/>
    <row r="61022" ht="9.9499999999999993" hidden="1" customHeight="1" x14ac:dyDescent="0.2"/>
    <row r="61023" ht="9.9499999999999993" hidden="1" customHeight="1" x14ac:dyDescent="0.2"/>
    <row r="61024" ht="9.9499999999999993" hidden="1" customHeight="1" x14ac:dyDescent="0.2"/>
    <row r="61025" ht="9.9499999999999993" hidden="1" customHeight="1" x14ac:dyDescent="0.2"/>
    <row r="61026" ht="9.9499999999999993" hidden="1" customHeight="1" x14ac:dyDescent="0.2"/>
    <row r="61027" ht="9.9499999999999993" hidden="1" customHeight="1" x14ac:dyDescent="0.2"/>
    <row r="61028" ht="9.9499999999999993" hidden="1" customHeight="1" x14ac:dyDescent="0.2"/>
    <row r="61029" ht="9.9499999999999993" hidden="1" customHeight="1" x14ac:dyDescent="0.2"/>
    <row r="61030" ht="9.9499999999999993" hidden="1" customHeight="1" x14ac:dyDescent="0.2"/>
    <row r="61031" ht="9.9499999999999993" hidden="1" customHeight="1" x14ac:dyDescent="0.2"/>
    <row r="61032" ht="9.9499999999999993" hidden="1" customHeight="1" x14ac:dyDescent="0.2"/>
    <row r="61033" ht="9.9499999999999993" hidden="1" customHeight="1" x14ac:dyDescent="0.2"/>
    <row r="61034" ht="9.9499999999999993" hidden="1" customHeight="1" x14ac:dyDescent="0.2"/>
    <row r="61035" ht="9.9499999999999993" hidden="1" customHeight="1" x14ac:dyDescent="0.2"/>
    <row r="61036" ht="9.9499999999999993" hidden="1" customHeight="1" x14ac:dyDescent="0.2"/>
    <row r="61037" ht="9.9499999999999993" hidden="1" customHeight="1" x14ac:dyDescent="0.2"/>
    <row r="61038" ht="9.9499999999999993" hidden="1" customHeight="1" x14ac:dyDescent="0.2"/>
    <row r="61039" ht="9.9499999999999993" hidden="1" customHeight="1" x14ac:dyDescent="0.2"/>
    <row r="61040" ht="9.9499999999999993" hidden="1" customHeight="1" x14ac:dyDescent="0.2"/>
    <row r="61041" ht="9.9499999999999993" hidden="1" customHeight="1" x14ac:dyDescent="0.2"/>
    <row r="61042" ht="9.9499999999999993" hidden="1" customHeight="1" x14ac:dyDescent="0.2"/>
    <row r="61043" ht="9.9499999999999993" hidden="1" customHeight="1" x14ac:dyDescent="0.2"/>
    <row r="61044" ht="9.9499999999999993" hidden="1" customHeight="1" x14ac:dyDescent="0.2"/>
    <row r="61045" ht="9.9499999999999993" hidden="1" customHeight="1" x14ac:dyDescent="0.2"/>
    <row r="61046" ht="9.9499999999999993" hidden="1" customHeight="1" x14ac:dyDescent="0.2"/>
    <row r="61047" ht="9.9499999999999993" hidden="1" customHeight="1" x14ac:dyDescent="0.2"/>
    <row r="61048" ht="9.9499999999999993" hidden="1" customHeight="1" x14ac:dyDescent="0.2"/>
    <row r="61049" ht="9.9499999999999993" hidden="1" customHeight="1" x14ac:dyDescent="0.2"/>
    <row r="61050" ht="9.9499999999999993" hidden="1" customHeight="1" x14ac:dyDescent="0.2"/>
    <row r="61051" ht="9.9499999999999993" hidden="1" customHeight="1" x14ac:dyDescent="0.2"/>
    <row r="61052" ht="9.9499999999999993" hidden="1" customHeight="1" x14ac:dyDescent="0.2"/>
    <row r="61053" ht="9.9499999999999993" hidden="1" customHeight="1" x14ac:dyDescent="0.2"/>
    <row r="61054" ht="9.9499999999999993" hidden="1" customHeight="1" x14ac:dyDescent="0.2"/>
    <row r="61055" ht="9.9499999999999993" hidden="1" customHeight="1" x14ac:dyDescent="0.2"/>
    <row r="61056" ht="9.9499999999999993" hidden="1" customHeight="1" x14ac:dyDescent="0.2"/>
    <row r="61057" ht="9.9499999999999993" hidden="1" customHeight="1" x14ac:dyDescent="0.2"/>
    <row r="61058" ht="9.9499999999999993" hidden="1" customHeight="1" x14ac:dyDescent="0.2"/>
    <row r="61059" ht="9.9499999999999993" hidden="1" customHeight="1" x14ac:dyDescent="0.2"/>
    <row r="61060" ht="9.9499999999999993" hidden="1" customHeight="1" x14ac:dyDescent="0.2"/>
    <row r="61061" ht="9.9499999999999993" hidden="1" customHeight="1" x14ac:dyDescent="0.2"/>
    <row r="61062" ht="9.9499999999999993" hidden="1" customHeight="1" x14ac:dyDescent="0.2"/>
    <row r="61063" ht="9.9499999999999993" hidden="1" customHeight="1" x14ac:dyDescent="0.2"/>
    <row r="61064" ht="9.9499999999999993" hidden="1" customHeight="1" x14ac:dyDescent="0.2"/>
    <row r="61065" ht="9.9499999999999993" hidden="1" customHeight="1" x14ac:dyDescent="0.2"/>
    <row r="61066" ht="9.9499999999999993" hidden="1" customHeight="1" x14ac:dyDescent="0.2"/>
    <row r="61067" ht="9.9499999999999993" hidden="1" customHeight="1" x14ac:dyDescent="0.2"/>
    <row r="61068" ht="9.9499999999999993" hidden="1" customHeight="1" x14ac:dyDescent="0.2"/>
    <row r="61069" ht="9.9499999999999993" hidden="1" customHeight="1" x14ac:dyDescent="0.2"/>
    <row r="61070" ht="9.9499999999999993" hidden="1" customHeight="1" x14ac:dyDescent="0.2"/>
    <row r="61071" ht="9.9499999999999993" hidden="1" customHeight="1" x14ac:dyDescent="0.2"/>
    <row r="61072" ht="9.9499999999999993" hidden="1" customHeight="1" x14ac:dyDescent="0.2"/>
    <row r="61073" ht="9.9499999999999993" hidden="1" customHeight="1" x14ac:dyDescent="0.2"/>
    <row r="61074" ht="9.9499999999999993" hidden="1" customHeight="1" x14ac:dyDescent="0.2"/>
    <row r="61075" ht="9.9499999999999993" hidden="1" customHeight="1" x14ac:dyDescent="0.2"/>
    <row r="61076" ht="9.9499999999999993" hidden="1" customHeight="1" x14ac:dyDescent="0.2"/>
    <row r="61077" ht="9.9499999999999993" hidden="1" customHeight="1" x14ac:dyDescent="0.2"/>
    <row r="61078" ht="9.9499999999999993" hidden="1" customHeight="1" x14ac:dyDescent="0.2"/>
    <row r="61079" ht="9.9499999999999993" hidden="1" customHeight="1" x14ac:dyDescent="0.2"/>
    <row r="61080" ht="9.9499999999999993" hidden="1" customHeight="1" x14ac:dyDescent="0.2"/>
    <row r="61081" ht="9.9499999999999993" hidden="1" customHeight="1" x14ac:dyDescent="0.2"/>
    <row r="61082" ht="9.9499999999999993" hidden="1" customHeight="1" x14ac:dyDescent="0.2"/>
    <row r="61083" ht="9.9499999999999993" hidden="1" customHeight="1" x14ac:dyDescent="0.2"/>
    <row r="61084" ht="9.9499999999999993" hidden="1" customHeight="1" x14ac:dyDescent="0.2"/>
    <row r="61085" ht="9.9499999999999993" hidden="1" customHeight="1" x14ac:dyDescent="0.2"/>
    <row r="61086" ht="9.9499999999999993" hidden="1" customHeight="1" x14ac:dyDescent="0.2"/>
    <row r="61087" ht="9.9499999999999993" hidden="1" customHeight="1" x14ac:dyDescent="0.2"/>
    <row r="61088" ht="9.9499999999999993" hidden="1" customHeight="1" x14ac:dyDescent="0.2"/>
    <row r="61089" ht="9.9499999999999993" hidden="1" customHeight="1" x14ac:dyDescent="0.2"/>
    <row r="61090" ht="9.9499999999999993" hidden="1" customHeight="1" x14ac:dyDescent="0.2"/>
    <row r="61091" ht="9.9499999999999993" hidden="1" customHeight="1" x14ac:dyDescent="0.2"/>
    <row r="61092" ht="9.9499999999999993" hidden="1" customHeight="1" x14ac:dyDescent="0.2"/>
    <row r="61093" ht="9.9499999999999993" hidden="1" customHeight="1" x14ac:dyDescent="0.2"/>
    <row r="61094" ht="9.9499999999999993" hidden="1" customHeight="1" x14ac:dyDescent="0.2"/>
    <row r="61095" ht="9.9499999999999993" hidden="1" customHeight="1" x14ac:dyDescent="0.2"/>
    <row r="61096" ht="9.9499999999999993" hidden="1" customHeight="1" x14ac:dyDescent="0.2"/>
    <row r="61097" ht="9.9499999999999993" hidden="1" customHeight="1" x14ac:dyDescent="0.2"/>
    <row r="61098" ht="9.9499999999999993" hidden="1" customHeight="1" x14ac:dyDescent="0.2"/>
    <row r="61099" ht="9.9499999999999993" hidden="1" customHeight="1" x14ac:dyDescent="0.2"/>
    <row r="61100" ht="9.9499999999999993" hidden="1" customHeight="1" x14ac:dyDescent="0.2"/>
    <row r="61101" ht="9.9499999999999993" hidden="1" customHeight="1" x14ac:dyDescent="0.2"/>
    <row r="61102" ht="9.9499999999999993" hidden="1" customHeight="1" x14ac:dyDescent="0.2"/>
    <row r="61103" ht="9.9499999999999993" hidden="1" customHeight="1" x14ac:dyDescent="0.2"/>
    <row r="61104" ht="9.9499999999999993" hidden="1" customHeight="1" x14ac:dyDescent="0.2"/>
    <row r="61105" ht="9.9499999999999993" hidden="1" customHeight="1" x14ac:dyDescent="0.2"/>
    <row r="61106" ht="9.9499999999999993" hidden="1" customHeight="1" x14ac:dyDescent="0.2"/>
    <row r="61107" ht="9.9499999999999993" hidden="1" customHeight="1" x14ac:dyDescent="0.2"/>
    <row r="61108" ht="9.9499999999999993" hidden="1" customHeight="1" x14ac:dyDescent="0.2"/>
    <row r="61109" ht="9.9499999999999993" hidden="1" customHeight="1" x14ac:dyDescent="0.2"/>
    <row r="61110" ht="9.9499999999999993" hidden="1" customHeight="1" x14ac:dyDescent="0.2"/>
    <row r="61111" ht="9.9499999999999993" hidden="1" customHeight="1" x14ac:dyDescent="0.2"/>
    <row r="61112" ht="9.9499999999999993" hidden="1" customHeight="1" x14ac:dyDescent="0.2"/>
    <row r="61113" ht="9.9499999999999993" hidden="1" customHeight="1" x14ac:dyDescent="0.2"/>
    <row r="61114" ht="9.9499999999999993" hidden="1" customHeight="1" x14ac:dyDescent="0.2"/>
    <row r="61115" ht="9.9499999999999993" hidden="1" customHeight="1" x14ac:dyDescent="0.2"/>
    <row r="61116" ht="9.9499999999999993" hidden="1" customHeight="1" x14ac:dyDescent="0.2"/>
    <row r="61117" ht="9.9499999999999993" hidden="1" customHeight="1" x14ac:dyDescent="0.2"/>
    <row r="61118" ht="9.9499999999999993" hidden="1" customHeight="1" x14ac:dyDescent="0.2"/>
    <row r="61119" ht="9.9499999999999993" hidden="1" customHeight="1" x14ac:dyDescent="0.2"/>
    <row r="61120" ht="9.9499999999999993" hidden="1" customHeight="1" x14ac:dyDescent="0.2"/>
    <row r="61121" ht="9.9499999999999993" hidden="1" customHeight="1" x14ac:dyDescent="0.2"/>
    <row r="61122" ht="9.9499999999999993" hidden="1" customHeight="1" x14ac:dyDescent="0.2"/>
    <row r="61123" ht="9.9499999999999993" hidden="1" customHeight="1" x14ac:dyDescent="0.2"/>
    <row r="61124" ht="9.9499999999999993" hidden="1" customHeight="1" x14ac:dyDescent="0.2"/>
    <row r="61125" ht="9.9499999999999993" hidden="1" customHeight="1" x14ac:dyDescent="0.2"/>
    <row r="61126" ht="9.9499999999999993" hidden="1" customHeight="1" x14ac:dyDescent="0.2"/>
    <row r="61127" ht="9.9499999999999993" hidden="1" customHeight="1" x14ac:dyDescent="0.2"/>
    <row r="61128" ht="9.9499999999999993" hidden="1" customHeight="1" x14ac:dyDescent="0.2"/>
    <row r="61129" ht="9.9499999999999993" hidden="1" customHeight="1" x14ac:dyDescent="0.2"/>
    <row r="61130" ht="9.9499999999999993" hidden="1" customHeight="1" x14ac:dyDescent="0.2"/>
    <row r="61131" ht="9.9499999999999993" hidden="1" customHeight="1" x14ac:dyDescent="0.2"/>
    <row r="61132" ht="9.9499999999999993" hidden="1" customHeight="1" x14ac:dyDescent="0.2"/>
    <row r="61133" ht="9.9499999999999993" hidden="1" customHeight="1" x14ac:dyDescent="0.2"/>
    <row r="61134" ht="9.9499999999999993" hidden="1" customHeight="1" x14ac:dyDescent="0.2"/>
    <row r="61135" ht="9.9499999999999993" hidden="1" customHeight="1" x14ac:dyDescent="0.2"/>
    <row r="61136" ht="9.9499999999999993" hidden="1" customHeight="1" x14ac:dyDescent="0.2"/>
    <row r="61137" ht="9.9499999999999993" hidden="1" customHeight="1" x14ac:dyDescent="0.2"/>
    <row r="61138" ht="9.9499999999999993" hidden="1" customHeight="1" x14ac:dyDescent="0.2"/>
    <row r="61139" ht="9.9499999999999993" hidden="1" customHeight="1" x14ac:dyDescent="0.2"/>
    <row r="61140" ht="9.9499999999999993" hidden="1" customHeight="1" x14ac:dyDescent="0.2"/>
    <row r="61141" ht="9.9499999999999993" hidden="1" customHeight="1" x14ac:dyDescent="0.2"/>
    <row r="61142" ht="9.9499999999999993" hidden="1" customHeight="1" x14ac:dyDescent="0.2"/>
    <row r="61143" ht="9.9499999999999993" hidden="1" customHeight="1" x14ac:dyDescent="0.2"/>
    <row r="61144" ht="9.9499999999999993" hidden="1" customHeight="1" x14ac:dyDescent="0.2"/>
    <row r="61145" ht="9.9499999999999993" hidden="1" customHeight="1" x14ac:dyDescent="0.2"/>
    <row r="61146" ht="9.9499999999999993" hidden="1" customHeight="1" x14ac:dyDescent="0.2"/>
    <row r="61147" ht="9.9499999999999993" hidden="1" customHeight="1" x14ac:dyDescent="0.2"/>
    <row r="61148" ht="9.9499999999999993" hidden="1" customHeight="1" x14ac:dyDescent="0.2"/>
    <row r="61149" ht="9.9499999999999993" hidden="1" customHeight="1" x14ac:dyDescent="0.2"/>
    <row r="61150" ht="9.9499999999999993" hidden="1" customHeight="1" x14ac:dyDescent="0.2"/>
    <row r="61151" ht="9.9499999999999993" hidden="1" customHeight="1" x14ac:dyDescent="0.2"/>
    <row r="61152" ht="9.9499999999999993" hidden="1" customHeight="1" x14ac:dyDescent="0.2"/>
    <row r="61153" ht="9.9499999999999993" hidden="1" customHeight="1" x14ac:dyDescent="0.2"/>
    <row r="61154" ht="9.9499999999999993" hidden="1" customHeight="1" x14ac:dyDescent="0.2"/>
    <row r="61155" ht="9.9499999999999993" hidden="1" customHeight="1" x14ac:dyDescent="0.2"/>
    <row r="61156" ht="9.9499999999999993" hidden="1" customHeight="1" x14ac:dyDescent="0.2"/>
    <row r="61157" ht="9.9499999999999993" hidden="1" customHeight="1" x14ac:dyDescent="0.2"/>
    <row r="61158" ht="9.9499999999999993" hidden="1" customHeight="1" x14ac:dyDescent="0.2"/>
    <row r="61159" ht="9.9499999999999993" hidden="1" customHeight="1" x14ac:dyDescent="0.2"/>
    <row r="61160" ht="9.9499999999999993" hidden="1" customHeight="1" x14ac:dyDescent="0.2"/>
    <row r="61161" ht="9.9499999999999993" hidden="1" customHeight="1" x14ac:dyDescent="0.2"/>
    <row r="61162" ht="9.9499999999999993" hidden="1" customHeight="1" x14ac:dyDescent="0.2"/>
    <row r="61163" ht="9.9499999999999993" hidden="1" customHeight="1" x14ac:dyDescent="0.2"/>
    <row r="61164" ht="9.9499999999999993" hidden="1" customHeight="1" x14ac:dyDescent="0.2"/>
    <row r="61165" ht="9.9499999999999993" hidden="1" customHeight="1" x14ac:dyDescent="0.2"/>
    <row r="61166" ht="9.9499999999999993" hidden="1" customHeight="1" x14ac:dyDescent="0.2"/>
    <row r="61167" ht="9.9499999999999993" hidden="1" customHeight="1" x14ac:dyDescent="0.2"/>
    <row r="61168" ht="9.9499999999999993" hidden="1" customHeight="1" x14ac:dyDescent="0.2"/>
    <row r="61169" ht="9.9499999999999993" hidden="1" customHeight="1" x14ac:dyDescent="0.2"/>
    <row r="61170" ht="9.9499999999999993" hidden="1" customHeight="1" x14ac:dyDescent="0.2"/>
    <row r="61171" ht="9.9499999999999993" hidden="1" customHeight="1" x14ac:dyDescent="0.2"/>
    <row r="61172" ht="9.9499999999999993" hidden="1" customHeight="1" x14ac:dyDescent="0.2"/>
    <row r="61173" ht="9.9499999999999993" hidden="1" customHeight="1" x14ac:dyDescent="0.2"/>
    <row r="61174" ht="9.9499999999999993" hidden="1" customHeight="1" x14ac:dyDescent="0.2"/>
    <row r="61175" ht="9.9499999999999993" hidden="1" customHeight="1" x14ac:dyDescent="0.2"/>
    <row r="61176" ht="9.9499999999999993" hidden="1" customHeight="1" x14ac:dyDescent="0.2"/>
    <row r="61177" ht="9.9499999999999993" hidden="1" customHeight="1" x14ac:dyDescent="0.2"/>
    <row r="61178" ht="9.9499999999999993" hidden="1" customHeight="1" x14ac:dyDescent="0.2"/>
    <row r="61179" ht="9.9499999999999993" hidden="1" customHeight="1" x14ac:dyDescent="0.2"/>
    <row r="61180" ht="9.9499999999999993" hidden="1" customHeight="1" x14ac:dyDescent="0.2"/>
    <row r="61181" ht="9.9499999999999993" hidden="1" customHeight="1" x14ac:dyDescent="0.2"/>
    <row r="61182" ht="9.9499999999999993" hidden="1" customHeight="1" x14ac:dyDescent="0.2"/>
    <row r="61183" ht="9.9499999999999993" hidden="1" customHeight="1" x14ac:dyDescent="0.2"/>
    <row r="61184" ht="9.9499999999999993" hidden="1" customHeight="1" x14ac:dyDescent="0.2"/>
    <row r="61185" ht="9.9499999999999993" hidden="1" customHeight="1" x14ac:dyDescent="0.2"/>
    <row r="61186" ht="9.9499999999999993" hidden="1" customHeight="1" x14ac:dyDescent="0.2"/>
    <row r="61187" ht="9.9499999999999993" hidden="1" customHeight="1" x14ac:dyDescent="0.2"/>
    <row r="61188" ht="9.9499999999999993" hidden="1" customHeight="1" x14ac:dyDescent="0.2"/>
    <row r="61189" ht="9.9499999999999993" hidden="1" customHeight="1" x14ac:dyDescent="0.2"/>
    <row r="61190" ht="9.9499999999999993" hidden="1" customHeight="1" x14ac:dyDescent="0.2"/>
    <row r="61191" ht="9.9499999999999993" hidden="1" customHeight="1" x14ac:dyDescent="0.2"/>
    <row r="61192" ht="9.9499999999999993" hidden="1" customHeight="1" x14ac:dyDescent="0.2"/>
    <row r="61193" ht="9.9499999999999993" hidden="1" customHeight="1" x14ac:dyDescent="0.2"/>
    <row r="61194" ht="9.9499999999999993" hidden="1" customHeight="1" x14ac:dyDescent="0.2"/>
    <row r="61195" ht="9.9499999999999993" hidden="1" customHeight="1" x14ac:dyDescent="0.2"/>
    <row r="61196" ht="9.9499999999999993" hidden="1" customHeight="1" x14ac:dyDescent="0.2"/>
    <row r="61197" ht="9.9499999999999993" hidden="1" customHeight="1" x14ac:dyDescent="0.2"/>
    <row r="61198" ht="9.9499999999999993" hidden="1" customHeight="1" x14ac:dyDescent="0.2"/>
    <row r="61199" ht="9.9499999999999993" hidden="1" customHeight="1" x14ac:dyDescent="0.2"/>
    <row r="61200" ht="9.9499999999999993" hidden="1" customHeight="1" x14ac:dyDescent="0.2"/>
    <row r="61201" ht="9.9499999999999993" hidden="1" customHeight="1" x14ac:dyDescent="0.2"/>
    <row r="61202" ht="9.9499999999999993" hidden="1" customHeight="1" x14ac:dyDescent="0.2"/>
    <row r="61203" ht="9.9499999999999993" hidden="1" customHeight="1" x14ac:dyDescent="0.2"/>
    <row r="61204" ht="9.9499999999999993" hidden="1" customHeight="1" x14ac:dyDescent="0.2"/>
    <row r="61205" ht="9.9499999999999993" hidden="1" customHeight="1" x14ac:dyDescent="0.2"/>
    <row r="61206" ht="9.9499999999999993" hidden="1" customHeight="1" x14ac:dyDescent="0.2"/>
    <row r="61207" ht="9.9499999999999993" hidden="1" customHeight="1" x14ac:dyDescent="0.2"/>
    <row r="61208" ht="9.9499999999999993" hidden="1" customHeight="1" x14ac:dyDescent="0.2"/>
    <row r="61209" ht="9.9499999999999993" hidden="1" customHeight="1" x14ac:dyDescent="0.2"/>
    <row r="61210" ht="9.9499999999999993" hidden="1" customHeight="1" x14ac:dyDescent="0.2"/>
    <row r="61211" ht="9.9499999999999993" hidden="1" customHeight="1" x14ac:dyDescent="0.2"/>
    <row r="61212" ht="9.9499999999999993" hidden="1" customHeight="1" x14ac:dyDescent="0.2"/>
    <row r="61213" ht="9.9499999999999993" hidden="1" customHeight="1" x14ac:dyDescent="0.2"/>
    <row r="61214" ht="9.9499999999999993" hidden="1" customHeight="1" x14ac:dyDescent="0.2"/>
    <row r="61215" ht="9.9499999999999993" hidden="1" customHeight="1" x14ac:dyDescent="0.2"/>
    <row r="61216" ht="9.9499999999999993" hidden="1" customHeight="1" x14ac:dyDescent="0.2"/>
    <row r="61217" ht="9.9499999999999993" hidden="1" customHeight="1" x14ac:dyDescent="0.2"/>
    <row r="61218" ht="9.9499999999999993" hidden="1" customHeight="1" x14ac:dyDescent="0.2"/>
    <row r="61219" ht="9.9499999999999993" hidden="1" customHeight="1" x14ac:dyDescent="0.2"/>
    <row r="61220" ht="9.9499999999999993" hidden="1" customHeight="1" x14ac:dyDescent="0.2"/>
    <row r="61221" ht="9.9499999999999993" hidden="1" customHeight="1" x14ac:dyDescent="0.2"/>
    <row r="61222" ht="9.9499999999999993" hidden="1" customHeight="1" x14ac:dyDescent="0.2"/>
    <row r="61223" ht="9.9499999999999993" hidden="1" customHeight="1" x14ac:dyDescent="0.2"/>
    <row r="61224" ht="9.9499999999999993" hidden="1" customHeight="1" x14ac:dyDescent="0.2"/>
    <row r="61225" ht="9.9499999999999993" hidden="1" customHeight="1" x14ac:dyDescent="0.2"/>
    <row r="61226" ht="9.9499999999999993" hidden="1" customHeight="1" x14ac:dyDescent="0.2"/>
    <row r="61227" ht="9.9499999999999993" hidden="1" customHeight="1" x14ac:dyDescent="0.2"/>
    <row r="61228" ht="9.9499999999999993" hidden="1" customHeight="1" x14ac:dyDescent="0.2"/>
    <row r="61229" ht="9.9499999999999993" hidden="1" customHeight="1" x14ac:dyDescent="0.2"/>
    <row r="61230" ht="9.9499999999999993" hidden="1" customHeight="1" x14ac:dyDescent="0.2"/>
    <row r="61231" ht="9.9499999999999993" hidden="1" customHeight="1" x14ac:dyDescent="0.2"/>
    <row r="61232" ht="9.9499999999999993" hidden="1" customHeight="1" x14ac:dyDescent="0.2"/>
    <row r="61233" ht="9.9499999999999993" hidden="1" customHeight="1" x14ac:dyDescent="0.2"/>
    <row r="61234" ht="9.9499999999999993" hidden="1" customHeight="1" x14ac:dyDescent="0.2"/>
    <row r="61235" ht="9.9499999999999993" hidden="1" customHeight="1" x14ac:dyDescent="0.2"/>
    <row r="61236" ht="9.9499999999999993" hidden="1" customHeight="1" x14ac:dyDescent="0.2"/>
    <row r="61237" ht="9.9499999999999993" hidden="1" customHeight="1" x14ac:dyDescent="0.2"/>
    <row r="61238" ht="9.9499999999999993" hidden="1" customHeight="1" x14ac:dyDescent="0.2"/>
    <row r="61239" ht="9.9499999999999993" hidden="1" customHeight="1" x14ac:dyDescent="0.2"/>
    <row r="61240" ht="9.9499999999999993" hidden="1" customHeight="1" x14ac:dyDescent="0.2"/>
    <row r="61241" ht="9.9499999999999993" hidden="1" customHeight="1" x14ac:dyDescent="0.2"/>
    <row r="61242" ht="9.9499999999999993" hidden="1" customHeight="1" x14ac:dyDescent="0.2"/>
    <row r="61243" ht="9.9499999999999993" hidden="1" customHeight="1" x14ac:dyDescent="0.2"/>
    <row r="61244" ht="9.9499999999999993" hidden="1" customHeight="1" x14ac:dyDescent="0.2"/>
    <row r="61245" ht="9.9499999999999993" hidden="1" customHeight="1" x14ac:dyDescent="0.2"/>
    <row r="61246" ht="9.9499999999999993" hidden="1" customHeight="1" x14ac:dyDescent="0.2"/>
    <row r="61247" ht="9.9499999999999993" hidden="1" customHeight="1" x14ac:dyDescent="0.2"/>
    <row r="61248" ht="9.9499999999999993" hidden="1" customHeight="1" x14ac:dyDescent="0.2"/>
    <row r="61249" ht="9.9499999999999993" hidden="1" customHeight="1" x14ac:dyDescent="0.2"/>
    <row r="61250" ht="9.9499999999999993" hidden="1" customHeight="1" x14ac:dyDescent="0.2"/>
    <row r="61251" ht="9.9499999999999993" hidden="1" customHeight="1" x14ac:dyDescent="0.2"/>
    <row r="61252" ht="9.9499999999999993" hidden="1" customHeight="1" x14ac:dyDescent="0.2"/>
    <row r="61253" ht="9.9499999999999993" hidden="1" customHeight="1" x14ac:dyDescent="0.2"/>
    <row r="61254" ht="9.9499999999999993" hidden="1" customHeight="1" x14ac:dyDescent="0.2"/>
    <row r="61255" ht="9.9499999999999993" hidden="1" customHeight="1" x14ac:dyDescent="0.2"/>
    <row r="61256" ht="9.9499999999999993" hidden="1" customHeight="1" x14ac:dyDescent="0.2"/>
    <row r="61257" ht="9.9499999999999993" hidden="1" customHeight="1" x14ac:dyDescent="0.2"/>
    <row r="61258" ht="9.9499999999999993" hidden="1" customHeight="1" x14ac:dyDescent="0.2"/>
    <row r="61259" ht="9.9499999999999993" hidden="1" customHeight="1" x14ac:dyDescent="0.2"/>
    <row r="61260" ht="9.9499999999999993" hidden="1" customHeight="1" x14ac:dyDescent="0.2"/>
    <row r="61261" ht="9.9499999999999993" hidden="1" customHeight="1" x14ac:dyDescent="0.2"/>
    <row r="61262" ht="9.9499999999999993" hidden="1" customHeight="1" x14ac:dyDescent="0.2"/>
    <row r="61263" ht="9.9499999999999993" hidden="1" customHeight="1" x14ac:dyDescent="0.2"/>
    <row r="61264" ht="9.9499999999999993" hidden="1" customHeight="1" x14ac:dyDescent="0.2"/>
    <row r="61265" ht="9.9499999999999993" hidden="1" customHeight="1" x14ac:dyDescent="0.2"/>
    <row r="61266" ht="9.9499999999999993" hidden="1" customHeight="1" x14ac:dyDescent="0.2"/>
    <row r="61267" ht="9.9499999999999993" hidden="1" customHeight="1" x14ac:dyDescent="0.2"/>
    <row r="61268" ht="9.9499999999999993" hidden="1" customHeight="1" x14ac:dyDescent="0.2"/>
    <row r="61269" ht="9.9499999999999993" hidden="1" customHeight="1" x14ac:dyDescent="0.2"/>
    <row r="61270" ht="9.9499999999999993" hidden="1" customHeight="1" x14ac:dyDescent="0.2"/>
    <row r="61271" ht="9.9499999999999993" hidden="1" customHeight="1" x14ac:dyDescent="0.2"/>
    <row r="61272" ht="9.9499999999999993" hidden="1" customHeight="1" x14ac:dyDescent="0.2"/>
    <row r="61273" ht="9.9499999999999993" hidden="1" customHeight="1" x14ac:dyDescent="0.2"/>
    <row r="61274" ht="9.9499999999999993" hidden="1" customHeight="1" x14ac:dyDescent="0.2"/>
    <row r="61275" ht="9.9499999999999993" hidden="1" customHeight="1" x14ac:dyDescent="0.2"/>
    <row r="61276" ht="9.9499999999999993" hidden="1" customHeight="1" x14ac:dyDescent="0.2"/>
    <row r="61277" ht="9.9499999999999993" hidden="1" customHeight="1" x14ac:dyDescent="0.2"/>
    <row r="61278" ht="9.9499999999999993" hidden="1" customHeight="1" x14ac:dyDescent="0.2"/>
    <row r="61279" ht="9.9499999999999993" hidden="1" customHeight="1" x14ac:dyDescent="0.2"/>
    <row r="61280" ht="9.9499999999999993" hidden="1" customHeight="1" x14ac:dyDescent="0.2"/>
    <row r="61281" ht="9.9499999999999993" hidden="1" customHeight="1" x14ac:dyDescent="0.2"/>
    <row r="61282" ht="9.9499999999999993" hidden="1" customHeight="1" x14ac:dyDescent="0.2"/>
    <row r="61283" ht="9.9499999999999993" hidden="1" customHeight="1" x14ac:dyDescent="0.2"/>
    <row r="61284" ht="9.9499999999999993" hidden="1" customHeight="1" x14ac:dyDescent="0.2"/>
    <row r="61285" ht="9.9499999999999993" hidden="1" customHeight="1" x14ac:dyDescent="0.2"/>
    <row r="61286" ht="9.9499999999999993" hidden="1" customHeight="1" x14ac:dyDescent="0.2"/>
    <row r="61287" ht="9.9499999999999993" hidden="1" customHeight="1" x14ac:dyDescent="0.2"/>
    <row r="61288" ht="9.9499999999999993" hidden="1" customHeight="1" x14ac:dyDescent="0.2"/>
    <row r="61289" ht="9.9499999999999993" hidden="1" customHeight="1" x14ac:dyDescent="0.2"/>
    <row r="61290" ht="9.9499999999999993" hidden="1" customHeight="1" x14ac:dyDescent="0.2"/>
    <row r="61291" ht="9.9499999999999993" hidden="1" customHeight="1" x14ac:dyDescent="0.2"/>
    <row r="61292" ht="9.9499999999999993" hidden="1" customHeight="1" x14ac:dyDescent="0.2"/>
    <row r="61293" ht="9.9499999999999993" hidden="1" customHeight="1" x14ac:dyDescent="0.2"/>
    <row r="61294" ht="9.9499999999999993" hidden="1" customHeight="1" x14ac:dyDescent="0.2"/>
    <row r="61295" ht="9.9499999999999993" hidden="1" customHeight="1" x14ac:dyDescent="0.2"/>
    <row r="61296" ht="9.9499999999999993" hidden="1" customHeight="1" x14ac:dyDescent="0.2"/>
    <row r="61297" ht="9.9499999999999993" hidden="1" customHeight="1" x14ac:dyDescent="0.2"/>
    <row r="61298" ht="9.9499999999999993" hidden="1" customHeight="1" x14ac:dyDescent="0.2"/>
    <row r="61299" ht="9.9499999999999993" hidden="1" customHeight="1" x14ac:dyDescent="0.2"/>
    <row r="61300" ht="9.9499999999999993" hidden="1" customHeight="1" x14ac:dyDescent="0.2"/>
    <row r="61301" ht="9.9499999999999993" hidden="1" customHeight="1" x14ac:dyDescent="0.2"/>
    <row r="61302" ht="9.9499999999999993" hidden="1" customHeight="1" x14ac:dyDescent="0.2"/>
    <row r="61303" ht="9.9499999999999993" hidden="1" customHeight="1" x14ac:dyDescent="0.2"/>
    <row r="61304" ht="9.9499999999999993" hidden="1" customHeight="1" x14ac:dyDescent="0.2"/>
    <row r="61305" ht="9.9499999999999993" hidden="1" customHeight="1" x14ac:dyDescent="0.2"/>
    <row r="61306" ht="9.9499999999999993" hidden="1" customHeight="1" x14ac:dyDescent="0.2"/>
    <row r="61307" ht="9.9499999999999993" hidden="1" customHeight="1" x14ac:dyDescent="0.2"/>
    <row r="61308" ht="9.9499999999999993" hidden="1" customHeight="1" x14ac:dyDescent="0.2"/>
    <row r="61309" ht="9.9499999999999993" hidden="1" customHeight="1" x14ac:dyDescent="0.2"/>
    <row r="61310" ht="9.9499999999999993" hidden="1" customHeight="1" x14ac:dyDescent="0.2"/>
    <row r="61311" ht="9.9499999999999993" hidden="1" customHeight="1" x14ac:dyDescent="0.2"/>
    <row r="61312" ht="9.9499999999999993" hidden="1" customHeight="1" x14ac:dyDescent="0.2"/>
    <row r="61313" ht="9.9499999999999993" hidden="1" customHeight="1" x14ac:dyDescent="0.2"/>
    <row r="61314" ht="9.9499999999999993" hidden="1" customHeight="1" x14ac:dyDescent="0.2"/>
    <row r="61315" ht="9.9499999999999993" hidden="1" customHeight="1" x14ac:dyDescent="0.2"/>
    <row r="61316" ht="9.9499999999999993" hidden="1" customHeight="1" x14ac:dyDescent="0.2"/>
    <row r="61317" ht="9.9499999999999993" hidden="1" customHeight="1" x14ac:dyDescent="0.2"/>
    <row r="61318" ht="9.9499999999999993" hidden="1" customHeight="1" x14ac:dyDescent="0.2"/>
    <row r="61319" ht="9.9499999999999993" hidden="1" customHeight="1" x14ac:dyDescent="0.2"/>
    <row r="61320" ht="9.9499999999999993" hidden="1" customHeight="1" x14ac:dyDescent="0.2"/>
    <row r="61321" ht="9.9499999999999993" hidden="1" customHeight="1" x14ac:dyDescent="0.2"/>
    <row r="61322" ht="9.9499999999999993" hidden="1" customHeight="1" x14ac:dyDescent="0.2"/>
    <row r="61323" ht="9.9499999999999993" hidden="1" customHeight="1" x14ac:dyDescent="0.2"/>
    <row r="61324" ht="9.9499999999999993" hidden="1" customHeight="1" x14ac:dyDescent="0.2"/>
    <row r="61325" ht="9.9499999999999993" hidden="1" customHeight="1" x14ac:dyDescent="0.2"/>
    <row r="61326" ht="9.9499999999999993" hidden="1" customHeight="1" x14ac:dyDescent="0.2"/>
    <row r="61327" ht="9.9499999999999993" hidden="1" customHeight="1" x14ac:dyDescent="0.2"/>
    <row r="61328" ht="9.9499999999999993" hidden="1" customHeight="1" x14ac:dyDescent="0.2"/>
    <row r="61329" ht="9.9499999999999993" hidden="1" customHeight="1" x14ac:dyDescent="0.2"/>
    <row r="61330" ht="9.9499999999999993" hidden="1" customHeight="1" x14ac:dyDescent="0.2"/>
    <row r="61331" ht="9.9499999999999993" hidden="1" customHeight="1" x14ac:dyDescent="0.2"/>
    <row r="61332" ht="9.9499999999999993" hidden="1" customHeight="1" x14ac:dyDescent="0.2"/>
    <row r="61333" ht="9.9499999999999993" hidden="1" customHeight="1" x14ac:dyDescent="0.2"/>
    <row r="61334" ht="9.9499999999999993" hidden="1" customHeight="1" x14ac:dyDescent="0.2"/>
    <row r="61335" ht="9.9499999999999993" hidden="1" customHeight="1" x14ac:dyDescent="0.2"/>
    <row r="61336" ht="9.9499999999999993" hidden="1" customHeight="1" x14ac:dyDescent="0.2"/>
    <row r="61337" ht="9.9499999999999993" hidden="1" customHeight="1" x14ac:dyDescent="0.2"/>
    <row r="61338" ht="9.9499999999999993" hidden="1" customHeight="1" x14ac:dyDescent="0.2"/>
    <row r="61339" ht="9.9499999999999993" hidden="1" customHeight="1" x14ac:dyDescent="0.2"/>
    <row r="61340" ht="9.9499999999999993" hidden="1" customHeight="1" x14ac:dyDescent="0.2"/>
    <row r="61341" ht="9.9499999999999993" hidden="1" customHeight="1" x14ac:dyDescent="0.2"/>
    <row r="61342" ht="9.9499999999999993" hidden="1" customHeight="1" x14ac:dyDescent="0.2"/>
    <row r="61343" ht="9.9499999999999993" hidden="1" customHeight="1" x14ac:dyDescent="0.2"/>
    <row r="61344" ht="9.9499999999999993" hidden="1" customHeight="1" x14ac:dyDescent="0.2"/>
    <row r="61345" ht="9.9499999999999993" hidden="1" customHeight="1" x14ac:dyDescent="0.2"/>
    <row r="61346" ht="9.9499999999999993" hidden="1" customHeight="1" x14ac:dyDescent="0.2"/>
    <row r="61347" ht="9.9499999999999993" hidden="1" customHeight="1" x14ac:dyDescent="0.2"/>
    <row r="61348" ht="9.9499999999999993" hidden="1" customHeight="1" x14ac:dyDescent="0.2"/>
    <row r="61349" ht="9.9499999999999993" hidden="1" customHeight="1" x14ac:dyDescent="0.2"/>
    <row r="61350" ht="9.9499999999999993" hidden="1" customHeight="1" x14ac:dyDescent="0.2"/>
    <row r="61351" ht="9.9499999999999993" hidden="1" customHeight="1" x14ac:dyDescent="0.2"/>
    <row r="61352" ht="9.9499999999999993" hidden="1" customHeight="1" x14ac:dyDescent="0.2"/>
    <row r="61353" ht="9.9499999999999993" hidden="1" customHeight="1" x14ac:dyDescent="0.2"/>
    <row r="61354" ht="9.9499999999999993" hidden="1" customHeight="1" x14ac:dyDescent="0.2"/>
    <row r="61355" ht="9.9499999999999993" hidden="1" customHeight="1" x14ac:dyDescent="0.2"/>
    <row r="61356" ht="9.9499999999999993" hidden="1" customHeight="1" x14ac:dyDescent="0.2"/>
    <row r="61357" ht="9.9499999999999993" hidden="1" customHeight="1" x14ac:dyDescent="0.2"/>
    <row r="61358" ht="9.9499999999999993" hidden="1" customHeight="1" x14ac:dyDescent="0.2"/>
    <row r="61359" ht="9.9499999999999993" hidden="1" customHeight="1" x14ac:dyDescent="0.2"/>
    <row r="61360" ht="9.9499999999999993" hidden="1" customHeight="1" x14ac:dyDescent="0.2"/>
    <row r="61361" ht="9.9499999999999993" hidden="1" customHeight="1" x14ac:dyDescent="0.2"/>
    <row r="61362" ht="9.9499999999999993" hidden="1" customHeight="1" x14ac:dyDescent="0.2"/>
    <row r="61363" ht="9.9499999999999993" hidden="1" customHeight="1" x14ac:dyDescent="0.2"/>
    <row r="61364" ht="9.9499999999999993" hidden="1" customHeight="1" x14ac:dyDescent="0.2"/>
    <row r="61365" ht="9.9499999999999993" hidden="1" customHeight="1" x14ac:dyDescent="0.2"/>
    <row r="61366" ht="9.9499999999999993" hidden="1" customHeight="1" x14ac:dyDescent="0.2"/>
    <row r="61367" ht="9.9499999999999993" hidden="1" customHeight="1" x14ac:dyDescent="0.2"/>
    <row r="61368" ht="9.9499999999999993" hidden="1" customHeight="1" x14ac:dyDescent="0.2"/>
    <row r="61369" ht="9.9499999999999993" hidden="1" customHeight="1" x14ac:dyDescent="0.2"/>
    <row r="61370" ht="9.9499999999999993" hidden="1" customHeight="1" x14ac:dyDescent="0.2"/>
    <row r="61371" ht="9.9499999999999993" hidden="1" customHeight="1" x14ac:dyDescent="0.2"/>
    <row r="61372" ht="9.9499999999999993" hidden="1" customHeight="1" x14ac:dyDescent="0.2"/>
    <row r="61373" ht="9.9499999999999993" hidden="1" customHeight="1" x14ac:dyDescent="0.2"/>
    <row r="61374" ht="9.9499999999999993" hidden="1" customHeight="1" x14ac:dyDescent="0.2"/>
    <row r="61375" ht="9.9499999999999993" hidden="1" customHeight="1" x14ac:dyDescent="0.2"/>
    <row r="61376" ht="9.9499999999999993" hidden="1" customHeight="1" x14ac:dyDescent="0.2"/>
    <row r="61377" ht="9.9499999999999993" hidden="1" customHeight="1" x14ac:dyDescent="0.2"/>
    <row r="61378" ht="9.9499999999999993" hidden="1" customHeight="1" x14ac:dyDescent="0.2"/>
    <row r="61379" ht="9.9499999999999993" hidden="1" customHeight="1" x14ac:dyDescent="0.2"/>
    <row r="61380" ht="9.9499999999999993" hidden="1" customHeight="1" x14ac:dyDescent="0.2"/>
    <row r="61381" ht="9.9499999999999993" hidden="1" customHeight="1" x14ac:dyDescent="0.2"/>
    <row r="61382" ht="9.9499999999999993" hidden="1" customHeight="1" x14ac:dyDescent="0.2"/>
    <row r="61383" ht="9.9499999999999993" hidden="1" customHeight="1" x14ac:dyDescent="0.2"/>
    <row r="61384" ht="9.9499999999999993" hidden="1" customHeight="1" x14ac:dyDescent="0.2"/>
    <row r="61385" ht="9.9499999999999993" hidden="1" customHeight="1" x14ac:dyDescent="0.2"/>
    <row r="61386" ht="9.9499999999999993" hidden="1" customHeight="1" x14ac:dyDescent="0.2"/>
    <row r="61387" ht="9.9499999999999993" hidden="1" customHeight="1" x14ac:dyDescent="0.2"/>
    <row r="61388" ht="9.9499999999999993" hidden="1" customHeight="1" x14ac:dyDescent="0.2"/>
    <row r="61389" ht="9.9499999999999993" hidden="1" customHeight="1" x14ac:dyDescent="0.2"/>
    <row r="61390" ht="9.9499999999999993" hidden="1" customHeight="1" x14ac:dyDescent="0.2"/>
    <row r="61391" ht="9.9499999999999993" hidden="1" customHeight="1" x14ac:dyDescent="0.2"/>
    <row r="61392" ht="9.9499999999999993" hidden="1" customHeight="1" x14ac:dyDescent="0.2"/>
    <row r="61393" ht="9.9499999999999993" hidden="1" customHeight="1" x14ac:dyDescent="0.2"/>
    <row r="61394" ht="9.9499999999999993" hidden="1" customHeight="1" x14ac:dyDescent="0.2"/>
    <row r="61395" ht="9.9499999999999993" hidden="1" customHeight="1" x14ac:dyDescent="0.2"/>
    <row r="61396" ht="9.9499999999999993" hidden="1" customHeight="1" x14ac:dyDescent="0.2"/>
    <row r="61397" ht="9.9499999999999993" hidden="1" customHeight="1" x14ac:dyDescent="0.2"/>
    <row r="61398" ht="9.9499999999999993" hidden="1" customHeight="1" x14ac:dyDescent="0.2"/>
    <row r="61399" ht="9.9499999999999993" hidden="1" customHeight="1" x14ac:dyDescent="0.2"/>
    <row r="61400" ht="9.9499999999999993" hidden="1" customHeight="1" x14ac:dyDescent="0.2"/>
    <row r="61401" ht="9.9499999999999993" hidden="1" customHeight="1" x14ac:dyDescent="0.2"/>
    <row r="61402" ht="9.9499999999999993" hidden="1" customHeight="1" x14ac:dyDescent="0.2"/>
    <row r="61403" ht="9.9499999999999993" hidden="1" customHeight="1" x14ac:dyDescent="0.2"/>
    <row r="61404" ht="9.9499999999999993" hidden="1" customHeight="1" x14ac:dyDescent="0.2"/>
    <row r="61405" ht="9.9499999999999993" hidden="1" customHeight="1" x14ac:dyDescent="0.2"/>
    <row r="61406" ht="9.9499999999999993" hidden="1" customHeight="1" x14ac:dyDescent="0.2"/>
    <row r="61407" ht="9.9499999999999993" hidden="1" customHeight="1" x14ac:dyDescent="0.2"/>
    <row r="61408" ht="9.9499999999999993" hidden="1" customHeight="1" x14ac:dyDescent="0.2"/>
    <row r="61409" ht="9.9499999999999993" hidden="1" customHeight="1" x14ac:dyDescent="0.2"/>
    <row r="61410" ht="9.9499999999999993" hidden="1" customHeight="1" x14ac:dyDescent="0.2"/>
    <row r="61411" ht="9.9499999999999993" hidden="1" customHeight="1" x14ac:dyDescent="0.2"/>
    <row r="61412" ht="9.9499999999999993" hidden="1" customHeight="1" x14ac:dyDescent="0.2"/>
    <row r="61413" ht="9.9499999999999993" hidden="1" customHeight="1" x14ac:dyDescent="0.2"/>
    <row r="61414" ht="9.9499999999999993" hidden="1" customHeight="1" x14ac:dyDescent="0.2"/>
    <row r="61415" ht="9.9499999999999993" hidden="1" customHeight="1" x14ac:dyDescent="0.2"/>
    <row r="61416" ht="9.9499999999999993" hidden="1" customHeight="1" x14ac:dyDescent="0.2"/>
    <row r="61417" ht="9.9499999999999993" hidden="1" customHeight="1" x14ac:dyDescent="0.2"/>
    <row r="61418" ht="9.9499999999999993" hidden="1" customHeight="1" x14ac:dyDescent="0.2"/>
    <row r="61419" ht="9.9499999999999993" hidden="1" customHeight="1" x14ac:dyDescent="0.2"/>
    <row r="61420" ht="9.9499999999999993" hidden="1" customHeight="1" x14ac:dyDescent="0.2"/>
    <row r="61421" ht="9.9499999999999993" hidden="1" customHeight="1" x14ac:dyDescent="0.2"/>
    <row r="61422" ht="9.9499999999999993" hidden="1" customHeight="1" x14ac:dyDescent="0.2"/>
    <row r="61423" ht="9.9499999999999993" hidden="1" customHeight="1" x14ac:dyDescent="0.2"/>
    <row r="61424" ht="9.9499999999999993" hidden="1" customHeight="1" x14ac:dyDescent="0.2"/>
    <row r="61425" ht="9.9499999999999993" hidden="1" customHeight="1" x14ac:dyDescent="0.2"/>
    <row r="61426" ht="9.9499999999999993" hidden="1" customHeight="1" x14ac:dyDescent="0.2"/>
    <row r="61427" ht="9.9499999999999993" hidden="1" customHeight="1" x14ac:dyDescent="0.2"/>
    <row r="61428" ht="9.9499999999999993" hidden="1" customHeight="1" x14ac:dyDescent="0.2"/>
    <row r="61429" ht="9.9499999999999993" hidden="1" customHeight="1" x14ac:dyDescent="0.2"/>
    <row r="61430" ht="9.9499999999999993" hidden="1" customHeight="1" x14ac:dyDescent="0.2"/>
    <row r="61431" ht="9.9499999999999993" hidden="1" customHeight="1" x14ac:dyDescent="0.2"/>
    <row r="61432" ht="9.9499999999999993" hidden="1" customHeight="1" x14ac:dyDescent="0.2"/>
    <row r="61433" ht="9.9499999999999993" hidden="1" customHeight="1" x14ac:dyDescent="0.2"/>
    <row r="61434" ht="9.9499999999999993" hidden="1" customHeight="1" x14ac:dyDescent="0.2"/>
    <row r="61435" ht="9.9499999999999993" hidden="1" customHeight="1" x14ac:dyDescent="0.2"/>
    <row r="61436" ht="9.9499999999999993" hidden="1" customHeight="1" x14ac:dyDescent="0.2"/>
    <row r="61437" ht="9.9499999999999993" hidden="1" customHeight="1" x14ac:dyDescent="0.2"/>
    <row r="61438" ht="9.9499999999999993" hidden="1" customHeight="1" x14ac:dyDescent="0.2"/>
    <row r="61439" ht="9.9499999999999993" hidden="1" customHeight="1" x14ac:dyDescent="0.2"/>
    <row r="61440" ht="9.9499999999999993" hidden="1" customHeight="1" x14ac:dyDescent="0.2"/>
    <row r="61441" ht="9.9499999999999993" hidden="1" customHeight="1" x14ac:dyDescent="0.2"/>
    <row r="61442" ht="9.9499999999999993" hidden="1" customHeight="1" x14ac:dyDescent="0.2"/>
    <row r="61443" ht="9.9499999999999993" hidden="1" customHeight="1" x14ac:dyDescent="0.2"/>
    <row r="61444" ht="9.9499999999999993" hidden="1" customHeight="1" x14ac:dyDescent="0.2"/>
    <row r="61445" ht="9.9499999999999993" hidden="1" customHeight="1" x14ac:dyDescent="0.2"/>
    <row r="61446" ht="9.9499999999999993" hidden="1" customHeight="1" x14ac:dyDescent="0.2"/>
    <row r="61447" ht="9.9499999999999993" hidden="1" customHeight="1" x14ac:dyDescent="0.2"/>
    <row r="61448" ht="9.9499999999999993" hidden="1" customHeight="1" x14ac:dyDescent="0.2"/>
    <row r="61449" ht="9.9499999999999993" hidden="1" customHeight="1" x14ac:dyDescent="0.2"/>
    <row r="61450" ht="9.9499999999999993" hidden="1" customHeight="1" x14ac:dyDescent="0.2"/>
    <row r="61451" ht="9.9499999999999993" hidden="1" customHeight="1" x14ac:dyDescent="0.2"/>
    <row r="61452" ht="9.9499999999999993" hidden="1" customHeight="1" x14ac:dyDescent="0.2"/>
    <row r="61453" ht="9.9499999999999993" hidden="1" customHeight="1" x14ac:dyDescent="0.2"/>
    <row r="61454" ht="9.9499999999999993" hidden="1" customHeight="1" x14ac:dyDescent="0.2"/>
    <row r="61455" ht="9.9499999999999993" hidden="1" customHeight="1" x14ac:dyDescent="0.2"/>
    <row r="61456" ht="9.9499999999999993" hidden="1" customHeight="1" x14ac:dyDescent="0.2"/>
    <row r="61457" ht="9.9499999999999993" hidden="1" customHeight="1" x14ac:dyDescent="0.2"/>
    <row r="61458" ht="9.9499999999999993" hidden="1" customHeight="1" x14ac:dyDescent="0.2"/>
    <row r="61459" ht="9.9499999999999993" hidden="1" customHeight="1" x14ac:dyDescent="0.2"/>
    <row r="61460" ht="9.9499999999999993" hidden="1" customHeight="1" x14ac:dyDescent="0.2"/>
    <row r="61461" ht="9.9499999999999993" hidden="1" customHeight="1" x14ac:dyDescent="0.2"/>
    <row r="61462" ht="9.9499999999999993" hidden="1" customHeight="1" x14ac:dyDescent="0.2"/>
    <row r="61463" ht="9.9499999999999993" hidden="1" customHeight="1" x14ac:dyDescent="0.2"/>
    <row r="61464" ht="9.9499999999999993" hidden="1" customHeight="1" x14ac:dyDescent="0.2"/>
    <row r="61465" ht="9.9499999999999993" hidden="1" customHeight="1" x14ac:dyDescent="0.2"/>
    <row r="61466" ht="9.9499999999999993" hidden="1" customHeight="1" x14ac:dyDescent="0.2"/>
    <row r="61467" ht="9.9499999999999993" hidden="1" customHeight="1" x14ac:dyDescent="0.2"/>
    <row r="61468" ht="9.9499999999999993" hidden="1" customHeight="1" x14ac:dyDescent="0.2"/>
    <row r="61469" ht="9.9499999999999993" hidden="1" customHeight="1" x14ac:dyDescent="0.2"/>
    <row r="61470" ht="9.9499999999999993" hidden="1" customHeight="1" x14ac:dyDescent="0.2"/>
    <row r="61471" ht="9.9499999999999993" hidden="1" customHeight="1" x14ac:dyDescent="0.2"/>
    <row r="61472" ht="9.9499999999999993" hidden="1" customHeight="1" x14ac:dyDescent="0.2"/>
    <row r="61473" ht="9.9499999999999993" hidden="1" customHeight="1" x14ac:dyDescent="0.2"/>
    <row r="61474" ht="9.9499999999999993" hidden="1" customHeight="1" x14ac:dyDescent="0.2"/>
    <row r="61475" ht="9.9499999999999993" hidden="1" customHeight="1" x14ac:dyDescent="0.2"/>
    <row r="61476" ht="9.9499999999999993" hidden="1" customHeight="1" x14ac:dyDescent="0.2"/>
    <row r="61477" ht="9.9499999999999993" hidden="1" customHeight="1" x14ac:dyDescent="0.2"/>
    <row r="61478" ht="9.9499999999999993" hidden="1" customHeight="1" x14ac:dyDescent="0.2"/>
    <row r="61479" ht="9.9499999999999993" hidden="1" customHeight="1" x14ac:dyDescent="0.2"/>
    <row r="61480" ht="9.9499999999999993" hidden="1" customHeight="1" x14ac:dyDescent="0.2"/>
    <row r="61481" ht="9.9499999999999993" hidden="1" customHeight="1" x14ac:dyDescent="0.2"/>
    <row r="61482" ht="9.9499999999999993" hidden="1" customHeight="1" x14ac:dyDescent="0.2"/>
    <row r="61483" ht="9.9499999999999993" hidden="1" customHeight="1" x14ac:dyDescent="0.2"/>
    <row r="61484" ht="9.9499999999999993" hidden="1" customHeight="1" x14ac:dyDescent="0.2"/>
    <row r="61485" ht="9.9499999999999993" hidden="1" customHeight="1" x14ac:dyDescent="0.2"/>
    <row r="61486" ht="9.9499999999999993" hidden="1" customHeight="1" x14ac:dyDescent="0.2"/>
    <row r="61487" ht="9.9499999999999993" hidden="1" customHeight="1" x14ac:dyDescent="0.2"/>
    <row r="61488" ht="9.9499999999999993" hidden="1" customHeight="1" x14ac:dyDescent="0.2"/>
    <row r="61489" ht="9.9499999999999993" hidden="1" customHeight="1" x14ac:dyDescent="0.2"/>
    <row r="61490" ht="9.9499999999999993" hidden="1" customHeight="1" x14ac:dyDescent="0.2"/>
    <row r="61491" ht="9.9499999999999993" hidden="1" customHeight="1" x14ac:dyDescent="0.2"/>
    <row r="61492" ht="9.9499999999999993" hidden="1" customHeight="1" x14ac:dyDescent="0.2"/>
    <row r="61493" ht="9.9499999999999993" hidden="1" customHeight="1" x14ac:dyDescent="0.2"/>
    <row r="61494" ht="9.9499999999999993" hidden="1" customHeight="1" x14ac:dyDescent="0.2"/>
    <row r="61495" ht="9.9499999999999993" hidden="1" customHeight="1" x14ac:dyDescent="0.2"/>
    <row r="61496" ht="9.9499999999999993" hidden="1" customHeight="1" x14ac:dyDescent="0.2"/>
    <row r="61497" ht="9.9499999999999993" hidden="1" customHeight="1" x14ac:dyDescent="0.2"/>
    <row r="61498" ht="9.9499999999999993" hidden="1" customHeight="1" x14ac:dyDescent="0.2"/>
    <row r="61499" ht="9.9499999999999993" hidden="1" customHeight="1" x14ac:dyDescent="0.2"/>
    <row r="61500" ht="9.9499999999999993" hidden="1" customHeight="1" x14ac:dyDescent="0.2"/>
    <row r="61501" ht="9.9499999999999993" hidden="1" customHeight="1" x14ac:dyDescent="0.2"/>
    <row r="61502" ht="9.9499999999999993" hidden="1" customHeight="1" x14ac:dyDescent="0.2"/>
    <row r="61503" ht="9.9499999999999993" hidden="1" customHeight="1" x14ac:dyDescent="0.2"/>
    <row r="61504" ht="9.9499999999999993" hidden="1" customHeight="1" x14ac:dyDescent="0.2"/>
    <row r="61505" ht="9.9499999999999993" hidden="1" customHeight="1" x14ac:dyDescent="0.2"/>
    <row r="61506" ht="9.9499999999999993" hidden="1" customHeight="1" x14ac:dyDescent="0.2"/>
    <row r="61507" ht="9.9499999999999993" hidden="1" customHeight="1" x14ac:dyDescent="0.2"/>
    <row r="61508" ht="9.9499999999999993" hidden="1" customHeight="1" x14ac:dyDescent="0.2"/>
    <row r="61509" ht="9.9499999999999993" hidden="1" customHeight="1" x14ac:dyDescent="0.2"/>
    <row r="61510" ht="9.9499999999999993" hidden="1" customHeight="1" x14ac:dyDescent="0.2"/>
    <row r="61511" ht="9.9499999999999993" hidden="1" customHeight="1" x14ac:dyDescent="0.2"/>
    <row r="61512" ht="9.9499999999999993" hidden="1" customHeight="1" x14ac:dyDescent="0.2"/>
    <row r="61513" ht="9.9499999999999993" hidden="1" customHeight="1" x14ac:dyDescent="0.2"/>
    <row r="61514" ht="9.9499999999999993" hidden="1" customHeight="1" x14ac:dyDescent="0.2"/>
    <row r="61515" ht="9.9499999999999993" hidden="1" customHeight="1" x14ac:dyDescent="0.2"/>
    <row r="61516" ht="9.9499999999999993" hidden="1" customHeight="1" x14ac:dyDescent="0.2"/>
    <row r="61517" ht="9.9499999999999993" hidden="1" customHeight="1" x14ac:dyDescent="0.2"/>
    <row r="61518" ht="9.9499999999999993" hidden="1" customHeight="1" x14ac:dyDescent="0.2"/>
    <row r="61519" ht="9.9499999999999993" hidden="1" customHeight="1" x14ac:dyDescent="0.2"/>
    <row r="61520" ht="9.9499999999999993" hidden="1" customHeight="1" x14ac:dyDescent="0.2"/>
    <row r="61521" ht="9.9499999999999993" hidden="1" customHeight="1" x14ac:dyDescent="0.2"/>
    <row r="61522" ht="9.9499999999999993" hidden="1" customHeight="1" x14ac:dyDescent="0.2"/>
    <row r="61523" ht="9.9499999999999993" hidden="1" customHeight="1" x14ac:dyDescent="0.2"/>
    <row r="61524" ht="9.9499999999999993" hidden="1" customHeight="1" x14ac:dyDescent="0.2"/>
    <row r="61525" ht="9.9499999999999993" hidden="1" customHeight="1" x14ac:dyDescent="0.2"/>
    <row r="61526" ht="9.9499999999999993" hidden="1" customHeight="1" x14ac:dyDescent="0.2"/>
    <row r="61527" ht="9.9499999999999993" hidden="1" customHeight="1" x14ac:dyDescent="0.2"/>
    <row r="61528" ht="9.9499999999999993" hidden="1" customHeight="1" x14ac:dyDescent="0.2"/>
    <row r="61529" ht="9.9499999999999993" hidden="1" customHeight="1" x14ac:dyDescent="0.2"/>
    <row r="61530" ht="9.9499999999999993" hidden="1" customHeight="1" x14ac:dyDescent="0.2"/>
    <row r="61531" ht="9.9499999999999993" hidden="1" customHeight="1" x14ac:dyDescent="0.2"/>
    <row r="61532" ht="9.9499999999999993" hidden="1" customHeight="1" x14ac:dyDescent="0.2"/>
    <row r="61533" ht="9.9499999999999993" hidden="1" customHeight="1" x14ac:dyDescent="0.2"/>
    <row r="61534" ht="9.9499999999999993" hidden="1" customHeight="1" x14ac:dyDescent="0.2"/>
    <row r="61535" ht="9.9499999999999993" hidden="1" customHeight="1" x14ac:dyDescent="0.2"/>
    <row r="61536" ht="9.9499999999999993" hidden="1" customHeight="1" x14ac:dyDescent="0.2"/>
    <row r="61537" ht="9.9499999999999993" hidden="1" customHeight="1" x14ac:dyDescent="0.2"/>
    <row r="61538" ht="9.9499999999999993" hidden="1" customHeight="1" x14ac:dyDescent="0.2"/>
    <row r="61539" ht="9.9499999999999993" hidden="1" customHeight="1" x14ac:dyDescent="0.2"/>
    <row r="61540" ht="9.9499999999999993" hidden="1" customHeight="1" x14ac:dyDescent="0.2"/>
    <row r="61541" ht="9.9499999999999993" hidden="1" customHeight="1" x14ac:dyDescent="0.2"/>
    <row r="61542" ht="9.9499999999999993" hidden="1" customHeight="1" x14ac:dyDescent="0.2"/>
    <row r="61543" ht="9.9499999999999993" hidden="1" customHeight="1" x14ac:dyDescent="0.2"/>
    <row r="61544" ht="9.9499999999999993" hidden="1" customHeight="1" x14ac:dyDescent="0.2"/>
    <row r="61545" ht="9.9499999999999993" hidden="1" customHeight="1" x14ac:dyDescent="0.2"/>
    <row r="61546" ht="9.9499999999999993" hidden="1" customHeight="1" x14ac:dyDescent="0.2"/>
    <row r="61547" ht="9.9499999999999993" hidden="1" customHeight="1" x14ac:dyDescent="0.2"/>
    <row r="61548" ht="9.9499999999999993" hidden="1" customHeight="1" x14ac:dyDescent="0.2"/>
    <row r="61549" ht="9.9499999999999993" hidden="1" customHeight="1" x14ac:dyDescent="0.2"/>
    <row r="61550" ht="9.9499999999999993" hidden="1" customHeight="1" x14ac:dyDescent="0.2"/>
    <row r="61551" ht="9.9499999999999993" hidden="1" customHeight="1" x14ac:dyDescent="0.2"/>
    <row r="61552" ht="9.9499999999999993" hidden="1" customHeight="1" x14ac:dyDescent="0.2"/>
    <row r="61553" ht="9.9499999999999993" hidden="1" customHeight="1" x14ac:dyDescent="0.2"/>
    <row r="61554" ht="9.9499999999999993" hidden="1" customHeight="1" x14ac:dyDescent="0.2"/>
    <row r="61555" ht="9.9499999999999993" hidden="1" customHeight="1" x14ac:dyDescent="0.2"/>
    <row r="61556" ht="9.9499999999999993" hidden="1" customHeight="1" x14ac:dyDescent="0.2"/>
    <row r="61557" ht="9.9499999999999993" hidden="1" customHeight="1" x14ac:dyDescent="0.2"/>
    <row r="61558" ht="9.9499999999999993" hidden="1" customHeight="1" x14ac:dyDescent="0.2"/>
    <row r="61559" ht="9.9499999999999993" hidden="1" customHeight="1" x14ac:dyDescent="0.2"/>
    <row r="61560" ht="9.9499999999999993" hidden="1" customHeight="1" x14ac:dyDescent="0.2"/>
    <row r="61561" ht="9.9499999999999993" hidden="1" customHeight="1" x14ac:dyDescent="0.2"/>
    <row r="61562" ht="9.9499999999999993" hidden="1" customHeight="1" x14ac:dyDescent="0.2"/>
    <row r="61563" ht="9.9499999999999993" hidden="1" customHeight="1" x14ac:dyDescent="0.2"/>
    <row r="61564" ht="9.9499999999999993" hidden="1" customHeight="1" x14ac:dyDescent="0.2"/>
    <row r="61565" ht="9.9499999999999993" hidden="1" customHeight="1" x14ac:dyDescent="0.2"/>
    <row r="61566" ht="9.9499999999999993" hidden="1" customHeight="1" x14ac:dyDescent="0.2"/>
    <row r="61567" ht="9.9499999999999993" hidden="1" customHeight="1" x14ac:dyDescent="0.2"/>
    <row r="61568" ht="9.9499999999999993" hidden="1" customHeight="1" x14ac:dyDescent="0.2"/>
    <row r="61569" ht="9.9499999999999993" hidden="1" customHeight="1" x14ac:dyDescent="0.2"/>
    <row r="61570" ht="9.9499999999999993" hidden="1" customHeight="1" x14ac:dyDescent="0.2"/>
    <row r="61571" ht="9.9499999999999993" hidden="1" customHeight="1" x14ac:dyDescent="0.2"/>
    <row r="61572" ht="9.9499999999999993" hidden="1" customHeight="1" x14ac:dyDescent="0.2"/>
    <row r="61573" ht="9.9499999999999993" hidden="1" customHeight="1" x14ac:dyDescent="0.2"/>
    <row r="61574" ht="9.9499999999999993" hidden="1" customHeight="1" x14ac:dyDescent="0.2"/>
    <row r="61575" ht="9.9499999999999993" hidden="1" customHeight="1" x14ac:dyDescent="0.2"/>
    <row r="61576" ht="9.9499999999999993" hidden="1" customHeight="1" x14ac:dyDescent="0.2"/>
    <row r="61577" ht="9.9499999999999993" hidden="1" customHeight="1" x14ac:dyDescent="0.2"/>
    <row r="61578" ht="9.9499999999999993" hidden="1" customHeight="1" x14ac:dyDescent="0.2"/>
    <row r="61579" ht="9.9499999999999993" hidden="1" customHeight="1" x14ac:dyDescent="0.2"/>
    <row r="61580" ht="9.9499999999999993" hidden="1" customHeight="1" x14ac:dyDescent="0.2"/>
    <row r="61581" ht="9.9499999999999993" hidden="1" customHeight="1" x14ac:dyDescent="0.2"/>
    <row r="61582" ht="9.9499999999999993" hidden="1" customHeight="1" x14ac:dyDescent="0.2"/>
    <row r="61583" ht="9.9499999999999993" hidden="1" customHeight="1" x14ac:dyDescent="0.2"/>
    <row r="61584" ht="9.9499999999999993" hidden="1" customHeight="1" x14ac:dyDescent="0.2"/>
    <row r="61585" ht="9.9499999999999993" hidden="1" customHeight="1" x14ac:dyDescent="0.2"/>
    <row r="61586" ht="9.9499999999999993" hidden="1" customHeight="1" x14ac:dyDescent="0.2"/>
    <row r="61587" ht="9.9499999999999993" hidden="1" customHeight="1" x14ac:dyDescent="0.2"/>
    <row r="61588" ht="9.9499999999999993" hidden="1" customHeight="1" x14ac:dyDescent="0.2"/>
    <row r="61589" ht="9.9499999999999993" hidden="1" customHeight="1" x14ac:dyDescent="0.2"/>
    <row r="61590" ht="9.9499999999999993" hidden="1" customHeight="1" x14ac:dyDescent="0.2"/>
    <row r="61591" ht="9.9499999999999993" hidden="1" customHeight="1" x14ac:dyDescent="0.2"/>
    <row r="61592" ht="9.9499999999999993" hidden="1" customHeight="1" x14ac:dyDescent="0.2"/>
    <row r="61593" ht="9.9499999999999993" hidden="1" customHeight="1" x14ac:dyDescent="0.2"/>
    <row r="61594" ht="9.9499999999999993" hidden="1" customHeight="1" x14ac:dyDescent="0.2"/>
    <row r="61595" ht="9.9499999999999993" hidden="1" customHeight="1" x14ac:dyDescent="0.2"/>
    <row r="61596" ht="9.9499999999999993" hidden="1" customHeight="1" x14ac:dyDescent="0.2"/>
    <row r="61597" ht="9.9499999999999993" hidden="1" customHeight="1" x14ac:dyDescent="0.2"/>
    <row r="61598" ht="9.9499999999999993" hidden="1" customHeight="1" x14ac:dyDescent="0.2"/>
    <row r="61599" ht="9.9499999999999993" hidden="1" customHeight="1" x14ac:dyDescent="0.2"/>
    <row r="61600" ht="9.9499999999999993" hidden="1" customHeight="1" x14ac:dyDescent="0.2"/>
    <row r="61601" ht="9.9499999999999993" hidden="1" customHeight="1" x14ac:dyDescent="0.2"/>
    <row r="61602" ht="9.9499999999999993" hidden="1" customHeight="1" x14ac:dyDescent="0.2"/>
    <row r="61603" ht="9.9499999999999993" hidden="1" customHeight="1" x14ac:dyDescent="0.2"/>
    <row r="61604" ht="9.9499999999999993" hidden="1" customHeight="1" x14ac:dyDescent="0.2"/>
    <row r="61605" ht="9.9499999999999993" hidden="1" customHeight="1" x14ac:dyDescent="0.2"/>
    <row r="61606" ht="9.9499999999999993" hidden="1" customHeight="1" x14ac:dyDescent="0.2"/>
    <row r="61607" ht="9.9499999999999993" hidden="1" customHeight="1" x14ac:dyDescent="0.2"/>
    <row r="61608" ht="9.9499999999999993" hidden="1" customHeight="1" x14ac:dyDescent="0.2"/>
    <row r="61609" ht="9.9499999999999993" hidden="1" customHeight="1" x14ac:dyDescent="0.2"/>
    <row r="61610" ht="9.9499999999999993" hidden="1" customHeight="1" x14ac:dyDescent="0.2"/>
    <row r="61611" ht="9.9499999999999993" hidden="1" customHeight="1" x14ac:dyDescent="0.2"/>
    <row r="61612" ht="9.9499999999999993" hidden="1" customHeight="1" x14ac:dyDescent="0.2"/>
    <row r="61613" ht="9.9499999999999993" hidden="1" customHeight="1" x14ac:dyDescent="0.2"/>
    <row r="61614" ht="9.9499999999999993" hidden="1" customHeight="1" x14ac:dyDescent="0.2"/>
    <row r="61615" ht="9.9499999999999993" hidden="1" customHeight="1" x14ac:dyDescent="0.2"/>
    <row r="61616" ht="9.9499999999999993" hidden="1" customHeight="1" x14ac:dyDescent="0.2"/>
    <row r="61617" ht="9.9499999999999993" hidden="1" customHeight="1" x14ac:dyDescent="0.2"/>
    <row r="61618" ht="9.9499999999999993" hidden="1" customHeight="1" x14ac:dyDescent="0.2"/>
    <row r="61619" ht="9.9499999999999993" hidden="1" customHeight="1" x14ac:dyDescent="0.2"/>
    <row r="61620" ht="9.9499999999999993" hidden="1" customHeight="1" x14ac:dyDescent="0.2"/>
    <row r="61621" ht="9.9499999999999993" hidden="1" customHeight="1" x14ac:dyDescent="0.2"/>
    <row r="61622" ht="9.9499999999999993" hidden="1" customHeight="1" x14ac:dyDescent="0.2"/>
    <row r="61623" ht="9.9499999999999993" hidden="1" customHeight="1" x14ac:dyDescent="0.2"/>
    <row r="61624" ht="9.9499999999999993" hidden="1" customHeight="1" x14ac:dyDescent="0.2"/>
    <row r="61625" ht="9.9499999999999993" hidden="1" customHeight="1" x14ac:dyDescent="0.2"/>
    <row r="61626" ht="9.9499999999999993" hidden="1" customHeight="1" x14ac:dyDescent="0.2"/>
    <row r="61627" ht="9.9499999999999993" hidden="1" customHeight="1" x14ac:dyDescent="0.2"/>
    <row r="61628" ht="9.9499999999999993" hidden="1" customHeight="1" x14ac:dyDescent="0.2"/>
    <row r="61629" ht="9.9499999999999993" hidden="1" customHeight="1" x14ac:dyDescent="0.2"/>
    <row r="61630" ht="9.9499999999999993" hidden="1" customHeight="1" x14ac:dyDescent="0.2"/>
    <row r="61631" ht="9.9499999999999993" hidden="1" customHeight="1" x14ac:dyDescent="0.2"/>
    <row r="61632" ht="9.9499999999999993" hidden="1" customHeight="1" x14ac:dyDescent="0.2"/>
    <row r="61633" ht="9.9499999999999993" hidden="1" customHeight="1" x14ac:dyDescent="0.2"/>
    <row r="61634" ht="9.9499999999999993" hidden="1" customHeight="1" x14ac:dyDescent="0.2"/>
    <row r="61635" ht="9.9499999999999993" hidden="1" customHeight="1" x14ac:dyDescent="0.2"/>
    <row r="61636" ht="9.9499999999999993" hidden="1" customHeight="1" x14ac:dyDescent="0.2"/>
    <row r="61637" ht="9.9499999999999993" hidden="1" customHeight="1" x14ac:dyDescent="0.2"/>
    <row r="61638" ht="9.9499999999999993" hidden="1" customHeight="1" x14ac:dyDescent="0.2"/>
    <row r="61639" ht="9.9499999999999993" hidden="1" customHeight="1" x14ac:dyDescent="0.2"/>
    <row r="61640" ht="9.9499999999999993" hidden="1" customHeight="1" x14ac:dyDescent="0.2"/>
    <row r="61641" ht="9.9499999999999993" hidden="1" customHeight="1" x14ac:dyDescent="0.2"/>
    <row r="61642" ht="9.9499999999999993" hidden="1" customHeight="1" x14ac:dyDescent="0.2"/>
    <row r="61643" ht="9.9499999999999993" hidden="1" customHeight="1" x14ac:dyDescent="0.2"/>
    <row r="61644" ht="9.9499999999999993" hidden="1" customHeight="1" x14ac:dyDescent="0.2"/>
    <row r="61645" ht="9.9499999999999993" hidden="1" customHeight="1" x14ac:dyDescent="0.2"/>
    <row r="61646" ht="9.9499999999999993" hidden="1" customHeight="1" x14ac:dyDescent="0.2"/>
    <row r="61647" ht="9.9499999999999993" hidden="1" customHeight="1" x14ac:dyDescent="0.2"/>
    <row r="61648" ht="9.9499999999999993" hidden="1" customHeight="1" x14ac:dyDescent="0.2"/>
    <row r="61649" ht="9.9499999999999993" hidden="1" customHeight="1" x14ac:dyDescent="0.2"/>
    <row r="61650" ht="9.9499999999999993" hidden="1" customHeight="1" x14ac:dyDescent="0.2"/>
    <row r="61651" ht="9.9499999999999993" hidden="1" customHeight="1" x14ac:dyDescent="0.2"/>
    <row r="61652" ht="9.9499999999999993" hidden="1" customHeight="1" x14ac:dyDescent="0.2"/>
    <row r="61653" ht="9.9499999999999993" hidden="1" customHeight="1" x14ac:dyDescent="0.2"/>
    <row r="61654" ht="9.9499999999999993" hidden="1" customHeight="1" x14ac:dyDescent="0.2"/>
    <row r="61655" ht="9.9499999999999993" hidden="1" customHeight="1" x14ac:dyDescent="0.2"/>
    <row r="61656" ht="9.9499999999999993" hidden="1" customHeight="1" x14ac:dyDescent="0.2"/>
    <row r="61657" ht="9.9499999999999993" hidden="1" customHeight="1" x14ac:dyDescent="0.2"/>
    <row r="61658" ht="9.9499999999999993" hidden="1" customHeight="1" x14ac:dyDescent="0.2"/>
    <row r="61659" ht="9.9499999999999993" hidden="1" customHeight="1" x14ac:dyDescent="0.2"/>
    <row r="61660" ht="9.9499999999999993" hidden="1" customHeight="1" x14ac:dyDescent="0.2"/>
    <row r="61661" ht="9.9499999999999993" hidden="1" customHeight="1" x14ac:dyDescent="0.2"/>
    <row r="61662" ht="9.9499999999999993" hidden="1" customHeight="1" x14ac:dyDescent="0.2"/>
    <row r="61663" ht="9.9499999999999993" hidden="1" customHeight="1" x14ac:dyDescent="0.2"/>
    <row r="61664" ht="9.9499999999999993" hidden="1" customHeight="1" x14ac:dyDescent="0.2"/>
    <row r="61665" ht="9.9499999999999993" hidden="1" customHeight="1" x14ac:dyDescent="0.2"/>
    <row r="61666" ht="9.9499999999999993" hidden="1" customHeight="1" x14ac:dyDescent="0.2"/>
    <row r="61667" ht="9.9499999999999993" hidden="1" customHeight="1" x14ac:dyDescent="0.2"/>
    <row r="61668" ht="9.9499999999999993" hidden="1" customHeight="1" x14ac:dyDescent="0.2"/>
    <row r="61669" ht="9.9499999999999993" hidden="1" customHeight="1" x14ac:dyDescent="0.2"/>
    <row r="61670" ht="9.9499999999999993" hidden="1" customHeight="1" x14ac:dyDescent="0.2"/>
    <row r="61671" ht="9.9499999999999993" hidden="1" customHeight="1" x14ac:dyDescent="0.2"/>
    <row r="61672" ht="9.9499999999999993" hidden="1" customHeight="1" x14ac:dyDescent="0.2"/>
    <row r="61673" ht="9.9499999999999993" hidden="1" customHeight="1" x14ac:dyDescent="0.2"/>
    <row r="61674" ht="9.9499999999999993" hidden="1" customHeight="1" x14ac:dyDescent="0.2"/>
    <row r="61675" ht="9.9499999999999993" hidden="1" customHeight="1" x14ac:dyDescent="0.2"/>
    <row r="61676" ht="9.9499999999999993" hidden="1" customHeight="1" x14ac:dyDescent="0.2"/>
    <row r="61677" ht="9.9499999999999993" hidden="1" customHeight="1" x14ac:dyDescent="0.2"/>
    <row r="61678" ht="9.9499999999999993" hidden="1" customHeight="1" x14ac:dyDescent="0.2"/>
    <row r="61679" ht="9.9499999999999993" hidden="1" customHeight="1" x14ac:dyDescent="0.2"/>
    <row r="61680" ht="9.9499999999999993" hidden="1" customHeight="1" x14ac:dyDescent="0.2"/>
    <row r="61681" ht="9.9499999999999993" hidden="1" customHeight="1" x14ac:dyDescent="0.2"/>
    <row r="61682" ht="9.9499999999999993" hidden="1" customHeight="1" x14ac:dyDescent="0.2"/>
    <row r="61683" ht="9.9499999999999993" hidden="1" customHeight="1" x14ac:dyDescent="0.2"/>
    <row r="61684" ht="9.9499999999999993" hidden="1" customHeight="1" x14ac:dyDescent="0.2"/>
    <row r="61685" ht="9.9499999999999993" hidden="1" customHeight="1" x14ac:dyDescent="0.2"/>
    <row r="61686" ht="9.9499999999999993" hidden="1" customHeight="1" x14ac:dyDescent="0.2"/>
    <row r="61687" ht="9.9499999999999993" hidden="1" customHeight="1" x14ac:dyDescent="0.2"/>
    <row r="61688" ht="9.9499999999999993" hidden="1" customHeight="1" x14ac:dyDescent="0.2"/>
    <row r="61689" ht="9.9499999999999993" hidden="1" customHeight="1" x14ac:dyDescent="0.2"/>
    <row r="61690" ht="9.9499999999999993" hidden="1" customHeight="1" x14ac:dyDescent="0.2"/>
    <row r="61691" ht="9.9499999999999993" hidden="1" customHeight="1" x14ac:dyDescent="0.2"/>
    <row r="61692" ht="9.9499999999999993" hidden="1" customHeight="1" x14ac:dyDescent="0.2"/>
    <row r="61693" ht="9.9499999999999993" hidden="1" customHeight="1" x14ac:dyDescent="0.2"/>
    <row r="61694" ht="9.9499999999999993" hidden="1" customHeight="1" x14ac:dyDescent="0.2"/>
    <row r="61695" ht="9.9499999999999993" hidden="1" customHeight="1" x14ac:dyDescent="0.2"/>
    <row r="61696" ht="9.9499999999999993" hidden="1" customHeight="1" x14ac:dyDescent="0.2"/>
    <row r="61697" ht="9.9499999999999993" hidden="1" customHeight="1" x14ac:dyDescent="0.2"/>
    <row r="61698" ht="9.9499999999999993" hidden="1" customHeight="1" x14ac:dyDescent="0.2"/>
    <row r="61699" ht="9.9499999999999993" hidden="1" customHeight="1" x14ac:dyDescent="0.2"/>
    <row r="61700" ht="9.9499999999999993" hidden="1" customHeight="1" x14ac:dyDescent="0.2"/>
    <row r="61701" ht="9.9499999999999993" hidden="1" customHeight="1" x14ac:dyDescent="0.2"/>
    <row r="61702" ht="9.9499999999999993" hidden="1" customHeight="1" x14ac:dyDescent="0.2"/>
    <row r="61703" ht="9.9499999999999993" hidden="1" customHeight="1" x14ac:dyDescent="0.2"/>
    <row r="61704" ht="9.9499999999999993" hidden="1" customHeight="1" x14ac:dyDescent="0.2"/>
    <row r="61705" ht="9.9499999999999993" hidden="1" customHeight="1" x14ac:dyDescent="0.2"/>
    <row r="61706" ht="9.9499999999999993" hidden="1" customHeight="1" x14ac:dyDescent="0.2"/>
    <row r="61707" ht="9.9499999999999993" hidden="1" customHeight="1" x14ac:dyDescent="0.2"/>
    <row r="61708" ht="9.9499999999999993" hidden="1" customHeight="1" x14ac:dyDescent="0.2"/>
    <row r="61709" ht="9.9499999999999993" hidden="1" customHeight="1" x14ac:dyDescent="0.2"/>
    <row r="61710" ht="9.9499999999999993" hidden="1" customHeight="1" x14ac:dyDescent="0.2"/>
    <row r="61711" ht="9.9499999999999993" hidden="1" customHeight="1" x14ac:dyDescent="0.2"/>
    <row r="61712" ht="9.9499999999999993" hidden="1" customHeight="1" x14ac:dyDescent="0.2"/>
    <row r="61713" ht="9.9499999999999993" hidden="1" customHeight="1" x14ac:dyDescent="0.2"/>
    <row r="61714" ht="9.9499999999999993" hidden="1" customHeight="1" x14ac:dyDescent="0.2"/>
    <row r="61715" ht="9.9499999999999993" hidden="1" customHeight="1" x14ac:dyDescent="0.2"/>
    <row r="61716" ht="9.9499999999999993" hidden="1" customHeight="1" x14ac:dyDescent="0.2"/>
    <row r="61717" ht="9.9499999999999993" hidden="1" customHeight="1" x14ac:dyDescent="0.2"/>
    <row r="61718" ht="9.9499999999999993" hidden="1" customHeight="1" x14ac:dyDescent="0.2"/>
    <row r="61719" ht="9.9499999999999993" hidden="1" customHeight="1" x14ac:dyDescent="0.2"/>
    <row r="61720" ht="9.9499999999999993" hidden="1" customHeight="1" x14ac:dyDescent="0.2"/>
    <row r="61721" ht="9.9499999999999993" hidden="1" customHeight="1" x14ac:dyDescent="0.2"/>
    <row r="61722" ht="9.9499999999999993" hidden="1" customHeight="1" x14ac:dyDescent="0.2"/>
    <row r="61723" ht="9.9499999999999993" hidden="1" customHeight="1" x14ac:dyDescent="0.2"/>
    <row r="61724" ht="9.9499999999999993" hidden="1" customHeight="1" x14ac:dyDescent="0.2"/>
    <row r="61725" ht="9.9499999999999993" hidden="1" customHeight="1" x14ac:dyDescent="0.2"/>
    <row r="61726" ht="9.9499999999999993" hidden="1" customHeight="1" x14ac:dyDescent="0.2"/>
    <row r="61727" ht="9.9499999999999993" hidden="1" customHeight="1" x14ac:dyDescent="0.2"/>
    <row r="61728" ht="9.9499999999999993" hidden="1" customHeight="1" x14ac:dyDescent="0.2"/>
    <row r="61729" ht="9.9499999999999993" hidden="1" customHeight="1" x14ac:dyDescent="0.2"/>
    <row r="61730" ht="9.9499999999999993" hidden="1" customHeight="1" x14ac:dyDescent="0.2"/>
    <row r="61731" ht="9.9499999999999993" hidden="1" customHeight="1" x14ac:dyDescent="0.2"/>
    <row r="61732" ht="9.9499999999999993" hidden="1" customHeight="1" x14ac:dyDescent="0.2"/>
    <row r="61733" ht="9.9499999999999993" hidden="1" customHeight="1" x14ac:dyDescent="0.2"/>
    <row r="61734" ht="9.9499999999999993" hidden="1" customHeight="1" x14ac:dyDescent="0.2"/>
    <row r="61735" ht="9.9499999999999993" hidden="1" customHeight="1" x14ac:dyDescent="0.2"/>
    <row r="61736" ht="9.9499999999999993" hidden="1" customHeight="1" x14ac:dyDescent="0.2"/>
    <row r="61737" ht="9.9499999999999993" hidden="1" customHeight="1" x14ac:dyDescent="0.2"/>
    <row r="61738" ht="9.9499999999999993" hidden="1" customHeight="1" x14ac:dyDescent="0.2"/>
    <row r="61739" ht="9.9499999999999993" hidden="1" customHeight="1" x14ac:dyDescent="0.2"/>
    <row r="61740" ht="9.9499999999999993" hidden="1" customHeight="1" x14ac:dyDescent="0.2"/>
    <row r="61741" ht="9.9499999999999993" hidden="1" customHeight="1" x14ac:dyDescent="0.2"/>
    <row r="61742" ht="9.9499999999999993" hidden="1" customHeight="1" x14ac:dyDescent="0.2"/>
    <row r="61743" ht="9.9499999999999993" hidden="1" customHeight="1" x14ac:dyDescent="0.2"/>
    <row r="61744" ht="9.9499999999999993" hidden="1" customHeight="1" x14ac:dyDescent="0.2"/>
    <row r="61745" ht="9.9499999999999993" hidden="1" customHeight="1" x14ac:dyDescent="0.2"/>
    <row r="61746" ht="9.9499999999999993" hidden="1" customHeight="1" x14ac:dyDescent="0.2"/>
    <row r="61747" ht="9.9499999999999993" hidden="1" customHeight="1" x14ac:dyDescent="0.2"/>
    <row r="61748" ht="9.9499999999999993" hidden="1" customHeight="1" x14ac:dyDescent="0.2"/>
    <row r="61749" ht="9.9499999999999993" hidden="1" customHeight="1" x14ac:dyDescent="0.2"/>
    <row r="61750" ht="9.9499999999999993" hidden="1" customHeight="1" x14ac:dyDescent="0.2"/>
    <row r="61751" ht="9.9499999999999993" hidden="1" customHeight="1" x14ac:dyDescent="0.2"/>
    <row r="61752" ht="9.9499999999999993" hidden="1" customHeight="1" x14ac:dyDescent="0.2"/>
    <row r="61753" ht="9.9499999999999993" hidden="1" customHeight="1" x14ac:dyDescent="0.2"/>
    <row r="61754" ht="9.9499999999999993" hidden="1" customHeight="1" x14ac:dyDescent="0.2"/>
    <row r="61755" ht="9.9499999999999993" hidden="1" customHeight="1" x14ac:dyDescent="0.2"/>
    <row r="61756" ht="9.9499999999999993" hidden="1" customHeight="1" x14ac:dyDescent="0.2"/>
    <row r="61757" ht="9.9499999999999993" hidden="1" customHeight="1" x14ac:dyDescent="0.2"/>
    <row r="61758" ht="9.9499999999999993" hidden="1" customHeight="1" x14ac:dyDescent="0.2"/>
    <row r="61759" ht="9.9499999999999993" hidden="1" customHeight="1" x14ac:dyDescent="0.2"/>
    <row r="61760" ht="9.9499999999999993" hidden="1" customHeight="1" x14ac:dyDescent="0.2"/>
    <row r="61761" ht="9.9499999999999993" hidden="1" customHeight="1" x14ac:dyDescent="0.2"/>
    <row r="61762" ht="9.9499999999999993" hidden="1" customHeight="1" x14ac:dyDescent="0.2"/>
    <row r="61763" ht="9.9499999999999993" hidden="1" customHeight="1" x14ac:dyDescent="0.2"/>
    <row r="61764" ht="9.9499999999999993" hidden="1" customHeight="1" x14ac:dyDescent="0.2"/>
    <row r="61765" ht="9.9499999999999993" hidden="1" customHeight="1" x14ac:dyDescent="0.2"/>
    <row r="61766" ht="9.9499999999999993" hidden="1" customHeight="1" x14ac:dyDescent="0.2"/>
    <row r="61767" ht="9.9499999999999993" hidden="1" customHeight="1" x14ac:dyDescent="0.2"/>
    <row r="61768" ht="9.9499999999999993" hidden="1" customHeight="1" x14ac:dyDescent="0.2"/>
    <row r="61769" ht="9.9499999999999993" hidden="1" customHeight="1" x14ac:dyDescent="0.2"/>
    <row r="61770" ht="9.9499999999999993" hidden="1" customHeight="1" x14ac:dyDescent="0.2"/>
    <row r="61771" ht="9.9499999999999993" hidden="1" customHeight="1" x14ac:dyDescent="0.2"/>
    <row r="61772" ht="9.9499999999999993" hidden="1" customHeight="1" x14ac:dyDescent="0.2"/>
    <row r="61773" ht="9.9499999999999993" hidden="1" customHeight="1" x14ac:dyDescent="0.2"/>
    <row r="61774" ht="9.9499999999999993" hidden="1" customHeight="1" x14ac:dyDescent="0.2"/>
    <row r="61775" ht="9.9499999999999993" hidden="1" customHeight="1" x14ac:dyDescent="0.2"/>
    <row r="61776" ht="9.9499999999999993" hidden="1" customHeight="1" x14ac:dyDescent="0.2"/>
    <row r="61777" ht="9.9499999999999993" hidden="1" customHeight="1" x14ac:dyDescent="0.2"/>
    <row r="61778" ht="9.9499999999999993" hidden="1" customHeight="1" x14ac:dyDescent="0.2"/>
    <row r="61779" ht="9.9499999999999993" hidden="1" customHeight="1" x14ac:dyDescent="0.2"/>
    <row r="61780" ht="9.9499999999999993" hidden="1" customHeight="1" x14ac:dyDescent="0.2"/>
    <row r="61781" ht="9.9499999999999993" hidden="1" customHeight="1" x14ac:dyDescent="0.2"/>
    <row r="61782" ht="9.9499999999999993" hidden="1" customHeight="1" x14ac:dyDescent="0.2"/>
    <row r="61783" ht="9.9499999999999993" hidden="1" customHeight="1" x14ac:dyDescent="0.2"/>
    <row r="61784" ht="9.9499999999999993" hidden="1" customHeight="1" x14ac:dyDescent="0.2"/>
    <row r="61785" ht="9.9499999999999993" hidden="1" customHeight="1" x14ac:dyDescent="0.2"/>
    <row r="61786" ht="9.9499999999999993" hidden="1" customHeight="1" x14ac:dyDescent="0.2"/>
    <row r="61787" ht="9.9499999999999993" hidden="1" customHeight="1" x14ac:dyDescent="0.2"/>
    <row r="61788" ht="9.9499999999999993" hidden="1" customHeight="1" x14ac:dyDescent="0.2"/>
    <row r="61789" ht="9.9499999999999993" hidden="1" customHeight="1" x14ac:dyDescent="0.2"/>
    <row r="61790" ht="9.9499999999999993" hidden="1" customHeight="1" x14ac:dyDescent="0.2"/>
    <row r="61791" ht="9.9499999999999993" hidden="1" customHeight="1" x14ac:dyDescent="0.2"/>
    <row r="61792" ht="9.9499999999999993" hidden="1" customHeight="1" x14ac:dyDescent="0.2"/>
    <row r="61793" ht="9.9499999999999993" hidden="1" customHeight="1" x14ac:dyDescent="0.2"/>
    <row r="61794" ht="9.9499999999999993" hidden="1" customHeight="1" x14ac:dyDescent="0.2"/>
    <row r="61795" ht="9.9499999999999993" hidden="1" customHeight="1" x14ac:dyDescent="0.2"/>
    <row r="61796" ht="9.9499999999999993" hidden="1" customHeight="1" x14ac:dyDescent="0.2"/>
    <row r="61797" ht="9.9499999999999993" hidden="1" customHeight="1" x14ac:dyDescent="0.2"/>
    <row r="61798" ht="9.9499999999999993" hidden="1" customHeight="1" x14ac:dyDescent="0.2"/>
    <row r="61799" ht="9.9499999999999993" hidden="1" customHeight="1" x14ac:dyDescent="0.2"/>
    <row r="61800" ht="9.9499999999999993" hidden="1" customHeight="1" x14ac:dyDescent="0.2"/>
    <row r="61801" ht="9.9499999999999993" hidden="1" customHeight="1" x14ac:dyDescent="0.2"/>
    <row r="61802" ht="9.9499999999999993" hidden="1" customHeight="1" x14ac:dyDescent="0.2"/>
    <row r="61803" ht="9.9499999999999993" hidden="1" customHeight="1" x14ac:dyDescent="0.2"/>
    <row r="61804" ht="9.9499999999999993" hidden="1" customHeight="1" x14ac:dyDescent="0.2"/>
    <row r="61805" ht="9.9499999999999993" hidden="1" customHeight="1" x14ac:dyDescent="0.2"/>
    <row r="61806" ht="9.9499999999999993" hidden="1" customHeight="1" x14ac:dyDescent="0.2"/>
    <row r="61807" ht="9.9499999999999993" hidden="1" customHeight="1" x14ac:dyDescent="0.2"/>
    <row r="61808" ht="9.9499999999999993" hidden="1" customHeight="1" x14ac:dyDescent="0.2"/>
    <row r="61809" ht="9.9499999999999993" hidden="1" customHeight="1" x14ac:dyDescent="0.2"/>
    <row r="61810" ht="9.9499999999999993" hidden="1" customHeight="1" x14ac:dyDescent="0.2"/>
    <row r="61811" ht="9.9499999999999993" hidden="1" customHeight="1" x14ac:dyDescent="0.2"/>
    <row r="61812" ht="9.9499999999999993" hidden="1" customHeight="1" x14ac:dyDescent="0.2"/>
    <row r="61813" ht="9.9499999999999993" hidden="1" customHeight="1" x14ac:dyDescent="0.2"/>
    <row r="61814" ht="9.9499999999999993" hidden="1" customHeight="1" x14ac:dyDescent="0.2"/>
    <row r="61815" ht="9.9499999999999993" hidden="1" customHeight="1" x14ac:dyDescent="0.2"/>
    <row r="61816" ht="9.9499999999999993" hidden="1" customHeight="1" x14ac:dyDescent="0.2"/>
    <row r="61817" ht="9.9499999999999993" hidden="1" customHeight="1" x14ac:dyDescent="0.2"/>
    <row r="61818" ht="9.9499999999999993" hidden="1" customHeight="1" x14ac:dyDescent="0.2"/>
    <row r="61819" ht="9.9499999999999993" hidden="1" customHeight="1" x14ac:dyDescent="0.2"/>
    <row r="61820" ht="9.9499999999999993" hidden="1" customHeight="1" x14ac:dyDescent="0.2"/>
    <row r="61821" ht="9.9499999999999993" hidden="1" customHeight="1" x14ac:dyDescent="0.2"/>
    <row r="61822" ht="9.9499999999999993" hidden="1" customHeight="1" x14ac:dyDescent="0.2"/>
    <row r="61823" ht="9.9499999999999993" hidden="1" customHeight="1" x14ac:dyDescent="0.2"/>
    <row r="61824" ht="9.9499999999999993" hidden="1" customHeight="1" x14ac:dyDescent="0.2"/>
    <row r="61825" ht="9.9499999999999993" hidden="1" customHeight="1" x14ac:dyDescent="0.2"/>
    <row r="61826" ht="9.9499999999999993" hidden="1" customHeight="1" x14ac:dyDescent="0.2"/>
    <row r="61827" ht="9.9499999999999993" hidden="1" customHeight="1" x14ac:dyDescent="0.2"/>
    <row r="61828" ht="9.9499999999999993" hidden="1" customHeight="1" x14ac:dyDescent="0.2"/>
    <row r="61829" ht="9.9499999999999993" hidden="1" customHeight="1" x14ac:dyDescent="0.2"/>
    <row r="61830" ht="9.9499999999999993" hidden="1" customHeight="1" x14ac:dyDescent="0.2"/>
    <row r="61831" ht="9.9499999999999993" hidden="1" customHeight="1" x14ac:dyDescent="0.2"/>
    <row r="61832" ht="9.9499999999999993" hidden="1" customHeight="1" x14ac:dyDescent="0.2"/>
    <row r="61833" ht="9.9499999999999993" hidden="1" customHeight="1" x14ac:dyDescent="0.2"/>
    <row r="61834" ht="9.9499999999999993" hidden="1" customHeight="1" x14ac:dyDescent="0.2"/>
    <row r="61835" ht="9.9499999999999993" hidden="1" customHeight="1" x14ac:dyDescent="0.2"/>
    <row r="61836" ht="9.9499999999999993" hidden="1" customHeight="1" x14ac:dyDescent="0.2"/>
    <row r="61837" ht="9.9499999999999993" hidden="1" customHeight="1" x14ac:dyDescent="0.2"/>
    <row r="61838" ht="9.9499999999999993" hidden="1" customHeight="1" x14ac:dyDescent="0.2"/>
    <row r="61839" ht="9.9499999999999993" hidden="1" customHeight="1" x14ac:dyDescent="0.2"/>
    <row r="61840" ht="9.9499999999999993" hidden="1" customHeight="1" x14ac:dyDescent="0.2"/>
    <row r="61841" ht="9.9499999999999993" hidden="1" customHeight="1" x14ac:dyDescent="0.2"/>
    <row r="61842" ht="9.9499999999999993" hidden="1" customHeight="1" x14ac:dyDescent="0.2"/>
    <row r="61843" ht="9.9499999999999993" hidden="1" customHeight="1" x14ac:dyDescent="0.2"/>
    <row r="61844" ht="9.9499999999999993" hidden="1" customHeight="1" x14ac:dyDescent="0.2"/>
    <row r="61845" ht="9.9499999999999993" hidden="1" customHeight="1" x14ac:dyDescent="0.2"/>
    <row r="61846" ht="9.9499999999999993" hidden="1" customHeight="1" x14ac:dyDescent="0.2"/>
    <row r="61847" ht="9.9499999999999993" hidden="1" customHeight="1" x14ac:dyDescent="0.2"/>
    <row r="61848" ht="9.9499999999999993" hidden="1" customHeight="1" x14ac:dyDescent="0.2"/>
    <row r="61849" ht="9.9499999999999993" hidden="1" customHeight="1" x14ac:dyDescent="0.2"/>
    <row r="61850" ht="9.9499999999999993" hidden="1" customHeight="1" x14ac:dyDescent="0.2"/>
    <row r="61851" ht="9.9499999999999993" hidden="1" customHeight="1" x14ac:dyDescent="0.2"/>
    <row r="61852" ht="9.9499999999999993" hidden="1" customHeight="1" x14ac:dyDescent="0.2"/>
    <row r="61853" ht="9.9499999999999993" hidden="1" customHeight="1" x14ac:dyDescent="0.2"/>
    <row r="61854" ht="9.9499999999999993" hidden="1" customHeight="1" x14ac:dyDescent="0.2"/>
    <row r="61855" ht="9.9499999999999993" hidden="1" customHeight="1" x14ac:dyDescent="0.2"/>
    <row r="61856" ht="9.9499999999999993" hidden="1" customHeight="1" x14ac:dyDescent="0.2"/>
    <row r="61857" ht="9.9499999999999993" hidden="1" customHeight="1" x14ac:dyDescent="0.2"/>
    <row r="61858" ht="9.9499999999999993" hidden="1" customHeight="1" x14ac:dyDescent="0.2"/>
    <row r="61859" ht="9.9499999999999993" hidden="1" customHeight="1" x14ac:dyDescent="0.2"/>
    <row r="61860" ht="9.9499999999999993" hidden="1" customHeight="1" x14ac:dyDescent="0.2"/>
    <row r="61861" ht="9.9499999999999993" hidden="1" customHeight="1" x14ac:dyDescent="0.2"/>
    <row r="61862" ht="9.9499999999999993" hidden="1" customHeight="1" x14ac:dyDescent="0.2"/>
    <row r="61863" ht="9.9499999999999993" hidden="1" customHeight="1" x14ac:dyDescent="0.2"/>
    <row r="61864" ht="9.9499999999999993" hidden="1" customHeight="1" x14ac:dyDescent="0.2"/>
    <row r="61865" ht="9.9499999999999993" hidden="1" customHeight="1" x14ac:dyDescent="0.2"/>
    <row r="61866" ht="9.9499999999999993" hidden="1" customHeight="1" x14ac:dyDescent="0.2"/>
    <row r="61867" ht="9.9499999999999993" hidden="1" customHeight="1" x14ac:dyDescent="0.2"/>
    <row r="61868" ht="9.9499999999999993" hidden="1" customHeight="1" x14ac:dyDescent="0.2"/>
    <row r="61869" ht="9.9499999999999993" hidden="1" customHeight="1" x14ac:dyDescent="0.2"/>
    <row r="61870" ht="9.9499999999999993" hidden="1" customHeight="1" x14ac:dyDescent="0.2"/>
    <row r="61871" ht="9.9499999999999993" hidden="1" customHeight="1" x14ac:dyDescent="0.2"/>
    <row r="61872" ht="9.9499999999999993" hidden="1" customHeight="1" x14ac:dyDescent="0.2"/>
    <row r="61873" ht="9.9499999999999993" hidden="1" customHeight="1" x14ac:dyDescent="0.2"/>
    <row r="61874" ht="9.9499999999999993" hidden="1" customHeight="1" x14ac:dyDescent="0.2"/>
    <row r="61875" ht="9.9499999999999993" hidden="1" customHeight="1" x14ac:dyDescent="0.2"/>
    <row r="61876" ht="9.9499999999999993" hidden="1" customHeight="1" x14ac:dyDescent="0.2"/>
    <row r="61877" ht="9.9499999999999993" hidden="1" customHeight="1" x14ac:dyDescent="0.2"/>
    <row r="61878" ht="9.9499999999999993" hidden="1" customHeight="1" x14ac:dyDescent="0.2"/>
    <row r="61879" ht="9.9499999999999993" hidden="1" customHeight="1" x14ac:dyDescent="0.2"/>
    <row r="61880" ht="9.9499999999999993" hidden="1" customHeight="1" x14ac:dyDescent="0.2"/>
    <row r="61881" ht="9.9499999999999993" hidden="1" customHeight="1" x14ac:dyDescent="0.2"/>
    <row r="61882" ht="9.9499999999999993" hidden="1" customHeight="1" x14ac:dyDescent="0.2"/>
    <row r="61883" ht="9.9499999999999993" hidden="1" customHeight="1" x14ac:dyDescent="0.2"/>
    <row r="61884" ht="9.9499999999999993" hidden="1" customHeight="1" x14ac:dyDescent="0.2"/>
    <row r="61885" ht="9.9499999999999993" hidden="1" customHeight="1" x14ac:dyDescent="0.2"/>
    <row r="61886" ht="9.9499999999999993" hidden="1" customHeight="1" x14ac:dyDescent="0.2"/>
    <row r="61887" ht="9.9499999999999993" hidden="1" customHeight="1" x14ac:dyDescent="0.2"/>
    <row r="61888" ht="9.9499999999999993" hidden="1" customHeight="1" x14ac:dyDescent="0.2"/>
    <row r="61889" ht="9.9499999999999993" hidden="1" customHeight="1" x14ac:dyDescent="0.2"/>
    <row r="61890" ht="9.9499999999999993" hidden="1" customHeight="1" x14ac:dyDescent="0.2"/>
    <row r="61891" ht="9.9499999999999993" hidden="1" customHeight="1" x14ac:dyDescent="0.2"/>
    <row r="61892" ht="9.9499999999999993" hidden="1" customHeight="1" x14ac:dyDescent="0.2"/>
    <row r="61893" ht="9.9499999999999993" hidden="1" customHeight="1" x14ac:dyDescent="0.2"/>
    <row r="61894" ht="9.9499999999999993" hidden="1" customHeight="1" x14ac:dyDescent="0.2"/>
    <row r="61895" ht="9.9499999999999993" hidden="1" customHeight="1" x14ac:dyDescent="0.2"/>
    <row r="61896" ht="9.9499999999999993" hidden="1" customHeight="1" x14ac:dyDescent="0.2"/>
    <row r="61897" ht="9.9499999999999993" hidden="1" customHeight="1" x14ac:dyDescent="0.2"/>
    <row r="61898" ht="9.9499999999999993" hidden="1" customHeight="1" x14ac:dyDescent="0.2"/>
    <row r="61899" ht="9.9499999999999993" hidden="1" customHeight="1" x14ac:dyDescent="0.2"/>
    <row r="61900" ht="9.9499999999999993" hidden="1" customHeight="1" x14ac:dyDescent="0.2"/>
    <row r="61901" ht="9.9499999999999993" hidden="1" customHeight="1" x14ac:dyDescent="0.2"/>
    <row r="61902" ht="9.9499999999999993" hidden="1" customHeight="1" x14ac:dyDescent="0.2"/>
    <row r="61903" ht="9.9499999999999993" hidden="1" customHeight="1" x14ac:dyDescent="0.2"/>
    <row r="61904" ht="9.9499999999999993" hidden="1" customHeight="1" x14ac:dyDescent="0.2"/>
    <row r="61905" ht="9.9499999999999993" hidden="1" customHeight="1" x14ac:dyDescent="0.2"/>
    <row r="61906" ht="9.9499999999999993" hidden="1" customHeight="1" x14ac:dyDescent="0.2"/>
    <row r="61907" ht="9.9499999999999993" hidden="1" customHeight="1" x14ac:dyDescent="0.2"/>
    <row r="61908" ht="9.9499999999999993" hidden="1" customHeight="1" x14ac:dyDescent="0.2"/>
    <row r="61909" ht="9.9499999999999993" hidden="1" customHeight="1" x14ac:dyDescent="0.2"/>
    <row r="61910" ht="9.9499999999999993" hidden="1" customHeight="1" x14ac:dyDescent="0.2"/>
    <row r="61911" ht="9.9499999999999993" hidden="1" customHeight="1" x14ac:dyDescent="0.2"/>
    <row r="61912" ht="9.9499999999999993" hidden="1" customHeight="1" x14ac:dyDescent="0.2"/>
    <row r="61913" ht="9.9499999999999993" hidden="1" customHeight="1" x14ac:dyDescent="0.2"/>
    <row r="61914" ht="9.9499999999999993" hidden="1" customHeight="1" x14ac:dyDescent="0.2"/>
    <row r="61915" ht="9.9499999999999993" hidden="1" customHeight="1" x14ac:dyDescent="0.2"/>
    <row r="61916" ht="9.9499999999999993" hidden="1" customHeight="1" x14ac:dyDescent="0.2"/>
    <row r="61917" ht="9.9499999999999993" hidden="1" customHeight="1" x14ac:dyDescent="0.2"/>
    <row r="61918" ht="9.9499999999999993" hidden="1" customHeight="1" x14ac:dyDescent="0.2"/>
    <row r="61919" ht="9.9499999999999993" hidden="1" customHeight="1" x14ac:dyDescent="0.2"/>
    <row r="61920" ht="9.9499999999999993" hidden="1" customHeight="1" x14ac:dyDescent="0.2"/>
    <row r="61921" ht="9.9499999999999993" hidden="1" customHeight="1" x14ac:dyDescent="0.2"/>
    <row r="61922" ht="9.9499999999999993" hidden="1" customHeight="1" x14ac:dyDescent="0.2"/>
    <row r="61923" ht="9.9499999999999993" hidden="1" customHeight="1" x14ac:dyDescent="0.2"/>
    <row r="61924" ht="9.9499999999999993" hidden="1" customHeight="1" x14ac:dyDescent="0.2"/>
    <row r="61925" ht="9.9499999999999993" hidden="1" customHeight="1" x14ac:dyDescent="0.2"/>
    <row r="61926" ht="9.9499999999999993" hidden="1" customHeight="1" x14ac:dyDescent="0.2"/>
    <row r="61927" ht="9.9499999999999993" hidden="1" customHeight="1" x14ac:dyDescent="0.2"/>
    <row r="61928" ht="9.9499999999999993" hidden="1" customHeight="1" x14ac:dyDescent="0.2"/>
    <row r="61929" ht="9.9499999999999993" hidden="1" customHeight="1" x14ac:dyDescent="0.2"/>
    <row r="61930" ht="9.9499999999999993" hidden="1" customHeight="1" x14ac:dyDescent="0.2"/>
    <row r="61931" ht="9.9499999999999993" hidden="1" customHeight="1" x14ac:dyDescent="0.2"/>
    <row r="61932" ht="9.9499999999999993" hidden="1" customHeight="1" x14ac:dyDescent="0.2"/>
    <row r="61933" ht="9.9499999999999993" hidden="1" customHeight="1" x14ac:dyDescent="0.2"/>
    <row r="61934" ht="9.9499999999999993" hidden="1" customHeight="1" x14ac:dyDescent="0.2"/>
    <row r="61935" ht="9.9499999999999993" hidden="1" customHeight="1" x14ac:dyDescent="0.2"/>
    <row r="61936" ht="9.9499999999999993" hidden="1" customHeight="1" x14ac:dyDescent="0.2"/>
    <row r="61937" ht="9.9499999999999993" hidden="1" customHeight="1" x14ac:dyDescent="0.2"/>
    <row r="61938" ht="9.9499999999999993" hidden="1" customHeight="1" x14ac:dyDescent="0.2"/>
    <row r="61939" ht="9.9499999999999993" hidden="1" customHeight="1" x14ac:dyDescent="0.2"/>
    <row r="61940" ht="9.9499999999999993" hidden="1" customHeight="1" x14ac:dyDescent="0.2"/>
    <row r="61941" ht="9.9499999999999993" hidden="1" customHeight="1" x14ac:dyDescent="0.2"/>
    <row r="61942" ht="9.9499999999999993" hidden="1" customHeight="1" x14ac:dyDescent="0.2"/>
    <row r="61943" ht="9.9499999999999993" hidden="1" customHeight="1" x14ac:dyDescent="0.2"/>
    <row r="61944" ht="9.9499999999999993" hidden="1" customHeight="1" x14ac:dyDescent="0.2"/>
    <row r="61945" ht="9.9499999999999993" hidden="1" customHeight="1" x14ac:dyDescent="0.2"/>
    <row r="61946" ht="9.9499999999999993" hidden="1" customHeight="1" x14ac:dyDescent="0.2"/>
    <row r="61947" ht="9.9499999999999993" hidden="1" customHeight="1" x14ac:dyDescent="0.2"/>
    <row r="61948" ht="9.9499999999999993" hidden="1" customHeight="1" x14ac:dyDescent="0.2"/>
    <row r="61949" ht="9.9499999999999993" hidden="1" customHeight="1" x14ac:dyDescent="0.2"/>
    <row r="61950" ht="9.9499999999999993" hidden="1" customHeight="1" x14ac:dyDescent="0.2"/>
    <row r="61951" ht="9.9499999999999993" hidden="1" customHeight="1" x14ac:dyDescent="0.2"/>
    <row r="61952" ht="9.9499999999999993" hidden="1" customHeight="1" x14ac:dyDescent="0.2"/>
    <row r="61953" ht="9.9499999999999993" hidden="1" customHeight="1" x14ac:dyDescent="0.2"/>
    <row r="61954" ht="9.9499999999999993" hidden="1" customHeight="1" x14ac:dyDescent="0.2"/>
    <row r="61955" ht="9.9499999999999993" hidden="1" customHeight="1" x14ac:dyDescent="0.2"/>
    <row r="61956" ht="9.9499999999999993" hidden="1" customHeight="1" x14ac:dyDescent="0.2"/>
    <row r="61957" ht="9.9499999999999993" hidden="1" customHeight="1" x14ac:dyDescent="0.2"/>
    <row r="61958" ht="9.9499999999999993" hidden="1" customHeight="1" x14ac:dyDescent="0.2"/>
    <row r="61959" ht="9.9499999999999993" hidden="1" customHeight="1" x14ac:dyDescent="0.2"/>
    <row r="61960" ht="9.9499999999999993" hidden="1" customHeight="1" x14ac:dyDescent="0.2"/>
    <row r="61961" ht="9.9499999999999993" hidden="1" customHeight="1" x14ac:dyDescent="0.2"/>
    <row r="61962" ht="9.9499999999999993" hidden="1" customHeight="1" x14ac:dyDescent="0.2"/>
    <row r="61963" ht="9.9499999999999993" hidden="1" customHeight="1" x14ac:dyDescent="0.2"/>
    <row r="61964" ht="9.9499999999999993" hidden="1" customHeight="1" x14ac:dyDescent="0.2"/>
    <row r="61965" ht="9.9499999999999993" hidden="1" customHeight="1" x14ac:dyDescent="0.2"/>
    <row r="61966" ht="9.9499999999999993" hidden="1" customHeight="1" x14ac:dyDescent="0.2"/>
    <row r="61967" ht="9.9499999999999993" hidden="1" customHeight="1" x14ac:dyDescent="0.2"/>
    <row r="61968" ht="9.9499999999999993" hidden="1" customHeight="1" x14ac:dyDescent="0.2"/>
    <row r="61969" ht="9.9499999999999993" hidden="1" customHeight="1" x14ac:dyDescent="0.2"/>
    <row r="61970" ht="9.9499999999999993" hidden="1" customHeight="1" x14ac:dyDescent="0.2"/>
    <row r="61971" ht="9.9499999999999993" hidden="1" customHeight="1" x14ac:dyDescent="0.2"/>
    <row r="61972" ht="9.9499999999999993" hidden="1" customHeight="1" x14ac:dyDescent="0.2"/>
    <row r="61973" ht="9.9499999999999993" hidden="1" customHeight="1" x14ac:dyDescent="0.2"/>
    <row r="61974" ht="9.9499999999999993" hidden="1" customHeight="1" x14ac:dyDescent="0.2"/>
    <row r="61975" ht="9.9499999999999993" hidden="1" customHeight="1" x14ac:dyDescent="0.2"/>
    <row r="61976" ht="9.9499999999999993" hidden="1" customHeight="1" x14ac:dyDescent="0.2"/>
    <row r="61977" ht="9.9499999999999993" hidden="1" customHeight="1" x14ac:dyDescent="0.2"/>
    <row r="61978" ht="9.9499999999999993" hidden="1" customHeight="1" x14ac:dyDescent="0.2"/>
    <row r="61979" ht="9.9499999999999993" hidden="1" customHeight="1" x14ac:dyDescent="0.2"/>
    <row r="61980" ht="9.9499999999999993" hidden="1" customHeight="1" x14ac:dyDescent="0.2"/>
    <row r="61981" ht="9.9499999999999993" hidden="1" customHeight="1" x14ac:dyDescent="0.2"/>
    <row r="61982" ht="9.9499999999999993" hidden="1" customHeight="1" x14ac:dyDescent="0.2"/>
    <row r="61983" ht="9.9499999999999993" hidden="1" customHeight="1" x14ac:dyDescent="0.2"/>
    <row r="61984" ht="9.9499999999999993" hidden="1" customHeight="1" x14ac:dyDescent="0.2"/>
    <row r="61985" ht="9.9499999999999993" hidden="1" customHeight="1" x14ac:dyDescent="0.2"/>
    <row r="61986" ht="9.9499999999999993" hidden="1" customHeight="1" x14ac:dyDescent="0.2"/>
    <row r="61987" ht="9.9499999999999993" hidden="1" customHeight="1" x14ac:dyDescent="0.2"/>
    <row r="61988" ht="9.9499999999999993" hidden="1" customHeight="1" x14ac:dyDescent="0.2"/>
    <row r="61989" ht="9.9499999999999993" hidden="1" customHeight="1" x14ac:dyDescent="0.2"/>
    <row r="61990" ht="9.9499999999999993" hidden="1" customHeight="1" x14ac:dyDescent="0.2"/>
    <row r="61991" ht="9.9499999999999993" hidden="1" customHeight="1" x14ac:dyDescent="0.2"/>
    <row r="61992" ht="9.9499999999999993" hidden="1" customHeight="1" x14ac:dyDescent="0.2"/>
    <row r="61993" ht="9.9499999999999993" hidden="1" customHeight="1" x14ac:dyDescent="0.2"/>
    <row r="61994" ht="9.9499999999999993" hidden="1" customHeight="1" x14ac:dyDescent="0.2"/>
    <row r="61995" ht="9.9499999999999993" hidden="1" customHeight="1" x14ac:dyDescent="0.2"/>
    <row r="61996" ht="9.9499999999999993" hidden="1" customHeight="1" x14ac:dyDescent="0.2"/>
    <row r="61997" ht="9.9499999999999993" hidden="1" customHeight="1" x14ac:dyDescent="0.2"/>
    <row r="61998" ht="9.9499999999999993" hidden="1" customHeight="1" x14ac:dyDescent="0.2"/>
    <row r="61999" ht="9.9499999999999993" hidden="1" customHeight="1" x14ac:dyDescent="0.2"/>
    <row r="62000" ht="9.9499999999999993" hidden="1" customHeight="1" x14ac:dyDescent="0.2"/>
    <row r="62001" ht="9.9499999999999993" hidden="1" customHeight="1" x14ac:dyDescent="0.2"/>
    <row r="62002" ht="9.9499999999999993" hidden="1" customHeight="1" x14ac:dyDescent="0.2"/>
    <row r="62003" ht="9.9499999999999993" hidden="1" customHeight="1" x14ac:dyDescent="0.2"/>
    <row r="62004" ht="9.9499999999999993" hidden="1" customHeight="1" x14ac:dyDescent="0.2"/>
    <row r="62005" ht="9.9499999999999993" hidden="1" customHeight="1" x14ac:dyDescent="0.2"/>
    <row r="62006" ht="9.9499999999999993" hidden="1" customHeight="1" x14ac:dyDescent="0.2"/>
    <row r="62007" ht="9.9499999999999993" hidden="1" customHeight="1" x14ac:dyDescent="0.2"/>
    <row r="62008" ht="9.9499999999999993" hidden="1" customHeight="1" x14ac:dyDescent="0.2"/>
    <row r="62009" ht="9.9499999999999993" hidden="1" customHeight="1" x14ac:dyDescent="0.2"/>
    <row r="62010" ht="9.9499999999999993" hidden="1" customHeight="1" x14ac:dyDescent="0.2"/>
    <row r="62011" ht="9.9499999999999993" hidden="1" customHeight="1" x14ac:dyDescent="0.2"/>
    <row r="62012" ht="9.9499999999999993" hidden="1" customHeight="1" x14ac:dyDescent="0.2"/>
    <row r="62013" ht="9.9499999999999993" hidden="1" customHeight="1" x14ac:dyDescent="0.2"/>
    <row r="62014" ht="9.9499999999999993" hidden="1" customHeight="1" x14ac:dyDescent="0.2"/>
    <row r="62015" ht="9.9499999999999993" hidden="1" customHeight="1" x14ac:dyDescent="0.2"/>
    <row r="62016" ht="9.9499999999999993" hidden="1" customHeight="1" x14ac:dyDescent="0.2"/>
    <row r="62017" ht="9.9499999999999993" hidden="1" customHeight="1" x14ac:dyDescent="0.2"/>
    <row r="62018" ht="9.9499999999999993" hidden="1" customHeight="1" x14ac:dyDescent="0.2"/>
    <row r="62019" ht="9.9499999999999993" hidden="1" customHeight="1" x14ac:dyDescent="0.2"/>
    <row r="62020" ht="9.9499999999999993" hidden="1" customHeight="1" x14ac:dyDescent="0.2"/>
    <row r="62021" ht="9.9499999999999993" hidden="1" customHeight="1" x14ac:dyDescent="0.2"/>
    <row r="62022" ht="9.9499999999999993" hidden="1" customHeight="1" x14ac:dyDescent="0.2"/>
    <row r="62023" ht="9.9499999999999993" hidden="1" customHeight="1" x14ac:dyDescent="0.2"/>
    <row r="62024" ht="9.9499999999999993" hidden="1" customHeight="1" x14ac:dyDescent="0.2"/>
    <row r="62025" ht="9.9499999999999993" hidden="1" customHeight="1" x14ac:dyDescent="0.2"/>
    <row r="62026" ht="9.9499999999999993" hidden="1" customHeight="1" x14ac:dyDescent="0.2"/>
    <row r="62027" ht="9.9499999999999993" hidden="1" customHeight="1" x14ac:dyDescent="0.2"/>
    <row r="62028" ht="9.9499999999999993" hidden="1" customHeight="1" x14ac:dyDescent="0.2"/>
    <row r="62029" ht="9.9499999999999993" hidden="1" customHeight="1" x14ac:dyDescent="0.2"/>
    <row r="62030" ht="9.9499999999999993" hidden="1" customHeight="1" x14ac:dyDescent="0.2"/>
    <row r="62031" ht="9.9499999999999993" hidden="1" customHeight="1" x14ac:dyDescent="0.2"/>
    <row r="62032" ht="9.9499999999999993" hidden="1" customHeight="1" x14ac:dyDescent="0.2"/>
    <row r="62033" ht="9.9499999999999993" hidden="1" customHeight="1" x14ac:dyDescent="0.2"/>
    <row r="62034" ht="9.9499999999999993" hidden="1" customHeight="1" x14ac:dyDescent="0.2"/>
    <row r="62035" ht="9.9499999999999993" hidden="1" customHeight="1" x14ac:dyDescent="0.2"/>
    <row r="62036" ht="9.9499999999999993" hidden="1" customHeight="1" x14ac:dyDescent="0.2"/>
    <row r="62037" ht="9.9499999999999993" hidden="1" customHeight="1" x14ac:dyDescent="0.2"/>
    <row r="62038" ht="9.9499999999999993" hidden="1" customHeight="1" x14ac:dyDescent="0.2"/>
    <row r="62039" ht="9.9499999999999993" hidden="1" customHeight="1" x14ac:dyDescent="0.2"/>
    <row r="62040" ht="9.9499999999999993" hidden="1" customHeight="1" x14ac:dyDescent="0.2"/>
    <row r="62041" ht="9.9499999999999993" hidden="1" customHeight="1" x14ac:dyDescent="0.2"/>
    <row r="62042" ht="9.9499999999999993" hidden="1" customHeight="1" x14ac:dyDescent="0.2"/>
    <row r="62043" ht="9.9499999999999993" hidden="1" customHeight="1" x14ac:dyDescent="0.2"/>
    <row r="62044" ht="9.9499999999999993" hidden="1" customHeight="1" x14ac:dyDescent="0.2"/>
    <row r="62045" ht="9.9499999999999993" hidden="1" customHeight="1" x14ac:dyDescent="0.2"/>
    <row r="62046" ht="9.9499999999999993" hidden="1" customHeight="1" x14ac:dyDescent="0.2"/>
    <row r="62047" ht="9.9499999999999993" hidden="1" customHeight="1" x14ac:dyDescent="0.2"/>
    <row r="62048" ht="9.9499999999999993" hidden="1" customHeight="1" x14ac:dyDescent="0.2"/>
    <row r="62049" ht="9.9499999999999993" hidden="1" customHeight="1" x14ac:dyDescent="0.2"/>
    <row r="62050" ht="9.9499999999999993" hidden="1" customHeight="1" x14ac:dyDescent="0.2"/>
    <row r="62051" ht="9.9499999999999993" hidden="1" customHeight="1" x14ac:dyDescent="0.2"/>
    <row r="62052" ht="9.9499999999999993" hidden="1" customHeight="1" x14ac:dyDescent="0.2"/>
    <row r="62053" ht="9.9499999999999993" hidden="1" customHeight="1" x14ac:dyDescent="0.2"/>
    <row r="62054" ht="9.9499999999999993" hidden="1" customHeight="1" x14ac:dyDescent="0.2"/>
    <row r="62055" ht="9.9499999999999993" hidden="1" customHeight="1" x14ac:dyDescent="0.2"/>
    <row r="62056" ht="9.9499999999999993" hidden="1" customHeight="1" x14ac:dyDescent="0.2"/>
    <row r="62057" ht="9.9499999999999993" hidden="1" customHeight="1" x14ac:dyDescent="0.2"/>
    <row r="62058" ht="9.9499999999999993" hidden="1" customHeight="1" x14ac:dyDescent="0.2"/>
    <row r="62059" ht="9.9499999999999993" hidden="1" customHeight="1" x14ac:dyDescent="0.2"/>
    <row r="62060" ht="9.9499999999999993" hidden="1" customHeight="1" x14ac:dyDescent="0.2"/>
    <row r="62061" ht="9.9499999999999993" hidden="1" customHeight="1" x14ac:dyDescent="0.2"/>
    <row r="62062" ht="9.9499999999999993" hidden="1" customHeight="1" x14ac:dyDescent="0.2"/>
    <row r="62063" ht="9.9499999999999993" hidden="1" customHeight="1" x14ac:dyDescent="0.2"/>
    <row r="62064" ht="9.9499999999999993" hidden="1" customHeight="1" x14ac:dyDescent="0.2"/>
    <row r="62065" ht="9.9499999999999993" hidden="1" customHeight="1" x14ac:dyDescent="0.2"/>
    <row r="62066" ht="9.9499999999999993" hidden="1" customHeight="1" x14ac:dyDescent="0.2"/>
    <row r="62067" ht="9.9499999999999993" hidden="1" customHeight="1" x14ac:dyDescent="0.2"/>
    <row r="62068" ht="9.9499999999999993" hidden="1" customHeight="1" x14ac:dyDescent="0.2"/>
    <row r="62069" ht="9.9499999999999993" hidden="1" customHeight="1" x14ac:dyDescent="0.2"/>
    <row r="62070" ht="9.9499999999999993" hidden="1" customHeight="1" x14ac:dyDescent="0.2"/>
    <row r="62071" ht="9.9499999999999993" hidden="1" customHeight="1" x14ac:dyDescent="0.2"/>
    <row r="62072" ht="9.9499999999999993" hidden="1" customHeight="1" x14ac:dyDescent="0.2"/>
    <row r="62073" ht="9.9499999999999993" hidden="1" customHeight="1" x14ac:dyDescent="0.2"/>
    <row r="62074" ht="9.9499999999999993" hidden="1" customHeight="1" x14ac:dyDescent="0.2"/>
    <row r="62075" ht="9.9499999999999993" hidden="1" customHeight="1" x14ac:dyDescent="0.2"/>
    <row r="62076" ht="9.9499999999999993" hidden="1" customHeight="1" x14ac:dyDescent="0.2"/>
    <row r="62077" ht="9.9499999999999993" hidden="1" customHeight="1" x14ac:dyDescent="0.2"/>
    <row r="62078" ht="9.9499999999999993" hidden="1" customHeight="1" x14ac:dyDescent="0.2"/>
    <row r="62079" ht="9.9499999999999993" hidden="1" customHeight="1" x14ac:dyDescent="0.2"/>
    <row r="62080" ht="9.9499999999999993" hidden="1" customHeight="1" x14ac:dyDescent="0.2"/>
    <row r="62081" ht="9.9499999999999993" hidden="1" customHeight="1" x14ac:dyDescent="0.2"/>
    <row r="62082" ht="9.9499999999999993" hidden="1" customHeight="1" x14ac:dyDescent="0.2"/>
    <row r="62083" ht="9.9499999999999993" hidden="1" customHeight="1" x14ac:dyDescent="0.2"/>
    <row r="62084" ht="9.9499999999999993" hidden="1" customHeight="1" x14ac:dyDescent="0.2"/>
    <row r="62085" ht="9.9499999999999993" hidden="1" customHeight="1" x14ac:dyDescent="0.2"/>
    <row r="62086" ht="9.9499999999999993" hidden="1" customHeight="1" x14ac:dyDescent="0.2"/>
    <row r="62087" ht="9.9499999999999993" hidden="1" customHeight="1" x14ac:dyDescent="0.2"/>
    <row r="62088" ht="9.9499999999999993" hidden="1" customHeight="1" x14ac:dyDescent="0.2"/>
    <row r="62089" ht="9.9499999999999993" hidden="1" customHeight="1" x14ac:dyDescent="0.2"/>
    <row r="62090" ht="9.9499999999999993" hidden="1" customHeight="1" x14ac:dyDescent="0.2"/>
    <row r="62091" ht="9.9499999999999993" hidden="1" customHeight="1" x14ac:dyDescent="0.2"/>
    <row r="62092" ht="9.9499999999999993" hidden="1" customHeight="1" x14ac:dyDescent="0.2"/>
    <row r="62093" ht="9.9499999999999993" hidden="1" customHeight="1" x14ac:dyDescent="0.2"/>
    <row r="62094" ht="9.9499999999999993" hidden="1" customHeight="1" x14ac:dyDescent="0.2"/>
    <row r="62095" ht="9.9499999999999993" hidden="1" customHeight="1" x14ac:dyDescent="0.2"/>
    <row r="62096" ht="9.9499999999999993" hidden="1" customHeight="1" x14ac:dyDescent="0.2"/>
    <row r="62097" ht="9.9499999999999993" hidden="1" customHeight="1" x14ac:dyDescent="0.2"/>
    <row r="62098" ht="9.9499999999999993" hidden="1" customHeight="1" x14ac:dyDescent="0.2"/>
    <row r="62099" ht="9.9499999999999993" hidden="1" customHeight="1" x14ac:dyDescent="0.2"/>
    <row r="62100" ht="9.9499999999999993" hidden="1" customHeight="1" x14ac:dyDescent="0.2"/>
    <row r="62101" ht="9.9499999999999993" hidden="1" customHeight="1" x14ac:dyDescent="0.2"/>
    <row r="62102" ht="9.9499999999999993" hidden="1" customHeight="1" x14ac:dyDescent="0.2"/>
    <row r="62103" ht="9.9499999999999993" hidden="1" customHeight="1" x14ac:dyDescent="0.2"/>
    <row r="62104" ht="9.9499999999999993" hidden="1" customHeight="1" x14ac:dyDescent="0.2"/>
    <row r="62105" ht="9.9499999999999993" hidden="1" customHeight="1" x14ac:dyDescent="0.2"/>
    <row r="62106" ht="9.9499999999999993" hidden="1" customHeight="1" x14ac:dyDescent="0.2"/>
    <row r="62107" ht="9.9499999999999993" hidden="1" customHeight="1" x14ac:dyDescent="0.2"/>
    <row r="62108" ht="9.9499999999999993" hidden="1" customHeight="1" x14ac:dyDescent="0.2"/>
    <row r="62109" ht="9.9499999999999993" hidden="1" customHeight="1" x14ac:dyDescent="0.2"/>
    <row r="62110" ht="9.9499999999999993" hidden="1" customHeight="1" x14ac:dyDescent="0.2"/>
    <row r="62111" ht="9.9499999999999993" hidden="1" customHeight="1" x14ac:dyDescent="0.2"/>
    <row r="62112" ht="9.9499999999999993" hidden="1" customHeight="1" x14ac:dyDescent="0.2"/>
    <row r="62113" ht="9.9499999999999993" hidden="1" customHeight="1" x14ac:dyDescent="0.2"/>
    <row r="62114" ht="9.9499999999999993" hidden="1" customHeight="1" x14ac:dyDescent="0.2"/>
    <row r="62115" ht="9.9499999999999993" hidden="1" customHeight="1" x14ac:dyDescent="0.2"/>
    <row r="62116" ht="9.9499999999999993" hidden="1" customHeight="1" x14ac:dyDescent="0.2"/>
    <row r="62117" ht="9.9499999999999993" hidden="1" customHeight="1" x14ac:dyDescent="0.2"/>
    <row r="62118" ht="9.9499999999999993" hidden="1" customHeight="1" x14ac:dyDescent="0.2"/>
    <row r="62119" ht="9.9499999999999993" hidden="1" customHeight="1" x14ac:dyDescent="0.2"/>
    <row r="62120" ht="9.9499999999999993" hidden="1" customHeight="1" x14ac:dyDescent="0.2"/>
    <row r="62121" ht="9.9499999999999993" hidden="1" customHeight="1" x14ac:dyDescent="0.2"/>
    <row r="62122" ht="9.9499999999999993" hidden="1" customHeight="1" x14ac:dyDescent="0.2"/>
    <row r="62123" ht="9.9499999999999993" hidden="1" customHeight="1" x14ac:dyDescent="0.2"/>
    <row r="62124" ht="9.9499999999999993" hidden="1" customHeight="1" x14ac:dyDescent="0.2"/>
    <row r="62125" ht="9.9499999999999993" hidden="1" customHeight="1" x14ac:dyDescent="0.2"/>
    <row r="62126" ht="9.9499999999999993" hidden="1" customHeight="1" x14ac:dyDescent="0.2"/>
    <row r="62127" ht="9.9499999999999993" hidden="1" customHeight="1" x14ac:dyDescent="0.2"/>
    <row r="62128" ht="9.9499999999999993" hidden="1" customHeight="1" x14ac:dyDescent="0.2"/>
    <row r="62129" ht="9.9499999999999993" hidden="1" customHeight="1" x14ac:dyDescent="0.2"/>
    <row r="62130" ht="9.9499999999999993" hidden="1" customHeight="1" x14ac:dyDescent="0.2"/>
    <row r="62131" ht="9.9499999999999993" hidden="1" customHeight="1" x14ac:dyDescent="0.2"/>
    <row r="62132" ht="9.9499999999999993" hidden="1" customHeight="1" x14ac:dyDescent="0.2"/>
    <row r="62133" ht="9.9499999999999993" hidden="1" customHeight="1" x14ac:dyDescent="0.2"/>
    <row r="62134" ht="9.9499999999999993" hidden="1" customHeight="1" x14ac:dyDescent="0.2"/>
    <row r="62135" ht="9.9499999999999993" hidden="1" customHeight="1" x14ac:dyDescent="0.2"/>
    <row r="62136" ht="9.9499999999999993" hidden="1" customHeight="1" x14ac:dyDescent="0.2"/>
    <row r="62137" ht="9.9499999999999993" hidden="1" customHeight="1" x14ac:dyDescent="0.2"/>
    <row r="62138" ht="9.9499999999999993" hidden="1" customHeight="1" x14ac:dyDescent="0.2"/>
    <row r="62139" ht="9.9499999999999993" hidden="1" customHeight="1" x14ac:dyDescent="0.2"/>
    <row r="62140" ht="9.9499999999999993" hidden="1" customHeight="1" x14ac:dyDescent="0.2"/>
    <row r="62141" ht="9.9499999999999993" hidden="1" customHeight="1" x14ac:dyDescent="0.2"/>
    <row r="62142" ht="9.9499999999999993" hidden="1" customHeight="1" x14ac:dyDescent="0.2"/>
    <row r="62143" ht="9.9499999999999993" hidden="1" customHeight="1" x14ac:dyDescent="0.2"/>
    <row r="62144" ht="9.9499999999999993" hidden="1" customHeight="1" x14ac:dyDescent="0.2"/>
    <row r="62145" ht="9.9499999999999993" hidden="1" customHeight="1" x14ac:dyDescent="0.2"/>
    <row r="62146" ht="9.9499999999999993" hidden="1" customHeight="1" x14ac:dyDescent="0.2"/>
    <row r="62147" ht="9.9499999999999993" hidden="1" customHeight="1" x14ac:dyDescent="0.2"/>
    <row r="62148" ht="9.9499999999999993" hidden="1" customHeight="1" x14ac:dyDescent="0.2"/>
    <row r="62149" ht="9.9499999999999993" hidden="1" customHeight="1" x14ac:dyDescent="0.2"/>
    <row r="62150" ht="9.9499999999999993" hidden="1" customHeight="1" x14ac:dyDescent="0.2"/>
    <row r="62151" ht="9.9499999999999993" hidden="1" customHeight="1" x14ac:dyDescent="0.2"/>
    <row r="62152" ht="9.9499999999999993" hidden="1" customHeight="1" x14ac:dyDescent="0.2"/>
    <row r="62153" ht="9.9499999999999993" hidden="1" customHeight="1" x14ac:dyDescent="0.2"/>
    <row r="62154" ht="9.9499999999999993" hidden="1" customHeight="1" x14ac:dyDescent="0.2"/>
    <row r="62155" ht="9.9499999999999993" hidden="1" customHeight="1" x14ac:dyDescent="0.2"/>
    <row r="62156" ht="9.9499999999999993" hidden="1" customHeight="1" x14ac:dyDescent="0.2"/>
    <row r="62157" ht="9.9499999999999993" hidden="1" customHeight="1" x14ac:dyDescent="0.2"/>
    <row r="62158" ht="9.9499999999999993" hidden="1" customHeight="1" x14ac:dyDescent="0.2"/>
    <row r="62159" ht="9.9499999999999993" hidden="1" customHeight="1" x14ac:dyDescent="0.2"/>
    <row r="62160" ht="9.9499999999999993" hidden="1" customHeight="1" x14ac:dyDescent="0.2"/>
    <row r="62161" ht="9.9499999999999993" hidden="1" customHeight="1" x14ac:dyDescent="0.2"/>
    <row r="62162" ht="9.9499999999999993" hidden="1" customHeight="1" x14ac:dyDescent="0.2"/>
    <row r="62163" ht="9.9499999999999993" hidden="1" customHeight="1" x14ac:dyDescent="0.2"/>
    <row r="62164" ht="9.9499999999999993" hidden="1" customHeight="1" x14ac:dyDescent="0.2"/>
    <row r="62165" ht="9.9499999999999993" hidden="1" customHeight="1" x14ac:dyDescent="0.2"/>
    <row r="62166" ht="9.9499999999999993" hidden="1" customHeight="1" x14ac:dyDescent="0.2"/>
    <row r="62167" ht="9.9499999999999993" hidden="1" customHeight="1" x14ac:dyDescent="0.2"/>
    <row r="62168" ht="9.9499999999999993" hidden="1" customHeight="1" x14ac:dyDescent="0.2"/>
    <row r="62169" ht="9.9499999999999993" hidden="1" customHeight="1" x14ac:dyDescent="0.2"/>
    <row r="62170" ht="9.9499999999999993" hidden="1" customHeight="1" x14ac:dyDescent="0.2"/>
    <row r="62171" ht="9.9499999999999993" hidden="1" customHeight="1" x14ac:dyDescent="0.2"/>
    <row r="62172" ht="9.9499999999999993" hidden="1" customHeight="1" x14ac:dyDescent="0.2"/>
    <row r="62173" ht="9.9499999999999993" hidden="1" customHeight="1" x14ac:dyDescent="0.2"/>
    <row r="62174" ht="9.9499999999999993" hidden="1" customHeight="1" x14ac:dyDescent="0.2"/>
    <row r="62175" ht="9.9499999999999993" hidden="1" customHeight="1" x14ac:dyDescent="0.2"/>
    <row r="62176" ht="9.9499999999999993" hidden="1" customHeight="1" x14ac:dyDescent="0.2"/>
    <row r="62177" ht="9.9499999999999993" hidden="1" customHeight="1" x14ac:dyDescent="0.2"/>
    <row r="62178" ht="9.9499999999999993" hidden="1" customHeight="1" x14ac:dyDescent="0.2"/>
    <row r="62179" ht="9.9499999999999993" hidden="1" customHeight="1" x14ac:dyDescent="0.2"/>
    <row r="62180" ht="9.9499999999999993" hidden="1" customHeight="1" x14ac:dyDescent="0.2"/>
    <row r="62181" ht="9.9499999999999993" hidden="1" customHeight="1" x14ac:dyDescent="0.2"/>
    <row r="62182" ht="9.9499999999999993" hidden="1" customHeight="1" x14ac:dyDescent="0.2"/>
    <row r="62183" ht="9.9499999999999993" hidden="1" customHeight="1" x14ac:dyDescent="0.2"/>
    <row r="62184" ht="9.9499999999999993" hidden="1" customHeight="1" x14ac:dyDescent="0.2"/>
    <row r="62185" ht="9.9499999999999993" hidden="1" customHeight="1" x14ac:dyDescent="0.2"/>
    <row r="62186" ht="9.9499999999999993" hidden="1" customHeight="1" x14ac:dyDescent="0.2"/>
    <row r="62187" ht="9.9499999999999993" hidden="1" customHeight="1" x14ac:dyDescent="0.2"/>
    <row r="62188" ht="9.9499999999999993" hidden="1" customHeight="1" x14ac:dyDescent="0.2"/>
    <row r="62189" ht="9.9499999999999993" hidden="1" customHeight="1" x14ac:dyDescent="0.2"/>
    <row r="62190" ht="9.9499999999999993" hidden="1" customHeight="1" x14ac:dyDescent="0.2"/>
    <row r="62191" ht="9.9499999999999993" hidden="1" customHeight="1" x14ac:dyDescent="0.2"/>
    <row r="62192" ht="9.9499999999999993" hidden="1" customHeight="1" x14ac:dyDescent="0.2"/>
    <row r="62193" ht="9.9499999999999993" hidden="1" customHeight="1" x14ac:dyDescent="0.2"/>
    <row r="62194" ht="9.9499999999999993" hidden="1" customHeight="1" x14ac:dyDescent="0.2"/>
    <row r="62195" ht="9.9499999999999993" hidden="1" customHeight="1" x14ac:dyDescent="0.2"/>
    <row r="62196" ht="9.9499999999999993" hidden="1" customHeight="1" x14ac:dyDescent="0.2"/>
    <row r="62197" ht="9.9499999999999993" hidden="1" customHeight="1" x14ac:dyDescent="0.2"/>
    <row r="62198" ht="9.9499999999999993" hidden="1" customHeight="1" x14ac:dyDescent="0.2"/>
    <row r="62199" ht="9.9499999999999993" hidden="1" customHeight="1" x14ac:dyDescent="0.2"/>
    <row r="62200" ht="9.9499999999999993" hidden="1" customHeight="1" x14ac:dyDescent="0.2"/>
    <row r="62201" ht="9.9499999999999993" hidden="1" customHeight="1" x14ac:dyDescent="0.2"/>
    <row r="62202" ht="9.9499999999999993" hidden="1" customHeight="1" x14ac:dyDescent="0.2"/>
    <row r="62203" ht="9.9499999999999993" hidden="1" customHeight="1" x14ac:dyDescent="0.2"/>
    <row r="62204" ht="9.9499999999999993" hidden="1" customHeight="1" x14ac:dyDescent="0.2"/>
    <row r="62205" ht="9.9499999999999993" hidden="1" customHeight="1" x14ac:dyDescent="0.2"/>
    <row r="62206" ht="9.9499999999999993" hidden="1" customHeight="1" x14ac:dyDescent="0.2"/>
    <row r="62207" ht="9.9499999999999993" hidden="1" customHeight="1" x14ac:dyDescent="0.2"/>
    <row r="62208" ht="9.9499999999999993" hidden="1" customHeight="1" x14ac:dyDescent="0.2"/>
    <row r="62209" ht="9.9499999999999993" hidden="1" customHeight="1" x14ac:dyDescent="0.2"/>
    <row r="62210" ht="9.9499999999999993" hidden="1" customHeight="1" x14ac:dyDescent="0.2"/>
    <row r="62211" ht="9.9499999999999993" hidden="1" customHeight="1" x14ac:dyDescent="0.2"/>
    <row r="62212" ht="9.9499999999999993" hidden="1" customHeight="1" x14ac:dyDescent="0.2"/>
    <row r="62213" ht="9.9499999999999993" hidden="1" customHeight="1" x14ac:dyDescent="0.2"/>
    <row r="62214" ht="9.9499999999999993" hidden="1" customHeight="1" x14ac:dyDescent="0.2"/>
    <row r="62215" ht="9.9499999999999993" hidden="1" customHeight="1" x14ac:dyDescent="0.2"/>
    <row r="62216" ht="9.9499999999999993" hidden="1" customHeight="1" x14ac:dyDescent="0.2"/>
    <row r="62217" ht="9.9499999999999993" hidden="1" customHeight="1" x14ac:dyDescent="0.2"/>
    <row r="62218" ht="9.9499999999999993" hidden="1" customHeight="1" x14ac:dyDescent="0.2"/>
    <row r="62219" ht="9.9499999999999993" hidden="1" customHeight="1" x14ac:dyDescent="0.2"/>
    <row r="62220" ht="9.9499999999999993" hidden="1" customHeight="1" x14ac:dyDescent="0.2"/>
    <row r="62221" ht="9.9499999999999993" hidden="1" customHeight="1" x14ac:dyDescent="0.2"/>
    <row r="62222" ht="9.9499999999999993" hidden="1" customHeight="1" x14ac:dyDescent="0.2"/>
    <row r="62223" ht="9.9499999999999993" hidden="1" customHeight="1" x14ac:dyDescent="0.2"/>
    <row r="62224" ht="9.9499999999999993" hidden="1" customHeight="1" x14ac:dyDescent="0.2"/>
    <row r="62225" ht="9.9499999999999993" hidden="1" customHeight="1" x14ac:dyDescent="0.2"/>
    <row r="62226" ht="9.9499999999999993" hidden="1" customHeight="1" x14ac:dyDescent="0.2"/>
    <row r="62227" ht="9.9499999999999993" hidden="1" customHeight="1" x14ac:dyDescent="0.2"/>
    <row r="62228" ht="9.9499999999999993" hidden="1" customHeight="1" x14ac:dyDescent="0.2"/>
    <row r="62229" ht="9.9499999999999993" hidden="1" customHeight="1" x14ac:dyDescent="0.2"/>
    <row r="62230" ht="9.9499999999999993" hidden="1" customHeight="1" x14ac:dyDescent="0.2"/>
    <row r="62231" ht="9.9499999999999993" hidden="1" customHeight="1" x14ac:dyDescent="0.2"/>
    <row r="62232" ht="9.9499999999999993" hidden="1" customHeight="1" x14ac:dyDescent="0.2"/>
    <row r="62233" ht="9.9499999999999993" hidden="1" customHeight="1" x14ac:dyDescent="0.2"/>
    <row r="62234" ht="9.9499999999999993" hidden="1" customHeight="1" x14ac:dyDescent="0.2"/>
    <row r="62235" ht="9.9499999999999993" hidden="1" customHeight="1" x14ac:dyDescent="0.2"/>
    <row r="62236" ht="9.9499999999999993" hidden="1" customHeight="1" x14ac:dyDescent="0.2"/>
    <row r="62237" ht="9.9499999999999993" hidden="1" customHeight="1" x14ac:dyDescent="0.2"/>
    <row r="62238" ht="9.9499999999999993" hidden="1" customHeight="1" x14ac:dyDescent="0.2"/>
    <row r="62239" ht="9.9499999999999993" hidden="1" customHeight="1" x14ac:dyDescent="0.2"/>
    <row r="62240" ht="9.9499999999999993" hidden="1" customHeight="1" x14ac:dyDescent="0.2"/>
    <row r="62241" ht="9.9499999999999993" hidden="1" customHeight="1" x14ac:dyDescent="0.2"/>
    <row r="62242" ht="9.9499999999999993" hidden="1" customHeight="1" x14ac:dyDescent="0.2"/>
    <row r="62243" ht="9.9499999999999993" hidden="1" customHeight="1" x14ac:dyDescent="0.2"/>
    <row r="62244" ht="9.9499999999999993" hidden="1" customHeight="1" x14ac:dyDescent="0.2"/>
    <row r="62245" ht="9.9499999999999993" hidden="1" customHeight="1" x14ac:dyDescent="0.2"/>
    <row r="62246" ht="9.9499999999999993" hidden="1" customHeight="1" x14ac:dyDescent="0.2"/>
    <row r="62247" ht="9.9499999999999993" hidden="1" customHeight="1" x14ac:dyDescent="0.2"/>
    <row r="62248" ht="9.9499999999999993" hidden="1" customHeight="1" x14ac:dyDescent="0.2"/>
    <row r="62249" ht="9.9499999999999993" hidden="1" customHeight="1" x14ac:dyDescent="0.2"/>
    <row r="62250" ht="9.9499999999999993" hidden="1" customHeight="1" x14ac:dyDescent="0.2"/>
    <row r="62251" ht="9.9499999999999993" hidden="1" customHeight="1" x14ac:dyDescent="0.2"/>
    <row r="62252" ht="9.9499999999999993" hidden="1" customHeight="1" x14ac:dyDescent="0.2"/>
    <row r="62253" ht="9.9499999999999993" hidden="1" customHeight="1" x14ac:dyDescent="0.2"/>
    <row r="62254" ht="9.9499999999999993" hidden="1" customHeight="1" x14ac:dyDescent="0.2"/>
    <row r="62255" ht="9.9499999999999993" hidden="1" customHeight="1" x14ac:dyDescent="0.2"/>
    <row r="62256" ht="9.9499999999999993" hidden="1" customHeight="1" x14ac:dyDescent="0.2"/>
    <row r="62257" ht="9.9499999999999993" hidden="1" customHeight="1" x14ac:dyDescent="0.2"/>
    <row r="62258" ht="9.9499999999999993" hidden="1" customHeight="1" x14ac:dyDescent="0.2"/>
    <row r="62259" ht="9.9499999999999993" hidden="1" customHeight="1" x14ac:dyDescent="0.2"/>
    <row r="62260" ht="9.9499999999999993" hidden="1" customHeight="1" x14ac:dyDescent="0.2"/>
    <row r="62261" ht="9.9499999999999993" hidden="1" customHeight="1" x14ac:dyDescent="0.2"/>
    <row r="62262" ht="9.9499999999999993" hidden="1" customHeight="1" x14ac:dyDescent="0.2"/>
    <row r="62263" ht="9.9499999999999993" hidden="1" customHeight="1" x14ac:dyDescent="0.2"/>
    <row r="62264" ht="9.9499999999999993" hidden="1" customHeight="1" x14ac:dyDescent="0.2"/>
    <row r="62265" ht="9.9499999999999993" hidden="1" customHeight="1" x14ac:dyDescent="0.2"/>
    <row r="62266" ht="9.9499999999999993" hidden="1" customHeight="1" x14ac:dyDescent="0.2"/>
    <row r="62267" ht="9.9499999999999993" hidden="1" customHeight="1" x14ac:dyDescent="0.2"/>
    <row r="62268" ht="9.9499999999999993" hidden="1" customHeight="1" x14ac:dyDescent="0.2"/>
    <row r="62269" ht="9.9499999999999993" hidden="1" customHeight="1" x14ac:dyDescent="0.2"/>
    <row r="62270" ht="9.9499999999999993" hidden="1" customHeight="1" x14ac:dyDescent="0.2"/>
    <row r="62271" ht="9.9499999999999993" hidden="1" customHeight="1" x14ac:dyDescent="0.2"/>
    <row r="62272" ht="9.9499999999999993" hidden="1" customHeight="1" x14ac:dyDescent="0.2"/>
    <row r="62273" ht="9.9499999999999993" hidden="1" customHeight="1" x14ac:dyDescent="0.2"/>
    <row r="62274" ht="9.9499999999999993" hidden="1" customHeight="1" x14ac:dyDescent="0.2"/>
    <row r="62275" ht="9.9499999999999993" hidden="1" customHeight="1" x14ac:dyDescent="0.2"/>
    <row r="62276" ht="9.9499999999999993" hidden="1" customHeight="1" x14ac:dyDescent="0.2"/>
    <row r="62277" ht="9.9499999999999993" hidden="1" customHeight="1" x14ac:dyDescent="0.2"/>
    <row r="62278" ht="9.9499999999999993" hidden="1" customHeight="1" x14ac:dyDescent="0.2"/>
    <row r="62279" ht="9.9499999999999993" hidden="1" customHeight="1" x14ac:dyDescent="0.2"/>
    <row r="62280" ht="9.9499999999999993" hidden="1" customHeight="1" x14ac:dyDescent="0.2"/>
    <row r="62281" ht="9.9499999999999993" hidden="1" customHeight="1" x14ac:dyDescent="0.2"/>
    <row r="62282" ht="9.9499999999999993" hidden="1" customHeight="1" x14ac:dyDescent="0.2"/>
    <row r="62283" ht="9.9499999999999993" hidden="1" customHeight="1" x14ac:dyDescent="0.2"/>
    <row r="62284" ht="9.9499999999999993" hidden="1" customHeight="1" x14ac:dyDescent="0.2"/>
    <row r="62285" ht="9.9499999999999993" hidden="1" customHeight="1" x14ac:dyDescent="0.2"/>
    <row r="62286" ht="9.9499999999999993" hidden="1" customHeight="1" x14ac:dyDescent="0.2"/>
    <row r="62287" ht="9.9499999999999993" hidden="1" customHeight="1" x14ac:dyDescent="0.2"/>
    <row r="62288" ht="9.9499999999999993" hidden="1" customHeight="1" x14ac:dyDescent="0.2"/>
    <row r="62289" ht="9.9499999999999993" hidden="1" customHeight="1" x14ac:dyDescent="0.2"/>
    <row r="62290" ht="9.9499999999999993" hidden="1" customHeight="1" x14ac:dyDescent="0.2"/>
    <row r="62291" ht="9.9499999999999993" hidden="1" customHeight="1" x14ac:dyDescent="0.2"/>
    <row r="62292" ht="9.9499999999999993" hidden="1" customHeight="1" x14ac:dyDescent="0.2"/>
    <row r="62293" ht="9.9499999999999993" hidden="1" customHeight="1" x14ac:dyDescent="0.2"/>
    <row r="62294" ht="9.9499999999999993" hidden="1" customHeight="1" x14ac:dyDescent="0.2"/>
    <row r="62295" ht="9.9499999999999993" hidden="1" customHeight="1" x14ac:dyDescent="0.2"/>
    <row r="62296" ht="9.9499999999999993" hidden="1" customHeight="1" x14ac:dyDescent="0.2"/>
    <row r="62297" ht="9.9499999999999993" hidden="1" customHeight="1" x14ac:dyDescent="0.2"/>
    <row r="62298" ht="9.9499999999999993" hidden="1" customHeight="1" x14ac:dyDescent="0.2"/>
    <row r="62299" ht="9.9499999999999993" hidden="1" customHeight="1" x14ac:dyDescent="0.2"/>
    <row r="62300" ht="9.9499999999999993" hidden="1" customHeight="1" x14ac:dyDescent="0.2"/>
    <row r="62301" ht="9.9499999999999993" hidden="1" customHeight="1" x14ac:dyDescent="0.2"/>
    <row r="62302" ht="9.9499999999999993" hidden="1" customHeight="1" x14ac:dyDescent="0.2"/>
    <row r="62303" ht="9.9499999999999993" hidden="1" customHeight="1" x14ac:dyDescent="0.2"/>
    <row r="62304" ht="9.9499999999999993" hidden="1" customHeight="1" x14ac:dyDescent="0.2"/>
    <row r="62305" ht="9.9499999999999993" hidden="1" customHeight="1" x14ac:dyDescent="0.2"/>
    <row r="62306" ht="9.9499999999999993" hidden="1" customHeight="1" x14ac:dyDescent="0.2"/>
    <row r="62307" ht="9.9499999999999993" hidden="1" customHeight="1" x14ac:dyDescent="0.2"/>
    <row r="62308" ht="9.9499999999999993" hidden="1" customHeight="1" x14ac:dyDescent="0.2"/>
    <row r="62309" ht="9.9499999999999993" hidden="1" customHeight="1" x14ac:dyDescent="0.2"/>
    <row r="62310" ht="9.9499999999999993" hidden="1" customHeight="1" x14ac:dyDescent="0.2"/>
    <row r="62311" ht="9.9499999999999993" hidden="1" customHeight="1" x14ac:dyDescent="0.2"/>
    <row r="62312" ht="9.9499999999999993" hidden="1" customHeight="1" x14ac:dyDescent="0.2"/>
    <row r="62313" ht="9.9499999999999993" hidden="1" customHeight="1" x14ac:dyDescent="0.2"/>
    <row r="62314" ht="9.9499999999999993" hidden="1" customHeight="1" x14ac:dyDescent="0.2"/>
    <row r="62315" ht="9.9499999999999993" hidden="1" customHeight="1" x14ac:dyDescent="0.2"/>
    <row r="62316" ht="9.9499999999999993" hidden="1" customHeight="1" x14ac:dyDescent="0.2"/>
    <row r="62317" ht="9.9499999999999993" hidden="1" customHeight="1" x14ac:dyDescent="0.2"/>
    <row r="62318" ht="9.9499999999999993" hidden="1" customHeight="1" x14ac:dyDescent="0.2"/>
    <row r="62319" ht="9.9499999999999993" hidden="1" customHeight="1" x14ac:dyDescent="0.2"/>
    <row r="62320" ht="9.9499999999999993" hidden="1" customHeight="1" x14ac:dyDescent="0.2"/>
    <row r="62321" ht="9.9499999999999993" hidden="1" customHeight="1" x14ac:dyDescent="0.2"/>
    <row r="62322" ht="9.9499999999999993" hidden="1" customHeight="1" x14ac:dyDescent="0.2"/>
    <row r="62323" ht="9.9499999999999993" hidden="1" customHeight="1" x14ac:dyDescent="0.2"/>
    <row r="62324" ht="9.9499999999999993" hidden="1" customHeight="1" x14ac:dyDescent="0.2"/>
    <row r="62325" ht="9.9499999999999993" hidden="1" customHeight="1" x14ac:dyDescent="0.2"/>
    <row r="62326" ht="9.9499999999999993" hidden="1" customHeight="1" x14ac:dyDescent="0.2"/>
    <row r="62327" ht="9.9499999999999993" hidden="1" customHeight="1" x14ac:dyDescent="0.2"/>
    <row r="62328" ht="9.9499999999999993" hidden="1" customHeight="1" x14ac:dyDescent="0.2"/>
    <row r="62329" ht="9.9499999999999993" hidden="1" customHeight="1" x14ac:dyDescent="0.2"/>
    <row r="62330" ht="9.9499999999999993" hidden="1" customHeight="1" x14ac:dyDescent="0.2"/>
    <row r="62331" ht="9.9499999999999993" hidden="1" customHeight="1" x14ac:dyDescent="0.2"/>
    <row r="62332" ht="9.9499999999999993" hidden="1" customHeight="1" x14ac:dyDescent="0.2"/>
    <row r="62333" ht="9.9499999999999993" hidden="1" customHeight="1" x14ac:dyDescent="0.2"/>
    <row r="62334" ht="9.9499999999999993" hidden="1" customHeight="1" x14ac:dyDescent="0.2"/>
    <row r="62335" ht="9.9499999999999993" hidden="1" customHeight="1" x14ac:dyDescent="0.2"/>
    <row r="62336" ht="9.9499999999999993" hidden="1" customHeight="1" x14ac:dyDescent="0.2"/>
    <row r="62337" ht="9.9499999999999993" hidden="1" customHeight="1" x14ac:dyDescent="0.2"/>
    <row r="62338" ht="9.9499999999999993" hidden="1" customHeight="1" x14ac:dyDescent="0.2"/>
    <row r="62339" ht="9.9499999999999993" hidden="1" customHeight="1" x14ac:dyDescent="0.2"/>
    <row r="62340" ht="9.9499999999999993" hidden="1" customHeight="1" x14ac:dyDescent="0.2"/>
    <row r="62341" ht="9.9499999999999993" hidden="1" customHeight="1" x14ac:dyDescent="0.2"/>
    <row r="62342" ht="9.9499999999999993" hidden="1" customHeight="1" x14ac:dyDescent="0.2"/>
    <row r="62343" ht="9.9499999999999993" hidden="1" customHeight="1" x14ac:dyDescent="0.2"/>
    <row r="62344" ht="9.9499999999999993" hidden="1" customHeight="1" x14ac:dyDescent="0.2"/>
    <row r="62345" ht="9.9499999999999993" hidden="1" customHeight="1" x14ac:dyDescent="0.2"/>
    <row r="62346" ht="9.9499999999999993" hidden="1" customHeight="1" x14ac:dyDescent="0.2"/>
    <row r="62347" ht="9.9499999999999993" hidden="1" customHeight="1" x14ac:dyDescent="0.2"/>
    <row r="62348" ht="9.9499999999999993" hidden="1" customHeight="1" x14ac:dyDescent="0.2"/>
    <row r="62349" ht="9.9499999999999993" hidden="1" customHeight="1" x14ac:dyDescent="0.2"/>
    <row r="62350" ht="9.9499999999999993" hidden="1" customHeight="1" x14ac:dyDescent="0.2"/>
    <row r="62351" ht="9.9499999999999993" hidden="1" customHeight="1" x14ac:dyDescent="0.2"/>
    <row r="62352" ht="9.9499999999999993" hidden="1" customHeight="1" x14ac:dyDescent="0.2"/>
    <row r="62353" ht="9.9499999999999993" hidden="1" customHeight="1" x14ac:dyDescent="0.2"/>
    <row r="62354" ht="9.9499999999999993" hidden="1" customHeight="1" x14ac:dyDescent="0.2"/>
    <row r="62355" ht="9.9499999999999993" hidden="1" customHeight="1" x14ac:dyDescent="0.2"/>
    <row r="62356" ht="9.9499999999999993" hidden="1" customHeight="1" x14ac:dyDescent="0.2"/>
    <row r="62357" ht="9.9499999999999993" hidden="1" customHeight="1" x14ac:dyDescent="0.2"/>
    <row r="62358" ht="9.9499999999999993" hidden="1" customHeight="1" x14ac:dyDescent="0.2"/>
    <row r="62359" ht="9.9499999999999993" hidden="1" customHeight="1" x14ac:dyDescent="0.2"/>
    <row r="62360" ht="9.9499999999999993" hidden="1" customHeight="1" x14ac:dyDescent="0.2"/>
    <row r="62361" ht="9.9499999999999993" hidden="1" customHeight="1" x14ac:dyDescent="0.2"/>
    <row r="62362" ht="9.9499999999999993" hidden="1" customHeight="1" x14ac:dyDescent="0.2"/>
    <row r="62363" ht="9.9499999999999993" hidden="1" customHeight="1" x14ac:dyDescent="0.2"/>
    <row r="62364" ht="9.9499999999999993" hidden="1" customHeight="1" x14ac:dyDescent="0.2"/>
    <row r="62365" ht="9.9499999999999993" hidden="1" customHeight="1" x14ac:dyDescent="0.2"/>
    <row r="62366" ht="9.9499999999999993" hidden="1" customHeight="1" x14ac:dyDescent="0.2"/>
    <row r="62367" ht="9.9499999999999993" hidden="1" customHeight="1" x14ac:dyDescent="0.2"/>
    <row r="62368" ht="9.9499999999999993" hidden="1" customHeight="1" x14ac:dyDescent="0.2"/>
    <row r="62369" ht="9.9499999999999993" hidden="1" customHeight="1" x14ac:dyDescent="0.2"/>
    <row r="62370" ht="9.9499999999999993" hidden="1" customHeight="1" x14ac:dyDescent="0.2"/>
    <row r="62371" ht="9.9499999999999993" hidden="1" customHeight="1" x14ac:dyDescent="0.2"/>
    <row r="62372" ht="9.9499999999999993" hidden="1" customHeight="1" x14ac:dyDescent="0.2"/>
    <row r="62373" ht="9.9499999999999993" hidden="1" customHeight="1" x14ac:dyDescent="0.2"/>
    <row r="62374" ht="9.9499999999999993" hidden="1" customHeight="1" x14ac:dyDescent="0.2"/>
    <row r="62375" ht="9.9499999999999993" hidden="1" customHeight="1" x14ac:dyDescent="0.2"/>
    <row r="62376" ht="9.9499999999999993" hidden="1" customHeight="1" x14ac:dyDescent="0.2"/>
    <row r="62377" ht="9.9499999999999993" hidden="1" customHeight="1" x14ac:dyDescent="0.2"/>
    <row r="62378" ht="9.9499999999999993" hidden="1" customHeight="1" x14ac:dyDescent="0.2"/>
    <row r="62379" ht="9.9499999999999993" hidden="1" customHeight="1" x14ac:dyDescent="0.2"/>
    <row r="62380" ht="9.9499999999999993" hidden="1" customHeight="1" x14ac:dyDescent="0.2"/>
    <row r="62381" ht="9.9499999999999993" hidden="1" customHeight="1" x14ac:dyDescent="0.2"/>
    <row r="62382" ht="9.9499999999999993" hidden="1" customHeight="1" x14ac:dyDescent="0.2"/>
    <row r="62383" ht="9.9499999999999993" hidden="1" customHeight="1" x14ac:dyDescent="0.2"/>
    <row r="62384" ht="9.9499999999999993" hidden="1" customHeight="1" x14ac:dyDescent="0.2"/>
    <row r="62385" ht="9.9499999999999993" hidden="1" customHeight="1" x14ac:dyDescent="0.2"/>
    <row r="62386" ht="9.9499999999999993" hidden="1" customHeight="1" x14ac:dyDescent="0.2"/>
    <row r="62387" ht="9.9499999999999993" hidden="1" customHeight="1" x14ac:dyDescent="0.2"/>
    <row r="62388" ht="9.9499999999999993" hidden="1" customHeight="1" x14ac:dyDescent="0.2"/>
    <row r="62389" ht="9.9499999999999993" hidden="1" customHeight="1" x14ac:dyDescent="0.2"/>
    <row r="62390" ht="9.9499999999999993" hidden="1" customHeight="1" x14ac:dyDescent="0.2"/>
    <row r="62391" ht="9.9499999999999993" hidden="1" customHeight="1" x14ac:dyDescent="0.2"/>
    <row r="62392" ht="9.9499999999999993" hidden="1" customHeight="1" x14ac:dyDescent="0.2"/>
    <row r="62393" ht="9.9499999999999993" hidden="1" customHeight="1" x14ac:dyDescent="0.2"/>
    <row r="62394" ht="9.9499999999999993" hidden="1" customHeight="1" x14ac:dyDescent="0.2"/>
    <row r="62395" ht="9.9499999999999993" hidden="1" customHeight="1" x14ac:dyDescent="0.2"/>
    <row r="62396" ht="9.9499999999999993" hidden="1" customHeight="1" x14ac:dyDescent="0.2"/>
    <row r="62397" ht="9.9499999999999993" hidden="1" customHeight="1" x14ac:dyDescent="0.2"/>
    <row r="62398" ht="9.9499999999999993" hidden="1" customHeight="1" x14ac:dyDescent="0.2"/>
    <row r="62399" ht="9.9499999999999993" hidden="1" customHeight="1" x14ac:dyDescent="0.2"/>
    <row r="62400" ht="9.9499999999999993" hidden="1" customHeight="1" x14ac:dyDescent="0.2"/>
    <row r="62401" ht="9.9499999999999993" hidden="1" customHeight="1" x14ac:dyDescent="0.2"/>
    <row r="62402" ht="9.9499999999999993" hidden="1" customHeight="1" x14ac:dyDescent="0.2"/>
    <row r="62403" ht="9.9499999999999993" hidden="1" customHeight="1" x14ac:dyDescent="0.2"/>
    <row r="62404" ht="9.9499999999999993" hidden="1" customHeight="1" x14ac:dyDescent="0.2"/>
    <row r="62405" ht="9.9499999999999993" hidden="1" customHeight="1" x14ac:dyDescent="0.2"/>
    <row r="62406" ht="9.9499999999999993" hidden="1" customHeight="1" x14ac:dyDescent="0.2"/>
    <row r="62407" ht="9.9499999999999993" hidden="1" customHeight="1" x14ac:dyDescent="0.2"/>
    <row r="62408" ht="9.9499999999999993" hidden="1" customHeight="1" x14ac:dyDescent="0.2"/>
    <row r="62409" ht="9.9499999999999993" hidden="1" customHeight="1" x14ac:dyDescent="0.2"/>
    <row r="62410" ht="9.9499999999999993" hidden="1" customHeight="1" x14ac:dyDescent="0.2"/>
    <row r="62411" ht="9.9499999999999993" hidden="1" customHeight="1" x14ac:dyDescent="0.2"/>
    <row r="62412" ht="9.9499999999999993" hidden="1" customHeight="1" x14ac:dyDescent="0.2"/>
    <row r="62413" ht="9.9499999999999993" hidden="1" customHeight="1" x14ac:dyDescent="0.2"/>
    <row r="62414" ht="9.9499999999999993" hidden="1" customHeight="1" x14ac:dyDescent="0.2"/>
    <row r="62415" ht="9.9499999999999993" hidden="1" customHeight="1" x14ac:dyDescent="0.2"/>
    <row r="62416" ht="9.9499999999999993" hidden="1" customHeight="1" x14ac:dyDescent="0.2"/>
    <row r="62417" ht="9.9499999999999993" hidden="1" customHeight="1" x14ac:dyDescent="0.2"/>
    <row r="62418" ht="9.9499999999999993" hidden="1" customHeight="1" x14ac:dyDescent="0.2"/>
    <row r="62419" ht="9.9499999999999993" hidden="1" customHeight="1" x14ac:dyDescent="0.2"/>
    <row r="62420" ht="9.9499999999999993" hidden="1" customHeight="1" x14ac:dyDescent="0.2"/>
    <row r="62421" ht="9.9499999999999993" hidden="1" customHeight="1" x14ac:dyDescent="0.2"/>
    <row r="62422" ht="9.9499999999999993" hidden="1" customHeight="1" x14ac:dyDescent="0.2"/>
    <row r="62423" ht="9.9499999999999993" hidden="1" customHeight="1" x14ac:dyDescent="0.2"/>
    <row r="62424" ht="9.9499999999999993" hidden="1" customHeight="1" x14ac:dyDescent="0.2"/>
    <row r="62425" ht="9.9499999999999993" hidden="1" customHeight="1" x14ac:dyDescent="0.2"/>
    <row r="62426" ht="9.9499999999999993" hidden="1" customHeight="1" x14ac:dyDescent="0.2"/>
    <row r="62427" ht="9.9499999999999993" hidden="1" customHeight="1" x14ac:dyDescent="0.2"/>
    <row r="62428" ht="9.9499999999999993" hidden="1" customHeight="1" x14ac:dyDescent="0.2"/>
    <row r="62429" ht="9.9499999999999993" hidden="1" customHeight="1" x14ac:dyDescent="0.2"/>
    <row r="62430" ht="9.9499999999999993" hidden="1" customHeight="1" x14ac:dyDescent="0.2"/>
    <row r="62431" ht="9.9499999999999993" hidden="1" customHeight="1" x14ac:dyDescent="0.2"/>
    <row r="62432" ht="9.9499999999999993" hidden="1" customHeight="1" x14ac:dyDescent="0.2"/>
    <row r="62433" ht="9.9499999999999993" hidden="1" customHeight="1" x14ac:dyDescent="0.2"/>
    <row r="62434" ht="9.9499999999999993" hidden="1" customHeight="1" x14ac:dyDescent="0.2"/>
    <row r="62435" ht="9.9499999999999993" hidden="1" customHeight="1" x14ac:dyDescent="0.2"/>
    <row r="62436" ht="9.9499999999999993" hidden="1" customHeight="1" x14ac:dyDescent="0.2"/>
    <row r="62437" ht="9.9499999999999993" hidden="1" customHeight="1" x14ac:dyDescent="0.2"/>
    <row r="62438" ht="9.9499999999999993" hidden="1" customHeight="1" x14ac:dyDescent="0.2"/>
    <row r="62439" ht="9.9499999999999993" hidden="1" customHeight="1" x14ac:dyDescent="0.2"/>
    <row r="62440" ht="9.9499999999999993" hidden="1" customHeight="1" x14ac:dyDescent="0.2"/>
    <row r="62441" ht="9.9499999999999993" hidden="1" customHeight="1" x14ac:dyDescent="0.2"/>
    <row r="62442" ht="9.9499999999999993" hidden="1" customHeight="1" x14ac:dyDescent="0.2"/>
    <row r="62443" ht="9.9499999999999993" hidden="1" customHeight="1" x14ac:dyDescent="0.2"/>
    <row r="62444" ht="9.9499999999999993" hidden="1" customHeight="1" x14ac:dyDescent="0.2"/>
    <row r="62445" ht="9.9499999999999993" hidden="1" customHeight="1" x14ac:dyDescent="0.2"/>
    <row r="62446" ht="9.9499999999999993" hidden="1" customHeight="1" x14ac:dyDescent="0.2"/>
    <row r="62447" ht="9.9499999999999993" hidden="1" customHeight="1" x14ac:dyDescent="0.2"/>
    <row r="62448" ht="9.9499999999999993" hidden="1" customHeight="1" x14ac:dyDescent="0.2"/>
    <row r="62449" ht="9.9499999999999993" hidden="1" customHeight="1" x14ac:dyDescent="0.2"/>
    <row r="62450" ht="9.9499999999999993" hidden="1" customHeight="1" x14ac:dyDescent="0.2"/>
    <row r="62451" ht="9.9499999999999993" hidden="1" customHeight="1" x14ac:dyDescent="0.2"/>
    <row r="62452" ht="9.9499999999999993" hidden="1" customHeight="1" x14ac:dyDescent="0.2"/>
    <row r="62453" ht="9.9499999999999993" hidden="1" customHeight="1" x14ac:dyDescent="0.2"/>
    <row r="62454" ht="9.9499999999999993" hidden="1" customHeight="1" x14ac:dyDescent="0.2"/>
    <row r="62455" ht="9.9499999999999993" hidden="1" customHeight="1" x14ac:dyDescent="0.2"/>
    <row r="62456" ht="9.9499999999999993" hidden="1" customHeight="1" x14ac:dyDescent="0.2"/>
    <row r="62457" ht="9.9499999999999993" hidden="1" customHeight="1" x14ac:dyDescent="0.2"/>
    <row r="62458" ht="9.9499999999999993" hidden="1" customHeight="1" x14ac:dyDescent="0.2"/>
    <row r="62459" ht="9.9499999999999993" hidden="1" customHeight="1" x14ac:dyDescent="0.2"/>
    <row r="62460" ht="9.9499999999999993" hidden="1" customHeight="1" x14ac:dyDescent="0.2"/>
    <row r="62461" ht="9.9499999999999993" hidden="1" customHeight="1" x14ac:dyDescent="0.2"/>
    <row r="62462" ht="9.9499999999999993" hidden="1" customHeight="1" x14ac:dyDescent="0.2"/>
    <row r="62463" ht="9.9499999999999993" hidden="1" customHeight="1" x14ac:dyDescent="0.2"/>
    <row r="62464" ht="9.9499999999999993" hidden="1" customHeight="1" x14ac:dyDescent="0.2"/>
    <row r="62465" ht="9.9499999999999993" hidden="1" customHeight="1" x14ac:dyDescent="0.2"/>
    <row r="62466" ht="9.9499999999999993" hidden="1" customHeight="1" x14ac:dyDescent="0.2"/>
    <row r="62467" ht="9.9499999999999993" hidden="1" customHeight="1" x14ac:dyDescent="0.2"/>
    <row r="62468" ht="9.9499999999999993" hidden="1" customHeight="1" x14ac:dyDescent="0.2"/>
    <row r="62469" ht="9.9499999999999993" hidden="1" customHeight="1" x14ac:dyDescent="0.2"/>
    <row r="62470" ht="9.9499999999999993" hidden="1" customHeight="1" x14ac:dyDescent="0.2"/>
    <row r="62471" ht="9.9499999999999993" hidden="1" customHeight="1" x14ac:dyDescent="0.2"/>
    <row r="62472" ht="9.9499999999999993" hidden="1" customHeight="1" x14ac:dyDescent="0.2"/>
    <row r="62473" ht="9.9499999999999993" hidden="1" customHeight="1" x14ac:dyDescent="0.2"/>
    <row r="62474" ht="9.9499999999999993" hidden="1" customHeight="1" x14ac:dyDescent="0.2"/>
    <row r="62475" ht="9.9499999999999993" hidden="1" customHeight="1" x14ac:dyDescent="0.2"/>
    <row r="62476" ht="9.9499999999999993" hidden="1" customHeight="1" x14ac:dyDescent="0.2"/>
    <row r="62477" ht="9.9499999999999993" hidden="1" customHeight="1" x14ac:dyDescent="0.2"/>
    <row r="62478" ht="9.9499999999999993" hidden="1" customHeight="1" x14ac:dyDescent="0.2"/>
    <row r="62479" ht="9.9499999999999993" hidden="1" customHeight="1" x14ac:dyDescent="0.2"/>
    <row r="62480" ht="9.9499999999999993" hidden="1" customHeight="1" x14ac:dyDescent="0.2"/>
    <row r="62481" ht="9.9499999999999993" hidden="1" customHeight="1" x14ac:dyDescent="0.2"/>
    <row r="62482" ht="9.9499999999999993" hidden="1" customHeight="1" x14ac:dyDescent="0.2"/>
    <row r="62483" ht="9.9499999999999993" hidden="1" customHeight="1" x14ac:dyDescent="0.2"/>
    <row r="62484" ht="9.9499999999999993" hidden="1" customHeight="1" x14ac:dyDescent="0.2"/>
    <row r="62485" ht="9.9499999999999993" hidden="1" customHeight="1" x14ac:dyDescent="0.2"/>
    <row r="62486" ht="9.9499999999999993" hidden="1" customHeight="1" x14ac:dyDescent="0.2"/>
    <row r="62487" ht="9.9499999999999993" hidden="1" customHeight="1" x14ac:dyDescent="0.2"/>
    <row r="62488" ht="9.9499999999999993" hidden="1" customHeight="1" x14ac:dyDescent="0.2"/>
    <row r="62489" ht="9.9499999999999993" hidden="1" customHeight="1" x14ac:dyDescent="0.2"/>
    <row r="62490" ht="9.9499999999999993" hidden="1" customHeight="1" x14ac:dyDescent="0.2"/>
    <row r="62491" ht="9.9499999999999993" hidden="1" customHeight="1" x14ac:dyDescent="0.2"/>
    <row r="62492" ht="9.9499999999999993" hidden="1" customHeight="1" x14ac:dyDescent="0.2"/>
    <row r="62493" ht="9.9499999999999993" hidden="1" customHeight="1" x14ac:dyDescent="0.2"/>
    <row r="62494" ht="9.9499999999999993" hidden="1" customHeight="1" x14ac:dyDescent="0.2"/>
    <row r="62495" ht="9.9499999999999993" hidden="1" customHeight="1" x14ac:dyDescent="0.2"/>
    <row r="62496" ht="9.9499999999999993" hidden="1" customHeight="1" x14ac:dyDescent="0.2"/>
    <row r="62497" ht="9.9499999999999993" hidden="1" customHeight="1" x14ac:dyDescent="0.2"/>
    <row r="62498" ht="9.9499999999999993" hidden="1" customHeight="1" x14ac:dyDescent="0.2"/>
    <row r="62499" ht="9.9499999999999993" hidden="1" customHeight="1" x14ac:dyDescent="0.2"/>
    <row r="62500" ht="9.9499999999999993" hidden="1" customHeight="1" x14ac:dyDescent="0.2"/>
    <row r="62501" ht="9.9499999999999993" hidden="1" customHeight="1" x14ac:dyDescent="0.2"/>
    <row r="62502" ht="9.9499999999999993" hidden="1" customHeight="1" x14ac:dyDescent="0.2"/>
    <row r="62503" ht="9.9499999999999993" hidden="1" customHeight="1" x14ac:dyDescent="0.2"/>
    <row r="62504" ht="9.9499999999999993" hidden="1" customHeight="1" x14ac:dyDescent="0.2"/>
    <row r="62505" ht="9.9499999999999993" hidden="1" customHeight="1" x14ac:dyDescent="0.2"/>
    <row r="62506" ht="9.9499999999999993" hidden="1" customHeight="1" x14ac:dyDescent="0.2"/>
    <row r="62507" ht="9.9499999999999993" hidden="1" customHeight="1" x14ac:dyDescent="0.2"/>
    <row r="62508" ht="9.9499999999999993" hidden="1" customHeight="1" x14ac:dyDescent="0.2"/>
    <row r="62509" ht="9.9499999999999993" hidden="1" customHeight="1" x14ac:dyDescent="0.2"/>
    <row r="62510" ht="9.9499999999999993" hidden="1" customHeight="1" x14ac:dyDescent="0.2"/>
    <row r="62511" ht="9.9499999999999993" hidden="1" customHeight="1" x14ac:dyDescent="0.2"/>
    <row r="62512" ht="9.9499999999999993" hidden="1" customHeight="1" x14ac:dyDescent="0.2"/>
    <row r="62513" ht="9.9499999999999993" hidden="1" customHeight="1" x14ac:dyDescent="0.2"/>
    <row r="62514" ht="9.9499999999999993" hidden="1" customHeight="1" x14ac:dyDescent="0.2"/>
    <row r="62515" ht="9.9499999999999993" hidden="1" customHeight="1" x14ac:dyDescent="0.2"/>
    <row r="62516" ht="9.9499999999999993" hidden="1" customHeight="1" x14ac:dyDescent="0.2"/>
    <row r="62517" ht="9.9499999999999993" hidden="1" customHeight="1" x14ac:dyDescent="0.2"/>
    <row r="62518" ht="9.9499999999999993" hidden="1" customHeight="1" x14ac:dyDescent="0.2"/>
    <row r="62519" ht="9.9499999999999993" hidden="1" customHeight="1" x14ac:dyDescent="0.2"/>
    <row r="62520" ht="9.9499999999999993" hidden="1" customHeight="1" x14ac:dyDescent="0.2"/>
    <row r="62521" ht="9.9499999999999993" hidden="1" customHeight="1" x14ac:dyDescent="0.2"/>
    <row r="62522" ht="9.9499999999999993" hidden="1" customHeight="1" x14ac:dyDescent="0.2"/>
    <row r="62523" ht="9.9499999999999993" hidden="1" customHeight="1" x14ac:dyDescent="0.2"/>
    <row r="62524" ht="9.9499999999999993" hidden="1" customHeight="1" x14ac:dyDescent="0.2"/>
    <row r="62525" ht="9.9499999999999993" hidden="1" customHeight="1" x14ac:dyDescent="0.2"/>
    <row r="62526" ht="9.9499999999999993" hidden="1" customHeight="1" x14ac:dyDescent="0.2"/>
    <row r="62527" ht="9.9499999999999993" hidden="1" customHeight="1" x14ac:dyDescent="0.2"/>
    <row r="62528" ht="9.9499999999999993" hidden="1" customHeight="1" x14ac:dyDescent="0.2"/>
    <row r="62529" ht="9.9499999999999993" hidden="1" customHeight="1" x14ac:dyDescent="0.2"/>
    <row r="62530" ht="9.9499999999999993" hidden="1" customHeight="1" x14ac:dyDescent="0.2"/>
    <row r="62531" ht="9.9499999999999993" hidden="1" customHeight="1" x14ac:dyDescent="0.2"/>
    <row r="62532" ht="9.9499999999999993" hidden="1" customHeight="1" x14ac:dyDescent="0.2"/>
    <row r="62533" ht="9.9499999999999993" hidden="1" customHeight="1" x14ac:dyDescent="0.2"/>
    <row r="62534" ht="9.9499999999999993" hidden="1" customHeight="1" x14ac:dyDescent="0.2"/>
    <row r="62535" ht="9.9499999999999993" hidden="1" customHeight="1" x14ac:dyDescent="0.2"/>
    <row r="62536" ht="9.9499999999999993" hidden="1" customHeight="1" x14ac:dyDescent="0.2"/>
    <row r="62537" ht="9.9499999999999993" hidden="1" customHeight="1" x14ac:dyDescent="0.2"/>
    <row r="62538" ht="9.9499999999999993" hidden="1" customHeight="1" x14ac:dyDescent="0.2"/>
    <row r="62539" ht="9.9499999999999993" hidden="1" customHeight="1" x14ac:dyDescent="0.2"/>
    <row r="62540" ht="9.9499999999999993" hidden="1" customHeight="1" x14ac:dyDescent="0.2"/>
    <row r="62541" ht="9.9499999999999993" hidden="1" customHeight="1" x14ac:dyDescent="0.2"/>
    <row r="62542" ht="9.9499999999999993" hidden="1" customHeight="1" x14ac:dyDescent="0.2"/>
    <row r="62543" ht="9.9499999999999993" hidden="1" customHeight="1" x14ac:dyDescent="0.2"/>
    <row r="62544" ht="9.9499999999999993" hidden="1" customHeight="1" x14ac:dyDescent="0.2"/>
    <row r="62545" ht="9.9499999999999993" hidden="1" customHeight="1" x14ac:dyDescent="0.2"/>
    <row r="62546" ht="9.9499999999999993" hidden="1" customHeight="1" x14ac:dyDescent="0.2"/>
    <row r="62547" ht="9.9499999999999993" hidden="1" customHeight="1" x14ac:dyDescent="0.2"/>
    <row r="62548" ht="9.9499999999999993" hidden="1" customHeight="1" x14ac:dyDescent="0.2"/>
    <row r="62549" ht="9.9499999999999993" hidden="1" customHeight="1" x14ac:dyDescent="0.2"/>
    <row r="62550" ht="9.9499999999999993" hidden="1" customHeight="1" x14ac:dyDescent="0.2"/>
    <row r="62551" ht="9.9499999999999993" hidden="1" customHeight="1" x14ac:dyDescent="0.2"/>
    <row r="62552" ht="9.9499999999999993" hidden="1" customHeight="1" x14ac:dyDescent="0.2"/>
    <row r="62553" ht="9.9499999999999993" hidden="1" customHeight="1" x14ac:dyDescent="0.2"/>
    <row r="62554" ht="9.9499999999999993" hidden="1" customHeight="1" x14ac:dyDescent="0.2"/>
    <row r="62555" ht="9.9499999999999993" hidden="1" customHeight="1" x14ac:dyDescent="0.2"/>
    <row r="62556" ht="9.9499999999999993" hidden="1" customHeight="1" x14ac:dyDescent="0.2"/>
    <row r="62557" ht="9.9499999999999993" hidden="1" customHeight="1" x14ac:dyDescent="0.2"/>
    <row r="62558" ht="9.9499999999999993" hidden="1" customHeight="1" x14ac:dyDescent="0.2"/>
    <row r="62559" ht="9.9499999999999993" hidden="1" customHeight="1" x14ac:dyDescent="0.2"/>
    <row r="62560" ht="9.9499999999999993" hidden="1" customHeight="1" x14ac:dyDescent="0.2"/>
    <row r="62561" ht="9.9499999999999993" hidden="1" customHeight="1" x14ac:dyDescent="0.2"/>
    <row r="62562" ht="9.9499999999999993" hidden="1" customHeight="1" x14ac:dyDescent="0.2"/>
    <row r="62563" ht="9.9499999999999993" hidden="1" customHeight="1" x14ac:dyDescent="0.2"/>
    <row r="62564" ht="9.9499999999999993" hidden="1" customHeight="1" x14ac:dyDescent="0.2"/>
    <row r="62565" ht="9.9499999999999993" hidden="1" customHeight="1" x14ac:dyDescent="0.2"/>
    <row r="62566" ht="9.9499999999999993" hidden="1" customHeight="1" x14ac:dyDescent="0.2"/>
    <row r="62567" ht="9.9499999999999993" hidden="1" customHeight="1" x14ac:dyDescent="0.2"/>
    <row r="62568" ht="9.9499999999999993" hidden="1" customHeight="1" x14ac:dyDescent="0.2"/>
    <row r="62569" ht="9.9499999999999993" hidden="1" customHeight="1" x14ac:dyDescent="0.2"/>
    <row r="62570" ht="9.9499999999999993" hidden="1" customHeight="1" x14ac:dyDescent="0.2"/>
    <row r="62571" ht="9.9499999999999993" hidden="1" customHeight="1" x14ac:dyDescent="0.2"/>
    <row r="62572" ht="9.9499999999999993" hidden="1" customHeight="1" x14ac:dyDescent="0.2"/>
    <row r="62573" ht="9.9499999999999993" hidden="1" customHeight="1" x14ac:dyDescent="0.2"/>
    <row r="62574" ht="9.9499999999999993" hidden="1" customHeight="1" x14ac:dyDescent="0.2"/>
    <row r="62575" ht="9.9499999999999993" hidden="1" customHeight="1" x14ac:dyDescent="0.2"/>
    <row r="62576" ht="9.9499999999999993" hidden="1" customHeight="1" x14ac:dyDescent="0.2"/>
    <row r="62577" ht="9.9499999999999993" hidden="1" customHeight="1" x14ac:dyDescent="0.2"/>
    <row r="62578" ht="9.9499999999999993" hidden="1" customHeight="1" x14ac:dyDescent="0.2"/>
    <row r="62579" ht="9.9499999999999993" hidden="1" customHeight="1" x14ac:dyDescent="0.2"/>
    <row r="62580" ht="9.9499999999999993" hidden="1" customHeight="1" x14ac:dyDescent="0.2"/>
    <row r="62581" ht="9.9499999999999993" hidden="1" customHeight="1" x14ac:dyDescent="0.2"/>
    <row r="62582" ht="9.9499999999999993" hidden="1" customHeight="1" x14ac:dyDescent="0.2"/>
    <row r="62583" ht="9.9499999999999993" hidden="1" customHeight="1" x14ac:dyDescent="0.2"/>
    <row r="62584" ht="9.9499999999999993" hidden="1" customHeight="1" x14ac:dyDescent="0.2"/>
    <row r="62585" ht="9.9499999999999993" hidden="1" customHeight="1" x14ac:dyDescent="0.2"/>
    <row r="62586" ht="9.9499999999999993" hidden="1" customHeight="1" x14ac:dyDescent="0.2"/>
    <row r="62587" ht="9.9499999999999993" hidden="1" customHeight="1" x14ac:dyDescent="0.2"/>
    <row r="62588" ht="9.9499999999999993" hidden="1" customHeight="1" x14ac:dyDescent="0.2"/>
    <row r="62589" ht="9.9499999999999993" hidden="1" customHeight="1" x14ac:dyDescent="0.2"/>
    <row r="62590" ht="9.9499999999999993" hidden="1" customHeight="1" x14ac:dyDescent="0.2"/>
    <row r="62591" ht="9.9499999999999993" hidden="1" customHeight="1" x14ac:dyDescent="0.2"/>
    <row r="62592" ht="9.9499999999999993" hidden="1" customHeight="1" x14ac:dyDescent="0.2"/>
    <row r="62593" ht="9.9499999999999993" hidden="1" customHeight="1" x14ac:dyDescent="0.2"/>
    <row r="62594" ht="9.9499999999999993" hidden="1" customHeight="1" x14ac:dyDescent="0.2"/>
    <row r="62595" ht="9.9499999999999993" hidden="1" customHeight="1" x14ac:dyDescent="0.2"/>
    <row r="62596" ht="9.9499999999999993" hidden="1" customHeight="1" x14ac:dyDescent="0.2"/>
    <row r="62597" ht="9.9499999999999993" hidden="1" customHeight="1" x14ac:dyDescent="0.2"/>
    <row r="62598" ht="9.9499999999999993" hidden="1" customHeight="1" x14ac:dyDescent="0.2"/>
    <row r="62599" ht="9.9499999999999993" hidden="1" customHeight="1" x14ac:dyDescent="0.2"/>
    <row r="62600" ht="9.9499999999999993" hidden="1" customHeight="1" x14ac:dyDescent="0.2"/>
    <row r="62601" ht="9.9499999999999993" hidden="1" customHeight="1" x14ac:dyDescent="0.2"/>
    <row r="62602" ht="9.9499999999999993" hidden="1" customHeight="1" x14ac:dyDescent="0.2"/>
    <row r="62603" ht="9.9499999999999993" hidden="1" customHeight="1" x14ac:dyDescent="0.2"/>
    <row r="62604" ht="9.9499999999999993" hidden="1" customHeight="1" x14ac:dyDescent="0.2"/>
    <row r="62605" ht="9.9499999999999993" hidden="1" customHeight="1" x14ac:dyDescent="0.2"/>
    <row r="62606" ht="9.9499999999999993" hidden="1" customHeight="1" x14ac:dyDescent="0.2"/>
    <row r="62607" ht="9.9499999999999993" hidden="1" customHeight="1" x14ac:dyDescent="0.2"/>
    <row r="62608" ht="9.9499999999999993" hidden="1" customHeight="1" x14ac:dyDescent="0.2"/>
    <row r="62609" ht="9.9499999999999993" hidden="1" customHeight="1" x14ac:dyDescent="0.2"/>
    <row r="62610" ht="9.9499999999999993" hidden="1" customHeight="1" x14ac:dyDescent="0.2"/>
    <row r="62611" ht="9.9499999999999993" hidden="1" customHeight="1" x14ac:dyDescent="0.2"/>
    <row r="62612" ht="9.9499999999999993" hidden="1" customHeight="1" x14ac:dyDescent="0.2"/>
    <row r="62613" ht="9.9499999999999993" hidden="1" customHeight="1" x14ac:dyDescent="0.2"/>
    <row r="62614" ht="9.9499999999999993" hidden="1" customHeight="1" x14ac:dyDescent="0.2"/>
    <row r="62615" ht="9.9499999999999993" hidden="1" customHeight="1" x14ac:dyDescent="0.2"/>
    <row r="62616" ht="9.9499999999999993" hidden="1" customHeight="1" x14ac:dyDescent="0.2"/>
    <row r="62617" ht="9.9499999999999993" hidden="1" customHeight="1" x14ac:dyDescent="0.2"/>
    <row r="62618" ht="9.9499999999999993" hidden="1" customHeight="1" x14ac:dyDescent="0.2"/>
    <row r="62619" ht="9.9499999999999993" hidden="1" customHeight="1" x14ac:dyDescent="0.2"/>
    <row r="62620" ht="9.9499999999999993" hidden="1" customHeight="1" x14ac:dyDescent="0.2"/>
    <row r="62621" ht="9.9499999999999993" hidden="1" customHeight="1" x14ac:dyDescent="0.2"/>
    <row r="62622" ht="9.9499999999999993" hidden="1" customHeight="1" x14ac:dyDescent="0.2"/>
    <row r="62623" ht="9.9499999999999993" hidden="1" customHeight="1" x14ac:dyDescent="0.2"/>
    <row r="62624" ht="9.9499999999999993" hidden="1" customHeight="1" x14ac:dyDescent="0.2"/>
    <row r="62625" ht="9.9499999999999993" hidden="1" customHeight="1" x14ac:dyDescent="0.2"/>
    <row r="62626" ht="9.9499999999999993" hidden="1" customHeight="1" x14ac:dyDescent="0.2"/>
    <row r="62627" ht="9.9499999999999993" hidden="1" customHeight="1" x14ac:dyDescent="0.2"/>
    <row r="62628" ht="9.9499999999999993" hidden="1" customHeight="1" x14ac:dyDescent="0.2"/>
    <row r="62629" ht="9.9499999999999993" hidden="1" customHeight="1" x14ac:dyDescent="0.2"/>
    <row r="62630" ht="9.9499999999999993" hidden="1" customHeight="1" x14ac:dyDescent="0.2"/>
    <row r="62631" ht="9.9499999999999993" hidden="1" customHeight="1" x14ac:dyDescent="0.2"/>
    <row r="62632" ht="9.9499999999999993" hidden="1" customHeight="1" x14ac:dyDescent="0.2"/>
    <row r="62633" ht="9.9499999999999993" hidden="1" customHeight="1" x14ac:dyDescent="0.2"/>
    <row r="62634" ht="9.9499999999999993" hidden="1" customHeight="1" x14ac:dyDescent="0.2"/>
    <row r="62635" ht="9.9499999999999993" hidden="1" customHeight="1" x14ac:dyDescent="0.2"/>
    <row r="62636" ht="9.9499999999999993" hidden="1" customHeight="1" x14ac:dyDescent="0.2"/>
    <row r="62637" ht="9.9499999999999993" hidden="1" customHeight="1" x14ac:dyDescent="0.2"/>
    <row r="62638" ht="9.9499999999999993" hidden="1" customHeight="1" x14ac:dyDescent="0.2"/>
    <row r="62639" ht="9.9499999999999993" hidden="1" customHeight="1" x14ac:dyDescent="0.2"/>
    <row r="62640" ht="9.9499999999999993" hidden="1" customHeight="1" x14ac:dyDescent="0.2"/>
    <row r="62641" ht="9.9499999999999993" hidden="1" customHeight="1" x14ac:dyDescent="0.2"/>
    <row r="62642" ht="9.9499999999999993" hidden="1" customHeight="1" x14ac:dyDescent="0.2"/>
    <row r="62643" ht="9.9499999999999993" hidden="1" customHeight="1" x14ac:dyDescent="0.2"/>
    <row r="62644" ht="9.9499999999999993" hidden="1" customHeight="1" x14ac:dyDescent="0.2"/>
    <row r="62645" ht="9.9499999999999993" hidden="1" customHeight="1" x14ac:dyDescent="0.2"/>
    <row r="62646" ht="9.9499999999999993" hidden="1" customHeight="1" x14ac:dyDescent="0.2"/>
    <row r="62647" ht="9.9499999999999993" hidden="1" customHeight="1" x14ac:dyDescent="0.2"/>
    <row r="62648" ht="9.9499999999999993" hidden="1" customHeight="1" x14ac:dyDescent="0.2"/>
    <row r="62649" ht="9.9499999999999993" hidden="1" customHeight="1" x14ac:dyDescent="0.2"/>
    <row r="62650" ht="9.9499999999999993" hidden="1" customHeight="1" x14ac:dyDescent="0.2"/>
    <row r="62651" ht="9.9499999999999993" hidden="1" customHeight="1" x14ac:dyDescent="0.2"/>
    <row r="62652" ht="9.9499999999999993" hidden="1" customHeight="1" x14ac:dyDescent="0.2"/>
    <row r="62653" ht="9.9499999999999993" hidden="1" customHeight="1" x14ac:dyDescent="0.2"/>
    <row r="62654" ht="9.9499999999999993" hidden="1" customHeight="1" x14ac:dyDescent="0.2"/>
    <row r="62655" ht="9.9499999999999993" hidden="1" customHeight="1" x14ac:dyDescent="0.2"/>
    <row r="62656" ht="9.9499999999999993" hidden="1" customHeight="1" x14ac:dyDescent="0.2"/>
    <row r="62657" ht="9.9499999999999993" hidden="1" customHeight="1" x14ac:dyDescent="0.2"/>
    <row r="62658" ht="9.9499999999999993" hidden="1" customHeight="1" x14ac:dyDescent="0.2"/>
    <row r="62659" ht="9.9499999999999993" hidden="1" customHeight="1" x14ac:dyDescent="0.2"/>
    <row r="62660" ht="9.9499999999999993" hidden="1" customHeight="1" x14ac:dyDescent="0.2"/>
    <row r="62661" ht="9.9499999999999993" hidden="1" customHeight="1" x14ac:dyDescent="0.2"/>
    <row r="62662" ht="9.9499999999999993" hidden="1" customHeight="1" x14ac:dyDescent="0.2"/>
    <row r="62663" ht="9.9499999999999993" hidden="1" customHeight="1" x14ac:dyDescent="0.2"/>
    <row r="62664" ht="9.9499999999999993" hidden="1" customHeight="1" x14ac:dyDescent="0.2"/>
    <row r="62665" ht="9.9499999999999993" hidden="1" customHeight="1" x14ac:dyDescent="0.2"/>
    <row r="62666" ht="9.9499999999999993" hidden="1" customHeight="1" x14ac:dyDescent="0.2"/>
    <row r="62667" ht="9.9499999999999993" hidden="1" customHeight="1" x14ac:dyDescent="0.2"/>
    <row r="62668" ht="9.9499999999999993" hidden="1" customHeight="1" x14ac:dyDescent="0.2"/>
    <row r="62669" ht="9.9499999999999993" hidden="1" customHeight="1" x14ac:dyDescent="0.2"/>
    <row r="62670" ht="9.9499999999999993" hidden="1" customHeight="1" x14ac:dyDescent="0.2"/>
    <row r="62671" ht="9.9499999999999993" hidden="1" customHeight="1" x14ac:dyDescent="0.2"/>
    <row r="62672" ht="9.9499999999999993" hidden="1" customHeight="1" x14ac:dyDescent="0.2"/>
    <row r="62673" ht="9.9499999999999993" hidden="1" customHeight="1" x14ac:dyDescent="0.2"/>
    <row r="62674" ht="9.9499999999999993" hidden="1" customHeight="1" x14ac:dyDescent="0.2"/>
    <row r="62675" ht="9.9499999999999993" hidden="1" customHeight="1" x14ac:dyDescent="0.2"/>
    <row r="62676" ht="9.9499999999999993" hidden="1" customHeight="1" x14ac:dyDescent="0.2"/>
    <row r="62677" ht="9.9499999999999993" hidden="1" customHeight="1" x14ac:dyDescent="0.2"/>
    <row r="62678" ht="9.9499999999999993" hidden="1" customHeight="1" x14ac:dyDescent="0.2"/>
    <row r="62679" ht="9.9499999999999993" hidden="1" customHeight="1" x14ac:dyDescent="0.2"/>
    <row r="62680" ht="9.9499999999999993" hidden="1" customHeight="1" x14ac:dyDescent="0.2"/>
    <row r="62681" ht="9.9499999999999993" hidden="1" customHeight="1" x14ac:dyDescent="0.2"/>
    <row r="62682" ht="9.9499999999999993" hidden="1" customHeight="1" x14ac:dyDescent="0.2"/>
    <row r="62683" ht="9.9499999999999993" hidden="1" customHeight="1" x14ac:dyDescent="0.2"/>
    <row r="62684" ht="9.9499999999999993" hidden="1" customHeight="1" x14ac:dyDescent="0.2"/>
    <row r="62685" ht="9.9499999999999993" hidden="1" customHeight="1" x14ac:dyDescent="0.2"/>
    <row r="62686" ht="9.9499999999999993" hidden="1" customHeight="1" x14ac:dyDescent="0.2"/>
    <row r="62687" ht="9.9499999999999993" hidden="1" customHeight="1" x14ac:dyDescent="0.2"/>
    <row r="62688" ht="9.9499999999999993" hidden="1" customHeight="1" x14ac:dyDescent="0.2"/>
    <row r="62689" ht="9.9499999999999993" hidden="1" customHeight="1" x14ac:dyDescent="0.2"/>
    <row r="62690" ht="9.9499999999999993" hidden="1" customHeight="1" x14ac:dyDescent="0.2"/>
    <row r="62691" ht="9.9499999999999993" hidden="1" customHeight="1" x14ac:dyDescent="0.2"/>
    <row r="62692" ht="9.9499999999999993" hidden="1" customHeight="1" x14ac:dyDescent="0.2"/>
    <row r="62693" ht="9.9499999999999993" hidden="1" customHeight="1" x14ac:dyDescent="0.2"/>
    <row r="62694" ht="9.9499999999999993" hidden="1" customHeight="1" x14ac:dyDescent="0.2"/>
    <row r="62695" ht="9.9499999999999993" hidden="1" customHeight="1" x14ac:dyDescent="0.2"/>
    <row r="62696" ht="9.9499999999999993" hidden="1" customHeight="1" x14ac:dyDescent="0.2"/>
    <row r="62697" ht="9.9499999999999993" hidden="1" customHeight="1" x14ac:dyDescent="0.2"/>
    <row r="62698" ht="9.9499999999999993" hidden="1" customHeight="1" x14ac:dyDescent="0.2"/>
    <row r="62699" ht="9.9499999999999993" hidden="1" customHeight="1" x14ac:dyDescent="0.2"/>
    <row r="62700" ht="9.9499999999999993" hidden="1" customHeight="1" x14ac:dyDescent="0.2"/>
    <row r="62701" ht="9.9499999999999993" hidden="1" customHeight="1" x14ac:dyDescent="0.2"/>
    <row r="62702" ht="9.9499999999999993" hidden="1" customHeight="1" x14ac:dyDescent="0.2"/>
    <row r="62703" ht="9.9499999999999993" hidden="1" customHeight="1" x14ac:dyDescent="0.2"/>
    <row r="62704" ht="9.9499999999999993" hidden="1" customHeight="1" x14ac:dyDescent="0.2"/>
    <row r="62705" ht="9.9499999999999993" hidden="1" customHeight="1" x14ac:dyDescent="0.2"/>
    <row r="62706" ht="9.9499999999999993" hidden="1" customHeight="1" x14ac:dyDescent="0.2"/>
    <row r="62707" ht="9.9499999999999993" hidden="1" customHeight="1" x14ac:dyDescent="0.2"/>
    <row r="62708" ht="9.9499999999999993" hidden="1" customHeight="1" x14ac:dyDescent="0.2"/>
    <row r="62709" ht="9.9499999999999993" hidden="1" customHeight="1" x14ac:dyDescent="0.2"/>
    <row r="62710" ht="9.9499999999999993" hidden="1" customHeight="1" x14ac:dyDescent="0.2"/>
    <row r="62711" ht="9.9499999999999993" hidden="1" customHeight="1" x14ac:dyDescent="0.2"/>
    <row r="62712" ht="9.9499999999999993" hidden="1" customHeight="1" x14ac:dyDescent="0.2"/>
    <row r="62713" ht="9.9499999999999993" hidden="1" customHeight="1" x14ac:dyDescent="0.2"/>
    <row r="62714" ht="9.9499999999999993" hidden="1" customHeight="1" x14ac:dyDescent="0.2"/>
    <row r="62715" ht="9.9499999999999993" hidden="1" customHeight="1" x14ac:dyDescent="0.2"/>
    <row r="62716" ht="9.9499999999999993" hidden="1" customHeight="1" x14ac:dyDescent="0.2"/>
    <row r="62717" ht="9.9499999999999993" hidden="1" customHeight="1" x14ac:dyDescent="0.2"/>
    <row r="62718" ht="9.9499999999999993" hidden="1" customHeight="1" x14ac:dyDescent="0.2"/>
    <row r="62719" ht="9.9499999999999993" hidden="1" customHeight="1" x14ac:dyDescent="0.2"/>
    <row r="62720" ht="9.9499999999999993" hidden="1" customHeight="1" x14ac:dyDescent="0.2"/>
    <row r="62721" ht="9.9499999999999993" hidden="1" customHeight="1" x14ac:dyDescent="0.2"/>
    <row r="62722" ht="9.9499999999999993" hidden="1" customHeight="1" x14ac:dyDescent="0.2"/>
    <row r="62723" ht="9.9499999999999993" hidden="1" customHeight="1" x14ac:dyDescent="0.2"/>
    <row r="62724" ht="9.9499999999999993" hidden="1" customHeight="1" x14ac:dyDescent="0.2"/>
    <row r="62725" ht="9.9499999999999993" hidden="1" customHeight="1" x14ac:dyDescent="0.2"/>
    <row r="62726" ht="9.9499999999999993" hidden="1" customHeight="1" x14ac:dyDescent="0.2"/>
    <row r="62727" ht="9.9499999999999993" hidden="1" customHeight="1" x14ac:dyDescent="0.2"/>
    <row r="62728" ht="9.9499999999999993" hidden="1" customHeight="1" x14ac:dyDescent="0.2"/>
    <row r="62729" ht="9.9499999999999993" hidden="1" customHeight="1" x14ac:dyDescent="0.2"/>
    <row r="62730" ht="9.9499999999999993" hidden="1" customHeight="1" x14ac:dyDescent="0.2"/>
    <row r="62731" ht="9.9499999999999993" hidden="1" customHeight="1" x14ac:dyDescent="0.2"/>
    <row r="62732" ht="9.9499999999999993" hidden="1" customHeight="1" x14ac:dyDescent="0.2"/>
    <row r="62733" ht="9.9499999999999993" hidden="1" customHeight="1" x14ac:dyDescent="0.2"/>
    <row r="62734" ht="9.9499999999999993" hidden="1" customHeight="1" x14ac:dyDescent="0.2"/>
    <row r="62735" ht="9.9499999999999993" hidden="1" customHeight="1" x14ac:dyDescent="0.2"/>
    <row r="62736" ht="9.9499999999999993" hidden="1" customHeight="1" x14ac:dyDescent="0.2"/>
    <row r="62737" ht="9.9499999999999993" hidden="1" customHeight="1" x14ac:dyDescent="0.2"/>
    <row r="62738" ht="9.9499999999999993" hidden="1" customHeight="1" x14ac:dyDescent="0.2"/>
    <row r="62739" ht="9.9499999999999993" hidden="1" customHeight="1" x14ac:dyDescent="0.2"/>
    <row r="62740" ht="9.9499999999999993" hidden="1" customHeight="1" x14ac:dyDescent="0.2"/>
    <row r="62741" ht="9.9499999999999993" hidden="1" customHeight="1" x14ac:dyDescent="0.2"/>
    <row r="62742" ht="9.9499999999999993" hidden="1" customHeight="1" x14ac:dyDescent="0.2"/>
    <row r="62743" ht="9.9499999999999993" hidden="1" customHeight="1" x14ac:dyDescent="0.2"/>
    <row r="62744" ht="9.9499999999999993" hidden="1" customHeight="1" x14ac:dyDescent="0.2"/>
    <row r="62745" ht="9.9499999999999993" hidden="1" customHeight="1" x14ac:dyDescent="0.2"/>
    <row r="62746" ht="9.9499999999999993" hidden="1" customHeight="1" x14ac:dyDescent="0.2"/>
    <row r="62747" ht="9.9499999999999993" hidden="1" customHeight="1" x14ac:dyDescent="0.2"/>
    <row r="62748" ht="9.9499999999999993" hidden="1" customHeight="1" x14ac:dyDescent="0.2"/>
    <row r="62749" ht="9.9499999999999993" hidden="1" customHeight="1" x14ac:dyDescent="0.2"/>
    <row r="62750" ht="9.9499999999999993" hidden="1" customHeight="1" x14ac:dyDescent="0.2"/>
    <row r="62751" ht="9.9499999999999993" hidden="1" customHeight="1" x14ac:dyDescent="0.2"/>
    <row r="62752" ht="9.9499999999999993" hidden="1" customHeight="1" x14ac:dyDescent="0.2"/>
    <row r="62753" ht="9.9499999999999993" hidden="1" customHeight="1" x14ac:dyDescent="0.2"/>
    <row r="62754" ht="9.9499999999999993" hidden="1" customHeight="1" x14ac:dyDescent="0.2"/>
    <row r="62755" ht="9.9499999999999993" hidden="1" customHeight="1" x14ac:dyDescent="0.2"/>
    <row r="62756" ht="9.9499999999999993" hidden="1" customHeight="1" x14ac:dyDescent="0.2"/>
    <row r="62757" ht="9.9499999999999993" hidden="1" customHeight="1" x14ac:dyDescent="0.2"/>
    <row r="62758" ht="9.9499999999999993" hidden="1" customHeight="1" x14ac:dyDescent="0.2"/>
    <row r="62759" ht="9.9499999999999993" hidden="1" customHeight="1" x14ac:dyDescent="0.2"/>
    <row r="62760" ht="9.9499999999999993" hidden="1" customHeight="1" x14ac:dyDescent="0.2"/>
    <row r="62761" ht="9.9499999999999993" hidden="1" customHeight="1" x14ac:dyDescent="0.2"/>
    <row r="62762" ht="9.9499999999999993" hidden="1" customHeight="1" x14ac:dyDescent="0.2"/>
    <row r="62763" ht="9.9499999999999993" hidden="1" customHeight="1" x14ac:dyDescent="0.2"/>
    <row r="62764" ht="9.9499999999999993" hidden="1" customHeight="1" x14ac:dyDescent="0.2"/>
    <row r="62765" ht="9.9499999999999993" hidden="1" customHeight="1" x14ac:dyDescent="0.2"/>
    <row r="62766" ht="9.9499999999999993" hidden="1" customHeight="1" x14ac:dyDescent="0.2"/>
    <row r="62767" ht="9.9499999999999993" hidden="1" customHeight="1" x14ac:dyDescent="0.2"/>
    <row r="62768" ht="9.9499999999999993" hidden="1" customHeight="1" x14ac:dyDescent="0.2"/>
    <row r="62769" ht="9.9499999999999993" hidden="1" customHeight="1" x14ac:dyDescent="0.2"/>
    <row r="62770" ht="9.9499999999999993" hidden="1" customHeight="1" x14ac:dyDescent="0.2"/>
    <row r="62771" ht="9.9499999999999993" hidden="1" customHeight="1" x14ac:dyDescent="0.2"/>
    <row r="62772" ht="9.9499999999999993" hidden="1" customHeight="1" x14ac:dyDescent="0.2"/>
    <row r="62773" ht="9.9499999999999993" hidden="1" customHeight="1" x14ac:dyDescent="0.2"/>
    <row r="62774" ht="9.9499999999999993" hidden="1" customHeight="1" x14ac:dyDescent="0.2"/>
    <row r="62775" ht="9.9499999999999993" hidden="1" customHeight="1" x14ac:dyDescent="0.2"/>
    <row r="62776" ht="9.9499999999999993" hidden="1" customHeight="1" x14ac:dyDescent="0.2"/>
    <row r="62777" ht="9.9499999999999993" hidden="1" customHeight="1" x14ac:dyDescent="0.2"/>
    <row r="62778" ht="9.9499999999999993" hidden="1" customHeight="1" x14ac:dyDescent="0.2"/>
    <row r="62779" ht="9.9499999999999993" hidden="1" customHeight="1" x14ac:dyDescent="0.2"/>
    <row r="62780" ht="9.9499999999999993" hidden="1" customHeight="1" x14ac:dyDescent="0.2"/>
    <row r="62781" ht="9.9499999999999993" hidden="1" customHeight="1" x14ac:dyDescent="0.2"/>
    <row r="62782" ht="9.9499999999999993" hidden="1" customHeight="1" x14ac:dyDescent="0.2"/>
    <row r="62783" ht="9.9499999999999993" hidden="1" customHeight="1" x14ac:dyDescent="0.2"/>
    <row r="62784" ht="9.9499999999999993" hidden="1" customHeight="1" x14ac:dyDescent="0.2"/>
    <row r="62785" ht="9.9499999999999993" hidden="1" customHeight="1" x14ac:dyDescent="0.2"/>
    <row r="62786" ht="9.9499999999999993" hidden="1" customHeight="1" x14ac:dyDescent="0.2"/>
    <row r="62787" ht="9.9499999999999993" hidden="1" customHeight="1" x14ac:dyDescent="0.2"/>
    <row r="62788" ht="9.9499999999999993" hidden="1" customHeight="1" x14ac:dyDescent="0.2"/>
    <row r="62789" ht="9.9499999999999993" hidden="1" customHeight="1" x14ac:dyDescent="0.2"/>
    <row r="62790" ht="9.9499999999999993" hidden="1" customHeight="1" x14ac:dyDescent="0.2"/>
    <row r="62791" ht="9.9499999999999993" hidden="1" customHeight="1" x14ac:dyDescent="0.2"/>
    <row r="62792" ht="9.9499999999999993" hidden="1" customHeight="1" x14ac:dyDescent="0.2"/>
    <row r="62793" ht="9.9499999999999993" hidden="1" customHeight="1" x14ac:dyDescent="0.2"/>
    <row r="62794" ht="9.9499999999999993" hidden="1" customHeight="1" x14ac:dyDescent="0.2"/>
    <row r="62795" ht="9.9499999999999993" hidden="1" customHeight="1" x14ac:dyDescent="0.2"/>
    <row r="62796" ht="9.9499999999999993" hidden="1" customHeight="1" x14ac:dyDescent="0.2"/>
    <row r="62797" ht="9.9499999999999993" hidden="1" customHeight="1" x14ac:dyDescent="0.2"/>
    <row r="62798" ht="9.9499999999999993" hidden="1" customHeight="1" x14ac:dyDescent="0.2"/>
    <row r="62799" ht="9.9499999999999993" hidden="1" customHeight="1" x14ac:dyDescent="0.2"/>
    <row r="62800" ht="9.9499999999999993" hidden="1" customHeight="1" x14ac:dyDescent="0.2"/>
    <row r="62801" ht="9.9499999999999993" hidden="1" customHeight="1" x14ac:dyDescent="0.2"/>
    <row r="62802" ht="9.9499999999999993" hidden="1" customHeight="1" x14ac:dyDescent="0.2"/>
    <row r="62803" ht="9.9499999999999993" hidden="1" customHeight="1" x14ac:dyDescent="0.2"/>
    <row r="62804" ht="9.9499999999999993" hidden="1" customHeight="1" x14ac:dyDescent="0.2"/>
    <row r="62805" ht="9.9499999999999993" hidden="1" customHeight="1" x14ac:dyDescent="0.2"/>
    <row r="62806" ht="9.9499999999999993" hidden="1" customHeight="1" x14ac:dyDescent="0.2"/>
    <row r="62807" ht="9.9499999999999993" hidden="1" customHeight="1" x14ac:dyDescent="0.2"/>
    <row r="62808" ht="9.9499999999999993" hidden="1" customHeight="1" x14ac:dyDescent="0.2"/>
    <row r="62809" ht="9.9499999999999993" hidden="1" customHeight="1" x14ac:dyDescent="0.2"/>
    <row r="62810" ht="9.9499999999999993" hidden="1" customHeight="1" x14ac:dyDescent="0.2"/>
    <row r="62811" ht="9.9499999999999993" hidden="1" customHeight="1" x14ac:dyDescent="0.2"/>
    <row r="62812" ht="9.9499999999999993" hidden="1" customHeight="1" x14ac:dyDescent="0.2"/>
    <row r="62813" ht="9.9499999999999993" hidden="1" customHeight="1" x14ac:dyDescent="0.2"/>
    <row r="62814" ht="9.9499999999999993" hidden="1" customHeight="1" x14ac:dyDescent="0.2"/>
    <row r="62815" ht="9.9499999999999993" hidden="1" customHeight="1" x14ac:dyDescent="0.2"/>
    <row r="62816" ht="9.9499999999999993" hidden="1" customHeight="1" x14ac:dyDescent="0.2"/>
    <row r="62817" ht="9.9499999999999993" hidden="1" customHeight="1" x14ac:dyDescent="0.2"/>
    <row r="62818" ht="9.9499999999999993" hidden="1" customHeight="1" x14ac:dyDescent="0.2"/>
    <row r="62819" ht="9.9499999999999993" hidden="1" customHeight="1" x14ac:dyDescent="0.2"/>
    <row r="62820" ht="9.9499999999999993" hidden="1" customHeight="1" x14ac:dyDescent="0.2"/>
    <row r="62821" ht="9.9499999999999993" hidden="1" customHeight="1" x14ac:dyDescent="0.2"/>
    <row r="62822" ht="9.9499999999999993" hidden="1" customHeight="1" x14ac:dyDescent="0.2"/>
    <row r="62823" ht="9.9499999999999993" hidden="1" customHeight="1" x14ac:dyDescent="0.2"/>
    <row r="62824" ht="9.9499999999999993" hidden="1" customHeight="1" x14ac:dyDescent="0.2"/>
    <row r="62825" ht="9.9499999999999993" hidden="1" customHeight="1" x14ac:dyDescent="0.2"/>
    <row r="62826" ht="9.9499999999999993" hidden="1" customHeight="1" x14ac:dyDescent="0.2"/>
    <row r="62827" ht="9.9499999999999993" hidden="1" customHeight="1" x14ac:dyDescent="0.2"/>
    <row r="62828" ht="9.9499999999999993" hidden="1" customHeight="1" x14ac:dyDescent="0.2"/>
    <row r="62829" ht="9.9499999999999993" hidden="1" customHeight="1" x14ac:dyDescent="0.2"/>
    <row r="62830" ht="9.9499999999999993" hidden="1" customHeight="1" x14ac:dyDescent="0.2"/>
    <row r="62831" ht="9.9499999999999993" hidden="1" customHeight="1" x14ac:dyDescent="0.2"/>
    <row r="62832" ht="9.9499999999999993" hidden="1" customHeight="1" x14ac:dyDescent="0.2"/>
    <row r="62833" ht="9.9499999999999993" hidden="1" customHeight="1" x14ac:dyDescent="0.2"/>
    <row r="62834" ht="9.9499999999999993" hidden="1" customHeight="1" x14ac:dyDescent="0.2"/>
    <row r="62835" ht="9.9499999999999993" hidden="1" customHeight="1" x14ac:dyDescent="0.2"/>
    <row r="62836" ht="9.9499999999999993" hidden="1" customHeight="1" x14ac:dyDescent="0.2"/>
    <row r="62837" ht="9.9499999999999993" hidden="1" customHeight="1" x14ac:dyDescent="0.2"/>
    <row r="62838" ht="9.9499999999999993" hidden="1" customHeight="1" x14ac:dyDescent="0.2"/>
    <row r="62839" ht="9.9499999999999993" hidden="1" customHeight="1" x14ac:dyDescent="0.2"/>
    <row r="62840" ht="9.9499999999999993" hidden="1" customHeight="1" x14ac:dyDescent="0.2"/>
    <row r="62841" ht="9.9499999999999993" hidden="1" customHeight="1" x14ac:dyDescent="0.2"/>
    <row r="62842" ht="9.9499999999999993" hidden="1" customHeight="1" x14ac:dyDescent="0.2"/>
    <row r="62843" ht="9.9499999999999993" hidden="1" customHeight="1" x14ac:dyDescent="0.2"/>
    <row r="62844" ht="9.9499999999999993" hidden="1" customHeight="1" x14ac:dyDescent="0.2"/>
    <row r="62845" ht="9.9499999999999993" hidden="1" customHeight="1" x14ac:dyDescent="0.2"/>
    <row r="62846" ht="9.9499999999999993" hidden="1" customHeight="1" x14ac:dyDescent="0.2"/>
    <row r="62847" ht="9.9499999999999993" hidden="1" customHeight="1" x14ac:dyDescent="0.2"/>
    <row r="62848" ht="9.9499999999999993" hidden="1" customHeight="1" x14ac:dyDescent="0.2"/>
    <row r="62849" ht="9.9499999999999993" hidden="1" customHeight="1" x14ac:dyDescent="0.2"/>
    <row r="62850" ht="9.9499999999999993" hidden="1" customHeight="1" x14ac:dyDescent="0.2"/>
    <row r="62851" ht="9.9499999999999993" hidden="1" customHeight="1" x14ac:dyDescent="0.2"/>
    <row r="62852" ht="9.9499999999999993" hidden="1" customHeight="1" x14ac:dyDescent="0.2"/>
    <row r="62853" ht="9.9499999999999993" hidden="1" customHeight="1" x14ac:dyDescent="0.2"/>
    <row r="62854" ht="9.9499999999999993" hidden="1" customHeight="1" x14ac:dyDescent="0.2"/>
    <row r="62855" ht="9.9499999999999993" hidden="1" customHeight="1" x14ac:dyDescent="0.2"/>
    <row r="62856" ht="9.9499999999999993" hidden="1" customHeight="1" x14ac:dyDescent="0.2"/>
    <row r="62857" ht="9.9499999999999993" hidden="1" customHeight="1" x14ac:dyDescent="0.2"/>
    <row r="62858" ht="9.9499999999999993" hidden="1" customHeight="1" x14ac:dyDescent="0.2"/>
    <row r="62859" ht="9.9499999999999993" hidden="1" customHeight="1" x14ac:dyDescent="0.2"/>
    <row r="62860" ht="9.9499999999999993" hidden="1" customHeight="1" x14ac:dyDescent="0.2"/>
    <row r="62861" ht="9.9499999999999993" hidden="1" customHeight="1" x14ac:dyDescent="0.2"/>
    <row r="62862" ht="9.9499999999999993" hidden="1" customHeight="1" x14ac:dyDescent="0.2"/>
    <row r="62863" ht="9.9499999999999993" hidden="1" customHeight="1" x14ac:dyDescent="0.2"/>
    <row r="62864" ht="9.9499999999999993" hidden="1" customHeight="1" x14ac:dyDescent="0.2"/>
    <row r="62865" ht="9.9499999999999993" hidden="1" customHeight="1" x14ac:dyDescent="0.2"/>
    <row r="62866" ht="9.9499999999999993" hidden="1" customHeight="1" x14ac:dyDescent="0.2"/>
    <row r="62867" ht="9.9499999999999993" hidden="1" customHeight="1" x14ac:dyDescent="0.2"/>
    <row r="62868" ht="9.9499999999999993" hidden="1" customHeight="1" x14ac:dyDescent="0.2"/>
    <row r="62869" ht="9.9499999999999993" hidden="1" customHeight="1" x14ac:dyDescent="0.2"/>
    <row r="62870" ht="9.9499999999999993" hidden="1" customHeight="1" x14ac:dyDescent="0.2"/>
    <row r="62871" ht="9.9499999999999993" hidden="1" customHeight="1" x14ac:dyDescent="0.2"/>
    <row r="62872" ht="9.9499999999999993" hidden="1" customHeight="1" x14ac:dyDescent="0.2"/>
    <row r="62873" ht="9.9499999999999993" hidden="1" customHeight="1" x14ac:dyDescent="0.2"/>
    <row r="62874" ht="9.9499999999999993" hidden="1" customHeight="1" x14ac:dyDescent="0.2"/>
    <row r="62875" ht="9.9499999999999993" hidden="1" customHeight="1" x14ac:dyDescent="0.2"/>
    <row r="62876" ht="9.9499999999999993" hidden="1" customHeight="1" x14ac:dyDescent="0.2"/>
    <row r="62877" ht="9.9499999999999993" hidden="1" customHeight="1" x14ac:dyDescent="0.2"/>
    <row r="62878" ht="9.9499999999999993" hidden="1" customHeight="1" x14ac:dyDescent="0.2"/>
    <row r="62879" ht="9.9499999999999993" hidden="1" customHeight="1" x14ac:dyDescent="0.2"/>
    <row r="62880" ht="9.9499999999999993" hidden="1" customHeight="1" x14ac:dyDescent="0.2"/>
    <row r="62881" ht="9.9499999999999993" hidden="1" customHeight="1" x14ac:dyDescent="0.2"/>
    <row r="62882" ht="9.9499999999999993" hidden="1" customHeight="1" x14ac:dyDescent="0.2"/>
    <row r="62883" ht="9.9499999999999993" hidden="1" customHeight="1" x14ac:dyDescent="0.2"/>
    <row r="62884" ht="9.9499999999999993" hidden="1" customHeight="1" x14ac:dyDescent="0.2"/>
    <row r="62885" ht="9.9499999999999993" hidden="1" customHeight="1" x14ac:dyDescent="0.2"/>
    <row r="62886" ht="9.9499999999999993" hidden="1" customHeight="1" x14ac:dyDescent="0.2"/>
    <row r="62887" ht="9.9499999999999993" hidden="1" customHeight="1" x14ac:dyDescent="0.2"/>
    <row r="62888" ht="9.9499999999999993" hidden="1" customHeight="1" x14ac:dyDescent="0.2"/>
    <row r="62889" ht="9.9499999999999993" hidden="1" customHeight="1" x14ac:dyDescent="0.2"/>
    <row r="62890" ht="9.9499999999999993" hidden="1" customHeight="1" x14ac:dyDescent="0.2"/>
    <row r="62891" ht="9.9499999999999993" hidden="1" customHeight="1" x14ac:dyDescent="0.2"/>
    <row r="62892" ht="9.9499999999999993" hidden="1" customHeight="1" x14ac:dyDescent="0.2"/>
    <row r="62893" ht="9.9499999999999993" hidden="1" customHeight="1" x14ac:dyDescent="0.2"/>
    <row r="62894" ht="9.9499999999999993" hidden="1" customHeight="1" x14ac:dyDescent="0.2"/>
    <row r="62895" ht="9.9499999999999993" hidden="1" customHeight="1" x14ac:dyDescent="0.2"/>
    <row r="62896" ht="9.9499999999999993" hidden="1" customHeight="1" x14ac:dyDescent="0.2"/>
    <row r="62897" ht="9.9499999999999993" hidden="1" customHeight="1" x14ac:dyDescent="0.2"/>
    <row r="62898" ht="9.9499999999999993" hidden="1" customHeight="1" x14ac:dyDescent="0.2"/>
    <row r="62899" ht="9.9499999999999993" hidden="1" customHeight="1" x14ac:dyDescent="0.2"/>
    <row r="62900" ht="9.9499999999999993" hidden="1" customHeight="1" x14ac:dyDescent="0.2"/>
    <row r="62901" ht="9.9499999999999993" hidden="1" customHeight="1" x14ac:dyDescent="0.2"/>
    <row r="62902" ht="9.9499999999999993" hidden="1" customHeight="1" x14ac:dyDescent="0.2"/>
    <row r="62903" ht="9.9499999999999993" hidden="1" customHeight="1" x14ac:dyDescent="0.2"/>
    <row r="62904" ht="9.9499999999999993" hidden="1" customHeight="1" x14ac:dyDescent="0.2"/>
    <row r="62905" ht="9.9499999999999993" hidden="1" customHeight="1" x14ac:dyDescent="0.2"/>
    <row r="62906" ht="9.9499999999999993" hidden="1" customHeight="1" x14ac:dyDescent="0.2"/>
    <row r="62907" ht="9.9499999999999993" hidden="1" customHeight="1" x14ac:dyDescent="0.2"/>
    <row r="62908" ht="9.9499999999999993" hidden="1" customHeight="1" x14ac:dyDescent="0.2"/>
    <row r="62909" ht="9.9499999999999993" hidden="1" customHeight="1" x14ac:dyDescent="0.2"/>
    <row r="62910" ht="9.9499999999999993" hidden="1" customHeight="1" x14ac:dyDescent="0.2"/>
    <row r="62911" ht="9.9499999999999993" hidden="1" customHeight="1" x14ac:dyDescent="0.2"/>
    <row r="62912" ht="9.9499999999999993" hidden="1" customHeight="1" x14ac:dyDescent="0.2"/>
    <row r="62913" ht="9.9499999999999993" hidden="1" customHeight="1" x14ac:dyDescent="0.2"/>
    <row r="62914" ht="9.9499999999999993" hidden="1" customHeight="1" x14ac:dyDescent="0.2"/>
    <row r="62915" ht="9.9499999999999993" hidden="1" customHeight="1" x14ac:dyDescent="0.2"/>
    <row r="62916" ht="9.9499999999999993" hidden="1" customHeight="1" x14ac:dyDescent="0.2"/>
    <row r="62917" ht="9.9499999999999993" hidden="1" customHeight="1" x14ac:dyDescent="0.2"/>
    <row r="62918" ht="9.9499999999999993" hidden="1" customHeight="1" x14ac:dyDescent="0.2"/>
    <row r="62919" ht="9.9499999999999993" hidden="1" customHeight="1" x14ac:dyDescent="0.2"/>
    <row r="62920" ht="9.9499999999999993" hidden="1" customHeight="1" x14ac:dyDescent="0.2"/>
    <row r="62921" ht="9.9499999999999993" hidden="1" customHeight="1" x14ac:dyDescent="0.2"/>
    <row r="62922" ht="9.9499999999999993" hidden="1" customHeight="1" x14ac:dyDescent="0.2"/>
    <row r="62923" ht="9.9499999999999993" hidden="1" customHeight="1" x14ac:dyDescent="0.2"/>
    <row r="62924" ht="9.9499999999999993" hidden="1" customHeight="1" x14ac:dyDescent="0.2"/>
    <row r="62925" ht="9.9499999999999993" hidden="1" customHeight="1" x14ac:dyDescent="0.2"/>
    <row r="62926" ht="9.9499999999999993" hidden="1" customHeight="1" x14ac:dyDescent="0.2"/>
    <row r="62927" ht="9.9499999999999993" hidden="1" customHeight="1" x14ac:dyDescent="0.2"/>
    <row r="62928" ht="9.9499999999999993" hidden="1" customHeight="1" x14ac:dyDescent="0.2"/>
    <row r="62929" ht="9.9499999999999993" hidden="1" customHeight="1" x14ac:dyDescent="0.2"/>
    <row r="62930" ht="9.9499999999999993" hidden="1" customHeight="1" x14ac:dyDescent="0.2"/>
    <row r="62931" ht="9.9499999999999993" hidden="1" customHeight="1" x14ac:dyDescent="0.2"/>
    <row r="62932" ht="9.9499999999999993" hidden="1" customHeight="1" x14ac:dyDescent="0.2"/>
    <row r="62933" ht="9.9499999999999993" hidden="1" customHeight="1" x14ac:dyDescent="0.2"/>
    <row r="62934" ht="9.9499999999999993" hidden="1" customHeight="1" x14ac:dyDescent="0.2"/>
    <row r="62935" ht="9.9499999999999993" hidden="1" customHeight="1" x14ac:dyDescent="0.2"/>
    <row r="62936" ht="9.9499999999999993" hidden="1" customHeight="1" x14ac:dyDescent="0.2"/>
    <row r="62937" ht="9.9499999999999993" hidden="1" customHeight="1" x14ac:dyDescent="0.2"/>
    <row r="62938" ht="9.9499999999999993" hidden="1" customHeight="1" x14ac:dyDescent="0.2"/>
    <row r="62939" ht="9.9499999999999993" hidden="1" customHeight="1" x14ac:dyDescent="0.2"/>
    <row r="62940" ht="9.9499999999999993" hidden="1" customHeight="1" x14ac:dyDescent="0.2"/>
    <row r="62941" ht="9.9499999999999993" hidden="1" customHeight="1" x14ac:dyDescent="0.2"/>
    <row r="62942" ht="9.9499999999999993" hidden="1" customHeight="1" x14ac:dyDescent="0.2"/>
    <row r="62943" ht="9.9499999999999993" hidden="1" customHeight="1" x14ac:dyDescent="0.2"/>
    <row r="62944" ht="9.9499999999999993" hidden="1" customHeight="1" x14ac:dyDescent="0.2"/>
    <row r="62945" ht="9.9499999999999993" hidden="1" customHeight="1" x14ac:dyDescent="0.2"/>
    <row r="62946" ht="9.9499999999999993" hidden="1" customHeight="1" x14ac:dyDescent="0.2"/>
    <row r="62947" ht="9.9499999999999993" hidden="1" customHeight="1" x14ac:dyDescent="0.2"/>
    <row r="62948" ht="9.9499999999999993" hidden="1" customHeight="1" x14ac:dyDescent="0.2"/>
    <row r="62949" ht="9.9499999999999993" hidden="1" customHeight="1" x14ac:dyDescent="0.2"/>
    <row r="62950" ht="9.9499999999999993" hidden="1" customHeight="1" x14ac:dyDescent="0.2"/>
    <row r="62951" ht="9.9499999999999993" hidden="1" customHeight="1" x14ac:dyDescent="0.2"/>
    <row r="62952" ht="9.9499999999999993" hidden="1" customHeight="1" x14ac:dyDescent="0.2"/>
    <row r="62953" ht="9.9499999999999993" hidden="1" customHeight="1" x14ac:dyDescent="0.2"/>
    <row r="62954" ht="9.9499999999999993" hidden="1" customHeight="1" x14ac:dyDescent="0.2"/>
    <row r="62955" ht="9.9499999999999993" hidden="1" customHeight="1" x14ac:dyDescent="0.2"/>
    <row r="62956" ht="9.9499999999999993" hidden="1" customHeight="1" x14ac:dyDescent="0.2"/>
    <row r="62957" ht="9.9499999999999993" hidden="1" customHeight="1" x14ac:dyDescent="0.2"/>
    <row r="62958" ht="9.9499999999999993" hidden="1" customHeight="1" x14ac:dyDescent="0.2"/>
    <row r="62959" ht="9.9499999999999993" hidden="1" customHeight="1" x14ac:dyDescent="0.2"/>
    <row r="62960" ht="9.9499999999999993" hidden="1" customHeight="1" x14ac:dyDescent="0.2"/>
    <row r="62961" ht="9.9499999999999993" hidden="1" customHeight="1" x14ac:dyDescent="0.2"/>
    <row r="62962" ht="9.9499999999999993" hidden="1" customHeight="1" x14ac:dyDescent="0.2"/>
    <row r="62963" ht="9.9499999999999993" hidden="1" customHeight="1" x14ac:dyDescent="0.2"/>
    <row r="62964" ht="9.9499999999999993" hidden="1" customHeight="1" x14ac:dyDescent="0.2"/>
    <row r="62965" ht="9.9499999999999993" hidden="1" customHeight="1" x14ac:dyDescent="0.2"/>
    <row r="62966" ht="9.9499999999999993" hidden="1" customHeight="1" x14ac:dyDescent="0.2"/>
    <row r="62967" ht="9.9499999999999993" hidden="1" customHeight="1" x14ac:dyDescent="0.2"/>
    <row r="62968" ht="9.9499999999999993" hidden="1" customHeight="1" x14ac:dyDescent="0.2"/>
    <row r="62969" ht="9.9499999999999993" hidden="1" customHeight="1" x14ac:dyDescent="0.2"/>
    <row r="62970" ht="9.9499999999999993" hidden="1" customHeight="1" x14ac:dyDescent="0.2"/>
    <row r="62971" ht="9.9499999999999993" hidden="1" customHeight="1" x14ac:dyDescent="0.2"/>
    <row r="62972" ht="9.9499999999999993" hidden="1" customHeight="1" x14ac:dyDescent="0.2"/>
    <row r="62973" ht="9.9499999999999993" hidden="1" customHeight="1" x14ac:dyDescent="0.2"/>
    <row r="62974" ht="9.9499999999999993" hidden="1" customHeight="1" x14ac:dyDescent="0.2"/>
    <row r="62975" ht="9.9499999999999993" hidden="1" customHeight="1" x14ac:dyDescent="0.2"/>
    <row r="62976" ht="9.9499999999999993" hidden="1" customHeight="1" x14ac:dyDescent="0.2"/>
    <row r="62977" ht="9.9499999999999993" hidden="1" customHeight="1" x14ac:dyDescent="0.2"/>
    <row r="62978" ht="9.9499999999999993" hidden="1" customHeight="1" x14ac:dyDescent="0.2"/>
    <row r="62979" ht="9.9499999999999993" hidden="1" customHeight="1" x14ac:dyDescent="0.2"/>
    <row r="62980" ht="9.9499999999999993" hidden="1" customHeight="1" x14ac:dyDescent="0.2"/>
    <row r="62981" ht="9.9499999999999993" hidden="1" customHeight="1" x14ac:dyDescent="0.2"/>
    <row r="62982" ht="9.9499999999999993" hidden="1" customHeight="1" x14ac:dyDescent="0.2"/>
    <row r="62983" ht="9.9499999999999993" hidden="1" customHeight="1" x14ac:dyDescent="0.2"/>
    <row r="62984" ht="9.9499999999999993" hidden="1" customHeight="1" x14ac:dyDescent="0.2"/>
    <row r="62985" ht="9.9499999999999993" hidden="1" customHeight="1" x14ac:dyDescent="0.2"/>
    <row r="62986" ht="9.9499999999999993" hidden="1" customHeight="1" x14ac:dyDescent="0.2"/>
    <row r="62987" ht="9.9499999999999993" hidden="1" customHeight="1" x14ac:dyDescent="0.2"/>
    <row r="62988" ht="9.9499999999999993" hidden="1" customHeight="1" x14ac:dyDescent="0.2"/>
    <row r="62989" ht="9.9499999999999993" hidden="1" customHeight="1" x14ac:dyDescent="0.2"/>
    <row r="62990" ht="9.9499999999999993" hidden="1" customHeight="1" x14ac:dyDescent="0.2"/>
    <row r="62991" ht="9.9499999999999993" hidden="1" customHeight="1" x14ac:dyDescent="0.2"/>
    <row r="62992" ht="9.9499999999999993" hidden="1" customHeight="1" x14ac:dyDescent="0.2"/>
    <row r="62993" ht="9.9499999999999993" hidden="1" customHeight="1" x14ac:dyDescent="0.2"/>
    <row r="62994" ht="9.9499999999999993" hidden="1" customHeight="1" x14ac:dyDescent="0.2"/>
    <row r="62995" ht="9.9499999999999993" hidden="1" customHeight="1" x14ac:dyDescent="0.2"/>
    <row r="62996" ht="9.9499999999999993" hidden="1" customHeight="1" x14ac:dyDescent="0.2"/>
    <row r="62997" ht="9.9499999999999993" hidden="1" customHeight="1" x14ac:dyDescent="0.2"/>
    <row r="62998" ht="9.9499999999999993" hidden="1" customHeight="1" x14ac:dyDescent="0.2"/>
    <row r="62999" ht="9.9499999999999993" hidden="1" customHeight="1" x14ac:dyDescent="0.2"/>
    <row r="63000" ht="9.9499999999999993" hidden="1" customHeight="1" x14ac:dyDescent="0.2"/>
    <row r="63001" ht="9.9499999999999993" hidden="1" customHeight="1" x14ac:dyDescent="0.2"/>
    <row r="63002" ht="9.9499999999999993" hidden="1" customHeight="1" x14ac:dyDescent="0.2"/>
    <row r="63003" ht="9.9499999999999993" hidden="1" customHeight="1" x14ac:dyDescent="0.2"/>
    <row r="63004" ht="9.9499999999999993" hidden="1" customHeight="1" x14ac:dyDescent="0.2"/>
    <row r="63005" ht="9.9499999999999993" hidden="1" customHeight="1" x14ac:dyDescent="0.2"/>
    <row r="63006" ht="9.9499999999999993" hidden="1" customHeight="1" x14ac:dyDescent="0.2"/>
    <row r="63007" ht="9.9499999999999993" hidden="1" customHeight="1" x14ac:dyDescent="0.2"/>
    <row r="63008" ht="9.9499999999999993" hidden="1" customHeight="1" x14ac:dyDescent="0.2"/>
    <row r="63009" ht="9.9499999999999993" hidden="1" customHeight="1" x14ac:dyDescent="0.2"/>
    <row r="63010" ht="9.9499999999999993" hidden="1" customHeight="1" x14ac:dyDescent="0.2"/>
    <row r="63011" ht="9.9499999999999993" hidden="1" customHeight="1" x14ac:dyDescent="0.2"/>
    <row r="63012" ht="9.9499999999999993" hidden="1" customHeight="1" x14ac:dyDescent="0.2"/>
    <row r="63013" ht="9.9499999999999993" hidden="1" customHeight="1" x14ac:dyDescent="0.2"/>
    <row r="63014" ht="9.9499999999999993" hidden="1" customHeight="1" x14ac:dyDescent="0.2"/>
    <row r="63015" ht="9.9499999999999993" hidden="1" customHeight="1" x14ac:dyDescent="0.2"/>
    <row r="63016" ht="9.9499999999999993" hidden="1" customHeight="1" x14ac:dyDescent="0.2"/>
    <row r="63017" ht="9.9499999999999993" hidden="1" customHeight="1" x14ac:dyDescent="0.2"/>
    <row r="63018" ht="9.9499999999999993" hidden="1" customHeight="1" x14ac:dyDescent="0.2"/>
    <row r="63019" ht="9.9499999999999993" hidden="1" customHeight="1" x14ac:dyDescent="0.2"/>
    <row r="63020" ht="9.9499999999999993" hidden="1" customHeight="1" x14ac:dyDescent="0.2"/>
    <row r="63021" ht="9.9499999999999993" hidden="1" customHeight="1" x14ac:dyDescent="0.2"/>
    <row r="63022" ht="9.9499999999999993" hidden="1" customHeight="1" x14ac:dyDescent="0.2"/>
    <row r="63023" ht="9.9499999999999993" hidden="1" customHeight="1" x14ac:dyDescent="0.2"/>
    <row r="63024" ht="9.9499999999999993" hidden="1" customHeight="1" x14ac:dyDescent="0.2"/>
    <row r="63025" ht="9.9499999999999993" hidden="1" customHeight="1" x14ac:dyDescent="0.2"/>
    <row r="63026" ht="9.9499999999999993" hidden="1" customHeight="1" x14ac:dyDescent="0.2"/>
    <row r="63027" ht="9.9499999999999993" hidden="1" customHeight="1" x14ac:dyDescent="0.2"/>
    <row r="63028" ht="9.9499999999999993" hidden="1" customHeight="1" x14ac:dyDescent="0.2"/>
    <row r="63029" ht="9.9499999999999993" hidden="1" customHeight="1" x14ac:dyDescent="0.2"/>
    <row r="63030" ht="9.9499999999999993" hidden="1" customHeight="1" x14ac:dyDescent="0.2"/>
    <row r="63031" ht="9.9499999999999993" hidden="1" customHeight="1" x14ac:dyDescent="0.2"/>
    <row r="63032" ht="9.9499999999999993" hidden="1" customHeight="1" x14ac:dyDescent="0.2"/>
    <row r="63033" ht="9.9499999999999993" hidden="1" customHeight="1" x14ac:dyDescent="0.2"/>
    <row r="63034" ht="9.9499999999999993" hidden="1" customHeight="1" x14ac:dyDescent="0.2"/>
    <row r="63035" ht="9.9499999999999993" hidden="1" customHeight="1" x14ac:dyDescent="0.2"/>
    <row r="63036" ht="9.9499999999999993" hidden="1" customHeight="1" x14ac:dyDescent="0.2"/>
    <row r="63037" ht="9.9499999999999993" hidden="1" customHeight="1" x14ac:dyDescent="0.2"/>
    <row r="63038" ht="9.9499999999999993" hidden="1" customHeight="1" x14ac:dyDescent="0.2"/>
    <row r="63039" ht="9.9499999999999993" hidden="1" customHeight="1" x14ac:dyDescent="0.2"/>
    <row r="63040" ht="9.9499999999999993" hidden="1" customHeight="1" x14ac:dyDescent="0.2"/>
    <row r="63041" ht="9.9499999999999993" hidden="1" customHeight="1" x14ac:dyDescent="0.2"/>
    <row r="63042" ht="9.9499999999999993" hidden="1" customHeight="1" x14ac:dyDescent="0.2"/>
    <row r="63043" ht="9.9499999999999993" hidden="1" customHeight="1" x14ac:dyDescent="0.2"/>
    <row r="63044" ht="9.9499999999999993" hidden="1" customHeight="1" x14ac:dyDescent="0.2"/>
    <row r="63045" ht="9.9499999999999993" hidden="1" customHeight="1" x14ac:dyDescent="0.2"/>
    <row r="63046" ht="9.9499999999999993" hidden="1" customHeight="1" x14ac:dyDescent="0.2"/>
    <row r="63047" ht="9.9499999999999993" hidden="1" customHeight="1" x14ac:dyDescent="0.2"/>
    <row r="63048" ht="9.9499999999999993" hidden="1" customHeight="1" x14ac:dyDescent="0.2"/>
    <row r="63049" ht="9.9499999999999993" hidden="1" customHeight="1" x14ac:dyDescent="0.2"/>
    <row r="63050" ht="9.9499999999999993" hidden="1" customHeight="1" x14ac:dyDescent="0.2"/>
    <row r="63051" ht="9.9499999999999993" hidden="1" customHeight="1" x14ac:dyDescent="0.2"/>
    <row r="63052" ht="9.9499999999999993" hidden="1" customHeight="1" x14ac:dyDescent="0.2"/>
    <row r="63053" ht="9.9499999999999993" hidden="1" customHeight="1" x14ac:dyDescent="0.2"/>
    <row r="63054" ht="9.9499999999999993" hidden="1" customHeight="1" x14ac:dyDescent="0.2"/>
    <row r="63055" ht="9.9499999999999993" hidden="1" customHeight="1" x14ac:dyDescent="0.2"/>
    <row r="63056" ht="9.9499999999999993" hidden="1" customHeight="1" x14ac:dyDescent="0.2"/>
    <row r="63057" ht="9.9499999999999993" hidden="1" customHeight="1" x14ac:dyDescent="0.2"/>
    <row r="63058" ht="9.9499999999999993" hidden="1" customHeight="1" x14ac:dyDescent="0.2"/>
    <row r="63059" ht="9.9499999999999993" hidden="1" customHeight="1" x14ac:dyDescent="0.2"/>
    <row r="63060" ht="9.9499999999999993" hidden="1" customHeight="1" x14ac:dyDescent="0.2"/>
    <row r="63061" ht="9.9499999999999993" hidden="1" customHeight="1" x14ac:dyDescent="0.2"/>
    <row r="63062" ht="9.9499999999999993" hidden="1" customHeight="1" x14ac:dyDescent="0.2"/>
    <row r="63063" ht="9.9499999999999993" hidden="1" customHeight="1" x14ac:dyDescent="0.2"/>
    <row r="63064" ht="9.9499999999999993" hidden="1" customHeight="1" x14ac:dyDescent="0.2"/>
    <row r="63065" ht="9.9499999999999993" hidden="1" customHeight="1" x14ac:dyDescent="0.2"/>
    <row r="63066" ht="9.9499999999999993" hidden="1" customHeight="1" x14ac:dyDescent="0.2"/>
    <row r="63067" ht="9.9499999999999993" hidden="1" customHeight="1" x14ac:dyDescent="0.2"/>
    <row r="63068" ht="9.9499999999999993" hidden="1" customHeight="1" x14ac:dyDescent="0.2"/>
    <row r="63069" ht="9.9499999999999993" hidden="1" customHeight="1" x14ac:dyDescent="0.2"/>
    <row r="63070" ht="9.9499999999999993" hidden="1" customHeight="1" x14ac:dyDescent="0.2"/>
    <row r="63071" ht="9.9499999999999993" hidden="1" customHeight="1" x14ac:dyDescent="0.2"/>
    <row r="63072" ht="9.9499999999999993" hidden="1" customHeight="1" x14ac:dyDescent="0.2"/>
    <row r="63073" ht="9.9499999999999993" hidden="1" customHeight="1" x14ac:dyDescent="0.2"/>
    <row r="63074" ht="9.9499999999999993" hidden="1" customHeight="1" x14ac:dyDescent="0.2"/>
    <row r="63075" ht="9.9499999999999993" hidden="1" customHeight="1" x14ac:dyDescent="0.2"/>
    <row r="63076" ht="9.9499999999999993" hidden="1" customHeight="1" x14ac:dyDescent="0.2"/>
    <row r="63077" ht="9.9499999999999993" hidden="1" customHeight="1" x14ac:dyDescent="0.2"/>
    <row r="63078" ht="9.9499999999999993" hidden="1" customHeight="1" x14ac:dyDescent="0.2"/>
    <row r="63079" ht="9.9499999999999993" hidden="1" customHeight="1" x14ac:dyDescent="0.2"/>
    <row r="63080" ht="9.9499999999999993" hidden="1" customHeight="1" x14ac:dyDescent="0.2"/>
    <row r="63081" ht="9.9499999999999993" hidden="1" customHeight="1" x14ac:dyDescent="0.2"/>
    <row r="63082" ht="9.9499999999999993" hidden="1" customHeight="1" x14ac:dyDescent="0.2"/>
    <row r="63083" ht="9.9499999999999993" hidden="1" customHeight="1" x14ac:dyDescent="0.2"/>
    <row r="63084" ht="9.9499999999999993" hidden="1" customHeight="1" x14ac:dyDescent="0.2"/>
    <row r="63085" ht="9.9499999999999993" hidden="1" customHeight="1" x14ac:dyDescent="0.2"/>
    <row r="63086" ht="9.9499999999999993" hidden="1" customHeight="1" x14ac:dyDescent="0.2"/>
    <row r="63087" ht="9.9499999999999993" hidden="1" customHeight="1" x14ac:dyDescent="0.2"/>
    <row r="63088" ht="9.9499999999999993" hidden="1" customHeight="1" x14ac:dyDescent="0.2"/>
    <row r="63089" ht="9.9499999999999993" hidden="1" customHeight="1" x14ac:dyDescent="0.2"/>
    <row r="63090" ht="9.9499999999999993" hidden="1" customHeight="1" x14ac:dyDescent="0.2"/>
    <row r="63091" ht="9.9499999999999993" hidden="1" customHeight="1" x14ac:dyDescent="0.2"/>
    <row r="63092" ht="9.9499999999999993" hidden="1" customHeight="1" x14ac:dyDescent="0.2"/>
    <row r="63093" ht="9.9499999999999993" hidden="1" customHeight="1" x14ac:dyDescent="0.2"/>
    <row r="63094" ht="9.9499999999999993" hidden="1" customHeight="1" x14ac:dyDescent="0.2"/>
    <row r="63095" ht="9.9499999999999993" hidden="1" customHeight="1" x14ac:dyDescent="0.2"/>
    <row r="63096" ht="9.9499999999999993" hidden="1" customHeight="1" x14ac:dyDescent="0.2"/>
    <row r="63097" ht="9.9499999999999993" hidden="1" customHeight="1" x14ac:dyDescent="0.2"/>
    <row r="63098" ht="9.9499999999999993" hidden="1" customHeight="1" x14ac:dyDescent="0.2"/>
    <row r="63099" ht="9.9499999999999993" hidden="1" customHeight="1" x14ac:dyDescent="0.2"/>
    <row r="63100" ht="9.9499999999999993" hidden="1" customHeight="1" x14ac:dyDescent="0.2"/>
    <row r="63101" ht="9.9499999999999993" hidden="1" customHeight="1" x14ac:dyDescent="0.2"/>
    <row r="63102" ht="9.9499999999999993" hidden="1" customHeight="1" x14ac:dyDescent="0.2"/>
    <row r="63103" ht="9.9499999999999993" hidden="1" customHeight="1" x14ac:dyDescent="0.2"/>
    <row r="63104" ht="9.9499999999999993" hidden="1" customHeight="1" x14ac:dyDescent="0.2"/>
    <row r="63105" ht="9.9499999999999993" hidden="1" customHeight="1" x14ac:dyDescent="0.2"/>
    <row r="63106" ht="9.9499999999999993" hidden="1" customHeight="1" x14ac:dyDescent="0.2"/>
    <row r="63107" ht="9.9499999999999993" hidden="1" customHeight="1" x14ac:dyDescent="0.2"/>
    <row r="63108" ht="9.9499999999999993" hidden="1" customHeight="1" x14ac:dyDescent="0.2"/>
    <row r="63109" ht="9.9499999999999993" hidden="1" customHeight="1" x14ac:dyDescent="0.2"/>
    <row r="63110" ht="9.9499999999999993" hidden="1" customHeight="1" x14ac:dyDescent="0.2"/>
    <row r="63111" ht="9.9499999999999993" hidden="1" customHeight="1" x14ac:dyDescent="0.2"/>
    <row r="63112" ht="9.9499999999999993" hidden="1" customHeight="1" x14ac:dyDescent="0.2"/>
    <row r="63113" ht="9.9499999999999993" hidden="1" customHeight="1" x14ac:dyDescent="0.2"/>
    <row r="63114" ht="9.9499999999999993" hidden="1" customHeight="1" x14ac:dyDescent="0.2"/>
    <row r="63115" ht="9.9499999999999993" hidden="1" customHeight="1" x14ac:dyDescent="0.2"/>
    <row r="63116" ht="9.9499999999999993" hidden="1" customHeight="1" x14ac:dyDescent="0.2"/>
    <row r="63117" ht="9.9499999999999993" hidden="1" customHeight="1" x14ac:dyDescent="0.2"/>
    <row r="63118" ht="9.9499999999999993" hidden="1" customHeight="1" x14ac:dyDescent="0.2"/>
    <row r="63119" ht="9.9499999999999993" hidden="1" customHeight="1" x14ac:dyDescent="0.2"/>
    <row r="63120" ht="9.9499999999999993" hidden="1" customHeight="1" x14ac:dyDescent="0.2"/>
    <row r="63121" ht="9.9499999999999993" hidden="1" customHeight="1" x14ac:dyDescent="0.2"/>
    <row r="63122" ht="9.9499999999999993" hidden="1" customHeight="1" x14ac:dyDescent="0.2"/>
    <row r="63123" ht="9.9499999999999993" hidden="1" customHeight="1" x14ac:dyDescent="0.2"/>
    <row r="63124" ht="9.9499999999999993" hidden="1" customHeight="1" x14ac:dyDescent="0.2"/>
    <row r="63125" ht="9.9499999999999993" hidden="1" customHeight="1" x14ac:dyDescent="0.2"/>
    <row r="63126" ht="9.9499999999999993" hidden="1" customHeight="1" x14ac:dyDescent="0.2"/>
    <row r="63127" ht="9.9499999999999993" hidden="1" customHeight="1" x14ac:dyDescent="0.2"/>
    <row r="63128" ht="9.9499999999999993" hidden="1" customHeight="1" x14ac:dyDescent="0.2"/>
    <row r="63129" ht="9.9499999999999993" hidden="1" customHeight="1" x14ac:dyDescent="0.2"/>
    <row r="63130" ht="9.9499999999999993" hidden="1" customHeight="1" x14ac:dyDescent="0.2"/>
    <row r="63131" ht="9.9499999999999993" hidden="1" customHeight="1" x14ac:dyDescent="0.2"/>
    <row r="63132" ht="9.9499999999999993" hidden="1" customHeight="1" x14ac:dyDescent="0.2"/>
    <row r="63133" ht="9.9499999999999993" hidden="1" customHeight="1" x14ac:dyDescent="0.2"/>
    <row r="63134" ht="9.9499999999999993" hidden="1" customHeight="1" x14ac:dyDescent="0.2"/>
    <row r="63135" ht="9.9499999999999993" hidden="1" customHeight="1" x14ac:dyDescent="0.2"/>
    <row r="63136" ht="9.9499999999999993" hidden="1" customHeight="1" x14ac:dyDescent="0.2"/>
    <row r="63137" ht="9.9499999999999993" hidden="1" customHeight="1" x14ac:dyDescent="0.2"/>
    <row r="63138" ht="9.9499999999999993" hidden="1" customHeight="1" x14ac:dyDescent="0.2"/>
    <row r="63139" ht="9.9499999999999993" hidden="1" customHeight="1" x14ac:dyDescent="0.2"/>
    <row r="63140" ht="9.9499999999999993" hidden="1" customHeight="1" x14ac:dyDescent="0.2"/>
    <row r="63141" ht="9.9499999999999993" hidden="1" customHeight="1" x14ac:dyDescent="0.2"/>
    <row r="63142" ht="9.9499999999999993" hidden="1" customHeight="1" x14ac:dyDescent="0.2"/>
    <row r="63143" ht="9.9499999999999993" hidden="1" customHeight="1" x14ac:dyDescent="0.2"/>
    <row r="63144" ht="9.9499999999999993" hidden="1" customHeight="1" x14ac:dyDescent="0.2"/>
    <row r="63145" ht="9.9499999999999993" hidden="1" customHeight="1" x14ac:dyDescent="0.2"/>
    <row r="63146" ht="9.9499999999999993" hidden="1" customHeight="1" x14ac:dyDescent="0.2"/>
    <row r="63147" ht="9.9499999999999993" hidden="1" customHeight="1" x14ac:dyDescent="0.2"/>
    <row r="63148" ht="9.9499999999999993" hidden="1" customHeight="1" x14ac:dyDescent="0.2"/>
    <row r="63149" ht="9.9499999999999993" hidden="1" customHeight="1" x14ac:dyDescent="0.2"/>
    <row r="63150" ht="9.9499999999999993" hidden="1" customHeight="1" x14ac:dyDescent="0.2"/>
    <row r="63151" ht="9.9499999999999993" hidden="1" customHeight="1" x14ac:dyDescent="0.2"/>
    <row r="63152" ht="9.9499999999999993" hidden="1" customHeight="1" x14ac:dyDescent="0.2"/>
    <row r="63153" ht="9.9499999999999993" hidden="1" customHeight="1" x14ac:dyDescent="0.2"/>
    <row r="63154" ht="9.9499999999999993" hidden="1" customHeight="1" x14ac:dyDescent="0.2"/>
    <row r="63155" ht="9.9499999999999993" hidden="1" customHeight="1" x14ac:dyDescent="0.2"/>
    <row r="63156" ht="9.9499999999999993" hidden="1" customHeight="1" x14ac:dyDescent="0.2"/>
    <row r="63157" ht="9.9499999999999993" hidden="1" customHeight="1" x14ac:dyDescent="0.2"/>
    <row r="63158" ht="9.9499999999999993" hidden="1" customHeight="1" x14ac:dyDescent="0.2"/>
    <row r="63159" ht="9.9499999999999993" hidden="1" customHeight="1" x14ac:dyDescent="0.2"/>
    <row r="63160" ht="9.9499999999999993" hidden="1" customHeight="1" x14ac:dyDescent="0.2"/>
    <row r="63161" ht="9.9499999999999993" hidden="1" customHeight="1" x14ac:dyDescent="0.2"/>
    <row r="63162" ht="9.9499999999999993" hidden="1" customHeight="1" x14ac:dyDescent="0.2"/>
    <row r="63163" ht="9.9499999999999993" hidden="1" customHeight="1" x14ac:dyDescent="0.2"/>
    <row r="63164" ht="9.9499999999999993" hidden="1" customHeight="1" x14ac:dyDescent="0.2"/>
    <row r="63165" ht="9.9499999999999993" hidden="1" customHeight="1" x14ac:dyDescent="0.2"/>
    <row r="63166" ht="9.9499999999999993" hidden="1" customHeight="1" x14ac:dyDescent="0.2"/>
    <row r="63167" ht="9.9499999999999993" hidden="1" customHeight="1" x14ac:dyDescent="0.2"/>
    <row r="63168" ht="9.9499999999999993" hidden="1" customHeight="1" x14ac:dyDescent="0.2"/>
    <row r="63169" ht="9.9499999999999993" hidden="1" customHeight="1" x14ac:dyDescent="0.2"/>
    <row r="63170" ht="9.9499999999999993" hidden="1" customHeight="1" x14ac:dyDescent="0.2"/>
    <row r="63171" ht="9.9499999999999993" hidden="1" customHeight="1" x14ac:dyDescent="0.2"/>
    <row r="63172" ht="9.9499999999999993" hidden="1" customHeight="1" x14ac:dyDescent="0.2"/>
    <row r="63173" ht="9.9499999999999993" hidden="1" customHeight="1" x14ac:dyDescent="0.2"/>
    <row r="63174" ht="9.9499999999999993" hidden="1" customHeight="1" x14ac:dyDescent="0.2"/>
    <row r="63175" ht="9.9499999999999993" hidden="1" customHeight="1" x14ac:dyDescent="0.2"/>
    <row r="63176" ht="9.9499999999999993" hidden="1" customHeight="1" x14ac:dyDescent="0.2"/>
    <row r="63177" ht="9.9499999999999993" hidden="1" customHeight="1" x14ac:dyDescent="0.2"/>
    <row r="63178" ht="9.9499999999999993" hidden="1" customHeight="1" x14ac:dyDescent="0.2"/>
    <row r="63179" ht="9.9499999999999993" hidden="1" customHeight="1" x14ac:dyDescent="0.2"/>
    <row r="63180" ht="9.9499999999999993" hidden="1" customHeight="1" x14ac:dyDescent="0.2"/>
    <row r="63181" ht="9.9499999999999993" hidden="1" customHeight="1" x14ac:dyDescent="0.2"/>
    <row r="63182" ht="9.9499999999999993" hidden="1" customHeight="1" x14ac:dyDescent="0.2"/>
    <row r="63183" ht="9.9499999999999993" hidden="1" customHeight="1" x14ac:dyDescent="0.2"/>
    <row r="63184" ht="9.9499999999999993" hidden="1" customHeight="1" x14ac:dyDescent="0.2"/>
    <row r="63185" ht="9.9499999999999993" hidden="1" customHeight="1" x14ac:dyDescent="0.2"/>
    <row r="63186" ht="9.9499999999999993" hidden="1" customHeight="1" x14ac:dyDescent="0.2"/>
    <row r="63187" ht="9.9499999999999993" hidden="1" customHeight="1" x14ac:dyDescent="0.2"/>
    <row r="63188" ht="9.9499999999999993" hidden="1" customHeight="1" x14ac:dyDescent="0.2"/>
    <row r="63189" ht="9.9499999999999993" hidden="1" customHeight="1" x14ac:dyDescent="0.2"/>
    <row r="63190" ht="9.9499999999999993" hidden="1" customHeight="1" x14ac:dyDescent="0.2"/>
    <row r="63191" ht="9.9499999999999993" hidden="1" customHeight="1" x14ac:dyDescent="0.2"/>
    <row r="63192" ht="9.9499999999999993" hidden="1" customHeight="1" x14ac:dyDescent="0.2"/>
    <row r="63193" ht="9.9499999999999993" hidden="1" customHeight="1" x14ac:dyDescent="0.2"/>
    <row r="63194" ht="9.9499999999999993" hidden="1" customHeight="1" x14ac:dyDescent="0.2"/>
    <row r="63195" ht="9.9499999999999993" hidden="1" customHeight="1" x14ac:dyDescent="0.2"/>
    <row r="63196" ht="9.9499999999999993" hidden="1" customHeight="1" x14ac:dyDescent="0.2"/>
    <row r="63197" ht="9.9499999999999993" hidden="1" customHeight="1" x14ac:dyDescent="0.2"/>
    <row r="63198" ht="9.9499999999999993" hidden="1" customHeight="1" x14ac:dyDescent="0.2"/>
    <row r="63199" ht="9.9499999999999993" hidden="1" customHeight="1" x14ac:dyDescent="0.2"/>
    <row r="63200" ht="9.9499999999999993" hidden="1" customHeight="1" x14ac:dyDescent="0.2"/>
    <row r="63201" ht="9.9499999999999993" hidden="1" customHeight="1" x14ac:dyDescent="0.2"/>
    <row r="63202" ht="9.9499999999999993" hidden="1" customHeight="1" x14ac:dyDescent="0.2"/>
    <row r="63203" ht="9.9499999999999993" hidden="1" customHeight="1" x14ac:dyDescent="0.2"/>
    <row r="63204" ht="9.9499999999999993" hidden="1" customHeight="1" x14ac:dyDescent="0.2"/>
    <row r="63205" ht="9.9499999999999993" hidden="1" customHeight="1" x14ac:dyDescent="0.2"/>
    <row r="63206" ht="9.9499999999999993" hidden="1" customHeight="1" x14ac:dyDescent="0.2"/>
    <row r="63207" ht="9.9499999999999993" hidden="1" customHeight="1" x14ac:dyDescent="0.2"/>
    <row r="63208" ht="9.9499999999999993" hidden="1" customHeight="1" x14ac:dyDescent="0.2"/>
    <row r="63209" ht="9.9499999999999993" hidden="1" customHeight="1" x14ac:dyDescent="0.2"/>
    <row r="63210" ht="9.9499999999999993" hidden="1" customHeight="1" x14ac:dyDescent="0.2"/>
    <row r="63211" ht="9.9499999999999993" hidden="1" customHeight="1" x14ac:dyDescent="0.2"/>
    <row r="63212" ht="9.9499999999999993" hidden="1" customHeight="1" x14ac:dyDescent="0.2"/>
    <row r="63213" ht="9.9499999999999993" hidden="1" customHeight="1" x14ac:dyDescent="0.2"/>
    <row r="63214" ht="9.9499999999999993" hidden="1" customHeight="1" x14ac:dyDescent="0.2"/>
    <row r="63215" ht="9.9499999999999993" hidden="1" customHeight="1" x14ac:dyDescent="0.2"/>
    <row r="63216" ht="9.9499999999999993" hidden="1" customHeight="1" x14ac:dyDescent="0.2"/>
    <row r="63217" ht="9.9499999999999993" hidden="1" customHeight="1" x14ac:dyDescent="0.2"/>
    <row r="63218" ht="9.9499999999999993" hidden="1" customHeight="1" x14ac:dyDescent="0.2"/>
    <row r="63219" ht="9.9499999999999993" hidden="1" customHeight="1" x14ac:dyDescent="0.2"/>
    <row r="63220" ht="9.9499999999999993" hidden="1" customHeight="1" x14ac:dyDescent="0.2"/>
    <row r="63221" ht="9.9499999999999993" hidden="1" customHeight="1" x14ac:dyDescent="0.2"/>
    <row r="63222" ht="9.9499999999999993" hidden="1" customHeight="1" x14ac:dyDescent="0.2"/>
    <row r="63223" ht="9.9499999999999993" hidden="1" customHeight="1" x14ac:dyDescent="0.2"/>
    <row r="63224" ht="9.9499999999999993" hidden="1" customHeight="1" x14ac:dyDescent="0.2"/>
    <row r="63225" ht="9.9499999999999993" hidden="1" customHeight="1" x14ac:dyDescent="0.2"/>
    <row r="63226" ht="9.9499999999999993" hidden="1" customHeight="1" x14ac:dyDescent="0.2"/>
    <row r="63227" ht="9.9499999999999993" hidden="1" customHeight="1" x14ac:dyDescent="0.2"/>
    <row r="63228" ht="9.9499999999999993" hidden="1" customHeight="1" x14ac:dyDescent="0.2"/>
    <row r="63229" ht="9.9499999999999993" hidden="1" customHeight="1" x14ac:dyDescent="0.2"/>
    <row r="63230" ht="9.9499999999999993" hidden="1" customHeight="1" x14ac:dyDescent="0.2"/>
    <row r="63231" ht="9.9499999999999993" hidden="1" customHeight="1" x14ac:dyDescent="0.2"/>
    <row r="63232" ht="9.9499999999999993" hidden="1" customHeight="1" x14ac:dyDescent="0.2"/>
    <row r="63233" ht="9.9499999999999993" hidden="1" customHeight="1" x14ac:dyDescent="0.2"/>
    <row r="63234" ht="9.9499999999999993" hidden="1" customHeight="1" x14ac:dyDescent="0.2"/>
    <row r="63235" ht="9.9499999999999993" hidden="1" customHeight="1" x14ac:dyDescent="0.2"/>
    <row r="63236" ht="9.9499999999999993" hidden="1" customHeight="1" x14ac:dyDescent="0.2"/>
    <row r="63237" ht="9.9499999999999993" hidden="1" customHeight="1" x14ac:dyDescent="0.2"/>
    <row r="63238" ht="9.9499999999999993" hidden="1" customHeight="1" x14ac:dyDescent="0.2"/>
    <row r="63239" ht="9.9499999999999993" hidden="1" customHeight="1" x14ac:dyDescent="0.2"/>
    <row r="63240" ht="9.9499999999999993" hidden="1" customHeight="1" x14ac:dyDescent="0.2"/>
    <row r="63241" ht="9.9499999999999993" hidden="1" customHeight="1" x14ac:dyDescent="0.2"/>
    <row r="63242" ht="9.9499999999999993" hidden="1" customHeight="1" x14ac:dyDescent="0.2"/>
    <row r="63243" ht="9.9499999999999993" hidden="1" customHeight="1" x14ac:dyDescent="0.2"/>
    <row r="63244" ht="9.9499999999999993" hidden="1" customHeight="1" x14ac:dyDescent="0.2"/>
    <row r="63245" ht="9.9499999999999993" hidden="1" customHeight="1" x14ac:dyDescent="0.2"/>
    <row r="63246" ht="9.9499999999999993" hidden="1" customHeight="1" x14ac:dyDescent="0.2"/>
    <row r="63247" ht="9.9499999999999993" hidden="1" customHeight="1" x14ac:dyDescent="0.2"/>
    <row r="63248" ht="9.9499999999999993" hidden="1" customHeight="1" x14ac:dyDescent="0.2"/>
    <row r="63249" ht="9.9499999999999993" hidden="1" customHeight="1" x14ac:dyDescent="0.2"/>
    <row r="63250" ht="9.9499999999999993" hidden="1" customHeight="1" x14ac:dyDescent="0.2"/>
    <row r="63251" ht="9.9499999999999993" hidden="1" customHeight="1" x14ac:dyDescent="0.2"/>
    <row r="63252" ht="9.9499999999999993" hidden="1" customHeight="1" x14ac:dyDescent="0.2"/>
    <row r="63253" ht="9.9499999999999993" hidden="1" customHeight="1" x14ac:dyDescent="0.2"/>
    <row r="63254" ht="9.9499999999999993" hidden="1" customHeight="1" x14ac:dyDescent="0.2"/>
    <row r="63255" ht="9.9499999999999993" hidden="1" customHeight="1" x14ac:dyDescent="0.2"/>
    <row r="63256" ht="9.9499999999999993" hidden="1" customHeight="1" x14ac:dyDescent="0.2"/>
    <row r="63257" ht="9.9499999999999993" hidden="1" customHeight="1" x14ac:dyDescent="0.2"/>
    <row r="63258" ht="9.9499999999999993" hidden="1" customHeight="1" x14ac:dyDescent="0.2"/>
    <row r="63259" ht="9.9499999999999993" hidden="1" customHeight="1" x14ac:dyDescent="0.2"/>
    <row r="63260" ht="9.9499999999999993" hidden="1" customHeight="1" x14ac:dyDescent="0.2"/>
    <row r="63261" ht="9.9499999999999993" hidden="1" customHeight="1" x14ac:dyDescent="0.2"/>
    <row r="63262" ht="9.9499999999999993" hidden="1" customHeight="1" x14ac:dyDescent="0.2"/>
    <row r="63263" ht="9.9499999999999993" hidden="1" customHeight="1" x14ac:dyDescent="0.2"/>
    <row r="63264" ht="9.9499999999999993" hidden="1" customHeight="1" x14ac:dyDescent="0.2"/>
    <row r="63265" ht="9.9499999999999993" hidden="1" customHeight="1" x14ac:dyDescent="0.2"/>
    <row r="63266" ht="9.9499999999999993" hidden="1" customHeight="1" x14ac:dyDescent="0.2"/>
    <row r="63267" ht="9.9499999999999993" hidden="1" customHeight="1" x14ac:dyDescent="0.2"/>
    <row r="63268" ht="9.9499999999999993" hidden="1" customHeight="1" x14ac:dyDescent="0.2"/>
    <row r="63269" ht="9.9499999999999993" hidden="1" customHeight="1" x14ac:dyDescent="0.2"/>
    <row r="63270" ht="9.9499999999999993" hidden="1" customHeight="1" x14ac:dyDescent="0.2"/>
    <row r="63271" ht="9.9499999999999993" hidden="1" customHeight="1" x14ac:dyDescent="0.2"/>
    <row r="63272" ht="9.9499999999999993" hidden="1" customHeight="1" x14ac:dyDescent="0.2"/>
    <row r="63273" ht="9.9499999999999993" hidden="1" customHeight="1" x14ac:dyDescent="0.2"/>
    <row r="63274" ht="9.9499999999999993" hidden="1" customHeight="1" x14ac:dyDescent="0.2"/>
    <row r="63275" ht="9.9499999999999993" hidden="1" customHeight="1" x14ac:dyDescent="0.2"/>
    <row r="63276" ht="9.9499999999999993" hidden="1" customHeight="1" x14ac:dyDescent="0.2"/>
    <row r="63277" ht="9.9499999999999993" hidden="1" customHeight="1" x14ac:dyDescent="0.2"/>
    <row r="63278" ht="9.9499999999999993" hidden="1" customHeight="1" x14ac:dyDescent="0.2"/>
    <row r="63279" ht="9.9499999999999993" hidden="1" customHeight="1" x14ac:dyDescent="0.2"/>
    <row r="63280" ht="9.9499999999999993" hidden="1" customHeight="1" x14ac:dyDescent="0.2"/>
    <row r="63281" ht="9.9499999999999993" hidden="1" customHeight="1" x14ac:dyDescent="0.2"/>
    <row r="63282" ht="9.9499999999999993" hidden="1" customHeight="1" x14ac:dyDescent="0.2"/>
    <row r="63283" ht="9.9499999999999993" hidden="1" customHeight="1" x14ac:dyDescent="0.2"/>
    <row r="63284" ht="9.9499999999999993" hidden="1" customHeight="1" x14ac:dyDescent="0.2"/>
    <row r="63285" ht="9.9499999999999993" hidden="1" customHeight="1" x14ac:dyDescent="0.2"/>
    <row r="63286" ht="9.9499999999999993" hidden="1" customHeight="1" x14ac:dyDescent="0.2"/>
    <row r="63287" ht="9.9499999999999993" hidden="1" customHeight="1" x14ac:dyDescent="0.2"/>
    <row r="63288" ht="9.9499999999999993" hidden="1" customHeight="1" x14ac:dyDescent="0.2"/>
    <row r="63289" ht="9.9499999999999993" hidden="1" customHeight="1" x14ac:dyDescent="0.2"/>
    <row r="63290" ht="9.9499999999999993" hidden="1" customHeight="1" x14ac:dyDescent="0.2"/>
    <row r="63291" ht="9.9499999999999993" hidden="1" customHeight="1" x14ac:dyDescent="0.2"/>
    <row r="63292" ht="9.9499999999999993" hidden="1" customHeight="1" x14ac:dyDescent="0.2"/>
    <row r="63293" ht="9.9499999999999993" hidden="1" customHeight="1" x14ac:dyDescent="0.2"/>
    <row r="63294" ht="9.9499999999999993" hidden="1" customHeight="1" x14ac:dyDescent="0.2"/>
    <row r="63295" ht="9.9499999999999993" hidden="1" customHeight="1" x14ac:dyDescent="0.2"/>
    <row r="63296" ht="9.9499999999999993" hidden="1" customHeight="1" x14ac:dyDescent="0.2"/>
    <row r="63297" ht="9.9499999999999993" hidden="1" customHeight="1" x14ac:dyDescent="0.2"/>
    <row r="63298" ht="9.9499999999999993" hidden="1" customHeight="1" x14ac:dyDescent="0.2"/>
    <row r="63299" ht="9.9499999999999993" hidden="1" customHeight="1" x14ac:dyDescent="0.2"/>
    <row r="63300" ht="9.9499999999999993" hidden="1" customHeight="1" x14ac:dyDescent="0.2"/>
    <row r="63301" ht="9.9499999999999993" hidden="1" customHeight="1" x14ac:dyDescent="0.2"/>
    <row r="63302" ht="9.9499999999999993" hidden="1" customHeight="1" x14ac:dyDescent="0.2"/>
    <row r="63303" ht="9.9499999999999993" hidden="1" customHeight="1" x14ac:dyDescent="0.2"/>
    <row r="63304" ht="9.9499999999999993" hidden="1" customHeight="1" x14ac:dyDescent="0.2"/>
    <row r="63305" ht="9.9499999999999993" hidden="1" customHeight="1" x14ac:dyDescent="0.2"/>
    <row r="63306" ht="9.9499999999999993" hidden="1" customHeight="1" x14ac:dyDescent="0.2"/>
    <row r="63307" ht="9.9499999999999993" hidden="1" customHeight="1" x14ac:dyDescent="0.2"/>
    <row r="63308" ht="9.9499999999999993" hidden="1" customHeight="1" x14ac:dyDescent="0.2"/>
    <row r="63309" ht="9.9499999999999993" hidden="1" customHeight="1" x14ac:dyDescent="0.2"/>
    <row r="63310" ht="9.9499999999999993" hidden="1" customHeight="1" x14ac:dyDescent="0.2"/>
    <row r="63311" ht="9.9499999999999993" hidden="1" customHeight="1" x14ac:dyDescent="0.2"/>
    <row r="63312" ht="9.9499999999999993" hidden="1" customHeight="1" x14ac:dyDescent="0.2"/>
    <row r="63313" ht="9.9499999999999993" hidden="1" customHeight="1" x14ac:dyDescent="0.2"/>
    <row r="63314" ht="9.9499999999999993" hidden="1" customHeight="1" x14ac:dyDescent="0.2"/>
    <row r="63315" ht="9.9499999999999993" hidden="1" customHeight="1" x14ac:dyDescent="0.2"/>
    <row r="63316" ht="9.9499999999999993" hidden="1" customHeight="1" x14ac:dyDescent="0.2"/>
    <row r="63317" ht="9.9499999999999993" hidden="1" customHeight="1" x14ac:dyDescent="0.2"/>
    <row r="63318" ht="9.9499999999999993" hidden="1" customHeight="1" x14ac:dyDescent="0.2"/>
    <row r="63319" ht="9.9499999999999993" hidden="1" customHeight="1" x14ac:dyDescent="0.2"/>
    <row r="63320" ht="9.9499999999999993" hidden="1" customHeight="1" x14ac:dyDescent="0.2"/>
    <row r="63321" ht="9.9499999999999993" hidden="1" customHeight="1" x14ac:dyDescent="0.2"/>
    <row r="63322" ht="9.9499999999999993" hidden="1" customHeight="1" x14ac:dyDescent="0.2"/>
    <row r="63323" ht="9.9499999999999993" hidden="1" customHeight="1" x14ac:dyDescent="0.2"/>
    <row r="63324" ht="9.9499999999999993" hidden="1" customHeight="1" x14ac:dyDescent="0.2"/>
    <row r="63325" ht="9.9499999999999993" hidden="1" customHeight="1" x14ac:dyDescent="0.2"/>
    <row r="63326" ht="9.9499999999999993" hidden="1" customHeight="1" x14ac:dyDescent="0.2"/>
    <row r="63327" ht="9.9499999999999993" hidden="1" customHeight="1" x14ac:dyDescent="0.2"/>
    <row r="63328" ht="9.9499999999999993" hidden="1" customHeight="1" x14ac:dyDescent="0.2"/>
    <row r="63329" ht="9.9499999999999993" hidden="1" customHeight="1" x14ac:dyDescent="0.2"/>
    <row r="63330" ht="9.9499999999999993" hidden="1" customHeight="1" x14ac:dyDescent="0.2"/>
    <row r="63331" ht="9.9499999999999993" hidden="1" customHeight="1" x14ac:dyDescent="0.2"/>
    <row r="63332" ht="9.9499999999999993" hidden="1" customHeight="1" x14ac:dyDescent="0.2"/>
    <row r="63333" ht="9.9499999999999993" hidden="1" customHeight="1" x14ac:dyDescent="0.2"/>
    <row r="63334" ht="9.9499999999999993" hidden="1" customHeight="1" x14ac:dyDescent="0.2"/>
    <row r="63335" ht="9.9499999999999993" hidden="1" customHeight="1" x14ac:dyDescent="0.2"/>
    <row r="63336" ht="9.9499999999999993" hidden="1" customHeight="1" x14ac:dyDescent="0.2"/>
    <row r="63337" ht="9.9499999999999993" hidden="1" customHeight="1" x14ac:dyDescent="0.2"/>
    <row r="63338" ht="9.9499999999999993" hidden="1" customHeight="1" x14ac:dyDescent="0.2"/>
    <row r="63339" ht="9.9499999999999993" hidden="1" customHeight="1" x14ac:dyDescent="0.2"/>
    <row r="63340" ht="9.9499999999999993" hidden="1" customHeight="1" x14ac:dyDescent="0.2"/>
    <row r="63341" ht="9.9499999999999993" hidden="1" customHeight="1" x14ac:dyDescent="0.2"/>
    <row r="63342" ht="9.9499999999999993" hidden="1" customHeight="1" x14ac:dyDescent="0.2"/>
    <row r="63343" ht="9.9499999999999993" hidden="1" customHeight="1" x14ac:dyDescent="0.2"/>
    <row r="63344" ht="9.9499999999999993" hidden="1" customHeight="1" x14ac:dyDescent="0.2"/>
    <row r="63345" ht="9.9499999999999993" hidden="1" customHeight="1" x14ac:dyDescent="0.2"/>
    <row r="63346" ht="9.9499999999999993" hidden="1" customHeight="1" x14ac:dyDescent="0.2"/>
    <row r="63347" ht="9.9499999999999993" hidden="1" customHeight="1" x14ac:dyDescent="0.2"/>
    <row r="63348" ht="9.9499999999999993" hidden="1" customHeight="1" x14ac:dyDescent="0.2"/>
    <row r="63349" ht="9.9499999999999993" hidden="1" customHeight="1" x14ac:dyDescent="0.2"/>
    <row r="63350" ht="9.9499999999999993" hidden="1" customHeight="1" x14ac:dyDescent="0.2"/>
    <row r="63351" ht="9.9499999999999993" hidden="1" customHeight="1" x14ac:dyDescent="0.2"/>
    <row r="63352" ht="9.9499999999999993" hidden="1" customHeight="1" x14ac:dyDescent="0.2"/>
    <row r="63353" ht="9.9499999999999993" hidden="1" customHeight="1" x14ac:dyDescent="0.2"/>
    <row r="63354" ht="9.9499999999999993" hidden="1" customHeight="1" x14ac:dyDescent="0.2"/>
    <row r="63355" ht="9.9499999999999993" hidden="1" customHeight="1" x14ac:dyDescent="0.2"/>
    <row r="63356" ht="9.9499999999999993" hidden="1" customHeight="1" x14ac:dyDescent="0.2"/>
    <row r="63357" ht="9.9499999999999993" hidden="1" customHeight="1" x14ac:dyDescent="0.2"/>
    <row r="63358" ht="9.9499999999999993" hidden="1" customHeight="1" x14ac:dyDescent="0.2"/>
    <row r="63359" ht="9.9499999999999993" hidden="1" customHeight="1" x14ac:dyDescent="0.2"/>
    <row r="63360" ht="9.9499999999999993" hidden="1" customHeight="1" x14ac:dyDescent="0.2"/>
    <row r="63361" ht="9.9499999999999993" hidden="1" customHeight="1" x14ac:dyDescent="0.2"/>
    <row r="63362" ht="9.9499999999999993" hidden="1" customHeight="1" x14ac:dyDescent="0.2"/>
    <row r="63363" ht="9.9499999999999993" hidden="1" customHeight="1" x14ac:dyDescent="0.2"/>
    <row r="63364" ht="9.9499999999999993" hidden="1" customHeight="1" x14ac:dyDescent="0.2"/>
    <row r="63365" ht="9.9499999999999993" hidden="1" customHeight="1" x14ac:dyDescent="0.2"/>
    <row r="63366" ht="9.9499999999999993" hidden="1" customHeight="1" x14ac:dyDescent="0.2"/>
    <row r="63367" ht="9.9499999999999993" hidden="1" customHeight="1" x14ac:dyDescent="0.2"/>
    <row r="63368" ht="9.9499999999999993" hidden="1" customHeight="1" x14ac:dyDescent="0.2"/>
    <row r="63369" ht="9.9499999999999993" hidden="1" customHeight="1" x14ac:dyDescent="0.2"/>
    <row r="63370" ht="9.9499999999999993" hidden="1" customHeight="1" x14ac:dyDescent="0.2"/>
    <row r="63371" ht="9.9499999999999993" hidden="1" customHeight="1" x14ac:dyDescent="0.2"/>
    <row r="63372" ht="9.9499999999999993" hidden="1" customHeight="1" x14ac:dyDescent="0.2"/>
    <row r="63373" ht="9.9499999999999993" hidden="1" customHeight="1" x14ac:dyDescent="0.2"/>
    <row r="63374" ht="9.9499999999999993" hidden="1" customHeight="1" x14ac:dyDescent="0.2"/>
    <row r="63375" ht="9.9499999999999993" hidden="1" customHeight="1" x14ac:dyDescent="0.2"/>
    <row r="63376" ht="9.9499999999999993" hidden="1" customHeight="1" x14ac:dyDescent="0.2"/>
    <row r="63377" ht="9.9499999999999993" hidden="1" customHeight="1" x14ac:dyDescent="0.2"/>
    <row r="63378" ht="9.9499999999999993" hidden="1" customHeight="1" x14ac:dyDescent="0.2"/>
    <row r="63379" ht="9.9499999999999993" hidden="1" customHeight="1" x14ac:dyDescent="0.2"/>
    <row r="63380" ht="9.9499999999999993" hidden="1" customHeight="1" x14ac:dyDescent="0.2"/>
    <row r="63381" ht="9.9499999999999993" hidden="1" customHeight="1" x14ac:dyDescent="0.2"/>
    <row r="63382" ht="9.9499999999999993" hidden="1" customHeight="1" x14ac:dyDescent="0.2"/>
    <row r="63383" ht="9.9499999999999993" hidden="1" customHeight="1" x14ac:dyDescent="0.2"/>
    <row r="63384" ht="9.9499999999999993" hidden="1" customHeight="1" x14ac:dyDescent="0.2"/>
    <row r="63385" ht="9.9499999999999993" hidden="1" customHeight="1" x14ac:dyDescent="0.2"/>
    <row r="63386" ht="9.9499999999999993" hidden="1" customHeight="1" x14ac:dyDescent="0.2"/>
    <row r="63387" ht="9.9499999999999993" hidden="1" customHeight="1" x14ac:dyDescent="0.2"/>
    <row r="63388" ht="9.9499999999999993" hidden="1" customHeight="1" x14ac:dyDescent="0.2"/>
    <row r="63389" ht="9.9499999999999993" hidden="1" customHeight="1" x14ac:dyDescent="0.2"/>
    <row r="63390" ht="9.9499999999999993" hidden="1" customHeight="1" x14ac:dyDescent="0.2"/>
    <row r="63391" ht="9.9499999999999993" hidden="1" customHeight="1" x14ac:dyDescent="0.2"/>
    <row r="63392" ht="9.9499999999999993" hidden="1" customHeight="1" x14ac:dyDescent="0.2"/>
    <row r="63393" ht="9.9499999999999993" hidden="1" customHeight="1" x14ac:dyDescent="0.2"/>
    <row r="63394" ht="9.9499999999999993" hidden="1" customHeight="1" x14ac:dyDescent="0.2"/>
    <row r="63395" ht="9.9499999999999993" hidden="1" customHeight="1" x14ac:dyDescent="0.2"/>
    <row r="63396" ht="9.9499999999999993" hidden="1" customHeight="1" x14ac:dyDescent="0.2"/>
    <row r="63397" ht="9.9499999999999993" hidden="1" customHeight="1" x14ac:dyDescent="0.2"/>
    <row r="63398" ht="9.9499999999999993" hidden="1" customHeight="1" x14ac:dyDescent="0.2"/>
    <row r="63399" ht="9.9499999999999993" hidden="1" customHeight="1" x14ac:dyDescent="0.2"/>
    <row r="63400" ht="9.9499999999999993" hidden="1" customHeight="1" x14ac:dyDescent="0.2"/>
    <row r="63401" ht="9.9499999999999993" hidden="1" customHeight="1" x14ac:dyDescent="0.2"/>
    <row r="63402" ht="9.9499999999999993" hidden="1" customHeight="1" x14ac:dyDescent="0.2"/>
    <row r="63403" ht="9.9499999999999993" hidden="1" customHeight="1" x14ac:dyDescent="0.2"/>
    <row r="63404" ht="9.9499999999999993" hidden="1" customHeight="1" x14ac:dyDescent="0.2"/>
    <row r="63405" ht="9.9499999999999993" hidden="1" customHeight="1" x14ac:dyDescent="0.2"/>
    <row r="63406" ht="9.9499999999999993" hidden="1" customHeight="1" x14ac:dyDescent="0.2"/>
    <row r="63407" ht="9.9499999999999993" hidden="1" customHeight="1" x14ac:dyDescent="0.2"/>
    <row r="63408" ht="9.9499999999999993" hidden="1" customHeight="1" x14ac:dyDescent="0.2"/>
    <row r="63409" ht="9.9499999999999993" hidden="1" customHeight="1" x14ac:dyDescent="0.2"/>
    <row r="63410" ht="9.9499999999999993" hidden="1" customHeight="1" x14ac:dyDescent="0.2"/>
    <row r="63411" ht="9.9499999999999993" hidden="1" customHeight="1" x14ac:dyDescent="0.2"/>
    <row r="63412" ht="9.9499999999999993" hidden="1" customHeight="1" x14ac:dyDescent="0.2"/>
    <row r="63413" ht="9.9499999999999993" hidden="1" customHeight="1" x14ac:dyDescent="0.2"/>
    <row r="63414" ht="9.9499999999999993" hidden="1" customHeight="1" x14ac:dyDescent="0.2"/>
    <row r="63415" ht="9.9499999999999993" hidden="1" customHeight="1" x14ac:dyDescent="0.2"/>
    <row r="63416" ht="9.9499999999999993" hidden="1" customHeight="1" x14ac:dyDescent="0.2"/>
    <row r="63417" ht="9.9499999999999993" hidden="1" customHeight="1" x14ac:dyDescent="0.2"/>
    <row r="63418" ht="9.9499999999999993" hidden="1" customHeight="1" x14ac:dyDescent="0.2"/>
    <row r="63419" ht="9.9499999999999993" hidden="1" customHeight="1" x14ac:dyDescent="0.2"/>
    <row r="63420" ht="9.9499999999999993" hidden="1" customHeight="1" x14ac:dyDescent="0.2"/>
    <row r="63421" ht="9.9499999999999993" hidden="1" customHeight="1" x14ac:dyDescent="0.2"/>
    <row r="63422" ht="9.9499999999999993" hidden="1" customHeight="1" x14ac:dyDescent="0.2"/>
    <row r="63423" ht="9.9499999999999993" hidden="1" customHeight="1" x14ac:dyDescent="0.2"/>
    <row r="63424" ht="9.9499999999999993" hidden="1" customHeight="1" x14ac:dyDescent="0.2"/>
    <row r="63425" ht="9.9499999999999993" hidden="1" customHeight="1" x14ac:dyDescent="0.2"/>
    <row r="63426" ht="9.9499999999999993" hidden="1" customHeight="1" x14ac:dyDescent="0.2"/>
    <row r="63427" ht="9.9499999999999993" hidden="1" customHeight="1" x14ac:dyDescent="0.2"/>
    <row r="63428" ht="9.9499999999999993" hidden="1" customHeight="1" x14ac:dyDescent="0.2"/>
    <row r="63429" ht="9.9499999999999993" hidden="1" customHeight="1" x14ac:dyDescent="0.2"/>
    <row r="63430" ht="9.9499999999999993" hidden="1" customHeight="1" x14ac:dyDescent="0.2"/>
    <row r="63431" ht="9.9499999999999993" hidden="1" customHeight="1" x14ac:dyDescent="0.2"/>
    <row r="63432" ht="9.9499999999999993" hidden="1" customHeight="1" x14ac:dyDescent="0.2"/>
    <row r="63433" ht="9.9499999999999993" hidden="1" customHeight="1" x14ac:dyDescent="0.2"/>
    <row r="63434" ht="9.9499999999999993" hidden="1" customHeight="1" x14ac:dyDescent="0.2"/>
    <row r="63435" ht="9.9499999999999993" hidden="1" customHeight="1" x14ac:dyDescent="0.2"/>
    <row r="63436" ht="9.9499999999999993" hidden="1" customHeight="1" x14ac:dyDescent="0.2"/>
    <row r="63437" ht="9.9499999999999993" hidden="1" customHeight="1" x14ac:dyDescent="0.2"/>
    <row r="63438" ht="9.9499999999999993" hidden="1" customHeight="1" x14ac:dyDescent="0.2"/>
    <row r="63439" ht="9.9499999999999993" hidden="1" customHeight="1" x14ac:dyDescent="0.2"/>
    <row r="63440" ht="9.9499999999999993" hidden="1" customHeight="1" x14ac:dyDescent="0.2"/>
    <row r="63441" ht="9.9499999999999993" hidden="1" customHeight="1" x14ac:dyDescent="0.2"/>
    <row r="63442" ht="9.9499999999999993" hidden="1" customHeight="1" x14ac:dyDescent="0.2"/>
    <row r="63443" ht="9.9499999999999993" hidden="1" customHeight="1" x14ac:dyDescent="0.2"/>
    <row r="63444" ht="9.9499999999999993" hidden="1" customHeight="1" x14ac:dyDescent="0.2"/>
    <row r="63445" ht="9.9499999999999993" hidden="1" customHeight="1" x14ac:dyDescent="0.2"/>
    <row r="63446" ht="9.9499999999999993" hidden="1" customHeight="1" x14ac:dyDescent="0.2"/>
    <row r="63447" ht="9.9499999999999993" hidden="1" customHeight="1" x14ac:dyDescent="0.2"/>
    <row r="63448" ht="9.9499999999999993" hidden="1" customHeight="1" x14ac:dyDescent="0.2"/>
    <row r="63449" ht="9.9499999999999993" hidden="1" customHeight="1" x14ac:dyDescent="0.2"/>
    <row r="63450" ht="9.9499999999999993" hidden="1" customHeight="1" x14ac:dyDescent="0.2"/>
    <row r="63451" ht="9.9499999999999993" hidden="1" customHeight="1" x14ac:dyDescent="0.2"/>
    <row r="63452" ht="9.9499999999999993" hidden="1" customHeight="1" x14ac:dyDescent="0.2"/>
    <row r="63453" ht="9.9499999999999993" hidden="1" customHeight="1" x14ac:dyDescent="0.2"/>
    <row r="63454" ht="9.9499999999999993" hidden="1" customHeight="1" x14ac:dyDescent="0.2"/>
    <row r="63455" ht="9.9499999999999993" hidden="1" customHeight="1" x14ac:dyDescent="0.2"/>
    <row r="63456" ht="9.9499999999999993" hidden="1" customHeight="1" x14ac:dyDescent="0.2"/>
    <row r="63457" ht="9.9499999999999993" hidden="1" customHeight="1" x14ac:dyDescent="0.2"/>
    <row r="63458" ht="9.9499999999999993" hidden="1" customHeight="1" x14ac:dyDescent="0.2"/>
    <row r="63459" ht="9.9499999999999993" hidden="1" customHeight="1" x14ac:dyDescent="0.2"/>
    <row r="63460" ht="9.9499999999999993" hidden="1" customHeight="1" x14ac:dyDescent="0.2"/>
    <row r="63461" ht="9.9499999999999993" hidden="1" customHeight="1" x14ac:dyDescent="0.2"/>
    <row r="63462" ht="9.9499999999999993" hidden="1" customHeight="1" x14ac:dyDescent="0.2"/>
    <row r="63463" ht="9.9499999999999993" hidden="1" customHeight="1" x14ac:dyDescent="0.2"/>
    <row r="63464" ht="9.9499999999999993" hidden="1" customHeight="1" x14ac:dyDescent="0.2"/>
    <row r="63465" ht="9.9499999999999993" hidden="1" customHeight="1" x14ac:dyDescent="0.2"/>
    <row r="63466" ht="9.9499999999999993" hidden="1" customHeight="1" x14ac:dyDescent="0.2"/>
    <row r="63467" ht="9.9499999999999993" hidden="1" customHeight="1" x14ac:dyDescent="0.2"/>
    <row r="63468" ht="9.9499999999999993" hidden="1" customHeight="1" x14ac:dyDescent="0.2"/>
    <row r="63469" ht="9.9499999999999993" hidden="1" customHeight="1" x14ac:dyDescent="0.2"/>
    <row r="63470" ht="9.9499999999999993" hidden="1" customHeight="1" x14ac:dyDescent="0.2"/>
    <row r="63471" ht="9.9499999999999993" hidden="1" customHeight="1" x14ac:dyDescent="0.2"/>
    <row r="63472" ht="9.9499999999999993" hidden="1" customHeight="1" x14ac:dyDescent="0.2"/>
    <row r="63473" ht="9.9499999999999993" hidden="1" customHeight="1" x14ac:dyDescent="0.2"/>
    <row r="63474" ht="9.9499999999999993" hidden="1" customHeight="1" x14ac:dyDescent="0.2"/>
    <row r="63475" ht="9.9499999999999993" hidden="1" customHeight="1" x14ac:dyDescent="0.2"/>
    <row r="63476" ht="9.9499999999999993" hidden="1" customHeight="1" x14ac:dyDescent="0.2"/>
    <row r="63477" ht="9.9499999999999993" hidden="1" customHeight="1" x14ac:dyDescent="0.2"/>
    <row r="63478" ht="9.9499999999999993" hidden="1" customHeight="1" x14ac:dyDescent="0.2"/>
    <row r="63479" ht="9.9499999999999993" hidden="1" customHeight="1" x14ac:dyDescent="0.2"/>
    <row r="63480" ht="9.9499999999999993" hidden="1" customHeight="1" x14ac:dyDescent="0.2"/>
    <row r="63481" ht="9.9499999999999993" hidden="1" customHeight="1" x14ac:dyDescent="0.2"/>
    <row r="63482" ht="9.9499999999999993" hidden="1" customHeight="1" x14ac:dyDescent="0.2"/>
    <row r="63483" ht="9.9499999999999993" hidden="1" customHeight="1" x14ac:dyDescent="0.2"/>
    <row r="63484" ht="9.9499999999999993" hidden="1" customHeight="1" x14ac:dyDescent="0.2"/>
    <row r="63485" ht="9.9499999999999993" hidden="1" customHeight="1" x14ac:dyDescent="0.2"/>
    <row r="63486" ht="9.9499999999999993" hidden="1" customHeight="1" x14ac:dyDescent="0.2"/>
    <row r="63487" ht="9.9499999999999993" hidden="1" customHeight="1" x14ac:dyDescent="0.2"/>
    <row r="63488" ht="9.9499999999999993" hidden="1" customHeight="1" x14ac:dyDescent="0.2"/>
    <row r="63489" ht="9.9499999999999993" hidden="1" customHeight="1" x14ac:dyDescent="0.2"/>
    <row r="63490" ht="9.9499999999999993" hidden="1" customHeight="1" x14ac:dyDescent="0.2"/>
    <row r="63491" ht="9.9499999999999993" hidden="1" customHeight="1" x14ac:dyDescent="0.2"/>
    <row r="63492" ht="9.9499999999999993" hidden="1" customHeight="1" x14ac:dyDescent="0.2"/>
    <row r="63493" ht="9.9499999999999993" hidden="1" customHeight="1" x14ac:dyDescent="0.2"/>
    <row r="63494" ht="9.9499999999999993" hidden="1" customHeight="1" x14ac:dyDescent="0.2"/>
    <row r="63495" ht="9.9499999999999993" hidden="1" customHeight="1" x14ac:dyDescent="0.2"/>
    <row r="63496" ht="9.9499999999999993" hidden="1" customHeight="1" x14ac:dyDescent="0.2"/>
    <row r="63497" ht="9.9499999999999993" hidden="1" customHeight="1" x14ac:dyDescent="0.2"/>
    <row r="63498" ht="9.9499999999999993" hidden="1" customHeight="1" x14ac:dyDescent="0.2"/>
    <row r="63499" ht="9.9499999999999993" hidden="1" customHeight="1" x14ac:dyDescent="0.2"/>
    <row r="63500" ht="9.9499999999999993" hidden="1" customHeight="1" x14ac:dyDescent="0.2"/>
    <row r="63501" ht="9.9499999999999993" hidden="1" customHeight="1" x14ac:dyDescent="0.2"/>
    <row r="63502" ht="9.9499999999999993" hidden="1" customHeight="1" x14ac:dyDescent="0.2"/>
    <row r="63503" ht="9.9499999999999993" hidden="1" customHeight="1" x14ac:dyDescent="0.2"/>
    <row r="63504" ht="9.9499999999999993" hidden="1" customHeight="1" x14ac:dyDescent="0.2"/>
    <row r="63505" ht="9.9499999999999993" hidden="1" customHeight="1" x14ac:dyDescent="0.2"/>
    <row r="63506" ht="9.9499999999999993" hidden="1" customHeight="1" x14ac:dyDescent="0.2"/>
    <row r="63507" ht="9.9499999999999993" hidden="1" customHeight="1" x14ac:dyDescent="0.2"/>
    <row r="63508" ht="9.9499999999999993" hidden="1" customHeight="1" x14ac:dyDescent="0.2"/>
    <row r="63509" ht="9.9499999999999993" hidden="1" customHeight="1" x14ac:dyDescent="0.2"/>
    <row r="63510" ht="9.9499999999999993" hidden="1" customHeight="1" x14ac:dyDescent="0.2"/>
    <row r="63511" ht="9.9499999999999993" hidden="1" customHeight="1" x14ac:dyDescent="0.2"/>
    <row r="63512" ht="9.9499999999999993" hidden="1" customHeight="1" x14ac:dyDescent="0.2"/>
    <row r="63513" ht="9.9499999999999993" hidden="1" customHeight="1" x14ac:dyDescent="0.2"/>
    <row r="63514" ht="9.9499999999999993" hidden="1" customHeight="1" x14ac:dyDescent="0.2"/>
    <row r="63515" ht="9.9499999999999993" hidden="1" customHeight="1" x14ac:dyDescent="0.2"/>
    <row r="63516" ht="9.9499999999999993" hidden="1" customHeight="1" x14ac:dyDescent="0.2"/>
    <row r="63517" ht="9.9499999999999993" hidden="1" customHeight="1" x14ac:dyDescent="0.2"/>
    <row r="63518" ht="9.9499999999999993" hidden="1" customHeight="1" x14ac:dyDescent="0.2"/>
    <row r="63519" ht="9.9499999999999993" hidden="1" customHeight="1" x14ac:dyDescent="0.2"/>
    <row r="63520" ht="9.9499999999999993" hidden="1" customHeight="1" x14ac:dyDescent="0.2"/>
    <row r="63521" ht="9.9499999999999993" hidden="1" customHeight="1" x14ac:dyDescent="0.2"/>
    <row r="63522" ht="9.9499999999999993" hidden="1" customHeight="1" x14ac:dyDescent="0.2"/>
    <row r="63523" ht="9.9499999999999993" hidden="1" customHeight="1" x14ac:dyDescent="0.2"/>
    <row r="63524" ht="9.9499999999999993" hidden="1" customHeight="1" x14ac:dyDescent="0.2"/>
    <row r="63525" ht="9.9499999999999993" hidden="1" customHeight="1" x14ac:dyDescent="0.2"/>
    <row r="63526" ht="9.9499999999999993" hidden="1" customHeight="1" x14ac:dyDescent="0.2"/>
    <row r="63527" ht="9.9499999999999993" hidden="1" customHeight="1" x14ac:dyDescent="0.2"/>
    <row r="63528" ht="9.9499999999999993" hidden="1" customHeight="1" x14ac:dyDescent="0.2"/>
    <row r="63529" ht="9.9499999999999993" hidden="1" customHeight="1" x14ac:dyDescent="0.2"/>
    <row r="63530" ht="9.9499999999999993" hidden="1" customHeight="1" x14ac:dyDescent="0.2"/>
    <row r="63531" ht="9.9499999999999993" hidden="1" customHeight="1" x14ac:dyDescent="0.2"/>
    <row r="63532" ht="9.9499999999999993" hidden="1" customHeight="1" x14ac:dyDescent="0.2"/>
    <row r="63533" ht="9.9499999999999993" hidden="1" customHeight="1" x14ac:dyDescent="0.2"/>
    <row r="63534" ht="9.9499999999999993" hidden="1" customHeight="1" x14ac:dyDescent="0.2"/>
    <row r="63535" ht="9.9499999999999993" hidden="1" customHeight="1" x14ac:dyDescent="0.2"/>
    <row r="63536" ht="9.9499999999999993" hidden="1" customHeight="1" x14ac:dyDescent="0.2"/>
    <row r="63537" ht="9.9499999999999993" hidden="1" customHeight="1" x14ac:dyDescent="0.2"/>
    <row r="63538" ht="9.9499999999999993" hidden="1" customHeight="1" x14ac:dyDescent="0.2"/>
    <row r="63539" ht="9.9499999999999993" hidden="1" customHeight="1" x14ac:dyDescent="0.2"/>
    <row r="63540" ht="9.9499999999999993" hidden="1" customHeight="1" x14ac:dyDescent="0.2"/>
    <row r="63541" ht="9.9499999999999993" hidden="1" customHeight="1" x14ac:dyDescent="0.2"/>
    <row r="63542" ht="9.9499999999999993" hidden="1" customHeight="1" x14ac:dyDescent="0.2"/>
    <row r="63543" ht="9.9499999999999993" hidden="1" customHeight="1" x14ac:dyDescent="0.2"/>
    <row r="63544" ht="9.9499999999999993" hidden="1" customHeight="1" x14ac:dyDescent="0.2"/>
    <row r="63545" ht="9.9499999999999993" hidden="1" customHeight="1" x14ac:dyDescent="0.2"/>
    <row r="63546" ht="9.9499999999999993" hidden="1" customHeight="1" x14ac:dyDescent="0.2"/>
    <row r="63547" ht="9.9499999999999993" hidden="1" customHeight="1" x14ac:dyDescent="0.2"/>
    <row r="63548" ht="9.9499999999999993" hidden="1" customHeight="1" x14ac:dyDescent="0.2"/>
    <row r="63549" ht="9.9499999999999993" hidden="1" customHeight="1" x14ac:dyDescent="0.2"/>
    <row r="63550" ht="9.9499999999999993" hidden="1" customHeight="1" x14ac:dyDescent="0.2"/>
    <row r="63551" ht="9.9499999999999993" hidden="1" customHeight="1" x14ac:dyDescent="0.2"/>
    <row r="63552" ht="9.9499999999999993" hidden="1" customHeight="1" x14ac:dyDescent="0.2"/>
    <row r="63553" ht="9.9499999999999993" hidden="1" customHeight="1" x14ac:dyDescent="0.2"/>
    <row r="63554" ht="9.9499999999999993" hidden="1" customHeight="1" x14ac:dyDescent="0.2"/>
    <row r="63555" ht="9.9499999999999993" hidden="1" customHeight="1" x14ac:dyDescent="0.2"/>
    <row r="63556" ht="9.9499999999999993" hidden="1" customHeight="1" x14ac:dyDescent="0.2"/>
    <row r="63557" ht="9.9499999999999993" hidden="1" customHeight="1" x14ac:dyDescent="0.2"/>
    <row r="63558" ht="9.9499999999999993" hidden="1" customHeight="1" x14ac:dyDescent="0.2"/>
    <row r="63559" ht="9.9499999999999993" hidden="1" customHeight="1" x14ac:dyDescent="0.2"/>
    <row r="63560" ht="9.9499999999999993" hidden="1" customHeight="1" x14ac:dyDescent="0.2"/>
    <row r="63561" ht="9.9499999999999993" hidden="1" customHeight="1" x14ac:dyDescent="0.2"/>
    <row r="63562" ht="9.9499999999999993" hidden="1" customHeight="1" x14ac:dyDescent="0.2"/>
    <row r="63563" ht="9.9499999999999993" hidden="1" customHeight="1" x14ac:dyDescent="0.2"/>
    <row r="63564" ht="9.9499999999999993" hidden="1" customHeight="1" x14ac:dyDescent="0.2"/>
    <row r="63565" ht="9.9499999999999993" hidden="1" customHeight="1" x14ac:dyDescent="0.2"/>
    <row r="63566" ht="9.9499999999999993" hidden="1" customHeight="1" x14ac:dyDescent="0.2"/>
    <row r="63567" ht="9.9499999999999993" hidden="1" customHeight="1" x14ac:dyDescent="0.2"/>
    <row r="63568" ht="9.9499999999999993" hidden="1" customHeight="1" x14ac:dyDescent="0.2"/>
    <row r="63569" ht="9.9499999999999993" hidden="1" customHeight="1" x14ac:dyDescent="0.2"/>
    <row r="63570" ht="9.9499999999999993" hidden="1" customHeight="1" x14ac:dyDescent="0.2"/>
    <row r="63571" ht="9.9499999999999993" hidden="1" customHeight="1" x14ac:dyDescent="0.2"/>
    <row r="63572" ht="9.9499999999999993" hidden="1" customHeight="1" x14ac:dyDescent="0.2"/>
    <row r="63573" ht="9.9499999999999993" hidden="1" customHeight="1" x14ac:dyDescent="0.2"/>
    <row r="63574" ht="9.9499999999999993" hidden="1" customHeight="1" x14ac:dyDescent="0.2"/>
    <row r="63575" ht="9.9499999999999993" hidden="1" customHeight="1" x14ac:dyDescent="0.2"/>
    <row r="63576" ht="9.9499999999999993" hidden="1" customHeight="1" x14ac:dyDescent="0.2"/>
    <row r="63577" ht="9.9499999999999993" hidden="1" customHeight="1" x14ac:dyDescent="0.2"/>
    <row r="63578" ht="9.9499999999999993" hidden="1" customHeight="1" x14ac:dyDescent="0.2"/>
    <row r="63579" ht="9.9499999999999993" hidden="1" customHeight="1" x14ac:dyDescent="0.2"/>
    <row r="63580" ht="9.9499999999999993" hidden="1" customHeight="1" x14ac:dyDescent="0.2"/>
    <row r="63581" ht="9.9499999999999993" hidden="1" customHeight="1" x14ac:dyDescent="0.2"/>
    <row r="63582" ht="9.9499999999999993" hidden="1" customHeight="1" x14ac:dyDescent="0.2"/>
    <row r="63583" ht="9.9499999999999993" hidden="1" customHeight="1" x14ac:dyDescent="0.2"/>
    <row r="63584" ht="9.9499999999999993" hidden="1" customHeight="1" x14ac:dyDescent="0.2"/>
    <row r="63585" ht="9.9499999999999993" hidden="1" customHeight="1" x14ac:dyDescent="0.2"/>
    <row r="63586" ht="9.9499999999999993" hidden="1" customHeight="1" x14ac:dyDescent="0.2"/>
    <row r="63587" ht="9.9499999999999993" hidden="1" customHeight="1" x14ac:dyDescent="0.2"/>
    <row r="63588" ht="9.9499999999999993" hidden="1" customHeight="1" x14ac:dyDescent="0.2"/>
    <row r="63589" ht="9.9499999999999993" hidden="1" customHeight="1" x14ac:dyDescent="0.2"/>
    <row r="63590" ht="9.9499999999999993" hidden="1" customHeight="1" x14ac:dyDescent="0.2"/>
    <row r="63591" ht="9.9499999999999993" hidden="1" customHeight="1" x14ac:dyDescent="0.2"/>
    <row r="63592" ht="9.9499999999999993" hidden="1" customHeight="1" x14ac:dyDescent="0.2"/>
    <row r="63593" ht="9.9499999999999993" hidden="1" customHeight="1" x14ac:dyDescent="0.2"/>
    <row r="63594" ht="9.9499999999999993" hidden="1" customHeight="1" x14ac:dyDescent="0.2"/>
    <row r="63595" ht="9.9499999999999993" hidden="1" customHeight="1" x14ac:dyDescent="0.2"/>
    <row r="63596" ht="9.9499999999999993" hidden="1" customHeight="1" x14ac:dyDescent="0.2"/>
    <row r="63597" ht="9.9499999999999993" hidden="1" customHeight="1" x14ac:dyDescent="0.2"/>
    <row r="63598" ht="9.9499999999999993" hidden="1" customHeight="1" x14ac:dyDescent="0.2"/>
    <row r="63599" ht="9.9499999999999993" hidden="1" customHeight="1" x14ac:dyDescent="0.2"/>
    <row r="63600" ht="9.9499999999999993" hidden="1" customHeight="1" x14ac:dyDescent="0.2"/>
    <row r="63601" ht="9.9499999999999993" hidden="1" customHeight="1" x14ac:dyDescent="0.2"/>
    <row r="63602" ht="9.9499999999999993" hidden="1" customHeight="1" x14ac:dyDescent="0.2"/>
    <row r="63603" ht="9.9499999999999993" hidden="1" customHeight="1" x14ac:dyDescent="0.2"/>
    <row r="63604" ht="9.9499999999999993" hidden="1" customHeight="1" x14ac:dyDescent="0.2"/>
    <row r="63605" ht="9.9499999999999993" hidden="1" customHeight="1" x14ac:dyDescent="0.2"/>
    <row r="63606" ht="9.9499999999999993" hidden="1" customHeight="1" x14ac:dyDescent="0.2"/>
    <row r="63607" ht="9.9499999999999993" hidden="1" customHeight="1" x14ac:dyDescent="0.2"/>
    <row r="63608" ht="9.9499999999999993" hidden="1" customHeight="1" x14ac:dyDescent="0.2"/>
    <row r="63609" ht="9.9499999999999993" hidden="1" customHeight="1" x14ac:dyDescent="0.2"/>
    <row r="63610" ht="9.9499999999999993" hidden="1" customHeight="1" x14ac:dyDescent="0.2"/>
    <row r="63611" ht="9.9499999999999993" hidden="1" customHeight="1" x14ac:dyDescent="0.2"/>
    <row r="63612" ht="9.9499999999999993" hidden="1" customHeight="1" x14ac:dyDescent="0.2"/>
    <row r="63613" ht="9.9499999999999993" hidden="1" customHeight="1" x14ac:dyDescent="0.2"/>
    <row r="63614" ht="9.9499999999999993" hidden="1" customHeight="1" x14ac:dyDescent="0.2"/>
    <row r="63615" ht="9.9499999999999993" hidden="1" customHeight="1" x14ac:dyDescent="0.2"/>
    <row r="63616" ht="9.9499999999999993" hidden="1" customHeight="1" x14ac:dyDescent="0.2"/>
    <row r="63617" ht="9.9499999999999993" hidden="1" customHeight="1" x14ac:dyDescent="0.2"/>
    <row r="63618" ht="9.9499999999999993" hidden="1" customHeight="1" x14ac:dyDescent="0.2"/>
    <row r="63619" ht="9.9499999999999993" hidden="1" customHeight="1" x14ac:dyDescent="0.2"/>
    <row r="63620" ht="9.9499999999999993" hidden="1" customHeight="1" x14ac:dyDescent="0.2"/>
    <row r="63621" ht="9.9499999999999993" hidden="1" customHeight="1" x14ac:dyDescent="0.2"/>
    <row r="63622" ht="9.9499999999999993" hidden="1" customHeight="1" x14ac:dyDescent="0.2"/>
    <row r="63623" ht="9.9499999999999993" hidden="1" customHeight="1" x14ac:dyDescent="0.2"/>
    <row r="63624" ht="9.9499999999999993" hidden="1" customHeight="1" x14ac:dyDescent="0.2"/>
    <row r="63625" ht="9.9499999999999993" hidden="1" customHeight="1" x14ac:dyDescent="0.2"/>
    <row r="63626" ht="9.9499999999999993" hidden="1" customHeight="1" x14ac:dyDescent="0.2"/>
    <row r="63627" ht="9.9499999999999993" hidden="1" customHeight="1" x14ac:dyDescent="0.2"/>
    <row r="63628" ht="9.9499999999999993" hidden="1" customHeight="1" x14ac:dyDescent="0.2"/>
    <row r="63629" ht="9.9499999999999993" hidden="1" customHeight="1" x14ac:dyDescent="0.2"/>
    <row r="63630" ht="9.9499999999999993" hidden="1" customHeight="1" x14ac:dyDescent="0.2"/>
    <row r="63631" ht="9.9499999999999993" hidden="1" customHeight="1" x14ac:dyDescent="0.2"/>
    <row r="63632" ht="9.9499999999999993" hidden="1" customHeight="1" x14ac:dyDescent="0.2"/>
    <row r="63633" ht="9.9499999999999993" hidden="1" customHeight="1" x14ac:dyDescent="0.2"/>
    <row r="63634" ht="9.9499999999999993" hidden="1" customHeight="1" x14ac:dyDescent="0.2"/>
    <row r="63635" ht="9.9499999999999993" hidden="1" customHeight="1" x14ac:dyDescent="0.2"/>
    <row r="63636" ht="9.9499999999999993" hidden="1" customHeight="1" x14ac:dyDescent="0.2"/>
    <row r="63637" ht="9.9499999999999993" hidden="1" customHeight="1" x14ac:dyDescent="0.2"/>
    <row r="63638" ht="9.9499999999999993" hidden="1" customHeight="1" x14ac:dyDescent="0.2"/>
    <row r="63639" ht="9.9499999999999993" hidden="1" customHeight="1" x14ac:dyDescent="0.2"/>
    <row r="63640" ht="9.9499999999999993" hidden="1" customHeight="1" x14ac:dyDescent="0.2"/>
    <row r="63641" ht="9.9499999999999993" hidden="1" customHeight="1" x14ac:dyDescent="0.2"/>
    <row r="63642" ht="9.9499999999999993" hidden="1" customHeight="1" x14ac:dyDescent="0.2"/>
    <row r="63643" ht="9.9499999999999993" hidden="1" customHeight="1" x14ac:dyDescent="0.2"/>
    <row r="63644" ht="9.9499999999999993" hidden="1" customHeight="1" x14ac:dyDescent="0.2"/>
    <row r="63645" ht="9.9499999999999993" hidden="1" customHeight="1" x14ac:dyDescent="0.2"/>
    <row r="63646" ht="9.9499999999999993" hidden="1" customHeight="1" x14ac:dyDescent="0.2"/>
    <row r="63647" ht="9.9499999999999993" hidden="1" customHeight="1" x14ac:dyDescent="0.2"/>
    <row r="63648" ht="9.9499999999999993" hidden="1" customHeight="1" x14ac:dyDescent="0.2"/>
    <row r="63649" ht="9.9499999999999993" hidden="1" customHeight="1" x14ac:dyDescent="0.2"/>
    <row r="63650" ht="9.9499999999999993" hidden="1" customHeight="1" x14ac:dyDescent="0.2"/>
    <row r="63651" ht="9.9499999999999993" hidden="1" customHeight="1" x14ac:dyDescent="0.2"/>
    <row r="63652" ht="9.9499999999999993" hidden="1" customHeight="1" x14ac:dyDescent="0.2"/>
    <row r="63653" ht="9.9499999999999993" hidden="1" customHeight="1" x14ac:dyDescent="0.2"/>
    <row r="63654" ht="9.9499999999999993" hidden="1" customHeight="1" x14ac:dyDescent="0.2"/>
    <row r="63655" ht="9.9499999999999993" hidden="1" customHeight="1" x14ac:dyDescent="0.2"/>
    <row r="63656" ht="9.9499999999999993" hidden="1" customHeight="1" x14ac:dyDescent="0.2"/>
    <row r="63657" ht="9.9499999999999993" hidden="1" customHeight="1" x14ac:dyDescent="0.2"/>
    <row r="63658" ht="9.9499999999999993" hidden="1" customHeight="1" x14ac:dyDescent="0.2"/>
    <row r="63659" ht="9.9499999999999993" hidden="1" customHeight="1" x14ac:dyDescent="0.2"/>
    <row r="63660" ht="9.9499999999999993" hidden="1" customHeight="1" x14ac:dyDescent="0.2"/>
    <row r="63661" ht="9.9499999999999993" hidden="1" customHeight="1" x14ac:dyDescent="0.2"/>
    <row r="63662" ht="9.9499999999999993" hidden="1" customHeight="1" x14ac:dyDescent="0.2"/>
    <row r="63663" ht="9.9499999999999993" hidden="1" customHeight="1" x14ac:dyDescent="0.2"/>
    <row r="63664" ht="9.9499999999999993" hidden="1" customHeight="1" x14ac:dyDescent="0.2"/>
    <row r="63665" ht="9.9499999999999993" hidden="1" customHeight="1" x14ac:dyDescent="0.2"/>
    <row r="63666" ht="9.9499999999999993" hidden="1" customHeight="1" x14ac:dyDescent="0.2"/>
    <row r="63667" ht="9.9499999999999993" hidden="1" customHeight="1" x14ac:dyDescent="0.2"/>
    <row r="63668" ht="9.9499999999999993" hidden="1" customHeight="1" x14ac:dyDescent="0.2"/>
    <row r="63669" ht="9.9499999999999993" hidden="1" customHeight="1" x14ac:dyDescent="0.2"/>
    <row r="63670" ht="9.9499999999999993" hidden="1" customHeight="1" x14ac:dyDescent="0.2"/>
    <row r="63671" ht="9.9499999999999993" hidden="1" customHeight="1" x14ac:dyDescent="0.2"/>
    <row r="63672" ht="9.9499999999999993" hidden="1" customHeight="1" x14ac:dyDescent="0.2"/>
    <row r="63673" ht="9.9499999999999993" hidden="1" customHeight="1" x14ac:dyDescent="0.2"/>
    <row r="63674" ht="9.9499999999999993" hidden="1" customHeight="1" x14ac:dyDescent="0.2"/>
    <row r="63675" ht="9.9499999999999993" hidden="1" customHeight="1" x14ac:dyDescent="0.2"/>
    <row r="63676" ht="9.9499999999999993" hidden="1" customHeight="1" x14ac:dyDescent="0.2"/>
    <row r="63677" ht="9.9499999999999993" hidden="1" customHeight="1" x14ac:dyDescent="0.2"/>
    <row r="63678" ht="9.9499999999999993" hidden="1" customHeight="1" x14ac:dyDescent="0.2"/>
    <row r="63679" ht="9.9499999999999993" hidden="1" customHeight="1" x14ac:dyDescent="0.2"/>
    <row r="63680" ht="9.9499999999999993" hidden="1" customHeight="1" x14ac:dyDescent="0.2"/>
    <row r="63681" ht="9.9499999999999993" hidden="1" customHeight="1" x14ac:dyDescent="0.2"/>
    <row r="63682" ht="9.9499999999999993" hidden="1" customHeight="1" x14ac:dyDescent="0.2"/>
    <row r="63683" ht="9.9499999999999993" hidden="1" customHeight="1" x14ac:dyDescent="0.2"/>
    <row r="63684" ht="9.9499999999999993" hidden="1" customHeight="1" x14ac:dyDescent="0.2"/>
    <row r="63685" ht="9.9499999999999993" hidden="1" customHeight="1" x14ac:dyDescent="0.2"/>
    <row r="63686" ht="9.9499999999999993" hidden="1" customHeight="1" x14ac:dyDescent="0.2"/>
    <row r="63687" ht="9.9499999999999993" hidden="1" customHeight="1" x14ac:dyDescent="0.2"/>
    <row r="63688" ht="9.9499999999999993" hidden="1" customHeight="1" x14ac:dyDescent="0.2"/>
    <row r="63689" ht="9.9499999999999993" hidden="1" customHeight="1" x14ac:dyDescent="0.2"/>
    <row r="63690" ht="9.9499999999999993" hidden="1" customHeight="1" x14ac:dyDescent="0.2"/>
    <row r="63691" ht="9.9499999999999993" hidden="1" customHeight="1" x14ac:dyDescent="0.2"/>
    <row r="63692" ht="9.9499999999999993" hidden="1" customHeight="1" x14ac:dyDescent="0.2"/>
    <row r="63693" ht="9.9499999999999993" hidden="1" customHeight="1" x14ac:dyDescent="0.2"/>
    <row r="63694" ht="9.9499999999999993" hidden="1" customHeight="1" x14ac:dyDescent="0.2"/>
    <row r="63695" ht="9.9499999999999993" hidden="1" customHeight="1" x14ac:dyDescent="0.2"/>
    <row r="63696" ht="9.9499999999999993" hidden="1" customHeight="1" x14ac:dyDescent="0.2"/>
    <row r="63697" ht="9.9499999999999993" hidden="1" customHeight="1" x14ac:dyDescent="0.2"/>
    <row r="63698" ht="9.9499999999999993" hidden="1" customHeight="1" x14ac:dyDescent="0.2"/>
    <row r="63699" ht="9.9499999999999993" hidden="1" customHeight="1" x14ac:dyDescent="0.2"/>
    <row r="63700" ht="9.9499999999999993" hidden="1" customHeight="1" x14ac:dyDescent="0.2"/>
    <row r="63701" ht="9.9499999999999993" hidden="1" customHeight="1" x14ac:dyDescent="0.2"/>
    <row r="63702" ht="9.9499999999999993" hidden="1" customHeight="1" x14ac:dyDescent="0.2"/>
    <row r="63703" ht="9.9499999999999993" hidden="1" customHeight="1" x14ac:dyDescent="0.2"/>
    <row r="63704" ht="9.9499999999999993" hidden="1" customHeight="1" x14ac:dyDescent="0.2"/>
    <row r="63705" ht="9.9499999999999993" hidden="1" customHeight="1" x14ac:dyDescent="0.2"/>
    <row r="63706" ht="9.9499999999999993" hidden="1" customHeight="1" x14ac:dyDescent="0.2"/>
    <row r="63707" ht="9.9499999999999993" hidden="1" customHeight="1" x14ac:dyDescent="0.2"/>
    <row r="63708" ht="9.9499999999999993" hidden="1" customHeight="1" x14ac:dyDescent="0.2"/>
    <row r="63709" ht="9.9499999999999993" hidden="1" customHeight="1" x14ac:dyDescent="0.2"/>
    <row r="63710" ht="9.9499999999999993" hidden="1" customHeight="1" x14ac:dyDescent="0.2"/>
    <row r="63711" ht="9.9499999999999993" hidden="1" customHeight="1" x14ac:dyDescent="0.2"/>
    <row r="63712" ht="9.9499999999999993" hidden="1" customHeight="1" x14ac:dyDescent="0.2"/>
    <row r="63713" ht="9.9499999999999993" hidden="1" customHeight="1" x14ac:dyDescent="0.2"/>
    <row r="63714" ht="9.9499999999999993" hidden="1" customHeight="1" x14ac:dyDescent="0.2"/>
    <row r="63715" ht="9.9499999999999993" hidden="1" customHeight="1" x14ac:dyDescent="0.2"/>
    <row r="63716" ht="9.9499999999999993" hidden="1" customHeight="1" x14ac:dyDescent="0.2"/>
    <row r="63717" ht="9.9499999999999993" hidden="1" customHeight="1" x14ac:dyDescent="0.2"/>
    <row r="63718" ht="9.9499999999999993" hidden="1" customHeight="1" x14ac:dyDescent="0.2"/>
    <row r="63719" ht="9.9499999999999993" hidden="1" customHeight="1" x14ac:dyDescent="0.2"/>
    <row r="63720" ht="9.9499999999999993" hidden="1" customHeight="1" x14ac:dyDescent="0.2"/>
    <row r="63721" ht="9.9499999999999993" hidden="1" customHeight="1" x14ac:dyDescent="0.2"/>
    <row r="63722" ht="9.9499999999999993" hidden="1" customHeight="1" x14ac:dyDescent="0.2"/>
    <row r="63723" ht="9.9499999999999993" hidden="1" customHeight="1" x14ac:dyDescent="0.2"/>
    <row r="63724" ht="9.9499999999999993" hidden="1" customHeight="1" x14ac:dyDescent="0.2"/>
    <row r="63725" ht="9.9499999999999993" hidden="1" customHeight="1" x14ac:dyDescent="0.2"/>
    <row r="63726" ht="9.9499999999999993" hidden="1" customHeight="1" x14ac:dyDescent="0.2"/>
    <row r="63727" ht="9.9499999999999993" hidden="1" customHeight="1" x14ac:dyDescent="0.2"/>
    <row r="63728" ht="9.9499999999999993" hidden="1" customHeight="1" x14ac:dyDescent="0.2"/>
    <row r="63729" spans="2:39" ht="9.9499999999999993" hidden="1" customHeight="1" x14ac:dyDescent="0.2"/>
    <row r="63730" spans="2:39" ht="9.9499999999999993" hidden="1" customHeight="1" x14ac:dyDescent="0.2"/>
    <row r="63731" spans="2:39" ht="9.9499999999999993" hidden="1" customHeight="1" x14ac:dyDescent="0.2">
      <c r="B63731" s="6"/>
      <c r="C63731" s="6"/>
      <c r="D63731" s="6"/>
      <c r="E63731" s="6"/>
      <c r="F63731" s="6"/>
      <c r="G63731" s="6"/>
      <c r="H63731" s="6"/>
      <c r="I63731" s="6"/>
      <c r="J63731" s="6"/>
      <c r="K63731" s="6"/>
      <c r="L63731" s="6"/>
      <c r="M63731" s="6"/>
      <c r="N63731" s="6"/>
      <c r="O63731" s="6"/>
      <c r="P63731" s="6"/>
      <c r="Q63731" s="6"/>
      <c r="R63731" s="6"/>
      <c r="S63731" s="6"/>
      <c r="T63731" s="6"/>
      <c r="U63731" s="6"/>
      <c r="V63731" s="6"/>
      <c r="W63731" s="6"/>
      <c r="X63731" s="6"/>
      <c r="Y63731" s="6"/>
      <c r="Z63731" s="6"/>
      <c r="AA63731" s="6"/>
      <c r="AB63731" s="6"/>
      <c r="AC63731" s="6"/>
      <c r="AD63731" s="6"/>
      <c r="AE63731" s="6"/>
      <c r="AF63731" s="6"/>
      <c r="AG63731" s="6"/>
      <c r="AH63731" s="6"/>
      <c r="AI63731" s="6"/>
      <c r="AJ63731" s="6"/>
      <c r="AK63731" s="6"/>
      <c r="AL63731" s="6"/>
      <c r="AM63731" s="6"/>
    </row>
    <row r="63732" spans="2:39" ht="9.9499999999999993" hidden="1" customHeight="1" x14ac:dyDescent="0.2">
      <c r="B63732" s="6"/>
      <c r="C63732" s="6"/>
      <c r="D63732" s="6"/>
      <c r="E63732" s="6"/>
      <c r="F63732" s="6"/>
      <c r="G63732" s="6"/>
      <c r="H63732" s="6"/>
      <c r="I63732" s="6"/>
      <c r="J63732" s="6"/>
      <c r="K63732" s="6"/>
      <c r="L63732" s="6"/>
      <c r="M63732" s="6"/>
      <c r="N63732" s="6"/>
      <c r="O63732" s="6"/>
      <c r="P63732" s="6"/>
      <c r="Q63732" s="6"/>
      <c r="R63732" s="6"/>
      <c r="S63732" s="6"/>
      <c r="T63732" s="6"/>
      <c r="U63732" s="6"/>
      <c r="V63732" s="6"/>
      <c r="W63732" s="6"/>
      <c r="X63732" s="6"/>
      <c r="Y63732" s="6"/>
      <c r="Z63732" s="6"/>
      <c r="AA63732" s="6"/>
      <c r="AB63732" s="6"/>
      <c r="AC63732" s="6"/>
      <c r="AD63732" s="6"/>
      <c r="AE63732" s="6"/>
      <c r="AF63732" s="6"/>
      <c r="AG63732" s="6"/>
      <c r="AH63732" s="6"/>
      <c r="AI63732" s="6"/>
      <c r="AJ63732" s="6"/>
      <c r="AK63732" s="6"/>
      <c r="AL63732" s="6"/>
      <c r="AM63732" s="6"/>
    </row>
    <row r="63733" spans="2:39" ht="9.9499999999999993" hidden="1" customHeight="1" x14ac:dyDescent="0.2">
      <c r="B63733" s="6"/>
      <c r="C63733" s="6"/>
      <c r="D63733" s="6"/>
      <c r="E63733" s="6"/>
      <c r="F63733" s="6"/>
      <c r="G63733" s="6"/>
      <c r="H63733" s="6"/>
      <c r="I63733" s="6"/>
      <c r="J63733" s="6"/>
      <c r="K63733" s="6"/>
      <c r="L63733" s="6"/>
      <c r="M63733" s="6"/>
      <c r="N63733" s="6"/>
      <c r="O63733" s="6"/>
      <c r="P63733" s="6"/>
      <c r="Q63733" s="6"/>
      <c r="R63733" s="6"/>
      <c r="S63733" s="6"/>
      <c r="T63733" s="6"/>
      <c r="U63733" s="6"/>
      <c r="V63733" s="6"/>
      <c r="W63733" s="6"/>
      <c r="X63733" s="6"/>
      <c r="Y63733" s="6"/>
      <c r="Z63733" s="6"/>
      <c r="AA63733" s="6"/>
      <c r="AB63733" s="6"/>
      <c r="AC63733" s="6"/>
      <c r="AD63733" s="6"/>
      <c r="AE63733" s="6"/>
      <c r="AF63733" s="6"/>
      <c r="AG63733" s="6"/>
      <c r="AH63733" s="6"/>
      <c r="AI63733" s="6"/>
      <c r="AJ63733" s="6"/>
      <c r="AK63733" s="6"/>
      <c r="AL63733" s="6"/>
      <c r="AM63733" s="6"/>
    </row>
    <row r="63734" spans="2:39" ht="9.9499999999999993" hidden="1" customHeight="1" x14ac:dyDescent="0.2">
      <c r="B63734" s="6"/>
      <c r="C63734" s="6"/>
      <c r="D63734" s="6"/>
      <c r="E63734" s="6"/>
      <c r="F63734" s="6"/>
      <c r="G63734" s="6"/>
      <c r="H63734" s="6"/>
      <c r="I63734" s="6"/>
      <c r="J63734" s="6"/>
      <c r="K63734" s="6"/>
      <c r="L63734" s="6"/>
      <c r="M63734" s="6"/>
      <c r="N63734" s="6"/>
      <c r="O63734" s="6"/>
      <c r="P63734" s="6"/>
      <c r="Q63734" s="6"/>
      <c r="R63734" s="6"/>
      <c r="S63734" s="6"/>
      <c r="T63734" s="6"/>
      <c r="U63734" s="6"/>
      <c r="V63734" s="6"/>
      <c r="W63734" s="6"/>
      <c r="X63734" s="6"/>
      <c r="Y63734" s="6"/>
      <c r="Z63734" s="6"/>
      <c r="AA63734" s="6"/>
      <c r="AB63734" s="6"/>
      <c r="AC63734" s="6"/>
      <c r="AD63734" s="6"/>
      <c r="AE63734" s="6"/>
      <c r="AF63734" s="6"/>
      <c r="AG63734" s="6"/>
      <c r="AH63734" s="6"/>
      <c r="AI63734" s="6"/>
      <c r="AJ63734" s="6"/>
      <c r="AK63734" s="6"/>
      <c r="AL63734" s="6"/>
      <c r="AM63734" s="6"/>
    </row>
    <row r="63735" spans="2:39" ht="9.9499999999999993" hidden="1" customHeight="1" x14ac:dyDescent="0.2">
      <c r="B63735" s="6"/>
      <c r="C63735" s="6"/>
      <c r="D63735" s="6"/>
      <c r="E63735" s="6"/>
      <c r="F63735" s="6"/>
      <c r="G63735" s="6"/>
      <c r="H63735" s="6"/>
      <c r="I63735" s="6"/>
      <c r="J63735" s="6"/>
      <c r="K63735" s="6"/>
      <c r="L63735" s="6"/>
      <c r="M63735" s="6"/>
      <c r="N63735" s="6"/>
      <c r="O63735" s="6"/>
      <c r="P63735" s="6"/>
      <c r="Q63735" s="6"/>
      <c r="R63735" s="6"/>
      <c r="S63735" s="6"/>
      <c r="T63735" s="6"/>
      <c r="U63735" s="6"/>
      <c r="V63735" s="6"/>
      <c r="W63735" s="6"/>
      <c r="X63735" s="6"/>
      <c r="Y63735" s="6"/>
      <c r="Z63735" s="6"/>
      <c r="AA63735" s="6"/>
      <c r="AB63735" s="6"/>
      <c r="AC63735" s="6"/>
      <c r="AD63735" s="6"/>
      <c r="AE63735" s="6"/>
      <c r="AF63735" s="6"/>
      <c r="AG63735" s="6"/>
      <c r="AH63735" s="6"/>
      <c r="AI63735" s="6"/>
      <c r="AJ63735" s="6"/>
      <c r="AK63735" s="6"/>
      <c r="AL63735" s="6"/>
      <c r="AM63735" s="6"/>
    </row>
    <row r="63736" spans="2:39" ht="9.9499999999999993" hidden="1" customHeight="1" x14ac:dyDescent="0.2">
      <c r="B63736" s="6"/>
      <c r="C63736" s="6"/>
      <c r="D63736" s="6"/>
      <c r="E63736" s="6"/>
      <c r="F63736" s="6"/>
      <c r="G63736" s="6"/>
      <c r="H63736" s="6"/>
      <c r="I63736" s="6"/>
      <c r="J63736" s="6"/>
      <c r="K63736" s="6"/>
      <c r="L63736" s="6"/>
      <c r="M63736" s="6"/>
      <c r="N63736" s="6"/>
      <c r="O63736" s="6"/>
      <c r="P63736" s="6"/>
      <c r="Q63736" s="6"/>
      <c r="R63736" s="6"/>
      <c r="S63736" s="6"/>
      <c r="T63736" s="6"/>
      <c r="U63736" s="6"/>
      <c r="V63736" s="6"/>
      <c r="W63736" s="6"/>
      <c r="X63736" s="6"/>
      <c r="Y63736" s="6"/>
      <c r="Z63736" s="6"/>
      <c r="AA63736" s="6"/>
      <c r="AB63736" s="6"/>
      <c r="AC63736" s="6"/>
      <c r="AD63736" s="6"/>
      <c r="AE63736" s="6"/>
      <c r="AF63736" s="6"/>
      <c r="AG63736" s="6"/>
      <c r="AH63736" s="6"/>
      <c r="AI63736" s="6"/>
      <c r="AJ63736" s="6"/>
      <c r="AK63736" s="6"/>
      <c r="AL63736" s="6"/>
      <c r="AM63736" s="6"/>
    </row>
    <row r="63737" spans="2:39" ht="9.9499999999999993" hidden="1" customHeight="1" x14ac:dyDescent="0.2">
      <c r="B63737" s="6"/>
      <c r="C63737" s="6"/>
      <c r="D63737" s="6"/>
      <c r="E63737" s="6"/>
      <c r="F63737" s="6"/>
      <c r="G63737" s="6"/>
      <c r="H63737" s="6"/>
      <c r="I63737" s="6"/>
      <c r="J63737" s="6"/>
      <c r="K63737" s="6"/>
      <c r="L63737" s="6"/>
      <c r="M63737" s="6"/>
      <c r="N63737" s="6"/>
      <c r="O63737" s="6"/>
      <c r="P63737" s="6"/>
      <c r="Q63737" s="6"/>
      <c r="R63737" s="6"/>
      <c r="S63737" s="6"/>
      <c r="T63737" s="6"/>
      <c r="U63737" s="6"/>
      <c r="V63737" s="6"/>
      <c r="W63737" s="6"/>
      <c r="X63737" s="6"/>
      <c r="Y63737" s="6"/>
      <c r="Z63737" s="6"/>
      <c r="AA63737" s="6"/>
      <c r="AB63737" s="6"/>
      <c r="AC63737" s="6"/>
      <c r="AD63737" s="6"/>
      <c r="AE63737" s="6"/>
      <c r="AF63737" s="6"/>
      <c r="AG63737" s="6"/>
      <c r="AH63737" s="6"/>
      <c r="AI63737" s="6"/>
      <c r="AJ63737" s="6"/>
      <c r="AK63737" s="6"/>
      <c r="AL63737" s="6"/>
      <c r="AM63737" s="6"/>
    </row>
    <row r="63738" spans="2:39" ht="9.9499999999999993" hidden="1" customHeight="1" x14ac:dyDescent="0.2">
      <c r="B63738" s="6"/>
      <c r="C63738" s="6"/>
      <c r="D63738" s="6"/>
      <c r="E63738" s="6"/>
      <c r="F63738" s="6"/>
      <c r="G63738" s="6"/>
      <c r="H63738" s="6"/>
      <c r="I63738" s="6"/>
      <c r="J63738" s="6"/>
      <c r="K63738" s="6"/>
      <c r="L63738" s="6"/>
      <c r="M63738" s="6"/>
      <c r="N63738" s="6"/>
      <c r="O63738" s="6"/>
      <c r="P63738" s="6"/>
      <c r="Q63738" s="6"/>
      <c r="R63738" s="6"/>
      <c r="S63738" s="6"/>
      <c r="T63738" s="6"/>
      <c r="U63738" s="6"/>
      <c r="V63738" s="6"/>
      <c r="W63738" s="6"/>
      <c r="X63738" s="6"/>
      <c r="Y63738" s="6"/>
      <c r="Z63738" s="6"/>
      <c r="AA63738" s="6"/>
      <c r="AB63738" s="6"/>
      <c r="AC63738" s="6"/>
      <c r="AD63738" s="6"/>
      <c r="AE63738" s="6"/>
      <c r="AF63738" s="6"/>
      <c r="AG63738" s="6"/>
      <c r="AH63738" s="6"/>
      <c r="AI63738" s="6"/>
      <c r="AJ63738" s="6"/>
      <c r="AK63738" s="6"/>
      <c r="AL63738" s="6"/>
      <c r="AM63738" s="6"/>
    </row>
    <row r="63739" spans="2:39" ht="9.9499999999999993" hidden="1" customHeight="1" x14ac:dyDescent="0.2">
      <c r="B63739" s="6"/>
      <c r="C63739" s="6"/>
      <c r="D63739" s="6"/>
      <c r="E63739" s="6"/>
      <c r="F63739" s="6"/>
      <c r="G63739" s="6"/>
      <c r="H63739" s="6"/>
      <c r="I63739" s="6"/>
      <c r="J63739" s="6"/>
      <c r="K63739" s="6"/>
      <c r="L63739" s="6"/>
      <c r="M63739" s="6"/>
      <c r="N63739" s="6"/>
      <c r="O63739" s="6"/>
      <c r="P63739" s="6"/>
      <c r="Q63739" s="6"/>
      <c r="R63739" s="6"/>
      <c r="S63739" s="6"/>
      <c r="T63739" s="6"/>
      <c r="U63739" s="6"/>
      <c r="V63739" s="6"/>
      <c r="W63739" s="6"/>
      <c r="X63739" s="6"/>
      <c r="Y63739" s="6"/>
      <c r="Z63739" s="6"/>
      <c r="AA63739" s="6"/>
      <c r="AB63739" s="6"/>
      <c r="AC63739" s="6"/>
      <c r="AD63739" s="6"/>
      <c r="AE63739" s="6"/>
      <c r="AF63739" s="6"/>
      <c r="AG63739" s="6"/>
      <c r="AH63739" s="6"/>
      <c r="AI63739" s="6"/>
      <c r="AJ63739" s="6"/>
      <c r="AK63739" s="6"/>
      <c r="AL63739" s="6"/>
      <c r="AM63739" s="6"/>
    </row>
    <row r="63740" spans="2:39" ht="9.9499999999999993" hidden="1" customHeight="1" x14ac:dyDescent="0.2">
      <c r="B63740" s="6"/>
      <c r="C63740" s="6"/>
      <c r="D63740" s="6"/>
      <c r="E63740" s="6"/>
      <c r="F63740" s="6"/>
      <c r="G63740" s="6"/>
      <c r="H63740" s="6"/>
      <c r="I63740" s="6"/>
      <c r="J63740" s="6"/>
      <c r="K63740" s="6"/>
      <c r="L63740" s="6"/>
      <c r="M63740" s="6"/>
      <c r="N63740" s="6"/>
      <c r="O63740" s="6"/>
      <c r="P63740" s="6"/>
      <c r="Q63740" s="6"/>
      <c r="R63740" s="6"/>
      <c r="S63740" s="6"/>
      <c r="T63740" s="6"/>
      <c r="U63740" s="6"/>
      <c r="V63740" s="6"/>
      <c r="W63740" s="6"/>
      <c r="X63740" s="6"/>
      <c r="Y63740" s="6"/>
      <c r="Z63740" s="6"/>
      <c r="AA63740" s="6"/>
      <c r="AB63740" s="6"/>
      <c r="AC63740" s="6"/>
      <c r="AD63740" s="6"/>
      <c r="AE63740" s="6"/>
      <c r="AF63740" s="6"/>
      <c r="AG63740" s="6"/>
      <c r="AH63740" s="6"/>
      <c r="AI63740" s="6"/>
      <c r="AJ63740" s="6"/>
      <c r="AK63740" s="6"/>
      <c r="AL63740" s="6"/>
      <c r="AM63740" s="6"/>
    </row>
    <row r="63741" spans="2:39" ht="9.9499999999999993" hidden="1" customHeight="1" x14ac:dyDescent="0.2">
      <c r="B63741" s="6"/>
      <c r="C63741" s="6"/>
      <c r="D63741" s="6"/>
      <c r="E63741" s="6"/>
      <c r="F63741" s="6"/>
      <c r="G63741" s="6"/>
      <c r="H63741" s="6"/>
      <c r="I63741" s="6"/>
      <c r="J63741" s="6"/>
      <c r="K63741" s="6"/>
      <c r="L63741" s="6"/>
      <c r="M63741" s="6"/>
      <c r="N63741" s="6"/>
      <c r="O63741" s="6"/>
      <c r="P63741" s="6"/>
      <c r="Q63741" s="6"/>
      <c r="R63741" s="6"/>
      <c r="S63741" s="6"/>
      <c r="T63741" s="6"/>
      <c r="U63741" s="6"/>
      <c r="V63741" s="6"/>
      <c r="W63741" s="6"/>
      <c r="X63741" s="6"/>
      <c r="Y63741" s="6"/>
      <c r="Z63741" s="6"/>
      <c r="AA63741" s="6"/>
      <c r="AB63741" s="6"/>
      <c r="AC63741" s="6"/>
      <c r="AD63741" s="6"/>
      <c r="AE63741" s="6"/>
      <c r="AF63741" s="6"/>
      <c r="AG63741" s="6"/>
      <c r="AH63741" s="6"/>
      <c r="AI63741" s="6"/>
      <c r="AJ63741" s="6"/>
      <c r="AK63741" s="6"/>
      <c r="AL63741" s="6"/>
      <c r="AM63741" s="6"/>
    </row>
    <row r="63742" spans="2:39" ht="9.9499999999999993" hidden="1" customHeight="1" x14ac:dyDescent="0.2">
      <c r="B63742" s="6"/>
      <c r="C63742" s="6"/>
      <c r="D63742" s="6"/>
      <c r="E63742" s="6"/>
      <c r="F63742" s="6"/>
      <c r="G63742" s="6"/>
      <c r="H63742" s="6"/>
      <c r="I63742" s="6"/>
      <c r="J63742" s="6"/>
      <c r="K63742" s="6"/>
      <c r="L63742" s="6"/>
      <c r="M63742" s="6"/>
      <c r="N63742" s="6"/>
      <c r="O63742" s="6"/>
      <c r="P63742" s="6"/>
      <c r="Q63742" s="6"/>
      <c r="R63742" s="6"/>
      <c r="S63742" s="6"/>
      <c r="T63742" s="6"/>
      <c r="U63742" s="6"/>
      <c r="V63742" s="6"/>
      <c r="W63742" s="6"/>
      <c r="X63742" s="6"/>
      <c r="Y63742" s="6"/>
      <c r="Z63742" s="6"/>
      <c r="AA63742" s="6"/>
      <c r="AB63742" s="6"/>
      <c r="AC63742" s="6"/>
      <c r="AD63742" s="6"/>
      <c r="AE63742" s="6"/>
      <c r="AF63742" s="6"/>
      <c r="AG63742" s="6"/>
      <c r="AH63742" s="6"/>
      <c r="AI63742" s="6"/>
      <c r="AJ63742" s="6"/>
      <c r="AK63742" s="6"/>
      <c r="AL63742" s="6"/>
      <c r="AM63742" s="6"/>
    </row>
    <row r="63743" spans="2:39" ht="9.9499999999999993" hidden="1" customHeight="1" x14ac:dyDescent="0.2">
      <c r="B63743" s="6"/>
      <c r="C63743" s="6"/>
      <c r="D63743" s="6"/>
      <c r="E63743" s="6"/>
      <c r="F63743" s="6"/>
      <c r="G63743" s="6"/>
      <c r="H63743" s="6"/>
      <c r="I63743" s="6"/>
      <c r="J63743" s="6"/>
      <c r="K63743" s="6"/>
      <c r="L63743" s="6"/>
      <c r="M63743" s="6"/>
      <c r="N63743" s="6"/>
      <c r="O63743" s="6"/>
      <c r="P63743" s="6"/>
      <c r="Q63743" s="6"/>
      <c r="R63743" s="6"/>
      <c r="S63743" s="6"/>
      <c r="T63743" s="6"/>
      <c r="U63743" s="6"/>
      <c r="V63743" s="6"/>
      <c r="W63743" s="6"/>
      <c r="X63743" s="6"/>
      <c r="Y63743" s="6"/>
      <c r="Z63743" s="6"/>
      <c r="AA63743" s="6"/>
      <c r="AB63743" s="6"/>
      <c r="AC63743" s="6"/>
      <c r="AD63743" s="6"/>
      <c r="AE63743" s="6"/>
      <c r="AF63743" s="6"/>
      <c r="AG63743" s="6"/>
      <c r="AH63743" s="6"/>
      <c r="AI63743" s="6"/>
      <c r="AJ63743" s="6"/>
      <c r="AK63743" s="6"/>
      <c r="AL63743" s="6"/>
      <c r="AM63743" s="6"/>
    </row>
    <row r="63744" spans="2:39" ht="9.9499999999999993" hidden="1" customHeight="1" x14ac:dyDescent="0.2">
      <c r="B63744" s="6"/>
      <c r="C63744" s="6"/>
      <c r="D63744" s="6"/>
      <c r="E63744" s="6"/>
      <c r="F63744" s="6"/>
      <c r="G63744" s="6"/>
      <c r="H63744" s="6"/>
      <c r="I63744" s="6"/>
      <c r="J63744" s="6"/>
      <c r="K63744" s="6"/>
      <c r="L63744" s="6"/>
      <c r="M63744" s="6"/>
      <c r="N63744" s="6"/>
      <c r="O63744" s="6"/>
      <c r="P63744" s="6"/>
      <c r="Q63744" s="6"/>
      <c r="R63744" s="6"/>
      <c r="S63744" s="6"/>
      <c r="T63744" s="6"/>
      <c r="U63744" s="6"/>
      <c r="V63744" s="6"/>
      <c r="W63744" s="6"/>
      <c r="X63744" s="6"/>
      <c r="Y63744" s="6"/>
      <c r="Z63744" s="6"/>
      <c r="AA63744" s="6"/>
      <c r="AB63744" s="6"/>
      <c r="AC63744" s="6"/>
      <c r="AD63744" s="6"/>
      <c r="AE63744" s="6"/>
      <c r="AF63744" s="6"/>
      <c r="AG63744" s="6"/>
      <c r="AH63744" s="6"/>
      <c r="AI63744" s="6"/>
      <c r="AJ63744" s="6"/>
      <c r="AK63744" s="6"/>
      <c r="AL63744" s="6"/>
      <c r="AM63744" s="6"/>
    </row>
    <row r="63745" spans="2:39" ht="9.9499999999999993" hidden="1" customHeight="1" x14ac:dyDescent="0.2">
      <c r="B63745" s="6"/>
      <c r="C63745" s="6"/>
      <c r="D63745" s="6"/>
      <c r="E63745" s="6"/>
      <c r="F63745" s="6"/>
      <c r="G63745" s="6"/>
      <c r="H63745" s="6"/>
      <c r="I63745" s="6"/>
      <c r="J63745" s="6"/>
      <c r="K63745" s="6"/>
      <c r="L63745" s="6"/>
      <c r="M63745" s="6"/>
      <c r="N63745" s="6"/>
      <c r="O63745" s="6"/>
      <c r="P63745" s="6"/>
      <c r="Q63745" s="6"/>
      <c r="R63745" s="6"/>
      <c r="S63745" s="6"/>
      <c r="T63745" s="6"/>
      <c r="U63745" s="6"/>
      <c r="V63745" s="6"/>
      <c r="W63745" s="6"/>
      <c r="X63745" s="6"/>
      <c r="Y63745" s="6"/>
      <c r="Z63745" s="6"/>
      <c r="AA63745" s="6"/>
      <c r="AB63745" s="6"/>
      <c r="AC63745" s="6"/>
      <c r="AD63745" s="6"/>
      <c r="AE63745" s="6"/>
      <c r="AF63745" s="6"/>
      <c r="AG63745" s="6"/>
      <c r="AH63745" s="6"/>
      <c r="AI63745" s="6"/>
      <c r="AJ63745" s="6"/>
      <c r="AK63745" s="6"/>
      <c r="AL63745" s="6"/>
      <c r="AM63745" s="6"/>
    </row>
    <row r="63746" spans="2:39" ht="9.9499999999999993" hidden="1" customHeight="1" x14ac:dyDescent="0.2">
      <c r="B63746" s="6"/>
      <c r="C63746" s="6"/>
      <c r="D63746" s="6"/>
      <c r="E63746" s="6"/>
      <c r="F63746" s="6"/>
      <c r="G63746" s="6"/>
      <c r="H63746" s="6"/>
      <c r="I63746" s="6"/>
      <c r="J63746" s="6"/>
      <c r="K63746" s="6"/>
      <c r="L63746" s="6"/>
      <c r="M63746" s="6"/>
      <c r="N63746" s="6"/>
      <c r="O63746" s="6"/>
      <c r="P63746" s="6"/>
      <c r="Q63746" s="6"/>
      <c r="R63746" s="6"/>
      <c r="S63746" s="6"/>
      <c r="T63746" s="6"/>
      <c r="U63746" s="6"/>
      <c r="V63746" s="6"/>
      <c r="W63746" s="6"/>
      <c r="X63746" s="6"/>
      <c r="Y63746" s="6"/>
      <c r="Z63746" s="6"/>
      <c r="AA63746" s="6"/>
      <c r="AB63746" s="6"/>
      <c r="AC63746" s="6"/>
      <c r="AD63746" s="6"/>
      <c r="AE63746" s="6"/>
      <c r="AF63746" s="6"/>
      <c r="AG63746" s="6"/>
      <c r="AH63746" s="6"/>
      <c r="AI63746" s="6"/>
      <c r="AJ63746" s="6"/>
      <c r="AK63746" s="6"/>
      <c r="AL63746" s="6"/>
      <c r="AM63746" s="6"/>
    </row>
    <row r="63747" spans="2:39" ht="9.9499999999999993" hidden="1" customHeight="1" x14ac:dyDescent="0.2">
      <c r="B63747" s="6"/>
      <c r="C63747" s="6"/>
      <c r="D63747" s="6"/>
      <c r="E63747" s="6"/>
      <c r="F63747" s="6"/>
      <c r="G63747" s="6"/>
      <c r="H63747" s="6"/>
      <c r="I63747" s="6"/>
      <c r="J63747" s="6"/>
      <c r="K63747" s="6"/>
      <c r="L63747" s="6"/>
      <c r="M63747" s="6"/>
      <c r="N63747" s="6"/>
      <c r="O63747" s="6"/>
      <c r="P63747" s="6"/>
      <c r="Q63747" s="6"/>
      <c r="R63747" s="6"/>
      <c r="S63747" s="6"/>
      <c r="T63747" s="6"/>
      <c r="U63747" s="6"/>
      <c r="V63747" s="6"/>
      <c r="W63747" s="6"/>
      <c r="X63747" s="6"/>
      <c r="Y63747" s="6"/>
      <c r="Z63747" s="6"/>
      <c r="AA63747" s="6"/>
      <c r="AB63747" s="6"/>
      <c r="AC63747" s="6"/>
      <c r="AD63747" s="6"/>
      <c r="AE63747" s="6"/>
      <c r="AF63747" s="6"/>
      <c r="AG63747" s="6"/>
      <c r="AH63747" s="6"/>
      <c r="AI63747" s="6"/>
      <c r="AJ63747" s="6"/>
      <c r="AK63747" s="6"/>
      <c r="AL63747" s="6"/>
      <c r="AM63747" s="6"/>
    </row>
    <row r="63748" spans="2:39" ht="9.9499999999999993" hidden="1" customHeight="1" x14ac:dyDescent="0.2">
      <c r="B63748" s="6"/>
      <c r="C63748" s="6"/>
      <c r="D63748" s="6"/>
      <c r="E63748" s="6"/>
      <c r="F63748" s="6"/>
      <c r="G63748" s="6"/>
      <c r="H63748" s="6"/>
      <c r="I63748" s="6"/>
      <c r="J63748" s="6"/>
      <c r="K63748" s="6"/>
      <c r="L63748" s="6"/>
      <c r="M63748" s="6"/>
      <c r="N63748" s="6"/>
      <c r="O63748" s="6"/>
      <c r="P63748" s="6"/>
      <c r="Q63748" s="6"/>
      <c r="R63748" s="6"/>
      <c r="S63748" s="6"/>
      <c r="T63748" s="6"/>
      <c r="U63748" s="6"/>
      <c r="V63748" s="6"/>
      <c r="W63748" s="6"/>
      <c r="X63748" s="6"/>
      <c r="Y63748" s="6"/>
      <c r="Z63748" s="6"/>
      <c r="AA63748" s="6"/>
      <c r="AB63748" s="6"/>
      <c r="AC63748" s="6"/>
      <c r="AD63748" s="6"/>
      <c r="AE63748" s="6"/>
      <c r="AF63748" s="6"/>
      <c r="AG63748" s="6"/>
      <c r="AH63748" s="6"/>
      <c r="AI63748" s="6"/>
      <c r="AJ63748" s="6"/>
      <c r="AK63748" s="6"/>
      <c r="AL63748" s="6"/>
      <c r="AM63748" s="6"/>
    </row>
    <row r="63749" spans="2:39" ht="9.9499999999999993" hidden="1" customHeight="1" x14ac:dyDescent="0.2">
      <c r="B63749" s="6"/>
      <c r="C63749" s="6"/>
      <c r="D63749" s="6"/>
      <c r="E63749" s="6"/>
      <c r="F63749" s="6"/>
      <c r="G63749" s="6"/>
      <c r="H63749" s="6"/>
      <c r="I63749" s="6"/>
      <c r="J63749" s="6"/>
      <c r="K63749" s="6"/>
      <c r="L63749" s="6"/>
      <c r="M63749" s="6"/>
      <c r="N63749" s="6"/>
      <c r="O63749" s="6"/>
      <c r="P63749" s="6"/>
      <c r="Q63749" s="6"/>
      <c r="R63749" s="6"/>
      <c r="S63749" s="6"/>
      <c r="T63749" s="6"/>
      <c r="U63749" s="6"/>
      <c r="V63749" s="6"/>
      <c r="W63749" s="6"/>
      <c r="X63749" s="6"/>
      <c r="Y63749" s="6"/>
      <c r="Z63749" s="6"/>
      <c r="AA63749" s="6"/>
      <c r="AB63749" s="6"/>
      <c r="AC63749" s="6"/>
      <c r="AD63749" s="6"/>
      <c r="AE63749" s="6"/>
      <c r="AF63749" s="6"/>
      <c r="AG63749" s="6"/>
      <c r="AH63749" s="6"/>
      <c r="AI63749" s="6"/>
      <c r="AJ63749" s="6"/>
      <c r="AK63749" s="6"/>
      <c r="AL63749" s="6"/>
      <c r="AM63749" s="6"/>
    </row>
    <row r="63750" spans="2:39" ht="9.9499999999999993" hidden="1" customHeight="1" x14ac:dyDescent="0.2">
      <c r="B63750" s="6"/>
      <c r="C63750" s="6"/>
      <c r="D63750" s="6"/>
      <c r="E63750" s="6"/>
      <c r="F63750" s="6"/>
      <c r="G63750" s="6"/>
      <c r="H63750" s="6"/>
      <c r="I63750" s="6"/>
      <c r="J63750" s="6"/>
      <c r="K63750" s="6"/>
      <c r="L63750" s="6"/>
      <c r="M63750" s="6"/>
      <c r="N63750" s="6"/>
      <c r="O63750" s="6"/>
      <c r="P63750" s="6"/>
      <c r="Q63750" s="6"/>
      <c r="R63750" s="6"/>
      <c r="S63750" s="6"/>
      <c r="T63750" s="6"/>
      <c r="U63750" s="6"/>
      <c r="V63750" s="6"/>
      <c r="W63750" s="6"/>
      <c r="X63750" s="6"/>
      <c r="Y63750" s="6"/>
      <c r="Z63750" s="6"/>
      <c r="AA63750" s="6"/>
      <c r="AB63750" s="6"/>
      <c r="AC63750" s="6"/>
      <c r="AD63750" s="6"/>
      <c r="AE63750" s="6"/>
      <c r="AF63750" s="6"/>
      <c r="AG63750" s="6"/>
      <c r="AH63750" s="6"/>
      <c r="AI63750" s="6"/>
      <c r="AJ63750" s="6"/>
      <c r="AK63750" s="6"/>
      <c r="AL63750" s="6"/>
      <c r="AM63750" s="6"/>
    </row>
    <row r="63751" spans="2:39" ht="9.9499999999999993" hidden="1" customHeight="1" x14ac:dyDescent="0.2">
      <c r="B63751" s="6"/>
      <c r="C63751" s="6"/>
      <c r="D63751" s="6"/>
      <c r="E63751" s="6"/>
      <c r="F63751" s="6"/>
      <c r="G63751" s="6"/>
      <c r="H63751" s="6"/>
      <c r="I63751" s="6"/>
      <c r="J63751" s="6"/>
      <c r="K63751" s="6"/>
      <c r="L63751" s="6"/>
      <c r="M63751" s="6"/>
      <c r="N63751" s="6"/>
      <c r="O63751" s="6"/>
      <c r="P63751" s="6"/>
      <c r="Q63751" s="6"/>
      <c r="R63751" s="6"/>
      <c r="S63751" s="6"/>
      <c r="T63751" s="6"/>
      <c r="U63751" s="6"/>
      <c r="V63751" s="6"/>
      <c r="W63751" s="6"/>
      <c r="X63751" s="6"/>
      <c r="Y63751" s="6"/>
      <c r="Z63751" s="6"/>
      <c r="AA63751" s="6"/>
      <c r="AB63751" s="6"/>
      <c r="AC63751" s="6"/>
      <c r="AD63751" s="6"/>
      <c r="AE63751" s="6"/>
      <c r="AF63751" s="6"/>
      <c r="AG63751" s="6"/>
      <c r="AH63751" s="6"/>
      <c r="AI63751" s="6"/>
      <c r="AJ63751" s="6"/>
      <c r="AK63751" s="6"/>
      <c r="AL63751" s="6"/>
      <c r="AM63751" s="6"/>
    </row>
    <row r="63752" spans="2:39" ht="9.9499999999999993" hidden="1" customHeight="1" x14ac:dyDescent="0.2">
      <c r="B63752" s="6"/>
      <c r="C63752" s="6"/>
      <c r="D63752" s="6"/>
      <c r="E63752" s="6"/>
      <c r="F63752" s="6"/>
      <c r="G63752" s="6"/>
      <c r="H63752" s="6"/>
      <c r="I63752" s="6"/>
      <c r="J63752" s="6"/>
      <c r="K63752" s="6"/>
      <c r="L63752" s="6"/>
      <c r="M63752" s="6"/>
      <c r="N63752" s="6"/>
      <c r="O63752" s="6"/>
      <c r="P63752" s="6"/>
      <c r="Q63752" s="6"/>
      <c r="R63752" s="6"/>
      <c r="S63752" s="6"/>
      <c r="T63752" s="6"/>
      <c r="U63752" s="6"/>
      <c r="V63752" s="6"/>
      <c r="W63752" s="6"/>
      <c r="X63752" s="6"/>
      <c r="Y63752" s="6"/>
      <c r="Z63752" s="6"/>
      <c r="AA63752" s="6"/>
      <c r="AB63752" s="6"/>
      <c r="AC63752" s="6"/>
      <c r="AD63752" s="6"/>
      <c r="AE63752" s="6"/>
      <c r="AF63752" s="6"/>
      <c r="AG63752" s="6"/>
      <c r="AH63752" s="6"/>
      <c r="AI63752" s="6"/>
      <c r="AJ63752" s="6"/>
      <c r="AK63752" s="6"/>
      <c r="AL63752" s="6"/>
      <c r="AM63752" s="6"/>
    </row>
    <row r="63753" spans="2:39" ht="9.9499999999999993" hidden="1" customHeight="1" x14ac:dyDescent="0.2">
      <c r="B63753" s="6"/>
      <c r="C63753" s="6"/>
      <c r="D63753" s="6"/>
      <c r="E63753" s="6"/>
      <c r="F63753" s="6"/>
      <c r="G63753" s="6"/>
      <c r="H63753" s="6"/>
      <c r="I63753" s="6"/>
      <c r="J63753" s="6"/>
      <c r="K63753" s="6"/>
      <c r="L63753" s="6"/>
      <c r="M63753" s="6"/>
      <c r="N63753" s="6"/>
      <c r="O63753" s="6"/>
      <c r="P63753" s="6"/>
      <c r="Q63753" s="6"/>
      <c r="R63753" s="6"/>
      <c r="S63753" s="6"/>
      <c r="T63753" s="6"/>
      <c r="U63753" s="6"/>
      <c r="V63753" s="6"/>
      <c r="W63753" s="6"/>
      <c r="X63753" s="6"/>
      <c r="Y63753" s="6"/>
      <c r="Z63753" s="6"/>
      <c r="AA63753" s="6"/>
      <c r="AB63753" s="6"/>
      <c r="AC63753" s="6"/>
      <c r="AD63753" s="6"/>
      <c r="AE63753" s="6"/>
      <c r="AF63753" s="6"/>
      <c r="AG63753" s="6"/>
      <c r="AH63753" s="6"/>
      <c r="AI63753" s="6"/>
      <c r="AJ63753" s="6"/>
      <c r="AK63753" s="6"/>
      <c r="AL63753" s="6"/>
      <c r="AM63753" s="6"/>
    </row>
    <row r="63754" spans="2:39" ht="9.9499999999999993" hidden="1" customHeight="1" x14ac:dyDescent="0.2">
      <c r="B63754" s="6"/>
      <c r="C63754" s="6"/>
      <c r="D63754" s="6"/>
      <c r="E63754" s="6"/>
      <c r="F63754" s="6"/>
      <c r="G63754" s="6"/>
      <c r="H63754" s="6"/>
      <c r="I63754" s="6"/>
      <c r="J63754" s="6"/>
      <c r="K63754" s="6"/>
      <c r="L63754" s="6"/>
      <c r="M63754" s="6"/>
      <c r="N63754" s="6"/>
      <c r="O63754" s="6"/>
      <c r="P63754" s="6"/>
      <c r="Q63754" s="6"/>
      <c r="R63754" s="6"/>
      <c r="S63754" s="6"/>
      <c r="T63754" s="6"/>
      <c r="U63754" s="6"/>
      <c r="V63754" s="6"/>
      <c r="W63754" s="6"/>
      <c r="X63754" s="6"/>
      <c r="Y63754" s="6"/>
      <c r="Z63754" s="6"/>
      <c r="AA63754" s="6"/>
      <c r="AB63754" s="6"/>
      <c r="AC63754" s="6"/>
      <c r="AD63754" s="6"/>
      <c r="AE63754" s="6"/>
      <c r="AF63754" s="6"/>
      <c r="AG63754" s="6"/>
      <c r="AH63754" s="6"/>
      <c r="AI63754" s="6"/>
      <c r="AJ63754" s="6"/>
      <c r="AK63754" s="6"/>
      <c r="AL63754" s="6"/>
      <c r="AM63754" s="6"/>
    </row>
    <row r="63755" spans="2:39" ht="9.9499999999999993" hidden="1" customHeight="1" x14ac:dyDescent="0.2">
      <c r="B63755" s="6"/>
      <c r="C63755" s="6"/>
      <c r="D63755" s="6"/>
      <c r="E63755" s="6"/>
      <c r="F63755" s="6"/>
      <c r="G63755" s="6"/>
      <c r="H63755" s="6"/>
      <c r="I63755" s="6"/>
      <c r="J63755" s="6"/>
      <c r="K63755" s="6"/>
      <c r="L63755" s="6"/>
      <c r="M63755" s="6"/>
      <c r="N63755" s="6"/>
      <c r="O63755" s="6"/>
      <c r="P63755" s="6"/>
      <c r="Q63755" s="6"/>
      <c r="R63755" s="6"/>
      <c r="S63755" s="6"/>
      <c r="T63755" s="6"/>
      <c r="U63755" s="6"/>
      <c r="V63755" s="6"/>
      <c r="W63755" s="6"/>
      <c r="X63755" s="6"/>
      <c r="Y63755" s="6"/>
      <c r="Z63755" s="6"/>
      <c r="AA63755" s="6"/>
      <c r="AB63755" s="6"/>
      <c r="AC63755" s="6"/>
      <c r="AD63755" s="6"/>
      <c r="AE63755" s="6"/>
      <c r="AF63755" s="6"/>
      <c r="AG63755" s="6"/>
      <c r="AH63755" s="6"/>
      <c r="AI63755" s="6"/>
      <c r="AJ63755" s="6"/>
      <c r="AK63755" s="6"/>
      <c r="AL63755" s="6"/>
      <c r="AM63755" s="6"/>
    </row>
    <row r="63756" spans="2:39" ht="9.9499999999999993" hidden="1" customHeight="1" x14ac:dyDescent="0.2">
      <c r="B63756" s="6"/>
      <c r="C63756" s="6"/>
      <c r="D63756" s="6"/>
      <c r="E63756" s="6"/>
      <c r="F63756" s="6"/>
      <c r="G63756" s="6"/>
      <c r="H63756" s="6"/>
      <c r="I63756" s="6"/>
      <c r="J63756" s="6"/>
      <c r="K63756" s="6"/>
      <c r="L63756" s="6"/>
      <c r="M63756" s="6"/>
      <c r="N63756" s="6"/>
      <c r="O63756" s="6"/>
      <c r="P63756" s="6"/>
      <c r="Q63756" s="6"/>
      <c r="R63756" s="6"/>
      <c r="S63756" s="6"/>
      <c r="T63756" s="6"/>
      <c r="U63756" s="6"/>
      <c r="V63756" s="6"/>
      <c r="W63756" s="6"/>
      <c r="X63756" s="6"/>
      <c r="Y63756" s="6"/>
      <c r="Z63756" s="6"/>
      <c r="AA63756" s="6"/>
      <c r="AB63756" s="6"/>
      <c r="AC63756" s="6"/>
      <c r="AD63756" s="6"/>
      <c r="AE63756" s="6"/>
      <c r="AF63756" s="6"/>
      <c r="AG63756" s="6"/>
      <c r="AH63756" s="6"/>
      <c r="AI63756" s="6"/>
      <c r="AJ63756" s="6"/>
      <c r="AK63756" s="6"/>
      <c r="AL63756" s="6"/>
      <c r="AM63756" s="6"/>
    </row>
    <row r="63757" spans="2:39" ht="9.9499999999999993" hidden="1" customHeight="1" x14ac:dyDescent="0.2">
      <c r="B63757" s="6"/>
      <c r="C63757" s="6"/>
      <c r="D63757" s="6"/>
      <c r="E63757" s="6"/>
      <c r="F63757" s="6"/>
      <c r="G63757" s="6"/>
      <c r="H63757" s="6"/>
      <c r="I63757" s="6"/>
      <c r="J63757" s="6"/>
      <c r="K63757" s="6"/>
      <c r="L63757" s="6"/>
      <c r="M63757" s="6"/>
      <c r="N63757" s="6"/>
      <c r="O63757" s="6"/>
      <c r="P63757" s="6"/>
      <c r="Q63757" s="6"/>
      <c r="R63757" s="6"/>
      <c r="S63757" s="6"/>
      <c r="T63757" s="6"/>
      <c r="U63757" s="6"/>
      <c r="V63757" s="6"/>
      <c r="W63757" s="6"/>
      <c r="X63757" s="6"/>
      <c r="Y63757" s="6"/>
      <c r="Z63757" s="6"/>
      <c r="AA63757" s="6"/>
      <c r="AB63757" s="6"/>
      <c r="AC63757" s="6"/>
      <c r="AD63757" s="6"/>
      <c r="AE63757" s="6"/>
      <c r="AF63757" s="6"/>
      <c r="AG63757" s="6"/>
      <c r="AH63757" s="6"/>
      <c r="AI63757" s="6"/>
      <c r="AJ63757" s="6"/>
      <c r="AK63757" s="6"/>
      <c r="AL63757" s="6"/>
      <c r="AM63757" s="6"/>
    </row>
    <row r="63758" spans="2:39" ht="9.9499999999999993" hidden="1" customHeight="1" x14ac:dyDescent="0.2">
      <c r="B63758" s="6"/>
      <c r="C63758" s="6"/>
      <c r="D63758" s="6"/>
      <c r="E63758" s="6"/>
      <c r="F63758" s="6"/>
      <c r="G63758" s="6"/>
      <c r="H63758" s="6"/>
      <c r="I63758" s="6"/>
      <c r="J63758" s="6"/>
      <c r="K63758" s="6"/>
      <c r="L63758" s="6"/>
      <c r="M63758" s="6"/>
      <c r="N63758" s="6"/>
      <c r="O63758" s="6"/>
      <c r="P63758" s="6"/>
      <c r="Q63758" s="6"/>
      <c r="R63758" s="6"/>
      <c r="S63758" s="6"/>
      <c r="T63758" s="6"/>
      <c r="U63758" s="6"/>
      <c r="V63758" s="6"/>
      <c r="W63758" s="6"/>
      <c r="X63758" s="6"/>
      <c r="Y63758" s="6"/>
      <c r="Z63758" s="6"/>
      <c r="AA63758" s="6"/>
      <c r="AB63758" s="6"/>
      <c r="AC63758" s="6"/>
      <c r="AD63758" s="6"/>
      <c r="AE63758" s="6"/>
      <c r="AF63758" s="6"/>
      <c r="AG63758" s="6"/>
      <c r="AH63758" s="6"/>
      <c r="AI63758" s="6"/>
      <c r="AJ63758" s="6"/>
      <c r="AK63758" s="6"/>
      <c r="AL63758" s="6"/>
      <c r="AM63758" s="6"/>
    </row>
    <row r="63759" spans="2:39" ht="9.9499999999999993" hidden="1" customHeight="1" x14ac:dyDescent="0.2">
      <c r="B63759" s="6"/>
      <c r="C63759" s="6"/>
      <c r="D63759" s="6"/>
      <c r="E63759" s="6"/>
      <c r="F63759" s="6"/>
      <c r="G63759" s="6"/>
      <c r="H63759" s="6"/>
      <c r="I63759" s="6"/>
      <c r="J63759" s="6"/>
      <c r="K63759" s="6"/>
      <c r="L63759" s="6"/>
      <c r="M63759" s="6"/>
      <c r="N63759" s="6"/>
      <c r="O63759" s="6"/>
      <c r="P63759" s="6"/>
      <c r="Q63759" s="6"/>
      <c r="R63759" s="6"/>
      <c r="S63759" s="6"/>
      <c r="T63759" s="6"/>
      <c r="U63759" s="6"/>
      <c r="V63759" s="6"/>
      <c r="W63759" s="6"/>
      <c r="X63759" s="6"/>
      <c r="Y63759" s="6"/>
      <c r="Z63759" s="6"/>
      <c r="AA63759" s="6"/>
      <c r="AB63759" s="6"/>
      <c r="AC63759" s="6"/>
      <c r="AD63759" s="6"/>
      <c r="AE63759" s="6"/>
      <c r="AF63759" s="6"/>
      <c r="AG63759" s="6"/>
      <c r="AH63759" s="6"/>
      <c r="AI63759" s="6"/>
      <c r="AJ63759" s="6"/>
      <c r="AK63759" s="6"/>
      <c r="AL63759" s="6"/>
      <c r="AM63759" s="6"/>
    </row>
    <row r="63760" spans="2:39" ht="9.9499999999999993" hidden="1" customHeight="1" x14ac:dyDescent="0.2">
      <c r="B63760" s="6"/>
      <c r="C63760" s="6"/>
      <c r="D63760" s="6"/>
      <c r="E63760" s="6"/>
      <c r="F63760" s="6"/>
      <c r="G63760" s="6"/>
      <c r="H63760" s="6"/>
      <c r="I63760" s="6"/>
      <c r="J63760" s="6"/>
      <c r="K63760" s="6"/>
      <c r="L63760" s="6"/>
      <c r="M63760" s="6"/>
      <c r="N63760" s="6"/>
      <c r="O63760" s="6"/>
      <c r="P63760" s="6"/>
      <c r="Q63760" s="6"/>
      <c r="R63760" s="6"/>
      <c r="S63760" s="6"/>
      <c r="T63760" s="6"/>
      <c r="U63760" s="6"/>
      <c r="V63760" s="6"/>
      <c r="W63760" s="6"/>
      <c r="X63760" s="6"/>
      <c r="Y63760" s="6"/>
      <c r="Z63760" s="6"/>
      <c r="AA63760" s="6"/>
      <c r="AB63760" s="6"/>
      <c r="AC63760" s="6"/>
      <c r="AD63760" s="6"/>
      <c r="AE63760" s="6"/>
      <c r="AF63760" s="6"/>
      <c r="AG63760" s="6"/>
      <c r="AH63760" s="6"/>
      <c r="AI63760" s="6"/>
      <c r="AJ63760" s="6"/>
      <c r="AK63760" s="6"/>
      <c r="AL63760" s="6"/>
      <c r="AM63760" s="6"/>
    </row>
    <row r="63761" spans="2:39" ht="9.9499999999999993" hidden="1" customHeight="1" x14ac:dyDescent="0.2">
      <c r="B63761" s="6"/>
      <c r="C63761" s="6"/>
      <c r="D63761" s="6"/>
      <c r="E63761" s="6"/>
      <c r="F63761" s="6"/>
      <c r="G63761" s="6"/>
      <c r="H63761" s="6"/>
      <c r="I63761" s="6"/>
      <c r="J63761" s="6"/>
      <c r="K63761" s="6"/>
      <c r="L63761" s="6"/>
      <c r="M63761" s="6"/>
      <c r="N63761" s="6"/>
      <c r="O63761" s="6"/>
      <c r="P63761" s="6"/>
      <c r="Q63761" s="6"/>
      <c r="R63761" s="6"/>
      <c r="S63761" s="6"/>
      <c r="T63761" s="6"/>
      <c r="U63761" s="6"/>
      <c r="V63761" s="6"/>
      <c r="W63761" s="6"/>
      <c r="X63761" s="6"/>
      <c r="Y63761" s="6"/>
      <c r="Z63761" s="6"/>
      <c r="AA63761" s="6"/>
      <c r="AB63761" s="6"/>
      <c r="AC63761" s="6"/>
      <c r="AD63761" s="6"/>
      <c r="AE63761" s="6"/>
      <c r="AF63761" s="6"/>
      <c r="AG63761" s="6"/>
      <c r="AH63761" s="6"/>
      <c r="AI63761" s="6"/>
      <c r="AJ63761" s="6"/>
      <c r="AK63761" s="6"/>
      <c r="AL63761" s="6"/>
      <c r="AM63761" s="6"/>
    </row>
    <row r="63762" spans="2:39" ht="9.9499999999999993" hidden="1" customHeight="1" x14ac:dyDescent="0.2">
      <c r="B63762" s="6"/>
      <c r="C63762" s="6"/>
      <c r="D63762" s="6"/>
      <c r="E63762" s="6"/>
      <c r="F63762" s="6"/>
      <c r="G63762" s="6"/>
      <c r="H63762" s="6"/>
      <c r="I63762" s="6"/>
      <c r="J63762" s="6"/>
      <c r="K63762" s="6"/>
      <c r="L63762" s="6"/>
      <c r="M63762" s="6"/>
      <c r="N63762" s="6"/>
      <c r="O63762" s="6"/>
      <c r="P63762" s="6"/>
      <c r="Q63762" s="6"/>
      <c r="R63762" s="6"/>
      <c r="S63762" s="6"/>
      <c r="T63762" s="6"/>
      <c r="U63762" s="6"/>
      <c r="V63762" s="6"/>
      <c r="W63762" s="6"/>
      <c r="X63762" s="6"/>
      <c r="Y63762" s="6"/>
      <c r="Z63762" s="6"/>
      <c r="AA63762" s="6"/>
      <c r="AB63762" s="6"/>
      <c r="AC63762" s="6"/>
      <c r="AD63762" s="6"/>
      <c r="AE63762" s="6"/>
      <c r="AF63762" s="6"/>
      <c r="AG63762" s="6"/>
      <c r="AH63762" s="6"/>
      <c r="AI63762" s="6"/>
      <c r="AJ63762" s="6"/>
      <c r="AK63762" s="6"/>
      <c r="AL63762" s="6"/>
      <c r="AM63762" s="6"/>
    </row>
    <row r="63763" spans="2:39" ht="9.9499999999999993" hidden="1" customHeight="1" x14ac:dyDescent="0.2">
      <c r="B63763" s="6"/>
      <c r="C63763" s="6"/>
      <c r="D63763" s="6"/>
      <c r="E63763" s="6"/>
      <c r="F63763" s="6"/>
      <c r="G63763" s="6"/>
      <c r="H63763" s="6"/>
      <c r="I63763" s="6"/>
      <c r="J63763" s="6"/>
      <c r="K63763" s="6"/>
      <c r="L63763" s="6"/>
      <c r="M63763" s="6"/>
      <c r="N63763" s="6"/>
      <c r="O63763" s="6"/>
      <c r="P63763" s="6"/>
      <c r="Q63763" s="6"/>
      <c r="R63763" s="6"/>
      <c r="S63763" s="6"/>
      <c r="T63763" s="6"/>
      <c r="U63763" s="6"/>
      <c r="V63763" s="6"/>
      <c r="W63763" s="6"/>
      <c r="X63763" s="6"/>
      <c r="Y63763" s="6"/>
      <c r="Z63763" s="6"/>
      <c r="AA63763" s="6"/>
      <c r="AB63763" s="6"/>
      <c r="AC63763" s="6"/>
      <c r="AD63763" s="6"/>
      <c r="AE63763" s="6"/>
      <c r="AF63763" s="6"/>
      <c r="AG63763" s="6"/>
      <c r="AH63763" s="6"/>
      <c r="AI63763" s="6"/>
      <c r="AJ63763" s="6"/>
      <c r="AK63763" s="6"/>
      <c r="AL63763" s="6"/>
      <c r="AM63763" s="6"/>
    </row>
    <row r="63764" spans="2:39" ht="9.9499999999999993" hidden="1" customHeight="1" x14ac:dyDescent="0.2">
      <c r="B63764" s="6"/>
      <c r="C63764" s="6"/>
      <c r="D63764" s="6"/>
      <c r="E63764" s="6"/>
      <c r="F63764" s="6"/>
      <c r="G63764" s="6"/>
      <c r="H63764" s="6"/>
      <c r="I63764" s="6"/>
      <c r="J63764" s="6"/>
      <c r="K63764" s="6"/>
      <c r="L63764" s="6"/>
      <c r="M63764" s="6"/>
      <c r="N63764" s="6"/>
      <c r="O63764" s="6"/>
      <c r="P63764" s="6"/>
      <c r="Q63764" s="6"/>
      <c r="R63764" s="6"/>
      <c r="S63764" s="6"/>
      <c r="T63764" s="6"/>
      <c r="U63764" s="6"/>
      <c r="V63764" s="6"/>
      <c r="W63764" s="6"/>
      <c r="X63764" s="6"/>
      <c r="Y63764" s="6"/>
      <c r="Z63764" s="6"/>
      <c r="AA63764" s="6"/>
      <c r="AB63764" s="6"/>
      <c r="AC63764" s="6"/>
      <c r="AD63764" s="6"/>
      <c r="AE63764" s="6"/>
      <c r="AF63764" s="6"/>
      <c r="AG63764" s="6"/>
      <c r="AH63764" s="6"/>
      <c r="AI63764" s="6"/>
      <c r="AJ63764" s="6"/>
      <c r="AK63764" s="6"/>
      <c r="AL63764" s="6"/>
      <c r="AM63764" s="6"/>
    </row>
    <row r="63765" spans="2:39" ht="9.9499999999999993" hidden="1" customHeight="1" x14ac:dyDescent="0.2">
      <c r="B63765" s="6"/>
      <c r="C63765" s="6"/>
      <c r="D63765" s="6"/>
      <c r="E63765" s="6"/>
      <c r="F63765" s="6"/>
      <c r="G63765" s="6"/>
      <c r="H63765" s="6"/>
      <c r="I63765" s="6"/>
      <c r="J63765" s="6"/>
      <c r="K63765" s="6"/>
      <c r="L63765" s="6"/>
      <c r="M63765" s="6"/>
      <c r="N63765" s="6"/>
      <c r="O63765" s="6"/>
      <c r="P63765" s="6"/>
      <c r="Q63765" s="6"/>
      <c r="R63765" s="6"/>
      <c r="S63765" s="6"/>
      <c r="T63765" s="6"/>
      <c r="U63765" s="6"/>
      <c r="V63765" s="6"/>
      <c r="W63765" s="6"/>
      <c r="X63765" s="6"/>
      <c r="Y63765" s="6"/>
      <c r="Z63765" s="6"/>
      <c r="AA63765" s="6"/>
      <c r="AB63765" s="6"/>
      <c r="AC63765" s="6"/>
      <c r="AD63765" s="6"/>
      <c r="AE63765" s="6"/>
      <c r="AF63765" s="6"/>
      <c r="AG63765" s="6"/>
      <c r="AH63765" s="6"/>
      <c r="AI63765" s="6"/>
      <c r="AJ63765" s="6"/>
      <c r="AK63765" s="6"/>
      <c r="AL63765" s="6"/>
      <c r="AM63765" s="6"/>
    </row>
    <row r="63766" spans="2:39" ht="9.9499999999999993" hidden="1" customHeight="1" x14ac:dyDescent="0.2">
      <c r="B63766" s="6"/>
      <c r="C63766" s="6"/>
      <c r="D63766" s="6"/>
      <c r="E63766" s="6"/>
      <c r="F63766" s="6"/>
      <c r="G63766" s="6"/>
      <c r="H63766" s="6"/>
      <c r="I63766" s="6"/>
      <c r="J63766" s="6"/>
      <c r="K63766" s="6"/>
      <c r="L63766" s="6"/>
      <c r="M63766" s="6"/>
      <c r="N63766" s="6"/>
      <c r="O63766" s="6"/>
      <c r="P63766" s="6"/>
      <c r="Q63766" s="6"/>
      <c r="R63766" s="6"/>
      <c r="S63766" s="6"/>
      <c r="T63766" s="6"/>
      <c r="U63766" s="6"/>
      <c r="V63766" s="6"/>
      <c r="W63766" s="6"/>
      <c r="X63766" s="6"/>
      <c r="Y63766" s="6"/>
      <c r="Z63766" s="6"/>
      <c r="AA63766" s="6"/>
      <c r="AB63766" s="6"/>
      <c r="AC63766" s="6"/>
      <c r="AD63766" s="6"/>
      <c r="AE63766" s="6"/>
      <c r="AF63766" s="6"/>
      <c r="AG63766" s="6"/>
      <c r="AH63766" s="6"/>
      <c r="AI63766" s="6"/>
      <c r="AJ63766" s="6"/>
      <c r="AK63766" s="6"/>
      <c r="AL63766" s="6"/>
      <c r="AM63766" s="6"/>
    </row>
    <row r="63767" spans="2:39" ht="9.9499999999999993" hidden="1" customHeight="1" x14ac:dyDescent="0.2">
      <c r="B63767" s="6"/>
      <c r="C63767" s="6"/>
      <c r="D63767" s="6"/>
      <c r="E63767" s="6"/>
      <c r="F63767" s="6"/>
      <c r="G63767" s="6"/>
      <c r="H63767" s="6"/>
      <c r="I63767" s="6"/>
      <c r="J63767" s="6"/>
      <c r="K63767" s="6"/>
      <c r="L63767" s="6"/>
      <c r="M63767" s="6"/>
      <c r="N63767" s="6"/>
      <c r="O63767" s="6"/>
      <c r="P63767" s="6"/>
      <c r="Q63767" s="6"/>
      <c r="R63767" s="6"/>
      <c r="S63767" s="6"/>
      <c r="T63767" s="6"/>
      <c r="U63767" s="6"/>
      <c r="V63767" s="6"/>
      <c r="W63767" s="6"/>
      <c r="X63767" s="6"/>
      <c r="Y63767" s="6"/>
      <c r="Z63767" s="6"/>
      <c r="AA63767" s="6"/>
      <c r="AB63767" s="6"/>
      <c r="AC63767" s="6"/>
      <c r="AD63767" s="6"/>
      <c r="AE63767" s="6"/>
      <c r="AF63767" s="6"/>
      <c r="AG63767" s="6"/>
      <c r="AH63767" s="6"/>
      <c r="AI63767" s="6"/>
      <c r="AJ63767" s="6"/>
      <c r="AK63767" s="6"/>
      <c r="AL63767" s="6"/>
      <c r="AM63767" s="6"/>
    </row>
    <row r="63768" spans="2:39" ht="9.9499999999999993" hidden="1" customHeight="1" x14ac:dyDescent="0.2">
      <c r="B63768" s="6"/>
      <c r="C63768" s="6"/>
      <c r="D63768" s="6"/>
      <c r="E63768" s="6"/>
      <c r="F63768" s="6"/>
      <c r="G63768" s="6"/>
      <c r="H63768" s="6"/>
      <c r="I63768" s="6"/>
      <c r="J63768" s="6"/>
      <c r="K63768" s="6"/>
      <c r="L63768" s="6"/>
      <c r="M63768" s="6"/>
      <c r="N63768" s="6"/>
      <c r="O63768" s="6"/>
      <c r="P63768" s="6"/>
      <c r="Q63768" s="6"/>
      <c r="R63768" s="6"/>
      <c r="S63768" s="6"/>
      <c r="T63768" s="6"/>
      <c r="U63768" s="6"/>
      <c r="V63768" s="6"/>
      <c r="W63768" s="6"/>
      <c r="X63768" s="6"/>
      <c r="Y63768" s="6"/>
      <c r="Z63768" s="6"/>
      <c r="AA63768" s="6"/>
      <c r="AB63768" s="6"/>
      <c r="AC63768" s="6"/>
      <c r="AD63768" s="6"/>
      <c r="AE63768" s="6"/>
      <c r="AF63768" s="6"/>
      <c r="AG63768" s="6"/>
      <c r="AH63768" s="6"/>
      <c r="AI63768" s="6"/>
      <c r="AJ63768" s="6"/>
      <c r="AK63768" s="6"/>
      <c r="AL63768" s="6"/>
      <c r="AM63768" s="6"/>
    </row>
    <row r="63769" spans="2:39" ht="9.9499999999999993" hidden="1" customHeight="1" x14ac:dyDescent="0.2">
      <c r="B63769" s="6"/>
      <c r="C63769" s="6"/>
      <c r="D63769" s="6"/>
      <c r="E63769" s="6"/>
      <c r="F63769" s="6"/>
      <c r="G63769" s="6"/>
      <c r="H63769" s="6"/>
      <c r="I63769" s="6"/>
      <c r="J63769" s="6"/>
      <c r="K63769" s="6"/>
      <c r="L63769" s="6"/>
      <c r="M63769" s="6"/>
      <c r="N63769" s="6"/>
      <c r="O63769" s="6"/>
      <c r="P63769" s="6"/>
      <c r="Q63769" s="6"/>
      <c r="R63769" s="6"/>
      <c r="S63769" s="6"/>
      <c r="T63769" s="6"/>
      <c r="U63769" s="6"/>
      <c r="V63769" s="6"/>
      <c r="W63769" s="6"/>
      <c r="X63769" s="6"/>
      <c r="Y63769" s="6"/>
      <c r="Z63769" s="6"/>
      <c r="AA63769" s="6"/>
      <c r="AB63769" s="6"/>
      <c r="AC63769" s="6"/>
      <c r="AD63769" s="6"/>
      <c r="AE63769" s="6"/>
      <c r="AF63769" s="6"/>
      <c r="AG63769" s="6"/>
      <c r="AH63769" s="6"/>
      <c r="AI63769" s="6"/>
      <c r="AJ63769" s="6"/>
      <c r="AK63769" s="6"/>
      <c r="AL63769" s="6"/>
      <c r="AM63769" s="6"/>
    </row>
    <row r="63770" spans="2:39" ht="9.9499999999999993" hidden="1" customHeight="1" x14ac:dyDescent="0.2">
      <c r="B63770" s="6"/>
      <c r="C63770" s="6"/>
      <c r="D63770" s="6"/>
      <c r="E63770" s="6"/>
      <c r="F63770" s="6"/>
      <c r="G63770" s="6"/>
      <c r="H63770" s="6"/>
      <c r="I63770" s="6"/>
      <c r="J63770" s="6"/>
      <c r="K63770" s="6"/>
      <c r="L63770" s="6"/>
      <c r="M63770" s="6"/>
      <c r="N63770" s="6"/>
      <c r="O63770" s="6"/>
      <c r="P63770" s="6"/>
      <c r="Q63770" s="6"/>
      <c r="R63770" s="6"/>
      <c r="S63770" s="6"/>
      <c r="T63770" s="6"/>
      <c r="U63770" s="6"/>
      <c r="V63770" s="6"/>
      <c r="W63770" s="6"/>
      <c r="X63770" s="6"/>
      <c r="Y63770" s="6"/>
      <c r="Z63770" s="6"/>
      <c r="AA63770" s="6"/>
      <c r="AB63770" s="6"/>
      <c r="AC63770" s="6"/>
      <c r="AD63770" s="6"/>
      <c r="AE63770" s="6"/>
      <c r="AF63770" s="6"/>
      <c r="AG63770" s="6"/>
      <c r="AH63770" s="6"/>
      <c r="AI63770" s="6"/>
      <c r="AJ63770" s="6"/>
      <c r="AK63770" s="6"/>
      <c r="AL63770" s="6"/>
      <c r="AM63770" s="6"/>
    </row>
    <row r="63771" spans="2:39" ht="9.9499999999999993" hidden="1" customHeight="1" x14ac:dyDescent="0.2">
      <c r="B63771" s="6"/>
      <c r="C63771" s="6"/>
      <c r="D63771" s="6"/>
      <c r="E63771" s="6"/>
      <c r="F63771" s="6"/>
      <c r="G63771" s="6"/>
      <c r="H63771" s="6"/>
      <c r="I63771" s="6"/>
      <c r="J63771" s="6"/>
      <c r="K63771" s="6"/>
      <c r="L63771" s="6"/>
      <c r="M63771" s="6"/>
      <c r="N63771" s="6"/>
      <c r="O63771" s="6"/>
      <c r="P63771" s="6"/>
      <c r="Q63771" s="6"/>
      <c r="R63771" s="6"/>
      <c r="S63771" s="6"/>
      <c r="T63771" s="6"/>
      <c r="U63771" s="6"/>
      <c r="V63771" s="6"/>
      <c r="W63771" s="6"/>
      <c r="X63771" s="6"/>
      <c r="Y63771" s="6"/>
      <c r="Z63771" s="6"/>
      <c r="AA63771" s="6"/>
      <c r="AB63771" s="6"/>
      <c r="AC63771" s="6"/>
      <c r="AD63771" s="6"/>
      <c r="AE63771" s="6"/>
      <c r="AF63771" s="6"/>
      <c r="AG63771" s="6"/>
      <c r="AH63771" s="6"/>
      <c r="AI63771" s="6"/>
      <c r="AJ63771" s="6"/>
      <c r="AK63771" s="6"/>
      <c r="AL63771" s="6"/>
      <c r="AM63771" s="6"/>
    </row>
    <row r="63772" spans="2:39" ht="9.9499999999999993" hidden="1" customHeight="1" x14ac:dyDescent="0.2">
      <c r="B63772" s="6"/>
      <c r="C63772" s="6"/>
      <c r="D63772" s="6"/>
      <c r="E63772" s="6"/>
      <c r="F63772" s="6"/>
      <c r="G63772" s="6"/>
      <c r="H63772" s="6"/>
      <c r="I63772" s="6"/>
      <c r="J63772" s="6"/>
      <c r="K63772" s="6"/>
      <c r="L63772" s="6"/>
      <c r="M63772" s="6"/>
      <c r="N63772" s="6"/>
      <c r="O63772" s="6"/>
      <c r="P63772" s="6"/>
      <c r="Q63772" s="6"/>
      <c r="R63772" s="6"/>
      <c r="S63772" s="6"/>
      <c r="T63772" s="6"/>
      <c r="U63772" s="6"/>
      <c r="V63772" s="6"/>
      <c r="W63772" s="6"/>
      <c r="X63772" s="6"/>
      <c r="Y63772" s="6"/>
      <c r="Z63772" s="6"/>
      <c r="AA63772" s="6"/>
      <c r="AB63772" s="6"/>
      <c r="AC63772" s="6"/>
      <c r="AD63772" s="6"/>
      <c r="AE63772" s="6"/>
      <c r="AF63772" s="6"/>
      <c r="AG63772" s="6"/>
      <c r="AH63772" s="6"/>
      <c r="AI63772" s="6"/>
      <c r="AJ63772" s="6"/>
      <c r="AK63772" s="6"/>
      <c r="AL63772" s="6"/>
      <c r="AM63772" s="6"/>
    </row>
    <row r="63773" spans="2:39" ht="9.9499999999999993" hidden="1" customHeight="1" x14ac:dyDescent="0.2">
      <c r="B63773" s="6"/>
      <c r="C63773" s="6"/>
      <c r="D63773" s="6"/>
      <c r="E63773" s="6"/>
      <c r="F63773" s="6"/>
      <c r="G63773" s="6"/>
      <c r="H63773" s="6"/>
      <c r="I63773" s="6"/>
      <c r="J63773" s="6"/>
      <c r="K63773" s="6"/>
      <c r="L63773" s="6"/>
      <c r="M63773" s="6"/>
      <c r="N63773" s="6"/>
      <c r="O63773" s="6"/>
      <c r="P63773" s="6"/>
      <c r="Q63773" s="6"/>
      <c r="R63773" s="6"/>
      <c r="S63773" s="6"/>
      <c r="T63773" s="6"/>
      <c r="U63773" s="6"/>
      <c r="V63773" s="6"/>
      <c r="W63773" s="6"/>
      <c r="X63773" s="6"/>
      <c r="Y63773" s="6"/>
      <c r="Z63773" s="6"/>
      <c r="AA63773" s="6"/>
      <c r="AB63773" s="6"/>
      <c r="AC63773" s="6"/>
      <c r="AD63773" s="6"/>
      <c r="AE63773" s="6"/>
      <c r="AF63773" s="6"/>
      <c r="AG63773" s="6"/>
      <c r="AH63773" s="6"/>
      <c r="AI63773" s="6"/>
      <c r="AJ63773" s="6"/>
      <c r="AK63773" s="6"/>
      <c r="AL63773" s="6"/>
      <c r="AM63773" s="6"/>
    </row>
    <row r="63774" spans="2:39" ht="9.9499999999999993" hidden="1" customHeight="1" x14ac:dyDescent="0.2">
      <c r="B63774" s="6"/>
      <c r="C63774" s="6"/>
      <c r="D63774" s="6"/>
      <c r="E63774" s="6"/>
      <c r="F63774" s="6"/>
      <c r="G63774" s="6"/>
      <c r="H63774" s="6"/>
      <c r="I63774" s="6"/>
      <c r="J63774" s="6"/>
      <c r="K63774" s="6"/>
      <c r="L63774" s="6"/>
      <c r="M63774" s="6"/>
      <c r="N63774" s="6"/>
      <c r="O63774" s="6"/>
      <c r="P63774" s="6"/>
      <c r="Q63774" s="6"/>
      <c r="R63774" s="6"/>
      <c r="S63774" s="6"/>
      <c r="T63774" s="6"/>
      <c r="U63774" s="6"/>
      <c r="V63774" s="6"/>
      <c r="W63774" s="6"/>
      <c r="X63774" s="6"/>
      <c r="Y63774" s="6"/>
      <c r="Z63774" s="6"/>
      <c r="AA63774" s="6"/>
      <c r="AB63774" s="6"/>
      <c r="AC63774" s="6"/>
      <c r="AD63774" s="6"/>
      <c r="AE63774" s="6"/>
      <c r="AF63774" s="6"/>
      <c r="AG63774" s="6"/>
      <c r="AH63774" s="6"/>
      <c r="AI63774" s="6"/>
      <c r="AJ63774" s="6"/>
      <c r="AK63774" s="6"/>
      <c r="AL63774" s="6"/>
      <c r="AM63774" s="6"/>
    </row>
    <row r="63775" spans="2:39" ht="9.9499999999999993" hidden="1" customHeight="1" x14ac:dyDescent="0.2">
      <c r="B63775" s="6"/>
      <c r="C63775" s="6"/>
      <c r="D63775" s="6"/>
      <c r="E63775" s="6"/>
      <c r="F63775" s="6"/>
      <c r="G63775" s="6"/>
      <c r="H63775" s="6"/>
      <c r="I63775" s="6"/>
      <c r="J63775" s="6"/>
      <c r="K63775" s="6"/>
      <c r="L63775" s="6"/>
      <c r="M63775" s="6"/>
      <c r="N63775" s="6"/>
      <c r="O63775" s="6"/>
      <c r="P63775" s="6"/>
      <c r="Q63775" s="6"/>
      <c r="R63775" s="6"/>
      <c r="S63775" s="6"/>
      <c r="T63775" s="6"/>
      <c r="U63775" s="6"/>
      <c r="V63775" s="6"/>
      <c r="W63775" s="6"/>
      <c r="X63775" s="6"/>
      <c r="Y63775" s="6"/>
      <c r="Z63775" s="6"/>
      <c r="AA63775" s="6"/>
      <c r="AB63775" s="6"/>
      <c r="AC63775" s="6"/>
      <c r="AD63775" s="6"/>
      <c r="AE63775" s="6"/>
      <c r="AF63775" s="6"/>
      <c r="AG63775" s="6"/>
      <c r="AH63775" s="6"/>
      <c r="AI63775" s="6"/>
      <c r="AJ63775" s="6"/>
      <c r="AK63775" s="6"/>
      <c r="AL63775" s="6"/>
      <c r="AM63775" s="6"/>
    </row>
    <row r="63776" spans="2:39" ht="9.9499999999999993" hidden="1" customHeight="1" x14ac:dyDescent="0.2">
      <c r="B63776" s="6"/>
      <c r="C63776" s="6"/>
      <c r="D63776" s="6"/>
      <c r="E63776" s="6"/>
      <c r="F63776" s="6"/>
      <c r="G63776" s="6"/>
      <c r="H63776" s="6"/>
      <c r="I63776" s="6"/>
      <c r="J63776" s="6"/>
      <c r="K63776" s="6"/>
      <c r="L63776" s="6"/>
      <c r="M63776" s="6"/>
      <c r="N63776" s="6"/>
      <c r="O63776" s="6"/>
      <c r="P63776" s="6"/>
      <c r="Q63776" s="6"/>
      <c r="R63776" s="6"/>
      <c r="S63776" s="6"/>
      <c r="T63776" s="6"/>
      <c r="U63776" s="6"/>
      <c r="V63776" s="6"/>
      <c r="W63776" s="6"/>
      <c r="X63776" s="6"/>
      <c r="Y63776" s="6"/>
      <c r="Z63776" s="6"/>
      <c r="AA63776" s="6"/>
      <c r="AB63776" s="6"/>
      <c r="AC63776" s="6"/>
      <c r="AD63776" s="6"/>
      <c r="AE63776" s="6"/>
      <c r="AF63776" s="6"/>
      <c r="AG63776" s="6"/>
      <c r="AH63776" s="6"/>
      <c r="AI63776" s="6"/>
      <c r="AJ63776" s="6"/>
      <c r="AK63776" s="6"/>
      <c r="AL63776" s="6"/>
      <c r="AM63776" s="6"/>
    </row>
    <row r="63777" spans="2:39" ht="9.9499999999999993" hidden="1" customHeight="1" x14ac:dyDescent="0.2">
      <c r="B63777" s="6"/>
      <c r="C63777" s="6"/>
      <c r="D63777" s="6"/>
      <c r="E63777" s="6"/>
      <c r="F63777" s="6"/>
      <c r="G63777" s="6"/>
      <c r="H63777" s="6"/>
      <c r="I63777" s="6"/>
      <c r="J63777" s="6"/>
      <c r="K63777" s="6"/>
      <c r="L63777" s="6"/>
      <c r="M63777" s="6"/>
      <c r="N63777" s="6"/>
      <c r="O63777" s="6"/>
      <c r="P63777" s="6"/>
      <c r="Q63777" s="6"/>
      <c r="R63777" s="6"/>
      <c r="S63777" s="6"/>
      <c r="T63777" s="6"/>
      <c r="U63777" s="6"/>
      <c r="V63777" s="6"/>
      <c r="W63777" s="6"/>
      <c r="X63777" s="6"/>
      <c r="Y63777" s="6"/>
      <c r="Z63777" s="6"/>
      <c r="AA63777" s="6"/>
      <c r="AB63777" s="6"/>
      <c r="AC63777" s="6"/>
      <c r="AD63777" s="6"/>
      <c r="AE63777" s="6"/>
      <c r="AF63777" s="6"/>
      <c r="AG63777" s="6"/>
      <c r="AH63777" s="6"/>
      <c r="AI63777" s="6"/>
      <c r="AJ63777" s="6"/>
      <c r="AK63777" s="6"/>
      <c r="AL63777" s="6"/>
      <c r="AM63777" s="6"/>
    </row>
    <row r="63778" spans="2:39" ht="9.9499999999999993" hidden="1" customHeight="1" x14ac:dyDescent="0.2">
      <c r="B63778" s="6"/>
      <c r="C63778" s="6"/>
      <c r="D63778" s="6"/>
      <c r="E63778" s="6"/>
      <c r="F63778" s="6"/>
      <c r="G63778" s="6"/>
      <c r="H63778" s="6"/>
      <c r="I63778" s="6"/>
      <c r="J63778" s="6"/>
      <c r="K63778" s="6"/>
      <c r="L63778" s="6"/>
      <c r="M63778" s="6"/>
      <c r="N63778" s="6"/>
      <c r="O63778" s="6"/>
      <c r="P63778" s="6"/>
      <c r="Q63778" s="6"/>
      <c r="R63778" s="6"/>
      <c r="S63778" s="6"/>
      <c r="T63778" s="6"/>
      <c r="U63778" s="6"/>
      <c r="V63778" s="6"/>
      <c r="W63778" s="6"/>
      <c r="X63778" s="6"/>
      <c r="Y63778" s="6"/>
      <c r="Z63778" s="6"/>
      <c r="AA63778" s="6"/>
      <c r="AB63778" s="6"/>
      <c r="AC63778" s="6"/>
      <c r="AD63778" s="6"/>
      <c r="AE63778" s="6"/>
      <c r="AF63778" s="6"/>
      <c r="AG63778" s="6"/>
      <c r="AH63778" s="6"/>
      <c r="AI63778" s="6"/>
      <c r="AJ63778" s="6"/>
      <c r="AK63778" s="6"/>
      <c r="AL63778" s="6"/>
      <c r="AM63778" s="6"/>
    </row>
    <row r="63779" spans="2:39" ht="9.9499999999999993" hidden="1" customHeight="1" x14ac:dyDescent="0.2">
      <c r="B63779" s="6"/>
      <c r="C63779" s="6"/>
      <c r="D63779" s="6"/>
      <c r="E63779" s="6"/>
      <c r="F63779" s="6"/>
      <c r="G63779" s="6"/>
      <c r="H63779" s="6"/>
      <c r="I63779" s="6"/>
      <c r="J63779" s="6"/>
      <c r="K63779" s="6"/>
      <c r="L63779" s="6"/>
      <c r="M63779" s="6"/>
      <c r="N63779" s="6"/>
      <c r="O63779" s="6"/>
      <c r="P63779" s="6"/>
      <c r="Q63779" s="6"/>
      <c r="R63779" s="6"/>
      <c r="S63779" s="6"/>
      <c r="T63779" s="6"/>
      <c r="U63779" s="6"/>
      <c r="V63779" s="6"/>
      <c r="W63779" s="6"/>
      <c r="X63779" s="6"/>
      <c r="Y63779" s="6"/>
      <c r="Z63779" s="6"/>
      <c r="AA63779" s="6"/>
      <c r="AB63779" s="6"/>
      <c r="AC63779" s="6"/>
      <c r="AD63779" s="6"/>
      <c r="AE63779" s="6"/>
      <c r="AF63779" s="6"/>
      <c r="AG63779" s="6"/>
      <c r="AH63779" s="6"/>
      <c r="AI63779" s="6"/>
      <c r="AJ63779" s="6"/>
      <c r="AK63779" s="6"/>
      <c r="AL63779" s="6"/>
      <c r="AM63779" s="6"/>
    </row>
    <row r="63780" spans="2:39" ht="9.9499999999999993" hidden="1" customHeight="1" x14ac:dyDescent="0.2">
      <c r="B63780" s="6"/>
      <c r="C63780" s="6"/>
      <c r="D63780" s="6"/>
      <c r="E63780" s="6"/>
      <c r="F63780" s="6"/>
      <c r="G63780" s="6"/>
      <c r="H63780" s="6"/>
      <c r="I63780" s="6"/>
      <c r="J63780" s="6"/>
      <c r="K63780" s="6"/>
      <c r="L63780" s="6"/>
      <c r="M63780" s="6"/>
      <c r="N63780" s="6"/>
      <c r="O63780" s="6"/>
      <c r="P63780" s="6"/>
      <c r="Q63780" s="6"/>
      <c r="R63780" s="6"/>
      <c r="S63780" s="6"/>
      <c r="T63780" s="6"/>
      <c r="U63780" s="6"/>
      <c r="V63780" s="6"/>
      <c r="W63780" s="6"/>
      <c r="X63780" s="6"/>
      <c r="Y63780" s="6"/>
      <c r="Z63780" s="6"/>
      <c r="AA63780" s="6"/>
      <c r="AB63780" s="6"/>
      <c r="AC63780" s="6"/>
      <c r="AD63780" s="6"/>
      <c r="AE63780" s="6"/>
      <c r="AF63780" s="6"/>
      <c r="AG63780" s="6"/>
      <c r="AH63780" s="6"/>
      <c r="AI63780" s="6"/>
      <c r="AJ63780" s="6"/>
      <c r="AK63780" s="6"/>
      <c r="AL63780" s="6"/>
      <c r="AM63780" s="6"/>
    </row>
    <row r="63781" spans="2:39" ht="9.9499999999999993" hidden="1" customHeight="1" x14ac:dyDescent="0.2">
      <c r="B63781" s="6"/>
      <c r="C63781" s="6"/>
      <c r="D63781" s="6"/>
      <c r="E63781" s="6"/>
      <c r="F63781" s="6"/>
      <c r="G63781" s="6"/>
      <c r="H63781" s="6"/>
      <c r="I63781" s="6"/>
      <c r="J63781" s="6"/>
      <c r="K63781" s="6"/>
      <c r="L63781" s="6"/>
      <c r="M63781" s="6"/>
      <c r="N63781" s="6"/>
      <c r="O63781" s="6"/>
      <c r="P63781" s="6"/>
      <c r="Q63781" s="6"/>
      <c r="R63781" s="6"/>
      <c r="S63781" s="6"/>
      <c r="T63781" s="6"/>
      <c r="U63781" s="6"/>
      <c r="V63781" s="6"/>
      <c r="W63781" s="6"/>
      <c r="X63781" s="6"/>
      <c r="Y63781" s="6"/>
      <c r="Z63781" s="6"/>
      <c r="AA63781" s="6"/>
      <c r="AB63781" s="6"/>
      <c r="AC63781" s="6"/>
      <c r="AD63781" s="6"/>
      <c r="AE63781" s="6"/>
      <c r="AF63781" s="6"/>
      <c r="AG63781" s="6"/>
      <c r="AH63781" s="6"/>
      <c r="AI63781" s="6"/>
      <c r="AJ63781" s="6"/>
      <c r="AK63781" s="6"/>
      <c r="AL63781" s="6"/>
      <c r="AM63781" s="6"/>
    </row>
    <row r="63782" spans="2:39" ht="9.9499999999999993" hidden="1" customHeight="1" x14ac:dyDescent="0.2">
      <c r="B63782" s="6"/>
      <c r="C63782" s="6"/>
      <c r="D63782" s="6"/>
      <c r="E63782" s="6"/>
      <c r="F63782" s="6"/>
      <c r="G63782" s="6"/>
      <c r="H63782" s="6"/>
      <c r="I63782" s="6"/>
      <c r="J63782" s="6"/>
      <c r="K63782" s="6"/>
      <c r="L63782" s="6"/>
      <c r="M63782" s="6"/>
      <c r="N63782" s="6"/>
      <c r="O63782" s="6"/>
      <c r="P63782" s="6"/>
      <c r="Q63782" s="6"/>
      <c r="R63782" s="6"/>
      <c r="S63782" s="6"/>
      <c r="T63782" s="6"/>
      <c r="U63782" s="6"/>
      <c r="V63782" s="6"/>
      <c r="W63782" s="6"/>
      <c r="X63782" s="6"/>
      <c r="Y63782" s="6"/>
      <c r="Z63782" s="6"/>
      <c r="AA63782" s="6"/>
      <c r="AB63782" s="6"/>
      <c r="AC63782" s="6"/>
      <c r="AD63782" s="6"/>
      <c r="AE63782" s="6"/>
      <c r="AF63782" s="6"/>
      <c r="AG63782" s="6"/>
      <c r="AH63782" s="6"/>
      <c r="AI63782" s="6"/>
      <c r="AJ63782" s="6"/>
      <c r="AK63782" s="6"/>
      <c r="AL63782" s="6"/>
      <c r="AM63782" s="6"/>
    </row>
    <row r="63783" spans="2:39" ht="9.9499999999999993" hidden="1" customHeight="1" x14ac:dyDescent="0.2">
      <c r="B63783" s="6"/>
      <c r="C63783" s="6"/>
      <c r="D63783" s="6"/>
      <c r="E63783" s="6"/>
      <c r="F63783" s="6"/>
      <c r="G63783" s="6"/>
      <c r="H63783" s="6"/>
      <c r="I63783" s="6"/>
      <c r="J63783" s="6"/>
      <c r="K63783" s="6"/>
      <c r="L63783" s="6"/>
      <c r="M63783" s="6"/>
      <c r="N63783" s="6"/>
      <c r="O63783" s="6"/>
      <c r="P63783" s="6"/>
      <c r="Q63783" s="6"/>
      <c r="R63783" s="6"/>
      <c r="S63783" s="6"/>
      <c r="T63783" s="6"/>
      <c r="U63783" s="6"/>
      <c r="V63783" s="6"/>
      <c r="W63783" s="6"/>
      <c r="X63783" s="6"/>
      <c r="Y63783" s="6"/>
      <c r="Z63783" s="6"/>
      <c r="AA63783" s="6"/>
      <c r="AB63783" s="6"/>
      <c r="AC63783" s="6"/>
      <c r="AD63783" s="6"/>
      <c r="AE63783" s="6"/>
      <c r="AF63783" s="6"/>
      <c r="AG63783" s="6"/>
      <c r="AH63783" s="6"/>
      <c r="AI63783" s="6"/>
      <c r="AJ63783" s="6"/>
      <c r="AK63783" s="6"/>
      <c r="AL63783" s="6"/>
      <c r="AM63783" s="6"/>
    </row>
    <row r="63784" spans="2:39" ht="9.9499999999999993" hidden="1" customHeight="1" x14ac:dyDescent="0.2">
      <c r="B63784" s="6"/>
      <c r="C63784" s="6"/>
      <c r="D63784" s="6"/>
      <c r="E63784" s="6"/>
      <c r="F63784" s="6"/>
      <c r="G63784" s="6"/>
      <c r="H63784" s="6"/>
      <c r="I63784" s="6"/>
      <c r="J63784" s="6"/>
      <c r="K63784" s="6"/>
      <c r="L63784" s="6"/>
      <c r="M63784" s="6"/>
      <c r="N63784" s="6"/>
      <c r="O63784" s="6"/>
      <c r="P63784" s="6"/>
      <c r="Q63784" s="6"/>
      <c r="R63784" s="6"/>
      <c r="S63784" s="6"/>
      <c r="T63784" s="6"/>
      <c r="U63784" s="6"/>
      <c r="V63784" s="6"/>
      <c r="W63784" s="6"/>
      <c r="X63784" s="6"/>
      <c r="Y63784" s="6"/>
      <c r="Z63784" s="6"/>
      <c r="AA63784" s="6"/>
      <c r="AB63784" s="6"/>
      <c r="AC63784" s="6"/>
      <c r="AD63784" s="6"/>
      <c r="AE63784" s="6"/>
      <c r="AF63784" s="6"/>
      <c r="AG63784" s="6"/>
      <c r="AH63784" s="6"/>
      <c r="AI63784" s="6"/>
      <c r="AJ63784" s="6"/>
      <c r="AK63784" s="6"/>
      <c r="AL63784" s="6"/>
      <c r="AM63784" s="6"/>
    </row>
    <row r="63785" spans="2:39" ht="9.9499999999999993" hidden="1" customHeight="1" x14ac:dyDescent="0.2">
      <c r="B63785" s="6"/>
      <c r="C63785" s="6"/>
      <c r="D63785" s="6"/>
      <c r="E63785" s="6"/>
      <c r="F63785" s="6"/>
      <c r="G63785" s="6"/>
      <c r="H63785" s="6"/>
      <c r="I63785" s="6"/>
      <c r="J63785" s="6"/>
      <c r="K63785" s="6"/>
      <c r="L63785" s="6"/>
      <c r="M63785" s="6"/>
      <c r="N63785" s="6"/>
      <c r="O63785" s="6"/>
      <c r="P63785" s="6"/>
      <c r="Q63785" s="6"/>
      <c r="R63785" s="6"/>
      <c r="S63785" s="6"/>
      <c r="T63785" s="6"/>
      <c r="U63785" s="6"/>
      <c r="V63785" s="6"/>
      <c r="W63785" s="6"/>
      <c r="X63785" s="6"/>
      <c r="Y63785" s="6"/>
      <c r="Z63785" s="6"/>
      <c r="AA63785" s="6"/>
      <c r="AB63785" s="6"/>
      <c r="AC63785" s="6"/>
      <c r="AD63785" s="6"/>
      <c r="AE63785" s="6"/>
      <c r="AF63785" s="6"/>
      <c r="AG63785" s="6"/>
      <c r="AH63785" s="6"/>
      <c r="AI63785" s="6"/>
      <c r="AJ63785" s="6"/>
      <c r="AK63785" s="6"/>
      <c r="AL63785" s="6"/>
      <c r="AM63785" s="6"/>
    </row>
    <row r="63786" spans="2:39" ht="9.9499999999999993" hidden="1" customHeight="1" x14ac:dyDescent="0.2">
      <c r="B63786" s="6"/>
      <c r="C63786" s="6"/>
      <c r="D63786" s="6"/>
      <c r="E63786" s="6"/>
      <c r="F63786" s="6"/>
      <c r="G63786" s="6"/>
      <c r="H63786" s="6"/>
      <c r="I63786" s="6"/>
      <c r="J63786" s="6"/>
      <c r="K63786" s="6"/>
      <c r="L63786" s="6"/>
      <c r="M63786" s="6"/>
      <c r="N63786" s="6"/>
      <c r="O63786" s="6"/>
      <c r="P63786" s="6"/>
      <c r="Q63786" s="6"/>
      <c r="R63786" s="6"/>
      <c r="S63786" s="6"/>
      <c r="T63786" s="6"/>
      <c r="U63786" s="6"/>
      <c r="V63786" s="6"/>
      <c r="W63786" s="6"/>
      <c r="X63786" s="6"/>
      <c r="Y63786" s="6"/>
      <c r="Z63786" s="6"/>
      <c r="AA63786" s="6"/>
      <c r="AB63786" s="6"/>
      <c r="AC63786" s="6"/>
      <c r="AD63786" s="6"/>
      <c r="AE63786" s="6"/>
      <c r="AF63786" s="6"/>
      <c r="AG63786" s="6"/>
      <c r="AH63786" s="6"/>
      <c r="AI63786" s="6"/>
      <c r="AJ63786" s="6"/>
      <c r="AK63786" s="6"/>
      <c r="AL63786" s="6"/>
      <c r="AM63786" s="6"/>
    </row>
    <row r="63787" spans="2:39" ht="9.9499999999999993" hidden="1" customHeight="1" x14ac:dyDescent="0.2">
      <c r="B63787" s="6"/>
      <c r="C63787" s="6"/>
      <c r="D63787" s="6"/>
      <c r="E63787" s="6"/>
      <c r="F63787" s="6"/>
      <c r="G63787" s="6"/>
      <c r="H63787" s="6"/>
      <c r="I63787" s="6"/>
      <c r="J63787" s="6"/>
      <c r="K63787" s="6"/>
      <c r="L63787" s="6"/>
      <c r="M63787" s="6"/>
      <c r="N63787" s="6"/>
      <c r="O63787" s="6"/>
      <c r="P63787" s="6"/>
      <c r="Q63787" s="6"/>
      <c r="R63787" s="6"/>
      <c r="S63787" s="6"/>
      <c r="T63787" s="6"/>
      <c r="U63787" s="6"/>
      <c r="V63787" s="6"/>
      <c r="W63787" s="6"/>
      <c r="X63787" s="6"/>
      <c r="Y63787" s="6"/>
      <c r="Z63787" s="6"/>
      <c r="AA63787" s="6"/>
      <c r="AB63787" s="6"/>
      <c r="AC63787" s="6"/>
      <c r="AD63787" s="6"/>
      <c r="AE63787" s="6"/>
      <c r="AF63787" s="6"/>
      <c r="AG63787" s="6"/>
      <c r="AH63787" s="6"/>
      <c r="AI63787" s="6"/>
      <c r="AJ63787" s="6"/>
      <c r="AK63787" s="6"/>
      <c r="AL63787" s="6"/>
      <c r="AM63787" s="6"/>
    </row>
    <row r="63788" spans="2:39" ht="9.9499999999999993" hidden="1" customHeight="1" x14ac:dyDescent="0.2">
      <c r="B63788" s="6"/>
      <c r="C63788" s="6"/>
      <c r="D63788" s="6"/>
      <c r="E63788" s="6"/>
      <c r="F63788" s="6"/>
      <c r="G63788" s="6"/>
      <c r="H63788" s="6"/>
      <c r="I63788" s="6"/>
      <c r="J63788" s="6"/>
      <c r="K63788" s="6"/>
      <c r="L63788" s="6"/>
      <c r="M63788" s="6"/>
      <c r="N63788" s="6"/>
      <c r="O63788" s="6"/>
      <c r="P63788" s="6"/>
      <c r="Q63788" s="6"/>
      <c r="R63788" s="6"/>
      <c r="S63788" s="6"/>
      <c r="T63788" s="6"/>
      <c r="U63788" s="6"/>
      <c r="V63788" s="6"/>
      <c r="W63788" s="6"/>
      <c r="X63788" s="6"/>
      <c r="Y63788" s="6"/>
      <c r="Z63788" s="6"/>
      <c r="AA63788" s="6"/>
      <c r="AB63788" s="6"/>
      <c r="AC63788" s="6"/>
      <c r="AD63788" s="6"/>
      <c r="AE63788" s="6"/>
      <c r="AF63788" s="6"/>
      <c r="AG63788" s="6"/>
      <c r="AH63788" s="6"/>
      <c r="AI63788" s="6"/>
      <c r="AJ63788" s="6"/>
      <c r="AK63788" s="6"/>
      <c r="AL63788" s="6"/>
      <c r="AM63788" s="6"/>
    </row>
    <row r="63789" spans="2:39" ht="9.9499999999999993" hidden="1" customHeight="1" x14ac:dyDescent="0.2">
      <c r="B63789" s="6"/>
      <c r="C63789" s="6"/>
      <c r="D63789" s="6"/>
      <c r="E63789" s="6"/>
      <c r="F63789" s="6"/>
      <c r="G63789" s="6"/>
      <c r="H63789" s="6"/>
      <c r="I63789" s="6"/>
      <c r="J63789" s="6"/>
      <c r="K63789" s="6"/>
      <c r="L63789" s="6"/>
      <c r="M63789" s="6"/>
      <c r="N63789" s="6"/>
      <c r="O63789" s="6"/>
      <c r="P63789" s="6"/>
      <c r="Q63789" s="6"/>
      <c r="R63789" s="6"/>
      <c r="S63789" s="6"/>
      <c r="T63789" s="6"/>
      <c r="U63789" s="6"/>
      <c r="V63789" s="6"/>
      <c r="W63789" s="6"/>
      <c r="X63789" s="6"/>
      <c r="Y63789" s="6"/>
      <c r="Z63789" s="6"/>
      <c r="AA63789" s="6"/>
      <c r="AB63789" s="6"/>
      <c r="AC63789" s="6"/>
      <c r="AD63789" s="6"/>
      <c r="AE63789" s="6"/>
      <c r="AF63789" s="6"/>
      <c r="AG63789" s="6"/>
      <c r="AH63789" s="6"/>
      <c r="AI63789" s="6"/>
      <c r="AJ63789" s="6"/>
      <c r="AK63789" s="6"/>
      <c r="AL63789" s="6"/>
      <c r="AM63789" s="6"/>
    </row>
    <row r="63790" spans="2:39" ht="9.9499999999999993" hidden="1" customHeight="1" x14ac:dyDescent="0.2">
      <c r="B63790" s="6"/>
      <c r="C63790" s="6"/>
      <c r="D63790" s="6"/>
      <c r="E63790" s="6"/>
      <c r="F63790" s="6"/>
      <c r="G63790" s="6"/>
      <c r="H63790" s="6"/>
      <c r="I63790" s="6"/>
      <c r="J63790" s="6"/>
      <c r="K63790" s="6"/>
      <c r="L63790" s="6"/>
      <c r="M63790" s="6"/>
      <c r="N63790" s="6"/>
      <c r="O63790" s="6"/>
      <c r="P63790" s="6"/>
      <c r="Q63790" s="6"/>
      <c r="R63790" s="6"/>
      <c r="S63790" s="6"/>
      <c r="T63790" s="6"/>
      <c r="U63790" s="6"/>
      <c r="V63790" s="6"/>
      <c r="W63790" s="6"/>
      <c r="X63790" s="6"/>
      <c r="Y63790" s="6"/>
      <c r="Z63790" s="6"/>
      <c r="AA63790" s="6"/>
      <c r="AB63790" s="6"/>
      <c r="AC63790" s="6"/>
      <c r="AD63790" s="6"/>
      <c r="AE63790" s="6"/>
      <c r="AF63790" s="6"/>
      <c r="AG63790" s="6"/>
      <c r="AH63790" s="6"/>
      <c r="AI63790" s="6"/>
      <c r="AJ63790" s="6"/>
      <c r="AK63790" s="6"/>
      <c r="AL63790" s="6"/>
      <c r="AM63790" s="6"/>
    </row>
    <row r="63791" spans="2:39" ht="9.9499999999999993" hidden="1" customHeight="1" x14ac:dyDescent="0.2">
      <c r="B63791" s="6"/>
      <c r="C63791" s="6"/>
      <c r="D63791" s="6"/>
      <c r="E63791" s="6"/>
      <c r="F63791" s="6"/>
      <c r="G63791" s="6"/>
      <c r="H63791" s="6"/>
      <c r="I63791" s="6"/>
      <c r="J63791" s="6"/>
      <c r="K63791" s="6"/>
      <c r="L63791" s="6"/>
      <c r="M63791" s="6"/>
      <c r="N63791" s="6"/>
      <c r="O63791" s="6"/>
      <c r="P63791" s="6"/>
      <c r="Q63791" s="6"/>
      <c r="R63791" s="6"/>
      <c r="S63791" s="6"/>
      <c r="T63791" s="6"/>
      <c r="U63791" s="6"/>
      <c r="V63791" s="6"/>
      <c r="W63791" s="6"/>
      <c r="X63791" s="6"/>
      <c r="Y63791" s="6"/>
      <c r="Z63791" s="6"/>
      <c r="AA63791" s="6"/>
      <c r="AB63791" s="6"/>
      <c r="AC63791" s="6"/>
      <c r="AD63791" s="6"/>
      <c r="AE63791" s="6"/>
      <c r="AF63791" s="6"/>
      <c r="AG63791" s="6"/>
      <c r="AH63791" s="6"/>
      <c r="AI63791" s="6"/>
      <c r="AJ63791" s="6"/>
      <c r="AK63791" s="6"/>
      <c r="AL63791" s="6"/>
      <c r="AM63791" s="6"/>
    </row>
    <row r="63792" spans="2:39" ht="9.9499999999999993" hidden="1" customHeight="1" x14ac:dyDescent="0.2">
      <c r="B63792" s="6"/>
      <c r="C63792" s="6"/>
      <c r="D63792" s="6"/>
      <c r="E63792" s="6"/>
      <c r="F63792" s="6"/>
      <c r="G63792" s="6"/>
      <c r="H63792" s="6"/>
      <c r="I63792" s="6"/>
      <c r="J63792" s="6"/>
      <c r="K63792" s="6"/>
      <c r="L63792" s="6"/>
      <c r="M63792" s="6"/>
      <c r="N63792" s="6"/>
      <c r="O63792" s="6"/>
      <c r="P63792" s="6"/>
      <c r="Q63792" s="6"/>
      <c r="R63792" s="6"/>
      <c r="S63792" s="6"/>
      <c r="T63792" s="6"/>
      <c r="U63792" s="6"/>
      <c r="V63792" s="6"/>
      <c r="W63792" s="6"/>
      <c r="X63792" s="6"/>
      <c r="Y63792" s="6"/>
      <c r="Z63792" s="6"/>
      <c r="AA63792" s="6"/>
      <c r="AB63792" s="6"/>
      <c r="AC63792" s="6"/>
      <c r="AD63792" s="6"/>
      <c r="AE63792" s="6"/>
      <c r="AF63792" s="6"/>
      <c r="AG63792" s="6"/>
      <c r="AH63792" s="6"/>
      <c r="AI63792" s="6"/>
      <c r="AJ63792" s="6"/>
      <c r="AK63792" s="6"/>
      <c r="AL63792" s="6"/>
      <c r="AM63792" s="6"/>
    </row>
    <row r="63793" spans="2:39" ht="9.9499999999999993" hidden="1" customHeight="1" x14ac:dyDescent="0.2">
      <c r="B63793" s="6"/>
      <c r="C63793" s="6"/>
      <c r="D63793" s="6"/>
      <c r="E63793" s="6"/>
      <c r="F63793" s="6"/>
      <c r="G63793" s="6"/>
      <c r="H63793" s="6"/>
      <c r="I63793" s="6"/>
      <c r="J63793" s="6"/>
      <c r="K63793" s="6"/>
      <c r="L63793" s="6"/>
      <c r="M63793" s="6"/>
      <c r="N63793" s="6"/>
      <c r="O63793" s="6"/>
      <c r="P63793" s="6"/>
      <c r="Q63793" s="6"/>
      <c r="R63793" s="6"/>
      <c r="S63793" s="6"/>
      <c r="T63793" s="6"/>
      <c r="U63793" s="6"/>
      <c r="V63793" s="6"/>
      <c r="W63793" s="6"/>
      <c r="X63793" s="6"/>
      <c r="Y63793" s="6"/>
      <c r="Z63793" s="6"/>
      <c r="AA63793" s="6"/>
      <c r="AB63793" s="6"/>
      <c r="AC63793" s="6"/>
      <c r="AD63793" s="6"/>
      <c r="AE63793" s="6"/>
      <c r="AF63793" s="6"/>
      <c r="AG63793" s="6"/>
      <c r="AH63793" s="6"/>
      <c r="AI63793" s="6"/>
      <c r="AJ63793" s="6"/>
      <c r="AK63793" s="6"/>
      <c r="AL63793" s="6"/>
      <c r="AM63793" s="6"/>
    </row>
    <row r="63794" spans="2:39" ht="9.9499999999999993" hidden="1" customHeight="1" x14ac:dyDescent="0.2">
      <c r="B63794" s="6"/>
      <c r="C63794" s="6"/>
      <c r="D63794" s="6"/>
      <c r="E63794" s="6"/>
      <c r="F63794" s="6"/>
      <c r="G63794" s="6"/>
      <c r="H63794" s="6"/>
      <c r="I63794" s="6"/>
      <c r="J63794" s="6"/>
      <c r="K63794" s="6"/>
      <c r="L63794" s="6"/>
      <c r="M63794" s="6"/>
      <c r="N63794" s="6"/>
      <c r="O63794" s="6"/>
      <c r="P63794" s="6"/>
      <c r="Q63794" s="6"/>
      <c r="R63794" s="6"/>
      <c r="S63794" s="6"/>
      <c r="T63794" s="6"/>
      <c r="U63794" s="6"/>
      <c r="V63794" s="6"/>
      <c r="W63794" s="6"/>
      <c r="X63794" s="6"/>
      <c r="Y63794" s="6"/>
      <c r="Z63794" s="6"/>
      <c r="AA63794" s="6"/>
      <c r="AB63794" s="6"/>
      <c r="AC63794" s="6"/>
      <c r="AD63794" s="6"/>
      <c r="AE63794" s="6"/>
      <c r="AF63794" s="6"/>
      <c r="AG63794" s="6"/>
      <c r="AH63794" s="6"/>
      <c r="AI63794" s="6"/>
      <c r="AJ63794" s="6"/>
      <c r="AK63794" s="6"/>
      <c r="AL63794" s="6"/>
      <c r="AM63794" s="6"/>
    </row>
    <row r="63795" spans="2:39" ht="9.9499999999999993" hidden="1" customHeight="1" x14ac:dyDescent="0.2">
      <c r="B63795" s="6"/>
      <c r="C63795" s="6"/>
      <c r="D63795" s="6"/>
      <c r="E63795" s="6"/>
      <c r="F63795" s="6"/>
      <c r="G63795" s="6"/>
      <c r="H63795" s="6"/>
      <c r="I63795" s="6"/>
      <c r="J63795" s="6"/>
      <c r="K63795" s="6"/>
      <c r="L63795" s="6"/>
      <c r="M63795" s="6"/>
      <c r="N63795" s="6"/>
      <c r="O63795" s="6"/>
      <c r="P63795" s="6"/>
      <c r="Q63795" s="6"/>
      <c r="R63795" s="6"/>
      <c r="S63795" s="6"/>
      <c r="T63795" s="6"/>
      <c r="U63795" s="6"/>
      <c r="V63795" s="6"/>
      <c r="W63795" s="6"/>
      <c r="X63795" s="6"/>
      <c r="Y63795" s="6"/>
      <c r="Z63795" s="6"/>
      <c r="AA63795" s="6"/>
      <c r="AB63795" s="6"/>
      <c r="AC63795" s="6"/>
      <c r="AD63795" s="6"/>
      <c r="AE63795" s="6"/>
      <c r="AF63795" s="6"/>
      <c r="AG63795" s="6"/>
      <c r="AH63795" s="6"/>
      <c r="AI63795" s="6"/>
      <c r="AJ63795" s="6"/>
      <c r="AK63795" s="6"/>
      <c r="AL63795" s="6"/>
      <c r="AM63795" s="6"/>
    </row>
    <row r="63796" spans="2:39" ht="9.9499999999999993" hidden="1" customHeight="1" x14ac:dyDescent="0.2">
      <c r="B63796" s="6"/>
      <c r="C63796" s="6"/>
      <c r="D63796" s="6"/>
      <c r="E63796" s="6"/>
      <c r="F63796" s="6"/>
      <c r="G63796" s="6"/>
      <c r="H63796" s="6"/>
      <c r="I63796" s="6"/>
      <c r="J63796" s="6"/>
      <c r="K63796" s="6"/>
      <c r="L63796" s="6"/>
      <c r="M63796" s="6"/>
      <c r="N63796" s="6"/>
      <c r="O63796" s="6"/>
      <c r="P63796" s="6"/>
      <c r="Q63796" s="6"/>
      <c r="R63796" s="6"/>
      <c r="S63796" s="6"/>
      <c r="T63796" s="6"/>
      <c r="U63796" s="6"/>
      <c r="V63796" s="6"/>
      <c r="W63796" s="6"/>
      <c r="X63796" s="6"/>
      <c r="Y63796" s="6"/>
      <c r="Z63796" s="6"/>
      <c r="AA63796" s="6"/>
      <c r="AB63796" s="6"/>
      <c r="AC63796" s="6"/>
      <c r="AD63796" s="6"/>
      <c r="AE63796" s="6"/>
      <c r="AF63796" s="6"/>
      <c r="AG63796" s="6"/>
      <c r="AH63796" s="6"/>
      <c r="AI63796" s="6"/>
      <c r="AJ63796" s="6"/>
      <c r="AK63796" s="6"/>
      <c r="AL63796" s="6"/>
      <c r="AM63796" s="6"/>
    </row>
    <row r="63797" spans="2:39" ht="9.9499999999999993" hidden="1" customHeight="1" x14ac:dyDescent="0.2">
      <c r="B63797" s="6"/>
      <c r="C63797" s="6"/>
      <c r="D63797" s="6"/>
      <c r="E63797" s="6"/>
      <c r="F63797" s="6"/>
      <c r="G63797" s="6"/>
      <c r="H63797" s="6"/>
      <c r="I63797" s="6"/>
      <c r="J63797" s="6"/>
      <c r="K63797" s="6"/>
      <c r="L63797" s="6"/>
      <c r="M63797" s="6"/>
      <c r="N63797" s="6"/>
      <c r="O63797" s="6"/>
      <c r="P63797" s="6"/>
      <c r="Q63797" s="6"/>
      <c r="R63797" s="6"/>
      <c r="S63797" s="6"/>
      <c r="T63797" s="6"/>
      <c r="U63797" s="6"/>
      <c r="V63797" s="6"/>
      <c r="W63797" s="6"/>
      <c r="X63797" s="6"/>
      <c r="Y63797" s="6"/>
      <c r="Z63797" s="6"/>
      <c r="AA63797" s="6"/>
      <c r="AB63797" s="6"/>
      <c r="AC63797" s="6"/>
      <c r="AD63797" s="6"/>
      <c r="AE63797" s="6"/>
      <c r="AF63797" s="6"/>
      <c r="AG63797" s="6"/>
      <c r="AH63797" s="6"/>
      <c r="AI63797" s="6"/>
      <c r="AJ63797" s="6"/>
      <c r="AK63797" s="6"/>
      <c r="AL63797" s="6"/>
      <c r="AM63797" s="6"/>
    </row>
    <row r="63798" spans="2:39" ht="9.9499999999999993" hidden="1" customHeight="1" x14ac:dyDescent="0.2">
      <c r="B63798" s="6"/>
      <c r="C63798" s="6"/>
      <c r="D63798" s="6"/>
      <c r="E63798" s="6"/>
      <c r="F63798" s="6"/>
      <c r="G63798" s="6"/>
      <c r="H63798" s="6"/>
      <c r="I63798" s="6"/>
      <c r="J63798" s="6"/>
      <c r="K63798" s="6"/>
      <c r="L63798" s="6"/>
      <c r="M63798" s="6"/>
      <c r="N63798" s="6"/>
      <c r="O63798" s="6"/>
      <c r="P63798" s="6"/>
      <c r="Q63798" s="6"/>
      <c r="R63798" s="6"/>
      <c r="S63798" s="6"/>
      <c r="T63798" s="6"/>
      <c r="U63798" s="6"/>
      <c r="V63798" s="6"/>
      <c r="W63798" s="6"/>
      <c r="X63798" s="6"/>
      <c r="Y63798" s="6"/>
      <c r="Z63798" s="6"/>
      <c r="AA63798" s="6"/>
      <c r="AB63798" s="6"/>
      <c r="AC63798" s="6"/>
      <c r="AD63798" s="6"/>
      <c r="AE63798" s="6"/>
      <c r="AF63798" s="6"/>
      <c r="AG63798" s="6"/>
      <c r="AH63798" s="6"/>
      <c r="AI63798" s="6"/>
      <c r="AJ63798" s="6"/>
      <c r="AK63798" s="6"/>
      <c r="AL63798" s="6"/>
      <c r="AM63798" s="6"/>
    </row>
    <row r="63799" spans="2:39" ht="9.9499999999999993" hidden="1" customHeight="1" x14ac:dyDescent="0.2">
      <c r="B63799" s="6"/>
      <c r="C63799" s="6"/>
      <c r="D63799" s="6"/>
      <c r="E63799" s="6"/>
      <c r="F63799" s="6"/>
      <c r="G63799" s="6"/>
      <c r="H63799" s="6"/>
      <c r="I63799" s="6"/>
      <c r="J63799" s="6"/>
      <c r="K63799" s="6"/>
      <c r="L63799" s="6"/>
      <c r="M63799" s="6"/>
      <c r="N63799" s="6"/>
      <c r="O63799" s="6"/>
      <c r="P63799" s="6"/>
      <c r="Q63799" s="6"/>
      <c r="R63799" s="6"/>
      <c r="S63799" s="6"/>
      <c r="T63799" s="6"/>
      <c r="U63799" s="6"/>
      <c r="V63799" s="6"/>
      <c r="W63799" s="6"/>
      <c r="X63799" s="6"/>
      <c r="Y63799" s="6"/>
      <c r="Z63799" s="6"/>
      <c r="AA63799" s="6"/>
      <c r="AB63799" s="6"/>
      <c r="AC63799" s="6"/>
      <c r="AD63799" s="6"/>
      <c r="AE63799" s="6"/>
      <c r="AF63799" s="6"/>
      <c r="AG63799" s="6"/>
      <c r="AH63799" s="6"/>
      <c r="AI63799" s="6"/>
      <c r="AJ63799" s="6"/>
      <c r="AK63799" s="6"/>
      <c r="AL63799" s="6"/>
      <c r="AM63799" s="6"/>
    </row>
    <row r="63800" spans="2:39" ht="9.9499999999999993" hidden="1" customHeight="1" x14ac:dyDescent="0.2">
      <c r="B63800" s="6"/>
      <c r="C63800" s="6"/>
      <c r="D63800" s="6"/>
      <c r="E63800" s="6"/>
      <c r="F63800" s="6"/>
      <c r="G63800" s="6"/>
      <c r="H63800" s="6"/>
      <c r="I63800" s="6"/>
      <c r="J63800" s="6"/>
      <c r="K63800" s="6"/>
      <c r="L63800" s="6"/>
      <c r="M63800" s="6"/>
      <c r="N63800" s="6"/>
      <c r="O63800" s="6"/>
      <c r="P63800" s="6"/>
      <c r="Q63800" s="6"/>
      <c r="R63800" s="6"/>
      <c r="S63800" s="6"/>
      <c r="T63800" s="6"/>
      <c r="U63800" s="6"/>
      <c r="V63800" s="6"/>
      <c r="W63800" s="6"/>
      <c r="X63800" s="6"/>
      <c r="Y63800" s="6"/>
      <c r="Z63800" s="6"/>
      <c r="AA63800" s="6"/>
      <c r="AB63800" s="6"/>
      <c r="AC63800" s="6"/>
      <c r="AD63800" s="6"/>
      <c r="AE63800" s="6"/>
      <c r="AF63800" s="6"/>
      <c r="AG63800" s="6"/>
      <c r="AH63800" s="6"/>
      <c r="AI63800" s="6"/>
      <c r="AJ63800" s="6"/>
      <c r="AK63800" s="6"/>
      <c r="AL63800" s="6"/>
      <c r="AM63800" s="6"/>
    </row>
    <row r="63801" spans="2:39" ht="9.9499999999999993" hidden="1" customHeight="1" x14ac:dyDescent="0.2">
      <c r="B63801" s="6"/>
      <c r="C63801" s="6"/>
      <c r="D63801" s="6"/>
      <c r="E63801" s="6"/>
      <c r="F63801" s="6"/>
      <c r="G63801" s="6"/>
      <c r="H63801" s="6"/>
      <c r="I63801" s="6"/>
      <c r="J63801" s="6"/>
      <c r="K63801" s="6"/>
      <c r="L63801" s="6"/>
      <c r="M63801" s="6"/>
      <c r="N63801" s="6"/>
      <c r="O63801" s="6"/>
      <c r="P63801" s="6"/>
      <c r="Q63801" s="6"/>
      <c r="R63801" s="6"/>
      <c r="S63801" s="6"/>
      <c r="T63801" s="6"/>
      <c r="U63801" s="6"/>
      <c r="V63801" s="6"/>
      <c r="W63801" s="6"/>
      <c r="X63801" s="6"/>
      <c r="Y63801" s="6"/>
      <c r="Z63801" s="6"/>
      <c r="AA63801" s="6"/>
      <c r="AB63801" s="6"/>
      <c r="AC63801" s="6"/>
      <c r="AD63801" s="6"/>
      <c r="AE63801" s="6"/>
      <c r="AF63801" s="6"/>
      <c r="AG63801" s="6"/>
      <c r="AH63801" s="6"/>
      <c r="AI63801" s="6"/>
      <c r="AJ63801" s="6"/>
      <c r="AK63801" s="6"/>
      <c r="AL63801" s="6"/>
      <c r="AM63801" s="6"/>
    </row>
    <row r="63802" spans="2:39" ht="9.9499999999999993" hidden="1" customHeight="1" x14ac:dyDescent="0.2">
      <c r="B63802" s="6"/>
      <c r="C63802" s="6"/>
      <c r="D63802" s="6"/>
      <c r="E63802" s="6"/>
      <c r="F63802" s="6"/>
      <c r="G63802" s="6"/>
      <c r="H63802" s="6"/>
      <c r="I63802" s="6"/>
      <c r="J63802" s="6"/>
      <c r="K63802" s="6"/>
      <c r="L63802" s="6"/>
      <c r="M63802" s="6"/>
      <c r="N63802" s="6"/>
      <c r="O63802" s="6"/>
      <c r="P63802" s="6"/>
      <c r="Q63802" s="6"/>
      <c r="R63802" s="6"/>
      <c r="S63802" s="6"/>
      <c r="T63802" s="6"/>
      <c r="U63802" s="6"/>
      <c r="V63802" s="6"/>
      <c r="W63802" s="6"/>
      <c r="X63802" s="6"/>
      <c r="Y63802" s="6"/>
      <c r="Z63802" s="6"/>
      <c r="AA63802" s="6"/>
      <c r="AB63802" s="6"/>
      <c r="AC63802" s="6"/>
      <c r="AD63802" s="6"/>
      <c r="AE63802" s="6"/>
      <c r="AF63802" s="6"/>
      <c r="AG63802" s="6"/>
      <c r="AH63802" s="6"/>
      <c r="AI63802" s="6"/>
      <c r="AJ63802" s="6"/>
      <c r="AK63802" s="6"/>
      <c r="AL63802" s="6"/>
      <c r="AM63802" s="6"/>
    </row>
    <row r="63803" spans="2:39" ht="9.9499999999999993" hidden="1" customHeight="1" x14ac:dyDescent="0.2">
      <c r="B63803" s="6"/>
      <c r="C63803" s="6"/>
      <c r="D63803" s="6"/>
      <c r="E63803" s="6"/>
      <c r="F63803" s="6"/>
      <c r="G63803" s="6"/>
      <c r="H63803" s="6"/>
      <c r="I63803" s="6"/>
      <c r="J63803" s="6"/>
      <c r="K63803" s="6"/>
      <c r="L63803" s="6"/>
      <c r="M63803" s="6"/>
      <c r="N63803" s="6"/>
      <c r="O63803" s="6"/>
      <c r="P63803" s="6"/>
      <c r="Q63803" s="6"/>
      <c r="R63803" s="6"/>
      <c r="S63803" s="6"/>
      <c r="T63803" s="6"/>
      <c r="U63803" s="6"/>
      <c r="V63803" s="6"/>
      <c r="W63803" s="6"/>
      <c r="X63803" s="6"/>
      <c r="Y63803" s="6"/>
      <c r="Z63803" s="6"/>
      <c r="AA63803" s="6"/>
      <c r="AB63803" s="6"/>
      <c r="AC63803" s="6"/>
      <c r="AD63803" s="6"/>
      <c r="AE63803" s="6"/>
      <c r="AF63803" s="6"/>
      <c r="AG63803" s="6"/>
      <c r="AH63803" s="6"/>
      <c r="AI63803" s="6"/>
      <c r="AJ63803" s="6"/>
      <c r="AK63803" s="6"/>
      <c r="AL63803" s="6"/>
      <c r="AM63803" s="6"/>
    </row>
    <row r="63804" spans="2:39" ht="9.9499999999999993" hidden="1" customHeight="1" x14ac:dyDescent="0.2">
      <c r="B63804" s="6"/>
      <c r="C63804" s="6"/>
      <c r="D63804" s="6"/>
      <c r="E63804" s="6"/>
      <c r="F63804" s="6"/>
      <c r="G63804" s="6"/>
      <c r="H63804" s="6"/>
      <c r="I63804" s="6"/>
      <c r="J63804" s="6"/>
      <c r="K63804" s="6"/>
      <c r="L63804" s="6"/>
      <c r="M63804" s="6"/>
      <c r="N63804" s="6"/>
      <c r="O63804" s="6"/>
      <c r="P63804" s="6"/>
      <c r="Q63804" s="6"/>
      <c r="R63804" s="6"/>
      <c r="S63804" s="6"/>
      <c r="T63804" s="6"/>
      <c r="U63804" s="6"/>
      <c r="V63804" s="6"/>
      <c r="W63804" s="6"/>
      <c r="X63804" s="6"/>
      <c r="Y63804" s="6"/>
      <c r="Z63804" s="6"/>
      <c r="AA63804" s="6"/>
      <c r="AB63804" s="6"/>
      <c r="AC63804" s="6"/>
      <c r="AD63804" s="6"/>
      <c r="AE63804" s="6"/>
      <c r="AF63804" s="6"/>
      <c r="AG63804" s="6"/>
      <c r="AH63804" s="6"/>
      <c r="AI63804" s="6"/>
      <c r="AJ63804" s="6"/>
      <c r="AK63804" s="6"/>
      <c r="AL63804" s="6"/>
      <c r="AM63804" s="6"/>
    </row>
    <row r="63805" spans="2:39" ht="9.9499999999999993" hidden="1" customHeight="1" x14ac:dyDescent="0.2">
      <c r="B63805" s="6"/>
      <c r="C63805" s="6"/>
      <c r="D63805" s="6"/>
      <c r="E63805" s="6"/>
      <c r="F63805" s="6"/>
      <c r="G63805" s="6"/>
      <c r="H63805" s="6"/>
      <c r="I63805" s="6"/>
      <c r="J63805" s="6"/>
      <c r="K63805" s="6"/>
      <c r="L63805" s="6"/>
      <c r="M63805" s="6"/>
      <c r="N63805" s="6"/>
      <c r="O63805" s="6"/>
      <c r="P63805" s="6"/>
      <c r="Q63805" s="6"/>
      <c r="R63805" s="6"/>
      <c r="S63805" s="6"/>
      <c r="T63805" s="6"/>
      <c r="U63805" s="6"/>
      <c r="V63805" s="6"/>
      <c r="W63805" s="6"/>
      <c r="X63805" s="6"/>
      <c r="Y63805" s="6"/>
      <c r="Z63805" s="6"/>
      <c r="AA63805" s="6"/>
      <c r="AB63805" s="6"/>
      <c r="AC63805" s="6"/>
      <c r="AD63805" s="6"/>
      <c r="AE63805" s="6"/>
      <c r="AF63805" s="6"/>
      <c r="AG63805" s="6"/>
      <c r="AH63805" s="6"/>
      <c r="AI63805" s="6"/>
      <c r="AJ63805" s="6"/>
      <c r="AK63805" s="6"/>
      <c r="AL63805" s="6"/>
      <c r="AM63805" s="6"/>
    </row>
    <row r="63806" spans="2:39" ht="9.9499999999999993" hidden="1" customHeight="1" x14ac:dyDescent="0.2">
      <c r="B63806" s="6"/>
      <c r="C63806" s="6"/>
      <c r="D63806" s="6"/>
      <c r="E63806" s="6"/>
      <c r="F63806" s="6"/>
      <c r="G63806" s="6"/>
      <c r="H63806" s="6"/>
      <c r="I63806" s="6"/>
      <c r="J63806" s="6"/>
      <c r="K63806" s="6"/>
      <c r="L63806" s="6"/>
      <c r="M63806" s="6"/>
      <c r="N63806" s="6"/>
      <c r="O63806" s="6"/>
      <c r="P63806" s="6"/>
      <c r="Q63806" s="6"/>
      <c r="R63806" s="6"/>
      <c r="S63806" s="6"/>
      <c r="T63806" s="6"/>
      <c r="U63806" s="6"/>
      <c r="V63806" s="6"/>
      <c r="W63806" s="6"/>
      <c r="X63806" s="6"/>
      <c r="Y63806" s="6"/>
      <c r="Z63806" s="6"/>
      <c r="AA63806" s="6"/>
      <c r="AB63806" s="6"/>
      <c r="AC63806" s="6"/>
      <c r="AD63806" s="6"/>
      <c r="AE63806" s="6"/>
      <c r="AF63806" s="6"/>
      <c r="AG63806" s="6"/>
      <c r="AH63806" s="6"/>
      <c r="AI63806" s="6"/>
      <c r="AJ63806" s="6"/>
      <c r="AK63806" s="6"/>
      <c r="AL63806" s="6"/>
      <c r="AM63806" s="6"/>
    </row>
    <row r="63807" spans="2:39" ht="9.9499999999999993" hidden="1" customHeight="1" x14ac:dyDescent="0.2">
      <c r="B63807" s="6"/>
      <c r="C63807" s="6"/>
      <c r="D63807" s="6"/>
      <c r="E63807" s="6"/>
      <c r="F63807" s="6"/>
      <c r="G63807" s="6"/>
      <c r="H63807" s="6"/>
      <c r="I63807" s="6"/>
      <c r="J63807" s="6"/>
      <c r="K63807" s="6"/>
      <c r="L63807" s="6"/>
      <c r="M63807" s="6"/>
      <c r="N63807" s="6"/>
      <c r="O63807" s="6"/>
      <c r="P63807" s="6"/>
      <c r="Q63807" s="6"/>
      <c r="R63807" s="6"/>
      <c r="S63807" s="6"/>
      <c r="T63807" s="6"/>
      <c r="U63807" s="6"/>
      <c r="V63807" s="6"/>
      <c r="W63807" s="6"/>
      <c r="X63807" s="6"/>
      <c r="Y63807" s="6"/>
      <c r="Z63807" s="6"/>
      <c r="AA63807" s="6"/>
      <c r="AB63807" s="6"/>
      <c r="AC63807" s="6"/>
      <c r="AD63807" s="6"/>
      <c r="AE63807" s="6"/>
      <c r="AF63807" s="6"/>
      <c r="AG63807" s="6"/>
      <c r="AH63807" s="6"/>
      <c r="AI63807" s="6"/>
      <c r="AJ63807" s="6"/>
      <c r="AK63807" s="6"/>
      <c r="AL63807" s="6"/>
      <c r="AM63807" s="6"/>
    </row>
    <row r="63808" spans="2:39" ht="9.9499999999999993" hidden="1" customHeight="1" x14ac:dyDescent="0.2">
      <c r="B63808" s="6"/>
      <c r="C63808" s="6"/>
      <c r="D63808" s="6"/>
      <c r="E63808" s="6"/>
      <c r="F63808" s="6"/>
      <c r="G63808" s="6"/>
      <c r="H63808" s="6"/>
      <c r="I63808" s="6"/>
      <c r="J63808" s="6"/>
      <c r="K63808" s="6"/>
      <c r="L63808" s="6"/>
      <c r="M63808" s="6"/>
      <c r="N63808" s="6"/>
      <c r="O63808" s="6"/>
      <c r="P63808" s="6"/>
      <c r="Q63808" s="6"/>
      <c r="R63808" s="6"/>
      <c r="S63808" s="6"/>
      <c r="T63808" s="6"/>
      <c r="U63808" s="6"/>
      <c r="V63808" s="6"/>
      <c r="W63808" s="6"/>
      <c r="X63808" s="6"/>
      <c r="Y63808" s="6"/>
      <c r="Z63808" s="6"/>
      <c r="AA63808" s="6"/>
      <c r="AB63808" s="6"/>
      <c r="AC63808" s="6"/>
      <c r="AD63808" s="6"/>
      <c r="AE63808" s="6"/>
      <c r="AF63808" s="6"/>
      <c r="AG63808" s="6"/>
      <c r="AH63808" s="6"/>
      <c r="AI63808" s="6"/>
      <c r="AJ63808" s="6"/>
      <c r="AK63808" s="6"/>
      <c r="AL63808" s="6"/>
      <c r="AM63808" s="6"/>
    </row>
    <row r="63809" spans="2:39" ht="9.9499999999999993" hidden="1" customHeight="1" x14ac:dyDescent="0.2">
      <c r="B63809" s="6"/>
      <c r="C63809" s="6"/>
      <c r="D63809" s="6"/>
      <c r="E63809" s="6"/>
      <c r="F63809" s="6"/>
      <c r="G63809" s="6"/>
      <c r="H63809" s="6"/>
      <c r="I63809" s="6"/>
      <c r="J63809" s="6"/>
      <c r="K63809" s="6"/>
      <c r="L63809" s="6"/>
      <c r="M63809" s="6"/>
      <c r="N63809" s="6"/>
      <c r="O63809" s="6"/>
      <c r="P63809" s="6"/>
      <c r="Q63809" s="6"/>
      <c r="R63809" s="6"/>
      <c r="S63809" s="6"/>
      <c r="T63809" s="6"/>
      <c r="U63809" s="6"/>
      <c r="V63809" s="6"/>
      <c r="W63809" s="6"/>
      <c r="X63809" s="6"/>
      <c r="Y63809" s="6"/>
      <c r="Z63809" s="6"/>
      <c r="AA63809" s="6"/>
      <c r="AB63809" s="6"/>
      <c r="AC63809" s="6"/>
      <c r="AD63809" s="6"/>
      <c r="AE63809" s="6"/>
      <c r="AF63809" s="6"/>
      <c r="AG63809" s="6"/>
      <c r="AH63809" s="6"/>
      <c r="AI63809" s="6"/>
      <c r="AJ63809" s="6"/>
      <c r="AK63809" s="6"/>
      <c r="AL63809" s="6"/>
      <c r="AM63809" s="6"/>
    </row>
    <row r="63810" spans="2:39" ht="9.9499999999999993" hidden="1" customHeight="1" x14ac:dyDescent="0.2">
      <c r="B63810" s="6"/>
      <c r="C63810" s="6"/>
      <c r="D63810" s="6"/>
      <c r="E63810" s="6"/>
      <c r="F63810" s="6"/>
      <c r="G63810" s="6"/>
      <c r="H63810" s="6"/>
      <c r="I63810" s="6"/>
      <c r="J63810" s="6"/>
      <c r="K63810" s="6"/>
      <c r="L63810" s="6"/>
      <c r="M63810" s="6"/>
      <c r="N63810" s="6"/>
      <c r="O63810" s="6"/>
      <c r="P63810" s="6"/>
      <c r="Q63810" s="6"/>
      <c r="R63810" s="6"/>
      <c r="S63810" s="6"/>
      <c r="T63810" s="6"/>
      <c r="U63810" s="6"/>
      <c r="V63810" s="6"/>
      <c r="W63810" s="6"/>
      <c r="X63810" s="6"/>
      <c r="Y63810" s="6"/>
      <c r="Z63810" s="6"/>
      <c r="AA63810" s="6"/>
      <c r="AB63810" s="6"/>
      <c r="AC63810" s="6"/>
      <c r="AD63810" s="6"/>
      <c r="AE63810" s="6"/>
      <c r="AF63810" s="6"/>
      <c r="AG63810" s="6"/>
      <c r="AH63810" s="6"/>
      <c r="AI63810" s="6"/>
      <c r="AJ63810" s="6"/>
      <c r="AK63810" s="6"/>
      <c r="AL63810" s="6"/>
      <c r="AM63810" s="6"/>
    </row>
    <row r="63811" spans="2:39" ht="9.9499999999999993" hidden="1" customHeight="1" x14ac:dyDescent="0.2">
      <c r="B63811" s="6"/>
      <c r="C63811" s="6"/>
      <c r="D63811" s="6"/>
      <c r="E63811" s="6"/>
      <c r="F63811" s="6"/>
      <c r="G63811" s="6"/>
      <c r="H63811" s="6"/>
      <c r="I63811" s="6"/>
      <c r="J63811" s="6"/>
      <c r="K63811" s="6"/>
      <c r="L63811" s="6"/>
      <c r="M63811" s="6"/>
      <c r="N63811" s="6"/>
      <c r="O63811" s="6"/>
      <c r="P63811" s="6"/>
      <c r="Q63811" s="6"/>
      <c r="R63811" s="6"/>
      <c r="S63811" s="6"/>
      <c r="T63811" s="6"/>
      <c r="U63811" s="6"/>
      <c r="V63811" s="6"/>
      <c r="W63811" s="6"/>
      <c r="X63811" s="6"/>
      <c r="Y63811" s="6"/>
      <c r="Z63811" s="6"/>
      <c r="AA63811" s="6"/>
      <c r="AB63811" s="6"/>
      <c r="AC63811" s="6"/>
      <c r="AD63811" s="6"/>
      <c r="AE63811" s="6"/>
      <c r="AF63811" s="6"/>
      <c r="AG63811" s="6"/>
      <c r="AH63811" s="6"/>
      <c r="AI63811" s="6"/>
      <c r="AJ63811" s="6"/>
      <c r="AK63811" s="6"/>
      <c r="AL63811" s="6"/>
      <c r="AM63811" s="6"/>
    </row>
    <row r="63812" spans="2:39" ht="9.9499999999999993" hidden="1" customHeight="1" x14ac:dyDescent="0.2">
      <c r="B63812" s="6"/>
      <c r="C63812" s="6"/>
      <c r="D63812" s="6"/>
      <c r="E63812" s="6"/>
      <c r="F63812" s="6"/>
      <c r="G63812" s="6"/>
      <c r="H63812" s="6"/>
      <c r="I63812" s="6"/>
      <c r="J63812" s="6"/>
      <c r="K63812" s="6"/>
      <c r="L63812" s="6"/>
      <c r="M63812" s="6"/>
      <c r="N63812" s="6"/>
      <c r="O63812" s="6"/>
      <c r="P63812" s="6"/>
      <c r="Q63812" s="6"/>
      <c r="R63812" s="6"/>
      <c r="S63812" s="6"/>
      <c r="T63812" s="6"/>
      <c r="U63812" s="6"/>
      <c r="V63812" s="6"/>
      <c r="W63812" s="6"/>
      <c r="X63812" s="6"/>
      <c r="Y63812" s="6"/>
      <c r="Z63812" s="6"/>
      <c r="AA63812" s="6"/>
      <c r="AB63812" s="6"/>
      <c r="AC63812" s="6"/>
      <c r="AD63812" s="6"/>
      <c r="AE63812" s="6"/>
      <c r="AF63812" s="6"/>
      <c r="AG63812" s="6"/>
      <c r="AH63812" s="6"/>
      <c r="AI63812" s="6"/>
      <c r="AJ63812" s="6"/>
      <c r="AK63812" s="6"/>
      <c r="AL63812" s="6"/>
      <c r="AM63812" s="6"/>
    </row>
    <row r="63813" spans="2:39" ht="9.9499999999999993" hidden="1" customHeight="1" x14ac:dyDescent="0.2">
      <c r="B63813" s="6"/>
      <c r="C63813" s="6"/>
      <c r="D63813" s="6"/>
      <c r="E63813" s="6"/>
      <c r="F63813" s="6"/>
      <c r="G63813" s="6"/>
      <c r="H63813" s="6"/>
      <c r="I63813" s="6"/>
      <c r="J63813" s="6"/>
      <c r="K63813" s="6"/>
      <c r="L63813" s="6"/>
      <c r="M63813" s="6"/>
      <c r="N63813" s="6"/>
      <c r="O63813" s="6"/>
      <c r="P63813" s="6"/>
      <c r="Q63813" s="6"/>
      <c r="R63813" s="6"/>
      <c r="S63813" s="6"/>
      <c r="T63813" s="6"/>
      <c r="U63813" s="6"/>
      <c r="V63813" s="6"/>
      <c r="W63813" s="6"/>
      <c r="X63813" s="6"/>
      <c r="Y63813" s="6"/>
      <c r="Z63813" s="6"/>
      <c r="AA63813" s="6"/>
      <c r="AB63813" s="6"/>
      <c r="AC63813" s="6"/>
      <c r="AD63813" s="6"/>
      <c r="AE63813" s="6"/>
      <c r="AF63813" s="6"/>
      <c r="AG63813" s="6"/>
      <c r="AH63813" s="6"/>
      <c r="AI63813" s="6"/>
      <c r="AJ63813" s="6"/>
      <c r="AK63813" s="6"/>
      <c r="AL63813" s="6"/>
      <c r="AM63813" s="6"/>
    </row>
    <row r="63814" spans="2:39" ht="9.9499999999999993" hidden="1" customHeight="1" x14ac:dyDescent="0.2">
      <c r="B63814" s="6"/>
      <c r="C63814" s="6"/>
      <c r="D63814" s="6"/>
      <c r="E63814" s="6"/>
      <c r="F63814" s="6"/>
      <c r="G63814" s="6"/>
      <c r="H63814" s="6"/>
      <c r="I63814" s="6"/>
      <c r="J63814" s="6"/>
      <c r="K63814" s="6"/>
      <c r="L63814" s="6"/>
      <c r="M63814" s="6"/>
      <c r="N63814" s="6"/>
      <c r="O63814" s="6"/>
      <c r="P63814" s="6"/>
      <c r="Q63814" s="6"/>
      <c r="R63814" s="6"/>
      <c r="S63814" s="6"/>
      <c r="T63814" s="6"/>
      <c r="U63814" s="6"/>
      <c r="V63814" s="6"/>
      <c r="W63814" s="6"/>
      <c r="X63814" s="6"/>
      <c r="Y63814" s="6"/>
      <c r="Z63814" s="6"/>
      <c r="AA63814" s="6"/>
      <c r="AB63814" s="6"/>
      <c r="AC63814" s="6"/>
      <c r="AD63814" s="6"/>
      <c r="AE63814" s="6"/>
      <c r="AF63814" s="6"/>
      <c r="AG63814" s="6"/>
      <c r="AH63814" s="6"/>
      <c r="AI63814" s="6"/>
      <c r="AJ63814" s="6"/>
      <c r="AK63814" s="6"/>
      <c r="AL63814" s="6"/>
      <c r="AM63814" s="6"/>
    </row>
    <row r="63815" spans="2:39" ht="9.9499999999999993" hidden="1" customHeight="1" x14ac:dyDescent="0.2">
      <c r="B63815" s="6"/>
      <c r="C63815" s="6"/>
      <c r="D63815" s="6"/>
      <c r="E63815" s="6"/>
      <c r="F63815" s="6"/>
      <c r="G63815" s="6"/>
      <c r="H63815" s="6"/>
      <c r="I63815" s="6"/>
      <c r="J63815" s="6"/>
      <c r="K63815" s="6"/>
      <c r="L63815" s="6"/>
      <c r="M63815" s="6"/>
      <c r="N63815" s="6"/>
      <c r="O63815" s="6"/>
      <c r="P63815" s="6"/>
      <c r="Q63815" s="6"/>
      <c r="R63815" s="6"/>
      <c r="S63815" s="6"/>
      <c r="T63815" s="6"/>
      <c r="U63815" s="6"/>
      <c r="V63815" s="6"/>
      <c r="W63815" s="6"/>
      <c r="X63815" s="6"/>
      <c r="Y63815" s="6"/>
      <c r="Z63815" s="6"/>
      <c r="AA63815" s="6"/>
      <c r="AB63815" s="6"/>
      <c r="AC63815" s="6"/>
      <c r="AD63815" s="6"/>
      <c r="AE63815" s="6"/>
      <c r="AF63815" s="6"/>
      <c r="AG63815" s="6"/>
      <c r="AH63815" s="6"/>
      <c r="AI63815" s="6"/>
      <c r="AJ63815" s="6"/>
      <c r="AK63815" s="6"/>
      <c r="AL63815" s="6"/>
      <c r="AM63815" s="6"/>
    </row>
    <row r="63816" spans="2:39" ht="9.9499999999999993" hidden="1" customHeight="1" x14ac:dyDescent="0.2">
      <c r="B63816" s="6"/>
      <c r="C63816" s="6"/>
      <c r="D63816" s="6"/>
      <c r="E63816" s="6"/>
      <c r="F63816" s="6"/>
      <c r="G63816" s="6"/>
      <c r="H63816" s="6"/>
      <c r="I63816" s="6"/>
      <c r="J63816" s="6"/>
      <c r="K63816" s="6"/>
      <c r="L63816" s="6"/>
      <c r="M63816" s="6"/>
      <c r="N63816" s="6"/>
      <c r="O63816" s="6"/>
      <c r="P63816" s="6"/>
      <c r="Q63816" s="6"/>
      <c r="R63816" s="6"/>
      <c r="S63816" s="6"/>
      <c r="T63816" s="6"/>
      <c r="U63816" s="6"/>
      <c r="V63816" s="6"/>
      <c r="W63816" s="6"/>
      <c r="X63816" s="6"/>
      <c r="Y63816" s="6"/>
      <c r="Z63816" s="6"/>
      <c r="AA63816" s="6"/>
      <c r="AB63816" s="6"/>
      <c r="AC63816" s="6"/>
      <c r="AD63816" s="6"/>
      <c r="AE63816" s="6"/>
      <c r="AF63816" s="6"/>
      <c r="AG63816" s="6"/>
      <c r="AH63816" s="6"/>
      <c r="AI63816" s="6"/>
      <c r="AJ63816" s="6"/>
      <c r="AK63816" s="6"/>
      <c r="AL63816" s="6"/>
      <c r="AM63816" s="6"/>
    </row>
    <row r="63817" spans="2:39" ht="9.9499999999999993" hidden="1" customHeight="1" x14ac:dyDescent="0.2">
      <c r="B63817" s="6"/>
      <c r="C63817" s="6"/>
      <c r="D63817" s="6"/>
      <c r="E63817" s="6"/>
      <c r="F63817" s="6"/>
      <c r="G63817" s="6"/>
      <c r="H63817" s="6"/>
      <c r="I63817" s="6"/>
      <c r="J63817" s="6"/>
      <c r="K63817" s="6"/>
      <c r="L63817" s="6"/>
      <c r="M63817" s="6"/>
      <c r="N63817" s="6"/>
      <c r="O63817" s="6"/>
      <c r="P63817" s="6"/>
      <c r="Q63817" s="6"/>
      <c r="R63817" s="6"/>
      <c r="S63817" s="6"/>
      <c r="T63817" s="6"/>
      <c r="U63817" s="6"/>
      <c r="V63817" s="6"/>
      <c r="W63817" s="6"/>
      <c r="X63817" s="6"/>
      <c r="Y63817" s="6"/>
      <c r="Z63817" s="6"/>
      <c r="AA63817" s="6"/>
      <c r="AB63817" s="6"/>
      <c r="AC63817" s="6"/>
      <c r="AD63817" s="6"/>
      <c r="AE63817" s="6"/>
      <c r="AF63817" s="6"/>
      <c r="AG63817" s="6"/>
      <c r="AH63817" s="6"/>
      <c r="AI63817" s="6"/>
      <c r="AJ63817" s="6"/>
      <c r="AK63817" s="6"/>
      <c r="AL63817" s="6"/>
      <c r="AM63817" s="6"/>
    </row>
    <row r="63818" spans="2:39" ht="9.9499999999999993" hidden="1" customHeight="1" x14ac:dyDescent="0.2">
      <c r="B63818" s="6"/>
      <c r="C63818" s="6"/>
      <c r="D63818" s="6"/>
      <c r="E63818" s="6"/>
      <c r="F63818" s="6"/>
      <c r="G63818" s="6"/>
      <c r="H63818" s="6"/>
      <c r="I63818" s="6"/>
      <c r="J63818" s="6"/>
      <c r="K63818" s="6"/>
      <c r="L63818" s="6"/>
      <c r="M63818" s="6"/>
      <c r="N63818" s="6"/>
      <c r="O63818" s="6"/>
      <c r="P63818" s="6"/>
      <c r="Q63818" s="6"/>
      <c r="R63818" s="6"/>
      <c r="S63818" s="6"/>
      <c r="T63818" s="6"/>
      <c r="U63818" s="6"/>
      <c r="V63818" s="6"/>
      <c r="W63818" s="6"/>
      <c r="X63818" s="6"/>
      <c r="Y63818" s="6"/>
      <c r="Z63818" s="6"/>
      <c r="AA63818" s="6"/>
      <c r="AB63818" s="6"/>
      <c r="AC63818" s="6"/>
      <c r="AD63818" s="6"/>
      <c r="AE63818" s="6"/>
      <c r="AF63818" s="6"/>
      <c r="AG63818" s="6"/>
      <c r="AH63818" s="6"/>
      <c r="AI63818" s="6"/>
      <c r="AJ63818" s="6"/>
      <c r="AK63818" s="6"/>
      <c r="AL63818" s="6"/>
      <c r="AM63818" s="6"/>
    </row>
    <row r="63819" spans="2:39" ht="9.9499999999999993" hidden="1" customHeight="1" x14ac:dyDescent="0.2">
      <c r="B63819" s="6"/>
      <c r="C63819" s="6"/>
      <c r="D63819" s="6"/>
      <c r="E63819" s="6"/>
      <c r="F63819" s="6"/>
      <c r="G63819" s="6"/>
      <c r="H63819" s="6"/>
      <c r="I63819" s="6"/>
      <c r="J63819" s="6"/>
      <c r="K63819" s="6"/>
      <c r="L63819" s="6"/>
      <c r="M63819" s="6"/>
      <c r="N63819" s="6"/>
      <c r="O63819" s="6"/>
      <c r="P63819" s="6"/>
      <c r="Q63819" s="6"/>
      <c r="R63819" s="6"/>
      <c r="S63819" s="6"/>
      <c r="T63819" s="6"/>
      <c r="U63819" s="6"/>
      <c r="V63819" s="6"/>
      <c r="W63819" s="6"/>
      <c r="X63819" s="6"/>
      <c r="Y63819" s="6"/>
      <c r="Z63819" s="6"/>
      <c r="AA63819" s="6"/>
      <c r="AB63819" s="6"/>
      <c r="AC63819" s="6"/>
      <c r="AD63819" s="6"/>
      <c r="AE63819" s="6"/>
      <c r="AF63819" s="6"/>
      <c r="AG63819" s="6"/>
      <c r="AH63819" s="6"/>
      <c r="AI63819" s="6"/>
      <c r="AJ63819" s="6"/>
      <c r="AK63819" s="6"/>
      <c r="AL63819" s="6"/>
      <c r="AM63819" s="6"/>
    </row>
    <row r="63820" spans="2:39" ht="9.9499999999999993" hidden="1" customHeight="1" x14ac:dyDescent="0.2">
      <c r="B63820" s="6"/>
      <c r="C63820" s="6"/>
      <c r="D63820" s="6"/>
      <c r="E63820" s="6"/>
      <c r="F63820" s="6"/>
      <c r="G63820" s="6"/>
      <c r="H63820" s="6"/>
      <c r="I63820" s="6"/>
      <c r="J63820" s="6"/>
      <c r="K63820" s="6"/>
      <c r="L63820" s="6"/>
      <c r="M63820" s="6"/>
      <c r="N63820" s="6"/>
      <c r="O63820" s="6"/>
      <c r="P63820" s="6"/>
      <c r="Q63820" s="6"/>
      <c r="R63820" s="6"/>
      <c r="S63820" s="6"/>
      <c r="T63820" s="6"/>
      <c r="U63820" s="6"/>
      <c r="V63820" s="6"/>
      <c r="W63820" s="6"/>
      <c r="X63820" s="6"/>
      <c r="Y63820" s="6"/>
      <c r="Z63820" s="6"/>
      <c r="AA63820" s="6"/>
      <c r="AB63820" s="6"/>
      <c r="AC63820" s="6"/>
      <c r="AD63820" s="6"/>
      <c r="AE63820" s="6"/>
      <c r="AF63820" s="6"/>
      <c r="AG63820" s="6"/>
      <c r="AH63820" s="6"/>
      <c r="AI63820" s="6"/>
      <c r="AJ63820" s="6"/>
      <c r="AK63820" s="6"/>
      <c r="AL63820" s="6"/>
      <c r="AM63820" s="6"/>
    </row>
    <row r="63821" spans="2:39" ht="9.9499999999999993" hidden="1" customHeight="1" x14ac:dyDescent="0.2">
      <c r="B63821" s="6"/>
      <c r="C63821" s="6"/>
      <c r="D63821" s="6"/>
      <c r="E63821" s="6"/>
      <c r="F63821" s="6"/>
      <c r="G63821" s="6"/>
      <c r="H63821" s="6"/>
      <c r="I63821" s="6"/>
      <c r="J63821" s="6"/>
      <c r="K63821" s="6"/>
      <c r="L63821" s="6"/>
      <c r="M63821" s="6"/>
      <c r="N63821" s="6"/>
      <c r="O63821" s="6"/>
      <c r="P63821" s="6"/>
      <c r="Q63821" s="6"/>
      <c r="R63821" s="6"/>
      <c r="S63821" s="6"/>
      <c r="T63821" s="6"/>
      <c r="U63821" s="6"/>
      <c r="V63821" s="6"/>
      <c r="W63821" s="6"/>
      <c r="X63821" s="6"/>
      <c r="Y63821" s="6"/>
      <c r="Z63821" s="6"/>
      <c r="AA63821" s="6"/>
      <c r="AB63821" s="6"/>
      <c r="AC63821" s="6"/>
      <c r="AD63821" s="6"/>
      <c r="AE63821" s="6"/>
      <c r="AF63821" s="6"/>
      <c r="AG63821" s="6"/>
      <c r="AH63821" s="6"/>
      <c r="AI63821" s="6"/>
      <c r="AJ63821" s="6"/>
      <c r="AK63821" s="6"/>
      <c r="AL63821" s="6"/>
      <c r="AM63821" s="6"/>
    </row>
    <row r="63822" spans="2:39" ht="9.9499999999999993" hidden="1" customHeight="1" x14ac:dyDescent="0.2">
      <c r="B63822" s="6"/>
      <c r="C63822" s="6"/>
      <c r="D63822" s="6"/>
      <c r="E63822" s="6"/>
      <c r="F63822" s="6"/>
      <c r="G63822" s="6"/>
      <c r="H63822" s="6"/>
      <c r="I63822" s="6"/>
      <c r="J63822" s="6"/>
      <c r="K63822" s="6"/>
      <c r="L63822" s="6"/>
      <c r="M63822" s="6"/>
      <c r="N63822" s="6"/>
      <c r="O63822" s="6"/>
      <c r="P63822" s="6"/>
      <c r="Q63822" s="6"/>
      <c r="R63822" s="6"/>
      <c r="S63822" s="6"/>
      <c r="T63822" s="6"/>
      <c r="U63822" s="6"/>
      <c r="V63822" s="6"/>
      <c r="W63822" s="6"/>
      <c r="X63822" s="6"/>
      <c r="Y63822" s="6"/>
      <c r="Z63822" s="6"/>
      <c r="AA63822" s="6"/>
      <c r="AB63822" s="6"/>
      <c r="AC63822" s="6"/>
      <c r="AD63822" s="6"/>
      <c r="AE63822" s="6"/>
      <c r="AF63822" s="6"/>
      <c r="AG63822" s="6"/>
      <c r="AH63822" s="6"/>
      <c r="AI63822" s="6"/>
      <c r="AJ63822" s="6"/>
      <c r="AK63822" s="6"/>
      <c r="AL63822" s="6"/>
      <c r="AM63822" s="6"/>
    </row>
    <row r="63823" spans="2:39" ht="9.9499999999999993" hidden="1" customHeight="1" x14ac:dyDescent="0.2">
      <c r="B63823" s="6"/>
      <c r="C63823" s="6"/>
      <c r="D63823" s="6"/>
      <c r="E63823" s="6"/>
      <c r="F63823" s="6"/>
      <c r="G63823" s="6"/>
      <c r="H63823" s="6"/>
      <c r="I63823" s="6"/>
      <c r="J63823" s="6"/>
      <c r="K63823" s="6"/>
      <c r="L63823" s="6"/>
      <c r="M63823" s="6"/>
      <c r="N63823" s="6"/>
      <c r="O63823" s="6"/>
      <c r="P63823" s="6"/>
      <c r="Q63823" s="6"/>
      <c r="R63823" s="6"/>
      <c r="S63823" s="6"/>
      <c r="T63823" s="6"/>
      <c r="U63823" s="6"/>
      <c r="V63823" s="6"/>
      <c r="W63823" s="6"/>
      <c r="X63823" s="6"/>
      <c r="Y63823" s="6"/>
      <c r="Z63823" s="6"/>
      <c r="AA63823" s="6"/>
      <c r="AB63823" s="6"/>
      <c r="AC63823" s="6"/>
      <c r="AD63823" s="6"/>
      <c r="AE63823" s="6"/>
      <c r="AF63823" s="6"/>
      <c r="AG63823" s="6"/>
      <c r="AH63823" s="6"/>
      <c r="AI63823" s="6"/>
      <c r="AJ63823" s="6"/>
      <c r="AK63823" s="6"/>
      <c r="AL63823" s="6"/>
      <c r="AM63823" s="6"/>
    </row>
    <row r="63824" spans="2:39" ht="9.9499999999999993" hidden="1" customHeight="1" x14ac:dyDescent="0.2">
      <c r="B63824" s="6"/>
      <c r="C63824" s="6"/>
      <c r="D63824" s="6"/>
      <c r="E63824" s="6"/>
      <c r="F63824" s="6"/>
      <c r="G63824" s="6"/>
      <c r="H63824" s="6"/>
      <c r="I63824" s="6"/>
      <c r="J63824" s="6"/>
      <c r="K63824" s="6"/>
      <c r="L63824" s="6"/>
      <c r="M63824" s="6"/>
      <c r="N63824" s="6"/>
      <c r="O63824" s="6"/>
      <c r="P63824" s="6"/>
      <c r="Q63824" s="6"/>
      <c r="R63824" s="6"/>
      <c r="S63824" s="6"/>
      <c r="T63824" s="6"/>
      <c r="U63824" s="6"/>
      <c r="V63824" s="6"/>
      <c r="W63824" s="6"/>
      <c r="X63824" s="6"/>
      <c r="Y63824" s="6"/>
      <c r="Z63824" s="6"/>
      <c r="AA63824" s="6"/>
      <c r="AB63824" s="6"/>
      <c r="AC63824" s="6"/>
      <c r="AD63824" s="6"/>
      <c r="AE63824" s="6"/>
      <c r="AF63824" s="6"/>
      <c r="AG63824" s="6"/>
      <c r="AH63824" s="6"/>
      <c r="AI63824" s="6"/>
      <c r="AJ63824" s="6"/>
      <c r="AK63824" s="6"/>
      <c r="AL63824" s="6"/>
      <c r="AM63824" s="6"/>
    </row>
    <row r="63825" spans="2:39" ht="9.9499999999999993" hidden="1" customHeight="1" x14ac:dyDescent="0.2">
      <c r="B63825" s="6"/>
      <c r="C63825" s="6"/>
      <c r="D63825" s="6"/>
      <c r="E63825" s="6"/>
      <c r="F63825" s="6"/>
      <c r="G63825" s="6"/>
      <c r="H63825" s="6"/>
      <c r="I63825" s="6"/>
      <c r="J63825" s="6"/>
      <c r="K63825" s="6"/>
      <c r="L63825" s="6"/>
      <c r="M63825" s="6"/>
      <c r="N63825" s="6"/>
      <c r="O63825" s="6"/>
      <c r="P63825" s="6"/>
      <c r="Q63825" s="6"/>
      <c r="R63825" s="6"/>
      <c r="S63825" s="6"/>
      <c r="T63825" s="6"/>
      <c r="U63825" s="6"/>
      <c r="V63825" s="6"/>
      <c r="W63825" s="6"/>
      <c r="X63825" s="6"/>
      <c r="Y63825" s="6"/>
      <c r="Z63825" s="6"/>
      <c r="AA63825" s="6"/>
      <c r="AB63825" s="6"/>
      <c r="AC63825" s="6"/>
      <c r="AD63825" s="6"/>
      <c r="AE63825" s="6"/>
      <c r="AF63825" s="6"/>
      <c r="AG63825" s="6"/>
      <c r="AH63825" s="6"/>
      <c r="AI63825" s="6"/>
      <c r="AJ63825" s="6"/>
      <c r="AK63825" s="6"/>
      <c r="AL63825" s="6"/>
      <c r="AM63825" s="6"/>
    </row>
    <row r="63826" spans="2:39" ht="9.9499999999999993" hidden="1" customHeight="1" x14ac:dyDescent="0.2">
      <c r="B63826" s="6"/>
      <c r="C63826" s="6"/>
      <c r="D63826" s="6"/>
      <c r="E63826" s="6"/>
      <c r="F63826" s="6"/>
      <c r="G63826" s="6"/>
      <c r="H63826" s="6"/>
      <c r="I63826" s="6"/>
      <c r="J63826" s="6"/>
      <c r="K63826" s="6"/>
      <c r="L63826" s="6"/>
      <c r="M63826" s="6"/>
      <c r="N63826" s="6"/>
      <c r="O63826" s="6"/>
      <c r="P63826" s="6"/>
      <c r="Q63826" s="6"/>
      <c r="R63826" s="6"/>
      <c r="S63826" s="6"/>
      <c r="T63826" s="6"/>
      <c r="U63826" s="6"/>
      <c r="V63826" s="6"/>
      <c r="W63826" s="6"/>
      <c r="X63826" s="6"/>
      <c r="Y63826" s="6"/>
      <c r="Z63826" s="6"/>
      <c r="AA63826" s="6"/>
      <c r="AB63826" s="6"/>
      <c r="AC63826" s="6"/>
      <c r="AD63826" s="6"/>
      <c r="AE63826" s="6"/>
      <c r="AF63826" s="6"/>
      <c r="AG63826" s="6"/>
      <c r="AH63826" s="6"/>
      <c r="AI63826" s="6"/>
      <c r="AJ63826" s="6"/>
      <c r="AK63826" s="6"/>
      <c r="AL63826" s="6"/>
      <c r="AM63826" s="6"/>
    </row>
    <row r="63827" spans="2:39" ht="9.9499999999999993" hidden="1" customHeight="1" x14ac:dyDescent="0.2">
      <c r="B63827" s="6"/>
      <c r="C63827" s="6"/>
      <c r="D63827" s="6"/>
      <c r="E63827" s="6"/>
      <c r="F63827" s="6"/>
      <c r="G63827" s="6"/>
      <c r="H63827" s="6"/>
      <c r="I63827" s="6"/>
      <c r="J63827" s="6"/>
      <c r="K63827" s="6"/>
      <c r="L63827" s="6"/>
      <c r="M63827" s="6"/>
      <c r="N63827" s="6"/>
      <c r="O63827" s="6"/>
      <c r="P63827" s="6"/>
      <c r="Q63827" s="6"/>
      <c r="R63827" s="6"/>
      <c r="S63827" s="6"/>
      <c r="T63827" s="6"/>
      <c r="U63827" s="6"/>
      <c r="V63827" s="6"/>
      <c r="W63827" s="6"/>
      <c r="X63827" s="6"/>
      <c r="Y63827" s="6"/>
      <c r="Z63827" s="6"/>
      <c r="AA63827" s="6"/>
      <c r="AB63827" s="6"/>
      <c r="AC63827" s="6"/>
      <c r="AD63827" s="6"/>
      <c r="AE63827" s="6"/>
      <c r="AF63827" s="6"/>
      <c r="AG63827" s="6"/>
      <c r="AH63827" s="6"/>
      <c r="AI63827" s="6"/>
      <c r="AJ63827" s="6"/>
      <c r="AK63827" s="6"/>
      <c r="AL63827" s="6"/>
      <c r="AM63827" s="6"/>
    </row>
    <row r="63828" spans="2:39" ht="9.9499999999999993" hidden="1" customHeight="1" x14ac:dyDescent="0.2">
      <c r="B63828" s="6"/>
      <c r="C63828" s="6"/>
      <c r="D63828" s="6"/>
      <c r="E63828" s="6"/>
      <c r="F63828" s="6"/>
      <c r="G63828" s="6"/>
      <c r="H63828" s="6"/>
      <c r="I63828" s="6"/>
      <c r="J63828" s="6"/>
      <c r="K63828" s="6"/>
      <c r="L63828" s="6"/>
      <c r="M63828" s="6"/>
      <c r="N63828" s="6"/>
      <c r="O63828" s="6"/>
      <c r="P63828" s="6"/>
      <c r="Q63828" s="6"/>
      <c r="R63828" s="6"/>
      <c r="S63828" s="6"/>
      <c r="T63828" s="6"/>
      <c r="U63828" s="6"/>
      <c r="V63828" s="6"/>
      <c r="W63828" s="6"/>
      <c r="X63828" s="6"/>
      <c r="Y63828" s="6"/>
      <c r="Z63828" s="6"/>
      <c r="AA63828" s="6"/>
      <c r="AB63828" s="6"/>
      <c r="AC63828" s="6"/>
      <c r="AD63828" s="6"/>
      <c r="AE63828" s="6"/>
      <c r="AF63828" s="6"/>
      <c r="AG63828" s="6"/>
      <c r="AH63828" s="6"/>
      <c r="AI63828" s="6"/>
      <c r="AJ63828" s="6"/>
      <c r="AK63828" s="6"/>
      <c r="AL63828" s="6"/>
      <c r="AM63828" s="6"/>
    </row>
    <row r="63829" spans="2:39" ht="9.9499999999999993" hidden="1" customHeight="1" x14ac:dyDescent="0.2">
      <c r="B63829" s="6"/>
      <c r="C63829" s="6"/>
      <c r="D63829" s="6"/>
      <c r="E63829" s="6"/>
      <c r="F63829" s="6"/>
      <c r="G63829" s="6"/>
      <c r="H63829" s="6"/>
      <c r="I63829" s="6"/>
      <c r="J63829" s="6"/>
      <c r="K63829" s="6"/>
      <c r="L63829" s="6"/>
      <c r="M63829" s="6"/>
      <c r="N63829" s="6"/>
      <c r="O63829" s="6"/>
      <c r="P63829" s="6"/>
      <c r="Q63829" s="6"/>
      <c r="R63829" s="6"/>
      <c r="S63829" s="6"/>
      <c r="T63829" s="6"/>
      <c r="U63829" s="6"/>
      <c r="V63829" s="6"/>
      <c r="W63829" s="6"/>
      <c r="X63829" s="6"/>
      <c r="Y63829" s="6"/>
      <c r="Z63829" s="6"/>
      <c r="AA63829" s="6"/>
      <c r="AB63829" s="6"/>
      <c r="AC63829" s="6"/>
      <c r="AD63829" s="6"/>
      <c r="AE63829" s="6"/>
      <c r="AF63829" s="6"/>
      <c r="AG63829" s="6"/>
      <c r="AH63829" s="6"/>
      <c r="AI63829" s="6"/>
      <c r="AJ63829" s="6"/>
      <c r="AK63829" s="6"/>
      <c r="AL63829" s="6"/>
      <c r="AM63829" s="6"/>
    </row>
    <row r="63830" spans="2:39" ht="9.9499999999999993" hidden="1" customHeight="1" x14ac:dyDescent="0.2">
      <c r="B63830" s="6"/>
      <c r="C63830" s="6"/>
      <c r="D63830" s="6"/>
      <c r="E63830" s="6"/>
      <c r="F63830" s="6"/>
      <c r="G63830" s="6"/>
      <c r="H63830" s="6"/>
      <c r="I63830" s="6"/>
      <c r="J63830" s="6"/>
      <c r="K63830" s="6"/>
      <c r="L63830" s="6"/>
      <c r="M63830" s="6"/>
      <c r="N63830" s="6"/>
      <c r="O63830" s="6"/>
      <c r="P63830" s="6"/>
      <c r="Q63830" s="6"/>
      <c r="R63830" s="6"/>
      <c r="S63830" s="6"/>
      <c r="T63830" s="6"/>
      <c r="U63830" s="6"/>
      <c r="V63830" s="6"/>
      <c r="W63830" s="6"/>
      <c r="X63830" s="6"/>
      <c r="Y63830" s="6"/>
      <c r="Z63830" s="6"/>
      <c r="AA63830" s="6"/>
      <c r="AB63830" s="6"/>
      <c r="AC63830" s="6"/>
      <c r="AD63830" s="6"/>
      <c r="AE63830" s="6"/>
      <c r="AF63830" s="6"/>
      <c r="AG63830" s="6"/>
      <c r="AH63830" s="6"/>
      <c r="AI63830" s="6"/>
      <c r="AJ63830" s="6"/>
      <c r="AK63830" s="6"/>
      <c r="AL63830" s="6"/>
      <c r="AM63830" s="6"/>
    </row>
    <row r="63831" spans="2:39" ht="9.9499999999999993" hidden="1" customHeight="1" x14ac:dyDescent="0.2">
      <c r="B63831" s="6"/>
      <c r="C63831" s="6"/>
      <c r="D63831" s="6"/>
      <c r="E63831" s="6"/>
      <c r="F63831" s="6"/>
      <c r="G63831" s="6"/>
      <c r="H63831" s="6"/>
      <c r="I63831" s="6"/>
      <c r="J63831" s="6"/>
      <c r="K63831" s="6"/>
      <c r="L63831" s="6"/>
      <c r="M63831" s="6"/>
      <c r="N63831" s="6"/>
      <c r="O63831" s="6"/>
      <c r="P63831" s="6"/>
      <c r="Q63831" s="6"/>
      <c r="R63831" s="6"/>
      <c r="S63831" s="6"/>
      <c r="T63831" s="6"/>
      <c r="U63831" s="6"/>
      <c r="V63831" s="6"/>
      <c r="W63831" s="6"/>
      <c r="X63831" s="6"/>
      <c r="Y63831" s="6"/>
      <c r="Z63831" s="6"/>
      <c r="AA63831" s="6"/>
      <c r="AB63831" s="6"/>
      <c r="AC63831" s="6"/>
      <c r="AD63831" s="6"/>
      <c r="AE63831" s="6"/>
      <c r="AF63831" s="6"/>
      <c r="AG63831" s="6"/>
      <c r="AH63831" s="6"/>
      <c r="AI63831" s="6"/>
      <c r="AJ63831" s="6"/>
      <c r="AK63831" s="6"/>
      <c r="AL63831" s="6"/>
      <c r="AM63831" s="6"/>
    </row>
    <row r="63832" spans="2:39" ht="9.9499999999999993" hidden="1" customHeight="1" x14ac:dyDescent="0.2">
      <c r="B63832" s="6"/>
      <c r="C63832" s="6"/>
      <c r="D63832" s="6"/>
      <c r="E63832" s="6"/>
      <c r="F63832" s="6"/>
      <c r="G63832" s="6"/>
      <c r="H63832" s="6"/>
      <c r="I63832" s="6"/>
      <c r="J63832" s="6"/>
      <c r="K63832" s="6"/>
      <c r="L63832" s="6"/>
      <c r="M63832" s="6"/>
      <c r="N63832" s="6"/>
      <c r="O63832" s="6"/>
      <c r="P63832" s="6"/>
      <c r="Q63832" s="6"/>
      <c r="R63832" s="6"/>
      <c r="S63832" s="6"/>
      <c r="T63832" s="6"/>
      <c r="U63832" s="6"/>
      <c r="V63832" s="6"/>
      <c r="W63832" s="6"/>
      <c r="X63832" s="6"/>
      <c r="Y63832" s="6"/>
      <c r="Z63832" s="6"/>
      <c r="AA63832" s="6"/>
      <c r="AB63832" s="6"/>
      <c r="AC63832" s="6"/>
      <c r="AD63832" s="6"/>
      <c r="AE63832" s="6"/>
      <c r="AF63832" s="6"/>
      <c r="AG63832" s="6"/>
      <c r="AH63832" s="6"/>
      <c r="AI63832" s="6"/>
      <c r="AJ63832" s="6"/>
      <c r="AK63832" s="6"/>
      <c r="AL63832" s="6"/>
      <c r="AM63832" s="6"/>
    </row>
    <row r="63833" spans="2:39" ht="9.9499999999999993" hidden="1" customHeight="1" x14ac:dyDescent="0.2">
      <c r="B63833" s="6"/>
      <c r="C63833" s="6"/>
      <c r="D63833" s="6"/>
      <c r="E63833" s="6"/>
      <c r="F63833" s="6"/>
      <c r="G63833" s="6"/>
      <c r="H63833" s="6"/>
      <c r="I63833" s="6"/>
      <c r="J63833" s="6"/>
      <c r="K63833" s="6"/>
      <c r="L63833" s="6"/>
      <c r="M63833" s="6"/>
      <c r="N63833" s="6"/>
      <c r="O63833" s="6"/>
      <c r="P63833" s="6"/>
      <c r="Q63833" s="6"/>
      <c r="R63833" s="6"/>
      <c r="S63833" s="6"/>
      <c r="T63833" s="6"/>
      <c r="U63833" s="6"/>
      <c r="V63833" s="6"/>
      <c r="W63833" s="6"/>
      <c r="X63833" s="6"/>
      <c r="Y63833" s="6"/>
      <c r="Z63833" s="6"/>
      <c r="AA63833" s="6"/>
      <c r="AB63833" s="6"/>
      <c r="AC63833" s="6"/>
      <c r="AD63833" s="6"/>
      <c r="AE63833" s="6"/>
      <c r="AF63833" s="6"/>
      <c r="AG63833" s="6"/>
      <c r="AH63833" s="6"/>
      <c r="AI63833" s="6"/>
      <c r="AJ63833" s="6"/>
      <c r="AK63833" s="6"/>
      <c r="AL63833" s="6"/>
      <c r="AM63833" s="6"/>
    </row>
    <row r="63834" spans="2:39" ht="9.9499999999999993" hidden="1" customHeight="1" x14ac:dyDescent="0.2">
      <c r="B63834" s="6"/>
      <c r="C63834" s="6"/>
      <c r="D63834" s="6"/>
      <c r="E63834" s="6"/>
      <c r="F63834" s="6"/>
      <c r="G63834" s="6"/>
      <c r="H63834" s="6"/>
      <c r="I63834" s="6"/>
      <c r="J63834" s="6"/>
      <c r="K63834" s="6"/>
      <c r="L63834" s="6"/>
      <c r="M63834" s="6"/>
      <c r="N63834" s="6"/>
      <c r="O63834" s="6"/>
      <c r="P63834" s="6"/>
      <c r="Q63834" s="6"/>
      <c r="R63834" s="6"/>
      <c r="S63834" s="6"/>
      <c r="T63834" s="6"/>
      <c r="U63834" s="6"/>
      <c r="V63834" s="6"/>
      <c r="W63834" s="6"/>
      <c r="X63834" s="6"/>
      <c r="Y63834" s="6"/>
      <c r="Z63834" s="6"/>
      <c r="AA63834" s="6"/>
      <c r="AB63834" s="6"/>
      <c r="AC63834" s="6"/>
      <c r="AD63834" s="6"/>
      <c r="AE63834" s="6"/>
      <c r="AF63834" s="6"/>
      <c r="AG63834" s="6"/>
      <c r="AH63834" s="6"/>
      <c r="AI63834" s="6"/>
      <c r="AJ63834" s="6"/>
      <c r="AK63834" s="6"/>
      <c r="AL63834" s="6"/>
      <c r="AM63834" s="6"/>
    </row>
    <row r="63835" spans="2:39" ht="9.9499999999999993" hidden="1" customHeight="1" x14ac:dyDescent="0.2">
      <c r="B63835" s="6"/>
      <c r="C63835" s="6"/>
      <c r="D63835" s="6"/>
      <c r="E63835" s="6"/>
      <c r="F63835" s="6"/>
      <c r="G63835" s="6"/>
      <c r="H63835" s="6"/>
      <c r="I63835" s="6"/>
      <c r="J63835" s="6"/>
      <c r="K63835" s="6"/>
      <c r="L63835" s="6"/>
      <c r="M63835" s="6"/>
      <c r="N63835" s="6"/>
      <c r="O63835" s="6"/>
      <c r="P63835" s="6"/>
      <c r="Q63835" s="6"/>
      <c r="R63835" s="6"/>
      <c r="S63835" s="6"/>
      <c r="T63835" s="6"/>
      <c r="U63835" s="6"/>
      <c r="V63835" s="6"/>
      <c r="W63835" s="6"/>
      <c r="X63835" s="6"/>
      <c r="Y63835" s="6"/>
      <c r="Z63835" s="6"/>
      <c r="AA63835" s="6"/>
      <c r="AB63835" s="6"/>
      <c r="AC63835" s="6"/>
      <c r="AD63835" s="6"/>
      <c r="AE63835" s="6"/>
      <c r="AF63835" s="6"/>
      <c r="AG63835" s="6"/>
      <c r="AH63835" s="6"/>
      <c r="AI63835" s="6"/>
      <c r="AJ63835" s="6"/>
      <c r="AK63835" s="6"/>
      <c r="AL63835" s="6"/>
      <c r="AM63835" s="6"/>
    </row>
    <row r="63836" spans="2:39" ht="9.9499999999999993" hidden="1" customHeight="1" x14ac:dyDescent="0.2">
      <c r="B63836" s="6"/>
      <c r="C63836" s="6"/>
      <c r="D63836" s="6"/>
      <c r="E63836" s="6"/>
      <c r="F63836" s="6"/>
      <c r="G63836" s="6"/>
      <c r="H63836" s="6"/>
      <c r="I63836" s="6"/>
      <c r="J63836" s="6"/>
      <c r="K63836" s="6"/>
      <c r="L63836" s="6"/>
      <c r="M63836" s="6"/>
      <c r="N63836" s="6"/>
      <c r="O63836" s="6"/>
      <c r="P63836" s="6"/>
      <c r="Q63836" s="6"/>
      <c r="R63836" s="6"/>
      <c r="S63836" s="6"/>
      <c r="T63836" s="6"/>
      <c r="U63836" s="6"/>
      <c r="V63836" s="6"/>
      <c r="W63836" s="6"/>
      <c r="X63836" s="6"/>
      <c r="Y63836" s="6"/>
      <c r="Z63836" s="6"/>
      <c r="AA63836" s="6"/>
      <c r="AB63836" s="6"/>
      <c r="AC63836" s="6"/>
      <c r="AD63836" s="6"/>
      <c r="AE63836" s="6"/>
      <c r="AF63836" s="6"/>
      <c r="AG63836" s="6"/>
      <c r="AH63836" s="6"/>
      <c r="AI63836" s="6"/>
      <c r="AJ63836" s="6"/>
      <c r="AK63836" s="6"/>
      <c r="AL63836" s="6"/>
      <c r="AM63836" s="6"/>
    </row>
    <row r="63837" spans="2:39" ht="9.9499999999999993" hidden="1" customHeight="1" x14ac:dyDescent="0.2">
      <c r="B63837" s="6"/>
      <c r="C63837" s="6"/>
      <c r="D63837" s="6"/>
      <c r="E63837" s="6"/>
      <c r="F63837" s="6"/>
      <c r="G63837" s="6"/>
      <c r="H63837" s="6"/>
      <c r="I63837" s="6"/>
      <c r="J63837" s="6"/>
      <c r="K63837" s="6"/>
      <c r="L63837" s="6"/>
      <c r="M63837" s="6"/>
      <c r="N63837" s="6"/>
      <c r="O63837" s="6"/>
      <c r="P63837" s="6"/>
      <c r="Q63837" s="6"/>
      <c r="R63837" s="6"/>
      <c r="S63837" s="6"/>
      <c r="T63837" s="6"/>
      <c r="U63837" s="6"/>
      <c r="V63837" s="6"/>
      <c r="W63837" s="6"/>
      <c r="X63837" s="6"/>
      <c r="Y63837" s="6"/>
      <c r="Z63837" s="6"/>
      <c r="AA63837" s="6"/>
      <c r="AB63837" s="6"/>
      <c r="AC63837" s="6"/>
      <c r="AD63837" s="6"/>
      <c r="AE63837" s="6"/>
      <c r="AF63837" s="6"/>
      <c r="AG63837" s="6"/>
      <c r="AH63837" s="6"/>
      <c r="AI63837" s="6"/>
      <c r="AJ63837" s="6"/>
      <c r="AK63837" s="6"/>
      <c r="AL63837" s="6"/>
      <c r="AM63837" s="6"/>
    </row>
    <row r="63838" spans="2:39" ht="9.9499999999999993" hidden="1" customHeight="1" x14ac:dyDescent="0.2">
      <c r="B63838" s="6"/>
      <c r="C63838" s="6"/>
      <c r="D63838" s="6"/>
      <c r="E63838" s="6"/>
      <c r="F63838" s="6"/>
      <c r="G63838" s="6"/>
      <c r="H63838" s="6"/>
      <c r="I63838" s="6"/>
      <c r="J63838" s="6"/>
      <c r="K63838" s="6"/>
      <c r="L63838" s="6"/>
      <c r="M63838" s="6"/>
      <c r="N63838" s="6"/>
      <c r="O63838" s="6"/>
      <c r="P63838" s="6"/>
      <c r="Q63838" s="6"/>
      <c r="R63838" s="6"/>
      <c r="S63838" s="6"/>
      <c r="T63838" s="6"/>
      <c r="U63838" s="6"/>
      <c r="V63838" s="6"/>
      <c r="W63838" s="6"/>
      <c r="X63838" s="6"/>
      <c r="Y63838" s="6"/>
      <c r="Z63838" s="6"/>
      <c r="AA63838" s="6"/>
      <c r="AB63838" s="6"/>
      <c r="AC63838" s="6"/>
      <c r="AD63838" s="6"/>
      <c r="AE63838" s="6"/>
      <c r="AF63838" s="6"/>
      <c r="AG63838" s="6"/>
      <c r="AH63838" s="6"/>
      <c r="AI63838" s="6"/>
      <c r="AJ63838" s="6"/>
      <c r="AK63838" s="6"/>
      <c r="AL63838" s="6"/>
      <c r="AM63838" s="6"/>
    </row>
    <row r="63839" spans="2:39" ht="9.9499999999999993" hidden="1" customHeight="1" x14ac:dyDescent="0.2">
      <c r="B63839" s="6"/>
      <c r="C63839" s="6"/>
      <c r="D63839" s="6"/>
      <c r="E63839" s="6"/>
      <c r="F63839" s="6"/>
      <c r="G63839" s="6"/>
      <c r="H63839" s="6"/>
      <c r="I63839" s="6"/>
      <c r="J63839" s="6"/>
      <c r="K63839" s="6"/>
      <c r="L63839" s="6"/>
      <c r="M63839" s="6"/>
      <c r="N63839" s="6"/>
      <c r="O63839" s="6"/>
      <c r="P63839" s="6"/>
      <c r="Q63839" s="6"/>
      <c r="R63839" s="6"/>
      <c r="S63839" s="6"/>
      <c r="T63839" s="6"/>
      <c r="U63839" s="6"/>
      <c r="V63839" s="6"/>
      <c r="W63839" s="6"/>
      <c r="X63839" s="6"/>
      <c r="Y63839" s="6"/>
      <c r="Z63839" s="6"/>
      <c r="AA63839" s="6"/>
      <c r="AB63839" s="6"/>
      <c r="AC63839" s="6"/>
      <c r="AD63839" s="6"/>
      <c r="AE63839" s="6"/>
      <c r="AF63839" s="6"/>
      <c r="AG63839" s="6"/>
      <c r="AH63839" s="6"/>
      <c r="AI63839" s="6"/>
      <c r="AJ63839" s="6"/>
      <c r="AK63839" s="6"/>
      <c r="AL63839" s="6"/>
      <c r="AM63839" s="6"/>
    </row>
    <row r="63840" spans="2:39" ht="9.9499999999999993" hidden="1" customHeight="1" x14ac:dyDescent="0.2">
      <c r="B63840" s="6"/>
      <c r="C63840" s="6"/>
      <c r="D63840" s="6"/>
      <c r="E63840" s="6"/>
      <c r="F63840" s="6"/>
      <c r="G63840" s="6"/>
      <c r="H63840" s="6"/>
      <c r="I63840" s="6"/>
      <c r="J63840" s="6"/>
      <c r="K63840" s="6"/>
      <c r="L63840" s="6"/>
      <c r="M63840" s="6"/>
      <c r="N63840" s="6"/>
      <c r="O63840" s="6"/>
      <c r="P63840" s="6"/>
      <c r="Q63840" s="6"/>
      <c r="R63840" s="6"/>
      <c r="S63840" s="6"/>
      <c r="T63840" s="6"/>
      <c r="U63840" s="6"/>
      <c r="V63840" s="6"/>
      <c r="W63840" s="6"/>
      <c r="X63840" s="6"/>
      <c r="Y63840" s="6"/>
      <c r="Z63840" s="6"/>
      <c r="AA63840" s="6"/>
      <c r="AB63840" s="6"/>
      <c r="AC63840" s="6"/>
      <c r="AD63840" s="6"/>
      <c r="AE63840" s="6"/>
      <c r="AF63840" s="6"/>
      <c r="AG63840" s="6"/>
      <c r="AH63840" s="6"/>
      <c r="AI63840" s="6"/>
      <c r="AJ63840" s="6"/>
      <c r="AK63840" s="6"/>
      <c r="AL63840" s="6"/>
      <c r="AM63840" s="6"/>
    </row>
    <row r="63841" spans="2:39" ht="9.9499999999999993" hidden="1" customHeight="1" x14ac:dyDescent="0.2">
      <c r="B63841" s="6"/>
      <c r="C63841" s="6"/>
      <c r="D63841" s="6"/>
      <c r="E63841" s="6"/>
      <c r="F63841" s="6"/>
      <c r="G63841" s="6"/>
      <c r="H63841" s="6"/>
      <c r="I63841" s="6"/>
      <c r="J63841" s="6"/>
      <c r="K63841" s="6"/>
      <c r="L63841" s="6"/>
      <c r="M63841" s="6"/>
      <c r="N63841" s="6"/>
      <c r="O63841" s="6"/>
      <c r="P63841" s="6"/>
      <c r="Q63841" s="6"/>
      <c r="R63841" s="6"/>
      <c r="S63841" s="6"/>
      <c r="T63841" s="6"/>
      <c r="U63841" s="6"/>
      <c r="V63841" s="6"/>
      <c r="W63841" s="6"/>
      <c r="X63841" s="6"/>
      <c r="Y63841" s="6"/>
      <c r="Z63841" s="6"/>
      <c r="AA63841" s="6"/>
      <c r="AB63841" s="6"/>
      <c r="AC63841" s="6"/>
      <c r="AD63841" s="6"/>
      <c r="AE63841" s="6"/>
      <c r="AF63841" s="6"/>
      <c r="AG63841" s="6"/>
      <c r="AH63841" s="6"/>
      <c r="AI63841" s="6"/>
      <c r="AJ63841" s="6"/>
      <c r="AK63841" s="6"/>
      <c r="AL63841" s="6"/>
      <c r="AM63841" s="6"/>
    </row>
    <row r="63842" spans="2:39" ht="9.9499999999999993" hidden="1" customHeight="1" x14ac:dyDescent="0.2">
      <c r="B63842" s="6"/>
      <c r="C63842" s="6"/>
      <c r="D63842" s="6"/>
      <c r="E63842" s="6"/>
      <c r="F63842" s="6"/>
      <c r="G63842" s="6"/>
      <c r="H63842" s="6"/>
      <c r="I63842" s="6"/>
      <c r="J63842" s="6"/>
      <c r="K63842" s="6"/>
      <c r="L63842" s="6"/>
      <c r="M63842" s="6"/>
      <c r="N63842" s="6"/>
      <c r="O63842" s="6"/>
      <c r="P63842" s="6"/>
      <c r="Q63842" s="6"/>
      <c r="R63842" s="6"/>
      <c r="S63842" s="6"/>
      <c r="T63842" s="6"/>
      <c r="U63842" s="6"/>
      <c r="V63842" s="6"/>
      <c r="W63842" s="6"/>
      <c r="X63842" s="6"/>
      <c r="Y63842" s="6"/>
      <c r="Z63842" s="6"/>
      <c r="AA63842" s="6"/>
      <c r="AB63842" s="6"/>
      <c r="AC63842" s="6"/>
      <c r="AD63842" s="6"/>
      <c r="AE63842" s="6"/>
      <c r="AF63842" s="6"/>
      <c r="AG63842" s="6"/>
      <c r="AH63842" s="6"/>
      <c r="AI63842" s="6"/>
      <c r="AJ63842" s="6"/>
      <c r="AK63842" s="6"/>
      <c r="AL63842" s="6"/>
      <c r="AM63842" s="6"/>
    </row>
    <row r="63843" spans="2:39" ht="9.9499999999999993" hidden="1" customHeight="1" x14ac:dyDescent="0.2">
      <c r="B63843" s="6"/>
      <c r="C63843" s="6"/>
      <c r="D63843" s="6"/>
      <c r="E63843" s="6"/>
      <c r="F63843" s="6"/>
      <c r="G63843" s="6"/>
      <c r="H63843" s="6"/>
      <c r="I63843" s="6"/>
      <c r="J63843" s="6"/>
      <c r="K63843" s="6"/>
      <c r="L63843" s="6"/>
      <c r="M63843" s="6"/>
      <c r="N63843" s="6"/>
      <c r="O63843" s="6"/>
      <c r="P63843" s="6"/>
      <c r="Q63843" s="6"/>
      <c r="R63843" s="6"/>
      <c r="S63843" s="6"/>
      <c r="T63843" s="6"/>
      <c r="U63843" s="6"/>
      <c r="V63843" s="6"/>
      <c r="W63843" s="6"/>
      <c r="X63843" s="6"/>
      <c r="Y63843" s="6"/>
      <c r="Z63843" s="6"/>
      <c r="AA63843" s="6"/>
      <c r="AB63843" s="6"/>
      <c r="AC63843" s="6"/>
      <c r="AD63843" s="6"/>
      <c r="AE63843" s="6"/>
      <c r="AF63843" s="6"/>
      <c r="AG63843" s="6"/>
      <c r="AH63843" s="6"/>
      <c r="AI63843" s="6"/>
      <c r="AJ63843" s="6"/>
      <c r="AK63843" s="6"/>
      <c r="AL63843" s="6"/>
      <c r="AM63843" s="6"/>
    </row>
    <row r="63844" spans="2:39" ht="9.9499999999999993" hidden="1" customHeight="1" x14ac:dyDescent="0.2">
      <c r="B63844" s="6"/>
      <c r="C63844" s="6"/>
      <c r="D63844" s="6"/>
      <c r="E63844" s="6"/>
      <c r="F63844" s="6"/>
      <c r="G63844" s="6"/>
      <c r="H63844" s="6"/>
      <c r="I63844" s="6"/>
      <c r="J63844" s="6"/>
      <c r="K63844" s="6"/>
      <c r="L63844" s="6"/>
      <c r="M63844" s="6"/>
      <c r="N63844" s="6"/>
      <c r="O63844" s="6"/>
      <c r="P63844" s="6"/>
      <c r="Q63844" s="6"/>
      <c r="R63844" s="6"/>
      <c r="S63844" s="6"/>
      <c r="T63844" s="6"/>
      <c r="U63844" s="6"/>
      <c r="V63844" s="6"/>
      <c r="W63844" s="6"/>
      <c r="X63844" s="6"/>
      <c r="Y63844" s="6"/>
      <c r="Z63844" s="6"/>
      <c r="AA63844" s="6"/>
      <c r="AB63844" s="6"/>
      <c r="AC63844" s="6"/>
      <c r="AD63844" s="6"/>
      <c r="AE63844" s="6"/>
      <c r="AF63844" s="6"/>
      <c r="AG63844" s="6"/>
      <c r="AH63844" s="6"/>
      <c r="AI63844" s="6"/>
      <c r="AJ63844" s="6"/>
      <c r="AK63844" s="6"/>
      <c r="AL63844" s="6"/>
      <c r="AM63844" s="6"/>
    </row>
    <row r="63845" spans="2:39" ht="9.9499999999999993" hidden="1" customHeight="1" x14ac:dyDescent="0.2">
      <c r="B63845" s="6"/>
      <c r="C63845" s="6"/>
      <c r="D63845" s="6"/>
      <c r="E63845" s="6"/>
      <c r="F63845" s="6"/>
      <c r="G63845" s="6"/>
      <c r="H63845" s="6"/>
      <c r="I63845" s="6"/>
      <c r="J63845" s="6"/>
      <c r="K63845" s="6"/>
      <c r="L63845" s="6"/>
      <c r="M63845" s="6"/>
      <c r="N63845" s="6"/>
      <c r="O63845" s="6"/>
      <c r="P63845" s="6"/>
      <c r="Q63845" s="6"/>
      <c r="R63845" s="6"/>
      <c r="S63845" s="6"/>
      <c r="T63845" s="6"/>
      <c r="U63845" s="6"/>
      <c r="V63845" s="6"/>
      <c r="W63845" s="6"/>
      <c r="X63845" s="6"/>
      <c r="Y63845" s="6"/>
      <c r="Z63845" s="6"/>
      <c r="AA63845" s="6"/>
      <c r="AB63845" s="6"/>
      <c r="AC63845" s="6"/>
      <c r="AD63845" s="6"/>
      <c r="AE63845" s="6"/>
      <c r="AF63845" s="6"/>
      <c r="AG63845" s="6"/>
      <c r="AH63845" s="6"/>
      <c r="AI63845" s="6"/>
      <c r="AJ63845" s="6"/>
      <c r="AK63845" s="6"/>
      <c r="AL63845" s="6"/>
      <c r="AM63845" s="6"/>
    </row>
    <row r="63846" spans="2:39" ht="9.9499999999999993" hidden="1" customHeight="1" x14ac:dyDescent="0.2">
      <c r="B63846" s="6"/>
      <c r="C63846" s="6"/>
      <c r="D63846" s="6"/>
      <c r="E63846" s="6"/>
      <c r="F63846" s="6"/>
      <c r="G63846" s="6"/>
      <c r="H63846" s="6"/>
      <c r="I63846" s="6"/>
      <c r="J63846" s="6"/>
      <c r="K63846" s="6"/>
      <c r="L63846" s="6"/>
      <c r="M63846" s="6"/>
      <c r="N63846" s="6"/>
      <c r="O63846" s="6"/>
      <c r="P63846" s="6"/>
      <c r="Q63846" s="6"/>
      <c r="R63846" s="6"/>
      <c r="S63846" s="6"/>
      <c r="T63846" s="6"/>
      <c r="U63846" s="6"/>
      <c r="V63846" s="6"/>
      <c r="W63846" s="6"/>
      <c r="X63846" s="6"/>
      <c r="Y63846" s="6"/>
      <c r="Z63846" s="6"/>
      <c r="AA63846" s="6"/>
      <c r="AB63846" s="6"/>
      <c r="AC63846" s="6"/>
      <c r="AD63846" s="6"/>
      <c r="AE63846" s="6"/>
      <c r="AF63846" s="6"/>
      <c r="AG63846" s="6"/>
      <c r="AH63846" s="6"/>
      <c r="AI63846" s="6"/>
      <c r="AJ63846" s="6"/>
      <c r="AK63846" s="6"/>
      <c r="AL63846" s="6"/>
      <c r="AM63846" s="6"/>
    </row>
    <row r="63847" spans="2:39" ht="9.9499999999999993" hidden="1" customHeight="1" x14ac:dyDescent="0.2">
      <c r="B63847" s="6"/>
      <c r="C63847" s="6"/>
      <c r="D63847" s="6"/>
      <c r="E63847" s="6"/>
      <c r="F63847" s="6"/>
      <c r="G63847" s="6"/>
      <c r="H63847" s="6"/>
      <c r="I63847" s="6"/>
      <c r="J63847" s="6"/>
      <c r="K63847" s="6"/>
      <c r="L63847" s="6"/>
      <c r="M63847" s="6"/>
      <c r="N63847" s="6"/>
      <c r="O63847" s="6"/>
      <c r="P63847" s="6"/>
      <c r="Q63847" s="6"/>
      <c r="R63847" s="6"/>
      <c r="S63847" s="6"/>
      <c r="T63847" s="6"/>
      <c r="U63847" s="6"/>
      <c r="V63847" s="6"/>
      <c r="W63847" s="6"/>
      <c r="X63847" s="6"/>
      <c r="Y63847" s="6"/>
      <c r="Z63847" s="6"/>
      <c r="AA63847" s="6"/>
      <c r="AB63847" s="6"/>
      <c r="AC63847" s="6"/>
      <c r="AD63847" s="6"/>
      <c r="AE63847" s="6"/>
      <c r="AF63847" s="6"/>
      <c r="AG63847" s="6"/>
      <c r="AH63847" s="6"/>
      <c r="AI63847" s="6"/>
      <c r="AJ63847" s="6"/>
      <c r="AK63847" s="6"/>
      <c r="AL63847" s="6"/>
      <c r="AM63847" s="6"/>
    </row>
    <row r="63848" spans="2:39" ht="9.9499999999999993" hidden="1" customHeight="1" x14ac:dyDescent="0.2">
      <c r="B63848" s="6"/>
      <c r="C63848" s="6"/>
      <c r="D63848" s="6"/>
      <c r="E63848" s="6"/>
      <c r="F63848" s="6"/>
      <c r="G63848" s="6"/>
      <c r="H63848" s="6"/>
      <c r="I63848" s="6"/>
      <c r="J63848" s="6"/>
      <c r="K63848" s="6"/>
      <c r="L63848" s="6"/>
      <c r="M63848" s="6"/>
      <c r="N63848" s="6"/>
      <c r="O63848" s="6"/>
      <c r="P63848" s="6"/>
      <c r="Q63848" s="6"/>
      <c r="R63848" s="6"/>
      <c r="S63848" s="6"/>
      <c r="T63848" s="6"/>
      <c r="U63848" s="6"/>
      <c r="V63848" s="6"/>
      <c r="W63848" s="6"/>
      <c r="X63848" s="6"/>
      <c r="Y63848" s="6"/>
      <c r="Z63848" s="6"/>
      <c r="AA63848" s="6"/>
      <c r="AB63848" s="6"/>
      <c r="AC63848" s="6"/>
      <c r="AD63848" s="6"/>
      <c r="AE63848" s="6"/>
      <c r="AF63848" s="6"/>
      <c r="AG63848" s="6"/>
      <c r="AH63848" s="6"/>
      <c r="AI63848" s="6"/>
      <c r="AJ63848" s="6"/>
      <c r="AK63848" s="6"/>
      <c r="AL63848" s="6"/>
      <c r="AM63848" s="6"/>
    </row>
    <row r="63849" spans="2:39" ht="9.9499999999999993" hidden="1" customHeight="1" x14ac:dyDescent="0.2">
      <c r="B63849" s="6"/>
      <c r="C63849" s="6"/>
      <c r="D63849" s="6"/>
      <c r="E63849" s="6"/>
      <c r="F63849" s="6"/>
      <c r="G63849" s="6"/>
      <c r="H63849" s="6"/>
      <c r="I63849" s="6"/>
      <c r="J63849" s="6"/>
      <c r="K63849" s="6"/>
      <c r="L63849" s="6"/>
      <c r="M63849" s="6"/>
      <c r="N63849" s="6"/>
      <c r="O63849" s="6"/>
      <c r="P63849" s="6"/>
      <c r="Q63849" s="6"/>
      <c r="R63849" s="6"/>
      <c r="S63849" s="6"/>
      <c r="T63849" s="6"/>
      <c r="U63849" s="6"/>
      <c r="V63849" s="6"/>
      <c r="W63849" s="6"/>
      <c r="X63849" s="6"/>
      <c r="Y63849" s="6"/>
      <c r="Z63849" s="6"/>
      <c r="AA63849" s="6"/>
      <c r="AB63849" s="6"/>
      <c r="AC63849" s="6"/>
      <c r="AD63849" s="6"/>
      <c r="AE63849" s="6"/>
      <c r="AF63849" s="6"/>
      <c r="AG63849" s="6"/>
      <c r="AH63849" s="6"/>
      <c r="AI63849" s="6"/>
      <c r="AJ63849" s="6"/>
      <c r="AK63849" s="6"/>
      <c r="AL63849" s="6"/>
      <c r="AM63849" s="6"/>
    </row>
    <row r="63850" spans="2:39" ht="9.9499999999999993" hidden="1" customHeight="1" x14ac:dyDescent="0.2">
      <c r="B63850" s="6"/>
      <c r="C63850" s="6"/>
      <c r="D63850" s="6"/>
      <c r="E63850" s="6"/>
      <c r="F63850" s="6"/>
      <c r="G63850" s="6"/>
      <c r="H63850" s="6"/>
      <c r="I63850" s="6"/>
      <c r="J63850" s="6"/>
      <c r="K63850" s="6"/>
      <c r="L63850" s="6"/>
      <c r="M63850" s="6"/>
      <c r="N63850" s="6"/>
      <c r="O63850" s="6"/>
      <c r="P63850" s="6"/>
      <c r="Q63850" s="6"/>
      <c r="R63850" s="6"/>
      <c r="S63850" s="6"/>
      <c r="T63850" s="6"/>
      <c r="U63850" s="6"/>
      <c r="V63850" s="6"/>
      <c r="W63850" s="6"/>
      <c r="X63850" s="6"/>
      <c r="Y63850" s="6"/>
      <c r="Z63850" s="6"/>
      <c r="AA63850" s="6"/>
      <c r="AB63850" s="6"/>
      <c r="AC63850" s="6"/>
      <c r="AD63850" s="6"/>
      <c r="AE63850" s="6"/>
      <c r="AF63850" s="6"/>
      <c r="AG63850" s="6"/>
      <c r="AH63850" s="6"/>
      <c r="AI63850" s="6"/>
      <c r="AJ63850" s="6"/>
      <c r="AK63850" s="6"/>
      <c r="AL63850" s="6"/>
      <c r="AM63850" s="6"/>
    </row>
    <row r="63851" spans="2:39" ht="9.9499999999999993" hidden="1" customHeight="1" x14ac:dyDescent="0.2">
      <c r="B63851" s="6"/>
      <c r="C63851" s="6"/>
      <c r="D63851" s="6"/>
      <c r="E63851" s="6"/>
      <c r="F63851" s="6"/>
      <c r="G63851" s="6"/>
      <c r="H63851" s="6"/>
      <c r="I63851" s="6"/>
      <c r="J63851" s="6"/>
      <c r="K63851" s="6"/>
      <c r="L63851" s="6"/>
      <c r="M63851" s="6"/>
      <c r="N63851" s="6"/>
      <c r="O63851" s="6"/>
      <c r="P63851" s="6"/>
      <c r="Q63851" s="6"/>
      <c r="R63851" s="6"/>
      <c r="S63851" s="6"/>
      <c r="T63851" s="6"/>
      <c r="U63851" s="6"/>
      <c r="V63851" s="6"/>
      <c r="W63851" s="6"/>
      <c r="X63851" s="6"/>
      <c r="Y63851" s="6"/>
      <c r="Z63851" s="6"/>
      <c r="AA63851" s="6"/>
      <c r="AB63851" s="6"/>
      <c r="AC63851" s="6"/>
      <c r="AD63851" s="6"/>
      <c r="AE63851" s="6"/>
      <c r="AF63851" s="6"/>
      <c r="AG63851" s="6"/>
      <c r="AH63851" s="6"/>
      <c r="AI63851" s="6"/>
      <c r="AJ63851" s="6"/>
      <c r="AK63851" s="6"/>
      <c r="AL63851" s="6"/>
      <c r="AM63851" s="6"/>
    </row>
    <row r="63852" spans="2:39" ht="9.9499999999999993" hidden="1" customHeight="1" x14ac:dyDescent="0.2">
      <c r="B63852" s="6"/>
      <c r="C63852" s="6"/>
      <c r="D63852" s="6"/>
      <c r="E63852" s="6"/>
      <c r="F63852" s="6"/>
      <c r="G63852" s="6"/>
      <c r="H63852" s="6"/>
      <c r="I63852" s="6"/>
      <c r="J63852" s="6"/>
      <c r="K63852" s="6"/>
      <c r="L63852" s="6"/>
      <c r="M63852" s="6"/>
      <c r="N63852" s="6"/>
      <c r="O63852" s="6"/>
      <c r="P63852" s="6"/>
      <c r="Q63852" s="6"/>
      <c r="R63852" s="6"/>
      <c r="S63852" s="6"/>
      <c r="T63852" s="6"/>
      <c r="U63852" s="6"/>
      <c r="V63852" s="6"/>
      <c r="W63852" s="6"/>
      <c r="X63852" s="6"/>
      <c r="Y63852" s="6"/>
      <c r="Z63852" s="6"/>
      <c r="AA63852" s="6"/>
      <c r="AB63852" s="6"/>
      <c r="AC63852" s="6"/>
      <c r="AD63852" s="6"/>
      <c r="AE63852" s="6"/>
      <c r="AF63852" s="6"/>
      <c r="AG63852" s="6"/>
      <c r="AH63852" s="6"/>
      <c r="AI63852" s="6"/>
      <c r="AJ63852" s="6"/>
      <c r="AK63852" s="6"/>
      <c r="AL63852" s="6"/>
      <c r="AM63852" s="6"/>
    </row>
    <row r="63853" spans="2:39" ht="9.9499999999999993" hidden="1" customHeight="1" x14ac:dyDescent="0.2">
      <c r="B63853" s="6"/>
      <c r="C63853" s="6"/>
      <c r="D63853" s="6"/>
      <c r="E63853" s="6"/>
      <c r="F63853" s="6"/>
      <c r="G63853" s="6"/>
      <c r="H63853" s="6"/>
      <c r="I63853" s="6"/>
      <c r="J63853" s="6"/>
      <c r="K63853" s="6"/>
      <c r="L63853" s="6"/>
      <c r="M63853" s="6"/>
      <c r="N63853" s="6"/>
      <c r="O63853" s="6"/>
      <c r="P63853" s="6"/>
      <c r="Q63853" s="6"/>
      <c r="R63853" s="6"/>
      <c r="S63853" s="6"/>
      <c r="T63853" s="6"/>
      <c r="U63853" s="6"/>
      <c r="V63853" s="6"/>
      <c r="W63853" s="6"/>
      <c r="X63853" s="6"/>
      <c r="Y63853" s="6"/>
      <c r="Z63853" s="6"/>
      <c r="AA63853" s="6"/>
      <c r="AB63853" s="6"/>
      <c r="AC63853" s="6"/>
      <c r="AD63853" s="6"/>
      <c r="AE63853" s="6"/>
      <c r="AF63853" s="6"/>
      <c r="AG63853" s="6"/>
      <c r="AH63853" s="6"/>
      <c r="AI63853" s="6"/>
      <c r="AJ63853" s="6"/>
      <c r="AK63853" s="6"/>
      <c r="AL63853" s="6"/>
      <c r="AM63853" s="6"/>
    </row>
    <row r="63854" spans="2:39" ht="9.9499999999999993" hidden="1" customHeight="1" x14ac:dyDescent="0.2">
      <c r="B63854" s="6"/>
      <c r="C63854" s="6"/>
      <c r="D63854" s="6"/>
      <c r="E63854" s="6"/>
      <c r="F63854" s="6"/>
      <c r="G63854" s="6"/>
      <c r="H63854" s="6"/>
      <c r="I63854" s="6"/>
      <c r="J63854" s="6"/>
      <c r="K63854" s="6"/>
      <c r="L63854" s="6"/>
      <c r="M63854" s="6"/>
      <c r="N63854" s="6"/>
      <c r="O63854" s="6"/>
      <c r="P63854" s="6"/>
      <c r="Q63854" s="6"/>
      <c r="R63854" s="6"/>
      <c r="S63854" s="6"/>
      <c r="T63854" s="6"/>
      <c r="U63854" s="6"/>
      <c r="V63854" s="6"/>
      <c r="W63854" s="6"/>
      <c r="X63854" s="6"/>
      <c r="Y63854" s="6"/>
      <c r="Z63854" s="6"/>
      <c r="AA63854" s="6"/>
      <c r="AB63854" s="6"/>
      <c r="AC63854" s="6"/>
      <c r="AD63854" s="6"/>
      <c r="AE63854" s="6"/>
      <c r="AF63854" s="6"/>
      <c r="AG63854" s="6"/>
      <c r="AH63854" s="6"/>
      <c r="AI63854" s="6"/>
      <c r="AJ63854" s="6"/>
      <c r="AK63854" s="6"/>
      <c r="AL63854" s="6"/>
      <c r="AM63854" s="6"/>
    </row>
    <row r="63855" spans="2:39" ht="9.9499999999999993" hidden="1" customHeight="1" x14ac:dyDescent="0.2">
      <c r="B63855" s="6"/>
      <c r="C63855" s="6"/>
      <c r="D63855" s="6"/>
      <c r="E63855" s="6"/>
      <c r="F63855" s="6"/>
      <c r="G63855" s="6"/>
      <c r="H63855" s="6"/>
      <c r="I63855" s="6"/>
      <c r="J63855" s="6"/>
      <c r="K63855" s="6"/>
      <c r="L63855" s="6"/>
      <c r="M63855" s="6"/>
      <c r="N63855" s="6"/>
      <c r="O63855" s="6"/>
      <c r="P63855" s="6"/>
      <c r="Q63855" s="6"/>
      <c r="R63855" s="6"/>
      <c r="S63855" s="6"/>
      <c r="T63855" s="6"/>
      <c r="U63855" s="6"/>
      <c r="V63855" s="6"/>
      <c r="W63855" s="6"/>
      <c r="X63855" s="6"/>
      <c r="Y63855" s="6"/>
      <c r="Z63855" s="6"/>
      <c r="AA63855" s="6"/>
      <c r="AB63855" s="6"/>
      <c r="AC63855" s="6"/>
      <c r="AD63855" s="6"/>
      <c r="AE63855" s="6"/>
      <c r="AF63855" s="6"/>
      <c r="AG63855" s="6"/>
      <c r="AH63855" s="6"/>
      <c r="AI63855" s="6"/>
      <c r="AJ63855" s="6"/>
      <c r="AK63855" s="6"/>
      <c r="AL63855" s="6"/>
      <c r="AM63855" s="6"/>
    </row>
    <row r="63856" spans="2:39" ht="9.9499999999999993" hidden="1" customHeight="1" x14ac:dyDescent="0.2">
      <c r="B63856" s="6"/>
      <c r="C63856" s="6"/>
      <c r="D63856" s="6"/>
      <c r="E63856" s="6"/>
      <c r="F63856" s="6"/>
      <c r="G63856" s="6"/>
      <c r="H63856" s="6"/>
      <c r="I63856" s="6"/>
      <c r="J63856" s="6"/>
      <c r="K63856" s="6"/>
      <c r="L63856" s="6"/>
      <c r="M63856" s="6"/>
      <c r="N63856" s="6"/>
      <c r="O63856" s="6"/>
      <c r="P63856" s="6"/>
      <c r="Q63856" s="6"/>
      <c r="R63856" s="6"/>
      <c r="S63856" s="6"/>
      <c r="T63856" s="6"/>
      <c r="U63856" s="6"/>
      <c r="V63856" s="6"/>
      <c r="W63856" s="6"/>
      <c r="X63856" s="6"/>
      <c r="Y63856" s="6"/>
      <c r="Z63856" s="6"/>
      <c r="AA63856" s="6"/>
      <c r="AB63856" s="6"/>
      <c r="AC63856" s="6"/>
      <c r="AD63856" s="6"/>
      <c r="AE63856" s="6"/>
      <c r="AF63856" s="6"/>
      <c r="AG63856" s="6"/>
      <c r="AH63856" s="6"/>
      <c r="AI63856" s="6"/>
      <c r="AJ63856" s="6"/>
      <c r="AK63856" s="6"/>
      <c r="AL63856" s="6"/>
      <c r="AM63856" s="6"/>
    </row>
    <row r="63857" spans="2:39" ht="9.9499999999999993" hidden="1" customHeight="1" x14ac:dyDescent="0.2">
      <c r="B63857" s="6"/>
      <c r="C63857" s="6"/>
      <c r="D63857" s="6"/>
      <c r="E63857" s="6"/>
      <c r="F63857" s="6"/>
      <c r="G63857" s="6"/>
      <c r="H63857" s="6"/>
      <c r="I63857" s="6"/>
      <c r="J63857" s="6"/>
      <c r="K63857" s="6"/>
      <c r="L63857" s="6"/>
      <c r="M63857" s="6"/>
      <c r="N63857" s="6"/>
      <c r="O63857" s="6"/>
      <c r="P63857" s="6"/>
      <c r="Q63857" s="6"/>
      <c r="R63857" s="6"/>
      <c r="S63857" s="6"/>
      <c r="T63857" s="6"/>
      <c r="U63857" s="6"/>
      <c r="V63857" s="6"/>
      <c r="W63857" s="6"/>
      <c r="X63857" s="6"/>
      <c r="Y63857" s="6"/>
      <c r="Z63857" s="6"/>
      <c r="AA63857" s="6"/>
      <c r="AB63857" s="6"/>
      <c r="AC63857" s="6"/>
      <c r="AD63857" s="6"/>
      <c r="AE63857" s="6"/>
      <c r="AF63857" s="6"/>
      <c r="AG63857" s="6"/>
      <c r="AH63857" s="6"/>
      <c r="AI63857" s="6"/>
      <c r="AJ63857" s="6"/>
      <c r="AK63857" s="6"/>
      <c r="AL63857" s="6"/>
      <c r="AM63857" s="6"/>
    </row>
    <row r="63858" spans="2:39" ht="9.9499999999999993" hidden="1" customHeight="1" x14ac:dyDescent="0.2">
      <c r="B63858" s="6"/>
      <c r="C63858" s="6"/>
      <c r="D63858" s="6"/>
      <c r="E63858" s="6"/>
      <c r="F63858" s="6"/>
      <c r="G63858" s="6"/>
      <c r="H63858" s="6"/>
      <c r="I63858" s="6"/>
      <c r="J63858" s="6"/>
      <c r="K63858" s="6"/>
      <c r="L63858" s="6"/>
      <c r="M63858" s="6"/>
      <c r="N63858" s="6"/>
      <c r="O63858" s="6"/>
      <c r="P63858" s="6"/>
      <c r="Q63858" s="6"/>
      <c r="R63858" s="6"/>
      <c r="S63858" s="6"/>
      <c r="T63858" s="6"/>
      <c r="U63858" s="6"/>
      <c r="V63858" s="6"/>
      <c r="W63858" s="6"/>
      <c r="X63858" s="6"/>
      <c r="Y63858" s="6"/>
      <c r="Z63858" s="6"/>
      <c r="AA63858" s="6"/>
      <c r="AB63858" s="6"/>
      <c r="AC63858" s="6"/>
      <c r="AD63858" s="6"/>
      <c r="AE63858" s="6"/>
      <c r="AF63858" s="6"/>
      <c r="AG63858" s="6"/>
      <c r="AH63858" s="6"/>
      <c r="AI63858" s="6"/>
      <c r="AJ63858" s="6"/>
      <c r="AK63858" s="6"/>
      <c r="AL63858" s="6"/>
      <c r="AM63858" s="6"/>
    </row>
    <row r="63859" spans="2:39" ht="9.9499999999999993" hidden="1" customHeight="1" x14ac:dyDescent="0.2">
      <c r="B63859" s="6"/>
      <c r="C63859" s="6"/>
      <c r="D63859" s="6"/>
      <c r="E63859" s="6"/>
      <c r="F63859" s="6"/>
      <c r="G63859" s="6"/>
      <c r="H63859" s="6"/>
      <c r="I63859" s="6"/>
      <c r="J63859" s="6"/>
      <c r="K63859" s="6"/>
      <c r="L63859" s="6"/>
      <c r="M63859" s="6"/>
      <c r="N63859" s="6"/>
      <c r="O63859" s="6"/>
      <c r="P63859" s="6"/>
      <c r="Q63859" s="6"/>
      <c r="R63859" s="6"/>
      <c r="S63859" s="6"/>
      <c r="T63859" s="6"/>
      <c r="U63859" s="6"/>
      <c r="V63859" s="6"/>
      <c r="W63859" s="6"/>
      <c r="X63859" s="6"/>
      <c r="Y63859" s="6"/>
      <c r="Z63859" s="6"/>
      <c r="AA63859" s="6"/>
      <c r="AB63859" s="6"/>
      <c r="AC63859" s="6"/>
      <c r="AD63859" s="6"/>
      <c r="AE63859" s="6"/>
      <c r="AF63859" s="6"/>
      <c r="AG63859" s="6"/>
      <c r="AH63859" s="6"/>
      <c r="AI63859" s="6"/>
      <c r="AJ63859" s="6"/>
      <c r="AK63859" s="6"/>
      <c r="AL63859" s="6"/>
      <c r="AM63859" s="6"/>
    </row>
    <row r="63860" spans="2:39" ht="9.9499999999999993" hidden="1" customHeight="1" x14ac:dyDescent="0.2">
      <c r="B63860" s="6"/>
      <c r="C63860" s="6"/>
      <c r="D63860" s="6"/>
      <c r="E63860" s="6"/>
      <c r="F63860" s="6"/>
      <c r="G63860" s="6"/>
      <c r="H63860" s="6"/>
      <c r="I63860" s="6"/>
      <c r="J63860" s="6"/>
      <c r="K63860" s="6"/>
      <c r="L63860" s="6"/>
      <c r="M63860" s="6"/>
      <c r="N63860" s="6"/>
      <c r="O63860" s="6"/>
      <c r="P63860" s="6"/>
      <c r="Q63860" s="6"/>
      <c r="R63860" s="6"/>
      <c r="S63860" s="6"/>
      <c r="T63860" s="6"/>
      <c r="U63860" s="6"/>
      <c r="V63860" s="6"/>
      <c r="W63860" s="6"/>
      <c r="X63860" s="6"/>
      <c r="Y63860" s="6"/>
      <c r="Z63860" s="6"/>
      <c r="AA63860" s="6"/>
      <c r="AB63860" s="6"/>
      <c r="AC63860" s="6"/>
      <c r="AD63860" s="6"/>
      <c r="AE63860" s="6"/>
      <c r="AF63860" s="6"/>
      <c r="AG63860" s="6"/>
      <c r="AH63860" s="6"/>
      <c r="AI63860" s="6"/>
      <c r="AJ63860" s="6"/>
      <c r="AK63860" s="6"/>
      <c r="AL63860" s="6"/>
      <c r="AM63860" s="6"/>
    </row>
    <row r="63861" spans="2:39" ht="9.9499999999999993" hidden="1" customHeight="1" x14ac:dyDescent="0.2">
      <c r="B63861" s="6"/>
      <c r="C63861" s="6"/>
      <c r="D63861" s="6"/>
      <c r="E63861" s="6"/>
      <c r="F63861" s="6"/>
      <c r="G63861" s="6"/>
      <c r="H63861" s="6"/>
      <c r="I63861" s="6"/>
      <c r="J63861" s="6"/>
      <c r="K63861" s="6"/>
      <c r="L63861" s="6"/>
      <c r="M63861" s="6"/>
      <c r="N63861" s="6"/>
      <c r="O63861" s="6"/>
      <c r="P63861" s="6"/>
      <c r="Q63861" s="6"/>
      <c r="R63861" s="6"/>
      <c r="S63861" s="6"/>
      <c r="T63861" s="6"/>
      <c r="U63861" s="6"/>
      <c r="V63861" s="6"/>
      <c r="W63861" s="6"/>
      <c r="X63861" s="6"/>
      <c r="Y63861" s="6"/>
      <c r="Z63861" s="6"/>
      <c r="AA63861" s="6"/>
      <c r="AB63861" s="6"/>
      <c r="AC63861" s="6"/>
      <c r="AD63861" s="6"/>
      <c r="AE63861" s="6"/>
      <c r="AF63861" s="6"/>
      <c r="AG63861" s="6"/>
      <c r="AH63861" s="6"/>
      <c r="AI63861" s="6"/>
      <c r="AJ63861" s="6"/>
      <c r="AK63861" s="6"/>
      <c r="AL63861" s="6"/>
      <c r="AM63861" s="6"/>
    </row>
    <row r="63862" spans="2:39" ht="9.9499999999999993" hidden="1" customHeight="1" x14ac:dyDescent="0.2">
      <c r="B63862" s="6"/>
      <c r="C63862" s="6"/>
      <c r="D63862" s="6"/>
      <c r="E63862" s="6"/>
      <c r="F63862" s="6"/>
      <c r="G63862" s="6"/>
      <c r="H63862" s="6"/>
      <c r="I63862" s="6"/>
      <c r="J63862" s="6"/>
      <c r="K63862" s="6"/>
      <c r="L63862" s="6"/>
      <c r="M63862" s="6"/>
      <c r="N63862" s="6"/>
      <c r="O63862" s="6"/>
      <c r="P63862" s="6"/>
      <c r="Q63862" s="6"/>
      <c r="R63862" s="6"/>
      <c r="S63862" s="6"/>
      <c r="T63862" s="6"/>
      <c r="U63862" s="6"/>
      <c r="V63862" s="6"/>
      <c r="W63862" s="6"/>
      <c r="X63862" s="6"/>
      <c r="Y63862" s="6"/>
      <c r="Z63862" s="6"/>
      <c r="AA63862" s="6"/>
      <c r="AB63862" s="6"/>
      <c r="AC63862" s="6"/>
      <c r="AD63862" s="6"/>
      <c r="AE63862" s="6"/>
      <c r="AF63862" s="6"/>
      <c r="AG63862" s="6"/>
      <c r="AH63862" s="6"/>
      <c r="AI63862" s="6"/>
      <c r="AJ63862" s="6"/>
      <c r="AK63862" s="6"/>
      <c r="AL63862" s="6"/>
      <c r="AM63862" s="6"/>
    </row>
    <row r="63863" spans="2:39" ht="9.9499999999999993" hidden="1" customHeight="1" x14ac:dyDescent="0.2">
      <c r="B63863" s="6"/>
      <c r="C63863" s="6"/>
      <c r="D63863" s="6"/>
      <c r="E63863" s="6"/>
      <c r="F63863" s="6"/>
      <c r="G63863" s="6"/>
      <c r="H63863" s="6"/>
      <c r="I63863" s="6"/>
      <c r="J63863" s="6"/>
      <c r="K63863" s="6"/>
      <c r="L63863" s="6"/>
      <c r="M63863" s="6"/>
      <c r="N63863" s="6"/>
      <c r="O63863" s="6"/>
      <c r="P63863" s="6"/>
      <c r="Q63863" s="6"/>
      <c r="R63863" s="6"/>
      <c r="S63863" s="6"/>
      <c r="T63863" s="6"/>
      <c r="U63863" s="6"/>
      <c r="V63863" s="6"/>
      <c r="W63863" s="6"/>
      <c r="X63863" s="6"/>
      <c r="Y63863" s="6"/>
      <c r="Z63863" s="6"/>
      <c r="AA63863" s="6"/>
      <c r="AB63863" s="6"/>
      <c r="AC63863" s="6"/>
      <c r="AD63863" s="6"/>
      <c r="AE63863" s="6"/>
      <c r="AF63863" s="6"/>
      <c r="AG63863" s="6"/>
      <c r="AH63863" s="6"/>
      <c r="AI63863" s="6"/>
      <c r="AJ63863" s="6"/>
      <c r="AK63863" s="6"/>
      <c r="AL63863" s="6"/>
      <c r="AM63863" s="6"/>
    </row>
    <row r="63864" spans="2:39" ht="9.9499999999999993" hidden="1" customHeight="1" x14ac:dyDescent="0.2">
      <c r="B63864" s="6"/>
      <c r="C63864" s="6"/>
      <c r="D63864" s="6"/>
      <c r="E63864" s="6"/>
      <c r="F63864" s="6"/>
      <c r="G63864" s="6"/>
      <c r="H63864" s="6"/>
      <c r="I63864" s="6"/>
      <c r="J63864" s="6"/>
      <c r="K63864" s="6"/>
      <c r="L63864" s="6"/>
      <c r="M63864" s="6"/>
      <c r="N63864" s="6"/>
      <c r="O63864" s="6"/>
      <c r="P63864" s="6"/>
      <c r="Q63864" s="6"/>
      <c r="R63864" s="6"/>
      <c r="S63864" s="6"/>
      <c r="T63864" s="6"/>
      <c r="U63864" s="6"/>
      <c r="V63864" s="6"/>
      <c r="W63864" s="6"/>
      <c r="X63864" s="6"/>
      <c r="Y63864" s="6"/>
      <c r="Z63864" s="6"/>
      <c r="AA63864" s="6"/>
      <c r="AB63864" s="6"/>
      <c r="AC63864" s="6"/>
      <c r="AD63864" s="6"/>
      <c r="AE63864" s="6"/>
      <c r="AF63864" s="6"/>
      <c r="AG63864" s="6"/>
      <c r="AH63864" s="6"/>
      <c r="AI63864" s="6"/>
      <c r="AJ63864" s="6"/>
      <c r="AK63864" s="6"/>
      <c r="AL63864" s="6"/>
      <c r="AM63864" s="6"/>
    </row>
    <row r="63865" spans="2:39" ht="9.9499999999999993" hidden="1" customHeight="1" x14ac:dyDescent="0.2">
      <c r="B63865" s="6"/>
      <c r="C63865" s="6"/>
      <c r="D63865" s="6"/>
      <c r="E63865" s="6"/>
      <c r="F63865" s="6"/>
      <c r="G63865" s="6"/>
      <c r="H63865" s="6"/>
      <c r="I63865" s="6"/>
      <c r="J63865" s="6"/>
      <c r="K63865" s="6"/>
      <c r="L63865" s="6"/>
      <c r="M63865" s="6"/>
      <c r="N63865" s="6"/>
      <c r="O63865" s="6"/>
      <c r="P63865" s="6"/>
      <c r="Q63865" s="6"/>
      <c r="R63865" s="6"/>
      <c r="S63865" s="6"/>
      <c r="T63865" s="6"/>
      <c r="U63865" s="6"/>
      <c r="V63865" s="6"/>
      <c r="W63865" s="6"/>
      <c r="X63865" s="6"/>
      <c r="Y63865" s="6"/>
      <c r="Z63865" s="6"/>
      <c r="AA63865" s="6"/>
      <c r="AB63865" s="6"/>
      <c r="AC63865" s="6"/>
      <c r="AD63865" s="6"/>
      <c r="AE63865" s="6"/>
      <c r="AF63865" s="6"/>
      <c r="AG63865" s="6"/>
      <c r="AH63865" s="6"/>
      <c r="AI63865" s="6"/>
      <c r="AJ63865" s="6"/>
      <c r="AK63865" s="6"/>
      <c r="AL63865" s="6"/>
      <c r="AM63865" s="6"/>
    </row>
    <row r="63866" spans="2:39" ht="9.9499999999999993" hidden="1" customHeight="1" x14ac:dyDescent="0.2">
      <c r="B63866" s="6"/>
      <c r="C63866" s="6"/>
      <c r="D63866" s="6"/>
      <c r="E63866" s="6"/>
      <c r="F63866" s="6"/>
      <c r="G63866" s="6"/>
      <c r="H63866" s="6"/>
      <c r="I63866" s="6"/>
      <c r="J63866" s="6"/>
      <c r="K63866" s="6"/>
      <c r="L63866" s="6"/>
      <c r="M63866" s="6"/>
      <c r="N63866" s="6"/>
      <c r="O63866" s="6"/>
      <c r="P63866" s="6"/>
      <c r="Q63866" s="6"/>
      <c r="R63866" s="6"/>
      <c r="S63866" s="6"/>
      <c r="T63866" s="6"/>
      <c r="U63866" s="6"/>
      <c r="V63866" s="6"/>
      <c r="W63866" s="6"/>
      <c r="X63866" s="6"/>
      <c r="Y63866" s="6"/>
      <c r="Z63866" s="6"/>
      <c r="AA63866" s="6"/>
      <c r="AB63866" s="6"/>
      <c r="AC63866" s="6"/>
      <c r="AD63866" s="6"/>
      <c r="AE63866" s="6"/>
      <c r="AF63866" s="6"/>
      <c r="AG63866" s="6"/>
      <c r="AH63866" s="6"/>
      <c r="AI63866" s="6"/>
      <c r="AJ63866" s="6"/>
      <c r="AK63866" s="6"/>
      <c r="AL63866" s="6"/>
      <c r="AM63866" s="6"/>
    </row>
    <row r="63867" spans="2:39" ht="9.9499999999999993" hidden="1" customHeight="1" x14ac:dyDescent="0.2">
      <c r="B63867" s="6"/>
      <c r="C63867" s="6"/>
      <c r="D63867" s="6"/>
      <c r="E63867" s="6"/>
      <c r="F63867" s="6"/>
      <c r="G63867" s="6"/>
      <c r="H63867" s="6"/>
      <c r="I63867" s="6"/>
      <c r="J63867" s="6"/>
      <c r="K63867" s="6"/>
      <c r="L63867" s="6"/>
      <c r="M63867" s="6"/>
      <c r="N63867" s="6"/>
      <c r="O63867" s="6"/>
      <c r="P63867" s="6"/>
      <c r="Q63867" s="6"/>
      <c r="R63867" s="6"/>
      <c r="S63867" s="6"/>
      <c r="T63867" s="6"/>
      <c r="U63867" s="6"/>
      <c r="V63867" s="6"/>
      <c r="W63867" s="6"/>
      <c r="X63867" s="6"/>
      <c r="Y63867" s="6"/>
      <c r="Z63867" s="6"/>
      <c r="AA63867" s="6"/>
      <c r="AB63867" s="6"/>
      <c r="AC63867" s="6"/>
      <c r="AD63867" s="6"/>
      <c r="AE63867" s="6"/>
      <c r="AF63867" s="6"/>
      <c r="AG63867" s="6"/>
      <c r="AH63867" s="6"/>
      <c r="AI63867" s="6"/>
      <c r="AJ63867" s="6"/>
      <c r="AK63867" s="6"/>
      <c r="AL63867" s="6"/>
      <c r="AM63867" s="6"/>
    </row>
    <row r="63868" spans="2:39" ht="9.9499999999999993" hidden="1" customHeight="1" x14ac:dyDescent="0.2">
      <c r="B63868" s="6"/>
      <c r="C63868" s="6"/>
      <c r="D63868" s="6"/>
      <c r="E63868" s="6"/>
      <c r="F63868" s="6"/>
      <c r="G63868" s="6"/>
      <c r="H63868" s="6"/>
      <c r="I63868" s="6"/>
      <c r="J63868" s="6"/>
      <c r="K63868" s="6"/>
      <c r="L63868" s="6"/>
      <c r="M63868" s="6"/>
      <c r="N63868" s="6"/>
      <c r="O63868" s="6"/>
      <c r="P63868" s="6"/>
      <c r="Q63868" s="6"/>
      <c r="R63868" s="6"/>
      <c r="S63868" s="6"/>
      <c r="T63868" s="6"/>
      <c r="U63868" s="6"/>
      <c r="V63868" s="6"/>
      <c r="W63868" s="6"/>
      <c r="X63868" s="6"/>
      <c r="Y63868" s="6"/>
      <c r="Z63868" s="6"/>
      <c r="AA63868" s="6"/>
      <c r="AB63868" s="6"/>
      <c r="AC63868" s="6"/>
      <c r="AD63868" s="6"/>
      <c r="AE63868" s="6"/>
      <c r="AF63868" s="6"/>
      <c r="AG63868" s="6"/>
      <c r="AH63868" s="6"/>
      <c r="AI63868" s="6"/>
      <c r="AJ63868" s="6"/>
      <c r="AK63868" s="6"/>
      <c r="AL63868" s="6"/>
      <c r="AM63868" s="6"/>
    </row>
    <row r="63869" spans="2:39" ht="9.9499999999999993" hidden="1" customHeight="1" x14ac:dyDescent="0.2">
      <c r="B63869" s="6"/>
      <c r="C63869" s="6"/>
      <c r="D63869" s="6"/>
      <c r="E63869" s="6"/>
      <c r="F63869" s="6"/>
      <c r="G63869" s="6"/>
      <c r="H63869" s="6"/>
      <c r="I63869" s="6"/>
      <c r="J63869" s="6"/>
      <c r="K63869" s="6"/>
      <c r="L63869" s="6"/>
      <c r="M63869" s="6"/>
      <c r="N63869" s="6"/>
      <c r="O63869" s="6"/>
      <c r="P63869" s="6"/>
      <c r="Q63869" s="6"/>
      <c r="R63869" s="6"/>
      <c r="S63869" s="6"/>
      <c r="T63869" s="6"/>
      <c r="U63869" s="6"/>
      <c r="V63869" s="6"/>
      <c r="W63869" s="6"/>
      <c r="X63869" s="6"/>
      <c r="Y63869" s="6"/>
      <c r="Z63869" s="6"/>
      <c r="AA63869" s="6"/>
      <c r="AB63869" s="6"/>
      <c r="AC63869" s="6"/>
      <c r="AD63869" s="6"/>
      <c r="AE63869" s="6"/>
      <c r="AF63869" s="6"/>
      <c r="AG63869" s="6"/>
      <c r="AH63869" s="6"/>
      <c r="AI63869" s="6"/>
      <c r="AJ63869" s="6"/>
      <c r="AK63869" s="6"/>
      <c r="AL63869" s="6"/>
      <c r="AM63869" s="6"/>
    </row>
    <row r="63870" spans="2:39" ht="9.9499999999999993" hidden="1" customHeight="1" x14ac:dyDescent="0.2">
      <c r="B63870" s="6"/>
      <c r="C63870" s="6"/>
      <c r="D63870" s="6"/>
      <c r="E63870" s="6"/>
      <c r="F63870" s="6"/>
      <c r="G63870" s="6"/>
      <c r="H63870" s="6"/>
      <c r="I63870" s="6"/>
      <c r="J63870" s="6"/>
      <c r="K63870" s="6"/>
      <c r="L63870" s="6"/>
      <c r="M63870" s="6"/>
      <c r="N63870" s="6"/>
      <c r="O63870" s="6"/>
      <c r="P63870" s="6"/>
      <c r="Q63870" s="6"/>
      <c r="R63870" s="6"/>
      <c r="S63870" s="6"/>
      <c r="T63870" s="6"/>
      <c r="U63870" s="6"/>
      <c r="V63870" s="6"/>
      <c r="W63870" s="6"/>
      <c r="X63870" s="6"/>
      <c r="Y63870" s="6"/>
      <c r="Z63870" s="6"/>
      <c r="AA63870" s="6"/>
      <c r="AB63870" s="6"/>
      <c r="AC63870" s="6"/>
      <c r="AD63870" s="6"/>
      <c r="AE63870" s="6"/>
      <c r="AF63870" s="6"/>
      <c r="AG63870" s="6"/>
      <c r="AH63870" s="6"/>
      <c r="AI63870" s="6"/>
      <c r="AJ63870" s="6"/>
      <c r="AK63870" s="6"/>
      <c r="AL63870" s="6"/>
      <c r="AM63870" s="6"/>
    </row>
    <row r="63871" spans="2:39" ht="9.9499999999999993" hidden="1" customHeight="1" x14ac:dyDescent="0.2">
      <c r="B63871" s="6"/>
      <c r="C63871" s="6"/>
      <c r="D63871" s="6"/>
      <c r="E63871" s="6"/>
      <c r="F63871" s="6"/>
      <c r="G63871" s="6"/>
      <c r="H63871" s="6"/>
      <c r="I63871" s="6"/>
      <c r="J63871" s="6"/>
      <c r="K63871" s="6"/>
      <c r="L63871" s="6"/>
      <c r="M63871" s="6"/>
      <c r="N63871" s="6"/>
      <c r="O63871" s="6"/>
      <c r="P63871" s="6"/>
      <c r="Q63871" s="6"/>
      <c r="R63871" s="6"/>
      <c r="S63871" s="6"/>
      <c r="T63871" s="6"/>
      <c r="U63871" s="6"/>
      <c r="V63871" s="6"/>
      <c r="W63871" s="6"/>
      <c r="X63871" s="6"/>
      <c r="Y63871" s="6"/>
      <c r="Z63871" s="6"/>
      <c r="AA63871" s="6"/>
      <c r="AB63871" s="6"/>
      <c r="AC63871" s="6"/>
      <c r="AD63871" s="6"/>
      <c r="AE63871" s="6"/>
      <c r="AF63871" s="6"/>
      <c r="AG63871" s="6"/>
      <c r="AH63871" s="6"/>
      <c r="AI63871" s="6"/>
      <c r="AJ63871" s="6"/>
      <c r="AK63871" s="6"/>
      <c r="AL63871" s="6"/>
      <c r="AM63871" s="6"/>
    </row>
    <row r="63872" spans="2:39" ht="9.9499999999999993" hidden="1" customHeight="1" x14ac:dyDescent="0.2">
      <c r="B63872" s="6"/>
      <c r="C63872" s="6"/>
      <c r="D63872" s="6"/>
      <c r="E63872" s="6"/>
      <c r="F63872" s="6"/>
      <c r="G63872" s="6"/>
      <c r="H63872" s="6"/>
      <c r="I63872" s="6"/>
      <c r="J63872" s="6"/>
      <c r="K63872" s="6"/>
      <c r="L63872" s="6"/>
      <c r="M63872" s="6"/>
      <c r="N63872" s="6"/>
      <c r="O63872" s="6"/>
      <c r="P63872" s="6"/>
      <c r="Q63872" s="6"/>
      <c r="R63872" s="6"/>
      <c r="S63872" s="6"/>
      <c r="T63872" s="6"/>
      <c r="U63872" s="6"/>
      <c r="V63872" s="6"/>
      <c r="W63872" s="6"/>
      <c r="X63872" s="6"/>
      <c r="Y63872" s="6"/>
      <c r="Z63872" s="6"/>
      <c r="AA63872" s="6"/>
      <c r="AB63872" s="6"/>
      <c r="AC63872" s="6"/>
      <c r="AD63872" s="6"/>
      <c r="AE63872" s="6"/>
      <c r="AF63872" s="6"/>
      <c r="AG63872" s="6"/>
      <c r="AH63872" s="6"/>
      <c r="AI63872" s="6"/>
      <c r="AJ63872" s="6"/>
      <c r="AK63872" s="6"/>
      <c r="AL63872" s="6"/>
      <c r="AM63872" s="6"/>
    </row>
    <row r="63873" spans="2:39" ht="9.9499999999999993" hidden="1" customHeight="1" x14ac:dyDescent="0.2">
      <c r="B63873" s="6"/>
      <c r="C63873" s="6"/>
      <c r="D63873" s="6"/>
      <c r="E63873" s="6"/>
      <c r="F63873" s="6"/>
      <c r="G63873" s="6"/>
      <c r="H63873" s="6"/>
      <c r="I63873" s="6"/>
      <c r="J63873" s="6"/>
      <c r="K63873" s="6"/>
      <c r="L63873" s="6"/>
      <c r="M63873" s="6"/>
      <c r="N63873" s="6"/>
      <c r="O63873" s="6"/>
      <c r="P63873" s="6"/>
      <c r="Q63873" s="6"/>
      <c r="R63873" s="6"/>
      <c r="S63873" s="6"/>
      <c r="T63873" s="6"/>
      <c r="U63873" s="6"/>
      <c r="V63873" s="6"/>
      <c r="W63873" s="6"/>
      <c r="X63873" s="6"/>
      <c r="Y63873" s="6"/>
      <c r="Z63873" s="6"/>
      <c r="AA63873" s="6"/>
      <c r="AB63873" s="6"/>
      <c r="AC63873" s="6"/>
      <c r="AD63873" s="6"/>
      <c r="AE63873" s="6"/>
      <c r="AF63873" s="6"/>
      <c r="AG63873" s="6"/>
      <c r="AH63873" s="6"/>
      <c r="AI63873" s="6"/>
      <c r="AJ63873" s="6"/>
      <c r="AK63873" s="6"/>
      <c r="AL63873" s="6"/>
      <c r="AM63873" s="6"/>
    </row>
    <row r="63874" spans="2:39" ht="9.9499999999999993" hidden="1" customHeight="1" x14ac:dyDescent="0.2">
      <c r="B63874" s="6"/>
      <c r="C63874" s="6"/>
      <c r="D63874" s="6"/>
      <c r="E63874" s="6"/>
      <c r="F63874" s="6"/>
      <c r="G63874" s="6"/>
      <c r="H63874" s="6"/>
      <c r="I63874" s="6"/>
      <c r="J63874" s="6"/>
      <c r="K63874" s="6"/>
      <c r="L63874" s="6"/>
      <c r="M63874" s="6"/>
      <c r="N63874" s="6"/>
      <c r="O63874" s="6"/>
      <c r="P63874" s="6"/>
      <c r="Q63874" s="6"/>
      <c r="R63874" s="6"/>
      <c r="S63874" s="6"/>
      <c r="T63874" s="6"/>
      <c r="U63874" s="6"/>
      <c r="V63874" s="6"/>
      <c r="W63874" s="6"/>
      <c r="X63874" s="6"/>
      <c r="Y63874" s="6"/>
      <c r="Z63874" s="6"/>
      <c r="AA63874" s="6"/>
      <c r="AB63874" s="6"/>
      <c r="AC63874" s="6"/>
      <c r="AD63874" s="6"/>
      <c r="AE63874" s="6"/>
      <c r="AF63874" s="6"/>
      <c r="AG63874" s="6"/>
      <c r="AH63874" s="6"/>
      <c r="AI63874" s="6"/>
      <c r="AJ63874" s="6"/>
      <c r="AK63874" s="6"/>
      <c r="AL63874" s="6"/>
      <c r="AM63874" s="6"/>
    </row>
    <row r="63875" spans="2:39" ht="9.9499999999999993" hidden="1" customHeight="1" x14ac:dyDescent="0.2">
      <c r="B63875" s="6"/>
      <c r="C63875" s="6"/>
      <c r="D63875" s="6"/>
      <c r="E63875" s="6"/>
      <c r="F63875" s="6"/>
      <c r="G63875" s="6"/>
      <c r="H63875" s="6"/>
      <c r="I63875" s="6"/>
      <c r="J63875" s="6"/>
      <c r="K63875" s="6"/>
      <c r="L63875" s="6"/>
      <c r="M63875" s="6"/>
      <c r="N63875" s="6"/>
      <c r="O63875" s="6"/>
      <c r="P63875" s="6"/>
      <c r="Q63875" s="6"/>
      <c r="R63875" s="6"/>
      <c r="S63875" s="6"/>
      <c r="T63875" s="6"/>
      <c r="U63875" s="6"/>
      <c r="V63875" s="6"/>
      <c r="W63875" s="6"/>
      <c r="X63875" s="6"/>
      <c r="Y63875" s="6"/>
      <c r="Z63875" s="6"/>
      <c r="AA63875" s="6"/>
      <c r="AB63875" s="6"/>
      <c r="AC63875" s="6"/>
      <c r="AD63875" s="6"/>
      <c r="AE63875" s="6"/>
      <c r="AF63875" s="6"/>
      <c r="AG63875" s="6"/>
      <c r="AH63875" s="6"/>
      <c r="AI63875" s="6"/>
      <c r="AJ63875" s="6"/>
      <c r="AK63875" s="6"/>
      <c r="AL63875" s="6"/>
      <c r="AM63875" s="6"/>
    </row>
    <row r="63876" spans="2:39" ht="9.9499999999999993" hidden="1" customHeight="1" x14ac:dyDescent="0.2">
      <c r="B63876" s="6"/>
      <c r="C63876" s="6"/>
      <c r="D63876" s="6"/>
      <c r="E63876" s="6"/>
      <c r="F63876" s="6"/>
      <c r="G63876" s="6"/>
      <c r="H63876" s="6"/>
      <c r="I63876" s="6"/>
      <c r="J63876" s="6"/>
      <c r="K63876" s="6"/>
      <c r="L63876" s="6"/>
      <c r="M63876" s="6"/>
      <c r="N63876" s="6"/>
      <c r="O63876" s="6"/>
      <c r="P63876" s="6"/>
      <c r="Q63876" s="6"/>
      <c r="R63876" s="6"/>
      <c r="S63876" s="6"/>
      <c r="T63876" s="6"/>
      <c r="U63876" s="6"/>
      <c r="V63876" s="6"/>
      <c r="W63876" s="6"/>
      <c r="X63876" s="6"/>
      <c r="Y63876" s="6"/>
      <c r="Z63876" s="6"/>
      <c r="AA63876" s="6"/>
      <c r="AB63876" s="6"/>
      <c r="AC63876" s="6"/>
      <c r="AD63876" s="6"/>
      <c r="AE63876" s="6"/>
      <c r="AF63876" s="6"/>
      <c r="AG63876" s="6"/>
      <c r="AH63876" s="6"/>
      <c r="AI63876" s="6"/>
      <c r="AJ63876" s="6"/>
      <c r="AK63876" s="6"/>
      <c r="AL63876" s="6"/>
      <c r="AM63876" s="6"/>
    </row>
    <row r="63877" spans="2:39" ht="9.9499999999999993" hidden="1" customHeight="1" x14ac:dyDescent="0.2">
      <c r="B63877" s="6"/>
      <c r="C63877" s="6"/>
      <c r="D63877" s="6"/>
      <c r="E63877" s="6"/>
      <c r="F63877" s="6"/>
      <c r="G63877" s="6"/>
      <c r="H63877" s="6"/>
      <c r="I63877" s="6"/>
      <c r="J63877" s="6"/>
      <c r="K63877" s="6"/>
      <c r="L63877" s="6"/>
      <c r="M63877" s="6"/>
      <c r="N63877" s="6"/>
      <c r="O63877" s="6"/>
      <c r="P63877" s="6"/>
      <c r="Q63877" s="6"/>
      <c r="R63877" s="6"/>
      <c r="S63877" s="6"/>
      <c r="T63877" s="6"/>
      <c r="U63877" s="6"/>
      <c r="V63877" s="6"/>
      <c r="W63877" s="6"/>
      <c r="X63877" s="6"/>
      <c r="Y63877" s="6"/>
      <c r="Z63877" s="6"/>
      <c r="AA63877" s="6"/>
      <c r="AB63877" s="6"/>
      <c r="AC63877" s="6"/>
      <c r="AD63877" s="6"/>
      <c r="AE63877" s="6"/>
      <c r="AF63877" s="6"/>
      <c r="AG63877" s="6"/>
      <c r="AH63877" s="6"/>
      <c r="AI63877" s="6"/>
      <c r="AJ63877" s="6"/>
      <c r="AK63877" s="6"/>
      <c r="AL63877" s="6"/>
      <c r="AM63877" s="6"/>
    </row>
    <row r="63878" spans="2:39" ht="9.9499999999999993" hidden="1" customHeight="1" x14ac:dyDescent="0.2">
      <c r="B63878" s="6"/>
      <c r="C63878" s="6"/>
      <c r="D63878" s="6"/>
      <c r="E63878" s="6"/>
      <c r="F63878" s="6"/>
      <c r="G63878" s="6"/>
      <c r="H63878" s="6"/>
      <c r="I63878" s="6"/>
      <c r="J63878" s="6"/>
      <c r="K63878" s="6"/>
      <c r="L63878" s="6"/>
      <c r="M63878" s="6"/>
      <c r="N63878" s="6"/>
      <c r="O63878" s="6"/>
      <c r="P63878" s="6"/>
      <c r="Q63878" s="6"/>
      <c r="R63878" s="6"/>
      <c r="S63878" s="6"/>
      <c r="T63878" s="6"/>
      <c r="U63878" s="6"/>
      <c r="V63878" s="6"/>
      <c r="W63878" s="6"/>
      <c r="X63878" s="6"/>
      <c r="Y63878" s="6"/>
      <c r="Z63878" s="6"/>
      <c r="AA63878" s="6"/>
      <c r="AB63878" s="6"/>
      <c r="AC63878" s="6"/>
      <c r="AD63878" s="6"/>
      <c r="AE63878" s="6"/>
      <c r="AF63878" s="6"/>
      <c r="AG63878" s="6"/>
      <c r="AH63878" s="6"/>
      <c r="AI63878" s="6"/>
      <c r="AJ63878" s="6"/>
      <c r="AK63878" s="6"/>
      <c r="AL63878" s="6"/>
      <c r="AM63878" s="6"/>
    </row>
    <row r="63879" spans="2:39" ht="9.9499999999999993" hidden="1" customHeight="1" x14ac:dyDescent="0.2">
      <c r="B63879" s="6"/>
      <c r="C63879" s="6"/>
      <c r="D63879" s="6"/>
      <c r="E63879" s="6"/>
      <c r="F63879" s="6"/>
      <c r="G63879" s="6"/>
      <c r="H63879" s="6"/>
      <c r="I63879" s="6"/>
      <c r="J63879" s="6"/>
      <c r="K63879" s="6"/>
      <c r="L63879" s="6"/>
      <c r="M63879" s="6"/>
      <c r="N63879" s="6"/>
      <c r="O63879" s="6"/>
      <c r="P63879" s="6"/>
      <c r="Q63879" s="6"/>
      <c r="R63879" s="6"/>
      <c r="S63879" s="6"/>
      <c r="T63879" s="6"/>
      <c r="U63879" s="6"/>
      <c r="V63879" s="6"/>
      <c r="W63879" s="6"/>
      <c r="X63879" s="6"/>
      <c r="Y63879" s="6"/>
      <c r="Z63879" s="6"/>
      <c r="AA63879" s="6"/>
      <c r="AB63879" s="6"/>
      <c r="AC63879" s="6"/>
      <c r="AD63879" s="6"/>
      <c r="AE63879" s="6"/>
      <c r="AF63879" s="6"/>
      <c r="AG63879" s="6"/>
      <c r="AH63879" s="6"/>
      <c r="AI63879" s="6"/>
      <c r="AJ63879" s="6"/>
      <c r="AK63879" s="6"/>
      <c r="AL63879" s="6"/>
      <c r="AM63879" s="6"/>
    </row>
    <row r="63880" spans="2:39" ht="9.9499999999999993" hidden="1" customHeight="1" x14ac:dyDescent="0.2">
      <c r="B63880" s="6"/>
      <c r="C63880" s="6"/>
      <c r="D63880" s="6"/>
      <c r="E63880" s="6"/>
      <c r="F63880" s="6"/>
      <c r="G63880" s="6"/>
      <c r="H63880" s="6"/>
      <c r="I63880" s="6"/>
      <c r="J63880" s="6"/>
      <c r="K63880" s="6"/>
      <c r="L63880" s="6"/>
      <c r="M63880" s="6"/>
      <c r="N63880" s="6"/>
      <c r="O63880" s="6"/>
      <c r="P63880" s="6"/>
      <c r="Q63880" s="6"/>
      <c r="R63880" s="6"/>
      <c r="S63880" s="6"/>
      <c r="T63880" s="6"/>
      <c r="U63880" s="6"/>
      <c r="V63880" s="6"/>
      <c r="W63880" s="6"/>
      <c r="X63880" s="6"/>
      <c r="Y63880" s="6"/>
      <c r="Z63880" s="6"/>
      <c r="AA63880" s="6"/>
      <c r="AB63880" s="6"/>
      <c r="AC63880" s="6"/>
      <c r="AD63880" s="6"/>
      <c r="AE63880" s="6"/>
      <c r="AF63880" s="6"/>
      <c r="AG63880" s="6"/>
      <c r="AH63880" s="6"/>
      <c r="AI63880" s="6"/>
      <c r="AJ63880" s="6"/>
      <c r="AK63880" s="6"/>
      <c r="AL63880" s="6"/>
      <c r="AM63880" s="6"/>
    </row>
    <row r="63881" spans="2:39" ht="9.9499999999999993" hidden="1" customHeight="1" x14ac:dyDescent="0.2">
      <c r="B63881" s="6"/>
      <c r="C63881" s="6"/>
      <c r="D63881" s="6"/>
      <c r="E63881" s="6"/>
      <c r="F63881" s="6"/>
      <c r="G63881" s="6"/>
      <c r="H63881" s="6"/>
      <c r="I63881" s="6"/>
      <c r="J63881" s="6"/>
      <c r="K63881" s="6"/>
      <c r="L63881" s="6"/>
      <c r="M63881" s="6"/>
      <c r="N63881" s="6"/>
      <c r="O63881" s="6"/>
      <c r="P63881" s="6"/>
      <c r="Q63881" s="6"/>
      <c r="R63881" s="6"/>
      <c r="S63881" s="6"/>
      <c r="T63881" s="6"/>
      <c r="U63881" s="6"/>
      <c r="V63881" s="6"/>
      <c r="W63881" s="6"/>
      <c r="X63881" s="6"/>
      <c r="Y63881" s="6"/>
      <c r="Z63881" s="6"/>
      <c r="AA63881" s="6"/>
      <c r="AB63881" s="6"/>
      <c r="AC63881" s="6"/>
      <c r="AD63881" s="6"/>
      <c r="AE63881" s="6"/>
      <c r="AF63881" s="6"/>
      <c r="AG63881" s="6"/>
      <c r="AH63881" s="6"/>
      <c r="AI63881" s="6"/>
      <c r="AJ63881" s="6"/>
      <c r="AK63881" s="6"/>
      <c r="AL63881" s="6"/>
      <c r="AM63881" s="6"/>
    </row>
    <row r="63882" spans="2:39" ht="9.9499999999999993" hidden="1" customHeight="1" x14ac:dyDescent="0.2">
      <c r="B63882" s="6"/>
      <c r="C63882" s="6"/>
      <c r="D63882" s="6"/>
      <c r="E63882" s="6"/>
      <c r="F63882" s="6"/>
      <c r="G63882" s="6"/>
      <c r="H63882" s="6"/>
      <c r="I63882" s="6"/>
      <c r="J63882" s="6"/>
      <c r="K63882" s="6"/>
      <c r="L63882" s="6"/>
      <c r="M63882" s="6"/>
      <c r="N63882" s="6"/>
      <c r="O63882" s="6"/>
      <c r="P63882" s="6"/>
      <c r="Q63882" s="6"/>
      <c r="R63882" s="6"/>
      <c r="S63882" s="6"/>
      <c r="T63882" s="6"/>
      <c r="U63882" s="6"/>
      <c r="V63882" s="6"/>
      <c r="W63882" s="6"/>
      <c r="X63882" s="6"/>
      <c r="Y63882" s="6"/>
      <c r="Z63882" s="6"/>
      <c r="AA63882" s="6"/>
      <c r="AB63882" s="6"/>
      <c r="AC63882" s="6"/>
      <c r="AD63882" s="6"/>
      <c r="AE63882" s="6"/>
      <c r="AF63882" s="6"/>
      <c r="AG63882" s="6"/>
      <c r="AH63882" s="6"/>
      <c r="AI63882" s="6"/>
      <c r="AJ63882" s="6"/>
      <c r="AK63882" s="6"/>
      <c r="AL63882" s="6"/>
      <c r="AM63882" s="6"/>
    </row>
    <row r="63883" spans="2:39" ht="9.9499999999999993" hidden="1" customHeight="1" x14ac:dyDescent="0.2">
      <c r="B63883" s="6"/>
      <c r="C63883" s="6"/>
      <c r="D63883" s="6"/>
      <c r="E63883" s="6"/>
      <c r="F63883" s="6"/>
      <c r="G63883" s="6"/>
      <c r="H63883" s="6"/>
      <c r="I63883" s="6"/>
      <c r="J63883" s="6"/>
      <c r="K63883" s="6"/>
      <c r="L63883" s="6"/>
      <c r="M63883" s="6"/>
      <c r="N63883" s="6"/>
      <c r="O63883" s="6"/>
      <c r="P63883" s="6"/>
      <c r="Q63883" s="6"/>
      <c r="R63883" s="6"/>
      <c r="S63883" s="6"/>
      <c r="T63883" s="6"/>
      <c r="U63883" s="6"/>
      <c r="V63883" s="6"/>
      <c r="W63883" s="6"/>
      <c r="X63883" s="6"/>
      <c r="Y63883" s="6"/>
      <c r="Z63883" s="6"/>
      <c r="AA63883" s="6"/>
      <c r="AB63883" s="6"/>
      <c r="AC63883" s="6"/>
      <c r="AD63883" s="6"/>
      <c r="AE63883" s="6"/>
      <c r="AF63883" s="6"/>
      <c r="AG63883" s="6"/>
      <c r="AH63883" s="6"/>
      <c r="AI63883" s="6"/>
      <c r="AJ63883" s="6"/>
      <c r="AK63883" s="6"/>
      <c r="AL63883" s="6"/>
      <c r="AM63883" s="6"/>
    </row>
    <row r="63884" spans="2:39" ht="9.9499999999999993" hidden="1" customHeight="1" x14ac:dyDescent="0.2">
      <c r="B63884" s="6"/>
      <c r="C63884" s="6"/>
      <c r="D63884" s="6"/>
      <c r="E63884" s="6"/>
      <c r="F63884" s="6"/>
      <c r="G63884" s="6"/>
      <c r="H63884" s="6"/>
      <c r="I63884" s="6"/>
      <c r="J63884" s="6"/>
      <c r="K63884" s="6"/>
      <c r="L63884" s="6"/>
      <c r="M63884" s="6"/>
      <c r="N63884" s="6"/>
      <c r="O63884" s="6"/>
      <c r="P63884" s="6"/>
      <c r="Q63884" s="6"/>
      <c r="R63884" s="6"/>
      <c r="S63884" s="6"/>
      <c r="T63884" s="6"/>
      <c r="U63884" s="6"/>
      <c r="V63884" s="6"/>
      <c r="W63884" s="6"/>
      <c r="X63884" s="6"/>
      <c r="Y63884" s="6"/>
      <c r="Z63884" s="6"/>
      <c r="AA63884" s="6"/>
      <c r="AB63884" s="6"/>
      <c r="AC63884" s="6"/>
      <c r="AD63884" s="6"/>
      <c r="AE63884" s="6"/>
      <c r="AF63884" s="6"/>
      <c r="AG63884" s="6"/>
      <c r="AH63884" s="6"/>
      <c r="AI63884" s="6"/>
      <c r="AJ63884" s="6"/>
      <c r="AK63884" s="6"/>
      <c r="AL63884" s="6"/>
      <c r="AM63884" s="6"/>
    </row>
    <row r="63885" spans="2:39" ht="9.9499999999999993" hidden="1" customHeight="1" x14ac:dyDescent="0.2">
      <c r="B63885" s="6"/>
      <c r="C63885" s="6"/>
      <c r="D63885" s="6"/>
      <c r="E63885" s="6"/>
      <c r="F63885" s="6"/>
      <c r="G63885" s="6"/>
      <c r="H63885" s="6"/>
      <c r="I63885" s="6"/>
      <c r="J63885" s="6"/>
      <c r="K63885" s="6"/>
      <c r="L63885" s="6"/>
      <c r="M63885" s="6"/>
      <c r="N63885" s="6"/>
      <c r="O63885" s="6"/>
      <c r="P63885" s="6"/>
      <c r="Q63885" s="6"/>
      <c r="R63885" s="6"/>
      <c r="S63885" s="6"/>
      <c r="T63885" s="6"/>
      <c r="U63885" s="6"/>
      <c r="V63885" s="6"/>
      <c r="W63885" s="6"/>
      <c r="X63885" s="6"/>
      <c r="Y63885" s="6"/>
      <c r="Z63885" s="6"/>
      <c r="AA63885" s="6"/>
      <c r="AB63885" s="6"/>
      <c r="AC63885" s="6"/>
      <c r="AD63885" s="6"/>
      <c r="AE63885" s="6"/>
      <c r="AF63885" s="6"/>
      <c r="AG63885" s="6"/>
      <c r="AH63885" s="6"/>
      <c r="AI63885" s="6"/>
      <c r="AJ63885" s="6"/>
      <c r="AK63885" s="6"/>
      <c r="AL63885" s="6"/>
      <c r="AM63885" s="6"/>
    </row>
    <row r="63886" spans="2:39" ht="9.9499999999999993" hidden="1" customHeight="1" x14ac:dyDescent="0.2">
      <c r="B63886" s="6"/>
      <c r="C63886" s="6"/>
      <c r="D63886" s="6"/>
      <c r="E63886" s="6"/>
      <c r="F63886" s="6"/>
      <c r="G63886" s="6"/>
      <c r="H63886" s="6"/>
      <c r="I63886" s="6"/>
      <c r="J63886" s="6"/>
      <c r="K63886" s="6"/>
      <c r="L63886" s="6"/>
      <c r="M63886" s="6"/>
      <c r="N63886" s="6"/>
      <c r="O63886" s="6"/>
      <c r="P63886" s="6"/>
      <c r="Q63886" s="6"/>
      <c r="R63886" s="6"/>
      <c r="S63886" s="6"/>
      <c r="T63886" s="6"/>
      <c r="U63886" s="6"/>
      <c r="V63886" s="6"/>
      <c r="W63886" s="6"/>
      <c r="X63886" s="6"/>
      <c r="Y63886" s="6"/>
      <c r="Z63886" s="6"/>
      <c r="AA63886" s="6"/>
      <c r="AB63886" s="6"/>
      <c r="AC63886" s="6"/>
      <c r="AD63886" s="6"/>
      <c r="AE63886" s="6"/>
      <c r="AF63886" s="6"/>
      <c r="AG63886" s="6"/>
      <c r="AH63886" s="6"/>
      <c r="AI63886" s="6"/>
      <c r="AJ63886" s="6"/>
      <c r="AK63886" s="6"/>
      <c r="AL63886" s="6"/>
      <c r="AM63886" s="6"/>
    </row>
    <row r="63887" spans="2:39" ht="9.9499999999999993" hidden="1" customHeight="1" x14ac:dyDescent="0.2">
      <c r="B63887" s="6"/>
      <c r="C63887" s="6"/>
      <c r="D63887" s="6"/>
      <c r="E63887" s="6"/>
      <c r="F63887" s="6"/>
      <c r="G63887" s="6"/>
      <c r="H63887" s="6"/>
      <c r="I63887" s="6"/>
      <c r="J63887" s="6"/>
      <c r="K63887" s="6"/>
      <c r="L63887" s="6"/>
      <c r="M63887" s="6"/>
      <c r="N63887" s="6"/>
      <c r="O63887" s="6"/>
      <c r="P63887" s="6"/>
      <c r="Q63887" s="6"/>
      <c r="R63887" s="6"/>
      <c r="S63887" s="6"/>
      <c r="T63887" s="6"/>
      <c r="U63887" s="6"/>
      <c r="V63887" s="6"/>
      <c r="W63887" s="6"/>
      <c r="X63887" s="6"/>
      <c r="Y63887" s="6"/>
      <c r="Z63887" s="6"/>
      <c r="AA63887" s="6"/>
      <c r="AB63887" s="6"/>
      <c r="AC63887" s="6"/>
      <c r="AD63887" s="6"/>
      <c r="AE63887" s="6"/>
      <c r="AF63887" s="6"/>
      <c r="AG63887" s="6"/>
      <c r="AH63887" s="6"/>
      <c r="AI63887" s="6"/>
      <c r="AJ63887" s="6"/>
      <c r="AK63887" s="6"/>
      <c r="AL63887" s="6"/>
      <c r="AM63887" s="6"/>
    </row>
    <row r="63888" spans="2:39" ht="9.9499999999999993" hidden="1" customHeight="1" x14ac:dyDescent="0.2">
      <c r="B63888" s="6"/>
      <c r="C63888" s="6"/>
      <c r="D63888" s="6"/>
      <c r="E63888" s="6"/>
      <c r="F63888" s="6"/>
      <c r="G63888" s="6"/>
      <c r="H63888" s="6"/>
      <c r="I63888" s="6"/>
      <c r="J63888" s="6"/>
      <c r="K63888" s="6"/>
      <c r="L63888" s="6"/>
      <c r="M63888" s="6"/>
      <c r="N63888" s="6"/>
      <c r="O63888" s="6"/>
      <c r="P63888" s="6"/>
      <c r="Q63888" s="6"/>
      <c r="R63888" s="6"/>
      <c r="S63888" s="6"/>
      <c r="T63888" s="6"/>
      <c r="U63888" s="6"/>
      <c r="V63888" s="6"/>
      <c r="W63888" s="6"/>
      <c r="X63888" s="6"/>
      <c r="Y63888" s="6"/>
      <c r="Z63888" s="6"/>
      <c r="AA63888" s="6"/>
      <c r="AB63888" s="6"/>
      <c r="AC63888" s="6"/>
      <c r="AD63888" s="6"/>
      <c r="AE63888" s="6"/>
      <c r="AF63888" s="6"/>
      <c r="AG63888" s="6"/>
      <c r="AH63888" s="6"/>
      <c r="AI63888" s="6"/>
      <c r="AJ63888" s="6"/>
      <c r="AK63888" s="6"/>
      <c r="AL63888" s="6"/>
      <c r="AM63888" s="6"/>
    </row>
    <row r="63889" spans="2:39" ht="9.9499999999999993" hidden="1" customHeight="1" x14ac:dyDescent="0.2">
      <c r="B63889" s="6"/>
      <c r="C63889" s="6"/>
      <c r="D63889" s="6"/>
      <c r="E63889" s="6"/>
      <c r="F63889" s="6"/>
      <c r="G63889" s="6"/>
      <c r="H63889" s="6"/>
      <c r="I63889" s="6"/>
      <c r="J63889" s="6"/>
      <c r="K63889" s="6"/>
      <c r="L63889" s="6"/>
      <c r="M63889" s="6"/>
      <c r="N63889" s="6"/>
      <c r="O63889" s="6"/>
      <c r="P63889" s="6"/>
      <c r="Q63889" s="6"/>
      <c r="R63889" s="6"/>
      <c r="S63889" s="6"/>
      <c r="T63889" s="6"/>
      <c r="U63889" s="6"/>
      <c r="V63889" s="6"/>
      <c r="W63889" s="6"/>
      <c r="X63889" s="6"/>
      <c r="Y63889" s="6"/>
      <c r="Z63889" s="6"/>
      <c r="AA63889" s="6"/>
      <c r="AB63889" s="6"/>
      <c r="AC63889" s="6"/>
      <c r="AD63889" s="6"/>
      <c r="AE63889" s="6"/>
      <c r="AF63889" s="6"/>
      <c r="AG63889" s="6"/>
      <c r="AH63889" s="6"/>
      <c r="AI63889" s="6"/>
      <c r="AJ63889" s="6"/>
      <c r="AK63889" s="6"/>
      <c r="AL63889" s="6"/>
      <c r="AM63889" s="6"/>
    </row>
    <row r="63890" spans="2:39" ht="9.9499999999999993" hidden="1" customHeight="1" x14ac:dyDescent="0.2">
      <c r="B63890" s="6"/>
      <c r="C63890" s="6"/>
      <c r="D63890" s="6"/>
      <c r="E63890" s="6"/>
      <c r="F63890" s="6"/>
      <c r="G63890" s="6"/>
      <c r="H63890" s="6"/>
      <c r="I63890" s="6"/>
      <c r="J63890" s="6"/>
      <c r="K63890" s="6"/>
      <c r="L63890" s="6"/>
      <c r="M63890" s="6"/>
      <c r="N63890" s="6"/>
      <c r="O63890" s="6"/>
      <c r="P63890" s="6"/>
      <c r="Q63890" s="6"/>
      <c r="R63890" s="6"/>
      <c r="S63890" s="6"/>
      <c r="T63890" s="6"/>
      <c r="U63890" s="6"/>
      <c r="V63890" s="6"/>
      <c r="W63890" s="6"/>
      <c r="X63890" s="6"/>
      <c r="Y63890" s="6"/>
      <c r="Z63890" s="6"/>
      <c r="AA63890" s="6"/>
      <c r="AB63890" s="6"/>
      <c r="AC63890" s="6"/>
      <c r="AD63890" s="6"/>
      <c r="AE63890" s="6"/>
      <c r="AF63890" s="6"/>
      <c r="AG63890" s="6"/>
      <c r="AH63890" s="6"/>
      <c r="AI63890" s="6"/>
      <c r="AJ63890" s="6"/>
      <c r="AK63890" s="6"/>
      <c r="AL63890" s="6"/>
      <c r="AM63890" s="6"/>
    </row>
    <row r="63891" spans="2:39" ht="9.9499999999999993" hidden="1" customHeight="1" x14ac:dyDescent="0.2">
      <c r="B63891" s="6"/>
      <c r="C63891" s="6"/>
      <c r="D63891" s="6"/>
      <c r="E63891" s="6"/>
      <c r="F63891" s="6"/>
      <c r="G63891" s="6"/>
      <c r="H63891" s="6"/>
      <c r="I63891" s="6"/>
      <c r="J63891" s="6"/>
      <c r="K63891" s="6"/>
      <c r="L63891" s="6"/>
      <c r="M63891" s="6"/>
      <c r="N63891" s="6"/>
      <c r="O63891" s="6"/>
      <c r="P63891" s="6"/>
      <c r="Q63891" s="6"/>
      <c r="R63891" s="6"/>
      <c r="S63891" s="6"/>
      <c r="T63891" s="6"/>
      <c r="U63891" s="6"/>
      <c r="V63891" s="6"/>
      <c r="W63891" s="6"/>
      <c r="X63891" s="6"/>
      <c r="Y63891" s="6"/>
      <c r="Z63891" s="6"/>
      <c r="AA63891" s="6"/>
      <c r="AB63891" s="6"/>
      <c r="AC63891" s="6"/>
      <c r="AD63891" s="6"/>
      <c r="AE63891" s="6"/>
      <c r="AF63891" s="6"/>
      <c r="AG63891" s="6"/>
      <c r="AH63891" s="6"/>
      <c r="AI63891" s="6"/>
      <c r="AJ63891" s="6"/>
      <c r="AK63891" s="6"/>
      <c r="AL63891" s="6"/>
      <c r="AM63891" s="6"/>
    </row>
    <row r="63892" spans="2:39" ht="9.9499999999999993" hidden="1" customHeight="1" x14ac:dyDescent="0.2">
      <c r="B63892" s="6"/>
      <c r="C63892" s="6"/>
      <c r="D63892" s="6"/>
      <c r="E63892" s="6"/>
      <c r="F63892" s="6"/>
      <c r="G63892" s="6"/>
      <c r="H63892" s="6"/>
      <c r="I63892" s="6"/>
      <c r="J63892" s="6"/>
      <c r="K63892" s="6"/>
      <c r="L63892" s="6"/>
      <c r="M63892" s="6"/>
      <c r="N63892" s="6"/>
      <c r="O63892" s="6"/>
      <c r="P63892" s="6"/>
      <c r="Q63892" s="6"/>
      <c r="R63892" s="6"/>
      <c r="S63892" s="6"/>
      <c r="T63892" s="6"/>
      <c r="U63892" s="6"/>
      <c r="V63892" s="6"/>
      <c r="W63892" s="6"/>
      <c r="X63892" s="6"/>
      <c r="Y63892" s="6"/>
      <c r="Z63892" s="6"/>
      <c r="AA63892" s="6"/>
      <c r="AB63892" s="6"/>
      <c r="AC63892" s="6"/>
      <c r="AD63892" s="6"/>
      <c r="AE63892" s="6"/>
      <c r="AF63892" s="6"/>
      <c r="AG63892" s="6"/>
      <c r="AH63892" s="6"/>
      <c r="AI63892" s="6"/>
      <c r="AJ63892" s="6"/>
      <c r="AK63892" s="6"/>
      <c r="AL63892" s="6"/>
      <c r="AM63892" s="6"/>
    </row>
    <row r="63893" spans="2:39" ht="9.9499999999999993" hidden="1" customHeight="1" x14ac:dyDescent="0.2">
      <c r="B63893" s="6"/>
      <c r="C63893" s="6"/>
      <c r="D63893" s="6"/>
      <c r="E63893" s="6"/>
      <c r="F63893" s="6"/>
      <c r="G63893" s="6"/>
      <c r="H63893" s="6"/>
      <c r="I63893" s="6"/>
      <c r="J63893" s="6"/>
      <c r="K63893" s="6"/>
      <c r="L63893" s="6"/>
      <c r="M63893" s="6"/>
      <c r="N63893" s="6"/>
      <c r="O63893" s="6"/>
      <c r="P63893" s="6"/>
      <c r="Q63893" s="6"/>
      <c r="R63893" s="6"/>
      <c r="S63893" s="6"/>
      <c r="T63893" s="6"/>
      <c r="U63893" s="6"/>
      <c r="V63893" s="6"/>
      <c r="W63893" s="6"/>
      <c r="X63893" s="6"/>
      <c r="Y63893" s="6"/>
      <c r="Z63893" s="6"/>
      <c r="AA63893" s="6"/>
      <c r="AB63893" s="6"/>
      <c r="AC63893" s="6"/>
      <c r="AD63893" s="6"/>
      <c r="AE63893" s="6"/>
      <c r="AF63893" s="6"/>
      <c r="AG63893" s="6"/>
      <c r="AH63893" s="6"/>
      <c r="AI63893" s="6"/>
      <c r="AJ63893" s="6"/>
      <c r="AK63893" s="6"/>
      <c r="AL63893" s="6"/>
      <c r="AM63893" s="6"/>
    </row>
    <row r="63894" spans="2:39" ht="9.9499999999999993" hidden="1" customHeight="1" x14ac:dyDescent="0.2">
      <c r="B63894" s="6"/>
      <c r="C63894" s="6"/>
      <c r="D63894" s="6"/>
      <c r="E63894" s="6"/>
      <c r="F63894" s="6"/>
      <c r="G63894" s="6"/>
      <c r="H63894" s="6"/>
      <c r="I63894" s="6"/>
      <c r="J63894" s="6"/>
      <c r="K63894" s="6"/>
      <c r="L63894" s="6"/>
      <c r="M63894" s="6"/>
      <c r="N63894" s="6"/>
      <c r="O63894" s="6"/>
      <c r="P63894" s="6"/>
      <c r="Q63894" s="6"/>
      <c r="R63894" s="6"/>
      <c r="S63894" s="6"/>
      <c r="T63894" s="6"/>
      <c r="U63894" s="6"/>
      <c r="V63894" s="6"/>
      <c r="W63894" s="6"/>
      <c r="X63894" s="6"/>
      <c r="Y63894" s="6"/>
      <c r="Z63894" s="6"/>
      <c r="AA63894" s="6"/>
      <c r="AB63894" s="6"/>
      <c r="AC63894" s="6"/>
      <c r="AD63894" s="6"/>
      <c r="AE63894" s="6"/>
      <c r="AF63894" s="6"/>
      <c r="AG63894" s="6"/>
      <c r="AH63894" s="6"/>
      <c r="AI63894" s="6"/>
      <c r="AJ63894" s="6"/>
      <c r="AK63894" s="6"/>
      <c r="AL63894" s="6"/>
      <c r="AM63894" s="6"/>
    </row>
    <row r="63895" spans="2:39" ht="9.9499999999999993" hidden="1" customHeight="1" x14ac:dyDescent="0.2">
      <c r="B63895" s="6"/>
      <c r="C63895" s="6"/>
      <c r="D63895" s="6"/>
      <c r="E63895" s="6"/>
      <c r="F63895" s="6"/>
      <c r="G63895" s="6"/>
      <c r="H63895" s="6"/>
      <c r="I63895" s="6"/>
      <c r="J63895" s="6"/>
      <c r="K63895" s="6"/>
      <c r="L63895" s="6"/>
      <c r="M63895" s="6"/>
      <c r="N63895" s="6"/>
      <c r="O63895" s="6"/>
      <c r="P63895" s="6"/>
      <c r="Q63895" s="6"/>
      <c r="R63895" s="6"/>
      <c r="S63895" s="6"/>
      <c r="T63895" s="6"/>
      <c r="U63895" s="6"/>
      <c r="V63895" s="6"/>
      <c r="W63895" s="6"/>
      <c r="X63895" s="6"/>
      <c r="Y63895" s="6"/>
      <c r="Z63895" s="6"/>
      <c r="AA63895" s="6"/>
      <c r="AB63895" s="6"/>
      <c r="AC63895" s="6"/>
      <c r="AD63895" s="6"/>
      <c r="AE63895" s="6"/>
      <c r="AF63895" s="6"/>
      <c r="AG63895" s="6"/>
      <c r="AH63895" s="6"/>
      <c r="AI63895" s="6"/>
      <c r="AJ63895" s="6"/>
      <c r="AK63895" s="6"/>
      <c r="AL63895" s="6"/>
      <c r="AM63895" s="6"/>
    </row>
    <row r="63896" spans="2:39" ht="9.9499999999999993" hidden="1" customHeight="1" x14ac:dyDescent="0.2">
      <c r="B63896" s="6"/>
      <c r="C63896" s="6"/>
      <c r="D63896" s="6"/>
      <c r="E63896" s="6"/>
      <c r="F63896" s="6"/>
      <c r="G63896" s="6"/>
      <c r="H63896" s="6"/>
      <c r="I63896" s="6"/>
      <c r="J63896" s="6"/>
      <c r="K63896" s="6"/>
      <c r="L63896" s="6"/>
      <c r="M63896" s="6"/>
      <c r="N63896" s="6"/>
      <c r="O63896" s="6"/>
      <c r="P63896" s="6"/>
      <c r="Q63896" s="6"/>
      <c r="R63896" s="6"/>
      <c r="S63896" s="6"/>
      <c r="T63896" s="6"/>
      <c r="U63896" s="6"/>
      <c r="V63896" s="6"/>
      <c r="W63896" s="6"/>
      <c r="X63896" s="6"/>
      <c r="Y63896" s="6"/>
      <c r="Z63896" s="6"/>
      <c r="AA63896" s="6"/>
      <c r="AB63896" s="6"/>
      <c r="AC63896" s="6"/>
      <c r="AD63896" s="6"/>
      <c r="AE63896" s="6"/>
      <c r="AF63896" s="6"/>
      <c r="AG63896" s="6"/>
      <c r="AH63896" s="6"/>
      <c r="AI63896" s="6"/>
      <c r="AJ63896" s="6"/>
      <c r="AK63896" s="6"/>
      <c r="AL63896" s="6"/>
      <c r="AM63896" s="6"/>
    </row>
    <row r="63897" spans="2:39" ht="9.9499999999999993" hidden="1" customHeight="1" x14ac:dyDescent="0.2">
      <c r="B63897" s="6"/>
      <c r="C63897" s="6"/>
      <c r="D63897" s="6"/>
      <c r="E63897" s="6"/>
      <c r="F63897" s="6"/>
      <c r="G63897" s="6"/>
      <c r="H63897" s="6"/>
      <c r="I63897" s="6"/>
      <c r="J63897" s="6"/>
      <c r="K63897" s="6"/>
      <c r="L63897" s="6"/>
      <c r="M63897" s="6"/>
      <c r="N63897" s="6"/>
      <c r="O63897" s="6"/>
      <c r="P63897" s="6"/>
      <c r="Q63897" s="6"/>
      <c r="R63897" s="6"/>
      <c r="S63897" s="6"/>
      <c r="T63897" s="6"/>
      <c r="U63897" s="6"/>
      <c r="V63897" s="6"/>
      <c r="W63897" s="6"/>
      <c r="X63897" s="6"/>
      <c r="Y63897" s="6"/>
      <c r="Z63897" s="6"/>
      <c r="AA63897" s="6"/>
      <c r="AB63897" s="6"/>
      <c r="AC63897" s="6"/>
      <c r="AD63897" s="6"/>
      <c r="AE63897" s="6"/>
      <c r="AF63897" s="6"/>
      <c r="AG63897" s="6"/>
      <c r="AH63897" s="6"/>
      <c r="AI63897" s="6"/>
      <c r="AJ63897" s="6"/>
      <c r="AK63897" s="6"/>
      <c r="AL63897" s="6"/>
      <c r="AM63897" s="6"/>
    </row>
    <row r="63898" spans="2:39" ht="9.9499999999999993" hidden="1" customHeight="1" x14ac:dyDescent="0.2">
      <c r="B63898" s="6"/>
      <c r="C63898" s="6"/>
      <c r="D63898" s="6"/>
      <c r="E63898" s="6"/>
      <c r="F63898" s="6"/>
      <c r="G63898" s="6"/>
      <c r="H63898" s="6"/>
      <c r="I63898" s="6"/>
      <c r="J63898" s="6"/>
      <c r="K63898" s="6"/>
      <c r="L63898" s="6"/>
      <c r="M63898" s="6"/>
      <c r="N63898" s="6"/>
      <c r="O63898" s="6"/>
      <c r="P63898" s="6"/>
      <c r="Q63898" s="6"/>
      <c r="R63898" s="6"/>
      <c r="S63898" s="6"/>
      <c r="T63898" s="6"/>
      <c r="U63898" s="6"/>
      <c r="V63898" s="6"/>
      <c r="W63898" s="6"/>
      <c r="X63898" s="6"/>
      <c r="Y63898" s="6"/>
      <c r="Z63898" s="6"/>
      <c r="AA63898" s="6"/>
      <c r="AB63898" s="6"/>
      <c r="AC63898" s="6"/>
      <c r="AD63898" s="6"/>
      <c r="AE63898" s="6"/>
      <c r="AF63898" s="6"/>
      <c r="AG63898" s="6"/>
      <c r="AH63898" s="6"/>
      <c r="AI63898" s="6"/>
      <c r="AJ63898" s="6"/>
      <c r="AK63898" s="6"/>
      <c r="AL63898" s="6"/>
      <c r="AM63898" s="6"/>
    </row>
    <row r="63899" spans="2:39" ht="9.9499999999999993" hidden="1" customHeight="1" x14ac:dyDescent="0.2">
      <c r="B63899" s="6"/>
      <c r="C63899" s="6"/>
      <c r="D63899" s="6"/>
      <c r="E63899" s="6"/>
      <c r="F63899" s="6"/>
      <c r="G63899" s="6"/>
      <c r="H63899" s="6"/>
      <c r="I63899" s="6"/>
      <c r="J63899" s="6"/>
      <c r="K63899" s="6"/>
      <c r="L63899" s="6"/>
      <c r="M63899" s="6"/>
      <c r="N63899" s="6"/>
      <c r="O63899" s="6"/>
      <c r="P63899" s="6"/>
      <c r="Q63899" s="6"/>
      <c r="R63899" s="6"/>
      <c r="S63899" s="6"/>
      <c r="T63899" s="6"/>
      <c r="U63899" s="6"/>
      <c r="V63899" s="6"/>
      <c r="W63899" s="6"/>
      <c r="X63899" s="6"/>
      <c r="Y63899" s="6"/>
      <c r="Z63899" s="6"/>
      <c r="AA63899" s="6"/>
      <c r="AB63899" s="6"/>
      <c r="AC63899" s="6"/>
      <c r="AD63899" s="6"/>
      <c r="AE63899" s="6"/>
      <c r="AF63899" s="6"/>
      <c r="AG63899" s="6"/>
      <c r="AH63899" s="6"/>
      <c r="AI63899" s="6"/>
      <c r="AJ63899" s="6"/>
      <c r="AK63899" s="6"/>
      <c r="AL63899" s="6"/>
      <c r="AM63899" s="6"/>
    </row>
    <row r="63900" spans="2:39" ht="9.9499999999999993" hidden="1" customHeight="1" x14ac:dyDescent="0.2">
      <c r="B63900" s="6"/>
      <c r="C63900" s="6"/>
      <c r="D63900" s="6"/>
      <c r="E63900" s="6"/>
      <c r="F63900" s="6"/>
      <c r="G63900" s="6"/>
      <c r="H63900" s="6"/>
      <c r="I63900" s="6"/>
      <c r="J63900" s="6"/>
      <c r="K63900" s="6"/>
      <c r="L63900" s="6"/>
      <c r="M63900" s="6"/>
      <c r="N63900" s="6"/>
      <c r="O63900" s="6"/>
      <c r="P63900" s="6"/>
      <c r="Q63900" s="6"/>
      <c r="R63900" s="6"/>
      <c r="S63900" s="6"/>
      <c r="T63900" s="6"/>
      <c r="U63900" s="6"/>
      <c r="V63900" s="6"/>
      <c r="W63900" s="6"/>
      <c r="X63900" s="6"/>
      <c r="Y63900" s="6"/>
      <c r="Z63900" s="6"/>
      <c r="AA63900" s="6"/>
      <c r="AB63900" s="6"/>
      <c r="AC63900" s="6"/>
      <c r="AD63900" s="6"/>
      <c r="AE63900" s="6"/>
      <c r="AF63900" s="6"/>
      <c r="AG63900" s="6"/>
      <c r="AH63900" s="6"/>
      <c r="AI63900" s="6"/>
      <c r="AJ63900" s="6"/>
      <c r="AK63900" s="6"/>
      <c r="AL63900" s="6"/>
      <c r="AM63900" s="6"/>
    </row>
    <row r="63901" spans="2:39" ht="9.9499999999999993" hidden="1" customHeight="1" x14ac:dyDescent="0.2">
      <c r="B63901" s="6"/>
      <c r="C63901" s="6"/>
      <c r="D63901" s="6"/>
      <c r="E63901" s="6"/>
      <c r="F63901" s="6"/>
      <c r="G63901" s="6"/>
      <c r="H63901" s="6"/>
      <c r="I63901" s="6"/>
      <c r="J63901" s="6"/>
      <c r="K63901" s="6"/>
      <c r="L63901" s="6"/>
      <c r="M63901" s="6"/>
      <c r="N63901" s="6"/>
      <c r="O63901" s="6"/>
      <c r="P63901" s="6"/>
      <c r="Q63901" s="6"/>
      <c r="R63901" s="6"/>
      <c r="S63901" s="6"/>
      <c r="T63901" s="6"/>
      <c r="U63901" s="6"/>
      <c r="V63901" s="6"/>
      <c r="W63901" s="6"/>
      <c r="X63901" s="6"/>
      <c r="Y63901" s="6"/>
      <c r="Z63901" s="6"/>
      <c r="AA63901" s="6"/>
      <c r="AB63901" s="6"/>
      <c r="AC63901" s="6"/>
      <c r="AD63901" s="6"/>
      <c r="AE63901" s="6"/>
      <c r="AF63901" s="6"/>
      <c r="AG63901" s="6"/>
      <c r="AH63901" s="6"/>
      <c r="AI63901" s="6"/>
      <c r="AJ63901" s="6"/>
      <c r="AK63901" s="6"/>
      <c r="AL63901" s="6"/>
      <c r="AM63901" s="6"/>
    </row>
    <row r="63902" spans="2:39" ht="9.9499999999999993" hidden="1" customHeight="1" x14ac:dyDescent="0.2">
      <c r="B63902" s="6"/>
      <c r="C63902" s="6"/>
      <c r="D63902" s="6"/>
      <c r="E63902" s="6"/>
      <c r="F63902" s="6"/>
      <c r="G63902" s="6"/>
      <c r="H63902" s="6"/>
      <c r="I63902" s="6"/>
      <c r="J63902" s="6"/>
      <c r="K63902" s="6"/>
      <c r="L63902" s="6"/>
      <c r="M63902" s="6"/>
      <c r="N63902" s="6"/>
      <c r="O63902" s="6"/>
      <c r="P63902" s="6"/>
      <c r="Q63902" s="6"/>
      <c r="R63902" s="6"/>
      <c r="S63902" s="6"/>
      <c r="T63902" s="6"/>
      <c r="U63902" s="6"/>
      <c r="V63902" s="6"/>
      <c r="W63902" s="6"/>
      <c r="X63902" s="6"/>
      <c r="Y63902" s="6"/>
      <c r="Z63902" s="6"/>
      <c r="AA63902" s="6"/>
      <c r="AB63902" s="6"/>
      <c r="AC63902" s="6"/>
      <c r="AD63902" s="6"/>
      <c r="AE63902" s="6"/>
      <c r="AF63902" s="6"/>
      <c r="AG63902" s="6"/>
      <c r="AH63902" s="6"/>
      <c r="AI63902" s="6"/>
      <c r="AJ63902" s="6"/>
      <c r="AK63902" s="6"/>
      <c r="AL63902" s="6"/>
      <c r="AM63902" s="6"/>
    </row>
    <row r="63903" spans="2:39" ht="9.9499999999999993" hidden="1" customHeight="1" x14ac:dyDescent="0.2">
      <c r="B63903" s="6"/>
      <c r="C63903" s="6"/>
      <c r="D63903" s="6"/>
      <c r="E63903" s="6"/>
      <c r="F63903" s="6"/>
      <c r="G63903" s="6"/>
      <c r="H63903" s="6"/>
      <c r="I63903" s="6"/>
      <c r="J63903" s="6"/>
      <c r="K63903" s="6"/>
      <c r="L63903" s="6"/>
      <c r="M63903" s="6"/>
      <c r="N63903" s="6"/>
      <c r="O63903" s="6"/>
      <c r="P63903" s="6"/>
      <c r="Q63903" s="6"/>
      <c r="R63903" s="6"/>
      <c r="S63903" s="6"/>
      <c r="T63903" s="6"/>
      <c r="U63903" s="6"/>
      <c r="V63903" s="6"/>
      <c r="W63903" s="6"/>
      <c r="X63903" s="6"/>
      <c r="Y63903" s="6"/>
      <c r="Z63903" s="6"/>
      <c r="AA63903" s="6"/>
      <c r="AB63903" s="6"/>
      <c r="AC63903" s="6"/>
      <c r="AD63903" s="6"/>
      <c r="AE63903" s="6"/>
      <c r="AF63903" s="6"/>
      <c r="AG63903" s="6"/>
      <c r="AH63903" s="6"/>
      <c r="AI63903" s="6"/>
      <c r="AJ63903" s="6"/>
      <c r="AK63903" s="6"/>
      <c r="AL63903" s="6"/>
      <c r="AM63903" s="6"/>
    </row>
    <row r="63904" spans="2:39" ht="9.9499999999999993" hidden="1" customHeight="1" x14ac:dyDescent="0.2">
      <c r="B63904" s="6"/>
      <c r="C63904" s="6"/>
      <c r="D63904" s="6"/>
      <c r="E63904" s="6"/>
      <c r="F63904" s="6"/>
      <c r="G63904" s="6"/>
      <c r="H63904" s="6"/>
      <c r="I63904" s="6"/>
      <c r="J63904" s="6"/>
      <c r="K63904" s="6"/>
      <c r="L63904" s="6"/>
      <c r="M63904" s="6"/>
      <c r="N63904" s="6"/>
      <c r="O63904" s="6"/>
      <c r="P63904" s="6"/>
      <c r="Q63904" s="6"/>
      <c r="R63904" s="6"/>
      <c r="S63904" s="6"/>
      <c r="T63904" s="6"/>
      <c r="U63904" s="6"/>
      <c r="V63904" s="6"/>
      <c r="W63904" s="6"/>
      <c r="X63904" s="6"/>
      <c r="Y63904" s="6"/>
      <c r="Z63904" s="6"/>
      <c r="AA63904" s="6"/>
      <c r="AB63904" s="6"/>
      <c r="AC63904" s="6"/>
      <c r="AD63904" s="6"/>
      <c r="AE63904" s="6"/>
      <c r="AF63904" s="6"/>
      <c r="AG63904" s="6"/>
      <c r="AH63904" s="6"/>
      <c r="AI63904" s="6"/>
      <c r="AJ63904" s="6"/>
      <c r="AK63904" s="6"/>
      <c r="AL63904" s="6"/>
      <c r="AM63904" s="6"/>
    </row>
    <row r="63905" spans="2:39" ht="9.9499999999999993" hidden="1" customHeight="1" x14ac:dyDescent="0.2">
      <c r="B63905" s="6"/>
      <c r="C63905" s="6"/>
      <c r="D63905" s="6"/>
      <c r="E63905" s="6"/>
      <c r="F63905" s="6"/>
      <c r="G63905" s="6"/>
      <c r="H63905" s="6"/>
      <c r="I63905" s="6"/>
      <c r="J63905" s="6"/>
      <c r="K63905" s="6"/>
      <c r="L63905" s="6"/>
      <c r="M63905" s="6"/>
      <c r="N63905" s="6"/>
      <c r="O63905" s="6"/>
      <c r="P63905" s="6"/>
      <c r="Q63905" s="6"/>
      <c r="R63905" s="6"/>
      <c r="S63905" s="6"/>
      <c r="T63905" s="6"/>
      <c r="U63905" s="6"/>
      <c r="V63905" s="6"/>
      <c r="W63905" s="6"/>
      <c r="X63905" s="6"/>
      <c r="Y63905" s="6"/>
      <c r="Z63905" s="6"/>
      <c r="AA63905" s="6"/>
      <c r="AB63905" s="6"/>
      <c r="AC63905" s="6"/>
      <c r="AD63905" s="6"/>
      <c r="AE63905" s="6"/>
      <c r="AF63905" s="6"/>
      <c r="AG63905" s="6"/>
      <c r="AH63905" s="6"/>
      <c r="AI63905" s="6"/>
      <c r="AJ63905" s="6"/>
      <c r="AK63905" s="6"/>
      <c r="AL63905" s="6"/>
      <c r="AM63905" s="6"/>
    </row>
    <row r="63906" spans="2:39" ht="9.9499999999999993" hidden="1" customHeight="1" x14ac:dyDescent="0.2">
      <c r="B63906" s="6"/>
      <c r="C63906" s="6"/>
      <c r="D63906" s="6"/>
      <c r="E63906" s="6"/>
      <c r="F63906" s="6"/>
      <c r="G63906" s="6"/>
      <c r="H63906" s="6"/>
      <c r="I63906" s="6"/>
      <c r="J63906" s="6"/>
      <c r="K63906" s="6"/>
      <c r="L63906" s="6"/>
      <c r="M63906" s="6"/>
      <c r="N63906" s="6"/>
      <c r="O63906" s="6"/>
      <c r="P63906" s="6"/>
      <c r="Q63906" s="6"/>
      <c r="R63906" s="6"/>
      <c r="S63906" s="6"/>
      <c r="T63906" s="6"/>
      <c r="U63906" s="6"/>
      <c r="V63906" s="6"/>
      <c r="W63906" s="6"/>
      <c r="X63906" s="6"/>
      <c r="Y63906" s="6"/>
      <c r="Z63906" s="6"/>
      <c r="AA63906" s="6"/>
      <c r="AB63906" s="6"/>
      <c r="AC63906" s="6"/>
      <c r="AD63906" s="6"/>
      <c r="AE63906" s="6"/>
      <c r="AF63906" s="6"/>
      <c r="AG63906" s="6"/>
      <c r="AH63906" s="6"/>
      <c r="AI63906" s="6"/>
      <c r="AJ63906" s="6"/>
      <c r="AK63906" s="6"/>
      <c r="AL63906" s="6"/>
      <c r="AM63906" s="6"/>
    </row>
    <row r="63907" spans="2:39" ht="9.9499999999999993" hidden="1" customHeight="1" x14ac:dyDescent="0.2">
      <c r="B63907" s="6"/>
      <c r="C63907" s="6"/>
      <c r="D63907" s="6"/>
      <c r="E63907" s="6"/>
      <c r="F63907" s="6"/>
      <c r="G63907" s="6"/>
      <c r="H63907" s="6"/>
      <c r="I63907" s="6"/>
      <c r="J63907" s="6"/>
      <c r="K63907" s="6"/>
      <c r="L63907" s="6"/>
      <c r="M63907" s="6"/>
      <c r="N63907" s="6"/>
      <c r="O63907" s="6"/>
      <c r="P63907" s="6"/>
      <c r="Q63907" s="6"/>
      <c r="R63907" s="6"/>
      <c r="S63907" s="6"/>
      <c r="T63907" s="6"/>
      <c r="U63907" s="6"/>
      <c r="V63907" s="6"/>
      <c r="W63907" s="6"/>
      <c r="X63907" s="6"/>
      <c r="Y63907" s="6"/>
      <c r="Z63907" s="6"/>
      <c r="AA63907" s="6"/>
      <c r="AB63907" s="6"/>
      <c r="AC63907" s="6"/>
      <c r="AD63907" s="6"/>
      <c r="AE63907" s="6"/>
      <c r="AF63907" s="6"/>
      <c r="AG63907" s="6"/>
      <c r="AH63907" s="6"/>
      <c r="AI63907" s="6"/>
      <c r="AJ63907" s="6"/>
      <c r="AK63907" s="6"/>
      <c r="AL63907" s="6"/>
      <c r="AM63907" s="6"/>
    </row>
    <row r="63908" spans="2:39" ht="9.9499999999999993" hidden="1" customHeight="1" x14ac:dyDescent="0.2">
      <c r="B63908" s="6"/>
      <c r="C63908" s="6"/>
      <c r="D63908" s="6"/>
      <c r="E63908" s="6"/>
      <c r="F63908" s="6"/>
      <c r="G63908" s="6"/>
      <c r="H63908" s="6"/>
      <c r="I63908" s="6"/>
      <c r="J63908" s="6"/>
      <c r="K63908" s="6"/>
      <c r="L63908" s="6"/>
      <c r="M63908" s="6"/>
      <c r="N63908" s="6"/>
      <c r="O63908" s="6"/>
      <c r="P63908" s="6"/>
      <c r="Q63908" s="6"/>
      <c r="R63908" s="6"/>
      <c r="S63908" s="6"/>
      <c r="T63908" s="6"/>
      <c r="U63908" s="6"/>
      <c r="V63908" s="6"/>
      <c r="W63908" s="6"/>
      <c r="X63908" s="6"/>
      <c r="Y63908" s="6"/>
      <c r="Z63908" s="6"/>
      <c r="AA63908" s="6"/>
      <c r="AB63908" s="6"/>
      <c r="AC63908" s="6"/>
      <c r="AD63908" s="6"/>
      <c r="AE63908" s="6"/>
      <c r="AF63908" s="6"/>
      <c r="AG63908" s="6"/>
      <c r="AH63908" s="6"/>
      <c r="AI63908" s="6"/>
      <c r="AJ63908" s="6"/>
      <c r="AK63908" s="6"/>
      <c r="AL63908" s="6"/>
      <c r="AM63908" s="6"/>
    </row>
    <row r="63909" spans="2:39" ht="9.9499999999999993" hidden="1" customHeight="1" x14ac:dyDescent="0.2">
      <c r="B63909" s="6"/>
      <c r="C63909" s="6"/>
      <c r="D63909" s="6"/>
      <c r="E63909" s="6"/>
      <c r="F63909" s="6"/>
      <c r="G63909" s="6"/>
      <c r="H63909" s="6"/>
      <c r="I63909" s="6"/>
      <c r="J63909" s="6"/>
      <c r="K63909" s="6"/>
      <c r="L63909" s="6"/>
      <c r="M63909" s="6"/>
      <c r="N63909" s="6"/>
      <c r="O63909" s="6"/>
      <c r="P63909" s="6"/>
      <c r="Q63909" s="6"/>
      <c r="R63909" s="6"/>
      <c r="S63909" s="6"/>
      <c r="T63909" s="6"/>
      <c r="U63909" s="6"/>
      <c r="V63909" s="6"/>
      <c r="W63909" s="6"/>
      <c r="X63909" s="6"/>
      <c r="Y63909" s="6"/>
      <c r="Z63909" s="6"/>
      <c r="AA63909" s="6"/>
      <c r="AB63909" s="6"/>
      <c r="AC63909" s="6"/>
      <c r="AD63909" s="6"/>
      <c r="AE63909" s="6"/>
      <c r="AF63909" s="6"/>
      <c r="AG63909" s="6"/>
      <c r="AH63909" s="6"/>
      <c r="AI63909" s="6"/>
      <c r="AJ63909" s="6"/>
      <c r="AK63909" s="6"/>
      <c r="AL63909" s="6"/>
      <c r="AM63909" s="6"/>
    </row>
    <row r="63910" spans="2:39" ht="9.9499999999999993" hidden="1" customHeight="1" x14ac:dyDescent="0.2">
      <c r="B63910" s="6"/>
      <c r="C63910" s="6"/>
      <c r="D63910" s="6"/>
      <c r="E63910" s="6"/>
      <c r="F63910" s="6"/>
      <c r="G63910" s="6"/>
      <c r="H63910" s="6"/>
      <c r="I63910" s="6"/>
      <c r="J63910" s="6"/>
      <c r="K63910" s="6"/>
      <c r="L63910" s="6"/>
      <c r="M63910" s="6"/>
      <c r="N63910" s="6"/>
      <c r="O63910" s="6"/>
      <c r="P63910" s="6"/>
      <c r="Q63910" s="6"/>
      <c r="R63910" s="6"/>
      <c r="S63910" s="6"/>
      <c r="T63910" s="6"/>
      <c r="U63910" s="6"/>
      <c r="V63910" s="6"/>
      <c r="W63910" s="6"/>
      <c r="X63910" s="6"/>
      <c r="Y63910" s="6"/>
      <c r="Z63910" s="6"/>
      <c r="AA63910" s="6"/>
      <c r="AB63910" s="6"/>
      <c r="AC63910" s="6"/>
      <c r="AD63910" s="6"/>
      <c r="AE63910" s="6"/>
      <c r="AF63910" s="6"/>
      <c r="AG63910" s="6"/>
      <c r="AH63910" s="6"/>
      <c r="AI63910" s="6"/>
      <c r="AJ63910" s="6"/>
      <c r="AK63910" s="6"/>
      <c r="AL63910" s="6"/>
      <c r="AM63910" s="6"/>
    </row>
    <row r="63911" spans="2:39" ht="9.9499999999999993" hidden="1" customHeight="1" x14ac:dyDescent="0.2">
      <c r="B63911" s="6"/>
      <c r="C63911" s="6"/>
      <c r="D63911" s="6"/>
      <c r="E63911" s="6"/>
      <c r="F63911" s="6"/>
      <c r="G63911" s="6"/>
      <c r="H63911" s="6"/>
      <c r="I63911" s="6"/>
      <c r="J63911" s="6"/>
      <c r="K63911" s="6"/>
      <c r="L63911" s="6"/>
      <c r="M63911" s="6"/>
      <c r="N63911" s="6"/>
      <c r="O63911" s="6"/>
      <c r="P63911" s="6"/>
      <c r="Q63911" s="6"/>
      <c r="R63911" s="6"/>
      <c r="S63911" s="6"/>
      <c r="T63911" s="6"/>
      <c r="U63911" s="6"/>
      <c r="V63911" s="6"/>
      <c r="W63911" s="6"/>
      <c r="X63911" s="6"/>
      <c r="Y63911" s="6"/>
      <c r="Z63911" s="6"/>
      <c r="AA63911" s="6"/>
      <c r="AB63911" s="6"/>
      <c r="AC63911" s="6"/>
      <c r="AD63911" s="6"/>
      <c r="AE63911" s="6"/>
      <c r="AF63911" s="6"/>
      <c r="AG63911" s="6"/>
      <c r="AH63911" s="6"/>
      <c r="AI63911" s="6"/>
      <c r="AJ63911" s="6"/>
      <c r="AK63911" s="6"/>
      <c r="AL63911" s="6"/>
      <c r="AM63911" s="6"/>
    </row>
    <row r="63912" spans="2:39" ht="9.9499999999999993" hidden="1" customHeight="1" x14ac:dyDescent="0.2">
      <c r="B63912" s="6"/>
      <c r="C63912" s="6"/>
      <c r="D63912" s="6"/>
      <c r="E63912" s="6"/>
      <c r="F63912" s="6"/>
      <c r="G63912" s="6"/>
      <c r="H63912" s="6"/>
      <c r="I63912" s="6"/>
      <c r="J63912" s="6"/>
      <c r="K63912" s="6"/>
      <c r="L63912" s="6"/>
      <c r="M63912" s="6"/>
      <c r="N63912" s="6"/>
      <c r="O63912" s="6"/>
      <c r="P63912" s="6"/>
      <c r="Q63912" s="6"/>
      <c r="R63912" s="6"/>
      <c r="S63912" s="6"/>
      <c r="T63912" s="6"/>
      <c r="U63912" s="6"/>
      <c r="V63912" s="6"/>
      <c r="W63912" s="6"/>
      <c r="X63912" s="6"/>
      <c r="Y63912" s="6"/>
      <c r="Z63912" s="6"/>
      <c r="AA63912" s="6"/>
      <c r="AB63912" s="6"/>
      <c r="AC63912" s="6"/>
      <c r="AD63912" s="6"/>
      <c r="AE63912" s="6"/>
      <c r="AF63912" s="6"/>
      <c r="AG63912" s="6"/>
      <c r="AH63912" s="6"/>
      <c r="AI63912" s="6"/>
      <c r="AJ63912" s="6"/>
      <c r="AK63912" s="6"/>
      <c r="AL63912" s="6"/>
      <c r="AM63912" s="6"/>
    </row>
    <row r="63913" spans="2:39" ht="9.9499999999999993" hidden="1" customHeight="1" x14ac:dyDescent="0.2">
      <c r="B63913" s="6"/>
      <c r="C63913" s="6"/>
      <c r="D63913" s="6"/>
      <c r="E63913" s="6"/>
      <c r="F63913" s="6"/>
      <c r="G63913" s="6"/>
      <c r="H63913" s="6"/>
      <c r="I63913" s="6"/>
      <c r="J63913" s="6"/>
      <c r="K63913" s="6"/>
      <c r="L63913" s="6"/>
      <c r="M63913" s="6"/>
      <c r="N63913" s="6"/>
      <c r="O63913" s="6"/>
      <c r="P63913" s="6"/>
      <c r="Q63913" s="6"/>
      <c r="R63913" s="6"/>
      <c r="S63913" s="6"/>
      <c r="T63913" s="6"/>
      <c r="U63913" s="6"/>
      <c r="V63913" s="6"/>
      <c r="W63913" s="6"/>
      <c r="X63913" s="6"/>
      <c r="Y63913" s="6"/>
      <c r="Z63913" s="6"/>
      <c r="AA63913" s="6"/>
      <c r="AB63913" s="6"/>
      <c r="AC63913" s="6"/>
      <c r="AD63913" s="6"/>
      <c r="AE63913" s="6"/>
      <c r="AF63913" s="6"/>
      <c r="AG63913" s="6"/>
      <c r="AH63913" s="6"/>
      <c r="AI63913" s="6"/>
      <c r="AJ63913" s="6"/>
      <c r="AK63913" s="6"/>
      <c r="AL63913" s="6"/>
      <c r="AM63913" s="6"/>
    </row>
    <row r="63914" spans="2:39" ht="9.9499999999999993" hidden="1" customHeight="1" x14ac:dyDescent="0.2">
      <c r="B63914" s="6"/>
      <c r="C63914" s="6"/>
      <c r="D63914" s="6"/>
      <c r="E63914" s="6"/>
      <c r="F63914" s="6"/>
      <c r="G63914" s="6"/>
      <c r="H63914" s="6"/>
      <c r="I63914" s="6"/>
      <c r="J63914" s="6"/>
      <c r="K63914" s="6"/>
      <c r="L63914" s="6"/>
      <c r="M63914" s="6"/>
      <c r="N63914" s="6"/>
      <c r="O63914" s="6"/>
      <c r="P63914" s="6"/>
      <c r="Q63914" s="6"/>
      <c r="R63914" s="6"/>
      <c r="S63914" s="6"/>
      <c r="T63914" s="6"/>
      <c r="U63914" s="6"/>
      <c r="V63914" s="6"/>
      <c r="W63914" s="6"/>
      <c r="X63914" s="6"/>
      <c r="Y63914" s="6"/>
      <c r="Z63914" s="6"/>
      <c r="AA63914" s="6"/>
      <c r="AB63914" s="6"/>
      <c r="AC63914" s="6"/>
      <c r="AD63914" s="6"/>
      <c r="AE63914" s="6"/>
      <c r="AF63914" s="6"/>
      <c r="AG63914" s="6"/>
      <c r="AH63914" s="6"/>
      <c r="AI63914" s="6"/>
      <c r="AJ63914" s="6"/>
      <c r="AK63914" s="6"/>
      <c r="AL63914" s="6"/>
      <c r="AM63914" s="6"/>
    </row>
    <row r="63915" spans="2:39" ht="9.9499999999999993" hidden="1" customHeight="1" x14ac:dyDescent="0.2">
      <c r="B63915" s="6"/>
      <c r="C63915" s="6"/>
      <c r="D63915" s="6"/>
      <c r="E63915" s="6"/>
      <c r="F63915" s="6"/>
      <c r="G63915" s="6"/>
      <c r="H63915" s="6"/>
      <c r="I63915" s="6"/>
      <c r="J63915" s="6"/>
      <c r="K63915" s="6"/>
      <c r="L63915" s="6"/>
      <c r="M63915" s="6"/>
      <c r="N63915" s="6"/>
      <c r="O63915" s="6"/>
      <c r="P63915" s="6"/>
      <c r="Q63915" s="6"/>
      <c r="R63915" s="6"/>
      <c r="S63915" s="6"/>
      <c r="T63915" s="6"/>
      <c r="U63915" s="6"/>
      <c r="V63915" s="6"/>
      <c r="W63915" s="6"/>
      <c r="X63915" s="6"/>
      <c r="Y63915" s="6"/>
      <c r="Z63915" s="6"/>
      <c r="AA63915" s="6"/>
      <c r="AB63915" s="6"/>
      <c r="AC63915" s="6"/>
      <c r="AD63915" s="6"/>
      <c r="AE63915" s="6"/>
      <c r="AF63915" s="6"/>
      <c r="AG63915" s="6"/>
      <c r="AH63915" s="6"/>
      <c r="AI63915" s="6"/>
      <c r="AJ63915" s="6"/>
      <c r="AK63915" s="6"/>
      <c r="AL63915" s="6"/>
      <c r="AM63915" s="6"/>
    </row>
    <row r="63916" spans="2:39" ht="9.9499999999999993" hidden="1" customHeight="1" x14ac:dyDescent="0.2">
      <c r="B63916" s="6"/>
      <c r="C63916" s="6"/>
      <c r="D63916" s="6"/>
      <c r="E63916" s="6"/>
      <c r="F63916" s="6"/>
      <c r="G63916" s="6"/>
      <c r="H63916" s="6"/>
      <c r="I63916" s="6"/>
      <c r="J63916" s="6"/>
      <c r="K63916" s="6"/>
      <c r="L63916" s="6"/>
      <c r="M63916" s="6"/>
      <c r="N63916" s="6"/>
      <c r="O63916" s="6"/>
      <c r="P63916" s="6"/>
      <c r="Q63916" s="6"/>
      <c r="R63916" s="6"/>
      <c r="S63916" s="6"/>
      <c r="T63916" s="6"/>
      <c r="U63916" s="6"/>
      <c r="V63916" s="6"/>
      <c r="W63916" s="6"/>
      <c r="X63916" s="6"/>
      <c r="Y63916" s="6"/>
      <c r="Z63916" s="6"/>
      <c r="AA63916" s="6"/>
      <c r="AB63916" s="6"/>
      <c r="AC63916" s="6"/>
      <c r="AD63916" s="6"/>
      <c r="AE63916" s="6"/>
      <c r="AF63916" s="6"/>
      <c r="AG63916" s="6"/>
      <c r="AH63916" s="6"/>
      <c r="AI63916" s="6"/>
      <c r="AJ63916" s="6"/>
      <c r="AK63916" s="6"/>
      <c r="AL63916" s="6"/>
      <c r="AM63916" s="6"/>
    </row>
    <row r="63917" spans="2:39" ht="9.9499999999999993" hidden="1" customHeight="1" x14ac:dyDescent="0.2">
      <c r="B63917" s="6"/>
      <c r="C63917" s="6"/>
      <c r="D63917" s="6"/>
      <c r="E63917" s="6"/>
      <c r="F63917" s="6"/>
      <c r="G63917" s="6"/>
      <c r="H63917" s="6"/>
      <c r="I63917" s="6"/>
      <c r="J63917" s="6"/>
      <c r="K63917" s="6"/>
      <c r="L63917" s="6"/>
      <c r="M63917" s="6"/>
      <c r="N63917" s="6"/>
      <c r="O63917" s="6"/>
      <c r="P63917" s="6"/>
      <c r="Q63917" s="6"/>
      <c r="R63917" s="6"/>
      <c r="S63917" s="6"/>
      <c r="T63917" s="6"/>
      <c r="U63917" s="6"/>
      <c r="V63917" s="6"/>
      <c r="W63917" s="6"/>
      <c r="X63917" s="6"/>
      <c r="Y63917" s="6"/>
      <c r="Z63917" s="6"/>
      <c r="AA63917" s="6"/>
      <c r="AB63917" s="6"/>
      <c r="AC63917" s="6"/>
      <c r="AD63917" s="6"/>
      <c r="AE63917" s="6"/>
      <c r="AF63917" s="6"/>
      <c r="AG63917" s="6"/>
      <c r="AH63917" s="6"/>
      <c r="AI63917" s="6"/>
      <c r="AJ63917" s="6"/>
      <c r="AK63917" s="6"/>
      <c r="AL63917" s="6"/>
      <c r="AM63917" s="6"/>
    </row>
    <row r="63918" spans="2:39" ht="9.9499999999999993" hidden="1" customHeight="1" x14ac:dyDescent="0.2">
      <c r="B63918" s="6"/>
      <c r="C63918" s="6"/>
      <c r="D63918" s="6"/>
      <c r="E63918" s="6"/>
      <c r="F63918" s="6"/>
      <c r="G63918" s="6"/>
      <c r="H63918" s="6"/>
      <c r="I63918" s="6"/>
      <c r="J63918" s="6"/>
      <c r="K63918" s="6"/>
      <c r="L63918" s="6"/>
      <c r="M63918" s="6"/>
      <c r="N63918" s="6"/>
      <c r="O63918" s="6"/>
      <c r="P63918" s="6"/>
      <c r="Q63918" s="6"/>
      <c r="R63918" s="6"/>
      <c r="S63918" s="6"/>
      <c r="T63918" s="6"/>
      <c r="U63918" s="6"/>
      <c r="V63918" s="6"/>
      <c r="W63918" s="6"/>
      <c r="X63918" s="6"/>
      <c r="Y63918" s="6"/>
      <c r="Z63918" s="6"/>
      <c r="AA63918" s="6"/>
      <c r="AB63918" s="6"/>
      <c r="AC63918" s="6"/>
      <c r="AD63918" s="6"/>
      <c r="AE63918" s="6"/>
      <c r="AF63918" s="6"/>
      <c r="AG63918" s="6"/>
      <c r="AH63918" s="6"/>
      <c r="AI63918" s="6"/>
      <c r="AJ63918" s="6"/>
      <c r="AK63918" s="6"/>
      <c r="AL63918" s="6"/>
      <c r="AM63918" s="6"/>
    </row>
    <row r="63919" spans="2:39" ht="9.9499999999999993" hidden="1" customHeight="1" x14ac:dyDescent="0.2">
      <c r="B63919" s="6"/>
      <c r="C63919" s="6"/>
      <c r="D63919" s="6"/>
      <c r="E63919" s="6"/>
      <c r="F63919" s="6"/>
      <c r="G63919" s="6"/>
      <c r="H63919" s="6"/>
      <c r="I63919" s="6"/>
      <c r="J63919" s="6"/>
      <c r="K63919" s="6"/>
      <c r="L63919" s="6"/>
      <c r="M63919" s="6"/>
      <c r="N63919" s="6"/>
      <c r="O63919" s="6"/>
      <c r="P63919" s="6"/>
      <c r="Q63919" s="6"/>
      <c r="R63919" s="6"/>
      <c r="S63919" s="6"/>
      <c r="T63919" s="6"/>
      <c r="U63919" s="6"/>
      <c r="V63919" s="6"/>
      <c r="W63919" s="6"/>
      <c r="X63919" s="6"/>
      <c r="Y63919" s="6"/>
      <c r="Z63919" s="6"/>
      <c r="AA63919" s="6"/>
      <c r="AB63919" s="6"/>
      <c r="AC63919" s="6"/>
      <c r="AD63919" s="6"/>
      <c r="AE63919" s="6"/>
      <c r="AF63919" s="6"/>
      <c r="AG63919" s="6"/>
      <c r="AH63919" s="6"/>
      <c r="AI63919" s="6"/>
      <c r="AJ63919" s="6"/>
      <c r="AK63919" s="6"/>
      <c r="AL63919" s="6"/>
      <c r="AM63919" s="6"/>
    </row>
    <row r="63920" spans="2:39" ht="9.9499999999999993" hidden="1" customHeight="1" x14ac:dyDescent="0.2">
      <c r="B63920" s="6"/>
      <c r="C63920" s="6"/>
      <c r="D63920" s="6"/>
      <c r="E63920" s="6"/>
      <c r="F63920" s="6"/>
      <c r="G63920" s="6"/>
      <c r="H63920" s="6"/>
      <c r="I63920" s="6"/>
      <c r="J63920" s="6"/>
      <c r="K63920" s="6"/>
      <c r="L63920" s="6"/>
      <c r="M63920" s="6"/>
      <c r="N63920" s="6"/>
      <c r="O63920" s="6"/>
      <c r="P63920" s="6"/>
      <c r="Q63920" s="6"/>
      <c r="R63920" s="6"/>
      <c r="S63920" s="6"/>
      <c r="T63920" s="6"/>
      <c r="U63920" s="6"/>
      <c r="V63920" s="6"/>
      <c r="W63920" s="6"/>
      <c r="X63920" s="6"/>
      <c r="Y63920" s="6"/>
      <c r="Z63920" s="6"/>
      <c r="AA63920" s="6"/>
      <c r="AB63920" s="6"/>
      <c r="AC63920" s="6"/>
      <c r="AD63920" s="6"/>
      <c r="AE63920" s="6"/>
      <c r="AF63920" s="6"/>
      <c r="AG63920" s="6"/>
      <c r="AH63920" s="6"/>
      <c r="AI63920" s="6"/>
      <c r="AJ63920" s="6"/>
      <c r="AK63920" s="6"/>
      <c r="AL63920" s="6"/>
      <c r="AM63920" s="6"/>
    </row>
    <row r="63921" spans="2:39" ht="9.9499999999999993" hidden="1" customHeight="1" x14ac:dyDescent="0.2">
      <c r="B63921" s="6"/>
      <c r="C63921" s="6"/>
      <c r="D63921" s="6"/>
      <c r="E63921" s="6"/>
      <c r="F63921" s="6"/>
      <c r="G63921" s="6"/>
      <c r="H63921" s="6"/>
      <c r="I63921" s="6"/>
      <c r="J63921" s="6"/>
      <c r="K63921" s="6"/>
      <c r="L63921" s="6"/>
      <c r="M63921" s="6"/>
      <c r="N63921" s="6"/>
      <c r="O63921" s="6"/>
      <c r="P63921" s="6"/>
      <c r="Q63921" s="6"/>
      <c r="R63921" s="6"/>
      <c r="S63921" s="6"/>
      <c r="T63921" s="6"/>
      <c r="U63921" s="6"/>
      <c r="V63921" s="6"/>
      <c r="W63921" s="6"/>
      <c r="X63921" s="6"/>
      <c r="Y63921" s="6"/>
      <c r="Z63921" s="6"/>
      <c r="AA63921" s="6"/>
      <c r="AB63921" s="6"/>
      <c r="AC63921" s="6"/>
      <c r="AD63921" s="6"/>
      <c r="AE63921" s="6"/>
      <c r="AF63921" s="6"/>
      <c r="AG63921" s="6"/>
      <c r="AH63921" s="6"/>
      <c r="AI63921" s="6"/>
      <c r="AJ63921" s="6"/>
      <c r="AK63921" s="6"/>
      <c r="AL63921" s="6"/>
      <c r="AM63921" s="6"/>
    </row>
    <row r="63922" spans="2:39" ht="9.9499999999999993" hidden="1" customHeight="1" x14ac:dyDescent="0.2">
      <c r="B63922" s="6"/>
      <c r="C63922" s="6"/>
      <c r="D63922" s="6"/>
      <c r="E63922" s="6"/>
      <c r="F63922" s="6"/>
      <c r="G63922" s="6"/>
      <c r="H63922" s="6"/>
      <c r="I63922" s="6"/>
      <c r="J63922" s="6"/>
      <c r="K63922" s="6"/>
      <c r="L63922" s="6"/>
      <c r="M63922" s="6"/>
      <c r="N63922" s="6"/>
      <c r="O63922" s="6"/>
      <c r="P63922" s="6"/>
      <c r="Q63922" s="6"/>
      <c r="R63922" s="6"/>
      <c r="S63922" s="6"/>
      <c r="T63922" s="6"/>
      <c r="U63922" s="6"/>
      <c r="V63922" s="6"/>
      <c r="W63922" s="6"/>
      <c r="X63922" s="6"/>
      <c r="Y63922" s="6"/>
      <c r="Z63922" s="6"/>
      <c r="AA63922" s="6"/>
      <c r="AB63922" s="6"/>
      <c r="AC63922" s="6"/>
      <c r="AD63922" s="6"/>
      <c r="AE63922" s="6"/>
      <c r="AF63922" s="6"/>
      <c r="AG63922" s="6"/>
      <c r="AH63922" s="6"/>
      <c r="AI63922" s="6"/>
      <c r="AJ63922" s="6"/>
      <c r="AK63922" s="6"/>
      <c r="AL63922" s="6"/>
      <c r="AM63922" s="6"/>
    </row>
    <row r="63923" spans="2:39" ht="9.9499999999999993" hidden="1" customHeight="1" x14ac:dyDescent="0.2">
      <c r="B63923" s="6"/>
      <c r="C63923" s="6"/>
      <c r="D63923" s="6"/>
      <c r="E63923" s="6"/>
      <c r="F63923" s="6"/>
      <c r="G63923" s="6"/>
      <c r="H63923" s="6"/>
      <c r="I63923" s="6"/>
      <c r="J63923" s="6"/>
      <c r="K63923" s="6"/>
      <c r="L63923" s="6"/>
      <c r="M63923" s="6"/>
      <c r="N63923" s="6"/>
      <c r="O63923" s="6"/>
      <c r="P63923" s="6"/>
      <c r="Q63923" s="6"/>
      <c r="R63923" s="6"/>
      <c r="S63923" s="6"/>
      <c r="T63923" s="6"/>
      <c r="U63923" s="6"/>
      <c r="V63923" s="6"/>
      <c r="W63923" s="6"/>
      <c r="X63923" s="6"/>
      <c r="Y63923" s="6"/>
      <c r="Z63923" s="6"/>
      <c r="AA63923" s="6"/>
      <c r="AB63923" s="6"/>
      <c r="AC63923" s="6"/>
      <c r="AD63923" s="6"/>
      <c r="AE63923" s="6"/>
      <c r="AF63923" s="6"/>
      <c r="AG63923" s="6"/>
      <c r="AH63923" s="6"/>
      <c r="AI63923" s="6"/>
      <c r="AJ63923" s="6"/>
      <c r="AK63923" s="6"/>
      <c r="AL63923" s="6"/>
      <c r="AM63923" s="6"/>
    </row>
    <row r="63924" spans="2:39" ht="9.9499999999999993" hidden="1" customHeight="1" x14ac:dyDescent="0.2">
      <c r="B63924" s="6"/>
      <c r="C63924" s="6"/>
      <c r="D63924" s="6"/>
      <c r="E63924" s="6"/>
      <c r="F63924" s="6"/>
      <c r="G63924" s="6"/>
      <c r="H63924" s="6"/>
      <c r="I63924" s="6"/>
      <c r="J63924" s="6"/>
      <c r="K63924" s="6"/>
      <c r="L63924" s="6"/>
      <c r="M63924" s="6"/>
      <c r="N63924" s="6"/>
      <c r="O63924" s="6"/>
      <c r="P63924" s="6"/>
      <c r="Q63924" s="6"/>
      <c r="R63924" s="6"/>
      <c r="S63924" s="6"/>
      <c r="T63924" s="6"/>
      <c r="U63924" s="6"/>
      <c r="V63924" s="6"/>
      <c r="W63924" s="6"/>
      <c r="X63924" s="6"/>
      <c r="Y63924" s="6"/>
      <c r="Z63924" s="6"/>
      <c r="AA63924" s="6"/>
      <c r="AB63924" s="6"/>
      <c r="AC63924" s="6"/>
      <c r="AD63924" s="6"/>
      <c r="AE63924" s="6"/>
      <c r="AF63924" s="6"/>
      <c r="AG63924" s="6"/>
      <c r="AH63924" s="6"/>
      <c r="AI63924" s="6"/>
      <c r="AJ63924" s="6"/>
      <c r="AK63924" s="6"/>
      <c r="AL63924" s="6"/>
      <c r="AM63924" s="6"/>
    </row>
    <row r="63925" spans="2:39" ht="9.9499999999999993" hidden="1" customHeight="1" x14ac:dyDescent="0.2">
      <c r="B63925" s="6"/>
      <c r="C63925" s="6"/>
      <c r="D63925" s="6"/>
      <c r="E63925" s="6"/>
      <c r="F63925" s="6"/>
      <c r="G63925" s="6"/>
      <c r="H63925" s="6"/>
      <c r="I63925" s="6"/>
      <c r="J63925" s="6"/>
      <c r="K63925" s="6"/>
      <c r="L63925" s="6"/>
      <c r="M63925" s="6"/>
      <c r="N63925" s="6"/>
      <c r="O63925" s="6"/>
      <c r="P63925" s="6"/>
      <c r="Q63925" s="6"/>
      <c r="R63925" s="6"/>
      <c r="S63925" s="6"/>
      <c r="T63925" s="6"/>
      <c r="U63925" s="6"/>
      <c r="V63925" s="6"/>
      <c r="W63925" s="6"/>
      <c r="X63925" s="6"/>
      <c r="Y63925" s="6"/>
      <c r="Z63925" s="6"/>
      <c r="AA63925" s="6"/>
      <c r="AB63925" s="6"/>
      <c r="AC63925" s="6"/>
      <c r="AD63925" s="6"/>
      <c r="AE63925" s="6"/>
      <c r="AF63925" s="6"/>
      <c r="AG63925" s="6"/>
      <c r="AH63925" s="6"/>
      <c r="AI63925" s="6"/>
      <c r="AJ63925" s="6"/>
      <c r="AK63925" s="6"/>
      <c r="AL63925" s="6"/>
      <c r="AM63925" s="6"/>
    </row>
    <row r="63926" spans="2:39" ht="9.9499999999999993" hidden="1" customHeight="1" x14ac:dyDescent="0.2">
      <c r="B63926" s="6"/>
      <c r="C63926" s="6"/>
      <c r="D63926" s="6"/>
      <c r="E63926" s="6"/>
      <c r="F63926" s="6"/>
      <c r="G63926" s="6"/>
      <c r="H63926" s="6"/>
      <c r="I63926" s="6"/>
      <c r="J63926" s="6"/>
      <c r="K63926" s="6"/>
      <c r="L63926" s="6"/>
      <c r="M63926" s="6"/>
      <c r="N63926" s="6"/>
      <c r="O63926" s="6"/>
      <c r="P63926" s="6"/>
      <c r="Q63926" s="6"/>
      <c r="R63926" s="6"/>
      <c r="S63926" s="6"/>
      <c r="T63926" s="6"/>
      <c r="U63926" s="6"/>
      <c r="V63926" s="6"/>
      <c r="W63926" s="6"/>
      <c r="X63926" s="6"/>
      <c r="Y63926" s="6"/>
      <c r="Z63926" s="6"/>
      <c r="AA63926" s="6"/>
      <c r="AB63926" s="6"/>
      <c r="AC63926" s="6"/>
      <c r="AD63926" s="6"/>
      <c r="AE63926" s="6"/>
      <c r="AF63926" s="6"/>
      <c r="AG63926" s="6"/>
      <c r="AH63926" s="6"/>
      <c r="AI63926" s="6"/>
      <c r="AJ63926" s="6"/>
      <c r="AK63926" s="6"/>
      <c r="AL63926" s="6"/>
      <c r="AM63926" s="6"/>
    </row>
    <row r="63927" spans="2:39" ht="9.9499999999999993" hidden="1" customHeight="1" x14ac:dyDescent="0.2">
      <c r="B63927" s="6"/>
      <c r="C63927" s="6"/>
      <c r="D63927" s="6"/>
      <c r="E63927" s="6"/>
      <c r="F63927" s="6"/>
      <c r="G63927" s="6"/>
      <c r="H63927" s="6"/>
      <c r="I63927" s="6"/>
      <c r="J63927" s="6"/>
      <c r="K63927" s="6"/>
      <c r="L63927" s="6"/>
      <c r="M63927" s="6"/>
      <c r="N63927" s="6"/>
      <c r="O63927" s="6"/>
      <c r="P63927" s="6"/>
      <c r="Q63927" s="6"/>
      <c r="R63927" s="6"/>
      <c r="S63927" s="6"/>
      <c r="T63927" s="6"/>
      <c r="U63927" s="6"/>
      <c r="V63927" s="6"/>
      <c r="W63927" s="6"/>
      <c r="X63927" s="6"/>
      <c r="Y63927" s="6"/>
      <c r="Z63927" s="6"/>
      <c r="AA63927" s="6"/>
      <c r="AB63927" s="6"/>
      <c r="AC63927" s="6"/>
      <c r="AD63927" s="6"/>
      <c r="AE63927" s="6"/>
      <c r="AF63927" s="6"/>
      <c r="AG63927" s="6"/>
      <c r="AH63927" s="6"/>
      <c r="AI63927" s="6"/>
      <c r="AJ63927" s="6"/>
      <c r="AK63927" s="6"/>
      <c r="AL63927" s="6"/>
      <c r="AM63927" s="6"/>
    </row>
    <row r="63928" spans="2:39" ht="9.9499999999999993" hidden="1" customHeight="1" x14ac:dyDescent="0.2">
      <c r="B63928" s="6"/>
      <c r="C63928" s="6"/>
      <c r="D63928" s="6"/>
      <c r="E63928" s="6"/>
      <c r="F63928" s="6"/>
      <c r="G63928" s="6"/>
      <c r="H63928" s="6"/>
      <c r="I63928" s="6"/>
      <c r="J63928" s="6"/>
      <c r="K63928" s="6"/>
      <c r="L63928" s="6"/>
      <c r="M63928" s="6"/>
      <c r="N63928" s="6"/>
      <c r="O63928" s="6"/>
      <c r="P63928" s="6"/>
      <c r="Q63928" s="6"/>
      <c r="R63928" s="6"/>
      <c r="S63928" s="6"/>
      <c r="T63928" s="6"/>
      <c r="U63928" s="6"/>
      <c r="V63928" s="6"/>
      <c r="W63928" s="6"/>
      <c r="X63928" s="6"/>
      <c r="Y63928" s="6"/>
      <c r="Z63928" s="6"/>
      <c r="AA63928" s="6"/>
      <c r="AB63928" s="6"/>
      <c r="AC63928" s="6"/>
      <c r="AD63928" s="6"/>
      <c r="AE63928" s="6"/>
      <c r="AF63928" s="6"/>
      <c r="AG63928" s="6"/>
      <c r="AH63928" s="6"/>
      <c r="AI63928" s="6"/>
      <c r="AJ63928" s="6"/>
      <c r="AK63928" s="6"/>
      <c r="AL63928" s="6"/>
      <c r="AM63928" s="6"/>
    </row>
    <row r="63929" spans="2:39" ht="9.9499999999999993" hidden="1" customHeight="1" x14ac:dyDescent="0.2">
      <c r="B63929" s="6"/>
      <c r="C63929" s="6"/>
      <c r="D63929" s="6"/>
      <c r="E63929" s="6"/>
      <c r="F63929" s="6"/>
      <c r="G63929" s="6"/>
      <c r="H63929" s="6"/>
      <c r="I63929" s="6"/>
      <c r="J63929" s="6"/>
      <c r="K63929" s="6"/>
      <c r="L63929" s="6"/>
      <c r="M63929" s="6"/>
      <c r="N63929" s="6"/>
      <c r="O63929" s="6"/>
      <c r="P63929" s="6"/>
      <c r="Q63929" s="6"/>
      <c r="R63929" s="6"/>
      <c r="S63929" s="6"/>
      <c r="T63929" s="6"/>
      <c r="U63929" s="6"/>
      <c r="V63929" s="6"/>
      <c r="W63929" s="6"/>
      <c r="X63929" s="6"/>
      <c r="Y63929" s="6"/>
      <c r="Z63929" s="6"/>
      <c r="AA63929" s="6"/>
      <c r="AB63929" s="6"/>
      <c r="AC63929" s="6"/>
      <c r="AD63929" s="6"/>
      <c r="AE63929" s="6"/>
      <c r="AF63929" s="6"/>
      <c r="AG63929" s="6"/>
      <c r="AH63929" s="6"/>
      <c r="AI63929" s="6"/>
      <c r="AJ63929" s="6"/>
      <c r="AK63929" s="6"/>
      <c r="AL63929" s="6"/>
      <c r="AM63929" s="6"/>
    </row>
    <row r="63930" spans="2:39" ht="9.9499999999999993" hidden="1" customHeight="1" x14ac:dyDescent="0.2">
      <c r="B63930" s="6"/>
      <c r="C63930" s="6"/>
      <c r="D63930" s="6"/>
      <c r="E63930" s="6"/>
      <c r="F63930" s="6"/>
      <c r="G63930" s="6"/>
      <c r="H63930" s="6"/>
      <c r="I63930" s="6"/>
      <c r="J63930" s="6"/>
      <c r="K63930" s="6"/>
      <c r="L63930" s="6"/>
      <c r="M63930" s="6"/>
      <c r="N63930" s="6"/>
      <c r="O63930" s="6"/>
      <c r="P63930" s="6"/>
      <c r="Q63930" s="6"/>
      <c r="R63930" s="6"/>
      <c r="S63930" s="6"/>
      <c r="T63930" s="6"/>
      <c r="U63930" s="6"/>
      <c r="V63930" s="6"/>
      <c r="W63930" s="6"/>
      <c r="X63930" s="6"/>
      <c r="Y63930" s="6"/>
      <c r="Z63930" s="6"/>
      <c r="AA63930" s="6"/>
      <c r="AB63930" s="6"/>
      <c r="AC63930" s="6"/>
      <c r="AD63930" s="6"/>
      <c r="AE63930" s="6"/>
      <c r="AF63930" s="6"/>
      <c r="AG63930" s="6"/>
      <c r="AH63930" s="6"/>
      <c r="AI63930" s="6"/>
      <c r="AJ63930" s="6"/>
      <c r="AK63930" s="6"/>
      <c r="AL63930" s="6"/>
      <c r="AM63930" s="6"/>
    </row>
    <row r="63931" spans="2:39" ht="9.9499999999999993" hidden="1" customHeight="1" x14ac:dyDescent="0.2">
      <c r="B63931" s="6"/>
      <c r="C63931" s="6"/>
      <c r="D63931" s="6"/>
      <c r="E63931" s="6"/>
      <c r="F63931" s="6"/>
      <c r="G63931" s="6"/>
      <c r="H63931" s="6"/>
      <c r="I63931" s="6"/>
      <c r="J63931" s="6"/>
      <c r="K63931" s="6"/>
      <c r="L63931" s="6"/>
      <c r="M63931" s="6"/>
      <c r="N63931" s="6"/>
      <c r="O63931" s="6"/>
      <c r="P63931" s="6"/>
      <c r="Q63931" s="6"/>
      <c r="R63931" s="6"/>
      <c r="S63931" s="6"/>
      <c r="T63931" s="6"/>
      <c r="U63931" s="6"/>
      <c r="V63931" s="6"/>
      <c r="W63931" s="6"/>
      <c r="X63931" s="6"/>
      <c r="Y63931" s="6"/>
      <c r="Z63931" s="6"/>
      <c r="AA63931" s="6"/>
      <c r="AB63931" s="6"/>
      <c r="AC63931" s="6"/>
      <c r="AD63931" s="6"/>
      <c r="AE63931" s="6"/>
      <c r="AF63931" s="6"/>
      <c r="AG63931" s="6"/>
      <c r="AH63931" s="6"/>
      <c r="AI63931" s="6"/>
      <c r="AJ63931" s="6"/>
      <c r="AK63931" s="6"/>
      <c r="AL63931" s="6"/>
      <c r="AM63931" s="6"/>
    </row>
    <row r="63932" spans="2:39" ht="9.9499999999999993" hidden="1" customHeight="1" x14ac:dyDescent="0.2">
      <c r="B63932" s="6"/>
      <c r="C63932" s="6"/>
      <c r="D63932" s="6"/>
      <c r="E63932" s="6"/>
      <c r="F63932" s="6"/>
      <c r="G63932" s="6"/>
      <c r="H63932" s="6"/>
      <c r="I63932" s="6"/>
      <c r="J63932" s="6"/>
      <c r="K63932" s="6"/>
      <c r="L63932" s="6"/>
      <c r="M63932" s="6"/>
      <c r="N63932" s="6"/>
      <c r="O63932" s="6"/>
      <c r="P63932" s="6"/>
      <c r="Q63932" s="6"/>
      <c r="R63932" s="6"/>
      <c r="S63932" s="6"/>
      <c r="T63932" s="6"/>
      <c r="U63932" s="6"/>
      <c r="V63932" s="6"/>
      <c r="W63932" s="6"/>
      <c r="X63932" s="6"/>
      <c r="Y63932" s="6"/>
      <c r="Z63932" s="6"/>
      <c r="AA63932" s="6"/>
      <c r="AB63932" s="6"/>
      <c r="AC63932" s="6"/>
      <c r="AD63932" s="6"/>
      <c r="AE63932" s="6"/>
      <c r="AF63932" s="6"/>
      <c r="AG63932" s="6"/>
      <c r="AH63932" s="6"/>
      <c r="AI63932" s="6"/>
      <c r="AJ63932" s="6"/>
      <c r="AK63932" s="6"/>
      <c r="AL63932" s="6"/>
      <c r="AM63932" s="6"/>
    </row>
    <row r="63933" spans="2:39" ht="9.9499999999999993" hidden="1" customHeight="1" x14ac:dyDescent="0.2">
      <c r="B63933" s="6"/>
      <c r="C63933" s="6"/>
      <c r="D63933" s="6"/>
      <c r="E63933" s="6"/>
      <c r="F63933" s="6"/>
      <c r="G63933" s="6"/>
      <c r="H63933" s="6"/>
      <c r="I63933" s="6"/>
      <c r="J63933" s="6"/>
      <c r="K63933" s="6"/>
      <c r="L63933" s="6"/>
      <c r="M63933" s="6"/>
      <c r="N63933" s="6"/>
      <c r="O63933" s="6"/>
      <c r="P63933" s="6"/>
      <c r="Q63933" s="6"/>
      <c r="R63933" s="6"/>
      <c r="S63933" s="6"/>
      <c r="T63933" s="6"/>
      <c r="U63933" s="6"/>
      <c r="V63933" s="6"/>
      <c r="W63933" s="6"/>
      <c r="X63933" s="6"/>
      <c r="Y63933" s="6"/>
      <c r="Z63933" s="6"/>
      <c r="AA63933" s="6"/>
      <c r="AB63933" s="6"/>
      <c r="AC63933" s="6"/>
      <c r="AD63933" s="6"/>
      <c r="AE63933" s="6"/>
      <c r="AF63933" s="6"/>
      <c r="AG63933" s="6"/>
      <c r="AH63933" s="6"/>
      <c r="AI63933" s="6"/>
      <c r="AJ63933" s="6"/>
      <c r="AK63933" s="6"/>
      <c r="AL63933" s="6"/>
      <c r="AM63933" s="6"/>
    </row>
    <row r="63934" spans="2:39" ht="9.9499999999999993" hidden="1" customHeight="1" x14ac:dyDescent="0.2">
      <c r="B63934" s="6"/>
      <c r="C63934" s="6"/>
      <c r="D63934" s="6"/>
      <c r="E63934" s="6"/>
      <c r="F63934" s="6"/>
      <c r="G63934" s="6"/>
      <c r="H63934" s="6"/>
      <c r="I63934" s="6"/>
      <c r="J63934" s="6"/>
      <c r="K63934" s="6"/>
      <c r="L63934" s="6"/>
      <c r="M63934" s="6"/>
      <c r="N63934" s="6"/>
      <c r="O63934" s="6"/>
      <c r="P63934" s="6"/>
      <c r="Q63934" s="6"/>
      <c r="R63934" s="6"/>
      <c r="S63934" s="6"/>
      <c r="T63934" s="6"/>
      <c r="U63934" s="6"/>
      <c r="V63934" s="6"/>
      <c r="W63934" s="6"/>
      <c r="X63934" s="6"/>
      <c r="Y63934" s="6"/>
      <c r="Z63934" s="6"/>
      <c r="AA63934" s="6"/>
      <c r="AB63934" s="6"/>
      <c r="AC63934" s="6"/>
      <c r="AD63934" s="6"/>
      <c r="AE63934" s="6"/>
      <c r="AF63934" s="6"/>
      <c r="AG63934" s="6"/>
      <c r="AH63934" s="6"/>
      <c r="AI63934" s="6"/>
      <c r="AJ63934" s="6"/>
      <c r="AK63934" s="6"/>
      <c r="AL63934" s="6"/>
      <c r="AM63934" s="6"/>
    </row>
    <row r="63935" spans="2:39" ht="9.9499999999999993" hidden="1" customHeight="1" x14ac:dyDescent="0.2">
      <c r="B63935" s="6"/>
      <c r="C63935" s="6"/>
      <c r="D63935" s="6"/>
      <c r="E63935" s="6"/>
      <c r="F63935" s="6"/>
      <c r="G63935" s="6"/>
      <c r="H63935" s="6"/>
      <c r="I63935" s="6"/>
      <c r="J63935" s="6"/>
      <c r="K63935" s="6"/>
      <c r="L63935" s="6"/>
      <c r="M63935" s="6"/>
      <c r="N63935" s="6"/>
      <c r="O63935" s="6"/>
      <c r="P63935" s="6"/>
      <c r="Q63935" s="6"/>
      <c r="R63935" s="6"/>
      <c r="S63935" s="6"/>
      <c r="T63935" s="6"/>
      <c r="U63935" s="6"/>
      <c r="V63935" s="6"/>
      <c r="W63935" s="6"/>
      <c r="X63935" s="6"/>
      <c r="Y63935" s="6"/>
      <c r="Z63935" s="6"/>
      <c r="AA63935" s="6"/>
      <c r="AB63935" s="6"/>
      <c r="AC63935" s="6"/>
      <c r="AD63935" s="6"/>
      <c r="AE63935" s="6"/>
      <c r="AF63935" s="6"/>
      <c r="AG63935" s="6"/>
      <c r="AH63935" s="6"/>
      <c r="AI63935" s="6"/>
      <c r="AJ63935" s="6"/>
      <c r="AK63935" s="6"/>
      <c r="AL63935" s="6"/>
      <c r="AM63935" s="6"/>
    </row>
    <row r="63936" spans="2:39" ht="9.9499999999999993" hidden="1" customHeight="1" x14ac:dyDescent="0.2">
      <c r="B63936" s="6"/>
      <c r="C63936" s="6"/>
      <c r="D63936" s="6"/>
      <c r="E63936" s="6"/>
      <c r="F63936" s="6"/>
      <c r="G63936" s="6"/>
      <c r="H63936" s="6"/>
      <c r="I63936" s="6"/>
      <c r="J63936" s="6"/>
      <c r="K63936" s="6"/>
      <c r="L63936" s="6"/>
      <c r="M63936" s="6"/>
      <c r="N63936" s="6"/>
      <c r="O63936" s="6"/>
      <c r="P63936" s="6"/>
      <c r="Q63936" s="6"/>
      <c r="R63936" s="6"/>
      <c r="S63936" s="6"/>
      <c r="T63936" s="6"/>
      <c r="U63936" s="6"/>
      <c r="V63936" s="6"/>
      <c r="W63936" s="6"/>
      <c r="X63936" s="6"/>
      <c r="Y63936" s="6"/>
      <c r="Z63936" s="6"/>
      <c r="AA63936" s="6"/>
      <c r="AB63936" s="6"/>
      <c r="AC63936" s="6"/>
      <c r="AD63936" s="6"/>
      <c r="AE63936" s="6"/>
      <c r="AF63936" s="6"/>
      <c r="AG63936" s="6"/>
      <c r="AH63936" s="6"/>
      <c r="AI63936" s="6"/>
      <c r="AJ63936" s="6"/>
      <c r="AK63936" s="6"/>
      <c r="AL63936" s="6"/>
      <c r="AM63936" s="6"/>
    </row>
    <row r="63937" spans="2:39" ht="9.9499999999999993" hidden="1" customHeight="1" x14ac:dyDescent="0.2">
      <c r="B63937" s="6"/>
      <c r="C63937" s="6"/>
      <c r="D63937" s="6"/>
      <c r="E63937" s="6"/>
      <c r="F63937" s="6"/>
      <c r="G63937" s="6"/>
      <c r="H63937" s="6"/>
      <c r="I63937" s="6"/>
      <c r="J63937" s="6"/>
      <c r="K63937" s="6"/>
      <c r="L63937" s="6"/>
      <c r="M63937" s="6"/>
      <c r="N63937" s="6"/>
      <c r="O63937" s="6"/>
      <c r="P63937" s="6"/>
      <c r="Q63937" s="6"/>
      <c r="R63937" s="6"/>
      <c r="S63937" s="6"/>
      <c r="T63937" s="6"/>
      <c r="U63937" s="6"/>
      <c r="V63937" s="6"/>
      <c r="W63937" s="6"/>
      <c r="X63937" s="6"/>
      <c r="Y63937" s="6"/>
      <c r="Z63937" s="6"/>
      <c r="AA63937" s="6"/>
      <c r="AB63937" s="6"/>
      <c r="AC63937" s="6"/>
      <c r="AD63937" s="6"/>
      <c r="AE63937" s="6"/>
      <c r="AF63937" s="6"/>
      <c r="AG63937" s="6"/>
      <c r="AH63937" s="6"/>
      <c r="AI63937" s="6"/>
      <c r="AJ63937" s="6"/>
      <c r="AK63937" s="6"/>
      <c r="AL63937" s="6"/>
      <c r="AM63937" s="6"/>
    </row>
    <row r="63938" spans="2:39" ht="9.9499999999999993" hidden="1" customHeight="1" x14ac:dyDescent="0.2">
      <c r="B63938" s="6"/>
      <c r="C63938" s="6"/>
      <c r="D63938" s="6"/>
      <c r="E63938" s="6"/>
      <c r="F63938" s="6"/>
      <c r="G63938" s="6"/>
      <c r="H63938" s="6"/>
      <c r="I63938" s="6"/>
      <c r="J63938" s="6"/>
      <c r="K63938" s="6"/>
      <c r="L63938" s="6"/>
      <c r="M63938" s="6"/>
      <c r="N63938" s="6"/>
      <c r="O63938" s="6"/>
      <c r="P63938" s="6"/>
      <c r="Q63938" s="6"/>
      <c r="R63938" s="6"/>
      <c r="S63938" s="6"/>
      <c r="T63938" s="6"/>
      <c r="U63938" s="6"/>
      <c r="V63938" s="6"/>
      <c r="W63938" s="6"/>
      <c r="X63938" s="6"/>
      <c r="Y63938" s="6"/>
      <c r="Z63938" s="6"/>
      <c r="AA63938" s="6"/>
      <c r="AB63938" s="6"/>
      <c r="AC63938" s="6"/>
      <c r="AD63938" s="6"/>
      <c r="AE63938" s="6"/>
      <c r="AF63938" s="6"/>
      <c r="AG63938" s="6"/>
      <c r="AH63938" s="6"/>
      <c r="AI63938" s="6"/>
      <c r="AJ63938" s="6"/>
      <c r="AK63938" s="6"/>
      <c r="AL63938" s="6"/>
      <c r="AM63938" s="6"/>
    </row>
    <row r="63939" spans="2:39" ht="9.9499999999999993" hidden="1" customHeight="1" x14ac:dyDescent="0.2">
      <c r="B63939" s="6"/>
      <c r="C63939" s="6"/>
      <c r="D63939" s="6"/>
      <c r="E63939" s="6"/>
      <c r="F63939" s="6"/>
      <c r="G63939" s="6"/>
      <c r="H63939" s="6"/>
      <c r="I63939" s="6"/>
      <c r="J63939" s="6"/>
      <c r="K63939" s="6"/>
      <c r="L63939" s="6"/>
      <c r="M63939" s="6"/>
      <c r="N63939" s="6"/>
      <c r="O63939" s="6"/>
      <c r="P63939" s="6"/>
      <c r="Q63939" s="6"/>
      <c r="R63939" s="6"/>
      <c r="S63939" s="6"/>
      <c r="T63939" s="6"/>
      <c r="U63939" s="6"/>
      <c r="V63939" s="6"/>
      <c r="W63939" s="6"/>
      <c r="X63939" s="6"/>
      <c r="Y63939" s="6"/>
      <c r="Z63939" s="6"/>
      <c r="AA63939" s="6"/>
      <c r="AB63939" s="6"/>
      <c r="AC63939" s="6"/>
      <c r="AD63939" s="6"/>
      <c r="AE63939" s="6"/>
      <c r="AF63939" s="6"/>
      <c r="AG63939" s="6"/>
      <c r="AH63939" s="6"/>
      <c r="AI63939" s="6"/>
      <c r="AJ63939" s="6"/>
      <c r="AK63939" s="6"/>
      <c r="AL63939" s="6"/>
      <c r="AM63939" s="6"/>
    </row>
    <row r="63940" spans="2:39" ht="9.9499999999999993" hidden="1" customHeight="1" x14ac:dyDescent="0.2">
      <c r="B63940" s="6"/>
      <c r="C63940" s="6"/>
      <c r="D63940" s="6"/>
      <c r="E63940" s="6"/>
      <c r="F63940" s="6"/>
      <c r="G63940" s="6"/>
      <c r="H63940" s="6"/>
      <c r="I63940" s="6"/>
      <c r="J63940" s="6"/>
      <c r="K63940" s="6"/>
      <c r="L63940" s="6"/>
      <c r="M63940" s="6"/>
      <c r="N63940" s="6"/>
      <c r="O63940" s="6"/>
      <c r="P63940" s="6"/>
      <c r="Q63940" s="6"/>
      <c r="R63940" s="6"/>
      <c r="S63940" s="6"/>
      <c r="T63940" s="6"/>
      <c r="U63940" s="6"/>
      <c r="V63940" s="6"/>
      <c r="W63940" s="6"/>
      <c r="X63940" s="6"/>
      <c r="Y63940" s="6"/>
      <c r="Z63940" s="6"/>
      <c r="AA63940" s="6"/>
      <c r="AB63940" s="6"/>
      <c r="AC63940" s="6"/>
      <c r="AD63940" s="6"/>
      <c r="AE63940" s="6"/>
      <c r="AF63940" s="6"/>
      <c r="AG63940" s="6"/>
      <c r="AH63940" s="6"/>
      <c r="AI63940" s="6"/>
      <c r="AJ63940" s="6"/>
      <c r="AK63940" s="6"/>
      <c r="AL63940" s="6"/>
      <c r="AM63940" s="6"/>
    </row>
    <row r="63941" spans="2:39" ht="9.9499999999999993" hidden="1" customHeight="1" x14ac:dyDescent="0.2">
      <c r="B63941" s="6"/>
      <c r="C63941" s="6"/>
      <c r="D63941" s="6"/>
      <c r="E63941" s="6"/>
      <c r="F63941" s="6"/>
      <c r="G63941" s="6"/>
      <c r="H63941" s="6"/>
      <c r="I63941" s="6"/>
      <c r="J63941" s="6"/>
      <c r="K63941" s="6"/>
      <c r="L63941" s="6"/>
      <c r="M63941" s="6"/>
      <c r="N63941" s="6"/>
      <c r="O63941" s="6"/>
      <c r="P63941" s="6"/>
      <c r="Q63941" s="6"/>
      <c r="R63941" s="6"/>
      <c r="S63941" s="6"/>
      <c r="T63941" s="6"/>
      <c r="U63941" s="6"/>
      <c r="V63941" s="6"/>
      <c r="W63941" s="6"/>
      <c r="X63941" s="6"/>
      <c r="Y63941" s="6"/>
      <c r="Z63941" s="6"/>
      <c r="AA63941" s="6"/>
      <c r="AB63941" s="6"/>
      <c r="AC63941" s="6"/>
      <c r="AD63941" s="6"/>
      <c r="AE63941" s="6"/>
      <c r="AF63941" s="6"/>
      <c r="AG63941" s="6"/>
      <c r="AH63941" s="6"/>
      <c r="AI63941" s="6"/>
      <c r="AJ63941" s="6"/>
      <c r="AK63941" s="6"/>
      <c r="AL63941" s="6"/>
      <c r="AM63941" s="6"/>
    </row>
    <row r="63942" spans="2:39" ht="9.9499999999999993" hidden="1" customHeight="1" x14ac:dyDescent="0.2">
      <c r="B63942" s="6"/>
      <c r="C63942" s="6"/>
      <c r="D63942" s="6"/>
      <c r="E63942" s="6"/>
      <c r="F63942" s="6"/>
      <c r="G63942" s="6"/>
      <c r="H63942" s="6"/>
      <c r="I63942" s="6"/>
      <c r="J63942" s="6"/>
      <c r="K63942" s="6"/>
      <c r="L63942" s="6"/>
      <c r="M63942" s="6"/>
      <c r="N63942" s="6"/>
      <c r="O63942" s="6"/>
      <c r="P63942" s="6"/>
      <c r="Q63942" s="6"/>
      <c r="R63942" s="6"/>
      <c r="S63942" s="6"/>
      <c r="T63942" s="6"/>
      <c r="U63942" s="6"/>
      <c r="V63942" s="6"/>
      <c r="W63942" s="6"/>
      <c r="X63942" s="6"/>
      <c r="Y63942" s="6"/>
      <c r="Z63942" s="6"/>
      <c r="AA63942" s="6"/>
      <c r="AB63942" s="6"/>
      <c r="AC63942" s="6"/>
      <c r="AD63942" s="6"/>
      <c r="AE63942" s="6"/>
      <c r="AF63942" s="6"/>
      <c r="AG63942" s="6"/>
      <c r="AH63942" s="6"/>
      <c r="AI63942" s="6"/>
      <c r="AJ63942" s="6"/>
      <c r="AK63942" s="6"/>
      <c r="AL63942" s="6"/>
      <c r="AM63942" s="6"/>
    </row>
    <row r="63943" spans="2:39" ht="9.9499999999999993" hidden="1" customHeight="1" x14ac:dyDescent="0.2">
      <c r="B63943" s="6"/>
      <c r="C63943" s="6"/>
      <c r="D63943" s="6"/>
      <c r="E63943" s="6"/>
      <c r="F63943" s="6"/>
      <c r="G63943" s="6"/>
      <c r="H63943" s="6"/>
      <c r="I63943" s="6"/>
      <c r="J63943" s="6"/>
      <c r="K63943" s="6"/>
      <c r="L63943" s="6"/>
      <c r="M63943" s="6"/>
      <c r="N63943" s="6"/>
      <c r="O63943" s="6"/>
      <c r="P63943" s="6"/>
      <c r="Q63943" s="6"/>
      <c r="R63943" s="6"/>
      <c r="S63943" s="6"/>
      <c r="T63943" s="6"/>
      <c r="U63943" s="6"/>
      <c r="V63943" s="6"/>
      <c r="W63943" s="6"/>
      <c r="X63943" s="6"/>
      <c r="Y63943" s="6"/>
      <c r="Z63943" s="6"/>
      <c r="AA63943" s="6"/>
      <c r="AB63943" s="6"/>
      <c r="AC63943" s="6"/>
      <c r="AD63943" s="6"/>
      <c r="AE63943" s="6"/>
      <c r="AF63943" s="6"/>
      <c r="AG63943" s="6"/>
      <c r="AH63943" s="6"/>
      <c r="AI63943" s="6"/>
      <c r="AJ63943" s="6"/>
      <c r="AK63943" s="6"/>
      <c r="AL63943" s="6"/>
      <c r="AM63943" s="6"/>
    </row>
    <row r="63944" spans="2:39" ht="9.9499999999999993" hidden="1" customHeight="1" x14ac:dyDescent="0.2">
      <c r="B63944" s="6"/>
      <c r="C63944" s="6"/>
      <c r="D63944" s="6"/>
      <c r="E63944" s="6"/>
      <c r="F63944" s="6"/>
      <c r="G63944" s="6"/>
      <c r="H63944" s="6"/>
      <c r="I63944" s="6"/>
      <c r="J63944" s="6"/>
      <c r="K63944" s="6"/>
      <c r="L63944" s="6"/>
      <c r="M63944" s="6"/>
      <c r="N63944" s="6"/>
      <c r="O63944" s="6"/>
      <c r="P63944" s="6"/>
      <c r="Q63944" s="6"/>
      <c r="R63944" s="6"/>
      <c r="S63944" s="6"/>
      <c r="T63944" s="6"/>
      <c r="U63944" s="6"/>
      <c r="V63944" s="6"/>
      <c r="W63944" s="6"/>
      <c r="X63944" s="6"/>
      <c r="Y63944" s="6"/>
      <c r="Z63944" s="6"/>
      <c r="AA63944" s="6"/>
      <c r="AB63944" s="6"/>
      <c r="AC63944" s="6"/>
      <c r="AD63944" s="6"/>
      <c r="AE63944" s="6"/>
      <c r="AF63944" s="6"/>
      <c r="AG63944" s="6"/>
      <c r="AH63944" s="6"/>
      <c r="AI63944" s="6"/>
      <c r="AJ63944" s="6"/>
      <c r="AK63944" s="6"/>
      <c r="AL63944" s="6"/>
      <c r="AM63944" s="6"/>
    </row>
    <row r="63945" spans="2:39" ht="9.9499999999999993" hidden="1" customHeight="1" x14ac:dyDescent="0.2">
      <c r="B63945" s="6"/>
      <c r="C63945" s="6"/>
      <c r="D63945" s="6"/>
      <c r="E63945" s="6"/>
      <c r="F63945" s="6"/>
      <c r="G63945" s="6"/>
      <c r="H63945" s="6"/>
      <c r="I63945" s="6"/>
      <c r="J63945" s="6"/>
      <c r="K63945" s="6"/>
      <c r="L63945" s="6"/>
      <c r="M63945" s="6"/>
      <c r="N63945" s="6"/>
      <c r="O63945" s="6"/>
      <c r="P63945" s="6"/>
      <c r="Q63945" s="6"/>
      <c r="R63945" s="6"/>
      <c r="S63945" s="6"/>
      <c r="T63945" s="6"/>
      <c r="U63945" s="6"/>
      <c r="V63945" s="6"/>
      <c r="W63945" s="6"/>
      <c r="X63945" s="6"/>
      <c r="Y63945" s="6"/>
      <c r="Z63945" s="6"/>
      <c r="AA63945" s="6"/>
      <c r="AB63945" s="6"/>
      <c r="AC63945" s="6"/>
      <c r="AD63945" s="6"/>
      <c r="AE63945" s="6"/>
      <c r="AF63945" s="6"/>
      <c r="AG63945" s="6"/>
      <c r="AH63945" s="6"/>
      <c r="AI63945" s="6"/>
      <c r="AJ63945" s="6"/>
      <c r="AK63945" s="6"/>
      <c r="AL63945" s="6"/>
      <c r="AM63945" s="6"/>
    </row>
    <row r="63946" spans="2:39" ht="9.9499999999999993" hidden="1" customHeight="1" x14ac:dyDescent="0.2">
      <c r="B63946" s="6"/>
      <c r="C63946" s="6"/>
      <c r="D63946" s="6"/>
      <c r="E63946" s="6"/>
      <c r="F63946" s="6"/>
      <c r="G63946" s="6"/>
      <c r="H63946" s="6"/>
      <c r="I63946" s="6"/>
      <c r="J63946" s="6"/>
      <c r="K63946" s="6"/>
      <c r="L63946" s="6"/>
      <c r="M63946" s="6"/>
      <c r="N63946" s="6"/>
      <c r="O63946" s="6"/>
      <c r="P63946" s="6"/>
      <c r="Q63946" s="6"/>
      <c r="R63946" s="6"/>
      <c r="S63946" s="6"/>
      <c r="T63946" s="6"/>
      <c r="U63946" s="6"/>
      <c r="V63946" s="6"/>
      <c r="W63946" s="6"/>
      <c r="X63946" s="6"/>
      <c r="Y63946" s="6"/>
      <c r="Z63946" s="6"/>
      <c r="AA63946" s="6"/>
      <c r="AB63946" s="6"/>
      <c r="AC63946" s="6"/>
      <c r="AD63946" s="6"/>
      <c r="AE63946" s="6"/>
      <c r="AF63946" s="6"/>
      <c r="AG63946" s="6"/>
      <c r="AH63946" s="6"/>
      <c r="AI63946" s="6"/>
      <c r="AJ63946" s="6"/>
      <c r="AK63946" s="6"/>
      <c r="AL63946" s="6"/>
      <c r="AM63946" s="6"/>
    </row>
    <row r="63947" spans="2:39" ht="9.9499999999999993" hidden="1" customHeight="1" x14ac:dyDescent="0.2">
      <c r="B63947" s="6"/>
      <c r="C63947" s="6"/>
      <c r="D63947" s="6"/>
      <c r="E63947" s="6"/>
      <c r="F63947" s="6"/>
      <c r="G63947" s="6"/>
      <c r="H63947" s="6"/>
      <c r="I63947" s="6"/>
      <c r="J63947" s="6"/>
      <c r="K63947" s="6"/>
      <c r="L63947" s="6"/>
      <c r="M63947" s="6"/>
      <c r="N63947" s="6"/>
      <c r="O63947" s="6"/>
      <c r="P63947" s="6"/>
      <c r="Q63947" s="6"/>
      <c r="R63947" s="6"/>
      <c r="S63947" s="6"/>
      <c r="T63947" s="6"/>
      <c r="U63947" s="6"/>
      <c r="V63947" s="6"/>
      <c r="W63947" s="6"/>
      <c r="X63947" s="6"/>
      <c r="Y63947" s="6"/>
      <c r="Z63947" s="6"/>
      <c r="AA63947" s="6"/>
      <c r="AB63947" s="6"/>
      <c r="AC63947" s="6"/>
      <c r="AD63947" s="6"/>
      <c r="AE63947" s="6"/>
      <c r="AF63947" s="6"/>
      <c r="AG63947" s="6"/>
      <c r="AH63947" s="6"/>
      <c r="AI63947" s="6"/>
      <c r="AJ63947" s="6"/>
      <c r="AK63947" s="6"/>
      <c r="AL63947" s="6"/>
      <c r="AM63947" s="6"/>
    </row>
    <row r="63948" spans="2:39" ht="9.9499999999999993" hidden="1" customHeight="1" x14ac:dyDescent="0.2">
      <c r="B63948" s="6"/>
      <c r="C63948" s="6"/>
      <c r="D63948" s="6"/>
      <c r="E63948" s="6"/>
      <c r="F63948" s="6"/>
      <c r="G63948" s="6"/>
      <c r="H63948" s="6"/>
      <c r="I63948" s="6"/>
      <c r="J63948" s="6"/>
      <c r="K63948" s="6"/>
      <c r="L63948" s="6"/>
      <c r="M63948" s="6"/>
      <c r="N63948" s="6"/>
      <c r="O63948" s="6"/>
      <c r="P63948" s="6"/>
      <c r="Q63948" s="6"/>
      <c r="R63948" s="6"/>
      <c r="S63948" s="6"/>
      <c r="T63948" s="6"/>
      <c r="U63948" s="6"/>
      <c r="V63948" s="6"/>
      <c r="W63948" s="6"/>
      <c r="X63948" s="6"/>
      <c r="Y63948" s="6"/>
      <c r="Z63948" s="6"/>
      <c r="AA63948" s="6"/>
      <c r="AB63948" s="6"/>
      <c r="AC63948" s="6"/>
      <c r="AD63948" s="6"/>
      <c r="AE63948" s="6"/>
      <c r="AF63948" s="6"/>
      <c r="AG63948" s="6"/>
      <c r="AH63948" s="6"/>
      <c r="AI63948" s="6"/>
      <c r="AJ63948" s="6"/>
      <c r="AK63948" s="6"/>
      <c r="AL63948" s="6"/>
      <c r="AM63948" s="6"/>
    </row>
    <row r="63949" spans="2:39" ht="9.9499999999999993" hidden="1" customHeight="1" x14ac:dyDescent="0.2">
      <c r="B63949" s="6"/>
      <c r="C63949" s="6"/>
      <c r="D63949" s="6"/>
      <c r="E63949" s="6"/>
      <c r="F63949" s="6"/>
      <c r="G63949" s="6"/>
      <c r="H63949" s="6"/>
      <c r="I63949" s="6"/>
      <c r="J63949" s="6"/>
      <c r="K63949" s="6"/>
      <c r="L63949" s="6"/>
      <c r="M63949" s="6"/>
      <c r="N63949" s="6"/>
      <c r="O63949" s="6"/>
      <c r="P63949" s="6"/>
      <c r="Q63949" s="6"/>
      <c r="R63949" s="6"/>
      <c r="S63949" s="6"/>
      <c r="T63949" s="6"/>
      <c r="U63949" s="6"/>
      <c r="V63949" s="6"/>
      <c r="W63949" s="6"/>
      <c r="X63949" s="6"/>
      <c r="Y63949" s="6"/>
      <c r="Z63949" s="6"/>
      <c r="AA63949" s="6"/>
      <c r="AB63949" s="6"/>
      <c r="AC63949" s="6"/>
      <c r="AD63949" s="6"/>
      <c r="AE63949" s="6"/>
      <c r="AF63949" s="6"/>
      <c r="AG63949" s="6"/>
      <c r="AH63949" s="6"/>
      <c r="AI63949" s="6"/>
      <c r="AJ63949" s="6"/>
      <c r="AK63949" s="6"/>
      <c r="AL63949" s="6"/>
      <c r="AM63949" s="6"/>
    </row>
    <row r="63950" spans="2:39" ht="9.9499999999999993" hidden="1" customHeight="1" x14ac:dyDescent="0.2">
      <c r="B63950" s="6"/>
      <c r="C63950" s="6"/>
      <c r="D63950" s="6"/>
      <c r="E63950" s="6"/>
      <c r="F63950" s="6"/>
      <c r="G63950" s="6"/>
      <c r="H63950" s="6"/>
      <c r="I63950" s="6"/>
      <c r="J63950" s="6"/>
      <c r="K63950" s="6"/>
      <c r="L63950" s="6"/>
      <c r="M63950" s="6"/>
      <c r="N63950" s="6"/>
      <c r="O63950" s="6"/>
      <c r="P63950" s="6"/>
      <c r="Q63950" s="6"/>
      <c r="R63950" s="6"/>
      <c r="S63950" s="6"/>
      <c r="T63950" s="6"/>
      <c r="U63950" s="6"/>
      <c r="V63950" s="6"/>
      <c r="W63950" s="6"/>
      <c r="X63950" s="6"/>
      <c r="Y63950" s="6"/>
      <c r="Z63950" s="6"/>
      <c r="AA63950" s="6"/>
      <c r="AB63950" s="6"/>
      <c r="AC63950" s="6"/>
      <c r="AD63950" s="6"/>
      <c r="AE63950" s="6"/>
      <c r="AF63950" s="6"/>
      <c r="AG63950" s="6"/>
      <c r="AH63950" s="6"/>
      <c r="AI63950" s="6"/>
      <c r="AJ63950" s="6"/>
      <c r="AK63950" s="6"/>
      <c r="AL63950" s="6"/>
      <c r="AM63950" s="6"/>
    </row>
    <row r="63951" spans="2:39" ht="9.9499999999999993" hidden="1" customHeight="1" x14ac:dyDescent="0.2">
      <c r="B63951" s="6"/>
      <c r="C63951" s="6"/>
      <c r="D63951" s="6"/>
      <c r="E63951" s="6"/>
      <c r="F63951" s="6"/>
      <c r="G63951" s="6"/>
      <c r="H63951" s="6"/>
      <c r="I63951" s="6"/>
      <c r="J63951" s="6"/>
      <c r="K63951" s="6"/>
      <c r="L63951" s="6"/>
      <c r="M63951" s="6"/>
      <c r="N63951" s="6"/>
      <c r="O63951" s="6"/>
      <c r="P63951" s="6"/>
      <c r="Q63951" s="6"/>
      <c r="R63951" s="6"/>
      <c r="S63951" s="6"/>
      <c r="T63951" s="6"/>
      <c r="U63951" s="6"/>
      <c r="V63951" s="6"/>
      <c r="W63951" s="6"/>
      <c r="X63951" s="6"/>
      <c r="Y63951" s="6"/>
      <c r="Z63951" s="6"/>
      <c r="AA63951" s="6"/>
      <c r="AB63951" s="6"/>
      <c r="AC63951" s="6"/>
      <c r="AD63951" s="6"/>
      <c r="AE63951" s="6"/>
      <c r="AF63951" s="6"/>
      <c r="AG63951" s="6"/>
      <c r="AH63951" s="6"/>
      <c r="AI63951" s="6"/>
      <c r="AJ63951" s="6"/>
      <c r="AK63951" s="6"/>
      <c r="AL63951" s="6"/>
      <c r="AM63951" s="6"/>
    </row>
    <row r="63952" spans="2:39" ht="9.9499999999999993" hidden="1" customHeight="1" x14ac:dyDescent="0.2">
      <c r="B63952" s="6"/>
      <c r="C63952" s="6"/>
      <c r="D63952" s="6"/>
      <c r="E63952" s="6"/>
      <c r="F63952" s="6"/>
      <c r="G63952" s="6"/>
      <c r="H63952" s="6"/>
      <c r="I63952" s="6"/>
      <c r="J63952" s="6"/>
      <c r="K63952" s="6"/>
      <c r="L63952" s="6"/>
      <c r="M63952" s="6"/>
      <c r="N63952" s="6"/>
      <c r="O63952" s="6"/>
      <c r="P63952" s="6"/>
      <c r="Q63952" s="6"/>
      <c r="R63952" s="6"/>
      <c r="S63952" s="6"/>
      <c r="T63952" s="6"/>
      <c r="U63952" s="6"/>
      <c r="V63952" s="6"/>
      <c r="W63952" s="6"/>
      <c r="X63952" s="6"/>
      <c r="Y63952" s="6"/>
      <c r="Z63952" s="6"/>
      <c r="AA63952" s="6"/>
      <c r="AB63952" s="6"/>
      <c r="AC63952" s="6"/>
      <c r="AD63952" s="6"/>
      <c r="AE63952" s="6"/>
      <c r="AF63952" s="6"/>
      <c r="AG63952" s="6"/>
      <c r="AH63952" s="6"/>
      <c r="AI63952" s="6"/>
      <c r="AJ63952" s="6"/>
      <c r="AK63952" s="6"/>
      <c r="AL63952" s="6"/>
      <c r="AM63952" s="6"/>
    </row>
    <row r="63953" spans="2:39" ht="9.9499999999999993" hidden="1" customHeight="1" x14ac:dyDescent="0.2">
      <c r="B63953" s="6"/>
      <c r="C63953" s="6"/>
      <c r="D63953" s="6"/>
      <c r="E63953" s="6"/>
      <c r="F63953" s="6"/>
      <c r="G63953" s="6"/>
      <c r="H63953" s="6"/>
      <c r="I63953" s="6"/>
      <c r="J63953" s="6"/>
      <c r="K63953" s="6"/>
      <c r="L63953" s="6"/>
      <c r="M63953" s="6"/>
      <c r="N63953" s="6"/>
      <c r="O63953" s="6"/>
      <c r="P63953" s="6"/>
      <c r="Q63953" s="6"/>
      <c r="R63953" s="6"/>
      <c r="S63953" s="6"/>
      <c r="T63953" s="6"/>
      <c r="U63953" s="6"/>
      <c r="V63953" s="6"/>
      <c r="W63953" s="6"/>
      <c r="X63953" s="6"/>
      <c r="Y63953" s="6"/>
      <c r="Z63953" s="6"/>
      <c r="AA63953" s="6"/>
      <c r="AB63953" s="6"/>
      <c r="AC63953" s="6"/>
      <c r="AD63953" s="6"/>
      <c r="AE63953" s="6"/>
      <c r="AF63953" s="6"/>
      <c r="AG63953" s="6"/>
      <c r="AH63953" s="6"/>
      <c r="AI63953" s="6"/>
      <c r="AJ63953" s="6"/>
      <c r="AK63953" s="6"/>
      <c r="AL63953" s="6"/>
      <c r="AM63953" s="6"/>
    </row>
    <row r="63954" spans="2:39" ht="9.9499999999999993" hidden="1" customHeight="1" x14ac:dyDescent="0.2">
      <c r="B63954" s="6"/>
      <c r="C63954" s="6"/>
      <c r="D63954" s="6"/>
      <c r="E63954" s="6"/>
      <c r="F63954" s="6"/>
      <c r="G63954" s="6"/>
      <c r="H63954" s="6"/>
      <c r="I63954" s="6"/>
      <c r="J63954" s="6"/>
      <c r="K63954" s="6"/>
      <c r="L63954" s="6"/>
      <c r="M63954" s="6"/>
      <c r="N63954" s="6"/>
      <c r="O63954" s="6"/>
      <c r="P63954" s="6"/>
      <c r="Q63954" s="6"/>
      <c r="R63954" s="6"/>
      <c r="S63954" s="6"/>
      <c r="T63954" s="6"/>
      <c r="U63954" s="6"/>
      <c r="V63954" s="6"/>
      <c r="W63954" s="6"/>
      <c r="X63954" s="6"/>
      <c r="Y63954" s="6"/>
      <c r="Z63954" s="6"/>
      <c r="AA63954" s="6"/>
      <c r="AB63954" s="6"/>
      <c r="AC63954" s="6"/>
      <c r="AD63954" s="6"/>
      <c r="AE63954" s="6"/>
      <c r="AF63954" s="6"/>
      <c r="AG63954" s="6"/>
      <c r="AH63954" s="6"/>
      <c r="AI63954" s="6"/>
      <c r="AJ63954" s="6"/>
      <c r="AK63954" s="6"/>
      <c r="AL63954" s="6"/>
      <c r="AM63954" s="6"/>
    </row>
    <row r="63955" spans="2:39" ht="9.9499999999999993" hidden="1" customHeight="1" x14ac:dyDescent="0.2">
      <c r="B63955" s="6"/>
      <c r="C63955" s="6"/>
      <c r="D63955" s="6"/>
      <c r="E63955" s="6"/>
      <c r="F63955" s="6"/>
      <c r="G63955" s="6"/>
      <c r="H63955" s="6"/>
      <c r="I63955" s="6"/>
      <c r="J63955" s="6"/>
      <c r="K63955" s="6"/>
      <c r="L63955" s="6"/>
      <c r="M63955" s="6"/>
      <c r="N63955" s="6"/>
      <c r="O63955" s="6"/>
      <c r="P63955" s="6"/>
      <c r="Q63955" s="6"/>
      <c r="R63955" s="6"/>
      <c r="S63955" s="6"/>
      <c r="T63955" s="6"/>
      <c r="U63955" s="6"/>
      <c r="V63955" s="6"/>
      <c r="W63955" s="6"/>
      <c r="X63955" s="6"/>
      <c r="Y63955" s="6"/>
      <c r="Z63955" s="6"/>
      <c r="AA63955" s="6"/>
      <c r="AB63955" s="6"/>
      <c r="AC63955" s="6"/>
      <c r="AD63955" s="6"/>
      <c r="AE63955" s="6"/>
      <c r="AF63955" s="6"/>
      <c r="AG63955" s="6"/>
      <c r="AH63955" s="6"/>
      <c r="AI63955" s="6"/>
      <c r="AJ63955" s="6"/>
      <c r="AK63955" s="6"/>
      <c r="AL63955" s="6"/>
      <c r="AM63955" s="6"/>
    </row>
    <row r="63956" spans="2:39" ht="9.9499999999999993" hidden="1" customHeight="1" x14ac:dyDescent="0.2">
      <c r="B63956" s="6"/>
      <c r="C63956" s="6"/>
      <c r="D63956" s="6"/>
      <c r="E63956" s="6"/>
      <c r="F63956" s="6"/>
      <c r="G63956" s="6"/>
      <c r="H63956" s="6"/>
      <c r="I63956" s="6"/>
      <c r="J63956" s="6"/>
      <c r="K63956" s="6"/>
      <c r="L63956" s="6"/>
      <c r="M63956" s="6"/>
      <c r="N63956" s="6"/>
      <c r="O63956" s="6"/>
      <c r="P63956" s="6"/>
      <c r="Q63956" s="6"/>
      <c r="R63956" s="6"/>
      <c r="S63956" s="6"/>
      <c r="T63956" s="6"/>
      <c r="U63956" s="6"/>
      <c r="V63956" s="6"/>
      <c r="W63956" s="6"/>
      <c r="X63956" s="6"/>
      <c r="Y63956" s="6"/>
      <c r="Z63956" s="6"/>
      <c r="AA63956" s="6"/>
      <c r="AB63956" s="6"/>
      <c r="AC63956" s="6"/>
      <c r="AD63956" s="6"/>
      <c r="AE63956" s="6"/>
      <c r="AF63956" s="6"/>
      <c r="AG63956" s="6"/>
      <c r="AH63956" s="6"/>
      <c r="AI63956" s="6"/>
      <c r="AJ63956" s="6"/>
      <c r="AK63956" s="6"/>
      <c r="AL63956" s="6"/>
      <c r="AM63956" s="6"/>
    </row>
    <row r="63957" spans="2:39" ht="9.9499999999999993" hidden="1" customHeight="1" x14ac:dyDescent="0.2">
      <c r="B63957" s="6"/>
      <c r="C63957" s="6"/>
      <c r="D63957" s="6"/>
      <c r="E63957" s="6"/>
      <c r="F63957" s="6"/>
      <c r="G63957" s="6"/>
      <c r="H63957" s="6"/>
      <c r="I63957" s="6"/>
      <c r="J63957" s="6"/>
      <c r="K63957" s="6"/>
      <c r="L63957" s="6"/>
      <c r="M63957" s="6"/>
      <c r="N63957" s="6"/>
      <c r="O63957" s="6"/>
      <c r="P63957" s="6"/>
      <c r="Q63957" s="6"/>
      <c r="R63957" s="6"/>
      <c r="S63957" s="6"/>
      <c r="T63957" s="6"/>
      <c r="U63957" s="6"/>
      <c r="V63957" s="6"/>
      <c r="W63957" s="6"/>
      <c r="X63957" s="6"/>
      <c r="Y63957" s="6"/>
      <c r="Z63957" s="6"/>
      <c r="AA63957" s="6"/>
      <c r="AB63957" s="6"/>
      <c r="AC63957" s="6"/>
      <c r="AD63957" s="6"/>
      <c r="AE63957" s="6"/>
      <c r="AF63957" s="6"/>
      <c r="AG63957" s="6"/>
      <c r="AH63957" s="6"/>
      <c r="AI63957" s="6"/>
      <c r="AJ63957" s="6"/>
      <c r="AK63957" s="6"/>
      <c r="AL63957" s="6"/>
      <c r="AM63957" s="6"/>
    </row>
    <row r="63958" spans="2:39" ht="9.9499999999999993" hidden="1" customHeight="1" x14ac:dyDescent="0.2">
      <c r="B63958" s="6"/>
      <c r="C63958" s="6"/>
      <c r="D63958" s="6"/>
      <c r="E63958" s="6"/>
      <c r="F63958" s="6"/>
      <c r="G63958" s="6"/>
      <c r="H63958" s="6"/>
      <c r="I63958" s="6"/>
      <c r="J63958" s="6"/>
      <c r="K63958" s="6"/>
      <c r="L63958" s="6"/>
      <c r="M63958" s="6"/>
      <c r="N63958" s="6"/>
      <c r="O63958" s="6"/>
      <c r="P63958" s="6"/>
      <c r="Q63958" s="6"/>
      <c r="R63958" s="6"/>
      <c r="S63958" s="6"/>
      <c r="T63958" s="6"/>
      <c r="U63958" s="6"/>
      <c r="V63958" s="6"/>
      <c r="W63958" s="6"/>
      <c r="X63958" s="6"/>
      <c r="Y63958" s="6"/>
      <c r="Z63958" s="6"/>
      <c r="AA63958" s="6"/>
      <c r="AB63958" s="6"/>
      <c r="AC63958" s="6"/>
      <c r="AD63958" s="6"/>
      <c r="AE63958" s="6"/>
      <c r="AF63958" s="6"/>
      <c r="AG63958" s="6"/>
      <c r="AH63958" s="6"/>
      <c r="AI63958" s="6"/>
      <c r="AJ63958" s="6"/>
      <c r="AK63958" s="6"/>
      <c r="AL63958" s="6"/>
      <c r="AM63958" s="6"/>
    </row>
    <row r="63959" spans="2:39" ht="9.9499999999999993" hidden="1" customHeight="1" x14ac:dyDescent="0.2">
      <c r="B63959" s="6"/>
      <c r="C63959" s="6"/>
      <c r="D63959" s="6"/>
      <c r="E63959" s="6"/>
      <c r="F63959" s="6"/>
      <c r="G63959" s="6"/>
      <c r="H63959" s="6"/>
      <c r="I63959" s="6"/>
      <c r="J63959" s="6"/>
      <c r="K63959" s="6"/>
      <c r="L63959" s="6"/>
      <c r="M63959" s="6"/>
      <c r="N63959" s="6"/>
      <c r="O63959" s="6"/>
      <c r="P63959" s="6"/>
      <c r="Q63959" s="6"/>
      <c r="R63959" s="6"/>
      <c r="S63959" s="6"/>
      <c r="T63959" s="6"/>
      <c r="U63959" s="6"/>
      <c r="V63959" s="6"/>
      <c r="W63959" s="6"/>
      <c r="X63959" s="6"/>
      <c r="Y63959" s="6"/>
      <c r="Z63959" s="6"/>
      <c r="AA63959" s="6"/>
      <c r="AB63959" s="6"/>
      <c r="AC63959" s="6"/>
      <c r="AD63959" s="6"/>
      <c r="AE63959" s="6"/>
      <c r="AF63959" s="6"/>
      <c r="AG63959" s="6"/>
      <c r="AH63959" s="6"/>
      <c r="AI63959" s="6"/>
      <c r="AJ63959" s="6"/>
      <c r="AK63959" s="6"/>
      <c r="AL63959" s="6"/>
      <c r="AM63959" s="6"/>
    </row>
    <row r="63960" spans="2:39" ht="9.9499999999999993" hidden="1" customHeight="1" x14ac:dyDescent="0.2">
      <c r="B63960" s="6"/>
      <c r="C63960" s="6"/>
      <c r="D63960" s="6"/>
      <c r="E63960" s="6"/>
      <c r="F63960" s="6"/>
      <c r="G63960" s="6"/>
      <c r="H63960" s="6"/>
      <c r="I63960" s="6"/>
      <c r="J63960" s="6"/>
      <c r="K63960" s="6"/>
      <c r="L63960" s="6"/>
      <c r="M63960" s="6"/>
      <c r="N63960" s="6"/>
      <c r="O63960" s="6"/>
      <c r="P63960" s="6"/>
      <c r="Q63960" s="6"/>
      <c r="R63960" s="6"/>
      <c r="S63960" s="6"/>
      <c r="T63960" s="6"/>
      <c r="U63960" s="6"/>
      <c r="V63960" s="6"/>
      <c r="W63960" s="6"/>
      <c r="X63960" s="6"/>
      <c r="Y63960" s="6"/>
      <c r="Z63960" s="6"/>
      <c r="AA63960" s="6"/>
      <c r="AB63960" s="6"/>
      <c r="AC63960" s="6"/>
      <c r="AD63960" s="6"/>
      <c r="AE63960" s="6"/>
      <c r="AF63960" s="6"/>
      <c r="AG63960" s="6"/>
      <c r="AH63960" s="6"/>
      <c r="AI63960" s="6"/>
      <c r="AJ63960" s="6"/>
      <c r="AK63960" s="6"/>
      <c r="AL63960" s="6"/>
      <c r="AM63960" s="6"/>
    </row>
    <row r="63961" spans="2:39" ht="9.9499999999999993" hidden="1" customHeight="1" x14ac:dyDescent="0.2">
      <c r="B63961" s="6"/>
      <c r="C63961" s="6"/>
      <c r="D63961" s="6"/>
      <c r="E63961" s="6"/>
      <c r="F63961" s="6"/>
      <c r="G63961" s="6"/>
      <c r="H63961" s="6"/>
      <c r="I63961" s="6"/>
      <c r="J63961" s="6"/>
      <c r="K63961" s="6"/>
      <c r="L63961" s="6"/>
      <c r="M63961" s="6"/>
      <c r="N63961" s="6"/>
      <c r="O63961" s="6"/>
      <c r="P63961" s="6"/>
      <c r="Q63961" s="6"/>
      <c r="R63961" s="6"/>
      <c r="S63961" s="6"/>
      <c r="T63961" s="6"/>
      <c r="U63961" s="6"/>
      <c r="V63961" s="6"/>
      <c r="W63961" s="6"/>
      <c r="X63961" s="6"/>
      <c r="Y63961" s="6"/>
      <c r="Z63961" s="6"/>
      <c r="AA63961" s="6"/>
      <c r="AB63961" s="6"/>
      <c r="AC63961" s="6"/>
      <c r="AD63961" s="6"/>
      <c r="AE63961" s="6"/>
      <c r="AF63961" s="6"/>
      <c r="AG63961" s="6"/>
      <c r="AH63961" s="6"/>
      <c r="AI63961" s="6"/>
      <c r="AJ63961" s="6"/>
      <c r="AK63961" s="6"/>
      <c r="AL63961" s="6"/>
      <c r="AM63961" s="6"/>
    </row>
    <row r="63962" spans="2:39" ht="9.9499999999999993" hidden="1" customHeight="1" x14ac:dyDescent="0.2">
      <c r="B63962" s="6"/>
      <c r="C63962" s="6"/>
      <c r="D63962" s="6"/>
      <c r="E63962" s="6"/>
      <c r="F63962" s="6"/>
      <c r="G63962" s="6"/>
      <c r="H63962" s="6"/>
      <c r="I63962" s="6"/>
      <c r="J63962" s="6"/>
      <c r="K63962" s="6"/>
      <c r="L63962" s="6"/>
      <c r="M63962" s="6"/>
      <c r="N63962" s="6"/>
      <c r="O63962" s="6"/>
      <c r="P63962" s="6"/>
      <c r="Q63962" s="6"/>
      <c r="R63962" s="6"/>
      <c r="S63962" s="6"/>
      <c r="T63962" s="6"/>
      <c r="U63962" s="6"/>
      <c r="V63962" s="6"/>
      <c r="W63962" s="6"/>
      <c r="X63962" s="6"/>
      <c r="Y63962" s="6"/>
      <c r="Z63962" s="6"/>
      <c r="AA63962" s="6"/>
      <c r="AB63962" s="6"/>
      <c r="AC63962" s="6"/>
      <c r="AD63962" s="6"/>
      <c r="AE63962" s="6"/>
      <c r="AF63962" s="6"/>
      <c r="AG63962" s="6"/>
      <c r="AH63962" s="6"/>
      <c r="AI63962" s="6"/>
      <c r="AJ63962" s="6"/>
      <c r="AK63962" s="6"/>
      <c r="AL63962" s="6"/>
      <c r="AM63962" s="6"/>
    </row>
    <row r="63963" spans="2:39" ht="9.9499999999999993" hidden="1" customHeight="1" x14ac:dyDescent="0.2">
      <c r="B63963" s="6"/>
      <c r="C63963" s="6"/>
      <c r="D63963" s="6"/>
      <c r="E63963" s="6"/>
      <c r="F63963" s="6"/>
      <c r="G63963" s="6"/>
      <c r="H63963" s="6"/>
      <c r="I63963" s="6"/>
      <c r="J63963" s="6"/>
      <c r="K63963" s="6"/>
      <c r="L63963" s="6"/>
      <c r="M63963" s="6"/>
      <c r="N63963" s="6"/>
      <c r="O63963" s="6"/>
      <c r="P63963" s="6"/>
      <c r="Q63963" s="6"/>
      <c r="R63963" s="6"/>
      <c r="S63963" s="6"/>
      <c r="T63963" s="6"/>
      <c r="U63963" s="6"/>
      <c r="V63963" s="6"/>
      <c r="W63963" s="6"/>
      <c r="X63963" s="6"/>
      <c r="Y63963" s="6"/>
      <c r="Z63963" s="6"/>
      <c r="AA63963" s="6"/>
      <c r="AB63963" s="6"/>
      <c r="AC63963" s="6"/>
      <c r="AD63963" s="6"/>
      <c r="AE63963" s="6"/>
      <c r="AF63963" s="6"/>
      <c r="AG63963" s="6"/>
      <c r="AH63963" s="6"/>
      <c r="AI63963" s="6"/>
      <c r="AJ63963" s="6"/>
      <c r="AK63963" s="6"/>
      <c r="AL63963" s="6"/>
      <c r="AM63963" s="6"/>
    </row>
    <row r="63964" spans="2:39" ht="9.9499999999999993" hidden="1" customHeight="1" x14ac:dyDescent="0.2">
      <c r="B63964" s="6"/>
      <c r="C63964" s="6"/>
      <c r="D63964" s="6"/>
      <c r="E63964" s="6"/>
      <c r="F63964" s="6"/>
      <c r="G63964" s="6"/>
      <c r="H63964" s="6"/>
      <c r="I63964" s="6"/>
      <c r="J63964" s="6"/>
      <c r="K63964" s="6"/>
      <c r="L63964" s="6"/>
      <c r="M63964" s="6"/>
      <c r="N63964" s="6"/>
      <c r="O63964" s="6"/>
      <c r="P63964" s="6"/>
      <c r="Q63964" s="6"/>
      <c r="R63964" s="6"/>
      <c r="S63964" s="6"/>
      <c r="T63964" s="6"/>
      <c r="U63964" s="6"/>
      <c r="V63964" s="6"/>
      <c r="W63964" s="6"/>
      <c r="X63964" s="6"/>
      <c r="Y63964" s="6"/>
      <c r="Z63964" s="6"/>
      <c r="AA63964" s="6"/>
      <c r="AB63964" s="6"/>
      <c r="AC63964" s="6"/>
      <c r="AD63964" s="6"/>
      <c r="AE63964" s="6"/>
      <c r="AF63964" s="6"/>
      <c r="AG63964" s="6"/>
      <c r="AH63964" s="6"/>
      <c r="AI63964" s="6"/>
      <c r="AJ63964" s="6"/>
      <c r="AK63964" s="6"/>
      <c r="AL63964" s="6"/>
      <c r="AM63964" s="6"/>
    </row>
    <row r="63965" spans="2:39" ht="9.9499999999999993" hidden="1" customHeight="1" x14ac:dyDescent="0.2">
      <c r="B63965" s="6"/>
      <c r="C63965" s="6"/>
      <c r="D63965" s="6"/>
      <c r="E63965" s="6"/>
      <c r="F63965" s="6"/>
      <c r="G63965" s="6"/>
      <c r="H63965" s="6"/>
      <c r="I63965" s="6"/>
      <c r="J63965" s="6"/>
      <c r="K63965" s="6"/>
      <c r="L63965" s="6"/>
      <c r="M63965" s="6"/>
      <c r="N63965" s="6"/>
      <c r="O63965" s="6"/>
      <c r="P63965" s="6"/>
      <c r="Q63965" s="6"/>
      <c r="R63965" s="6"/>
      <c r="S63965" s="6"/>
      <c r="T63965" s="6"/>
      <c r="U63965" s="6"/>
      <c r="V63965" s="6"/>
      <c r="W63965" s="6"/>
      <c r="X63965" s="6"/>
      <c r="Y63965" s="6"/>
      <c r="Z63965" s="6"/>
      <c r="AA63965" s="6"/>
      <c r="AB63965" s="6"/>
      <c r="AC63965" s="6"/>
      <c r="AD63965" s="6"/>
      <c r="AE63965" s="6"/>
      <c r="AF63965" s="6"/>
      <c r="AG63965" s="6"/>
      <c r="AH63965" s="6"/>
      <c r="AI63965" s="6"/>
      <c r="AJ63965" s="6"/>
      <c r="AK63965" s="6"/>
      <c r="AL63965" s="6"/>
      <c r="AM63965" s="6"/>
    </row>
    <row r="63966" spans="2:39" ht="9.9499999999999993" hidden="1" customHeight="1" x14ac:dyDescent="0.2">
      <c r="B63966" s="6"/>
      <c r="C63966" s="6"/>
      <c r="D63966" s="6"/>
      <c r="E63966" s="6"/>
      <c r="F63966" s="6"/>
      <c r="G63966" s="6"/>
      <c r="H63966" s="6"/>
      <c r="I63966" s="6"/>
      <c r="J63966" s="6"/>
      <c r="K63966" s="6"/>
      <c r="L63966" s="6"/>
      <c r="M63966" s="6"/>
      <c r="N63966" s="6"/>
      <c r="O63966" s="6"/>
      <c r="P63966" s="6"/>
      <c r="Q63966" s="6"/>
      <c r="R63966" s="6"/>
      <c r="S63966" s="6"/>
      <c r="T63966" s="6"/>
      <c r="U63966" s="6"/>
      <c r="V63966" s="6"/>
      <c r="W63966" s="6"/>
      <c r="X63966" s="6"/>
      <c r="Y63966" s="6"/>
      <c r="Z63966" s="6"/>
      <c r="AA63966" s="6"/>
      <c r="AB63966" s="6"/>
      <c r="AC63966" s="6"/>
      <c r="AD63966" s="6"/>
      <c r="AE63966" s="6"/>
      <c r="AF63966" s="6"/>
      <c r="AG63966" s="6"/>
      <c r="AH63966" s="6"/>
      <c r="AI63966" s="6"/>
      <c r="AJ63966" s="6"/>
      <c r="AK63966" s="6"/>
      <c r="AL63966" s="6"/>
      <c r="AM63966" s="6"/>
    </row>
    <row r="63967" spans="2:39" ht="9.9499999999999993" hidden="1" customHeight="1" x14ac:dyDescent="0.2">
      <c r="B63967" s="6"/>
      <c r="C63967" s="6"/>
      <c r="D63967" s="6"/>
      <c r="E63967" s="6"/>
      <c r="F63967" s="6"/>
      <c r="G63967" s="6"/>
      <c r="H63967" s="6"/>
      <c r="I63967" s="6"/>
      <c r="J63967" s="6"/>
      <c r="K63967" s="6"/>
      <c r="L63967" s="6"/>
      <c r="M63967" s="6"/>
      <c r="N63967" s="6"/>
      <c r="O63967" s="6"/>
      <c r="P63967" s="6"/>
      <c r="Q63967" s="6"/>
      <c r="R63967" s="6"/>
      <c r="S63967" s="6"/>
      <c r="T63967" s="6"/>
      <c r="U63967" s="6"/>
      <c r="V63967" s="6"/>
      <c r="W63967" s="6"/>
      <c r="X63967" s="6"/>
      <c r="Y63967" s="6"/>
      <c r="Z63967" s="6"/>
      <c r="AA63967" s="6"/>
      <c r="AB63967" s="6"/>
      <c r="AC63967" s="6"/>
      <c r="AD63967" s="6"/>
      <c r="AE63967" s="6"/>
      <c r="AF63967" s="6"/>
      <c r="AG63967" s="6"/>
      <c r="AH63967" s="6"/>
      <c r="AI63967" s="6"/>
      <c r="AJ63967" s="6"/>
      <c r="AK63967" s="6"/>
      <c r="AL63967" s="6"/>
      <c r="AM63967" s="6"/>
    </row>
    <row r="63968" spans="2:39" ht="9.9499999999999993" hidden="1" customHeight="1" x14ac:dyDescent="0.2">
      <c r="B63968" s="6"/>
      <c r="C63968" s="6"/>
      <c r="D63968" s="6"/>
      <c r="E63968" s="6"/>
      <c r="F63968" s="6"/>
      <c r="G63968" s="6"/>
      <c r="H63968" s="6"/>
      <c r="I63968" s="6"/>
      <c r="J63968" s="6"/>
      <c r="K63968" s="6"/>
      <c r="L63968" s="6"/>
      <c r="M63968" s="6"/>
      <c r="N63968" s="6"/>
      <c r="O63968" s="6"/>
      <c r="P63968" s="6"/>
      <c r="Q63968" s="6"/>
      <c r="R63968" s="6"/>
      <c r="S63968" s="6"/>
      <c r="T63968" s="6"/>
      <c r="U63968" s="6"/>
      <c r="V63968" s="6"/>
      <c r="W63968" s="6"/>
      <c r="X63968" s="6"/>
      <c r="Y63968" s="6"/>
      <c r="Z63968" s="6"/>
      <c r="AA63968" s="6"/>
      <c r="AB63968" s="6"/>
      <c r="AC63968" s="6"/>
      <c r="AD63968" s="6"/>
      <c r="AE63968" s="6"/>
      <c r="AF63968" s="6"/>
      <c r="AG63968" s="6"/>
      <c r="AH63968" s="6"/>
      <c r="AI63968" s="6"/>
      <c r="AJ63968" s="6"/>
      <c r="AK63968" s="6"/>
      <c r="AL63968" s="6"/>
      <c r="AM63968" s="6"/>
    </row>
    <row r="63969" spans="2:39" ht="9.9499999999999993" hidden="1" customHeight="1" x14ac:dyDescent="0.2">
      <c r="B63969" s="6"/>
      <c r="C63969" s="6"/>
      <c r="D63969" s="6"/>
      <c r="E63969" s="6"/>
      <c r="F63969" s="6"/>
      <c r="G63969" s="6"/>
      <c r="H63969" s="6"/>
      <c r="I63969" s="6"/>
      <c r="J63969" s="6"/>
      <c r="K63969" s="6"/>
      <c r="L63969" s="6"/>
      <c r="M63969" s="6"/>
      <c r="N63969" s="6"/>
      <c r="O63969" s="6"/>
      <c r="P63969" s="6"/>
      <c r="Q63969" s="6"/>
      <c r="R63969" s="6"/>
      <c r="S63969" s="6"/>
      <c r="T63969" s="6"/>
      <c r="U63969" s="6"/>
      <c r="V63969" s="6"/>
      <c r="W63969" s="6"/>
      <c r="X63969" s="6"/>
      <c r="Y63969" s="6"/>
      <c r="Z63969" s="6"/>
      <c r="AA63969" s="6"/>
      <c r="AB63969" s="6"/>
      <c r="AC63969" s="6"/>
      <c r="AD63969" s="6"/>
      <c r="AE63969" s="6"/>
      <c r="AF63969" s="6"/>
      <c r="AG63969" s="6"/>
      <c r="AH63969" s="6"/>
      <c r="AI63969" s="6"/>
      <c r="AJ63969" s="6"/>
      <c r="AK63969" s="6"/>
      <c r="AL63969" s="6"/>
      <c r="AM63969" s="6"/>
    </row>
    <row r="63970" spans="2:39" ht="9.9499999999999993" hidden="1" customHeight="1" x14ac:dyDescent="0.2">
      <c r="B63970" s="6"/>
      <c r="C63970" s="6"/>
      <c r="D63970" s="6"/>
      <c r="E63970" s="6"/>
      <c r="F63970" s="6"/>
      <c r="G63970" s="6"/>
      <c r="H63970" s="6"/>
      <c r="I63970" s="6"/>
      <c r="J63970" s="6"/>
      <c r="K63970" s="6"/>
      <c r="L63970" s="6"/>
      <c r="M63970" s="6"/>
      <c r="N63970" s="6"/>
      <c r="O63970" s="6"/>
      <c r="P63970" s="6"/>
      <c r="Q63970" s="6"/>
      <c r="R63970" s="6"/>
      <c r="S63970" s="6"/>
      <c r="T63970" s="6"/>
      <c r="U63970" s="6"/>
      <c r="V63970" s="6"/>
      <c r="W63970" s="6"/>
      <c r="X63970" s="6"/>
      <c r="Y63970" s="6"/>
      <c r="Z63970" s="6"/>
      <c r="AA63970" s="6"/>
      <c r="AB63970" s="6"/>
      <c r="AC63970" s="6"/>
      <c r="AD63970" s="6"/>
      <c r="AE63970" s="6"/>
      <c r="AF63970" s="6"/>
      <c r="AG63970" s="6"/>
      <c r="AH63970" s="6"/>
      <c r="AI63970" s="6"/>
      <c r="AJ63970" s="6"/>
      <c r="AK63970" s="6"/>
      <c r="AL63970" s="6"/>
      <c r="AM63970" s="6"/>
    </row>
    <row r="63971" spans="2:39" ht="9.9499999999999993" hidden="1" customHeight="1" x14ac:dyDescent="0.2">
      <c r="B63971" s="6"/>
      <c r="C63971" s="6"/>
      <c r="D63971" s="6"/>
      <c r="E63971" s="6"/>
      <c r="F63971" s="6"/>
      <c r="G63971" s="6"/>
      <c r="H63971" s="6"/>
      <c r="I63971" s="6"/>
      <c r="J63971" s="6"/>
      <c r="K63971" s="6"/>
      <c r="L63971" s="6"/>
      <c r="M63971" s="6"/>
      <c r="N63971" s="6"/>
      <c r="O63971" s="6"/>
      <c r="P63971" s="6"/>
      <c r="Q63971" s="6"/>
      <c r="R63971" s="6"/>
      <c r="S63971" s="6"/>
      <c r="T63971" s="6"/>
      <c r="U63971" s="6"/>
      <c r="V63971" s="6"/>
      <c r="W63971" s="6"/>
      <c r="X63971" s="6"/>
      <c r="Y63971" s="6"/>
      <c r="Z63971" s="6"/>
      <c r="AA63971" s="6"/>
      <c r="AB63971" s="6"/>
      <c r="AC63971" s="6"/>
      <c r="AD63971" s="6"/>
      <c r="AE63971" s="6"/>
      <c r="AF63971" s="6"/>
      <c r="AG63971" s="6"/>
      <c r="AH63971" s="6"/>
      <c r="AI63971" s="6"/>
      <c r="AJ63971" s="6"/>
      <c r="AK63971" s="6"/>
      <c r="AL63971" s="6"/>
      <c r="AM63971" s="6"/>
    </row>
    <row r="63972" spans="2:39" ht="9.9499999999999993" hidden="1" customHeight="1" x14ac:dyDescent="0.2">
      <c r="B63972" s="6"/>
      <c r="C63972" s="6"/>
      <c r="D63972" s="6"/>
      <c r="E63972" s="6"/>
      <c r="F63972" s="6"/>
      <c r="G63972" s="6"/>
      <c r="H63972" s="6"/>
      <c r="I63972" s="6"/>
      <c r="J63972" s="6"/>
      <c r="K63972" s="6"/>
      <c r="L63972" s="6"/>
      <c r="M63972" s="6"/>
      <c r="N63972" s="6"/>
      <c r="O63972" s="6"/>
      <c r="P63972" s="6"/>
      <c r="Q63972" s="6"/>
      <c r="R63972" s="6"/>
      <c r="S63972" s="6"/>
      <c r="T63972" s="6"/>
      <c r="U63972" s="6"/>
      <c r="V63972" s="6"/>
      <c r="W63972" s="6"/>
      <c r="X63972" s="6"/>
      <c r="Y63972" s="6"/>
      <c r="Z63972" s="6"/>
      <c r="AA63972" s="6"/>
      <c r="AB63972" s="6"/>
      <c r="AC63972" s="6"/>
      <c r="AD63972" s="6"/>
      <c r="AE63972" s="6"/>
      <c r="AF63972" s="6"/>
      <c r="AG63972" s="6"/>
      <c r="AH63972" s="6"/>
      <c r="AI63972" s="6"/>
      <c r="AJ63972" s="6"/>
      <c r="AK63972" s="6"/>
      <c r="AL63972" s="6"/>
      <c r="AM63972" s="6"/>
    </row>
    <row r="63973" spans="2:39" ht="9.9499999999999993" hidden="1" customHeight="1" x14ac:dyDescent="0.2">
      <c r="B63973" s="6"/>
      <c r="C63973" s="6"/>
      <c r="D63973" s="6"/>
      <c r="E63973" s="6"/>
      <c r="F63973" s="6"/>
      <c r="G63973" s="6"/>
      <c r="H63973" s="6"/>
      <c r="I63973" s="6"/>
      <c r="J63973" s="6"/>
      <c r="K63973" s="6"/>
      <c r="L63973" s="6"/>
      <c r="M63973" s="6"/>
      <c r="N63973" s="6"/>
      <c r="O63973" s="6"/>
      <c r="P63973" s="6"/>
      <c r="Q63973" s="6"/>
      <c r="R63973" s="6"/>
      <c r="S63973" s="6"/>
      <c r="T63973" s="6"/>
      <c r="U63973" s="6"/>
      <c r="V63973" s="6"/>
      <c r="W63973" s="6"/>
      <c r="X63973" s="6"/>
      <c r="Y63973" s="6"/>
      <c r="Z63973" s="6"/>
      <c r="AA63973" s="6"/>
      <c r="AB63973" s="6"/>
      <c r="AC63973" s="6"/>
      <c r="AD63973" s="6"/>
      <c r="AE63973" s="6"/>
      <c r="AF63973" s="6"/>
      <c r="AG63973" s="6"/>
      <c r="AH63973" s="6"/>
      <c r="AI63973" s="6"/>
      <c r="AJ63973" s="6"/>
      <c r="AK63973" s="6"/>
      <c r="AL63973" s="6"/>
      <c r="AM63973" s="6"/>
    </row>
    <row r="63974" spans="2:39" ht="9.9499999999999993" hidden="1" customHeight="1" x14ac:dyDescent="0.2">
      <c r="B63974" s="6"/>
      <c r="C63974" s="6"/>
      <c r="D63974" s="6"/>
      <c r="E63974" s="6"/>
      <c r="F63974" s="6"/>
      <c r="G63974" s="6"/>
      <c r="H63974" s="6"/>
      <c r="I63974" s="6"/>
      <c r="J63974" s="6"/>
      <c r="K63974" s="6"/>
      <c r="L63974" s="6"/>
      <c r="M63974" s="6"/>
      <c r="N63974" s="6"/>
      <c r="O63974" s="6"/>
      <c r="P63974" s="6"/>
      <c r="Q63974" s="6"/>
      <c r="R63974" s="6"/>
      <c r="S63974" s="6"/>
      <c r="T63974" s="6"/>
      <c r="U63974" s="6"/>
      <c r="V63974" s="6"/>
      <c r="W63974" s="6"/>
      <c r="X63974" s="6"/>
      <c r="Y63974" s="6"/>
      <c r="Z63974" s="6"/>
      <c r="AA63974" s="6"/>
      <c r="AB63974" s="6"/>
      <c r="AC63974" s="6"/>
      <c r="AD63974" s="6"/>
      <c r="AE63974" s="6"/>
      <c r="AF63974" s="6"/>
      <c r="AG63974" s="6"/>
      <c r="AH63974" s="6"/>
      <c r="AI63974" s="6"/>
      <c r="AJ63974" s="6"/>
      <c r="AK63974" s="6"/>
      <c r="AL63974" s="6"/>
      <c r="AM63974" s="6"/>
    </row>
    <row r="63975" spans="2:39" ht="9.9499999999999993" hidden="1" customHeight="1" x14ac:dyDescent="0.2">
      <c r="B63975" s="6"/>
      <c r="C63975" s="6"/>
      <c r="D63975" s="6"/>
      <c r="E63975" s="6"/>
      <c r="F63975" s="6"/>
      <c r="G63975" s="6"/>
      <c r="H63975" s="6"/>
      <c r="I63975" s="6"/>
      <c r="J63975" s="6"/>
      <c r="K63975" s="6"/>
      <c r="L63975" s="6"/>
      <c r="M63975" s="6"/>
      <c r="N63975" s="6"/>
      <c r="O63975" s="6"/>
      <c r="P63975" s="6"/>
      <c r="Q63975" s="6"/>
      <c r="R63975" s="6"/>
      <c r="S63975" s="6"/>
      <c r="T63975" s="6"/>
      <c r="U63975" s="6"/>
      <c r="V63975" s="6"/>
      <c r="W63975" s="6"/>
      <c r="X63975" s="6"/>
      <c r="Y63975" s="6"/>
      <c r="Z63975" s="6"/>
      <c r="AA63975" s="6"/>
      <c r="AB63975" s="6"/>
      <c r="AC63975" s="6"/>
      <c r="AD63975" s="6"/>
      <c r="AE63975" s="6"/>
      <c r="AF63975" s="6"/>
      <c r="AG63975" s="6"/>
      <c r="AH63975" s="6"/>
      <c r="AI63975" s="6"/>
      <c r="AJ63975" s="6"/>
      <c r="AK63975" s="6"/>
      <c r="AL63975" s="6"/>
      <c r="AM63975" s="6"/>
    </row>
    <row r="63976" spans="2:39" ht="9.9499999999999993" hidden="1" customHeight="1" x14ac:dyDescent="0.2">
      <c r="B63976" s="6"/>
      <c r="C63976" s="6"/>
      <c r="D63976" s="6"/>
      <c r="E63976" s="6"/>
      <c r="F63976" s="6"/>
      <c r="G63976" s="6"/>
      <c r="H63976" s="6"/>
      <c r="I63976" s="6"/>
      <c r="J63976" s="6"/>
      <c r="K63976" s="6"/>
      <c r="L63976" s="6"/>
      <c r="M63976" s="6"/>
      <c r="N63976" s="6"/>
      <c r="O63976" s="6"/>
      <c r="P63976" s="6"/>
      <c r="Q63976" s="6"/>
      <c r="R63976" s="6"/>
      <c r="S63976" s="6"/>
      <c r="T63976" s="6"/>
      <c r="U63976" s="6"/>
      <c r="V63976" s="6"/>
      <c r="W63976" s="6"/>
      <c r="X63976" s="6"/>
      <c r="Y63976" s="6"/>
      <c r="Z63976" s="6"/>
      <c r="AA63976" s="6"/>
      <c r="AB63976" s="6"/>
      <c r="AC63976" s="6"/>
      <c r="AD63976" s="6"/>
      <c r="AE63976" s="6"/>
      <c r="AF63976" s="6"/>
      <c r="AG63976" s="6"/>
      <c r="AH63976" s="6"/>
      <c r="AI63976" s="6"/>
      <c r="AJ63976" s="6"/>
      <c r="AK63976" s="6"/>
      <c r="AL63976" s="6"/>
      <c r="AM63976" s="6"/>
    </row>
    <row r="63977" spans="2:39" ht="9.9499999999999993" hidden="1" customHeight="1" x14ac:dyDescent="0.2">
      <c r="B63977" s="6"/>
      <c r="C63977" s="6"/>
      <c r="D63977" s="6"/>
      <c r="E63977" s="6"/>
      <c r="F63977" s="6"/>
      <c r="G63977" s="6"/>
      <c r="H63977" s="6"/>
      <c r="I63977" s="6"/>
      <c r="J63977" s="6"/>
      <c r="K63977" s="6"/>
      <c r="L63977" s="6"/>
      <c r="M63977" s="6"/>
      <c r="N63977" s="6"/>
      <c r="O63977" s="6"/>
      <c r="P63977" s="6"/>
      <c r="Q63977" s="6"/>
      <c r="R63977" s="6"/>
      <c r="S63977" s="6"/>
      <c r="T63977" s="6"/>
      <c r="U63977" s="6"/>
      <c r="V63977" s="6"/>
      <c r="W63977" s="6"/>
      <c r="X63977" s="6"/>
      <c r="Y63977" s="6"/>
      <c r="Z63977" s="6"/>
      <c r="AA63977" s="6"/>
      <c r="AB63977" s="6"/>
      <c r="AC63977" s="6"/>
      <c r="AD63977" s="6"/>
      <c r="AE63977" s="6"/>
      <c r="AF63977" s="6"/>
      <c r="AG63977" s="6"/>
      <c r="AH63977" s="6"/>
      <c r="AI63977" s="6"/>
      <c r="AJ63977" s="6"/>
      <c r="AK63977" s="6"/>
      <c r="AL63977" s="6"/>
      <c r="AM63977" s="6"/>
    </row>
    <row r="63978" spans="2:39" ht="9.9499999999999993" hidden="1" customHeight="1" x14ac:dyDescent="0.2">
      <c r="B63978" s="6"/>
      <c r="C63978" s="6"/>
      <c r="D63978" s="6"/>
      <c r="E63978" s="6"/>
      <c r="F63978" s="6"/>
      <c r="G63978" s="6"/>
      <c r="H63978" s="6"/>
      <c r="I63978" s="6"/>
      <c r="J63978" s="6"/>
      <c r="K63978" s="6"/>
      <c r="L63978" s="6"/>
      <c r="M63978" s="6"/>
      <c r="N63978" s="6"/>
      <c r="O63978" s="6"/>
      <c r="P63978" s="6"/>
      <c r="Q63978" s="6"/>
      <c r="R63978" s="6"/>
      <c r="S63978" s="6"/>
      <c r="T63978" s="6"/>
      <c r="U63978" s="6"/>
      <c r="V63978" s="6"/>
      <c r="W63978" s="6"/>
      <c r="X63978" s="6"/>
      <c r="Y63978" s="6"/>
      <c r="Z63978" s="6"/>
      <c r="AA63978" s="6"/>
      <c r="AB63978" s="6"/>
      <c r="AC63978" s="6"/>
      <c r="AD63978" s="6"/>
      <c r="AE63978" s="6"/>
      <c r="AF63978" s="6"/>
      <c r="AG63978" s="6"/>
      <c r="AH63978" s="6"/>
      <c r="AI63978" s="6"/>
      <c r="AJ63978" s="6"/>
      <c r="AK63978" s="6"/>
      <c r="AL63978" s="6"/>
      <c r="AM63978" s="6"/>
    </row>
    <row r="63979" spans="2:39" ht="9.9499999999999993" hidden="1" customHeight="1" x14ac:dyDescent="0.2">
      <c r="B63979" s="6"/>
      <c r="C63979" s="6"/>
      <c r="D63979" s="6"/>
      <c r="E63979" s="6"/>
      <c r="F63979" s="6"/>
      <c r="G63979" s="6"/>
      <c r="H63979" s="6"/>
      <c r="I63979" s="6"/>
      <c r="J63979" s="6"/>
      <c r="K63979" s="6"/>
      <c r="L63979" s="6"/>
      <c r="M63979" s="6"/>
      <c r="N63979" s="6"/>
      <c r="O63979" s="6"/>
      <c r="P63979" s="6"/>
      <c r="Q63979" s="6"/>
      <c r="R63979" s="6"/>
      <c r="S63979" s="6"/>
      <c r="T63979" s="6"/>
      <c r="U63979" s="6"/>
      <c r="V63979" s="6"/>
      <c r="W63979" s="6"/>
      <c r="X63979" s="6"/>
      <c r="Y63979" s="6"/>
      <c r="Z63979" s="6"/>
      <c r="AA63979" s="6"/>
      <c r="AB63979" s="6"/>
      <c r="AC63979" s="6"/>
      <c r="AD63979" s="6"/>
      <c r="AE63979" s="6"/>
      <c r="AF63979" s="6"/>
      <c r="AG63979" s="6"/>
      <c r="AH63979" s="6"/>
      <c r="AI63979" s="6"/>
      <c r="AJ63979" s="6"/>
      <c r="AK63979" s="6"/>
      <c r="AL63979" s="6"/>
      <c r="AM63979" s="6"/>
    </row>
    <row r="63980" spans="2:39" ht="9.9499999999999993" hidden="1" customHeight="1" x14ac:dyDescent="0.2">
      <c r="B63980" s="6"/>
      <c r="C63980" s="6"/>
      <c r="D63980" s="6"/>
      <c r="E63980" s="6"/>
      <c r="F63980" s="6"/>
      <c r="G63980" s="6"/>
      <c r="H63980" s="6"/>
      <c r="I63980" s="6"/>
      <c r="J63980" s="6"/>
      <c r="K63980" s="6"/>
      <c r="L63980" s="6"/>
      <c r="M63980" s="6"/>
      <c r="N63980" s="6"/>
      <c r="O63980" s="6"/>
      <c r="P63980" s="6"/>
      <c r="Q63980" s="6"/>
      <c r="R63980" s="6"/>
      <c r="S63980" s="6"/>
      <c r="T63980" s="6"/>
      <c r="U63980" s="6"/>
      <c r="V63980" s="6"/>
      <c r="W63980" s="6"/>
      <c r="X63980" s="6"/>
      <c r="Y63980" s="6"/>
      <c r="Z63980" s="6"/>
      <c r="AA63980" s="6"/>
      <c r="AB63980" s="6"/>
      <c r="AC63980" s="6"/>
      <c r="AD63980" s="6"/>
      <c r="AE63980" s="6"/>
      <c r="AF63980" s="6"/>
      <c r="AG63980" s="6"/>
      <c r="AH63980" s="6"/>
      <c r="AI63980" s="6"/>
      <c r="AJ63980" s="6"/>
      <c r="AK63980" s="6"/>
      <c r="AL63980" s="6"/>
      <c r="AM63980" s="6"/>
    </row>
    <row r="63981" spans="2:39" ht="9.9499999999999993" hidden="1" customHeight="1" x14ac:dyDescent="0.2">
      <c r="B63981" s="6"/>
      <c r="C63981" s="6"/>
      <c r="D63981" s="6"/>
      <c r="E63981" s="6"/>
      <c r="F63981" s="6"/>
      <c r="G63981" s="6"/>
      <c r="H63981" s="6"/>
      <c r="I63981" s="6"/>
      <c r="J63981" s="6"/>
      <c r="K63981" s="6"/>
      <c r="L63981" s="6"/>
      <c r="M63981" s="6"/>
      <c r="N63981" s="6"/>
      <c r="O63981" s="6"/>
      <c r="P63981" s="6"/>
      <c r="Q63981" s="6"/>
      <c r="R63981" s="6"/>
      <c r="S63981" s="6"/>
      <c r="T63981" s="6"/>
      <c r="U63981" s="6"/>
      <c r="V63981" s="6"/>
      <c r="W63981" s="6"/>
      <c r="X63981" s="6"/>
      <c r="Y63981" s="6"/>
      <c r="Z63981" s="6"/>
      <c r="AA63981" s="6"/>
      <c r="AB63981" s="6"/>
      <c r="AC63981" s="6"/>
      <c r="AD63981" s="6"/>
      <c r="AE63981" s="6"/>
      <c r="AF63981" s="6"/>
      <c r="AG63981" s="6"/>
      <c r="AH63981" s="6"/>
      <c r="AI63981" s="6"/>
      <c r="AJ63981" s="6"/>
      <c r="AK63981" s="6"/>
      <c r="AL63981" s="6"/>
      <c r="AM63981" s="6"/>
    </row>
    <row r="63982" spans="2:39" ht="9.9499999999999993" hidden="1" customHeight="1" x14ac:dyDescent="0.2">
      <c r="B63982" s="6"/>
      <c r="C63982" s="6"/>
      <c r="D63982" s="6"/>
      <c r="E63982" s="6"/>
      <c r="F63982" s="6"/>
      <c r="G63982" s="6"/>
      <c r="H63982" s="6"/>
      <c r="I63982" s="6"/>
      <c r="J63982" s="6"/>
      <c r="K63982" s="6"/>
      <c r="L63982" s="6"/>
      <c r="M63982" s="6"/>
      <c r="N63982" s="6"/>
      <c r="O63982" s="6"/>
      <c r="P63982" s="6"/>
      <c r="Q63982" s="6"/>
      <c r="R63982" s="6"/>
      <c r="S63982" s="6"/>
      <c r="T63982" s="6"/>
      <c r="U63982" s="6"/>
      <c r="V63982" s="6"/>
      <c r="W63982" s="6"/>
      <c r="X63982" s="6"/>
      <c r="Y63982" s="6"/>
      <c r="Z63982" s="6"/>
      <c r="AA63982" s="6"/>
      <c r="AB63982" s="6"/>
      <c r="AC63982" s="6"/>
      <c r="AD63982" s="6"/>
      <c r="AE63982" s="6"/>
      <c r="AF63982" s="6"/>
      <c r="AG63982" s="6"/>
      <c r="AH63982" s="6"/>
      <c r="AI63982" s="6"/>
      <c r="AJ63982" s="6"/>
      <c r="AK63982" s="6"/>
      <c r="AL63982" s="6"/>
      <c r="AM63982" s="6"/>
    </row>
    <row r="63983" spans="2:39" ht="9.9499999999999993" hidden="1" customHeight="1" x14ac:dyDescent="0.2">
      <c r="B63983" s="6"/>
      <c r="C63983" s="6"/>
      <c r="D63983" s="6"/>
      <c r="E63983" s="6"/>
      <c r="F63983" s="6"/>
      <c r="G63983" s="6"/>
      <c r="H63983" s="6"/>
      <c r="I63983" s="6"/>
      <c r="J63983" s="6"/>
      <c r="K63983" s="6"/>
      <c r="L63983" s="6"/>
      <c r="M63983" s="6"/>
      <c r="N63983" s="6"/>
      <c r="O63983" s="6"/>
      <c r="P63983" s="6"/>
      <c r="Q63983" s="6"/>
      <c r="R63983" s="6"/>
      <c r="S63983" s="6"/>
      <c r="T63983" s="6"/>
      <c r="U63983" s="6"/>
      <c r="V63983" s="6"/>
      <c r="W63983" s="6"/>
      <c r="X63983" s="6"/>
      <c r="Y63983" s="6"/>
      <c r="Z63983" s="6"/>
      <c r="AA63983" s="6"/>
      <c r="AB63983" s="6"/>
      <c r="AC63983" s="6"/>
      <c r="AD63983" s="6"/>
      <c r="AE63983" s="6"/>
      <c r="AF63983" s="6"/>
      <c r="AG63983" s="6"/>
      <c r="AH63983" s="6"/>
      <c r="AI63983" s="6"/>
      <c r="AJ63983" s="6"/>
      <c r="AK63983" s="6"/>
      <c r="AL63983" s="6"/>
      <c r="AM63983" s="6"/>
    </row>
    <row r="63984" spans="2:39" ht="9.9499999999999993" hidden="1" customHeight="1" x14ac:dyDescent="0.2">
      <c r="B63984" s="6"/>
      <c r="C63984" s="6"/>
      <c r="D63984" s="6"/>
      <c r="E63984" s="6"/>
      <c r="F63984" s="6"/>
      <c r="G63984" s="6"/>
      <c r="H63984" s="6"/>
      <c r="I63984" s="6"/>
      <c r="J63984" s="6"/>
      <c r="K63984" s="6"/>
      <c r="L63984" s="6"/>
      <c r="M63984" s="6"/>
      <c r="N63984" s="6"/>
      <c r="O63984" s="6"/>
      <c r="P63984" s="6"/>
      <c r="Q63984" s="6"/>
      <c r="R63984" s="6"/>
      <c r="S63984" s="6"/>
      <c r="T63984" s="6"/>
      <c r="U63984" s="6"/>
      <c r="V63984" s="6"/>
      <c r="W63984" s="6"/>
      <c r="X63984" s="6"/>
      <c r="Y63984" s="6"/>
      <c r="Z63984" s="6"/>
      <c r="AA63984" s="6"/>
      <c r="AB63984" s="6"/>
      <c r="AC63984" s="6"/>
      <c r="AD63984" s="6"/>
      <c r="AE63984" s="6"/>
      <c r="AF63984" s="6"/>
      <c r="AG63984" s="6"/>
      <c r="AH63984" s="6"/>
      <c r="AI63984" s="6"/>
      <c r="AJ63984" s="6"/>
      <c r="AK63984" s="6"/>
      <c r="AL63984" s="6"/>
      <c r="AM63984" s="6"/>
    </row>
    <row r="63985" spans="2:39" ht="9.9499999999999993" hidden="1" customHeight="1" x14ac:dyDescent="0.2">
      <c r="B63985" s="6"/>
      <c r="C63985" s="6"/>
      <c r="D63985" s="6"/>
      <c r="E63985" s="6"/>
      <c r="F63985" s="6"/>
      <c r="G63985" s="6"/>
      <c r="H63985" s="6"/>
      <c r="I63985" s="6"/>
      <c r="J63985" s="6"/>
      <c r="K63985" s="6"/>
      <c r="L63985" s="6"/>
      <c r="M63985" s="6"/>
      <c r="N63985" s="6"/>
      <c r="O63985" s="6"/>
      <c r="P63985" s="6"/>
      <c r="Q63985" s="6"/>
      <c r="R63985" s="6"/>
      <c r="S63985" s="6"/>
      <c r="T63985" s="6"/>
      <c r="U63985" s="6"/>
      <c r="V63985" s="6"/>
      <c r="W63985" s="6"/>
      <c r="X63985" s="6"/>
      <c r="Y63985" s="6"/>
      <c r="Z63985" s="6"/>
      <c r="AA63985" s="6"/>
      <c r="AB63985" s="6"/>
      <c r="AC63985" s="6"/>
      <c r="AD63985" s="6"/>
      <c r="AE63985" s="6"/>
      <c r="AF63985" s="6"/>
      <c r="AG63985" s="6"/>
      <c r="AH63985" s="6"/>
      <c r="AI63985" s="6"/>
      <c r="AJ63985" s="6"/>
      <c r="AK63985" s="6"/>
      <c r="AL63985" s="6"/>
      <c r="AM63985" s="6"/>
    </row>
    <row r="63986" spans="2:39" ht="9.9499999999999993" hidden="1" customHeight="1" x14ac:dyDescent="0.2">
      <c r="B63986" s="6"/>
      <c r="C63986" s="6"/>
      <c r="D63986" s="6"/>
      <c r="E63986" s="6"/>
      <c r="F63986" s="6"/>
      <c r="G63986" s="6"/>
      <c r="H63986" s="6"/>
      <c r="I63986" s="6"/>
      <c r="J63986" s="6"/>
      <c r="K63986" s="6"/>
      <c r="L63986" s="6"/>
      <c r="M63986" s="6"/>
      <c r="N63986" s="6"/>
      <c r="O63986" s="6"/>
      <c r="P63986" s="6"/>
      <c r="Q63986" s="6"/>
      <c r="R63986" s="6"/>
      <c r="S63986" s="6"/>
      <c r="T63986" s="6"/>
      <c r="U63986" s="6"/>
      <c r="V63986" s="6"/>
      <c r="W63986" s="6"/>
      <c r="X63986" s="6"/>
      <c r="Y63986" s="6"/>
      <c r="Z63986" s="6"/>
      <c r="AA63986" s="6"/>
      <c r="AB63986" s="6"/>
      <c r="AC63986" s="6"/>
      <c r="AD63986" s="6"/>
      <c r="AE63986" s="6"/>
      <c r="AF63986" s="6"/>
      <c r="AG63986" s="6"/>
      <c r="AH63986" s="6"/>
      <c r="AI63986" s="6"/>
      <c r="AJ63986" s="6"/>
      <c r="AK63986" s="6"/>
      <c r="AL63986" s="6"/>
      <c r="AM63986" s="6"/>
    </row>
    <row r="63987" spans="2:39" ht="9.9499999999999993" hidden="1" customHeight="1" x14ac:dyDescent="0.2">
      <c r="B63987" s="6"/>
      <c r="C63987" s="6"/>
      <c r="D63987" s="6"/>
      <c r="E63987" s="6"/>
      <c r="F63987" s="6"/>
      <c r="G63987" s="6"/>
      <c r="H63987" s="6"/>
      <c r="I63987" s="6"/>
      <c r="J63987" s="6"/>
      <c r="K63987" s="6"/>
      <c r="L63987" s="6"/>
      <c r="M63987" s="6"/>
      <c r="N63987" s="6"/>
      <c r="O63987" s="6"/>
      <c r="P63987" s="6"/>
      <c r="Q63987" s="6"/>
      <c r="R63987" s="6"/>
      <c r="S63987" s="6"/>
      <c r="T63987" s="6"/>
      <c r="U63987" s="6"/>
      <c r="V63987" s="6"/>
      <c r="W63987" s="6"/>
      <c r="X63987" s="6"/>
      <c r="Y63987" s="6"/>
      <c r="Z63987" s="6"/>
      <c r="AA63987" s="6"/>
      <c r="AB63987" s="6"/>
      <c r="AC63987" s="6"/>
      <c r="AD63987" s="6"/>
      <c r="AE63987" s="6"/>
      <c r="AF63987" s="6"/>
      <c r="AG63987" s="6"/>
      <c r="AH63987" s="6"/>
      <c r="AI63987" s="6"/>
      <c r="AJ63987" s="6"/>
      <c r="AK63987" s="6"/>
      <c r="AL63987" s="6"/>
      <c r="AM63987" s="6"/>
    </row>
    <row r="63988" spans="2:39" ht="9.9499999999999993" hidden="1" customHeight="1" x14ac:dyDescent="0.2">
      <c r="B63988" s="6"/>
      <c r="C63988" s="6"/>
      <c r="D63988" s="6"/>
      <c r="E63988" s="6"/>
      <c r="F63988" s="6"/>
      <c r="G63988" s="6"/>
      <c r="H63988" s="6"/>
      <c r="I63988" s="6"/>
      <c r="J63988" s="6"/>
      <c r="K63988" s="6"/>
      <c r="L63988" s="6"/>
      <c r="M63988" s="6"/>
      <c r="N63988" s="6"/>
      <c r="O63988" s="6"/>
      <c r="P63988" s="6"/>
      <c r="Q63988" s="6"/>
      <c r="R63988" s="6"/>
      <c r="S63988" s="6"/>
      <c r="T63988" s="6"/>
      <c r="U63988" s="6"/>
      <c r="V63988" s="6"/>
      <c r="W63988" s="6"/>
      <c r="X63988" s="6"/>
      <c r="Y63988" s="6"/>
      <c r="Z63988" s="6"/>
      <c r="AA63988" s="6"/>
      <c r="AB63988" s="6"/>
      <c r="AC63988" s="6"/>
      <c r="AD63988" s="6"/>
      <c r="AE63988" s="6"/>
      <c r="AF63988" s="6"/>
      <c r="AG63988" s="6"/>
      <c r="AH63988" s="6"/>
      <c r="AI63988" s="6"/>
      <c r="AJ63988" s="6"/>
      <c r="AK63988" s="6"/>
      <c r="AL63988" s="6"/>
      <c r="AM63988" s="6"/>
    </row>
    <row r="63989" spans="2:39" ht="9.9499999999999993" hidden="1" customHeight="1" x14ac:dyDescent="0.2">
      <c r="B63989" s="6"/>
      <c r="C63989" s="6"/>
      <c r="D63989" s="6"/>
      <c r="E63989" s="6"/>
      <c r="F63989" s="6"/>
      <c r="G63989" s="6"/>
      <c r="H63989" s="6"/>
      <c r="I63989" s="6"/>
      <c r="J63989" s="6"/>
      <c r="K63989" s="6"/>
      <c r="L63989" s="6"/>
      <c r="M63989" s="6"/>
      <c r="N63989" s="6"/>
      <c r="O63989" s="6"/>
      <c r="P63989" s="6"/>
      <c r="Q63989" s="6"/>
      <c r="R63989" s="6"/>
      <c r="S63989" s="6"/>
      <c r="T63989" s="6"/>
      <c r="U63989" s="6"/>
      <c r="V63989" s="6"/>
      <c r="W63989" s="6"/>
      <c r="X63989" s="6"/>
      <c r="Y63989" s="6"/>
      <c r="Z63989" s="6"/>
      <c r="AA63989" s="6"/>
      <c r="AB63989" s="6"/>
      <c r="AC63989" s="6"/>
      <c r="AD63989" s="6"/>
      <c r="AE63989" s="6"/>
      <c r="AF63989" s="6"/>
      <c r="AG63989" s="6"/>
      <c r="AH63989" s="6"/>
      <c r="AI63989" s="6"/>
      <c r="AJ63989" s="6"/>
      <c r="AK63989" s="6"/>
      <c r="AL63989" s="6"/>
      <c r="AM63989" s="6"/>
    </row>
    <row r="63990" spans="2:39" ht="9.9499999999999993" hidden="1" customHeight="1" x14ac:dyDescent="0.2">
      <c r="B63990" s="6"/>
      <c r="C63990" s="6"/>
      <c r="D63990" s="6"/>
      <c r="E63990" s="6"/>
      <c r="F63990" s="6"/>
      <c r="G63990" s="6"/>
      <c r="H63990" s="6"/>
      <c r="I63990" s="6"/>
      <c r="J63990" s="6"/>
      <c r="K63990" s="6"/>
      <c r="L63990" s="6"/>
      <c r="M63990" s="6"/>
      <c r="N63990" s="6"/>
      <c r="O63990" s="6"/>
      <c r="P63990" s="6"/>
      <c r="Q63990" s="6"/>
      <c r="R63990" s="6"/>
      <c r="S63990" s="6"/>
      <c r="T63990" s="6"/>
      <c r="U63990" s="6"/>
      <c r="V63990" s="6"/>
      <c r="W63990" s="6"/>
      <c r="X63990" s="6"/>
      <c r="Y63990" s="6"/>
      <c r="Z63990" s="6"/>
      <c r="AA63990" s="6"/>
      <c r="AB63990" s="6"/>
      <c r="AC63990" s="6"/>
      <c r="AD63990" s="6"/>
      <c r="AE63990" s="6"/>
      <c r="AF63990" s="6"/>
      <c r="AG63990" s="6"/>
      <c r="AH63990" s="6"/>
      <c r="AI63990" s="6"/>
      <c r="AJ63990" s="6"/>
      <c r="AK63990" s="6"/>
      <c r="AL63990" s="6"/>
      <c r="AM63990" s="6"/>
    </row>
    <row r="63991" spans="2:39" ht="9.9499999999999993" hidden="1" customHeight="1" x14ac:dyDescent="0.2">
      <c r="B63991" s="6"/>
      <c r="C63991" s="6"/>
      <c r="D63991" s="6"/>
      <c r="E63991" s="6"/>
      <c r="F63991" s="6"/>
      <c r="G63991" s="6"/>
      <c r="H63991" s="6"/>
      <c r="I63991" s="6"/>
      <c r="J63991" s="6"/>
      <c r="K63991" s="6"/>
      <c r="L63991" s="6"/>
      <c r="M63991" s="6"/>
      <c r="N63991" s="6"/>
      <c r="O63991" s="6"/>
      <c r="P63991" s="6"/>
      <c r="Q63991" s="6"/>
      <c r="R63991" s="6"/>
      <c r="S63991" s="6"/>
      <c r="T63991" s="6"/>
      <c r="U63991" s="6"/>
      <c r="V63991" s="6"/>
      <c r="W63991" s="6"/>
      <c r="X63991" s="6"/>
      <c r="Y63991" s="6"/>
      <c r="Z63991" s="6"/>
      <c r="AA63991" s="6"/>
      <c r="AB63991" s="6"/>
      <c r="AC63991" s="6"/>
      <c r="AD63991" s="6"/>
      <c r="AE63991" s="6"/>
      <c r="AF63991" s="6"/>
      <c r="AG63991" s="6"/>
      <c r="AH63991" s="6"/>
      <c r="AI63991" s="6"/>
      <c r="AJ63991" s="6"/>
      <c r="AK63991" s="6"/>
      <c r="AL63991" s="6"/>
      <c r="AM63991" s="6"/>
    </row>
    <row r="63992" spans="2:39" ht="9.9499999999999993" hidden="1" customHeight="1" x14ac:dyDescent="0.2">
      <c r="B63992" s="6"/>
      <c r="C63992" s="6"/>
      <c r="D63992" s="6"/>
      <c r="E63992" s="6"/>
      <c r="F63992" s="6"/>
      <c r="G63992" s="6"/>
      <c r="H63992" s="6"/>
      <c r="I63992" s="6"/>
      <c r="J63992" s="6"/>
      <c r="K63992" s="6"/>
      <c r="L63992" s="6"/>
      <c r="M63992" s="6"/>
      <c r="N63992" s="6"/>
      <c r="O63992" s="6"/>
      <c r="P63992" s="6"/>
      <c r="Q63992" s="6"/>
      <c r="R63992" s="6"/>
      <c r="S63992" s="6"/>
      <c r="T63992" s="6"/>
      <c r="U63992" s="6"/>
      <c r="V63992" s="6"/>
      <c r="W63992" s="6"/>
      <c r="X63992" s="6"/>
      <c r="Y63992" s="6"/>
      <c r="Z63992" s="6"/>
      <c r="AA63992" s="6"/>
      <c r="AB63992" s="6"/>
      <c r="AC63992" s="6"/>
      <c r="AD63992" s="6"/>
      <c r="AE63992" s="6"/>
      <c r="AF63992" s="6"/>
      <c r="AG63992" s="6"/>
      <c r="AH63992" s="6"/>
      <c r="AI63992" s="6"/>
      <c r="AJ63992" s="6"/>
      <c r="AK63992" s="6"/>
      <c r="AL63992" s="6"/>
      <c r="AM63992" s="6"/>
    </row>
    <row r="63993" spans="2:39" ht="9.9499999999999993" hidden="1" customHeight="1" x14ac:dyDescent="0.2">
      <c r="B63993" s="6"/>
      <c r="C63993" s="6"/>
      <c r="D63993" s="6"/>
      <c r="E63993" s="6"/>
      <c r="F63993" s="6"/>
      <c r="G63993" s="6"/>
      <c r="H63993" s="6"/>
      <c r="I63993" s="6"/>
      <c r="J63993" s="6"/>
      <c r="K63993" s="6"/>
      <c r="L63993" s="6"/>
      <c r="M63993" s="6"/>
      <c r="N63993" s="6"/>
      <c r="O63993" s="6"/>
      <c r="P63993" s="6"/>
      <c r="Q63993" s="6"/>
      <c r="R63993" s="6"/>
      <c r="S63993" s="6"/>
      <c r="T63993" s="6"/>
      <c r="U63993" s="6"/>
      <c r="V63993" s="6"/>
      <c r="W63993" s="6"/>
      <c r="X63993" s="6"/>
      <c r="Y63993" s="6"/>
      <c r="Z63993" s="6"/>
      <c r="AA63993" s="6"/>
      <c r="AB63993" s="6"/>
      <c r="AC63993" s="6"/>
      <c r="AD63993" s="6"/>
      <c r="AE63993" s="6"/>
      <c r="AF63993" s="6"/>
      <c r="AG63993" s="6"/>
      <c r="AH63993" s="6"/>
      <c r="AI63993" s="6"/>
      <c r="AJ63993" s="6"/>
      <c r="AK63993" s="6"/>
      <c r="AL63993" s="6"/>
      <c r="AM63993" s="6"/>
    </row>
    <row r="63994" spans="2:39" ht="9.9499999999999993" hidden="1" customHeight="1" x14ac:dyDescent="0.2">
      <c r="B63994" s="6"/>
      <c r="C63994" s="6"/>
      <c r="D63994" s="6"/>
      <c r="E63994" s="6"/>
      <c r="F63994" s="6"/>
      <c r="G63994" s="6"/>
      <c r="H63994" s="6"/>
      <c r="I63994" s="6"/>
      <c r="J63994" s="6"/>
      <c r="K63994" s="6"/>
      <c r="L63994" s="6"/>
      <c r="M63994" s="6"/>
      <c r="N63994" s="6"/>
      <c r="O63994" s="6"/>
      <c r="P63994" s="6"/>
      <c r="Q63994" s="6"/>
      <c r="R63994" s="6"/>
      <c r="S63994" s="6"/>
      <c r="T63994" s="6"/>
      <c r="U63994" s="6"/>
      <c r="V63994" s="6"/>
      <c r="W63994" s="6"/>
      <c r="X63994" s="6"/>
      <c r="Y63994" s="6"/>
      <c r="Z63994" s="6"/>
      <c r="AA63994" s="6"/>
      <c r="AB63994" s="6"/>
      <c r="AC63994" s="6"/>
      <c r="AD63994" s="6"/>
      <c r="AE63994" s="6"/>
      <c r="AF63994" s="6"/>
      <c r="AG63994" s="6"/>
      <c r="AH63994" s="6"/>
      <c r="AI63994" s="6"/>
      <c r="AJ63994" s="6"/>
      <c r="AK63994" s="6"/>
      <c r="AL63994" s="6"/>
      <c r="AM63994" s="6"/>
    </row>
    <row r="63995" spans="2:39" ht="9.9499999999999993" hidden="1" customHeight="1" x14ac:dyDescent="0.2">
      <c r="B63995" s="6"/>
      <c r="C63995" s="6"/>
      <c r="D63995" s="6"/>
      <c r="E63995" s="6"/>
      <c r="F63995" s="6"/>
      <c r="G63995" s="6"/>
      <c r="H63995" s="6"/>
      <c r="I63995" s="6"/>
      <c r="J63995" s="6"/>
      <c r="K63995" s="6"/>
      <c r="L63995" s="6"/>
      <c r="M63995" s="6"/>
      <c r="N63995" s="6"/>
      <c r="O63995" s="6"/>
      <c r="P63995" s="6"/>
      <c r="Q63995" s="6"/>
      <c r="R63995" s="6"/>
      <c r="S63995" s="6"/>
      <c r="T63995" s="6"/>
      <c r="U63995" s="6"/>
      <c r="V63995" s="6"/>
      <c r="W63995" s="6"/>
      <c r="X63995" s="6"/>
      <c r="Y63995" s="6"/>
      <c r="Z63995" s="6"/>
      <c r="AA63995" s="6"/>
      <c r="AB63995" s="6"/>
      <c r="AC63995" s="6"/>
      <c r="AD63995" s="6"/>
      <c r="AE63995" s="6"/>
      <c r="AF63995" s="6"/>
      <c r="AG63995" s="6"/>
      <c r="AH63995" s="6"/>
      <c r="AI63995" s="6"/>
      <c r="AJ63995" s="6"/>
      <c r="AK63995" s="6"/>
      <c r="AL63995" s="6"/>
      <c r="AM63995" s="6"/>
    </row>
    <row r="63996" spans="2:39" ht="9.9499999999999993" hidden="1" customHeight="1" x14ac:dyDescent="0.2">
      <c r="B63996" s="6"/>
      <c r="C63996" s="6"/>
      <c r="D63996" s="6"/>
      <c r="E63996" s="6"/>
      <c r="F63996" s="6"/>
      <c r="G63996" s="6"/>
      <c r="H63996" s="6"/>
      <c r="I63996" s="6"/>
      <c r="J63996" s="6"/>
      <c r="K63996" s="6"/>
      <c r="L63996" s="6"/>
      <c r="M63996" s="6"/>
      <c r="N63996" s="6"/>
      <c r="O63996" s="6"/>
      <c r="P63996" s="6"/>
      <c r="Q63996" s="6"/>
      <c r="R63996" s="6"/>
      <c r="S63996" s="6"/>
      <c r="T63996" s="6"/>
      <c r="U63996" s="6"/>
      <c r="V63996" s="6"/>
      <c r="W63996" s="6"/>
      <c r="X63996" s="6"/>
      <c r="Y63996" s="6"/>
      <c r="Z63996" s="6"/>
      <c r="AA63996" s="6"/>
      <c r="AB63996" s="6"/>
      <c r="AC63996" s="6"/>
      <c r="AD63996" s="6"/>
      <c r="AE63996" s="6"/>
      <c r="AF63996" s="6"/>
      <c r="AG63996" s="6"/>
      <c r="AH63996" s="6"/>
      <c r="AI63996" s="6"/>
      <c r="AJ63996" s="6"/>
      <c r="AK63996" s="6"/>
      <c r="AL63996" s="6"/>
      <c r="AM63996" s="6"/>
    </row>
    <row r="63997" spans="2:39" ht="9.9499999999999993" hidden="1" customHeight="1" x14ac:dyDescent="0.2">
      <c r="B63997" s="6"/>
      <c r="C63997" s="6"/>
      <c r="D63997" s="6"/>
      <c r="E63997" s="6"/>
      <c r="F63997" s="6"/>
      <c r="G63997" s="6"/>
      <c r="H63997" s="6"/>
      <c r="I63997" s="6"/>
      <c r="J63997" s="6"/>
      <c r="K63997" s="6"/>
      <c r="L63997" s="6"/>
      <c r="M63997" s="6"/>
      <c r="N63997" s="6"/>
      <c r="O63997" s="6"/>
      <c r="P63997" s="6"/>
      <c r="Q63997" s="6"/>
      <c r="R63997" s="6"/>
      <c r="S63997" s="6"/>
      <c r="T63997" s="6"/>
      <c r="U63997" s="6"/>
      <c r="V63997" s="6"/>
      <c r="W63997" s="6"/>
      <c r="X63997" s="6"/>
      <c r="Y63997" s="6"/>
      <c r="Z63997" s="6"/>
      <c r="AA63997" s="6"/>
      <c r="AB63997" s="6"/>
      <c r="AC63997" s="6"/>
      <c r="AD63997" s="6"/>
      <c r="AE63997" s="6"/>
      <c r="AF63997" s="6"/>
      <c r="AG63997" s="6"/>
      <c r="AH63997" s="6"/>
      <c r="AI63997" s="6"/>
      <c r="AJ63997" s="6"/>
      <c r="AK63997" s="6"/>
      <c r="AL63997" s="6"/>
      <c r="AM63997" s="6"/>
    </row>
    <row r="63998" spans="2:39" ht="9.9499999999999993" hidden="1" customHeight="1" x14ac:dyDescent="0.2">
      <c r="B63998" s="6"/>
      <c r="C63998" s="6"/>
      <c r="D63998" s="6"/>
      <c r="E63998" s="6"/>
      <c r="F63998" s="6"/>
      <c r="G63998" s="6"/>
      <c r="H63998" s="6"/>
      <c r="I63998" s="6"/>
      <c r="J63998" s="6"/>
      <c r="K63998" s="6"/>
      <c r="L63998" s="6"/>
      <c r="M63998" s="6"/>
      <c r="N63998" s="6"/>
      <c r="O63998" s="6"/>
      <c r="P63998" s="6"/>
      <c r="Q63998" s="6"/>
      <c r="R63998" s="6"/>
      <c r="S63998" s="6"/>
      <c r="T63998" s="6"/>
      <c r="U63998" s="6"/>
      <c r="V63998" s="6"/>
      <c r="W63998" s="6"/>
      <c r="X63998" s="6"/>
      <c r="Y63998" s="6"/>
      <c r="Z63998" s="6"/>
      <c r="AA63998" s="6"/>
      <c r="AB63998" s="6"/>
      <c r="AC63998" s="6"/>
      <c r="AD63998" s="6"/>
      <c r="AE63998" s="6"/>
      <c r="AF63998" s="6"/>
      <c r="AG63998" s="6"/>
      <c r="AH63998" s="6"/>
      <c r="AI63998" s="6"/>
      <c r="AJ63998" s="6"/>
      <c r="AK63998" s="6"/>
      <c r="AL63998" s="6"/>
      <c r="AM63998" s="6"/>
    </row>
    <row r="63999" spans="2:39" ht="9.9499999999999993" hidden="1" customHeight="1" x14ac:dyDescent="0.2">
      <c r="B63999" s="6"/>
      <c r="C63999" s="6"/>
      <c r="D63999" s="6"/>
      <c r="E63999" s="6"/>
      <c r="F63999" s="6"/>
      <c r="G63999" s="6"/>
      <c r="H63999" s="6"/>
      <c r="I63999" s="6"/>
      <c r="J63999" s="6"/>
      <c r="K63999" s="6"/>
      <c r="L63999" s="6"/>
      <c r="M63999" s="6"/>
      <c r="N63999" s="6"/>
      <c r="O63999" s="6"/>
      <c r="P63999" s="6"/>
      <c r="Q63999" s="6"/>
      <c r="R63999" s="6"/>
      <c r="S63999" s="6"/>
      <c r="T63999" s="6"/>
      <c r="U63999" s="6"/>
      <c r="V63999" s="6"/>
      <c r="W63999" s="6"/>
      <c r="X63999" s="6"/>
      <c r="Y63999" s="6"/>
      <c r="Z63999" s="6"/>
      <c r="AA63999" s="6"/>
      <c r="AB63999" s="6"/>
      <c r="AC63999" s="6"/>
      <c r="AD63999" s="6"/>
      <c r="AE63999" s="6"/>
      <c r="AF63999" s="6"/>
      <c r="AG63999" s="6"/>
      <c r="AH63999" s="6"/>
      <c r="AI63999" s="6"/>
      <c r="AJ63999" s="6"/>
      <c r="AK63999" s="6"/>
      <c r="AL63999" s="6"/>
      <c r="AM63999" s="6"/>
    </row>
    <row r="64000" spans="2:39" ht="9.9499999999999993" hidden="1" customHeight="1" x14ac:dyDescent="0.2">
      <c r="B64000" s="6"/>
      <c r="C64000" s="6"/>
      <c r="D64000" s="6"/>
      <c r="E64000" s="6"/>
      <c r="F64000" s="6"/>
      <c r="G64000" s="6"/>
      <c r="H64000" s="6"/>
      <c r="I64000" s="6"/>
      <c r="J64000" s="6"/>
      <c r="K64000" s="6"/>
      <c r="L64000" s="6"/>
      <c r="M64000" s="6"/>
      <c r="N64000" s="6"/>
      <c r="O64000" s="6"/>
      <c r="P64000" s="6"/>
      <c r="Q64000" s="6"/>
      <c r="R64000" s="6"/>
      <c r="S64000" s="6"/>
      <c r="T64000" s="6"/>
      <c r="U64000" s="6"/>
      <c r="V64000" s="6"/>
      <c r="W64000" s="6"/>
      <c r="X64000" s="6"/>
      <c r="Y64000" s="6"/>
      <c r="Z64000" s="6"/>
      <c r="AA64000" s="6"/>
      <c r="AB64000" s="6"/>
      <c r="AC64000" s="6"/>
      <c r="AD64000" s="6"/>
      <c r="AE64000" s="6"/>
      <c r="AF64000" s="6"/>
      <c r="AG64000" s="6"/>
      <c r="AH64000" s="6"/>
      <c r="AI64000" s="6"/>
      <c r="AJ64000" s="6"/>
      <c r="AK64000" s="6"/>
      <c r="AL64000" s="6"/>
      <c r="AM64000" s="6"/>
    </row>
    <row r="64001" spans="2:39" ht="9.9499999999999993" hidden="1" customHeight="1" x14ac:dyDescent="0.2">
      <c r="B64001" s="6"/>
      <c r="C64001" s="6"/>
      <c r="D64001" s="6"/>
      <c r="E64001" s="6"/>
      <c r="F64001" s="6"/>
      <c r="G64001" s="6"/>
      <c r="H64001" s="6"/>
      <c r="I64001" s="6"/>
      <c r="J64001" s="6"/>
      <c r="K64001" s="6"/>
      <c r="L64001" s="6"/>
      <c r="M64001" s="6"/>
      <c r="N64001" s="6"/>
      <c r="O64001" s="6"/>
      <c r="P64001" s="6"/>
      <c r="Q64001" s="6"/>
      <c r="R64001" s="6"/>
      <c r="S64001" s="6"/>
      <c r="T64001" s="6"/>
      <c r="U64001" s="6"/>
      <c r="V64001" s="6"/>
      <c r="W64001" s="6"/>
      <c r="X64001" s="6"/>
      <c r="Y64001" s="6"/>
      <c r="Z64001" s="6"/>
      <c r="AA64001" s="6"/>
      <c r="AB64001" s="6"/>
      <c r="AC64001" s="6"/>
      <c r="AD64001" s="6"/>
      <c r="AE64001" s="6"/>
      <c r="AF64001" s="6"/>
      <c r="AG64001" s="6"/>
      <c r="AH64001" s="6"/>
      <c r="AI64001" s="6"/>
      <c r="AJ64001" s="6"/>
      <c r="AK64001" s="6"/>
      <c r="AL64001" s="6"/>
      <c r="AM64001" s="6"/>
    </row>
    <row r="64002" spans="2:39" ht="9.9499999999999993" hidden="1" customHeight="1" x14ac:dyDescent="0.2">
      <c r="B64002" s="6"/>
      <c r="C64002" s="6"/>
      <c r="D64002" s="6"/>
      <c r="E64002" s="6"/>
      <c r="F64002" s="6"/>
      <c r="G64002" s="6"/>
      <c r="H64002" s="6"/>
      <c r="I64002" s="6"/>
      <c r="J64002" s="6"/>
      <c r="K64002" s="6"/>
      <c r="L64002" s="6"/>
      <c r="M64002" s="6"/>
      <c r="N64002" s="6"/>
      <c r="O64002" s="6"/>
      <c r="P64002" s="6"/>
      <c r="Q64002" s="6"/>
      <c r="R64002" s="6"/>
      <c r="S64002" s="6"/>
      <c r="T64002" s="6"/>
      <c r="U64002" s="6"/>
      <c r="V64002" s="6"/>
      <c r="W64002" s="6"/>
      <c r="X64002" s="6"/>
      <c r="Y64002" s="6"/>
      <c r="Z64002" s="6"/>
      <c r="AA64002" s="6"/>
      <c r="AB64002" s="6"/>
      <c r="AC64002" s="6"/>
      <c r="AD64002" s="6"/>
      <c r="AE64002" s="6"/>
      <c r="AF64002" s="6"/>
      <c r="AG64002" s="6"/>
      <c r="AH64002" s="6"/>
      <c r="AI64002" s="6"/>
      <c r="AJ64002" s="6"/>
      <c r="AK64002" s="6"/>
      <c r="AL64002" s="6"/>
      <c r="AM64002" s="6"/>
    </row>
    <row r="64003" spans="2:39" ht="9.9499999999999993" hidden="1" customHeight="1" x14ac:dyDescent="0.2">
      <c r="B64003" s="6"/>
      <c r="C64003" s="6"/>
      <c r="D64003" s="6"/>
      <c r="E64003" s="6"/>
      <c r="F64003" s="6"/>
      <c r="G64003" s="6"/>
      <c r="H64003" s="6"/>
      <c r="I64003" s="6"/>
      <c r="J64003" s="6"/>
      <c r="K64003" s="6"/>
      <c r="L64003" s="6"/>
      <c r="M64003" s="6"/>
      <c r="N64003" s="6"/>
      <c r="O64003" s="6"/>
      <c r="P64003" s="6"/>
      <c r="Q64003" s="6"/>
      <c r="R64003" s="6"/>
      <c r="S64003" s="6"/>
      <c r="T64003" s="6"/>
      <c r="U64003" s="6"/>
      <c r="V64003" s="6"/>
      <c r="W64003" s="6"/>
      <c r="X64003" s="6"/>
      <c r="Y64003" s="6"/>
      <c r="Z64003" s="6"/>
      <c r="AA64003" s="6"/>
      <c r="AB64003" s="6"/>
      <c r="AC64003" s="6"/>
      <c r="AD64003" s="6"/>
      <c r="AE64003" s="6"/>
      <c r="AF64003" s="6"/>
      <c r="AG64003" s="6"/>
      <c r="AH64003" s="6"/>
      <c r="AI64003" s="6"/>
      <c r="AJ64003" s="6"/>
      <c r="AK64003" s="6"/>
      <c r="AL64003" s="6"/>
      <c r="AM64003" s="6"/>
    </row>
    <row r="64004" spans="2:39" ht="9.9499999999999993" hidden="1" customHeight="1" x14ac:dyDescent="0.2">
      <c r="B64004" s="6"/>
      <c r="C64004" s="6"/>
      <c r="D64004" s="6"/>
      <c r="E64004" s="6"/>
      <c r="F64004" s="6"/>
      <c r="G64004" s="6"/>
      <c r="H64004" s="6"/>
      <c r="I64004" s="6"/>
      <c r="J64004" s="6"/>
      <c r="K64004" s="6"/>
      <c r="L64004" s="6"/>
      <c r="M64004" s="6"/>
      <c r="N64004" s="6"/>
      <c r="O64004" s="6"/>
      <c r="P64004" s="6"/>
      <c r="Q64004" s="6"/>
      <c r="R64004" s="6"/>
      <c r="S64004" s="6"/>
      <c r="T64004" s="6"/>
      <c r="U64004" s="6"/>
      <c r="V64004" s="6"/>
      <c r="W64004" s="6"/>
      <c r="X64004" s="6"/>
      <c r="Y64004" s="6"/>
      <c r="Z64004" s="6"/>
      <c r="AA64004" s="6"/>
      <c r="AB64004" s="6"/>
      <c r="AC64004" s="6"/>
      <c r="AD64004" s="6"/>
      <c r="AE64004" s="6"/>
      <c r="AF64004" s="6"/>
      <c r="AG64004" s="6"/>
      <c r="AH64004" s="6"/>
      <c r="AI64004" s="6"/>
      <c r="AJ64004" s="6"/>
      <c r="AK64004" s="6"/>
      <c r="AL64004" s="6"/>
      <c r="AM64004" s="6"/>
    </row>
    <row r="64005" spans="2:39" ht="9.9499999999999993" hidden="1" customHeight="1" x14ac:dyDescent="0.2">
      <c r="B64005" s="6"/>
      <c r="C64005" s="6"/>
      <c r="D64005" s="6"/>
      <c r="E64005" s="6"/>
      <c r="F64005" s="6"/>
      <c r="G64005" s="6"/>
      <c r="H64005" s="6"/>
      <c r="I64005" s="6"/>
      <c r="J64005" s="6"/>
      <c r="K64005" s="6"/>
      <c r="L64005" s="6"/>
      <c r="M64005" s="6"/>
      <c r="N64005" s="6"/>
      <c r="O64005" s="6"/>
      <c r="P64005" s="6"/>
      <c r="Q64005" s="6"/>
      <c r="R64005" s="6"/>
      <c r="S64005" s="6"/>
      <c r="T64005" s="6"/>
      <c r="U64005" s="6"/>
      <c r="V64005" s="6"/>
      <c r="W64005" s="6"/>
      <c r="X64005" s="6"/>
      <c r="Y64005" s="6"/>
      <c r="Z64005" s="6"/>
      <c r="AA64005" s="6"/>
      <c r="AB64005" s="6"/>
      <c r="AC64005" s="6"/>
      <c r="AD64005" s="6"/>
      <c r="AE64005" s="6"/>
      <c r="AF64005" s="6"/>
      <c r="AG64005" s="6"/>
      <c r="AH64005" s="6"/>
      <c r="AI64005" s="6"/>
      <c r="AJ64005" s="6"/>
      <c r="AK64005" s="6"/>
      <c r="AL64005" s="6"/>
      <c r="AM64005" s="6"/>
    </row>
    <row r="64006" spans="2:39" ht="9.9499999999999993" hidden="1" customHeight="1" x14ac:dyDescent="0.2">
      <c r="B64006" s="6"/>
      <c r="C64006" s="6"/>
      <c r="D64006" s="6"/>
      <c r="E64006" s="6"/>
      <c r="F64006" s="6"/>
      <c r="G64006" s="6"/>
      <c r="H64006" s="6"/>
      <c r="I64006" s="6"/>
      <c r="J64006" s="6"/>
      <c r="K64006" s="6"/>
      <c r="L64006" s="6"/>
      <c r="M64006" s="6"/>
      <c r="N64006" s="6"/>
      <c r="O64006" s="6"/>
      <c r="P64006" s="6"/>
      <c r="Q64006" s="6"/>
      <c r="R64006" s="6"/>
      <c r="S64006" s="6"/>
      <c r="T64006" s="6"/>
      <c r="U64006" s="6"/>
      <c r="V64006" s="6"/>
      <c r="W64006" s="6"/>
      <c r="X64006" s="6"/>
      <c r="Y64006" s="6"/>
      <c r="Z64006" s="6"/>
      <c r="AA64006" s="6"/>
      <c r="AB64006" s="6"/>
      <c r="AC64006" s="6"/>
      <c r="AD64006" s="6"/>
      <c r="AE64006" s="6"/>
      <c r="AF64006" s="6"/>
      <c r="AG64006" s="6"/>
      <c r="AH64006" s="6"/>
      <c r="AI64006" s="6"/>
      <c r="AJ64006" s="6"/>
      <c r="AK64006" s="6"/>
      <c r="AL64006" s="6"/>
      <c r="AM64006" s="6"/>
    </row>
    <row r="64007" spans="2:39" ht="9.9499999999999993" hidden="1" customHeight="1" x14ac:dyDescent="0.2">
      <c r="B64007" s="6"/>
      <c r="C64007" s="6"/>
      <c r="D64007" s="6"/>
      <c r="E64007" s="6"/>
      <c r="F64007" s="6"/>
      <c r="G64007" s="6"/>
      <c r="H64007" s="6"/>
      <c r="I64007" s="6"/>
      <c r="J64007" s="6"/>
      <c r="K64007" s="6"/>
      <c r="L64007" s="6"/>
      <c r="M64007" s="6"/>
      <c r="N64007" s="6"/>
      <c r="O64007" s="6"/>
      <c r="P64007" s="6"/>
      <c r="Q64007" s="6"/>
      <c r="R64007" s="6"/>
      <c r="S64007" s="6"/>
      <c r="T64007" s="6"/>
      <c r="U64007" s="6"/>
      <c r="V64007" s="6"/>
      <c r="W64007" s="6"/>
      <c r="X64007" s="6"/>
      <c r="Y64007" s="6"/>
      <c r="Z64007" s="6"/>
      <c r="AA64007" s="6"/>
      <c r="AB64007" s="6"/>
      <c r="AC64007" s="6"/>
      <c r="AD64007" s="6"/>
      <c r="AE64007" s="6"/>
      <c r="AF64007" s="6"/>
      <c r="AG64007" s="6"/>
      <c r="AH64007" s="6"/>
      <c r="AI64007" s="6"/>
      <c r="AJ64007" s="6"/>
      <c r="AK64007" s="6"/>
      <c r="AL64007" s="6"/>
      <c r="AM64007" s="6"/>
    </row>
    <row r="64008" spans="2:39" ht="9.9499999999999993" hidden="1" customHeight="1" x14ac:dyDescent="0.2">
      <c r="B64008" s="6"/>
      <c r="C64008" s="6"/>
      <c r="D64008" s="6"/>
      <c r="E64008" s="6"/>
      <c r="F64008" s="6"/>
      <c r="G64008" s="6"/>
      <c r="H64008" s="6"/>
      <c r="I64008" s="6"/>
      <c r="J64008" s="6"/>
      <c r="K64008" s="6"/>
      <c r="L64008" s="6"/>
      <c r="M64008" s="6"/>
      <c r="N64008" s="6"/>
      <c r="O64008" s="6"/>
      <c r="P64008" s="6"/>
      <c r="Q64008" s="6"/>
      <c r="R64008" s="6"/>
      <c r="S64008" s="6"/>
      <c r="T64008" s="6"/>
      <c r="U64008" s="6"/>
      <c r="V64008" s="6"/>
      <c r="W64008" s="6"/>
      <c r="X64008" s="6"/>
      <c r="Y64008" s="6"/>
      <c r="Z64008" s="6"/>
      <c r="AA64008" s="6"/>
      <c r="AB64008" s="6"/>
      <c r="AC64008" s="6"/>
      <c r="AD64008" s="6"/>
      <c r="AE64008" s="6"/>
      <c r="AF64008" s="6"/>
      <c r="AG64008" s="6"/>
      <c r="AH64008" s="6"/>
      <c r="AI64008" s="6"/>
      <c r="AJ64008" s="6"/>
      <c r="AK64008" s="6"/>
      <c r="AL64008" s="6"/>
      <c r="AM64008" s="6"/>
    </row>
    <row r="64009" spans="2:39" ht="9.9499999999999993" hidden="1" customHeight="1" x14ac:dyDescent="0.2">
      <c r="B64009" s="6"/>
      <c r="C64009" s="6"/>
      <c r="D64009" s="6"/>
      <c r="E64009" s="6"/>
      <c r="F64009" s="6"/>
      <c r="G64009" s="6"/>
      <c r="H64009" s="6"/>
      <c r="I64009" s="6"/>
      <c r="J64009" s="6"/>
      <c r="K64009" s="6"/>
      <c r="L64009" s="6"/>
      <c r="M64009" s="6"/>
      <c r="N64009" s="6"/>
      <c r="O64009" s="6"/>
      <c r="P64009" s="6"/>
      <c r="Q64009" s="6"/>
      <c r="R64009" s="6"/>
      <c r="S64009" s="6"/>
      <c r="T64009" s="6"/>
      <c r="U64009" s="6"/>
      <c r="V64009" s="6"/>
      <c r="W64009" s="6"/>
      <c r="X64009" s="6"/>
      <c r="Y64009" s="6"/>
      <c r="Z64009" s="6"/>
      <c r="AA64009" s="6"/>
      <c r="AB64009" s="6"/>
      <c r="AC64009" s="6"/>
      <c r="AD64009" s="6"/>
      <c r="AE64009" s="6"/>
      <c r="AF64009" s="6"/>
      <c r="AG64009" s="6"/>
      <c r="AH64009" s="6"/>
      <c r="AI64009" s="6"/>
      <c r="AJ64009" s="6"/>
      <c r="AK64009" s="6"/>
      <c r="AL64009" s="6"/>
      <c r="AM64009" s="6"/>
    </row>
    <row r="64010" spans="2:39" ht="9.9499999999999993" hidden="1" customHeight="1" x14ac:dyDescent="0.2">
      <c r="B64010" s="6"/>
      <c r="C64010" s="6"/>
      <c r="D64010" s="6"/>
      <c r="E64010" s="6"/>
      <c r="F64010" s="6"/>
      <c r="G64010" s="6"/>
      <c r="H64010" s="6"/>
      <c r="I64010" s="6"/>
      <c r="J64010" s="6"/>
      <c r="K64010" s="6"/>
      <c r="L64010" s="6"/>
      <c r="M64010" s="6"/>
      <c r="N64010" s="6"/>
      <c r="O64010" s="6"/>
      <c r="P64010" s="6"/>
      <c r="Q64010" s="6"/>
      <c r="R64010" s="6"/>
      <c r="S64010" s="6"/>
      <c r="T64010" s="6"/>
      <c r="U64010" s="6"/>
      <c r="V64010" s="6"/>
      <c r="W64010" s="6"/>
      <c r="X64010" s="6"/>
      <c r="Y64010" s="6"/>
      <c r="Z64010" s="6"/>
      <c r="AA64010" s="6"/>
      <c r="AB64010" s="6"/>
      <c r="AC64010" s="6"/>
      <c r="AD64010" s="6"/>
      <c r="AE64010" s="6"/>
      <c r="AF64010" s="6"/>
      <c r="AG64010" s="6"/>
      <c r="AH64010" s="6"/>
      <c r="AI64010" s="6"/>
      <c r="AJ64010" s="6"/>
      <c r="AK64010" s="6"/>
      <c r="AL64010" s="6"/>
      <c r="AM64010" s="6"/>
    </row>
    <row r="64011" spans="2:39" ht="9.9499999999999993" hidden="1" customHeight="1" x14ac:dyDescent="0.2">
      <c r="B64011" s="6"/>
      <c r="C64011" s="6"/>
      <c r="D64011" s="6"/>
      <c r="E64011" s="6"/>
      <c r="F64011" s="6"/>
      <c r="G64011" s="6"/>
      <c r="H64011" s="6"/>
      <c r="I64011" s="6"/>
      <c r="J64011" s="6"/>
      <c r="K64011" s="6"/>
      <c r="L64011" s="6"/>
      <c r="M64011" s="6"/>
      <c r="N64011" s="6"/>
      <c r="O64011" s="6"/>
      <c r="P64011" s="6"/>
      <c r="Q64011" s="6"/>
      <c r="R64011" s="6"/>
      <c r="S64011" s="6"/>
      <c r="T64011" s="6"/>
      <c r="U64011" s="6"/>
      <c r="V64011" s="6"/>
      <c r="W64011" s="6"/>
      <c r="X64011" s="6"/>
      <c r="Y64011" s="6"/>
      <c r="Z64011" s="6"/>
      <c r="AA64011" s="6"/>
      <c r="AB64011" s="6"/>
      <c r="AC64011" s="6"/>
      <c r="AD64011" s="6"/>
      <c r="AE64011" s="6"/>
      <c r="AF64011" s="6"/>
      <c r="AG64011" s="6"/>
      <c r="AH64011" s="6"/>
      <c r="AI64011" s="6"/>
      <c r="AJ64011" s="6"/>
      <c r="AK64011" s="6"/>
      <c r="AL64011" s="6"/>
      <c r="AM64011" s="6"/>
    </row>
    <row r="64012" spans="2:39" ht="9.9499999999999993" hidden="1" customHeight="1" x14ac:dyDescent="0.2">
      <c r="B64012" s="6"/>
      <c r="C64012" s="6"/>
      <c r="D64012" s="6"/>
      <c r="E64012" s="6"/>
      <c r="F64012" s="6"/>
      <c r="G64012" s="6"/>
      <c r="H64012" s="6"/>
      <c r="I64012" s="6"/>
      <c r="J64012" s="6"/>
      <c r="K64012" s="6"/>
      <c r="L64012" s="6"/>
      <c r="M64012" s="6"/>
      <c r="N64012" s="6"/>
      <c r="O64012" s="6"/>
      <c r="P64012" s="6"/>
      <c r="Q64012" s="6"/>
      <c r="R64012" s="6"/>
      <c r="S64012" s="6"/>
      <c r="T64012" s="6"/>
      <c r="U64012" s="6"/>
      <c r="V64012" s="6"/>
      <c r="W64012" s="6"/>
      <c r="X64012" s="6"/>
      <c r="Y64012" s="6"/>
      <c r="Z64012" s="6"/>
      <c r="AA64012" s="6"/>
      <c r="AB64012" s="6"/>
      <c r="AC64012" s="6"/>
      <c r="AD64012" s="6"/>
      <c r="AE64012" s="6"/>
      <c r="AF64012" s="6"/>
      <c r="AG64012" s="6"/>
      <c r="AH64012" s="6"/>
      <c r="AI64012" s="6"/>
      <c r="AJ64012" s="6"/>
      <c r="AK64012" s="6"/>
      <c r="AL64012" s="6"/>
      <c r="AM64012" s="6"/>
    </row>
    <row r="64013" spans="2:39" ht="9.9499999999999993" hidden="1" customHeight="1" x14ac:dyDescent="0.2">
      <c r="B64013" s="6"/>
      <c r="C64013" s="6"/>
      <c r="D64013" s="6"/>
      <c r="E64013" s="6"/>
      <c r="F64013" s="6"/>
      <c r="G64013" s="6"/>
      <c r="H64013" s="6"/>
      <c r="I64013" s="6"/>
      <c r="J64013" s="6"/>
      <c r="K64013" s="6"/>
      <c r="L64013" s="6"/>
      <c r="M64013" s="6"/>
      <c r="N64013" s="6"/>
      <c r="O64013" s="6"/>
      <c r="P64013" s="6"/>
      <c r="Q64013" s="6"/>
      <c r="R64013" s="6"/>
      <c r="S64013" s="6"/>
      <c r="T64013" s="6"/>
      <c r="U64013" s="6"/>
      <c r="V64013" s="6"/>
      <c r="W64013" s="6"/>
      <c r="X64013" s="6"/>
      <c r="Y64013" s="6"/>
      <c r="Z64013" s="6"/>
      <c r="AA64013" s="6"/>
      <c r="AB64013" s="6"/>
      <c r="AC64013" s="6"/>
      <c r="AD64013" s="6"/>
      <c r="AE64013" s="6"/>
      <c r="AF64013" s="6"/>
      <c r="AG64013" s="6"/>
      <c r="AH64013" s="6"/>
      <c r="AI64013" s="6"/>
      <c r="AJ64013" s="6"/>
      <c r="AK64013" s="6"/>
      <c r="AL64013" s="6"/>
      <c r="AM64013" s="6"/>
    </row>
    <row r="64014" spans="2:39" ht="9.9499999999999993" hidden="1" customHeight="1" x14ac:dyDescent="0.2">
      <c r="B64014" s="6"/>
      <c r="C64014" s="6"/>
      <c r="D64014" s="6"/>
      <c r="E64014" s="6"/>
      <c r="F64014" s="6"/>
      <c r="G64014" s="6"/>
      <c r="H64014" s="6"/>
      <c r="I64014" s="6"/>
      <c r="J64014" s="6"/>
      <c r="K64014" s="6"/>
      <c r="L64014" s="6"/>
      <c r="M64014" s="6"/>
      <c r="N64014" s="6"/>
      <c r="O64014" s="6"/>
      <c r="P64014" s="6"/>
      <c r="Q64014" s="6"/>
      <c r="R64014" s="6"/>
      <c r="S64014" s="6"/>
      <c r="T64014" s="6"/>
      <c r="U64014" s="6"/>
      <c r="V64014" s="6"/>
      <c r="W64014" s="6"/>
      <c r="X64014" s="6"/>
      <c r="Y64014" s="6"/>
      <c r="Z64014" s="6"/>
      <c r="AA64014" s="6"/>
      <c r="AB64014" s="6"/>
      <c r="AC64014" s="6"/>
      <c r="AD64014" s="6"/>
      <c r="AE64014" s="6"/>
      <c r="AF64014" s="6"/>
      <c r="AG64014" s="6"/>
      <c r="AH64014" s="6"/>
      <c r="AI64014" s="6"/>
      <c r="AJ64014" s="6"/>
      <c r="AK64014" s="6"/>
      <c r="AL64014" s="6"/>
      <c r="AM64014" s="6"/>
    </row>
    <row r="64015" spans="2:39" ht="9.9499999999999993" hidden="1" customHeight="1" x14ac:dyDescent="0.2">
      <c r="B64015" s="6"/>
      <c r="C64015" s="6"/>
      <c r="D64015" s="6"/>
      <c r="E64015" s="6"/>
      <c r="F64015" s="6"/>
      <c r="G64015" s="6"/>
      <c r="H64015" s="6"/>
      <c r="I64015" s="6"/>
      <c r="J64015" s="6"/>
      <c r="K64015" s="6"/>
      <c r="L64015" s="6"/>
      <c r="M64015" s="6"/>
      <c r="N64015" s="6"/>
      <c r="O64015" s="6"/>
      <c r="P64015" s="6"/>
      <c r="Q64015" s="6"/>
      <c r="R64015" s="6"/>
      <c r="S64015" s="6"/>
      <c r="T64015" s="6"/>
      <c r="U64015" s="6"/>
      <c r="V64015" s="6"/>
      <c r="W64015" s="6"/>
      <c r="X64015" s="6"/>
      <c r="Y64015" s="6"/>
      <c r="Z64015" s="6"/>
      <c r="AA64015" s="6"/>
      <c r="AB64015" s="6"/>
      <c r="AC64015" s="6"/>
      <c r="AD64015" s="6"/>
      <c r="AE64015" s="6"/>
      <c r="AF64015" s="6"/>
      <c r="AG64015" s="6"/>
      <c r="AH64015" s="6"/>
      <c r="AI64015" s="6"/>
      <c r="AJ64015" s="6"/>
      <c r="AK64015" s="6"/>
      <c r="AL64015" s="6"/>
      <c r="AM64015" s="6"/>
    </row>
    <row r="64016" spans="2:39" ht="9.9499999999999993" hidden="1" customHeight="1" x14ac:dyDescent="0.2">
      <c r="B64016" s="6"/>
      <c r="C64016" s="6"/>
      <c r="D64016" s="6"/>
      <c r="E64016" s="6"/>
      <c r="F64016" s="6"/>
      <c r="G64016" s="6"/>
      <c r="H64016" s="6"/>
      <c r="I64016" s="6"/>
      <c r="J64016" s="6"/>
      <c r="K64016" s="6"/>
      <c r="L64016" s="6"/>
      <c r="M64016" s="6"/>
      <c r="N64016" s="6"/>
      <c r="O64016" s="6"/>
      <c r="P64016" s="6"/>
      <c r="Q64016" s="6"/>
      <c r="R64016" s="6"/>
      <c r="S64016" s="6"/>
      <c r="T64016" s="6"/>
      <c r="U64016" s="6"/>
      <c r="V64016" s="6"/>
      <c r="W64016" s="6"/>
      <c r="X64016" s="6"/>
      <c r="Y64016" s="6"/>
      <c r="Z64016" s="6"/>
      <c r="AA64016" s="6"/>
      <c r="AB64016" s="6"/>
      <c r="AC64016" s="6"/>
      <c r="AD64016" s="6"/>
      <c r="AE64016" s="6"/>
      <c r="AF64016" s="6"/>
      <c r="AG64016" s="6"/>
      <c r="AH64016" s="6"/>
      <c r="AI64016" s="6"/>
      <c r="AJ64016" s="6"/>
      <c r="AK64016" s="6"/>
      <c r="AL64016" s="6"/>
      <c r="AM64016" s="6"/>
    </row>
    <row r="64017" spans="2:39" ht="9.9499999999999993" hidden="1" customHeight="1" x14ac:dyDescent="0.2">
      <c r="B64017" s="6"/>
      <c r="C64017" s="6"/>
      <c r="D64017" s="6"/>
      <c r="E64017" s="6"/>
      <c r="F64017" s="6"/>
      <c r="G64017" s="6"/>
      <c r="H64017" s="6"/>
      <c r="I64017" s="6"/>
      <c r="J64017" s="6"/>
      <c r="K64017" s="6"/>
      <c r="L64017" s="6"/>
      <c r="M64017" s="6"/>
      <c r="N64017" s="6"/>
      <c r="O64017" s="6"/>
      <c r="P64017" s="6"/>
      <c r="Q64017" s="6"/>
      <c r="R64017" s="6"/>
      <c r="S64017" s="6"/>
      <c r="T64017" s="6"/>
      <c r="U64017" s="6"/>
      <c r="V64017" s="6"/>
      <c r="W64017" s="6"/>
      <c r="X64017" s="6"/>
      <c r="Y64017" s="6"/>
      <c r="Z64017" s="6"/>
      <c r="AA64017" s="6"/>
      <c r="AB64017" s="6"/>
      <c r="AC64017" s="6"/>
      <c r="AD64017" s="6"/>
      <c r="AE64017" s="6"/>
      <c r="AF64017" s="6"/>
      <c r="AG64017" s="6"/>
      <c r="AH64017" s="6"/>
      <c r="AI64017" s="6"/>
      <c r="AJ64017" s="6"/>
      <c r="AK64017" s="6"/>
      <c r="AL64017" s="6"/>
      <c r="AM64017" s="6"/>
    </row>
    <row r="64018" spans="2:39" ht="9.9499999999999993" hidden="1" customHeight="1" x14ac:dyDescent="0.2">
      <c r="B64018" s="6"/>
      <c r="C64018" s="6"/>
      <c r="D64018" s="6"/>
      <c r="E64018" s="6"/>
      <c r="F64018" s="6"/>
      <c r="G64018" s="6"/>
      <c r="H64018" s="6"/>
      <c r="I64018" s="6"/>
      <c r="J64018" s="6"/>
      <c r="K64018" s="6"/>
      <c r="L64018" s="6"/>
      <c r="M64018" s="6"/>
      <c r="N64018" s="6"/>
      <c r="O64018" s="6"/>
      <c r="P64018" s="6"/>
      <c r="Q64018" s="6"/>
      <c r="R64018" s="6"/>
      <c r="S64018" s="6"/>
      <c r="T64018" s="6"/>
      <c r="U64018" s="6"/>
      <c r="V64018" s="6"/>
      <c r="W64018" s="6"/>
      <c r="X64018" s="6"/>
      <c r="Y64018" s="6"/>
      <c r="Z64018" s="6"/>
      <c r="AA64018" s="6"/>
      <c r="AB64018" s="6"/>
      <c r="AC64018" s="6"/>
      <c r="AD64018" s="6"/>
      <c r="AE64018" s="6"/>
      <c r="AF64018" s="6"/>
      <c r="AG64018" s="6"/>
      <c r="AH64018" s="6"/>
      <c r="AI64018" s="6"/>
      <c r="AJ64018" s="6"/>
      <c r="AK64018" s="6"/>
      <c r="AL64018" s="6"/>
      <c r="AM64018" s="6"/>
    </row>
    <row r="64019" spans="2:39" ht="9.9499999999999993" hidden="1" customHeight="1" x14ac:dyDescent="0.2">
      <c r="B64019" s="6"/>
      <c r="C64019" s="6"/>
      <c r="D64019" s="6"/>
      <c r="E64019" s="6"/>
      <c r="F64019" s="6"/>
      <c r="G64019" s="6"/>
      <c r="H64019" s="6"/>
      <c r="I64019" s="6"/>
      <c r="J64019" s="6"/>
      <c r="K64019" s="6"/>
      <c r="L64019" s="6"/>
      <c r="M64019" s="6"/>
      <c r="N64019" s="6"/>
      <c r="O64019" s="6"/>
      <c r="P64019" s="6"/>
      <c r="Q64019" s="6"/>
      <c r="R64019" s="6"/>
      <c r="S64019" s="6"/>
      <c r="T64019" s="6"/>
      <c r="U64019" s="6"/>
      <c r="V64019" s="6"/>
      <c r="W64019" s="6"/>
      <c r="X64019" s="6"/>
      <c r="Y64019" s="6"/>
      <c r="Z64019" s="6"/>
      <c r="AA64019" s="6"/>
      <c r="AB64019" s="6"/>
      <c r="AC64019" s="6"/>
      <c r="AD64019" s="6"/>
      <c r="AE64019" s="6"/>
      <c r="AF64019" s="6"/>
      <c r="AG64019" s="6"/>
      <c r="AH64019" s="6"/>
      <c r="AI64019" s="6"/>
      <c r="AJ64019" s="6"/>
      <c r="AK64019" s="6"/>
      <c r="AL64019" s="6"/>
      <c r="AM64019" s="6"/>
    </row>
    <row r="64020" spans="2:39" ht="9.9499999999999993" hidden="1" customHeight="1" x14ac:dyDescent="0.2">
      <c r="B64020" s="6"/>
      <c r="C64020" s="6"/>
      <c r="D64020" s="6"/>
      <c r="E64020" s="6"/>
      <c r="F64020" s="6"/>
      <c r="G64020" s="6"/>
      <c r="H64020" s="6"/>
      <c r="I64020" s="6"/>
      <c r="J64020" s="6"/>
      <c r="K64020" s="6"/>
      <c r="L64020" s="6"/>
      <c r="M64020" s="6"/>
      <c r="N64020" s="6"/>
      <c r="O64020" s="6"/>
      <c r="P64020" s="6"/>
      <c r="Q64020" s="6"/>
      <c r="R64020" s="6"/>
      <c r="S64020" s="6"/>
      <c r="T64020" s="6"/>
      <c r="U64020" s="6"/>
      <c r="V64020" s="6"/>
      <c r="W64020" s="6"/>
      <c r="X64020" s="6"/>
      <c r="Y64020" s="6"/>
      <c r="Z64020" s="6"/>
      <c r="AA64020" s="6"/>
      <c r="AB64020" s="6"/>
      <c r="AC64020" s="6"/>
      <c r="AD64020" s="6"/>
      <c r="AE64020" s="6"/>
      <c r="AF64020" s="6"/>
      <c r="AG64020" s="6"/>
      <c r="AH64020" s="6"/>
      <c r="AI64020" s="6"/>
      <c r="AJ64020" s="6"/>
      <c r="AK64020" s="6"/>
      <c r="AL64020" s="6"/>
      <c r="AM64020" s="6"/>
    </row>
    <row r="64021" spans="2:39" ht="9.9499999999999993" hidden="1" customHeight="1" x14ac:dyDescent="0.2">
      <c r="B64021" s="6"/>
      <c r="C64021" s="6"/>
      <c r="D64021" s="6"/>
      <c r="E64021" s="6"/>
      <c r="F64021" s="6"/>
      <c r="G64021" s="6"/>
      <c r="H64021" s="6"/>
      <c r="I64021" s="6"/>
      <c r="J64021" s="6"/>
      <c r="K64021" s="6"/>
      <c r="L64021" s="6"/>
      <c r="M64021" s="6"/>
      <c r="N64021" s="6"/>
      <c r="O64021" s="6"/>
      <c r="P64021" s="6"/>
      <c r="Q64021" s="6"/>
      <c r="R64021" s="6"/>
      <c r="S64021" s="6"/>
      <c r="T64021" s="6"/>
      <c r="U64021" s="6"/>
      <c r="V64021" s="6"/>
      <c r="W64021" s="6"/>
      <c r="X64021" s="6"/>
      <c r="Y64021" s="6"/>
      <c r="Z64021" s="6"/>
      <c r="AA64021" s="6"/>
      <c r="AB64021" s="6"/>
      <c r="AC64021" s="6"/>
      <c r="AD64021" s="6"/>
      <c r="AE64021" s="6"/>
      <c r="AF64021" s="6"/>
      <c r="AG64021" s="6"/>
      <c r="AH64021" s="6"/>
      <c r="AI64021" s="6"/>
      <c r="AJ64021" s="6"/>
      <c r="AK64021" s="6"/>
      <c r="AL64021" s="6"/>
      <c r="AM64021" s="6"/>
    </row>
    <row r="64022" spans="2:39" ht="9.9499999999999993" hidden="1" customHeight="1" x14ac:dyDescent="0.2">
      <c r="B64022" s="6"/>
      <c r="C64022" s="6"/>
      <c r="D64022" s="6"/>
      <c r="E64022" s="6"/>
      <c r="F64022" s="6"/>
      <c r="G64022" s="6"/>
      <c r="H64022" s="6"/>
      <c r="I64022" s="6"/>
      <c r="J64022" s="6"/>
      <c r="K64022" s="6"/>
      <c r="L64022" s="6"/>
      <c r="M64022" s="6"/>
      <c r="N64022" s="6"/>
      <c r="O64022" s="6"/>
      <c r="P64022" s="6"/>
      <c r="Q64022" s="6"/>
      <c r="R64022" s="6"/>
      <c r="S64022" s="6"/>
      <c r="T64022" s="6"/>
      <c r="U64022" s="6"/>
      <c r="V64022" s="6"/>
      <c r="W64022" s="6"/>
      <c r="X64022" s="6"/>
      <c r="Y64022" s="6"/>
      <c r="Z64022" s="6"/>
      <c r="AA64022" s="6"/>
      <c r="AB64022" s="6"/>
      <c r="AC64022" s="6"/>
      <c r="AD64022" s="6"/>
      <c r="AE64022" s="6"/>
      <c r="AF64022" s="6"/>
      <c r="AG64022" s="6"/>
      <c r="AH64022" s="6"/>
      <c r="AI64022" s="6"/>
      <c r="AJ64022" s="6"/>
      <c r="AK64022" s="6"/>
      <c r="AL64022" s="6"/>
      <c r="AM64022" s="6"/>
    </row>
    <row r="64023" spans="2:39" ht="9.9499999999999993" hidden="1" customHeight="1" x14ac:dyDescent="0.2">
      <c r="B64023" s="6"/>
      <c r="C64023" s="6"/>
      <c r="D64023" s="6"/>
      <c r="E64023" s="6"/>
      <c r="F64023" s="6"/>
      <c r="G64023" s="6"/>
      <c r="H64023" s="6"/>
      <c r="I64023" s="6"/>
      <c r="J64023" s="6"/>
      <c r="K64023" s="6"/>
      <c r="L64023" s="6"/>
      <c r="M64023" s="6"/>
      <c r="N64023" s="6"/>
      <c r="O64023" s="6"/>
      <c r="P64023" s="6"/>
      <c r="Q64023" s="6"/>
      <c r="R64023" s="6"/>
      <c r="S64023" s="6"/>
      <c r="T64023" s="6"/>
      <c r="U64023" s="6"/>
      <c r="V64023" s="6"/>
      <c r="W64023" s="6"/>
      <c r="X64023" s="6"/>
      <c r="Y64023" s="6"/>
      <c r="Z64023" s="6"/>
      <c r="AA64023" s="6"/>
      <c r="AB64023" s="6"/>
      <c r="AC64023" s="6"/>
      <c r="AD64023" s="6"/>
      <c r="AE64023" s="6"/>
      <c r="AF64023" s="6"/>
      <c r="AG64023" s="6"/>
      <c r="AH64023" s="6"/>
      <c r="AI64023" s="6"/>
      <c r="AJ64023" s="6"/>
      <c r="AK64023" s="6"/>
      <c r="AL64023" s="6"/>
      <c r="AM64023" s="6"/>
    </row>
    <row r="64024" spans="2:39" ht="9.9499999999999993" hidden="1" customHeight="1" x14ac:dyDescent="0.2">
      <c r="B64024" s="6"/>
      <c r="C64024" s="6"/>
      <c r="D64024" s="6"/>
      <c r="E64024" s="6"/>
      <c r="F64024" s="6"/>
      <c r="G64024" s="6"/>
      <c r="H64024" s="6"/>
      <c r="I64024" s="6"/>
      <c r="J64024" s="6"/>
      <c r="K64024" s="6"/>
      <c r="L64024" s="6"/>
      <c r="M64024" s="6"/>
      <c r="N64024" s="6"/>
      <c r="O64024" s="6"/>
      <c r="P64024" s="6"/>
      <c r="Q64024" s="6"/>
      <c r="R64024" s="6"/>
      <c r="S64024" s="6"/>
      <c r="T64024" s="6"/>
      <c r="U64024" s="6"/>
      <c r="V64024" s="6"/>
      <c r="W64024" s="6"/>
      <c r="X64024" s="6"/>
      <c r="Y64024" s="6"/>
      <c r="Z64024" s="6"/>
      <c r="AA64024" s="6"/>
      <c r="AB64024" s="6"/>
      <c r="AC64024" s="6"/>
      <c r="AD64024" s="6"/>
      <c r="AE64024" s="6"/>
      <c r="AF64024" s="6"/>
      <c r="AG64024" s="6"/>
      <c r="AH64024" s="6"/>
      <c r="AI64024" s="6"/>
      <c r="AJ64024" s="6"/>
      <c r="AK64024" s="6"/>
      <c r="AL64024" s="6"/>
      <c r="AM64024" s="6"/>
    </row>
    <row r="64025" spans="2:39" ht="9.9499999999999993" hidden="1" customHeight="1" x14ac:dyDescent="0.2">
      <c r="B64025" s="6"/>
      <c r="C64025" s="6"/>
      <c r="D64025" s="6"/>
      <c r="E64025" s="6"/>
      <c r="F64025" s="6"/>
      <c r="G64025" s="6"/>
      <c r="H64025" s="6"/>
      <c r="I64025" s="6"/>
      <c r="J64025" s="6"/>
      <c r="K64025" s="6"/>
      <c r="L64025" s="6"/>
      <c r="M64025" s="6"/>
      <c r="N64025" s="6"/>
      <c r="O64025" s="6"/>
      <c r="P64025" s="6"/>
      <c r="Q64025" s="6"/>
      <c r="R64025" s="6"/>
      <c r="S64025" s="6"/>
      <c r="T64025" s="6"/>
      <c r="U64025" s="6"/>
      <c r="V64025" s="6"/>
      <c r="W64025" s="6"/>
      <c r="X64025" s="6"/>
      <c r="Y64025" s="6"/>
      <c r="Z64025" s="6"/>
      <c r="AA64025" s="6"/>
      <c r="AB64025" s="6"/>
      <c r="AC64025" s="6"/>
      <c r="AD64025" s="6"/>
      <c r="AE64025" s="6"/>
      <c r="AF64025" s="6"/>
      <c r="AG64025" s="6"/>
      <c r="AH64025" s="6"/>
      <c r="AI64025" s="6"/>
      <c r="AJ64025" s="6"/>
      <c r="AK64025" s="6"/>
      <c r="AL64025" s="6"/>
      <c r="AM64025" s="6"/>
    </row>
    <row r="64026" spans="2:39" ht="9.9499999999999993" hidden="1" customHeight="1" x14ac:dyDescent="0.2">
      <c r="B64026" s="6"/>
      <c r="C64026" s="6"/>
      <c r="D64026" s="6"/>
      <c r="E64026" s="6"/>
      <c r="F64026" s="6"/>
      <c r="G64026" s="6"/>
      <c r="H64026" s="6"/>
      <c r="I64026" s="6"/>
      <c r="J64026" s="6"/>
      <c r="K64026" s="6"/>
      <c r="L64026" s="6"/>
      <c r="M64026" s="6"/>
      <c r="N64026" s="6"/>
      <c r="O64026" s="6"/>
      <c r="P64026" s="6"/>
      <c r="Q64026" s="6"/>
      <c r="R64026" s="6"/>
      <c r="S64026" s="6"/>
      <c r="T64026" s="6"/>
      <c r="U64026" s="6"/>
      <c r="V64026" s="6"/>
      <c r="W64026" s="6"/>
      <c r="X64026" s="6"/>
      <c r="Y64026" s="6"/>
      <c r="Z64026" s="6"/>
      <c r="AA64026" s="6"/>
      <c r="AB64026" s="6"/>
      <c r="AC64026" s="6"/>
      <c r="AD64026" s="6"/>
      <c r="AE64026" s="6"/>
      <c r="AF64026" s="6"/>
      <c r="AG64026" s="6"/>
      <c r="AH64026" s="6"/>
      <c r="AI64026" s="6"/>
      <c r="AJ64026" s="6"/>
      <c r="AK64026" s="6"/>
      <c r="AL64026" s="6"/>
      <c r="AM64026" s="6"/>
    </row>
    <row r="64027" spans="2:39" ht="9.9499999999999993" hidden="1" customHeight="1" x14ac:dyDescent="0.2">
      <c r="B64027" s="6"/>
      <c r="C64027" s="6"/>
      <c r="D64027" s="6"/>
      <c r="E64027" s="6"/>
      <c r="F64027" s="6"/>
      <c r="G64027" s="6"/>
      <c r="H64027" s="6"/>
      <c r="I64027" s="6"/>
      <c r="J64027" s="6"/>
      <c r="K64027" s="6"/>
      <c r="L64027" s="6"/>
      <c r="M64027" s="6"/>
      <c r="N64027" s="6"/>
      <c r="O64027" s="6"/>
      <c r="P64027" s="6"/>
      <c r="Q64027" s="6"/>
      <c r="R64027" s="6"/>
      <c r="S64027" s="6"/>
      <c r="T64027" s="6"/>
      <c r="U64027" s="6"/>
      <c r="V64027" s="6"/>
      <c r="W64027" s="6"/>
      <c r="X64027" s="6"/>
      <c r="Y64027" s="6"/>
      <c r="Z64027" s="6"/>
      <c r="AA64027" s="6"/>
      <c r="AB64027" s="6"/>
      <c r="AC64027" s="6"/>
      <c r="AD64027" s="6"/>
      <c r="AE64027" s="6"/>
      <c r="AF64027" s="6"/>
      <c r="AG64027" s="6"/>
      <c r="AH64027" s="6"/>
      <c r="AI64027" s="6"/>
      <c r="AJ64027" s="6"/>
      <c r="AK64027" s="6"/>
      <c r="AL64027" s="6"/>
      <c r="AM64027" s="6"/>
    </row>
    <row r="64028" spans="2:39" ht="9.9499999999999993" hidden="1" customHeight="1" x14ac:dyDescent="0.2">
      <c r="B64028" s="6"/>
      <c r="C64028" s="6"/>
      <c r="D64028" s="6"/>
      <c r="E64028" s="6"/>
      <c r="F64028" s="6"/>
      <c r="G64028" s="6"/>
      <c r="H64028" s="6"/>
      <c r="I64028" s="6"/>
      <c r="J64028" s="6"/>
      <c r="K64028" s="6"/>
      <c r="L64028" s="6"/>
      <c r="M64028" s="6"/>
      <c r="N64028" s="6"/>
      <c r="O64028" s="6"/>
      <c r="P64028" s="6"/>
      <c r="Q64028" s="6"/>
      <c r="R64028" s="6"/>
      <c r="S64028" s="6"/>
      <c r="T64028" s="6"/>
      <c r="U64028" s="6"/>
      <c r="V64028" s="6"/>
      <c r="W64028" s="6"/>
      <c r="X64028" s="6"/>
      <c r="Y64028" s="6"/>
      <c r="Z64028" s="6"/>
      <c r="AA64028" s="6"/>
      <c r="AB64028" s="6"/>
      <c r="AC64028" s="6"/>
      <c r="AD64028" s="6"/>
      <c r="AE64028" s="6"/>
      <c r="AF64028" s="6"/>
      <c r="AG64028" s="6"/>
      <c r="AH64028" s="6"/>
      <c r="AI64028" s="6"/>
      <c r="AJ64028" s="6"/>
      <c r="AK64028" s="6"/>
      <c r="AL64028" s="6"/>
      <c r="AM64028" s="6"/>
    </row>
    <row r="64029" spans="2:39" ht="9.9499999999999993" hidden="1" customHeight="1" x14ac:dyDescent="0.2">
      <c r="B64029" s="6"/>
      <c r="C64029" s="6"/>
      <c r="D64029" s="6"/>
      <c r="E64029" s="6"/>
      <c r="F64029" s="6"/>
      <c r="G64029" s="6"/>
      <c r="H64029" s="6"/>
      <c r="I64029" s="6"/>
      <c r="J64029" s="6"/>
      <c r="K64029" s="6"/>
      <c r="L64029" s="6"/>
      <c r="M64029" s="6"/>
      <c r="N64029" s="6"/>
      <c r="O64029" s="6"/>
      <c r="P64029" s="6"/>
      <c r="Q64029" s="6"/>
      <c r="R64029" s="6"/>
      <c r="S64029" s="6"/>
      <c r="T64029" s="6"/>
      <c r="U64029" s="6"/>
      <c r="V64029" s="6"/>
      <c r="W64029" s="6"/>
      <c r="X64029" s="6"/>
      <c r="Y64029" s="6"/>
      <c r="Z64029" s="6"/>
      <c r="AA64029" s="6"/>
      <c r="AB64029" s="6"/>
      <c r="AC64029" s="6"/>
      <c r="AD64029" s="6"/>
      <c r="AE64029" s="6"/>
      <c r="AF64029" s="6"/>
      <c r="AG64029" s="6"/>
      <c r="AH64029" s="6"/>
      <c r="AI64029" s="6"/>
      <c r="AJ64029" s="6"/>
      <c r="AK64029" s="6"/>
      <c r="AL64029" s="6"/>
      <c r="AM64029" s="6"/>
    </row>
    <row r="64030" spans="2:39" ht="9.9499999999999993" hidden="1" customHeight="1" x14ac:dyDescent="0.2">
      <c r="B64030" s="6"/>
      <c r="C64030" s="6"/>
      <c r="D64030" s="6"/>
      <c r="E64030" s="6"/>
      <c r="F64030" s="6"/>
      <c r="G64030" s="6"/>
      <c r="H64030" s="6"/>
      <c r="I64030" s="6"/>
      <c r="J64030" s="6"/>
      <c r="K64030" s="6"/>
      <c r="L64030" s="6"/>
      <c r="M64030" s="6"/>
      <c r="N64030" s="6"/>
      <c r="O64030" s="6"/>
      <c r="P64030" s="6"/>
      <c r="Q64030" s="6"/>
      <c r="R64030" s="6"/>
      <c r="S64030" s="6"/>
      <c r="T64030" s="6"/>
      <c r="U64030" s="6"/>
      <c r="V64030" s="6"/>
      <c r="W64030" s="6"/>
      <c r="X64030" s="6"/>
      <c r="Y64030" s="6"/>
      <c r="Z64030" s="6"/>
      <c r="AA64030" s="6"/>
      <c r="AB64030" s="6"/>
      <c r="AC64030" s="6"/>
      <c r="AD64030" s="6"/>
      <c r="AE64030" s="6"/>
      <c r="AF64030" s="6"/>
      <c r="AG64030" s="6"/>
      <c r="AH64030" s="6"/>
      <c r="AI64030" s="6"/>
      <c r="AJ64030" s="6"/>
      <c r="AK64030" s="6"/>
      <c r="AL64030" s="6"/>
      <c r="AM64030" s="6"/>
    </row>
    <row r="64031" spans="2:39" ht="9.9499999999999993" hidden="1" customHeight="1" x14ac:dyDescent="0.2">
      <c r="B64031" s="6"/>
      <c r="C64031" s="6"/>
      <c r="D64031" s="6"/>
      <c r="E64031" s="6"/>
      <c r="F64031" s="6"/>
      <c r="G64031" s="6"/>
      <c r="H64031" s="6"/>
      <c r="I64031" s="6"/>
      <c r="J64031" s="6"/>
      <c r="K64031" s="6"/>
      <c r="L64031" s="6"/>
      <c r="M64031" s="6"/>
      <c r="N64031" s="6"/>
      <c r="O64031" s="6"/>
      <c r="P64031" s="6"/>
      <c r="Q64031" s="6"/>
      <c r="R64031" s="6"/>
      <c r="S64031" s="6"/>
      <c r="T64031" s="6"/>
      <c r="U64031" s="6"/>
      <c r="V64031" s="6"/>
      <c r="W64031" s="6"/>
      <c r="X64031" s="6"/>
      <c r="Y64031" s="6"/>
      <c r="Z64031" s="6"/>
      <c r="AA64031" s="6"/>
      <c r="AB64031" s="6"/>
      <c r="AC64031" s="6"/>
      <c r="AD64031" s="6"/>
      <c r="AE64031" s="6"/>
      <c r="AF64031" s="6"/>
      <c r="AG64031" s="6"/>
      <c r="AH64031" s="6"/>
      <c r="AI64031" s="6"/>
      <c r="AJ64031" s="6"/>
      <c r="AK64031" s="6"/>
      <c r="AL64031" s="6"/>
      <c r="AM64031" s="6"/>
    </row>
    <row r="64032" spans="2:39" ht="9.9499999999999993" hidden="1" customHeight="1" x14ac:dyDescent="0.2">
      <c r="B64032" s="6"/>
      <c r="C64032" s="6"/>
      <c r="D64032" s="6"/>
      <c r="E64032" s="6"/>
      <c r="F64032" s="6"/>
      <c r="G64032" s="6"/>
      <c r="H64032" s="6"/>
      <c r="I64032" s="6"/>
      <c r="J64032" s="6"/>
      <c r="K64032" s="6"/>
      <c r="L64032" s="6"/>
      <c r="M64032" s="6"/>
      <c r="N64032" s="6"/>
      <c r="O64032" s="6"/>
      <c r="P64032" s="6"/>
      <c r="Q64032" s="6"/>
      <c r="R64032" s="6"/>
      <c r="S64032" s="6"/>
      <c r="T64032" s="6"/>
      <c r="U64032" s="6"/>
      <c r="V64032" s="6"/>
      <c r="W64032" s="6"/>
      <c r="X64032" s="6"/>
      <c r="Y64032" s="6"/>
      <c r="Z64032" s="6"/>
      <c r="AA64032" s="6"/>
      <c r="AB64032" s="6"/>
      <c r="AC64032" s="6"/>
      <c r="AD64032" s="6"/>
      <c r="AE64032" s="6"/>
      <c r="AF64032" s="6"/>
      <c r="AG64032" s="6"/>
      <c r="AH64032" s="6"/>
      <c r="AI64032" s="6"/>
      <c r="AJ64032" s="6"/>
      <c r="AK64032" s="6"/>
      <c r="AL64032" s="6"/>
      <c r="AM64032" s="6"/>
    </row>
    <row r="64033" spans="2:39" ht="9.9499999999999993" hidden="1" customHeight="1" x14ac:dyDescent="0.2">
      <c r="B64033" s="6"/>
      <c r="C64033" s="6"/>
      <c r="D64033" s="6"/>
      <c r="E64033" s="6"/>
      <c r="F64033" s="6"/>
      <c r="G64033" s="6"/>
      <c r="H64033" s="6"/>
      <c r="I64033" s="6"/>
      <c r="J64033" s="6"/>
      <c r="K64033" s="6"/>
      <c r="L64033" s="6"/>
      <c r="M64033" s="6"/>
      <c r="N64033" s="6"/>
      <c r="O64033" s="6"/>
      <c r="P64033" s="6"/>
      <c r="Q64033" s="6"/>
      <c r="R64033" s="6"/>
      <c r="S64033" s="6"/>
      <c r="T64033" s="6"/>
      <c r="U64033" s="6"/>
      <c r="V64033" s="6"/>
      <c r="W64033" s="6"/>
      <c r="X64033" s="6"/>
      <c r="Y64033" s="6"/>
      <c r="Z64033" s="6"/>
      <c r="AA64033" s="6"/>
      <c r="AB64033" s="6"/>
      <c r="AC64033" s="6"/>
      <c r="AD64033" s="6"/>
      <c r="AE64033" s="6"/>
      <c r="AF64033" s="6"/>
      <c r="AG64033" s="6"/>
      <c r="AH64033" s="6"/>
      <c r="AI64033" s="6"/>
      <c r="AJ64033" s="6"/>
      <c r="AK64033" s="6"/>
      <c r="AL64033" s="6"/>
      <c r="AM64033" s="6"/>
    </row>
    <row r="64034" spans="2:39" ht="9.9499999999999993" hidden="1" customHeight="1" x14ac:dyDescent="0.2">
      <c r="B64034" s="6"/>
      <c r="C64034" s="6"/>
      <c r="D64034" s="6"/>
      <c r="E64034" s="6"/>
      <c r="F64034" s="6"/>
      <c r="G64034" s="6"/>
      <c r="H64034" s="6"/>
      <c r="I64034" s="6"/>
      <c r="J64034" s="6"/>
      <c r="K64034" s="6"/>
      <c r="L64034" s="6"/>
      <c r="M64034" s="6"/>
      <c r="N64034" s="6"/>
      <c r="O64034" s="6"/>
      <c r="P64034" s="6"/>
      <c r="Q64034" s="6"/>
      <c r="R64034" s="6"/>
      <c r="S64034" s="6"/>
      <c r="T64034" s="6"/>
      <c r="U64034" s="6"/>
      <c r="V64034" s="6"/>
      <c r="W64034" s="6"/>
      <c r="X64034" s="6"/>
      <c r="Y64034" s="6"/>
      <c r="Z64034" s="6"/>
      <c r="AA64034" s="6"/>
      <c r="AB64034" s="6"/>
      <c r="AC64034" s="6"/>
      <c r="AD64034" s="6"/>
      <c r="AE64034" s="6"/>
      <c r="AF64034" s="6"/>
      <c r="AG64034" s="6"/>
      <c r="AH64034" s="6"/>
      <c r="AI64034" s="6"/>
      <c r="AJ64034" s="6"/>
      <c r="AK64034" s="6"/>
      <c r="AL64034" s="6"/>
      <c r="AM64034" s="6"/>
    </row>
    <row r="64035" spans="2:39" ht="9.9499999999999993" hidden="1" customHeight="1" x14ac:dyDescent="0.2">
      <c r="B64035" s="6"/>
      <c r="C64035" s="6"/>
      <c r="D64035" s="6"/>
      <c r="E64035" s="6"/>
      <c r="F64035" s="6"/>
      <c r="G64035" s="6"/>
      <c r="H64035" s="6"/>
      <c r="I64035" s="6"/>
      <c r="J64035" s="6"/>
      <c r="K64035" s="6"/>
      <c r="L64035" s="6"/>
      <c r="M64035" s="6"/>
      <c r="N64035" s="6"/>
      <c r="O64035" s="6"/>
      <c r="P64035" s="6"/>
      <c r="Q64035" s="6"/>
      <c r="R64035" s="6"/>
      <c r="S64035" s="6"/>
      <c r="T64035" s="6"/>
      <c r="U64035" s="6"/>
      <c r="V64035" s="6"/>
      <c r="W64035" s="6"/>
      <c r="X64035" s="6"/>
      <c r="Y64035" s="6"/>
      <c r="Z64035" s="6"/>
      <c r="AA64035" s="6"/>
      <c r="AB64035" s="6"/>
      <c r="AC64035" s="6"/>
      <c r="AD64035" s="6"/>
      <c r="AE64035" s="6"/>
      <c r="AF64035" s="6"/>
      <c r="AG64035" s="6"/>
      <c r="AH64035" s="6"/>
      <c r="AI64035" s="6"/>
      <c r="AJ64035" s="6"/>
      <c r="AK64035" s="6"/>
      <c r="AL64035" s="6"/>
      <c r="AM64035" s="6"/>
    </row>
    <row r="64036" spans="2:39" ht="9.9499999999999993" hidden="1" customHeight="1" x14ac:dyDescent="0.2">
      <c r="B64036" s="6"/>
      <c r="C64036" s="6"/>
      <c r="D64036" s="6"/>
      <c r="E64036" s="6"/>
      <c r="F64036" s="6"/>
      <c r="G64036" s="6"/>
      <c r="H64036" s="6"/>
      <c r="I64036" s="6"/>
      <c r="J64036" s="6"/>
      <c r="K64036" s="6"/>
      <c r="L64036" s="6"/>
      <c r="M64036" s="6"/>
      <c r="N64036" s="6"/>
      <c r="O64036" s="6"/>
      <c r="P64036" s="6"/>
      <c r="Q64036" s="6"/>
      <c r="R64036" s="6"/>
      <c r="S64036" s="6"/>
      <c r="T64036" s="6"/>
      <c r="U64036" s="6"/>
      <c r="V64036" s="6"/>
      <c r="W64036" s="6"/>
      <c r="X64036" s="6"/>
      <c r="Y64036" s="6"/>
      <c r="Z64036" s="6"/>
      <c r="AA64036" s="6"/>
      <c r="AB64036" s="6"/>
      <c r="AC64036" s="6"/>
      <c r="AD64036" s="6"/>
      <c r="AE64036" s="6"/>
      <c r="AF64036" s="6"/>
      <c r="AG64036" s="6"/>
      <c r="AH64036" s="6"/>
      <c r="AI64036" s="6"/>
      <c r="AJ64036" s="6"/>
      <c r="AK64036" s="6"/>
      <c r="AL64036" s="6"/>
      <c r="AM64036" s="6"/>
    </row>
    <row r="64037" spans="2:39" ht="9.9499999999999993" hidden="1" customHeight="1" x14ac:dyDescent="0.2">
      <c r="B64037" s="6"/>
      <c r="C64037" s="6"/>
      <c r="D64037" s="6"/>
      <c r="E64037" s="6"/>
      <c r="F64037" s="6"/>
      <c r="G64037" s="6"/>
      <c r="H64037" s="6"/>
      <c r="I64037" s="6"/>
      <c r="J64037" s="6"/>
      <c r="K64037" s="6"/>
      <c r="L64037" s="6"/>
      <c r="M64037" s="6"/>
      <c r="N64037" s="6"/>
      <c r="O64037" s="6"/>
      <c r="P64037" s="6"/>
      <c r="Q64037" s="6"/>
      <c r="R64037" s="6"/>
      <c r="S64037" s="6"/>
      <c r="T64037" s="6"/>
      <c r="U64037" s="6"/>
      <c r="V64037" s="6"/>
      <c r="W64037" s="6"/>
      <c r="X64037" s="6"/>
      <c r="Y64037" s="6"/>
      <c r="Z64037" s="6"/>
      <c r="AA64037" s="6"/>
      <c r="AB64037" s="6"/>
      <c r="AC64037" s="6"/>
      <c r="AD64037" s="6"/>
      <c r="AE64037" s="6"/>
      <c r="AF64037" s="6"/>
      <c r="AG64037" s="6"/>
      <c r="AH64037" s="6"/>
      <c r="AI64037" s="6"/>
      <c r="AJ64037" s="6"/>
      <c r="AK64037" s="6"/>
      <c r="AL64037" s="6"/>
      <c r="AM64037" s="6"/>
    </row>
    <row r="64038" spans="2:39" ht="9.9499999999999993" hidden="1" customHeight="1" x14ac:dyDescent="0.2">
      <c r="B64038" s="6"/>
      <c r="C64038" s="6"/>
      <c r="D64038" s="6"/>
      <c r="E64038" s="6"/>
      <c r="F64038" s="6"/>
      <c r="G64038" s="6"/>
      <c r="H64038" s="6"/>
      <c r="I64038" s="6"/>
      <c r="J64038" s="6"/>
      <c r="K64038" s="6"/>
      <c r="L64038" s="6"/>
      <c r="M64038" s="6"/>
      <c r="N64038" s="6"/>
      <c r="O64038" s="6"/>
      <c r="P64038" s="6"/>
      <c r="Q64038" s="6"/>
      <c r="R64038" s="6"/>
      <c r="S64038" s="6"/>
      <c r="T64038" s="6"/>
      <c r="U64038" s="6"/>
      <c r="V64038" s="6"/>
      <c r="W64038" s="6"/>
      <c r="X64038" s="6"/>
      <c r="Y64038" s="6"/>
      <c r="Z64038" s="6"/>
      <c r="AA64038" s="6"/>
      <c r="AB64038" s="6"/>
      <c r="AC64038" s="6"/>
      <c r="AD64038" s="6"/>
      <c r="AE64038" s="6"/>
      <c r="AF64038" s="6"/>
      <c r="AG64038" s="6"/>
      <c r="AH64038" s="6"/>
      <c r="AI64038" s="6"/>
      <c r="AJ64038" s="6"/>
      <c r="AK64038" s="6"/>
      <c r="AL64038" s="6"/>
      <c r="AM64038" s="6"/>
    </row>
    <row r="64039" spans="2:39" ht="9.9499999999999993" hidden="1" customHeight="1" x14ac:dyDescent="0.2">
      <c r="B64039" s="6"/>
      <c r="C64039" s="6"/>
      <c r="D64039" s="6"/>
      <c r="E64039" s="6"/>
      <c r="F64039" s="6"/>
      <c r="G64039" s="6"/>
      <c r="H64039" s="6"/>
      <c r="I64039" s="6"/>
      <c r="J64039" s="6"/>
      <c r="K64039" s="6"/>
      <c r="L64039" s="6"/>
      <c r="M64039" s="6"/>
      <c r="N64039" s="6"/>
      <c r="O64039" s="6"/>
      <c r="P64039" s="6"/>
      <c r="Q64039" s="6"/>
      <c r="R64039" s="6"/>
      <c r="S64039" s="6"/>
      <c r="T64039" s="6"/>
      <c r="U64039" s="6"/>
      <c r="V64039" s="6"/>
      <c r="W64039" s="6"/>
      <c r="X64039" s="6"/>
      <c r="Y64039" s="6"/>
      <c r="Z64039" s="6"/>
      <c r="AA64039" s="6"/>
      <c r="AB64039" s="6"/>
      <c r="AC64039" s="6"/>
      <c r="AD64039" s="6"/>
      <c r="AE64039" s="6"/>
      <c r="AF64039" s="6"/>
      <c r="AG64039" s="6"/>
      <c r="AH64039" s="6"/>
      <c r="AI64039" s="6"/>
      <c r="AJ64039" s="6"/>
      <c r="AK64039" s="6"/>
      <c r="AL64039" s="6"/>
      <c r="AM64039" s="6"/>
    </row>
    <row r="64040" spans="2:39" ht="9.9499999999999993" hidden="1" customHeight="1" x14ac:dyDescent="0.2">
      <c r="B64040" s="6"/>
      <c r="C64040" s="6"/>
      <c r="D64040" s="6"/>
      <c r="E64040" s="6"/>
      <c r="F64040" s="6"/>
      <c r="G64040" s="6"/>
      <c r="H64040" s="6"/>
      <c r="I64040" s="6"/>
      <c r="J64040" s="6"/>
      <c r="K64040" s="6"/>
      <c r="L64040" s="6"/>
      <c r="M64040" s="6"/>
      <c r="N64040" s="6"/>
      <c r="O64040" s="6"/>
      <c r="P64040" s="6"/>
      <c r="Q64040" s="6"/>
      <c r="R64040" s="6"/>
      <c r="S64040" s="6"/>
      <c r="T64040" s="6"/>
      <c r="U64040" s="6"/>
      <c r="V64040" s="6"/>
      <c r="W64040" s="6"/>
      <c r="X64040" s="6"/>
      <c r="Y64040" s="6"/>
      <c r="Z64040" s="6"/>
      <c r="AA64040" s="6"/>
      <c r="AB64040" s="6"/>
      <c r="AC64040" s="6"/>
      <c r="AD64040" s="6"/>
      <c r="AE64040" s="6"/>
      <c r="AF64040" s="6"/>
      <c r="AG64040" s="6"/>
      <c r="AH64040" s="6"/>
      <c r="AI64040" s="6"/>
      <c r="AJ64040" s="6"/>
      <c r="AK64040" s="6"/>
      <c r="AL64040" s="6"/>
      <c r="AM64040" s="6"/>
    </row>
    <row r="64041" spans="2:39" ht="9.9499999999999993" hidden="1" customHeight="1" x14ac:dyDescent="0.2">
      <c r="B64041" s="6"/>
      <c r="C64041" s="6"/>
      <c r="D64041" s="6"/>
      <c r="E64041" s="6"/>
      <c r="F64041" s="6"/>
      <c r="G64041" s="6"/>
      <c r="H64041" s="6"/>
      <c r="I64041" s="6"/>
      <c r="J64041" s="6"/>
      <c r="K64041" s="6"/>
      <c r="L64041" s="6"/>
      <c r="M64041" s="6"/>
      <c r="N64041" s="6"/>
      <c r="O64041" s="6"/>
      <c r="P64041" s="6"/>
      <c r="Q64041" s="6"/>
      <c r="R64041" s="6"/>
      <c r="S64041" s="6"/>
      <c r="T64041" s="6"/>
      <c r="U64041" s="6"/>
      <c r="V64041" s="6"/>
      <c r="W64041" s="6"/>
      <c r="X64041" s="6"/>
      <c r="Y64041" s="6"/>
      <c r="Z64041" s="6"/>
      <c r="AA64041" s="6"/>
      <c r="AB64041" s="6"/>
      <c r="AC64041" s="6"/>
      <c r="AD64041" s="6"/>
      <c r="AE64041" s="6"/>
      <c r="AF64041" s="6"/>
      <c r="AG64041" s="6"/>
      <c r="AH64041" s="6"/>
      <c r="AI64041" s="6"/>
      <c r="AJ64041" s="6"/>
      <c r="AK64041" s="6"/>
      <c r="AL64041" s="6"/>
      <c r="AM64041" s="6"/>
    </row>
    <row r="64042" spans="2:39" ht="9.9499999999999993" hidden="1" customHeight="1" x14ac:dyDescent="0.2">
      <c r="B64042" s="6"/>
      <c r="C64042" s="6"/>
      <c r="D64042" s="6"/>
      <c r="E64042" s="6"/>
      <c r="F64042" s="6"/>
      <c r="G64042" s="6"/>
      <c r="H64042" s="6"/>
      <c r="I64042" s="6"/>
      <c r="J64042" s="6"/>
      <c r="K64042" s="6"/>
      <c r="L64042" s="6"/>
      <c r="M64042" s="6"/>
      <c r="N64042" s="6"/>
      <c r="O64042" s="6"/>
      <c r="P64042" s="6"/>
      <c r="Q64042" s="6"/>
      <c r="R64042" s="6"/>
      <c r="S64042" s="6"/>
      <c r="T64042" s="6"/>
      <c r="U64042" s="6"/>
      <c r="V64042" s="6"/>
      <c r="W64042" s="6"/>
      <c r="X64042" s="6"/>
      <c r="Y64042" s="6"/>
      <c r="Z64042" s="6"/>
      <c r="AA64042" s="6"/>
      <c r="AB64042" s="6"/>
      <c r="AC64042" s="6"/>
      <c r="AD64042" s="6"/>
      <c r="AE64042" s="6"/>
      <c r="AF64042" s="6"/>
      <c r="AG64042" s="6"/>
      <c r="AH64042" s="6"/>
      <c r="AI64042" s="6"/>
      <c r="AJ64042" s="6"/>
      <c r="AK64042" s="6"/>
      <c r="AL64042" s="6"/>
      <c r="AM64042" s="6"/>
    </row>
    <row r="64043" spans="2:39" ht="9.9499999999999993" hidden="1" customHeight="1" x14ac:dyDescent="0.2">
      <c r="B64043" s="6"/>
      <c r="C64043" s="6"/>
      <c r="D64043" s="6"/>
      <c r="E64043" s="6"/>
      <c r="F64043" s="6"/>
      <c r="G64043" s="6"/>
      <c r="H64043" s="6"/>
      <c r="I64043" s="6"/>
      <c r="J64043" s="6"/>
      <c r="K64043" s="6"/>
      <c r="L64043" s="6"/>
      <c r="M64043" s="6"/>
      <c r="N64043" s="6"/>
      <c r="O64043" s="6"/>
      <c r="P64043" s="6"/>
      <c r="Q64043" s="6"/>
      <c r="R64043" s="6"/>
      <c r="S64043" s="6"/>
      <c r="T64043" s="6"/>
      <c r="U64043" s="6"/>
      <c r="V64043" s="6"/>
      <c r="W64043" s="6"/>
      <c r="X64043" s="6"/>
      <c r="Y64043" s="6"/>
      <c r="Z64043" s="6"/>
      <c r="AA64043" s="6"/>
      <c r="AB64043" s="6"/>
      <c r="AC64043" s="6"/>
      <c r="AD64043" s="6"/>
      <c r="AE64043" s="6"/>
      <c r="AF64043" s="6"/>
      <c r="AG64043" s="6"/>
      <c r="AH64043" s="6"/>
      <c r="AI64043" s="6"/>
      <c r="AJ64043" s="6"/>
      <c r="AK64043" s="6"/>
      <c r="AL64043" s="6"/>
      <c r="AM64043" s="6"/>
    </row>
    <row r="64044" spans="2:39" ht="9.9499999999999993" hidden="1" customHeight="1" x14ac:dyDescent="0.2">
      <c r="B64044" s="6"/>
      <c r="C64044" s="6"/>
      <c r="D64044" s="6"/>
      <c r="E64044" s="6"/>
      <c r="F64044" s="6"/>
      <c r="G64044" s="6"/>
      <c r="H64044" s="6"/>
      <c r="I64044" s="6"/>
      <c r="J64044" s="6"/>
      <c r="K64044" s="6"/>
      <c r="L64044" s="6"/>
      <c r="M64044" s="6"/>
      <c r="N64044" s="6"/>
      <c r="O64044" s="6"/>
      <c r="P64044" s="6"/>
      <c r="Q64044" s="6"/>
      <c r="R64044" s="6"/>
      <c r="S64044" s="6"/>
      <c r="T64044" s="6"/>
      <c r="U64044" s="6"/>
      <c r="V64044" s="6"/>
      <c r="W64044" s="6"/>
      <c r="X64044" s="6"/>
      <c r="Y64044" s="6"/>
      <c r="Z64044" s="6"/>
      <c r="AA64044" s="6"/>
      <c r="AB64044" s="6"/>
      <c r="AC64044" s="6"/>
      <c r="AD64044" s="6"/>
      <c r="AE64044" s="6"/>
      <c r="AF64044" s="6"/>
      <c r="AG64044" s="6"/>
      <c r="AH64044" s="6"/>
      <c r="AI64044" s="6"/>
      <c r="AJ64044" s="6"/>
      <c r="AK64044" s="6"/>
      <c r="AL64044" s="6"/>
      <c r="AM64044" s="6"/>
    </row>
    <row r="64045" spans="2:39" ht="9.9499999999999993" hidden="1" customHeight="1" x14ac:dyDescent="0.2">
      <c r="B64045" s="6"/>
      <c r="C64045" s="6"/>
      <c r="D64045" s="6"/>
      <c r="E64045" s="6"/>
      <c r="F64045" s="6"/>
      <c r="G64045" s="6"/>
      <c r="H64045" s="6"/>
      <c r="I64045" s="6"/>
      <c r="J64045" s="6"/>
      <c r="K64045" s="6"/>
      <c r="L64045" s="6"/>
      <c r="M64045" s="6"/>
      <c r="N64045" s="6"/>
      <c r="O64045" s="6"/>
      <c r="P64045" s="6"/>
      <c r="Q64045" s="6"/>
      <c r="R64045" s="6"/>
      <c r="S64045" s="6"/>
      <c r="T64045" s="6"/>
      <c r="U64045" s="6"/>
      <c r="V64045" s="6"/>
      <c r="W64045" s="6"/>
      <c r="X64045" s="6"/>
      <c r="Y64045" s="6"/>
      <c r="Z64045" s="6"/>
      <c r="AA64045" s="6"/>
      <c r="AB64045" s="6"/>
      <c r="AC64045" s="6"/>
      <c r="AD64045" s="6"/>
      <c r="AE64045" s="6"/>
      <c r="AF64045" s="6"/>
      <c r="AG64045" s="6"/>
      <c r="AH64045" s="6"/>
      <c r="AI64045" s="6"/>
      <c r="AJ64045" s="6"/>
      <c r="AK64045" s="6"/>
      <c r="AL64045" s="6"/>
      <c r="AM64045" s="6"/>
    </row>
    <row r="64046" spans="2:39" ht="9.9499999999999993" hidden="1" customHeight="1" x14ac:dyDescent="0.2">
      <c r="B64046" s="6"/>
      <c r="C64046" s="6"/>
      <c r="D64046" s="6"/>
      <c r="E64046" s="6"/>
      <c r="F64046" s="6"/>
      <c r="G64046" s="6"/>
      <c r="H64046" s="6"/>
      <c r="I64046" s="6"/>
      <c r="J64046" s="6"/>
      <c r="K64046" s="6"/>
      <c r="L64046" s="6"/>
      <c r="M64046" s="6"/>
      <c r="N64046" s="6"/>
      <c r="O64046" s="6"/>
      <c r="P64046" s="6"/>
      <c r="Q64046" s="6"/>
      <c r="R64046" s="6"/>
      <c r="S64046" s="6"/>
      <c r="T64046" s="6"/>
      <c r="U64046" s="6"/>
      <c r="V64046" s="6"/>
      <c r="W64046" s="6"/>
      <c r="X64046" s="6"/>
      <c r="Y64046" s="6"/>
      <c r="Z64046" s="6"/>
      <c r="AA64046" s="6"/>
      <c r="AB64046" s="6"/>
      <c r="AC64046" s="6"/>
      <c r="AD64046" s="6"/>
      <c r="AE64046" s="6"/>
      <c r="AF64046" s="6"/>
      <c r="AG64046" s="6"/>
      <c r="AH64046" s="6"/>
      <c r="AI64046" s="6"/>
      <c r="AJ64046" s="6"/>
      <c r="AK64046" s="6"/>
      <c r="AL64046" s="6"/>
      <c r="AM64046" s="6"/>
    </row>
    <row r="64047" spans="2:39" ht="9.9499999999999993" hidden="1" customHeight="1" x14ac:dyDescent="0.2">
      <c r="B64047" s="6"/>
      <c r="C64047" s="6"/>
      <c r="D64047" s="6"/>
      <c r="E64047" s="6"/>
      <c r="F64047" s="6"/>
      <c r="G64047" s="6"/>
      <c r="H64047" s="6"/>
      <c r="I64047" s="6"/>
      <c r="J64047" s="6"/>
      <c r="K64047" s="6"/>
      <c r="L64047" s="6"/>
      <c r="M64047" s="6"/>
      <c r="N64047" s="6"/>
      <c r="O64047" s="6"/>
      <c r="P64047" s="6"/>
      <c r="Q64047" s="6"/>
      <c r="R64047" s="6"/>
      <c r="S64047" s="6"/>
      <c r="T64047" s="6"/>
      <c r="U64047" s="6"/>
      <c r="V64047" s="6"/>
      <c r="W64047" s="6"/>
      <c r="X64047" s="6"/>
      <c r="Y64047" s="6"/>
      <c r="Z64047" s="6"/>
      <c r="AA64047" s="6"/>
      <c r="AB64047" s="6"/>
      <c r="AC64047" s="6"/>
      <c r="AD64047" s="6"/>
      <c r="AE64047" s="6"/>
      <c r="AF64047" s="6"/>
      <c r="AG64047" s="6"/>
      <c r="AH64047" s="6"/>
      <c r="AI64047" s="6"/>
      <c r="AJ64047" s="6"/>
      <c r="AK64047" s="6"/>
      <c r="AL64047" s="6"/>
      <c r="AM64047" s="6"/>
    </row>
    <row r="64048" spans="2:39" ht="9.9499999999999993" hidden="1" customHeight="1" x14ac:dyDescent="0.2">
      <c r="B64048" s="6"/>
      <c r="C64048" s="6"/>
      <c r="D64048" s="6"/>
      <c r="E64048" s="6"/>
      <c r="F64048" s="6"/>
      <c r="G64048" s="6"/>
      <c r="H64048" s="6"/>
      <c r="I64048" s="6"/>
      <c r="J64048" s="6"/>
      <c r="K64048" s="6"/>
      <c r="L64048" s="6"/>
      <c r="M64048" s="6"/>
      <c r="N64048" s="6"/>
      <c r="O64048" s="6"/>
      <c r="P64048" s="6"/>
      <c r="Q64048" s="6"/>
      <c r="R64048" s="6"/>
      <c r="S64048" s="6"/>
      <c r="T64048" s="6"/>
      <c r="U64048" s="6"/>
      <c r="V64048" s="6"/>
      <c r="W64048" s="6"/>
      <c r="X64048" s="6"/>
      <c r="Y64048" s="6"/>
      <c r="Z64048" s="6"/>
      <c r="AA64048" s="6"/>
      <c r="AB64048" s="6"/>
      <c r="AC64048" s="6"/>
      <c r="AD64048" s="6"/>
      <c r="AE64048" s="6"/>
      <c r="AF64048" s="6"/>
      <c r="AG64048" s="6"/>
      <c r="AH64048" s="6"/>
      <c r="AI64048" s="6"/>
      <c r="AJ64048" s="6"/>
      <c r="AK64048" s="6"/>
      <c r="AL64048" s="6"/>
      <c r="AM64048" s="6"/>
    </row>
    <row r="64049" spans="2:39" ht="9.9499999999999993" hidden="1" customHeight="1" x14ac:dyDescent="0.2">
      <c r="B64049" s="6"/>
      <c r="C64049" s="6"/>
      <c r="D64049" s="6"/>
      <c r="E64049" s="6"/>
      <c r="F64049" s="6"/>
      <c r="G64049" s="6"/>
      <c r="H64049" s="6"/>
      <c r="I64049" s="6"/>
      <c r="J64049" s="6"/>
      <c r="K64049" s="6"/>
      <c r="L64049" s="6"/>
      <c r="M64049" s="6"/>
      <c r="N64049" s="6"/>
      <c r="O64049" s="6"/>
      <c r="P64049" s="6"/>
      <c r="Q64049" s="6"/>
      <c r="R64049" s="6"/>
      <c r="S64049" s="6"/>
      <c r="T64049" s="6"/>
      <c r="U64049" s="6"/>
      <c r="V64049" s="6"/>
      <c r="W64049" s="6"/>
      <c r="X64049" s="6"/>
      <c r="Y64049" s="6"/>
      <c r="Z64049" s="6"/>
      <c r="AA64049" s="6"/>
      <c r="AB64049" s="6"/>
      <c r="AC64049" s="6"/>
      <c r="AD64049" s="6"/>
      <c r="AE64049" s="6"/>
      <c r="AF64049" s="6"/>
      <c r="AG64049" s="6"/>
      <c r="AH64049" s="6"/>
      <c r="AI64049" s="6"/>
      <c r="AJ64049" s="6"/>
      <c r="AK64049" s="6"/>
      <c r="AL64049" s="6"/>
      <c r="AM64049" s="6"/>
    </row>
    <row r="64050" spans="2:39" ht="9.9499999999999993" hidden="1" customHeight="1" x14ac:dyDescent="0.2">
      <c r="B64050" s="6"/>
      <c r="C64050" s="6"/>
      <c r="D64050" s="6"/>
      <c r="E64050" s="6"/>
      <c r="F64050" s="6"/>
      <c r="G64050" s="6"/>
      <c r="H64050" s="6"/>
      <c r="I64050" s="6"/>
      <c r="J64050" s="6"/>
      <c r="K64050" s="6"/>
      <c r="L64050" s="6"/>
      <c r="M64050" s="6"/>
      <c r="N64050" s="6"/>
      <c r="O64050" s="6"/>
      <c r="P64050" s="6"/>
      <c r="Q64050" s="6"/>
      <c r="R64050" s="6"/>
      <c r="S64050" s="6"/>
      <c r="T64050" s="6"/>
      <c r="U64050" s="6"/>
      <c r="V64050" s="6"/>
      <c r="W64050" s="6"/>
      <c r="X64050" s="6"/>
      <c r="Y64050" s="6"/>
      <c r="Z64050" s="6"/>
      <c r="AA64050" s="6"/>
      <c r="AB64050" s="6"/>
      <c r="AC64050" s="6"/>
      <c r="AD64050" s="6"/>
      <c r="AE64050" s="6"/>
      <c r="AF64050" s="6"/>
      <c r="AG64050" s="6"/>
      <c r="AH64050" s="6"/>
      <c r="AI64050" s="6"/>
      <c r="AJ64050" s="6"/>
      <c r="AK64050" s="6"/>
      <c r="AL64050" s="6"/>
      <c r="AM64050" s="6"/>
    </row>
    <row r="64051" spans="2:39" ht="9.9499999999999993" hidden="1" customHeight="1" x14ac:dyDescent="0.2">
      <c r="B64051" s="6"/>
      <c r="C64051" s="6"/>
      <c r="D64051" s="6"/>
      <c r="E64051" s="6"/>
      <c r="F64051" s="6"/>
      <c r="G64051" s="6"/>
      <c r="H64051" s="6"/>
      <c r="I64051" s="6"/>
      <c r="J64051" s="6"/>
      <c r="K64051" s="6"/>
      <c r="L64051" s="6"/>
      <c r="M64051" s="6"/>
      <c r="N64051" s="6"/>
      <c r="O64051" s="6"/>
      <c r="P64051" s="6"/>
      <c r="Q64051" s="6"/>
      <c r="R64051" s="6"/>
      <c r="S64051" s="6"/>
      <c r="T64051" s="6"/>
      <c r="U64051" s="6"/>
      <c r="V64051" s="6"/>
      <c r="W64051" s="6"/>
      <c r="X64051" s="6"/>
      <c r="Y64051" s="6"/>
      <c r="Z64051" s="6"/>
      <c r="AA64051" s="6"/>
      <c r="AB64051" s="6"/>
      <c r="AC64051" s="6"/>
      <c r="AD64051" s="6"/>
      <c r="AE64051" s="6"/>
      <c r="AF64051" s="6"/>
      <c r="AG64051" s="6"/>
      <c r="AH64051" s="6"/>
      <c r="AI64051" s="6"/>
      <c r="AJ64051" s="6"/>
      <c r="AK64051" s="6"/>
      <c r="AL64051" s="6"/>
      <c r="AM64051" s="6"/>
    </row>
    <row r="64052" spans="2:39" ht="9.9499999999999993" hidden="1" customHeight="1" x14ac:dyDescent="0.2">
      <c r="B64052" s="6"/>
      <c r="C64052" s="6"/>
      <c r="D64052" s="6"/>
      <c r="E64052" s="6"/>
      <c r="F64052" s="6"/>
      <c r="G64052" s="6"/>
      <c r="H64052" s="6"/>
      <c r="I64052" s="6"/>
      <c r="J64052" s="6"/>
      <c r="K64052" s="6"/>
      <c r="L64052" s="6"/>
      <c r="M64052" s="6"/>
      <c r="N64052" s="6"/>
      <c r="O64052" s="6"/>
      <c r="P64052" s="6"/>
      <c r="Q64052" s="6"/>
      <c r="R64052" s="6"/>
      <c r="S64052" s="6"/>
      <c r="T64052" s="6"/>
      <c r="U64052" s="6"/>
      <c r="V64052" s="6"/>
      <c r="W64052" s="6"/>
      <c r="X64052" s="6"/>
      <c r="Y64052" s="6"/>
      <c r="Z64052" s="6"/>
      <c r="AA64052" s="6"/>
      <c r="AB64052" s="6"/>
      <c r="AC64052" s="6"/>
      <c r="AD64052" s="6"/>
      <c r="AE64052" s="6"/>
      <c r="AF64052" s="6"/>
      <c r="AG64052" s="6"/>
      <c r="AH64052" s="6"/>
      <c r="AI64052" s="6"/>
      <c r="AJ64052" s="6"/>
      <c r="AK64052" s="6"/>
      <c r="AL64052" s="6"/>
      <c r="AM64052" s="6"/>
    </row>
    <row r="64053" spans="2:39" ht="9.9499999999999993" hidden="1" customHeight="1" x14ac:dyDescent="0.2">
      <c r="B64053" s="6"/>
      <c r="C64053" s="6"/>
      <c r="D64053" s="6"/>
      <c r="E64053" s="6"/>
      <c r="F64053" s="6"/>
      <c r="G64053" s="6"/>
      <c r="H64053" s="6"/>
      <c r="I64053" s="6"/>
      <c r="J64053" s="6"/>
      <c r="K64053" s="6"/>
      <c r="L64053" s="6"/>
      <c r="M64053" s="6"/>
      <c r="N64053" s="6"/>
      <c r="O64053" s="6"/>
      <c r="P64053" s="6"/>
      <c r="Q64053" s="6"/>
      <c r="R64053" s="6"/>
      <c r="S64053" s="6"/>
      <c r="T64053" s="6"/>
      <c r="U64053" s="6"/>
      <c r="V64053" s="6"/>
      <c r="W64053" s="6"/>
      <c r="X64053" s="6"/>
      <c r="Y64053" s="6"/>
      <c r="Z64053" s="6"/>
      <c r="AA64053" s="6"/>
      <c r="AB64053" s="6"/>
      <c r="AC64053" s="6"/>
      <c r="AD64053" s="6"/>
      <c r="AE64053" s="6"/>
      <c r="AF64053" s="6"/>
      <c r="AG64053" s="6"/>
      <c r="AH64053" s="6"/>
      <c r="AI64053" s="6"/>
      <c r="AJ64053" s="6"/>
      <c r="AK64053" s="6"/>
      <c r="AL64053" s="6"/>
      <c r="AM64053" s="6"/>
    </row>
    <row r="64054" spans="2:39" ht="9.9499999999999993" hidden="1" customHeight="1" x14ac:dyDescent="0.2">
      <c r="B64054" s="6"/>
      <c r="C64054" s="6"/>
      <c r="D64054" s="6"/>
      <c r="E64054" s="6"/>
      <c r="F64054" s="6"/>
      <c r="G64054" s="6"/>
      <c r="H64054" s="6"/>
      <c r="I64054" s="6"/>
      <c r="J64054" s="6"/>
      <c r="K64054" s="6"/>
      <c r="L64054" s="6"/>
      <c r="M64054" s="6"/>
      <c r="N64054" s="6"/>
      <c r="O64054" s="6"/>
      <c r="P64054" s="6"/>
      <c r="Q64054" s="6"/>
      <c r="R64054" s="6"/>
      <c r="S64054" s="6"/>
      <c r="T64054" s="6"/>
      <c r="U64054" s="6"/>
      <c r="V64054" s="6"/>
      <c r="W64054" s="6"/>
      <c r="X64054" s="6"/>
      <c r="Y64054" s="6"/>
      <c r="Z64054" s="6"/>
      <c r="AA64054" s="6"/>
      <c r="AB64054" s="6"/>
      <c r="AC64054" s="6"/>
      <c r="AD64054" s="6"/>
      <c r="AE64054" s="6"/>
      <c r="AF64054" s="6"/>
      <c r="AG64054" s="6"/>
      <c r="AH64054" s="6"/>
      <c r="AI64054" s="6"/>
      <c r="AJ64054" s="6"/>
      <c r="AK64054" s="6"/>
      <c r="AL64054" s="6"/>
      <c r="AM64054" s="6"/>
    </row>
    <row r="64055" spans="2:39" ht="9.9499999999999993" hidden="1" customHeight="1" x14ac:dyDescent="0.2">
      <c r="B64055" s="6"/>
      <c r="C64055" s="6"/>
      <c r="D64055" s="6"/>
      <c r="E64055" s="6"/>
      <c r="F64055" s="6"/>
      <c r="G64055" s="6"/>
      <c r="H64055" s="6"/>
      <c r="I64055" s="6"/>
      <c r="J64055" s="6"/>
      <c r="K64055" s="6"/>
      <c r="L64055" s="6"/>
      <c r="M64055" s="6"/>
      <c r="N64055" s="6"/>
      <c r="O64055" s="6"/>
      <c r="P64055" s="6"/>
      <c r="Q64055" s="6"/>
      <c r="R64055" s="6"/>
      <c r="S64055" s="6"/>
      <c r="T64055" s="6"/>
      <c r="U64055" s="6"/>
      <c r="V64055" s="6"/>
      <c r="W64055" s="6"/>
      <c r="X64055" s="6"/>
      <c r="Y64055" s="6"/>
      <c r="Z64055" s="6"/>
      <c r="AA64055" s="6"/>
      <c r="AB64055" s="6"/>
      <c r="AC64055" s="6"/>
      <c r="AD64055" s="6"/>
      <c r="AE64055" s="6"/>
      <c r="AF64055" s="6"/>
      <c r="AG64055" s="6"/>
      <c r="AH64055" s="6"/>
      <c r="AI64055" s="6"/>
      <c r="AJ64055" s="6"/>
      <c r="AK64055" s="6"/>
      <c r="AL64055" s="6"/>
      <c r="AM64055" s="6"/>
    </row>
    <row r="64056" spans="2:39" ht="9.9499999999999993" hidden="1" customHeight="1" x14ac:dyDescent="0.2">
      <c r="B64056" s="6"/>
      <c r="C64056" s="6"/>
      <c r="D64056" s="6"/>
      <c r="E64056" s="6"/>
      <c r="F64056" s="6"/>
      <c r="G64056" s="6"/>
      <c r="H64056" s="6"/>
      <c r="I64056" s="6"/>
      <c r="J64056" s="6"/>
      <c r="K64056" s="6"/>
      <c r="L64056" s="6"/>
      <c r="M64056" s="6"/>
      <c r="N64056" s="6"/>
      <c r="O64056" s="6"/>
      <c r="P64056" s="6"/>
      <c r="Q64056" s="6"/>
      <c r="R64056" s="6"/>
      <c r="S64056" s="6"/>
      <c r="T64056" s="6"/>
      <c r="U64056" s="6"/>
      <c r="V64056" s="6"/>
      <c r="W64056" s="6"/>
      <c r="X64056" s="6"/>
      <c r="Y64056" s="6"/>
      <c r="Z64056" s="6"/>
      <c r="AA64056" s="6"/>
      <c r="AB64056" s="6"/>
      <c r="AC64056" s="6"/>
      <c r="AD64056" s="6"/>
      <c r="AE64056" s="6"/>
      <c r="AF64056" s="6"/>
      <c r="AG64056" s="6"/>
      <c r="AH64056" s="6"/>
      <c r="AI64056" s="6"/>
      <c r="AJ64056" s="6"/>
      <c r="AK64056" s="6"/>
      <c r="AL64056" s="6"/>
      <c r="AM64056" s="6"/>
    </row>
    <row r="64057" spans="2:39" ht="9.9499999999999993" hidden="1" customHeight="1" x14ac:dyDescent="0.2">
      <c r="B64057" s="6"/>
      <c r="C64057" s="6"/>
      <c r="D64057" s="6"/>
      <c r="E64057" s="6"/>
      <c r="F64057" s="6"/>
      <c r="G64057" s="6"/>
      <c r="H64057" s="6"/>
      <c r="I64057" s="6"/>
      <c r="J64057" s="6"/>
      <c r="K64057" s="6"/>
      <c r="L64057" s="6"/>
      <c r="M64057" s="6"/>
      <c r="N64057" s="6"/>
      <c r="O64057" s="6"/>
      <c r="P64057" s="6"/>
      <c r="Q64057" s="6"/>
      <c r="R64057" s="6"/>
      <c r="S64057" s="6"/>
      <c r="T64057" s="6"/>
      <c r="U64057" s="6"/>
      <c r="V64057" s="6"/>
      <c r="W64057" s="6"/>
      <c r="X64057" s="6"/>
      <c r="Y64057" s="6"/>
      <c r="Z64057" s="6"/>
      <c r="AA64057" s="6"/>
      <c r="AB64057" s="6"/>
      <c r="AC64057" s="6"/>
      <c r="AD64057" s="6"/>
      <c r="AE64057" s="6"/>
      <c r="AF64057" s="6"/>
      <c r="AG64057" s="6"/>
      <c r="AH64057" s="6"/>
      <c r="AI64057" s="6"/>
      <c r="AJ64057" s="6"/>
      <c r="AK64057" s="6"/>
      <c r="AL64057" s="6"/>
      <c r="AM64057" s="6"/>
    </row>
    <row r="64058" spans="2:39" ht="9.9499999999999993" hidden="1" customHeight="1" x14ac:dyDescent="0.2">
      <c r="B64058" s="6"/>
      <c r="C64058" s="6"/>
      <c r="D64058" s="6"/>
      <c r="E64058" s="6"/>
      <c r="F64058" s="6"/>
      <c r="G64058" s="6"/>
      <c r="H64058" s="6"/>
      <c r="I64058" s="6"/>
      <c r="J64058" s="6"/>
      <c r="K64058" s="6"/>
      <c r="L64058" s="6"/>
      <c r="M64058" s="6"/>
      <c r="N64058" s="6"/>
      <c r="O64058" s="6"/>
      <c r="P64058" s="6"/>
      <c r="Q64058" s="6"/>
      <c r="R64058" s="6"/>
      <c r="S64058" s="6"/>
      <c r="T64058" s="6"/>
      <c r="U64058" s="6"/>
      <c r="V64058" s="6"/>
      <c r="W64058" s="6"/>
      <c r="X64058" s="6"/>
      <c r="Y64058" s="6"/>
      <c r="Z64058" s="6"/>
      <c r="AA64058" s="6"/>
      <c r="AB64058" s="6"/>
      <c r="AC64058" s="6"/>
      <c r="AD64058" s="6"/>
      <c r="AE64058" s="6"/>
      <c r="AF64058" s="6"/>
      <c r="AG64058" s="6"/>
      <c r="AH64058" s="6"/>
      <c r="AI64058" s="6"/>
      <c r="AJ64058" s="6"/>
      <c r="AK64058" s="6"/>
      <c r="AL64058" s="6"/>
      <c r="AM64058" s="6"/>
    </row>
    <row r="64059" spans="2:39" ht="9.9499999999999993" hidden="1" customHeight="1" x14ac:dyDescent="0.2">
      <c r="B64059" s="6"/>
      <c r="C64059" s="6"/>
      <c r="D64059" s="6"/>
      <c r="E64059" s="6"/>
      <c r="F64059" s="6"/>
      <c r="G64059" s="6"/>
      <c r="H64059" s="6"/>
      <c r="I64059" s="6"/>
      <c r="J64059" s="6"/>
      <c r="K64059" s="6"/>
      <c r="L64059" s="6"/>
      <c r="M64059" s="6"/>
      <c r="N64059" s="6"/>
      <c r="O64059" s="6"/>
      <c r="P64059" s="6"/>
      <c r="Q64059" s="6"/>
      <c r="R64059" s="6"/>
      <c r="S64059" s="6"/>
      <c r="T64059" s="6"/>
      <c r="U64059" s="6"/>
      <c r="V64059" s="6"/>
      <c r="W64059" s="6"/>
      <c r="X64059" s="6"/>
      <c r="Y64059" s="6"/>
      <c r="Z64059" s="6"/>
      <c r="AA64059" s="6"/>
      <c r="AB64059" s="6"/>
      <c r="AC64059" s="6"/>
      <c r="AD64059" s="6"/>
      <c r="AE64059" s="6"/>
      <c r="AF64059" s="6"/>
      <c r="AG64059" s="6"/>
      <c r="AH64059" s="6"/>
      <c r="AI64059" s="6"/>
      <c r="AJ64059" s="6"/>
      <c r="AK64059" s="6"/>
      <c r="AL64059" s="6"/>
      <c r="AM64059" s="6"/>
    </row>
    <row r="64060" spans="2:39" ht="9.9499999999999993" hidden="1" customHeight="1" x14ac:dyDescent="0.2">
      <c r="B64060" s="6"/>
      <c r="C64060" s="6"/>
      <c r="D64060" s="6"/>
      <c r="E64060" s="6"/>
      <c r="F64060" s="6"/>
      <c r="G64060" s="6"/>
      <c r="H64060" s="6"/>
      <c r="I64060" s="6"/>
      <c r="J64060" s="6"/>
      <c r="K64060" s="6"/>
      <c r="L64060" s="6"/>
      <c r="M64060" s="6"/>
      <c r="N64060" s="6"/>
      <c r="O64060" s="6"/>
      <c r="P64060" s="6"/>
      <c r="Q64060" s="6"/>
      <c r="R64060" s="6"/>
      <c r="S64060" s="6"/>
      <c r="T64060" s="6"/>
      <c r="U64060" s="6"/>
      <c r="V64060" s="6"/>
      <c r="W64060" s="6"/>
      <c r="X64060" s="6"/>
      <c r="Y64060" s="6"/>
      <c r="Z64060" s="6"/>
      <c r="AA64060" s="6"/>
      <c r="AB64060" s="6"/>
      <c r="AC64060" s="6"/>
      <c r="AD64060" s="6"/>
      <c r="AE64060" s="6"/>
      <c r="AF64060" s="6"/>
      <c r="AG64060" s="6"/>
      <c r="AH64060" s="6"/>
      <c r="AI64060" s="6"/>
      <c r="AJ64060" s="6"/>
      <c r="AK64060" s="6"/>
      <c r="AL64060" s="6"/>
      <c r="AM64060" s="6"/>
    </row>
    <row r="64061" spans="2:39" ht="9.9499999999999993" hidden="1" customHeight="1" x14ac:dyDescent="0.2">
      <c r="B64061" s="6"/>
      <c r="C64061" s="6"/>
      <c r="D64061" s="6"/>
      <c r="E64061" s="6"/>
      <c r="F64061" s="6"/>
      <c r="G64061" s="6"/>
      <c r="H64061" s="6"/>
      <c r="I64061" s="6"/>
      <c r="J64061" s="6"/>
      <c r="K64061" s="6"/>
      <c r="L64061" s="6"/>
      <c r="M64061" s="6"/>
      <c r="N64061" s="6"/>
      <c r="O64061" s="6"/>
      <c r="P64061" s="6"/>
      <c r="Q64061" s="6"/>
      <c r="R64061" s="6"/>
      <c r="S64061" s="6"/>
      <c r="T64061" s="6"/>
      <c r="U64061" s="6"/>
      <c r="V64061" s="6"/>
      <c r="W64061" s="6"/>
      <c r="X64061" s="6"/>
      <c r="Y64061" s="6"/>
      <c r="Z64061" s="6"/>
      <c r="AA64061" s="6"/>
      <c r="AB64061" s="6"/>
      <c r="AC64061" s="6"/>
      <c r="AD64061" s="6"/>
      <c r="AE64061" s="6"/>
      <c r="AF64061" s="6"/>
      <c r="AG64061" s="6"/>
      <c r="AH64061" s="6"/>
      <c r="AI64061" s="6"/>
      <c r="AJ64061" s="6"/>
      <c r="AK64061" s="6"/>
      <c r="AL64061" s="6"/>
      <c r="AM64061" s="6"/>
    </row>
    <row r="64062" spans="2:39" ht="9.9499999999999993" hidden="1" customHeight="1" x14ac:dyDescent="0.2">
      <c r="B64062" s="6"/>
      <c r="C64062" s="6"/>
      <c r="D64062" s="6"/>
      <c r="E64062" s="6"/>
      <c r="F64062" s="6"/>
      <c r="G64062" s="6"/>
      <c r="H64062" s="6"/>
      <c r="I64062" s="6"/>
      <c r="J64062" s="6"/>
      <c r="K64062" s="6"/>
      <c r="L64062" s="6"/>
      <c r="M64062" s="6"/>
      <c r="N64062" s="6"/>
      <c r="O64062" s="6"/>
      <c r="P64062" s="6"/>
      <c r="Q64062" s="6"/>
      <c r="R64062" s="6"/>
      <c r="S64062" s="6"/>
      <c r="T64062" s="6"/>
      <c r="U64062" s="6"/>
      <c r="V64062" s="6"/>
      <c r="W64062" s="6"/>
      <c r="X64062" s="6"/>
      <c r="Y64062" s="6"/>
      <c r="Z64062" s="6"/>
      <c r="AA64062" s="6"/>
      <c r="AB64062" s="6"/>
      <c r="AC64062" s="6"/>
      <c r="AD64062" s="6"/>
      <c r="AE64062" s="6"/>
      <c r="AF64062" s="6"/>
      <c r="AG64062" s="6"/>
      <c r="AH64062" s="6"/>
      <c r="AI64062" s="6"/>
      <c r="AJ64062" s="6"/>
      <c r="AK64062" s="6"/>
      <c r="AL64062" s="6"/>
      <c r="AM64062" s="6"/>
    </row>
    <row r="64063" spans="2:39" ht="9.9499999999999993" hidden="1" customHeight="1" x14ac:dyDescent="0.2">
      <c r="B64063" s="6"/>
      <c r="C64063" s="6"/>
      <c r="D64063" s="6"/>
      <c r="E64063" s="6"/>
      <c r="F64063" s="6"/>
      <c r="G64063" s="6"/>
      <c r="H64063" s="6"/>
      <c r="I64063" s="6"/>
      <c r="J64063" s="6"/>
      <c r="K64063" s="6"/>
      <c r="L64063" s="6"/>
      <c r="M64063" s="6"/>
      <c r="N64063" s="6"/>
      <c r="O64063" s="6"/>
      <c r="P64063" s="6"/>
      <c r="Q64063" s="6"/>
      <c r="R64063" s="6"/>
      <c r="S64063" s="6"/>
      <c r="T64063" s="6"/>
      <c r="U64063" s="6"/>
      <c r="V64063" s="6"/>
      <c r="W64063" s="6"/>
      <c r="X64063" s="6"/>
      <c r="Y64063" s="6"/>
      <c r="Z64063" s="6"/>
      <c r="AA64063" s="6"/>
      <c r="AB64063" s="6"/>
      <c r="AC64063" s="6"/>
      <c r="AD64063" s="6"/>
      <c r="AE64063" s="6"/>
      <c r="AF64063" s="6"/>
      <c r="AG64063" s="6"/>
      <c r="AH64063" s="6"/>
      <c r="AI64063" s="6"/>
      <c r="AJ64063" s="6"/>
      <c r="AK64063" s="6"/>
      <c r="AL64063" s="6"/>
      <c r="AM64063" s="6"/>
    </row>
    <row r="64064" spans="2:39" ht="9.9499999999999993" hidden="1" customHeight="1" x14ac:dyDescent="0.2">
      <c r="B64064" s="6"/>
      <c r="C64064" s="6"/>
      <c r="D64064" s="6"/>
      <c r="E64064" s="6"/>
      <c r="F64064" s="6"/>
      <c r="G64064" s="6"/>
      <c r="H64064" s="6"/>
      <c r="I64064" s="6"/>
      <c r="J64064" s="6"/>
      <c r="K64064" s="6"/>
      <c r="L64064" s="6"/>
      <c r="M64064" s="6"/>
      <c r="N64064" s="6"/>
      <c r="O64064" s="6"/>
      <c r="P64064" s="6"/>
      <c r="Q64064" s="6"/>
      <c r="R64064" s="6"/>
      <c r="S64064" s="6"/>
      <c r="T64064" s="6"/>
      <c r="U64064" s="6"/>
      <c r="V64064" s="6"/>
      <c r="W64064" s="6"/>
      <c r="X64064" s="6"/>
      <c r="Y64064" s="6"/>
      <c r="Z64064" s="6"/>
      <c r="AA64064" s="6"/>
      <c r="AB64064" s="6"/>
      <c r="AC64064" s="6"/>
      <c r="AD64064" s="6"/>
      <c r="AE64064" s="6"/>
      <c r="AF64064" s="6"/>
      <c r="AG64064" s="6"/>
      <c r="AH64064" s="6"/>
      <c r="AI64064" s="6"/>
      <c r="AJ64064" s="6"/>
      <c r="AK64064" s="6"/>
      <c r="AL64064" s="6"/>
      <c r="AM64064" s="6"/>
    </row>
    <row r="64065" spans="2:39" ht="9.9499999999999993" hidden="1" customHeight="1" x14ac:dyDescent="0.2">
      <c r="B64065" s="6"/>
      <c r="C64065" s="6"/>
      <c r="D64065" s="6"/>
      <c r="E64065" s="6"/>
      <c r="F64065" s="6"/>
      <c r="G64065" s="6"/>
      <c r="H64065" s="6"/>
      <c r="I64065" s="6"/>
      <c r="J64065" s="6"/>
      <c r="K64065" s="6"/>
      <c r="L64065" s="6"/>
      <c r="M64065" s="6"/>
      <c r="N64065" s="6"/>
      <c r="O64065" s="6"/>
      <c r="P64065" s="6"/>
      <c r="Q64065" s="6"/>
      <c r="R64065" s="6"/>
      <c r="S64065" s="6"/>
      <c r="T64065" s="6"/>
      <c r="U64065" s="6"/>
      <c r="V64065" s="6"/>
      <c r="W64065" s="6"/>
      <c r="X64065" s="6"/>
      <c r="Y64065" s="6"/>
      <c r="Z64065" s="6"/>
      <c r="AA64065" s="6"/>
      <c r="AB64065" s="6"/>
      <c r="AC64065" s="6"/>
      <c r="AD64065" s="6"/>
      <c r="AE64065" s="6"/>
      <c r="AF64065" s="6"/>
      <c r="AG64065" s="6"/>
      <c r="AH64065" s="6"/>
      <c r="AI64065" s="6"/>
      <c r="AJ64065" s="6"/>
      <c r="AK64065" s="6"/>
      <c r="AL64065" s="6"/>
      <c r="AM64065" s="6"/>
    </row>
    <row r="64066" spans="2:39" ht="9.9499999999999993" hidden="1" customHeight="1" x14ac:dyDescent="0.2">
      <c r="B64066" s="6"/>
      <c r="C64066" s="6"/>
      <c r="D64066" s="6"/>
      <c r="E64066" s="6"/>
      <c r="F64066" s="6"/>
      <c r="G64066" s="6"/>
      <c r="H64066" s="6"/>
      <c r="I64066" s="6"/>
      <c r="J64066" s="6"/>
      <c r="K64066" s="6"/>
      <c r="L64066" s="6"/>
      <c r="M64066" s="6"/>
      <c r="N64066" s="6"/>
      <c r="O64066" s="6"/>
      <c r="P64066" s="6"/>
      <c r="Q64066" s="6"/>
      <c r="R64066" s="6"/>
      <c r="S64066" s="6"/>
      <c r="T64066" s="6"/>
      <c r="U64066" s="6"/>
      <c r="V64066" s="6"/>
      <c r="W64066" s="6"/>
      <c r="X64066" s="6"/>
      <c r="Y64066" s="6"/>
      <c r="Z64066" s="6"/>
      <c r="AA64066" s="6"/>
      <c r="AB64066" s="6"/>
      <c r="AC64066" s="6"/>
      <c r="AD64066" s="6"/>
      <c r="AE64066" s="6"/>
      <c r="AF64066" s="6"/>
      <c r="AG64066" s="6"/>
      <c r="AH64066" s="6"/>
      <c r="AI64066" s="6"/>
      <c r="AJ64066" s="6"/>
      <c r="AK64066" s="6"/>
      <c r="AL64066" s="6"/>
      <c r="AM64066" s="6"/>
    </row>
    <row r="64067" spans="2:39" ht="9.9499999999999993" hidden="1" customHeight="1" x14ac:dyDescent="0.2">
      <c r="B64067" s="6"/>
      <c r="C64067" s="6"/>
      <c r="D64067" s="6"/>
      <c r="E64067" s="6"/>
      <c r="F64067" s="6"/>
      <c r="G64067" s="6"/>
      <c r="H64067" s="6"/>
      <c r="I64067" s="6"/>
      <c r="J64067" s="6"/>
      <c r="K64067" s="6"/>
      <c r="L64067" s="6"/>
      <c r="M64067" s="6"/>
      <c r="N64067" s="6"/>
      <c r="O64067" s="6"/>
      <c r="P64067" s="6"/>
      <c r="Q64067" s="6"/>
      <c r="R64067" s="6"/>
      <c r="S64067" s="6"/>
      <c r="T64067" s="6"/>
      <c r="U64067" s="6"/>
      <c r="V64067" s="6"/>
      <c r="W64067" s="6"/>
      <c r="X64067" s="6"/>
      <c r="Y64067" s="6"/>
      <c r="Z64067" s="6"/>
      <c r="AA64067" s="6"/>
      <c r="AB64067" s="6"/>
      <c r="AC64067" s="6"/>
      <c r="AD64067" s="6"/>
      <c r="AE64067" s="6"/>
      <c r="AF64067" s="6"/>
      <c r="AG64067" s="6"/>
      <c r="AH64067" s="6"/>
      <c r="AI64067" s="6"/>
      <c r="AJ64067" s="6"/>
      <c r="AK64067" s="6"/>
      <c r="AL64067" s="6"/>
      <c r="AM64067" s="6"/>
    </row>
    <row r="64068" spans="2:39" ht="9.9499999999999993" hidden="1" customHeight="1" x14ac:dyDescent="0.2">
      <c r="B64068" s="6"/>
      <c r="C64068" s="6"/>
      <c r="D64068" s="6"/>
      <c r="E64068" s="6"/>
      <c r="F64068" s="6"/>
      <c r="G64068" s="6"/>
      <c r="H64068" s="6"/>
      <c r="I64068" s="6"/>
      <c r="J64068" s="6"/>
      <c r="K64068" s="6"/>
      <c r="L64068" s="6"/>
      <c r="M64068" s="6"/>
      <c r="N64068" s="6"/>
      <c r="O64068" s="6"/>
      <c r="P64068" s="6"/>
      <c r="Q64068" s="6"/>
      <c r="R64068" s="6"/>
      <c r="S64068" s="6"/>
      <c r="T64068" s="6"/>
      <c r="U64068" s="6"/>
      <c r="V64068" s="6"/>
      <c r="W64068" s="6"/>
      <c r="X64068" s="6"/>
      <c r="Y64068" s="6"/>
      <c r="Z64068" s="6"/>
      <c r="AA64068" s="6"/>
      <c r="AB64068" s="6"/>
      <c r="AC64068" s="6"/>
      <c r="AD64068" s="6"/>
      <c r="AE64068" s="6"/>
      <c r="AF64068" s="6"/>
      <c r="AG64068" s="6"/>
      <c r="AH64068" s="6"/>
      <c r="AI64068" s="6"/>
      <c r="AJ64068" s="6"/>
      <c r="AK64068" s="6"/>
      <c r="AL64068" s="6"/>
      <c r="AM64068" s="6"/>
    </row>
    <row r="64069" spans="2:39" ht="9.9499999999999993" hidden="1" customHeight="1" x14ac:dyDescent="0.2">
      <c r="B64069" s="6"/>
      <c r="C64069" s="6"/>
      <c r="D64069" s="6"/>
      <c r="E64069" s="6"/>
      <c r="F64069" s="6"/>
      <c r="G64069" s="6"/>
      <c r="H64069" s="6"/>
      <c r="I64069" s="6"/>
      <c r="J64069" s="6"/>
      <c r="K64069" s="6"/>
      <c r="L64069" s="6"/>
      <c r="M64069" s="6"/>
      <c r="N64069" s="6"/>
      <c r="O64069" s="6"/>
      <c r="P64069" s="6"/>
      <c r="Q64069" s="6"/>
      <c r="R64069" s="6"/>
      <c r="S64069" s="6"/>
      <c r="T64069" s="6"/>
      <c r="U64069" s="6"/>
      <c r="V64069" s="6"/>
      <c r="W64069" s="6"/>
      <c r="X64069" s="6"/>
      <c r="Y64069" s="6"/>
      <c r="Z64069" s="6"/>
      <c r="AA64069" s="6"/>
      <c r="AB64069" s="6"/>
      <c r="AC64069" s="6"/>
      <c r="AD64069" s="6"/>
      <c r="AE64069" s="6"/>
      <c r="AF64069" s="6"/>
      <c r="AG64069" s="6"/>
      <c r="AH64069" s="6"/>
      <c r="AI64069" s="6"/>
      <c r="AJ64069" s="6"/>
      <c r="AK64069" s="6"/>
      <c r="AL64069" s="6"/>
      <c r="AM64069" s="6"/>
    </row>
    <row r="64070" spans="2:39" ht="9.9499999999999993" hidden="1" customHeight="1" x14ac:dyDescent="0.2">
      <c r="B64070" s="6"/>
      <c r="C64070" s="6"/>
      <c r="D64070" s="6"/>
      <c r="E64070" s="6"/>
      <c r="F64070" s="6"/>
      <c r="G64070" s="6"/>
      <c r="H64070" s="6"/>
      <c r="I64070" s="6"/>
      <c r="J64070" s="6"/>
      <c r="K64070" s="6"/>
      <c r="L64070" s="6"/>
      <c r="M64070" s="6"/>
      <c r="N64070" s="6"/>
      <c r="O64070" s="6"/>
      <c r="P64070" s="6"/>
      <c r="Q64070" s="6"/>
      <c r="R64070" s="6"/>
      <c r="S64070" s="6"/>
      <c r="T64070" s="6"/>
      <c r="U64070" s="6"/>
      <c r="V64070" s="6"/>
      <c r="W64070" s="6"/>
      <c r="X64070" s="6"/>
      <c r="Y64070" s="6"/>
      <c r="Z64070" s="6"/>
      <c r="AA64070" s="6"/>
      <c r="AB64070" s="6"/>
      <c r="AC64070" s="6"/>
      <c r="AD64070" s="6"/>
      <c r="AE64070" s="6"/>
      <c r="AF64070" s="6"/>
      <c r="AG64070" s="6"/>
      <c r="AH64070" s="6"/>
      <c r="AI64070" s="6"/>
      <c r="AJ64070" s="6"/>
      <c r="AK64070" s="6"/>
      <c r="AL64070" s="6"/>
      <c r="AM64070" s="6"/>
    </row>
    <row r="64071" spans="2:39" ht="9.9499999999999993" hidden="1" customHeight="1" x14ac:dyDescent="0.2">
      <c r="B64071" s="6"/>
      <c r="C64071" s="6"/>
      <c r="D64071" s="6"/>
      <c r="E64071" s="6"/>
      <c r="F64071" s="6"/>
      <c r="G64071" s="6"/>
      <c r="H64071" s="6"/>
      <c r="I64071" s="6"/>
      <c r="J64071" s="6"/>
      <c r="K64071" s="6"/>
      <c r="L64071" s="6"/>
      <c r="M64071" s="6"/>
      <c r="N64071" s="6"/>
      <c r="O64071" s="6"/>
      <c r="P64071" s="6"/>
      <c r="Q64071" s="6"/>
      <c r="R64071" s="6"/>
      <c r="S64071" s="6"/>
      <c r="T64071" s="6"/>
      <c r="U64071" s="6"/>
      <c r="V64071" s="6"/>
      <c r="W64071" s="6"/>
      <c r="X64071" s="6"/>
      <c r="Y64071" s="6"/>
      <c r="Z64071" s="6"/>
      <c r="AA64071" s="6"/>
      <c r="AB64071" s="6"/>
      <c r="AC64071" s="6"/>
      <c r="AD64071" s="6"/>
      <c r="AE64071" s="6"/>
      <c r="AF64071" s="6"/>
      <c r="AG64071" s="6"/>
      <c r="AH64071" s="6"/>
      <c r="AI64071" s="6"/>
      <c r="AJ64071" s="6"/>
      <c r="AK64071" s="6"/>
      <c r="AL64071" s="6"/>
      <c r="AM64071" s="6"/>
    </row>
    <row r="64072" spans="2:39" ht="9.9499999999999993" hidden="1" customHeight="1" x14ac:dyDescent="0.2">
      <c r="B64072" s="6"/>
      <c r="C64072" s="6"/>
      <c r="D64072" s="6"/>
      <c r="E64072" s="6"/>
      <c r="F64072" s="6"/>
      <c r="G64072" s="6"/>
      <c r="H64072" s="6"/>
      <c r="I64072" s="6"/>
      <c r="J64072" s="6"/>
      <c r="K64072" s="6"/>
      <c r="L64072" s="6"/>
      <c r="M64072" s="6"/>
      <c r="N64072" s="6"/>
      <c r="O64072" s="6"/>
      <c r="P64072" s="6"/>
      <c r="Q64072" s="6"/>
      <c r="R64072" s="6"/>
      <c r="S64072" s="6"/>
      <c r="T64072" s="6"/>
      <c r="U64072" s="6"/>
      <c r="V64072" s="6"/>
      <c r="W64072" s="6"/>
      <c r="X64072" s="6"/>
      <c r="Y64072" s="6"/>
      <c r="Z64072" s="6"/>
      <c r="AA64072" s="6"/>
      <c r="AB64072" s="6"/>
      <c r="AC64072" s="6"/>
      <c r="AD64072" s="6"/>
      <c r="AE64072" s="6"/>
      <c r="AF64072" s="6"/>
      <c r="AG64072" s="6"/>
      <c r="AH64072" s="6"/>
      <c r="AI64072" s="6"/>
      <c r="AJ64072" s="6"/>
      <c r="AK64072" s="6"/>
      <c r="AL64072" s="6"/>
      <c r="AM64072" s="6"/>
    </row>
    <row r="64073" spans="2:39" ht="9.9499999999999993" hidden="1" customHeight="1" x14ac:dyDescent="0.2">
      <c r="B64073" s="6"/>
      <c r="C64073" s="6"/>
      <c r="D64073" s="6"/>
      <c r="E64073" s="6"/>
      <c r="F64073" s="6"/>
      <c r="G64073" s="6"/>
      <c r="H64073" s="6"/>
      <c r="I64073" s="6"/>
      <c r="J64073" s="6"/>
      <c r="K64073" s="6"/>
      <c r="L64073" s="6"/>
      <c r="M64073" s="6"/>
      <c r="N64073" s="6"/>
      <c r="O64073" s="6"/>
      <c r="P64073" s="6"/>
      <c r="Q64073" s="6"/>
      <c r="R64073" s="6"/>
      <c r="S64073" s="6"/>
      <c r="T64073" s="6"/>
      <c r="U64073" s="6"/>
      <c r="V64073" s="6"/>
      <c r="W64073" s="6"/>
      <c r="X64073" s="6"/>
      <c r="Y64073" s="6"/>
      <c r="Z64073" s="6"/>
      <c r="AA64073" s="6"/>
      <c r="AB64073" s="6"/>
      <c r="AC64073" s="6"/>
      <c r="AD64073" s="6"/>
      <c r="AE64073" s="6"/>
      <c r="AF64073" s="6"/>
      <c r="AG64073" s="6"/>
      <c r="AH64073" s="6"/>
      <c r="AI64073" s="6"/>
      <c r="AJ64073" s="6"/>
      <c r="AK64073" s="6"/>
      <c r="AL64073" s="6"/>
      <c r="AM64073" s="6"/>
    </row>
    <row r="64074" spans="2:39" ht="9.9499999999999993" hidden="1" customHeight="1" x14ac:dyDescent="0.2">
      <c r="B64074" s="6"/>
      <c r="C64074" s="6"/>
      <c r="D64074" s="6"/>
      <c r="E64074" s="6"/>
      <c r="F64074" s="6"/>
      <c r="G64074" s="6"/>
      <c r="H64074" s="6"/>
      <c r="I64074" s="6"/>
      <c r="J64074" s="6"/>
      <c r="K64074" s="6"/>
      <c r="L64074" s="6"/>
      <c r="M64074" s="6"/>
      <c r="N64074" s="6"/>
      <c r="O64074" s="6"/>
      <c r="P64074" s="6"/>
      <c r="Q64074" s="6"/>
      <c r="R64074" s="6"/>
      <c r="S64074" s="6"/>
      <c r="T64074" s="6"/>
      <c r="U64074" s="6"/>
      <c r="V64074" s="6"/>
      <c r="W64074" s="6"/>
      <c r="X64074" s="6"/>
      <c r="Y64074" s="6"/>
      <c r="Z64074" s="6"/>
      <c r="AA64074" s="6"/>
      <c r="AB64074" s="6"/>
      <c r="AC64074" s="6"/>
      <c r="AD64074" s="6"/>
      <c r="AE64074" s="6"/>
      <c r="AF64074" s="6"/>
      <c r="AG64074" s="6"/>
      <c r="AH64074" s="6"/>
      <c r="AI64074" s="6"/>
      <c r="AJ64074" s="6"/>
      <c r="AK64074" s="6"/>
      <c r="AL64074" s="6"/>
      <c r="AM64074" s="6"/>
    </row>
    <row r="64075" spans="2:39" ht="9.9499999999999993" hidden="1" customHeight="1" x14ac:dyDescent="0.2">
      <c r="B64075" s="6"/>
      <c r="C64075" s="6"/>
      <c r="D64075" s="6"/>
      <c r="E64075" s="6"/>
      <c r="F64075" s="6"/>
      <c r="G64075" s="6"/>
      <c r="H64075" s="6"/>
      <c r="I64075" s="6"/>
      <c r="J64075" s="6"/>
      <c r="K64075" s="6"/>
      <c r="L64075" s="6"/>
      <c r="M64075" s="6"/>
      <c r="N64075" s="6"/>
      <c r="O64075" s="6"/>
      <c r="P64075" s="6"/>
      <c r="Q64075" s="6"/>
      <c r="R64075" s="6"/>
      <c r="S64075" s="6"/>
      <c r="T64075" s="6"/>
      <c r="U64075" s="6"/>
      <c r="V64075" s="6"/>
      <c r="W64075" s="6"/>
      <c r="X64075" s="6"/>
      <c r="Y64075" s="6"/>
      <c r="Z64075" s="6"/>
      <c r="AA64075" s="6"/>
      <c r="AB64075" s="6"/>
      <c r="AC64075" s="6"/>
      <c r="AD64075" s="6"/>
      <c r="AE64075" s="6"/>
      <c r="AF64075" s="6"/>
      <c r="AG64075" s="6"/>
      <c r="AH64075" s="6"/>
      <c r="AI64075" s="6"/>
      <c r="AJ64075" s="6"/>
      <c r="AK64075" s="6"/>
      <c r="AL64075" s="6"/>
      <c r="AM64075" s="6"/>
    </row>
    <row r="64076" spans="2:39" ht="9.9499999999999993" hidden="1" customHeight="1" x14ac:dyDescent="0.2">
      <c r="B64076" s="6"/>
      <c r="C64076" s="6"/>
      <c r="D64076" s="6"/>
      <c r="E64076" s="6"/>
      <c r="F64076" s="6"/>
      <c r="G64076" s="6"/>
      <c r="H64076" s="6"/>
      <c r="I64076" s="6"/>
      <c r="J64076" s="6"/>
      <c r="K64076" s="6"/>
      <c r="L64076" s="6"/>
      <c r="M64076" s="6"/>
      <c r="N64076" s="6"/>
      <c r="O64076" s="6"/>
      <c r="P64076" s="6"/>
      <c r="Q64076" s="6"/>
      <c r="R64076" s="6"/>
      <c r="S64076" s="6"/>
      <c r="T64076" s="6"/>
      <c r="U64076" s="6"/>
      <c r="V64076" s="6"/>
      <c r="W64076" s="6"/>
      <c r="X64076" s="6"/>
      <c r="Y64076" s="6"/>
      <c r="Z64076" s="6"/>
      <c r="AA64076" s="6"/>
      <c r="AB64076" s="6"/>
      <c r="AC64076" s="6"/>
      <c r="AD64076" s="6"/>
      <c r="AE64076" s="6"/>
      <c r="AF64076" s="6"/>
      <c r="AG64076" s="6"/>
      <c r="AH64076" s="6"/>
      <c r="AI64076" s="6"/>
      <c r="AJ64076" s="6"/>
      <c r="AK64076" s="6"/>
      <c r="AL64076" s="6"/>
      <c r="AM64076" s="6"/>
    </row>
    <row r="64077" spans="2:39" ht="9.9499999999999993" hidden="1" customHeight="1" x14ac:dyDescent="0.2">
      <c r="B64077" s="6"/>
      <c r="C64077" s="6"/>
      <c r="D64077" s="6"/>
      <c r="E64077" s="6"/>
      <c r="F64077" s="6"/>
      <c r="G64077" s="6"/>
      <c r="H64077" s="6"/>
      <c r="I64077" s="6"/>
      <c r="J64077" s="6"/>
      <c r="K64077" s="6"/>
      <c r="L64077" s="6"/>
      <c r="M64077" s="6"/>
      <c r="N64077" s="6"/>
      <c r="O64077" s="6"/>
      <c r="P64077" s="6"/>
      <c r="Q64077" s="6"/>
      <c r="R64077" s="6"/>
      <c r="S64077" s="6"/>
      <c r="T64077" s="6"/>
      <c r="U64077" s="6"/>
      <c r="V64077" s="6"/>
      <c r="W64077" s="6"/>
      <c r="X64077" s="6"/>
      <c r="Y64077" s="6"/>
      <c r="Z64077" s="6"/>
      <c r="AA64077" s="6"/>
      <c r="AB64077" s="6"/>
      <c r="AC64077" s="6"/>
      <c r="AD64077" s="6"/>
      <c r="AE64077" s="6"/>
      <c r="AF64077" s="6"/>
      <c r="AG64077" s="6"/>
      <c r="AH64077" s="6"/>
      <c r="AI64077" s="6"/>
      <c r="AJ64077" s="6"/>
      <c r="AK64077" s="6"/>
      <c r="AL64077" s="6"/>
      <c r="AM64077" s="6"/>
    </row>
    <row r="64078" spans="2:39" ht="9.9499999999999993" hidden="1" customHeight="1" x14ac:dyDescent="0.2">
      <c r="B64078" s="6"/>
      <c r="C64078" s="6"/>
      <c r="D64078" s="6"/>
      <c r="E64078" s="6"/>
      <c r="F64078" s="6"/>
      <c r="G64078" s="6"/>
      <c r="H64078" s="6"/>
      <c r="I64078" s="6"/>
      <c r="J64078" s="6"/>
      <c r="K64078" s="6"/>
      <c r="L64078" s="6"/>
      <c r="M64078" s="6"/>
      <c r="N64078" s="6"/>
      <c r="O64078" s="6"/>
      <c r="P64078" s="6"/>
      <c r="Q64078" s="6"/>
      <c r="R64078" s="6"/>
      <c r="S64078" s="6"/>
      <c r="T64078" s="6"/>
      <c r="U64078" s="6"/>
      <c r="V64078" s="6"/>
      <c r="W64078" s="6"/>
      <c r="X64078" s="6"/>
      <c r="Y64078" s="6"/>
      <c r="Z64078" s="6"/>
      <c r="AA64078" s="6"/>
      <c r="AB64078" s="6"/>
      <c r="AC64078" s="6"/>
      <c r="AD64078" s="6"/>
      <c r="AE64078" s="6"/>
      <c r="AF64078" s="6"/>
      <c r="AG64078" s="6"/>
      <c r="AH64078" s="6"/>
      <c r="AI64078" s="6"/>
      <c r="AJ64078" s="6"/>
      <c r="AK64078" s="6"/>
      <c r="AL64078" s="6"/>
      <c r="AM64078" s="6"/>
    </row>
    <row r="64079" spans="2:39" ht="9.9499999999999993" hidden="1" customHeight="1" x14ac:dyDescent="0.2">
      <c r="B64079" s="6"/>
      <c r="C64079" s="6"/>
      <c r="D64079" s="6"/>
      <c r="E64079" s="6"/>
      <c r="F64079" s="6"/>
      <c r="G64079" s="6"/>
      <c r="H64079" s="6"/>
      <c r="I64079" s="6"/>
      <c r="J64079" s="6"/>
      <c r="K64079" s="6"/>
      <c r="L64079" s="6"/>
      <c r="M64079" s="6"/>
      <c r="N64079" s="6"/>
      <c r="O64079" s="6"/>
      <c r="P64079" s="6"/>
      <c r="Q64079" s="6"/>
      <c r="R64079" s="6"/>
      <c r="S64079" s="6"/>
      <c r="T64079" s="6"/>
      <c r="U64079" s="6"/>
      <c r="V64079" s="6"/>
      <c r="W64079" s="6"/>
      <c r="X64079" s="6"/>
      <c r="Y64079" s="6"/>
      <c r="Z64079" s="6"/>
      <c r="AA64079" s="6"/>
      <c r="AB64079" s="6"/>
      <c r="AC64079" s="6"/>
      <c r="AD64079" s="6"/>
      <c r="AE64079" s="6"/>
      <c r="AF64079" s="6"/>
      <c r="AG64079" s="6"/>
      <c r="AH64079" s="6"/>
      <c r="AI64079" s="6"/>
      <c r="AJ64079" s="6"/>
      <c r="AK64079" s="6"/>
      <c r="AL64079" s="6"/>
      <c r="AM64079" s="6"/>
    </row>
    <row r="64080" spans="2:39" ht="9.9499999999999993" hidden="1" customHeight="1" x14ac:dyDescent="0.2">
      <c r="B64080" s="6"/>
      <c r="C64080" s="6"/>
      <c r="D64080" s="6"/>
      <c r="E64080" s="6"/>
      <c r="F64080" s="6"/>
      <c r="G64080" s="6"/>
      <c r="H64080" s="6"/>
      <c r="I64080" s="6"/>
      <c r="J64080" s="6"/>
      <c r="K64080" s="6"/>
      <c r="L64080" s="6"/>
      <c r="M64080" s="6"/>
      <c r="N64080" s="6"/>
      <c r="O64080" s="6"/>
      <c r="P64080" s="6"/>
      <c r="Q64080" s="6"/>
      <c r="R64080" s="6"/>
      <c r="S64080" s="6"/>
      <c r="T64080" s="6"/>
      <c r="U64080" s="6"/>
      <c r="V64080" s="6"/>
      <c r="W64080" s="6"/>
      <c r="X64080" s="6"/>
      <c r="Y64080" s="6"/>
      <c r="Z64080" s="6"/>
      <c r="AA64080" s="6"/>
      <c r="AB64080" s="6"/>
      <c r="AC64080" s="6"/>
      <c r="AD64080" s="6"/>
      <c r="AE64080" s="6"/>
      <c r="AF64080" s="6"/>
      <c r="AG64080" s="6"/>
      <c r="AH64080" s="6"/>
      <c r="AI64080" s="6"/>
      <c r="AJ64080" s="6"/>
      <c r="AK64080" s="6"/>
      <c r="AL64080" s="6"/>
      <c r="AM64080" s="6"/>
    </row>
    <row r="64081" spans="2:39" ht="9.9499999999999993" hidden="1" customHeight="1" x14ac:dyDescent="0.2">
      <c r="B64081" s="6"/>
      <c r="C64081" s="6"/>
      <c r="D64081" s="6"/>
      <c r="E64081" s="6"/>
      <c r="F64081" s="6"/>
      <c r="G64081" s="6"/>
      <c r="H64081" s="6"/>
      <c r="I64081" s="6"/>
      <c r="J64081" s="6"/>
      <c r="K64081" s="6"/>
      <c r="L64081" s="6"/>
      <c r="M64081" s="6"/>
      <c r="N64081" s="6"/>
      <c r="O64081" s="6"/>
      <c r="P64081" s="6"/>
      <c r="Q64081" s="6"/>
      <c r="R64081" s="6"/>
      <c r="S64081" s="6"/>
      <c r="T64081" s="6"/>
      <c r="U64081" s="6"/>
      <c r="V64081" s="6"/>
      <c r="W64081" s="6"/>
      <c r="X64081" s="6"/>
      <c r="Y64081" s="6"/>
      <c r="Z64081" s="6"/>
      <c r="AA64081" s="6"/>
      <c r="AB64081" s="6"/>
      <c r="AC64081" s="6"/>
      <c r="AD64081" s="6"/>
      <c r="AE64081" s="6"/>
      <c r="AF64081" s="6"/>
      <c r="AG64081" s="6"/>
      <c r="AH64081" s="6"/>
      <c r="AI64081" s="6"/>
      <c r="AJ64081" s="6"/>
      <c r="AK64081" s="6"/>
      <c r="AL64081" s="6"/>
      <c r="AM64081" s="6"/>
    </row>
    <row r="64082" spans="2:39" ht="9.9499999999999993" hidden="1" customHeight="1" x14ac:dyDescent="0.2">
      <c r="B64082" s="6"/>
      <c r="C64082" s="6"/>
      <c r="D64082" s="6"/>
      <c r="E64082" s="6"/>
      <c r="F64082" s="6"/>
      <c r="G64082" s="6"/>
      <c r="H64082" s="6"/>
      <c r="I64082" s="6"/>
      <c r="J64082" s="6"/>
      <c r="K64082" s="6"/>
      <c r="L64082" s="6"/>
      <c r="M64082" s="6"/>
      <c r="N64082" s="6"/>
      <c r="O64082" s="6"/>
      <c r="P64082" s="6"/>
      <c r="Q64082" s="6"/>
      <c r="R64082" s="6"/>
      <c r="S64082" s="6"/>
      <c r="T64082" s="6"/>
      <c r="U64082" s="6"/>
      <c r="V64082" s="6"/>
      <c r="W64082" s="6"/>
      <c r="X64082" s="6"/>
      <c r="Y64082" s="6"/>
      <c r="Z64082" s="6"/>
      <c r="AA64082" s="6"/>
      <c r="AB64082" s="6"/>
      <c r="AC64082" s="6"/>
      <c r="AD64082" s="6"/>
      <c r="AE64082" s="6"/>
      <c r="AF64082" s="6"/>
      <c r="AG64082" s="6"/>
      <c r="AH64082" s="6"/>
      <c r="AI64082" s="6"/>
      <c r="AJ64082" s="6"/>
      <c r="AK64082" s="6"/>
      <c r="AL64082" s="6"/>
      <c r="AM64082" s="6"/>
    </row>
    <row r="64083" spans="2:39" ht="9.9499999999999993" hidden="1" customHeight="1" x14ac:dyDescent="0.2">
      <c r="B64083" s="6"/>
      <c r="C64083" s="6"/>
      <c r="D64083" s="6"/>
      <c r="E64083" s="6"/>
      <c r="F64083" s="6"/>
      <c r="G64083" s="6"/>
      <c r="H64083" s="6"/>
      <c r="I64083" s="6"/>
      <c r="J64083" s="6"/>
      <c r="K64083" s="6"/>
      <c r="L64083" s="6"/>
      <c r="M64083" s="6"/>
      <c r="N64083" s="6"/>
      <c r="O64083" s="6"/>
      <c r="P64083" s="6"/>
      <c r="Q64083" s="6"/>
      <c r="R64083" s="6"/>
      <c r="S64083" s="6"/>
      <c r="T64083" s="6"/>
      <c r="U64083" s="6"/>
      <c r="V64083" s="6"/>
      <c r="W64083" s="6"/>
      <c r="X64083" s="6"/>
      <c r="Y64083" s="6"/>
      <c r="Z64083" s="6"/>
      <c r="AA64083" s="6"/>
      <c r="AB64083" s="6"/>
      <c r="AC64083" s="6"/>
      <c r="AD64083" s="6"/>
      <c r="AE64083" s="6"/>
      <c r="AF64083" s="6"/>
      <c r="AG64083" s="6"/>
      <c r="AH64083" s="6"/>
      <c r="AI64083" s="6"/>
      <c r="AJ64083" s="6"/>
      <c r="AK64083" s="6"/>
      <c r="AL64083" s="6"/>
      <c r="AM64083" s="6"/>
    </row>
    <row r="64084" spans="2:39" ht="9.9499999999999993" hidden="1" customHeight="1" x14ac:dyDescent="0.2">
      <c r="B64084" s="6"/>
      <c r="C64084" s="6"/>
      <c r="D64084" s="6"/>
      <c r="E64084" s="6"/>
      <c r="F64084" s="6"/>
      <c r="G64084" s="6"/>
      <c r="H64084" s="6"/>
      <c r="I64084" s="6"/>
      <c r="J64084" s="6"/>
      <c r="K64084" s="6"/>
      <c r="L64084" s="6"/>
      <c r="M64084" s="6"/>
      <c r="N64084" s="6"/>
      <c r="O64084" s="6"/>
      <c r="P64084" s="6"/>
      <c r="Q64084" s="6"/>
      <c r="R64084" s="6"/>
      <c r="S64084" s="6"/>
      <c r="T64084" s="6"/>
      <c r="U64084" s="6"/>
      <c r="V64084" s="6"/>
      <c r="W64084" s="6"/>
      <c r="X64084" s="6"/>
      <c r="Y64084" s="6"/>
      <c r="Z64084" s="6"/>
      <c r="AA64084" s="6"/>
      <c r="AB64084" s="6"/>
      <c r="AC64084" s="6"/>
      <c r="AD64084" s="6"/>
      <c r="AE64084" s="6"/>
      <c r="AF64084" s="6"/>
      <c r="AG64084" s="6"/>
      <c r="AH64084" s="6"/>
      <c r="AI64084" s="6"/>
      <c r="AJ64084" s="6"/>
      <c r="AK64084" s="6"/>
      <c r="AL64084" s="6"/>
      <c r="AM64084" s="6"/>
    </row>
    <row r="64085" spans="2:39" ht="9.9499999999999993" hidden="1" customHeight="1" x14ac:dyDescent="0.2">
      <c r="B64085" s="6"/>
      <c r="C64085" s="6"/>
      <c r="D64085" s="6"/>
      <c r="E64085" s="6"/>
      <c r="F64085" s="6"/>
      <c r="G64085" s="6"/>
      <c r="H64085" s="6"/>
      <c r="I64085" s="6"/>
      <c r="J64085" s="6"/>
      <c r="K64085" s="6"/>
      <c r="L64085" s="6"/>
      <c r="M64085" s="6"/>
      <c r="N64085" s="6"/>
      <c r="O64085" s="6"/>
      <c r="P64085" s="6"/>
      <c r="Q64085" s="6"/>
      <c r="R64085" s="6"/>
      <c r="S64085" s="6"/>
      <c r="T64085" s="6"/>
      <c r="U64085" s="6"/>
      <c r="V64085" s="6"/>
      <c r="W64085" s="6"/>
      <c r="X64085" s="6"/>
      <c r="Y64085" s="6"/>
      <c r="Z64085" s="6"/>
      <c r="AA64085" s="6"/>
      <c r="AB64085" s="6"/>
      <c r="AC64085" s="6"/>
      <c r="AD64085" s="6"/>
      <c r="AE64085" s="6"/>
      <c r="AF64085" s="6"/>
      <c r="AG64085" s="6"/>
      <c r="AH64085" s="6"/>
      <c r="AI64085" s="6"/>
      <c r="AJ64085" s="6"/>
      <c r="AK64085" s="6"/>
      <c r="AL64085" s="6"/>
      <c r="AM64085" s="6"/>
    </row>
    <row r="64086" spans="2:39" ht="9.9499999999999993" hidden="1" customHeight="1" x14ac:dyDescent="0.2">
      <c r="B64086" s="6"/>
      <c r="C64086" s="6"/>
      <c r="D64086" s="6"/>
      <c r="E64086" s="6"/>
      <c r="F64086" s="6"/>
      <c r="G64086" s="6"/>
      <c r="H64086" s="6"/>
      <c r="I64086" s="6"/>
      <c r="J64086" s="6"/>
      <c r="K64086" s="6"/>
      <c r="L64086" s="6"/>
      <c r="M64086" s="6"/>
      <c r="N64086" s="6"/>
      <c r="O64086" s="6"/>
      <c r="P64086" s="6"/>
      <c r="Q64086" s="6"/>
      <c r="R64086" s="6"/>
      <c r="S64086" s="6"/>
      <c r="T64086" s="6"/>
      <c r="U64086" s="6"/>
      <c r="V64086" s="6"/>
      <c r="W64086" s="6"/>
      <c r="X64086" s="6"/>
      <c r="Y64086" s="6"/>
      <c r="Z64086" s="6"/>
      <c r="AA64086" s="6"/>
      <c r="AB64086" s="6"/>
      <c r="AC64086" s="6"/>
      <c r="AD64086" s="6"/>
      <c r="AE64086" s="6"/>
      <c r="AF64086" s="6"/>
      <c r="AG64086" s="6"/>
      <c r="AH64086" s="6"/>
      <c r="AI64086" s="6"/>
      <c r="AJ64086" s="6"/>
      <c r="AK64086" s="6"/>
      <c r="AL64086" s="6"/>
      <c r="AM64086" s="6"/>
    </row>
    <row r="64087" spans="2:39" ht="9.9499999999999993" hidden="1" customHeight="1" x14ac:dyDescent="0.2">
      <c r="B64087" s="6"/>
      <c r="C64087" s="6"/>
      <c r="D64087" s="6"/>
      <c r="E64087" s="6"/>
      <c r="F64087" s="6"/>
      <c r="G64087" s="6"/>
      <c r="H64087" s="6"/>
      <c r="I64087" s="6"/>
      <c r="J64087" s="6"/>
      <c r="K64087" s="6"/>
      <c r="L64087" s="6"/>
      <c r="M64087" s="6"/>
      <c r="N64087" s="6"/>
      <c r="O64087" s="6"/>
      <c r="P64087" s="6"/>
      <c r="Q64087" s="6"/>
      <c r="R64087" s="6"/>
      <c r="S64087" s="6"/>
      <c r="T64087" s="6"/>
      <c r="U64087" s="6"/>
      <c r="V64087" s="6"/>
      <c r="W64087" s="6"/>
      <c r="X64087" s="6"/>
      <c r="Y64087" s="6"/>
      <c r="Z64087" s="6"/>
      <c r="AA64087" s="6"/>
      <c r="AB64087" s="6"/>
      <c r="AC64087" s="6"/>
      <c r="AD64087" s="6"/>
      <c r="AE64087" s="6"/>
      <c r="AF64087" s="6"/>
      <c r="AG64087" s="6"/>
      <c r="AH64087" s="6"/>
      <c r="AI64087" s="6"/>
      <c r="AJ64087" s="6"/>
      <c r="AK64087" s="6"/>
      <c r="AL64087" s="6"/>
      <c r="AM64087" s="6"/>
    </row>
    <row r="64088" spans="2:39" ht="9.9499999999999993" hidden="1" customHeight="1" x14ac:dyDescent="0.2">
      <c r="B64088" s="6"/>
      <c r="C64088" s="6"/>
      <c r="D64088" s="6"/>
      <c r="E64088" s="6"/>
      <c r="F64088" s="6"/>
      <c r="G64088" s="6"/>
      <c r="H64088" s="6"/>
      <c r="I64088" s="6"/>
      <c r="J64088" s="6"/>
      <c r="K64088" s="6"/>
      <c r="L64088" s="6"/>
      <c r="M64088" s="6"/>
      <c r="N64088" s="6"/>
      <c r="O64088" s="6"/>
      <c r="P64088" s="6"/>
      <c r="Q64088" s="6"/>
      <c r="R64088" s="6"/>
      <c r="S64088" s="6"/>
      <c r="T64088" s="6"/>
      <c r="U64088" s="6"/>
      <c r="V64088" s="6"/>
      <c r="W64088" s="6"/>
      <c r="X64088" s="6"/>
      <c r="Y64088" s="6"/>
      <c r="Z64088" s="6"/>
      <c r="AA64088" s="6"/>
      <c r="AB64088" s="6"/>
      <c r="AC64088" s="6"/>
      <c r="AD64088" s="6"/>
      <c r="AE64088" s="6"/>
      <c r="AF64088" s="6"/>
      <c r="AG64088" s="6"/>
      <c r="AH64088" s="6"/>
      <c r="AI64088" s="6"/>
      <c r="AJ64088" s="6"/>
      <c r="AK64088" s="6"/>
      <c r="AL64088" s="6"/>
      <c r="AM64088" s="6"/>
    </row>
    <row r="64089" spans="2:39" ht="9.9499999999999993" hidden="1" customHeight="1" x14ac:dyDescent="0.2">
      <c r="B64089" s="6"/>
      <c r="C64089" s="6"/>
      <c r="D64089" s="6"/>
      <c r="E64089" s="6"/>
      <c r="F64089" s="6"/>
      <c r="G64089" s="6"/>
      <c r="H64089" s="6"/>
      <c r="I64089" s="6"/>
      <c r="J64089" s="6"/>
      <c r="K64089" s="6"/>
      <c r="L64089" s="6"/>
      <c r="M64089" s="6"/>
      <c r="N64089" s="6"/>
      <c r="O64089" s="6"/>
      <c r="P64089" s="6"/>
      <c r="Q64089" s="6"/>
      <c r="R64089" s="6"/>
      <c r="S64089" s="6"/>
      <c r="T64089" s="6"/>
      <c r="U64089" s="6"/>
      <c r="V64089" s="6"/>
      <c r="W64089" s="6"/>
      <c r="X64089" s="6"/>
      <c r="Y64089" s="6"/>
      <c r="Z64089" s="6"/>
      <c r="AA64089" s="6"/>
      <c r="AB64089" s="6"/>
      <c r="AC64089" s="6"/>
      <c r="AD64089" s="6"/>
      <c r="AE64089" s="6"/>
      <c r="AF64089" s="6"/>
      <c r="AG64089" s="6"/>
      <c r="AH64089" s="6"/>
      <c r="AI64089" s="6"/>
      <c r="AJ64089" s="6"/>
      <c r="AK64089" s="6"/>
      <c r="AL64089" s="6"/>
      <c r="AM64089" s="6"/>
    </row>
    <row r="64090" spans="2:39" ht="9.9499999999999993" hidden="1" customHeight="1" x14ac:dyDescent="0.2">
      <c r="B64090" s="6"/>
      <c r="C64090" s="6"/>
      <c r="D64090" s="6"/>
      <c r="E64090" s="6"/>
      <c r="F64090" s="6"/>
      <c r="G64090" s="6"/>
      <c r="H64090" s="6"/>
      <c r="I64090" s="6"/>
      <c r="J64090" s="6"/>
      <c r="K64090" s="6"/>
      <c r="L64090" s="6"/>
      <c r="M64090" s="6"/>
      <c r="N64090" s="6"/>
      <c r="O64090" s="6"/>
      <c r="P64090" s="6"/>
      <c r="Q64090" s="6"/>
      <c r="R64090" s="6"/>
      <c r="S64090" s="6"/>
      <c r="T64090" s="6"/>
      <c r="U64090" s="6"/>
      <c r="V64090" s="6"/>
      <c r="W64090" s="6"/>
      <c r="X64090" s="6"/>
      <c r="Y64090" s="6"/>
      <c r="Z64090" s="6"/>
      <c r="AA64090" s="6"/>
      <c r="AB64090" s="6"/>
      <c r="AC64090" s="6"/>
      <c r="AD64090" s="6"/>
      <c r="AE64090" s="6"/>
      <c r="AF64090" s="6"/>
      <c r="AG64090" s="6"/>
      <c r="AH64090" s="6"/>
      <c r="AI64090" s="6"/>
      <c r="AJ64090" s="6"/>
      <c r="AK64090" s="6"/>
      <c r="AL64090" s="6"/>
      <c r="AM64090" s="6"/>
    </row>
    <row r="64091" spans="2:39" ht="9.9499999999999993" hidden="1" customHeight="1" x14ac:dyDescent="0.2">
      <c r="B64091" s="6"/>
      <c r="C64091" s="6"/>
      <c r="D64091" s="6"/>
      <c r="E64091" s="6"/>
      <c r="F64091" s="6"/>
      <c r="G64091" s="6"/>
      <c r="H64091" s="6"/>
      <c r="I64091" s="6"/>
      <c r="J64091" s="6"/>
      <c r="K64091" s="6"/>
      <c r="L64091" s="6"/>
      <c r="M64091" s="6"/>
      <c r="N64091" s="6"/>
      <c r="O64091" s="6"/>
      <c r="P64091" s="6"/>
      <c r="Q64091" s="6"/>
      <c r="R64091" s="6"/>
      <c r="S64091" s="6"/>
      <c r="T64091" s="6"/>
      <c r="U64091" s="6"/>
      <c r="V64091" s="6"/>
      <c r="W64091" s="6"/>
      <c r="X64091" s="6"/>
      <c r="Y64091" s="6"/>
      <c r="Z64091" s="6"/>
      <c r="AA64091" s="6"/>
      <c r="AB64091" s="6"/>
      <c r="AC64091" s="6"/>
      <c r="AD64091" s="6"/>
      <c r="AE64091" s="6"/>
      <c r="AF64091" s="6"/>
      <c r="AG64091" s="6"/>
      <c r="AH64091" s="6"/>
      <c r="AI64091" s="6"/>
      <c r="AJ64091" s="6"/>
      <c r="AK64091" s="6"/>
      <c r="AL64091" s="6"/>
      <c r="AM64091" s="6"/>
    </row>
    <row r="64092" spans="2:39" ht="9.9499999999999993" hidden="1" customHeight="1" x14ac:dyDescent="0.2">
      <c r="B64092" s="6"/>
      <c r="C64092" s="6"/>
      <c r="D64092" s="6"/>
      <c r="E64092" s="6"/>
      <c r="F64092" s="6"/>
      <c r="G64092" s="6"/>
      <c r="H64092" s="6"/>
      <c r="I64092" s="6"/>
      <c r="J64092" s="6"/>
      <c r="K64092" s="6"/>
      <c r="L64092" s="6"/>
      <c r="M64092" s="6"/>
      <c r="N64092" s="6"/>
      <c r="O64092" s="6"/>
      <c r="P64092" s="6"/>
      <c r="Q64092" s="6"/>
      <c r="R64092" s="6"/>
      <c r="S64092" s="6"/>
      <c r="T64092" s="6"/>
      <c r="U64092" s="6"/>
      <c r="V64092" s="6"/>
      <c r="W64092" s="6"/>
      <c r="X64092" s="6"/>
      <c r="Y64092" s="6"/>
      <c r="Z64092" s="6"/>
      <c r="AA64092" s="6"/>
      <c r="AB64092" s="6"/>
      <c r="AC64092" s="6"/>
      <c r="AD64092" s="6"/>
      <c r="AE64092" s="6"/>
      <c r="AF64092" s="6"/>
      <c r="AG64092" s="6"/>
      <c r="AH64092" s="6"/>
      <c r="AI64092" s="6"/>
      <c r="AJ64092" s="6"/>
      <c r="AK64092" s="6"/>
      <c r="AL64092" s="6"/>
      <c r="AM64092" s="6"/>
    </row>
    <row r="64093" spans="2:39" ht="9.9499999999999993" hidden="1" customHeight="1" x14ac:dyDescent="0.2">
      <c r="B64093" s="6"/>
      <c r="C64093" s="6"/>
      <c r="D64093" s="6"/>
      <c r="E64093" s="6"/>
      <c r="F64093" s="6"/>
      <c r="G64093" s="6"/>
      <c r="H64093" s="6"/>
      <c r="I64093" s="6"/>
      <c r="J64093" s="6"/>
      <c r="K64093" s="6"/>
      <c r="L64093" s="6"/>
      <c r="M64093" s="6"/>
      <c r="N64093" s="6"/>
      <c r="O64093" s="6"/>
      <c r="P64093" s="6"/>
      <c r="Q64093" s="6"/>
      <c r="R64093" s="6"/>
      <c r="S64093" s="6"/>
      <c r="T64093" s="6"/>
      <c r="U64093" s="6"/>
      <c r="V64093" s="6"/>
      <c r="W64093" s="6"/>
      <c r="X64093" s="6"/>
      <c r="Y64093" s="6"/>
      <c r="Z64093" s="6"/>
      <c r="AA64093" s="6"/>
      <c r="AB64093" s="6"/>
      <c r="AC64093" s="6"/>
      <c r="AD64093" s="6"/>
      <c r="AE64093" s="6"/>
      <c r="AF64093" s="6"/>
      <c r="AG64093" s="6"/>
      <c r="AH64093" s="6"/>
      <c r="AI64093" s="6"/>
      <c r="AJ64093" s="6"/>
      <c r="AK64093" s="6"/>
      <c r="AL64093" s="6"/>
      <c r="AM64093" s="6"/>
    </row>
    <row r="64094" spans="2:39" ht="9.9499999999999993" hidden="1" customHeight="1" x14ac:dyDescent="0.2">
      <c r="B64094" s="6"/>
      <c r="C64094" s="6"/>
      <c r="D64094" s="6"/>
      <c r="E64094" s="6"/>
      <c r="F64094" s="6"/>
      <c r="G64094" s="6"/>
      <c r="H64094" s="6"/>
      <c r="I64094" s="6"/>
      <c r="J64094" s="6"/>
      <c r="K64094" s="6"/>
      <c r="L64094" s="6"/>
      <c r="M64094" s="6"/>
      <c r="N64094" s="6"/>
      <c r="O64094" s="6"/>
      <c r="P64094" s="6"/>
      <c r="Q64094" s="6"/>
      <c r="R64094" s="6"/>
      <c r="S64094" s="6"/>
      <c r="T64094" s="6"/>
      <c r="U64094" s="6"/>
      <c r="V64094" s="6"/>
      <c r="W64094" s="6"/>
      <c r="X64094" s="6"/>
      <c r="Y64094" s="6"/>
      <c r="Z64094" s="6"/>
      <c r="AA64094" s="6"/>
      <c r="AB64094" s="6"/>
      <c r="AC64094" s="6"/>
      <c r="AD64094" s="6"/>
      <c r="AE64094" s="6"/>
      <c r="AF64094" s="6"/>
      <c r="AG64094" s="6"/>
      <c r="AH64094" s="6"/>
      <c r="AI64094" s="6"/>
      <c r="AJ64094" s="6"/>
      <c r="AK64094" s="6"/>
      <c r="AL64094" s="6"/>
      <c r="AM64094" s="6"/>
    </row>
    <row r="64095" spans="2:39" ht="9.9499999999999993" hidden="1" customHeight="1" x14ac:dyDescent="0.2">
      <c r="B64095" s="6"/>
      <c r="C64095" s="6"/>
      <c r="D64095" s="6"/>
      <c r="E64095" s="6"/>
      <c r="F64095" s="6"/>
      <c r="G64095" s="6"/>
      <c r="H64095" s="6"/>
      <c r="I64095" s="6"/>
      <c r="J64095" s="6"/>
      <c r="K64095" s="6"/>
      <c r="L64095" s="6"/>
      <c r="M64095" s="6"/>
      <c r="N64095" s="6"/>
      <c r="O64095" s="6"/>
      <c r="P64095" s="6"/>
      <c r="Q64095" s="6"/>
      <c r="R64095" s="6"/>
      <c r="S64095" s="6"/>
      <c r="T64095" s="6"/>
      <c r="U64095" s="6"/>
      <c r="V64095" s="6"/>
      <c r="W64095" s="6"/>
      <c r="X64095" s="6"/>
      <c r="Y64095" s="6"/>
      <c r="Z64095" s="6"/>
      <c r="AA64095" s="6"/>
      <c r="AB64095" s="6"/>
      <c r="AC64095" s="6"/>
      <c r="AD64095" s="6"/>
      <c r="AE64095" s="6"/>
      <c r="AF64095" s="6"/>
      <c r="AG64095" s="6"/>
      <c r="AH64095" s="6"/>
      <c r="AI64095" s="6"/>
      <c r="AJ64095" s="6"/>
      <c r="AK64095" s="6"/>
      <c r="AL64095" s="6"/>
      <c r="AM64095" s="6"/>
    </row>
    <row r="64096" spans="2:39" ht="9.9499999999999993" hidden="1" customHeight="1" x14ac:dyDescent="0.2">
      <c r="B64096" s="6"/>
      <c r="C64096" s="6"/>
      <c r="D64096" s="6"/>
      <c r="E64096" s="6"/>
      <c r="F64096" s="6"/>
      <c r="G64096" s="6"/>
      <c r="H64096" s="6"/>
      <c r="I64096" s="6"/>
      <c r="J64096" s="6"/>
      <c r="K64096" s="6"/>
      <c r="L64096" s="6"/>
      <c r="M64096" s="6"/>
      <c r="N64096" s="6"/>
      <c r="O64096" s="6"/>
      <c r="P64096" s="6"/>
      <c r="Q64096" s="6"/>
      <c r="R64096" s="6"/>
      <c r="S64096" s="6"/>
      <c r="T64096" s="6"/>
      <c r="U64096" s="6"/>
      <c r="V64096" s="6"/>
      <c r="W64096" s="6"/>
      <c r="X64096" s="6"/>
      <c r="Y64096" s="6"/>
      <c r="Z64096" s="6"/>
      <c r="AA64096" s="6"/>
      <c r="AB64096" s="6"/>
      <c r="AC64096" s="6"/>
      <c r="AD64096" s="6"/>
      <c r="AE64096" s="6"/>
      <c r="AF64096" s="6"/>
      <c r="AG64096" s="6"/>
      <c r="AH64096" s="6"/>
      <c r="AI64096" s="6"/>
      <c r="AJ64096" s="6"/>
      <c r="AK64096" s="6"/>
      <c r="AL64096" s="6"/>
      <c r="AM64096" s="6"/>
    </row>
    <row r="64097" spans="2:39" ht="9.9499999999999993" hidden="1" customHeight="1" x14ac:dyDescent="0.2">
      <c r="B64097" s="6"/>
      <c r="C64097" s="6"/>
      <c r="D64097" s="6"/>
      <c r="E64097" s="6"/>
      <c r="F64097" s="6"/>
      <c r="G64097" s="6"/>
      <c r="H64097" s="6"/>
      <c r="I64097" s="6"/>
      <c r="J64097" s="6"/>
      <c r="K64097" s="6"/>
      <c r="L64097" s="6"/>
      <c r="M64097" s="6"/>
      <c r="N64097" s="6"/>
      <c r="O64097" s="6"/>
      <c r="P64097" s="6"/>
      <c r="Q64097" s="6"/>
      <c r="R64097" s="6"/>
      <c r="S64097" s="6"/>
      <c r="T64097" s="6"/>
      <c r="U64097" s="6"/>
      <c r="V64097" s="6"/>
      <c r="W64097" s="6"/>
      <c r="X64097" s="6"/>
      <c r="Y64097" s="6"/>
      <c r="Z64097" s="6"/>
      <c r="AA64097" s="6"/>
      <c r="AB64097" s="6"/>
      <c r="AC64097" s="6"/>
      <c r="AD64097" s="6"/>
      <c r="AE64097" s="6"/>
      <c r="AF64097" s="6"/>
      <c r="AG64097" s="6"/>
      <c r="AH64097" s="6"/>
      <c r="AI64097" s="6"/>
      <c r="AJ64097" s="6"/>
      <c r="AK64097" s="6"/>
      <c r="AL64097" s="6"/>
      <c r="AM64097" s="6"/>
    </row>
    <row r="64098" spans="2:39" ht="9.9499999999999993" hidden="1" customHeight="1" x14ac:dyDescent="0.2">
      <c r="B64098" s="6"/>
      <c r="C64098" s="6"/>
      <c r="D64098" s="6"/>
      <c r="E64098" s="6"/>
      <c r="F64098" s="6"/>
      <c r="G64098" s="6"/>
      <c r="H64098" s="6"/>
      <c r="I64098" s="6"/>
      <c r="J64098" s="6"/>
      <c r="K64098" s="6"/>
      <c r="L64098" s="6"/>
      <c r="M64098" s="6"/>
      <c r="N64098" s="6"/>
      <c r="O64098" s="6"/>
      <c r="P64098" s="6"/>
      <c r="Q64098" s="6"/>
      <c r="R64098" s="6"/>
      <c r="S64098" s="6"/>
      <c r="T64098" s="6"/>
      <c r="U64098" s="6"/>
      <c r="V64098" s="6"/>
      <c r="W64098" s="6"/>
      <c r="X64098" s="6"/>
      <c r="Y64098" s="6"/>
      <c r="Z64098" s="6"/>
      <c r="AA64098" s="6"/>
      <c r="AB64098" s="6"/>
      <c r="AC64098" s="6"/>
      <c r="AD64098" s="6"/>
      <c r="AE64098" s="6"/>
      <c r="AF64098" s="6"/>
      <c r="AG64098" s="6"/>
      <c r="AH64098" s="6"/>
      <c r="AI64098" s="6"/>
      <c r="AJ64098" s="6"/>
      <c r="AK64098" s="6"/>
      <c r="AL64098" s="6"/>
      <c r="AM64098" s="6"/>
    </row>
    <row r="64099" spans="2:39" ht="9.9499999999999993" hidden="1" customHeight="1" x14ac:dyDescent="0.2">
      <c r="B64099" s="6"/>
      <c r="C64099" s="6"/>
      <c r="D64099" s="6"/>
      <c r="E64099" s="6"/>
      <c r="F64099" s="6"/>
      <c r="G64099" s="6"/>
      <c r="H64099" s="6"/>
      <c r="I64099" s="6"/>
      <c r="J64099" s="6"/>
      <c r="K64099" s="6"/>
      <c r="L64099" s="6"/>
      <c r="M64099" s="6"/>
      <c r="N64099" s="6"/>
      <c r="O64099" s="6"/>
      <c r="P64099" s="6"/>
      <c r="Q64099" s="6"/>
      <c r="R64099" s="6"/>
      <c r="S64099" s="6"/>
      <c r="T64099" s="6"/>
      <c r="U64099" s="6"/>
      <c r="V64099" s="6"/>
      <c r="W64099" s="6"/>
      <c r="X64099" s="6"/>
      <c r="Y64099" s="6"/>
      <c r="Z64099" s="6"/>
      <c r="AA64099" s="6"/>
      <c r="AB64099" s="6"/>
      <c r="AC64099" s="6"/>
      <c r="AD64099" s="6"/>
      <c r="AE64099" s="6"/>
      <c r="AF64099" s="6"/>
      <c r="AG64099" s="6"/>
      <c r="AH64099" s="6"/>
      <c r="AI64099" s="6"/>
      <c r="AJ64099" s="6"/>
      <c r="AK64099" s="6"/>
      <c r="AL64099" s="6"/>
      <c r="AM64099" s="6"/>
    </row>
    <row r="64100" spans="2:39" ht="9.9499999999999993" hidden="1" customHeight="1" x14ac:dyDescent="0.2">
      <c r="B64100" s="6"/>
      <c r="C64100" s="6"/>
      <c r="D64100" s="6"/>
      <c r="E64100" s="6"/>
      <c r="F64100" s="6"/>
      <c r="G64100" s="6"/>
      <c r="H64100" s="6"/>
      <c r="I64100" s="6"/>
      <c r="J64100" s="6"/>
      <c r="K64100" s="6"/>
      <c r="L64100" s="6"/>
      <c r="M64100" s="6"/>
      <c r="N64100" s="6"/>
      <c r="O64100" s="6"/>
      <c r="P64100" s="6"/>
      <c r="Q64100" s="6"/>
      <c r="R64100" s="6"/>
      <c r="S64100" s="6"/>
      <c r="T64100" s="6"/>
      <c r="U64100" s="6"/>
      <c r="V64100" s="6"/>
      <c r="W64100" s="6"/>
      <c r="X64100" s="6"/>
      <c r="Y64100" s="6"/>
      <c r="Z64100" s="6"/>
      <c r="AA64100" s="6"/>
      <c r="AB64100" s="6"/>
      <c r="AC64100" s="6"/>
      <c r="AD64100" s="6"/>
      <c r="AE64100" s="6"/>
      <c r="AF64100" s="6"/>
      <c r="AG64100" s="6"/>
      <c r="AH64100" s="6"/>
      <c r="AI64100" s="6"/>
      <c r="AJ64100" s="6"/>
      <c r="AK64100" s="6"/>
      <c r="AL64100" s="6"/>
      <c r="AM64100" s="6"/>
    </row>
    <row r="64101" spans="2:39" ht="9.9499999999999993" hidden="1" customHeight="1" x14ac:dyDescent="0.2">
      <c r="B64101" s="6"/>
      <c r="C64101" s="6"/>
      <c r="D64101" s="6"/>
      <c r="E64101" s="6"/>
      <c r="F64101" s="6"/>
      <c r="G64101" s="6"/>
      <c r="H64101" s="6"/>
      <c r="I64101" s="6"/>
      <c r="J64101" s="6"/>
      <c r="K64101" s="6"/>
      <c r="L64101" s="6"/>
      <c r="M64101" s="6"/>
      <c r="N64101" s="6"/>
      <c r="O64101" s="6"/>
      <c r="P64101" s="6"/>
      <c r="Q64101" s="6"/>
      <c r="R64101" s="6"/>
      <c r="S64101" s="6"/>
      <c r="T64101" s="6"/>
      <c r="U64101" s="6"/>
      <c r="V64101" s="6"/>
      <c r="W64101" s="6"/>
      <c r="X64101" s="6"/>
      <c r="Y64101" s="6"/>
      <c r="Z64101" s="6"/>
      <c r="AA64101" s="6"/>
      <c r="AB64101" s="6"/>
      <c r="AC64101" s="6"/>
      <c r="AD64101" s="6"/>
      <c r="AE64101" s="6"/>
      <c r="AF64101" s="6"/>
      <c r="AG64101" s="6"/>
      <c r="AH64101" s="6"/>
      <c r="AI64101" s="6"/>
      <c r="AJ64101" s="6"/>
      <c r="AK64101" s="6"/>
      <c r="AL64101" s="6"/>
      <c r="AM64101" s="6"/>
    </row>
    <row r="64102" spans="2:39" ht="9.9499999999999993" hidden="1" customHeight="1" x14ac:dyDescent="0.2">
      <c r="B64102" s="6"/>
      <c r="C64102" s="6"/>
      <c r="D64102" s="6"/>
      <c r="E64102" s="6"/>
      <c r="F64102" s="6"/>
      <c r="G64102" s="6"/>
      <c r="H64102" s="6"/>
      <c r="I64102" s="6"/>
      <c r="J64102" s="6"/>
      <c r="K64102" s="6"/>
      <c r="L64102" s="6"/>
      <c r="M64102" s="6"/>
      <c r="N64102" s="6"/>
      <c r="O64102" s="6"/>
      <c r="P64102" s="6"/>
      <c r="Q64102" s="6"/>
      <c r="R64102" s="6"/>
      <c r="S64102" s="6"/>
      <c r="T64102" s="6"/>
      <c r="U64102" s="6"/>
      <c r="V64102" s="6"/>
      <c r="W64102" s="6"/>
      <c r="X64102" s="6"/>
      <c r="Y64102" s="6"/>
      <c r="Z64102" s="6"/>
      <c r="AA64102" s="6"/>
      <c r="AB64102" s="6"/>
      <c r="AC64102" s="6"/>
      <c r="AD64102" s="6"/>
      <c r="AE64102" s="6"/>
      <c r="AF64102" s="6"/>
      <c r="AG64102" s="6"/>
      <c r="AH64102" s="6"/>
      <c r="AI64102" s="6"/>
      <c r="AJ64102" s="6"/>
      <c r="AK64102" s="6"/>
      <c r="AL64102" s="6"/>
      <c r="AM64102" s="6"/>
    </row>
    <row r="64103" spans="2:39" ht="9.9499999999999993" hidden="1" customHeight="1" x14ac:dyDescent="0.2">
      <c r="B64103" s="6"/>
      <c r="C64103" s="6"/>
      <c r="D64103" s="6"/>
      <c r="E64103" s="6"/>
      <c r="F64103" s="6"/>
      <c r="G64103" s="6"/>
      <c r="H64103" s="6"/>
      <c r="I64103" s="6"/>
      <c r="J64103" s="6"/>
      <c r="K64103" s="6"/>
      <c r="L64103" s="6"/>
      <c r="M64103" s="6"/>
      <c r="N64103" s="6"/>
      <c r="O64103" s="6"/>
      <c r="P64103" s="6"/>
      <c r="Q64103" s="6"/>
      <c r="R64103" s="6"/>
      <c r="S64103" s="6"/>
      <c r="T64103" s="6"/>
      <c r="U64103" s="6"/>
      <c r="V64103" s="6"/>
      <c r="W64103" s="6"/>
      <c r="X64103" s="6"/>
      <c r="Y64103" s="6"/>
      <c r="Z64103" s="6"/>
      <c r="AA64103" s="6"/>
      <c r="AB64103" s="6"/>
      <c r="AC64103" s="6"/>
      <c r="AD64103" s="6"/>
      <c r="AE64103" s="6"/>
      <c r="AF64103" s="6"/>
      <c r="AG64103" s="6"/>
      <c r="AH64103" s="6"/>
      <c r="AI64103" s="6"/>
      <c r="AJ64103" s="6"/>
      <c r="AK64103" s="6"/>
      <c r="AL64103" s="6"/>
      <c r="AM64103" s="6"/>
    </row>
    <row r="64104" spans="2:39" ht="9.9499999999999993" hidden="1" customHeight="1" x14ac:dyDescent="0.2">
      <c r="B64104" s="6"/>
      <c r="C64104" s="6"/>
      <c r="D64104" s="6"/>
      <c r="E64104" s="6"/>
      <c r="F64104" s="6"/>
      <c r="G64104" s="6"/>
      <c r="H64104" s="6"/>
      <c r="I64104" s="6"/>
      <c r="J64104" s="6"/>
      <c r="K64104" s="6"/>
      <c r="L64104" s="6"/>
      <c r="M64104" s="6"/>
      <c r="N64104" s="6"/>
      <c r="O64104" s="6"/>
      <c r="P64104" s="6"/>
      <c r="Q64104" s="6"/>
      <c r="R64104" s="6"/>
      <c r="S64104" s="6"/>
      <c r="T64104" s="6"/>
      <c r="U64104" s="6"/>
      <c r="V64104" s="6"/>
      <c r="W64104" s="6"/>
      <c r="X64104" s="6"/>
      <c r="Y64104" s="6"/>
      <c r="Z64104" s="6"/>
      <c r="AA64104" s="6"/>
      <c r="AB64104" s="6"/>
      <c r="AC64104" s="6"/>
      <c r="AD64104" s="6"/>
      <c r="AE64104" s="6"/>
      <c r="AF64104" s="6"/>
      <c r="AG64104" s="6"/>
      <c r="AH64104" s="6"/>
      <c r="AI64104" s="6"/>
      <c r="AJ64104" s="6"/>
      <c r="AK64104" s="6"/>
      <c r="AL64104" s="6"/>
      <c r="AM64104" s="6"/>
    </row>
    <row r="64105" spans="2:39" ht="9.9499999999999993" hidden="1" customHeight="1" x14ac:dyDescent="0.2">
      <c r="B64105" s="6"/>
      <c r="C64105" s="6"/>
      <c r="D64105" s="6"/>
      <c r="E64105" s="6"/>
      <c r="F64105" s="6"/>
      <c r="G64105" s="6"/>
      <c r="H64105" s="6"/>
      <c r="I64105" s="6"/>
      <c r="J64105" s="6"/>
      <c r="K64105" s="6"/>
      <c r="L64105" s="6"/>
      <c r="M64105" s="6"/>
      <c r="N64105" s="6"/>
      <c r="O64105" s="6"/>
      <c r="P64105" s="6"/>
      <c r="Q64105" s="6"/>
      <c r="R64105" s="6"/>
      <c r="S64105" s="6"/>
      <c r="T64105" s="6"/>
      <c r="U64105" s="6"/>
      <c r="V64105" s="6"/>
      <c r="W64105" s="6"/>
      <c r="X64105" s="6"/>
      <c r="Y64105" s="6"/>
      <c r="Z64105" s="6"/>
      <c r="AA64105" s="6"/>
      <c r="AB64105" s="6"/>
      <c r="AC64105" s="6"/>
      <c r="AD64105" s="6"/>
      <c r="AE64105" s="6"/>
      <c r="AF64105" s="6"/>
      <c r="AG64105" s="6"/>
      <c r="AH64105" s="6"/>
      <c r="AI64105" s="6"/>
      <c r="AJ64105" s="6"/>
      <c r="AK64105" s="6"/>
      <c r="AL64105" s="6"/>
      <c r="AM64105" s="6"/>
    </row>
    <row r="64106" spans="2:39" ht="9.9499999999999993" hidden="1" customHeight="1" x14ac:dyDescent="0.2">
      <c r="B64106" s="6"/>
      <c r="C64106" s="6"/>
      <c r="D64106" s="6"/>
      <c r="E64106" s="6"/>
      <c r="F64106" s="6"/>
      <c r="G64106" s="6"/>
      <c r="H64106" s="6"/>
      <c r="I64106" s="6"/>
      <c r="J64106" s="6"/>
      <c r="K64106" s="6"/>
      <c r="L64106" s="6"/>
      <c r="M64106" s="6"/>
      <c r="N64106" s="6"/>
      <c r="O64106" s="6"/>
      <c r="P64106" s="6"/>
      <c r="Q64106" s="6"/>
      <c r="R64106" s="6"/>
      <c r="S64106" s="6"/>
      <c r="T64106" s="6"/>
      <c r="U64106" s="6"/>
      <c r="V64106" s="6"/>
      <c r="W64106" s="6"/>
      <c r="X64106" s="6"/>
      <c r="Y64106" s="6"/>
      <c r="Z64106" s="6"/>
      <c r="AA64106" s="6"/>
      <c r="AB64106" s="6"/>
      <c r="AC64106" s="6"/>
      <c r="AD64106" s="6"/>
      <c r="AE64106" s="6"/>
      <c r="AF64106" s="6"/>
      <c r="AG64106" s="6"/>
      <c r="AH64106" s="6"/>
      <c r="AI64106" s="6"/>
      <c r="AJ64106" s="6"/>
      <c r="AK64106" s="6"/>
      <c r="AL64106" s="6"/>
      <c r="AM64106" s="6"/>
    </row>
    <row r="64107" spans="2:39" ht="9.9499999999999993" hidden="1" customHeight="1" x14ac:dyDescent="0.2">
      <c r="B64107" s="6"/>
      <c r="C64107" s="6"/>
      <c r="D64107" s="6"/>
      <c r="E64107" s="6"/>
      <c r="F64107" s="6"/>
      <c r="G64107" s="6"/>
      <c r="H64107" s="6"/>
      <c r="I64107" s="6"/>
      <c r="J64107" s="6"/>
      <c r="K64107" s="6"/>
      <c r="L64107" s="6"/>
      <c r="M64107" s="6"/>
      <c r="N64107" s="6"/>
      <c r="O64107" s="6"/>
      <c r="P64107" s="6"/>
      <c r="Q64107" s="6"/>
      <c r="R64107" s="6"/>
      <c r="S64107" s="6"/>
      <c r="T64107" s="6"/>
      <c r="U64107" s="6"/>
      <c r="V64107" s="6"/>
      <c r="W64107" s="6"/>
      <c r="X64107" s="6"/>
      <c r="Y64107" s="6"/>
      <c r="Z64107" s="6"/>
      <c r="AA64107" s="6"/>
      <c r="AB64107" s="6"/>
      <c r="AC64107" s="6"/>
      <c r="AD64107" s="6"/>
      <c r="AE64107" s="6"/>
      <c r="AF64107" s="6"/>
      <c r="AG64107" s="6"/>
      <c r="AH64107" s="6"/>
      <c r="AI64107" s="6"/>
      <c r="AJ64107" s="6"/>
      <c r="AK64107" s="6"/>
      <c r="AL64107" s="6"/>
      <c r="AM64107" s="6"/>
    </row>
    <row r="64108" spans="2:39" ht="9.9499999999999993" hidden="1" customHeight="1" x14ac:dyDescent="0.2">
      <c r="B64108" s="6"/>
      <c r="C64108" s="6"/>
      <c r="D64108" s="6"/>
      <c r="E64108" s="6"/>
      <c r="F64108" s="6"/>
      <c r="G64108" s="6"/>
      <c r="H64108" s="6"/>
      <c r="I64108" s="6"/>
      <c r="J64108" s="6"/>
      <c r="K64108" s="6"/>
      <c r="L64108" s="6"/>
      <c r="M64108" s="6"/>
      <c r="N64108" s="6"/>
      <c r="O64108" s="6"/>
      <c r="P64108" s="6"/>
      <c r="Q64108" s="6"/>
      <c r="R64108" s="6"/>
      <c r="S64108" s="6"/>
      <c r="T64108" s="6"/>
      <c r="U64108" s="6"/>
      <c r="V64108" s="6"/>
      <c r="W64108" s="6"/>
      <c r="X64108" s="6"/>
      <c r="Y64108" s="6"/>
      <c r="Z64108" s="6"/>
      <c r="AA64108" s="6"/>
      <c r="AB64108" s="6"/>
      <c r="AC64108" s="6"/>
      <c r="AD64108" s="6"/>
      <c r="AE64108" s="6"/>
      <c r="AF64108" s="6"/>
      <c r="AG64108" s="6"/>
      <c r="AH64108" s="6"/>
      <c r="AI64108" s="6"/>
      <c r="AJ64108" s="6"/>
      <c r="AK64108" s="6"/>
      <c r="AL64108" s="6"/>
      <c r="AM64108" s="6"/>
    </row>
    <row r="64109" spans="2:39" ht="9.9499999999999993" hidden="1" customHeight="1" x14ac:dyDescent="0.2">
      <c r="B64109" s="6"/>
      <c r="C64109" s="6"/>
      <c r="D64109" s="6"/>
      <c r="E64109" s="6"/>
      <c r="F64109" s="6"/>
      <c r="G64109" s="6"/>
      <c r="H64109" s="6"/>
      <c r="I64109" s="6"/>
      <c r="J64109" s="6"/>
      <c r="K64109" s="6"/>
      <c r="L64109" s="6"/>
      <c r="M64109" s="6"/>
      <c r="N64109" s="6"/>
      <c r="O64109" s="6"/>
      <c r="P64109" s="6"/>
      <c r="Q64109" s="6"/>
      <c r="R64109" s="6"/>
      <c r="S64109" s="6"/>
      <c r="T64109" s="6"/>
      <c r="U64109" s="6"/>
      <c r="V64109" s="6"/>
      <c r="W64109" s="6"/>
      <c r="X64109" s="6"/>
      <c r="Y64109" s="6"/>
      <c r="Z64109" s="6"/>
      <c r="AA64109" s="6"/>
      <c r="AB64109" s="6"/>
      <c r="AC64109" s="6"/>
      <c r="AD64109" s="6"/>
      <c r="AE64109" s="6"/>
      <c r="AF64109" s="6"/>
      <c r="AG64109" s="6"/>
      <c r="AH64109" s="6"/>
      <c r="AI64109" s="6"/>
      <c r="AJ64109" s="6"/>
      <c r="AK64109" s="6"/>
      <c r="AL64109" s="6"/>
      <c r="AM64109" s="6"/>
    </row>
    <row r="64110" spans="2:39" ht="9.9499999999999993" hidden="1" customHeight="1" x14ac:dyDescent="0.2">
      <c r="B64110" s="6"/>
      <c r="C64110" s="6"/>
      <c r="D64110" s="6"/>
      <c r="E64110" s="6"/>
      <c r="F64110" s="6"/>
      <c r="G64110" s="6"/>
      <c r="H64110" s="6"/>
      <c r="I64110" s="6"/>
      <c r="J64110" s="6"/>
      <c r="K64110" s="6"/>
      <c r="L64110" s="6"/>
      <c r="M64110" s="6"/>
      <c r="N64110" s="6"/>
      <c r="O64110" s="6"/>
      <c r="P64110" s="6"/>
      <c r="Q64110" s="6"/>
      <c r="R64110" s="6"/>
      <c r="S64110" s="6"/>
      <c r="T64110" s="6"/>
      <c r="U64110" s="6"/>
      <c r="V64110" s="6"/>
      <c r="W64110" s="6"/>
      <c r="X64110" s="6"/>
      <c r="Y64110" s="6"/>
      <c r="Z64110" s="6"/>
      <c r="AA64110" s="6"/>
      <c r="AB64110" s="6"/>
      <c r="AC64110" s="6"/>
      <c r="AD64110" s="6"/>
      <c r="AE64110" s="6"/>
      <c r="AF64110" s="6"/>
      <c r="AG64110" s="6"/>
      <c r="AH64110" s="6"/>
      <c r="AI64110" s="6"/>
      <c r="AJ64110" s="6"/>
      <c r="AK64110" s="6"/>
      <c r="AL64110" s="6"/>
      <c r="AM64110" s="6"/>
    </row>
    <row r="64111" spans="2:39" ht="9.9499999999999993" hidden="1" customHeight="1" x14ac:dyDescent="0.2">
      <c r="B64111" s="6"/>
      <c r="C64111" s="6"/>
      <c r="D64111" s="6"/>
      <c r="E64111" s="6"/>
      <c r="F64111" s="6"/>
      <c r="G64111" s="6"/>
      <c r="H64111" s="6"/>
      <c r="I64111" s="6"/>
      <c r="J64111" s="6"/>
      <c r="K64111" s="6"/>
      <c r="L64111" s="6"/>
      <c r="M64111" s="6"/>
      <c r="N64111" s="6"/>
      <c r="O64111" s="6"/>
      <c r="P64111" s="6"/>
      <c r="Q64111" s="6"/>
      <c r="R64111" s="6"/>
      <c r="S64111" s="6"/>
      <c r="T64111" s="6"/>
      <c r="U64111" s="6"/>
      <c r="V64111" s="6"/>
      <c r="W64111" s="6"/>
      <c r="X64111" s="6"/>
      <c r="Y64111" s="6"/>
      <c r="Z64111" s="6"/>
      <c r="AA64111" s="6"/>
      <c r="AB64111" s="6"/>
      <c r="AC64111" s="6"/>
      <c r="AD64111" s="6"/>
      <c r="AE64111" s="6"/>
      <c r="AF64111" s="6"/>
      <c r="AG64111" s="6"/>
      <c r="AH64111" s="6"/>
      <c r="AI64111" s="6"/>
      <c r="AJ64111" s="6"/>
      <c r="AK64111" s="6"/>
      <c r="AL64111" s="6"/>
      <c r="AM64111" s="6"/>
    </row>
    <row r="64112" spans="2:39" ht="9.9499999999999993" hidden="1" customHeight="1" x14ac:dyDescent="0.2">
      <c r="B64112" s="6"/>
      <c r="C64112" s="6"/>
      <c r="D64112" s="6"/>
      <c r="E64112" s="6"/>
      <c r="F64112" s="6"/>
      <c r="G64112" s="6"/>
      <c r="H64112" s="6"/>
      <c r="I64112" s="6"/>
      <c r="J64112" s="6"/>
      <c r="K64112" s="6"/>
      <c r="L64112" s="6"/>
      <c r="M64112" s="6"/>
      <c r="N64112" s="6"/>
      <c r="O64112" s="6"/>
      <c r="P64112" s="6"/>
      <c r="Q64112" s="6"/>
      <c r="R64112" s="6"/>
      <c r="S64112" s="6"/>
      <c r="T64112" s="6"/>
      <c r="U64112" s="6"/>
      <c r="V64112" s="6"/>
      <c r="W64112" s="6"/>
      <c r="X64112" s="6"/>
      <c r="Y64112" s="6"/>
      <c r="Z64112" s="6"/>
      <c r="AA64112" s="6"/>
      <c r="AB64112" s="6"/>
      <c r="AC64112" s="6"/>
      <c r="AD64112" s="6"/>
      <c r="AE64112" s="6"/>
      <c r="AF64112" s="6"/>
      <c r="AG64112" s="6"/>
      <c r="AH64112" s="6"/>
      <c r="AI64112" s="6"/>
      <c r="AJ64112" s="6"/>
      <c r="AK64112" s="6"/>
      <c r="AL64112" s="6"/>
      <c r="AM64112" s="6"/>
    </row>
    <row r="64113" spans="2:39" ht="9.9499999999999993" hidden="1" customHeight="1" x14ac:dyDescent="0.2">
      <c r="B64113" s="6"/>
      <c r="C64113" s="6"/>
      <c r="D64113" s="6"/>
      <c r="E64113" s="6"/>
      <c r="F64113" s="6"/>
      <c r="G64113" s="6"/>
      <c r="H64113" s="6"/>
      <c r="I64113" s="6"/>
      <c r="J64113" s="6"/>
      <c r="K64113" s="6"/>
      <c r="L64113" s="6"/>
      <c r="M64113" s="6"/>
      <c r="N64113" s="6"/>
      <c r="O64113" s="6"/>
      <c r="P64113" s="6"/>
      <c r="Q64113" s="6"/>
      <c r="R64113" s="6"/>
      <c r="S64113" s="6"/>
      <c r="T64113" s="6"/>
      <c r="U64113" s="6"/>
      <c r="V64113" s="6"/>
      <c r="W64113" s="6"/>
      <c r="X64113" s="6"/>
      <c r="Y64113" s="6"/>
      <c r="Z64113" s="6"/>
      <c r="AA64113" s="6"/>
      <c r="AB64113" s="6"/>
      <c r="AC64113" s="6"/>
      <c r="AD64113" s="6"/>
      <c r="AE64113" s="6"/>
      <c r="AF64113" s="6"/>
      <c r="AG64113" s="6"/>
      <c r="AH64113" s="6"/>
      <c r="AI64113" s="6"/>
      <c r="AJ64113" s="6"/>
      <c r="AK64113" s="6"/>
      <c r="AL64113" s="6"/>
      <c r="AM64113" s="6"/>
    </row>
    <row r="64114" spans="2:39" ht="9.9499999999999993" hidden="1" customHeight="1" x14ac:dyDescent="0.2">
      <c r="B64114" s="6"/>
      <c r="C64114" s="6"/>
      <c r="D64114" s="6"/>
      <c r="E64114" s="6"/>
      <c r="F64114" s="6"/>
      <c r="G64114" s="6"/>
      <c r="H64114" s="6"/>
      <c r="I64114" s="6"/>
      <c r="J64114" s="6"/>
      <c r="K64114" s="6"/>
      <c r="L64114" s="6"/>
      <c r="M64114" s="6"/>
      <c r="N64114" s="6"/>
      <c r="O64114" s="6"/>
      <c r="P64114" s="6"/>
      <c r="Q64114" s="6"/>
      <c r="R64114" s="6"/>
      <c r="S64114" s="6"/>
      <c r="T64114" s="6"/>
      <c r="U64114" s="6"/>
      <c r="V64114" s="6"/>
      <c r="W64114" s="6"/>
      <c r="X64114" s="6"/>
      <c r="Y64114" s="6"/>
      <c r="Z64114" s="6"/>
      <c r="AA64114" s="6"/>
      <c r="AB64114" s="6"/>
      <c r="AC64114" s="6"/>
      <c r="AD64114" s="6"/>
      <c r="AE64114" s="6"/>
      <c r="AF64114" s="6"/>
      <c r="AG64114" s="6"/>
      <c r="AH64114" s="6"/>
      <c r="AI64114" s="6"/>
      <c r="AJ64114" s="6"/>
      <c r="AK64114" s="6"/>
      <c r="AL64114" s="6"/>
      <c r="AM64114" s="6"/>
    </row>
    <row r="64115" spans="2:39" ht="9.9499999999999993" hidden="1" customHeight="1" x14ac:dyDescent="0.2">
      <c r="B64115" s="6"/>
      <c r="C64115" s="6"/>
      <c r="D64115" s="6"/>
      <c r="E64115" s="6"/>
      <c r="F64115" s="6"/>
      <c r="G64115" s="6"/>
      <c r="H64115" s="6"/>
      <c r="I64115" s="6"/>
      <c r="J64115" s="6"/>
      <c r="K64115" s="6"/>
      <c r="L64115" s="6"/>
      <c r="M64115" s="6"/>
      <c r="N64115" s="6"/>
      <c r="O64115" s="6"/>
      <c r="P64115" s="6"/>
      <c r="Q64115" s="6"/>
      <c r="R64115" s="6"/>
      <c r="S64115" s="6"/>
      <c r="T64115" s="6"/>
      <c r="U64115" s="6"/>
      <c r="V64115" s="6"/>
      <c r="W64115" s="6"/>
      <c r="X64115" s="6"/>
      <c r="Y64115" s="6"/>
      <c r="Z64115" s="6"/>
      <c r="AA64115" s="6"/>
      <c r="AB64115" s="6"/>
      <c r="AC64115" s="6"/>
      <c r="AD64115" s="6"/>
      <c r="AE64115" s="6"/>
      <c r="AF64115" s="6"/>
      <c r="AG64115" s="6"/>
      <c r="AH64115" s="6"/>
      <c r="AI64115" s="6"/>
      <c r="AJ64115" s="6"/>
      <c r="AK64115" s="6"/>
      <c r="AL64115" s="6"/>
      <c r="AM64115" s="6"/>
    </row>
    <row r="64116" spans="2:39" ht="9.9499999999999993" hidden="1" customHeight="1" x14ac:dyDescent="0.2">
      <c r="B64116" s="6"/>
      <c r="C64116" s="6"/>
      <c r="D64116" s="6"/>
      <c r="E64116" s="6"/>
      <c r="F64116" s="6"/>
      <c r="G64116" s="6"/>
      <c r="H64116" s="6"/>
      <c r="I64116" s="6"/>
      <c r="J64116" s="6"/>
      <c r="K64116" s="6"/>
      <c r="L64116" s="6"/>
      <c r="M64116" s="6"/>
      <c r="N64116" s="6"/>
      <c r="O64116" s="6"/>
      <c r="P64116" s="6"/>
      <c r="Q64116" s="6"/>
      <c r="R64116" s="6"/>
      <c r="S64116" s="6"/>
      <c r="T64116" s="6"/>
      <c r="U64116" s="6"/>
      <c r="V64116" s="6"/>
      <c r="W64116" s="6"/>
      <c r="X64116" s="6"/>
      <c r="Y64116" s="6"/>
      <c r="Z64116" s="6"/>
      <c r="AA64116" s="6"/>
      <c r="AB64116" s="6"/>
      <c r="AC64116" s="6"/>
      <c r="AD64116" s="6"/>
      <c r="AE64116" s="6"/>
      <c r="AF64116" s="6"/>
      <c r="AG64116" s="6"/>
      <c r="AH64116" s="6"/>
      <c r="AI64116" s="6"/>
      <c r="AJ64116" s="6"/>
      <c r="AK64116" s="6"/>
      <c r="AL64116" s="6"/>
      <c r="AM64116" s="6"/>
    </row>
    <row r="64117" spans="2:39" ht="9.9499999999999993" hidden="1" customHeight="1" x14ac:dyDescent="0.2">
      <c r="B64117" s="6"/>
      <c r="C64117" s="6"/>
      <c r="D64117" s="6"/>
      <c r="E64117" s="6"/>
      <c r="F64117" s="6"/>
      <c r="G64117" s="6"/>
      <c r="H64117" s="6"/>
      <c r="I64117" s="6"/>
      <c r="J64117" s="6"/>
      <c r="K64117" s="6"/>
      <c r="L64117" s="6"/>
      <c r="M64117" s="6"/>
      <c r="N64117" s="6"/>
      <c r="O64117" s="6"/>
      <c r="P64117" s="6"/>
      <c r="Q64117" s="6"/>
      <c r="R64117" s="6"/>
      <c r="S64117" s="6"/>
      <c r="T64117" s="6"/>
      <c r="U64117" s="6"/>
      <c r="V64117" s="6"/>
      <c r="W64117" s="6"/>
      <c r="X64117" s="6"/>
      <c r="Y64117" s="6"/>
      <c r="Z64117" s="6"/>
      <c r="AA64117" s="6"/>
      <c r="AB64117" s="6"/>
      <c r="AC64117" s="6"/>
      <c r="AD64117" s="6"/>
      <c r="AE64117" s="6"/>
      <c r="AF64117" s="6"/>
      <c r="AG64117" s="6"/>
      <c r="AH64117" s="6"/>
      <c r="AI64117" s="6"/>
      <c r="AJ64117" s="6"/>
      <c r="AK64117" s="6"/>
      <c r="AL64117" s="6"/>
      <c r="AM64117" s="6"/>
    </row>
    <row r="64118" spans="2:39" ht="9.9499999999999993" hidden="1" customHeight="1" x14ac:dyDescent="0.2">
      <c r="B64118" s="6"/>
      <c r="C64118" s="6"/>
      <c r="D64118" s="6"/>
      <c r="E64118" s="6"/>
      <c r="F64118" s="6"/>
      <c r="G64118" s="6"/>
      <c r="H64118" s="6"/>
      <c r="I64118" s="6"/>
      <c r="J64118" s="6"/>
      <c r="K64118" s="6"/>
      <c r="L64118" s="6"/>
      <c r="M64118" s="6"/>
      <c r="N64118" s="6"/>
      <c r="O64118" s="6"/>
      <c r="P64118" s="6"/>
      <c r="Q64118" s="6"/>
      <c r="R64118" s="6"/>
      <c r="S64118" s="6"/>
      <c r="T64118" s="6"/>
      <c r="U64118" s="6"/>
      <c r="V64118" s="6"/>
      <c r="W64118" s="6"/>
      <c r="X64118" s="6"/>
      <c r="Y64118" s="6"/>
      <c r="Z64118" s="6"/>
      <c r="AA64118" s="6"/>
      <c r="AB64118" s="6"/>
      <c r="AC64118" s="6"/>
      <c r="AD64118" s="6"/>
      <c r="AE64118" s="6"/>
      <c r="AF64118" s="6"/>
      <c r="AG64118" s="6"/>
      <c r="AH64118" s="6"/>
      <c r="AI64118" s="6"/>
      <c r="AJ64118" s="6"/>
      <c r="AK64118" s="6"/>
      <c r="AL64118" s="6"/>
      <c r="AM64118" s="6"/>
    </row>
    <row r="64119" spans="2:39" ht="9.9499999999999993" hidden="1" customHeight="1" x14ac:dyDescent="0.2">
      <c r="B64119" s="6"/>
      <c r="C64119" s="6"/>
      <c r="D64119" s="6"/>
      <c r="E64119" s="6"/>
      <c r="F64119" s="6"/>
      <c r="G64119" s="6"/>
      <c r="H64119" s="6"/>
      <c r="I64119" s="6"/>
      <c r="J64119" s="6"/>
      <c r="K64119" s="6"/>
      <c r="L64119" s="6"/>
      <c r="M64119" s="6"/>
      <c r="N64119" s="6"/>
      <c r="O64119" s="6"/>
      <c r="P64119" s="6"/>
      <c r="Q64119" s="6"/>
      <c r="R64119" s="6"/>
      <c r="S64119" s="6"/>
      <c r="T64119" s="6"/>
      <c r="U64119" s="6"/>
      <c r="V64119" s="6"/>
      <c r="W64119" s="6"/>
      <c r="X64119" s="6"/>
      <c r="Y64119" s="6"/>
      <c r="Z64119" s="6"/>
      <c r="AA64119" s="6"/>
      <c r="AB64119" s="6"/>
      <c r="AC64119" s="6"/>
      <c r="AD64119" s="6"/>
      <c r="AE64119" s="6"/>
      <c r="AF64119" s="6"/>
      <c r="AG64119" s="6"/>
      <c r="AH64119" s="6"/>
      <c r="AI64119" s="6"/>
      <c r="AJ64119" s="6"/>
      <c r="AK64119" s="6"/>
      <c r="AL64119" s="6"/>
      <c r="AM64119" s="6"/>
    </row>
    <row r="64120" spans="2:39" ht="9.9499999999999993" hidden="1" customHeight="1" x14ac:dyDescent="0.2">
      <c r="B64120" s="6"/>
      <c r="C64120" s="6"/>
      <c r="D64120" s="6"/>
      <c r="E64120" s="6"/>
      <c r="F64120" s="6"/>
      <c r="G64120" s="6"/>
      <c r="H64120" s="6"/>
      <c r="I64120" s="6"/>
      <c r="J64120" s="6"/>
      <c r="K64120" s="6"/>
      <c r="L64120" s="6"/>
      <c r="M64120" s="6"/>
      <c r="N64120" s="6"/>
      <c r="O64120" s="6"/>
      <c r="P64120" s="6"/>
      <c r="Q64120" s="6"/>
      <c r="R64120" s="6"/>
      <c r="S64120" s="6"/>
      <c r="T64120" s="6"/>
      <c r="U64120" s="6"/>
      <c r="V64120" s="6"/>
      <c r="W64120" s="6"/>
      <c r="X64120" s="6"/>
      <c r="Y64120" s="6"/>
      <c r="Z64120" s="6"/>
      <c r="AA64120" s="6"/>
      <c r="AB64120" s="6"/>
      <c r="AC64120" s="6"/>
      <c r="AD64120" s="6"/>
      <c r="AE64120" s="6"/>
      <c r="AF64120" s="6"/>
      <c r="AG64120" s="6"/>
      <c r="AH64120" s="6"/>
      <c r="AI64120" s="6"/>
      <c r="AJ64120" s="6"/>
      <c r="AK64120" s="6"/>
      <c r="AL64120" s="6"/>
      <c r="AM64120" s="6"/>
    </row>
    <row r="64121" spans="2:39" ht="9.9499999999999993" hidden="1" customHeight="1" x14ac:dyDescent="0.2">
      <c r="B64121" s="6"/>
      <c r="C64121" s="6"/>
      <c r="D64121" s="6"/>
      <c r="E64121" s="6"/>
      <c r="F64121" s="6"/>
      <c r="G64121" s="6"/>
      <c r="H64121" s="6"/>
      <c r="I64121" s="6"/>
      <c r="J64121" s="6"/>
      <c r="K64121" s="6"/>
      <c r="L64121" s="6"/>
      <c r="M64121" s="6"/>
      <c r="N64121" s="6"/>
      <c r="O64121" s="6"/>
      <c r="P64121" s="6"/>
      <c r="Q64121" s="6"/>
      <c r="R64121" s="6"/>
      <c r="S64121" s="6"/>
      <c r="T64121" s="6"/>
      <c r="U64121" s="6"/>
      <c r="V64121" s="6"/>
      <c r="W64121" s="6"/>
      <c r="X64121" s="6"/>
      <c r="Y64121" s="6"/>
      <c r="Z64121" s="6"/>
      <c r="AA64121" s="6"/>
      <c r="AB64121" s="6"/>
      <c r="AC64121" s="6"/>
      <c r="AD64121" s="6"/>
      <c r="AE64121" s="6"/>
      <c r="AF64121" s="6"/>
      <c r="AG64121" s="6"/>
      <c r="AH64121" s="6"/>
      <c r="AI64121" s="6"/>
      <c r="AJ64121" s="6"/>
      <c r="AK64121" s="6"/>
      <c r="AL64121" s="6"/>
      <c r="AM64121" s="6"/>
    </row>
    <row r="64122" spans="2:39" ht="9.9499999999999993" hidden="1" customHeight="1" x14ac:dyDescent="0.2">
      <c r="B64122" s="6"/>
      <c r="C64122" s="6"/>
      <c r="D64122" s="6"/>
      <c r="E64122" s="6"/>
      <c r="F64122" s="6"/>
      <c r="G64122" s="6"/>
      <c r="H64122" s="6"/>
      <c r="I64122" s="6"/>
      <c r="J64122" s="6"/>
      <c r="K64122" s="6"/>
      <c r="L64122" s="6"/>
      <c r="M64122" s="6"/>
      <c r="N64122" s="6"/>
      <c r="O64122" s="6"/>
      <c r="P64122" s="6"/>
      <c r="Q64122" s="6"/>
      <c r="R64122" s="6"/>
      <c r="S64122" s="6"/>
      <c r="T64122" s="6"/>
      <c r="U64122" s="6"/>
      <c r="V64122" s="6"/>
      <c r="W64122" s="6"/>
      <c r="X64122" s="6"/>
      <c r="Y64122" s="6"/>
      <c r="Z64122" s="6"/>
      <c r="AA64122" s="6"/>
      <c r="AB64122" s="6"/>
      <c r="AC64122" s="6"/>
      <c r="AD64122" s="6"/>
      <c r="AE64122" s="6"/>
      <c r="AF64122" s="6"/>
      <c r="AG64122" s="6"/>
      <c r="AH64122" s="6"/>
      <c r="AI64122" s="6"/>
      <c r="AJ64122" s="6"/>
      <c r="AK64122" s="6"/>
      <c r="AL64122" s="6"/>
      <c r="AM64122" s="6"/>
    </row>
    <row r="64123" spans="2:39" ht="9.9499999999999993" hidden="1" customHeight="1" x14ac:dyDescent="0.2">
      <c r="B64123" s="6"/>
      <c r="C64123" s="6"/>
      <c r="D64123" s="6"/>
      <c r="E64123" s="6"/>
      <c r="F64123" s="6"/>
      <c r="G64123" s="6"/>
      <c r="H64123" s="6"/>
      <c r="I64123" s="6"/>
      <c r="J64123" s="6"/>
      <c r="K64123" s="6"/>
      <c r="L64123" s="6"/>
      <c r="M64123" s="6"/>
      <c r="N64123" s="6"/>
      <c r="O64123" s="6"/>
      <c r="P64123" s="6"/>
      <c r="Q64123" s="6"/>
      <c r="R64123" s="6"/>
      <c r="S64123" s="6"/>
      <c r="T64123" s="6"/>
      <c r="U64123" s="6"/>
      <c r="V64123" s="6"/>
      <c r="W64123" s="6"/>
      <c r="X64123" s="6"/>
      <c r="Y64123" s="6"/>
      <c r="Z64123" s="6"/>
      <c r="AA64123" s="6"/>
      <c r="AB64123" s="6"/>
      <c r="AC64123" s="6"/>
      <c r="AD64123" s="6"/>
      <c r="AE64123" s="6"/>
      <c r="AF64123" s="6"/>
      <c r="AG64123" s="6"/>
      <c r="AH64123" s="6"/>
      <c r="AI64123" s="6"/>
      <c r="AJ64123" s="6"/>
      <c r="AK64123" s="6"/>
      <c r="AL64123" s="6"/>
      <c r="AM64123" s="6"/>
    </row>
    <row r="64124" spans="2:39" ht="9.9499999999999993" hidden="1" customHeight="1" x14ac:dyDescent="0.2">
      <c r="B64124" s="6"/>
      <c r="C64124" s="6"/>
      <c r="D64124" s="6"/>
      <c r="E64124" s="6"/>
      <c r="F64124" s="6"/>
      <c r="G64124" s="6"/>
      <c r="H64124" s="6"/>
      <c r="I64124" s="6"/>
      <c r="J64124" s="6"/>
      <c r="K64124" s="6"/>
      <c r="L64124" s="6"/>
      <c r="M64124" s="6"/>
      <c r="N64124" s="6"/>
      <c r="O64124" s="6"/>
      <c r="P64124" s="6"/>
      <c r="Q64124" s="6"/>
      <c r="R64124" s="6"/>
      <c r="S64124" s="6"/>
      <c r="T64124" s="6"/>
      <c r="U64124" s="6"/>
      <c r="V64124" s="6"/>
      <c r="W64124" s="6"/>
      <c r="X64124" s="6"/>
      <c r="Y64124" s="6"/>
      <c r="Z64124" s="6"/>
      <c r="AA64124" s="6"/>
      <c r="AB64124" s="6"/>
      <c r="AC64124" s="6"/>
      <c r="AD64124" s="6"/>
      <c r="AE64124" s="6"/>
      <c r="AF64124" s="6"/>
      <c r="AG64124" s="6"/>
      <c r="AH64124" s="6"/>
      <c r="AI64124" s="6"/>
      <c r="AJ64124" s="6"/>
      <c r="AK64124" s="6"/>
      <c r="AL64124" s="6"/>
      <c r="AM64124" s="6"/>
    </row>
    <row r="64125" spans="2:39" ht="9.9499999999999993" hidden="1" customHeight="1" x14ac:dyDescent="0.2">
      <c r="B64125" s="6"/>
      <c r="C64125" s="6"/>
      <c r="D64125" s="6"/>
      <c r="E64125" s="6"/>
      <c r="F64125" s="6"/>
      <c r="G64125" s="6"/>
      <c r="H64125" s="6"/>
      <c r="I64125" s="6"/>
      <c r="J64125" s="6"/>
      <c r="K64125" s="6"/>
      <c r="L64125" s="6"/>
      <c r="M64125" s="6"/>
      <c r="N64125" s="6"/>
      <c r="O64125" s="6"/>
      <c r="P64125" s="6"/>
      <c r="Q64125" s="6"/>
      <c r="R64125" s="6"/>
      <c r="S64125" s="6"/>
      <c r="T64125" s="6"/>
      <c r="U64125" s="6"/>
      <c r="V64125" s="6"/>
      <c r="W64125" s="6"/>
      <c r="X64125" s="6"/>
      <c r="Y64125" s="6"/>
      <c r="Z64125" s="6"/>
      <c r="AA64125" s="6"/>
      <c r="AB64125" s="6"/>
      <c r="AC64125" s="6"/>
      <c r="AD64125" s="6"/>
      <c r="AE64125" s="6"/>
      <c r="AF64125" s="6"/>
      <c r="AG64125" s="6"/>
      <c r="AH64125" s="6"/>
      <c r="AI64125" s="6"/>
      <c r="AJ64125" s="6"/>
      <c r="AK64125" s="6"/>
      <c r="AL64125" s="6"/>
      <c r="AM64125" s="6"/>
    </row>
    <row r="64126" spans="2:39" ht="9.9499999999999993" hidden="1" customHeight="1" x14ac:dyDescent="0.2">
      <c r="B64126" s="6"/>
      <c r="C64126" s="6"/>
      <c r="D64126" s="6"/>
      <c r="E64126" s="6"/>
      <c r="F64126" s="6"/>
      <c r="G64126" s="6"/>
      <c r="H64126" s="6"/>
      <c r="I64126" s="6"/>
      <c r="J64126" s="6"/>
      <c r="K64126" s="6"/>
      <c r="L64126" s="6"/>
      <c r="M64126" s="6"/>
      <c r="N64126" s="6"/>
      <c r="O64126" s="6"/>
      <c r="P64126" s="6"/>
      <c r="Q64126" s="6"/>
      <c r="R64126" s="6"/>
      <c r="S64126" s="6"/>
      <c r="T64126" s="6"/>
      <c r="U64126" s="6"/>
      <c r="V64126" s="6"/>
      <c r="W64126" s="6"/>
      <c r="X64126" s="6"/>
      <c r="Y64126" s="6"/>
      <c r="Z64126" s="6"/>
      <c r="AA64126" s="6"/>
      <c r="AB64126" s="6"/>
      <c r="AC64126" s="6"/>
      <c r="AD64126" s="6"/>
      <c r="AE64126" s="6"/>
      <c r="AF64126" s="6"/>
      <c r="AG64126" s="6"/>
      <c r="AH64126" s="6"/>
      <c r="AI64126" s="6"/>
      <c r="AJ64126" s="6"/>
      <c r="AK64126" s="6"/>
      <c r="AL64126" s="6"/>
      <c r="AM64126" s="6"/>
    </row>
    <row r="64127" spans="2:39" ht="9.9499999999999993" hidden="1" customHeight="1" x14ac:dyDescent="0.2">
      <c r="B64127" s="6"/>
      <c r="C64127" s="6"/>
      <c r="D64127" s="6"/>
      <c r="E64127" s="6"/>
      <c r="F64127" s="6"/>
      <c r="G64127" s="6"/>
      <c r="H64127" s="6"/>
      <c r="I64127" s="6"/>
      <c r="J64127" s="6"/>
      <c r="K64127" s="6"/>
      <c r="L64127" s="6"/>
      <c r="M64127" s="6"/>
      <c r="N64127" s="6"/>
      <c r="O64127" s="6"/>
      <c r="P64127" s="6"/>
      <c r="Q64127" s="6"/>
      <c r="R64127" s="6"/>
      <c r="S64127" s="6"/>
      <c r="T64127" s="6"/>
      <c r="U64127" s="6"/>
      <c r="V64127" s="6"/>
      <c r="W64127" s="6"/>
      <c r="X64127" s="6"/>
      <c r="Y64127" s="6"/>
      <c r="Z64127" s="6"/>
      <c r="AA64127" s="6"/>
      <c r="AB64127" s="6"/>
      <c r="AC64127" s="6"/>
      <c r="AD64127" s="6"/>
      <c r="AE64127" s="6"/>
      <c r="AF64127" s="6"/>
      <c r="AG64127" s="6"/>
      <c r="AH64127" s="6"/>
      <c r="AI64127" s="6"/>
      <c r="AJ64127" s="6"/>
      <c r="AK64127" s="6"/>
      <c r="AL64127" s="6"/>
      <c r="AM64127" s="6"/>
    </row>
    <row r="64128" spans="2:39" ht="9.9499999999999993" hidden="1" customHeight="1" x14ac:dyDescent="0.2">
      <c r="B64128" s="6"/>
      <c r="C64128" s="6"/>
      <c r="D64128" s="6"/>
      <c r="E64128" s="6"/>
      <c r="F64128" s="6"/>
      <c r="G64128" s="6"/>
      <c r="H64128" s="6"/>
      <c r="I64128" s="6"/>
      <c r="J64128" s="6"/>
      <c r="K64128" s="6"/>
      <c r="L64128" s="6"/>
      <c r="M64128" s="6"/>
      <c r="N64128" s="6"/>
      <c r="O64128" s="6"/>
      <c r="P64128" s="6"/>
      <c r="Q64128" s="6"/>
      <c r="R64128" s="6"/>
      <c r="S64128" s="6"/>
      <c r="T64128" s="6"/>
      <c r="U64128" s="6"/>
      <c r="V64128" s="6"/>
      <c r="W64128" s="6"/>
      <c r="X64128" s="6"/>
      <c r="Y64128" s="6"/>
      <c r="Z64128" s="6"/>
      <c r="AA64128" s="6"/>
      <c r="AB64128" s="6"/>
      <c r="AC64128" s="6"/>
      <c r="AD64128" s="6"/>
      <c r="AE64128" s="6"/>
      <c r="AF64128" s="6"/>
      <c r="AG64128" s="6"/>
      <c r="AH64128" s="6"/>
      <c r="AI64128" s="6"/>
      <c r="AJ64128" s="6"/>
      <c r="AK64128" s="6"/>
      <c r="AL64128" s="6"/>
      <c r="AM64128" s="6"/>
    </row>
    <row r="64129" spans="2:39" ht="9.9499999999999993" hidden="1" customHeight="1" x14ac:dyDescent="0.2">
      <c r="B64129" s="6"/>
      <c r="C64129" s="6"/>
      <c r="D64129" s="6"/>
      <c r="E64129" s="6"/>
      <c r="F64129" s="6"/>
      <c r="G64129" s="6"/>
      <c r="H64129" s="6"/>
      <c r="I64129" s="6"/>
      <c r="J64129" s="6"/>
      <c r="K64129" s="6"/>
      <c r="L64129" s="6"/>
      <c r="M64129" s="6"/>
      <c r="N64129" s="6"/>
      <c r="O64129" s="6"/>
      <c r="P64129" s="6"/>
      <c r="Q64129" s="6"/>
      <c r="R64129" s="6"/>
      <c r="S64129" s="6"/>
      <c r="T64129" s="6"/>
      <c r="U64129" s="6"/>
      <c r="V64129" s="6"/>
      <c r="W64129" s="6"/>
      <c r="X64129" s="6"/>
      <c r="Y64129" s="6"/>
      <c r="Z64129" s="6"/>
      <c r="AA64129" s="6"/>
      <c r="AB64129" s="6"/>
      <c r="AC64129" s="6"/>
      <c r="AD64129" s="6"/>
      <c r="AE64129" s="6"/>
      <c r="AF64129" s="6"/>
      <c r="AG64129" s="6"/>
      <c r="AH64129" s="6"/>
      <c r="AI64129" s="6"/>
      <c r="AJ64129" s="6"/>
      <c r="AK64129" s="6"/>
      <c r="AL64129" s="6"/>
      <c r="AM64129" s="6"/>
    </row>
    <row r="64130" spans="2:39" ht="9.9499999999999993" hidden="1" customHeight="1" x14ac:dyDescent="0.2">
      <c r="B64130" s="6"/>
      <c r="C64130" s="6"/>
      <c r="D64130" s="6"/>
      <c r="E64130" s="6"/>
      <c r="F64130" s="6"/>
      <c r="G64130" s="6"/>
      <c r="H64130" s="6"/>
      <c r="I64130" s="6"/>
      <c r="J64130" s="6"/>
      <c r="K64130" s="6"/>
      <c r="L64130" s="6"/>
      <c r="M64130" s="6"/>
      <c r="N64130" s="6"/>
      <c r="O64130" s="6"/>
      <c r="P64130" s="6"/>
      <c r="Q64130" s="6"/>
      <c r="R64130" s="6"/>
      <c r="S64130" s="6"/>
      <c r="T64130" s="6"/>
      <c r="U64130" s="6"/>
      <c r="V64130" s="6"/>
      <c r="W64130" s="6"/>
      <c r="X64130" s="6"/>
      <c r="Y64130" s="6"/>
      <c r="Z64130" s="6"/>
      <c r="AA64130" s="6"/>
      <c r="AB64130" s="6"/>
      <c r="AC64130" s="6"/>
      <c r="AD64130" s="6"/>
      <c r="AE64130" s="6"/>
      <c r="AF64130" s="6"/>
      <c r="AG64130" s="6"/>
      <c r="AH64130" s="6"/>
      <c r="AI64130" s="6"/>
      <c r="AJ64130" s="6"/>
      <c r="AK64130" s="6"/>
      <c r="AL64130" s="6"/>
      <c r="AM64130" s="6"/>
    </row>
    <row r="64131" spans="2:39" ht="9.9499999999999993" hidden="1" customHeight="1" x14ac:dyDescent="0.2">
      <c r="B64131" s="6"/>
      <c r="C64131" s="6"/>
      <c r="D64131" s="6"/>
      <c r="E64131" s="6"/>
      <c r="F64131" s="6"/>
      <c r="G64131" s="6"/>
      <c r="H64131" s="6"/>
      <c r="I64131" s="6"/>
      <c r="J64131" s="6"/>
      <c r="K64131" s="6"/>
      <c r="L64131" s="6"/>
      <c r="M64131" s="6"/>
      <c r="N64131" s="6"/>
      <c r="O64131" s="6"/>
      <c r="P64131" s="6"/>
      <c r="Q64131" s="6"/>
      <c r="R64131" s="6"/>
      <c r="S64131" s="6"/>
      <c r="T64131" s="6"/>
      <c r="U64131" s="6"/>
      <c r="V64131" s="6"/>
      <c r="W64131" s="6"/>
      <c r="X64131" s="6"/>
      <c r="Y64131" s="6"/>
      <c r="Z64131" s="6"/>
      <c r="AA64131" s="6"/>
      <c r="AB64131" s="6"/>
      <c r="AC64131" s="6"/>
      <c r="AD64131" s="6"/>
      <c r="AE64131" s="6"/>
      <c r="AF64131" s="6"/>
      <c r="AG64131" s="6"/>
      <c r="AH64131" s="6"/>
      <c r="AI64131" s="6"/>
      <c r="AJ64131" s="6"/>
      <c r="AK64131" s="6"/>
      <c r="AL64131" s="6"/>
      <c r="AM64131" s="6"/>
    </row>
    <row r="64132" spans="2:39" ht="9.9499999999999993" hidden="1" customHeight="1" x14ac:dyDescent="0.2">
      <c r="B64132" s="6"/>
      <c r="C64132" s="6"/>
      <c r="D64132" s="6"/>
      <c r="E64132" s="6"/>
      <c r="F64132" s="6"/>
      <c r="G64132" s="6"/>
      <c r="H64132" s="6"/>
      <c r="I64132" s="6"/>
      <c r="J64132" s="6"/>
      <c r="K64132" s="6"/>
      <c r="L64132" s="6"/>
      <c r="M64132" s="6"/>
      <c r="N64132" s="6"/>
      <c r="O64132" s="6"/>
      <c r="P64132" s="6"/>
      <c r="Q64132" s="6"/>
      <c r="R64132" s="6"/>
      <c r="S64132" s="6"/>
      <c r="T64132" s="6"/>
      <c r="U64132" s="6"/>
      <c r="V64132" s="6"/>
      <c r="W64132" s="6"/>
      <c r="X64132" s="6"/>
      <c r="Y64132" s="6"/>
      <c r="Z64132" s="6"/>
      <c r="AA64132" s="6"/>
      <c r="AB64132" s="6"/>
      <c r="AC64132" s="6"/>
      <c r="AD64132" s="6"/>
      <c r="AE64132" s="6"/>
      <c r="AF64132" s="6"/>
      <c r="AG64132" s="6"/>
      <c r="AH64132" s="6"/>
      <c r="AI64132" s="6"/>
      <c r="AJ64132" s="6"/>
      <c r="AK64132" s="6"/>
      <c r="AL64132" s="6"/>
      <c r="AM64132" s="6"/>
    </row>
    <row r="64133" spans="2:39" ht="9.9499999999999993" hidden="1" customHeight="1" x14ac:dyDescent="0.2">
      <c r="B64133" s="6"/>
      <c r="C64133" s="6"/>
      <c r="D64133" s="6"/>
      <c r="E64133" s="6"/>
      <c r="F64133" s="6"/>
      <c r="G64133" s="6"/>
      <c r="H64133" s="6"/>
      <c r="I64133" s="6"/>
      <c r="J64133" s="6"/>
      <c r="K64133" s="6"/>
      <c r="L64133" s="6"/>
      <c r="M64133" s="6"/>
      <c r="N64133" s="6"/>
      <c r="O64133" s="6"/>
      <c r="P64133" s="6"/>
      <c r="Q64133" s="6"/>
      <c r="R64133" s="6"/>
      <c r="S64133" s="6"/>
      <c r="T64133" s="6"/>
      <c r="U64133" s="6"/>
      <c r="V64133" s="6"/>
      <c r="W64133" s="6"/>
      <c r="X64133" s="6"/>
      <c r="Y64133" s="6"/>
      <c r="Z64133" s="6"/>
      <c r="AA64133" s="6"/>
      <c r="AB64133" s="6"/>
      <c r="AC64133" s="6"/>
      <c r="AD64133" s="6"/>
      <c r="AE64133" s="6"/>
      <c r="AF64133" s="6"/>
      <c r="AG64133" s="6"/>
      <c r="AH64133" s="6"/>
      <c r="AI64133" s="6"/>
      <c r="AJ64133" s="6"/>
      <c r="AK64133" s="6"/>
      <c r="AL64133" s="6"/>
      <c r="AM64133" s="6"/>
    </row>
    <row r="64134" spans="2:39" ht="9.9499999999999993" hidden="1" customHeight="1" x14ac:dyDescent="0.2">
      <c r="B64134" s="6"/>
      <c r="C64134" s="6"/>
      <c r="D64134" s="6"/>
      <c r="E64134" s="6"/>
      <c r="F64134" s="6"/>
      <c r="G64134" s="6"/>
      <c r="H64134" s="6"/>
      <c r="I64134" s="6"/>
      <c r="J64134" s="6"/>
      <c r="K64134" s="6"/>
      <c r="L64134" s="6"/>
      <c r="M64134" s="6"/>
      <c r="N64134" s="6"/>
      <c r="O64134" s="6"/>
      <c r="P64134" s="6"/>
      <c r="Q64134" s="6"/>
      <c r="R64134" s="6"/>
      <c r="S64134" s="6"/>
      <c r="T64134" s="6"/>
      <c r="U64134" s="6"/>
      <c r="V64134" s="6"/>
      <c r="W64134" s="6"/>
      <c r="X64134" s="6"/>
      <c r="Y64134" s="6"/>
      <c r="Z64134" s="6"/>
      <c r="AA64134" s="6"/>
      <c r="AB64134" s="6"/>
      <c r="AC64134" s="6"/>
      <c r="AD64134" s="6"/>
      <c r="AE64134" s="6"/>
      <c r="AF64134" s="6"/>
      <c r="AG64134" s="6"/>
      <c r="AH64134" s="6"/>
      <c r="AI64134" s="6"/>
      <c r="AJ64134" s="6"/>
      <c r="AK64134" s="6"/>
      <c r="AL64134" s="6"/>
      <c r="AM64134" s="6"/>
    </row>
    <row r="64135" spans="2:39" ht="9.9499999999999993" hidden="1" customHeight="1" x14ac:dyDescent="0.2">
      <c r="B64135" s="6"/>
      <c r="C64135" s="6"/>
      <c r="D64135" s="6"/>
      <c r="E64135" s="6"/>
      <c r="F64135" s="6"/>
      <c r="G64135" s="6"/>
      <c r="H64135" s="6"/>
      <c r="I64135" s="6"/>
      <c r="J64135" s="6"/>
      <c r="K64135" s="6"/>
      <c r="L64135" s="6"/>
      <c r="M64135" s="6"/>
      <c r="N64135" s="6"/>
      <c r="O64135" s="6"/>
      <c r="P64135" s="6"/>
      <c r="Q64135" s="6"/>
      <c r="R64135" s="6"/>
      <c r="S64135" s="6"/>
      <c r="T64135" s="6"/>
      <c r="U64135" s="6"/>
      <c r="V64135" s="6"/>
      <c r="W64135" s="6"/>
      <c r="X64135" s="6"/>
      <c r="Y64135" s="6"/>
      <c r="Z64135" s="6"/>
      <c r="AA64135" s="6"/>
      <c r="AB64135" s="6"/>
      <c r="AC64135" s="6"/>
      <c r="AD64135" s="6"/>
      <c r="AE64135" s="6"/>
      <c r="AF64135" s="6"/>
      <c r="AG64135" s="6"/>
      <c r="AH64135" s="6"/>
      <c r="AI64135" s="6"/>
      <c r="AJ64135" s="6"/>
      <c r="AK64135" s="6"/>
      <c r="AL64135" s="6"/>
      <c r="AM64135" s="6"/>
    </row>
    <row r="64136" spans="2:39" ht="9.9499999999999993" hidden="1" customHeight="1" x14ac:dyDescent="0.2">
      <c r="B64136" s="6"/>
      <c r="C64136" s="6"/>
      <c r="D64136" s="6"/>
      <c r="E64136" s="6"/>
      <c r="F64136" s="6"/>
      <c r="G64136" s="6"/>
      <c r="H64136" s="6"/>
      <c r="I64136" s="6"/>
      <c r="J64136" s="6"/>
      <c r="K64136" s="6"/>
      <c r="L64136" s="6"/>
      <c r="M64136" s="6"/>
      <c r="N64136" s="6"/>
      <c r="O64136" s="6"/>
      <c r="P64136" s="6"/>
      <c r="Q64136" s="6"/>
      <c r="R64136" s="6"/>
      <c r="S64136" s="6"/>
      <c r="T64136" s="6"/>
      <c r="U64136" s="6"/>
      <c r="V64136" s="6"/>
      <c r="W64136" s="6"/>
      <c r="X64136" s="6"/>
      <c r="Y64136" s="6"/>
      <c r="Z64136" s="6"/>
      <c r="AA64136" s="6"/>
      <c r="AB64136" s="6"/>
      <c r="AC64136" s="6"/>
      <c r="AD64136" s="6"/>
      <c r="AE64136" s="6"/>
      <c r="AF64136" s="6"/>
      <c r="AG64136" s="6"/>
      <c r="AH64136" s="6"/>
      <c r="AI64136" s="6"/>
      <c r="AJ64136" s="6"/>
      <c r="AK64136" s="6"/>
      <c r="AL64136" s="6"/>
      <c r="AM64136" s="6"/>
    </row>
    <row r="64137" spans="2:39" ht="9.9499999999999993" hidden="1" customHeight="1" x14ac:dyDescent="0.2">
      <c r="B64137" s="6"/>
      <c r="C64137" s="6"/>
      <c r="D64137" s="6"/>
      <c r="E64137" s="6"/>
      <c r="F64137" s="6"/>
      <c r="G64137" s="6"/>
      <c r="H64137" s="6"/>
      <c r="I64137" s="6"/>
      <c r="J64137" s="6"/>
      <c r="K64137" s="6"/>
      <c r="L64137" s="6"/>
      <c r="M64137" s="6"/>
      <c r="N64137" s="6"/>
      <c r="O64137" s="6"/>
      <c r="P64137" s="6"/>
      <c r="Q64137" s="6"/>
      <c r="R64137" s="6"/>
      <c r="S64137" s="6"/>
      <c r="T64137" s="6"/>
      <c r="U64137" s="6"/>
      <c r="V64137" s="6"/>
      <c r="W64137" s="6"/>
      <c r="X64137" s="6"/>
      <c r="Y64137" s="6"/>
      <c r="Z64137" s="6"/>
      <c r="AA64137" s="6"/>
      <c r="AB64137" s="6"/>
      <c r="AC64137" s="6"/>
      <c r="AD64137" s="6"/>
      <c r="AE64137" s="6"/>
      <c r="AF64137" s="6"/>
      <c r="AG64137" s="6"/>
      <c r="AH64137" s="6"/>
      <c r="AI64137" s="6"/>
      <c r="AJ64137" s="6"/>
      <c r="AK64137" s="6"/>
      <c r="AL64137" s="6"/>
      <c r="AM64137" s="6"/>
    </row>
    <row r="64138" spans="2:39" ht="9.9499999999999993" hidden="1" customHeight="1" x14ac:dyDescent="0.2">
      <c r="B64138" s="6"/>
      <c r="C64138" s="6"/>
      <c r="D64138" s="6"/>
      <c r="E64138" s="6"/>
      <c r="F64138" s="6"/>
      <c r="G64138" s="6"/>
      <c r="H64138" s="6"/>
      <c r="I64138" s="6"/>
      <c r="J64138" s="6"/>
      <c r="K64138" s="6"/>
      <c r="L64138" s="6"/>
      <c r="M64138" s="6"/>
      <c r="N64138" s="6"/>
      <c r="O64138" s="6"/>
      <c r="P64138" s="6"/>
      <c r="Q64138" s="6"/>
      <c r="R64138" s="6"/>
      <c r="S64138" s="6"/>
      <c r="T64138" s="6"/>
      <c r="U64138" s="6"/>
      <c r="V64138" s="6"/>
      <c r="W64138" s="6"/>
      <c r="X64138" s="6"/>
      <c r="Y64138" s="6"/>
      <c r="Z64138" s="6"/>
      <c r="AA64138" s="6"/>
      <c r="AB64138" s="6"/>
      <c r="AC64138" s="6"/>
      <c r="AD64138" s="6"/>
      <c r="AE64138" s="6"/>
      <c r="AF64138" s="6"/>
      <c r="AG64138" s="6"/>
      <c r="AH64138" s="6"/>
      <c r="AI64138" s="6"/>
      <c r="AJ64138" s="6"/>
      <c r="AK64138" s="6"/>
      <c r="AL64138" s="6"/>
      <c r="AM64138" s="6"/>
    </row>
    <row r="64139" spans="2:39" ht="9.9499999999999993" hidden="1" customHeight="1" x14ac:dyDescent="0.2">
      <c r="B64139" s="6"/>
      <c r="C64139" s="6"/>
      <c r="D64139" s="6"/>
      <c r="E64139" s="6"/>
      <c r="F64139" s="6"/>
      <c r="G64139" s="6"/>
      <c r="H64139" s="6"/>
      <c r="I64139" s="6"/>
      <c r="J64139" s="6"/>
      <c r="K64139" s="6"/>
      <c r="L64139" s="6"/>
      <c r="M64139" s="6"/>
      <c r="N64139" s="6"/>
      <c r="O64139" s="6"/>
      <c r="P64139" s="6"/>
      <c r="Q64139" s="6"/>
      <c r="R64139" s="6"/>
      <c r="S64139" s="6"/>
      <c r="T64139" s="6"/>
      <c r="U64139" s="6"/>
      <c r="V64139" s="6"/>
      <c r="W64139" s="6"/>
      <c r="X64139" s="6"/>
      <c r="Y64139" s="6"/>
      <c r="Z64139" s="6"/>
      <c r="AA64139" s="6"/>
      <c r="AB64139" s="6"/>
      <c r="AC64139" s="6"/>
      <c r="AD64139" s="6"/>
      <c r="AE64139" s="6"/>
      <c r="AF64139" s="6"/>
      <c r="AG64139" s="6"/>
      <c r="AH64139" s="6"/>
      <c r="AI64139" s="6"/>
      <c r="AJ64139" s="6"/>
      <c r="AK64139" s="6"/>
      <c r="AL64139" s="6"/>
      <c r="AM64139" s="6"/>
    </row>
    <row r="64140" spans="2:39" ht="9.9499999999999993" hidden="1" customHeight="1" x14ac:dyDescent="0.2">
      <c r="B64140" s="6"/>
      <c r="C64140" s="6"/>
      <c r="D64140" s="6"/>
      <c r="E64140" s="6"/>
      <c r="F64140" s="6"/>
      <c r="G64140" s="6"/>
      <c r="H64140" s="6"/>
      <c r="I64140" s="6"/>
      <c r="J64140" s="6"/>
      <c r="K64140" s="6"/>
      <c r="L64140" s="6"/>
      <c r="M64140" s="6"/>
      <c r="N64140" s="6"/>
      <c r="O64140" s="6"/>
      <c r="P64140" s="6"/>
      <c r="Q64140" s="6"/>
      <c r="R64140" s="6"/>
      <c r="S64140" s="6"/>
      <c r="T64140" s="6"/>
      <c r="U64140" s="6"/>
      <c r="V64140" s="6"/>
      <c r="W64140" s="6"/>
      <c r="X64140" s="6"/>
      <c r="Y64140" s="6"/>
      <c r="Z64140" s="6"/>
      <c r="AA64140" s="6"/>
      <c r="AB64140" s="6"/>
      <c r="AC64140" s="6"/>
      <c r="AD64140" s="6"/>
      <c r="AE64140" s="6"/>
      <c r="AF64140" s="6"/>
      <c r="AG64140" s="6"/>
      <c r="AH64140" s="6"/>
      <c r="AI64140" s="6"/>
      <c r="AJ64140" s="6"/>
      <c r="AK64140" s="6"/>
      <c r="AL64140" s="6"/>
      <c r="AM64140" s="6"/>
    </row>
    <row r="64141" spans="2:39" ht="9.9499999999999993" hidden="1" customHeight="1" x14ac:dyDescent="0.2">
      <c r="B64141" s="6"/>
      <c r="C64141" s="6"/>
      <c r="D64141" s="6"/>
      <c r="E64141" s="6"/>
      <c r="F64141" s="6"/>
      <c r="G64141" s="6"/>
      <c r="H64141" s="6"/>
      <c r="I64141" s="6"/>
      <c r="J64141" s="6"/>
      <c r="K64141" s="6"/>
      <c r="L64141" s="6"/>
      <c r="M64141" s="6"/>
      <c r="N64141" s="6"/>
      <c r="O64141" s="6"/>
      <c r="P64141" s="6"/>
      <c r="Q64141" s="6"/>
      <c r="R64141" s="6"/>
      <c r="S64141" s="6"/>
      <c r="T64141" s="6"/>
      <c r="U64141" s="6"/>
      <c r="V64141" s="6"/>
      <c r="W64141" s="6"/>
      <c r="X64141" s="6"/>
      <c r="Y64141" s="6"/>
      <c r="Z64141" s="6"/>
      <c r="AA64141" s="6"/>
      <c r="AB64141" s="6"/>
      <c r="AC64141" s="6"/>
      <c r="AD64141" s="6"/>
      <c r="AE64141" s="6"/>
      <c r="AF64141" s="6"/>
      <c r="AG64141" s="6"/>
      <c r="AH64141" s="6"/>
      <c r="AI64141" s="6"/>
      <c r="AJ64141" s="6"/>
      <c r="AK64141" s="6"/>
      <c r="AL64141" s="6"/>
      <c r="AM64141" s="6"/>
    </row>
    <row r="64142" spans="2:39" ht="9.9499999999999993" hidden="1" customHeight="1" x14ac:dyDescent="0.2">
      <c r="B64142" s="6"/>
      <c r="C64142" s="6"/>
      <c r="D64142" s="6"/>
      <c r="E64142" s="6"/>
      <c r="F64142" s="6"/>
      <c r="G64142" s="6"/>
      <c r="H64142" s="6"/>
      <c r="I64142" s="6"/>
      <c r="J64142" s="6"/>
      <c r="K64142" s="6"/>
      <c r="L64142" s="6"/>
      <c r="M64142" s="6"/>
      <c r="N64142" s="6"/>
      <c r="O64142" s="6"/>
      <c r="P64142" s="6"/>
      <c r="Q64142" s="6"/>
      <c r="R64142" s="6"/>
      <c r="S64142" s="6"/>
      <c r="T64142" s="6"/>
      <c r="U64142" s="6"/>
      <c r="V64142" s="6"/>
      <c r="W64142" s="6"/>
      <c r="X64142" s="6"/>
      <c r="Y64142" s="6"/>
      <c r="Z64142" s="6"/>
      <c r="AA64142" s="6"/>
      <c r="AB64142" s="6"/>
      <c r="AC64142" s="6"/>
      <c r="AD64142" s="6"/>
      <c r="AE64142" s="6"/>
      <c r="AF64142" s="6"/>
      <c r="AG64142" s="6"/>
      <c r="AH64142" s="6"/>
      <c r="AI64142" s="6"/>
      <c r="AJ64142" s="6"/>
      <c r="AK64142" s="6"/>
      <c r="AL64142" s="6"/>
      <c r="AM64142" s="6"/>
    </row>
    <row r="64143" spans="2:39" ht="9.9499999999999993" hidden="1" customHeight="1" x14ac:dyDescent="0.2">
      <c r="B64143" s="6"/>
      <c r="C64143" s="6"/>
      <c r="D64143" s="6"/>
      <c r="E64143" s="6"/>
      <c r="F64143" s="6"/>
      <c r="G64143" s="6"/>
      <c r="H64143" s="6"/>
      <c r="I64143" s="6"/>
      <c r="J64143" s="6"/>
      <c r="K64143" s="6"/>
      <c r="L64143" s="6"/>
      <c r="M64143" s="6"/>
      <c r="N64143" s="6"/>
      <c r="O64143" s="6"/>
      <c r="P64143" s="6"/>
      <c r="Q64143" s="6"/>
      <c r="R64143" s="6"/>
      <c r="S64143" s="6"/>
      <c r="T64143" s="6"/>
      <c r="U64143" s="6"/>
      <c r="V64143" s="6"/>
      <c r="W64143" s="6"/>
      <c r="X64143" s="6"/>
      <c r="Y64143" s="6"/>
      <c r="Z64143" s="6"/>
      <c r="AA64143" s="6"/>
      <c r="AB64143" s="6"/>
      <c r="AC64143" s="6"/>
      <c r="AD64143" s="6"/>
      <c r="AE64143" s="6"/>
      <c r="AF64143" s="6"/>
      <c r="AG64143" s="6"/>
      <c r="AH64143" s="6"/>
      <c r="AI64143" s="6"/>
      <c r="AJ64143" s="6"/>
      <c r="AK64143" s="6"/>
      <c r="AL64143" s="6"/>
      <c r="AM64143" s="6"/>
    </row>
    <row r="64144" spans="2:39" ht="9.9499999999999993" hidden="1" customHeight="1" x14ac:dyDescent="0.2">
      <c r="B64144" s="6"/>
      <c r="C64144" s="6"/>
      <c r="D64144" s="6"/>
      <c r="E64144" s="6"/>
      <c r="F64144" s="6"/>
      <c r="G64144" s="6"/>
      <c r="H64144" s="6"/>
      <c r="I64144" s="6"/>
      <c r="J64144" s="6"/>
      <c r="K64144" s="6"/>
      <c r="L64144" s="6"/>
      <c r="M64144" s="6"/>
      <c r="N64144" s="6"/>
      <c r="O64144" s="6"/>
      <c r="P64144" s="6"/>
      <c r="Q64144" s="6"/>
      <c r="R64144" s="6"/>
      <c r="S64144" s="6"/>
      <c r="T64144" s="6"/>
      <c r="U64144" s="6"/>
      <c r="V64144" s="6"/>
      <c r="W64144" s="6"/>
      <c r="X64144" s="6"/>
      <c r="Y64144" s="6"/>
      <c r="Z64144" s="6"/>
      <c r="AA64144" s="6"/>
      <c r="AB64144" s="6"/>
      <c r="AC64144" s="6"/>
      <c r="AD64144" s="6"/>
      <c r="AE64144" s="6"/>
      <c r="AF64144" s="6"/>
      <c r="AG64144" s="6"/>
      <c r="AH64144" s="6"/>
      <c r="AI64144" s="6"/>
      <c r="AJ64144" s="6"/>
      <c r="AK64144" s="6"/>
      <c r="AL64144" s="6"/>
      <c r="AM64144" s="6"/>
    </row>
    <row r="64145" spans="2:39" ht="9.9499999999999993" hidden="1" customHeight="1" x14ac:dyDescent="0.2">
      <c r="B64145" s="6"/>
      <c r="C64145" s="6"/>
      <c r="D64145" s="6"/>
      <c r="E64145" s="6"/>
      <c r="F64145" s="6"/>
      <c r="G64145" s="6"/>
      <c r="H64145" s="6"/>
      <c r="I64145" s="6"/>
      <c r="J64145" s="6"/>
      <c r="K64145" s="6"/>
      <c r="L64145" s="6"/>
      <c r="M64145" s="6"/>
      <c r="N64145" s="6"/>
      <c r="O64145" s="6"/>
      <c r="P64145" s="6"/>
      <c r="Q64145" s="6"/>
      <c r="R64145" s="6"/>
      <c r="S64145" s="6"/>
      <c r="T64145" s="6"/>
      <c r="U64145" s="6"/>
      <c r="V64145" s="6"/>
      <c r="W64145" s="6"/>
      <c r="X64145" s="6"/>
      <c r="Y64145" s="6"/>
      <c r="Z64145" s="6"/>
      <c r="AA64145" s="6"/>
      <c r="AB64145" s="6"/>
      <c r="AC64145" s="6"/>
      <c r="AD64145" s="6"/>
      <c r="AE64145" s="6"/>
      <c r="AF64145" s="6"/>
      <c r="AG64145" s="6"/>
      <c r="AH64145" s="6"/>
      <c r="AI64145" s="6"/>
      <c r="AJ64145" s="6"/>
      <c r="AK64145" s="6"/>
      <c r="AL64145" s="6"/>
      <c r="AM64145" s="6"/>
    </row>
    <row r="64146" spans="2:39" ht="9.9499999999999993" hidden="1" customHeight="1" x14ac:dyDescent="0.2">
      <c r="B64146" s="6"/>
      <c r="C64146" s="6"/>
      <c r="D64146" s="6"/>
      <c r="E64146" s="6"/>
      <c r="F64146" s="6"/>
      <c r="G64146" s="6"/>
      <c r="H64146" s="6"/>
      <c r="I64146" s="6"/>
      <c r="J64146" s="6"/>
      <c r="K64146" s="6"/>
      <c r="L64146" s="6"/>
      <c r="M64146" s="6"/>
      <c r="N64146" s="6"/>
      <c r="O64146" s="6"/>
      <c r="P64146" s="6"/>
      <c r="Q64146" s="6"/>
      <c r="R64146" s="6"/>
      <c r="S64146" s="6"/>
      <c r="T64146" s="6"/>
      <c r="U64146" s="6"/>
      <c r="V64146" s="6"/>
      <c r="W64146" s="6"/>
      <c r="X64146" s="6"/>
      <c r="Y64146" s="6"/>
      <c r="Z64146" s="6"/>
      <c r="AA64146" s="6"/>
      <c r="AB64146" s="6"/>
      <c r="AC64146" s="6"/>
      <c r="AD64146" s="6"/>
      <c r="AE64146" s="6"/>
      <c r="AF64146" s="6"/>
      <c r="AG64146" s="6"/>
      <c r="AH64146" s="6"/>
      <c r="AI64146" s="6"/>
      <c r="AJ64146" s="6"/>
      <c r="AK64146" s="6"/>
      <c r="AL64146" s="6"/>
      <c r="AM64146" s="6"/>
    </row>
    <row r="64147" spans="2:39" ht="9.9499999999999993" hidden="1" customHeight="1" x14ac:dyDescent="0.2">
      <c r="B64147" s="6"/>
      <c r="C64147" s="6"/>
      <c r="D64147" s="6"/>
      <c r="E64147" s="6"/>
      <c r="F64147" s="6"/>
      <c r="G64147" s="6"/>
      <c r="H64147" s="6"/>
      <c r="I64147" s="6"/>
      <c r="J64147" s="6"/>
      <c r="K64147" s="6"/>
      <c r="L64147" s="6"/>
      <c r="M64147" s="6"/>
      <c r="N64147" s="6"/>
      <c r="O64147" s="6"/>
      <c r="P64147" s="6"/>
      <c r="Q64147" s="6"/>
      <c r="R64147" s="6"/>
      <c r="S64147" s="6"/>
      <c r="T64147" s="6"/>
      <c r="U64147" s="6"/>
      <c r="V64147" s="6"/>
      <c r="W64147" s="6"/>
      <c r="X64147" s="6"/>
      <c r="Y64147" s="6"/>
      <c r="Z64147" s="6"/>
      <c r="AA64147" s="6"/>
      <c r="AB64147" s="6"/>
      <c r="AC64147" s="6"/>
      <c r="AD64147" s="6"/>
      <c r="AE64147" s="6"/>
      <c r="AF64147" s="6"/>
      <c r="AG64147" s="6"/>
      <c r="AH64147" s="6"/>
      <c r="AI64147" s="6"/>
      <c r="AJ64147" s="6"/>
      <c r="AK64147" s="6"/>
      <c r="AL64147" s="6"/>
      <c r="AM64147" s="6"/>
    </row>
    <row r="64148" spans="2:39" ht="9.9499999999999993" hidden="1" customHeight="1" x14ac:dyDescent="0.2">
      <c r="B64148" s="6"/>
      <c r="C64148" s="6"/>
      <c r="D64148" s="6"/>
      <c r="E64148" s="6"/>
      <c r="F64148" s="6"/>
      <c r="G64148" s="6"/>
      <c r="H64148" s="6"/>
      <c r="I64148" s="6"/>
      <c r="J64148" s="6"/>
      <c r="K64148" s="6"/>
      <c r="L64148" s="6"/>
      <c r="M64148" s="6"/>
      <c r="N64148" s="6"/>
      <c r="O64148" s="6"/>
      <c r="P64148" s="6"/>
      <c r="Q64148" s="6"/>
      <c r="R64148" s="6"/>
      <c r="S64148" s="6"/>
      <c r="T64148" s="6"/>
      <c r="U64148" s="6"/>
      <c r="V64148" s="6"/>
      <c r="W64148" s="6"/>
      <c r="X64148" s="6"/>
      <c r="Y64148" s="6"/>
      <c r="Z64148" s="6"/>
      <c r="AA64148" s="6"/>
      <c r="AB64148" s="6"/>
      <c r="AC64148" s="6"/>
      <c r="AD64148" s="6"/>
      <c r="AE64148" s="6"/>
      <c r="AF64148" s="6"/>
      <c r="AG64148" s="6"/>
      <c r="AH64148" s="6"/>
      <c r="AI64148" s="6"/>
      <c r="AJ64148" s="6"/>
      <c r="AK64148" s="6"/>
      <c r="AL64148" s="6"/>
      <c r="AM64148" s="6"/>
    </row>
    <row r="64149" spans="2:39" ht="9.9499999999999993" hidden="1" customHeight="1" x14ac:dyDescent="0.2">
      <c r="B64149" s="6"/>
      <c r="C64149" s="6"/>
      <c r="D64149" s="6"/>
      <c r="E64149" s="6"/>
      <c r="F64149" s="6"/>
      <c r="G64149" s="6"/>
      <c r="H64149" s="6"/>
      <c r="I64149" s="6"/>
      <c r="J64149" s="6"/>
      <c r="K64149" s="6"/>
      <c r="L64149" s="6"/>
      <c r="M64149" s="6"/>
      <c r="N64149" s="6"/>
      <c r="O64149" s="6"/>
      <c r="P64149" s="6"/>
      <c r="Q64149" s="6"/>
      <c r="R64149" s="6"/>
      <c r="S64149" s="6"/>
      <c r="T64149" s="6"/>
      <c r="U64149" s="6"/>
      <c r="V64149" s="6"/>
      <c r="W64149" s="6"/>
      <c r="X64149" s="6"/>
      <c r="Y64149" s="6"/>
      <c r="Z64149" s="6"/>
      <c r="AA64149" s="6"/>
      <c r="AB64149" s="6"/>
      <c r="AC64149" s="6"/>
      <c r="AD64149" s="6"/>
      <c r="AE64149" s="6"/>
      <c r="AF64149" s="6"/>
      <c r="AG64149" s="6"/>
      <c r="AH64149" s="6"/>
      <c r="AI64149" s="6"/>
      <c r="AJ64149" s="6"/>
      <c r="AK64149" s="6"/>
      <c r="AL64149" s="6"/>
      <c r="AM64149" s="6"/>
    </row>
    <row r="64150" spans="2:39" ht="9.9499999999999993" hidden="1" customHeight="1" x14ac:dyDescent="0.2">
      <c r="B64150" s="6"/>
      <c r="C64150" s="6"/>
      <c r="D64150" s="6"/>
      <c r="E64150" s="6"/>
      <c r="F64150" s="6"/>
      <c r="G64150" s="6"/>
      <c r="H64150" s="6"/>
      <c r="I64150" s="6"/>
      <c r="J64150" s="6"/>
      <c r="K64150" s="6"/>
      <c r="L64150" s="6"/>
      <c r="M64150" s="6"/>
      <c r="N64150" s="6"/>
      <c r="O64150" s="6"/>
      <c r="P64150" s="6"/>
      <c r="Q64150" s="6"/>
      <c r="R64150" s="6"/>
      <c r="S64150" s="6"/>
      <c r="T64150" s="6"/>
      <c r="U64150" s="6"/>
      <c r="V64150" s="6"/>
      <c r="W64150" s="6"/>
      <c r="X64150" s="6"/>
      <c r="Y64150" s="6"/>
      <c r="Z64150" s="6"/>
      <c r="AA64150" s="6"/>
      <c r="AB64150" s="6"/>
      <c r="AC64150" s="6"/>
      <c r="AD64150" s="6"/>
      <c r="AE64150" s="6"/>
      <c r="AF64150" s="6"/>
      <c r="AG64150" s="6"/>
      <c r="AH64150" s="6"/>
      <c r="AI64150" s="6"/>
      <c r="AJ64150" s="6"/>
      <c r="AK64150" s="6"/>
      <c r="AL64150" s="6"/>
      <c r="AM64150" s="6"/>
    </row>
    <row r="64151" spans="2:39" ht="9.9499999999999993" hidden="1" customHeight="1" x14ac:dyDescent="0.2">
      <c r="B64151" s="6"/>
      <c r="C64151" s="6"/>
      <c r="D64151" s="6"/>
      <c r="E64151" s="6"/>
      <c r="F64151" s="6"/>
      <c r="G64151" s="6"/>
      <c r="H64151" s="6"/>
      <c r="I64151" s="6"/>
      <c r="J64151" s="6"/>
      <c r="K64151" s="6"/>
      <c r="L64151" s="6"/>
      <c r="M64151" s="6"/>
      <c r="N64151" s="6"/>
      <c r="O64151" s="6"/>
      <c r="P64151" s="6"/>
      <c r="Q64151" s="6"/>
      <c r="R64151" s="6"/>
      <c r="S64151" s="6"/>
      <c r="T64151" s="6"/>
      <c r="U64151" s="6"/>
      <c r="V64151" s="6"/>
      <c r="W64151" s="6"/>
      <c r="X64151" s="6"/>
      <c r="Y64151" s="6"/>
      <c r="Z64151" s="6"/>
      <c r="AA64151" s="6"/>
      <c r="AB64151" s="6"/>
      <c r="AC64151" s="6"/>
      <c r="AD64151" s="6"/>
      <c r="AE64151" s="6"/>
      <c r="AF64151" s="6"/>
      <c r="AG64151" s="6"/>
      <c r="AH64151" s="6"/>
      <c r="AI64151" s="6"/>
      <c r="AJ64151" s="6"/>
      <c r="AK64151" s="6"/>
      <c r="AL64151" s="6"/>
      <c r="AM64151" s="6"/>
    </row>
    <row r="64152" spans="2:39" ht="9.9499999999999993" hidden="1" customHeight="1" x14ac:dyDescent="0.2">
      <c r="B64152" s="6"/>
      <c r="C64152" s="6"/>
      <c r="D64152" s="6"/>
      <c r="E64152" s="6"/>
      <c r="F64152" s="6"/>
      <c r="G64152" s="6"/>
      <c r="H64152" s="6"/>
      <c r="I64152" s="6"/>
      <c r="J64152" s="6"/>
      <c r="K64152" s="6"/>
      <c r="L64152" s="6"/>
      <c r="M64152" s="6"/>
      <c r="N64152" s="6"/>
      <c r="O64152" s="6"/>
      <c r="P64152" s="6"/>
      <c r="Q64152" s="6"/>
      <c r="R64152" s="6"/>
      <c r="S64152" s="6"/>
      <c r="T64152" s="6"/>
      <c r="U64152" s="6"/>
      <c r="V64152" s="6"/>
      <c r="W64152" s="6"/>
      <c r="X64152" s="6"/>
      <c r="Y64152" s="6"/>
      <c r="Z64152" s="6"/>
      <c r="AA64152" s="6"/>
      <c r="AB64152" s="6"/>
      <c r="AC64152" s="6"/>
      <c r="AD64152" s="6"/>
      <c r="AE64152" s="6"/>
      <c r="AF64152" s="6"/>
      <c r="AG64152" s="6"/>
      <c r="AH64152" s="6"/>
      <c r="AI64152" s="6"/>
      <c r="AJ64152" s="6"/>
      <c r="AK64152" s="6"/>
      <c r="AL64152" s="6"/>
      <c r="AM64152" s="6"/>
    </row>
    <row r="64153" spans="2:39" ht="9.9499999999999993" hidden="1" customHeight="1" x14ac:dyDescent="0.2">
      <c r="B64153" s="6"/>
      <c r="C64153" s="6"/>
      <c r="D64153" s="6"/>
      <c r="E64153" s="6"/>
      <c r="F64153" s="6"/>
      <c r="G64153" s="6"/>
      <c r="H64153" s="6"/>
      <c r="I64153" s="6"/>
      <c r="J64153" s="6"/>
      <c r="K64153" s="6"/>
      <c r="L64153" s="6"/>
      <c r="M64153" s="6"/>
      <c r="N64153" s="6"/>
      <c r="O64153" s="6"/>
      <c r="P64153" s="6"/>
      <c r="Q64153" s="6"/>
      <c r="R64153" s="6"/>
      <c r="S64153" s="6"/>
      <c r="T64153" s="6"/>
      <c r="U64153" s="6"/>
      <c r="V64153" s="6"/>
      <c r="W64153" s="6"/>
      <c r="X64153" s="6"/>
      <c r="Y64153" s="6"/>
      <c r="Z64153" s="6"/>
      <c r="AA64153" s="6"/>
      <c r="AB64153" s="6"/>
      <c r="AC64153" s="6"/>
      <c r="AD64153" s="6"/>
      <c r="AE64153" s="6"/>
      <c r="AF64153" s="6"/>
      <c r="AG64153" s="6"/>
      <c r="AH64153" s="6"/>
      <c r="AI64153" s="6"/>
      <c r="AJ64153" s="6"/>
      <c r="AK64153" s="6"/>
      <c r="AL64153" s="6"/>
      <c r="AM64153" s="6"/>
    </row>
    <row r="64154" spans="2:39" ht="9.9499999999999993" hidden="1" customHeight="1" x14ac:dyDescent="0.2">
      <c r="B64154" s="6"/>
      <c r="C64154" s="6"/>
      <c r="D64154" s="6"/>
      <c r="E64154" s="6"/>
      <c r="F64154" s="6"/>
      <c r="G64154" s="6"/>
      <c r="H64154" s="6"/>
      <c r="I64154" s="6"/>
      <c r="J64154" s="6"/>
      <c r="K64154" s="6"/>
      <c r="L64154" s="6"/>
      <c r="M64154" s="6"/>
      <c r="N64154" s="6"/>
      <c r="O64154" s="6"/>
      <c r="P64154" s="6"/>
      <c r="Q64154" s="6"/>
      <c r="R64154" s="6"/>
      <c r="S64154" s="6"/>
      <c r="T64154" s="6"/>
      <c r="U64154" s="6"/>
      <c r="V64154" s="6"/>
      <c r="W64154" s="6"/>
      <c r="X64154" s="6"/>
      <c r="Y64154" s="6"/>
      <c r="Z64154" s="6"/>
      <c r="AA64154" s="6"/>
      <c r="AB64154" s="6"/>
      <c r="AC64154" s="6"/>
      <c r="AD64154" s="6"/>
      <c r="AE64154" s="6"/>
      <c r="AF64154" s="6"/>
      <c r="AG64154" s="6"/>
      <c r="AH64154" s="6"/>
      <c r="AI64154" s="6"/>
      <c r="AJ64154" s="6"/>
      <c r="AK64154" s="6"/>
      <c r="AL64154" s="6"/>
      <c r="AM64154" s="6"/>
    </row>
    <row r="64155" spans="2:39" ht="9.9499999999999993" hidden="1" customHeight="1" x14ac:dyDescent="0.2">
      <c r="B64155" s="6"/>
      <c r="C64155" s="6"/>
      <c r="D64155" s="6"/>
      <c r="E64155" s="6"/>
      <c r="F64155" s="6"/>
      <c r="G64155" s="6"/>
      <c r="H64155" s="6"/>
      <c r="I64155" s="6"/>
      <c r="J64155" s="6"/>
      <c r="K64155" s="6"/>
      <c r="L64155" s="6"/>
      <c r="M64155" s="6"/>
      <c r="N64155" s="6"/>
      <c r="O64155" s="6"/>
      <c r="P64155" s="6"/>
      <c r="Q64155" s="6"/>
      <c r="R64155" s="6"/>
      <c r="S64155" s="6"/>
      <c r="T64155" s="6"/>
      <c r="U64155" s="6"/>
      <c r="V64155" s="6"/>
      <c r="W64155" s="6"/>
      <c r="X64155" s="6"/>
      <c r="Y64155" s="6"/>
      <c r="Z64155" s="6"/>
      <c r="AA64155" s="6"/>
      <c r="AB64155" s="6"/>
      <c r="AC64155" s="6"/>
      <c r="AD64155" s="6"/>
      <c r="AE64155" s="6"/>
      <c r="AF64155" s="6"/>
      <c r="AG64155" s="6"/>
      <c r="AH64155" s="6"/>
      <c r="AI64155" s="6"/>
      <c r="AJ64155" s="6"/>
      <c r="AK64155" s="6"/>
      <c r="AL64155" s="6"/>
      <c r="AM64155" s="6"/>
    </row>
    <row r="64156" spans="2:39" ht="9.9499999999999993" hidden="1" customHeight="1" x14ac:dyDescent="0.2">
      <c r="B64156" s="6"/>
      <c r="C64156" s="6"/>
      <c r="D64156" s="6"/>
      <c r="E64156" s="6"/>
      <c r="F64156" s="6"/>
      <c r="G64156" s="6"/>
      <c r="H64156" s="6"/>
      <c r="I64156" s="6"/>
      <c r="J64156" s="6"/>
      <c r="K64156" s="6"/>
      <c r="L64156" s="6"/>
      <c r="M64156" s="6"/>
      <c r="N64156" s="6"/>
      <c r="O64156" s="6"/>
      <c r="P64156" s="6"/>
      <c r="Q64156" s="6"/>
      <c r="R64156" s="6"/>
      <c r="S64156" s="6"/>
      <c r="T64156" s="6"/>
      <c r="U64156" s="6"/>
      <c r="V64156" s="6"/>
      <c r="W64156" s="6"/>
      <c r="X64156" s="6"/>
      <c r="Y64156" s="6"/>
      <c r="Z64156" s="6"/>
      <c r="AA64156" s="6"/>
      <c r="AB64156" s="6"/>
      <c r="AC64156" s="6"/>
      <c r="AD64156" s="6"/>
      <c r="AE64156" s="6"/>
      <c r="AF64156" s="6"/>
      <c r="AG64156" s="6"/>
      <c r="AH64156" s="6"/>
      <c r="AI64156" s="6"/>
      <c r="AJ64156" s="6"/>
      <c r="AK64156" s="6"/>
      <c r="AL64156" s="6"/>
      <c r="AM64156" s="6"/>
    </row>
    <row r="64157" spans="2:39" ht="9.9499999999999993" hidden="1" customHeight="1" x14ac:dyDescent="0.2">
      <c r="B64157" s="6"/>
      <c r="C64157" s="6"/>
      <c r="D64157" s="6"/>
      <c r="E64157" s="6"/>
      <c r="F64157" s="6"/>
      <c r="G64157" s="6"/>
      <c r="H64157" s="6"/>
      <c r="I64157" s="6"/>
      <c r="J64157" s="6"/>
      <c r="K64157" s="6"/>
      <c r="L64157" s="6"/>
      <c r="M64157" s="6"/>
      <c r="N64157" s="6"/>
      <c r="O64157" s="6"/>
      <c r="P64157" s="6"/>
      <c r="Q64157" s="6"/>
      <c r="R64157" s="6"/>
      <c r="S64157" s="6"/>
      <c r="T64157" s="6"/>
      <c r="U64157" s="6"/>
      <c r="V64157" s="6"/>
      <c r="W64157" s="6"/>
      <c r="X64157" s="6"/>
      <c r="Y64157" s="6"/>
      <c r="Z64157" s="6"/>
      <c r="AA64157" s="6"/>
      <c r="AB64157" s="6"/>
      <c r="AC64157" s="6"/>
      <c r="AD64157" s="6"/>
      <c r="AE64157" s="6"/>
      <c r="AF64157" s="6"/>
      <c r="AG64157" s="6"/>
      <c r="AH64157" s="6"/>
      <c r="AI64157" s="6"/>
      <c r="AJ64157" s="6"/>
      <c r="AK64157" s="6"/>
      <c r="AL64157" s="6"/>
      <c r="AM64157" s="6"/>
    </row>
    <row r="64158" spans="2:39" ht="9.9499999999999993" hidden="1" customHeight="1" x14ac:dyDescent="0.2">
      <c r="B64158" s="6"/>
      <c r="C64158" s="6"/>
      <c r="D64158" s="6"/>
      <c r="E64158" s="6"/>
      <c r="F64158" s="6"/>
      <c r="G64158" s="6"/>
      <c r="H64158" s="6"/>
      <c r="I64158" s="6"/>
      <c r="J64158" s="6"/>
      <c r="K64158" s="6"/>
      <c r="L64158" s="6"/>
      <c r="M64158" s="6"/>
      <c r="N64158" s="6"/>
      <c r="O64158" s="6"/>
      <c r="P64158" s="6"/>
      <c r="Q64158" s="6"/>
      <c r="R64158" s="6"/>
      <c r="S64158" s="6"/>
      <c r="T64158" s="6"/>
      <c r="U64158" s="6"/>
      <c r="V64158" s="6"/>
      <c r="W64158" s="6"/>
      <c r="X64158" s="6"/>
      <c r="Y64158" s="6"/>
      <c r="Z64158" s="6"/>
      <c r="AA64158" s="6"/>
      <c r="AB64158" s="6"/>
      <c r="AC64158" s="6"/>
      <c r="AD64158" s="6"/>
      <c r="AE64158" s="6"/>
      <c r="AF64158" s="6"/>
      <c r="AG64158" s="6"/>
      <c r="AH64158" s="6"/>
      <c r="AI64158" s="6"/>
      <c r="AJ64158" s="6"/>
      <c r="AK64158" s="6"/>
      <c r="AL64158" s="6"/>
      <c r="AM64158" s="6"/>
    </row>
    <row r="64159" spans="2:39" ht="9.9499999999999993" hidden="1" customHeight="1" x14ac:dyDescent="0.2">
      <c r="B64159" s="6"/>
      <c r="C64159" s="6"/>
      <c r="D64159" s="6"/>
      <c r="E64159" s="6"/>
      <c r="F64159" s="6"/>
      <c r="G64159" s="6"/>
      <c r="H64159" s="6"/>
      <c r="I64159" s="6"/>
      <c r="J64159" s="6"/>
      <c r="K64159" s="6"/>
      <c r="L64159" s="6"/>
      <c r="M64159" s="6"/>
      <c r="N64159" s="6"/>
      <c r="O64159" s="6"/>
      <c r="P64159" s="6"/>
      <c r="Q64159" s="6"/>
      <c r="R64159" s="6"/>
      <c r="S64159" s="6"/>
      <c r="T64159" s="6"/>
      <c r="U64159" s="6"/>
      <c r="V64159" s="6"/>
      <c r="W64159" s="6"/>
      <c r="X64159" s="6"/>
      <c r="Y64159" s="6"/>
      <c r="Z64159" s="6"/>
      <c r="AA64159" s="6"/>
      <c r="AB64159" s="6"/>
      <c r="AC64159" s="6"/>
      <c r="AD64159" s="6"/>
      <c r="AE64159" s="6"/>
      <c r="AF64159" s="6"/>
      <c r="AG64159" s="6"/>
      <c r="AH64159" s="6"/>
      <c r="AI64159" s="6"/>
      <c r="AJ64159" s="6"/>
      <c r="AK64159" s="6"/>
      <c r="AL64159" s="6"/>
      <c r="AM64159" s="6"/>
    </row>
    <row r="64160" spans="2:39" ht="9.9499999999999993" hidden="1" customHeight="1" x14ac:dyDescent="0.2">
      <c r="B64160" s="6"/>
      <c r="C64160" s="6"/>
      <c r="D64160" s="6"/>
      <c r="E64160" s="6"/>
      <c r="F64160" s="6"/>
      <c r="G64160" s="6"/>
      <c r="H64160" s="6"/>
      <c r="I64160" s="6"/>
      <c r="J64160" s="6"/>
      <c r="K64160" s="6"/>
      <c r="L64160" s="6"/>
      <c r="M64160" s="6"/>
      <c r="N64160" s="6"/>
      <c r="O64160" s="6"/>
      <c r="P64160" s="6"/>
      <c r="Q64160" s="6"/>
      <c r="R64160" s="6"/>
      <c r="S64160" s="6"/>
      <c r="T64160" s="6"/>
      <c r="U64160" s="6"/>
      <c r="V64160" s="6"/>
      <c r="W64160" s="6"/>
      <c r="X64160" s="6"/>
      <c r="Y64160" s="6"/>
      <c r="Z64160" s="6"/>
      <c r="AA64160" s="6"/>
      <c r="AB64160" s="6"/>
      <c r="AC64160" s="6"/>
      <c r="AD64160" s="6"/>
      <c r="AE64160" s="6"/>
      <c r="AF64160" s="6"/>
      <c r="AG64160" s="6"/>
      <c r="AH64160" s="6"/>
      <c r="AI64160" s="6"/>
      <c r="AJ64160" s="6"/>
      <c r="AK64160" s="6"/>
      <c r="AL64160" s="6"/>
      <c r="AM64160" s="6"/>
    </row>
    <row r="64161" spans="2:39" ht="9.9499999999999993" hidden="1" customHeight="1" x14ac:dyDescent="0.2">
      <c r="B64161" s="6"/>
      <c r="C64161" s="6"/>
      <c r="D64161" s="6"/>
      <c r="E64161" s="6"/>
      <c r="F64161" s="6"/>
      <c r="G64161" s="6"/>
      <c r="H64161" s="6"/>
      <c r="I64161" s="6"/>
      <c r="J64161" s="6"/>
      <c r="K64161" s="6"/>
      <c r="L64161" s="6"/>
      <c r="M64161" s="6"/>
      <c r="N64161" s="6"/>
      <c r="O64161" s="6"/>
      <c r="P64161" s="6"/>
      <c r="Q64161" s="6"/>
      <c r="R64161" s="6"/>
      <c r="S64161" s="6"/>
      <c r="T64161" s="6"/>
      <c r="U64161" s="6"/>
      <c r="V64161" s="6"/>
      <c r="W64161" s="6"/>
      <c r="X64161" s="6"/>
      <c r="Y64161" s="6"/>
      <c r="Z64161" s="6"/>
      <c r="AA64161" s="6"/>
      <c r="AB64161" s="6"/>
      <c r="AC64161" s="6"/>
      <c r="AD64161" s="6"/>
      <c r="AE64161" s="6"/>
      <c r="AF64161" s="6"/>
      <c r="AG64161" s="6"/>
      <c r="AH64161" s="6"/>
      <c r="AI64161" s="6"/>
      <c r="AJ64161" s="6"/>
      <c r="AK64161" s="6"/>
      <c r="AL64161" s="6"/>
      <c r="AM64161" s="6"/>
    </row>
    <row r="64162" spans="2:39" ht="9.9499999999999993" hidden="1" customHeight="1" x14ac:dyDescent="0.2">
      <c r="B64162" s="6"/>
      <c r="C64162" s="6"/>
      <c r="D64162" s="6"/>
      <c r="E64162" s="6"/>
      <c r="F64162" s="6"/>
      <c r="G64162" s="6"/>
      <c r="H64162" s="6"/>
      <c r="I64162" s="6"/>
      <c r="J64162" s="6"/>
      <c r="K64162" s="6"/>
      <c r="L64162" s="6"/>
      <c r="M64162" s="6"/>
      <c r="N64162" s="6"/>
      <c r="O64162" s="6"/>
      <c r="P64162" s="6"/>
      <c r="Q64162" s="6"/>
      <c r="R64162" s="6"/>
      <c r="S64162" s="6"/>
      <c r="T64162" s="6"/>
      <c r="U64162" s="6"/>
      <c r="V64162" s="6"/>
      <c r="W64162" s="6"/>
      <c r="X64162" s="6"/>
      <c r="Y64162" s="6"/>
      <c r="Z64162" s="6"/>
      <c r="AA64162" s="6"/>
      <c r="AB64162" s="6"/>
      <c r="AC64162" s="6"/>
      <c r="AD64162" s="6"/>
      <c r="AE64162" s="6"/>
      <c r="AF64162" s="6"/>
      <c r="AG64162" s="6"/>
      <c r="AH64162" s="6"/>
      <c r="AI64162" s="6"/>
      <c r="AJ64162" s="6"/>
      <c r="AK64162" s="6"/>
      <c r="AL64162" s="6"/>
      <c r="AM64162" s="6"/>
    </row>
    <row r="64163" spans="2:39" ht="9.9499999999999993" hidden="1" customHeight="1" x14ac:dyDescent="0.2">
      <c r="B64163" s="6"/>
      <c r="C64163" s="6"/>
      <c r="D64163" s="6"/>
      <c r="E64163" s="6"/>
      <c r="F64163" s="6"/>
      <c r="G64163" s="6"/>
      <c r="H64163" s="6"/>
      <c r="I64163" s="6"/>
      <c r="J64163" s="6"/>
      <c r="K64163" s="6"/>
      <c r="L64163" s="6"/>
      <c r="M64163" s="6"/>
      <c r="N64163" s="6"/>
      <c r="O64163" s="6"/>
      <c r="P64163" s="6"/>
      <c r="Q64163" s="6"/>
      <c r="R64163" s="6"/>
      <c r="S64163" s="6"/>
      <c r="T64163" s="6"/>
      <c r="U64163" s="6"/>
      <c r="V64163" s="6"/>
      <c r="W64163" s="6"/>
      <c r="X64163" s="6"/>
      <c r="Y64163" s="6"/>
      <c r="Z64163" s="6"/>
      <c r="AA64163" s="6"/>
      <c r="AB64163" s="6"/>
      <c r="AC64163" s="6"/>
      <c r="AD64163" s="6"/>
      <c r="AE64163" s="6"/>
      <c r="AF64163" s="6"/>
      <c r="AG64163" s="6"/>
      <c r="AH64163" s="6"/>
      <c r="AI64163" s="6"/>
      <c r="AJ64163" s="6"/>
      <c r="AK64163" s="6"/>
      <c r="AL64163" s="6"/>
      <c r="AM64163" s="6"/>
    </row>
    <row r="64164" spans="2:39" ht="9.9499999999999993" hidden="1" customHeight="1" x14ac:dyDescent="0.2">
      <c r="B64164" s="6"/>
      <c r="C64164" s="6"/>
      <c r="D64164" s="6"/>
      <c r="E64164" s="6"/>
      <c r="F64164" s="6"/>
      <c r="G64164" s="6"/>
      <c r="H64164" s="6"/>
      <c r="I64164" s="6"/>
      <c r="J64164" s="6"/>
      <c r="K64164" s="6"/>
      <c r="L64164" s="6"/>
      <c r="M64164" s="6"/>
      <c r="N64164" s="6"/>
      <c r="O64164" s="6"/>
      <c r="P64164" s="6"/>
      <c r="Q64164" s="6"/>
      <c r="R64164" s="6"/>
      <c r="S64164" s="6"/>
      <c r="T64164" s="6"/>
      <c r="U64164" s="6"/>
      <c r="V64164" s="6"/>
      <c r="W64164" s="6"/>
      <c r="X64164" s="6"/>
      <c r="Y64164" s="6"/>
      <c r="Z64164" s="6"/>
      <c r="AA64164" s="6"/>
      <c r="AB64164" s="6"/>
      <c r="AC64164" s="6"/>
      <c r="AD64164" s="6"/>
      <c r="AE64164" s="6"/>
      <c r="AF64164" s="6"/>
      <c r="AG64164" s="6"/>
      <c r="AH64164" s="6"/>
      <c r="AI64164" s="6"/>
      <c r="AJ64164" s="6"/>
      <c r="AK64164" s="6"/>
      <c r="AL64164" s="6"/>
      <c r="AM64164" s="6"/>
    </row>
    <row r="64165" spans="2:39" ht="9.9499999999999993" hidden="1" customHeight="1" x14ac:dyDescent="0.2">
      <c r="B64165" s="6"/>
      <c r="C64165" s="6"/>
      <c r="D64165" s="6"/>
      <c r="E64165" s="6"/>
      <c r="F64165" s="6"/>
      <c r="G64165" s="6"/>
      <c r="H64165" s="6"/>
      <c r="I64165" s="6"/>
      <c r="J64165" s="6"/>
      <c r="K64165" s="6"/>
      <c r="L64165" s="6"/>
      <c r="M64165" s="6"/>
      <c r="N64165" s="6"/>
      <c r="O64165" s="6"/>
      <c r="P64165" s="6"/>
      <c r="Q64165" s="6"/>
      <c r="R64165" s="6"/>
      <c r="S64165" s="6"/>
      <c r="T64165" s="6"/>
      <c r="U64165" s="6"/>
      <c r="V64165" s="6"/>
      <c r="W64165" s="6"/>
      <c r="X64165" s="6"/>
      <c r="Y64165" s="6"/>
      <c r="Z64165" s="6"/>
      <c r="AA64165" s="6"/>
      <c r="AB64165" s="6"/>
      <c r="AC64165" s="6"/>
      <c r="AD64165" s="6"/>
      <c r="AE64165" s="6"/>
      <c r="AF64165" s="6"/>
      <c r="AG64165" s="6"/>
      <c r="AH64165" s="6"/>
      <c r="AI64165" s="6"/>
      <c r="AJ64165" s="6"/>
      <c r="AK64165" s="6"/>
      <c r="AL64165" s="6"/>
      <c r="AM64165" s="6"/>
    </row>
    <row r="64166" spans="2:39" ht="9.9499999999999993" hidden="1" customHeight="1" x14ac:dyDescent="0.2">
      <c r="B64166" s="6"/>
      <c r="C64166" s="6"/>
      <c r="D64166" s="6"/>
      <c r="E64166" s="6"/>
      <c r="F64166" s="6"/>
      <c r="G64166" s="6"/>
      <c r="H64166" s="6"/>
      <c r="I64166" s="6"/>
      <c r="J64166" s="6"/>
      <c r="K64166" s="6"/>
      <c r="L64166" s="6"/>
      <c r="M64166" s="6"/>
      <c r="N64166" s="6"/>
      <c r="O64166" s="6"/>
      <c r="P64166" s="6"/>
      <c r="Q64166" s="6"/>
      <c r="R64166" s="6"/>
      <c r="S64166" s="6"/>
      <c r="T64166" s="6"/>
      <c r="U64166" s="6"/>
      <c r="V64166" s="6"/>
      <c r="W64166" s="6"/>
      <c r="X64166" s="6"/>
      <c r="Y64166" s="6"/>
      <c r="Z64166" s="6"/>
      <c r="AA64166" s="6"/>
      <c r="AB64166" s="6"/>
      <c r="AC64166" s="6"/>
      <c r="AD64166" s="6"/>
      <c r="AE64166" s="6"/>
      <c r="AF64166" s="6"/>
      <c r="AG64166" s="6"/>
      <c r="AH64166" s="6"/>
      <c r="AI64166" s="6"/>
      <c r="AJ64166" s="6"/>
      <c r="AK64166" s="6"/>
      <c r="AL64166" s="6"/>
      <c r="AM64166" s="6"/>
    </row>
    <row r="64167" spans="2:39" ht="9.9499999999999993" hidden="1" customHeight="1" x14ac:dyDescent="0.2">
      <c r="B64167" s="6"/>
      <c r="C64167" s="6"/>
      <c r="D64167" s="6"/>
      <c r="E64167" s="6"/>
      <c r="F64167" s="6"/>
      <c r="G64167" s="6"/>
      <c r="H64167" s="6"/>
      <c r="I64167" s="6"/>
      <c r="J64167" s="6"/>
      <c r="K64167" s="6"/>
      <c r="L64167" s="6"/>
      <c r="M64167" s="6"/>
      <c r="N64167" s="6"/>
      <c r="O64167" s="6"/>
      <c r="P64167" s="6"/>
      <c r="Q64167" s="6"/>
      <c r="R64167" s="6"/>
      <c r="S64167" s="6"/>
      <c r="T64167" s="6"/>
      <c r="U64167" s="6"/>
      <c r="V64167" s="6"/>
      <c r="W64167" s="6"/>
      <c r="X64167" s="6"/>
      <c r="Y64167" s="6"/>
      <c r="Z64167" s="6"/>
      <c r="AA64167" s="6"/>
      <c r="AB64167" s="6"/>
      <c r="AC64167" s="6"/>
      <c r="AD64167" s="6"/>
      <c r="AE64167" s="6"/>
      <c r="AF64167" s="6"/>
      <c r="AG64167" s="6"/>
      <c r="AH64167" s="6"/>
      <c r="AI64167" s="6"/>
      <c r="AJ64167" s="6"/>
      <c r="AK64167" s="6"/>
      <c r="AL64167" s="6"/>
      <c r="AM64167" s="6"/>
    </row>
    <row r="64168" spans="2:39" ht="9.9499999999999993" hidden="1" customHeight="1" x14ac:dyDescent="0.2">
      <c r="B64168" s="6"/>
      <c r="C64168" s="6"/>
      <c r="D64168" s="6"/>
      <c r="E64168" s="6"/>
      <c r="F64168" s="6"/>
      <c r="G64168" s="6"/>
      <c r="H64168" s="6"/>
      <c r="I64168" s="6"/>
      <c r="J64168" s="6"/>
      <c r="K64168" s="6"/>
      <c r="L64168" s="6"/>
      <c r="M64168" s="6"/>
      <c r="N64168" s="6"/>
      <c r="O64168" s="6"/>
      <c r="P64168" s="6"/>
      <c r="Q64168" s="6"/>
      <c r="R64168" s="6"/>
      <c r="S64168" s="6"/>
      <c r="T64168" s="6"/>
      <c r="U64168" s="6"/>
      <c r="V64168" s="6"/>
      <c r="W64168" s="6"/>
      <c r="X64168" s="6"/>
      <c r="Y64168" s="6"/>
      <c r="Z64168" s="6"/>
      <c r="AA64168" s="6"/>
      <c r="AB64168" s="6"/>
      <c r="AC64168" s="6"/>
      <c r="AD64168" s="6"/>
      <c r="AE64168" s="6"/>
      <c r="AF64168" s="6"/>
      <c r="AG64168" s="6"/>
      <c r="AH64168" s="6"/>
      <c r="AI64168" s="6"/>
      <c r="AJ64168" s="6"/>
      <c r="AK64168" s="6"/>
      <c r="AL64168" s="6"/>
      <c r="AM64168" s="6"/>
    </row>
    <row r="64169" spans="2:39" ht="9.9499999999999993" hidden="1" customHeight="1" x14ac:dyDescent="0.2">
      <c r="B64169" s="6"/>
      <c r="C64169" s="6"/>
      <c r="D64169" s="6"/>
      <c r="E64169" s="6"/>
      <c r="F64169" s="6"/>
      <c r="G64169" s="6"/>
      <c r="H64169" s="6"/>
      <c r="I64169" s="6"/>
      <c r="J64169" s="6"/>
      <c r="K64169" s="6"/>
      <c r="L64169" s="6"/>
      <c r="M64169" s="6"/>
      <c r="N64169" s="6"/>
      <c r="O64169" s="6"/>
      <c r="P64169" s="6"/>
      <c r="Q64169" s="6"/>
      <c r="R64169" s="6"/>
      <c r="S64169" s="6"/>
      <c r="T64169" s="6"/>
      <c r="U64169" s="6"/>
      <c r="V64169" s="6"/>
      <c r="W64169" s="6"/>
      <c r="X64169" s="6"/>
      <c r="Y64169" s="6"/>
      <c r="Z64169" s="6"/>
      <c r="AA64169" s="6"/>
      <c r="AB64169" s="6"/>
      <c r="AC64169" s="6"/>
      <c r="AD64169" s="6"/>
      <c r="AE64169" s="6"/>
      <c r="AF64169" s="6"/>
      <c r="AG64169" s="6"/>
      <c r="AH64169" s="6"/>
      <c r="AI64169" s="6"/>
      <c r="AJ64169" s="6"/>
      <c r="AK64169" s="6"/>
      <c r="AL64169" s="6"/>
      <c r="AM64169" s="6"/>
    </row>
    <row r="64170" spans="2:39" ht="9.9499999999999993" hidden="1" customHeight="1" x14ac:dyDescent="0.2">
      <c r="B64170" s="6"/>
      <c r="C64170" s="6"/>
      <c r="D64170" s="6"/>
      <c r="E64170" s="6"/>
      <c r="F64170" s="6"/>
      <c r="G64170" s="6"/>
      <c r="H64170" s="6"/>
      <c r="I64170" s="6"/>
      <c r="J64170" s="6"/>
      <c r="K64170" s="6"/>
      <c r="L64170" s="6"/>
      <c r="M64170" s="6"/>
      <c r="N64170" s="6"/>
      <c r="O64170" s="6"/>
      <c r="P64170" s="6"/>
      <c r="Q64170" s="6"/>
      <c r="R64170" s="6"/>
      <c r="S64170" s="6"/>
      <c r="T64170" s="6"/>
      <c r="U64170" s="6"/>
      <c r="V64170" s="6"/>
      <c r="W64170" s="6"/>
      <c r="X64170" s="6"/>
      <c r="Y64170" s="6"/>
      <c r="Z64170" s="6"/>
      <c r="AA64170" s="6"/>
      <c r="AB64170" s="6"/>
      <c r="AC64170" s="6"/>
      <c r="AD64170" s="6"/>
      <c r="AE64170" s="6"/>
      <c r="AF64170" s="6"/>
      <c r="AG64170" s="6"/>
      <c r="AH64170" s="6"/>
      <c r="AI64170" s="6"/>
      <c r="AJ64170" s="6"/>
      <c r="AK64170" s="6"/>
      <c r="AL64170" s="6"/>
      <c r="AM64170" s="6"/>
    </row>
    <row r="64171" spans="2:39" ht="9.9499999999999993" hidden="1" customHeight="1" x14ac:dyDescent="0.2">
      <c r="B64171" s="6"/>
      <c r="C64171" s="6"/>
      <c r="D64171" s="6"/>
      <c r="E64171" s="6"/>
      <c r="F64171" s="6"/>
      <c r="G64171" s="6"/>
      <c r="H64171" s="6"/>
      <c r="I64171" s="6"/>
      <c r="J64171" s="6"/>
      <c r="K64171" s="6"/>
      <c r="L64171" s="6"/>
      <c r="M64171" s="6"/>
      <c r="N64171" s="6"/>
      <c r="O64171" s="6"/>
      <c r="P64171" s="6"/>
      <c r="Q64171" s="6"/>
      <c r="R64171" s="6"/>
      <c r="S64171" s="6"/>
      <c r="T64171" s="6"/>
      <c r="U64171" s="6"/>
      <c r="V64171" s="6"/>
      <c r="W64171" s="6"/>
      <c r="X64171" s="6"/>
      <c r="Y64171" s="6"/>
      <c r="Z64171" s="6"/>
      <c r="AA64171" s="6"/>
      <c r="AB64171" s="6"/>
      <c r="AC64171" s="6"/>
      <c r="AD64171" s="6"/>
      <c r="AE64171" s="6"/>
      <c r="AF64171" s="6"/>
      <c r="AG64171" s="6"/>
      <c r="AH64171" s="6"/>
      <c r="AI64171" s="6"/>
      <c r="AJ64171" s="6"/>
      <c r="AK64171" s="6"/>
      <c r="AL64171" s="6"/>
      <c r="AM64171" s="6"/>
    </row>
    <row r="64172" spans="2:39" ht="9.9499999999999993" hidden="1" customHeight="1" x14ac:dyDescent="0.2">
      <c r="B64172" s="6"/>
      <c r="C64172" s="6"/>
      <c r="D64172" s="6"/>
      <c r="E64172" s="6"/>
      <c r="F64172" s="6"/>
      <c r="G64172" s="6"/>
      <c r="H64172" s="6"/>
      <c r="I64172" s="6"/>
      <c r="J64172" s="6"/>
      <c r="K64172" s="6"/>
      <c r="L64172" s="6"/>
      <c r="M64172" s="6"/>
      <c r="N64172" s="6"/>
      <c r="O64172" s="6"/>
      <c r="P64172" s="6"/>
      <c r="Q64172" s="6"/>
      <c r="R64172" s="6"/>
      <c r="S64172" s="6"/>
      <c r="T64172" s="6"/>
      <c r="U64172" s="6"/>
      <c r="V64172" s="6"/>
      <c r="W64172" s="6"/>
      <c r="X64172" s="6"/>
      <c r="Y64172" s="6"/>
      <c r="Z64172" s="6"/>
      <c r="AA64172" s="6"/>
      <c r="AB64172" s="6"/>
      <c r="AC64172" s="6"/>
      <c r="AD64172" s="6"/>
      <c r="AE64172" s="6"/>
      <c r="AF64172" s="6"/>
      <c r="AG64172" s="6"/>
      <c r="AH64172" s="6"/>
      <c r="AI64172" s="6"/>
      <c r="AJ64172" s="6"/>
      <c r="AK64172" s="6"/>
      <c r="AL64172" s="6"/>
      <c r="AM64172" s="6"/>
    </row>
    <row r="64173" spans="2:39" ht="9.9499999999999993" hidden="1" customHeight="1" x14ac:dyDescent="0.2">
      <c r="B64173" s="6"/>
      <c r="C64173" s="6"/>
      <c r="D64173" s="6"/>
      <c r="E64173" s="6"/>
      <c r="F64173" s="6"/>
      <c r="G64173" s="6"/>
      <c r="H64173" s="6"/>
      <c r="I64173" s="6"/>
      <c r="J64173" s="6"/>
      <c r="K64173" s="6"/>
      <c r="L64173" s="6"/>
      <c r="M64173" s="6"/>
      <c r="N64173" s="6"/>
      <c r="O64173" s="6"/>
      <c r="P64173" s="6"/>
      <c r="Q64173" s="6"/>
      <c r="R64173" s="6"/>
      <c r="S64173" s="6"/>
      <c r="T64173" s="6"/>
      <c r="U64173" s="6"/>
      <c r="V64173" s="6"/>
      <c r="W64173" s="6"/>
      <c r="X64173" s="6"/>
      <c r="Y64173" s="6"/>
      <c r="Z64173" s="6"/>
      <c r="AA64173" s="6"/>
      <c r="AB64173" s="6"/>
      <c r="AC64173" s="6"/>
      <c r="AD64173" s="6"/>
      <c r="AE64173" s="6"/>
      <c r="AF64173" s="6"/>
      <c r="AG64173" s="6"/>
      <c r="AH64173" s="6"/>
      <c r="AI64173" s="6"/>
      <c r="AJ64173" s="6"/>
      <c r="AK64173" s="6"/>
      <c r="AL64173" s="6"/>
      <c r="AM64173" s="6"/>
    </row>
    <row r="64174" spans="2:39" ht="9.9499999999999993" hidden="1" customHeight="1" x14ac:dyDescent="0.2">
      <c r="B64174" s="6"/>
      <c r="C64174" s="6"/>
      <c r="D64174" s="6"/>
      <c r="E64174" s="6"/>
      <c r="F64174" s="6"/>
      <c r="G64174" s="6"/>
      <c r="H64174" s="6"/>
      <c r="I64174" s="6"/>
      <c r="J64174" s="6"/>
      <c r="K64174" s="6"/>
      <c r="L64174" s="6"/>
      <c r="M64174" s="6"/>
      <c r="N64174" s="6"/>
      <c r="O64174" s="6"/>
      <c r="P64174" s="6"/>
      <c r="Q64174" s="6"/>
      <c r="R64174" s="6"/>
      <c r="S64174" s="6"/>
      <c r="T64174" s="6"/>
      <c r="U64174" s="6"/>
      <c r="V64174" s="6"/>
      <c r="W64174" s="6"/>
      <c r="X64174" s="6"/>
      <c r="Y64174" s="6"/>
      <c r="Z64174" s="6"/>
      <c r="AA64174" s="6"/>
      <c r="AB64174" s="6"/>
      <c r="AC64174" s="6"/>
      <c r="AD64174" s="6"/>
      <c r="AE64174" s="6"/>
      <c r="AF64174" s="6"/>
      <c r="AG64174" s="6"/>
      <c r="AH64174" s="6"/>
      <c r="AI64174" s="6"/>
      <c r="AJ64174" s="6"/>
      <c r="AK64174" s="6"/>
      <c r="AL64174" s="6"/>
      <c r="AM64174" s="6"/>
    </row>
    <row r="64175" spans="2:39" ht="9.9499999999999993" hidden="1" customHeight="1" x14ac:dyDescent="0.2">
      <c r="B64175" s="6"/>
      <c r="C64175" s="6"/>
      <c r="D64175" s="6"/>
      <c r="E64175" s="6"/>
      <c r="F64175" s="6"/>
      <c r="G64175" s="6"/>
      <c r="H64175" s="6"/>
      <c r="I64175" s="6"/>
      <c r="J64175" s="6"/>
      <c r="K64175" s="6"/>
      <c r="L64175" s="6"/>
      <c r="M64175" s="6"/>
      <c r="N64175" s="6"/>
      <c r="O64175" s="6"/>
      <c r="P64175" s="6"/>
      <c r="Q64175" s="6"/>
      <c r="R64175" s="6"/>
      <c r="S64175" s="6"/>
      <c r="T64175" s="6"/>
      <c r="U64175" s="6"/>
      <c r="V64175" s="6"/>
      <c r="W64175" s="6"/>
      <c r="X64175" s="6"/>
      <c r="Y64175" s="6"/>
      <c r="Z64175" s="6"/>
      <c r="AA64175" s="6"/>
      <c r="AB64175" s="6"/>
      <c r="AC64175" s="6"/>
      <c r="AD64175" s="6"/>
      <c r="AE64175" s="6"/>
      <c r="AF64175" s="6"/>
      <c r="AG64175" s="6"/>
      <c r="AH64175" s="6"/>
      <c r="AI64175" s="6"/>
      <c r="AJ64175" s="6"/>
      <c r="AK64175" s="6"/>
      <c r="AL64175" s="6"/>
      <c r="AM64175" s="6"/>
    </row>
    <row r="64176" spans="2:39" ht="9.9499999999999993" hidden="1" customHeight="1" x14ac:dyDescent="0.2">
      <c r="B64176" s="6"/>
      <c r="C64176" s="6"/>
      <c r="D64176" s="6"/>
      <c r="E64176" s="6"/>
      <c r="F64176" s="6"/>
      <c r="G64176" s="6"/>
      <c r="H64176" s="6"/>
      <c r="I64176" s="6"/>
      <c r="J64176" s="6"/>
      <c r="K64176" s="6"/>
      <c r="L64176" s="6"/>
      <c r="M64176" s="6"/>
      <c r="N64176" s="6"/>
      <c r="O64176" s="6"/>
      <c r="P64176" s="6"/>
      <c r="Q64176" s="6"/>
      <c r="R64176" s="6"/>
      <c r="S64176" s="6"/>
      <c r="T64176" s="6"/>
      <c r="U64176" s="6"/>
      <c r="V64176" s="6"/>
      <c r="W64176" s="6"/>
      <c r="X64176" s="6"/>
      <c r="Y64176" s="6"/>
      <c r="Z64176" s="6"/>
      <c r="AA64176" s="6"/>
      <c r="AB64176" s="6"/>
      <c r="AC64176" s="6"/>
      <c r="AD64176" s="6"/>
      <c r="AE64176" s="6"/>
      <c r="AF64176" s="6"/>
      <c r="AG64176" s="6"/>
      <c r="AH64176" s="6"/>
      <c r="AI64176" s="6"/>
      <c r="AJ64176" s="6"/>
      <c r="AK64176" s="6"/>
      <c r="AL64176" s="6"/>
      <c r="AM64176" s="6"/>
    </row>
    <row r="64177" spans="2:39" ht="9.9499999999999993" hidden="1" customHeight="1" x14ac:dyDescent="0.2">
      <c r="B64177" s="6"/>
      <c r="C64177" s="6"/>
      <c r="D64177" s="6"/>
      <c r="E64177" s="6"/>
      <c r="F64177" s="6"/>
      <c r="G64177" s="6"/>
      <c r="H64177" s="6"/>
      <c r="I64177" s="6"/>
      <c r="J64177" s="6"/>
      <c r="K64177" s="6"/>
      <c r="L64177" s="6"/>
      <c r="M64177" s="6"/>
      <c r="N64177" s="6"/>
      <c r="O64177" s="6"/>
      <c r="P64177" s="6"/>
      <c r="Q64177" s="6"/>
      <c r="R64177" s="6"/>
      <c r="S64177" s="6"/>
      <c r="T64177" s="6"/>
      <c r="U64177" s="6"/>
      <c r="V64177" s="6"/>
      <c r="W64177" s="6"/>
      <c r="X64177" s="6"/>
      <c r="Y64177" s="6"/>
      <c r="Z64177" s="6"/>
      <c r="AA64177" s="6"/>
      <c r="AB64177" s="6"/>
      <c r="AC64177" s="6"/>
      <c r="AD64177" s="6"/>
      <c r="AE64177" s="6"/>
      <c r="AF64177" s="6"/>
      <c r="AG64177" s="6"/>
      <c r="AH64177" s="6"/>
      <c r="AI64177" s="6"/>
      <c r="AJ64177" s="6"/>
      <c r="AK64177" s="6"/>
      <c r="AL64177" s="6"/>
      <c r="AM64177" s="6"/>
    </row>
    <row r="64178" spans="2:39" ht="9.9499999999999993" hidden="1" customHeight="1" x14ac:dyDescent="0.2">
      <c r="B64178" s="6"/>
      <c r="C64178" s="6"/>
      <c r="D64178" s="6"/>
      <c r="E64178" s="6"/>
      <c r="F64178" s="6"/>
      <c r="G64178" s="6"/>
      <c r="H64178" s="6"/>
      <c r="I64178" s="6"/>
      <c r="J64178" s="6"/>
      <c r="K64178" s="6"/>
      <c r="L64178" s="6"/>
      <c r="M64178" s="6"/>
      <c r="N64178" s="6"/>
      <c r="O64178" s="6"/>
      <c r="P64178" s="6"/>
      <c r="Q64178" s="6"/>
      <c r="R64178" s="6"/>
      <c r="S64178" s="6"/>
      <c r="T64178" s="6"/>
      <c r="U64178" s="6"/>
      <c r="V64178" s="6"/>
      <c r="W64178" s="6"/>
      <c r="X64178" s="6"/>
      <c r="Y64178" s="6"/>
      <c r="Z64178" s="6"/>
      <c r="AA64178" s="6"/>
      <c r="AB64178" s="6"/>
      <c r="AC64178" s="6"/>
      <c r="AD64178" s="6"/>
      <c r="AE64178" s="6"/>
      <c r="AF64178" s="6"/>
      <c r="AG64178" s="6"/>
      <c r="AH64178" s="6"/>
      <c r="AI64178" s="6"/>
      <c r="AJ64178" s="6"/>
      <c r="AK64178" s="6"/>
      <c r="AL64178" s="6"/>
      <c r="AM64178" s="6"/>
    </row>
    <row r="64179" spans="2:39" ht="9.9499999999999993" hidden="1" customHeight="1" x14ac:dyDescent="0.2">
      <c r="B64179" s="6"/>
      <c r="C64179" s="6"/>
      <c r="D64179" s="6"/>
      <c r="E64179" s="6"/>
      <c r="F64179" s="6"/>
      <c r="G64179" s="6"/>
      <c r="H64179" s="6"/>
      <c r="I64179" s="6"/>
      <c r="J64179" s="6"/>
      <c r="K64179" s="6"/>
      <c r="L64179" s="6"/>
      <c r="M64179" s="6"/>
      <c r="N64179" s="6"/>
      <c r="O64179" s="6"/>
      <c r="P64179" s="6"/>
      <c r="Q64179" s="6"/>
      <c r="R64179" s="6"/>
      <c r="S64179" s="6"/>
      <c r="T64179" s="6"/>
      <c r="U64179" s="6"/>
      <c r="V64179" s="6"/>
      <c r="W64179" s="6"/>
      <c r="X64179" s="6"/>
      <c r="Y64179" s="6"/>
      <c r="Z64179" s="6"/>
      <c r="AA64179" s="6"/>
      <c r="AB64179" s="6"/>
      <c r="AC64179" s="6"/>
      <c r="AD64179" s="6"/>
      <c r="AE64179" s="6"/>
      <c r="AF64179" s="6"/>
      <c r="AG64179" s="6"/>
      <c r="AH64179" s="6"/>
      <c r="AI64179" s="6"/>
      <c r="AJ64179" s="6"/>
      <c r="AK64179" s="6"/>
      <c r="AL64179" s="6"/>
      <c r="AM64179" s="6"/>
    </row>
    <row r="64180" spans="2:39" ht="9.9499999999999993" hidden="1" customHeight="1" x14ac:dyDescent="0.2">
      <c r="B64180" s="6"/>
      <c r="C64180" s="6"/>
      <c r="D64180" s="6"/>
      <c r="E64180" s="6"/>
      <c r="F64180" s="6"/>
      <c r="G64180" s="6"/>
      <c r="H64180" s="6"/>
      <c r="I64180" s="6"/>
      <c r="J64180" s="6"/>
      <c r="K64180" s="6"/>
      <c r="L64180" s="6"/>
      <c r="M64180" s="6"/>
      <c r="N64180" s="6"/>
      <c r="O64180" s="6"/>
      <c r="P64180" s="6"/>
      <c r="Q64180" s="6"/>
      <c r="R64180" s="6"/>
      <c r="S64180" s="6"/>
      <c r="T64180" s="6"/>
      <c r="U64180" s="6"/>
      <c r="V64180" s="6"/>
      <c r="W64180" s="6"/>
      <c r="X64180" s="6"/>
      <c r="Y64180" s="6"/>
      <c r="Z64180" s="6"/>
      <c r="AA64180" s="6"/>
      <c r="AB64180" s="6"/>
      <c r="AC64180" s="6"/>
      <c r="AD64180" s="6"/>
      <c r="AE64180" s="6"/>
      <c r="AF64180" s="6"/>
      <c r="AG64180" s="6"/>
      <c r="AH64180" s="6"/>
      <c r="AI64180" s="6"/>
      <c r="AJ64180" s="6"/>
      <c r="AK64180" s="6"/>
      <c r="AL64180" s="6"/>
      <c r="AM64180" s="6"/>
    </row>
    <row r="64181" spans="2:39" ht="9.9499999999999993" hidden="1" customHeight="1" x14ac:dyDescent="0.2">
      <c r="B64181" s="6"/>
      <c r="C64181" s="6"/>
      <c r="D64181" s="6"/>
      <c r="E64181" s="6"/>
      <c r="F64181" s="6"/>
      <c r="G64181" s="6"/>
      <c r="H64181" s="6"/>
      <c r="I64181" s="6"/>
      <c r="J64181" s="6"/>
      <c r="K64181" s="6"/>
      <c r="L64181" s="6"/>
      <c r="M64181" s="6"/>
      <c r="N64181" s="6"/>
      <c r="O64181" s="6"/>
      <c r="P64181" s="6"/>
      <c r="Q64181" s="6"/>
      <c r="R64181" s="6"/>
      <c r="S64181" s="6"/>
      <c r="T64181" s="6"/>
      <c r="U64181" s="6"/>
      <c r="V64181" s="6"/>
      <c r="W64181" s="6"/>
      <c r="X64181" s="6"/>
      <c r="Y64181" s="6"/>
      <c r="Z64181" s="6"/>
      <c r="AA64181" s="6"/>
      <c r="AB64181" s="6"/>
      <c r="AC64181" s="6"/>
      <c r="AD64181" s="6"/>
      <c r="AE64181" s="6"/>
      <c r="AF64181" s="6"/>
      <c r="AG64181" s="6"/>
      <c r="AH64181" s="6"/>
      <c r="AI64181" s="6"/>
      <c r="AJ64181" s="6"/>
      <c r="AK64181" s="6"/>
      <c r="AL64181" s="6"/>
      <c r="AM64181" s="6"/>
    </row>
    <row r="64182" spans="2:39" ht="9.9499999999999993" hidden="1" customHeight="1" x14ac:dyDescent="0.2">
      <c r="B64182" s="6"/>
      <c r="C64182" s="6"/>
      <c r="D64182" s="6"/>
      <c r="E64182" s="6"/>
      <c r="F64182" s="6"/>
      <c r="G64182" s="6"/>
      <c r="H64182" s="6"/>
      <c r="I64182" s="6"/>
      <c r="J64182" s="6"/>
      <c r="K64182" s="6"/>
      <c r="L64182" s="6"/>
      <c r="M64182" s="6"/>
      <c r="N64182" s="6"/>
      <c r="O64182" s="6"/>
      <c r="P64182" s="6"/>
      <c r="Q64182" s="6"/>
      <c r="R64182" s="6"/>
      <c r="S64182" s="6"/>
      <c r="T64182" s="6"/>
      <c r="U64182" s="6"/>
      <c r="V64182" s="6"/>
      <c r="W64182" s="6"/>
      <c r="X64182" s="6"/>
      <c r="Y64182" s="6"/>
      <c r="Z64182" s="6"/>
      <c r="AA64182" s="6"/>
      <c r="AB64182" s="6"/>
      <c r="AC64182" s="6"/>
      <c r="AD64182" s="6"/>
      <c r="AE64182" s="6"/>
      <c r="AF64182" s="6"/>
      <c r="AG64182" s="6"/>
      <c r="AH64182" s="6"/>
      <c r="AI64182" s="6"/>
      <c r="AJ64182" s="6"/>
      <c r="AK64182" s="6"/>
      <c r="AL64182" s="6"/>
      <c r="AM64182" s="6"/>
    </row>
    <row r="64183" spans="2:39" ht="9.9499999999999993" hidden="1" customHeight="1" x14ac:dyDescent="0.2">
      <c r="B64183" s="6"/>
      <c r="C64183" s="6"/>
      <c r="D64183" s="6"/>
      <c r="E64183" s="6"/>
      <c r="F64183" s="6"/>
      <c r="G64183" s="6"/>
      <c r="H64183" s="6"/>
      <c r="I64183" s="6"/>
      <c r="J64183" s="6"/>
      <c r="K64183" s="6"/>
      <c r="L64183" s="6"/>
      <c r="M64183" s="6"/>
      <c r="N64183" s="6"/>
      <c r="O64183" s="6"/>
      <c r="P64183" s="6"/>
      <c r="Q64183" s="6"/>
      <c r="R64183" s="6"/>
      <c r="S64183" s="6"/>
      <c r="T64183" s="6"/>
      <c r="U64183" s="6"/>
      <c r="V64183" s="6"/>
      <c r="W64183" s="6"/>
      <c r="X64183" s="6"/>
      <c r="Y64183" s="6"/>
      <c r="Z64183" s="6"/>
      <c r="AA64183" s="6"/>
      <c r="AB64183" s="6"/>
      <c r="AC64183" s="6"/>
      <c r="AD64183" s="6"/>
      <c r="AE64183" s="6"/>
      <c r="AF64183" s="6"/>
      <c r="AG64183" s="6"/>
      <c r="AH64183" s="6"/>
      <c r="AI64183" s="6"/>
      <c r="AJ64183" s="6"/>
      <c r="AK64183" s="6"/>
      <c r="AL64183" s="6"/>
      <c r="AM64183" s="6"/>
    </row>
    <row r="64184" spans="2:39" ht="9.9499999999999993" hidden="1" customHeight="1" x14ac:dyDescent="0.2">
      <c r="B64184" s="6"/>
      <c r="C64184" s="6"/>
      <c r="D64184" s="6"/>
      <c r="E64184" s="6"/>
      <c r="F64184" s="6"/>
      <c r="G64184" s="6"/>
      <c r="H64184" s="6"/>
      <c r="I64184" s="6"/>
      <c r="J64184" s="6"/>
      <c r="K64184" s="6"/>
      <c r="L64184" s="6"/>
      <c r="M64184" s="6"/>
      <c r="N64184" s="6"/>
      <c r="O64184" s="6"/>
      <c r="P64184" s="6"/>
      <c r="Q64184" s="6"/>
      <c r="R64184" s="6"/>
      <c r="S64184" s="6"/>
      <c r="T64184" s="6"/>
      <c r="U64184" s="6"/>
      <c r="V64184" s="6"/>
      <c r="W64184" s="6"/>
      <c r="X64184" s="6"/>
      <c r="Y64184" s="6"/>
      <c r="Z64184" s="6"/>
      <c r="AA64184" s="6"/>
      <c r="AB64184" s="6"/>
      <c r="AC64184" s="6"/>
      <c r="AD64184" s="6"/>
      <c r="AE64184" s="6"/>
      <c r="AF64184" s="6"/>
      <c r="AG64184" s="6"/>
      <c r="AH64184" s="6"/>
      <c r="AI64184" s="6"/>
      <c r="AJ64184" s="6"/>
      <c r="AK64184" s="6"/>
      <c r="AL64184" s="6"/>
      <c r="AM64184" s="6"/>
    </row>
    <row r="64185" spans="2:39" ht="9.9499999999999993" hidden="1" customHeight="1" x14ac:dyDescent="0.2">
      <c r="B64185" s="6"/>
      <c r="C64185" s="6"/>
      <c r="D64185" s="6"/>
      <c r="E64185" s="6"/>
      <c r="F64185" s="6"/>
      <c r="G64185" s="6"/>
      <c r="H64185" s="6"/>
      <c r="I64185" s="6"/>
      <c r="J64185" s="6"/>
      <c r="K64185" s="6"/>
      <c r="L64185" s="6"/>
      <c r="M64185" s="6"/>
      <c r="N64185" s="6"/>
      <c r="O64185" s="6"/>
      <c r="P64185" s="6"/>
      <c r="Q64185" s="6"/>
      <c r="R64185" s="6"/>
      <c r="S64185" s="6"/>
      <c r="T64185" s="6"/>
      <c r="U64185" s="6"/>
      <c r="V64185" s="6"/>
      <c r="W64185" s="6"/>
      <c r="X64185" s="6"/>
      <c r="Y64185" s="6"/>
      <c r="Z64185" s="6"/>
      <c r="AA64185" s="6"/>
      <c r="AB64185" s="6"/>
      <c r="AC64185" s="6"/>
      <c r="AD64185" s="6"/>
      <c r="AE64185" s="6"/>
      <c r="AF64185" s="6"/>
      <c r="AG64185" s="6"/>
      <c r="AH64185" s="6"/>
      <c r="AI64185" s="6"/>
      <c r="AJ64185" s="6"/>
      <c r="AK64185" s="6"/>
      <c r="AL64185" s="6"/>
      <c r="AM64185" s="6"/>
    </row>
    <row r="64186" spans="2:39" ht="9.9499999999999993" hidden="1" customHeight="1" x14ac:dyDescent="0.2">
      <c r="B64186" s="6"/>
      <c r="C64186" s="6"/>
      <c r="D64186" s="6"/>
      <c r="E64186" s="6"/>
      <c r="F64186" s="6"/>
      <c r="G64186" s="6"/>
      <c r="H64186" s="6"/>
      <c r="I64186" s="6"/>
      <c r="J64186" s="6"/>
      <c r="K64186" s="6"/>
      <c r="L64186" s="6"/>
      <c r="M64186" s="6"/>
      <c r="N64186" s="6"/>
      <c r="O64186" s="6"/>
      <c r="P64186" s="6"/>
      <c r="Q64186" s="6"/>
      <c r="R64186" s="6"/>
      <c r="S64186" s="6"/>
      <c r="T64186" s="6"/>
      <c r="U64186" s="6"/>
      <c r="V64186" s="6"/>
      <c r="W64186" s="6"/>
      <c r="X64186" s="6"/>
      <c r="Y64186" s="6"/>
      <c r="Z64186" s="6"/>
      <c r="AA64186" s="6"/>
      <c r="AB64186" s="6"/>
      <c r="AC64186" s="6"/>
      <c r="AD64186" s="6"/>
      <c r="AE64186" s="6"/>
      <c r="AF64186" s="6"/>
      <c r="AG64186" s="6"/>
      <c r="AH64186" s="6"/>
      <c r="AI64186" s="6"/>
      <c r="AJ64186" s="6"/>
      <c r="AK64186" s="6"/>
      <c r="AL64186" s="6"/>
      <c r="AM64186" s="6"/>
    </row>
    <row r="64187" spans="2:39" ht="9.9499999999999993" hidden="1" customHeight="1" x14ac:dyDescent="0.2">
      <c r="B64187" s="6"/>
      <c r="C64187" s="6"/>
      <c r="D64187" s="6"/>
      <c r="E64187" s="6"/>
      <c r="F64187" s="6"/>
      <c r="G64187" s="6"/>
      <c r="H64187" s="6"/>
      <c r="I64187" s="6"/>
      <c r="J64187" s="6"/>
      <c r="K64187" s="6"/>
      <c r="L64187" s="6"/>
      <c r="M64187" s="6"/>
      <c r="N64187" s="6"/>
      <c r="O64187" s="6"/>
      <c r="P64187" s="6"/>
      <c r="Q64187" s="6"/>
      <c r="R64187" s="6"/>
      <c r="S64187" s="6"/>
      <c r="T64187" s="6"/>
      <c r="U64187" s="6"/>
      <c r="V64187" s="6"/>
      <c r="W64187" s="6"/>
      <c r="X64187" s="6"/>
      <c r="Y64187" s="6"/>
      <c r="Z64187" s="6"/>
      <c r="AA64187" s="6"/>
      <c r="AB64187" s="6"/>
      <c r="AC64187" s="6"/>
      <c r="AD64187" s="6"/>
      <c r="AE64187" s="6"/>
      <c r="AF64187" s="6"/>
      <c r="AG64187" s="6"/>
      <c r="AH64187" s="6"/>
      <c r="AI64187" s="6"/>
      <c r="AJ64187" s="6"/>
      <c r="AK64187" s="6"/>
      <c r="AL64187" s="6"/>
      <c r="AM64187" s="6"/>
    </row>
    <row r="64188" spans="2:39" ht="9.9499999999999993" hidden="1" customHeight="1" x14ac:dyDescent="0.2">
      <c r="B64188" s="6"/>
      <c r="C64188" s="6"/>
      <c r="D64188" s="6"/>
      <c r="E64188" s="6"/>
      <c r="F64188" s="6"/>
      <c r="G64188" s="6"/>
      <c r="H64188" s="6"/>
      <c r="I64188" s="6"/>
      <c r="J64188" s="6"/>
      <c r="K64188" s="6"/>
      <c r="L64188" s="6"/>
      <c r="M64188" s="6"/>
      <c r="N64188" s="6"/>
      <c r="O64188" s="6"/>
      <c r="P64188" s="6"/>
      <c r="Q64188" s="6"/>
      <c r="R64188" s="6"/>
      <c r="S64188" s="6"/>
      <c r="T64188" s="6"/>
      <c r="U64188" s="6"/>
      <c r="V64188" s="6"/>
      <c r="W64188" s="6"/>
      <c r="X64188" s="6"/>
      <c r="Y64188" s="6"/>
      <c r="Z64188" s="6"/>
      <c r="AA64188" s="6"/>
      <c r="AB64188" s="6"/>
      <c r="AC64188" s="6"/>
      <c r="AD64188" s="6"/>
      <c r="AE64188" s="6"/>
      <c r="AF64188" s="6"/>
      <c r="AG64188" s="6"/>
      <c r="AH64188" s="6"/>
      <c r="AI64188" s="6"/>
      <c r="AJ64188" s="6"/>
      <c r="AK64188" s="6"/>
      <c r="AL64188" s="6"/>
      <c r="AM64188" s="6"/>
    </row>
    <row r="64189" spans="2:39" ht="9.9499999999999993" hidden="1" customHeight="1" x14ac:dyDescent="0.2">
      <c r="B64189" s="6"/>
      <c r="C64189" s="6"/>
      <c r="D64189" s="6"/>
      <c r="E64189" s="6"/>
      <c r="F64189" s="6"/>
      <c r="G64189" s="6"/>
      <c r="H64189" s="6"/>
      <c r="I64189" s="6"/>
      <c r="J64189" s="6"/>
      <c r="K64189" s="6"/>
      <c r="L64189" s="6"/>
      <c r="M64189" s="6"/>
      <c r="N64189" s="6"/>
      <c r="O64189" s="6"/>
      <c r="P64189" s="6"/>
      <c r="Q64189" s="6"/>
      <c r="R64189" s="6"/>
      <c r="S64189" s="6"/>
      <c r="T64189" s="6"/>
      <c r="U64189" s="6"/>
      <c r="V64189" s="6"/>
      <c r="W64189" s="6"/>
      <c r="X64189" s="6"/>
      <c r="Y64189" s="6"/>
      <c r="Z64189" s="6"/>
      <c r="AA64189" s="6"/>
      <c r="AB64189" s="6"/>
      <c r="AC64189" s="6"/>
      <c r="AD64189" s="6"/>
      <c r="AE64189" s="6"/>
      <c r="AF64189" s="6"/>
      <c r="AG64189" s="6"/>
      <c r="AH64189" s="6"/>
      <c r="AI64189" s="6"/>
      <c r="AJ64189" s="6"/>
      <c r="AK64189" s="6"/>
      <c r="AL64189" s="6"/>
      <c r="AM64189" s="6"/>
    </row>
    <row r="64190" spans="2:39" ht="9.9499999999999993" hidden="1" customHeight="1" x14ac:dyDescent="0.2">
      <c r="B64190" s="6"/>
      <c r="C64190" s="6"/>
      <c r="D64190" s="6"/>
      <c r="E64190" s="6"/>
      <c r="F64190" s="6"/>
      <c r="G64190" s="6"/>
      <c r="H64190" s="6"/>
      <c r="I64190" s="6"/>
      <c r="J64190" s="6"/>
      <c r="K64190" s="6"/>
      <c r="L64190" s="6"/>
      <c r="M64190" s="6"/>
      <c r="N64190" s="6"/>
      <c r="O64190" s="6"/>
      <c r="P64190" s="6"/>
      <c r="Q64190" s="6"/>
      <c r="R64190" s="6"/>
      <c r="S64190" s="6"/>
      <c r="T64190" s="6"/>
      <c r="U64190" s="6"/>
      <c r="V64190" s="6"/>
      <c r="W64190" s="6"/>
      <c r="X64190" s="6"/>
      <c r="Y64190" s="6"/>
      <c r="Z64190" s="6"/>
      <c r="AA64190" s="6"/>
      <c r="AB64190" s="6"/>
      <c r="AC64190" s="6"/>
      <c r="AD64190" s="6"/>
      <c r="AE64190" s="6"/>
      <c r="AF64190" s="6"/>
      <c r="AG64190" s="6"/>
      <c r="AH64190" s="6"/>
      <c r="AI64190" s="6"/>
      <c r="AJ64190" s="6"/>
      <c r="AK64190" s="6"/>
      <c r="AL64190" s="6"/>
      <c r="AM64190" s="6"/>
    </row>
    <row r="64191" spans="2:39" ht="9.9499999999999993" hidden="1" customHeight="1" x14ac:dyDescent="0.2">
      <c r="B64191" s="6"/>
      <c r="C64191" s="6"/>
      <c r="D64191" s="6"/>
      <c r="E64191" s="6"/>
      <c r="F64191" s="6"/>
      <c r="G64191" s="6"/>
      <c r="H64191" s="6"/>
      <c r="I64191" s="6"/>
      <c r="J64191" s="6"/>
      <c r="K64191" s="6"/>
      <c r="L64191" s="6"/>
      <c r="M64191" s="6"/>
      <c r="N64191" s="6"/>
      <c r="O64191" s="6"/>
      <c r="P64191" s="6"/>
      <c r="Q64191" s="6"/>
      <c r="R64191" s="6"/>
      <c r="S64191" s="6"/>
      <c r="T64191" s="6"/>
      <c r="U64191" s="6"/>
      <c r="V64191" s="6"/>
      <c r="W64191" s="6"/>
      <c r="X64191" s="6"/>
      <c r="Y64191" s="6"/>
      <c r="Z64191" s="6"/>
      <c r="AA64191" s="6"/>
      <c r="AB64191" s="6"/>
      <c r="AC64191" s="6"/>
      <c r="AD64191" s="6"/>
      <c r="AE64191" s="6"/>
      <c r="AF64191" s="6"/>
      <c r="AG64191" s="6"/>
      <c r="AH64191" s="6"/>
      <c r="AI64191" s="6"/>
      <c r="AJ64191" s="6"/>
      <c r="AK64191" s="6"/>
      <c r="AL64191" s="6"/>
      <c r="AM64191" s="6"/>
    </row>
    <row r="64192" spans="2:39" ht="9.9499999999999993" hidden="1" customHeight="1" x14ac:dyDescent="0.2">
      <c r="B64192" s="6"/>
      <c r="C64192" s="6"/>
      <c r="D64192" s="6"/>
      <c r="E64192" s="6"/>
      <c r="F64192" s="6"/>
      <c r="G64192" s="6"/>
      <c r="H64192" s="6"/>
      <c r="I64192" s="6"/>
      <c r="J64192" s="6"/>
      <c r="K64192" s="6"/>
      <c r="L64192" s="6"/>
      <c r="M64192" s="6"/>
      <c r="N64192" s="6"/>
      <c r="O64192" s="6"/>
      <c r="P64192" s="6"/>
      <c r="Q64192" s="6"/>
      <c r="R64192" s="6"/>
      <c r="S64192" s="6"/>
      <c r="T64192" s="6"/>
      <c r="U64192" s="6"/>
      <c r="V64192" s="6"/>
      <c r="W64192" s="6"/>
      <c r="X64192" s="6"/>
      <c r="Y64192" s="6"/>
      <c r="Z64192" s="6"/>
      <c r="AA64192" s="6"/>
      <c r="AB64192" s="6"/>
      <c r="AC64192" s="6"/>
      <c r="AD64192" s="6"/>
      <c r="AE64192" s="6"/>
      <c r="AF64192" s="6"/>
      <c r="AG64192" s="6"/>
      <c r="AH64192" s="6"/>
      <c r="AI64192" s="6"/>
      <c r="AJ64192" s="6"/>
      <c r="AK64192" s="6"/>
      <c r="AL64192" s="6"/>
      <c r="AM64192" s="6"/>
    </row>
    <row r="64193" spans="2:39" ht="9.9499999999999993" hidden="1" customHeight="1" x14ac:dyDescent="0.2">
      <c r="B64193" s="6"/>
      <c r="C64193" s="6"/>
      <c r="D64193" s="6"/>
      <c r="E64193" s="6"/>
      <c r="F64193" s="6"/>
      <c r="G64193" s="6"/>
      <c r="H64193" s="6"/>
      <c r="I64193" s="6"/>
      <c r="J64193" s="6"/>
      <c r="K64193" s="6"/>
      <c r="L64193" s="6"/>
      <c r="M64193" s="6"/>
      <c r="N64193" s="6"/>
      <c r="O64193" s="6"/>
      <c r="P64193" s="6"/>
      <c r="Q64193" s="6"/>
      <c r="R64193" s="6"/>
      <c r="S64193" s="6"/>
      <c r="T64193" s="6"/>
      <c r="U64193" s="6"/>
      <c r="V64193" s="6"/>
      <c r="W64193" s="6"/>
      <c r="X64193" s="6"/>
      <c r="Y64193" s="6"/>
      <c r="Z64193" s="6"/>
      <c r="AA64193" s="6"/>
      <c r="AB64193" s="6"/>
      <c r="AC64193" s="6"/>
      <c r="AD64193" s="6"/>
      <c r="AE64193" s="6"/>
      <c r="AF64193" s="6"/>
      <c r="AG64193" s="6"/>
      <c r="AH64193" s="6"/>
      <c r="AI64193" s="6"/>
      <c r="AJ64193" s="6"/>
      <c r="AK64193" s="6"/>
      <c r="AL64193" s="6"/>
      <c r="AM64193" s="6"/>
    </row>
    <row r="64194" spans="2:39" ht="9.9499999999999993" hidden="1" customHeight="1" x14ac:dyDescent="0.2">
      <c r="B64194" s="6"/>
      <c r="C64194" s="6"/>
      <c r="D64194" s="6"/>
      <c r="E64194" s="6"/>
      <c r="F64194" s="6"/>
      <c r="G64194" s="6"/>
      <c r="H64194" s="6"/>
      <c r="I64194" s="6"/>
      <c r="J64194" s="6"/>
      <c r="K64194" s="6"/>
      <c r="L64194" s="6"/>
      <c r="M64194" s="6"/>
      <c r="N64194" s="6"/>
      <c r="O64194" s="6"/>
      <c r="P64194" s="6"/>
      <c r="Q64194" s="6"/>
      <c r="R64194" s="6"/>
      <c r="S64194" s="6"/>
      <c r="T64194" s="6"/>
      <c r="U64194" s="6"/>
      <c r="V64194" s="6"/>
      <c r="W64194" s="6"/>
      <c r="X64194" s="6"/>
      <c r="Y64194" s="6"/>
      <c r="Z64194" s="6"/>
      <c r="AA64194" s="6"/>
      <c r="AB64194" s="6"/>
      <c r="AC64194" s="6"/>
      <c r="AD64194" s="6"/>
      <c r="AE64194" s="6"/>
      <c r="AF64194" s="6"/>
      <c r="AG64194" s="6"/>
      <c r="AH64194" s="6"/>
      <c r="AI64194" s="6"/>
      <c r="AJ64194" s="6"/>
      <c r="AK64194" s="6"/>
      <c r="AL64194" s="6"/>
      <c r="AM64194" s="6"/>
    </row>
    <row r="64195" spans="2:39" ht="9.9499999999999993" hidden="1" customHeight="1" x14ac:dyDescent="0.2">
      <c r="B64195" s="6"/>
      <c r="C64195" s="6"/>
      <c r="D64195" s="6"/>
      <c r="E64195" s="6"/>
      <c r="F64195" s="6"/>
      <c r="G64195" s="6"/>
      <c r="H64195" s="6"/>
      <c r="I64195" s="6"/>
      <c r="J64195" s="6"/>
      <c r="K64195" s="6"/>
      <c r="L64195" s="6"/>
      <c r="M64195" s="6"/>
      <c r="N64195" s="6"/>
      <c r="O64195" s="6"/>
      <c r="P64195" s="6"/>
      <c r="Q64195" s="6"/>
      <c r="R64195" s="6"/>
      <c r="S64195" s="6"/>
      <c r="T64195" s="6"/>
      <c r="U64195" s="6"/>
      <c r="V64195" s="6"/>
      <c r="W64195" s="6"/>
      <c r="X64195" s="6"/>
      <c r="Y64195" s="6"/>
      <c r="Z64195" s="6"/>
      <c r="AA64195" s="6"/>
      <c r="AB64195" s="6"/>
      <c r="AC64195" s="6"/>
      <c r="AD64195" s="6"/>
      <c r="AE64195" s="6"/>
      <c r="AF64195" s="6"/>
      <c r="AG64195" s="6"/>
      <c r="AH64195" s="6"/>
      <c r="AI64195" s="6"/>
      <c r="AJ64195" s="6"/>
      <c r="AK64195" s="6"/>
      <c r="AL64195" s="6"/>
      <c r="AM64195" s="6"/>
    </row>
    <row r="64196" spans="2:39" ht="9.9499999999999993" hidden="1" customHeight="1" x14ac:dyDescent="0.2">
      <c r="B64196" s="6"/>
      <c r="C64196" s="6"/>
      <c r="D64196" s="6"/>
      <c r="E64196" s="6"/>
      <c r="F64196" s="6"/>
      <c r="G64196" s="6"/>
      <c r="H64196" s="6"/>
      <c r="I64196" s="6"/>
      <c r="J64196" s="6"/>
      <c r="K64196" s="6"/>
      <c r="L64196" s="6"/>
      <c r="M64196" s="6"/>
      <c r="N64196" s="6"/>
      <c r="O64196" s="6"/>
      <c r="P64196" s="6"/>
      <c r="Q64196" s="6"/>
      <c r="R64196" s="6"/>
      <c r="S64196" s="6"/>
      <c r="T64196" s="6"/>
      <c r="U64196" s="6"/>
      <c r="V64196" s="6"/>
      <c r="W64196" s="6"/>
      <c r="X64196" s="6"/>
      <c r="Y64196" s="6"/>
      <c r="Z64196" s="6"/>
      <c r="AA64196" s="6"/>
      <c r="AB64196" s="6"/>
      <c r="AC64196" s="6"/>
      <c r="AD64196" s="6"/>
      <c r="AE64196" s="6"/>
      <c r="AF64196" s="6"/>
      <c r="AG64196" s="6"/>
      <c r="AH64196" s="6"/>
      <c r="AI64196" s="6"/>
      <c r="AJ64196" s="6"/>
      <c r="AK64196" s="6"/>
      <c r="AL64196" s="6"/>
      <c r="AM64196" s="6"/>
    </row>
    <row r="64197" spans="2:39" ht="9.9499999999999993" hidden="1" customHeight="1" x14ac:dyDescent="0.2">
      <c r="B64197" s="6"/>
      <c r="C64197" s="6"/>
      <c r="D64197" s="6"/>
      <c r="E64197" s="6"/>
      <c r="F64197" s="6"/>
      <c r="G64197" s="6"/>
      <c r="H64197" s="6"/>
      <c r="I64197" s="6"/>
      <c r="J64197" s="6"/>
      <c r="K64197" s="6"/>
      <c r="L64197" s="6"/>
      <c r="M64197" s="6"/>
      <c r="N64197" s="6"/>
      <c r="O64197" s="6"/>
      <c r="P64197" s="6"/>
      <c r="Q64197" s="6"/>
      <c r="R64197" s="6"/>
      <c r="S64197" s="6"/>
      <c r="T64197" s="6"/>
      <c r="U64197" s="6"/>
      <c r="V64197" s="6"/>
      <c r="W64197" s="6"/>
      <c r="X64197" s="6"/>
      <c r="Y64197" s="6"/>
      <c r="Z64197" s="6"/>
      <c r="AA64197" s="6"/>
      <c r="AB64197" s="6"/>
      <c r="AC64197" s="6"/>
      <c r="AD64197" s="6"/>
      <c r="AE64197" s="6"/>
      <c r="AF64197" s="6"/>
      <c r="AG64197" s="6"/>
      <c r="AH64197" s="6"/>
      <c r="AI64197" s="6"/>
      <c r="AJ64197" s="6"/>
      <c r="AK64197" s="6"/>
      <c r="AL64197" s="6"/>
      <c r="AM64197" s="6"/>
    </row>
    <row r="64198" spans="2:39" ht="9.9499999999999993" hidden="1" customHeight="1" x14ac:dyDescent="0.2">
      <c r="B64198" s="6"/>
      <c r="C64198" s="6"/>
      <c r="D64198" s="6"/>
      <c r="E64198" s="6"/>
      <c r="F64198" s="6"/>
      <c r="G64198" s="6"/>
      <c r="H64198" s="6"/>
      <c r="I64198" s="6"/>
      <c r="J64198" s="6"/>
      <c r="K64198" s="6"/>
      <c r="L64198" s="6"/>
      <c r="M64198" s="6"/>
      <c r="N64198" s="6"/>
      <c r="O64198" s="6"/>
      <c r="P64198" s="6"/>
      <c r="Q64198" s="6"/>
      <c r="R64198" s="6"/>
      <c r="S64198" s="6"/>
      <c r="T64198" s="6"/>
      <c r="U64198" s="6"/>
      <c r="V64198" s="6"/>
      <c r="W64198" s="6"/>
      <c r="X64198" s="6"/>
      <c r="Y64198" s="6"/>
      <c r="Z64198" s="6"/>
      <c r="AA64198" s="6"/>
      <c r="AB64198" s="6"/>
      <c r="AC64198" s="6"/>
      <c r="AD64198" s="6"/>
      <c r="AE64198" s="6"/>
      <c r="AF64198" s="6"/>
      <c r="AG64198" s="6"/>
      <c r="AH64198" s="6"/>
      <c r="AI64198" s="6"/>
      <c r="AJ64198" s="6"/>
      <c r="AK64198" s="6"/>
      <c r="AL64198" s="6"/>
      <c r="AM64198" s="6"/>
    </row>
    <row r="64199" spans="2:39" ht="9.9499999999999993" hidden="1" customHeight="1" x14ac:dyDescent="0.2">
      <c r="B64199" s="6"/>
      <c r="C64199" s="6"/>
      <c r="D64199" s="6"/>
      <c r="E64199" s="6"/>
      <c r="F64199" s="6"/>
      <c r="G64199" s="6"/>
      <c r="H64199" s="6"/>
      <c r="I64199" s="6"/>
      <c r="J64199" s="6"/>
      <c r="K64199" s="6"/>
      <c r="L64199" s="6"/>
      <c r="M64199" s="6"/>
      <c r="N64199" s="6"/>
      <c r="O64199" s="6"/>
      <c r="P64199" s="6"/>
      <c r="Q64199" s="6"/>
      <c r="R64199" s="6"/>
      <c r="S64199" s="6"/>
      <c r="T64199" s="6"/>
      <c r="U64199" s="6"/>
      <c r="V64199" s="6"/>
      <c r="W64199" s="6"/>
      <c r="X64199" s="6"/>
      <c r="Y64199" s="6"/>
      <c r="Z64199" s="6"/>
      <c r="AA64199" s="6"/>
      <c r="AB64199" s="6"/>
      <c r="AC64199" s="6"/>
      <c r="AD64199" s="6"/>
      <c r="AE64199" s="6"/>
      <c r="AF64199" s="6"/>
      <c r="AG64199" s="6"/>
      <c r="AH64199" s="6"/>
      <c r="AI64199" s="6"/>
      <c r="AJ64199" s="6"/>
      <c r="AK64199" s="6"/>
      <c r="AL64199" s="6"/>
      <c r="AM64199" s="6"/>
    </row>
    <row r="64200" spans="2:39" ht="9.9499999999999993" hidden="1" customHeight="1" x14ac:dyDescent="0.2">
      <c r="B64200" s="6"/>
      <c r="C64200" s="6"/>
      <c r="D64200" s="6"/>
      <c r="E64200" s="6"/>
      <c r="F64200" s="6"/>
      <c r="G64200" s="6"/>
      <c r="H64200" s="6"/>
      <c r="I64200" s="6"/>
      <c r="J64200" s="6"/>
      <c r="K64200" s="6"/>
      <c r="L64200" s="6"/>
      <c r="M64200" s="6"/>
      <c r="N64200" s="6"/>
      <c r="O64200" s="6"/>
      <c r="P64200" s="6"/>
      <c r="Q64200" s="6"/>
      <c r="R64200" s="6"/>
      <c r="S64200" s="6"/>
      <c r="T64200" s="6"/>
      <c r="U64200" s="6"/>
      <c r="V64200" s="6"/>
      <c r="W64200" s="6"/>
      <c r="X64200" s="6"/>
      <c r="Y64200" s="6"/>
      <c r="Z64200" s="6"/>
      <c r="AA64200" s="6"/>
      <c r="AB64200" s="6"/>
      <c r="AC64200" s="6"/>
      <c r="AD64200" s="6"/>
      <c r="AE64200" s="6"/>
      <c r="AF64200" s="6"/>
      <c r="AG64200" s="6"/>
      <c r="AH64200" s="6"/>
      <c r="AI64200" s="6"/>
      <c r="AJ64200" s="6"/>
      <c r="AK64200" s="6"/>
      <c r="AL64200" s="6"/>
      <c r="AM64200" s="6"/>
    </row>
    <row r="64201" spans="2:39" ht="9.9499999999999993" hidden="1" customHeight="1" x14ac:dyDescent="0.2">
      <c r="B64201" s="6"/>
      <c r="C64201" s="6"/>
      <c r="D64201" s="6"/>
      <c r="E64201" s="6"/>
      <c r="F64201" s="6"/>
      <c r="G64201" s="6"/>
      <c r="H64201" s="6"/>
      <c r="I64201" s="6"/>
      <c r="J64201" s="6"/>
      <c r="K64201" s="6"/>
      <c r="L64201" s="6"/>
      <c r="M64201" s="6"/>
      <c r="N64201" s="6"/>
      <c r="O64201" s="6"/>
      <c r="P64201" s="6"/>
      <c r="Q64201" s="6"/>
      <c r="R64201" s="6"/>
      <c r="S64201" s="6"/>
      <c r="T64201" s="6"/>
      <c r="U64201" s="6"/>
      <c r="V64201" s="6"/>
      <c r="W64201" s="6"/>
      <c r="X64201" s="6"/>
      <c r="Y64201" s="6"/>
      <c r="Z64201" s="6"/>
      <c r="AA64201" s="6"/>
      <c r="AB64201" s="6"/>
      <c r="AC64201" s="6"/>
      <c r="AD64201" s="6"/>
      <c r="AE64201" s="6"/>
      <c r="AF64201" s="6"/>
      <c r="AG64201" s="6"/>
      <c r="AH64201" s="6"/>
      <c r="AI64201" s="6"/>
      <c r="AJ64201" s="6"/>
      <c r="AK64201" s="6"/>
      <c r="AL64201" s="6"/>
      <c r="AM64201" s="6"/>
    </row>
    <row r="64202" spans="2:39" ht="9.9499999999999993" hidden="1" customHeight="1" x14ac:dyDescent="0.2">
      <c r="B64202" s="6"/>
      <c r="C64202" s="6"/>
      <c r="D64202" s="6"/>
      <c r="E64202" s="6"/>
      <c r="F64202" s="6"/>
      <c r="G64202" s="6"/>
      <c r="H64202" s="6"/>
      <c r="I64202" s="6"/>
      <c r="J64202" s="6"/>
      <c r="K64202" s="6"/>
      <c r="L64202" s="6"/>
      <c r="M64202" s="6"/>
      <c r="N64202" s="6"/>
      <c r="O64202" s="6"/>
      <c r="P64202" s="6"/>
      <c r="Q64202" s="6"/>
      <c r="R64202" s="6"/>
      <c r="S64202" s="6"/>
      <c r="T64202" s="6"/>
      <c r="U64202" s="6"/>
      <c r="V64202" s="6"/>
      <c r="W64202" s="6"/>
      <c r="X64202" s="6"/>
      <c r="Y64202" s="6"/>
      <c r="Z64202" s="6"/>
      <c r="AA64202" s="6"/>
      <c r="AB64202" s="6"/>
      <c r="AC64202" s="6"/>
      <c r="AD64202" s="6"/>
      <c r="AE64202" s="6"/>
      <c r="AF64202" s="6"/>
      <c r="AG64202" s="6"/>
      <c r="AH64202" s="6"/>
      <c r="AI64202" s="6"/>
      <c r="AJ64202" s="6"/>
      <c r="AK64202" s="6"/>
      <c r="AL64202" s="6"/>
      <c r="AM64202" s="6"/>
    </row>
    <row r="64203" spans="2:39" ht="9.9499999999999993" hidden="1" customHeight="1" x14ac:dyDescent="0.2">
      <c r="B64203" s="6"/>
      <c r="C64203" s="6"/>
      <c r="D64203" s="6"/>
      <c r="E64203" s="6"/>
      <c r="F64203" s="6"/>
      <c r="G64203" s="6"/>
      <c r="H64203" s="6"/>
      <c r="I64203" s="6"/>
      <c r="J64203" s="6"/>
      <c r="K64203" s="6"/>
      <c r="L64203" s="6"/>
      <c r="M64203" s="6"/>
      <c r="N64203" s="6"/>
      <c r="O64203" s="6"/>
      <c r="P64203" s="6"/>
      <c r="Q64203" s="6"/>
      <c r="R64203" s="6"/>
      <c r="S64203" s="6"/>
      <c r="T64203" s="6"/>
      <c r="U64203" s="6"/>
      <c r="V64203" s="6"/>
      <c r="W64203" s="6"/>
      <c r="X64203" s="6"/>
      <c r="Y64203" s="6"/>
      <c r="Z64203" s="6"/>
      <c r="AA64203" s="6"/>
      <c r="AB64203" s="6"/>
      <c r="AC64203" s="6"/>
      <c r="AD64203" s="6"/>
      <c r="AE64203" s="6"/>
      <c r="AF64203" s="6"/>
      <c r="AG64203" s="6"/>
      <c r="AH64203" s="6"/>
      <c r="AI64203" s="6"/>
      <c r="AJ64203" s="6"/>
      <c r="AK64203" s="6"/>
      <c r="AL64203" s="6"/>
      <c r="AM64203" s="6"/>
    </row>
    <row r="64204" spans="2:39" ht="9.9499999999999993" hidden="1" customHeight="1" x14ac:dyDescent="0.2">
      <c r="B64204" s="6"/>
      <c r="C64204" s="6"/>
      <c r="D64204" s="6"/>
      <c r="E64204" s="6"/>
      <c r="F64204" s="6"/>
      <c r="G64204" s="6"/>
      <c r="H64204" s="6"/>
      <c r="I64204" s="6"/>
      <c r="J64204" s="6"/>
      <c r="K64204" s="6"/>
      <c r="L64204" s="6"/>
      <c r="M64204" s="6"/>
      <c r="N64204" s="6"/>
      <c r="O64204" s="6"/>
      <c r="P64204" s="6"/>
      <c r="Q64204" s="6"/>
      <c r="R64204" s="6"/>
      <c r="S64204" s="6"/>
      <c r="T64204" s="6"/>
      <c r="U64204" s="6"/>
      <c r="V64204" s="6"/>
      <c r="W64204" s="6"/>
      <c r="X64204" s="6"/>
      <c r="Y64204" s="6"/>
      <c r="Z64204" s="6"/>
      <c r="AA64204" s="6"/>
      <c r="AB64204" s="6"/>
      <c r="AC64204" s="6"/>
      <c r="AD64204" s="6"/>
      <c r="AE64204" s="6"/>
      <c r="AF64204" s="6"/>
      <c r="AG64204" s="6"/>
      <c r="AH64204" s="6"/>
      <c r="AI64204" s="6"/>
      <c r="AJ64204" s="6"/>
      <c r="AK64204" s="6"/>
      <c r="AL64204" s="6"/>
      <c r="AM64204" s="6"/>
    </row>
    <row r="64205" spans="2:39" ht="9.9499999999999993" hidden="1" customHeight="1" x14ac:dyDescent="0.2">
      <c r="B64205" s="6"/>
      <c r="C64205" s="6"/>
      <c r="D64205" s="6"/>
      <c r="E64205" s="6"/>
      <c r="F64205" s="6"/>
      <c r="G64205" s="6"/>
      <c r="H64205" s="6"/>
      <c r="I64205" s="6"/>
      <c r="J64205" s="6"/>
      <c r="K64205" s="6"/>
      <c r="L64205" s="6"/>
      <c r="M64205" s="6"/>
      <c r="N64205" s="6"/>
      <c r="O64205" s="6"/>
      <c r="P64205" s="6"/>
      <c r="Q64205" s="6"/>
      <c r="R64205" s="6"/>
      <c r="S64205" s="6"/>
      <c r="T64205" s="6"/>
      <c r="U64205" s="6"/>
      <c r="V64205" s="6"/>
      <c r="W64205" s="6"/>
      <c r="X64205" s="6"/>
      <c r="Y64205" s="6"/>
      <c r="Z64205" s="6"/>
      <c r="AA64205" s="6"/>
      <c r="AB64205" s="6"/>
      <c r="AC64205" s="6"/>
      <c r="AD64205" s="6"/>
      <c r="AE64205" s="6"/>
      <c r="AF64205" s="6"/>
      <c r="AG64205" s="6"/>
      <c r="AH64205" s="6"/>
      <c r="AI64205" s="6"/>
      <c r="AJ64205" s="6"/>
      <c r="AK64205" s="6"/>
      <c r="AL64205" s="6"/>
      <c r="AM64205" s="6"/>
    </row>
    <row r="64206" spans="2:39" ht="9.9499999999999993" hidden="1" customHeight="1" x14ac:dyDescent="0.2">
      <c r="B64206" s="6"/>
      <c r="C64206" s="6"/>
      <c r="D64206" s="6"/>
      <c r="E64206" s="6"/>
      <c r="F64206" s="6"/>
      <c r="G64206" s="6"/>
      <c r="H64206" s="6"/>
      <c r="I64206" s="6"/>
      <c r="J64206" s="6"/>
      <c r="K64206" s="6"/>
      <c r="L64206" s="6"/>
      <c r="M64206" s="6"/>
      <c r="N64206" s="6"/>
      <c r="O64206" s="6"/>
      <c r="P64206" s="6"/>
      <c r="Q64206" s="6"/>
      <c r="R64206" s="6"/>
      <c r="S64206" s="6"/>
      <c r="T64206" s="6"/>
      <c r="U64206" s="6"/>
      <c r="V64206" s="6"/>
      <c r="W64206" s="6"/>
      <c r="X64206" s="6"/>
      <c r="Y64206" s="6"/>
      <c r="Z64206" s="6"/>
      <c r="AA64206" s="6"/>
      <c r="AB64206" s="6"/>
      <c r="AC64206" s="6"/>
      <c r="AD64206" s="6"/>
      <c r="AE64206" s="6"/>
      <c r="AF64206" s="6"/>
      <c r="AG64206" s="6"/>
      <c r="AH64206" s="6"/>
      <c r="AI64206" s="6"/>
      <c r="AJ64206" s="6"/>
      <c r="AK64206" s="6"/>
      <c r="AL64206" s="6"/>
      <c r="AM64206" s="6"/>
    </row>
    <row r="64207" spans="2:39" ht="9.9499999999999993" hidden="1" customHeight="1" x14ac:dyDescent="0.2">
      <c r="B64207" s="6"/>
      <c r="C64207" s="6"/>
      <c r="D64207" s="6"/>
      <c r="E64207" s="6"/>
      <c r="F64207" s="6"/>
      <c r="G64207" s="6"/>
      <c r="H64207" s="6"/>
      <c r="I64207" s="6"/>
      <c r="J64207" s="6"/>
      <c r="K64207" s="6"/>
      <c r="L64207" s="6"/>
      <c r="M64207" s="6"/>
      <c r="N64207" s="6"/>
      <c r="O64207" s="6"/>
      <c r="P64207" s="6"/>
      <c r="Q64207" s="6"/>
      <c r="R64207" s="6"/>
      <c r="S64207" s="6"/>
      <c r="T64207" s="6"/>
      <c r="U64207" s="6"/>
      <c r="V64207" s="6"/>
      <c r="W64207" s="6"/>
      <c r="X64207" s="6"/>
      <c r="Y64207" s="6"/>
      <c r="Z64207" s="6"/>
      <c r="AA64207" s="6"/>
      <c r="AB64207" s="6"/>
      <c r="AC64207" s="6"/>
      <c r="AD64207" s="6"/>
      <c r="AE64207" s="6"/>
      <c r="AF64207" s="6"/>
      <c r="AG64207" s="6"/>
      <c r="AH64207" s="6"/>
      <c r="AI64207" s="6"/>
      <c r="AJ64207" s="6"/>
      <c r="AK64207" s="6"/>
      <c r="AL64207" s="6"/>
      <c r="AM64207" s="6"/>
    </row>
    <row r="64208" spans="2:39" ht="9.9499999999999993" hidden="1" customHeight="1" x14ac:dyDescent="0.2">
      <c r="B64208" s="6"/>
      <c r="C64208" s="6"/>
      <c r="D64208" s="6"/>
      <c r="E64208" s="6"/>
      <c r="F64208" s="6"/>
      <c r="G64208" s="6"/>
      <c r="H64208" s="6"/>
      <c r="I64208" s="6"/>
      <c r="J64208" s="6"/>
      <c r="K64208" s="6"/>
      <c r="L64208" s="6"/>
      <c r="M64208" s="6"/>
      <c r="N64208" s="6"/>
      <c r="O64208" s="6"/>
      <c r="P64208" s="6"/>
      <c r="Q64208" s="6"/>
      <c r="R64208" s="6"/>
      <c r="S64208" s="6"/>
      <c r="T64208" s="6"/>
      <c r="U64208" s="6"/>
      <c r="V64208" s="6"/>
      <c r="W64208" s="6"/>
      <c r="X64208" s="6"/>
      <c r="Y64208" s="6"/>
      <c r="Z64208" s="6"/>
      <c r="AA64208" s="6"/>
      <c r="AB64208" s="6"/>
      <c r="AC64208" s="6"/>
      <c r="AD64208" s="6"/>
      <c r="AE64208" s="6"/>
      <c r="AF64208" s="6"/>
      <c r="AG64208" s="6"/>
      <c r="AH64208" s="6"/>
      <c r="AI64208" s="6"/>
      <c r="AJ64208" s="6"/>
      <c r="AK64208" s="6"/>
      <c r="AL64208" s="6"/>
      <c r="AM64208" s="6"/>
    </row>
    <row r="64209" spans="2:39" ht="9.9499999999999993" hidden="1" customHeight="1" x14ac:dyDescent="0.2">
      <c r="B64209" s="6"/>
      <c r="C64209" s="6"/>
      <c r="D64209" s="6"/>
      <c r="E64209" s="6"/>
      <c r="F64209" s="6"/>
      <c r="G64209" s="6"/>
      <c r="H64209" s="6"/>
      <c r="I64209" s="6"/>
      <c r="J64209" s="6"/>
      <c r="K64209" s="6"/>
      <c r="L64209" s="6"/>
      <c r="M64209" s="6"/>
      <c r="N64209" s="6"/>
      <c r="O64209" s="6"/>
      <c r="P64209" s="6"/>
      <c r="Q64209" s="6"/>
      <c r="R64209" s="6"/>
      <c r="S64209" s="6"/>
      <c r="T64209" s="6"/>
      <c r="U64209" s="6"/>
      <c r="V64209" s="6"/>
      <c r="W64209" s="6"/>
      <c r="X64209" s="6"/>
      <c r="Y64209" s="6"/>
      <c r="Z64209" s="6"/>
      <c r="AA64209" s="6"/>
      <c r="AB64209" s="6"/>
      <c r="AC64209" s="6"/>
      <c r="AD64209" s="6"/>
      <c r="AE64209" s="6"/>
      <c r="AF64209" s="6"/>
      <c r="AG64209" s="6"/>
      <c r="AH64209" s="6"/>
      <c r="AI64209" s="6"/>
      <c r="AJ64209" s="6"/>
      <c r="AK64209" s="6"/>
      <c r="AL64209" s="6"/>
      <c r="AM64209" s="6"/>
    </row>
    <row r="64210" spans="2:39" ht="9.9499999999999993" hidden="1" customHeight="1" x14ac:dyDescent="0.2">
      <c r="B64210" s="6"/>
      <c r="C64210" s="6"/>
      <c r="D64210" s="6"/>
      <c r="E64210" s="6"/>
      <c r="F64210" s="6"/>
      <c r="G64210" s="6"/>
      <c r="H64210" s="6"/>
      <c r="I64210" s="6"/>
      <c r="J64210" s="6"/>
      <c r="K64210" s="6"/>
      <c r="L64210" s="6"/>
      <c r="M64210" s="6"/>
      <c r="N64210" s="6"/>
      <c r="O64210" s="6"/>
      <c r="P64210" s="6"/>
      <c r="Q64210" s="6"/>
      <c r="R64210" s="6"/>
      <c r="S64210" s="6"/>
      <c r="T64210" s="6"/>
      <c r="U64210" s="6"/>
      <c r="V64210" s="6"/>
      <c r="W64210" s="6"/>
      <c r="X64210" s="6"/>
      <c r="Y64210" s="6"/>
      <c r="Z64210" s="6"/>
      <c r="AA64210" s="6"/>
      <c r="AB64210" s="6"/>
      <c r="AC64210" s="6"/>
      <c r="AD64210" s="6"/>
      <c r="AE64210" s="6"/>
      <c r="AF64210" s="6"/>
      <c r="AG64210" s="6"/>
      <c r="AH64210" s="6"/>
      <c r="AI64210" s="6"/>
      <c r="AJ64210" s="6"/>
      <c r="AK64210" s="6"/>
      <c r="AL64210" s="6"/>
      <c r="AM64210" s="6"/>
    </row>
    <row r="64211" spans="2:39" ht="9.9499999999999993" hidden="1" customHeight="1" x14ac:dyDescent="0.2">
      <c r="B64211" s="6"/>
      <c r="C64211" s="6"/>
      <c r="D64211" s="6"/>
      <c r="E64211" s="6"/>
      <c r="F64211" s="6"/>
      <c r="G64211" s="6"/>
      <c r="H64211" s="6"/>
      <c r="I64211" s="6"/>
      <c r="J64211" s="6"/>
      <c r="K64211" s="6"/>
      <c r="L64211" s="6"/>
      <c r="M64211" s="6"/>
      <c r="N64211" s="6"/>
      <c r="O64211" s="6"/>
      <c r="P64211" s="6"/>
      <c r="Q64211" s="6"/>
      <c r="R64211" s="6"/>
      <c r="S64211" s="6"/>
      <c r="T64211" s="6"/>
      <c r="U64211" s="6"/>
      <c r="V64211" s="6"/>
      <c r="W64211" s="6"/>
      <c r="X64211" s="6"/>
      <c r="Y64211" s="6"/>
      <c r="Z64211" s="6"/>
      <c r="AA64211" s="6"/>
      <c r="AB64211" s="6"/>
      <c r="AC64211" s="6"/>
      <c r="AD64211" s="6"/>
      <c r="AE64211" s="6"/>
      <c r="AF64211" s="6"/>
      <c r="AG64211" s="6"/>
      <c r="AH64211" s="6"/>
      <c r="AI64211" s="6"/>
      <c r="AJ64211" s="6"/>
      <c r="AK64211" s="6"/>
      <c r="AL64211" s="6"/>
      <c r="AM64211" s="6"/>
    </row>
    <row r="64212" spans="2:39" ht="9.9499999999999993" hidden="1" customHeight="1" x14ac:dyDescent="0.2">
      <c r="B64212" s="6"/>
      <c r="C64212" s="6"/>
      <c r="D64212" s="6"/>
      <c r="E64212" s="6"/>
      <c r="F64212" s="6"/>
      <c r="G64212" s="6"/>
      <c r="H64212" s="6"/>
      <c r="I64212" s="6"/>
      <c r="J64212" s="6"/>
      <c r="K64212" s="6"/>
      <c r="L64212" s="6"/>
      <c r="M64212" s="6"/>
      <c r="N64212" s="6"/>
      <c r="O64212" s="6"/>
      <c r="P64212" s="6"/>
      <c r="Q64212" s="6"/>
      <c r="R64212" s="6"/>
      <c r="S64212" s="6"/>
      <c r="T64212" s="6"/>
      <c r="U64212" s="6"/>
      <c r="V64212" s="6"/>
      <c r="W64212" s="6"/>
      <c r="X64212" s="6"/>
      <c r="Y64212" s="6"/>
      <c r="Z64212" s="6"/>
      <c r="AA64212" s="6"/>
      <c r="AB64212" s="6"/>
      <c r="AC64212" s="6"/>
      <c r="AD64212" s="6"/>
      <c r="AE64212" s="6"/>
      <c r="AF64212" s="6"/>
      <c r="AG64212" s="6"/>
      <c r="AH64212" s="6"/>
      <c r="AI64212" s="6"/>
      <c r="AJ64212" s="6"/>
      <c r="AK64212" s="6"/>
      <c r="AL64212" s="6"/>
      <c r="AM64212" s="6"/>
    </row>
    <row r="64213" spans="2:39" ht="9.9499999999999993" hidden="1" customHeight="1" x14ac:dyDescent="0.2">
      <c r="B64213" s="6"/>
      <c r="C64213" s="6"/>
      <c r="D64213" s="6"/>
      <c r="E64213" s="6"/>
      <c r="F64213" s="6"/>
      <c r="G64213" s="6"/>
      <c r="H64213" s="6"/>
      <c r="I64213" s="6"/>
      <c r="J64213" s="6"/>
      <c r="K64213" s="6"/>
      <c r="L64213" s="6"/>
      <c r="M64213" s="6"/>
      <c r="N64213" s="6"/>
      <c r="O64213" s="6"/>
      <c r="P64213" s="6"/>
      <c r="Q64213" s="6"/>
      <c r="R64213" s="6"/>
      <c r="S64213" s="6"/>
      <c r="T64213" s="6"/>
      <c r="U64213" s="6"/>
      <c r="V64213" s="6"/>
      <c r="W64213" s="6"/>
      <c r="X64213" s="6"/>
      <c r="Y64213" s="6"/>
      <c r="Z64213" s="6"/>
      <c r="AA64213" s="6"/>
      <c r="AB64213" s="6"/>
      <c r="AC64213" s="6"/>
      <c r="AD64213" s="6"/>
      <c r="AE64213" s="6"/>
      <c r="AF64213" s="6"/>
      <c r="AG64213" s="6"/>
      <c r="AH64213" s="6"/>
      <c r="AI64213" s="6"/>
      <c r="AJ64213" s="6"/>
      <c r="AK64213" s="6"/>
      <c r="AL64213" s="6"/>
      <c r="AM64213" s="6"/>
    </row>
    <row r="64214" spans="2:39" ht="9.9499999999999993" hidden="1" customHeight="1" x14ac:dyDescent="0.2">
      <c r="B64214" s="6"/>
      <c r="C64214" s="6"/>
      <c r="D64214" s="6"/>
      <c r="E64214" s="6"/>
      <c r="F64214" s="6"/>
      <c r="G64214" s="6"/>
      <c r="H64214" s="6"/>
      <c r="I64214" s="6"/>
      <c r="J64214" s="6"/>
      <c r="K64214" s="6"/>
      <c r="L64214" s="6"/>
      <c r="M64214" s="6"/>
      <c r="N64214" s="6"/>
      <c r="O64214" s="6"/>
      <c r="P64214" s="6"/>
      <c r="Q64214" s="6"/>
      <c r="R64214" s="6"/>
      <c r="S64214" s="6"/>
      <c r="T64214" s="6"/>
      <c r="U64214" s="6"/>
      <c r="V64214" s="6"/>
      <c r="W64214" s="6"/>
      <c r="X64214" s="6"/>
      <c r="Y64214" s="6"/>
      <c r="Z64214" s="6"/>
      <c r="AA64214" s="6"/>
      <c r="AB64214" s="6"/>
      <c r="AC64214" s="6"/>
      <c r="AD64214" s="6"/>
      <c r="AE64214" s="6"/>
      <c r="AF64214" s="6"/>
      <c r="AG64214" s="6"/>
      <c r="AH64214" s="6"/>
      <c r="AI64214" s="6"/>
      <c r="AJ64214" s="6"/>
      <c r="AK64214" s="6"/>
      <c r="AL64214" s="6"/>
      <c r="AM64214" s="6"/>
    </row>
    <row r="64215" spans="2:39" ht="9.9499999999999993" hidden="1" customHeight="1" x14ac:dyDescent="0.2">
      <c r="B64215" s="6"/>
      <c r="C64215" s="6"/>
      <c r="D64215" s="6"/>
      <c r="E64215" s="6"/>
      <c r="F64215" s="6"/>
      <c r="G64215" s="6"/>
      <c r="H64215" s="6"/>
      <c r="I64215" s="6"/>
      <c r="J64215" s="6"/>
      <c r="K64215" s="6"/>
      <c r="L64215" s="6"/>
      <c r="M64215" s="6"/>
      <c r="N64215" s="6"/>
      <c r="O64215" s="6"/>
      <c r="P64215" s="6"/>
      <c r="Q64215" s="6"/>
      <c r="R64215" s="6"/>
      <c r="S64215" s="6"/>
      <c r="T64215" s="6"/>
      <c r="U64215" s="6"/>
      <c r="V64215" s="6"/>
      <c r="W64215" s="6"/>
      <c r="X64215" s="6"/>
      <c r="Y64215" s="6"/>
      <c r="Z64215" s="6"/>
      <c r="AA64215" s="6"/>
      <c r="AB64215" s="6"/>
      <c r="AC64215" s="6"/>
      <c r="AD64215" s="6"/>
      <c r="AE64215" s="6"/>
      <c r="AF64215" s="6"/>
      <c r="AG64215" s="6"/>
      <c r="AH64215" s="6"/>
      <c r="AI64215" s="6"/>
      <c r="AJ64215" s="6"/>
      <c r="AK64215" s="6"/>
      <c r="AL64215" s="6"/>
      <c r="AM64215" s="6"/>
    </row>
    <row r="64216" spans="2:39" ht="9.9499999999999993" hidden="1" customHeight="1" x14ac:dyDescent="0.2">
      <c r="B64216" s="6"/>
      <c r="C64216" s="6"/>
      <c r="D64216" s="6"/>
      <c r="E64216" s="6"/>
      <c r="F64216" s="6"/>
      <c r="G64216" s="6"/>
      <c r="H64216" s="6"/>
      <c r="I64216" s="6"/>
      <c r="J64216" s="6"/>
      <c r="K64216" s="6"/>
      <c r="L64216" s="6"/>
      <c r="M64216" s="6"/>
      <c r="N64216" s="6"/>
      <c r="O64216" s="6"/>
      <c r="P64216" s="6"/>
      <c r="Q64216" s="6"/>
      <c r="R64216" s="6"/>
      <c r="S64216" s="6"/>
      <c r="T64216" s="6"/>
      <c r="U64216" s="6"/>
      <c r="V64216" s="6"/>
      <c r="W64216" s="6"/>
      <c r="X64216" s="6"/>
      <c r="Y64216" s="6"/>
      <c r="Z64216" s="6"/>
      <c r="AA64216" s="6"/>
      <c r="AB64216" s="6"/>
      <c r="AC64216" s="6"/>
      <c r="AD64216" s="6"/>
      <c r="AE64216" s="6"/>
      <c r="AF64216" s="6"/>
      <c r="AG64216" s="6"/>
      <c r="AH64216" s="6"/>
      <c r="AI64216" s="6"/>
      <c r="AJ64216" s="6"/>
      <c r="AK64216" s="6"/>
      <c r="AL64216" s="6"/>
      <c r="AM64216" s="6"/>
    </row>
    <row r="64217" spans="2:39" ht="9.9499999999999993" hidden="1" customHeight="1" x14ac:dyDescent="0.2">
      <c r="B64217" s="6"/>
      <c r="C64217" s="6"/>
      <c r="D64217" s="6"/>
      <c r="E64217" s="6"/>
      <c r="F64217" s="6"/>
      <c r="G64217" s="6"/>
      <c r="H64217" s="6"/>
      <c r="I64217" s="6"/>
      <c r="J64217" s="6"/>
      <c r="K64217" s="6"/>
      <c r="L64217" s="6"/>
      <c r="M64217" s="6"/>
      <c r="N64217" s="6"/>
      <c r="O64217" s="6"/>
      <c r="P64217" s="6"/>
      <c r="Q64217" s="6"/>
      <c r="R64217" s="6"/>
      <c r="S64217" s="6"/>
      <c r="T64217" s="6"/>
      <c r="U64217" s="6"/>
      <c r="V64217" s="6"/>
      <c r="W64217" s="6"/>
      <c r="X64217" s="6"/>
      <c r="Y64217" s="6"/>
      <c r="Z64217" s="6"/>
      <c r="AA64217" s="6"/>
      <c r="AB64217" s="6"/>
      <c r="AC64217" s="6"/>
      <c r="AD64217" s="6"/>
      <c r="AE64217" s="6"/>
      <c r="AF64217" s="6"/>
      <c r="AG64217" s="6"/>
      <c r="AH64217" s="6"/>
      <c r="AI64217" s="6"/>
      <c r="AJ64217" s="6"/>
      <c r="AK64217" s="6"/>
      <c r="AL64217" s="6"/>
      <c r="AM64217" s="6"/>
    </row>
    <row r="64218" spans="2:39" ht="9.9499999999999993" hidden="1" customHeight="1" x14ac:dyDescent="0.2">
      <c r="B64218" s="6"/>
      <c r="C64218" s="6"/>
      <c r="D64218" s="6"/>
      <c r="E64218" s="6"/>
      <c r="F64218" s="6"/>
      <c r="G64218" s="6"/>
      <c r="H64218" s="6"/>
      <c r="I64218" s="6"/>
      <c r="J64218" s="6"/>
      <c r="K64218" s="6"/>
      <c r="L64218" s="6"/>
      <c r="M64218" s="6"/>
      <c r="N64218" s="6"/>
      <c r="O64218" s="6"/>
      <c r="P64218" s="6"/>
      <c r="Q64218" s="6"/>
      <c r="R64218" s="6"/>
      <c r="S64218" s="6"/>
      <c r="T64218" s="6"/>
      <c r="U64218" s="6"/>
      <c r="V64218" s="6"/>
      <c r="W64218" s="6"/>
      <c r="X64218" s="6"/>
      <c r="Y64218" s="6"/>
      <c r="Z64218" s="6"/>
      <c r="AA64218" s="6"/>
      <c r="AB64218" s="6"/>
      <c r="AC64218" s="6"/>
      <c r="AD64218" s="6"/>
      <c r="AE64218" s="6"/>
      <c r="AF64218" s="6"/>
      <c r="AG64218" s="6"/>
      <c r="AH64218" s="6"/>
      <c r="AI64218" s="6"/>
      <c r="AJ64218" s="6"/>
      <c r="AK64218" s="6"/>
      <c r="AL64218" s="6"/>
      <c r="AM64218" s="6"/>
    </row>
    <row r="64219" spans="2:39" ht="9.9499999999999993" hidden="1" customHeight="1" x14ac:dyDescent="0.2">
      <c r="B64219" s="6"/>
      <c r="C64219" s="6"/>
      <c r="D64219" s="6"/>
      <c r="E64219" s="6"/>
      <c r="F64219" s="6"/>
      <c r="G64219" s="6"/>
      <c r="H64219" s="6"/>
      <c r="I64219" s="6"/>
      <c r="J64219" s="6"/>
      <c r="K64219" s="6"/>
      <c r="L64219" s="6"/>
      <c r="M64219" s="6"/>
      <c r="N64219" s="6"/>
      <c r="O64219" s="6"/>
      <c r="P64219" s="6"/>
      <c r="Q64219" s="6"/>
      <c r="R64219" s="6"/>
      <c r="S64219" s="6"/>
      <c r="T64219" s="6"/>
      <c r="U64219" s="6"/>
      <c r="V64219" s="6"/>
      <c r="W64219" s="6"/>
      <c r="X64219" s="6"/>
      <c r="Y64219" s="6"/>
      <c r="Z64219" s="6"/>
      <c r="AA64219" s="6"/>
      <c r="AB64219" s="6"/>
      <c r="AC64219" s="6"/>
      <c r="AD64219" s="6"/>
      <c r="AE64219" s="6"/>
      <c r="AF64219" s="6"/>
      <c r="AG64219" s="6"/>
      <c r="AH64219" s="6"/>
      <c r="AI64219" s="6"/>
      <c r="AJ64219" s="6"/>
      <c r="AK64219" s="6"/>
      <c r="AL64219" s="6"/>
      <c r="AM64219" s="6"/>
    </row>
    <row r="64220" spans="2:39" ht="9.9499999999999993" hidden="1" customHeight="1" x14ac:dyDescent="0.2">
      <c r="B64220" s="6"/>
      <c r="C64220" s="6"/>
      <c r="D64220" s="6"/>
      <c r="E64220" s="6"/>
      <c r="F64220" s="6"/>
      <c r="G64220" s="6"/>
      <c r="H64220" s="6"/>
      <c r="I64220" s="6"/>
      <c r="J64220" s="6"/>
      <c r="K64220" s="6"/>
      <c r="L64220" s="6"/>
      <c r="M64220" s="6"/>
      <c r="N64220" s="6"/>
      <c r="O64220" s="6"/>
      <c r="P64220" s="6"/>
      <c r="Q64220" s="6"/>
      <c r="R64220" s="6"/>
      <c r="S64220" s="6"/>
      <c r="T64220" s="6"/>
      <c r="U64220" s="6"/>
      <c r="V64220" s="6"/>
      <c r="W64220" s="6"/>
      <c r="X64220" s="6"/>
      <c r="Y64220" s="6"/>
      <c r="Z64220" s="6"/>
      <c r="AA64220" s="6"/>
      <c r="AB64220" s="6"/>
      <c r="AC64220" s="6"/>
      <c r="AD64220" s="6"/>
      <c r="AE64220" s="6"/>
      <c r="AF64220" s="6"/>
      <c r="AG64220" s="6"/>
      <c r="AH64220" s="6"/>
      <c r="AI64220" s="6"/>
      <c r="AJ64220" s="6"/>
      <c r="AK64220" s="6"/>
      <c r="AL64220" s="6"/>
      <c r="AM64220" s="6"/>
    </row>
    <row r="64221" spans="2:39" ht="9.9499999999999993" hidden="1" customHeight="1" x14ac:dyDescent="0.2">
      <c r="B64221" s="6"/>
      <c r="C64221" s="6"/>
      <c r="D64221" s="6"/>
      <c r="E64221" s="6"/>
      <c r="F64221" s="6"/>
      <c r="G64221" s="6"/>
      <c r="H64221" s="6"/>
      <c r="I64221" s="6"/>
      <c r="J64221" s="6"/>
      <c r="K64221" s="6"/>
      <c r="L64221" s="6"/>
      <c r="M64221" s="6"/>
      <c r="N64221" s="6"/>
      <c r="O64221" s="6"/>
      <c r="P64221" s="6"/>
      <c r="Q64221" s="6"/>
      <c r="R64221" s="6"/>
      <c r="S64221" s="6"/>
      <c r="T64221" s="6"/>
      <c r="U64221" s="6"/>
      <c r="V64221" s="6"/>
      <c r="W64221" s="6"/>
      <c r="X64221" s="6"/>
      <c r="Y64221" s="6"/>
      <c r="Z64221" s="6"/>
      <c r="AA64221" s="6"/>
      <c r="AB64221" s="6"/>
      <c r="AC64221" s="6"/>
      <c r="AD64221" s="6"/>
      <c r="AE64221" s="6"/>
      <c r="AF64221" s="6"/>
      <c r="AG64221" s="6"/>
      <c r="AH64221" s="6"/>
      <c r="AI64221" s="6"/>
      <c r="AJ64221" s="6"/>
      <c r="AK64221" s="6"/>
      <c r="AL64221" s="6"/>
      <c r="AM64221" s="6"/>
    </row>
    <row r="64222" spans="2:39" ht="9.9499999999999993" hidden="1" customHeight="1" x14ac:dyDescent="0.2">
      <c r="B64222" s="6"/>
      <c r="C64222" s="6"/>
      <c r="D64222" s="6"/>
      <c r="E64222" s="6"/>
      <c r="F64222" s="6"/>
      <c r="G64222" s="6"/>
      <c r="H64222" s="6"/>
      <c r="I64222" s="6"/>
      <c r="J64222" s="6"/>
      <c r="K64222" s="6"/>
      <c r="L64222" s="6"/>
      <c r="M64222" s="6"/>
      <c r="N64222" s="6"/>
      <c r="O64222" s="6"/>
      <c r="P64222" s="6"/>
      <c r="Q64222" s="6"/>
      <c r="R64222" s="6"/>
      <c r="S64222" s="6"/>
      <c r="T64222" s="6"/>
      <c r="U64222" s="6"/>
      <c r="V64222" s="6"/>
      <c r="W64222" s="6"/>
      <c r="X64222" s="6"/>
      <c r="Y64222" s="6"/>
      <c r="Z64222" s="6"/>
      <c r="AA64222" s="6"/>
      <c r="AB64222" s="6"/>
      <c r="AC64222" s="6"/>
      <c r="AD64222" s="6"/>
      <c r="AE64222" s="6"/>
      <c r="AF64222" s="6"/>
      <c r="AG64222" s="6"/>
      <c r="AH64222" s="6"/>
      <c r="AI64222" s="6"/>
      <c r="AJ64222" s="6"/>
      <c r="AK64222" s="6"/>
      <c r="AL64222" s="6"/>
      <c r="AM64222" s="6"/>
    </row>
    <row r="64223" spans="2:39" ht="9.9499999999999993" hidden="1" customHeight="1" x14ac:dyDescent="0.2">
      <c r="B64223" s="6"/>
      <c r="C64223" s="6"/>
      <c r="D64223" s="6"/>
      <c r="E64223" s="6"/>
      <c r="F64223" s="6"/>
      <c r="G64223" s="6"/>
      <c r="H64223" s="6"/>
      <c r="I64223" s="6"/>
      <c r="J64223" s="6"/>
      <c r="K64223" s="6"/>
      <c r="L64223" s="6"/>
      <c r="M64223" s="6"/>
      <c r="N64223" s="6"/>
      <c r="O64223" s="6"/>
      <c r="P64223" s="6"/>
      <c r="Q64223" s="6"/>
      <c r="R64223" s="6"/>
      <c r="S64223" s="6"/>
      <c r="T64223" s="6"/>
      <c r="U64223" s="6"/>
      <c r="V64223" s="6"/>
      <c r="W64223" s="6"/>
      <c r="X64223" s="6"/>
      <c r="Y64223" s="6"/>
      <c r="Z64223" s="6"/>
      <c r="AA64223" s="6"/>
      <c r="AB64223" s="6"/>
      <c r="AC64223" s="6"/>
      <c r="AD64223" s="6"/>
      <c r="AE64223" s="6"/>
      <c r="AF64223" s="6"/>
      <c r="AG64223" s="6"/>
      <c r="AH64223" s="6"/>
      <c r="AI64223" s="6"/>
      <c r="AJ64223" s="6"/>
      <c r="AK64223" s="6"/>
      <c r="AL64223" s="6"/>
      <c r="AM64223" s="6"/>
    </row>
    <row r="64224" spans="2:39" ht="9.9499999999999993" hidden="1" customHeight="1" x14ac:dyDescent="0.2">
      <c r="B64224" s="6"/>
      <c r="C64224" s="6"/>
      <c r="D64224" s="6"/>
      <c r="E64224" s="6"/>
      <c r="F64224" s="6"/>
      <c r="G64224" s="6"/>
      <c r="H64224" s="6"/>
      <c r="I64224" s="6"/>
      <c r="J64224" s="6"/>
      <c r="K64224" s="6"/>
      <c r="L64224" s="6"/>
      <c r="M64224" s="6"/>
      <c r="N64224" s="6"/>
      <c r="O64224" s="6"/>
      <c r="P64224" s="6"/>
      <c r="Q64224" s="6"/>
      <c r="R64224" s="6"/>
      <c r="S64224" s="6"/>
      <c r="T64224" s="6"/>
      <c r="U64224" s="6"/>
      <c r="V64224" s="6"/>
      <c r="W64224" s="6"/>
      <c r="X64224" s="6"/>
      <c r="Y64224" s="6"/>
      <c r="Z64224" s="6"/>
      <c r="AA64224" s="6"/>
      <c r="AB64224" s="6"/>
      <c r="AC64224" s="6"/>
      <c r="AD64224" s="6"/>
      <c r="AE64224" s="6"/>
      <c r="AF64224" s="6"/>
      <c r="AG64224" s="6"/>
      <c r="AH64224" s="6"/>
      <c r="AI64224" s="6"/>
      <c r="AJ64224" s="6"/>
      <c r="AK64224" s="6"/>
      <c r="AL64224" s="6"/>
      <c r="AM64224" s="6"/>
    </row>
    <row r="64225" spans="2:39" ht="9.9499999999999993" hidden="1" customHeight="1" x14ac:dyDescent="0.2">
      <c r="B64225" s="6"/>
      <c r="C64225" s="6"/>
      <c r="D64225" s="6"/>
      <c r="E64225" s="6"/>
      <c r="F64225" s="6"/>
      <c r="G64225" s="6"/>
      <c r="H64225" s="6"/>
      <c r="I64225" s="6"/>
      <c r="J64225" s="6"/>
      <c r="K64225" s="6"/>
      <c r="L64225" s="6"/>
      <c r="M64225" s="6"/>
      <c r="N64225" s="6"/>
      <c r="O64225" s="6"/>
      <c r="P64225" s="6"/>
      <c r="Q64225" s="6"/>
      <c r="R64225" s="6"/>
      <c r="S64225" s="6"/>
      <c r="T64225" s="6"/>
      <c r="U64225" s="6"/>
      <c r="V64225" s="6"/>
      <c r="W64225" s="6"/>
      <c r="X64225" s="6"/>
      <c r="Y64225" s="6"/>
      <c r="Z64225" s="6"/>
      <c r="AA64225" s="6"/>
      <c r="AB64225" s="6"/>
      <c r="AC64225" s="6"/>
      <c r="AD64225" s="6"/>
      <c r="AE64225" s="6"/>
      <c r="AF64225" s="6"/>
      <c r="AG64225" s="6"/>
      <c r="AH64225" s="6"/>
      <c r="AI64225" s="6"/>
      <c r="AJ64225" s="6"/>
      <c r="AK64225" s="6"/>
      <c r="AL64225" s="6"/>
      <c r="AM64225" s="6"/>
    </row>
    <row r="64226" spans="2:39" ht="9.9499999999999993" hidden="1" customHeight="1" x14ac:dyDescent="0.2">
      <c r="B64226" s="6"/>
      <c r="C64226" s="6"/>
      <c r="D64226" s="6"/>
      <c r="E64226" s="6"/>
      <c r="F64226" s="6"/>
      <c r="G64226" s="6"/>
      <c r="H64226" s="6"/>
      <c r="I64226" s="6"/>
      <c r="J64226" s="6"/>
      <c r="K64226" s="6"/>
      <c r="L64226" s="6"/>
      <c r="M64226" s="6"/>
      <c r="N64226" s="6"/>
      <c r="O64226" s="6"/>
      <c r="P64226" s="6"/>
      <c r="Q64226" s="6"/>
      <c r="R64226" s="6"/>
      <c r="S64226" s="6"/>
      <c r="T64226" s="6"/>
      <c r="U64226" s="6"/>
      <c r="V64226" s="6"/>
      <c r="W64226" s="6"/>
      <c r="X64226" s="6"/>
      <c r="Y64226" s="6"/>
      <c r="Z64226" s="6"/>
      <c r="AA64226" s="6"/>
      <c r="AB64226" s="6"/>
      <c r="AC64226" s="6"/>
      <c r="AD64226" s="6"/>
      <c r="AE64226" s="6"/>
      <c r="AF64226" s="6"/>
      <c r="AG64226" s="6"/>
      <c r="AH64226" s="6"/>
      <c r="AI64226" s="6"/>
      <c r="AJ64226" s="6"/>
      <c r="AK64226" s="6"/>
      <c r="AL64226" s="6"/>
      <c r="AM64226" s="6"/>
    </row>
    <row r="64227" spans="2:39" ht="9.9499999999999993" hidden="1" customHeight="1" x14ac:dyDescent="0.2">
      <c r="B64227" s="6"/>
      <c r="C64227" s="6"/>
      <c r="D64227" s="6"/>
      <c r="E64227" s="6"/>
      <c r="F64227" s="6"/>
      <c r="G64227" s="6"/>
      <c r="H64227" s="6"/>
      <c r="I64227" s="6"/>
      <c r="J64227" s="6"/>
      <c r="K64227" s="6"/>
      <c r="L64227" s="6"/>
      <c r="M64227" s="6"/>
      <c r="N64227" s="6"/>
      <c r="O64227" s="6"/>
      <c r="P64227" s="6"/>
      <c r="Q64227" s="6"/>
      <c r="R64227" s="6"/>
      <c r="S64227" s="6"/>
      <c r="T64227" s="6"/>
      <c r="U64227" s="6"/>
      <c r="V64227" s="6"/>
      <c r="W64227" s="6"/>
      <c r="X64227" s="6"/>
      <c r="Y64227" s="6"/>
      <c r="Z64227" s="6"/>
      <c r="AA64227" s="6"/>
      <c r="AB64227" s="6"/>
      <c r="AC64227" s="6"/>
      <c r="AD64227" s="6"/>
      <c r="AE64227" s="6"/>
      <c r="AF64227" s="6"/>
      <c r="AG64227" s="6"/>
      <c r="AH64227" s="6"/>
      <c r="AI64227" s="6"/>
      <c r="AJ64227" s="6"/>
      <c r="AK64227" s="6"/>
      <c r="AL64227" s="6"/>
      <c r="AM64227" s="6"/>
    </row>
    <row r="64228" spans="2:39" ht="9.9499999999999993" hidden="1" customHeight="1" x14ac:dyDescent="0.2">
      <c r="B64228" s="6"/>
      <c r="C64228" s="6"/>
      <c r="D64228" s="6"/>
      <c r="E64228" s="6"/>
      <c r="F64228" s="6"/>
      <c r="G64228" s="6"/>
      <c r="H64228" s="6"/>
      <c r="I64228" s="6"/>
      <c r="J64228" s="6"/>
      <c r="K64228" s="6"/>
      <c r="L64228" s="6"/>
      <c r="M64228" s="6"/>
      <c r="N64228" s="6"/>
      <c r="O64228" s="6"/>
      <c r="P64228" s="6"/>
      <c r="Q64228" s="6"/>
      <c r="R64228" s="6"/>
      <c r="S64228" s="6"/>
      <c r="T64228" s="6"/>
      <c r="U64228" s="6"/>
      <c r="V64228" s="6"/>
      <c r="W64228" s="6"/>
      <c r="X64228" s="6"/>
      <c r="Y64228" s="6"/>
      <c r="Z64228" s="6"/>
      <c r="AA64228" s="6"/>
      <c r="AB64228" s="6"/>
      <c r="AC64228" s="6"/>
      <c r="AD64228" s="6"/>
      <c r="AE64228" s="6"/>
      <c r="AF64228" s="6"/>
      <c r="AG64228" s="6"/>
      <c r="AH64228" s="6"/>
      <c r="AI64228" s="6"/>
      <c r="AJ64228" s="6"/>
      <c r="AK64228" s="6"/>
      <c r="AL64228" s="6"/>
      <c r="AM64228" s="6"/>
    </row>
    <row r="64229" spans="2:39" ht="9.9499999999999993" hidden="1" customHeight="1" x14ac:dyDescent="0.2">
      <c r="B64229" s="6"/>
      <c r="C64229" s="6"/>
      <c r="D64229" s="6"/>
      <c r="E64229" s="6"/>
      <c r="F64229" s="6"/>
      <c r="G64229" s="6"/>
      <c r="H64229" s="6"/>
      <c r="I64229" s="6"/>
      <c r="J64229" s="6"/>
      <c r="K64229" s="6"/>
      <c r="L64229" s="6"/>
      <c r="M64229" s="6"/>
      <c r="N64229" s="6"/>
      <c r="O64229" s="6"/>
      <c r="P64229" s="6"/>
      <c r="Q64229" s="6"/>
      <c r="R64229" s="6"/>
      <c r="S64229" s="6"/>
      <c r="T64229" s="6"/>
      <c r="U64229" s="6"/>
      <c r="V64229" s="6"/>
      <c r="W64229" s="6"/>
      <c r="X64229" s="6"/>
      <c r="Y64229" s="6"/>
      <c r="Z64229" s="6"/>
      <c r="AA64229" s="6"/>
      <c r="AB64229" s="6"/>
      <c r="AC64229" s="6"/>
      <c r="AD64229" s="6"/>
      <c r="AE64229" s="6"/>
      <c r="AF64229" s="6"/>
      <c r="AG64229" s="6"/>
      <c r="AH64229" s="6"/>
      <c r="AI64229" s="6"/>
      <c r="AJ64229" s="6"/>
      <c r="AK64229" s="6"/>
      <c r="AL64229" s="6"/>
      <c r="AM64229" s="6"/>
    </row>
    <row r="64230" spans="2:39" ht="9.9499999999999993" hidden="1" customHeight="1" x14ac:dyDescent="0.2">
      <c r="B64230" s="6"/>
      <c r="C64230" s="6"/>
      <c r="D64230" s="6"/>
      <c r="E64230" s="6"/>
      <c r="F64230" s="6"/>
      <c r="G64230" s="6"/>
      <c r="H64230" s="6"/>
      <c r="I64230" s="6"/>
      <c r="J64230" s="6"/>
      <c r="K64230" s="6"/>
      <c r="L64230" s="6"/>
      <c r="M64230" s="6"/>
      <c r="N64230" s="6"/>
      <c r="O64230" s="6"/>
      <c r="P64230" s="6"/>
      <c r="Q64230" s="6"/>
      <c r="R64230" s="6"/>
      <c r="S64230" s="6"/>
      <c r="T64230" s="6"/>
      <c r="U64230" s="6"/>
      <c r="V64230" s="6"/>
      <c r="W64230" s="6"/>
      <c r="X64230" s="6"/>
      <c r="Y64230" s="6"/>
      <c r="Z64230" s="6"/>
      <c r="AA64230" s="6"/>
      <c r="AB64230" s="6"/>
      <c r="AC64230" s="6"/>
      <c r="AD64230" s="6"/>
      <c r="AE64230" s="6"/>
      <c r="AF64230" s="6"/>
      <c r="AG64230" s="6"/>
      <c r="AH64230" s="6"/>
      <c r="AI64230" s="6"/>
      <c r="AJ64230" s="6"/>
      <c r="AK64230" s="6"/>
      <c r="AL64230" s="6"/>
      <c r="AM64230" s="6"/>
    </row>
    <row r="64231" spans="2:39" ht="9.9499999999999993" hidden="1" customHeight="1" x14ac:dyDescent="0.2">
      <c r="B64231" s="6"/>
      <c r="C64231" s="6"/>
      <c r="D64231" s="6"/>
      <c r="E64231" s="6"/>
      <c r="F64231" s="6"/>
      <c r="G64231" s="6"/>
      <c r="H64231" s="6"/>
      <c r="I64231" s="6"/>
      <c r="J64231" s="6"/>
      <c r="K64231" s="6"/>
      <c r="L64231" s="6"/>
      <c r="M64231" s="6"/>
      <c r="N64231" s="6"/>
      <c r="O64231" s="6"/>
      <c r="P64231" s="6"/>
      <c r="Q64231" s="6"/>
      <c r="R64231" s="6"/>
      <c r="S64231" s="6"/>
      <c r="T64231" s="6"/>
      <c r="U64231" s="6"/>
      <c r="V64231" s="6"/>
      <c r="W64231" s="6"/>
      <c r="X64231" s="6"/>
      <c r="Y64231" s="6"/>
      <c r="Z64231" s="6"/>
      <c r="AA64231" s="6"/>
      <c r="AB64231" s="6"/>
      <c r="AC64231" s="6"/>
      <c r="AD64231" s="6"/>
      <c r="AE64231" s="6"/>
      <c r="AF64231" s="6"/>
      <c r="AG64231" s="6"/>
      <c r="AH64231" s="6"/>
      <c r="AI64231" s="6"/>
      <c r="AJ64231" s="6"/>
      <c r="AK64231" s="6"/>
      <c r="AL64231" s="6"/>
      <c r="AM64231" s="6"/>
    </row>
    <row r="64232" spans="2:39" ht="9.9499999999999993" hidden="1" customHeight="1" x14ac:dyDescent="0.2">
      <c r="B64232" s="6"/>
      <c r="C64232" s="6"/>
      <c r="D64232" s="6"/>
      <c r="E64232" s="6"/>
      <c r="F64232" s="6"/>
      <c r="G64232" s="6"/>
      <c r="H64232" s="6"/>
      <c r="I64232" s="6"/>
      <c r="J64232" s="6"/>
      <c r="K64232" s="6"/>
      <c r="L64232" s="6"/>
      <c r="M64232" s="6"/>
      <c r="N64232" s="6"/>
      <c r="O64232" s="6"/>
      <c r="P64232" s="6"/>
      <c r="Q64232" s="6"/>
      <c r="R64232" s="6"/>
      <c r="S64232" s="6"/>
      <c r="T64232" s="6"/>
      <c r="U64232" s="6"/>
      <c r="V64232" s="6"/>
      <c r="W64232" s="6"/>
      <c r="X64232" s="6"/>
      <c r="Y64232" s="6"/>
      <c r="Z64232" s="6"/>
      <c r="AA64232" s="6"/>
      <c r="AB64232" s="6"/>
      <c r="AC64232" s="6"/>
      <c r="AD64232" s="6"/>
      <c r="AE64232" s="6"/>
      <c r="AF64232" s="6"/>
      <c r="AG64232" s="6"/>
      <c r="AH64232" s="6"/>
      <c r="AI64232" s="6"/>
      <c r="AJ64232" s="6"/>
      <c r="AK64232" s="6"/>
      <c r="AL64232" s="6"/>
      <c r="AM64232" s="6"/>
    </row>
    <row r="64233" spans="2:39" ht="9.9499999999999993" hidden="1" customHeight="1" x14ac:dyDescent="0.2">
      <c r="B64233" s="6"/>
      <c r="C64233" s="6"/>
      <c r="D64233" s="6"/>
      <c r="E64233" s="6"/>
      <c r="F64233" s="6"/>
      <c r="G64233" s="6"/>
      <c r="H64233" s="6"/>
      <c r="I64233" s="6"/>
      <c r="J64233" s="6"/>
      <c r="K64233" s="6"/>
      <c r="L64233" s="6"/>
      <c r="M64233" s="6"/>
      <c r="N64233" s="6"/>
      <c r="O64233" s="6"/>
      <c r="P64233" s="6"/>
      <c r="Q64233" s="6"/>
      <c r="R64233" s="6"/>
      <c r="S64233" s="6"/>
      <c r="T64233" s="6"/>
      <c r="U64233" s="6"/>
      <c r="V64233" s="6"/>
      <c r="W64233" s="6"/>
      <c r="X64233" s="6"/>
      <c r="Y64233" s="6"/>
      <c r="Z64233" s="6"/>
      <c r="AA64233" s="6"/>
      <c r="AB64233" s="6"/>
      <c r="AC64233" s="6"/>
      <c r="AD64233" s="6"/>
      <c r="AE64233" s="6"/>
      <c r="AF64233" s="6"/>
      <c r="AG64233" s="6"/>
      <c r="AH64233" s="6"/>
      <c r="AI64233" s="6"/>
      <c r="AJ64233" s="6"/>
      <c r="AK64233" s="6"/>
      <c r="AL64233" s="6"/>
      <c r="AM64233" s="6"/>
    </row>
    <row r="64234" spans="2:39" ht="9.9499999999999993" hidden="1" customHeight="1" x14ac:dyDescent="0.2">
      <c r="B64234" s="6"/>
      <c r="C64234" s="6"/>
      <c r="D64234" s="6"/>
      <c r="E64234" s="6"/>
      <c r="F64234" s="6"/>
      <c r="G64234" s="6"/>
      <c r="H64234" s="6"/>
      <c r="I64234" s="6"/>
      <c r="J64234" s="6"/>
      <c r="K64234" s="6"/>
      <c r="L64234" s="6"/>
      <c r="M64234" s="6"/>
      <c r="N64234" s="6"/>
      <c r="O64234" s="6"/>
      <c r="P64234" s="6"/>
      <c r="Q64234" s="6"/>
      <c r="R64234" s="6"/>
      <c r="S64234" s="6"/>
      <c r="T64234" s="6"/>
      <c r="U64234" s="6"/>
      <c r="V64234" s="6"/>
      <c r="W64234" s="6"/>
      <c r="X64234" s="6"/>
      <c r="Y64234" s="6"/>
      <c r="Z64234" s="6"/>
      <c r="AA64234" s="6"/>
      <c r="AB64234" s="6"/>
      <c r="AC64234" s="6"/>
      <c r="AD64234" s="6"/>
      <c r="AE64234" s="6"/>
      <c r="AF64234" s="6"/>
      <c r="AG64234" s="6"/>
      <c r="AH64234" s="6"/>
      <c r="AI64234" s="6"/>
      <c r="AJ64234" s="6"/>
      <c r="AK64234" s="6"/>
      <c r="AL64234" s="6"/>
      <c r="AM64234" s="6"/>
    </row>
    <row r="64235" spans="2:39" ht="9.9499999999999993" hidden="1" customHeight="1" x14ac:dyDescent="0.2">
      <c r="B64235" s="6"/>
      <c r="C64235" s="6"/>
      <c r="D64235" s="6"/>
      <c r="E64235" s="6"/>
      <c r="F64235" s="6"/>
      <c r="G64235" s="6"/>
      <c r="H64235" s="6"/>
      <c r="I64235" s="6"/>
      <c r="J64235" s="6"/>
      <c r="K64235" s="6"/>
      <c r="L64235" s="6"/>
      <c r="M64235" s="6"/>
      <c r="N64235" s="6"/>
      <c r="O64235" s="6"/>
      <c r="P64235" s="6"/>
      <c r="Q64235" s="6"/>
      <c r="R64235" s="6"/>
      <c r="S64235" s="6"/>
      <c r="T64235" s="6"/>
      <c r="U64235" s="6"/>
      <c r="V64235" s="6"/>
      <c r="W64235" s="6"/>
      <c r="X64235" s="6"/>
      <c r="Y64235" s="6"/>
      <c r="Z64235" s="6"/>
      <c r="AA64235" s="6"/>
      <c r="AB64235" s="6"/>
      <c r="AC64235" s="6"/>
      <c r="AD64235" s="6"/>
      <c r="AE64235" s="6"/>
      <c r="AF64235" s="6"/>
      <c r="AG64235" s="6"/>
      <c r="AH64235" s="6"/>
      <c r="AI64235" s="6"/>
      <c r="AJ64235" s="6"/>
      <c r="AK64235" s="6"/>
      <c r="AL64235" s="6"/>
      <c r="AM64235" s="6"/>
    </row>
    <row r="64236" spans="2:39" ht="9.9499999999999993" hidden="1" customHeight="1" x14ac:dyDescent="0.2">
      <c r="B64236" s="6"/>
      <c r="C64236" s="6"/>
      <c r="D64236" s="6"/>
      <c r="E64236" s="6"/>
      <c r="F64236" s="6"/>
      <c r="G64236" s="6"/>
      <c r="H64236" s="6"/>
      <c r="I64236" s="6"/>
      <c r="J64236" s="6"/>
      <c r="K64236" s="6"/>
      <c r="L64236" s="6"/>
      <c r="M64236" s="6"/>
      <c r="N64236" s="6"/>
      <c r="O64236" s="6"/>
      <c r="P64236" s="6"/>
      <c r="Q64236" s="6"/>
      <c r="R64236" s="6"/>
      <c r="S64236" s="6"/>
      <c r="T64236" s="6"/>
      <c r="U64236" s="6"/>
      <c r="V64236" s="6"/>
      <c r="W64236" s="6"/>
      <c r="X64236" s="6"/>
      <c r="Y64236" s="6"/>
      <c r="Z64236" s="6"/>
      <c r="AA64236" s="6"/>
      <c r="AB64236" s="6"/>
      <c r="AC64236" s="6"/>
      <c r="AD64236" s="6"/>
      <c r="AE64236" s="6"/>
      <c r="AF64236" s="6"/>
      <c r="AG64236" s="6"/>
      <c r="AH64236" s="6"/>
      <c r="AI64236" s="6"/>
      <c r="AJ64236" s="6"/>
      <c r="AK64236" s="6"/>
      <c r="AL64236" s="6"/>
      <c r="AM64236" s="6"/>
    </row>
    <row r="64237" spans="2:39" ht="9.9499999999999993" hidden="1" customHeight="1" x14ac:dyDescent="0.2">
      <c r="B64237" s="6"/>
      <c r="C64237" s="6"/>
      <c r="D64237" s="6"/>
      <c r="E64237" s="6"/>
      <c r="F64237" s="6"/>
      <c r="G64237" s="6"/>
      <c r="H64237" s="6"/>
      <c r="I64237" s="6"/>
      <c r="J64237" s="6"/>
      <c r="K64237" s="6"/>
      <c r="L64237" s="6"/>
      <c r="M64237" s="6"/>
      <c r="N64237" s="6"/>
      <c r="O64237" s="6"/>
      <c r="P64237" s="6"/>
      <c r="Q64237" s="6"/>
      <c r="R64237" s="6"/>
      <c r="S64237" s="6"/>
      <c r="T64237" s="6"/>
      <c r="U64237" s="6"/>
      <c r="V64237" s="6"/>
      <c r="W64237" s="6"/>
      <c r="X64237" s="6"/>
      <c r="Y64237" s="6"/>
      <c r="Z64237" s="6"/>
      <c r="AA64237" s="6"/>
      <c r="AB64237" s="6"/>
      <c r="AC64237" s="6"/>
      <c r="AD64237" s="6"/>
      <c r="AE64237" s="6"/>
      <c r="AF64237" s="6"/>
      <c r="AG64237" s="6"/>
      <c r="AH64237" s="6"/>
      <c r="AI64237" s="6"/>
      <c r="AJ64237" s="6"/>
      <c r="AK64237" s="6"/>
      <c r="AL64237" s="6"/>
      <c r="AM64237" s="6"/>
    </row>
    <row r="64238" spans="2:39" ht="9.9499999999999993" hidden="1" customHeight="1" x14ac:dyDescent="0.2">
      <c r="B64238" s="6"/>
      <c r="C64238" s="6"/>
      <c r="D64238" s="6"/>
      <c r="E64238" s="6"/>
      <c r="F64238" s="6"/>
      <c r="G64238" s="6"/>
      <c r="H64238" s="6"/>
      <c r="I64238" s="6"/>
      <c r="J64238" s="6"/>
      <c r="K64238" s="6"/>
      <c r="L64238" s="6"/>
      <c r="M64238" s="6"/>
      <c r="N64238" s="6"/>
      <c r="O64238" s="6"/>
      <c r="P64238" s="6"/>
      <c r="Q64238" s="6"/>
      <c r="R64238" s="6"/>
      <c r="S64238" s="6"/>
      <c r="T64238" s="6"/>
      <c r="U64238" s="6"/>
      <c r="V64238" s="6"/>
      <c r="W64238" s="6"/>
      <c r="X64238" s="6"/>
      <c r="Y64238" s="6"/>
      <c r="Z64238" s="6"/>
      <c r="AA64238" s="6"/>
      <c r="AB64238" s="6"/>
      <c r="AC64238" s="6"/>
      <c r="AD64238" s="6"/>
      <c r="AE64238" s="6"/>
      <c r="AF64238" s="6"/>
      <c r="AG64238" s="6"/>
      <c r="AH64238" s="6"/>
      <c r="AI64238" s="6"/>
      <c r="AJ64238" s="6"/>
      <c r="AK64238" s="6"/>
      <c r="AL64238" s="6"/>
      <c r="AM64238" s="6"/>
    </row>
    <row r="64239" spans="2:39" ht="9.9499999999999993" hidden="1" customHeight="1" x14ac:dyDescent="0.2">
      <c r="B64239" s="6"/>
      <c r="C64239" s="6"/>
      <c r="D64239" s="6"/>
      <c r="E64239" s="6"/>
      <c r="F64239" s="6"/>
      <c r="G64239" s="6"/>
      <c r="H64239" s="6"/>
      <c r="I64239" s="6"/>
      <c r="J64239" s="6"/>
      <c r="K64239" s="6"/>
      <c r="L64239" s="6"/>
      <c r="M64239" s="6"/>
      <c r="N64239" s="6"/>
      <c r="O64239" s="6"/>
      <c r="P64239" s="6"/>
      <c r="Q64239" s="6"/>
      <c r="R64239" s="6"/>
      <c r="S64239" s="6"/>
      <c r="T64239" s="6"/>
      <c r="U64239" s="6"/>
      <c r="V64239" s="6"/>
      <c r="W64239" s="6"/>
      <c r="X64239" s="6"/>
      <c r="Y64239" s="6"/>
      <c r="Z64239" s="6"/>
      <c r="AA64239" s="6"/>
      <c r="AB64239" s="6"/>
      <c r="AC64239" s="6"/>
      <c r="AD64239" s="6"/>
      <c r="AE64239" s="6"/>
      <c r="AF64239" s="6"/>
      <c r="AG64239" s="6"/>
      <c r="AH64239" s="6"/>
      <c r="AI64239" s="6"/>
      <c r="AJ64239" s="6"/>
      <c r="AK64239" s="6"/>
      <c r="AL64239" s="6"/>
      <c r="AM64239" s="6"/>
    </row>
    <row r="64240" spans="2:39" ht="9.9499999999999993" hidden="1" customHeight="1" x14ac:dyDescent="0.2">
      <c r="B64240" s="6"/>
      <c r="C64240" s="6"/>
      <c r="D64240" s="6"/>
      <c r="E64240" s="6"/>
      <c r="F64240" s="6"/>
      <c r="G64240" s="6"/>
      <c r="H64240" s="6"/>
      <c r="I64240" s="6"/>
      <c r="J64240" s="6"/>
      <c r="K64240" s="6"/>
      <c r="L64240" s="6"/>
      <c r="M64240" s="6"/>
      <c r="N64240" s="6"/>
      <c r="O64240" s="6"/>
      <c r="P64240" s="6"/>
      <c r="Q64240" s="6"/>
      <c r="R64240" s="6"/>
      <c r="S64240" s="6"/>
      <c r="T64240" s="6"/>
      <c r="U64240" s="6"/>
      <c r="V64240" s="6"/>
      <c r="W64240" s="6"/>
      <c r="X64240" s="6"/>
      <c r="Y64240" s="6"/>
      <c r="Z64240" s="6"/>
      <c r="AA64240" s="6"/>
      <c r="AB64240" s="6"/>
      <c r="AC64240" s="6"/>
      <c r="AD64240" s="6"/>
      <c r="AE64240" s="6"/>
      <c r="AF64240" s="6"/>
      <c r="AG64240" s="6"/>
      <c r="AH64240" s="6"/>
      <c r="AI64240" s="6"/>
      <c r="AJ64240" s="6"/>
      <c r="AK64240" s="6"/>
      <c r="AL64240" s="6"/>
      <c r="AM64240" s="6"/>
    </row>
    <row r="64241" spans="2:39" ht="9.9499999999999993" hidden="1" customHeight="1" x14ac:dyDescent="0.2">
      <c r="B64241" s="6"/>
      <c r="C64241" s="6"/>
      <c r="D64241" s="6"/>
      <c r="E64241" s="6"/>
      <c r="F64241" s="6"/>
      <c r="G64241" s="6"/>
      <c r="H64241" s="6"/>
      <c r="I64241" s="6"/>
      <c r="J64241" s="6"/>
      <c r="K64241" s="6"/>
      <c r="L64241" s="6"/>
      <c r="M64241" s="6"/>
      <c r="N64241" s="6"/>
      <c r="O64241" s="6"/>
      <c r="P64241" s="6"/>
      <c r="Q64241" s="6"/>
      <c r="R64241" s="6"/>
      <c r="S64241" s="6"/>
      <c r="T64241" s="6"/>
      <c r="U64241" s="6"/>
      <c r="V64241" s="6"/>
      <c r="W64241" s="6"/>
      <c r="X64241" s="6"/>
      <c r="Y64241" s="6"/>
      <c r="Z64241" s="6"/>
      <c r="AA64241" s="6"/>
      <c r="AB64241" s="6"/>
      <c r="AC64241" s="6"/>
      <c r="AD64241" s="6"/>
      <c r="AE64241" s="6"/>
      <c r="AF64241" s="6"/>
      <c r="AG64241" s="6"/>
      <c r="AH64241" s="6"/>
      <c r="AI64241" s="6"/>
      <c r="AJ64241" s="6"/>
      <c r="AK64241" s="6"/>
      <c r="AL64241" s="6"/>
      <c r="AM64241" s="6"/>
    </row>
    <row r="64242" spans="2:39" ht="9.9499999999999993" hidden="1" customHeight="1" x14ac:dyDescent="0.2">
      <c r="B64242" s="6"/>
      <c r="C64242" s="6"/>
      <c r="D64242" s="6"/>
      <c r="E64242" s="6"/>
      <c r="F64242" s="6"/>
      <c r="G64242" s="6"/>
      <c r="H64242" s="6"/>
      <c r="I64242" s="6"/>
      <c r="J64242" s="6"/>
      <c r="K64242" s="6"/>
      <c r="L64242" s="6"/>
      <c r="M64242" s="6"/>
      <c r="N64242" s="6"/>
      <c r="O64242" s="6"/>
      <c r="P64242" s="6"/>
      <c r="Q64242" s="6"/>
      <c r="R64242" s="6"/>
      <c r="S64242" s="6"/>
      <c r="T64242" s="6"/>
      <c r="U64242" s="6"/>
      <c r="V64242" s="6"/>
      <c r="W64242" s="6"/>
      <c r="X64242" s="6"/>
      <c r="Y64242" s="6"/>
      <c r="Z64242" s="6"/>
      <c r="AA64242" s="6"/>
      <c r="AB64242" s="6"/>
      <c r="AC64242" s="6"/>
      <c r="AD64242" s="6"/>
      <c r="AE64242" s="6"/>
      <c r="AF64242" s="6"/>
      <c r="AG64242" s="6"/>
      <c r="AH64242" s="6"/>
      <c r="AI64242" s="6"/>
      <c r="AJ64242" s="6"/>
      <c r="AK64242" s="6"/>
      <c r="AL64242" s="6"/>
      <c r="AM64242" s="6"/>
    </row>
    <row r="64243" spans="2:39" ht="9.9499999999999993" hidden="1" customHeight="1" x14ac:dyDescent="0.2">
      <c r="B64243" s="6"/>
      <c r="C64243" s="6"/>
      <c r="D64243" s="6"/>
      <c r="E64243" s="6"/>
      <c r="F64243" s="6"/>
      <c r="G64243" s="6"/>
      <c r="H64243" s="6"/>
      <c r="I64243" s="6"/>
      <c r="J64243" s="6"/>
      <c r="K64243" s="6"/>
      <c r="L64243" s="6"/>
      <c r="M64243" s="6"/>
      <c r="N64243" s="6"/>
      <c r="O64243" s="6"/>
      <c r="P64243" s="6"/>
      <c r="Q64243" s="6"/>
      <c r="R64243" s="6"/>
      <c r="S64243" s="6"/>
      <c r="T64243" s="6"/>
      <c r="U64243" s="6"/>
      <c r="V64243" s="6"/>
      <c r="W64243" s="6"/>
      <c r="X64243" s="6"/>
      <c r="Y64243" s="6"/>
      <c r="Z64243" s="6"/>
      <c r="AA64243" s="6"/>
      <c r="AB64243" s="6"/>
      <c r="AC64243" s="6"/>
      <c r="AD64243" s="6"/>
      <c r="AE64243" s="6"/>
      <c r="AF64243" s="6"/>
      <c r="AG64243" s="6"/>
      <c r="AH64243" s="6"/>
      <c r="AI64243" s="6"/>
      <c r="AJ64243" s="6"/>
      <c r="AK64243" s="6"/>
      <c r="AL64243" s="6"/>
      <c r="AM64243" s="6"/>
    </row>
    <row r="64244" spans="2:39" ht="9.9499999999999993" hidden="1" customHeight="1" x14ac:dyDescent="0.2">
      <c r="B64244" s="6"/>
      <c r="C64244" s="6"/>
      <c r="D64244" s="6"/>
      <c r="E64244" s="6"/>
      <c r="F64244" s="6"/>
      <c r="G64244" s="6"/>
      <c r="H64244" s="6"/>
      <c r="I64244" s="6"/>
      <c r="J64244" s="6"/>
      <c r="K64244" s="6"/>
      <c r="L64244" s="6"/>
      <c r="M64244" s="6"/>
      <c r="N64244" s="6"/>
      <c r="O64244" s="6"/>
      <c r="P64244" s="6"/>
      <c r="Q64244" s="6"/>
      <c r="R64244" s="6"/>
      <c r="S64244" s="6"/>
      <c r="T64244" s="6"/>
      <c r="U64244" s="6"/>
      <c r="V64244" s="6"/>
      <c r="W64244" s="6"/>
      <c r="X64244" s="6"/>
      <c r="Y64244" s="6"/>
      <c r="Z64244" s="6"/>
      <c r="AA64244" s="6"/>
      <c r="AB64244" s="6"/>
      <c r="AC64244" s="6"/>
      <c r="AD64244" s="6"/>
      <c r="AE64244" s="6"/>
      <c r="AF64244" s="6"/>
      <c r="AG64244" s="6"/>
      <c r="AH64244" s="6"/>
      <c r="AI64244" s="6"/>
      <c r="AJ64244" s="6"/>
      <c r="AK64244" s="6"/>
      <c r="AL64244" s="6"/>
      <c r="AM64244" s="6"/>
    </row>
    <row r="64245" spans="2:39" ht="9.9499999999999993" hidden="1" customHeight="1" x14ac:dyDescent="0.2">
      <c r="B64245" s="6"/>
      <c r="C64245" s="6"/>
      <c r="D64245" s="6"/>
      <c r="E64245" s="6"/>
      <c r="F64245" s="6"/>
      <c r="G64245" s="6"/>
      <c r="H64245" s="6"/>
      <c r="I64245" s="6"/>
      <c r="J64245" s="6"/>
      <c r="K64245" s="6"/>
      <c r="L64245" s="6"/>
      <c r="M64245" s="6"/>
      <c r="N64245" s="6"/>
      <c r="O64245" s="6"/>
      <c r="P64245" s="6"/>
      <c r="Q64245" s="6"/>
      <c r="R64245" s="6"/>
      <c r="S64245" s="6"/>
      <c r="T64245" s="6"/>
      <c r="U64245" s="6"/>
      <c r="V64245" s="6"/>
      <c r="W64245" s="6"/>
      <c r="X64245" s="6"/>
      <c r="Y64245" s="6"/>
      <c r="Z64245" s="6"/>
      <c r="AA64245" s="6"/>
      <c r="AB64245" s="6"/>
      <c r="AC64245" s="6"/>
      <c r="AD64245" s="6"/>
      <c r="AE64245" s="6"/>
      <c r="AF64245" s="6"/>
      <c r="AG64245" s="6"/>
      <c r="AH64245" s="6"/>
      <c r="AI64245" s="6"/>
      <c r="AJ64245" s="6"/>
      <c r="AK64245" s="6"/>
      <c r="AL64245" s="6"/>
      <c r="AM64245" s="6"/>
    </row>
    <row r="64246" spans="2:39" ht="9.9499999999999993" hidden="1" customHeight="1" x14ac:dyDescent="0.2">
      <c r="B64246" s="6"/>
      <c r="C64246" s="6"/>
      <c r="D64246" s="6"/>
      <c r="E64246" s="6"/>
      <c r="F64246" s="6"/>
      <c r="G64246" s="6"/>
      <c r="H64246" s="6"/>
      <c r="I64246" s="6"/>
      <c r="J64246" s="6"/>
      <c r="K64246" s="6"/>
      <c r="L64246" s="6"/>
      <c r="M64246" s="6"/>
      <c r="N64246" s="6"/>
      <c r="O64246" s="6"/>
      <c r="P64246" s="6"/>
      <c r="Q64246" s="6"/>
      <c r="R64246" s="6"/>
      <c r="S64246" s="6"/>
      <c r="T64246" s="6"/>
      <c r="U64246" s="6"/>
      <c r="V64246" s="6"/>
      <c r="W64246" s="6"/>
      <c r="X64246" s="6"/>
      <c r="Y64246" s="6"/>
      <c r="Z64246" s="6"/>
      <c r="AA64246" s="6"/>
      <c r="AB64246" s="6"/>
      <c r="AC64246" s="6"/>
      <c r="AD64246" s="6"/>
      <c r="AE64246" s="6"/>
      <c r="AF64246" s="6"/>
      <c r="AG64246" s="6"/>
      <c r="AH64246" s="6"/>
      <c r="AI64246" s="6"/>
      <c r="AJ64246" s="6"/>
      <c r="AK64246" s="6"/>
      <c r="AL64246" s="6"/>
      <c r="AM64246" s="6"/>
    </row>
    <row r="64247" spans="2:39" ht="9.9499999999999993" hidden="1" customHeight="1" x14ac:dyDescent="0.2">
      <c r="B64247" s="6"/>
      <c r="C64247" s="6"/>
      <c r="D64247" s="6"/>
      <c r="E64247" s="6"/>
      <c r="F64247" s="6"/>
      <c r="G64247" s="6"/>
      <c r="H64247" s="6"/>
      <c r="I64247" s="6"/>
      <c r="J64247" s="6"/>
      <c r="K64247" s="6"/>
      <c r="L64247" s="6"/>
      <c r="M64247" s="6"/>
      <c r="N64247" s="6"/>
      <c r="O64247" s="6"/>
      <c r="P64247" s="6"/>
      <c r="Q64247" s="6"/>
      <c r="R64247" s="6"/>
      <c r="S64247" s="6"/>
      <c r="T64247" s="6"/>
      <c r="U64247" s="6"/>
      <c r="V64247" s="6"/>
      <c r="W64247" s="6"/>
      <c r="X64247" s="6"/>
      <c r="Y64247" s="6"/>
      <c r="Z64247" s="6"/>
      <c r="AA64247" s="6"/>
      <c r="AB64247" s="6"/>
      <c r="AC64247" s="6"/>
      <c r="AD64247" s="6"/>
      <c r="AE64247" s="6"/>
      <c r="AF64247" s="6"/>
      <c r="AG64247" s="6"/>
      <c r="AH64247" s="6"/>
      <c r="AI64247" s="6"/>
      <c r="AJ64247" s="6"/>
      <c r="AK64247" s="6"/>
      <c r="AL64247" s="6"/>
      <c r="AM64247" s="6"/>
    </row>
    <row r="64248" spans="2:39" ht="9.9499999999999993" hidden="1" customHeight="1" x14ac:dyDescent="0.2">
      <c r="B64248" s="6"/>
      <c r="C64248" s="6"/>
      <c r="D64248" s="6"/>
      <c r="E64248" s="6"/>
      <c r="F64248" s="6"/>
      <c r="G64248" s="6"/>
      <c r="H64248" s="6"/>
      <c r="I64248" s="6"/>
      <c r="J64248" s="6"/>
      <c r="K64248" s="6"/>
      <c r="L64248" s="6"/>
      <c r="M64248" s="6"/>
      <c r="N64248" s="6"/>
      <c r="O64248" s="6"/>
      <c r="P64248" s="6"/>
      <c r="Q64248" s="6"/>
      <c r="R64248" s="6"/>
      <c r="S64248" s="6"/>
      <c r="T64248" s="6"/>
      <c r="U64248" s="6"/>
      <c r="V64248" s="6"/>
      <c r="W64248" s="6"/>
      <c r="X64248" s="6"/>
      <c r="Y64248" s="6"/>
      <c r="Z64248" s="6"/>
      <c r="AA64248" s="6"/>
      <c r="AB64248" s="6"/>
      <c r="AC64248" s="6"/>
      <c r="AD64248" s="6"/>
      <c r="AE64248" s="6"/>
      <c r="AF64248" s="6"/>
      <c r="AG64248" s="6"/>
      <c r="AH64248" s="6"/>
      <c r="AI64248" s="6"/>
      <c r="AJ64248" s="6"/>
      <c r="AK64248" s="6"/>
      <c r="AL64248" s="6"/>
      <c r="AM64248" s="6"/>
    </row>
    <row r="64249" spans="2:39" ht="9.9499999999999993" hidden="1" customHeight="1" x14ac:dyDescent="0.2">
      <c r="B64249" s="6"/>
      <c r="C64249" s="6"/>
      <c r="D64249" s="6"/>
      <c r="E64249" s="6"/>
      <c r="F64249" s="6"/>
      <c r="G64249" s="6"/>
      <c r="H64249" s="6"/>
      <c r="I64249" s="6"/>
      <c r="J64249" s="6"/>
      <c r="K64249" s="6"/>
      <c r="L64249" s="6"/>
      <c r="M64249" s="6"/>
      <c r="N64249" s="6"/>
      <c r="O64249" s="6"/>
      <c r="P64249" s="6"/>
      <c r="Q64249" s="6"/>
      <c r="R64249" s="6"/>
      <c r="S64249" s="6"/>
      <c r="T64249" s="6"/>
      <c r="U64249" s="6"/>
      <c r="V64249" s="6"/>
      <c r="W64249" s="6"/>
      <c r="X64249" s="6"/>
      <c r="Y64249" s="6"/>
      <c r="Z64249" s="6"/>
      <c r="AA64249" s="6"/>
      <c r="AB64249" s="6"/>
      <c r="AC64249" s="6"/>
      <c r="AD64249" s="6"/>
      <c r="AE64249" s="6"/>
      <c r="AF64249" s="6"/>
      <c r="AG64249" s="6"/>
      <c r="AH64249" s="6"/>
      <c r="AI64249" s="6"/>
      <c r="AJ64249" s="6"/>
      <c r="AK64249" s="6"/>
      <c r="AL64249" s="6"/>
      <c r="AM64249" s="6"/>
    </row>
    <row r="64250" spans="2:39" ht="9.9499999999999993" hidden="1" customHeight="1" x14ac:dyDescent="0.2">
      <c r="B64250" s="6"/>
      <c r="C64250" s="6"/>
      <c r="D64250" s="6"/>
      <c r="E64250" s="6"/>
      <c r="F64250" s="6"/>
      <c r="G64250" s="6"/>
      <c r="H64250" s="6"/>
      <c r="I64250" s="6"/>
      <c r="J64250" s="6"/>
      <c r="K64250" s="6"/>
      <c r="L64250" s="6"/>
      <c r="M64250" s="6"/>
      <c r="N64250" s="6"/>
      <c r="O64250" s="6"/>
      <c r="P64250" s="6"/>
      <c r="Q64250" s="6"/>
      <c r="R64250" s="6"/>
      <c r="S64250" s="6"/>
      <c r="T64250" s="6"/>
      <c r="U64250" s="6"/>
      <c r="V64250" s="6"/>
      <c r="W64250" s="6"/>
      <c r="X64250" s="6"/>
      <c r="Y64250" s="6"/>
      <c r="Z64250" s="6"/>
      <c r="AA64250" s="6"/>
      <c r="AB64250" s="6"/>
      <c r="AC64250" s="6"/>
      <c r="AD64250" s="6"/>
      <c r="AE64250" s="6"/>
      <c r="AF64250" s="6"/>
      <c r="AG64250" s="6"/>
      <c r="AH64250" s="6"/>
      <c r="AI64250" s="6"/>
      <c r="AJ64250" s="6"/>
      <c r="AK64250" s="6"/>
      <c r="AL64250" s="6"/>
      <c r="AM64250" s="6"/>
    </row>
    <row r="64251" spans="2:39" ht="9.9499999999999993" hidden="1" customHeight="1" x14ac:dyDescent="0.2">
      <c r="B64251" s="6"/>
      <c r="C64251" s="6"/>
      <c r="D64251" s="6"/>
      <c r="E64251" s="6"/>
      <c r="F64251" s="6"/>
      <c r="G64251" s="6"/>
      <c r="H64251" s="6"/>
      <c r="I64251" s="6"/>
      <c r="J64251" s="6"/>
      <c r="K64251" s="6"/>
      <c r="L64251" s="6"/>
      <c r="M64251" s="6"/>
      <c r="N64251" s="6"/>
      <c r="O64251" s="6"/>
      <c r="P64251" s="6"/>
      <c r="Q64251" s="6"/>
      <c r="R64251" s="6"/>
      <c r="S64251" s="6"/>
      <c r="T64251" s="6"/>
      <c r="U64251" s="6"/>
      <c r="V64251" s="6"/>
      <c r="W64251" s="6"/>
      <c r="X64251" s="6"/>
      <c r="Y64251" s="6"/>
      <c r="Z64251" s="6"/>
      <c r="AA64251" s="6"/>
      <c r="AB64251" s="6"/>
      <c r="AC64251" s="6"/>
      <c r="AD64251" s="6"/>
      <c r="AE64251" s="6"/>
      <c r="AF64251" s="6"/>
      <c r="AG64251" s="6"/>
      <c r="AH64251" s="6"/>
      <c r="AI64251" s="6"/>
      <c r="AJ64251" s="6"/>
      <c r="AK64251" s="6"/>
      <c r="AL64251" s="6"/>
      <c r="AM64251" s="6"/>
    </row>
    <row r="64252" spans="2:39" ht="9.9499999999999993" hidden="1" customHeight="1" x14ac:dyDescent="0.2">
      <c r="B64252" s="6"/>
      <c r="C64252" s="6"/>
      <c r="D64252" s="6"/>
      <c r="E64252" s="6"/>
      <c r="F64252" s="6"/>
      <c r="G64252" s="6"/>
      <c r="H64252" s="6"/>
      <c r="I64252" s="6"/>
      <c r="J64252" s="6"/>
      <c r="K64252" s="6"/>
      <c r="L64252" s="6"/>
      <c r="M64252" s="6"/>
      <c r="N64252" s="6"/>
      <c r="O64252" s="6"/>
      <c r="P64252" s="6"/>
      <c r="Q64252" s="6"/>
      <c r="R64252" s="6"/>
      <c r="S64252" s="6"/>
      <c r="T64252" s="6"/>
      <c r="U64252" s="6"/>
      <c r="V64252" s="6"/>
      <c r="W64252" s="6"/>
      <c r="X64252" s="6"/>
      <c r="Y64252" s="6"/>
      <c r="Z64252" s="6"/>
      <c r="AA64252" s="6"/>
      <c r="AB64252" s="6"/>
      <c r="AC64252" s="6"/>
      <c r="AD64252" s="6"/>
      <c r="AE64252" s="6"/>
      <c r="AF64252" s="6"/>
      <c r="AG64252" s="6"/>
      <c r="AH64252" s="6"/>
      <c r="AI64252" s="6"/>
      <c r="AJ64252" s="6"/>
      <c r="AK64252" s="6"/>
      <c r="AL64252" s="6"/>
      <c r="AM64252" s="6"/>
    </row>
    <row r="64253" spans="2:39" ht="9.9499999999999993" hidden="1" customHeight="1" x14ac:dyDescent="0.2">
      <c r="B64253" s="6"/>
      <c r="C64253" s="6"/>
      <c r="D64253" s="6"/>
      <c r="E64253" s="6"/>
      <c r="F64253" s="6"/>
      <c r="G64253" s="6"/>
      <c r="H64253" s="6"/>
      <c r="I64253" s="6"/>
      <c r="J64253" s="6"/>
      <c r="K64253" s="6"/>
      <c r="L64253" s="6"/>
      <c r="M64253" s="6"/>
      <c r="N64253" s="6"/>
      <c r="O64253" s="6"/>
      <c r="P64253" s="6"/>
      <c r="Q64253" s="6"/>
      <c r="R64253" s="6"/>
      <c r="S64253" s="6"/>
      <c r="T64253" s="6"/>
      <c r="U64253" s="6"/>
      <c r="V64253" s="6"/>
      <c r="W64253" s="6"/>
      <c r="X64253" s="6"/>
      <c r="Y64253" s="6"/>
      <c r="Z64253" s="6"/>
      <c r="AA64253" s="6"/>
      <c r="AB64253" s="6"/>
      <c r="AC64253" s="6"/>
      <c r="AD64253" s="6"/>
      <c r="AE64253" s="6"/>
      <c r="AF64253" s="6"/>
      <c r="AG64253" s="6"/>
      <c r="AH64253" s="6"/>
      <c r="AI64253" s="6"/>
      <c r="AJ64253" s="6"/>
      <c r="AK64253" s="6"/>
      <c r="AL64253" s="6"/>
      <c r="AM64253" s="6"/>
    </row>
    <row r="64254" spans="2:39" ht="9.9499999999999993" hidden="1" customHeight="1" x14ac:dyDescent="0.2">
      <c r="B64254" s="6"/>
      <c r="C64254" s="6"/>
      <c r="D64254" s="6"/>
      <c r="E64254" s="6"/>
      <c r="F64254" s="6"/>
      <c r="G64254" s="6"/>
      <c r="H64254" s="6"/>
      <c r="I64254" s="6"/>
      <c r="J64254" s="6"/>
      <c r="K64254" s="6"/>
      <c r="L64254" s="6"/>
      <c r="M64254" s="6"/>
      <c r="N64254" s="6"/>
      <c r="O64254" s="6"/>
      <c r="P64254" s="6"/>
      <c r="Q64254" s="6"/>
      <c r="R64254" s="6"/>
      <c r="S64254" s="6"/>
      <c r="T64254" s="6"/>
      <c r="U64254" s="6"/>
      <c r="V64254" s="6"/>
      <c r="W64254" s="6"/>
      <c r="X64254" s="6"/>
      <c r="Y64254" s="6"/>
      <c r="Z64254" s="6"/>
      <c r="AA64254" s="6"/>
      <c r="AB64254" s="6"/>
      <c r="AC64254" s="6"/>
      <c r="AD64254" s="6"/>
      <c r="AE64254" s="6"/>
      <c r="AF64254" s="6"/>
      <c r="AG64254" s="6"/>
      <c r="AH64254" s="6"/>
      <c r="AI64254" s="6"/>
      <c r="AJ64254" s="6"/>
      <c r="AK64254" s="6"/>
      <c r="AL64254" s="6"/>
      <c r="AM64254" s="6"/>
    </row>
    <row r="64255" spans="2:39" ht="9.9499999999999993" hidden="1" customHeight="1" x14ac:dyDescent="0.2">
      <c r="B64255" s="6"/>
      <c r="C64255" s="6"/>
      <c r="D64255" s="6"/>
      <c r="E64255" s="6"/>
      <c r="F64255" s="6"/>
      <c r="G64255" s="6"/>
      <c r="H64255" s="6"/>
      <c r="I64255" s="6"/>
      <c r="J64255" s="6"/>
      <c r="K64255" s="6"/>
      <c r="L64255" s="6"/>
      <c r="M64255" s="6"/>
      <c r="N64255" s="6"/>
      <c r="O64255" s="6"/>
      <c r="P64255" s="6"/>
      <c r="Q64255" s="6"/>
      <c r="R64255" s="6"/>
      <c r="S64255" s="6"/>
      <c r="T64255" s="6"/>
      <c r="U64255" s="6"/>
      <c r="V64255" s="6"/>
      <c r="W64255" s="6"/>
      <c r="X64255" s="6"/>
      <c r="Y64255" s="6"/>
      <c r="Z64255" s="6"/>
      <c r="AA64255" s="6"/>
      <c r="AB64255" s="6"/>
      <c r="AC64255" s="6"/>
      <c r="AD64255" s="6"/>
      <c r="AE64255" s="6"/>
      <c r="AF64255" s="6"/>
      <c r="AG64255" s="6"/>
      <c r="AH64255" s="6"/>
      <c r="AI64255" s="6"/>
      <c r="AJ64255" s="6"/>
      <c r="AK64255" s="6"/>
      <c r="AL64255" s="6"/>
      <c r="AM64255" s="6"/>
    </row>
    <row r="64256" spans="2:39" ht="9.9499999999999993" hidden="1" customHeight="1" x14ac:dyDescent="0.2">
      <c r="B64256" s="6"/>
      <c r="C64256" s="6"/>
      <c r="D64256" s="6"/>
      <c r="E64256" s="6"/>
      <c r="F64256" s="6"/>
      <c r="G64256" s="6"/>
      <c r="H64256" s="6"/>
      <c r="I64256" s="6"/>
      <c r="J64256" s="6"/>
      <c r="K64256" s="6"/>
      <c r="L64256" s="6"/>
      <c r="M64256" s="6"/>
      <c r="N64256" s="6"/>
      <c r="O64256" s="6"/>
      <c r="P64256" s="6"/>
      <c r="Q64256" s="6"/>
      <c r="R64256" s="6"/>
      <c r="S64256" s="6"/>
      <c r="T64256" s="6"/>
      <c r="U64256" s="6"/>
      <c r="V64256" s="6"/>
      <c r="W64256" s="6"/>
      <c r="X64256" s="6"/>
      <c r="Y64256" s="6"/>
      <c r="Z64256" s="6"/>
      <c r="AA64256" s="6"/>
      <c r="AB64256" s="6"/>
      <c r="AC64256" s="6"/>
      <c r="AD64256" s="6"/>
      <c r="AE64256" s="6"/>
      <c r="AF64256" s="6"/>
      <c r="AG64256" s="6"/>
      <c r="AH64256" s="6"/>
      <c r="AI64256" s="6"/>
      <c r="AJ64256" s="6"/>
      <c r="AK64256" s="6"/>
      <c r="AL64256" s="6"/>
      <c r="AM64256" s="6"/>
    </row>
    <row r="64257" spans="2:39" ht="9.9499999999999993" hidden="1" customHeight="1" x14ac:dyDescent="0.2">
      <c r="B64257" s="6"/>
      <c r="C64257" s="6"/>
      <c r="D64257" s="6"/>
      <c r="E64257" s="6"/>
      <c r="F64257" s="6"/>
      <c r="G64257" s="6"/>
      <c r="H64257" s="6"/>
      <c r="I64257" s="6"/>
      <c r="J64257" s="6"/>
      <c r="K64257" s="6"/>
      <c r="L64257" s="6"/>
      <c r="M64257" s="6"/>
      <c r="N64257" s="6"/>
      <c r="O64257" s="6"/>
      <c r="P64257" s="6"/>
      <c r="Q64257" s="6"/>
      <c r="R64257" s="6"/>
      <c r="S64257" s="6"/>
      <c r="T64257" s="6"/>
      <c r="U64257" s="6"/>
      <c r="V64257" s="6"/>
      <c r="W64257" s="6"/>
      <c r="X64257" s="6"/>
      <c r="Y64257" s="6"/>
      <c r="Z64257" s="6"/>
      <c r="AA64257" s="6"/>
      <c r="AB64257" s="6"/>
      <c r="AC64257" s="6"/>
      <c r="AD64257" s="6"/>
      <c r="AE64257" s="6"/>
      <c r="AF64257" s="6"/>
      <c r="AG64257" s="6"/>
      <c r="AH64257" s="6"/>
      <c r="AI64257" s="6"/>
      <c r="AJ64257" s="6"/>
      <c r="AK64257" s="6"/>
      <c r="AL64257" s="6"/>
      <c r="AM64257" s="6"/>
    </row>
    <row r="64258" spans="2:39" ht="9.9499999999999993" hidden="1" customHeight="1" x14ac:dyDescent="0.2">
      <c r="B64258" s="6"/>
      <c r="C64258" s="6"/>
      <c r="D64258" s="6"/>
      <c r="E64258" s="6"/>
      <c r="F64258" s="6"/>
      <c r="G64258" s="6"/>
      <c r="H64258" s="6"/>
      <c r="I64258" s="6"/>
      <c r="J64258" s="6"/>
      <c r="K64258" s="6"/>
      <c r="L64258" s="6"/>
      <c r="M64258" s="6"/>
      <c r="N64258" s="6"/>
      <c r="O64258" s="6"/>
      <c r="P64258" s="6"/>
      <c r="Q64258" s="6"/>
      <c r="R64258" s="6"/>
      <c r="S64258" s="6"/>
      <c r="T64258" s="6"/>
      <c r="U64258" s="6"/>
      <c r="V64258" s="6"/>
      <c r="W64258" s="6"/>
      <c r="X64258" s="6"/>
      <c r="Y64258" s="6"/>
      <c r="Z64258" s="6"/>
      <c r="AA64258" s="6"/>
      <c r="AB64258" s="6"/>
      <c r="AC64258" s="6"/>
      <c r="AD64258" s="6"/>
      <c r="AE64258" s="6"/>
      <c r="AF64258" s="6"/>
      <c r="AG64258" s="6"/>
      <c r="AH64258" s="6"/>
      <c r="AI64258" s="6"/>
      <c r="AJ64258" s="6"/>
      <c r="AK64258" s="6"/>
      <c r="AL64258" s="6"/>
      <c r="AM64258" s="6"/>
    </row>
    <row r="64259" spans="2:39" ht="9.9499999999999993" hidden="1" customHeight="1" x14ac:dyDescent="0.2">
      <c r="B64259" s="6"/>
      <c r="C64259" s="6"/>
      <c r="D64259" s="6"/>
      <c r="E64259" s="6"/>
      <c r="F64259" s="6"/>
      <c r="G64259" s="6"/>
      <c r="H64259" s="6"/>
      <c r="I64259" s="6"/>
      <c r="J64259" s="6"/>
      <c r="K64259" s="6"/>
      <c r="L64259" s="6"/>
      <c r="M64259" s="6"/>
      <c r="N64259" s="6"/>
      <c r="O64259" s="6"/>
      <c r="P64259" s="6"/>
      <c r="Q64259" s="6"/>
      <c r="R64259" s="6"/>
      <c r="S64259" s="6"/>
      <c r="T64259" s="6"/>
      <c r="U64259" s="6"/>
      <c r="V64259" s="6"/>
      <c r="W64259" s="6"/>
      <c r="X64259" s="6"/>
      <c r="Y64259" s="6"/>
      <c r="Z64259" s="6"/>
      <c r="AA64259" s="6"/>
      <c r="AB64259" s="6"/>
      <c r="AC64259" s="6"/>
      <c r="AD64259" s="6"/>
      <c r="AE64259" s="6"/>
      <c r="AF64259" s="6"/>
      <c r="AG64259" s="6"/>
      <c r="AH64259" s="6"/>
      <c r="AI64259" s="6"/>
      <c r="AJ64259" s="6"/>
      <c r="AK64259" s="6"/>
      <c r="AL64259" s="6"/>
      <c r="AM64259" s="6"/>
    </row>
    <row r="64260" spans="2:39" ht="9.9499999999999993" hidden="1" customHeight="1" x14ac:dyDescent="0.2">
      <c r="B64260" s="6"/>
      <c r="C64260" s="6"/>
      <c r="D64260" s="6"/>
      <c r="E64260" s="6"/>
      <c r="F64260" s="6"/>
      <c r="G64260" s="6"/>
      <c r="H64260" s="6"/>
      <c r="I64260" s="6"/>
      <c r="J64260" s="6"/>
      <c r="K64260" s="6"/>
      <c r="L64260" s="6"/>
      <c r="M64260" s="6"/>
      <c r="N64260" s="6"/>
      <c r="O64260" s="6"/>
      <c r="P64260" s="6"/>
      <c r="Q64260" s="6"/>
      <c r="R64260" s="6"/>
      <c r="S64260" s="6"/>
      <c r="T64260" s="6"/>
      <c r="U64260" s="6"/>
      <c r="V64260" s="6"/>
      <c r="W64260" s="6"/>
      <c r="X64260" s="6"/>
      <c r="Y64260" s="6"/>
      <c r="Z64260" s="6"/>
      <c r="AA64260" s="6"/>
      <c r="AB64260" s="6"/>
      <c r="AC64260" s="6"/>
      <c r="AD64260" s="6"/>
      <c r="AE64260" s="6"/>
      <c r="AF64260" s="6"/>
      <c r="AG64260" s="6"/>
      <c r="AH64260" s="6"/>
      <c r="AI64260" s="6"/>
      <c r="AJ64260" s="6"/>
      <c r="AK64260" s="6"/>
      <c r="AL64260" s="6"/>
      <c r="AM64260" s="6"/>
    </row>
    <row r="64261" spans="2:39" ht="9.9499999999999993" hidden="1" customHeight="1" x14ac:dyDescent="0.2">
      <c r="B64261" s="6"/>
      <c r="C64261" s="6"/>
      <c r="D64261" s="6"/>
      <c r="E64261" s="6"/>
      <c r="F64261" s="6"/>
      <c r="G64261" s="6"/>
      <c r="H64261" s="6"/>
      <c r="I64261" s="6"/>
      <c r="J64261" s="6"/>
      <c r="K64261" s="6"/>
      <c r="L64261" s="6"/>
      <c r="M64261" s="6"/>
      <c r="N64261" s="6"/>
      <c r="O64261" s="6"/>
      <c r="P64261" s="6"/>
      <c r="Q64261" s="6"/>
      <c r="R64261" s="6"/>
      <c r="S64261" s="6"/>
      <c r="T64261" s="6"/>
      <c r="U64261" s="6"/>
      <c r="V64261" s="6"/>
      <c r="W64261" s="6"/>
      <c r="X64261" s="6"/>
      <c r="Y64261" s="6"/>
      <c r="Z64261" s="6"/>
      <c r="AA64261" s="6"/>
      <c r="AB64261" s="6"/>
      <c r="AC64261" s="6"/>
      <c r="AD64261" s="6"/>
      <c r="AE64261" s="6"/>
      <c r="AF64261" s="6"/>
      <c r="AG64261" s="6"/>
      <c r="AH64261" s="6"/>
      <c r="AI64261" s="6"/>
      <c r="AJ64261" s="6"/>
      <c r="AK64261" s="6"/>
      <c r="AL64261" s="6"/>
      <c r="AM64261" s="6"/>
    </row>
    <row r="64262" spans="2:39" ht="9.9499999999999993" hidden="1" customHeight="1" x14ac:dyDescent="0.2">
      <c r="B64262" s="6"/>
      <c r="C64262" s="6"/>
      <c r="D64262" s="6"/>
      <c r="E64262" s="6"/>
      <c r="F64262" s="6"/>
      <c r="G64262" s="6"/>
      <c r="H64262" s="6"/>
      <c r="I64262" s="6"/>
      <c r="J64262" s="6"/>
      <c r="K64262" s="6"/>
      <c r="L64262" s="6"/>
      <c r="M64262" s="6"/>
      <c r="N64262" s="6"/>
      <c r="O64262" s="6"/>
      <c r="P64262" s="6"/>
      <c r="Q64262" s="6"/>
      <c r="R64262" s="6"/>
      <c r="S64262" s="6"/>
      <c r="T64262" s="6"/>
      <c r="U64262" s="6"/>
      <c r="V64262" s="6"/>
      <c r="W64262" s="6"/>
      <c r="X64262" s="6"/>
      <c r="Y64262" s="6"/>
      <c r="Z64262" s="6"/>
      <c r="AA64262" s="6"/>
      <c r="AB64262" s="6"/>
      <c r="AC64262" s="6"/>
      <c r="AD64262" s="6"/>
      <c r="AE64262" s="6"/>
      <c r="AF64262" s="6"/>
      <c r="AG64262" s="6"/>
      <c r="AH64262" s="6"/>
      <c r="AI64262" s="6"/>
      <c r="AJ64262" s="6"/>
      <c r="AK64262" s="6"/>
      <c r="AL64262" s="6"/>
      <c r="AM64262" s="6"/>
    </row>
    <row r="64263" spans="2:39" ht="9.9499999999999993" hidden="1" customHeight="1" x14ac:dyDescent="0.2">
      <c r="B64263" s="6"/>
      <c r="C64263" s="6"/>
      <c r="D64263" s="6"/>
      <c r="E64263" s="6"/>
      <c r="F64263" s="6"/>
      <c r="G64263" s="6"/>
      <c r="H64263" s="6"/>
      <c r="I64263" s="6"/>
      <c r="J64263" s="6"/>
      <c r="K64263" s="6"/>
      <c r="L64263" s="6"/>
      <c r="M64263" s="6"/>
      <c r="N64263" s="6"/>
      <c r="O64263" s="6"/>
      <c r="P64263" s="6"/>
      <c r="Q64263" s="6"/>
      <c r="R64263" s="6"/>
      <c r="S64263" s="6"/>
      <c r="T64263" s="6"/>
      <c r="U64263" s="6"/>
      <c r="V64263" s="6"/>
      <c r="W64263" s="6"/>
      <c r="X64263" s="6"/>
      <c r="Y64263" s="6"/>
      <c r="Z64263" s="6"/>
      <c r="AA64263" s="6"/>
      <c r="AB64263" s="6"/>
      <c r="AC64263" s="6"/>
      <c r="AD64263" s="6"/>
      <c r="AE64263" s="6"/>
      <c r="AF64263" s="6"/>
      <c r="AG64263" s="6"/>
      <c r="AH64263" s="6"/>
      <c r="AI64263" s="6"/>
      <c r="AJ64263" s="6"/>
      <c r="AK64263" s="6"/>
      <c r="AL64263" s="6"/>
      <c r="AM64263" s="6"/>
    </row>
    <row r="64264" spans="2:39" ht="9.9499999999999993" hidden="1" customHeight="1" x14ac:dyDescent="0.2">
      <c r="B64264" s="6"/>
      <c r="C64264" s="6"/>
      <c r="D64264" s="6"/>
      <c r="E64264" s="6"/>
      <c r="F64264" s="6"/>
      <c r="G64264" s="6"/>
      <c r="H64264" s="6"/>
      <c r="I64264" s="6"/>
      <c r="J64264" s="6"/>
      <c r="K64264" s="6"/>
      <c r="L64264" s="6"/>
      <c r="M64264" s="6"/>
      <c r="N64264" s="6"/>
      <c r="O64264" s="6"/>
      <c r="P64264" s="6"/>
      <c r="Q64264" s="6"/>
      <c r="R64264" s="6"/>
      <c r="S64264" s="6"/>
      <c r="T64264" s="6"/>
      <c r="U64264" s="6"/>
      <c r="V64264" s="6"/>
      <c r="W64264" s="6"/>
      <c r="X64264" s="6"/>
      <c r="Y64264" s="6"/>
      <c r="Z64264" s="6"/>
      <c r="AA64264" s="6"/>
      <c r="AB64264" s="6"/>
      <c r="AC64264" s="6"/>
      <c r="AD64264" s="6"/>
      <c r="AE64264" s="6"/>
      <c r="AF64264" s="6"/>
      <c r="AG64264" s="6"/>
      <c r="AH64264" s="6"/>
      <c r="AI64264" s="6"/>
      <c r="AJ64264" s="6"/>
      <c r="AK64264" s="6"/>
      <c r="AL64264" s="6"/>
      <c r="AM64264" s="6"/>
    </row>
    <row r="64265" spans="2:39" ht="9.9499999999999993" hidden="1" customHeight="1" x14ac:dyDescent="0.2">
      <c r="B64265" s="6"/>
      <c r="C64265" s="6"/>
      <c r="D64265" s="6"/>
      <c r="E64265" s="6"/>
      <c r="F64265" s="6"/>
      <c r="G64265" s="6"/>
      <c r="H64265" s="6"/>
      <c r="I64265" s="6"/>
      <c r="J64265" s="6"/>
      <c r="K64265" s="6"/>
      <c r="L64265" s="6"/>
      <c r="M64265" s="6"/>
      <c r="N64265" s="6"/>
      <c r="O64265" s="6"/>
      <c r="P64265" s="6"/>
      <c r="Q64265" s="6"/>
      <c r="R64265" s="6"/>
      <c r="S64265" s="6"/>
      <c r="T64265" s="6"/>
      <c r="U64265" s="6"/>
      <c r="V64265" s="6"/>
      <c r="W64265" s="6"/>
      <c r="X64265" s="6"/>
      <c r="Y64265" s="6"/>
      <c r="Z64265" s="6"/>
      <c r="AA64265" s="6"/>
      <c r="AB64265" s="6"/>
      <c r="AC64265" s="6"/>
      <c r="AD64265" s="6"/>
      <c r="AE64265" s="6"/>
      <c r="AF64265" s="6"/>
      <c r="AG64265" s="6"/>
      <c r="AH64265" s="6"/>
      <c r="AI64265" s="6"/>
      <c r="AJ64265" s="6"/>
      <c r="AK64265" s="6"/>
      <c r="AL64265" s="6"/>
      <c r="AM64265" s="6"/>
    </row>
    <row r="64266" spans="2:39" ht="9.9499999999999993" hidden="1" customHeight="1" x14ac:dyDescent="0.2">
      <c r="B64266" s="6"/>
      <c r="C64266" s="6"/>
      <c r="D64266" s="6"/>
      <c r="E64266" s="6"/>
      <c r="F64266" s="6"/>
      <c r="G64266" s="6"/>
      <c r="H64266" s="6"/>
      <c r="I64266" s="6"/>
      <c r="J64266" s="6"/>
      <c r="K64266" s="6"/>
      <c r="L64266" s="6"/>
      <c r="M64266" s="6"/>
      <c r="N64266" s="6"/>
      <c r="O64266" s="6"/>
      <c r="P64266" s="6"/>
      <c r="Q64266" s="6"/>
      <c r="R64266" s="6"/>
      <c r="S64266" s="6"/>
      <c r="T64266" s="6"/>
      <c r="U64266" s="6"/>
      <c r="V64266" s="6"/>
      <c r="W64266" s="6"/>
      <c r="X64266" s="6"/>
      <c r="Y64266" s="6"/>
      <c r="Z64266" s="6"/>
      <c r="AA64266" s="6"/>
      <c r="AB64266" s="6"/>
      <c r="AC64266" s="6"/>
      <c r="AD64266" s="6"/>
      <c r="AE64266" s="6"/>
      <c r="AF64266" s="6"/>
      <c r="AG64266" s="6"/>
      <c r="AH64266" s="6"/>
      <c r="AI64266" s="6"/>
      <c r="AJ64266" s="6"/>
      <c r="AK64266" s="6"/>
      <c r="AL64266" s="6"/>
      <c r="AM64266" s="6"/>
    </row>
    <row r="64267" spans="2:39" ht="9.9499999999999993" hidden="1" customHeight="1" x14ac:dyDescent="0.2">
      <c r="B64267" s="6"/>
      <c r="C64267" s="6"/>
      <c r="D64267" s="6"/>
      <c r="E64267" s="6"/>
      <c r="F64267" s="6"/>
      <c r="G64267" s="6"/>
      <c r="H64267" s="6"/>
      <c r="I64267" s="6"/>
      <c r="J64267" s="6"/>
      <c r="K64267" s="6"/>
      <c r="L64267" s="6"/>
      <c r="M64267" s="6"/>
      <c r="N64267" s="6"/>
      <c r="O64267" s="6"/>
      <c r="P64267" s="6"/>
      <c r="Q64267" s="6"/>
      <c r="R64267" s="6"/>
      <c r="S64267" s="6"/>
      <c r="T64267" s="6"/>
      <c r="U64267" s="6"/>
      <c r="V64267" s="6"/>
      <c r="W64267" s="6"/>
      <c r="X64267" s="6"/>
      <c r="Y64267" s="6"/>
      <c r="Z64267" s="6"/>
      <c r="AA64267" s="6"/>
      <c r="AB64267" s="6"/>
      <c r="AC64267" s="6"/>
      <c r="AD64267" s="6"/>
      <c r="AE64267" s="6"/>
      <c r="AF64267" s="6"/>
      <c r="AG64267" s="6"/>
      <c r="AH64267" s="6"/>
      <c r="AI64267" s="6"/>
      <c r="AJ64267" s="6"/>
      <c r="AK64267" s="6"/>
      <c r="AL64267" s="6"/>
      <c r="AM64267" s="6"/>
    </row>
    <row r="64268" spans="2:39" ht="9.9499999999999993" hidden="1" customHeight="1" x14ac:dyDescent="0.2">
      <c r="B64268" s="6"/>
      <c r="C64268" s="6"/>
      <c r="D64268" s="6"/>
      <c r="E64268" s="6"/>
      <c r="F64268" s="6"/>
      <c r="G64268" s="6"/>
      <c r="H64268" s="6"/>
      <c r="I64268" s="6"/>
      <c r="J64268" s="6"/>
      <c r="K64268" s="6"/>
      <c r="L64268" s="6"/>
      <c r="M64268" s="6"/>
      <c r="N64268" s="6"/>
      <c r="O64268" s="6"/>
      <c r="P64268" s="6"/>
      <c r="Q64268" s="6"/>
      <c r="R64268" s="6"/>
      <c r="S64268" s="6"/>
      <c r="T64268" s="6"/>
      <c r="U64268" s="6"/>
      <c r="V64268" s="6"/>
      <c r="W64268" s="6"/>
      <c r="X64268" s="6"/>
      <c r="Y64268" s="6"/>
      <c r="Z64268" s="6"/>
      <c r="AA64268" s="6"/>
      <c r="AB64268" s="6"/>
      <c r="AC64268" s="6"/>
      <c r="AD64268" s="6"/>
      <c r="AE64268" s="6"/>
      <c r="AF64268" s="6"/>
      <c r="AG64268" s="6"/>
      <c r="AH64268" s="6"/>
      <c r="AI64268" s="6"/>
      <c r="AJ64268" s="6"/>
      <c r="AK64268" s="6"/>
      <c r="AL64268" s="6"/>
      <c r="AM64268" s="6"/>
    </row>
    <row r="64269" spans="2:39" ht="9.9499999999999993" hidden="1" customHeight="1" x14ac:dyDescent="0.2">
      <c r="B64269" s="6"/>
      <c r="C64269" s="6"/>
      <c r="D64269" s="6"/>
      <c r="E64269" s="6"/>
      <c r="F64269" s="6"/>
      <c r="G64269" s="6"/>
      <c r="H64269" s="6"/>
      <c r="I64269" s="6"/>
      <c r="J64269" s="6"/>
      <c r="K64269" s="6"/>
      <c r="L64269" s="6"/>
      <c r="M64269" s="6"/>
      <c r="N64269" s="6"/>
      <c r="O64269" s="6"/>
      <c r="P64269" s="6"/>
      <c r="Q64269" s="6"/>
      <c r="R64269" s="6"/>
      <c r="S64269" s="6"/>
      <c r="T64269" s="6"/>
      <c r="U64269" s="6"/>
      <c r="V64269" s="6"/>
      <c r="W64269" s="6"/>
      <c r="X64269" s="6"/>
      <c r="Y64269" s="6"/>
      <c r="Z64269" s="6"/>
      <c r="AA64269" s="6"/>
      <c r="AB64269" s="6"/>
      <c r="AC64269" s="6"/>
      <c r="AD64269" s="6"/>
      <c r="AE64269" s="6"/>
      <c r="AF64269" s="6"/>
      <c r="AG64269" s="6"/>
      <c r="AH64269" s="6"/>
      <c r="AI64269" s="6"/>
      <c r="AJ64269" s="6"/>
      <c r="AK64269" s="6"/>
      <c r="AL64269" s="6"/>
      <c r="AM64269" s="6"/>
    </row>
    <row r="64270" spans="2:39" ht="9.9499999999999993" hidden="1" customHeight="1" x14ac:dyDescent="0.2">
      <c r="B64270" s="6"/>
      <c r="C64270" s="6"/>
      <c r="D64270" s="6"/>
      <c r="E64270" s="6"/>
      <c r="F64270" s="6"/>
      <c r="G64270" s="6"/>
      <c r="H64270" s="6"/>
      <c r="I64270" s="6"/>
      <c r="J64270" s="6"/>
      <c r="K64270" s="6"/>
      <c r="L64270" s="6"/>
      <c r="M64270" s="6"/>
      <c r="N64270" s="6"/>
      <c r="O64270" s="6"/>
      <c r="P64270" s="6"/>
      <c r="Q64270" s="6"/>
      <c r="R64270" s="6"/>
      <c r="S64270" s="6"/>
      <c r="T64270" s="6"/>
      <c r="U64270" s="6"/>
      <c r="V64270" s="6"/>
      <c r="W64270" s="6"/>
      <c r="X64270" s="6"/>
      <c r="Y64270" s="6"/>
      <c r="Z64270" s="6"/>
      <c r="AA64270" s="6"/>
      <c r="AB64270" s="6"/>
      <c r="AC64270" s="6"/>
      <c r="AD64270" s="6"/>
      <c r="AE64270" s="6"/>
      <c r="AF64270" s="6"/>
      <c r="AG64270" s="6"/>
      <c r="AH64270" s="6"/>
      <c r="AI64270" s="6"/>
      <c r="AJ64270" s="6"/>
      <c r="AK64270" s="6"/>
      <c r="AL64270" s="6"/>
      <c r="AM64270" s="6"/>
    </row>
    <row r="64271" spans="2:39" ht="9.9499999999999993" hidden="1" customHeight="1" x14ac:dyDescent="0.2">
      <c r="B64271" s="6"/>
      <c r="C64271" s="6"/>
      <c r="D64271" s="6"/>
      <c r="E64271" s="6"/>
      <c r="F64271" s="6"/>
      <c r="G64271" s="6"/>
      <c r="H64271" s="6"/>
      <c r="I64271" s="6"/>
      <c r="J64271" s="6"/>
      <c r="K64271" s="6"/>
      <c r="L64271" s="6"/>
      <c r="M64271" s="6"/>
      <c r="N64271" s="6"/>
      <c r="O64271" s="6"/>
      <c r="P64271" s="6"/>
      <c r="Q64271" s="6"/>
      <c r="R64271" s="6"/>
      <c r="S64271" s="6"/>
      <c r="T64271" s="6"/>
      <c r="U64271" s="6"/>
      <c r="V64271" s="6"/>
      <c r="W64271" s="6"/>
      <c r="X64271" s="6"/>
      <c r="Y64271" s="6"/>
      <c r="Z64271" s="6"/>
      <c r="AA64271" s="6"/>
      <c r="AB64271" s="6"/>
      <c r="AC64271" s="6"/>
      <c r="AD64271" s="6"/>
      <c r="AE64271" s="6"/>
      <c r="AF64271" s="6"/>
      <c r="AG64271" s="6"/>
      <c r="AH64271" s="6"/>
      <c r="AI64271" s="6"/>
      <c r="AJ64271" s="6"/>
      <c r="AK64271" s="6"/>
      <c r="AL64271" s="6"/>
      <c r="AM64271" s="6"/>
    </row>
    <row r="64272" spans="2:39" ht="9.9499999999999993" hidden="1" customHeight="1" x14ac:dyDescent="0.2">
      <c r="B64272" s="6"/>
      <c r="C64272" s="6"/>
      <c r="D64272" s="6"/>
      <c r="E64272" s="6"/>
      <c r="F64272" s="6"/>
      <c r="G64272" s="6"/>
      <c r="H64272" s="6"/>
      <c r="I64272" s="6"/>
      <c r="J64272" s="6"/>
      <c r="K64272" s="6"/>
      <c r="L64272" s="6"/>
      <c r="M64272" s="6"/>
      <c r="N64272" s="6"/>
      <c r="O64272" s="6"/>
      <c r="P64272" s="6"/>
      <c r="Q64272" s="6"/>
      <c r="R64272" s="6"/>
      <c r="S64272" s="6"/>
      <c r="T64272" s="6"/>
      <c r="U64272" s="6"/>
      <c r="V64272" s="6"/>
      <c r="W64272" s="6"/>
      <c r="X64272" s="6"/>
      <c r="Y64272" s="6"/>
      <c r="Z64272" s="6"/>
      <c r="AA64272" s="6"/>
      <c r="AB64272" s="6"/>
      <c r="AC64272" s="6"/>
      <c r="AD64272" s="6"/>
      <c r="AE64272" s="6"/>
      <c r="AF64272" s="6"/>
      <c r="AG64272" s="6"/>
      <c r="AH64272" s="6"/>
      <c r="AI64272" s="6"/>
      <c r="AJ64272" s="6"/>
      <c r="AK64272" s="6"/>
      <c r="AL64272" s="6"/>
      <c r="AM64272" s="6"/>
    </row>
    <row r="64273" spans="2:39" ht="9.9499999999999993" hidden="1" customHeight="1" x14ac:dyDescent="0.2">
      <c r="B64273" s="6"/>
      <c r="C64273" s="6"/>
      <c r="D64273" s="6"/>
      <c r="E64273" s="6"/>
      <c r="F64273" s="6"/>
      <c r="G64273" s="6"/>
      <c r="H64273" s="6"/>
      <c r="I64273" s="6"/>
      <c r="J64273" s="6"/>
      <c r="K64273" s="6"/>
      <c r="L64273" s="6"/>
      <c r="M64273" s="6"/>
      <c r="N64273" s="6"/>
      <c r="O64273" s="6"/>
      <c r="P64273" s="6"/>
      <c r="Q64273" s="6"/>
      <c r="R64273" s="6"/>
      <c r="S64273" s="6"/>
      <c r="T64273" s="6"/>
      <c r="U64273" s="6"/>
      <c r="V64273" s="6"/>
      <c r="W64273" s="6"/>
      <c r="X64273" s="6"/>
      <c r="Y64273" s="6"/>
      <c r="Z64273" s="6"/>
      <c r="AA64273" s="6"/>
      <c r="AB64273" s="6"/>
      <c r="AC64273" s="6"/>
      <c r="AD64273" s="6"/>
      <c r="AE64273" s="6"/>
      <c r="AF64273" s="6"/>
      <c r="AG64273" s="6"/>
      <c r="AH64273" s="6"/>
      <c r="AI64273" s="6"/>
      <c r="AJ64273" s="6"/>
      <c r="AK64273" s="6"/>
      <c r="AL64273" s="6"/>
      <c r="AM64273" s="6"/>
    </row>
    <row r="64274" spans="2:39" ht="9.9499999999999993" hidden="1" customHeight="1" x14ac:dyDescent="0.2">
      <c r="B64274" s="6"/>
      <c r="C64274" s="6"/>
      <c r="D64274" s="6"/>
      <c r="E64274" s="6"/>
      <c r="F64274" s="6"/>
      <c r="G64274" s="6"/>
      <c r="H64274" s="6"/>
      <c r="I64274" s="6"/>
      <c r="J64274" s="6"/>
      <c r="K64274" s="6"/>
      <c r="L64274" s="6"/>
      <c r="M64274" s="6"/>
      <c r="N64274" s="6"/>
      <c r="O64274" s="6"/>
      <c r="P64274" s="6"/>
      <c r="Q64274" s="6"/>
      <c r="R64274" s="6"/>
      <c r="S64274" s="6"/>
      <c r="T64274" s="6"/>
      <c r="U64274" s="6"/>
      <c r="V64274" s="6"/>
      <c r="W64274" s="6"/>
      <c r="X64274" s="6"/>
      <c r="Y64274" s="6"/>
      <c r="Z64274" s="6"/>
      <c r="AA64274" s="6"/>
      <c r="AB64274" s="6"/>
      <c r="AC64274" s="6"/>
      <c r="AD64274" s="6"/>
      <c r="AE64274" s="6"/>
      <c r="AF64274" s="6"/>
      <c r="AG64274" s="6"/>
      <c r="AH64274" s="6"/>
      <c r="AI64274" s="6"/>
      <c r="AJ64274" s="6"/>
      <c r="AK64274" s="6"/>
      <c r="AL64274" s="6"/>
      <c r="AM64274" s="6"/>
    </row>
    <row r="64275" spans="2:39" ht="9.9499999999999993" hidden="1" customHeight="1" x14ac:dyDescent="0.2">
      <c r="B64275" s="6"/>
      <c r="C64275" s="6"/>
      <c r="D64275" s="6"/>
      <c r="E64275" s="6"/>
      <c r="F64275" s="6"/>
      <c r="G64275" s="6"/>
      <c r="H64275" s="6"/>
      <c r="I64275" s="6"/>
      <c r="J64275" s="6"/>
      <c r="K64275" s="6"/>
      <c r="L64275" s="6"/>
      <c r="M64275" s="6"/>
      <c r="N64275" s="6"/>
      <c r="O64275" s="6"/>
      <c r="P64275" s="6"/>
      <c r="Q64275" s="6"/>
      <c r="R64275" s="6"/>
      <c r="S64275" s="6"/>
      <c r="T64275" s="6"/>
      <c r="U64275" s="6"/>
      <c r="V64275" s="6"/>
      <c r="W64275" s="6"/>
      <c r="X64275" s="6"/>
      <c r="Y64275" s="6"/>
      <c r="Z64275" s="6"/>
      <c r="AA64275" s="6"/>
      <c r="AB64275" s="6"/>
      <c r="AC64275" s="6"/>
      <c r="AD64275" s="6"/>
      <c r="AE64275" s="6"/>
      <c r="AF64275" s="6"/>
      <c r="AG64275" s="6"/>
      <c r="AH64275" s="6"/>
      <c r="AI64275" s="6"/>
      <c r="AJ64275" s="6"/>
      <c r="AK64275" s="6"/>
      <c r="AL64275" s="6"/>
      <c r="AM64275" s="6"/>
    </row>
    <row r="64276" spans="2:39" ht="9.9499999999999993" hidden="1" customHeight="1" x14ac:dyDescent="0.2">
      <c r="B64276" s="6"/>
      <c r="C64276" s="6"/>
      <c r="D64276" s="6"/>
      <c r="E64276" s="6"/>
      <c r="F64276" s="6"/>
      <c r="G64276" s="6"/>
      <c r="H64276" s="6"/>
      <c r="I64276" s="6"/>
      <c r="J64276" s="6"/>
      <c r="K64276" s="6"/>
      <c r="L64276" s="6"/>
      <c r="M64276" s="6"/>
      <c r="N64276" s="6"/>
      <c r="O64276" s="6"/>
      <c r="P64276" s="6"/>
      <c r="Q64276" s="6"/>
      <c r="R64276" s="6"/>
      <c r="S64276" s="6"/>
      <c r="T64276" s="6"/>
      <c r="U64276" s="6"/>
      <c r="V64276" s="6"/>
      <c r="W64276" s="6"/>
      <c r="X64276" s="6"/>
      <c r="Y64276" s="6"/>
      <c r="Z64276" s="6"/>
      <c r="AA64276" s="6"/>
      <c r="AB64276" s="6"/>
      <c r="AC64276" s="6"/>
      <c r="AD64276" s="6"/>
      <c r="AE64276" s="6"/>
      <c r="AF64276" s="6"/>
      <c r="AG64276" s="6"/>
      <c r="AH64276" s="6"/>
      <c r="AI64276" s="6"/>
      <c r="AJ64276" s="6"/>
      <c r="AK64276" s="6"/>
      <c r="AL64276" s="6"/>
      <c r="AM64276" s="6"/>
    </row>
    <row r="64277" spans="2:39" ht="9.9499999999999993" hidden="1" customHeight="1" x14ac:dyDescent="0.2">
      <c r="B64277" s="6"/>
      <c r="C64277" s="6"/>
      <c r="D64277" s="6"/>
      <c r="E64277" s="6"/>
      <c r="F64277" s="6"/>
      <c r="G64277" s="6"/>
      <c r="H64277" s="6"/>
      <c r="I64277" s="6"/>
      <c r="J64277" s="6"/>
      <c r="K64277" s="6"/>
      <c r="L64277" s="6"/>
      <c r="M64277" s="6"/>
      <c r="N64277" s="6"/>
      <c r="O64277" s="6"/>
      <c r="P64277" s="6"/>
      <c r="Q64277" s="6"/>
      <c r="R64277" s="6"/>
      <c r="S64277" s="6"/>
      <c r="T64277" s="6"/>
      <c r="U64277" s="6"/>
      <c r="V64277" s="6"/>
      <c r="W64277" s="6"/>
      <c r="X64277" s="6"/>
      <c r="Y64277" s="6"/>
      <c r="Z64277" s="6"/>
      <c r="AA64277" s="6"/>
      <c r="AB64277" s="6"/>
      <c r="AC64277" s="6"/>
      <c r="AD64277" s="6"/>
      <c r="AE64277" s="6"/>
      <c r="AF64277" s="6"/>
      <c r="AG64277" s="6"/>
      <c r="AH64277" s="6"/>
      <c r="AI64277" s="6"/>
      <c r="AJ64277" s="6"/>
      <c r="AK64277" s="6"/>
      <c r="AL64277" s="6"/>
      <c r="AM64277" s="6"/>
    </row>
    <row r="64278" spans="2:39" ht="9.9499999999999993" hidden="1" customHeight="1" x14ac:dyDescent="0.2">
      <c r="B64278" s="6"/>
      <c r="C64278" s="6"/>
      <c r="D64278" s="6"/>
      <c r="E64278" s="6"/>
      <c r="F64278" s="6"/>
      <c r="G64278" s="6"/>
      <c r="H64278" s="6"/>
      <c r="I64278" s="6"/>
      <c r="J64278" s="6"/>
      <c r="K64278" s="6"/>
      <c r="L64278" s="6"/>
      <c r="M64278" s="6"/>
      <c r="N64278" s="6"/>
      <c r="O64278" s="6"/>
      <c r="P64278" s="6"/>
      <c r="Q64278" s="6"/>
      <c r="R64278" s="6"/>
      <c r="S64278" s="6"/>
      <c r="T64278" s="6"/>
      <c r="U64278" s="6"/>
      <c r="V64278" s="6"/>
      <c r="W64278" s="6"/>
      <c r="X64278" s="6"/>
      <c r="Y64278" s="6"/>
      <c r="Z64278" s="6"/>
      <c r="AA64278" s="6"/>
      <c r="AB64278" s="6"/>
      <c r="AC64278" s="6"/>
      <c r="AD64278" s="6"/>
      <c r="AE64278" s="6"/>
      <c r="AF64278" s="6"/>
      <c r="AG64278" s="6"/>
      <c r="AH64278" s="6"/>
      <c r="AI64278" s="6"/>
      <c r="AJ64278" s="6"/>
      <c r="AK64278" s="6"/>
      <c r="AL64278" s="6"/>
      <c r="AM64278" s="6"/>
    </row>
    <row r="64279" spans="2:39" ht="9.9499999999999993" hidden="1" customHeight="1" x14ac:dyDescent="0.2">
      <c r="B64279" s="6"/>
      <c r="C64279" s="6"/>
      <c r="D64279" s="6"/>
      <c r="E64279" s="6"/>
      <c r="F64279" s="6"/>
      <c r="G64279" s="6"/>
      <c r="H64279" s="6"/>
      <c r="I64279" s="6"/>
      <c r="J64279" s="6"/>
      <c r="K64279" s="6"/>
      <c r="L64279" s="6"/>
      <c r="M64279" s="6"/>
      <c r="N64279" s="6"/>
      <c r="O64279" s="6"/>
      <c r="P64279" s="6"/>
      <c r="Q64279" s="6"/>
      <c r="R64279" s="6"/>
      <c r="S64279" s="6"/>
      <c r="T64279" s="6"/>
      <c r="U64279" s="6"/>
      <c r="V64279" s="6"/>
      <c r="W64279" s="6"/>
      <c r="X64279" s="6"/>
      <c r="Y64279" s="6"/>
      <c r="Z64279" s="6"/>
      <c r="AA64279" s="6"/>
      <c r="AB64279" s="6"/>
      <c r="AC64279" s="6"/>
      <c r="AD64279" s="6"/>
      <c r="AE64279" s="6"/>
      <c r="AF64279" s="6"/>
      <c r="AG64279" s="6"/>
      <c r="AH64279" s="6"/>
      <c r="AI64279" s="6"/>
      <c r="AJ64279" s="6"/>
      <c r="AK64279" s="6"/>
      <c r="AL64279" s="6"/>
      <c r="AM64279" s="6"/>
    </row>
    <row r="64280" spans="2:39" ht="9.9499999999999993" hidden="1" customHeight="1" x14ac:dyDescent="0.2">
      <c r="B64280" s="6"/>
      <c r="C64280" s="6"/>
      <c r="D64280" s="6"/>
      <c r="E64280" s="6"/>
      <c r="F64280" s="6"/>
      <c r="G64280" s="6"/>
      <c r="H64280" s="6"/>
      <c r="I64280" s="6"/>
      <c r="J64280" s="6"/>
      <c r="K64280" s="6"/>
      <c r="L64280" s="6"/>
      <c r="M64280" s="6"/>
      <c r="N64280" s="6"/>
      <c r="O64280" s="6"/>
      <c r="P64280" s="6"/>
      <c r="Q64280" s="6"/>
      <c r="R64280" s="6"/>
      <c r="S64280" s="6"/>
      <c r="T64280" s="6"/>
      <c r="U64280" s="6"/>
      <c r="V64280" s="6"/>
      <c r="W64280" s="6"/>
      <c r="X64280" s="6"/>
      <c r="Y64280" s="6"/>
      <c r="Z64280" s="6"/>
      <c r="AA64280" s="6"/>
      <c r="AB64280" s="6"/>
      <c r="AC64280" s="6"/>
      <c r="AD64280" s="6"/>
      <c r="AE64280" s="6"/>
      <c r="AF64280" s="6"/>
      <c r="AG64280" s="6"/>
      <c r="AH64280" s="6"/>
      <c r="AI64280" s="6"/>
      <c r="AJ64280" s="6"/>
      <c r="AK64280" s="6"/>
      <c r="AL64280" s="6"/>
      <c r="AM64280" s="6"/>
    </row>
    <row r="64281" spans="2:39" ht="9.9499999999999993" hidden="1" customHeight="1" x14ac:dyDescent="0.2">
      <c r="B64281" s="6"/>
      <c r="C64281" s="6"/>
      <c r="D64281" s="6"/>
      <c r="E64281" s="6"/>
      <c r="F64281" s="6"/>
      <c r="G64281" s="6"/>
      <c r="H64281" s="6"/>
      <c r="I64281" s="6"/>
      <c r="J64281" s="6"/>
      <c r="K64281" s="6"/>
      <c r="L64281" s="6"/>
      <c r="M64281" s="6"/>
      <c r="N64281" s="6"/>
      <c r="O64281" s="6"/>
      <c r="P64281" s="6"/>
      <c r="Q64281" s="6"/>
      <c r="R64281" s="6"/>
      <c r="S64281" s="6"/>
      <c r="T64281" s="6"/>
      <c r="U64281" s="6"/>
      <c r="V64281" s="6"/>
      <c r="W64281" s="6"/>
      <c r="X64281" s="6"/>
      <c r="Y64281" s="6"/>
      <c r="Z64281" s="6"/>
      <c r="AA64281" s="6"/>
      <c r="AB64281" s="6"/>
      <c r="AC64281" s="6"/>
      <c r="AD64281" s="6"/>
      <c r="AE64281" s="6"/>
      <c r="AF64281" s="6"/>
      <c r="AG64281" s="6"/>
      <c r="AH64281" s="6"/>
      <c r="AI64281" s="6"/>
      <c r="AJ64281" s="6"/>
      <c r="AK64281" s="6"/>
      <c r="AL64281" s="6"/>
      <c r="AM64281" s="6"/>
    </row>
    <row r="64282" spans="2:39" ht="9.9499999999999993" hidden="1" customHeight="1" x14ac:dyDescent="0.2">
      <c r="B64282" s="6"/>
      <c r="C64282" s="6"/>
      <c r="D64282" s="6"/>
      <c r="E64282" s="6"/>
      <c r="F64282" s="6"/>
      <c r="G64282" s="6"/>
      <c r="H64282" s="6"/>
      <c r="I64282" s="6"/>
      <c r="J64282" s="6"/>
      <c r="K64282" s="6"/>
      <c r="L64282" s="6"/>
      <c r="M64282" s="6"/>
      <c r="N64282" s="6"/>
      <c r="O64282" s="6"/>
      <c r="P64282" s="6"/>
      <c r="Q64282" s="6"/>
      <c r="R64282" s="6"/>
      <c r="S64282" s="6"/>
      <c r="T64282" s="6"/>
      <c r="U64282" s="6"/>
      <c r="V64282" s="6"/>
      <c r="W64282" s="6"/>
      <c r="X64282" s="6"/>
      <c r="Y64282" s="6"/>
      <c r="Z64282" s="6"/>
      <c r="AA64282" s="6"/>
      <c r="AB64282" s="6"/>
      <c r="AC64282" s="6"/>
      <c r="AD64282" s="6"/>
      <c r="AE64282" s="6"/>
      <c r="AF64282" s="6"/>
      <c r="AG64282" s="6"/>
      <c r="AH64282" s="6"/>
      <c r="AI64282" s="6"/>
      <c r="AJ64282" s="6"/>
      <c r="AK64282" s="6"/>
      <c r="AL64282" s="6"/>
      <c r="AM64282" s="6"/>
    </row>
    <row r="64283" spans="2:39" ht="9.9499999999999993" hidden="1" customHeight="1" x14ac:dyDescent="0.2">
      <c r="B64283" s="6"/>
      <c r="C64283" s="6"/>
      <c r="D64283" s="6"/>
      <c r="E64283" s="6"/>
      <c r="F64283" s="6"/>
      <c r="G64283" s="6"/>
      <c r="H64283" s="6"/>
      <c r="I64283" s="6"/>
      <c r="J64283" s="6"/>
      <c r="K64283" s="6"/>
      <c r="L64283" s="6"/>
      <c r="M64283" s="6"/>
      <c r="N64283" s="6"/>
      <c r="O64283" s="6"/>
      <c r="P64283" s="6"/>
      <c r="Q64283" s="6"/>
      <c r="R64283" s="6"/>
      <c r="S64283" s="6"/>
      <c r="T64283" s="6"/>
      <c r="U64283" s="6"/>
      <c r="V64283" s="6"/>
      <c r="W64283" s="6"/>
      <c r="X64283" s="6"/>
      <c r="Y64283" s="6"/>
      <c r="Z64283" s="6"/>
      <c r="AA64283" s="6"/>
      <c r="AB64283" s="6"/>
      <c r="AC64283" s="6"/>
      <c r="AD64283" s="6"/>
      <c r="AE64283" s="6"/>
      <c r="AF64283" s="6"/>
      <c r="AG64283" s="6"/>
      <c r="AH64283" s="6"/>
      <c r="AI64283" s="6"/>
      <c r="AJ64283" s="6"/>
      <c r="AK64283" s="6"/>
      <c r="AL64283" s="6"/>
      <c r="AM64283" s="6"/>
    </row>
    <row r="64284" spans="2:39" ht="9.9499999999999993" hidden="1" customHeight="1" x14ac:dyDescent="0.2">
      <c r="B64284" s="6"/>
      <c r="C64284" s="6"/>
      <c r="D64284" s="6"/>
      <c r="E64284" s="6"/>
      <c r="F64284" s="6"/>
      <c r="G64284" s="6"/>
      <c r="H64284" s="6"/>
      <c r="I64284" s="6"/>
      <c r="J64284" s="6"/>
      <c r="K64284" s="6"/>
      <c r="L64284" s="6"/>
      <c r="M64284" s="6"/>
      <c r="N64284" s="6"/>
      <c r="O64284" s="6"/>
      <c r="P64284" s="6"/>
      <c r="Q64284" s="6"/>
      <c r="R64284" s="6"/>
      <c r="S64284" s="6"/>
      <c r="T64284" s="6"/>
      <c r="U64284" s="6"/>
      <c r="V64284" s="6"/>
      <c r="W64284" s="6"/>
      <c r="X64284" s="6"/>
      <c r="Y64284" s="6"/>
      <c r="Z64284" s="6"/>
      <c r="AA64284" s="6"/>
      <c r="AB64284" s="6"/>
      <c r="AC64284" s="6"/>
      <c r="AD64284" s="6"/>
      <c r="AE64284" s="6"/>
      <c r="AF64284" s="6"/>
      <c r="AG64284" s="6"/>
      <c r="AH64284" s="6"/>
      <c r="AI64284" s="6"/>
      <c r="AJ64284" s="6"/>
      <c r="AK64284" s="6"/>
      <c r="AL64284" s="6"/>
      <c r="AM64284" s="6"/>
    </row>
    <row r="64285" spans="2:39" ht="9.9499999999999993" hidden="1" customHeight="1" x14ac:dyDescent="0.2">
      <c r="B64285" s="6"/>
      <c r="C64285" s="6"/>
      <c r="D64285" s="6"/>
      <c r="E64285" s="6"/>
      <c r="F64285" s="6"/>
      <c r="G64285" s="6"/>
      <c r="H64285" s="6"/>
      <c r="I64285" s="6"/>
      <c r="J64285" s="6"/>
      <c r="K64285" s="6"/>
      <c r="L64285" s="6"/>
      <c r="M64285" s="6"/>
      <c r="N64285" s="6"/>
      <c r="O64285" s="6"/>
      <c r="P64285" s="6"/>
      <c r="Q64285" s="6"/>
      <c r="R64285" s="6"/>
      <c r="S64285" s="6"/>
      <c r="T64285" s="6"/>
      <c r="U64285" s="6"/>
      <c r="V64285" s="6"/>
      <c r="W64285" s="6"/>
      <c r="X64285" s="6"/>
      <c r="Y64285" s="6"/>
      <c r="Z64285" s="6"/>
      <c r="AA64285" s="6"/>
      <c r="AB64285" s="6"/>
      <c r="AC64285" s="6"/>
      <c r="AD64285" s="6"/>
      <c r="AE64285" s="6"/>
      <c r="AF64285" s="6"/>
      <c r="AG64285" s="6"/>
      <c r="AH64285" s="6"/>
      <c r="AI64285" s="6"/>
      <c r="AJ64285" s="6"/>
      <c r="AK64285" s="6"/>
      <c r="AL64285" s="6"/>
      <c r="AM64285" s="6"/>
    </row>
    <row r="64286" spans="2:39" ht="9.9499999999999993" hidden="1" customHeight="1" x14ac:dyDescent="0.2">
      <c r="B64286" s="6"/>
      <c r="C64286" s="6"/>
      <c r="D64286" s="6"/>
      <c r="E64286" s="6"/>
      <c r="F64286" s="6"/>
      <c r="G64286" s="6"/>
      <c r="H64286" s="6"/>
      <c r="I64286" s="6"/>
      <c r="J64286" s="6"/>
      <c r="K64286" s="6"/>
      <c r="L64286" s="6"/>
      <c r="M64286" s="6"/>
      <c r="N64286" s="6"/>
      <c r="O64286" s="6"/>
      <c r="P64286" s="6"/>
      <c r="Q64286" s="6"/>
      <c r="R64286" s="6"/>
      <c r="S64286" s="6"/>
      <c r="T64286" s="6"/>
      <c r="U64286" s="6"/>
      <c r="V64286" s="6"/>
      <c r="W64286" s="6"/>
      <c r="X64286" s="6"/>
      <c r="Y64286" s="6"/>
      <c r="Z64286" s="6"/>
      <c r="AA64286" s="6"/>
      <c r="AB64286" s="6"/>
      <c r="AC64286" s="6"/>
      <c r="AD64286" s="6"/>
      <c r="AE64286" s="6"/>
      <c r="AF64286" s="6"/>
      <c r="AG64286" s="6"/>
      <c r="AH64286" s="6"/>
      <c r="AI64286" s="6"/>
      <c r="AJ64286" s="6"/>
      <c r="AK64286" s="6"/>
      <c r="AL64286" s="6"/>
      <c r="AM64286" s="6"/>
    </row>
    <row r="64287" spans="2:39" ht="9.9499999999999993" hidden="1" customHeight="1" x14ac:dyDescent="0.2">
      <c r="B64287" s="6"/>
      <c r="C64287" s="6"/>
      <c r="D64287" s="6"/>
      <c r="E64287" s="6"/>
      <c r="F64287" s="6"/>
      <c r="G64287" s="6"/>
      <c r="H64287" s="6"/>
      <c r="I64287" s="6"/>
      <c r="J64287" s="6"/>
      <c r="K64287" s="6"/>
      <c r="L64287" s="6"/>
      <c r="M64287" s="6"/>
      <c r="N64287" s="6"/>
      <c r="O64287" s="6"/>
      <c r="P64287" s="6"/>
      <c r="Q64287" s="6"/>
      <c r="R64287" s="6"/>
      <c r="S64287" s="6"/>
      <c r="T64287" s="6"/>
      <c r="U64287" s="6"/>
      <c r="V64287" s="6"/>
      <c r="W64287" s="6"/>
      <c r="X64287" s="6"/>
      <c r="Y64287" s="6"/>
      <c r="Z64287" s="6"/>
      <c r="AA64287" s="6"/>
      <c r="AB64287" s="6"/>
      <c r="AC64287" s="6"/>
      <c r="AD64287" s="6"/>
      <c r="AE64287" s="6"/>
      <c r="AF64287" s="6"/>
      <c r="AG64287" s="6"/>
      <c r="AH64287" s="6"/>
      <c r="AI64287" s="6"/>
      <c r="AJ64287" s="6"/>
      <c r="AK64287" s="6"/>
      <c r="AL64287" s="6"/>
      <c r="AM64287" s="6"/>
    </row>
    <row r="64288" spans="2:39" ht="9.9499999999999993" hidden="1" customHeight="1" x14ac:dyDescent="0.2">
      <c r="B64288" s="6"/>
      <c r="C64288" s="6"/>
      <c r="D64288" s="6"/>
      <c r="E64288" s="6"/>
      <c r="F64288" s="6"/>
      <c r="G64288" s="6"/>
      <c r="H64288" s="6"/>
      <c r="I64288" s="6"/>
      <c r="J64288" s="6"/>
      <c r="K64288" s="6"/>
      <c r="L64288" s="6"/>
      <c r="M64288" s="6"/>
      <c r="N64288" s="6"/>
      <c r="O64288" s="6"/>
      <c r="P64288" s="6"/>
      <c r="Q64288" s="6"/>
      <c r="R64288" s="6"/>
      <c r="S64288" s="6"/>
      <c r="T64288" s="6"/>
      <c r="U64288" s="6"/>
      <c r="V64288" s="6"/>
      <c r="W64288" s="6"/>
      <c r="X64288" s="6"/>
      <c r="Y64288" s="6"/>
      <c r="Z64288" s="6"/>
      <c r="AA64288" s="6"/>
      <c r="AB64288" s="6"/>
      <c r="AC64288" s="6"/>
      <c r="AD64288" s="6"/>
      <c r="AE64288" s="6"/>
      <c r="AF64288" s="6"/>
      <c r="AG64288" s="6"/>
      <c r="AH64288" s="6"/>
      <c r="AI64288" s="6"/>
      <c r="AJ64288" s="6"/>
      <c r="AK64288" s="6"/>
      <c r="AL64288" s="6"/>
      <c r="AM64288" s="6"/>
    </row>
    <row r="64289" spans="2:39" ht="9.9499999999999993" hidden="1" customHeight="1" x14ac:dyDescent="0.2">
      <c r="B64289" s="6"/>
      <c r="C64289" s="6"/>
      <c r="D64289" s="6"/>
      <c r="E64289" s="6"/>
      <c r="F64289" s="6"/>
      <c r="G64289" s="6"/>
      <c r="H64289" s="6"/>
      <c r="I64289" s="6"/>
      <c r="J64289" s="6"/>
      <c r="K64289" s="6"/>
      <c r="L64289" s="6"/>
      <c r="M64289" s="6"/>
      <c r="N64289" s="6"/>
      <c r="O64289" s="6"/>
      <c r="P64289" s="6"/>
      <c r="Q64289" s="6"/>
      <c r="R64289" s="6"/>
      <c r="S64289" s="6"/>
      <c r="T64289" s="6"/>
      <c r="U64289" s="6"/>
      <c r="V64289" s="6"/>
      <c r="W64289" s="6"/>
      <c r="X64289" s="6"/>
      <c r="Y64289" s="6"/>
      <c r="Z64289" s="6"/>
      <c r="AA64289" s="6"/>
      <c r="AB64289" s="6"/>
      <c r="AC64289" s="6"/>
      <c r="AD64289" s="6"/>
      <c r="AE64289" s="6"/>
      <c r="AF64289" s="6"/>
      <c r="AG64289" s="6"/>
      <c r="AH64289" s="6"/>
      <c r="AI64289" s="6"/>
      <c r="AJ64289" s="6"/>
      <c r="AK64289" s="6"/>
      <c r="AL64289" s="6"/>
      <c r="AM64289" s="6"/>
    </row>
    <row r="64290" spans="2:39" ht="9.9499999999999993" hidden="1" customHeight="1" x14ac:dyDescent="0.2">
      <c r="B64290" s="6"/>
      <c r="C64290" s="6"/>
      <c r="D64290" s="6"/>
      <c r="E64290" s="6"/>
      <c r="F64290" s="6"/>
      <c r="G64290" s="6"/>
      <c r="H64290" s="6"/>
      <c r="I64290" s="6"/>
      <c r="J64290" s="6"/>
      <c r="K64290" s="6"/>
      <c r="L64290" s="6"/>
      <c r="M64290" s="6"/>
      <c r="N64290" s="6"/>
      <c r="O64290" s="6"/>
      <c r="P64290" s="6"/>
      <c r="Q64290" s="6"/>
      <c r="R64290" s="6"/>
      <c r="S64290" s="6"/>
      <c r="T64290" s="6"/>
      <c r="U64290" s="6"/>
      <c r="V64290" s="6"/>
      <c r="W64290" s="6"/>
      <c r="X64290" s="6"/>
      <c r="Y64290" s="6"/>
      <c r="Z64290" s="6"/>
      <c r="AA64290" s="6"/>
      <c r="AB64290" s="6"/>
      <c r="AC64290" s="6"/>
      <c r="AD64290" s="6"/>
      <c r="AE64290" s="6"/>
      <c r="AF64290" s="6"/>
      <c r="AG64290" s="6"/>
      <c r="AH64290" s="6"/>
      <c r="AI64290" s="6"/>
      <c r="AJ64290" s="6"/>
      <c r="AK64290" s="6"/>
      <c r="AL64290" s="6"/>
      <c r="AM64290" s="6"/>
    </row>
    <row r="64291" spans="2:39" ht="9.9499999999999993" hidden="1" customHeight="1" x14ac:dyDescent="0.2">
      <c r="B64291" s="6"/>
      <c r="C64291" s="6"/>
      <c r="D64291" s="6"/>
      <c r="E64291" s="6"/>
      <c r="F64291" s="6"/>
      <c r="G64291" s="6"/>
      <c r="H64291" s="6"/>
      <c r="I64291" s="6"/>
      <c r="J64291" s="6"/>
      <c r="K64291" s="6"/>
      <c r="L64291" s="6"/>
      <c r="M64291" s="6"/>
      <c r="N64291" s="6"/>
      <c r="O64291" s="6"/>
      <c r="P64291" s="6"/>
      <c r="Q64291" s="6"/>
      <c r="R64291" s="6"/>
      <c r="S64291" s="6"/>
      <c r="T64291" s="6"/>
      <c r="U64291" s="6"/>
      <c r="V64291" s="6"/>
      <c r="W64291" s="6"/>
      <c r="X64291" s="6"/>
      <c r="Y64291" s="6"/>
      <c r="Z64291" s="6"/>
      <c r="AA64291" s="6"/>
      <c r="AB64291" s="6"/>
      <c r="AC64291" s="6"/>
      <c r="AD64291" s="6"/>
      <c r="AE64291" s="6"/>
      <c r="AF64291" s="6"/>
      <c r="AG64291" s="6"/>
      <c r="AH64291" s="6"/>
      <c r="AI64291" s="6"/>
      <c r="AJ64291" s="6"/>
      <c r="AK64291" s="6"/>
      <c r="AL64291" s="6"/>
      <c r="AM64291" s="6"/>
    </row>
    <row r="64292" spans="2:39" ht="9.9499999999999993" hidden="1" customHeight="1" x14ac:dyDescent="0.2">
      <c r="B64292" s="6"/>
      <c r="C64292" s="6"/>
      <c r="D64292" s="6"/>
      <c r="E64292" s="6"/>
      <c r="F64292" s="6"/>
      <c r="G64292" s="6"/>
      <c r="H64292" s="6"/>
      <c r="I64292" s="6"/>
      <c r="J64292" s="6"/>
      <c r="K64292" s="6"/>
      <c r="L64292" s="6"/>
      <c r="M64292" s="6"/>
      <c r="N64292" s="6"/>
      <c r="O64292" s="6"/>
      <c r="P64292" s="6"/>
      <c r="Q64292" s="6"/>
      <c r="R64292" s="6"/>
      <c r="S64292" s="6"/>
      <c r="T64292" s="6"/>
      <c r="U64292" s="6"/>
      <c r="V64292" s="6"/>
      <c r="W64292" s="6"/>
      <c r="X64292" s="6"/>
      <c r="Y64292" s="6"/>
      <c r="Z64292" s="6"/>
      <c r="AA64292" s="6"/>
      <c r="AB64292" s="6"/>
      <c r="AC64292" s="6"/>
      <c r="AD64292" s="6"/>
      <c r="AE64292" s="6"/>
      <c r="AF64292" s="6"/>
      <c r="AG64292" s="6"/>
      <c r="AH64292" s="6"/>
      <c r="AI64292" s="6"/>
      <c r="AJ64292" s="6"/>
      <c r="AK64292" s="6"/>
      <c r="AL64292" s="6"/>
      <c r="AM64292" s="6"/>
    </row>
    <row r="64293" spans="2:39" ht="9.9499999999999993" hidden="1" customHeight="1" x14ac:dyDescent="0.2">
      <c r="B64293" s="6"/>
      <c r="C64293" s="6"/>
      <c r="D64293" s="6"/>
      <c r="E64293" s="6"/>
      <c r="F64293" s="6"/>
      <c r="G64293" s="6"/>
      <c r="H64293" s="6"/>
      <c r="I64293" s="6"/>
      <c r="J64293" s="6"/>
      <c r="K64293" s="6"/>
      <c r="L64293" s="6"/>
      <c r="M64293" s="6"/>
      <c r="N64293" s="6"/>
      <c r="O64293" s="6"/>
      <c r="P64293" s="6"/>
      <c r="Q64293" s="6"/>
      <c r="R64293" s="6"/>
      <c r="S64293" s="6"/>
      <c r="T64293" s="6"/>
      <c r="U64293" s="6"/>
      <c r="V64293" s="6"/>
      <c r="W64293" s="6"/>
      <c r="X64293" s="6"/>
      <c r="Y64293" s="6"/>
      <c r="Z64293" s="6"/>
      <c r="AA64293" s="6"/>
      <c r="AB64293" s="6"/>
      <c r="AC64293" s="6"/>
      <c r="AD64293" s="6"/>
      <c r="AE64293" s="6"/>
      <c r="AF64293" s="6"/>
      <c r="AG64293" s="6"/>
      <c r="AH64293" s="6"/>
      <c r="AI64293" s="6"/>
      <c r="AJ64293" s="6"/>
      <c r="AK64293" s="6"/>
      <c r="AL64293" s="6"/>
      <c r="AM64293" s="6"/>
    </row>
    <row r="64294" spans="2:39" ht="9.9499999999999993" hidden="1" customHeight="1" x14ac:dyDescent="0.2">
      <c r="B64294" s="6"/>
      <c r="C64294" s="6"/>
      <c r="D64294" s="6"/>
      <c r="E64294" s="6"/>
      <c r="F64294" s="6"/>
      <c r="G64294" s="6"/>
      <c r="H64294" s="6"/>
      <c r="I64294" s="6"/>
      <c r="J64294" s="6"/>
      <c r="K64294" s="6"/>
      <c r="L64294" s="6"/>
      <c r="M64294" s="6"/>
      <c r="N64294" s="6"/>
      <c r="O64294" s="6"/>
      <c r="P64294" s="6"/>
      <c r="Q64294" s="6"/>
      <c r="R64294" s="6"/>
      <c r="S64294" s="6"/>
      <c r="T64294" s="6"/>
      <c r="U64294" s="6"/>
      <c r="V64294" s="6"/>
      <c r="W64294" s="6"/>
      <c r="X64294" s="6"/>
      <c r="Y64294" s="6"/>
      <c r="Z64294" s="6"/>
      <c r="AA64294" s="6"/>
      <c r="AB64294" s="6"/>
      <c r="AC64294" s="6"/>
      <c r="AD64294" s="6"/>
      <c r="AE64294" s="6"/>
      <c r="AF64294" s="6"/>
      <c r="AG64294" s="6"/>
      <c r="AH64294" s="6"/>
      <c r="AI64294" s="6"/>
      <c r="AJ64294" s="6"/>
      <c r="AK64294" s="6"/>
      <c r="AL64294" s="6"/>
      <c r="AM64294" s="6"/>
    </row>
    <row r="64295" spans="2:39" ht="9.9499999999999993" hidden="1" customHeight="1" x14ac:dyDescent="0.2">
      <c r="B64295" s="6"/>
      <c r="C64295" s="6"/>
      <c r="D64295" s="6"/>
      <c r="E64295" s="6"/>
      <c r="F64295" s="6"/>
      <c r="G64295" s="6"/>
      <c r="H64295" s="6"/>
      <c r="I64295" s="6"/>
      <c r="J64295" s="6"/>
      <c r="K64295" s="6"/>
      <c r="L64295" s="6"/>
      <c r="M64295" s="6"/>
      <c r="N64295" s="6"/>
      <c r="O64295" s="6"/>
      <c r="P64295" s="6"/>
      <c r="Q64295" s="6"/>
      <c r="R64295" s="6"/>
      <c r="S64295" s="6"/>
      <c r="T64295" s="6"/>
      <c r="U64295" s="6"/>
      <c r="V64295" s="6"/>
      <c r="W64295" s="6"/>
      <c r="X64295" s="6"/>
      <c r="Y64295" s="6"/>
      <c r="Z64295" s="6"/>
      <c r="AA64295" s="6"/>
      <c r="AB64295" s="6"/>
      <c r="AC64295" s="6"/>
      <c r="AD64295" s="6"/>
      <c r="AE64295" s="6"/>
      <c r="AF64295" s="6"/>
      <c r="AG64295" s="6"/>
      <c r="AH64295" s="6"/>
      <c r="AI64295" s="6"/>
      <c r="AJ64295" s="6"/>
      <c r="AK64295" s="6"/>
      <c r="AL64295" s="6"/>
      <c r="AM64295" s="6"/>
    </row>
    <row r="64296" spans="2:39" ht="9.9499999999999993" hidden="1" customHeight="1" x14ac:dyDescent="0.2">
      <c r="B64296" s="6"/>
      <c r="C64296" s="6"/>
      <c r="D64296" s="6"/>
      <c r="E64296" s="6"/>
      <c r="F64296" s="6"/>
      <c r="G64296" s="6"/>
      <c r="H64296" s="6"/>
      <c r="I64296" s="6"/>
      <c r="J64296" s="6"/>
      <c r="K64296" s="6"/>
      <c r="L64296" s="6"/>
      <c r="M64296" s="6"/>
      <c r="N64296" s="6"/>
      <c r="O64296" s="6"/>
      <c r="P64296" s="6"/>
      <c r="Q64296" s="6"/>
      <c r="R64296" s="6"/>
      <c r="S64296" s="6"/>
      <c r="T64296" s="6"/>
      <c r="U64296" s="6"/>
      <c r="V64296" s="6"/>
      <c r="W64296" s="6"/>
      <c r="X64296" s="6"/>
      <c r="Y64296" s="6"/>
      <c r="Z64296" s="6"/>
      <c r="AA64296" s="6"/>
      <c r="AB64296" s="6"/>
      <c r="AC64296" s="6"/>
      <c r="AD64296" s="6"/>
      <c r="AE64296" s="6"/>
      <c r="AF64296" s="6"/>
      <c r="AG64296" s="6"/>
      <c r="AH64296" s="6"/>
      <c r="AI64296" s="6"/>
      <c r="AJ64296" s="6"/>
      <c r="AK64296" s="6"/>
      <c r="AL64296" s="6"/>
      <c r="AM64296" s="6"/>
    </row>
    <row r="64297" spans="2:39" ht="9.9499999999999993" hidden="1" customHeight="1" x14ac:dyDescent="0.2">
      <c r="B64297" s="6"/>
      <c r="C64297" s="6"/>
      <c r="D64297" s="6"/>
      <c r="E64297" s="6"/>
      <c r="F64297" s="6"/>
      <c r="G64297" s="6"/>
      <c r="H64297" s="6"/>
      <c r="I64297" s="6"/>
      <c r="J64297" s="6"/>
      <c r="K64297" s="6"/>
      <c r="L64297" s="6"/>
      <c r="M64297" s="6"/>
      <c r="N64297" s="6"/>
      <c r="O64297" s="6"/>
      <c r="P64297" s="6"/>
      <c r="Q64297" s="6"/>
      <c r="R64297" s="6"/>
      <c r="S64297" s="6"/>
      <c r="T64297" s="6"/>
      <c r="U64297" s="6"/>
      <c r="V64297" s="6"/>
      <c r="W64297" s="6"/>
      <c r="X64297" s="6"/>
      <c r="Y64297" s="6"/>
      <c r="Z64297" s="6"/>
      <c r="AA64297" s="6"/>
      <c r="AB64297" s="6"/>
      <c r="AC64297" s="6"/>
      <c r="AD64297" s="6"/>
      <c r="AE64297" s="6"/>
      <c r="AF64297" s="6"/>
      <c r="AG64297" s="6"/>
      <c r="AH64297" s="6"/>
      <c r="AI64297" s="6"/>
      <c r="AJ64297" s="6"/>
      <c r="AK64297" s="6"/>
      <c r="AL64297" s="6"/>
      <c r="AM64297" s="6"/>
    </row>
    <row r="64298" spans="2:39" ht="9.9499999999999993" hidden="1" customHeight="1" x14ac:dyDescent="0.2">
      <c r="B64298" s="6"/>
      <c r="C64298" s="6"/>
      <c r="D64298" s="6"/>
      <c r="E64298" s="6"/>
      <c r="F64298" s="6"/>
      <c r="G64298" s="6"/>
      <c r="H64298" s="6"/>
      <c r="I64298" s="6"/>
      <c r="J64298" s="6"/>
      <c r="K64298" s="6"/>
      <c r="L64298" s="6"/>
      <c r="M64298" s="6"/>
      <c r="N64298" s="6"/>
      <c r="O64298" s="6"/>
      <c r="P64298" s="6"/>
      <c r="Q64298" s="6"/>
      <c r="R64298" s="6"/>
      <c r="S64298" s="6"/>
      <c r="T64298" s="6"/>
      <c r="U64298" s="6"/>
      <c r="V64298" s="6"/>
      <c r="W64298" s="6"/>
      <c r="X64298" s="6"/>
      <c r="Y64298" s="6"/>
      <c r="Z64298" s="6"/>
      <c r="AA64298" s="6"/>
      <c r="AB64298" s="6"/>
      <c r="AC64298" s="6"/>
      <c r="AD64298" s="6"/>
      <c r="AE64298" s="6"/>
      <c r="AF64298" s="6"/>
      <c r="AG64298" s="6"/>
      <c r="AH64298" s="6"/>
      <c r="AI64298" s="6"/>
      <c r="AJ64298" s="6"/>
      <c r="AK64298" s="6"/>
      <c r="AL64298" s="6"/>
      <c r="AM64298" s="6"/>
    </row>
    <row r="64299" spans="2:39" ht="9.9499999999999993" hidden="1" customHeight="1" x14ac:dyDescent="0.2">
      <c r="B64299" s="6"/>
      <c r="C64299" s="6"/>
      <c r="D64299" s="6"/>
      <c r="E64299" s="6"/>
      <c r="F64299" s="6"/>
      <c r="G64299" s="6"/>
      <c r="H64299" s="6"/>
      <c r="I64299" s="6"/>
      <c r="J64299" s="6"/>
      <c r="K64299" s="6"/>
      <c r="L64299" s="6"/>
      <c r="M64299" s="6"/>
      <c r="N64299" s="6"/>
      <c r="O64299" s="6"/>
      <c r="P64299" s="6"/>
      <c r="Q64299" s="6"/>
      <c r="R64299" s="6"/>
      <c r="S64299" s="6"/>
      <c r="T64299" s="6"/>
      <c r="U64299" s="6"/>
      <c r="V64299" s="6"/>
      <c r="W64299" s="6"/>
      <c r="X64299" s="6"/>
      <c r="Y64299" s="6"/>
      <c r="Z64299" s="6"/>
      <c r="AA64299" s="6"/>
      <c r="AB64299" s="6"/>
      <c r="AC64299" s="6"/>
      <c r="AD64299" s="6"/>
      <c r="AE64299" s="6"/>
      <c r="AF64299" s="6"/>
      <c r="AG64299" s="6"/>
      <c r="AH64299" s="6"/>
      <c r="AI64299" s="6"/>
      <c r="AJ64299" s="6"/>
      <c r="AK64299" s="6"/>
      <c r="AL64299" s="6"/>
      <c r="AM64299" s="6"/>
    </row>
    <row r="64300" spans="2:39" ht="9.9499999999999993" hidden="1" customHeight="1" x14ac:dyDescent="0.2">
      <c r="B64300" s="6"/>
      <c r="C64300" s="6"/>
      <c r="D64300" s="6"/>
      <c r="E64300" s="6"/>
      <c r="F64300" s="6"/>
      <c r="G64300" s="6"/>
      <c r="H64300" s="6"/>
      <c r="I64300" s="6"/>
      <c r="J64300" s="6"/>
      <c r="K64300" s="6"/>
      <c r="L64300" s="6"/>
      <c r="M64300" s="6"/>
      <c r="N64300" s="6"/>
      <c r="O64300" s="6"/>
      <c r="P64300" s="6"/>
      <c r="Q64300" s="6"/>
      <c r="R64300" s="6"/>
      <c r="S64300" s="6"/>
      <c r="T64300" s="6"/>
      <c r="U64300" s="6"/>
      <c r="V64300" s="6"/>
      <c r="W64300" s="6"/>
      <c r="X64300" s="6"/>
      <c r="Y64300" s="6"/>
      <c r="Z64300" s="6"/>
      <c r="AA64300" s="6"/>
      <c r="AB64300" s="6"/>
      <c r="AC64300" s="6"/>
      <c r="AD64300" s="6"/>
      <c r="AE64300" s="6"/>
      <c r="AF64300" s="6"/>
      <c r="AG64300" s="6"/>
      <c r="AH64300" s="6"/>
      <c r="AI64300" s="6"/>
      <c r="AJ64300" s="6"/>
      <c r="AK64300" s="6"/>
      <c r="AL64300" s="6"/>
      <c r="AM64300" s="6"/>
    </row>
    <row r="64301" spans="2:39" ht="9.9499999999999993" hidden="1" customHeight="1" x14ac:dyDescent="0.2">
      <c r="B64301" s="6"/>
      <c r="C64301" s="6"/>
      <c r="D64301" s="6"/>
      <c r="E64301" s="6"/>
      <c r="F64301" s="6"/>
      <c r="G64301" s="6"/>
      <c r="H64301" s="6"/>
      <c r="I64301" s="6"/>
      <c r="J64301" s="6"/>
      <c r="K64301" s="6"/>
      <c r="L64301" s="6"/>
      <c r="M64301" s="6"/>
      <c r="N64301" s="6"/>
      <c r="O64301" s="6"/>
      <c r="P64301" s="6"/>
      <c r="Q64301" s="6"/>
      <c r="R64301" s="6"/>
      <c r="S64301" s="6"/>
      <c r="T64301" s="6"/>
      <c r="U64301" s="6"/>
      <c r="V64301" s="6"/>
      <c r="W64301" s="6"/>
      <c r="X64301" s="6"/>
      <c r="Y64301" s="6"/>
      <c r="Z64301" s="6"/>
      <c r="AA64301" s="6"/>
      <c r="AB64301" s="6"/>
      <c r="AC64301" s="6"/>
      <c r="AD64301" s="6"/>
      <c r="AE64301" s="6"/>
      <c r="AF64301" s="6"/>
      <c r="AG64301" s="6"/>
      <c r="AH64301" s="6"/>
      <c r="AI64301" s="6"/>
      <c r="AJ64301" s="6"/>
      <c r="AK64301" s="6"/>
      <c r="AL64301" s="6"/>
      <c r="AM64301" s="6"/>
    </row>
    <row r="64302" spans="2:39" ht="9.9499999999999993" hidden="1" customHeight="1" x14ac:dyDescent="0.2">
      <c r="B64302" s="6"/>
      <c r="C64302" s="6"/>
      <c r="D64302" s="6"/>
      <c r="E64302" s="6"/>
      <c r="F64302" s="6"/>
      <c r="G64302" s="6"/>
      <c r="H64302" s="6"/>
      <c r="I64302" s="6"/>
      <c r="J64302" s="6"/>
      <c r="K64302" s="6"/>
      <c r="L64302" s="6"/>
      <c r="M64302" s="6"/>
      <c r="N64302" s="6"/>
      <c r="O64302" s="6"/>
      <c r="P64302" s="6"/>
      <c r="Q64302" s="6"/>
      <c r="R64302" s="6"/>
      <c r="S64302" s="6"/>
      <c r="T64302" s="6"/>
      <c r="U64302" s="6"/>
      <c r="V64302" s="6"/>
      <c r="W64302" s="6"/>
      <c r="X64302" s="6"/>
      <c r="Y64302" s="6"/>
      <c r="Z64302" s="6"/>
      <c r="AA64302" s="6"/>
      <c r="AB64302" s="6"/>
      <c r="AC64302" s="6"/>
      <c r="AD64302" s="6"/>
      <c r="AE64302" s="6"/>
      <c r="AF64302" s="6"/>
      <c r="AG64302" s="6"/>
      <c r="AH64302" s="6"/>
      <c r="AI64302" s="6"/>
      <c r="AJ64302" s="6"/>
      <c r="AK64302" s="6"/>
      <c r="AL64302" s="6"/>
      <c r="AM64302" s="6"/>
    </row>
    <row r="64303" spans="2:39" ht="9.9499999999999993" hidden="1" customHeight="1" x14ac:dyDescent="0.2">
      <c r="B64303" s="6"/>
      <c r="C64303" s="6"/>
      <c r="D64303" s="6"/>
      <c r="E64303" s="6"/>
      <c r="F64303" s="6"/>
      <c r="G64303" s="6"/>
      <c r="H64303" s="6"/>
      <c r="I64303" s="6"/>
      <c r="J64303" s="6"/>
      <c r="K64303" s="6"/>
      <c r="L64303" s="6"/>
      <c r="M64303" s="6"/>
      <c r="N64303" s="6"/>
      <c r="O64303" s="6"/>
      <c r="P64303" s="6"/>
      <c r="Q64303" s="6"/>
      <c r="R64303" s="6"/>
      <c r="S64303" s="6"/>
      <c r="T64303" s="6"/>
      <c r="U64303" s="6"/>
      <c r="V64303" s="6"/>
      <c r="W64303" s="6"/>
      <c r="X64303" s="6"/>
      <c r="Y64303" s="6"/>
      <c r="Z64303" s="6"/>
      <c r="AA64303" s="6"/>
      <c r="AB64303" s="6"/>
      <c r="AC64303" s="6"/>
      <c r="AD64303" s="6"/>
      <c r="AE64303" s="6"/>
      <c r="AF64303" s="6"/>
      <c r="AG64303" s="6"/>
      <c r="AH64303" s="6"/>
      <c r="AI64303" s="6"/>
      <c r="AJ64303" s="6"/>
      <c r="AK64303" s="6"/>
      <c r="AL64303" s="6"/>
      <c r="AM64303" s="6"/>
    </row>
    <row r="64304" spans="2:39" ht="9.9499999999999993" hidden="1" customHeight="1" x14ac:dyDescent="0.2">
      <c r="B64304" s="6"/>
      <c r="C64304" s="6"/>
      <c r="D64304" s="6"/>
      <c r="E64304" s="6"/>
      <c r="F64304" s="6"/>
      <c r="G64304" s="6"/>
      <c r="H64304" s="6"/>
      <c r="I64304" s="6"/>
      <c r="J64304" s="6"/>
      <c r="K64304" s="6"/>
      <c r="L64304" s="6"/>
      <c r="M64304" s="6"/>
      <c r="N64304" s="6"/>
      <c r="O64304" s="6"/>
      <c r="P64304" s="6"/>
      <c r="Q64304" s="6"/>
      <c r="R64304" s="6"/>
      <c r="S64304" s="6"/>
      <c r="T64304" s="6"/>
      <c r="U64304" s="6"/>
      <c r="V64304" s="6"/>
      <c r="W64304" s="6"/>
      <c r="X64304" s="6"/>
      <c r="Y64304" s="6"/>
      <c r="Z64304" s="6"/>
      <c r="AA64304" s="6"/>
      <c r="AB64304" s="6"/>
      <c r="AC64304" s="6"/>
      <c r="AD64304" s="6"/>
      <c r="AE64304" s="6"/>
      <c r="AF64304" s="6"/>
      <c r="AG64304" s="6"/>
      <c r="AH64304" s="6"/>
      <c r="AI64304" s="6"/>
      <c r="AJ64304" s="6"/>
      <c r="AK64304" s="6"/>
      <c r="AL64304" s="6"/>
      <c r="AM64304" s="6"/>
    </row>
    <row r="64305" spans="2:39" ht="9.9499999999999993" hidden="1" customHeight="1" x14ac:dyDescent="0.2">
      <c r="B64305" s="6"/>
      <c r="C64305" s="6"/>
      <c r="D64305" s="6"/>
      <c r="E64305" s="6"/>
      <c r="F64305" s="6"/>
      <c r="G64305" s="6"/>
      <c r="H64305" s="6"/>
      <c r="I64305" s="6"/>
      <c r="J64305" s="6"/>
      <c r="K64305" s="6"/>
      <c r="L64305" s="6"/>
      <c r="M64305" s="6"/>
      <c r="N64305" s="6"/>
      <c r="O64305" s="6"/>
      <c r="P64305" s="6"/>
      <c r="Q64305" s="6"/>
      <c r="R64305" s="6"/>
      <c r="S64305" s="6"/>
      <c r="T64305" s="6"/>
      <c r="U64305" s="6"/>
      <c r="V64305" s="6"/>
      <c r="W64305" s="6"/>
      <c r="X64305" s="6"/>
      <c r="Y64305" s="6"/>
      <c r="Z64305" s="6"/>
      <c r="AA64305" s="6"/>
      <c r="AB64305" s="6"/>
      <c r="AC64305" s="6"/>
      <c r="AD64305" s="6"/>
      <c r="AE64305" s="6"/>
      <c r="AF64305" s="6"/>
      <c r="AG64305" s="6"/>
      <c r="AH64305" s="6"/>
      <c r="AI64305" s="6"/>
      <c r="AJ64305" s="6"/>
      <c r="AK64305" s="6"/>
      <c r="AL64305" s="6"/>
      <c r="AM64305" s="6"/>
    </row>
    <row r="64306" spans="2:39" ht="9.9499999999999993" hidden="1" customHeight="1" x14ac:dyDescent="0.2">
      <c r="B64306" s="6"/>
      <c r="C64306" s="6"/>
      <c r="D64306" s="6"/>
      <c r="E64306" s="6"/>
      <c r="F64306" s="6"/>
      <c r="G64306" s="6"/>
      <c r="H64306" s="6"/>
      <c r="I64306" s="6"/>
      <c r="J64306" s="6"/>
      <c r="K64306" s="6"/>
      <c r="L64306" s="6"/>
      <c r="M64306" s="6"/>
      <c r="N64306" s="6"/>
      <c r="O64306" s="6"/>
      <c r="P64306" s="6"/>
      <c r="Q64306" s="6"/>
      <c r="R64306" s="6"/>
      <c r="S64306" s="6"/>
      <c r="T64306" s="6"/>
      <c r="U64306" s="6"/>
      <c r="V64306" s="6"/>
      <c r="W64306" s="6"/>
      <c r="X64306" s="6"/>
      <c r="Y64306" s="6"/>
      <c r="Z64306" s="6"/>
      <c r="AA64306" s="6"/>
      <c r="AB64306" s="6"/>
      <c r="AC64306" s="6"/>
      <c r="AD64306" s="6"/>
      <c r="AE64306" s="6"/>
      <c r="AF64306" s="6"/>
      <c r="AG64306" s="6"/>
      <c r="AH64306" s="6"/>
      <c r="AI64306" s="6"/>
      <c r="AJ64306" s="6"/>
      <c r="AK64306" s="6"/>
      <c r="AL64306" s="6"/>
      <c r="AM64306" s="6"/>
    </row>
    <row r="64307" spans="2:39" ht="9.9499999999999993" hidden="1" customHeight="1" x14ac:dyDescent="0.2">
      <c r="B64307" s="6"/>
      <c r="C64307" s="6"/>
      <c r="D64307" s="6"/>
      <c r="E64307" s="6"/>
      <c r="F64307" s="6"/>
      <c r="G64307" s="6"/>
      <c r="H64307" s="6"/>
      <c r="I64307" s="6"/>
      <c r="J64307" s="6"/>
      <c r="K64307" s="6"/>
      <c r="L64307" s="6"/>
      <c r="M64307" s="6"/>
      <c r="N64307" s="6"/>
      <c r="O64307" s="6"/>
      <c r="P64307" s="6"/>
      <c r="Q64307" s="6"/>
      <c r="R64307" s="6"/>
      <c r="S64307" s="6"/>
      <c r="T64307" s="6"/>
      <c r="U64307" s="6"/>
      <c r="V64307" s="6"/>
      <c r="W64307" s="6"/>
      <c r="X64307" s="6"/>
      <c r="Y64307" s="6"/>
      <c r="Z64307" s="6"/>
      <c r="AA64307" s="6"/>
      <c r="AB64307" s="6"/>
      <c r="AC64307" s="6"/>
      <c r="AD64307" s="6"/>
      <c r="AE64307" s="6"/>
      <c r="AF64307" s="6"/>
      <c r="AG64307" s="6"/>
      <c r="AH64307" s="6"/>
      <c r="AI64307" s="6"/>
      <c r="AJ64307" s="6"/>
      <c r="AK64307" s="6"/>
      <c r="AL64307" s="6"/>
      <c r="AM64307" s="6"/>
    </row>
    <row r="64308" spans="2:39" ht="9.9499999999999993" hidden="1" customHeight="1" x14ac:dyDescent="0.2">
      <c r="B64308" s="6"/>
      <c r="C64308" s="6"/>
      <c r="D64308" s="6"/>
      <c r="E64308" s="6"/>
      <c r="F64308" s="6"/>
      <c r="G64308" s="6"/>
      <c r="H64308" s="6"/>
      <c r="I64308" s="6"/>
      <c r="J64308" s="6"/>
      <c r="K64308" s="6"/>
      <c r="L64308" s="6"/>
      <c r="M64308" s="6"/>
      <c r="N64308" s="6"/>
      <c r="O64308" s="6"/>
      <c r="P64308" s="6"/>
      <c r="Q64308" s="6"/>
      <c r="R64308" s="6"/>
      <c r="S64308" s="6"/>
      <c r="T64308" s="6"/>
      <c r="U64308" s="6"/>
      <c r="V64308" s="6"/>
      <c r="W64308" s="6"/>
      <c r="X64308" s="6"/>
      <c r="Y64308" s="6"/>
      <c r="Z64308" s="6"/>
      <c r="AA64308" s="6"/>
      <c r="AB64308" s="6"/>
      <c r="AC64308" s="6"/>
      <c r="AD64308" s="6"/>
      <c r="AE64308" s="6"/>
      <c r="AF64308" s="6"/>
      <c r="AG64308" s="6"/>
      <c r="AH64308" s="6"/>
      <c r="AI64308" s="6"/>
      <c r="AJ64308" s="6"/>
      <c r="AK64308" s="6"/>
      <c r="AL64308" s="6"/>
      <c r="AM64308" s="6"/>
    </row>
    <row r="64309" spans="2:39" ht="9.9499999999999993" hidden="1" customHeight="1" x14ac:dyDescent="0.2">
      <c r="B64309" s="6"/>
      <c r="C64309" s="6"/>
      <c r="D64309" s="6"/>
      <c r="E64309" s="6"/>
      <c r="F64309" s="6"/>
      <c r="G64309" s="6"/>
      <c r="H64309" s="6"/>
      <c r="I64309" s="6"/>
      <c r="J64309" s="6"/>
      <c r="K64309" s="6"/>
      <c r="L64309" s="6"/>
      <c r="M64309" s="6"/>
      <c r="N64309" s="6"/>
      <c r="O64309" s="6"/>
      <c r="P64309" s="6"/>
      <c r="Q64309" s="6"/>
      <c r="R64309" s="6"/>
      <c r="S64309" s="6"/>
      <c r="T64309" s="6"/>
      <c r="U64309" s="6"/>
      <c r="V64309" s="6"/>
      <c r="W64309" s="6"/>
      <c r="X64309" s="6"/>
      <c r="Y64309" s="6"/>
      <c r="Z64309" s="6"/>
      <c r="AA64309" s="6"/>
      <c r="AB64309" s="6"/>
      <c r="AC64309" s="6"/>
      <c r="AD64309" s="6"/>
      <c r="AE64309" s="6"/>
      <c r="AF64309" s="6"/>
      <c r="AG64309" s="6"/>
      <c r="AH64309" s="6"/>
      <c r="AI64309" s="6"/>
      <c r="AJ64309" s="6"/>
      <c r="AK64309" s="6"/>
      <c r="AL64309" s="6"/>
      <c r="AM64309" s="6"/>
    </row>
    <row r="64310" spans="2:39" ht="9.9499999999999993" hidden="1" customHeight="1" x14ac:dyDescent="0.2">
      <c r="B64310" s="6"/>
      <c r="C64310" s="6"/>
      <c r="D64310" s="6"/>
      <c r="E64310" s="6"/>
      <c r="F64310" s="6"/>
      <c r="G64310" s="6"/>
      <c r="H64310" s="6"/>
      <c r="I64310" s="6"/>
      <c r="J64310" s="6"/>
      <c r="K64310" s="6"/>
      <c r="L64310" s="6"/>
      <c r="M64310" s="6"/>
      <c r="N64310" s="6"/>
      <c r="O64310" s="6"/>
      <c r="P64310" s="6"/>
      <c r="Q64310" s="6"/>
      <c r="R64310" s="6"/>
      <c r="S64310" s="6"/>
      <c r="T64310" s="6"/>
      <c r="U64310" s="6"/>
      <c r="V64310" s="6"/>
      <c r="W64310" s="6"/>
      <c r="X64310" s="6"/>
      <c r="Y64310" s="6"/>
      <c r="Z64310" s="6"/>
      <c r="AA64310" s="6"/>
      <c r="AB64310" s="6"/>
      <c r="AC64310" s="6"/>
      <c r="AD64310" s="6"/>
      <c r="AE64310" s="6"/>
      <c r="AF64310" s="6"/>
      <c r="AG64310" s="6"/>
      <c r="AH64310" s="6"/>
      <c r="AI64310" s="6"/>
      <c r="AJ64310" s="6"/>
      <c r="AK64310" s="6"/>
      <c r="AL64310" s="6"/>
      <c r="AM64310" s="6"/>
    </row>
    <row r="64311" spans="2:39" ht="9.9499999999999993" hidden="1" customHeight="1" x14ac:dyDescent="0.2">
      <c r="B64311" s="6"/>
      <c r="C64311" s="6"/>
      <c r="D64311" s="6"/>
      <c r="E64311" s="6"/>
      <c r="F64311" s="6"/>
      <c r="G64311" s="6"/>
      <c r="H64311" s="6"/>
      <c r="I64311" s="6"/>
      <c r="J64311" s="6"/>
      <c r="K64311" s="6"/>
      <c r="L64311" s="6"/>
      <c r="M64311" s="6"/>
      <c r="N64311" s="6"/>
      <c r="O64311" s="6"/>
      <c r="P64311" s="6"/>
      <c r="Q64311" s="6"/>
      <c r="R64311" s="6"/>
      <c r="S64311" s="6"/>
      <c r="T64311" s="6"/>
      <c r="U64311" s="6"/>
      <c r="V64311" s="6"/>
      <c r="W64311" s="6"/>
      <c r="X64311" s="6"/>
      <c r="Y64311" s="6"/>
      <c r="Z64311" s="6"/>
      <c r="AA64311" s="6"/>
      <c r="AB64311" s="6"/>
      <c r="AC64311" s="6"/>
      <c r="AD64311" s="6"/>
      <c r="AE64311" s="6"/>
      <c r="AF64311" s="6"/>
      <c r="AG64311" s="6"/>
      <c r="AH64311" s="6"/>
      <c r="AI64311" s="6"/>
      <c r="AJ64311" s="6"/>
      <c r="AK64311" s="6"/>
      <c r="AL64311" s="6"/>
      <c r="AM64311" s="6"/>
    </row>
    <row r="64312" spans="2:39" ht="9.9499999999999993" hidden="1" customHeight="1" x14ac:dyDescent="0.2">
      <c r="B64312" s="6"/>
      <c r="C64312" s="6"/>
      <c r="D64312" s="6"/>
      <c r="E64312" s="6"/>
      <c r="F64312" s="6"/>
      <c r="G64312" s="6"/>
      <c r="H64312" s="6"/>
      <c r="I64312" s="6"/>
      <c r="J64312" s="6"/>
      <c r="K64312" s="6"/>
      <c r="L64312" s="6"/>
      <c r="M64312" s="6"/>
      <c r="N64312" s="6"/>
      <c r="O64312" s="6"/>
      <c r="P64312" s="6"/>
      <c r="Q64312" s="6"/>
      <c r="R64312" s="6"/>
      <c r="S64312" s="6"/>
      <c r="T64312" s="6"/>
      <c r="U64312" s="6"/>
      <c r="V64312" s="6"/>
      <c r="W64312" s="6"/>
      <c r="X64312" s="6"/>
      <c r="Y64312" s="6"/>
      <c r="Z64312" s="6"/>
      <c r="AA64312" s="6"/>
      <c r="AB64312" s="6"/>
      <c r="AC64312" s="6"/>
      <c r="AD64312" s="6"/>
      <c r="AE64312" s="6"/>
      <c r="AF64312" s="6"/>
      <c r="AG64312" s="6"/>
      <c r="AH64312" s="6"/>
      <c r="AI64312" s="6"/>
      <c r="AJ64312" s="6"/>
      <c r="AK64312" s="6"/>
      <c r="AL64312" s="6"/>
      <c r="AM64312" s="6"/>
    </row>
    <row r="64313" spans="2:39" ht="9.9499999999999993" hidden="1" customHeight="1" x14ac:dyDescent="0.2">
      <c r="B64313" s="6"/>
      <c r="C64313" s="6"/>
      <c r="D64313" s="6"/>
      <c r="E64313" s="6"/>
      <c r="F64313" s="6"/>
      <c r="G64313" s="6"/>
      <c r="H64313" s="6"/>
      <c r="I64313" s="6"/>
      <c r="J64313" s="6"/>
      <c r="K64313" s="6"/>
      <c r="L64313" s="6"/>
      <c r="M64313" s="6"/>
      <c r="N64313" s="6"/>
      <c r="O64313" s="6"/>
      <c r="P64313" s="6"/>
      <c r="Q64313" s="6"/>
      <c r="R64313" s="6"/>
      <c r="S64313" s="6"/>
      <c r="T64313" s="6"/>
      <c r="U64313" s="6"/>
      <c r="V64313" s="6"/>
      <c r="W64313" s="6"/>
      <c r="X64313" s="6"/>
      <c r="Y64313" s="6"/>
      <c r="Z64313" s="6"/>
      <c r="AA64313" s="6"/>
      <c r="AB64313" s="6"/>
      <c r="AC64313" s="6"/>
      <c r="AD64313" s="6"/>
      <c r="AE64313" s="6"/>
      <c r="AF64313" s="6"/>
      <c r="AG64313" s="6"/>
      <c r="AH64313" s="6"/>
      <c r="AI64313" s="6"/>
      <c r="AJ64313" s="6"/>
      <c r="AK64313" s="6"/>
      <c r="AL64313" s="6"/>
      <c r="AM64313" s="6"/>
    </row>
    <row r="64314" spans="2:39" ht="9.9499999999999993" hidden="1" customHeight="1" x14ac:dyDescent="0.2">
      <c r="B64314" s="6"/>
      <c r="C64314" s="6"/>
      <c r="D64314" s="6"/>
      <c r="E64314" s="6"/>
      <c r="F64314" s="6"/>
      <c r="G64314" s="6"/>
      <c r="H64314" s="6"/>
      <c r="I64314" s="6"/>
      <c r="J64314" s="6"/>
      <c r="K64314" s="6"/>
      <c r="L64314" s="6"/>
      <c r="M64314" s="6"/>
      <c r="N64314" s="6"/>
      <c r="O64314" s="6"/>
      <c r="P64314" s="6"/>
      <c r="Q64314" s="6"/>
      <c r="R64314" s="6"/>
      <c r="S64314" s="6"/>
      <c r="T64314" s="6"/>
      <c r="U64314" s="6"/>
      <c r="V64314" s="6"/>
      <c r="W64314" s="6"/>
      <c r="X64314" s="6"/>
      <c r="Y64314" s="6"/>
      <c r="Z64314" s="6"/>
      <c r="AA64314" s="6"/>
      <c r="AB64314" s="6"/>
      <c r="AC64314" s="6"/>
      <c r="AD64314" s="6"/>
      <c r="AE64314" s="6"/>
      <c r="AF64314" s="6"/>
      <c r="AG64314" s="6"/>
      <c r="AH64314" s="6"/>
      <c r="AI64314" s="6"/>
      <c r="AJ64314" s="6"/>
      <c r="AK64314" s="6"/>
      <c r="AL64314" s="6"/>
      <c r="AM64314" s="6"/>
    </row>
    <row r="64315" spans="2:39" ht="9.9499999999999993" hidden="1" customHeight="1" x14ac:dyDescent="0.2">
      <c r="B64315" s="6"/>
      <c r="C64315" s="6"/>
      <c r="D64315" s="6"/>
      <c r="E64315" s="6"/>
      <c r="F64315" s="6"/>
      <c r="G64315" s="6"/>
      <c r="H64315" s="6"/>
      <c r="I64315" s="6"/>
      <c r="J64315" s="6"/>
      <c r="K64315" s="6"/>
      <c r="L64315" s="6"/>
      <c r="M64315" s="6"/>
      <c r="N64315" s="6"/>
      <c r="O64315" s="6"/>
      <c r="P64315" s="6"/>
      <c r="Q64315" s="6"/>
      <c r="R64315" s="6"/>
      <c r="S64315" s="6"/>
      <c r="T64315" s="6"/>
      <c r="U64315" s="6"/>
      <c r="V64315" s="6"/>
      <c r="W64315" s="6"/>
      <c r="X64315" s="6"/>
      <c r="Y64315" s="6"/>
      <c r="Z64315" s="6"/>
      <c r="AA64315" s="6"/>
      <c r="AB64315" s="6"/>
      <c r="AC64315" s="6"/>
      <c r="AD64315" s="6"/>
      <c r="AE64315" s="6"/>
      <c r="AF64315" s="6"/>
      <c r="AG64315" s="6"/>
      <c r="AH64315" s="6"/>
      <c r="AI64315" s="6"/>
      <c r="AJ64315" s="6"/>
      <c r="AK64315" s="6"/>
      <c r="AL64315" s="6"/>
      <c r="AM64315" s="6"/>
    </row>
    <row r="64316" spans="2:39" ht="9.9499999999999993" hidden="1" customHeight="1" x14ac:dyDescent="0.2">
      <c r="B64316" s="6"/>
      <c r="C64316" s="6"/>
      <c r="D64316" s="6"/>
      <c r="E64316" s="6"/>
      <c r="F64316" s="6"/>
      <c r="G64316" s="6"/>
      <c r="H64316" s="6"/>
      <c r="I64316" s="6"/>
      <c r="J64316" s="6"/>
      <c r="K64316" s="6"/>
      <c r="L64316" s="6"/>
      <c r="M64316" s="6"/>
      <c r="N64316" s="6"/>
      <c r="O64316" s="6"/>
      <c r="P64316" s="6"/>
      <c r="Q64316" s="6"/>
      <c r="R64316" s="6"/>
      <c r="S64316" s="6"/>
      <c r="T64316" s="6"/>
      <c r="U64316" s="6"/>
      <c r="V64316" s="6"/>
      <c r="W64316" s="6"/>
      <c r="X64316" s="6"/>
      <c r="Y64316" s="6"/>
      <c r="Z64316" s="6"/>
      <c r="AA64316" s="6"/>
      <c r="AB64316" s="6"/>
      <c r="AC64316" s="6"/>
      <c r="AD64316" s="6"/>
      <c r="AE64316" s="6"/>
      <c r="AF64316" s="6"/>
      <c r="AG64316" s="6"/>
      <c r="AH64316" s="6"/>
      <c r="AI64316" s="6"/>
      <c r="AJ64316" s="6"/>
      <c r="AK64316" s="6"/>
      <c r="AL64316" s="6"/>
      <c r="AM64316" s="6"/>
    </row>
    <row r="64317" spans="2:39" ht="9.9499999999999993" hidden="1" customHeight="1" x14ac:dyDescent="0.2">
      <c r="B64317" s="6"/>
      <c r="C64317" s="6"/>
      <c r="D64317" s="6"/>
      <c r="E64317" s="6"/>
      <c r="F64317" s="6"/>
      <c r="G64317" s="6"/>
      <c r="H64317" s="6"/>
      <c r="I64317" s="6"/>
      <c r="J64317" s="6"/>
      <c r="K64317" s="6"/>
      <c r="L64317" s="6"/>
      <c r="M64317" s="6"/>
      <c r="N64317" s="6"/>
      <c r="O64317" s="6"/>
      <c r="P64317" s="6"/>
      <c r="Q64317" s="6"/>
      <c r="R64317" s="6"/>
      <c r="S64317" s="6"/>
      <c r="T64317" s="6"/>
      <c r="U64317" s="6"/>
      <c r="V64317" s="6"/>
      <c r="W64317" s="6"/>
      <c r="X64317" s="6"/>
      <c r="Y64317" s="6"/>
      <c r="Z64317" s="6"/>
      <c r="AA64317" s="6"/>
      <c r="AB64317" s="6"/>
      <c r="AC64317" s="6"/>
      <c r="AD64317" s="6"/>
      <c r="AE64317" s="6"/>
      <c r="AF64317" s="6"/>
      <c r="AG64317" s="6"/>
      <c r="AH64317" s="6"/>
      <c r="AI64317" s="6"/>
      <c r="AJ64317" s="6"/>
      <c r="AK64317" s="6"/>
      <c r="AL64317" s="6"/>
      <c r="AM64317" s="6"/>
    </row>
    <row r="64318" spans="2:39" ht="9.9499999999999993" hidden="1" customHeight="1" x14ac:dyDescent="0.2">
      <c r="B64318" s="6"/>
      <c r="C64318" s="6"/>
      <c r="D64318" s="6"/>
      <c r="E64318" s="6"/>
      <c r="F64318" s="6"/>
      <c r="G64318" s="6"/>
      <c r="H64318" s="6"/>
      <c r="I64318" s="6"/>
      <c r="J64318" s="6"/>
      <c r="K64318" s="6"/>
      <c r="L64318" s="6"/>
      <c r="M64318" s="6"/>
      <c r="N64318" s="6"/>
      <c r="O64318" s="6"/>
      <c r="P64318" s="6"/>
      <c r="Q64318" s="6"/>
      <c r="R64318" s="6"/>
      <c r="S64318" s="6"/>
      <c r="T64318" s="6"/>
      <c r="U64318" s="6"/>
      <c r="V64318" s="6"/>
      <c r="W64318" s="6"/>
      <c r="X64318" s="6"/>
      <c r="Y64318" s="6"/>
      <c r="Z64318" s="6"/>
      <c r="AA64318" s="6"/>
      <c r="AB64318" s="6"/>
      <c r="AC64318" s="6"/>
      <c r="AD64318" s="6"/>
      <c r="AE64318" s="6"/>
      <c r="AF64318" s="6"/>
      <c r="AG64318" s="6"/>
      <c r="AH64318" s="6"/>
      <c r="AI64318" s="6"/>
      <c r="AJ64318" s="6"/>
      <c r="AK64318" s="6"/>
      <c r="AL64318" s="6"/>
      <c r="AM64318" s="6"/>
    </row>
    <row r="64319" spans="2:39" ht="9.9499999999999993" hidden="1" customHeight="1" x14ac:dyDescent="0.2">
      <c r="B64319" s="6"/>
      <c r="C64319" s="6"/>
      <c r="D64319" s="6"/>
      <c r="E64319" s="6"/>
      <c r="F64319" s="6"/>
      <c r="G64319" s="6"/>
      <c r="H64319" s="6"/>
      <c r="I64319" s="6"/>
      <c r="J64319" s="6"/>
      <c r="K64319" s="6"/>
      <c r="L64319" s="6"/>
      <c r="M64319" s="6"/>
      <c r="N64319" s="6"/>
      <c r="O64319" s="6"/>
      <c r="P64319" s="6"/>
      <c r="Q64319" s="6"/>
      <c r="R64319" s="6"/>
      <c r="S64319" s="6"/>
      <c r="T64319" s="6"/>
      <c r="U64319" s="6"/>
      <c r="V64319" s="6"/>
      <c r="W64319" s="6"/>
      <c r="X64319" s="6"/>
      <c r="Y64319" s="6"/>
      <c r="Z64319" s="6"/>
      <c r="AA64319" s="6"/>
      <c r="AB64319" s="6"/>
      <c r="AC64319" s="6"/>
      <c r="AD64319" s="6"/>
      <c r="AE64319" s="6"/>
      <c r="AF64319" s="6"/>
      <c r="AG64319" s="6"/>
      <c r="AH64319" s="6"/>
      <c r="AI64319" s="6"/>
      <c r="AJ64319" s="6"/>
      <c r="AK64319" s="6"/>
      <c r="AL64319" s="6"/>
      <c r="AM64319" s="6"/>
    </row>
    <row r="64320" spans="2:39" ht="9.9499999999999993" hidden="1" customHeight="1" x14ac:dyDescent="0.2">
      <c r="B64320" s="6"/>
      <c r="C64320" s="6"/>
      <c r="D64320" s="6"/>
      <c r="E64320" s="6"/>
      <c r="F64320" s="6"/>
      <c r="G64320" s="6"/>
      <c r="H64320" s="6"/>
      <c r="I64320" s="6"/>
      <c r="J64320" s="6"/>
      <c r="K64320" s="6"/>
      <c r="L64320" s="6"/>
      <c r="M64320" s="6"/>
      <c r="N64320" s="6"/>
      <c r="O64320" s="6"/>
      <c r="P64320" s="6"/>
      <c r="Q64320" s="6"/>
      <c r="R64320" s="6"/>
      <c r="S64320" s="6"/>
      <c r="T64320" s="6"/>
      <c r="U64320" s="6"/>
      <c r="V64320" s="6"/>
      <c r="W64320" s="6"/>
      <c r="X64320" s="6"/>
      <c r="Y64320" s="6"/>
      <c r="Z64320" s="6"/>
      <c r="AA64320" s="6"/>
      <c r="AB64320" s="6"/>
      <c r="AC64320" s="6"/>
      <c r="AD64320" s="6"/>
      <c r="AE64320" s="6"/>
      <c r="AF64320" s="6"/>
      <c r="AG64320" s="6"/>
      <c r="AH64320" s="6"/>
      <c r="AI64320" s="6"/>
      <c r="AJ64320" s="6"/>
      <c r="AK64320" s="6"/>
      <c r="AL64320" s="6"/>
      <c r="AM64320" s="6"/>
    </row>
    <row r="64321" spans="2:39" ht="9.9499999999999993" hidden="1" customHeight="1" x14ac:dyDescent="0.2">
      <c r="B64321" s="6"/>
      <c r="C64321" s="6"/>
      <c r="D64321" s="6"/>
      <c r="E64321" s="6"/>
      <c r="F64321" s="6"/>
      <c r="G64321" s="6"/>
      <c r="H64321" s="6"/>
      <c r="I64321" s="6"/>
      <c r="J64321" s="6"/>
      <c r="K64321" s="6"/>
      <c r="L64321" s="6"/>
      <c r="M64321" s="6"/>
      <c r="N64321" s="6"/>
      <c r="O64321" s="6"/>
      <c r="P64321" s="6"/>
      <c r="Q64321" s="6"/>
      <c r="R64321" s="6"/>
      <c r="S64321" s="6"/>
      <c r="T64321" s="6"/>
      <c r="U64321" s="6"/>
      <c r="V64321" s="6"/>
      <c r="W64321" s="6"/>
      <c r="X64321" s="6"/>
      <c r="Y64321" s="6"/>
      <c r="Z64321" s="6"/>
      <c r="AA64321" s="6"/>
      <c r="AB64321" s="6"/>
      <c r="AC64321" s="6"/>
      <c r="AD64321" s="6"/>
      <c r="AE64321" s="6"/>
      <c r="AF64321" s="6"/>
      <c r="AG64321" s="6"/>
      <c r="AH64321" s="6"/>
      <c r="AI64321" s="6"/>
      <c r="AJ64321" s="6"/>
      <c r="AK64321" s="6"/>
      <c r="AL64321" s="6"/>
      <c r="AM64321" s="6"/>
    </row>
    <row r="64322" spans="2:39" ht="9.9499999999999993" hidden="1" customHeight="1" x14ac:dyDescent="0.2">
      <c r="B64322" s="6"/>
      <c r="C64322" s="6"/>
      <c r="D64322" s="6"/>
      <c r="E64322" s="6"/>
      <c r="F64322" s="6"/>
      <c r="G64322" s="6"/>
      <c r="H64322" s="6"/>
      <c r="I64322" s="6"/>
      <c r="J64322" s="6"/>
      <c r="K64322" s="6"/>
      <c r="L64322" s="6"/>
      <c r="M64322" s="6"/>
      <c r="N64322" s="6"/>
      <c r="O64322" s="6"/>
      <c r="P64322" s="6"/>
      <c r="Q64322" s="6"/>
      <c r="R64322" s="6"/>
      <c r="S64322" s="6"/>
      <c r="T64322" s="6"/>
      <c r="U64322" s="6"/>
      <c r="V64322" s="6"/>
      <c r="W64322" s="6"/>
      <c r="X64322" s="6"/>
      <c r="Y64322" s="6"/>
      <c r="Z64322" s="6"/>
      <c r="AA64322" s="6"/>
      <c r="AB64322" s="6"/>
      <c r="AC64322" s="6"/>
      <c r="AD64322" s="6"/>
      <c r="AE64322" s="6"/>
      <c r="AF64322" s="6"/>
      <c r="AG64322" s="6"/>
      <c r="AH64322" s="6"/>
      <c r="AI64322" s="6"/>
      <c r="AJ64322" s="6"/>
      <c r="AK64322" s="6"/>
      <c r="AL64322" s="6"/>
      <c r="AM64322" s="6"/>
    </row>
    <row r="64323" spans="2:39" ht="9.9499999999999993" hidden="1" customHeight="1" x14ac:dyDescent="0.2">
      <c r="B64323" s="6"/>
      <c r="C64323" s="6"/>
      <c r="D64323" s="6"/>
      <c r="E64323" s="6"/>
      <c r="F64323" s="6"/>
      <c r="G64323" s="6"/>
      <c r="H64323" s="6"/>
      <c r="I64323" s="6"/>
      <c r="J64323" s="6"/>
      <c r="K64323" s="6"/>
      <c r="L64323" s="6"/>
      <c r="M64323" s="6"/>
      <c r="N64323" s="6"/>
      <c r="O64323" s="6"/>
      <c r="P64323" s="6"/>
      <c r="Q64323" s="6"/>
      <c r="R64323" s="6"/>
      <c r="S64323" s="6"/>
      <c r="T64323" s="6"/>
      <c r="U64323" s="6"/>
      <c r="V64323" s="6"/>
      <c r="W64323" s="6"/>
      <c r="X64323" s="6"/>
      <c r="Y64323" s="6"/>
      <c r="Z64323" s="6"/>
      <c r="AA64323" s="6"/>
      <c r="AB64323" s="6"/>
      <c r="AC64323" s="6"/>
      <c r="AD64323" s="6"/>
      <c r="AE64323" s="6"/>
      <c r="AF64323" s="6"/>
      <c r="AG64323" s="6"/>
      <c r="AH64323" s="6"/>
      <c r="AI64323" s="6"/>
      <c r="AJ64323" s="6"/>
      <c r="AK64323" s="6"/>
      <c r="AL64323" s="6"/>
      <c r="AM64323" s="6"/>
    </row>
    <row r="64324" spans="2:39" ht="9.9499999999999993" hidden="1" customHeight="1" x14ac:dyDescent="0.2">
      <c r="B64324" s="6"/>
      <c r="C64324" s="6"/>
      <c r="D64324" s="6"/>
      <c r="E64324" s="6"/>
      <c r="F64324" s="6"/>
      <c r="G64324" s="6"/>
      <c r="H64324" s="6"/>
      <c r="I64324" s="6"/>
      <c r="J64324" s="6"/>
      <c r="K64324" s="6"/>
      <c r="L64324" s="6"/>
      <c r="M64324" s="6"/>
      <c r="N64324" s="6"/>
      <c r="O64324" s="6"/>
      <c r="P64324" s="6"/>
      <c r="Q64324" s="6"/>
      <c r="R64324" s="6"/>
      <c r="S64324" s="6"/>
      <c r="T64324" s="6"/>
      <c r="U64324" s="6"/>
      <c r="V64324" s="6"/>
      <c r="W64324" s="6"/>
      <c r="X64324" s="6"/>
      <c r="Y64324" s="6"/>
      <c r="Z64324" s="6"/>
      <c r="AA64324" s="6"/>
      <c r="AB64324" s="6"/>
      <c r="AC64324" s="6"/>
      <c r="AD64324" s="6"/>
      <c r="AE64324" s="6"/>
      <c r="AF64324" s="6"/>
      <c r="AG64324" s="6"/>
      <c r="AH64324" s="6"/>
      <c r="AI64324" s="6"/>
      <c r="AJ64324" s="6"/>
      <c r="AK64324" s="6"/>
      <c r="AL64324" s="6"/>
      <c r="AM64324" s="6"/>
    </row>
    <row r="64325" spans="2:39" ht="9.9499999999999993" hidden="1" customHeight="1" x14ac:dyDescent="0.2">
      <c r="B64325" s="6"/>
      <c r="C64325" s="6"/>
      <c r="D64325" s="6"/>
      <c r="E64325" s="6"/>
      <c r="F64325" s="6"/>
      <c r="G64325" s="6"/>
      <c r="H64325" s="6"/>
      <c r="I64325" s="6"/>
      <c r="J64325" s="6"/>
      <c r="K64325" s="6"/>
      <c r="L64325" s="6"/>
      <c r="M64325" s="6"/>
      <c r="N64325" s="6"/>
      <c r="O64325" s="6"/>
      <c r="P64325" s="6"/>
      <c r="Q64325" s="6"/>
      <c r="R64325" s="6"/>
      <c r="S64325" s="6"/>
      <c r="T64325" s="6"/>
      <c r="U64325" s="6"/>
      <c r="V64325" s="6"/>
      <c r="W64325" s="6"/>
      <c r="X64325" s="6"/>
      <c r="Y64325" s="6"/>
      <c r="Z64325" s="6"/>
      <c r="AA64325" s="6"/>
      <c r="AB64325" s="6"/>
      <c r="AC64325" s="6"/>
      <c r="AD64325" s="6"/>
      <c r="AE64325" s="6"/>
      <c r="AF64325" s="6"/>
      <c r="AG64325" s="6"/>
      <c r="AH64325" s="6"/>
      <c r="AI64325" s="6"/>
      <c r="AJ64325" s="6"/>
      <c r="AK64325" s="6"/>
      <c r="AL64325" s="6"/>
      <c r="AM64325" s="6"/>
    </row>
    <row r="64326" spans="2:39" ht="9.9499999999999993" hidden="1" customHeight="1" x14ac:dyDescent="0.2">
      <c r="B64326" s="6"/>
      <c r="C64326" s="6"/>
      <c r="D64326" s="6"/>
      <c r="E64326" s="6"/>
      <c r="F64326" s="6"/>
      <c r="G64326" s="6"/>
      <c r="H64326" s="6"/>
      <c r="I64326" s="6"/>
      <c r="J64326" s="6"/>
      <c r="K64326" s="6"/>
      <c r="L64326" s="6"/>
      <c r="M64326" s="6"/>
      <c r="N64326" s="6"/>
      <c r="O64326" s="6"/>
      <c r="P64326" s="6"/>
      <c r="Q64326" s="6"/>
      <c r="R64326" s="6"/>
      <c r="S64326" s="6"/>
      <c r="T64326" s="6"/>
      <c r="U64326" s="6"/>
      <c r="V64326" s="6"/>
      <c r="W64326" s="6"/>
      <c r="X64326" s="6"/>
      <c r="Y64326" s="6"/>
      <c r="Z64326" s="6"/>
      <c r="AA64326" s="6"/>
      <c r="AB64326" s="6"/>
      <c r="AC64326" s="6"/>
      <c r="AD64326" s="6"/>
      <c r="AE64326" s="6"/>
      <c r="AF64326" s="6"/>
      <c r="AG64326" s="6"/>
      <c r="AH64326" s="6"/>
      <c r="AI64326" s="6"/>
      <c r="AJ64326" s="6"/>
      <c r="AK64326" s="6"/>
      <c r="AL64326" s="6"/>
      <c r="AM64326" s="6"/>
    </row>
    <row r="64327" spans="2:39" ht="9.9499999999999993" hidden="1" customHeight="1" x14ac:dyDescent="0.2">
      <c r="B64327" s="6"/>
      <c r="C64327" s="6"/>
      <c r="D64327" s="6"/>
      <c r="E64327" s="6"/>
      <c r="F64327" s="6"/>
      <c r="G64327" s="6"/>
      <c r="H64327" s="6"/>
      <c r="I64327" s="6"/>
      <c r="J64327" s="6"/>
      <c r="K64327" s="6"/>
      <c r="L64327" s="6"/>
      <c r="M64327" s="6"/>
      <c r="N64327" s="6"/>
      <c r="O64327" s="6"/>
      <c r="P64327" s="6"/>
      <c r="Q64327" s="6"/>
      <c r="R64327" s="6"/>
      <c r="S64327" s="6"/>
      <c r="T64327" s="6"/>
      <c r="U64327" s="6"/>
      <c r="V64327" s="6"/>
      <c r="W64327" s="6"/>
      <c r="X64327" s="6"/>
      <c r="Y64327" s="6"/>
      <c r="Z64327" s="6"/>
      <c r="AA64327" s="6"/>
      <c r="AB64327" s="6"/>
      <c r="AC64327" s="6"/>
      <c r="AD64327" s="6"/>
      <c r="AE64327" s="6"/>
      <c r="AF64327" s="6"/>
      <c r="AG64327" s="6"/>
      <c r="AH64327" s="6"/>
      <c r="AI64327" s="6"/>
      <c r="AJ64327" s="6"/>
      <c r="AK64327" s="6"/>
      <c r="AL64327" s="6"/>
      <c r="AM64327" s="6"/>
    </row>
    <row r="64328" spans="2:39" ht="9.9499999999999993" hidden="1" customHeight="1" x14ac:dyDescent="0.2">
      <c r="B64328" s="6"/>
      <c r="C64328" s="6"/>
      <c r="D64328" s="6"/>
      <c r="E64328" s="6"/>
      <c r="F64328" s="6"/>
      <c r="G64328" s="6"/>
      <c r="H64328" s="6"/>
      <c r="I64328" s="6"/>
      <c r="J64328" s="6"/>
      <c r="K64328" s="6"/>
      <c r="L64328" s="6"/>
      <c r="M64328" s="6"/>
      <c r="N64328" s="6"/>
      <c r="O64328" s="6"/>
      <c r="P64328" s="6"/>
      <c r="Q64328" s="6"/>
      <c r="R64328" s="6"/>
      <c r="S64328" s="6"/>
      <c r="T64328" s="6"/>
      <c r="U64328" s="6"/>
      <c r="V64328" s="6"/>
      <c r="W64328" s="6"/>
      <c r="X64328" s="6"/>
      <c r="Y64328" s="6"/>
      <c r="Z64328" s="6"/>
      <c r="AA64328" s="6"/>
      <c r="AB64328" s="6"/>
      <c r="AC64328" s="6"/>
      <c r="AD64328" s="6"/>
      <c r="AE64328" s="6"/>
      <c r="AF64328" s="6"/>
      <c r="AG64328" s="6"/>
      <c r="AH64328" s="6"/>
      <c r="AI64328" s="6"/>
      <c r="AJ64328" s="6"/>
      <c r="AK64328" s="6"/>
      <c r="AL64328" s="6"/>
      <c r="AM64328" s="6"/>
    </row>
    <row r="64329" spans="2:39" ht="9.9499999999999993" hidden="1" customHeight="1" x14ac:dyDescent="0.2">
      <c r="B64329" s="6"/>
      <c r="C64329" s="6"/>
      <c r="D64329" s="6"/>
      <c r="E64329" s="6"/>
      <c r="F64329" s="6"/>
      <c r="G64329" s="6"/>
      <c r="H64329" s="6"/>
      <c r="I64329" s="6"/>
      <c r="J64329" s="6"/>
      <c r="K64329" s="6"/>
      <c r="L64329" s="6"/>
      <c r="M64329" s="6"/>
      <c r="N64329" s="6"/>
      <c r="O64329" s="6"/>
      <c r="P64329" s="6"/>
      <c r="Q64329" s="6"/>
      <c r="R64329" s="6"/>
      <c r="S64329" s="6"/>
      <c r="T64329" s="6"/>
      <c r="U64329" s="6"/>
      <c r="V64329" s="6"/>
      <c r="W64329" s="6"/>
      <c r="X64329" s="6"/>
      <c r="Y64329" s="6"/>
      <c r="Z64329" s="6"/>
      <c r="AA64329" s="6"/>
      <c r="AB64329" s="6"/>
      <c r="AC64329" s="6"/>
      <c r="AD64329" s="6"/>
      <c r="AE64329" s="6"/>
      <c r="AF64329" s="6"/>
      <c r="AG64329" s="6"/>
      <c r="AH64329" s="6"/>
      <c r="AI64329" s="6"/>
      <c r="AJ64329" s="6"/>
      <c r="AK64329" s="6"/>
      <c r="AL64329" s="6"/>
      <c r="AM64329" s="6"/>
    </row>
    <row r="64330" spans="2:39" ht="9.9499999999999993" hidden="1" customHeight="1" x14ac:dyDescent="0.2">
      <c r="B64330" s="6"/>
      <c r="C64330" s="6"/>
      <c r="D64330" s="6"/>
      <c r="E64330" s="6"/>
      <c r="F64330" s="6"/>
      <c r="G64330" s="6"/>
      <c r="H64330" s="6"/>
      <c r="I64330" s="6"/>
      <c r="J64330" s="6"/>
      <c r="K64330" s="6"/>
      <c r="L64330" s="6"/>
      <c r="M64330" s="6"/>
      <c r="N64330" s="6"/>
      <c r="O64330" s="6"/>
      <c r="P64330" s="6"/>
      <c r="Q64330" s="6"/>
      <c r="R64330" s="6"/>
      <c r="S64330" s="6"/>
      <c r="T64330" s="6"/>
      <c r="U64330" s="6"/>
      <c r="V64330" s="6"/>
      <c r="W64330" s="6"/>
      <c r="X64330" s="6"/>
      <c r="Y64330" s="6"/>
      <c r="Z64330" s="6"/>
      <c r="AA64330" s="6"/>
      <c r="AB64330" s="6"/>
      <c r="AC64330" s="6"/>
      <c r="AD64330" s="6"/>
      <c r="AE64330" s="6"/>
      <c r="AF64330" s="6"/>
      <c r="AG64330" s="6"/>
      <c r="AH64330" s="6"/>
      <c r="AI64330" s="6"/>
      <c r="AJ64330" s="6"/>
      <c r="AK64330" s="6"/>
      <c r="AL64330" s="6"/>
      <c r="AM64330" s="6"/>
    </row>
    <row r="64331" spans="2:39" ht="9.9499999999999993" hidden="1" customHeight="1" x14ac:dyDescent="0.2">
      <c r="B64331" s="6"/>
      <c r="C64331" s="6"/>
      <c r="D64331" s="6"/>
      <c r="E64331" s="6"/>
      <c r="F64331" s="6"/>
      <c r="G64331" s="6"/>
      <c r="H64331" s="6"/>
      <c r="I64331" s="6"/>
      <c r="J64331" s="6"/>
      <c r="K64331" s="6"/>
      <c r="L64331" s="6"/>
      <c r="M64331" s="6"/>
      <c r="N64331" s="6"/>
      <c r="O64331" s="6"/>
      <c r="P64331" s="6"/>
      <c r="Q64331" s="6"/>
      <c r="R64331" s="6"/>
      <c r="S64331" s="6"/>
      <c r="T64331" s="6"/>
      <c r="U64331" s="6"/>
      <c r="V64331" s="6"/>
      <c r="W64331" s="6"/>
      <c r="X64331" s="6"/>
      <c r="Y64331" s="6"/>
      <c r="Z64331" s="6"/>
      <c r="AA64331" s="6"/>
      <c r="AB64331" s="6"/>
      <c r="AC64331" s="6"/>
      <c r="AD64331" s="6"/>
      <c r="AE64331" s="6"/>
      <c r="AF64331" s="6"/>
      <c r="AG64331" s="6"/>
      <c r="AH64331" s="6"/>
      <c r="AI64331" s="6"/>
      <c r="AJ64331" s="6"/>
      <c r="AK64331" s="6"/>
      <c r="AL64331" s="6"/>
      <c r="AM64331" s="6"/>
    </row>
    <row r="64332" spans="2:39" ht="9.9499999999999993" hidden="1" customHeight="1" x14ac:dyDescent="0.2">
      <c r="B64332" s="6"/>
      <c r="C64332" s="6"/>
      <c r="D64332" s="6"/>
      <c r="E64332" s="6"/>
      <c r="F64332" s="6"/>
      <c r="G64332" s="6"/>
      <c r="H64332" s="6"/>
      <c r="I64332" s="6"/>
      <c r="J64332" s="6"/>
      <c r="K64332" s="6"/>
      <c r="L64332" s="6"/>
      <c r="M64332" s="6"/>
      <c r="N64332" s="6"/>
      <c r="O64332" s="6"/>
      <c r="P64332" s="6"/>
      <c r="Q64332" s="6"/>
      <c r="R64332" s="6"/>
      <c r="S64332" s="6"/>
      <c r="T64332" s="6"/>
      <c r="U64332" s="6"/>
      <c r="V64332" s="6"/>
      <c r="W64332" s="6"/>
      <c r="X64332" s="6"/>
      <c r="Y64332" s="6"/>
      <c r="Z64332" s="6"/>
      <c r="AA64332" s="6"/>
      <c r="AB64332" s="6"/>
      <c r="AC64332" s="6"/>
      <c r="AD64332" s="6"/>
      <c r="AE64332" s="6"/>
      <c r="AF64332" s="6"/>
      <c r="AG64332" s="6"/>
      <c r="AH64332" s="6"/>
      <c r="AI64332" s="6"/>
      <c r="AJ64332" s="6"/>
      <c r="AK64332" s="6"/>
      <c r="AL64332" s="6"/>
      <c r="AM64332" s="6"/>
    </row>
    <row r="64333" spans="2:39" ht="9.9499999999999993" hidden="1" customHeight="1" x14ac:dyDescent="0.2">
      <c r="B64333" s="6"/>
      <c r="C64333" s="6"/>
      <c r="D64333" s="6"/>
      <c r="E64333" s="6"/>
      <c r="F64333" s="6"/>
      <c r="G64333" s="6"/>
      <c r="H64333" s="6"/>
      <c r="I64333" s="6"/>
      <c r="J64333" s="6"/>
      <c r="K64333" s="6"/>
      <c r="L64333" s="6"/>
      <c r="M64333" s="6"/>
      <c r="N64333" s="6"/>
      <c r="O64333" s="6"/>
      <c r="P64333" s="6"/>
      <c r="Q64333" s="6"/>
      <c r="R64333" s="6"/>
      <c r="S64333" s="6"/>
      <c r="T64333" s="6"/>
      <c r="U64333" s="6"/>
      <c r="V64333" s="6"/>
      <c r="W64333" s="6"/>
      <c r="X64333" s="6"/>
      <c r="Y64333" s="6"/>
      <c r="Z64333" s="6"/>
      <c r="AA64333" s="6"/>
      <c r="AB64333" s="6"/>
      <c r="AC64333" s="6"/>
      <c r="AD64333" s="6"/>
      <c r="AE64333" s="6"/>
      <c r="AF64333" s="6"/>
      <c r="AG64333" s="6"/>
      <c r="AH64333" s="6"/>
      <c r="AI64333" s="6"/>
      <c r="AJ64333" s="6"/>
      <c r="AK64333" s="6"/>
      <c r="AL64333" s="6"/>
      <c r="AM64333" s="6"/>
    </row>
    <row r="64334" spans="2:39" ht="9.9499999999999993" hidden="1" customHeight="1" x14ac:dyDescent="0.2">
      <c r="B64334" s="6"/>
      <c r="C64334" s="6"/>
      <c r="D64334" s="6"/>
      <c r="E64334" s="6"/>
      <c r="F64334" s="6"/>
      <c r="G64334" s="6"/>
      <c r="H64334" s="6"/>
      <c r="I64334" s="6"/>
      <c r="J64334" s="6"/>
      <c r="K64334" s="6"/>
      <c r="L64334" s="6"/>
      <c r="M64334" s="6"/>
      <c r="N64334" s="6"/>
      <c r="O64334" s="6"/>
      <c r="P64334" s="6"/>
      <c r="Q64334" s="6"/>
      <c r="R64334" s="6"/>
      <c r="S64334" s="6"/>
      <c r="T64334" s="6"/>
      <c r="U64334" s="6"/>
      <c r="V64334" s="6"/>
      <c r="W64334" s="6"/>
      <c r="X64334" s="6"/>
      <c r="Y64334" s="6"/>
      <c r="Z64334" s="6"/>
      <c r="AA64334" s="6"/>
      <c r="AB64334" s="6"/>
      <c r="AC64334" s="6"/>
      <c r="AD64334" s="6"/>
      <c r="AE64334" s="6"/>
      <c r="AF64334" s="6"/>
      <c r="AG64334" s="6"/>
      <c r="AH64334" s="6"/>
      <c r="AI64334" s="6"/>
      <c r="AJ64334" s="6"/>
      <c r="AK64334" s="6"/>
      <c r="AL64334" s="6"/>
      <c r="AM64334" s="6"/>
    </row>
    <row r="64335" spans="2:39" ht="9.9499999999999993" hidden="1" customHeight="1" x14ac:dyDescent="0.2">
      <c r="B64335" s="6"/>
      <c r="C64335" s="6"/>
      <c r="D64335" s="6"/>
      <c r="E64335" s="6"/>
      <c r="F64335" s="6"/>
      <c r="G64335" s="6"/>
      <c r="H64335" s="6"/>
      <c r="I64335" s="6"/>
      <c r="J64335" s="6"/>
      <c r="K64335" s="6"/>
      <c r="L64335" s="6"/>
      <c r="M64335" s="6"/>
      <c r="N64335" s="6"/>
      <c r="O64335" s="6"/>
      <c r="P64335" s="6"/>
      <c r="Q64335" s="6"/>
      <c r="R64335" s="6"/>
      <c r="S64335" s="6"/>
      <c r="T64335" s="6"/>
      <c r="U64335" s="6"/>
      <c r="V64335" s="6"/>
      <c r="W64335" s="6"/>
      <c r="X64335" s="6"/>
      <c r="Y64335" s="6"/>
      <c r="Z64335" s="6"/>
      <c r="AA64335" s="6"/>
      <c r="AB64335" s="6"/>
      <c r="AC64335" s="6"/>
      <c r="AD64335" s="6"/>
      <c r="AE64335" s="6"/>
      <c r="AF64335" s="6"/>
      <c r="AG64335" s="6"/>
      <c r="AH64335" s="6"/>
      <c r="AI64335" s="6"/>
      <c r="AJ64335" s="6"/>
      <c r="AK64335" s="6"/>
      <c r="AL64335" s="6"/>
      <c r="AM64335" s="6"/>
    </row>
    <row r="64336" spans="2:39" ht="9.9499999999999993" hidden="1" customHeight="1" x14ac:dyDescent="0.2">
      <c r="B64336" s="6"/>
      <c r="C64336" s="6"/>
      <c r="D64336" s="6"/>
      <c r="E64336" s="6"/>
      <c r="F64336" s="6"/>
      <c r="G64336" s="6"/>
      <c r="H64336" s="6"/>
      <c r="I64336" s="6"/>
      <c r="J64336" s="6"/>
      <c r="K64336" s="6"/>
      <c r="L64336" s="6"/>
      <c r="M64336" s="6"/>
      <c r="N64336" s="6"/>
      <c r="O64336" s="6"/>
      <c r="P64336" s="6"/>
      <c r="Q64336" s="6"/>
      <c r="R64336" s="6"/>
      <c r="S64336" s="6"/>
      <c r="T64336" s="6"/>
      <c r="U64336" s="6"/>
      <c r="V64336" s="6"/>
      <c r="W64336" s="6"/>
      <c r="X64336" s="6"/>
      <c r="Y64336" s="6"/>
      <c r="Z64336" s="6"/>
      <c r="AA64336" s="6"/>
      <c r="AB64336" s="6"/>
      <c r="AC64336" s="6"/>
      <c r="AD64336" s="6"/>
      <c r="AE64336" s="6"/>
      <c r="AF64336" s="6"/>
      <c r="AG64336" s="6"/>
      <c r="AH64336" s="6"/>
      <c r="AI64336" s="6"/>
      <c r="AJ64336" s="6"/>
      <c r="AK64336" s="6"/>
      <c r="AL64336" s="6"/>
      <c r="AM64336" s="6"/>
    </row>
    <row r="64337" spans="2:39" ht="9.9499999999999993" hidden="1" customHeight="1" x14ac:dyDescent="0.2">
      <c r="B64337" s="6"/>
      <c r="C64337" s="6"/>
      <c r="D64337" s="6"/>
      <c r="E64337" s="6"/>
      <c r="F64337" s="6"/>
      <c r="G64337" s="6"/>
      <c r="H64337" s="6"/>
      <c r="I64337" s="6"/>
      <c r="J64337" s="6"/>
      <c r="K64337" s="6"/>
      <c r="L64337" s="6"/>
      <c r="M64337" s="6"/>
      <c r="N64337" s="6"/>
      <c r="O64337" s="6"/>
      <c r="P64337" s="6"/>
      <c r="Q64337" s="6"/>
      <c r="R64337" s="6"/>
      <c r="S64337" s="6"/>
      <c r="T64337" s="6"/>
      <c r="U64337" s="6"/>
      <c r="V64337" s="6"/>
      <c r="W64337" s="6"/>
      <c r="X64337" s="6"/>
      <c r="Y64337" s="6"/>
      <c r="Z64337" s="6"/>
      <c r="AA64337" s="6"/>
      <c r="AB64337" s="6"/>
      <c r="AC64337" s="6"/>
      <c r="AD64337" s="6"/>
      <c r="AE64337" s="6"/>
      <c r="AF64337" s="6"/>
      <c r="AG64337" s="6"/>
      <c r="AH64337" s="6"/>
      <c r="AI64337" s="6"/>
      <c r="AJ64337" s="6"/>
      <c r="AK64337" s="6"/>
      <c r="AL64337" s="6"/>
      <c r="AM64337" s="6"/>
    </row>
    <row r="64338" spans="2:39" ht="9.9499999999999993" hidden="1" customHeight="1" x14ac:dyDescent="0.2">
      <c r="B64338" s="6"/>
      <c r="C64338" s="6"/>
      <c r="D64338" s="6"/>
      <c r="E64338" s="6"/>
      <c r="F64338" s="6"/>
      <c r="G64338" s="6"/>
      <c r="H64338" s="6"/>
      <c r="I64338" s="6"/>
      <c r="J64338" s="6"/>
      <c r="K64338" s="6"/>
      <c r="L64338" s="6"/>
      <c r="M64338" s="6"/>
      <c r="N64338" s="6"/>
      <c r="O64338" s="6"/>
      <c r="P64338" s="6"/>
      <c r="Q64338" s="6"/>
      <c r="R64338" s="6"/>
      <c r="S64338" s="6"/>
      <c r="T64338" s="6"/>
      <c r="U64338" s="6"/>
      <c r="V64338" s="6"/>
      <c r="W64338" s="6"/>
      <c r="X64338" s="6"/>
      <c r="Y64338" s="6"/>
      <c r="Z64338" s="6"/>
      <c r="AA64338" s="6"/>
      <c r="AB64338" s="6"/>
      <c r="AC64338" s="6"/>
      <c r="AD64338" s="6"/>
      <c r="AE64338" s="6"/>
      <c r="AF64338" s="6"/>
      <c r="AG64338" s="6"/>
      <c r="AH64338" s="6"/>
      <c r="AI64338" s="6"/>
      <c r="AJ64338" s="6"/>
      <c r="AK64338" s="6"/>
      <c r="AL64338" s="6"/>
      <c r="AM64338" s="6"/>
    </row>
    <row r="64339" spans="2:39" ht="9.9499999999999993" hidden="1" customHeight="1" x14ac:dyDescent="0.2">
      <c r="B64339" s="6"/>
      <c r="C64339" s="6"/>
      <c r="D64339" s="6"/>
      <c r="E64339" s="6"/>
      <c r="F64339" s="6"/>
      <c r="G64339" s="6"/>
      <c r="H64339" s="6"/>
      <c r="I64339" s="6"/>
      <c r="J64339" s="6"/>
      <c r="K64339" s="6"/>
      <c r="L64339" s="6"/>
      <c r="M64339" s="6"/>
      <c r="N64339" s="6"/>
      <c r="O64339" s="6"/>
      <c r="P64339" s="6"/>
      <c r="Q64339" s="6"/>
      <c r="R64339" s="6"/>
      <c r="S64339" s="6"/>
      <c r="T64339" s="6"/>
      <c r="U64339" s="6"/>
      <c r="V64339" s="6"/>
      <c r="W64339" s="6"/>
      <c r="X64339" s="6"/>
      <c r="Y64339" s="6"/>
      <c r="Z64339" s="6"/>
      <c r="AA64339" s="6"/>
      <c r="AB64339" s="6"/>
      <c r="AC64339" s="6"/>
      <c r="AD64339" s="6"/>
      <c r="AE64339" s="6"/>
      <c r="AF64339" s="6"/>
      <c r="AG64339" s="6"/>
      <c r="AH64339" s="6"/>
      <c r="AI64339" s="6"/>
      <c r="AJ64339" s="6"/>
      <c r="AK64339" s="6"/>
      <c r="AL64339" s="6"/>
      <c r="AM64339" s="6"/>
    </row>
    <row r="64340" spans="2:39" ht="9.9499999999999993" hidden="1" customHeight="1" x14ac:dyDescent="0.2">
      <c r="B64340" s="6"/>
      <c r="C64340" s="6"/>
      <c r="D64340" s="6"/>
      <c r="E64340" s="6"/>
      <c r="F64340" s="6"/>
      <c r="G64340" s="6"/>
      <c r="H64340" s="6"/>
      <c r="I64340" s="6"/>
      <c r="J64340" s="6"/>
      <c r="K64340" s="6"/>
      <c r="L64340" s="6"/>
      <c r="M64340" s="6"/>
      <c r="N64340" s="6"/>
      <c r="O64340" s="6"/>
      <c r="P64340" s="6"/>
      <c r="Q64340" s="6"/>
      <c r="R64340" s="6"/>
      <c r="S64340" s="6"/>
      <c r="T64340" s="6"/>
      <c r="U64340" s="6"/>
      <c r="V64340" s="6"/>
      <c r="W64340" s="6"/>
      <c r="X64340" s="6"/>
      <c r="Y64340" s="6"/>
      <c r="Z64340" s="6"/>
      <c r="AA64340" s="6"/>
      <c r="AB64340" s="6"/>
      <c r="AC64340" s="6"/>
      <c r="AD64340" s="6"/>
      <c r="AE64340" s="6"/>
      <c r="AF64340" s="6"/>
      <c r="AG64340" s="6"/>
      <c r="AH64340" s="6"/>
      <c r="AI64340" s="6"/>
      <c r="AJ64340" s="6"/>
      <c r="AK64340" s="6"/>
      <c r="AL64340" s="6"/>
      <c r="AM64340" s="6"/>
    </row>
    <row r="64341" spans="2:39" ht="9.9499999999999993" hidden="1" customHeight="1" x14ac:dyDescent="0.2">
      <c r="B64341" s="6"/>
      <c r="C64341" s="6"/>
      <c r="D64341" s="6"/>
      <c r="E64341" s="6"/>
      <c r="F64341" s="6"/>
      <c r="G64341" s="6"/>
      <c r="H64341" s="6"/>
      <c r="I64341" s="6"/>
      <c r="J64341" s="6"/>
      <c r="K64341" s="6"/>
      <c r="L64341" s="6"/>
      <c r="M64341" s="6"/>
      <c r="N64341" s="6"/>
      <c r="O64341" s="6"/>
      <c r="P64341" s="6"/>
      <c r="Q64341" s="6"/>
      <c r="R64341" s="6"/>
      <c r="S64341" s="6"/>
      <c r="T64341" s="6"/>
      <c r="U64341" s="6"/>
      <c r="V64341" s="6"/>
      <c r="W64341" s="6"/>
      <c r="X64341" s="6"/>
      <c r="Y64341" s="6"/>
      <c r="Z64341" s="6"/>
      <c r="AA64341" s="6"/>
      <c r="AB64341" s="6"/>
      <c r="AC64341" s="6"/>
      <c r="AD64341" s="6"/>
      <c r="AE64341" s="6"/>
      <c r="AF64341" s="6"/>
      <c r="AG64341" s="6"/>
      <c r="AH64341" s="6"/>
      <c r="AI64341" s="6"/>
      <c r="AJ64341" s="6"/>
      <c r="AK64341" s="6"/>
      <c r="AL64341" s="6"/>
      <c r="AM64341" s="6"/>
    </row>
    <row r="64342" spans="2:39" ht="9.9499999999999993" hidden="1" customHeight="1" x14ac:dyDescent="0.2">
      <c r="B64342" s="6"/>
      <c r="C64342" s="6"/>
      <c r="D64342" s="6"/>
      <c r="E64342" s="6"/>
      <c r="F64342" s="6"/>
      <c r="G64342" s="6"/>
      <c r="H64342" s="6"/>
      <c r="I64342" s="6"/>
      <c r="J64342" s="6"/>
      <c r="K64342" s="6"/>
      <c r="L64342" s="6"/>
      <c r="M64342" s="6"/>
      <c r="N64342" s="6"/>
      <c r="O64342" s="6"/>
      <c r="P64342" s="6"/>
      <c r="Q64342" s="6"/>
      <c r="R64342" s="6"/>
      <c r="S64342" s="6"/>
      <c r="T64342" s="6"/>
      <c r="U64342" s="6"/>
      <c r="V64342" s="6"/>
      <c r="W64342" s="6"/>
      <c r="X64342" s="6"/>
      <c r="Y64342" s="6"/>
      <c r="Z64342" s="6"/>
      <c r="AA64342" s="6"/>
      <c r="AB64342" s="6"/>
      <c r="AC64342" s="6"/>
      <c r="AD64342" s="6"/>
      <c r="AE64342" s="6"/>
      <c r="AF64342" s="6"/>
      <c r="AG64342" s="6"/>
      <c r="AH64342" s="6"/>
      <c r="AI64342" s="6"/>
      <c r="AJ64342" s="6"/>
      <c r="AK64342" s="6"/>
      <c r="AL64342" s="6"/>
      <c r="AM64342" s="6"/>
    </row>
    <row r="64343" spans="2:39" ht="9.9499999999999993" hidden="1" customHeight="1" x14ac:dyDescent="0.2">
      <c r="B64343" s="6"/>
      <c r="C64343" s="6"/>
      <c r="D64343" s="6"/>
      <c r="E64343" s="6"/>
      <c r="F64343" s="6"/>
      <c r="G64343" s="6"/>
      <c r="H64343" s="6"/>
      <c r="I64343" s="6"/>
      <c r="J64343" s="6"/>
      <c r="K64343" s="6"/>
      <c r="L64343" s="6"/>
      <c r="M64343" s="6"/>
      <c r="N64343" s="6"/>
      <c r="O64343" s="6"/>
      <c r="P64343" s="6"/>
      <c r="Q64343" s="6"/>
      <c r="R64343" s="6"/>
      <c r="S64343" s="6"/>
      <c r="T64343" s="6"/>
      <c r="U64343" s="6"/>
      <c r="V64343" s="6"/>
      <c r="W64343" s="6"/>
      <c r="X64343" s="6"/>
      <c r="Y64343" s="6"/>
      <c r="Z64343" s="6"/>
      <c r="AA64343" s="6"/>
      <c r="AB64343" s="6"/>
      <c r="AC64343" s="6"/>
      <c r="AD64343" s="6"/>
      <c r="AE64343" s="6"/>
      <c r="AF64343" s="6"/>
      <c r="AG64343" s="6"/>
      <c r="AH64343" s="6"/>
      <c r="AI64343" s="6"/>
      <c r="AJ64343" s="6"/>
      <c r="AK64343" s="6"/>
      <c r="AL64343" s="6"/>
      <c r="AM64343" s="6"/>
    </row>
    <row r="64344" spans="2:39" ht="9.9499999999999993" hidden="1" customHeight="1" x14ac:dyDescent="0.2">
      <c r="B64344" s="6"/>
      <c r="C64344" s="6"/>
      <c r="D64344" s="6"/>
      <c r="E64344" s="6"/>
      <c r="F64344" s="6"/>
      <c r="G64344" s="6"/>
      <c r="H64344" s="6"/>
      <c r="I64344" s="6"/>
      <c r="J64344" s="6"/>
      <c r="K64344" s="6"/>
      <c r="L64344" s="6"/>
      <c r="M64344" s="6"/>
      <c r="N64344" s="6"/>
      <c r="O64344" s="6"/>
      <c r="P64344" s="6"/>
      <c r="Q64344" s="6"/>
      <c r="R64344" s="6"/>
      <c r="S64344" s="6"/>
      <c r="T64344" s="6"/>
      <c r="U64344" s="6"/>
      <c r="V64344" s="6"/>
      <c r="W64344" s="6"/>
      <c r="X64344" s="6"/>
      <c r="Y64344" s="6"/>
      <c r="Z64344" s="6"/>
      <c r="AA64344" s="6"/>
      <c r="AB64344" s="6"/>
      <c r="AC64344" s="6"/>
      <c r="AD64344" s="6"/>
      <c r="AE64344" s="6"/>
      <c r="AF64344" s="6"/>
      <c r="AG64344" s="6"/>
      <c r="AH64344" s="6"/>
      <c r="AI64344" s="6"/>
      <c r="AJ64344" s="6"/>
      <c r="AK64344" s="6"/>
      <c r="AL64344" s="6"/>
      <c r="AM64344" s="6"/>
    </row>
    <row r="64345" spans="2:39" ht="9.9499999999999993" hidden="1" customHeight="1" x14ac:dyDescent="0.2">
      <c r="B64345" s="6"/>
      <c r="C64345" s="6"/>
      <c r="D64345" s="6"/>
      <c r="E64345" s="6"/>
      <c r="F64345" s="6"/>
      <c r="G64345" s="6"/>
      <c r="H64345" s="6"/>
      <c r="I64345" s="6"/>
      <c r="J64345" s="6"/>
      <c r="K64345" s="6"/>
      <c r="L64345" s="6"/>
      <c r="M64345" s="6"/>
      <c r="N64345" s="6"/>
      <c r="O64345" s="6"/>
      <c r="P64345" s="6"/>
      <c r="Q64345" s="6"/>
      <c r="R64345" s="6"/>
      <c r="S64345" s="6"/>
      <c r="T64345" s="6"/>
      <c r="U64345" s="6"/>
      <c r="V64345" s="6"/>
      <c r="W64345" s="6"/>
      <c r="X64345" s="6"/>
      <c r="Y64345" s="6"/>
      <c r="Z64345" s="6"/>
      <c r="AA64345" s="6"/>
      <c r="AB64345" s="6"/>
      <c r="AC64345" s="6"/>
      <c r="AD64345" s="6"/>
      <c r="AE64345" s="6"/>
      <c r="AF64345" s="6"/>
      <c r="AG64345" s="6"/>
      <c r="AH64345" s="6"/>
      <c r="AI64345" s="6"/>
      <c r="AJ64345" s="6"/>
      <c r="AK64345" s="6"/>
      <c r="AL64345" s="6"/>
      <c r="AM64345" s="6"/>
    </row>
    <row r="64346" spans="2:39" ht="9.9499999999999993" hidden="1" customHeight="1" x14ac:dyDescent="0.2">
      <c r="B64346" s="6"/>
      <c r="C64346" s="6"/>
      <c r="D64346" s="6"/>
      <c r="E64346" s="6"/>
      <c r="F64346" s="6"/>
      <c r="G64346" s="6"/>
      <c r="H64346" s="6"/>
      <c r="I64346" s="6"/>
      <c r="J64346" s="6"/>
      <c r="K64346" s="6"/>
      <c r="L64346" s="6"/>
      <c r="M64346" s="6"/>
      <c r="N64346" s="6"/>
      <c r="O64346" s="6"/>
      <c r="P64346" s="6"/>
      <c r="Q64346" s="6"/>
      <c r="R64346" s="6"/>
      <c r="S64346" s="6"/>
      <c r="T64346" s="6"/>
      <c r="U64346" s="6"/>
      <c r="V64346" s="6"/>
      <c r="W64346" s="6"/>
      <c r="X64346" s="6"/>
      <c r="Y64346" s="6"/>
      <c r="Z64346" s="6"/>
      <c r="AA64346" s="6"/>
      <c r="AB64346" s="6"/>
      <c r="AC64346" s="6"/>
      <c r="AD64346" s="6"/>
      <c r="AE64346" s="6"/>
      <c r="AF64346" s="6"/>
      <c r="AG64346" s="6"/>
      <c r="AH64346" s="6"/>
      <c r="AI64346" s="6"/>
      <c r="AJ64346" s="6"/>
      <c r="AK64346" s="6"/>
      <c r="AL64346" s="6"/>
      <c r="AM64346" s="6"/>
    </row>
    <row r="64347" spans="2:39" ht="9.9499999999999993" hidden="1" customHeight="1" x14ac:dyDescent="0.2">
      <c r="B64347" s="6"/>
      <c r="C64347" s="6"/>
      <c r="D64347" s="6"/>
      <c r="E64347" s="6"/>
      <c r="F64347" s="6"/>
      <c r="G64347" s="6"/>
      <c r="H64347" s="6"/>
      <c r="I64347" s="6"/>
      <c r="J64347" s="6"/>
      <c r="K64347" s="6"/>
      <c r="L64347" s="6"/>
      <c r="M64347" s="6"/>
      <c r="N64347" s="6"/>
      <c r="O64347" s="6"/>
      <c r="P64347" s="6"/>
      <c r="Q64347" s="6"/>
      <c r="R64347" s="6"/>
      <c r="S64347" s="6"/>
      <c r="T64347" s="6"/>
      <c r="U64347" s="6"/>
      <c r="V64347" s="6"/>
      <c r="W64347" s="6"/>
      <c r="X64347" s="6"/>
      <c r="Y64347" s="6"/>
      <c r="Z64347" s="6"/>
      <c r="AA64347" s="6"/>
      <c r="AB64347" s="6"/>
      <c r="AC64347" s="6"/>
      <c r="AD64347" s="6"/>
      <c r="AE64347" s="6"/>
      <c r="AF64347" s="6"/>
      <c r="AG64347" s="6"/>
      <c r="AH64347" s="6"/>
      <c r="AI64347" s="6"/>
      <c r="AJ64347" s="6"/>
      <c r="AK64347" s="6"/>
      <c r="AL64347" s="6"/>
      <c r="AM64347" s="6"/>
    </row>
    <row r="64348" spans="2:39" ht="9.9499999999999993" hidden="1" customHeight="1" x14ac:dyDescent="0.2">
      <c r="B64348" s="6"/>
      <c r="C64348" s="6"/>
      <c r="D64348" s="6"/>
      <c r="E64348" s="6"/>
      <c r="F64348" s="6"/>
      <c r="G64348" s="6"/>
      <c r="H64348" s="6"/>
      <c r="I64348" s="6"/>
      <c r="J64348" s="6"/>
      <c r="K64348" s="6"/>
      <c r="L64348" s="6"/>
      <c r="M64348" s="6"/>
      <c r="N64348" s="6"/>
      <c r="O64348" s="6"/>
      <c r="P64348" s="6"/>
      <c r="Q64348" s="6"/>
      <c r="R64348" s="6"/>
      <c r="S64348" s="6"/>
      <c r="T64348" s="6"/>
      <c r="U64348" s="6"/>
      <c r="V64348" s="6"/>
      <c r="W64348" s="6"/>
      <c r="X64348" s="6"/>
      <c r="Y64348" s="6"/>
      <c r="Z64348" s="6"/>
      <c r="AA64348" s="6"/>
      <c r="AB64348" s="6"/>
      <c r="AC64348" s="6"/>
      <c r="AD64348" s="6"/>
      <c r="AE64348" s="6"/>
      <c r="AF64348" s="6"/>
      <c r="AG64348" s="6"/>
      <c r="AH64348" s="6"/>
      <c r="AI64348" s="6"/>
      <c r="AJ64348" s="6"/>
      <c r="AK64348" s="6"/>
      <c r="AL64348" s="6"/>
      <c r="AM64348" s="6"/>
    </row>
    <row r="64349" spans="2:39" ht="9.9499999999999993" hidden="1" customHeight="1" x14ac:dyDescent="0.2">
      <c r="B64349" s="6"/>
      <c r="C64349" s="6"/>
      <c r="D64349" s="6"/>
      <c r="E64349" s="6"/>
      <c r="F64349" s="6"/>
      <c r="G64349" s="6"/>
      <c r="H64349" s="6"/>
      <c r="I64349" s="6"/>
      <c r="J64349" s="6"/>
      <c r="K64349" s="6"/>
      <c r="L64349" s="6"/>
      <c r="M64349" s="6"/>
      <c r="N64349" s="6"/>
      <c r="O64349" s="6"/>
      <c r="P64349" s="6"/>
      <c r="Q64349" s="6"/>
      <c r="R64349" s="6"/>
      <c r="S64349" s="6"/>
      <c r="T64349" s="6"/>
      <c r="U64349" s="6"/>
      <c r="V64349" s="6"/>
      <c r="W64349" s="6"/>
      <c r="X64349" s="6"/>
      <c r="Y64349" s="6"/>
      <c r="Z64349" s="6"/>
      <c r="AA64349" s="6"/>
      <c r="AB64349" s="6"/>
      <c r="AC64349" s="6"/>
      <c r="AD64349" s="6"/>
      <c r="AE64349" s="6"/>
      <c r="AF64349" s="6"/>
      <c r="AG64349" s="6"/>
      <c r="AH64349" s="6"/>
      <c r="AI64349" s="6"/>
      <c r="AJ64349" s="6"/>
      <c r="AK64349" s="6"/>
      <c r="AL64349" s="6"/>
      <c r="AM64349" s="6"/>
    </row>
    <row r="64350" spans="2:39" ht="9.9499999999999993" hidden="1" customHeight="1" x14ac:dyDescent="0.2">
      <c r="B64350" s="6"/>
      <c r="C64350" s="6"/>
      <c r="D64350" s="6"/>
      <c r="E64350" s="6"/>
      <c r="F64350" s="6"/>
      <c r="G64350" s="6"/>
      <c r="H64350" s="6"/>
      <c r="I64350" s="6"/>
      <c r="J64350" s="6"/>
      <c r="K64350" s="6"/>
      <c r="L64350" s="6"/>
      <c r="M64350" s="6"/>
      <c r="N64350" s="6"/>
      <c r="O64350" s="6"/>
      <c r="P64350" s="6"/>
      <c r="Q64350" s="6"/>
      <c r="R64350" s="6"/>
      <c r="S64350" s="6"/>
      <c r="T64350" s="6"/>
      <c r="U64350" s="6"/>
      <c r="V64350" s="6"/>
      <c r="W64350" s="6"/>
      <c r="X64350" s="6"/>
      <c r="Y64350" s="6"/>
      <c r="Z64350" s="6"/>
      <c r="AA64350" s="6"/>
      <c r="AB64350" s="6"/>
      <c r="AC64350" s="6"/>
      <c r="AD64350" s="6"/>
      <c r="AE64350" s="6"/>
      <c r="AF64350" s="6"/>
      <c r="AG64350" s="6"/>
      <c r="AH64350" s="6"/>
      <c r="AI64350" s="6"/>
      <c r="AJ64350" s="6"/>
      <c r="AK64350" s="6"/>
      <c r="AL64350" s="6"/>
      <c r="AM64350" s="6"/>
    </row>
    <row r="64351" spans="2:39" ht="9.9499999999999993" hidden="1" customHeight="1" x14ac:dyDescent="0.2">
      <c r="B64351" s="6"/>
      <c r="C64351" s="6"/>
      <c r="D64351" s="6"/>
      <c r="E64351" s="6"/>
      <c r="F64351" s="6"/>
      <c r="G64351" s="6"/>
      <c r="H64351" s="6"/>
      <c r="I64351" s="6"/>
      <c r="J64351" s="6"/>
      <c r="K64351" s="6"/>
      <c r="L64351" s="6"/>
      <c r="M64351" s="6"/>
      <c r="N64351" s="6"/>
      <c r="O64351" s="6"/>
      <c r="P64351" s="6"/>
      <c r="Q64351" s="6"/>
      <c r="R64351" s="6"/>
      <c r="S64351" s="6"/>
      <c r="T64351" s="6"/>
      <c r="U64351" s="6"/>
      <c r="V64351" s="6"/>
      <c r="W64351" s="6"/>
      <c r="X64351" s="6"/>
      <c r="Y64351" s="6"/>
      <c r="Z64351" s="6"/>
      <c r="AA64351" s="6"/>
      <c r="AB64351" s="6"/>
      <c r="AC64351" s="6"/>
      <c r="AD64351" s="6"/>
      <c r="AE64351" s="6"/>
      <c r="AF64351" s="6"/>
      <c r="AG64351" s="6"/>
      <c r="AH64351" s="6"/>
      <c r="AI64351" s="6"/>
      <c r="AJ64351" s="6"/>
      <c r="AK64351" s="6"/>
      <c r="AL64351" s="6"/>
      <c r="AM64351" s="6"/>
    </row>
    <row r="64352" spans="2:39" ht="9.9499999999999993" hidden="1" customHeight="1" x14ac:dyDescent="0.2">
      <c r="B64352" s="6"/>
      <c r="C64352" s="6"/>
      <c r="D64352" s="6"/>
      <c r="E64352" s="6"/>
      <c r="F64352" s="6"/>
      <c r="G64352" s="6"/>
      <c r="H64352" s="6"/>
      <c r="I64352" s="6"/>
      <c r="J64352" s="6"/>
      <c r="K64352" s="6"/>
      <c r="L64352" s="6"/>
      <c r="M64352" s="6"/>
      <c r="N64352" s="6"/>
      <c r="O64352" s="6"/>
      <c r="P64352" s="6"/>
      <c r="Q64352" s="6"/>
      <c r="R64352" s="6"/>
      <c r="S64352" s="6"/>
      <c r="T64352" s="6"/>
      <c r="U64352" s="6"/>
      <c r="V64352" s="6"/>
      <c r="W64352" s="6"/>
      <c r="X64352" s="6"/>
      <c r="Y64352" s="6"/>
      <c r="Z64352" s="6"/>
      <c r="AA64352" s="6"/>
      <c r="AB64352" s="6"/>
      <c r="AC64352" s="6"/>
      <c r="AD64352" s="6"/>
      <c r="AE64352" s="6"/>
      <c r="AF64352" s="6"/>
      <c r="AG64352" s="6"/>
      <c r="AH64352" s="6"/>
      <c r="AI64352" s="6"/>
      <c r="AJ64352" s="6"/>
      <c r="AK64352" s="6"/>
      <c r="AL64352" s="6"/>
      <c r="AM64352" s="6"/>
    </row>
    <row r="64353" spans="2:39" ht="9.9499999999999993" hidden="1" customHeight="1" x14ac:dyDescent="0.2">
      <c r="B64353" s="6"/>
      <c r="C64353" s="6"/>
      <c r="D64353" s="6"/>
      <c r="E64353" s="6"/>
      <c r="F64353" s="6"/>
      <c r="G64353" s="6"/>
      <c r="H64353" s="6"/>
      <c r="I64353" s="6"/>
      <c r="J64353" s="6"/>
      <c r="K64353" s="6"/>
      <c r="L64353" s="6"/>
      <c r="M64353" s="6"/>
      <c r="N64353" s="6"/>
      <c r="O64353" s="6"/>
      <c r="P64353" s="6"/>
      <c r="Q64353" s="6"/>
      <c r="R64353" s="6"/>
      <c r="S64353" s="6"/>
      <c r="T64353" s="6"/>
      <c r="U64353" s="6"/>
      <c r="V64353" s="6"/>
      <c r="W64353" s="6"/>
      <c r="X64353" s="6"/>
      <c r="Y64353" s="6"/>
      <c r="Z64353" s="6"/>
      <c r="AA64353" s="6"/>
      <c r="AB64353" s="6"/>
      <c r="AC64353" s="6"/>
      <c r="AD64353" s="6"/>
      <c r="AE64353" s="6"/>
      <c r="AF64353" s="6"/>
      <c r="AG64353" s="6"/>
      <c r="AH64353" s="6"/>
      <c r="AI64353" s="6"/>
      <c r="AJ64353" s="6"/>
      <c r="AK64353" s="6"/>
      <c r="AL64353" s="6"/>
      <c r="AM64353" s="6"/>
    </row>
    <row r="64354" spans="2:39" ht="9.9499999999999993" hidden="1" customHeight="1" x14ac:dyDescent="0.2">
      <c r="B64354" s="6"/>
      <c r="C64354" s="6"/>
      <c r="D64354" s="6"/>
      <c r="E64354" s="6"/>
      <c r="F64354" s="6"/>
      <c r="G64354" s="6"/>
      <c r="H64354" s="6"/>
      <c r="I64354" s="6"/>
      <c r="J64354" s="6"/>
      <c r="K64354" s="6"/>
      <c r="L64354" s="6"/>
      <c r="M64354" s="6"/>
      <c r="N64354" s="6"/>
      <c r="O64354" s="6"/>
      <c r="P64354" s="6"/>
      <c r="Q64354" s="6"/>
      <c r="R64354" s="6"/>
      <c r="S64354" s="6"/>
      <c r="T64354" s="6"/>
      <c r="U64354" s="6"/>
      <c r="V64354" s="6"/>
      <c r="W64354" s="6"/>
      <c r="X64354" s="6"/>
      <c r="Y64354" s="6"/>
      <c r="Z64354" s="6"/>
      <c r="AA64354" s="6"/>
      <c r="AB64354" s="6"/>
      <c r="AC64354" s="6"/>
      <c r="AD64354" s="6"/>
      <c r="AE64354" s="6"/>
      <c r="AF64354" s="6"/>
      <c r="AG64354" s="6"/>
      <c r="AH64354" s="6"/>
      <c r="AI64354" s="6"/>
      <c r="AJ64354" s="6"/>
      <c r="AK64354" s="6"/>
      <c r="AL64354" s="6"/>
      <c r="AM64354" s="6"/>
    </row>
    <row r="64355" spans="2:39" ht="9.9499999999999993" hidden="1" customHeight="1" x14ac:dyDescent="0.2">
      <c r="B64355" s="6"/>
      <c r="C64355" s="6"/>
      <c r="D64355" s="6"/>
      <c r="E64355" s="6"/>
      <c r="F64355" s="6"/>
      <c r="G64355" s="6"/>
      <c r="H64355" s="6"/>
      <c r="I64355" s="6"/>
      <c r="J64355" s="6"/>
      <c r="K64355" s="6"/>
      <c r="L64355" s="6"/>
      <c r="M64355" s="6"/>
      <c r="N64355" s="6"/>
      <c r="O64355" s="6"/>
      <c r="P64355" s="6"/>
      <c r="Q64355" s="6"/>
      <c r="R64355" s="6"/>
      <c r="S64355" s="6"/>
      <c r="T64355" s="6"/>
      <c r="U64355" s="6"/>
      <c r="V64355" s="6"/>
      <c r="W64355" s="6"/>
      <c r="X64355" s="6"/>
      <c r="Y64355" s="6"/>
      <c r="Z64355" s="6"/>
      <c r="AA64355" s="6"/>
      <c r="AB64355" s="6"/>
      <c r="AC64355" s="6"/>
      <c r="AD64355" s="6"/>
      <c r="AE64355" s="6"/>
      <c r="AF64355" s="6"/>
      <c r="AG64355" s="6"/>
      <c r="AH64355" s="6"/>
      <c r="AI64355" s="6"/>
      <c r="AJ64355" s="6"/>
      <c r="AK64355" s="6"/>
      <c r="AL64355" s="6"/>
      <c r="AM64355" s="6"/>
    </row>
    <row r="64356" spans="2:39" ht="9.9499999999999993" hidden="1" customHeight="1" x14ac:dyDescent="0.2">
      <c r="B64356" s="6"/>
      <c r="C64356" s="6"/>
      <c r="D64356" s="6"/>
      <c r="E64356" s="6"/>
      <c r="F64356" s="6"/>
      <c r="G64356" s="6"/>
      <c r="H64356" s="6"/>
      <c r="I64356" s="6"/>
      <c r="J64356" s="6"/>
      <c r="K64356" s="6"/>
      <c r="L64356" s="6"/>
      <c r="M64356" s="6"/>
      <c r="N64356" s="6"/>
      <c r="O64356" s="6"/>
      <c r="P64356" s="6"/>
      <c r="Q64356" s="6"/>
      <c r="R64356" s="6"/>
      <c r="S64356" s="6"/>
      <c r="T64356" s="6"/>
      <c r="U64356" s="6"/>
      <c r="V64356" s="6"/>
      <c r="W64356" s="6"/>
      <c r="X64356" s="6"/>
      <c r="Y64356" s="6"/>
      <c r="Z64356" s="6"/>
      <c r="AA64356" s="6"/>
      <c r="AB64356" s="6"/>
      <c r="AC64356" s="6"/>
      <c r="AD64356" s="6"/>
      <c r="AE64356" s="6"/>
      <c r="AF64356" s="6"/>
      <c r="AG64356" s="6"/>
      <c r="AH64356" s="6"/>
      <c r="AI64356" s="6"/>
      <c r="AJ64356" s="6"/>
      <c r="AK64356" s="6"/>
      <c r="AL64356" s="6"/>
      <c r="AM64356" s="6"/>
    </row>
    <row r="64357" spans="2:39" ht="9.9499999999999993" hidden="1" customHeight="1" x14ac:dyDescent="0.2">
      <c r="B64357" s="6"/>
      <c r="C64357" s="6"/>
      <c r="D64357" s="6"/>
      <c r="E64357" s="6"/>
      <c r="F64357" s="6"/>
      <c r="G64357" s="6"/>
      <c r="H64357" s="6"/>
      <c r="I64357" s="6"/>
      <c r="J64357" s="6"/>
      <c r="K64357" s="6"/>
      <c r="L64357" s="6"/>
      <c r="M64357" s="6"/>
      <c r="N64357" s="6"/>
      <c r="O64357" s="6"/>
      <c r="P64357" s="6"/>
      <c r="Q64357" s="6"/>
      <c r="R64357" s="6"/>
      <c r="S64357" s="6"/>
      <c r="T64357" s="6"/>
      <c r="U64357" s="6"/>
      <c r="V64357" s="6"/>
      <c r="W64357" s="6"/>
      <c r="X64357" s="6"/>
      <c r="Y64357" s="6"/>
      <c r="Z64357" s="6"/>
      <c r="AA64357" s="6"/>
      <c r="AB64357" s="6"/>
      <c r="AC64357" s="6"/>
      <c r="AD64357" s="6"/>
      <c r="AE64357" s="6"/>
      <c r="AF64357" s="6"/>
      <c r="AG64357" s="6"/>
      <c r="AH64357" s="6"/>
      <c r="AI64357" s="6"/>
      <c r="AJ64357" s="6"/>
      <c r="AK64357" s="6"/>
      <c r="AL64357" s="6"/>
      <c r="AM64357" s="6"/>
    </row>
    <row r="64358" spans="2:39" ht="9.9499999999999993" hidden="1" customHeight="1" x14ac:dyDescent="0.2">
      <c r="B64358" s="6"/>
      <c r="C64358" s="6"/>
      <c r="D64358" s="6"/>
      <c r="E64358" s="6"/>
      <c r="F64358" s="6"/>
      <c r="G64358" s="6"/>
      <c r="H64358" s="6"/>
      <c r="I64358" s="6"/>
      <c r="J64358" s="6"/>
      <c r="K64358" s="6"/>
      <c r="L64358" s="6"/>
      <c r="M64358" s="6"/>
      <c r="N64358" s="6"/>
      <c r="O64358" s="6"/>
      <c r="P64358" s="6"/>
      <c r="Q64358" s="6"/>
      <c r="R64358" s="6"/>
      <c r="S64358" s="6"/>
      <c r="T64358" s="6"/>
      <c r="U64358" s="6"/>
      <c r="V64358" s="6"/>
      <c r="W64358" s="6"/>
      <c r="X64358" s="6"/>
      <c r="Y64358" s="6"/>
      <c r="Z64358" s="6"/>
      <c r="AA64358" s="6"/>
      <c r="AB64358" s="6"/>
      <c r="AC64358" s="6"/>
      <c r="AD64358" s="6"/>
      <c r="AE64358" s="6"/>
      <c r="AF64358" s="6"/>
      <c r="AG64358" s="6"/>
      <c r="AH64358" s="6"/>
      <c r="AI64358" s="6"/>
      <c r="AJ64358" s="6"/>
      <c r="AK64358" s="6"/>
      <c r="AL64358" s="6"/>
      <c r="AM64358" s="6"/>
    </row>
    <row r="64359" spans="2:39" ht="9.9499999999999993" hidden="1" customHeight="1" x14ac:dyDescent="0.2">
      <c r="B64359" s="6"/>
      <c r="C64359" s="6"/>
      <c r="D64359" s="6"/>
      <c r="E64359" s="6"/>
      <c r="F64359" s="6"/>
      <c r="G64359" s="6"/>
      <c r="H64359" s="6"/>
      <c r="I64359" s="6"/>
      <c r="J64359" s="6"/>
      <c r="K64359" s="6"/>
      <c r="L64359" s="6"/>
      <c r="M64359" s="6"/>
      <c r="N64359" s="6"/>
      <c r="O64359" s="6"/>
      <c r="P64359" s="6"/>
      <c r="Q64359" s="6"/>
      <c r="R64359" s="6"/>
      <c r="S64359" s="6"/>
      <c r="T64359" s="6"/>
      <c r="U64359" s="6"/>
      <c r="V64359" s="6"/>
      <c r="W64359" s="6"/>
      <c r="X64359" s="6"/>
      <c r="Y64359" s="6"/>
      <c r="Z64359" s="6"/>
      <c r="AA64359" s="6"/>
      <c r="AB64359" s="6"/>
      <c r="AC64359" s="6"/>
      <c r="AD64359" s="6"/>
      <c r="AE64359" s="6"/>
      <c r="AF64359" s="6"/>
      <c r="AG64359" s="6"/>
      <c r="AH64359" s="6"/>
      <c r="AI64359" s="6"/>
      <c r="AJ64359" s="6"/>
      <c r="AK64359" s="6"/>
      <c r="AL64359" s="6"/>
      <c r="AM64359" s="6"/>
    </row>
    <row r="64360" spans="2:39" ht="9.9499999999999993" hidden="1" customHeight="1" x14ac:dyDescent="0.2">
      <c r="B64360" s="6"/>
      <c r="C64360" s="6"/>
      <c r="D64360" s="6"/>
      <c r="E64360" s="6"/>
      <c r="F64360" s="6"/>
      <c r="G64360" s="6"/>
      <c r="H64360" s="6"/>
      <c r="I64360" s="6"/>
      <c r="J64360" s="6"/>
      <c r="K64360" s="6"/>
      <c r="L64360" s="6"/>
      <c r="M64360" s="6"/>
      <c r="N64360" s="6"/>
      <c r="O64360" s="6"/>
      <c r="P64360" s="6"/>
      <c r="Q64360" s="6"/>
      <c r="R64360" s="6"/>
      <c r="S64360" s="6"/>
      <c r="T64360" s="6"/>
      <c r="U64360" s="6"/>
      <c r="V64360" s="6"/>
      <c r="W64360" s="6"/>
      <c r="X64360" s="6"/>
      <c r="Y64360" s="6"/>
      <c r="Z64360" s="6"/>
      <c r="AA64360" s="6"/>
      <c r="AB64360" s="6"/>
      <c r="AC64360" s="6"/>
      <c r="AD64360" s="6"/>
      <c r="AE64360" s="6"/>
      <c r="AF64360" s="6"/>
      <c r="AG64360" s="6"/>
      <c r="AH64360" s="6"/>
      <c r="AI64360" s="6"/>
      <c r="AJ64360" s="6"/>
      <c r="AK64360" s="6"/>
      <c r="AL64360" s="6"/>
      <c r="AM64360" s="6"/>
    </row>
    <row r="64361" spans="2:39" ht="9.9499999999999993" hidden="1" customHeight="1" x14ac:dyDescent="0.2">
      <c r="B64361" s="6"/>
      <c r="C64361" s="6"/>
      <c r="D64361" s="6"/>
      <c r="E64361" s="6"/>
      <c r="F64361" s="6"/>
      <c r="G64361" s="6"/>
      <c r="H64361" s="6"/>
      <c r="I64361" s="6"/>
      <c r="J64361" s="6"/>
      <c r="K64361" s="6"/>
      <c r="L64361" s="6"/>
      <c r="M64361" s="6"/>
      <c r="N64361" s="6"/>
      <c r="O64361" s="6"/>
      <c r="P64361" s="6"/>
      <c r="Q64361" s="6"/>
      <c r="R64361" s="6"/>
      <c r="S64361" s="6"/>
      <c r="T64361" s="6"/>
      <c r="U64361" s="6"/>
      <c r="V64361" s="6"/>
      <c r="W64361" s="6"/>
      <c r="X64361" s="6"/>
      <c r="Y64361" s="6"/>
      <c r="Z64361" s="6"/>
      <c r="AA64361" s="6"/>
      <c r="AB64361" s="6"/>
      <c r="AC64361" s="6"/>
      <c r="AD64361" s="6"/>
      <c r="AE64361" s="6"/>
      <c r="AF64361" s="6"/>
      <c r="AG64361" s="6"/>
      <c r="AH64361" s="6"/>
      <c r="AI64361" s="6"/>
      <c r="AJ64361" s="6"/>
      <c r="AK64361" s="6"/>
      <c r="AL64361" s="6"/>
      <c r="AM64361" s="6"/>
    </row>
    <row r="64362" spans="2:39" ht="9.9499999999999993" hidden="1" customHeight="1" x14ac:dyDescent="0.2">
      <c r="B64362" s="6"/>
      <c r="C64362" s="6"/>
      <c r="D64362" s="6"/>
      <c r="E64362" s="6"/>
      <c r="F64362" s="6"/>
      <c r="G64362" s="6"/>
      <c r="H64362" s="6"/>
      <c r="I64362" s="6"/>
      <c r="J64362" s="6"/>
      <c r="K64362" s="6"/>
      <c r="L64362" s="6"/>
      <c r="M64362" s="6"/>
      <c r="N64362" s="6"/>
      <c r="O64362" s="6"/>
      <c r="P64362" s="6"/>
      <c r="Q64362" s="6"/>
      <c r="R64362" s="6"/>
      <c r="S64362" s="6"/>
      <c r="T64362" s="6"/>
      <c r="U64362" s="6"/>
      <c r="V64362" s="6"/>
      <c r="W64362" s="6"/>
      <c r="X64362" s="6"/>
      <c r="Y64362" s="6"/>
      <c r="Z64362" s="6"/>
      <c r="AA64362" s="6"/>
      <c r="AB64362" s="6"/>
      <c r="AC64362" s="6"/>
      <c r="AD64362" s="6"/>
      <c r="AE64362" s="6"/>
      <c r="AF64362" s="6"/>
      <c r="AG64362" s="6"/>
      <c r="AH64362" s="6"/>
      <c r="AI64362" s="6"/>
      <c r="AJ64362" s="6"/>
      <c r="AK64362" s="6"/>
      <c r="AL64362" s="6"/>
      <c r="AM64362" s="6"/>
    </row>
    <row r="64363" spans="2:39" ht="9.9499999999999993" hidden="1" customHeight="1" x14ac:dyDescent="0.2">
      <c r="B64363" s="6"/>
      <c r="C64363" s="6"/>
      <c r="D64363" s="6"/>
      <c r="E64363" s="6"/>
      <c r="F64363" s="6"/>
      <c r="G64363" s="6"/>
      <c r="H64363" s="6"/>
      <c r="I64363" s="6"/>
      <c r="J64363" s="6"/>
      <c r="K64363" s="6"/>
      <c r="L64363" s="6"/>
      <c r="M64363" s="6"/>
      <c r="N64363" s="6"/>
      <c r="O64363" s="6"/>
      <c r="P64363" s="6"/>
      <c r="Q64363" s="6"/>
      <c r="R64363" s="6"/>
      <c r="S64363" s="6"/>
      <c r="T64363" s="6"/>
      <c r="U64363" s="6"/>
      <c r="V64363" s="6"/>
      <c r="W64363" s="6"/>
      <c r="X64363" s="6"/>
      <c r="Y64363" s="6"/>
      <c r="Z64363" s="6"/>
      <c r="AA64363" s="6"/>
      <c r="AB64363" s="6"/>
      <c r="AC64363" s="6"/>
      <c r="AD64363" s="6"/>
      <c r="AE64363" s="6"/>
      <c r="AF64363" s="6"/>
      <c r="AG64363" s="6"/>
      <c r="AH64363" s="6"/>
      <c r="AI64363" s="6"/>
      <c r="AJ64363" s="6"/>
      <c r="AK64363" s="6"/>
      <c r="AL64363" s="6"/>
      <c r="AM64363" s="6"/>
    </row>
    <row r="64364" spans="2:39" ht="9.9499999999999993" hidden="1" customHeight="1" x14ac:dyDescent="0.2">
      <c r="B64364" s="6"/>
      <c r="C64364" s="6"/>
      <c r="D64364" s="6"/>
      <c r="E64364" s="6"/>
      <c r="F64364" s="6"/>
      <c r="G64364" s="6"/>
      <c r="H64364" s="6"/>
      <c r="I64364" s="6"/>
      <c r="J64364" s="6"/>
      <c r="K64364" s="6"/>
      <c r="L64364" s="6"/>
      <c r="M64364" s="6"/>
      <c r="N64364" s="6"/>
      <c r="O64364" s="6"/>
      <c r="P64364" s="6"/>
      <c r="Q64364" s="6"/>
      <c r="R64364" s="6"/>
      <c r="S64364" s="6"/>
      <c r="T64364" s="6"/>
      <c r="U64364" s="6"/>
      <c r="V64364" s="6"/>
      <c r="W64364" s="6"/>
      <c r="X64364" s="6"/>
      <c r="Y64364" s="6"/>
      <c r="Z64364" s="6"/>
      <c r="AA64364" s="6"/>
      <c r="AB64364" s="6"/>
      <c r="AC64364" s="6"/>
      <c r="AD64364" s="6"/>
      <c r="AE64364" s="6"/>
      <c r="AF64364" s="6"/>
      <c r="AG64364" s="6"/>
      <c r="AH64364" s="6"/>
      <c r="AI64364" s="6"/>
      <c r="AJ64364" s="6"/>
      <c r="AK64364" s="6"/>
      <c r="AL64364" s="6"/>
      <c r="AM64364" s="6"/>
    </row>
    <row r="64365" spans="2:39" ht="9.9499999999999993" hidden="1" customHeight="1" x14ac:dyDescent="0.2">
      <c r="B64365" s="6"/>
      <c r="C64365" s="6"/>
      <c r="D64365" s="6"/>
      <c r="E64365" s="6"/>
      <c r="F64365" s="6"/>
      <c r="G64365" s="6"/>
      <c r="H64365" s="6"/>
      <c r="I64365" s="6"/>
      <c r="J64365" s="6"/>
      <c r="K64365" s="6"/>
      <c r="L64365" s="6"/>
      <c r="M64365" s="6"/>
      <c r="N64365" s="6"/>
      <c r="O64365" s="6"/>
      <c r="P64365" s="6"/>
      <c r="Q64365" s="6"/>
      <c r="R64365" s="6"/>
      <c r="S64365" s="6"/>
      <c r="T64365" s="6"/>
      <c r="U64365" s="6"/>
      <c r="V64365" s="6"/>
      <c r="W64365" s="6"/>
      <c r="X64365" s="6"/>
      <c r="Y64365" s="6"/>
      <c r="Z64365" s="6"/>
      <c r="AA64365" s="6"/>
      <c r="AB64365" s="6"/>
      <c r="AC64365" s="6"/>
      <c r="AD64365" s="6"/>
      <c r="AE64365" s="6"/>
      <c r="AF64365" s="6"/>
      <c r="AG64365" s="6"/>
      <c r="AH64365" s="6"/>
      <c r="AI64365" s="6"/>
      <c r="AJ64365" s="6"/>
      <c r="AK64365" s="6"/>
      <c r="AL64365" s="6"/>
      <c r="AM64365" s="6"/>
    </row>
    <row r="64366" spans="2:39" ht="9.9499999999999993" hidden="1" customHeight="1" x14ac:dyDescent="0.2">
      <c r="B64366" s="6"/>
      <c r="C64366" s="6"/>
      <c r="D64366" s="6"/>
      <c r="E64366" s="6"/>
      <c r="F64366" s="6"/>
      <c r="G64366" s="6"/>
      <c r="H64366" s="6"/>
      <c r="I64366" s="6"/>
      <c r="J64366" s="6"/>
      <c r="K64366" s="6"/>
      <c r="L64366" s="6"/>
      <c r="M64366" s="6"/>
      <c r="N64366" s="6"/>
      <c r="O64366" s="6"/>
      <c r="P64366" s="6"/>
      <c r="Q64366" s="6"/>
      <c r="R64366" s="6"/>
      <c r="S64366" s="6"/>
      <c r="T64366" s="6"/>
      <c r="U64366" s="6"/>
      <c r="V64366" s="6"/>
      <c r="W64366" s="6"/>
      <c r="X64366" s="6"/>
      <c r="Y64366" s="6"/>
      <c r="Z64366" s="6"/>
      <c r="AA64366" s="6"/>
      <c r="AB64366" s="6"/>
      <c r="AC64366" s="6"/>
      <c r="AD64366" s="6"/>
      <c r="AE64366" s="6"/>
      <c r="AF64366" s="6"/>
      <c r="AG64366" s="6"/>
      <c r="AH64366" s="6"/>
      <c r="AI64366" s="6"/>
      <c r="AJ64366" s="6"/>
      <c r="AK64366" s="6"/>
      <c r="AL64366" s="6"/>
      <c r="AM64366" s="6"/>
    </row>
    <row r="64367" spans="2:39" ht="9.9499999999999993" hidden="1" customHeight="1" x14ac:dyDescent="0.2">
      <c r="B64367" s="6"/>
      <c r="C64367" s="6"/>
      <c r="D64367" s="6"/>
      <c r="E64367" s="6"/>
      <c r="F64367" s="6"/>
      <c r="G64367" s="6"/>
      <c r="H64367" s="6"/>
      <c r="I64367" s="6"/>
      <c r="J64367" s="6"/>
      <c r="K64367" s="6"/>
      <c r="L64367" s="6"/>
      <c r="M64367" s="6"/>
      <c r="N64367" s="6"/>
      <c r="O64367" s="6"/>
      <c r="P64367" s="6"/>
      <c r="Q64367" s="6"/>
      <c r="R64367" s="6"/>
      <c r="S64367" s="6"/>
      <c r="T64367" s="6"/>
      <c r="U64367" s="6"/>
      <c r="V64367" s="6"/>
      <c r="W64367" s="6"/>
      <c r="X64367" s="6"/>
      <c r="Y64367" s="6"/>
      <c r="Z64367" s="6"/>
      <c r="AA64367" s="6"/>
      <c r="AB64367" s="6"/>
      <c r="AC64367" s="6"/>
      <c r="AD64367" s="6"/>
      <c r="AE64367" s="6"/>
      <c r="AF64367" s="6"/>
      <c r="AG64367" s="6"/>
      <c r="AH64367" s="6"/>
      <c r="AI64367" s="6"/>
      <c r="AJ64367" s="6"/>
      <c r="AK64367" s="6"/>
      <c r="AL64367" s="6"/>
      <c r="AM64367" s="6"/>
    </row>
    <row r="64368" spans="2:39" ht="9.9499999999999993" hidden="1" customHeight="1" x14ac:dyDescent="0.2">
      <c r="B64368" s="6"/>
      <c r="C64368" s="6"/>
      <c r="D64368" s="6"/>
      <c r="E64368" s="6"/>
      <c r="F64368" s="6"/>
      <c r="G64368" s="6"/>
      <c r="H64368" s="6"/>
      <c r="I64368" s="6"/>
      <c r="J64368" s="6"/>
      <c r="K64368" s="6"/>
      <c r="L64368" s="6"/>
      <c r="M64368" s="6"/>
      <c r="N64368" s="6"/>
      <c r="O64368" s="6"/>
      <c r="P64368" s="6"/>
      <c r="Q64368" s="6"/>
      <c r="R64368" s="6"/>
      <c r="S64368" s="6"/>
      <c r="T64368" s="6"/>
      <c r="U64368" s="6"/>
      <c r="V64368" s="6"/>
      <c r="W64368" s="6"/>
      <c r="X64368" s="6"/>
      <c r="Y64368" s="6"/>
      <c r="Z64368" s="6"/>
      <c r="AA64368" s="6"/>
      <c r="AB64368" s="6"/>
      <c r="AC64368" s="6"/>
      <c r="AD64368" s="6"/>
      <c r="AE64368" s="6"/>
      <c r="AF64368" s="6"/>
      <c r="AG64368" s="6"/>
      <c r="AH64368" s="6"/>
      <c r="AI64368" s="6"/>
      <c r="AJ64368" s="6"/>
      <c r="AK64368" s="6"/>
      <c r="AL64368" s="6"/>
      <c r="AM64368" s="6"/>
    </row>
    <row r="64369" spans="2:39" ht="9.9499999999999993" hidden="1" customHeight="1" x14ac:dyDescent="0.2">
      <c r="B64369" s="6"/>
      <c r="C64369" s="6"/>
      <c r="D64369" s="6"/>
      <c r="E64369" s="6"/>
      <c r="F64369" s="6"/>
      <c r="G64369" s="6"/>
      <c r="H64369" s="6"/>
      <c r="I64369" s="6"/>
      <c r="J64369" s="6"/>
      <c r="K64369" s="6"/>
      <c r="L64369" s="6"/>
      <c r="M64369" s="6"/>
      <c r="N64369" s="6"/>
      <c r="O64369" s="6"/>
      <c r="P64369" s="6"/>
      <c r="Q64369" s="6"/>
      <c r="R64369" s="6"/>
      <c r="S64369" s="6"/>
      <c r="T64369" s="6"/>
      <c r="U64369" s="6"/>
      <c r="V64369" s="6"/>
      <c r="W64369" s="6"/>
      <c r="X64369" s="6"/>
      <c r="Y64369" s="6"/>
      <c r="Z64369" s="6"/>
      <c r="AA64369" s="6"/>
      <c r="AB64369" s="6"/>
      <c r="AC64369" s="6"/>
      <c r="AD64369" s="6"/>
      <c r="AE64369" s="6"/>
      <c r="AF64369" s="6"/>
      <c r="AG64369" s="6"/>
      <c r="AH64369" s="6"/>
      <c r="AI64369" s="6"/>
      <c r="AJ64369" s="6"/>
      <c r="AK64369" s="6"/>
      <c r="AL64369" s="6"/>
      <c r="AM64369" s="6"/>
    </row>
    <row r="64370" spans="2:39" ht="9.9499999999999993" hidden="1" customHeight="1" x14ac:dyDescent="0.2">
      <c r="B64370" s="6"/>
      <c r="C64370" s="6"/>
      <c r="D64370" s="6"/>
      <c r="E64370" s="6"/>
      <c r="F64370" s="6"/>
      <c r="G64370" s="6"/>
      <c r="H64370" s="6"/>
      <c r="I64370" s="6"/>
      <c r="J64370" s="6"/>
      <c r="K64370" s="6"/>
      <c r="L64370" s="6"/>
      <c r="M64370" s="6"/>
      <c r="N64370" s="6"/>
      <c r="O64370" s="6"/>
      <c r="P64370" s="6"/>
      <c r="Q64370" s="6"/>
      <c r="R64370" s="6"/>
      <c r="S64370" s="6"/>
      <c r="T64370" s="6"/>
      <c r="U64370" s="6"/>
      <c r="V64370" s="6"/>
      <c r="W64370" s="6"/>
      <c r="X64370" s="6"/>
      <c r="Y64370" s="6"/>
      <c r="Z64370" s="6"/>
      <c r="AA64370" s="6"/>
      <c r="AB64370" s="6"/>
      <c r="AC64370" s="6"/>
      <c r="AD64370" s="6"/>
      <c r="AE64370" s="6"/>
      <c r="AF64370" s="6"/>
      <c r="AG64370" s="6"/>
      <c r="AH64370" s="6"/>
      <c r="AI64370" s="6"/>
      <c r="AJ64370" s="6"/>
      <c r="AK64370" s="6"/>
      <c r="AL64370" s="6"/>
      <c r="AM64370" s="6"/>
    </row>
    <row r="64371" spans="2:39" ht="9.9499999999999993" hidden="1" customHeight="1" x14ac:dyDescent="0.2">
      <c r="B64371" s="6"/>
      <c r="C64371" s="6"/>
      <c r="D64371" s="6"/>
      <c r="E64371" s="6"/>
      <c r="F64371" s="6"/>
      <c r="G64371" s="6"/>
      <c r="H64371" s="6"/>
      <c r="I64371" s="6"/>
      <c r="J64371" s="6"/>
      <c r="K64371" s="6"/>
      <c r="L64371" s="6"/>
      <c r="M64371" s="6"/>
      <c r="N64371" s="6"/>
      <c r="O64371" s="6"/>
      <c r="P64371" s="6"/>
      <c r="Q64371" s="6"/>
      <c r="R64371" s="6"/>
      <c r="S64371" s="6"/>
      <c r="T64371" s="6"/>
      <c r="U64371" s="6"/>
      <c r="V64371" s="6"/>
      <c r="W64371" s="6"/>
      <c r="X64371" s="6"/>
      <c r="Y64371" s="6"/>
      <c r="Z64371" s="6"/>
      <c r="AA64371" s="6"/>
      <c r="AB64371" s="6"/>
      <c r="AC64371" s="6"/>
      <c r="AD64371" s="6"/>
      <c r="AE64371" s="6"/>
      <c r="AF64371" s="6"/>
      <c r="AG64371" s="6"/>
      <c r="AH64371" s="6"/>
      <c r="AI64371" s="6"/>
      <c r="AJ64371" s="6"/>
      <c r="AK64371" s="6"/>
      <c r="AL64371" s="6"/>
      <c r="AM64371" s="6"/>
    </row>
    <row r="64372" spans="2:39" ht="9.9499999999999993" hidden="1" customHeight="1" x14ac:dyDescent="0.2">
      <c r="B64372" s="6"/>
      <c r="C64372" s="6"/>
      <c r="D64372" s="6"/>
      <c r="E64372" s="6"/>
      <c r="F64372" s="6"/>
      <c r="G64372" s="6"/>
      <c r="H64372" s="6"/>
      <c r="I64372" s="6"/>
      <c r="J64372" s="6"/>
      <c r="K64372" s="6"/>
      <c r="L64372" s="6"/>
      <c r="M64372" s="6"/>
      <c r="N64372" s="6"/>
      <c r="O64372" s="6"/>
      <c r="P64372" s="6"/>
      <c r="Q64372" s="6"/>
      <c r="R64372" s="6"/>
      <c r="S64372" s="6"/>
      <c r="T64372" s="6"/>
      <c r="U64372" s="6"/>
      <c r="V64372" s="6"/>
      <c r="W64372" s="6"/>
      <c r="X64372" s="6"/>
      <c r="Y64372" s="6"/>
      <c r="Z64372" s="6"/>
      <c r="AA64372" s="6"/>
      <c r="AB64372" s="6"/>
      <c r="AC64372" s="6"/>
      <c r="AD64372" s="6"/>
      <c r="AE64372" s="6"/>
      <c r="AF64372" s="6"/>
      <c r="AG64372" s="6"/>
      <c r="AH64372" s="6"/>
      <c r="AI64372" s="6"/>
      <c r="AJ64372" s="6"/>
      <c r="AK64372" s="6"/>
      <c r="AL64372" s="6"/>
      <c r="AM64372" s="6"/>
    </row>
    <row r="64373" spans="2:39" ht="9.9499999999999993" hidden="1" customHeight="1" x14ac:dyDescent="0.2">
      <c r="B64373" s="6"/>
      <c r="C64373" s="6"/>
      <c r="D64373" s="6"/>
      <c r="E64373" s="6"/>
      <c r="F64373" s="6"/>
      <c r="G64373" s="6"/>
      <c r="H64373" s="6"/>
      <c r="I64373" s="6"/>
      <c r="J64373" s="6"/>
      <c r="K64373" s="6"/>
      <c r="L64373" s="6"/>
      <c r="M64373" s="6"/>
      <c r="N64373" s="6"/>
      <c r="O64373" s="6"/>
      <c r="P64373" s="6"/>
      <c r="Q64373" s="6"/>
      <c r="R64373" s="6"/>
      <c r="S64373" s="6"/>
      <c r="T64373" s="6"/>
      <c r="U64373" s="6"/>
      <c r="V64373" s="6"/>
      <c r="W64373" s="6"/>
      <c r="X64373" s="6"/>
      <c r="Y64373" s="6"/>
      <c r="Z64373" s="6"/>
      <c r="AA64373" s="6"/>
      <c r="AB64373" s="6"/>
      <c r="AC64373" s="6"/>
      <c r="AD64373" s="6"/>
      <c r="AE64373" s="6"/>
      <c r="AF64373" s="6"/>
      <c r="AG64373" s="6"/>
      <c r="AH64373" s="6"/>
      <c r="AI64373" s="6"/>
      <c r="AJ64373" s="6"/>
      <c r="AK64373" s="6"/>
      <c r="AL64373" s="6"/>
      <c r="AM64373" s="6"/>
    </row>
    <row r="64374" spans="2:39" ht="9.9499999999999993" hidden="1" customHeight="1" x14ac:dyDescent="0.2">
      <c r="B64374" s="6"/>
      <c r="C64374" s="6"/>
      <c r="D64374" s="6"/>
      <c r="E64374" s="6"/>
      <c r="F64374" s="6"/>
      <c r="G64374" s="6"/>
      <c r="H64374" s="6"/>
      <c r="I64374" s="6"/>
      <c r="J64374" s="6"/>
      <c r="K64374" s="6"/>
      <c r="L64374" s="6"/>
      <c r="M64374" s="6"/>
      <c r="N64374" s="6"/>
      <c r="O64374" s="6"/>
      <c r="P64374" s="6"/>
      <c r="Q64374" s="6"/>
      <c r="R64374" s="6"/>
      <c r="S64374" s="6"/>
      <c r="T64374" s="6"/>
      <c r="U64374" s="6"/>
      <c r="V64374" s="6"/>
      <c r="W64374" s="6"/>
      <c r="X64374" s="6"/>
      <c r="Y64374" s="6"/>
      <c r="Z64374" s="6"/>
      <c r="AA64374" s="6"/>
      <c r="AB64374" s="6"/>
      <c r="AC64374" s="6"/>
      <c r="AD64374" s="6"/>
      <c r="AE64374" s="6"/>
      <c r="AF64374" s="6"/>
      <c r="AG64374" s="6"/>
      <c r="AH64374" s="6"/>
      <c r="AI64374" s="6"/>
      <c r="AJ64374" s="6"/>
      <c r="AK64374" s="6"/>
      <c r="AL64374" s="6"/>
      <c r="AM64374" s="6"/>
    </row>
    <row r="64375" spans="2:39" ht="9.9499999999999993" hidden="1" customHeight="1" x14ac:dyDescent="0.2">
      <c r="B64375" s="6"/>
      <c r="C64375" s="6"/>
      <c r="D64375" s="6"/>
      <c r="E64375" s="6"/>
      <c r="F64375" s="6"/>
      <c r="G64375" s="6"/>
      <c r="H64375" s="6"/>
      <c r="I64375" s="6"/>
      <c r="J64375" s="6"/>
      <c r="K64375" s="6"/>
      <c r="L64375" s="6"/>
      <c r="M64375" s="6"/>
      <c r="N64375" s="6"/>
      <c r="O64375" s="6"/>
      <c r="P64375" s="6"/>
      <c r="Q64375" s="6"/>
      <c r="R64375" s="6"/>
      <c r="S64375" s="6"/>
      <c r="T64375" s="6"/>
      <c r="U64375" s="6"/>
      <c r="V64375" s="6"/>
      <c r="W64375" s="6"/>
      <c r="X64375" s="6"/>
      <c r="Y64375" s="6"/>
      <c r="Z64375" s="6"/>
      <c r="AA64375" s="6"/>
      <c r="AB64375" s="6"/>
      <c r="AC64375" s="6"/>
      <c r="AD64375" s="6"/>
      <c r="AE64375" s="6"/>
      <c r="AF64375" s="6"/>
      <c r="AG64375" s="6"/>
      <c r="AH64375" s="6"/>
      <c r="AI64375" s="6"/>
      <c r="AJ64375" s="6"/>
      <c r="AK64375" s="6"/>
      <c r="AL64375" s="6"/>
      <c r="AM64375" s="6"/>
    </row>
    <row r="64376" spans="2:39" ht="9.9499999999999993" hidden="1" customHeight="1" x14ac:dyDescent="0.2">
      <c r="B64376" s="6"/>
      <c r="C64376" s="6"/>
      <c r="D64376" s="6"/>
      <c r="E64376" s="6"/>
      <c r="F64376" s="6"/>
      <c r="G64376" s="6"/>
      <c r="H64376" s="6"/>
      <c r="I64376" s="6"/>
      <c r="J64376" s="6"/>
      <c r="K64376" s="6"/>
      <c r="L64376" s="6"/>
      <c r="M64376" s="6"/>
      <c r="N64376" s="6"/>
      <c r="O64376" s="6"/>
      <c r="P64376" s="6"/>
      <c r="Q64376" s="6"/>
      <c r="R64376" s="6"/>
      <c r="S64376" s="6"/>
      <c r="T64376" s="6"/>
      <c r="U64376" s="6"/>
      <c r="V64376" s="6"/>
      <c r="W64376" s="6"/>
      <c r="X64376" s="6"/>
      <c r="Y64376" s="6"/>
      <c r="Z64376" s="6"/>
      <c r="AA64376" s="6"/>
      <c r="AB64376" s="6"/>
      <c r="AC64376" s="6"/>
      <c r="AD64376" s="6"/>
      <c r="AE64376" s="6"/>
      <c r="AF64376" s="6"/>
      <c r="AG64376" s="6"/>
      <c r="AH64376" s="6"/>
      <c r="AI64376" s="6"/>
      <c r="AJ64376" s="6"/>
      <c r="AK64376" s="6"/>
      <c r="AL64376" s="6"/>
      <c r="AM64376" s="6"/>
    </row>
    <row r="64377" spans="2:39" ht="9.9499999999999993" hidden="1" customHeight="1" x14ac:dyDescent="0.2">
      <c r="B64377" s="6"/>
      <c r="C64377" s="6"/>
      <c r="D64377" s="6"/>
      <c r="E64377" s="6"/>
      <c r="F64377" s="6"/>
      <c r="G64377" s="6"/>
      <c r="H64377" s="6"/>
      <c r="I64377" s="6"/>
      <c r="J64377" s="6"/>
      <c r="K64377" s="6"/>
      <c r="L64377" s="6"/>
      <c r="M64377" s="6"/>
      <c r="N64377" s="6"/>
      <c r="O64377" s="6"/>
      <c r="P64377" s="6"/>
      <c r="Q64377" s="6"/>
      <c r="R64377" s="6"/>
      <c r="S64377" s="6"/>
      <c r="T64377" s="6"/>
      <c r="U64377" s="6"/>
      <c r="V64377" s="6"/>
      <c r="W64377" s="6"/>
      <c r="X64377" s="6"/>
      <c r="Y64377" s="6"/>
      <c r="Z64377" s="6"/>
      <c r="AA64377" s="6"/>
      <c r="AB64377" s="6"/>
      <c r="AC64377" s="6"/>
      <c r="AD64377" s="6"/>
      <c r="AE64377" s="6"/>
      <c r="AF64377" s="6"/>
      <c r="AG64377" s="6"/>
      <c r="AH64377" s="6"/>
      <c r="AI64377" s="6"/>
      <c r="AJ64377" s="6"/>
      <c r="AK64377" s="6"/>
      <c r="AL64377" s="6"/>
      <c r="AM64377" s="6"/>
    </row>
    <row r="64378" spans="2:39" ht="9.9499999999999993" hidden="1" customHeight="1" x14ac:dyDescent="0.2">
      <c r="B64378" s="6"/>
      <c r="C64378" s="6"/>
      <c r="D64378" s="6"/>
      <c r="E64378" s="6"/>
      <c r="F64378" s="6"/>
      <c r="G64378" s="6"/>
      <c r="H64378" s="6"/>
      <c r="I64378" s="6"/>
      <c r="J64378" s="6"/>
      <c r="K64378" s="6"/>
      <c r="L64378" s="6"/>
      <c r="M64378" s="6"/>
      <c r="N64378" s="6"/>
      <c r="O64378" s="6"/>
      <c r="P64378" s="6"/>
      <c r="Q64378" s="6"/>
      <c r="R64378" s="6"/>
      <c r="S64378" s="6"/>
      <c r="T64378" s="6"/>
      <c r="U64378" s="6"/>
      <c r="V64378" s="6"/>
      <c r="W64378" s="6"/>
      <c r="X64378" s="6"/>
      <c r="Y64378" s="6"/>
      <c r="Z64378" s="6"/>
      <c r="AA64378" s="6"/>
      <c r="AB64378" s="6"/>
      <c r="AC64378" s="6"/>
      <c r="AD64378" s="6"/>
      <c r="AE64378" s="6"/>
      <c r="AF64378" s="6"/>
      <c r="AG64378" s="6"/>
      <c r="AH64378" s="6"/>
      <c r="AI64378" s="6"/>
      <c r="AJ64378" s="6"/>
      <c r="AK64378" s="6"/>
      <c r="AL64378" s="6"/>
      <c r="AM64378" s="6"/>
    </row>
    <row r="64379" spans="2:39" ht="9.9499999999999993" hidden="1" customHeight="1" x14ac:dyDescent="0.2">
      <c r="B64379" s="6"/>
      <c r="C64379" s="6"/>
      <c r="D64379" s="6"/>
      <c r="E64379" s="6"/>
      <c r="F64379" s="6"/>
      <c r="G64379" s="6"/>
      <c r="H64379" s="6"/>
      <c r="I64379" s="6"/>
      <c r="J64379" s="6"/>
      <c r="K64379" s="6"/>
      <c r="L64379" s="6"/>
      <c r="M64379" s="6"/>
      <c r="N64379" s="6"/>
      <c r="O64379" s="6"/>
      <c r="P64379" s="6"/>
      <c r="Q64379" s="6"/>
      <c r="R64379" s="6"/>
      <c r="S64379" s="6"/>
      <c r="T64379" s="6"/>
      <c r="U64379" s="6"/>
      <c r="V64379" s="6"/>
      <c r="W64379" s="6"/>
      <c r="X64379" s="6"/>
      <c r="Y64379" s="6"/>
      <c r="Z64379" s="6"/>
      <c r="AA64379" s="6"/>
      <c r="AB64379" s="6"/>
      <c r="AC64379" s="6"/>
      <c r="AD64379" s="6"/>
      <c r="AE64379" s="6"/>
      <c r="AF64379" s="6"/>
      <c r="AG64379" s="6"/>
      <c r="AH64379" s="6"/>
      <c r="AI64379" s="6"/>
      <c r="AJ64379" s="6"/>
      <c r="AK64379" s="6"/>
      <c r="AL64379" s="6"/>
      <c r="AM64379" s="6"/>
    </row>
    <row r="64380" spans="2:39" ht="9.9499999999999993" hidden="1" customHeight="1" x14ac:dyDescent="0.2">
      <c r="B64380" s="6"/>
      <c r="C64380" s="6"/>
      <c r="D64380" s="6"/>
      <c r="E64380" s="6"/>
      <c r="F64380" s="6"/>
      <c r="G64380" s="6"/>
      <c r="H64380" s="6"/>
      <c r="I64380" s="6"/>
      <c r="J64380" s="6"/>
      <c r="K64380" s="6"/>
      <c r="L64380" s="6"/>
      <c r="M64380" s="6"/>
      <c r="N64380" s="6"/>
      <c r="O64380" s="6"/>
      <c r="P64380" s="6"/>
      <c r="Q64380" s="6"/>
      <c r="R64380" s="6"/>
      <c r="S64380" s="6"/>
      <c r="T64380" s="6"/>
      <c r="U64380" s="6"/>
      <c r="V64380" s="6"/>
      <c r="W64380" s="6"/>
      <c r="X64380" s="6"/>
      <c r="Y64380" s="6"/>
      <c r="Z64380" s="6"/>
      <c r="AA64380" s="6"/>
      <c r="AB64380" s="6"/>
      <c r="AC64380" s="6"/>
      <c r="AD64380" s="6"/>
      <c r="AE64380" s="6"/>
      <c r="AF64380" s="6"/>
      <c r="AG64380" s="6"/>
      <c r="AH64380" s="6"/>
      <c r="AI64380" s="6"/>
      <c r="AJ64380" s="6"/>
      <c r="AK64380" s="6"/>
      <c r="AL64380" s="6"/>
      <c r="AM64380" s="6"/>
    </row>
    <row r="64381" spans="2:39" ht="9.9499999999999993" hidden="1" customHeight="1" x14ac:dyDescent="0.2">
      <c r="B64381" s="6"/>
      <c r="C64381" s="6"/>
      <c r="D64381" s="6"/>
      <c r="E64381" s="6"/>
      <c r="F64381" s="6"/>
      <c r="G64381" s="6"/>
      <c r="H64381" s="6"/>
      <c r="I64381" s="6"/>
      <c r="J64381" s="6"/>
      <c r="K64381" s="6"/>
      <c r="L64381" s="6"/>
      <c r="M64381" s="6"/>
      <c r="N64381" s="6"/>
      <c r="O64381" s="6"/>
      <c r="P64381" s="6"/>
      <c r="Q64381" s="6"/>
      <c r="R64381" s="6"/>
      <c r="S64381" s="6"/>
      <c r="T64381" s="6"/>
      <c r="U64381" s="6"/>
      <c r="V64381" s="6"/>
      <c r="W64381" s="6"/>
      <c r="X64381" s="6"/>
      <c r="Y64381" s="6"/>
      <c r="Z64381" s="6"/>
      <c r="AA64381" s="6"/>
      <c r="AB64381" s="6"/>
      <c r="AC64381" s="6"/>
      <c r="AD64381" s="6"/>
      <c r="AE64381" s="6"/>
      <c r="AF64381" s="6"/>
      <c r="AG64381" s="6"/>
      <c r="AH64381" s="6"/>
      <c r="AI64381" s="6"/>
      <c r="AJ64381" s="6"/>
      <c r="AK64381" s="6"/>
      <c r="AL64381" s="6"/>
      <c r="AM64381" s="6"/>
    </row>
    <row r="64382" spans="2:39" ht="9.9499999999999993" hidden="1" customHeight="1" x14ac:dyDescent="0.2">
      <c r="B64382" s="6"/>
      <c r="C64382" s="6"/>
      <c r="D64382" s="6"/>
      <c r="E64382" s="6"/>
      <c r="F64382" s="6"/>
      <c r="G64382" s="6"/>
      <c r="H64382" s="6"/>
      <c r="I64382" s="6"/>
      <c r="J64382" s="6"/>
      <c r="K64382" s="6"/>
      <c r="L64382" s="6"/>
      <c r="M64382" s="6"/>
      <c r="N64382" s="6"/>
      <c r="O64382" s="6"/>
      <c r="P64382" s="6"/>
      <c r="Q64382" s="6"/>
      <c r="R64382" s="6"/>
      <c r="S64382" s="6"/>
      <c r="T64382" s="6"/>
      <c r="U64382" s="6"/>
      <c r="V64382" s="6"/>
      <c r="W64382" s="6"/>
      <c r="X64382" s="6"/>
      <c r="Y64382" s="6"/>
      <c r="Z64382" s="6"/>
      <c r="AA64382" s="6"/>
      <c r="AB64382" s="6"/>
      <c r="AC64382" s="6"/>
      <c r="AD64382" s="6"/>
      <c r="AE64382" s="6"/>
      <c r="AF64382" s="6"/>
      <c r="AG64382" s="6"/>
      <c r="AH64382" s="6"/>
      <c r="AI64382" s="6"/>
      <c r="AJ64382" s="6"/>
      <c r="AK64382" s="6"/>
      <c r="AL64382" s="6"/>
      <c r="AM64382" s="6"/>
    </row>
    <row r="64383" spans="2:39" ht="9.9499999999999993" hidden="1" customHeight="1" x14ac:dyDescent="0.2">
      <c r="B64383" s="6"/>
      <c r="C64383" s="6"/>
      <c r="D64383" s="6"/>
      <c r="E64383" s="6"/>
      <c r="F64383" s="6"/>
      <c r="G64383" s="6"/>
      <c r="H64383" s="6"/>
      <c r="I64383" s="6"/>
      <c r="J64383" s="6"/>
      <c r="K64383" s="6"/>
      <c r="L64383" s="6"/>
      <c r="M64383" s="6"/>
      <c r="N64383" s="6"/>
      <c r="O64383" s="6"/>
      <c r="P64383" s="6"/>
      <c r="Q64383" s="6"/>
      <c r="R64383" s="6"/>
      <c r="S64383" s="6"/>
      <c r="T64383" s="6"/>
      <c r="U64383" s="6"/>
      <c r="V64383" s="6"/>
      <c r="W64383" s="6"/>
      <c r="X64383" s="6"/>
      <c r="Y64383" s="6"/>
      <c r="Z64383" s="6"/>
      <c r="AA64383" s="6"/>
      <c r="AB64383" s="6"/>
      <c r="AC64383" s="6"/>
      <c r="AD64383" s="6"/>
      <c r="AE64383" s="6"/>
      <c r="AF64383" s="6"/>
      <c r="AG64383" s="6"/>
      <c r="AH64383" s="6"/>
      <c r="AI64383" s="6"/>
      <c r="AJ64383" s="6"/>
      <c r="AK64383" s="6"/>
      <c r="AL64383" s="6"/>
      <c r="AM64383" s="6"/>
    </row>
    <row r="64384" spans="2:39" ht="9.9499999999999993" hidden="1" customHeight="1" x14ac:dyDescent="0.2">
      <c r="B64384" s="6"/>
      <c r="C64384" s="6"/>
      <c r="D64384" s="6"/>
      <c r="E64384" s="6"/>
      <c r="F64384" s="6"/>
      <c r="G64384" s="6"/>
      <c r="H64384" s="6"/>
      <c r="I64384" s="6"/>
      <c r="J64384" s="6"/>
      <c r="K64384" s="6"/>
      <c r="L64384" s="6"/>
      <c r="M64384" s="6"/>
      <c r="N64384" s="6"/>
      <c r="O64384" s="6"/>
      <c r="P64384" s="6"/>
      <c r="Q64384" s="6"/>
      <c r="R64384" s="6"/>
      <c r="S64384" s="6"/>
      <c r="T64384" s="6"/>
      <c r="U64384" s="6"/>
      <c r="V64384" s="6"/>
      <c r="W64384" s="6"/>
      <c r="X64384" s="6"/>
      <c r="Y64384" s="6"/>
      <c r="Z64384" s="6"/>
      <c r="AA64384" s="6"/>
      <c r="AB64384" s="6"/>
      <c r="AC64384" s="6"/>
      <c r="AD64384" s="6"/>
      <c r="AE64384" s="6"/>
      <c r="AF64384" s="6"/>
      <c r="AG64384" s="6"/>
      <c r="AH64384" s="6"/>
      <c r="AI64384" s="6"/>
      <c r="AJ64384" s="6"/>
      <c r="AK64384" s="6"/>
      <c r="AL64384" s="6"/>
      <c r="AM64384" s="6"/>
    </row>
    <row r="64385" spans="2:39" ht="9.9499999999999993" hidden="1" customHeight="1" x14ac:dyDescent="0.2">
      <c r="B64385" s="6"/>
      <c r="C64385" s="6"/>
      <c r="D64385" s="6"/>
      <c r="E64385" s="6"/>
      <c r="F64385" s="6"/>
      <c r="G64385" s="6"/>
      <c r="H64385" s="6"/>
      <c r="I64385" s="6"/>
      <c r="J64385" s="6"/>
      <c r="K64385" s="6"/>
      <c r="L64385" s="6"/>
      <c r="M64385" s="6"/>
      <c r="N64385" s="6"/>
      <c r="O64385" s="6"/>
      <c r="P64385" s="6"/>
      <c r="Q64385" s="6"/>
      <c r="R64385" s="6"/>
      <c r="S64385" s="6"/>
      <c r="T64385" s="6"/>
      <c r="U64385" s="6"/>
      <c r="V64385" s="6"/>
      <c r="W64385" s="6"/>
      <c r="X64385" s="6"/>
      <c r="Y64385" s="6"/>
      <c r="Z64385" s="6"/>
      <c r="AA64385" s="6"/>
      <c r="AB64385" s="6"/>
      <c r="AC64385" s="6"/>
      <c r="AD64385" s="6"/>
      <c r="AE64385" s="6"/>
      <c r="AF64385" s="6"/>
      <c r="AG64385" s="6"/>
      <c r="AH64385" s="6"/>
      <c r="AI64385" s="6"/>
      <c r="AJ64385" s="6"/>
      <c r="AK64385" s="6"/>
      <c r="AL64385" s="6"/>
      <c r="AM64385" s="6"/>
    </row>
    <row r="64386" spans="2:39" ht="9.9499999999999993" hidden="1" customHeight="1" x14ac:dyDescent="0.2">
      <c r="B64386" s="6"/>
      <c r="C64386" s="6"/>
      <c r="D64386" s="6"/>
      <c r="E64386" s="6"/>
      <c r="F64386" s="6"/>
      <c r="G64386" s="6"/>
      <c r="H64386" s="6"/>
      <c r="I64386" s="6"/>
      <c r="J64386" s="6"/>
      <c r="K64386" s="6"/>
      <c r="L64386" s="6"/>
      <c r="M64386" s="6"/>
      <c r="N64386" s="6"/>
      <c r="O64386" s="6"/>
      <c r="P64386" s="6"/>
      <c r="Q64386" s="6"/>
      <c r="R64386" s="6"/>
      <c r="S64386" s="6"/>
      <c r="T64386" s="6"/>
      <c r="U64386" s="6"/>
      <c r="V64386" s="6"/>
      <c r="W64386" s="6"/>
      <c r="X64386" s="6"/>
      <c r="Y64386" s="6"/>
      <c r="Z64386" s="6"/>
      <c r="AA64386" s="6"/>
      <c r="AB64386" s="6"/>
      <c r="AC64386" s="6"/>
      <c r="AD64386" s="6"/>
      <c r="AE64386" s="6"/>
      <c r="AF64386" s="6"/>
      <c r="AG64386" s="6"/>
      <c r="AH64386" s="6"/>
      <c r="AI64386" s="6"/>
      <c r="AJ64386" s="6"/>
      <c r="AK64386" s="6"/>
      <c r="AL64386" s="6"/>
      <c r="AM64386" s="6"/>
    </row>
    <row r="64387" spans="2:39" ht="9.9499999999999993" hidden="1" customHeight="1" x14ac:dyDescent="0.2">
      <c r="B64387" s="6"/>
      <c r="C64387" s="6"/>
      <c r="D64387" s="6"/>
      <c r="E64387" s="6"/>
      <c r="F64387" s="6"/>
      <c r="G64387" s="6"/>
      <c r="H64387" s="6"/>
      <c r="I64387" s="6"/>
      <c r="J64387" s="6"/>
      <c r="K64387" s="6"/>
      <c r="L64387" s="6"/>
      <c r="M64387" s="6"/>
      <c r="N64387" s="6"/>
      <c r="O64387" s="6"/>
      <c r="P64387" s="6"/>
      <c r="Q64387" s="6"/>
      <c r="R64387" s="6"/>
      <c r="S64387" s="6"/>
      <c r="T64387" s="6"/>
      <c r="U64387" s="6"/>
      <c r="V64387" s="6"/>
      <c r="W64387" s="6"/>
      <c r="X64387" s="6"/>
      <c r="Y64387" s="6"/>
      <c r="Z64387" s="6"/>
      <c r="AA64387" s="6"/>
      <c r="AB64387" s="6"/>
      <c r="AC64387" s="6"/>
      <c r="AD64387" s="6"/>
      <c r="AE64387" s="6"/>
      <c r="AF64387" s="6"/>
      <c r="AG64387" s="6"/>
      <c r="AH64387" s="6"/>
      <c r="AI64387" s="6"/>
      <c r="AJ64387" s="6"/>
      <c r="AK64387" s="6"/>
      <c r="AL64387" s="6"/>
      <c r="AM64387" s="6"/>
    </row>
    <row r="64388" spans="2:39" ht="9.9499999999999993" hidden="1" customHeight="1" x14ac:dyDescent="0.2">
      <c r="B64388" s="6"/>
      <c r="C64388" s="6"/>
      <c r="D64388" s="6"/>
      <c r="E64388" s="6"/>
      <c r="F64388" s="6"/>
      <c r="G64388" s="6"/>
      <c r="H64388" s="6"/>
      <c r="I64388" s="6"/>
      <c r="J64388" s="6"/>
      <c r="K64388" s="6"/>
      <c r="L64388" s="6"/>
      <c r="M64388" s="6"/>
      <c r="N64388" s="6"/>
      <c r="O64388" s="6"/>
      <c r="P64388" s="6"/>
      <c r="Q64388" s="6"/>
      <c r="R64388" s="6"/>
      <c r="S64388" s="6"/>
      <c r="T64388" s="6"/>
      <c r="U64388" s="6"/>
      <c r="V64388" s="6"/>
      <c r="W64388" s="6"/>
      <c r="X64388" s="6"/>
      <c r="Y64388" s="6"/>
      <c r="Z64388" s="6"/>
      <c r="AA64388" s="6"/>
      <c r="AB64388" s="6"/>
      <c r="AC64388" s="6"/>
      <c r="AD64388" s="6"/>
      <c r="AE64388" s="6"/>
      <c r="AF64388" s="6"/>
      <c r="AG64388" s="6"/>
      <c r="AH64388" s="6"/>
      <c r="AI64388" s="6"/>
      <c r="AJ64388" s="6"/>
      <c r="AK64388" s="6"/>
      <c r="AL64388" s="6"/>
      <c r="AM64388" s="6"/>
    </row>
    <row r="64389" spans="2:39" ht="9.9499999999999993" hidden="1" customHeight="1" x14ac:dyDescent="0.2">
      <c r="B64389" s="6"/>
      <c r="C64389" s="6"/>
      <c r="D64389" s="6"/>
      <c r="E64389" s="6"/>
      <c r="F64389" s="6"/>
      <c r="G64389" s="6"/>
      <c r="H64389" s="6"/>
      <c r="I64389" s="6"/>
      <c r="J64389" s="6"/>
      <c r="K64389" s="6"/>
      <c r="L64389" s="6"/>
      <c r="M64389" s="6"/>
      <c r="N64389" s="6"/>
      <c r="O64389" s="6"/>
      <c r="P64389" s="6"/>
      <c r="Q64389" s="6"/>
      <c r="R64389" s="6"/>
      <c r="S64389" s="6"/>
      <c r="T64389" s="6"/>
      <c r="U64389" s="6"/>
      <c r="V64389" s="6"/>
      <c r="W64389" s="6"/>
      <c r="X64389" s="6"/>
      <c r="Y64389" s="6"/>
      <c r="Z64389" s="6"/>
      <c r="AA64389" s="6"/>
      <c r="AB64389" s="6"/>
      <c r="AC64389" s="6"/>
      <c r="AD64389" s="6"/>
      <c r="AE64389" s="6"/>
      <c r="AF64389" s="6"/>
      <c r="AG64389" s="6"/>
      <c r="AH64389" s="6"/>
      <c r="AI64389" s="6"/>
      <c r="AJ64389" s="6"/>
      <c r="AK64389" s="6"/>
      <c r="AL64389" s="6"/>
      <c r="AM64389" s="6"/>
    </row>
    <row r="64390" spans="2:39" ht="9.9499999999999993" hidden="1" customHeight="1" x14ac:dyDescent="0.2">
      <c r="B64390" s="6"/>
      <c r="C64390" s="6"/>
      <c r="D64390" s="6"/>
      <c r="E64390" s="6"/>
      <c r="F64390" s="6"/>
      <c r="G64390" s="6"/>
      <c r="H64390" s="6"/>
      <c r="I64390" s="6"/>
      <c r="J64390" s="6"/>
      <c r="K64390" s="6"/>
      <c r="L64390" s="6"/>
      <c r="M64390" s="6"/>
      <c r="N64390" s="6"/>
      <c r="O64390" s="6"/>
      <c r="P64390" s="6"/>
      <c r="Q64390" s="6"/>
      <c r="R64390" s="6"/>
      <c r="S64390" s="6"/>
      <c r="T64390" s="6"/>
      <c r="U64390" s="6"/>
      <c r="V64390" s="6"/>
      <c r="W64390" s="6"/>
      <c r="X64390" s="6"/>
      <c r="Y64390" s="6"/>
      <c r="Z64390" s="6"/>
      <c r="AA64390" s="6"/>
      <c r="AB64390" s="6"/>
      <c r="AC64390" s="6"/>
      <c r="AD64390" s="6"/>
      <c r="AE64390" s="6"/>
      <c r="AF64390" s="6"/>
      <c r="AG64390" s="6"/>
      <c r="AH64390" s="6"/>
      <c r="AI64390" s="6"/>
      <c r="AJ64390" s="6"/>
      <c r="AK64390" s="6"/>
      <c r="AL64390" s="6"/>
      <c r="AM64390" s="6"/>
    </row>
    <row r="64391" spans="2:39" ht="9.9499999999999993" hidden="1" customHeight="1" x14ac:dyDescent="0.2">
      <c r="B64391" s="6"/>
      <c r="C64391" s="6"/>
      <c r="D64391" s="6"/>
      <c r="E64391" s="6"/>
      <c r="F64391" s="6"/>
      <c r="G64391" s="6"/>
      <c r="H64391" s="6"/>
      <c r="I64391" s="6"/>
      <c r="J64391" s="6"/>
      <c r="K64391" s="6"/>
      <c r="L64391" s="6"/>
      <c r="M64391" s="6"/>
      <c r="N64391" s="6"/>
      <c r="O64391" s="6"/>
      <c r="P64391" s="6"/>
      <c r="Q64391" s="6"/>
      <c r="R64391" s="6"/>
      <c r="S64391" s="6"/>
      <c r="T64391" s="6"/>
      <c r="U64391" s="6"/>
      <c r="V64391" s="6"/>
      <c r="W64391" s="6"/>
      <c r="X64391" s="6"/>
      <c r="Y64391" s="6"/>
      <c r="Z64391" s="6"/>
      <c r="AA64391" s="6"/>
      <c r="AB64391" s="6"/>
      <c r="AC64391" s="6"/>
      <c r="AD64391" s="6"/>
      <c r="AE64391" s="6"/>
      <c r="AF64391" s="6"/>
      <c r="AG64391" s="6"/>
      <c r="AH64391" s="6"/>
      <c r="AI64391" s="6"/>
      <c r="AJ64391" s="6"/>
      <c r="AK64391" s="6"/>
      <c r="AL64391" s="6"/>
      <c r="AM64391" s="6"/>
    </row>
    <row r="64392" spans="2:39" ht="9.9499999999999993" hidden="1" customHeight="1" x14ac:dyDescent="0.2">
      <c r="B64392" s="6"/>
      <c r="C64392" s="6"/>
      <c r="D64392" s="6"/>
      <c r="E64392" s="6"/>
      <c r="F64392" s="6"/>
      <c r="G64392" s="6"/>
      <c r="H64392" s="6"/>
      <c r="I64392" s="6"/>
      <c r="J64392" s="6"/>
      <c r="K64392" s="6"/>
      <c r="L64392" s="6"/>
      <c r="M64392" s="6"/>
      <c r="N64392" s="6"/>
      <c r="O64392" s="6"/>
      <c r="P64392" s="6"/>
      <c r="Q64392" s="6"/>
      <c r="R64392" s="6"/>
      <c r="S64392" s="6"/>
      <c r="T64392" s="6"/>
      <c r="U64392" s="6"/>
      <c r="V64392" s="6"/>
      <c r="W64392" s="6"/>
      <c r="X64392" s="6"/>
      <c r="Y64392" s="6"/>
      <c r="Z64392" s="6"/>
      <c r="AA64392" s="6"/>
      <c r="AB64392" s="6"/>
      <c r="AC64392" s="6"/>
      <c r="AD64392" s="6"/>
      <c r="AE64392" s="6"/>
      <c r="AF64392" s="6"/>
      <c r="AG64392" s="6"/>
      <c r="AH64392" s="6"/>
      <c r="AI64392" s="6"/>
      <c r="AJ64392" s="6"/>
      <c r="AK64392" s="6"/>
      <c r="AL64392" s="6"/>
      <c r="AM64392" s="6"/>
    </row>
    <row r="64393" spans="2:39" ht="9.9499999999999993" hidden="1" customHeight="1" x14ac:dyDescent="0.2">
      <c r="B64393" s="6"/>
      <c r="C64393" s="6"/>
      <c r="D64393" s="6"/>
      <c r="E64393" s="6"/>
      <c r="F64393" s="6"/>
      <c r="G64393" s="6"/>
      <c r="H64393" s="6"/>
      <c r="I64393" s="6"/>
      <c r="J64393" s="6"/>
      <c r="K64393" s="6"/>
      <c r="L64393" s="6"/>
      <c r="M64393" s="6"/>
      <c r="N64393" s="6"/>
      <c r="O64393" s="6"/>
      <c r="P64393" s="6"/>
      <c r="Q64393" s="6"/>
      <c r="R64393" s="6"/>
      <c r="S64393" s="6"/>
      <c r="T64393" s="6"/>
      <c r="U64393" s="6"/>
      <c r="V64393" s="6"/>
      <c r="W64393" s="6"/>
      <c r="X64393" s="6"/>
      <c r="Y64393" s="6"/>
      <c r="Z64393" s="6"/>
      <c r="AA64393" s="6"/>
      <c r="AB64393" s="6"/>
      <c r="AC64393" s="6"/>
      <c r="AD64393" s="6"/>
      <c r="AE64393" s="6"/>
      <c r="AF64393" s="6"/>
      <c r="AG64393" s="6"/>
      <c r="AH64393" s="6"/>
      <c r="AI64393" s="6"/>
      <c r="AJ64393" s="6"/>
      <c r="AK64393" s="6"/>
      <c r="AL64393" s="6"/>
      <c r="AM64393" s="6"/>
    </row>
    <row r="64394" spans="2:39" ht="9.9499999999999993" hidden="1" customHeight="1" x14ac:dyDescent="0.2">
      <c r="B64394" s="6"/>
      <c r="C64394" s="6"/>
      <c r="D64394" s="6"/>
      <c r="E64394" s="6"/>
      <c r="F64394" s="6"/>
      <c r="G64394" s="6"/>
      <c r="H64394" s="6"/>
      <c r="I64394" s="6"/>
      <c r="J64394" s="6"/>
      <c r="K64394" s="6"/>
      <c r="L64394" s="6"/>
      <c r="M64394" s="6"/>
      <c r="N64394" s="6"/>
      <c r="O64394" s="6"/>
      <c r="P64394" s="6"/>
      <c r="Q64394" s="6"/>
      <c r="R64394" s="6"/>
      <c r="S64394" s="6"/>
      <c r="T64394" s="6"/>
      <c r="U64394" s="6"/>
      <c r="V64394" s="6"/>
      <c r="W64394" s="6"/>
      <c r="X64394" s="6"/>
      <c r="Y64394" s="6"/>
      <c r="Z64394" s="6"/>
      <c r="AA64394" s="6"/>
      <c r="AB64394" s="6"/>
      <c r="AC64394" s="6"/>
      <c r="AD64394" s="6"/>
      <c r="AE64394" s="6"/>
      <c r="AF64394" s="6"/>
      <c r="AG64394" s="6"/>
      <c r="AH64394" s="6"/>
      <c r="AI64394" s="6"/>
      <c r="AJ64394" s="6"/>
      <c r="AK64394" s="6"/>
      <c r="AL64394" s="6"/>
      <c r="AM64394" s="6"/>
    </row>
    <row r="64395" spans="2:39" ht="9.9499999999999993" hidden="1" customHeight="1" x14ac:dyDescent="0.2">
      <c r="B64395" s="6"/>
      <c r="C64395" s="6"/>
      <c r="D64395" s="6"/>
      <c r="E64395" s="6"/>
      <c r="F64395" s="6"/>
      <c r="G64395" s="6"/>
      <c r="H64395" s="6"/>
      <c r="I64395" s="6"/>
      <c r="J64395" s="6"/>
      <c r="K64395" s="6"/>
      <c r="L64395" s="6"/>
      <c r="M64395" s="6"/>
      <c r="N64395" s="6"/>
      <c r="O64395" s="6"/>
      <c r="P64395" s="6"/>
      <c r="Q64395" s="6"/>
      <c r="R64395" s="6"/>
      <c r="S64395" s="6"/>
      <c r="T64395" s="6"/>
      <c r="U64395" s="6"/>
      <c r="V64395" s="6"/>
      <c r="W64395" s="6"/>
      <c r="X64395" s="6"/>
      <c r="Y64395" s="6"/>
      <c r="Z64395" s="6"/>
      <c r="AA64395" s="6"/>
      <c r="AB64395" s="6"/>
      <c r="AC64395" s="6"/>
      <c r="AD64395" s="6"/>
      <c r="AE64395" s="6"/>
      <c r="AF64395" s="6"/>
      <c r="AG64395" s="6"/>
      <c r="AH64395" s="6"/>
      <c r="AI64395" s="6"/>
      <c r="AJ64395" s="6"/>
      <c r="AK64395" s="6"/>
      <c r="AL64395" s="6"/>
      <c r="AM64395" s="6"/>
    </row>
    <row r="64396" spans="2:39" ht="9.9499999999999993" hidden="1" customHeight="1" x14ac:dyDescent="0.2">
      <c r="B64396" s="6"/>
      <c r="C64396" s="6"/>
      <c r="D64396" s="6"/>
      <c r="E64396" s="6"/>
      <c r="F64396" s="6"/>
      <c r="G64396" s="6"/>
      <c r="H64396" s="6"/>
      <c r="I64396" s="6"/>
      <c r="J64396" s="6"/>
      <c r="K64396" s="6"/>
      <c r="L64396" s="6"/>
      <c r="M64396" s="6"/>
      <c r="N64396" s="6"/>
      <c r="O64396" s="6"/>
      <c r="P64396" s="6"/>
      <c r="Q64396" s="6"/>
      <c r="R64396" s="6"/>
      <c r="S64396" s="6"/>
      <c r="T64396" s="6"/>
      <c r="U64396" s="6"/>
      <c r="V64396" s="6"/>
      <c r="W64396" s="6"/>
      <c r="X64396" s="6"/>
      <c r="Y64396" s="6"/>
      <c r="Z64396" s="6"/>
      <c r="AA64396" s="6"/>
      <c r="AB64396" s="6"/>
      <c r="AC64396" s="6"/>
      <c r="AD64396" s="6"/>
      <c r="AE64396" s="6"/>
      <c r="AF64396" s="6"/>
      <c r="AG64396" s="6"/>
      <c r="AH64396" s="6"/>
      <c r="AI64396" s="6"/>
      <c r="AJ64396" s="6"/>
      <c r="AK64396" s="6"/>
      <c r="AL64396" s="6"/>
      <c r="AM64396" s="6"/>
    </row>
    <row r="64397" spans="2:39" ht="9.9499999999999993" hidden="1" customHeight="1" x14ac:dyDescent="0.2">
      <c r="B64397" s="6"/>
      <c r="C64397" s="6"/>
      <c r="D64397" s="6"/>
      <c r="E64397" s="6"/>
      <c r="F64397" s="6"/>
      <c r="G64397" s="6"/>
      <c r="H64397" s="6"/>
      <c r="I64397" s="6"/>
      <c r="J64397" s="6"/>
      <c r="K64397" s="6"/>
      <c r="L64397" s="6"/>
      <c r="M64397" s="6"/>
      <c r="N64397" s="6"/>
      <c r="O64397" s="6"/>
      <c r="P64397" s="6"/>
      <c r="Q64397" s="6"/>
      <c r="R64397" s="6"/>
      <c r="S64397" s="6"/>
      <c r="T64397" s="6"/>
      <c r="U64397" s="6"/>
      <c r="V64397" s="6"/>
      <c r="W64397" s="6"/>
      <c r="X64397" s="6"/>
      <c r="Y64397" s="6"/>
      <c r="Z64397" s="6"/>
      <c r="AA64397" s="6"/>
      <c r="AB64397" s="6"/>
      <c r="AC64397" s="6"/>
      <c r="AD64397" s="6"/>
      <c r="AE64397" s="6"/>
      <c r="AF64397" s="6"/>
      <c r="AG64397" s="6"/>
      <c r="AH64397" s="6"/>
      <c r="AI64397" s="6"/>
      <c r="AJ64397" s="6"/>
      <c r="AK64397" s="6"/>
      <c r="AL64397" s="6"/>
      <c r="AM64397" s="6"/>
    </row>
    <row r="64398" spans="2:39" ht="9.9499999999999993" hidden="1" customHeight="1" x14ac:dyDescent="0.2">
      <c r="B64398" s="6"/>
      <c r="C64398" s="6"/>
      <c r="D64398" s="6"/>
      <c r="E64398" s="6"/>
      <c r="F64398" s="6"/>
      <c r="G64398" s="6"/>
      <c r="H64398" s="6"/>
      <c r="I64398" s="6"/>
      <c r="J64398" s="6"/>
      <c r="K64398" s="6"/>
      <c r="L64398" s="6"/>
      <c r="M64398" s="6"/>
      <c r="N64398" s="6"/>
      <c r="O64398" s="6"/>
      <c r="P64398" s="6"/>
      <c r="Q64398" s="6"/>
      <c r="R64398" s="6"/>
      <c r="S64398" s="6"/>
      <c r="T64398" s="6"/>
      <c r="U64398" s="6"/>
      <c r="V64398" s="6"/>
      <c r="W64398" s="6"/>
      <c r="X64398" s="6"/>
      <c r="Y64398" s="6"/>
      <c r="Z64398" s="6"/>
      <c r="AA64398" s="6"/>
      <c r="AB64398" s="6"/>
      <c r="AC64398" s="6"/>
      <c r="AD64398" s="6"/>
      <c r="AE64398" s="6"/>
      <c r="AF64398" s="6"/>
      <c r="AG64398" s="6"/>
      <c r="AH64398" s="6"/>
      <c r="AI64398" s="6"/>
      <c r="AJ64398" s="6"/>
      <c r="AK64398" s="6"/>
      <c r="AL64398" s="6"/>
      <c r="AM64398" s="6"/>
    </row>
    <row r="64399" spans="2:39" ht="9.9499999999999993" hidden="1" customHeight="1" x14ac:dyDescent="0.2">
      <c r="B64399" s="6"/>
      <c r="C64399" s="6"/>
      <c r="D64399" s="6"/>
      <c r="E64399" s="6"/>
      <c r="F64399" s="6"/>
      <c r="G64399" s="6"/>
      <c r="H64399" s="6"/>
      <c r="I64399" s="6"/>
      <c r="J64399" s="6"/>
      <c r="K64399" s="6"/>
      <c r="L64399" s="6"/>
      <c r="M64399" s="6"/>
      <c r="N64399" s="6"/>
      <c r="O64399" s="6"/>
      <c r="P64399" s="6"/>
      <c r="Q64399" s="6"/>
      <c r="R64399" s="6"/>
      <c r="S64399" s="6"/>
      <c r="T64399" s="6"/>
      <c r="U64399" s="6"/>
      <c r="V64399" s="6"/>
      <c r="W64399" s="6"/>
      <c r="X64399" s="6"/>
      <c r="Y64399" s="6"/>
      <c r="Z64399" s="6"/>
      <c r="AA64399" s="6"/>
      <c r="AB64399" s="6"/>
      <c r="AC64399" s="6"/>
      <c r="AD64399" s="6"/>
      <c r="AE64399" s="6"/>
      <c r="AF64399" s="6"/>
      <c r="AG64399" s="6"/>
      <c r="AH64399" s="6"/>
      <c r="AI64399" s="6"/>
      <c r="AJ64399" s="6"/>
      <c r="AK64399" s="6"/>
      <c r="AL64399" s="6"/>
      <c r="AM64399" s="6"/>
    </row>
    <row r="64400" spans="2:39" ht="9.9499999999999993" hidden="1" customHeight="1" x14ac:dyDescent="0.2">
      <c r="B64400" s="6"/>
      <c r="C64400" s="6"/>
      <c r="D64400" s="6"/>
      <c r="E64400" s="6"/>
      <c r="F64400" s="6"/>
      <c r="G64400" s="6"/>
      <c r="H64400" s="6"/>
      <c r="I64400" s="6"/>
      <c r="J64400" s="6"/>
      <c r="K64400" s="6"/>
      <c r="L64400" s="6"/>
      <c r="M64400" s="6"/>
      <c r="N64400" s="6"/>
      <c r="O64400" s="6"/>
      <c r="P64400" s="6"/>
      <c r="Q64400" s="6"/>
      <c r="R64400" s="6"/>
      <c r="S64400" s="6"/>
      <c r="T64400" s="6"/>
      <c r="U64400" s="6"/>
      <c r="V64400" s="6"/>
      <c r="W64400" s="6"/>
      <c r="X64400" s="6"/>
      <c r="Y64400" s="6"/>
      <c r="Z64400" s="6"/>
      <c r="AA64400" s="6"/>
      <c r="AB64400" s="6"/>
      <c r="AC64400" s="6"/>
      <c r="AD64400" s="6"/>
      <c r="AE64400" s="6"/>
      <c r="AF64400" s="6"/>
      <c r="AG64400" s="6"/>
      <c r="AH64400" s="6"/>
      <c r="AI64400" s="6"/>
      <c r="AJ64400" s="6"/>
      <c r="AK64400" s="6"/>
      <c r="AL64400" s="6"/>
      <c r="AM64400" s="6"/>
    </row>
    <row r="64401" spans="2:39" ht="9.9499999999999993" hidden="1" customHeight="1" x14ac:dyDescent="0.2">
      <c r="B64401" s="6"/>
      <c r="C64401" s="6"/>
      <c r="D64401" s="6"/>
      <c r="E64401" s="6"/>
      <c r="F64401" s="6"/>
      <c r="G64401" s="6"/>
      <c r="H64401" s="6"/>
      <c r="I64401" s="6"/>
      <c r="J64401" s="6"/>
      <c r="K64401" s="6"/>
      <c r="L64401" s="6"/>
      <c r="M64401" s="6"/>
      <c r="N64401" s="6"/>
      <c r="O64401" s="6"/>
      <c r="P64401" s="6"/>
      <c r="Q64401" s="6"/>
      <c r="R64401" s="6"/>
      <c r="S64401" s="6"/>
      <c r="T64401" s="6"/>
      <c r="U64401" s="6"/>
      <c r="V64401" s="6"/>
      <c r="W64401" s="6"/>
      <c r="X64401" s="6"/>
      <c r="Y64401" s="6"/>
      <c r="Z64401" s="6"/>
      <c r="AA64401" s="6"/>
      <c r="AB64401" s="6"/>
      <c r="AC64401" s="6"/>
      <c r="AD64401" s="6"/>
      <c r="AE64401" s="6"/>
      <c r="AF64401" s="6"/>
      <c r="AG64401" s="6"/>
      <c r="AH64401" s="6"/>
      <c r="AI64401" s="6"/>
      <c r="AJ64401" s="6"/>
      <c r="AK64401" s="6"/>
      <c r="AL64401" s="6"/>
      <c r="AM64401" s="6"/>
    </row>
    <row r="64402" spans="2:39" ht="9.9499999999999993" hidden="1" customHeight="1" x14ac:dyDescent="0.2">
      <c r="B64402" s="6"/>
      <c r="C64402" s="6"/>
      <c r="D64402" s="6"/>
      <c r="E64402" s="6"/>
      <c r="F64402" s="6"/>
      <c r="G64402" s="6"/>
      <c r="H64402" s="6"/>
      <c r="I64402" s="6"/>
      <c r="J64402" s="6"/>
      <c r="K64402" s="6"/>
      <c r="L64402" s="6"/>
      <c r="M64402" s="6"/>
      <c r="N64402" s="6"/>
      <c r="O64402" s="6"/>
      <c r="P64402" s="6"/>
      <c r="Q64402" s="6"/>
      <c r="R64402" s="6"/>
      <c r="S64402" s="6"/>
      <c r="T64402" s="6"/>
      <c r="U64402" s="6"/>
      <c r="V64402" s="6"/>
      <c r="W64402" s="6"/>
      <c r="X64402" s="6"/>
      <c r="Y64402" s="6"/>
      <c r="Z64402" s="6"/>
      <c r="AA64402" s="6"/>
      <c r="AB64402" s="6"/>
      <c r="AC64402" s="6"/>
      <c r="AD64402" s="6"/>
      <c r="AE64402" s="6"/>
      <c r="AF64402" s="6"/>
      <c r="AG64402" s="6"/>
      <c r="AH64402" s="6"/>
      <c r="AI64402" s="6"/>
      <c r="AJ64402" s="6"/>
      <c r="AK64402" s="6"/>
      <c r="AL64402" s="6"/>
      <c r="AM64402" s="6"/>
    </row>
    <row r="64403" spans="2:39" ht="9.9499999999999993" hidden="1" customHeight="1" x14ac:dyDescent="0.2">
      <c r="B64403" s="6"/>
      <c r="C64403" s="6"/>
      <c r="D64403" s="6"/>
      <c r="E64403" s="6"/>
      <c r="F64403" s="6"/>
      <c r="G64403" s="6"/>
      <c r="H64403" s="6"/>
      <c r="I64403" s="6"/>
      <c r="J64403" s="6"/>
      <c r="K64403" s="6"/>
      <c r="L64403" s="6"/>
      <c r="M64403" s="6"/>
      <c r="N64403" s="6"/>
      <c r="O64403" s="6"/>
      <c r="P64403" s="6"/>
      <c r="Q64403" s="6"/>
      <c r="R64403" s="6"/>
      <c r="S64403" s="6"/>
      <c r="T64403" s="6"/>
      <c r="U64403" s="6"/>
      <c r="V64403" s="6"/>
      <c r="W64403" s="6"/>
      <c r="X64403" s="6"/>
      <c r="Y64403" s="6"/>
      <c r="Z64403" s="6"/>
      <c r="AA64403" s="6"/>
      <c r="AB64403" s="6"/>
      <c r="AC64403" s="6"/>
      <c r="AD64403" s="6"/>
      <c r="AE64403" s="6"/>
      <c r="AF64403" s="6"/>
      <c r="AG64403" s="6"/>
      <c r="AH64403" s="6"/>
      <c r="AI64403" s="6"/>
      <c r="AJ64403" s="6"/>
      <c r="AK64403" s="6"/>
      <c r="AL64403" s="6"/>
      <c r="AM64403" s="6"/>
    </row>
    <row r="64404" spans="2:39" ht="9.9499999999999993" hidden="1" customHeight="1" x14ac:dyDescent="0.2">
      <c r="B64404" s="6"/>
      <c r="C64404" s="6"/>
      <c r="D64404" s="6"/>
      <c r="E64404" s="6"/>
      <c r="F64404" s="6"/>
      <c r="G64404" s="6"/>
      <c r="H64404" s="6"/>
      <c r="I64404" s="6"/>
      <c r="J64404" s="6"/>
      <c r="K64404" s="6"/>
      <c r="L64404" s="6"/>
      <c r="M64404" s="6"/>
      <c r="N64404" s="6"/>
      <c r="O64404" s="6"/>
      <c r="P64404" s="6"/>
      <c r="Q64404" s="6"/>
      <c r="R64404" s="6"/>
      <c r="S64404" s="6"/>
      <c r="T64404" s="6"/>
      <c r="U64404" s="6"/>
      <c r="V64404" s="6"/>
      <c r="W64404" s="6"/>
      <c r="X64404" s="6"/>
      <c r="Y64404" s="6"/>
      <c r="Z64404" s="6"/>
      <c r="AA64404" s="6"/>
      <c r="AB64404" s="6"/>
      <c r="AC64404" s="6"/>
      <c r="AD64404" s="6"/>
      <c r="AE64404" s="6"/>
      <c r="AF64404" s="6"/>
      <c r="AG64404" s="6"/>
      <c r="AH64404" s="6"/>
      <c r="AI64404" s="6"/>
      <c r="AJ64404" s="6"/>
      <c r="AK64404" s="6"/>
      <c r="AL64404" s="6"/>
      <c r="AM64404" s="6"/>
    </row>
    <row r="64405" spans="2:39" ht="9.9499999999999993" hidden="1" customHeight="1" x14ac:dyDescent="0.2">
      <c r="B64405" s="6"/>
      <c r="C64405" s="6"/>
      <c r="D64405" s="6"/>
      <c r="E64405" s="6"/>
      <c r="F64405" s="6"/>
      <c r="G64405" s="6"/>
      <c r="H64405" s="6"/>
      <c r="I64405" s="6"/>
      <c r="J64405" s="6"/>
      <c r="K64405" s="6"/>
      <c r="L64405" s="6"/>
      <c r="M64405" s="6"/>
      <c r="N64405" s="6"/>
      <c r="O64405" s="6"/>
      <c r="P64405" s="6"/>
      <c r="Q64405" s="6"/>
      <c r="R64405" s="6"/>
      <c r="S64405" s="6"/>
      <c r="T64405" s="6"/>
      <c r="U64405" s="6"/>
      <c r="V64405" s="6"/>
      <c r="W64405" s="6"/>
      <c r="X64405" s="6"/>
      <c r="Y64405" s="6"/>
      <c r="Z64405" s="6"/>
      <c r="AA64405" s="6"/>
      <c r="AB64405" s="6"/>
      <c r="AC64405" s="6"/>
      <c r="AD64405" s="6"/>
      <c r="AE64405" s="6"/>
      <c r="AF64405" s="6"/>
      <c r="AG64405" s="6"/>
      <c r="AH64405" s="6"/>
      <c r="AI64405" s="6"/>
      <c r="AJ64405" s="6"/>
      <c r="AK64405" s="6"/>
      <c r="AL64405" s="6"/>
      <c r="AM64405" s="6"/>
    </row>
    <row r="64406" spans="2:39" ht="9.9499999999999993" hidden="1" customHeight="1" x14ac:dyDescent="0.2">
      <c r="B64406" s="6"/>
      <c r="C64406" s="6"/>
      <c r="D64406" s="6"/>
      <c r="E64406" s="6"/>
      <c r="F64406" s="6"/>
      <c r="G64406" s="6"/>
      <c r="H64406" s="6"/>
      <c r="I64406" s="6"/>
      <c r="J64406" s="6"/>
      <c r="K64406" s="6"/>
      <c r="L64406" s="6"/>
      <c r="M64406" s="6"/>
      <c r="N64406" s="6"/>
      <c r="O64406" s="6"/>
      <c r="P64406" s="6"/>
      <c r="Q64406" s="6"/>
      <c r="R64406" s="6"/>
      <c r="S64406" s="6"/>
      <c r="T64406" s="6"/>
      <c r="U64406" s="6"/>
      <c r="V64406" s="6"/>
      <c r="W64406" s="6"/>
      <c r="X64406" s="6"/>
      <c r="Y64406" s="6"/>
      <c r="Z64406" s="6"/>
      <c r="AA64406" s="6"/>
      <c r="AB64406" s="6"/>
      <c r="AC64406" s="6"/>
      <c r="AD64406" s="6"/>
      <c r="AE64406" s="6"/>
      <c r="AF64406" s="6"/>
      <c r="AG64406" s="6"/>
      <c r="AH64406" s="6"/>
      <c r="AI64406" s="6"/>
      <c r="AJ64406" s="6"/>
      <c r="AK64406" s="6"/>
      <c r="AL64406" s="6"/>
      <c r="AM64406" s="6"/>
    </row>
    <row r="64407" spans="2:39" ht="9.9499999999999993" hidden="1" customHeight="1" x14ac:dyDescent="0.2">
      <c r="B64407" s="6"/>
      <c r="C64407" s="6"/>
      <c r="D64407" s="6"/>
      <c r="E64407" s="6"/>
      <c r="F64407" s="6"/>
      <c r="G64407" s="6"/>
      <c r="H64407" s="6"/>
      <c r="I64407" s="6"/>
      <c r="J64407" s="6"/>
      <c r="K64407" s="6"/>
      <c r="L64407" s="6"/>
      <c r="M64407" s="6"/>
      <c r="N64407" s="6"/>
      <c r="O64407" s="6"/>
      <c r="P64407" s="6"/>
      <c r="Q64407" s="6"/>
      <c r="R64407" s="6"/>
      <c r="S64407" s="6"/>
      <c r="T64407" s="6"/>
      <c r="U64407" s="6"/>
      <c r="V64407" s="6"/>
      <c r="W64407" s="6"/>
      <c r="X64407" s="6"/>
      <c r="Y64407" s="6"/>
      <c r="Z64407" s="6"/>
      <c r="AA64407" s="6"/>
      <c r="AB64407" s="6"/>
      <c r="AC64407" s="6"/>
      <c r="AD64407" s="6"/>
      <c r="AE64407" s="6"/>
      <c r="AF64407" s="6"/>
      <c r="AG64407" s="6"/>
      <c r="AH64407" s="6"/>
      <c r="AI64407" s="6"/>
      <c r="AJ64407" s="6"/>
      <c r="AK64407" s="6"/>
      <c r="AL64407" s="6"/>
      <c r="AM64407" s="6"/>
    </row>
    <row r="64408" spans="2:39" ht="9.9499999999999993" hidden="1" customHeight="1" x14ac:dyDescent="0.2">
      <c r="B64408" s="6"/>
      <c r="C64408" s="6"/>
      <c r="D64408" s="6"/>
      <c r="E64408" s="6"/>
      <c r="F64408" s="6"/>
      <c r="G64408" s="6"/>
      <c r="H64408" s="6"/>
      <c r="I64408" s="6"/>
      <c r="J64408" s="6"/>
      <c r="K64408" s="6"/>
      <c r="L64408" s="6"/>
      <c r="M64408" s="6"/>
      <c r="N64408" s="6"/>
      <c r="O64408" s="6"/>
      <c r="P64408" s="6"/>
      <c r="Q64408" s="6"/>
      <c r="R64408" s="6"/>
      <c r="S64408" s="6"/>
      <c r="T64408" s="6"/>
      <c r="U64408" s="6"/>
      <c r="V64408" s="6"/>
      <c r="W64408" s="6"/>
      <c r="X64408" s="6"/>
      <c r="Y64408" s="6"/>
      <c r="Z64408" s="6"/>
      <c r="AA64408" s="6"/>
      <c r="AB64408" s="6"/>
      <c r="AC64408" s="6"/>
      <c r="AD64408" s="6"/>
      <c r="AE64408" s="6"/>
      <c r="AF64408" s="6"/>
      <c r="AG64408" s="6"/>
      <c r="AH64408" s="6"/>
      <c r="AI64408" s="6"/>
      <c r="AJ64408" s="6"/>
      <c r="AK64408" s="6"/>
      <c r="AL64408" s="6"/>
      <c r="AM64408" s="6"/>
    </row>
    <row r="64409" spans="2:39" ht="9.9499999999999993" hidden="1" customHeight="1" x14ac:dyDescent="0.2">
      <c r="B64409" s="6"/>
      <c r="C64409" s="6"/>
      <c r="D64409" s="6"/>
      <c r="E64409" s="6"/>
      <c r="F64409" s="6"/>
      <c r="G64409" s="6"/>
      <c r="H64409" s="6"/>
      <c r="I64409" s="6"/>
      <c r="J64409" s="6"/>
      <c r="K64409" s="6"/>
      <c r="L64409" s="6"/>
      <c r="M64409" s="6"/>
      <c r="N64409" s="6"/>
      <c r="O64409" s="6"/>
      <c r="P64409" s="6"/>
      <c r="Q64409" s="6"/>
      <c r="R64409" s="6"/>
      <c r="S64409" s="6"/>
      <c r="T64409" s="6"/>
      <c r="U64409" s="6"/>
      <c r="V64409" s="6"/>
      <c r="W64409" s="6"/>
      <c r="X64409" s="6"/>
      <c r="Y64409" s="6"/>
      <c r="Z64409" s="6"/>
      <c r="AA64409" s="6"/>
      <c r="AB64409" s="6"/>
      <c r="AC64409" s="6"/>
      <c r="AD64409" s="6"/>
      <c r="AE64409" s="6"/>
      <c r="AF64409" s="6"/>
      <c r="AG64409" s="6"/>
      <c r="AH64409" s="6"/>
      <c r="AI64409" s="6"/>
      <c r="AJ64409" s="6"/>
      <c r="AK64409" s="6"/>
      <c r="AL64409" s="6"/>
      <c r="AM64409" s="6"/>
    </row>
    <row r="64410" spans="2:39" ht="9.9499999999999993" hidden="1" customHeight="1" x14ac:dyDescent="0.2">
      <c r="B64410" s="6"/>
      <c r="C64410" s="6"/>
      <c r="D64410" s="6"/>
      <c r="E64410" s="6"/>
      <c r="F64410" s="6"/>
      <c r="G64410" s="6"/>
      <c r="H64410" s="6"/>
      <c r="I64410" s="6"/>
      <c r="J64410" s="6"/>
      <c r="K64410" s="6"/>
      <c r="L64410" s="6"/>
      <c r="M64410" s="6"/>
      <c r="N64410" s="6"/>
      <c r="O64410" s="6"/>
      <c r="P64410" s="6"/>
      <c r="Q64410" s="6"/>
      <c r="R64410" s="6"/>
      <c r="S64410" s="6"/>
      <c r="T64410" s="6"/>
      <c r="U64410" s="6"/>
      <c r="V64410" s="6"/>
      <c r="W64410" s="6"/>
      <c r="X64410" s="6"/>
      <c r="Y64410" s="6"/>
      <c r="Z64410" s="6"/>
      <c r="AA64410" s="6"/>
      <c r="AB64410" s="6"/>
      <c r="AC64410" s="6"/>
      <c r="AD64410" s="6"/>
      <c r="AE64410" s="6"/>
      <c r="AF64410" s="6"/>
      <c r="AG64410" s="6"/>
      <c r="AH64410" s="6"/>
      <c r="AI64410" s="6"/>
      <c r="AJ64410" s="6"/>
      <c r="AK64410" s="6"/>
      <c r="AL64410" s="6"/>
      <c r="AM64410" s="6"/>
    </row>
    <row r="64411" spans="2:39" ht="9.9499999999999993" hidden="1" customHeight="1" x14ac:dyDescent="0.2">
      <c r="B64411" s="6"/>
      <c r="C64411" s="6"/>
      <c r="D64411" s="6"/>
      <c r="E64411" s="6"/>
      <c r="F64411" s="6"/>
      <c r="G64411" s="6"/>
      <c r="H64411" s="6"/>
      <c r="I64411" s="6"/>
      <c r="J64411" s="6"/>
      <c r="K64411" s="6"/>
      <c r="L64411" s="6"/>
      <c r="M64411" s="6"/>
      <c r="N64411" s="6"/>
      <c r="O64411" s="6"/>
      <c r="P64411" s="6"/>
      <c r="Q64411" s="6"/>
      <c r="R64411" s="6"/>
      <c r="S64411" s="6"/>
      <c r="T64411" s="6"/>
      <c r="U64411" s="6"/>
      <c r="V64411" s="6"/>
      <c r="W64411" s="6"/>
      <c r="X64411" s="6"/>
      <c r="Y64411" s="6"/>
      <c r="Z64411" s="6"/>
      <c r="AA64411" s="6"/>
      <c r="AB64411" s="6"/>
      <c r="AC64411" s="6"/>
      <c r="AD64411" s="6"/>
      <c r="AE64411" s="6"/>
      <c r="AF64411" s="6"/>
      <c r="AG64411" s="6"/>
      <c r="AH64411" s="6"/>
      <c r="AI64411" s="6"/>
      <c r="AJ64411" s="6"/>
      <c r="AK64411" s="6"/>
      <c r="AL64411" s="6"/>
      <c r="AM64411" s="6"/>
    </row>
    <row r="64412" spans="2:39" ht="9.9499999999999993" hidden="1" customHeight="1" x14ac:dyDescent="0.2">
      <c r="B64412" s="6"/>
      <c r="C64412" s="6"/>
      <c r="D64412" s="6"/>
      <c r="E64412" s="6"/>
      <c r="F64412" s="6"/>
      <c r="G64412" s="6"/>
      <c r="H64412" s="6"/>
      <c r="I64412" s="6"/>
      <c r="J64412" s="6"/>
      <c r="K64412" s="6"/>
      <c r="L64412" s="6"/>
      <c r="M64412" s="6"/>
      <c r="N64412" s="6"/>
      <c r="O64412" s="6"/>
      <c r="P64412" s="6"/>
      <c r="Q64412" s="6"/>
      <c r="R64412" s="6"/>
      <c r="S64412" s="6"/>
      <c r="T64412" s="6"/>
      <c r="U64412" s="6"/>
      <c r="V64412" s="6"/>
      <c r="W64412" s="6"/>
      <c r="X64412" s="6"/>
      <c r="Y64412" s="6"/>
      <c r="Z64412" s="6"/>
      <c r="AA64412" s="6"/>
      <c r="AB64412" s="6"/>
      <c r="AC64412" s="6"/>
      <c r="AD64412" s="6"/>
      <c r="AE64412" s="6"/>
      <c r="AF64412" s="6"/>
      <c r="AG64412" s="6"/>
      <c r="AH64412" s="6"/>
      <c r="AI64412" s="6"/>
      <c r="AJ64412" s="6"/>
      <c r="AK64412" s="6"/>
      <c r="AL64412" s="6"/>
      <c r="AM64412" s="6"/>
    </row>
    <row r="64413" spans="2:39" ht="9.9499999999999993" hidden="1" customHeight="1" x14ac:dyDescent="0.2">
      <c r="B64413" s="6"/>
      <c r="C64413" s="6"/>
      <c r="D64413" s="6"/>
      <c r="E64413" s="6"/>
      <c r="F64413" s="6"/>
      <c r="G64413" s="6"/>
      <c r="H64413" s="6"/>
      <c r="I64413" s="6"/>
      <c r="J64413" s="6"/>
      <c r="K64413" s="6"/>
      <c r="L64413" s="6"/>
      <c r="M64413" s="6"/>
      <c r="N64413" s="6"/>
      <c r="O64413" s="6"/>
      <c r="P64413" s="6"/>
      <c r="Q64413" s="6"/>
      <c r="R64413" s="6"/>
      <c r="S64413" s="6"/>
      <c r="T64413" s="6"/>
      <c r="U64413" s="6"/>
      <c r="V64413" s="6"/>
      <c r="W64413" s="6"/>
      <c r="X64413" s="6"/>
      <c r="Y64413" s="6"/>
      <c r="Z64413" s="6"/>
      <c r="AA64413" s="6"/>
      <c r="AB64413" s="6"/>
      <c r="AC64413" s="6"/>
      <c r="AD64413" s="6"/>
      <c r="AE64413" s="6"/>
      <c r="AF64413" s="6"/>
      <c r="AG64413" s="6"/>
      <c r="AH64413" s="6"/>
      <c r="AI64413" s="6"/>
      <c r="AJ64413" s="6"/>
      <c r="AK64413" s="6"/>
      <c r="AL64413" s="6"/>
      <c r="AM64413" s="6"/>
    </row>
    <row r="64414" spans="2:39" ht="9.9499999999999993" hidden="1" customHeight="1" x14ac:dyDescent="0.2">
      <c r="B64414" s="6"/>
      <c r="C64414" s="6"/>
      <c r="D64414" s="6"/>
      <c r="E64414" s="6"/>
      <c r="F64414" s="6"/>
      <c r="G64414" s="6"/>
      <c r="H64414" s="6"/>
      <c r="I64414" s="6"/>
      <c r="J64414" s="6"/>
      <c r="K64414" s="6"/>
      <c r="L64414" s="6"/>
      <c r="M64414" s="6"/>
      <c r="N64414" s="6"/>
      <c r="O64414" s="6"/>
      <c r="P64414" s="6"/>
      <c r="Q64414" s="6"/>
      <c r="R64414" s="6"/>
      <c r="S64414" s="6"/>
      <c r="T64414" s="6"/>
      <c r="U64414" s="6"/>
      <c r="V64414" s="6"/>
      <c r="W64414" s="6"/>
      <c r="X64414" s="6"/>
      <c r="Y64414" s="6"/>
      <c r="Z64414" s="6"/>
      <c r="AA64414" s="6"/>
      <c r="AB64414" s="6"/>
      <c r="AC64414" s="6"/>
      <c r="AD64414" s="6"/>
      <c r="AE64414" s="6"/>
      <c r="AF64414" s="6"/>
      <c r="AG64414" s="6"/>
      <c r="AH64414" s="6"/>
      <c r="AI64414" s="6"/>
      <c r="AJ64414" s="6"/>
      <c r="AK64414" s="6"/>
      <c r="AL64414" s="6"/>
      <c r="AM64414" s="6"/>
    </row>
    <row r="64415" spans="2:39" ht="9.9499999999999993" hidden="1" customHeight="1" x14ac:dyDescent="0.2">
      <c r="B64415" s="6"/>
      <c r="C64415" s="6"/>
      <c r="D64415" s="6"/>
      <c r="E64415" s="6"/>
      <c r="F64415" s="6"/>
      <c r="G64415" s="6"/>
      <c r="H64415" s="6"/>
      <c r="I64415" s="6"/>
      <c r="J64415" s="6"/>
      <c r="K64415" s="6"/>
      <c r="L64415" s="6"/>
      <c r="M64415" s="6"/>
      <c r="N64415" s="6"/>
      <c r="O64415" s="6"/>
      <c r="P64415" s="6"/>
      <c r="Q64415" s="6"/>
      <c r="R64415" s="6"/>
      <c r="S64415" s="6"/>
      <c r="T64415" s="6"/>
      <c r="U64415" s="6"/>
      <c r="V64415" s="6"/>
      <c r="W64415" s="6"/>
      <c r="X64415" s="6"/>
      <c r="Y64415" s="6"/>
      <c r="Z64415" s="6"/>
      <c r="AA64415" s="6"/>
      <c r="AB64415" s="6"/>
      <c r="AC64415" s="6"/>
      <c r="AD64415" s="6"/>
      <c r="AE64415" s="6"/>
      <c r="AF64415" s="6"/>
      <c r="AG64415" s="6"/>
      <c r="AH64415" s="6"/>
      <c r="AI64415" s="6"/>
      <c r="AJ64415" s="6"/>
      <c r="AK64415" s="6"/>
      <c r="AL64415" s="6"/>
      <c r="AM64415" s="6"/>
    </row>
    <row r="64416" spans="2:39" ht="9.9499999999999993" hidden="1" customHeight="1" x14ac:dyDescent="0.2">
      <c r="B64416" s="6"/>
      <c r="C64416" s="6"/>
      <c r="D64416" s="6"/>
      <c r="E64416" s="6"/>
      <c r="F64416" s="6"/>
      <c r="G64416" s="6"/>
      <c r="H64416" s="6"/>
      <c r="I64416" s="6"/>
      <c r="J64416" s="6"/>
      <c r="K64416" s="6"/>
      <c r="L64416" s="6"/>
      <c r="M64416" s="6"/>
      <c r="N64416" s="6"/>
      <c r="O64416" s="6"/>
      <c r="P64416" s="6"/>
      <c r="Q64416" s="6"/>
      <c r="R64416" s="6"/>
      <c r="S64416" s="6"/>
      <c r="T64416" s="6"/>
      <c r="U64416" s="6"/>
      <c r="V64416" s="6"/>
      <c r="W64416" s="6"/>
      <c r="X64416" s="6"/>
      <c r="Y64416" s="6"/>
      <c r="Z64416" s="6"/>
      <c r="AA64416" s="6"/>
      <c r="AB64416" s="6"/>
      <c r="AC64416" s="6"/>
      <c r="AD64416" s="6"/>
      <c r="AE64416" s="6"/>
      <c r="AF64416" s="6"/>
      <c r="AG64416" s="6"/>
      <c r="AH64416" s="6"/>
      <c r="AI64416" s="6"/>
      <c r="AJ64416" s="6"/>
      <c r="AK64416" s="6"/>
      <c r="AL64416" s="6"/>
      <c r="AM64416" s="6"/>
    </row>
    <row r="64417" spans="2:39" ht="9.9499999999999993" hidden="1" customHeight="1" x14ac:dyDescent="0.2">
      <c r="B64417" s="6"/>
      <c r="C64417" s="6"/>
      <c r="D64417" s="6"/>
      <c r="E64417" s="6"/>
      <c r="F64417" s="6"/>
      <c r="G64417" s="6"/>
      <c r="H64417" s="6"/>
      <c r="I64417" s="6"/>
      <c r="J64417" s="6"/>
      <c r="K64417" s="6"/>
      <c r="L64417" s="6"/>
      <c r="M64417" s="6"/>
      <c r="N64417" s="6"/>
      <c r="O64417" s="6"/>
      <c r="P64417" s="6"/>
      <c r="Q64417" s="6"/>
      <c r="R64417" s="6"/>
      <c r="S64417" s="6"/>
      <c r="T64417" s="6"/>
      <c r="U64417" s="6"/>
      <c r="V64417" s="6"/>
      <c r="W64417" s="6"/>
      <c r="X64417" s="6"/>
      <c r="Y64417" s="6"/>
      <c r="Z64417" s="6"/>
      <c r="AA64417" s="6"/>
      <c r="AB64417" s="6"/>
      <c r="AC64417" s="6"/>
      <c r="AD64417" s="6"/>
      <c r="AE64417" s="6"/>
      <c r="AF64417" s="6"/>
      <c r="AG64417" s="6"/>
      <c r="AH64417" s="6"/>
      <c r="AI64417" s="6"/>
      <c r="AJ64417" s="6"/>
      <c r="AK64417" s="6"/>
      <c r="AL64417" s="6"/>
      <c r="AM64417" s="6"/>
    </row>
    <row r="64418" spans="2:39" ht="9.9499999999999993" hidden="1" customHeight="1" x14ac:dyDescent="0.2">
      <c r="B64418" s="6"/>
      <c r="C64418" s="6"/>
      <c r="D64418" s="6"/>
      <c r="E64418" s="6"/>
      <c r="F64418" s="6"/>
      <c r="G64418" s="6"/>
      <c r="H64418" s="6"/>
      <c r="I64418" s="6"/>
      <c r="J64418" s="6"/>
      <c r="K64418" s="6"/>
      <c r="L64418" s="6"/>
      <c r="M64418" s="6"/>
      <c r="N64418" s="6"/>
      <c r="O64418" s="6"/>
      <c r="P64418" s="6"/>
      <c r="Q64418" s="6"/>
      <c r="R64418" s="6"/>
      <c r="S64418" s="6"/>
      <c r="T64418" s="6"/>
      <c r="U64418" s="6"/>
      <c r="V64418" s="6"/>
      <c r="W64418" s="6"/>
      <c r="X64418" s="6"/>
      <c r="Y64418" s="6"/>
      <c r="Z64418" s="6"/>
      <c r="AA64418" s="6"/>
      <c r="AB64418" s="6"/>
      <c r="AC64418" s="6"/>
      <c r="AD64418" s="6"/>
      <c r="AE64418" s="6"/>
      <c r="AF64418" s="6"/>
      <c r="AG64418" s="6"/>
      <c r="AH64418" s="6"/>
      <c r="AI64418" s="6"/>
      <c r="AJ64418" s="6"/>
      <c r="AK64418" s="6"/>
      <c r="AL64418" s="6"/>
      <c r="AM64418" s="6"/>
    </row>
    <row r="64419" spans="2:39" ht="9.9499999999999993" hidden="1" customHeight="1" x14ac:dyDescent="0.2">
      <c r="B64419" s="6"/>
      <c r="C64419" s="6"/>
      <c r="D64419" s="6"/>
      <c r="E64419" s="6"/>
      <c r="F64419" s="6"/>
      <c r="G64419" s="6"/>
      <c r="H64419" s="6"/>
      <c r="I64419" s="6"/>
      <c r="J64419" s="6"/>
      <c r="K64419" s="6"/>
      <c r="L64419" s="6"/>
      <c r="M64419" s="6"/>
      <c r="N64419" s="6"/>
      <c r="O64419" s="6"/>
      <c r="P64419" s="6"/>
      <c r="Q64419" s="6"/>
      <c r="R64419" s="6"/>
      <c r="S64419" s="6"/>
      <c r="T64419" s="6"/>
      <c r="U64419" s="6"/>
      <c r="V64419" s="6"/>
      <c r="W64419" s="6"/>
      <c r="X64419" s="6"/>
      <c r="Y64419" s="6"/>
      <c r="Z64419" s="6"/>
      <c r="AA64419" s="6"/>
      <c r="AB64419" s="6"/>
      <c r="AC64419" s="6"/>
      <c r="AD64419" s="6"/>
      <c r="AE64419" s="6"/>
      <c r="AF64419" s="6"/>
      <c r="AG64419" s="6"/>
      <c r="AH64419" s="6"/>
      <c r="AI64419" s="6"/>
      <c r="AJ64419" s="6"/>
      <c r="AK64419" s="6"/>
      <c r="AL64419" s="6"/>
      <c r="AM64419" s="6"/>
    </row>
    <row r="64420" spans="2:39" ht="9.9499999999999993" hidden="1" customHeight="1" x14ac:dyDescent="0.2">
      <c r="B64420" s="6"/>
      <c r="C64420" s="6"/>
      <c r="D64420" s="6"/>
      <c r="E64420" s="6"/>
      <c r="F64420" s="6"/>
      <c r="G64420" s="6"/>
      <c r="H64420" s="6"/>
      <c r="I64420" s="6"/>
      <c r="J64420" s="6"/>
      <c r="K64420" s="6"/>
      <c r="L64420" s="6"/>
      <c r="M64420" s="6"/>
      <c r="N64420" s="6"/>
      <c r="O64420" s="6"/>
      <c r="P64420" s="6"/>
      <c r="Q64420" s="6"/>
      <c r="R64420" s="6"/>
      <c r="S64420" s="6"/>
      <c r="T64420" s="6"/>
      <c r="U64420" s="6"/>
      <c r="V64420" s="6"/>
      <c r="W64420" s="6"/>
      <c r="X64420" s="6"/>
      <c r="Y64420" s="6"/>
      <c r="Z64420" s="6"/>
      <c r="AA64420" s="6"/>
      <c r="AB64420" s="6"/>
      <c r="AC64420" s="6"/>
      <c r="AD64420" s="6"/>
      <c r="AE64420" s="6"/>
      <c r="AF64420" s="6"/>
      <c r="AG64420" s="6"/>
      <c r="AH64420" s="6"/>
      <c r="AI64420" s="6"/>
      <c r="AJ64420" s="6"/>
      <c r="AK64420" s="6"/>
      <c r="AL64420" s="6"/>
      <c r="AM64420" s="6"/>
    </row>
    <row r="64421" spans="2:39" ht="9.9499999999999993" hidden="1" customHeight="1" x14ac:dyDescent="0.2">
      <c r="B64421" s="6"/>
      <c r="C64421" s="6"/>
      <c r="D64421" s="6"/>
      <c r="E64421" s="6"/>
      <c r="F64421" s="6"/>
      <c r="G64421" s="6"/>
      <c r="H64421" s="6"/>
      <c r="I64421" s="6"/>
      <c r="J64421" s="6"/>
      <c r="K64421" s="6"/>
      <c r="L64421" s="6"/>
      <c r="M64421" s="6"/>
      <c r="N64421" s="6"/>
      <c r="O64421" s="6"/>
      <c r="P64421" s="6"/>
      <c r="Q64421" s="6"/>
      <c r="R64421" s="6"/>
      <c r="S64421" s="6"/>
      <c r="T64421" s="6"/>
      <c r="U64421" s="6"/>
      <c r="V64421" s="6"/>
      <c r="W64421" s="6"/>
      <c r="X64421" s="6"/>
      <c r="Y64421" s="6"/>
      <c r="Z64421" s="6"/>
      <c r="AA64421" s="6"/>
      <c r="AB64421" s="6"/>
      <c r="AC64421" s="6"/>
      <c r="AD64421" s="6"/>
      <c r="AE64421" s="6"/>
      <c r="AF64421" s="6"/>
      <c r="AG64421" s="6"/>
      <c r="AH64421" s="6"/>
      <c r="AI64421" s="6"/>
      <c r="AJ64421" s="6"/>
      <c r="AK64421" s="6"/>
      <c r="AL64421" s="6"/>
      <c r="AM64421" s="6"/>
    </row>
    <row r="64422" spans="2:39" ht="9.9499999999999993" hidden="1" customHeight="1" x14ac:dyDescent="0.2">
      <c r="B64422" s="6"/>
      <c r="C64422" s="6"/>
      <c r="D64422" s="6"/>
      <c r="E64422" s="6"/>
      <c r="F64422" s="6"/>
      <c r="G64422" s="6"/>
      <c r="H64422" s="6"/>
      <c r="I64422" s="6"/>
      <c r="J64422" s="6"/>
      <c r="K64422" s="6"/>
      <c r="L64422" s="6"/>
      <c r="M64422" s="6"/>
      <c r="N64422" s="6"/>
      <c r="O64422" s="6"/>
      <c r="P64422" s="6"/>
      <c r="Q64422" s="6"/>
      <c r="R64422" s="6"/>
      <c r="S64422" s="6"/>
      <c r="T64422" s="6"/>
      <c r="U64422" s="6"/>
      <c r="V64422" s="6"/>
      <c r="W64422" s="6"/>
      <c r="X64422" s="6"/>
      <c r="Y64422" s="6"/>
      <c r="Z64422" s="6"/>
      <c r="AA64422" s="6"/>
      <c r="AB64422" s="6"/>
      <c r="AC64422" s="6"/>
      <c r="AD64422" s="6"/>
      <c r="AE64422" s="6"/>
      <c r="AF64422" s="6"/>
      <c r="AG64422" s="6"/>
      <c r="AH64422" s="6"/>
      <c r="AI64422" s="6"/>
      <c r="AJ64422" s="6"/>
      <c r="AK64422" s="6"/>
      <c r="AL64422" s="6"/>
      <c r="AM64422" s="6"/>
    </row>
    <row r="64423" spans="2:39" ht="9.9499999999999993" hidden="1" customHeight="1" x14ac:dyDescent="0.2">
      <c r="B64423" s="6"/>
      <c r="C64423" s="6"/>
      <c r="D64423" s="6"/>
      <c r="E64423" s="6"/>
      <c r="F64423" s="6"/>
      <c r="G64423" s="6"/>
      <c r="H64423" s="6"/>
      <c r="I64423" s="6"/>
      <c r="J64423" s="6"/>
      <c r="K64423" s="6"/>
      <c r="L64423" s="6"/>
      <c r="M64423" s="6"/>
      <c r="N64423" s="6"/>
      <c r="O64423" s="6"/>
      <c r="P64423" s="6"/>
      <c r="Q64423" s="6"/>
      <c r="R64423" s="6"/>
      <c r="S64423" s="6"/>
      <c r="T64423" s="6"/>
      <c r="U64423" s="6"/>
      <c r="V64423" s="6"/>
      <c r="W64423" s="6"/>
      <c r="X64423" s="6"/>
      <c r="Y64423" s="6"/>
      <c r="Z64423" s="6"/>
      <c r="AA64423" s="6"/>
      <c r="AB64423" s="6"/>
      <c r="AC64423" s="6"/>
      <c r="AD64423" s="6"/>
      <c r="AE64423" s="6"/>
      <c r="AF64423" s="6"/>
      <c r="AG64423" s="6"/>
      <c r="AH64423" s="6"/>
      <c r="AI64423" s="6"/>
      <c r="AJ64423" s="6"/>
      <c r="AK64423" s="6"/>
      <c r="AL64423" s="6"/>
      <c r="AM64423" s="6"/>
    </row>
    <row r="64424" spans="2:39" ht="9.9499999999999993" hidden="1" customHeight="1" x14ac:dyDescent="0.2">
      <c r="B64424" s="6"/>
      <c r="C64424" s="6"/>
      <c r="D64424" s="6"/>
      <c r="E64424" s="6"/>
      <c r="F64424" s="6"/>
      <c r="G64424" s="6"/>
      <c r="H64424" s="6"/>
      <c r="I64424" s="6"/>
      <c r="J64424" s="6"/>
      <c r="K64424" s="6"/>
      <c r="L64424" s="6"/>
      <c r="M64424" s="6"/>
      <c r="N64424" s="6"/>
      <c r="O64424" s="6"/>
      <c r="P64424" s="6"/>
      <c r="Q64424" s="6"/>
      <c r="R64424" s="6"/>
      <c r="S64424" s="6"/>
      <c r="T64424" s="6"/>
      <c r="U64424" s="6"/>
      <c r="V64424" s="6"/>
      <c r="W64424" s="6"/>
      <c r="X64424" s="6"/>
      <c r="Y64424" s="6"/>
      <c r="Z64424" s="6"/>
      <c r="AA64424" s="6"/>
      <c r="AB64424" s="6"/>
      <c r="AC64424" s="6"/>
      <c r="AD64424" s="6"/>
      <c r="AE64424" s="6"/>
      <c r="AF64424" s="6"/>
      <c r="AG64424" s="6"/>
      <c r="AH64424" s="6"/>
      <c r="AI64424" s="6"/>
      <c r="AJ64424" s="6"/>
      <c r="AK64424" s="6"/>
      <c r="AL64424" s="6"/>
      <c r="AM64424" s="6"/>
    </row>
    <row r="64425" spans="2:39" ht="9.9499999999999993" hidden="1" customHeight="1" x14ac:dyDescent="0.2">
      <c r="B64425" s="6"/>
      <c r="C64425" s="6"/>
      <c r="D64425" s="6"/>
      <c r="E64425" s="6"/>
      <c r="F64425" s="6"/>
      <c r="G64425" s="6"/>
      <c r="H64425" s="6"/>
      <c r="I64425" s="6"/>
      <c r="J64425" s="6"/>
      <c r="K64425" s="6"/>
      <c r="L64425" s="6"/>
      <c r="M64425" s="6"/>
      <c r="N64425" s="6"/>
      <c r="O64425" s="6"/>
      <c r="P64425" s="6"/>
      <c r="Q64425" s="6"/>
      <c r="R64425" s="6"/>
      <c r="S64425" s="6"/>
      <c r="T64425" s="6"/>
      <c r="U64425" s="6"/>
      <c r="V64425" s="6"/>
      <c r="W64425" s="6"/>
      <c r="X64425" s="6"/>
      <c r="Y64425" s="6"/>
      <c r="Z64425" s="6"/>
      <c r="AA64425" s="6"/>
      <c r="AB64425" s="6"/>
      <c r="AC64425" s="6"/>
      <c r="AD64425" s="6"/>
      <c r="AE64425" s="6"/>
      <c r="AF64425" s="6"/>
      <c r="AG64425" s="6"/>
      <c r="AH64425" s="6"/>
      <c r="AI64425" s="6"/>
      <c r="AJ64425" s="6"/>
      <c r="AK64425" s="6"/>
      <c r="AL64425" s="6"/>
      <c r="AM64425" s="6"/>
    </row>
    <row r="64426" spans="2:39" ht="9.9499999999999993" hidden="1" customHeight="1" x14ac:dyDescent="0.2">
      <c r="B64426" s="6"/>
      <c r="C64426" s="6"/>
      <c r="D64426" s="6"/>
      <c r="E64426" s="6"/>
      <c r="F64426" s="6"/>
      <c r="G64426" s="6"/>
      <c r="H64426" s="6"/>
      <c r="I64426" s="6"/>
      <c r="J64426" s="6"/>
      <c r="K64426" s="6"/>
      <c r="L64426" s="6"/>
      <c r="M64426" s="6"/>
      <c r="N64426" s="6"/>
      <c r="O64426" s="6"/>
      <c r="P64426" s="6"/>
      <c r="Q64426" s="6"/>
      <c r="R64426" s="6"/>
      <c r="S64426" s="6"/>
      <c r="T64426" s="6"/>
      <c r="U64426" s="6"/>
      <c r="V64426" s="6"/>
      <c r="W64426" s="6"/>
      <c r="X64426" s="6"/>
      <c r="Y64426" s="6"/>
      <c r="Z64426" s="6"/>
      <c r="AA64426" s="6"/>
      <c r="AB64426" s="6"/>
      <c r="AC64426" s="6"/>
      <c r="AD64426" s="6"/>
      <c r="AE64426" s="6"/>
      <c r="AF64426" s="6"/>
      <c r="AG64426" s="6"/>
      <c r="AH64426" s="6"/>
      <c r="AI64426" s="6"/>
      <c r="AJ64426" s="6"/>
      <c r="AK64426" s="6"/>
      <c r="AL64426" s="6"/>
      <c r="AM64426" s="6"/>
    </row>
    <row r="64427" spans="2:39" ht="9.9499999999999993" hidden="1" customHeight="1" x14ac:dyDescent="0.2">
      <c r="B64427" s="6"/>
      <c r="C64427" s="6"/>
      <c r="D64427" s="6"/>
      <c r="E64427" s="6"/>
      <c r="F64427" s="6"/>
      <c r="G64427" s="6"/>
      <c r="H64427" s="6"/>
      <c r="I64427" s="6"/>
      <c r="J64427" s="6"/>
      <c r="K64427" s="6"/>
      <c r="L64427" s="6"/>
      <c r="M64427" s="6"/>
      <c r="N64427" s="6"/>
      <c r="O64427" s="6"/>
      <c r="P64427" s="6"/>
      <c r="Q64427" s="6"/>
      <c r="R64427" s="6"/>
      <c r="S64427" s="6"/>
      <c r="T64427" s="6"/>
      <c r="U64427" s="6"/>
      <c r="V64427" s="6"/>
      <c r="W64427" s="6"/>
      <c r="X64427" s="6"/>
      <c r="Y64427" s="6"/>
      <c r="Z64427" s="6"/>
      <c r="AA64427" s="6"/>
      <c r="AB64427" s="6"/>
      <c r="AC64427" s="6"/>
      <c r="AD64427" s="6"/>
      <c r="AE64427" s="6"/>
      <c r="AF64427" s="6"/>
      <c r="AG64427" s="6"/>
      <c r="AH64427" s="6"/>
      <c r="AI64427" s="6"/>
      <c r="AJ64427" s="6"/>
      <c r="AK64427" s="6"/>
      <c r="AL64427" s="6"/>
      <c r="AM64427" s="6"/>
    </row>
    <row r="64428" spans="2:39" ht="9.9499999999999993" hidden="1" customHeight="1" x14ac:dyDescent="0.2">
      <c r="B64428" s="6"/>
      <c r="C64428" s="6"/>
      <c r="D64428" s="6"/>
      <c r="E64428" s="6"/>
      <c r="F64428" s="6"/>
      <c r="G64428" s="6"/>
      <c r="H64428" s="6"/>
      <c r="I64428" s="6"/>
      <c r="J64428" s="6"/>
      <c r="K64428" s="6"/>
      <c r="L64428" s="6"/>
      <c r="M64428" s="6"/>
      <c r="N64428" s="6"/>
      <c r="O64428" s="6"/>
      <c r="P64428" s="6"/>
      <c r="Q64428" s="6"/>
      <c r="R64428" s="6"/>
      <c r="S64428" s="6"/>
      <c r="T64428" s="6"/>
      <c r="U64428" s="6"/>
      <c r="V64428" s="6"/>
      <c r="W64428" s="6"/>
      <c r="X64428" s="6"/>
      <c r="Y64428" s="6"/>
      <c r="Z64428" s="6"/>
      <c r="AA64428" s="6"/>
      <c r="AB64428" s="6"/>
      <c r="AC64428" s="6"/>
      <c r="AD64428" s="6"/>
      <c r="AE64428" s="6"/>
      <c r="AF64428" s="6"/>
      <c r="AG64428" s="6"/>
      <c r="AH64428" s="6"/>
      <c r="AI64428" s="6"/>
      <c r="AJ64428" s="6"/>
      <c r="AK64428" s="6"/>
      <c r="AL64428" s="6"/>
      <c r="AM64428" s="6"/>
    </row>
    <row r="64429" spans="2:39" ht="9.9499999999999993" hidden="1" customHeight="1" x14ac:dyDescent="0.2">
      <c r="B64429" s="6"/>
      <c r="C64429" s="6"/>
      <c r="D64429" s="6"/>
      <c r="E64429" s="6"/>
      <c r="F64429" s="6"/>
      <c r="G64429" s="6"/>
      <c r="H64429" s="6"/>
      <c r="I64429" s="6"/>
      <c r="J64429" s="6"/>
      <c r="K64429" s="6"/>
      <c r="L64429" s="6"/>
      <c r="M64429" s="6"/>
      <c r="N64429" s="6"/>
      <c r="O64429" s="6"/>
      <c r="P64429" s="6"/>
      <c r="Q64429" s="6"/>
      <c r="R64429" s="6"/>
      <c r="S64429" s="6"/>
      <c r="T64429" s="6"/>
      <c r="U64429" s="6"/>
      <c r="V64429" s="6"/>
      <c r="W64429" s="6"/>
      <c r="X64429" s="6"/>
      <c r="Y64429" s="6"/>
      <c r="Z64429" s="6"/>
      <c r="AA64429" s="6"/>
      <c r="AB64429" s="6"/>
      <c r="AC64429" s="6"/>
      <c r="AD64429" s="6"/>
      <c r="AE64429" s="6"/>
      <c r="AF64429" s="6"/>
      <c r="AG64429" s="6"/>
      <c r="AH64429" s="6"/>
      <c r="AI64429" s="6"/>
      <c r="AJ64429" s="6"/>
      <c r="AK64429" s="6"/>
      <c r="AL64429" s="6"/>
      <c r="AM64429" s="6"/>
    </row>
    <row r="64430" spans="2:39" ht="9.9499999999999993" hidden="1" customHeight="1" x14ac:dyDescent="0.2">
      <c r="B64430" s="6"/>
      <c r="C64430" s="6"/>
      <c r="D64430" s="6"/>
      <c r="E64430" s="6"/>
      <c r="F64430" s="6"/>
      <c r="G64430" s="6"/>
      <c r="H64430" s="6"/>
      <c r="I64430" s="6"/>
      <c r="J64430" s="6"/>
      <c r="K64430" s="6"/>
      <c r="L64430" s="6"/>
      <c r="M64430" s="6"/>
      <c r="N64430" s="6"/>
      <c r="O64430" s="6"/>
      <c r="P64430" s="6"/>
      <c r="Q64430" s="6"/>
      <c r="R64430" s="6"/>
      <c r="S64430" s="6"/>
      <c r="T64430" s="6"/>
      <c r="U64430" s="6"/>
      <c r="V64430" s="6"/>
      <c r="W64430" s="6"/>
      <c r="X64430" s="6"/>
      <c r="Y64430" s="6"/>
      <c r="Z64430" s="6"/>
      <c r="AA64430" s="6"/>
      <c r="AB64430" s="6"/>
      <c r="AC64430" s="6"/>
      <c r="AD64430" s="6"/>
      <c r="AE64430" s="6"/>
      <c r="AF64430" s="6"/>
      <c r="AG64430" s="6"/>
      <c r="AH64430" s="6"/>
      <c r="AI64430" s="6"/>
      <c r="AJ64430" s="6"/>
      <c r="AK64430" s="6"/>
      <c r="AL64430" s="6"/>
      <c r="AM64430" s="6"/>
    </row>
    <row r="64431" spans="2:39" ht="9.9499999999999993" hidden="1" customHeight="1" x14ac:dyDescent="0.2">
      <c r="B64431" s="6"/>
      <c r="C64431" s="6"/>
      <c r="D64431" s="6"/>
      <c r="E64431" s="6"/>
      <c r="F64431" s="6"/>
      <c r="G64431" s="6"/>
      <c r="H64431" s="6"/>
      <c r="I64431" s="6"/>
      <c r="J64431" s="6"/>
      <c r="K64431" s="6"/>
      <c r="L64431" s="6"/>
      <c r="M64431" s="6"/>
      <c r="N64431" s="6"/>
      <c r="O64431" s="6"/>
      <c r="P64431" s="6"/>
      <c r="Q64431" s="6"/>
      <c r="R64431" s="6"/>
      <c r="S64431" s="6"/>
      <c r="T64431" s="6"/>
      <c r="U64431" s="6"/>
      <c r="V64431" s="6"/>
      <c r="W64431" s="6"/>
      <c r="X64431" s="6"/>
      <c r="Y64431" s="6"/>
      <c r="Z64431" s="6"/>
      <c r="AA64431" s="6"/>
      <c r="AB64431" s="6"/>
      <c r="AC64431" s="6"/>
      <c r="AD64431" s="6"/>
      <c r="AE64431" s="6"/>
      <c r="AF64431" s="6"/>
      <c r="AG64431" s="6"/>
      <c r="AH64431" s="6"/>
      <c r="AI64431" s="6"/>
      <c r="AJ64431" s="6"/>
      <c r="AK64431" s="6"/>
      <c r="AL64431" s="6"/>
      <c r="AM64431" s="6"/>
    </row>
    <row r="64432" spans="2:39" ht="9.9499999999999993" hidden="1" customHeight="1" x14ac:dyDescent="0.2">
      <c r="B64432" s="6"/>
      <c r="C64432" s="6"/>
      <c r="D64432" s="6"/>
      <c r="E64432" s="6"/>
      <c r="F64432" s="6"/>
      <c r="G64432" s="6"/>
      <c r="H64432" s="6"/>
      <c r="I64432" s="6"/>
      <c r="J64432" s="6"/>
      <c r="K64432" s="6"/>
      <c r="L64432" s="6"/>
      <c r="M64432" s="6"/>
      <c r="N64432" s="6"/>
      <c r="O64432" s="6"/>
      <c r="P64432" s="6"/>
      <c r="Q64432" s="6"/>
      <c r="R64432" s="6"/>
      <c r="S64432" s="6"/>
      <c r="T64432" s="6"/>
      <c r="U64432" s="6"/>
      <c r="V64432" s="6"/>
      <c r="W64432" s="6"/>
      <c r="X64432" s="6"/>
      <c r="Y64432" s="6"/>
      <c r="Z64432" s="6"/>
      <c r="AA64432" s="6"/>
      <c r="AB64432" s="6"/>
      <c r="AC64432" s="6"/>
      <c r="AD64432" s="6"/>
      <c r="AE64432" s="6"/>
      <c r="AF64432" s="6"/>
      <c r="AG64432" s="6"/>
      <c r="AH64432" s="6"/>
      <c r="AI64432" s="6"/>
      <c r="AJ64432" s="6"/>
      <c r="AK64432" s="6"/>
      <c r="AL64432" s="6"/>
      <c r="AM64432" s="6"/>
    </row>
    <row r="64433" spans="2:39" ht="9.9499999999999993" hidden="1" customHeight="1" x14ac:dyDescent="0.2">
      <c r="B64433" s="6"/>
      <c r="C64433" s="6"/>
      <c r="D64433" s="6"/>
      <c r="E64433" s="6"/>
      <c r="F64433" s="6"/>
      <c r="G64433" s="6"/>
      <c r="H64433" s="6"/>
      <c r="I64433" s="6"/>
      <c r="J64433" s="6"/>
      <c r="K64433" s="6"/>
      <c r="L64433" s="6"/>
      <c r="M64433" s="6"/>
      <c r="N64433" s="6"/>
      <c r="O64433" s="6"/>
      <c r="P64433" s="6"/>
      <c r="Q64433" s="6"/>
      <c r="R64433" s="6"/>
      <c r="S64433" s="6"/>
      <c r="T64433" s="6"/>
      <c r="U64433" s="6"/>
      <c r="V64433" s="6"/>
      <c r="W64433" s="6"/>
      <c r="X64433" s="6"/>
      <c r="Y64433" s="6"/>
      <c r="Z64433" s="6"/>
      <c r="AA64433" s="6"/>
      <c r="AB64433" s="6"/>
      <c r="AC64433" s="6"/>
      <c r="AD64433" s="6"/>
      <c r="AE64433" s="6"/>
      <c r="AF64433" s="6"/>
      <c r="AG64433" s="6"/>
      <c r="AH64433" s="6"/>
      <c r="AI64433" s="6"/>
      <c r="AJ64433" s="6"/>
      <c r="AK64433" s="6"/>
      <c r="AL64433" s="6"/>
      <c r="AM64433" s="6"/>
    </row>
    <row r="64434" spans="2:39" ht="9.9499999999999993" hidden="1" customHeight="1" x14ac:dyDescent="0.2">
      <c r="B64434" s="6"/>
      <c r="C64434" s="6"/>
      <c r="D64434" s="6"/>
      <c r="E64434" s="6"/>
      <c r="F64434" s="6"/>
      <c r="G64434" s="6"/>
      <c r="H64434" s="6"/>
      <c r="I64434" s="6"/>
      <c r="J64434" s="6"/>
      <c r="K64434" s="6"/>
      <c r="L64434" s="6"/>
      <c r="M64434" s="6"/>
      <c r="N64434" s="6"/>
      <c r="O64434" s="6"/>
      <c r="P64434" s="6"/>
      <c r="Q64434" s="6"/>
      <c r="R64434" s="6"/>
      <c r="S64434" s="6"/>
      <c r="T64434" s="6"/>
      <c r="U64434" s="6"/>
      <c r="V64434" s="6"/>
      <c r="W64434" s="6"/>
      <c r="X64434" s="6"/>
      <c r="Y64434" s="6"/>
      <c r="Z64434" s="6"/>
      <c r="AA64434" s="6"/>
      <c r="AB64434" s="6"/>
      <c r="AC64434" s="6"/>
      <c r="AD64434" s="6"/>
      <c r="AE64434" s="6"/>
      <c r="AF64434" s="6"/>
      <c r="AG64434" s="6"/>
      <c r="AH64434" s="6"/>
      <c r="AI64434" s="6"/>
      <c r="AJ64434" s="6"/>
      <c r="AK64434" s="6"/>
      <c r="AL64434" s="6"/>
      <c r="AM64434" s="6"/>
    </row>
    <row r="64435" spans="2:39" ht="9.9499999999999993" hidden="1" customHeight="1" x14ac:dyDescent="0.2">
      <c r="B64435" s="6"/>
      <c r="C64435" s="6"/>
      <c r="D64435" s="6"/>
      <c r="E64435" s="6"/>
      <c r="F64435" s="6"/>
      <c r="G64435" s="6"/>
      <c r="H64435" s="6"/>
      <c r="I64435" s="6"/>
      <c r="J64435" s="6"/>
      <c r="K64435" s="6"/>
      <c r="L64435" s="6"/>
      <c r="M64435" s="6"/>
      <c r="N64435" s="6"/>
      <c r="O64435" s="6"/>
      <c r="P64435" s="6"/>
      <c r="Q64435" s="6"/>
      <c r="R64435" s="6"/>
      <c r="S64435" s="6"/>
      <c r="T64435" s="6"/>
      <c r="U64435" s="6"/>
      <c r="V64435" s="6"/>
      <c r="W64435" s="6"/>
      <c r="X64435" s="6"/>
      <c r="Y64435" s="6"/>
      <c r="Z64435" s="6"/>
      <c r="AA64435" s="6"/>
      <c r="AB64435" s="6"/>
      <c r="AC64435" s="6"/>
      <c r="AD64435" s="6"/>
      <c r="AE64435" s="6"/>
      <c r="AF64435" s="6"/>
      <c r="AG64435" s="6"/>
      <c r="AH64435" s="6"/>
      <c r="AI64435" s="6"/>
      <c r="AJ64435" s="6"/>
      <c r="AK64435" s="6"/>
      <c r="AL64435" s="6"/>
      <c r="AM64435" s="6"/>
    </row>
    <row r="64436" spans="2:39" ht="9.9499999999999993" hidden="1" customHeight="1" x14ac:dyDescent="0.2">
      <c r="B64436" s="6"/>
      <c r="C64436" s="6"/>
      <c r="D64436" s="6"/>
      <c r="E64436" s="6"/>
      <c r="F64436" s="6"/>
      <c r="G64436" s="6"/>
      <c r="H64436" s="6"/>
      <c r="I64436" s="6"/>
      <c r="J64436" s="6"/>
      <c r="K64436" s="6"/>
      <c r="L64436" s="6"/>
      <c r="M64436" s="6"/>
      <c r="N64436" s="6"/>
      <c r="O64436" s="6"/>
      <c r="P64436" s="6"/>
      <c r="Q64436" s="6"/>
      <c r="R64436" s="6"/>
      <c r="S64436" s="6"/>
      <c r="T64436" s="6"/>
      <c r="U64436" s="6"/>
      <c r="V64436" s="6"/>
      <c r="W64436" s="6"/>
      <c r="X64436" s="6"/>
      <c r="Y64436" s="6"/>
      <c r="Z64436" s="6"/>
      <c r="AA64436" s="6"/>
      <c r="AB64436" s="6"/>
      <c r="AC64436" s="6"/>
      <c r="AD64436" s="6"/>
      <c r="AE64436" s="6"/>
      <c r="AF64436" s="6"/>
      <c r="AG64436" s="6"/>
      <c r="AH64436" s="6"/>
      <c r="AI64436" s="6"/>
      <c r="AJ64436" s="6"/>
      <c r="AK64436" s="6"/>
      <c r="AL64436" s="6"/>
      <c r="AM64436" s="6"/>
    </row>
    <row r="64437" spans="2:39" ht="9.9499999999999993" hidden="1" customHeight="1" x14ac:dyDescent="0.2">
      <c r="B64437" s="6"/>
      <c r="C64437" s="6"/>
      <c r="D64437" s="6"/>
      <c r="E64437" s="6"/>
      <c r="F64437" s="6"/>
      <c r="G64437" s="6"/>
      <c r="H64437" s="6"/>
      <c r="I64437" s="6"/>
      <c r="J64437" s="6"/>
      <c r="K64437" s="6"/>
      <c r="L64437" s="6"/>
      <c r="M64437" s="6"/>
      <c r="N64437" s="6"/>
      <c r="O64437" s="6"/>
      <c r="P64437" s="6"/>
      <c r="Q64437" s="6"/>
      <c r="R64437" s="6"/>
      <c r="S64437" s="6"/>
      <c r="T64437" s="6"/>
      <c r="U64437" s="6"/>
      <c r="V64437" s="6"/>
      <c r="W64437" s="6"/>
      <c r="X64437" s="6"/>
      <c r="Y64437" s="6"/>
      <c r="Z64437" s="6"/>
      <c r="AA64437" s="6"/>
      <c r="AB64437" s="6"/>
      <c r="AC64437" s="6"/>
      <c r="AD64437" s="6"/>
      <c r="AE64437" s="6"/>
      <c r="AF64437" s="6"/>
      <c r="AG64437" s="6"/>
      <c r="AH64437" s="6"/>
      <c r="AI64437" s="6"/>
      <c r="AJ64437" s="6"/>
      <c r="AK64437" s="6"/>
      <c r="AL64437" s="6"/>
      <c r="AM64437" s="6"/>
    </row>
    <row r="64438" spans="2:39" ht="9.9499999999999993" hidden="1" customHeight="1" x14ac:dyDescent="0.2">
      <c r="B64438" s="6"/>
      <c r="C64438" s="6"/>
      <c r="D64438" s="6"/>
      <c r="E64438" s="6"/>
      <c r="F64438" s="6"/>
      <c r="G64438" s="6"/>
      <c r="H64438" s="6"/>
      <c r="I64438" s="6"/>
      <c r="J64438" s="6"/>
      <c r="K64438" s="6"/>
      <c r="L64438" s="6"/>
      <c r="M64438" s="6"/>
      <c r="N64438" s="6"/>
      <c r="O64438" s="6"/>
      <c r="P64438" s="6"/>
      <c r="Q64438" s="6"/>
      <c r="R64438" s="6"/>
      <c r="S64438" s="6"/>
      <c r="T64438" s="6"/>
      <c r="U64438" s="6"/>
      <c r="V64438" s="6"/>
      <c r="W64438" s="6"/>
      <c r="X64438" s="6"/>
      <c r="Y64438" s="6"/>
      <c r="Z64438" s="6"/>
      <c r="AA64438" s="6"/>
      <c r="AB64438" s="6"/>
      <c r="AC64438" s="6"/>
      <c r="AD64438" s="6"/>
      <c r="AE64438" s="6"/>
      <c r="AF64438" s="6"/>
      <c r="AG64438" s="6"/>
      <c r="AH64438" s="6"/>
      <c r="AI64438" s="6"/>
      <c r="AJ64438" s="6"/>
      <c r="AK64438" s="6"/>
      <c r="AL64438" s="6"/>
      <c r="AM64438" s="6"/>
    </row>
    <row r="64439" spans="2:39" ht="9.9499999999999993" hidden="1" customHeight="1" x14ac:dyDescent="0.2">
      <c r="B64439" s="6"/>
      <c r="C64439" s="6"/>
      <c r="D64439" s="6"/>
      <c r="E64439" s="6"/>
      <c r="F64439" s="6"/>
      <c r="G64439" s="6"/>
      <c r="H64439" s="6"/>
      <c r="I64439" s="6"/>
      <c r="J64439" s="6"/>
      <c r="K64439" s="6"/>
      <c r="L64439" s="6"/>
      <c r="M64439" s="6"/>
      <c r="N64439" s="6"/>
      <c r="O64439" s="6"/>
      <c r="P64439" s="6"/>
      <c r="Q64439" s="6"/>
      <c r="R64439" s="6"/>
      <c r="S64439" s="6"/>
      <c r="T64439" s="6"/>
      <c r="U64439" s="6"/>
      <c r="V64439" s="6"/>
      <c r="W64439" s="6"/>
      <c r="X64439" s="6"/>
      <c r="Y64439" s="6"/>
      <c r="Z64439" s="6"/>
      <c r="AA64439" s="6"/>
      <c r="AB64439" s="6"/>
      <c r="AC64439" s="6"/>
      <c r="AD64439" s="6"/>
      <c r="AE64439" s="6"/>
      <c r="AF64439" s="6"/>
      <c r="AG64439" s="6"/>
      <c r="AH64439" s="6"/>
      <c r="AI64439" s="6"/>
      <c r="AJ64439" s="6"/>
      <c r="AK64439" s="6"/>
      <c r="AL64439" s="6"/>
      <c r="AM64439" s="6"/>
    </row>
    <row r="64440" spans="2:39" ht="9.9499999999999993" hidden="1" customHeight="1" x14ac:dyDescent="0.2">
      <c r="B64440" s="6"/>
      <c r="C64440" s="6"/>
      <c r="D64440" s="6"/>
      <c r="E64440" s="6"/>
      <c r="F64440" s="6"/>
      <c r="G64440" s="6"/>
      <c r="H64440" s="6"/>
      <c r="I64440" s="6"/>
      <c r="J64440" s="6"/>
      <c r="K64440" s="6"/>
      <c r="L64440" s="6"/>
      <c r="M64440" s="6"/>
      <c r="N64440" s="6"/>
      <c r="O64440" s="6"/>
      <c r="P64440" s="6"/>
      <c r="Q64440" s="6"/>
      <c r="R64440" s="6"/>
      <c r="S64440" s="6"/>
      <c r="T64440" s="6"/>
      <c r="U64440" s="6"/>
      <c r="V64440" s="6"/>
      <c r="W64440" s="6"/>
      <c r="X64440" s="6"/>
      <c r="Y64440" s="6"/>
      <c r="Z64440" s="6"/>
      <c r="AA64440" s="6"/>
      <c r="AB64440" s="6"/>
      <c r="AC64440" s="6"/>
      <c r="AD64440" s="6"/>
      <c r="AE64440" s="6"/>
      <c r="AF64440" s="6"/>
      <c r="AG64440" s="6"/>
      <c r="AH64440" s="6"/>
      <c r="AI64440" s="6"/>
      <c r="AJ64440" s="6"/>
      <c r="AK64440" s="6"/>
      <c r="AL64440" s="6"/>
      <c r="AM64440" s="6"/>
    </row>
    <row r="64441" spans="2:39" ht="9.9499999999999993" hidden="1" customHeight="1" x14ac:dyDescent="0.2">
      <c r="B64441" s="6"/>
      <c r="C64441" s="6"/>
      <c r="D64441" s="6"/>
      <c r="E64441" s="6"/>
      <c r="F64441" s="6"/>
      <c r="G64441" s="6"/>
      <c r="H64441" s="6"/>
      <c r="I64441" s="6"/>
      <c r="J64441" s="6"/>
      <c r="K64441" s="6"/>
      <c r="L64441" s="6"/>
      <c r="M64441" s="6"/>
      <c r="N64441" s="6"/>
      <c r="O64441" s="6"/>
      <c r="P64441" s="6"/>
      <c r="Q64441" s="6"/>
      <c r="R64441" s="6"/>
      <c r="S64441" s="6"/>
      <c r="T64441" s="6"/>
      <c r="U64441" s="6"/>
      <c r="V64441" s="6"/>
      <c r="W64441" s="6"/>
      <c r="X64441" s="6"/>
      <c r="Y64441" s="6"/>
      <c r="Z64441" s="6"/>
      <c r="AA64441" s="6"/>
      <c r="AB64441" s="6"/>
      <c r="AC64441" s="6"/>
      <c r="AD64441" s="6"/>
      <c r="AE64441" s="6"/>
      <c r="AF64441" s="6"/>
      <c r="AG64441" s="6"/>
      <c r="AH64441" s="6"/>
      <c r="AI64441" s="6"/>
      <c r="AJ64441" s="6"/>
      <c r="AK64441" s="6"/>
      <c r="AL64441" s="6"/>
      <c r="AM64441" s="6"/>
    </row>
    <row r="64442" spans="2:39" ht="9.9499999999999993" hidden="1" customHeight="1" x14ac:dyDescent="0.2">
      <c r="B64442" s="6"/>
      <c r="C64442" s="6"/>
      <c r="D64442" s="6"/>
      <c r="E64442" s="6"/>
      <c r="F64442" s="6"/>
      <c r="G64442" s="6"/>
      <c r="H64442" s="6"/>
      <c r="I64442" s="6"/>
      <c r="J64442" s="6"/>
      <c r="K64442" s="6"/>
      <c r="L64442" s="6"/>
      <c r="M64442" s="6"/>
      <c r="N64442" s="6"/>
      <c r="O64442" s="6"/>
      <c r="P64442" s="6"/>
      <c r="Q64442" s="6"/>
      <c r="R64442" s="6"/>
      <c r="S64442" s="6"/>
      <c r="T64442" s="6"/>
      <c r="U64442" s="6"/>
      <c r="V64442" s="6"/>
      <c r="W64442" s="6"/>
      <c r="X64442" s="6"/>
      <c r="Y64442" s="6"/>
      <c r="Z64442" s="6"/>
      <c r="AA64442" s="6"/>
      <c r="AB64442" s="6"/>
      <c r="AC64442" s="6"/>
      <c r="AD64442" s="6"/>
      <c r="AE64442" s="6"/>
      <c r="AF64442" s="6"/>
      <c r="AG64442" s="6"/>
      <c r="AH64442" s="6"/>
      <c r="AI64442" s="6"/>
      <c r="AJ64442" s="6"/>
      <c r="AK64442" s="6"/>
      <c r="AL64442" s="6"/>
      <c r="AM64442" s="6"/>
    </row>
    <row r="64443" spans="2:39" ht="9.9499999999999993" hidden="1" customHeight="1" x14ac:dyDescent="0.2">
      <c r="B64443" s="6"/>
      <c r="C64443" s="6"/>
      <c r="D64443" s="6"/>
      <c r="E64443" s="6"/>
      <c r="F64443" s="6"/>
      <c r="G64443" s="6"/>
      <c r="H64443" s="6"/>
      <c r="I64443" s="6"/>
      <c r="J64443" s="6"/>
      <c r="K64443" s="6"/>
      <c r="L64443" s="6"/>
      <c r="M64443" s="6"/>
      <c r="N64443" s="6"/>
      <c r="O64443" s="6"/>
      <c r="P64443" s="6"/>
      <c r="Q64443" s="6"/>
      <c r="R64443" s="6"/>
      <c r="S64443" s="6"/>
      <c r="T64443" s="6"/>
      <c r="U64443" s="6"/>
      <c r="V64443" s="6"/>
      <c r="W64443" s="6"/>
      <c r="X64443" s="6"/>
      <c r="Y64443" s="6"/>
      <c r="Z64443" s="6"/>
      <c r="AA64443" s="6"/>
      <c r="AB64443" s="6"/>
      <c r="AC64443" s="6"/>
      <c r="AD64443" s="6"/>
      <c r="AE64443" s="6"/>
      <c r="AF64443" s="6"/>
      <c r="AG64443" s="6"/>
      <c r="AH64443" s="6"/>
      <c r="AI64443" s="6"/>
      <c r="AJ64443" s="6"/>
      <c r="AK64443" s="6"/>
      <c r="AL64443" s="6"/>
      <c r="AM64443" s="6"/>
    </row>
    <row r="64444" spans="2:39" ht="9.9499999999999993" hidden="1" customHeight="1" x14ac:dyDescent="0.2">
      <c r="B64444" s="6"/>
      <c r="C64444" s="6"/>
      <c r="D64444" s="6"/>
      <c r="E64444" s="6"/>
      <c r="F64444" s="6"/>
      <c r="G64444" s="6"/>
      <c r="H64444" s="6"/>
      <c r="I64444" s="6"/>
      <c r="J64444" s="6"/>
      <c r="K64444" s="6"/>
      <c r="L64444" s="6"/>
      <c r="M64444" s="6"/>
      <c r="N64444" s="6"/>
      <c r="O64444" s="6"/>
      <c r="P64444" s="6"/>
      <c r="Q64444" s="6"/>
      <c r="R64444" s="6"/>
      <c r="S64444" s="6"/>
      <c r="T64444" s="6"/>
      <c r="U64444" s="6"/>
      <c r="V64444" s="6"/>
      <c r="W64444" s="6"/>
      <c r="X64444" s="6"/>
      <c r="Y64444" s="6"/>
      <c r="Z64444" s="6"/>
      <c r="AA64444" s="6"/>
      <c r="AB64444" s="6"/>
      <c r="AC64444" s="6"/>
      <c r="AD64444" s="6"/>
      <c r="AE64444" s="6"/>
      <c r="AF64444" s="6"/>
      <c r="AG64444" s="6"/>
      <c r="AH64444" s="6"/>
      <c r="AI64444" s="6"/>
      <c r="AJ64444" s="6"/>
      <c r="AK64444" s="6"/>
      <c r="AL64444" s="6"/>
      <c r="AM64444" s="6"/>
    </row>
    <row r="64445" spans="2:39" ht="9.9499999999999993" hidden="1" customHeight="1" x14ac:dyDescent="0.2">
      <c r="B64445" s="6"/>
      <c r="C64445" s="6"/>
      <c r="D64445" s="6"/>
      <c r="E64445" s="6"/>
      <c r="F64445" s="6"/>
      <c r="G64445" s="6"/>
      <c r="H64445" s="6"/>
      <c r="I64445" s="6"/>
      <c r="J64445" s="6"/>
      <c r="K64445" s="6"/>
      <c r="L64445" s="6"/>
      <c r="M64445" s="6"/>
      <c r="N64445" s="6"/>
      <c r="O64445" s="6"/>
      <c r="P64445" s="6"/>
      <c r="Q64445" s="6"/>
      <c r="R64445" s="6"/>
      <c r="S64445" s="6"/>
      <c r="T64445" s="6"/>
      <c r="U64445" s="6"/>
      <c r="V64445" s="6"/>
      <c r="W64445" s="6"/>
      <c r="X64445" s="6"/>
      <c r="Y64445" s="6"/>
      <c r="Z64445" s="6"/>
      <c r="AA64445" s="6"/>
      <c r="AB64445" s="6"/>
      <c r="AC64445" s="6"/>
      <c r="AD64445" s="6"/>
      <c r="AE64445" s="6"/>
      <c r="AF64445" s="6"/>
      <c r="AG64445" s="6"/>
      <c r="AH64445" s="6"/>
      <c r="AI64445" s="6"/>
      <c r="AJ64445" s="6"/>
      <c r="AK64445" s="6"/>
      <c r="AL64445" s="6"/>
      <c r="AM64445" s="6"/>
    </row>
    <row r="64446" spans="2:39" ht="9.9499999999999993" hidden="1" customHeight="1" x14ac:dyDescent="0.2">
      <c r="B64446" s="6"/>
      <c r="C64446" s="6"/>
      <c r="D64446" s="6"/>
      <c r="E64446" s="6"/>
      <c r="F64446" s="6"/>
      <c r="G64446" s="6"/>
      <c r="H64446" s="6"/>
      <c r="I64446" s="6"/>
      <c r="J64446" s="6"/>
      <c r="K64446" s="6"/>
      <c r="L64446" s="6"/>
      <c r="M64446" s="6"/>
      <c r="N64446" s="6"/>
      <c r="O64446" s="6"/>
      <c r="P64446" s="6"/>
      <c r="Q64446" s="6"/>
      <c r="R64446" s="6"/>
      <c r="S64446" s="6"/>
      <c r="T64446" s="6"/>
      <c r="U64446" s="6"/>
      <c r="V64446" s="6"/>
      <c r="W64446" s="6"/>
      <c r="X64446" s="6"/>
      <c r="Y64446" s="6"/>
      <c r="Z64446" s="6"/>
      <c r="AA64446" s="6"/>
      <c r="AB64446" s="6"/>
      <c r="AC64446" s="6"/>
      <c r="AD64446" s="6"/>
      <c r="AE64446" s="6"/>
      <c r="AF64446" s="6"/>
      <c r="AG64446" s="6"/>
      <c r="AH64446" s="6"/>
      <c r="AI64446" s="6"/>
      <c r="AJ64446" s="6"/>
      <c r="AK64446" s="6"/>
      <c r="AL64446" s="6"/>
      <c r="AM64446" s="6"/>
    </row>
    <row r="64447" spans="2:39" ht="9.9499999999999993" hidden="1" customHeight="1" x14ac:dyDescent="0.2">
      <c r="B64447" s="6"/>
      <c r="C64447" s="6"/>
      <c r="D64447" s="6"/>
      <c r="E64447" s="6"/>
      <c r="F64447" s="6"/>
      <c r="G64447" s="6"/>
      <c r="H64447" s="6"/>
      <c r="I64447" s="6"/>
      <c r="J64447" s="6"/>
      <c r="K64447" s="6"/>
      <c r="L64447" s="6"/>
      <c r="M64447" s="6"/>
      <c r="N64447" s="6"/>
      <c r="O64447" s="6"/>
      <c r="P64447" s="6"/>
      <c r="Q64447" s="6"/>
      <c r="R64447" s="6"/>
      <c r="S64447" s="6"/>
      <c r="T64447" s="6"/>
      <c r="U64447" s="6"/>
      <c r="V64447" s="6"/>
      <c r="W64447" s="6"/>
      <c r="X64447" s="6"/>
      <c r="Y64447" s="6"/>
      <c r="Z64447" s="6"/>
      <c r="AA64447" s="6"/>
      <c r="AB64447" s="6"/>
      <c r="AC64447" s="6"/>
      <c r="AD64447" s="6"/>
      <c r="AE64447" s="6"/>
      <c r="AF64447" s="6"/>
      <c r="AG64447" s="6"/>
      <c r="AH64447" s="6"/>
      <c r="AI64447" s="6"/>
      <c r="AJ64447" s="6"/>
      <c r="AK64447" s="6"/>
      <c r="AL64447" s="6"/>
      <c r="AM64447" s="6"/>
    </row>
    <row r="64448" spans="2:39" ht="9.9499999999999993" hidden="1" customHeight="1" x14ac:dyDescent="0.2">
      <c r="B64448" s="6"/>
      <c r="C64448" s="6"/>
      <c r="D64448" s="6"/>
      <c r="E64448" s="6"/>
      <c r="F64448" s="6"/>
      <c r="G64448" s="6"/>
      <c r="H64448" s="6"/>
      <c r="I64448" s="6"/>
      <c r="J64448" s="6"/>
      <c r="K64448" s="6"/>
      <c r="L64448" s="6"/>
      <c r="M64448" s="6"/>
      <c r="N64448" s="6"/>
      <c r="O64448" s="6"/>
      <c r="P64448" s="6"/>
      <c r="Q64448" s="6"/>
      <c r="R64448" s="6"/>
      <c r="S64448" s="6"/>
      <c r="T64448" s="6"/>
      <c r="U64448" s="6"/>
      <c r="V64448" s="6"/>
      <c r="W64448" s="6"/>
      <c r="X64448" s="6"/>
      <c r="Y64448" s="6"/>
      <c r="Z64448" s="6"/>
      <c r="AA64448" s="6"/>
      <c r="AB64448" s="6"/>
      <c r="AC64448" s="6"/>
      <c r="AD64448" s="6"/>
      <c r="AE64448" s="6"/>
      <c r="AF64448" s="6"/>
      <c r="AG64448" s="6"/>
      <c r="AH64448" s="6"/>
      <c r="AI64448" s="6"/>
      <c r="AJ64448" s="6"/>
      <c r="AK64448" s="6"/>
      <c r="AL64448" s="6"/>
      <c r="AM64448" s="6"/>
    </row>
    <row r="64449" spans="2:39" ht="9.9499999999999993" hidden="1" customHeight="1" x14ac:dyDescent="0.2">
      <c r="B64449" s="6"/>
      <c r="C64449" s="6"/>
      <c r="D64449" s="6"/>
      <c r="E64449" s="6"/>
      <c r="F64449" s="6"/>
      <c r="G64449" s="6"/>
      <c r="H64449" s="6"/>
      <c r="I64449" s="6"/>
      <c r="J64449" s="6"/>
      <c r="K64449" s="6"/>
      <c r="L64449" s="6"/>
      <c r="M64449" s="6"/>
      <c r="N64449" s="6"/>
      <c r="O64449" s="6"/>
      <c r="P64449" s="6"/>
      <c r="Q64449" s="6"/>
      <c r="R64449" s="6"/>
      <c r="S64449" s="6"/>
      <c r="T64449" s="6"/>
      <c r="U64449" s="6"/>
      <c r="V64449" s="6"/>
      <c r="W64449" s="6"/>
      <c r="X64449" s="6"/>
      <c r="Y64449" s="6"/>
      <c r="Z64449" s="6"/>
      <c r="AA64449" s="6"/>
      <c r="AB64449" s="6"/>
      <c r="AC64449" s="6"/>
      <c r="AD64449" s="6"/>
      <c r="AE64449" s="6"/>
      <c r="AF64449" s="6"/>
      <c r="AG64449" s="6"/>
      <c r="AH64449" s="6"/>
      <c r="AI64449" s="6"/>
      <c r="AJ64449" s="6"/>
      <c r="AK64449" s="6"/>
      <c r="AL64449" s="6"/>
      <c r="AM64449" s="6"/>
    </row>
    <row r="64450" spans="2:39" ht="9.9499999999999993" hidden="1" customHeight="1" x14ac:dyDescent="0.2">
      <c r="B64450" s="6"/>
      <c r="C64450" s="6"/>
      <c r="D64450" s="6"/>
      <c r="E64450" s="6"/>
      <c r="F64450" s="6"/>
      <c r="G64450" s="6"/>
      <c r="H64450" s="6"/>
      <c r="I64450" s="6"/>
      <c r="J64450" s="6"/>
      <c r="K64450" s="6"/>
      <c r="L64450" s="6"/>
      <c r="M64450" s="6"/>
      <c r="N64450" s="6"/>
      <c r="O64450" s="6"/>
      <c r="P64450" s="6"/>
      <c r="Q64450" s="6"/>
      <c r="R64450" s="6"/>
      <c r="S64450" s="6"/>
      <c r="T64450" s="6"/>
      <c r="U64450" s="6"/>
      <c r="V64450" s="6"/>
      <c r="W64450" s="6"/>
      <c r="X64450" s="6"/>
      <c r="Y64450" s="6"/>
      <c r="Z64450" s="6"/>
      <c r="AA64450" s="6"/>
      <c r="AB64450" s="6"/>
      <c r="AC64450" s="6"/>
      <c r="AD64450" s="6"/>
      <c r="AE64450" s="6"/>
      <c r="AF64450" s="6"/>
      <c r="AG64450" s="6"/>
      <c r="AH64450" s="6"/>
      <c r="AI64450" s="6"/>
      <c r="AJ64450" s="6"/>
      <c r="AK64450" s="6"/>
      <c r="AL64450" s="6"/>
      <c r="AM64450" s="6"/>
    </row>
    <row r="64451" spans="2:39" ht="9.9499999999999993" hidden="1" customHeight="1" x14ac:dyDescent="0.2">
      <c r="B64451" s="6"/>
      <c r="C64451" s="6"/>
      <c r="D64451" s="6"/>
      <c r="E64451" s="6"/>
      <c r="F64451" s="6"/>
      <c r="G64451" s="6"/>
      <c r="H64451" s="6"/>
      <c r="I64451" s="6"/>
      <c r="J64451" s="6"/>
      <c r="K64451" s="6"/>
      <c r="L64451" s="6"/>
      <c r="M64451" s="6"/>
      <c r="N64451" s="6"/>
      <c r="O64451" s="6"/>
      <c r="P64451" s="6"/>
      <c r="Q64451" s="6"/>
      <c r="R64451" s="6"/>
      <c r="S64451" s="6"/>
      <c r="T64451" s="6"/>
      <c r="U64451" s="6"/>
      <c r="V64451" s="6"/>
      <c r="W64451" s="6"/>
      <c r="X64451" s="6"/>
      <c r="Y64451" s="6"/>
      <c r="Z64451" s="6"/>
      <c r="AA64451" s="6"/>
      <c r="AB64451" s="6"/>
      <c r="AC64451" s="6"/>
      <c r="AD64451" s="6"/>
      <c r="AE64451" s="6"/>
      <c r="AF64451" s="6"/>
      <c r="AG64451" s="6"/>
      <c r="AH64451" s="6"/>
      <c r="AI64451" s="6"/>
      <c r="AJ64451" s="6"/>
      <c r="AK64451" s="6"/>
      <c r="AL64451" s="6"/>
      <c r="AM64451" s="6"/>
    </row>
    <row r="64452" spans="2:39" ht="9.9499999999999993" hidden="1" customHeight="1" x14ac:dyDescent="0.2">
      <c r="B64452" s="6"/>
      <c r="C64452" s="6"/>
      <c r="D64452" s="6"/>
      <c r="E64452" s="6"/>
      <c r="F64452" s="6"/>
      <c r="G64452" s="6"/>
      <c r="H64452" s="6"/>
      <c r="I64452" s="6"/>
      <c r="J64452" s="6"/>
      <c r="K64452" s="6"/>
      <c r="L64452" s="6"/>
      <c r="M64452" s="6"/>
      <c r="N64452" s="6"/>
      <c r="O64452" s="6"/>
      <c r="P64452" s="6"/>
      <c r="Q64452" s="6"/>
      <c r="R64452" s="6"/>
      <c r="S64452" s="6"/>
      <c r="T64452" s="6"/>
      <c r="U64452" s="6"/>
      <c r="V64452" s="6"/>
      <c r="W64452" s="6"/>
      <c r="X64452" s="6"/>
      <c r="Y64452" s="6"/>
      <c r="Z64452" s="6"/>
      <c r="AA64452" s="6"/>
      <c r="AB64452" s="6"/>
      <c r="AC64452" s="6"/>
      <c r="AD64452" s="6"/>
      <c r="AE64452" s="6"/>
      <c r="AF64452" s="6"/>
      <c r="AG64452" s="6"/>
      <c r="AH64452" s="6"/>
      <c r="AI64452" s="6"/>
      <c r="AJ64452" s="6"/>
      <c r="AK64452" s="6"/>
      <c r="AL64452" s="6"/>
      <c r="AM64452" s="6"/>
    </row>
    <row r="64453" spans="2:39" ht="9.9499999999999993" hidden="1" customHeight="1" x14ac:dyDescent="0.2">
      <c r="B64453" s="6"/>
      <c r="C64453" s="6"/>
      <c r="D64453" s="6"/>
      <c r="E64453" s="6"/>
      <c r="F64453" s="6"/>
      <c r="G64453" s="6"/>
      <c r="H64453" s="6"/>
      <c r="I64453" s="6"/>
      <c r="J64453" s="6"/>
      <c r="K64453" s="6"/>
      <c r="L64453" s="6"/>
      <c r="M64453" s="6"/>
      <c r="N64453" s="6"/>
      <c r="O64453" s="6"/>
      <c r="P64453" s="6"/>
      <c r="Q64453" s="6"/>
      <c r="R64453" s="6"/>
      <c r="S64453" s="6"/>
      <c r="T64453" s="6"/>
      <c r="U64453" s="6"/>
      <c r="V64453" s="6"/>
      <c r="W64453" s="6"/>
      <c r="X64453" s="6"/>
      <c r="Y64453" s="6"/>
      <c r="Z64453" s="6"/>
      <c r="AA64453" s="6"/>
      <c r="AB64453" s="6"/>
      <c r="AC64453" s="6"/>
      <c r="AD64453" s="6"/>
      <c r="AE64453" s="6"/>
      <c r="AF64453" s="6"/>
      <c r="AG64453" s="6"/>
      <c r="AH64453" s="6"/>
      <c r="AI64453" s="6"/>
      <c r="AJ64453" s="6"/>
      <c r="AK64453" s="6"/>
      <c r="AL64453" s="6"/>
      <c r="AM64453" s="6"/>
    </row>
    <row r="64454" spans="2:39" ht="9.9499999999999993" hidden="1" customHeight="1" x14ac:dyDescent="0.2">
      <c r="B64454" s="6"/>
      <c r="C64454" s="6"/>
      <c r="D64454" s="6"/>
      <c r="E64454" s="6"/>
      <c r="F64454" s="6"/>
      <c r="G64454" s="6"/>
      <c r="H64454" s="6"/>
      <c r="I64454" s="6"/>
      <c r="J64454" s="6"/>
      <c r="K64454" s="6"/>
      <c r="L64454" s="6"/>
      <c r="M64454" s="6"/>
      <c r="N64454" s="6"/>
      <c r="O64454" s="6"/>
      <c r="P64454" s="6"/>
      <c r="Q64454" s="6"/>
      <c r="R64454" s="6"/>
      <c r="S64454" s="6"/>
      <c r="T64454" s="6"/>
      <c r="U64454" s="6"/>
      <c r="V64454" s="6"/>
      <c r="W64454" s="6"/>
      <c r="X64454" s="6"/>
      <c r="Y64454" s="6"/>
      <c r="Z64454" s="6"/>
      <c r="AA64454" s="6"/>
      <c r="AB64454" s="6"/>
      <c r="AC64454" s="6"/>
      <c r="AD64454" s="6"/>
      <c r="AE64454" s="6"/>
      <c r="AF64454" s="6"/>
      <c r="AG64454" s="6"/>
      <c r="AH64454" s="6"/>
      <c r="AI64454" s="6"/>
      <c r="AJ64454" s="6"/>
      <c r="AK64454" s="6"/>
      <c r="AL64454" s="6"/>
      <c r="AM64454" s="6"/>
    </row>
    <row r="64455" spans="2:39" ht="9.9499999999999993" hidden="1" customHeight="1" x14ac:dyDescent="0.2">
      <c r="B64455" s="6"/>
      <c r="C64455" s="6"/>
      <c r="D64455" s="6"/>
      <c r="E64455" s="6"/>
      <c r="F64455" s="6"/>
      <c r="G64455" s="6"/>
      <c r="H64455" s="6"/>
      <c r="I64455" s="6"/>
      <c r="J64455" s="6"/>
      <c r="K64455" s="6"/>
      <c r="L64455" s="6"/>
      <c r="M64455" s="6"/>
      <c r="N64455" s="6"/>
      <c r="O64455" s="6"/>
      <c r="P64455" s="6"/>
      <c r="Q64455" s="6"/>
      <c r="R64455" s="6"/>
      <c r="S64455" s="6"/>
      <c r="T64455" s="6"/>
      <c r="U64455" s="6"/>
      <c r="V64455" s="6"/>
      <c r="W64455" s="6"/>
      <c r="X64455" s="6"/>
      <c r="Y64455" s="6"/>
      <c r="Z64455" s="6"/>
      <c r="AA64455" s="6"/>
      <c r="AB64455" s="6"/>
      <c r="AC64455" s="6"/>
      <c r="AD64455" s="6"/>
      <c r="AE64455" s="6"/>
      <c r="AF64455" s="6"/>
      <c r="AG64455" s="6"/>
      <c r="AH64455" s="6"/>
      <c r="AI64455" s="6"/>
      <c r="AJ64455" s="6"/>
      <c r="AK64455" s="6"/>
      <c r="AL64455" s="6"/>
      <c r="AM64455" s="6"/>
    </row>
    <row r="64456" spans="2:39" ht="9.9499999999999993" hidden="1" customHeight="1" x14ac:dyDescent="0.2">
      <c r="B64456" s="6"/>
      <c r="C64456" s="6"/>
      <c r="D64456" s="6"/>
      <c r="E64456" s="6"/>
      <c r="F64456" s="6"/>
      <c r="G64456" s="6"/>
      <c r="H64456" s="6"/>
      <c r="I64456" s="6"/>
      <c r="J64456" s="6"/>
      <c r="K64456" s="6"/>
      <c r="L64456" s="6"/>
      <c r="M64456" s="6"/>
      <c r="N64456" s="6"/>
      <c r="O64456" s="6"/>
      <c r="P64456" s="6"/>
      <c r="Q64456" s="6"/>
      <c r="R64456" s="6"/>
      <c r="S64456" s="6"/>
      <c r="T64456" s="6"/>
      <c r="U64456" s="6"/>
      <c r="V64456" s="6"/>
      <c r="W64456" s="6"/>
      <c r="X64456" s="6"/>
      <c r="Y64456" s="6"/>
      <c r="Z64456" s="6"/>
      <c r="AA64456" s="6"/>
      <c r="AB64456" s="6"/>
      <c r="AC64456" s="6"/>
      <c r="AD64456" s="6"/>
      <c r="AE64456" s="6"/>
      <c r="AF64456" s="6"/>
      <c r="AG64456" s="6"/>
      <c r="AH64456" s="6"/>
      <c r="AI64456" s="6"/>
      <c r="AJ64456" s="6"/>
      <c r="AK64456" s="6"/>
      <c r="AL64456" s="6"/>
      <c r="AM64456" s="6"/>
    </row>
    <row r="64457" spans="2:39" ht="9.9499999999999993" hidden="1" customHeight="1" x14ac:dyDescent="0.2">
      <c r="B64457" s="6"/>
      <c r="C64457" s="6"/>
      <c r="D64457" s="6"/>
      <c r="E64457" s="6"/>
      <c r="F64457" s="6"/>
      <c r="G64457" s="6"/>
      <c r="H64457" s="6"/>
      <c r="I64457" s="6"/>
      <c r="J64457" s="6"/>
      <c r="K64457" s="6"/>
      <c r="L64457" s="6"/>
      <c r="M64457" s="6"/>
      <c r="N64457" s="6"/>
      <c r="O64457" s="6"/>
      <c r="P64457" s="6"/>
      <c r="Q64457" s="6"/>
      <c r="R64457" s="6"/>
      <c r="S64457" s="6"/>
      <c r="T64457" s="6"/>
      <c r="U64457" s="6"/>
      <c r="V64457" s="6"/>
      <c r="W64457" s="6"/>
      <c r="X64457" s="6"/>
      <c r="Y64457" s="6"/>
      <c r="Z64457" s="6"/>
      <c r="AA64457" s="6"/>
      <c r="AB64457" s="6"/>
      <c r="AC64457" s="6"/>
      <c r="AD64457" s="6"/>
      <c r="AE64457" s="6"/>
      <c r="AF64457" s="6"/>
      <c r="AG64457" s="6"/>
      <c r="AH64457" s="6"/>
      <c r="AI64457" s="6"/>
      <c r="AJ64457" s="6"/>
      <c r="AK64457" s="6"/>
      <c r="AL64457" s="6"/>
      <c r="AM64457" s="6"/>
    </row>
    <row r="64458" spans="2:39" ht="9.9499999999999993" hidden="1" customHeight="1" x14ac:dyDescent="0.2">
      <c r="B64458" s="6"/>
      <c r="C64458" s="6"/>
      <c r="D64458" s="6"/>
      <c r="E64458" s="6"/>
      <c r="F64458" s="6"/>
      <c r="G64458" s="6"/>
      <c r="H64458" s="6"/>
      <c r="I64458" s="6"/>
      <c r="J64458" s="6"/>
      <c r="K64458" s="6"/>
      <c r="L64458" s="6"/>
      <c r="M64458" s="6"/>
      <c r="N64458" s="6"/>
      <c r="O64458" s="6"/>
      <c r="P64458" s="6"/>
      <c r="Q64458" s="6"/>
      <c r="R64458" s="6"/>
      <c r="S64458" s="6"/>
      <c r="T64458" s="6"/>
      <c r="U64458" s="6"/>
      <c r="V64458" s="6"/>
      <c r="W64458" s="6"/>
      <c r="X64458" s="6"/>
      <c r="Y64458" s="6"/>
      <c r="Z64458" s="6"/>
      <c r="AA64458" s="6"/>
      <c r="AB64458" s="6"/>
      <c r="AC64458" s="6"/>
      <c r="AD64458" s="6"/>
      <c r="AE64458" s="6"/>
      <c r="AF64458" s="6"/>
      <c r="AG64458" s="6"/>
      <c r="AH64458" s="6"/>
      <c r="AI64458" s="6"/>
      <c r="AJ64458" s="6"/>
      <c r="AK64458" s="6"/>
      <c r="AL64458" s="6"/>
      <c r="AM64458" s="6"/>
    </row>
    <row r="64459" spans="2:39" ht="9.9499999999999993" hidden="1" customHeight="1" x14ac:dyDescent="0.2">
      <c r="B64459" s="6"/>
      <c r="C64459" s="6"/>
      <c r="D64459" s="6"/>
      <c r="E64459" s="6"/>
      <c r="F64459" s="6"/>
      <c r="G64459" s="6"/>
      <c r="H64459" s="6"/>
      <c r="I64459" s="6"/>
      <c r="J64459" s="6"/>
      <c r="K64459" s="6"/>
      <c r="L64459" s="6"/>
      <c r="M64459" s="6"/>
      <c r="N64459" s="6"/>
      <c r="O64459" s="6"/>
      <c r="P64459" s="6"/>
      <c r="Q64459" s="6"/>
      <c r="R64459" s="6"/>
      <c r="S64459" s="6"/>
      <c r="T64459" s="6"/>
      <c r="U64459" s="6"/>
      <c r="V64459" s="6"/>
      <c r="W64459" s="6"/>
      <c r="X64459" s="6"/>
      <c r="Y64459" s="6"/>
      <c r="Z64459" s="6"/>
      <c r="AA64459" s="6"/>
      <c r="AB64459" s="6"/>
      <c r="AC64459" s="6"/>
      <c r="AD64459" s="6"/>
      <c r="AE64459" s="6"/>
      <c r="AF64459" s="6"/>
      <c r="AG64459" s="6"/>
      <c r="AH64459" s="6"/>
      <c r="AI64459" s="6"/>
      <c r="AJ64459" s="6"/>
      <c r="AK64459" s="6"/>
      <c r="AL64459" s="6"/>
      <c r="AM64459" s="6"/>
    </row>
    <row r="64460" spans="2:39" ht="9.9499999999999993" hidden="1" customHeight="1" x14ac:dyDescent="0.2">
      <c r="B64460" s="6"/>
      <c r="C64460" s="6"/>
      <c r="D64460" s="6"/>
      <c r="E64460" s="6"/>
      <c r="F64460" s="6"/>
      <c r="G64460" s="6"/>
      <c r="H64460" s="6"/>
      <c r="I64460" s="6"/>
      <c r="J64460" s="6"/>
      <c r="K64460" s="6"/>
      <c r="L64460" s="6"/>
      <c r="M64460" s="6"/>
      <c r="N64460" s="6"/>
      <c r="O64460" s="6"/>
      <c r="P64460" s="6"/>
      <c r="Q64460" s="6"/>
      <c r="R64460" s="6"/>
      <c r="S64460" s="6"/>
      <c r="T64460" s="6"/>
      <c r="U64460" s="6"/>
      <c r="V64460" s="6"/>
      <c r="W64460" s="6"/>
      <c r="X64460" s="6"/>
      <c r="Y64460" s="6"/>
      <c r="Z64460" s="6"/>
      <c r="AA64460" s="6"/>
      <c r="AB64460" s="6"/>
      <c r="AC64460" s="6"/>
      <c r="AD64460" s="6"/>
      <c r="AE64460" s="6"/>
      <c r="AF64460" s="6"/>
      <c r="AG64460" s="6"/>
      <c r="AH64460" s="6"/>
      <c r="AI64460" s="6"/>
      <c r="AJ64460" s="6"/>
      <c r="AK64460" s="6"/>
      <c r="AL64460" s="6"/>
      <c r="AM64460" s="6"/>
    </row>
    <row r="64461" spans="2:39" ht="9.9499999999999993" hidden="1" customHeight="1" x14ac:dyDescent="0.2">
      <c r="B64461" s="6"/>
      <c r="C64461" s="6"/>
      <c r="D64461" s="6"/>
      <c r="E64461" s="6"/>
      <c r="F64461" s="6"/>
      <c r="G64461" s="6"/>
      <c r="H64461" s="6"/>
      <c r="I64461" s="6"/>
      <c r="J64461" s="6"/>
      <c r="K64461" s="6"/>
      <c r="L64461" s="6"/>
      <c r="M64461" s="6"/>
      <c r="N64461" s="6"/>
      <c r="O64461" s="6"/>
      <c r="P64461" s="6"/>
      <c r="Q64461" s="6"/>
      <c r="R64461" s="6"/>
      <c r="S64461" s="6"/>
      <c r="T64461" s="6"/>
      <c r="U64461" s="6"/>
      <c r="V64461" s="6"/>
      <c r="W64461" s="6"/>
      <c r="X64461" s="6"/>
      <c r="Y64461" s="6"/>
      <c r="Z64461" s="6"/>
      <c r="AA64461" s="6"/>
      <c r="AB64461" s="6"/>
      <c r="AC64461" s="6"/>
      <c r="AD64461" s="6"/>
      <c r="AE64461" s="6"/>
      <c r="AF64461" s="6"/>
      <c r="AG64461" s="6"/>
      <c r="AH64461" s="6"/>
      <c r="AI64461" s="6"/>
      <c r="AJ64461" s="6"/>
      <c r="AK64461" s="6"/>
      <c r="AL64461" s="6"/>
      <c r="AM64461" s="6"/>
    </row>
    <row r="64462" spans="2:39" ht="9.9499999999999993" hidden="1" customHeight="1" x14ac:dyDescent="0.2">
      <c r="B64462" s="6"/>
      <c r="C64462" s="6"/>
      <c r="D64462" s="6"/>
      <c r="E64462" s="6"/>
      <c r="F64462" s="6"/>
      <c r="G64462" s="6"/>
      <c r="H64462" s="6"/>
      <c r="I64462" s="6"/>
      <c r="J64462" s="6"/>
      <c r="K64462" s="6"/>
      <c r="L64462" s="6"/>
      <c r="M64462" s="6"/>
      <c r="N64462" s="6"/>
      <c r="O64462" s="6"/>
      <c r="P64462" s="6"/>
      <c r="Q64462" s="6"/>
      <c r="R64462" s="6"/>
      <c r="S64462" s="6"/>
      <c r="T64462" s="6"/>
      <c r="U64462" s="6"/>
      <c r="V64462" s="6"/>
      <c r="W64462" s="6"/>
      <c r="X64462" s="6"/>
      <c r="Y64462" s="6"/>
      <c r="Z64462" s="6"/>
      <c r="AA64462" s="6"/>
      <c r="AB64462" s="6"/>
      <c r="AC64462" s="6"/>
      <c r="AD64462" s="6"/>
      <c r="AE64462" s="6"/>
      <c r="AF64462" s="6"/>
      <c r="AG64462" s="6"/>
      <c r="AH64462" s="6"/>
      <c r="AI64462" s="6"/>
      <c r="AJ64462" s="6"/>
      <c r="AK64462" s="6"/>
      <c r="AL64462" s="6"/>
      <c r="AM64462" s="6"/>
    </row>
    <row r="64463" spans="2:39" ht="9.9499999999999993" hidden="1" customHeight="1" x14ac:dyDescent="0.2">
      <c r="B64463" s="6"/>
      <c r="C64463" s="6"/>
      <c r="D64463" s="6"/>
      <c r="E64463" s="6"/>
      <c r="F64463" s="6"/>
      <c r="G64463" s="6"/>
      <c r="H64463" s="6"/>
      <c r="I64463" s="6"/>
      <c r="J64463" s="6"/>
      <c r="K64463" s="6"/>
      <c r="L64463" s="6"/>
      <c r="M64463" s="6"/>
      <c r="N64463" s="6"/>
      <c r="O64463" s="6"/>
      <c r="P64463" s="6"/>
      <c r="Q64463" s="6"/>
      <c r="R64463" s="6"/>
      <c r="S64463" s="6"/>
      <c r="T64463" s="6"/>
      <c r="U64463" s="6"/>
      <c r="V64463" s="6"/>
      <c r="W64463" s="6"/>
      <c r="X64463" s="6"/>
      <c r="Y64463" s="6"/>
      <c r="Z64463" s="6"/>
      <c r="AA64463" s="6"/>
      <c r="AB64463" s="6"/>
      <c r="AC64463" s="6"/>
      <c r="AD64463" s="6"/>
      <c r="AE64463" s="6"/>
      <c r="AF64463" s="6"/>
      <c r="AG64463" s="6"/>
      <c r="AH64463" s="6"/>
      <c r="AI64463" s="6"/>
      <c r="AJ64463" s="6"/>
      <c r="AK64463" s="6"/>
      <c r="AL64463" s="6"/>
      <c r="AM64463" s="6"/>
    </row>
    <row r="64464" spans="2:39" ht="9.9499999999999993" hidden="1" customHeight="1" x14ac:dyDescent="0.2">
      <c r="B64464" s="6"/>
      <c r="C64464" s="6"/>
      <c r="D64464" s="6"/>
      <c r="E64464" s="6"/>
      <c r="F64464" s="6"/>
      <c r="G64464" s="6"/>
      <c r="H64464" s="6"/>
      <c r="I64464" s="6"/>
      <c r="J64464" s="6"/>
      <c r="K64464" s="6"/>
      <c r="L64464" s="6"/>
      <c r="M64464" s="6"/>
      <c r="N64464" s="6"/>
      <c r="O64464" s="6"/>
      <c r="P64464" s="6"/>
      <c r="Q64464" s="6"/>
      <c r="R64464" s="6"/>
      <c r="S64464" s="6"/>
      <c r="T64464" s="6"/>
      <c r="U64464" s="6"/>
      <c r="V64464" s="6"/>
      <c r="W64464" s="6"/>
      <c r="X64464" s="6"/>
      <c r="Y64464" s="6"/>
      <c r="Z64464" s="6"/>
      <c r="AA64464" s="6"/>
      <c r="AB64464" s="6"/>
      <c r="AC64464" s="6"/>
      <c r="AD64464" s="6"/>
      <c r="AE64464" s="6"/>
      <c r="AF64464" s="6"/>
      <c r="AG64464" s="6"/>
      <c r="AH64464" s="6"/>
      <c r="AI64464" s="6"/>
      <c r="AJ64464" s="6"/>
      <c r="AK64464" s="6"/>
      <c r="AL64464" s="6"/>
      <c r="AM64464" s="6"/>
    </row>
    <row r="64465" spans="2:39" ht="9.9499999999999993" hidden="1" customHeight="1" x14ac:dyDescent="0.2">
      <c r="B64465" s="6"/>
      <c r="C64465" s="6"/>
      <c r="D64465" s="6"/>
      <c r="E64465" s="6"/>
      <c r="F64465" s="6"/>
      <c r="G64465" s="6"/>
      <c r="H64465" s="6"/>
      <c r="I64465" s="6"/>
      <c r="J64465" s="6"/>
      <c r="K64465" s="6"/>
      <c r="L64465" s="6"/>
      <c r="M64465" s="6"/>
      <c r="N64465" s="6"/>
      <c r="O64465" s="6"/>
      <c r="P64465" s="6"/>
      <c r="Q64465" s="6"/>
      <c r="R64465" s="6"/>
      <c r="S64465" s="6"/>
      <c r="T64465" s="6"/>
      <c r="U64465" s="6"/>
      <c r="V64465" s="6"/>
      <c r="W64465" s="6"/>
      <c r="X64465" s="6"/>
      <c r="Y64465" s="6"/>
      <c r="Z64465" s="6"/>
      <c r="AA64465" s="6"/>
      <c r="AB64465" s="6"/>
      <c r="AC64465" s="6"/>
      <c r="AD64465" s="6"/>
      <c r="AE64465" s="6"/>
      <c r="AF64465" s="6"/>
      <c r="AG64465" s="6"/>
      <c r="AH64465" s="6"/>
      <c r="AI64465" s="6"/>
      <c r="AJ64465" s="6"/>
      <c r="AK64465" s="6"/>
      <c r="AL64465" s="6"/>
      <c r="AM64465" s="6"/>
    </row>
    <row r="64466" spans="2:39" ht="9.9499999999999993" hidden="1" customHeight="1" x14ac:dyDescent="0.2">
      <c r="B64466" s="6"/>
      <c r="C64466" s="6"/>
      <c r="D64466" s="6"/>
      <c r="E64466" s="6"/>
      <c r="F64466" s="6"/>
      <c r="G64466" s="6"/>
      <c r="H64466" s="6"/>
      <c r="I64466" s="6"/>
      <c r="J64466" s="6"/>
      <c r="K64466" s="6"/>
      <c r="L64466" s="6"/>
      <c r="M64466" s="6"/>
      <c r="N64466" s="6"/>
      <c r="O64466" s="6"/>
      <c r="P64466" s="6"/>
      <c r="Q64466" s="6"/>
      <c r="R64466" s="6"/>
      <c r="S64466" s="6"/>
      <c r="T64466" s="6"/>
      <c r="U64466" s="6"/>
      <c r="V64466" s="6"/>
      <c r="W64466" s="6"/>
      <c r="X64466" s="6"/>
      <c r="Y64466" s="6"/>
      <c r="Z64466" s="6"/>
      <c r="AA64466" s="6"/>
      <c r="AB64466" s="6"/>
      <c r="AC64466" s="6"/>
      <c r="AD64466" s="6"/>
      <c r="AE64466" s="6"/>
      <c r="AF64466" s="6"/>
      <c r="AG64466" s="6"/>
      <c r="AH64466" s="6"/>
      <c r="AI64466" s="6"/>
      <c r="AJ64466" s="6"/>
      <c r="AK64466" s="6"/>
      <c r="AL64466" s="6"/>
      <c r="AM64466" s="6"/>
    </row>
    <row r="64467" spans="2:39" ht="9.9499999999999993" hidden="1" customHeight="1" x14ac:dyDescent="0.2">
      <c r="B64467" s="6"/>
      <c r="C64467" s="6"/>
      <c r="D64467" s="6"/>
      <c r="E64467" s="6"/>
      <c r="F64467" s="6"/>
      <c r="G64467" s="6"/>
      <c r="H64467" s="6"/>
      <c r="I64467" s="6"/>
      <c r="J64467" s="6"/>
      <c r="K64467" s="6"/>
      <c r="L64467" s="6"/>
      <c r="M64467" s="6"/>
      <c r="N64467" s="6"/>
      <c r="O64467" s="6"/>
      <c r="P64467" s="6"/>
      <c r="Q64467" s="6"/>
      <c r="R64467" s="6"/>
      <c r="S64467" s="6"/>
      <c r="T64467" s="6"/>
      <c r="U64467" s="6"/>
      <c r="V64467" s="6"/>
      <c r="W64467" s="6"/>
      <c r="X64467" s="6"/>
      <c r="Y64467" s="6"/>
      <c r="Z64467" s="6"/>
      <c r="AA64467" s="6"/>
      <c r="AB64467" s="6"/>
      <c r="AC64467" s="6"/>
      <c r="AD64467" s="6"/>
      <c r="AE64467" s="6"/>
      <c r="AF64467" s="6"/>
      <c r="AG64467" s="6"/>
      <c r="AH64467" s="6"/>
      <c r="AI64467" s="6"/>
      <c r="AJ64467" s="6"/>
      <c r="AK64467" s="6"/>
      <c r="AL64467" s="6"/>
      <c r="AM64467" s="6"/>
    </row>
    <row r="64468" spans="2:39" ht="9.9499999999999993" hidden="1" customHeight="1" x14ac:dyDescent="0.2">
      <c r="B64468" s="6"/>
      <c r="C64468" s="6"/>
      <c r="D64468" s="6"/>
      <c r="E64468" s="6"/>
      <c r="F64468" s="6"/>
      <c r="G64468" s="6"/>
      <c r="H64468" s="6"/>
      <c r="I64468" s="6"/>
      <c r="J64468" s="6"/>
      <c r="K64468" s="6"/>
      <c r="L64468" s="6"/>
      <c r="M64468" s="6"/>
      <c r="N64468" s="6"/>
      <c r="O64468" s="6"/>
      <c r="P64468" s="6"/>
      <c r="Q64468" s="6"/>
      <c r="R64468" s="6"/>
      <c r="S64468" s="6"/>
      <c r="T64468" s="6"/>
      <c r="U64468" s="6"/>
      <c r="V64468" s="6"/>
      <c r="W64468" s="6"/>
      <c r="X64468" s="6"/>
      <c r="Y64468" s="6"/>
      <c r="Z64468" s="6"/>
      <c r="AA64468" s="6"/>
      <c r="AB64468" s="6"/>
      <c r="AC64468" s="6"/>
      <c r="AD64468" s="6"/>
      <c r="AE64468" s="6"/>
      <c r="AF64468" s="6"/>
      <c r="AG64468" s="6"/>
      <c r="AH64468" s="6"/>
      <c r="AI64468" s="6"/>
      <c r="AJ64468" s="6"/>
      <c r="AK64468" s="6"/>
      <c r="AL64468" s="6"/>
      <c r="AM64468" s="6"/>
    </row>
    <row r="64469" spans="2:39" ht="9.9499999999999993" hidden="1" customHeight="1" x14ac:dyDescent="0.2">
      <c r="B64469" s="6"/>
      <c r="C64469" s="6"/>
      <c r="D64469" s="6"/>
      <c r="E64469" s="6"/>
      <c r="F64469" s="6"/>
      <c r="G64469" s="6"/>
      <c r="H64469" s="6"/>
      <c r="I64469" s="6"/>
      <c r="J64469" s="6"/>
      <c r="K64469" s="6"/>
      <c r="L64469" s="6"/>
      <c r="M64469" s="6"/>
      <c r="N64469" s="6"/>
      <c r="O64469" s="6"/>
      <c r="P64469" s="6"/>
      <c r="Q64469" s="6"/>
      <c r="R64469" s="6"/>
      <c r="S64469" s="6"/>
      <c r="T64469" s="6"/>
      <c r="U64469" s="6"/>
      <c r="V64469" s="6"/>
      <c r="W64469" s="6"/>
      <c r="X64469" s="6"/>
      <c r="Y64469" s="6"/>
      <c r="Z64469" s="6"/>
      <c r="AA64469" s="6"/>
      <c r="AB64469" s="6"/>
      <c r="AC64469" s="6"/>
      <c r="AD64469" s="6"/>
      <c r="AE64469" s="6"/>
      <c r="AF64469" s="6"/>
      <c r="AG64469" s="6"/>
      <c r="AH64469" s="6"/>
      <c r="AI64469" s="6"/>
      <c r="AJ64469" s="6"/>
      <c r="AK64469" s="6"/>
      <c r="AL64469" s="6"/>
      <c r="AM64469" s="6"/>
    </row>
    <row r="64470" spans="2:39" ht="9.9499999999999993" hidden="1" customHeight="1" x14ac:dyDescent="0.2">
      <c r="B64470" s="6"/>
      <c r="C64470" s="6"/>
      <c r="D64470" s="6"/>
      <c r="E64470" s="6"/>
      <c r="F64470" s="6"/>
      <c r="G64470" s="6"/>
      <c r="H64470" s="6"/>
      <c r="I64470" s="6"/>
      <c r="J64470" s="6"/>
      <c r="K64470" s="6"/>
      <c r="L64470" s="6"/>
      <c r="M64470" s="6"/>
      <c r="N64470" s="6"/>
      <c r="O64470" s="6"/>
      <c r="P64470" s="6"/>
      <c r="Q64470" s="6"/>
      <c r="R64470" s="6"/>
      <c r="S64470" s="6"/>
      <c r="T64470" s="6"/>
      <c r="U64470" s="6"/>
      <c r="V64470" s="6"/>
      <c r="W64470" s="6"/>
      <c r="X64470" s="6"/>
      <c r="Y64470" s="6"/>
      <c r="Z64470" s="6"/>
      <c r="AA64470" s="6"/>
      <c r="AB64470" s="6"/>
      <c r="AC64470" s="6"/>
      <c r="AD64470" s="6"/>
      <c r="AE64470" s="6"/>
      <c r="AF64470" s="6"/>
      <c r="AG64470" s="6"/>
      <c r="AH64470" s="6"/>
      <c r="AI64470" s="6"/>
      <c r="AJ64470" s="6"/>
      <c r="AK64470" s="6"/>
      <c r="AL64470" s="6"/>
      <c r="AM64470" s="6"/>
    </row>
    <row r="64471" spans="2:39" ht="9.9499999999999993" hidden="1" customHeight="1" x14ac:dyDescent="0.2">
      <c r="B64471" s="6"/>
      <c r="C64471" s="6"/>
      <c r="D64471" s="6"/>
      <c r="E64471" s="6"/>
      <c r="F64471" s="6"/>
      <c r="G64471" s="6"/>
      <c r="H64471" s="6"/>
      <c r="I64471" s="6"/>
      <c r="J64471" s="6"/>
      <c r="K64471" s="6"/>
      <c r="L64471" s="6"/>
      <c r="M64471" s="6"/>
      <c r="N64471" s="6"/>
      <c r="O64471" s="6"/>
      <c r="P64471" s="6"/>
      <c r="Q64471" s="6"/>
      <c r="R64471" s="6"/>
      <c r="S64471" s="6"/>
      <c r="T64471" s="6"/>
      <c r="U64471" s="6"/>
      <c r="V64471" s="6"/>
      <c r="W64471" s="6"/>
      <c r="X64471" s="6"/>
      <c r="Y64471" s="6"/>
      <c r="Z64471" s="6"/>
      <c r="AA64471" s="6"/>
      <c r="AB64471" s="6"/>
      <c r="AC64471" s="6"/>
      <c r="AD64471" s="6"/>
      <c r="AE64471" s="6"/>
      <c r="AF64471" s="6"/>
      <c r="AG64471" s="6"/>
      <c r="AH64471" s="6"/>
      <c r="AI64471" s="6"/>
      <c r="AJ64471" s="6"/>
      <c r="AK64471" s="6"/>
      <c r="AL64471" s="6"/>
      <c r="AM64471" s="6"/>
    </row>
    <row r="64472" spans="2:39" ht="9.9499999999999993" hidden="1" customHeight="1" x14ac:dyDescent="0.2">
      <c r="B64472" s="6"/>
      <c r="C64472" s="6"/>
      <c r="D64472" s="6"/>
      <c r="E64472" s="6"/>
      <c r="F64472" s="6"/>
      <c r="G64472" s="6"/>
      <c r="H64472" s="6"/>
      <c r="I64472" s="6"/>
      <c r="J64472" s="6"/>
      <c r="K64472" s="6"/>
      <c r="L64472" s="6"/>
      <c r="M64472" s="6"/>
      <c r="N64472" s="6"/>
      <c r="O64472" s="6"/>
      <c r="P64472" s="6"/>
      <c r="Q64472" s="6"/>
      <c r="R64472" s="6"/>
      <c r="S64472" s="6"/>
      <c r="T64472" s="6"/>
      <c r="U64472" s="6"/>
      <c r="V64472" s="6"/>
      <c r="W64472" s="6"/>
      <c r="X64472" s="6"/>
      <c r="Y64472" s="6"/>
      <c r="Z64472" s="6"/>
      <c r="AA64472" s="6"/>
      <c r="AB64472" s="6"/>
      <c r="AC64472" s="6"/>
      <c r="AD64472" s="6"/>
      <c r="AE64472" s="6"/>
      <c r="AF64472" s="6"/>
      <c r="AG64472" s="6"/>
      <c r="AH64472" s="6"/>
      <c r="AI64472" s="6"/>
      <c r="AJ64472" s="6"/>
      <c r="AK64472" s="6"/>
      <c r="AL64472" s="6"/>
      <c r="AM64472" s="6"/>
    </row>
    <row r="64473" spans="2:39" ht="9.9499999999999993" hidden="1" customHeight="1" x14ac:dyDescent="0.2">
      <c r="B64473" s="6"/>
      <c r="C64473" s="6"/>
      <c r="D64473" s="6"/>
      <c r="E64473" s="6"/>
      <c r="F64473" s="6"/>
      <c r="G64473" s="6"/>
      <c r="H64473" s="6"/>
      <c r="I64473" s="6"/>
      <c r="J64473" s="6"/>
      <c r="K64473" s="6"/>
      <c r="L64473" s="6"/>
      <c r="M64473" s="6"/>
      <c r="N64473" s="6"/>
      <c r="O64473" s="6"/>
      <c r="P64473" s="6"/>
      <c r="Q64473" s="6"/>
      <c r="R64473" s="6"/>
      <c r="S64473" s="6"/>
      <c r="T64473" s="6"/>
      <c r="U64473" s="6"/>
      <c r="V64473" s="6"/>
      <c r="W64473" s="6"/>
      <c r="X64473" s="6"/>
      <c r="Y64473" s="6"/>
      <c r="Z64473" s="6"/>
      <c r="AA64473" s="6"/>
      <c r="AB64473" s="6"/>
      <c r="AC64473" s="6"/>
      <c r="AD64473" s="6"/>
      <c r="AE64473" s="6"/>
      <c r="AF64473" s="6"/>
      <c r="AG64473" s="6"/>
      <c r="AH64473" s="6"/>
      <c r="AI64473" s="6"/>
      <c r="AJ64473" s="6"/>
      <c r="AK64473" s="6"/>
      <c r="AL64473" s="6"/>
      <c r="AM64473" s="6"/>
    </row>
    <row r="64474" spans="2:39" ht="9.9499999999999993" hidden="1" customHeight="1" x14ac:dyDescent="0.2">
      <c r="B64474" s="6"/>
      <c r="C64474" s="6"/>
      <c r="D64474" s="6"/>
      <c r="E64474" s="6"/>
      <c r="F64474" s="6"/>
      <c r="G64474" s="6"/>
      <c r="H64474" s="6"/>
      <c r="I64474" s="6"/>
      <c r="J64474" s="6"/>
      <c r="K64474" s="6"/>
      <c r="L64474" s="6"/>
      <c r="M64474" s="6"/>
      <c r="N64474" s="6"/>
      <c r="O64474" s="6"/>
      <c r="P64474" s="6"/>
      <c r="Q64474" s="6"/>
      <c r="R64474" s="6"/>
      <c r="S64474" s="6"/>
      <c r="T64474" s="6"/>
      <c r="U64474" s="6"/>
      <c r="V64474" s="6"/>
      <c r="W64474" s="6"/>
      <c r="X64474" s="6"/>
      <c r="Y64474" s="6"/>
      <c r="Z64474" s="6"/>
      <c r="AA64474" s="6"/>
      <c r="AB64474" s="6"/>
      <c r="AC64474" s="6"/>
      <c r="AD64474" s="6"/>
      <c r="AE64474" s="6"/>
      <c r="AF64474" s="6"/>
      <c r="AG64474" s="6"/>
      <c r="AH64474" s="6"/>
      <c r="AI64474" s="6"/>
      <c r="AJ64474" s="6"/>
      <c r="AK64474" s="6"/>
      <c r="AL64474" s="6"/>
      <c r="AM64474" s="6"/>
    </row>
    <row r="64475" spans="2:39" ht="9.9499999999999993" hidden="1" customHeight="1" x14ac:dyDescent="0.2">
      <c r="B64475" s="6"/>
      <c r="C64475" s="6"/>
      <c r="D64475" s="6"/>
      <c r="E64475" s="6"/>
      <c r="F64475" s="6"/>
      <c r="G64475" s="6"/>
      <c r="H64475" s="6"/>
      <c r="I64475" s="6"/>
      <c r="J64475" s="6"/>
      <c r="K64475" s="6"/>
      <c r="L64475" s="6"/>
      <c r="M64475" s="6"/>
      <c r="N64475" s="6"/>
      <c r="O64475" s="6"/>
      <c r="P64475" s="6"/>
      <c r="Q64475" s="6"/>
      <c r="R64475" s="6"/>
      <c r="S64475" s="6"/>
      <c r="T64475" s="6"/>
      <c r="U64475" s="6"/>
      <c r="V64475" s="6"/>
      <c r="W64475" s="6"/>
      <c r="X64475" s="6"/>
      <c r="Y64475" s="6"/>
      <c r="Z64475" s="6"/>
      <c r="AA64475" s="6"/>
      <c r="AB64475" s="6"/>
      <c r="AC64475" s="6"/>
      <c r="AD64475" s="6"/>
      <c r="AE64475" s="6"/>
      <c r="AF64475" s="6"/>
      <c r="AG64475" s="6"/>
      <c r="AH64475" s="6"/>
      <c r="AI64475" s="6"/>
      <c r="AJ64475" s="6"/>
      <c r="AK64475" s="6"/>
      <c r="AL64475" s="6"/>
      <c r="AM64475" s="6"/>
    </row>
    <row r="64476" spans="2:39" ht="9.9499999999999993" hidden="1" customHeight="1" x14ac:dyDescent="0.2">
      <c r="B64476" s="6"/>
      <c r="C64476" s="6"/>
      <c r="D64476" s="6"/>
      <c r="E64476" s="6"/>
      <c r="F64476" s="6"/>
      <c r="G64476" s="6"/>
      <c r="H64476" s="6"/>
      <c r="I64476" s="6"/>
      <c r="J64476" s="6"/>
      <c r="K64476" s="6"/>
      <c r="L64476" s="6"/>
      <c r="M64476" s="6"/>
      <c r="N64476" s="6"/>
      <c r="O64476" s="6"/>
      <c r="P64476" s="6"/>
      <c r="Q64476" s="6"/>
      <c r="R64476" s="6"/>
      <c r="S64476" s="6"/>
      <c r="T64476" s="6"/>
      <c r="U64476" s="6"/>
      <c r="V64476" s="6"/>
      <c r="W64476" s="6"/>
      <c r="X64476" s="6"/>
      <c r="Y64476" s="6"/>
      <c r="Z64476" s="6"/>
      <c r="AA64476" s="6"/>
      <c r="AB64476" s="6"/>
      <c r="AC64476" s="6"/>
      <c r="AD64476" s="6"/>
      <c r="AE64476" s="6"/>
      <c r="AF64476" s="6"/>
      <c r="AG64476" s="6"/>
      <c r="AH64476" s="6"/>
      <c r="AI64476" s="6"/>
      <c r="AJ64476" s="6"/>
      <c r="AK64476" s="6"/>
      <c r="AL64476" s="6"/>
      <c r="AM64476" s="6"/>
    </row>
    <row r="64477" spans="2:39" ht="9.9499999999999993" hidden="1" customHeight="1" x14ac:dyDescent="0.2">
      <c r="B64477" s="6"/>
      <c r="C64477" s="6"/>
      <c r="D64477" s="6"/>
      <c r="E64477" s="6"/>
      <c r="F64477" s="6"/>
      <c r="G64477" s="6"/>
      <c r="H64477" s="6"/>
      <c r="I64477" s="6"/>
      <c r="J64477" s="6"/>
      <c r="K64477" s="6"/>
      <c r="L64477" s="6"/>
      <c r="M64477" s="6"/>
      <c r="N64477" s="6"/>
      <c r="O64477" s="6"/>
      <c r="P64477" s="6"/>
      <c r="Q64477" s="6"/>
      <c r="R64477" s="6"/>
      <c r="S64477" s="6"/>
      <c r="T64477" s="6"/>
      <c r="U64477" s="6"/>
      <c r="V64477" s="6"/>
      <c r="W64477" s="6"/>
      <c r="X64477" s="6"/>
      <c r="Y64477" s="6"/>
      <c r="Z64477" s="6"/>
      <c r="AA64477" s="6"/>
      <c r="AB64477" s="6"/>
      <c r="AC64477" s="6"/>
      <c r="AD64477" s="6"/>
      <c r="AE64477" s="6"/>
      <c r="AF64477" s="6"/>
      <c r="AG64477" s="6"/>
      <c r="AH64477" s="6"/>
      <c r="AI64477" s="6"/>
      <c r="AJ64477" s="6"/>
      <c r="AK64477" s="6"/>
      <c r="AL64477" s="6"/>
      <c r="AM64477" s="6"/>
    </row>
    <row r="64478" spans="2:39" ht="9.9499999999999993" hidden="1" customHeight="1" x14ac:dyDescent="0.2">
      <c r="B64478" s="6"/>
      <c r="C64478" s="6"/>
      <c r="D64478" s="6"/>
      <c r="E64478" s="6"/>
      <c r="F64478" s="6"/>
      <c r="G64478" s="6"/>
      <c r="H64478" s="6"/>
      <c r="I64478" s="6"/>
      <c r="J64478" s="6"/>
      <c r="K64478" s="6"/>
      <c r="L64478" s="6"/>
      <c r="M64478" s="6"/>
      <c r="N64478" s="6"/>
      <c r="O64478" s="6"/>
      <c r="P64478" s="6"/>
      <c r="Q64478" s="6"/>
      <c r="R64478" s="6"/>
      <c r="S64478" s="6"/>
      <c r="T64478" s="6"/>
      <c r="U64478" s="6"/>
      <c r="V64478" s="6"/>
      <c r="W64478" s="6"/>
      <c r="X64478" s="6"/>
      <c r="Y64478" s="6"/>
      <c r="Z64478" s="6"/>
      <c r="AA64478" s="6"/>
      <c r="AB64478" s="6"/>
      <c r="AC64478" s="6"/>
      <c r="AD64478" s="6"/>
      <c r="AE64478" s="6"/>
      <c r="AF64478" s="6"/>
      <c r="AG64478" s="6"/>
      <c r="AH64478" s="6"/>
      <c r="AI64478" s="6"/>
      <c r="AJ64478" s="6"/>
      <c r="AK64478" s="6"/>
      <c r="AL64478" s="6"/>
      <c r="AM64478" s="6"/>
    </row>
    <row r="64479" spans="2:39" ht="9.9499999999999993" hidden="1" customHeight="1" x14ac:dyDescent="0.2">
      <c r="B64479" s="6"/>
      <c r="C64479" s="6"/>
      <c r="D64479" s="6"/>
      <c r="E64479" s="6"/>
      <c r="F64479" s="6"/>
      <c r="G64479" s="6"/>
      <c r="H64479" s="6"/>
      <c r="I64479" s="6"/>
      <c r="J64479" s="6"/>
      <c r="K64479" s="6"/>
      <c r="L64479" s="6"/>
      <c r="M64479" s="6"/>
      <c r="N64479" s="6"/>
      <c r="O64479" s="6"/>
      <c r="P64479" s="6"/>
      <c r="Q64479" s="6"/>
      <c r="R64479" s="6"/>
      <c r="S64479" s="6"/>
      <c r="T64479" s="6"/>
      <c r="U64479" s="6"/>
      <c r="V64479" s="6"/>
      <c r="W64479" s="6"/>
      <c r="X64479" s="6"/>
      <c r="Y64479" s="6"/>
      <c r="Z64479" s="6"/>
      <c r="AA64479" s="6"/>
      <c r="AB64479" s="6"/>
      <c r="AC64479" s="6"/>
      <c r="AD64479" s="6"/>
      <c r="AE64479" s="6"/>
      <c r="AF64479" s="6"/>
      <c r="AG64479" s="6"/>
      <c r="AH64479" s="6"/>
      <c r="AI64479" s="6"/>
      <c r="AJ64479" s="6"/>
      <c r="AK64479" s="6"/>
      <c r="AL64479" s="6"/>
      <c r="AM64479" s="6"/>
    </row>
    <row r="64480" spans="2:39" ht="9.9499999999999993" hidden="1" customHeight="1" x14ac:dyDescent="0.2">
      <c r="B64480" s="6"/>
      <c r="C64480" s="6"/>
      <c r="D64480" s="6"/>
      <c r="E64480" s="6"/>
      <c r="F64480" s="6"/>
      <c r="G64480" s="6"/>
      <c r="H64480" s="6"/>
      <c r="I64480" s="6"/>
      <c r="J64480" s="6"/>
      <c r="K64480" s="6"/>
      <c r="L64480" s="6"/>
      <c r="M64480" s="6"/>
      <c r="N64480" s="6"/>
      <c r="O64480" s="6"/>
      <c r="P64480" s="6"/>
      <c r="Q64480" s="6"/>
      <c r="R64480" s="6"/>
      <c r="S64480" s="6"/>
      <c r="T64480" s="6"/>
      <c r="U64480" s="6"/>
      <c r="V64480" s="6"/>
      <c r="W64480" s="6"/>
      <c r="X64480" s="6"/>
      <c r="Y64480" s="6"/>
      <c r="Z64480" s="6"/>
      <c r="AA64480" s="6"/>
      <c r="AB64480" s="6"/>
      <c r="AC64480" s="6"/>
      <c r="AD64480" s="6"/>
      <c r="AE64480" s="6"/>
      <c r="AF64480" s="6"/>
      <c r="AG64480" s="6"/>
      <c r="AH64480" s="6"/>
      <c r="AI64480" s="6"/>
      <c r="AJ64480" s="6"/>
      <c r="AK64480" s="6"/>
      <c r="AL64480" s="6"/>
      <c r="AM64480" s="6"/>
    </row>
    <row r="64481" spans="2:39" ht="9.9499999999999993" hidden="1" customHeight="1" x14ac:dyDescent="0.2">
      <c r="B64481" s="6"/>
      <c r="C64481" s="6"/>
      <c r="D64481" s="6"/>
      <c r="E64481" s="6"/>
      <c r="F64481" s="6"/>
      <c r="G64481" s="6"/>
      <c r="H64481" s="6"/>
      <c r="I64481" s="6"/>
      <c r="J64481" s="6"/>
      <c r="K64481" s="6"/>
      <c r="L64481" s="6"/>
      <c r="M64481" s="6"/>
      <c r="N64481" s="6"/>
      <c r="O64481" s="6"/>
      <c r="P64481" s="6"/>
      <c r="Q64481" s="6"/>
      <c r="R64481" s="6"/>
      <c r="S64481" s="6"/>
      <c r="T64481" s="6"/>
      <c r="U64481" s="6"/>
      <c r="V64481" s="6"/>
      <c r="W64481" s="6"/>
      <c r="X64481" s="6"/>
      <c r="Y64481" s="6"/>
      <c r="Z64481" s="6"/>
      <c r="AA64481" s="6"/>
      <c r="AB64481" s="6"/>
      <c r="AC64481" s="6"/>
      <c r="AD64481" s="6"/>
      <c r="AE64481" s="6"/>
      <c r="AF64481" s="6"/>
      <c r="AG64481" s="6"/>
      <c r="AH64481" s="6"/>
      <c r="AI64481" s="6"/>
      <c r="AJ64481" s="6"/>
      <c r="AK64481" s="6"/>
      <c r="AL64481" s="6"/>
      <c r="AM64481" s="6"/>
    </row>
    <row r="64482" spans="2:39" ht="9.9499999999999993" hidden="1" customHeight="1" x14ac:dyDescent="0.2">
      <c r="B64482" s="6"/>
      <c r="C64482" s="6"/>
      <c r="D64482" s="6"/>
      <c r="E64482" s="6"/>
      <c r="F64482" s="6"/>
      <c r="G64482" s="6"/>
      <c r="H64482" s="6"/>
      <c r="I64482" s="6"/>
      <c r="J64482" s="6"/>
      <c r="K64482" s="6"/>
      <c r="L64482" s="6"/>
      <c r="M64482" s="6"/>
      <c r="N64482" s="6"/>
      <c r="O64482" s="6"/>
      <c r="P64482" s="6"/>
      <c r="Q64482" s="6"/>
      <c r="R64482" s="6"/>
      <c r="S64482" s="6"/>
      <c r="T64482" s="6"/>
      <c r="U64482" s="6"/>
      <c r="V64482" s="6"/>
      <c r="W64482" s="6"/>
      <c r="X64482" s="6"/>
      <c r="Y64482" s="6"/>
      <c r="Z64482" s="6"/>
      <c r="AA64482" s="6"/>
      <c r="AB64482" s="6"/>
      <c r="AC64482" s="6"/>
      <c r="AD64482" s="6"/>
      <c r="AE64482" s="6"/>
      <c r="AF64482" s="6"/>
      <c r="AG64482" s="6"/>
      <c r="AH64482" s="6"/>
      <c r="AI64482" s="6"/>
      <c r="AJ64482" s="6"/>
      <c r="AK64482" s="6"/>
      <c r="AL64482" s="6"/>
      <c r="AM64482" s="6"/>
    </row>
    <row r="64483" spans="2:39" ht="9.9499999999999993" hidden="1" customHeight="1" x14ac:dyDescent="0.2">
      <c r="B64483" s="6"/>
      <c r="C64483" s="6"/>
      <c r="D64483" s="6"/>
      <c r="E64483" s="6"/>
      <c r="F64483" s="6"/>
      <c r="G64483" s="6"/>
      <c r="H64483" s="6"/>
      <c r="I64483" s="6"/>
      <c r="J64483" s="6"/>
      <c r="K64483" s="6"/>
      <c r="L64483" s="6"/>
      <c r="M64483" s="6"/>
      <c r="N64483" s="6"/>
      <c r="O64483" s="6"/>
      <c r="P64483" s="6"/>
      <c r="Q64483" s="6"/>
      <c r="R64483" s="6"/>
      <c r="S64483" s="6"/>
      <c r="T64483" s="6"/>
      <c r="U64483" s="6"/>
      <c r="V64483" s="6"/>
      <c r="W64483" s="6"/>
      <c r="X64483" s="6"/>
      <c r="Y64483" s="6"/>
      <c r="Z64483" s="6"/>
      <c r="AA64483" s="6"/>
      <c r="AB64483" s="6"/>
      <c r="AC64483" s="6"/>
      <c r="AD64483" s="6"/>
      <c r="AE64483" s="6"/>
      <c r="AF64483" s="6"/>
      <c r="AG64483" s="6"/>
      <c r="AH64483" s="6"/>
      <c r="AI64483" s="6"/>
      <c r="AJ64483" s="6"/>
      <c r="AK64483" s="6"/>
      <c r="AL64483" s="6"/>
      <c r="AM64483" s="6"/>
    </row>
    <row r="64484" spans="2:39" ht="9.9499999999999993" hidden="1" customHeight="1" x14ac:dyDescent="0.2">
      <c r="B64484" s="6"/>
      <c r="C64484" s="6"/>
      <c r="D64484" s="6"/>
      <c r="E64484" s="6"/>
      <c r="F64484" s="6"/>
      <c r="G64484" s="6"/>
      <c r="H64484" s="6"/>
      <c r="I64484" s="6"/>
      <c r="J64484" s="6"/>
      <c r="K64484" s="6"/>
      <c r="L64484" s="6"/>
      <c r="M64484" s="6"/>
      <c r="N64484" s="6"/>
      <c r="O64484" s="6"/>
      <c r="P64484" s="6"/>
      <c r="Q64484" s="6"/>
      <c r="R64484" s="6"/>
      <c r="S64484" s="6"/>
      <c r="T64484" s="6"/>
      <c r="U64484" s="6"/>
      <c r="V64484" s="6"/>
      <c r="W64484" s="6"/>
      <c r="X64484" s="6"/>
      <c r="Y64484" s="6"/>
      <c r="Z64484" s="6"/>
      <c r="AA64484" s="6"/>
      <c r="AB64484" s="6"/>
      <c r="AC64484" s="6"/>
      <c r="AD64484" s="6"/>
      <c r="AE64484" s="6"/>
      <c r="AF64484" s="6"/>
      <c r="AG64484" s="6"/>
      <c r="AH64484" s="6"/>
      <c r="AI64484" s="6"/>
      <c r="AJ64484" s="6"/>
      <c r="AK64484" s="6"/>
      <c r="AL64484" s="6"/>
      <c r="AM64484" s="6"/>
    </row>
    <row r="64485" spans="2:39" ht="9.9499999999999993" hidden="1" customHeight="1" x14ac:dyDescent="0.2">
      <c r="B64485" s="6"/>
      <c r="C64485" s="6"/>
      <c r="D64485" s="6"/>
      <c r="E64485" s="6"/>
      <c r="F64485" s="6"/>
      <c r="G64485" s="6"/>
      <c r="H64485" s="6"/>
      <c r="I64485" s="6"/>
      <c r="J64485" s="6"/>
      <c r="K64485" s="6"/>
      <c r="L64485" s="6"/>
      <c r="M64485" s="6"/>
      <c r="N64485" s="6"/>
      <c r="O64485" s="6"/>
      <c r="P64485" s="6"/>
      <c r="Q64485" s="6"/>
      <c r="R64485" s="6"/>
      <c r="S64485" s="6"/>
      <c r="T64485" s="6"/>
      <c r="U64485" s="6"/>
      <c r="V64485" s="6"/>
      <c r="W64485" s="6"/>
      <c r="X64485" s="6"/>
      <c r="Y64485" s="6"/>
      <c r="Z64485" s="6"/>
      <c r="AA64485" s="6"/>
      <c r="AB64485" s="6"/>
      <c r="AC64485" s="6"/>
      <c r="AD64485" s="6"/>
      <c r="AE64485" s="6"/>
      <c r="AF64485" s="6"/>
      <c r="AG64485" s="6"/>
      <c r="AH64485" s="6"/>
      <c r="AI64485" s="6"/>
      <c r="AJ64485" s="6"/>
      <c r="AK64485" s="6"/>
      <c r="AL64485" s="6"/>
      <c r="AM64485" s="6"/>
    </row>
    <row r="64486" spans="2:39" ht="9.9499999999999993" hidden="1" customHeight="1" x14ac:dyDescent="0.2">
      <c r="B64486" s="6"/>
      <c r="C64486" s="6"/>
      <c r="D64486" s="6"/>
      <c r="E64486" s="6"/>
      <c r="F64486" s="6"/>
      <c r="G64486" s="6"/>
      <c r="H64486" s="6"/>
      <c r="I64486" s="6"/>
      <c r="J64486" s="6"/>
      <c r="K64486" s="6"/>
      <c r="L64486" s="6"/>
      <c r="M64486" s="6"/>
      <c r="N64486" s="6"/>
      <c r="O64486" s="6"/>
      <c r="P64486" s="6"/>
      <c r="Q64486" s="6"/>
      <c r="R64486" s="6"/>
      <c r="S64486" s="6"/>
      <c r="T64486" s="6"/>
      <c r="U64486" s="6"/>
      <c r="V64486" s="6"/>
      <c r="W64486" s="6"/>
      <c r="X64486" s="6"/>
      <c r="Y64486" s="6"/>
      <c r="Z64486" s="6"/>
      <c r="AA64486" s="6"/>
      <c r="AB64486" s="6"/>
      <c r="AC64486" s="6"/>
      <c r="AD64486" s="6"/>
      <c r="AE64486" s="6"/>
      <c r="AF64486" s="6"/>
      <c r="AG64486" s="6"/>
      <c r="AH64486" s="6"/>
      <c r="AI64486" s="6"/>
      <c r="AJ64486" s="6"/>
      <c r="AK64486" s="6"/>
      <c r="AL64486" s="6"/>
      <c r="AM64486" s="6"/>
    </row>
    <row r="64487" spans="2:39" ht="9.9499999999999993" hidden="1" customHeight="1" x14ac:dyDescent="0.2">
      <c r="B64487" s="6"/>
      <c r="C64487" s="6"/>
      <c r="D64487" s="6"/>
      <c r="E64487" s="6"/>
      <c r="F64487" s="6"/>
      <c r="G64487" s="6"/>
      <c r="H64487" s="6"/>
      <c r="I64487" s="6"/>
      <c r="J64487" s="6"/>
      <c r="K64487" s="6"/>
      <c r="L64487" s="6"/>
      <c r="M64487" s="6"/>
      <c r="N64487" s="6"/>
      <c r="O64487" s="6"/>
      <c r="P64487" s="6"/>
      <c r="Q64487" s="6"/>
      <c r="R64487" s="6"/>
      <c r="S64487" s="6"/>
      <c r="T64487" s="6"/>
      <c r="U64487" s="6"/>
      <c r="V64487" s="6"/>
      <c r="W64487" s="6"/>
      <c r="X64487" s="6"/>
      <c r="Y64487" s="6"/>
      <c r="Z64487" s="6"/>
      <c r="AA64487" s="6"/>
      <c r="AB64487" s="6"/>
      <c r="AC64487" s="6"/>
      <c r="AD64487" s="6"/>
      <c r="AE64487" s="6"/>
      <c r="AF64487" s="6"/>
      <c r="AG64487" s="6"/>
      <c r="AH64487" s="6"/>
      <c r="AI64487" s="6"/>
      <c r="AJ64487" s="6"/>
      <c r="AK64487" s="6"/>
      <c r="AL64487" s="6"/>
      <c r="AM64487" s="6"/>
    </row>
    <row r="64488" spans="2:39" ht="9.9499999999999993" hidden="1" customHeight="1" x14ac:dyDescent="0.2">
      <c r="B64488" s="6"/>
      <c r="C64488" s="6"/>
      <c r="D64488" s="6"/>
      <c r="E64488" s="6"/>
      <c r="F64488" s="6"/>
      <c r="G64488" s="6"/>
      <c r="H64488" s="6"/>
      <c r="I64488" s="6"/>
      <c r="J64488" s="6"/>
      <c r="K64488" s="6"/>
      <c r="L64488" s="6"/>
      <c r="M64488" s="6"/>
      <c r="N64488" s="6"/>
      <c r="O64488" s="6"/>
      <c r="P64488" s="6"/>
      <c r="Q64488" s="6"/>
      <c r="R64488" s="6"/>
      <c r="S64488" s="6"/>
      <c r="T64488" s="6"/>
      <c r="U64488" s="6"/>
      <c r="V64488" s="6"/>
      <c r="W64488" s="6"/>
      <c r="X64488" s="6"/>
      <c r="Y64488" s="6"/>
      <c r="Z64488" s="6"/>
      <c r="AA64488" s="6"/>
      <c r="AB64488" s="6"/>
      <c r="AC64488" s="6"/>
      <c r="AD64488" s="6"/>
      <c r="AE64488" s="6"/>
      <c r="AF64488" s="6"/>
      <c r="AG64488" s="6"/>
      <c r="AH64488" s="6"/>
      <c r="AI64488" s="6"/>
      <c r="AJ64488" s="6"/>
      <c r="AK64488" s="6"/>
      <c r="AL64488" s="6"/>
      <c r="AM64488" s="6"/>
    </row>
    <row r="64489" spans="2:39" ht="9.9499999999999993" hidden="1" customHeight="1" x14ac:dyDescent="0.2">
      <c r="B64489" s="6"/>
      <c r="C64489" s="6"/>
      <c r="D64489" s="6"/>
      <c r="E64489" s="6"/>
      <c r="F64489" s="6"/>
      <c r="G64489" s="6"/>
      <c r="H64489" s="6"/>
      <c r="I64489" s="6"/>
      <c r="J64489" s="6"/>
      <c r="K64489" s="6"/>
      <c r="L64489" s="6"/>
      <c r="M64489" s="6"/>
      <c r="N64489" s="6"/>
      <c r="O64489" s="6"/>
      <c r="P64489" s="6"/>
      <c r="Q64489" s="6"/>
      <c r="R64489" s="6"/>
      <c r="S64489" s="6"/>
      <c r="T64489" s="6"/>
      <c r="U64489" s="6"/>
      <c r="V64489" s="6"/>
      <c r="W64489" s="6"/>
      <c r="X64489" s="6"/>
      <c r="Y64489" s="6"/>
      <c r="Z64489" s="6"/>
      <c r="AA64489" s="6"/>
      <c r="AB64489" s="6"/>
      <c r="AC64489" s="6"/>
      <c r="AD64489" s="6"/>
      <c r="AE64489" s="6"/>
      <c r="AF64489" s="6"/>
      <c r="AG64489" s="6"/>
      <c r="AH64489" s="6"/>
      <c r="AI64489" s="6"/>
      <c r="AJ64489" s="6"/>
      <c r="AK64489" s="6"/>
      <c r="AL64489" s="6"/>
      <c r="AM64489" s="6"/>
    </row>
    <row r="64490" spans="2:39" ht="9.9499999999999993" hidden="1" customHeight="1" x14ac:dyDescent="0.2">
      <c r="B64490" s="6"/>
      <c r="C64490" s="6"/>
      <c r="D64490" s="6"/>
      <c r="E64490" s="6"/>
      <c r="F64490" s="6"/>
      <c r="G64490" s="6"/>
      <c r="H64490" s="6"/>
      <c r="I64490" s="6"/>
      <c r="J64490" s="6"/>
      <c r="K64490" s="6"/>
      <c r="L64490" s="6"/>
      <c r="M64490" s="6"/>
      <c r="N64490" s="6"/>
      <c r="O64490" s="6"/>
      <c r="P64490" s="6"/>
      <c r="Q64490" s="6"/>
      <c r="R64490" s="6"/>
      <c r="S64490" s="6"/>
      <c r="T64490" s="6"/>
      <c r="U64490" s="6"/>
      <c r="V64490" s="6"/>
      <c r="W64490" s="6"/>
      <c r="X64490" s="6"/>
      <c r="Y64490" s="6"/>
      <c r="Z64490" s="6"/>
      <c r="AA64490" s="6"/>
      <c r="AB64490" s="6"/>
      <c r="AC64490" s="6"/>
      <c r="AD64490" s="6"/>
      <c r="AE64490" s="6"/>
      <c r="AF64490" s="6"/>
      <c r="AG64490" s="6"/>
      <c r="AH64490" s="6"/>
      <c r="AI64490" s="6"/>
      <c r="AJ64490" s="6"/>
      <c r="AK64490" s="6"/>
      <c r="AL64490" s="6"/>
      <c r="AM64490" s="6"/>
    </row>
    <row r="64491" spans="2:39" ht="9.9499999999999993" hidden="1" customHeight="1" x14ac:dyDescent="0.2">
      <c r="B64491" s="6"/>
      <c r="C64491" s="6"/>
      <c r="D64491" s="6"/>
      <c r="E64491" s="6"/>
      <c r="F64491" s="6"/>
      <c r="G64491" s="6"/>
      <c r="H64491" s="6"/>
      <c r="I64491" s="6"/>
      <c r="J64491" s="6"/>
      <c r="K64491" s="6"/>
      <c r="L64491" s="6"/>
      <c r="M64491" s="6"/>
      <c r="N64491" s="6"/>
      <c r="O64491" s="6"/>
      <c r="P64491" s="6"/>
      <c r="Q64491" s="6"/>
      <c r="R64491" s="6"/>
      <c r="S64491" s="6"/>
      <c r="T64491" s="6"/>
      <c r="U64491" s="6"/>
      <c r="V64491" s="6"/>
      <c r="W64491" s="6"/>
      <c r="X64491" s="6"/>
      <c r="Y64491" s="6"/>
      <c r="Z64491" s="6"/>
      <c r="AA64491" s="6"/>
      <c r="AB64491" s="6"/>
      <c r="AC64491" s="6"/>
      <c r="AD64491" s="6"/>
      <c r="AE64491" s="6"/>
      <c r="AF64491" s="6"/>
      <c r="AG64491" s="6"/>
      <c r="AH64491" s="6"/>
      <c r="AI64491" s="6"/>
      <c r="AJ64491" s="6"/>
      <c r="AK64491" s="6"/>
      <c r="AL64491" s="6"/>
      <c r="AM64491" s="6"/>
    </row>
    <row r="64492" spans="2:39" ht="9.9499999999999993" hidden="1" customHeight="1" x14ac:dyDescent="0.2">
      <c r="B64492" s="6"/>
      <c r="C64492" s="6"/>
      <c r="D64492" s="6"/>
      <c r="E64492" s="6"/>
      <c r="F64492" s="6"/>
      <c r="G64492" s="6"/>
      <c r="H64492" s="6"/>
      <c r="I64492" s="6"/>
      <c r="J64492" s="6"/>
      <c r="K64492" s="6"/>
      <c r="L64492" s="6"/>
      <c r="M64492" s="6"/>
      <c r="N64492" s="6"/>
      <c r="O64492" s="6"/>
      <c r="P64492" s="6"/>
      <c r="Q64492" s="6"/>
      <c r="R64492" s="6"/>
      <c r="S64492" s="6"/>
      <c r="T64492" s="6"/>
      <c r="U64492" s="6"/>
      <c r="V64492" s="6"/>
      <c r="W64492" s="6"/>
      <c r="X64492" s="6"/>
      <c r="Y64492" s="6"/>
      <c r="Z64492" s="6"/>
      <c r="AA64492" s="6"/>
      <c r="AB64492" s="6"/>
      <c r="AC64492" s="6"/>
      <c r="AD64492" s="6"/>
      <c r="AE64492" s="6"/>
      <c r="AF64492" s="6"/>
      <c r="AG64492" s="6"/>
      <c r="AH64492" s="6"/>
      <c r="AI64492" s="6"/>
      <c r="AJ64492" s="6"/>
      <c r="AK64492" s="6"/>
      <c r="AL64492" s="6"/>
      <c r="AM64492" s="6"/>
    </row>
    <row r="64493" spans="2:39" ht="9.9499999999999993" hidden="1" customHeight="1" x14ac:dyDescent="0.2">
      <c r="B64493" s="6"/>
      <c r="C64493" s="6"/>
      <c r="D64493" s="6"/>
      <c r="E64493" s="6"/>
      <c r="F64493" s="6"/>
      <c r="G64493" s="6"/>
      <c r="H64493" s="6"/>
      <c r="I64493" s="6"/>
      <c r="J64493" s="6"/>
      <c r="K64493" s="6"/>
      <c r="L64493" s="6"/>
      <c r="M64493" s="6"/>
      <c r="N64493" s="6"/>
      <c r="O64493" s="6"/>
      <c r="P64493" s="6"/>
      <c r="Q64493" s="6"/>
      <c r="R64493" s="6"/>
      <c r="S64493" s="6"/>
      <c r="T64493" s="6"/>
      <c r="U64493" s="6"/>
      <c r="V64493" s="6"/>
      <c r="W64493" s="6"/>
      <c r="X64493" s="6"/>
      <c r="Y64493" s="6"/>
      <c r="Z64493" s="6"/>
      <c r="AA64493" s="6"/>
      <c r="AB64493" s="6"/>
      <c r="AC64493" s="6"/>
      <c r="AD64493" s="6"/>
      <c r="AE64493" s="6"/>
      <c r="AF64493" s="6"/>
      <c r="AG64493" s="6"/>
      <c r="AH64493" s="6"/>
      <c r="AI64493" s="6"/>
      <c r="AJ64493" s="6"/>
      <c r="AK64493" s="6"/>
      <c r="AL64493" s="6"/>
      <c r="AM64493" s="6"/>
    </row>
    <row r="64494" spans="2:39" ht="9.9499999999999993" hidden="1" customHeight="1" x14ac:dyDescent="0.2">
      <c r="B64494" s="6"/>
      <c r="C64494" s="6"/>
      <c r="D64494" s="6"/>
      <c r="E64494" s="6"/>
      <c r="F64494" s="6"/>
      <c r="G64494" s="6"/>
      <c r="H64494" s="6"/>
      <c r="I64494" s="6"/>
      <c r="J64494" s="6"/>
      <c r="K64494" s="6"/>
      <c r="L64494" s="6"/>
      <c r="M64494" s="6"/>
      <c r="N64494" s="6"/>
      <c r="O64494" s="6"/>
      <c r="P64494" s="6"/>
      <c r="Q64494" s="6"/>
      <c r="R64494" s="6"/>
      <c r="S64494" s="6"/>
      <c r="T64494" s="6"/>
      <c r="U64494" s="6"/>
      <c r="V64494" s="6"/>
      <c r="W64494" s="6"/>
      <c r="X64494" s="6"/>
      <c r="Y64494" s="6"/>
      <c r="Z64494" s="6"/>
      <c r="AA64494" s="6"/>
      <c r="AB64494" s="6"/>
      <c r="AC64494" s="6"/>
      <c r="AD64494" s="6"/>
      <c r="AE64494" s="6"/>
      <c r="AF64494" s="6"/>
      <c r="AG64494" s="6"/>
      <c r="AH64494" s="6"/>
      <c r="AI64494" s="6"/>
      <c r="AJ64494" s="6"/>
      <c r="AK64494" s="6"/>
      <c r="AL64494" s="6"/>
      <c r="AM64494" s="6"/>
    </row>
    <row r="64495" spans="2:39" ht="9.9499999999999993" hidden="1" customHeight="1" x14ac:dyDescent="0.2">
      <c r="B64495" s="6"/>
      <c r="C64495" s="6"/>
      <c r="D64495" s="6"/>
      <c r="E64495" s="6"/>
      <c r="F64495" s="6"/>
      <c r="G64495" s="6"/>
      <c r="H64495" s="6"/>
      <c r="I64495" s="6"/>
      <c r="J64495" s="6"/>
      <c r="K64495" s="6"/>
      <c r="L64495" s="6"/>
      <c r="M64495" s="6"/>
      <c r="N64495" s="6"/>
      <c r="O64495" s="6"/>
      <c r="P64495" s="6"/>
      <c r="Q64495" s="6"/>
      <c r="R64495" s="6"/>
      <c r="S64495" s="6"/>
      <c r="T64495" s="6"/>
      <c r="U64495" s="6"/>
      <c r="V64495" s="6"/>
      <c r="W64495" s="6"/>
      <c r="X64495" s="6"/>
      <c r="Y64495" s="6"/>
      <c r="Z64495" s="6"/>
      <c r="AA64495" s="6"/>
      <c r="AB64495" s="6"/>
      <c r="AC64495" s="6"/>
      <c r="AD64495" s="6"/>
      <c r="AE64495" s="6"/>
      <c r="AF64495" s="6"/>
      <c r="AG64495" s="6"/>
      <c r="AH64495" s="6"/>
      <c r="AI64495" s="6"/>
      <c r="AJ64495" s="6"/>
      <c r="AK64495" s="6"/>
      <c r="AL64495" s="6"/>
      <c r="AM64495" s="6"/>
    </row>
    <row r="64496" spans="2:39" ht="9.9499999999999993" hidden="1" customHeight="1" x14ac:dyDescent="0.2">
      <c r="B64496" s="6"/>
      <c r="C64496" s="6"/>
      <c r="D64496" s="6"/>
      <c r="E64496" s="6"/>
      <c r="F64496" s="6"/>
      <c r="G64496" s="6"/>
      <c r="H64496" s="6"/>
      <c r="I64496" s="6"/>
      <c r="J64496" s="6"/>
      <c r="K64496" s="6"/>
      <c r="L64496" s="6"/>
      <c r="M64496" s="6"/>
      <c r="N64496" s="6"/>
      <c r="O64496" s="6"/>
      <c r="P64496" s="6"/>
      <c r="Q64496" s="6"/>
      <c r="R64496" s="6"/>
      <c r="S64496" s="6"/>
      <c r="T64496" s="6"/>
      <c r="U64496" s="6"/>
      <c r="V64496" s="6"/>
      <c r="W64496" s="6"/>
      <c r="X64496" s="6"/>
      <c r="Y64496" s="6"/>
      <c r="Z64496" s="6"/>
      <c r="AA64496" s="6"/>
      <c r="AB64496" s="6"/>
      <c r="AC64496" s="6"/>
      <c r="AD64496" s="6"/>
      <c r="AE64496" s="6"/>
      <c r="AF64496" s="6"/>
      <c r="AG64496" s="6"/>
      <c r="AH64496" s="6"/>
      <c r="AI64496" s="6"/>
      <c r="AJ64496" s="6"/>
      <c r="AK64496" s="6"/>
      <c r="AL64496" s="6"/>
      <c r="AM64496" s="6"/>
    </row>
    <row r="64497" spans="2:39" ht="9.9499999999999993" hidden="1" customHeight="1" x14ac:dyDescent="0.2">
      <c r="B64497" s="6"/>
      <c r="C64497" s="6"/>
      <c r="D64497" s="6"/>
      <c r="E64497" s="6"/>
      <c r="F64497" s="6"/>
      <c r="G64497" s="6"/>
      <c r="H64497" s="6"/>
      <c r="I64497" s="6"/>
      <c r="J64497" s="6"/>
      <c r="K64497" s="6"/>
      <c r="L64497" s="6"/>
      <c r="M64497" s="6"/>
      <c r="N64497" s="6"/>
      <c r="O64497" s="6"/>
      <c r="P64497" s="6"/>
      <c r="Q64497" s="6"/>
      <c r="R64497" s="6"/>
      <c r="S64497" s="6"/>
      <c r="T64497" s="6"/>
      <c r="U64497" s="6"/>
      <c r="V64497" s="6"/>
      <c r="W64497" s="6"/>
      <c r="X64497" s="6"/>
      <c r="Y64497" s="6"/>
      <c r="Z64497" s="6"/>
      <c r="AA64497" s="6"/>
      <c r="AB64497" s="6"/>
      <c r="AC64497" s="6"/>
      <c r="AD64497" s="6"/>
      <c r="AE64497" s="6"/>
      <c r="AF64497" s="6"/>
      <c r="AG64497" s="6"/>
      <c r="AH64497" s="6"/>
      <c r="AI64497" s="6"/>
      <c r="AJ64497" s="6"/>
      <c r="AK64497" s="6"/>
      <c r="AL64497" s="6"/>
      <c r="AM64497" s="6"/>
    </row>
    <row r="64498" spans="2:39" ht="9.9499999999999993" hidden="1" customHeight="1" x14ac:dyDescent="0.2">
      <c r="B64498" s="6"/>
      <c r="C64498" s="6"/>
      <c r="D64498" s="6"/>
      <c r="E64498" s="6"/>
      <c r="F64498" s="6"/>
      <c r="G64498" s="6"/>
      <c r="H64498" s="6"/>
      <c r="I64498" s="6"/>
      <c r="J64498" s="6"/>
      <c r="K64498" s="6"/>
      <c r="L64498" s="6"/>
      <c r="M64498" s="6"/>
      <c r="N64498" s="6"/>
      <c r="O64498" s="6"/>
      <c r="P64498" s="6"/>
      <c r="Q64498" s="6"/>
      <c r="R64498" s="6"/>
      <c r="S64498" s="6"/>
      <c r="T64498" s="6"/>
      <c r="U64498" s="6"/>
      <c r="V64498" s="6"/>
      <c r="W64498" s="6"/>
      <c r="X64498" s="6"/>
      <c r="Y64498" s="6"/>
      <c r="Z64498" s="6"/>
      <c r="AA64498" s="6"/>
      <c r="AB64498" s="6"/>
      <c r="AC64498" s="6"/>
      <c r="AD64498" s="6"/>
      <c r="AE64498" s="6"/>
      <c r="AF64498" s="6"/>
      <c r="AG64498" s="6"/>
      <c r="AH64498" s="6"/>
      <c r="AI64498" s="6"/>
      <c r="AJ64498" s="6"/>
      <c r="AK64498" s="6"/>
      <c r="AL64498" s="6"/>
      <c r="AM64498" s="6"/>
    </row>
    <row r="64499" spans="2:39" ht="9.9499999999999993" hidden="1" customHeight="1" x14ac:dyDescent="0.2">
      <c r="B64499" s="6"/>
      <c r="C64499" s="6"/>
      <c r="D64499" s="6"/>
      <c r="E64499" s="6"/>
      <c r="F64499" s="6"/>
      <c r="G64499" s="6"/>
      <c r="H64499" s="6"/>
      <c r="I64499" s="6"/>
      <c r="J64499" s="6"/>
      <c r="K64499" s="6"/>
      <c r="L64499" s="6"/>
      <c r="M64499" s="6"/>
      <c r="N64499" s="6"/>
      <c r="O64499" s="6"/>
      <c r="P64499" s="6"/>
      <c r="Q64499" s="6"/>
      <c r="R64499" s="6"/>
      <c r="S64499" s="6"/>
      <c r="T64499" s="6"/>
      <c r="U64499" s="6"/>
      <c r="V64499" s="6"/>
      <c r="W64499" s="6"/>
      <c r="X64499" s="6"/>
      <c r="Y64499" s="6"/>
      <c r="Z64499" s="6"/>
      <c r="AA64499" s="6"/>
      <c r="AB64499" s="6"/>
      <c r="AC64499" s="6"/>
      <c r="AD64499" s="6"/>
      <c r="AE64499" s="6"/>
      <c r="AF64499" s="6"/>
      <c r="AG64499" s="6"/>
      <c r="AH64499" s="6"/>
      <c r="AI64499" s="6"/>
      <c r="AJ64499" s="6"/>
      <c r="AK64499" s="6"/>
      <c r="AL64499" s="6"/>
      <c r="AM64499" s="6"/>
    </row>
    <row r="64500" spans="2:39" ht="9.9499999999999993" hidden="1" customHeight="1" x14ac:dyDescent="0.2">
      <c r="B64500" s="6"/>
      <c r="C64500" s="6"/>
      <c r="D64500" s="6"/>
      <c r="E64500" s="6"/>
      <c r="F64500" s="6"/>
      <c r="G64500" s="6"/>
      <c r="H64500" s="6"/>
      <c r="I64500" s="6"/>
      <c r="J64500" s="6"/>
      <c r="K64500" s="6"/>
      <c r="L64500" s="6"/>
      <c r="M64500" s="6"/>
      <c r="N64500" s="6"/>
      <c r="O64500" s="6"/>
      <c r="P64500" s="6"/>
      <c r="Q64500" s="6"/>
      <c r="R64500" s="6"/>
      <c r="S64500" s="6"/>
      <c r="T64500" s="6"/>
      <c r="U64500" s="6"/>
      <c r="V64500" s="6"/>
      <c r="W64500" s="6"/>
      <c r="X64500" s="6"/>
      <c r="Y64500" s="6"/>
      <c r="Z64500" s="6"/>
      <c r="AA64500" s="6"/>
      <c r="AB64500" s="6"/>
      <c r="AC64500" s="6"/>
      <c r="AD64500" s="6"/>
      <c r="AE64500" s="6"/>
      <c r="AF64500" s="6"/>
      <c r="AG64500" s="6"/>
      <c r="AH64500" s="6"/>
      <c r="AI64500" s="6"/>
      <c r="AJ64500" s="6"/>
      <c r="AK64500" s="6"/>
      <c r="AL64500" s="6"/>
      <c r="AM64500" s="6"/>
    </row>
    <row r="64501" spans="2:39" ht="9.9499999999999993" hidden="1" customHeight="1" x14ac:dyDescent="0.2">
      <c r="B64501" s="6"/>
      <c r="C64501" s="6"/>
      <c r="D64501" s="6"/>
      <c r="E64501" s="6"/>
      <c r="F64501" s="6"/>
      <c r="G64501" s="6"/>
      <c r="H64501" s="6"/>
      <c r="I64501" s="6"/>
      <c r="J64501" s="6"/>
      <c r="K64501" s="6"/>
      <c r="L64501" s="6"/>
      <c r="M64501" s="6"/>
      <c r="N64501" s="6"/>
      <c r="O64501" s="6"/>
      <c r="P64501" s="6"/>
      <c r="Q64501" s="6"/>
      <c r="R64501" s="6"/>
      <c r="S64501" s="6"/>
      <c r="T64501" s="6"/>
      <c r="U64501" s="6"/>
      <c r="V64501" s="6"/>
      <c r="W64501" s="6"/>
      <c r="X64501" s="6"/>
      <c r="Y64501" s="6"/>
      <c r="Z64501" s="6"/>
      <c r="AA64501" s="6"/>
      <c r="AB64501" s="6"/>
      <c r="AC64501" s="6"/>
      <c r="AD64501" s="6"/>
      <c r="AE64501" s="6"/>
      <c r="AF64501" s="6"/>
      <c r="AG64501" s="6"/>
      <c r="AH64501" s="6"/>
      <c r="AI64501" s="6"/>
      <c r="AJ64501" s="6"/>
      <c r="AK64501" s="6"/>
      <c r="AL64501" s="6"/>
      <c r="AM64501" s="6"/>
    </row>
    <row r="64502" spans="2:39" ht="9.9499999999999993" hidden="1" customHeight="1" x14ac:dyDescent="0.2">
      <c r="B64502" s="6"/>
      <c r="C64502" s="6"/>
      <c r="D64502" s="6"/>
      <c r="E64502" s="6"/>
      <c r="F64502" s="6"/>
      <c r="G64502" s="6"/>
      <c r="H64502" s="6"/>
      <c r="I64502" s="6"/>
      <c r="J64502" s="6"/>
      <c r="K64502" s="6"/>
      <c r="L64502" s="6"/>
      <c r="M64502" s="6"/>
      <c r="N64502" s="6"/>
      <c r="O64502" s="6"/>
      <c r="P64502" s="6"/>
      <c r="Q64502" s="6"/>
      <c r="R64502" s="6"/>
      <c r="S64502" s="6"/>
      <c r="T64502" s="6"/>
      <c r="U64502" s="6"/>
      <c r="V64502" s="6"/>
      <c r="W64502" s="6"/>
      <c r="X64502" s="6"/>
      <c r="Y64502" s="6"/>
      <c r="Z64502" s="6"/>
      <c r="AA64502" s="6"/>
      <c r="AB64502" s="6"/>
      <c r="AC64502" s="6"/>
      <c r="AD64502" s="6"/>
      <c r="AE64502" s="6"/>
      <c r="AF64502" s="6"/>
      <c r="AG64502" s="6"/>
      <c r="AH64502" s="6"/>
      <c r="AI64502" s="6"/>
      <c r="AJ64502" s="6"/>
      <c r="AK64502" s="6"/>
      <c r="AL64502" s="6"/>
      <c r="AM64502" s="6"/>
    </row>
    <row r="64503" spans="2:39" ht="9.9499999999999993" hidden="1" customHeight="1" x14ac:dyDescent="0.2">
      <c r="B64503" s="6"/>
      <c r="C64503" s="6"/>
      <c r="D64503" s="6"/>
      <c r="E64503" s="6"/>
      <c r="F64503" s="6"/>
      <c r="G64503" s="6"/>
      <c r="H64503" s="6"/>
      <c r="I64503" s="6"/>
      <c r="J64503" s="6"/>
      <c r="K64503" s="6"/>
      <c r="L64503" s="6"/>
      <c r="M64503" s="6"/>
      <c r="N64503" s="6"/>
      <c r="O64503" s="6"/>
      <c r="P64503" s="6"/>
      <c r="Q64503" s="6"/>
      <c r="R64503" s="6"/>
      <c r="S64503" s="6"/>
      <c r="T64503" s="6"/>
      <c r="U64503" s="6"/>
      <c r="V64503" s="6"/>
      <c r="W64503" s="6"/>
      <c r="X64503" s="6"/>
      <c r="Y64503" s="6"/>
      <c r="Z64503" s="6"/>
      <c r="AA64503" s="6"/>
      <c r="AB64503" s="6"/>
      <c r="AC64503" s="6"/>
      <c r="AD64503" s="6"/>
      <c r="AE64503" s="6"/>
      <c r="AF64503" s="6"/>
      <c r="AG64503" s="6"/>
      <c r="AH64503" s="6"/>
      <c r="AI64503" s="6"/>
      <c r="AJ64503" s="6"/>
      <c r="AK64503" s="6"/>
      <c r="AL64503" s="6"/>
      <c r="AM64503" s="6"/>
    </row>
    <row r="64504" spans="2:39" ht="9.9499999999999993" hidden="1" customHeight="1" x14ac:dyDescent="0.2">
      <c r="B64504" s="6"/>
      <c r="C64504" s="6"/>
      <c r="D64504" s="6"/>
      <c r="E64504" s="6"/>
      <c r="F64504" s="6"/>
      <c r="G64504" s="6"/>
      <c r="H64504" s="6"/>
      <c r="I64504" s="6"/>
      <c r="J64504" s="6"/>
      <c r="K64504" s="6"/>
      <c r="L64504" s="6"/>
      <c r="M64504" s="6"/>
      <c r="N64504" s="6"/>
      <c r="O64504" s="6"/>
      <c r="P64504" s="6"/>
      <c r="Q64504" s="6"/>
      <c r="R64504" s="6"/>
      <c r="S64504" s="6"/>
      <c r="T64504" s="6"/>
      <c r="U64504" s="6"/>
      <c r="V64504" s="6"/>
      <c r="W64504" s="6"/>
      <c r="X64504" s="6"/>
      <c r="Y64504" s="6"/>
      <c r="Z64504" s="6"/>
      <c r="AA64504" s="6"/>
      <c r="AB64504" s="6"/>
      <c r="AC64504" s="6"/>
      <c r="AD64504" s="6"/>
      <c r="AE64504" s="6"/>
      <c r="AF64504" s="6"/>
      <c r="AG64504" s="6"/>
      <c r="AH64504" s="6"/>
      <c r="AI64504" s="6"/>
      <c r="AJ64504" s="6"/>
      <c r="AK64504" s="6"/>
      <c r="AL64504" s="6"/>
      <c r="AM64504" s="6"/>
    </row>
    <row r="64505" spans="2:39" ht="9.9499999999999993" hidden="1" customHeight="1" x14ac:dyDescent="0.2">
      <c r="B64505" s="6"/>
      <c r="C64505" s="6"/>
      <c r="D64505" s="6"/>
      <c r="E64505" s="6"/>
      <c r="F64505" s="6"/>
      <c r="G64505" s="6"/>
      <c r="H64505" s="6"/>
      <c r="I64505" s="6"/>
      <c r="J64505" s="6"/>
      <c r="K64505" s="6"/>
      <c r="L64505" s="6"/>
      <c r="M64505" s="6"/>
      <c r="N64505" s="6"/>
      <c r="O64505" s="6"/>
      <c r="P64505" s="6"/>
      <c r="Q64505" s="6"/>
      <c r="R64505" s="6"/>
      <c r="S64505" s="6"/>
      <c r="T64505" s="6"/>
      <c r="U64505" s="6"/>
      <c r="V64505" s="6"/>
      <c r="W64505" s="6"/>
      <c r="X64505" s="6"/>
      <c r="Y64505" s="6"/>
      <c r="Z64505" s="6"/>
      <c r="AA64505" s="6"/>
      <c r="AB64505" s="6"/>
      <c r="AC64505" s="6"/>
      <c r="AD64505" s="6"/>
      <c r="AE64505" s="6"/>
      <c r="AF64505" s="6"/>
      <c r="AG64505" s="6"/>
      <c r="AH64505" s="6"/>
      <c r="AI64505" s="6"/>
      <c r="AJ64505" s="6"/>
      <c r="AK64505" s="6"/>
      <c r="AL64505" s="6"/>
      <c r="AM64505" s="6"/>
    </row>
    <row r="64506" spans="2:39" ht="9.9499999999999993" hidden="1" customHeight="1" x14ac:dyDescent="0.2">
      <c r="B64506" s="6"/>
      <c r="C64506" s="6"/>
      <c r="D64506" s="6"/>
      <c r="E64506" s="6"/>
      <c r="F64506" s="6"/>
      <c r="G64506" s="6"/>
      <c r="H64506" s="6"/>
      <c r="I64506" s="6"/>
      <c r="J64506" s="6"/>
      <c r="K64506" s="6"/>
      <c r="L64506" s="6"/>
      <c r="M64506" s="6"/>
      <c r="N64506" s="6"/>
      <c r="O64506" s="6"/>
      <c r="P64506" s="6"/>
      <c r="Q64506" s="6"/>
      <c r="R64506" s="6"/>
      <c r="S64506" s="6"/>
      <c r="T64506" s="6"/>
      <c r="U64506" s="6"/>
      <c r="V64506" s="6"/>
      <c r="W64506" s="6"/>
      <c r="X64506" s="6"/>
      <c r="Y64506" s="6"/>
      <c r="Z64506" s="6"/>
      <c r="AA64506" s="6"/>
      <c r="AB64506" s="6"/>
      <c r="AC64506" s="6"/>
      <c r="AD64506" s="6"/>
      <c r="AE64506" s="6"/>
      <c r="AF64506" s="6"/>
      <c r="AG64506" s="6"/>
      <c r="AH64506" s="6"/>
      <c r="AI64506" s="6"/>
      <c r="AJ64506" s="6"/>
      <c r="AK64506" s="6"/>
      <c r="AL64506" s="6"/>
      <c r="AM64506" s="6"/>
    </row>
    <row r="64507" spans="2:39" ht="9.9499999999999993" hidden="1" customHeight="1" x14ac:dyDescent="0.2">
      <c r="B64507" s="6"/>
      <c r="C64507" s="6"/>
      <c r="D64507" s="6"/>
      <c r="E64507" s="6"/>
      <c r="F64507" s="6"/>
      <c r="G64507" s="6"/>
      <c r="H64507" s="6"/>
      <c r="I64507" s="6"/>
      <c r="J64507" s="6"/>
      <c r="K64507" s="6"/>
      <c r="L64507" s="6"/>
      <c r="M64507" s="6"/>
      <c r="N64507" s="6"/>
      <c r="O64507" s="6"/>
      <c r="P64507" s="6"/>
      <c r="Q64507" s="6"/>
      <c r="R64507" s="6"/>
      <c r="S64507" s="6"/>
      <c r="T64507" s="6"/>
      <c r="U64507" s="6"/>
      <c r="V64507" s="6"/>
      <c r="W64507" s="6"/>
      <c r="X64507" s="6"/>
      <c r="Y64507" s="6"/>
      <c r="Z64507" s="6"/>
      <c r="AA64507" s="6"/>
      <c r="AB64507" s="6"/>
      <c r="AC64507" s="6"/>
      <c r="AD64507" s="6"/>
      <c r="AE64507" s="6"/>
      <c r="AF64507" s="6"/>
      <c r="AG64507" s="6"/>
      <c r="AH64507" s="6"/>
      <c r="AI64507" s="6"/>
      <c r="AJ64507" s="6"/>
      <c r="AK64507" s="6"/>
      <c r="AL64507" s="6"/>
      <c r="AM64507" s="6"/>
    </row>
    <row r="64508" spans="2:39" ht="9.9499999999999993" hidden="1" customHeight="1" x14ac:dyDescent="0.2">
      <c r="B64508" s="6"/>
      <c r="C64508" s="6"/>
      <c r="D64508" s="6"/>
      <c r="E64508" s="6"/>
      <c r="F64508" s="6"/>
      <c r="G64508" s="6"/>
      <c r="H64508" s="6"/>
      <c r="I64508" s="6"/>
      <c r="J64508" s="6"/>
      <c r="K64508" s="6"/>
      <c r="L64508" s="6"/>
      <c r="M64508" s="6"/>
      <c r="N64508" s="6"/>
      <c r="O64508" s="6"/>
      <c r="P64508" s="6"/>
      <c r="Q64508" s="6"/>
      <c r="R64508" s="6"/>
      <c r="S64508" s="6"/>
      <c r="T64508" s="6"/>
      <c r="U64508" s="6"/>
      <c r="V64508" s="6"/>
      <c r="W64508" s="6"/>
      <c r="X64508" s="6"/>
      <c r="Y64508" s="6"/>
      <c r="Z64508" s="6"/>
      <c r="AA64508" s="6"/>
      <c r="AB64508" s="6"/>
      <c r="AC64508" s="6"/>
      <c r="AD64508" s="6"/>
      <c r="AE64508" s="6"/>
      <c r="AF64508" s="6"/>
      <c r="AG64508" s="6"/>
      <c r="AH64508" s="6"/>
      <c r="AI64508" s="6"/>
      <c r="AJ64508" s="6"/>
      <c r="AK64508" s="6"/>
      <c r="AL64508" s="6"/>
      <c r="AM64508" s="6"/>
    </row>
    <row r="64509" spans="2:39" ht="9.9499999999999993" hidden="1" customHeight="1" x14ac:dyDescent="0.2">
      <c r="B64509" s="6"/>
      <c r="C64509" s="6"/>
      <c r="D64509" s="6"/>
      <c r="E64509" s="6"/>
      <c r="F64509" s="6"/>
      <c r="G64509" s="6"/>
      <c r="H64509" s="6"/>
      <c r="I64509" s="6"/>
      <c r="J64509" s="6"/>
      <c r="K64509" s="6"/>
      <c r="L64509" s="6"/>
      <c r="M64509" s="6"/>
      <c r="N64509" s="6"/>
      <c r="O64509" s="6"/>
      <c r="P64509" s="6"/>
      <c r="Q64509" s="6"/>
      <c r="R64509" s="6"/>
      <c r="S64509" s="6"/>
      <c r="T64509" s="6"/>
      <c r="U64509" s="6"/>
      <c r="V64509" s="6"/>
      <c r="W64509" s="6"/>
      <c r="X64509" s="6"/>
      <c r="Y64509" s="6"/>
      <c r="Z64509" s="6"/>
      <c r="AA64509" s="6"/>
      <c r="AB64509" s="6"/>
      <c r="AC64509" s="6"/>
      <c r="AD64509" s="6"/>
      <c r="AE64509" s="6"/>
      <c r="AF64509" s="6"/>
      <c r="AG64509" s="6"/>
      <c r="AH64509" s="6"/>
      <c r="AI64509" s="6"/>
      <c r="AJ64509" s="6"/>
      <c r="AK64509" s="6"/>
      <c r="AL64509" s="6"/>
      <c r="AM64509" s="6"/>
    </row>
    <row r="64510" spans="2:39" ht="9.9499999999999993" hidden="1" customHeight="1" x14ac:dyDescent="0.2">
      <c r="B64510" s="6"/>
      <c r="C64510" s="6"/>
      <c r="D64510" s="6"/>
      <c r="E64510" s="6"/>
      <c r="F64510" s="6"/>
      <c r="G64510" s="6"/>
      <c r="H64510" s="6"/>
      <c r="I64510" s="6"/>
      <c r="J64510" s="6"/>
      <c r="K64510" s="6"/>
      <c r="L64510" s="6"/>
      <c r="M64510" s="6"/>
      <c r="N64510" s="6"/>
      <c r="O64510" s="6"/>
      <c r="P64510" s="6"/>
      <c r="Q64510" s="6"/>
      <c r="R64510" s="6"/>
      <c r="S64510" s="6"/>
      <c r="T64510" s="6"/>
      <c r="U64510" s="6"/>
      <c r="V64510" s="6"/>
      <c r="W64510" s="6"/>
      <c r="X64510" s="6"/>
      <c r="Y64510" s="6"/>
      <c r="Z64510" s="6"/>
      <c r="AA64510" s="6"/>
      <c r="AB64510" s="6"/>
      <c r="AC64510" s="6"/>
      <c r="AD64510" s="6"/>
      <c r="AE64510" s="6"/>
      <c r="AF64510" s="6"/>
      <c r="AG64510" s="6"/>
      <c r="AH64510" s="6"/>
      <c r="AI64510" s="6"/>
      <c r="AJ64510" s="6"/>
      <c r="AK64510" s="6"/>
      <c r="AL64510" s="6"/>
      <c r="AM64510" s="6"/>
    </row>
    <row r="64511" spans="2:39" ht="9.9499999999999993" hidden="1" customHeight="1" x14ac:dyDescent="0.2">
      <c r="B64511" s="6"/>
      <c r="C64511" s="6"/>
      <c r="D64511" s="6"/>
      <c r="E64511" s="6"/>
      <c r="F64511" s="6"/>
      <c r="G64511" s="6"/>
      <c r="H64511" s="6"/>
      <c r="I64511" s="6"/>
      <c r="J64511" s="6"/>
      <c r="K64511" s="6"/>
      <c r="L64511" s="6"/>
      <c r="M64511" s="6"/>
      <c r="N64511" s="6"/>
      <c r="O64511" s="6"/>
      <c r="P64511" s="6"/>
      <c r="Q64511" s="6"/>
      <c r="R64511" s="6"/>
      <c r="S64511" s="6"/>
      <c r="T64511" s="6"/>
      <c r="U64511" s="6"/>
      <c r="V64511" s="6"/>
      <c r="W64511" s="6"/>
      <c r="X64511" s="6"/>
      <c r="Y64511" s="6"/>
      <c r="Z64511" s="6"/>
      <c r="AA64511" s="6"/>
      <c r="AB64511" s="6"/>
      <c r="AC64511" s="6"/>
      <c r="AD64511" s="6"/>
      <c r="AE64511" s="6"/>
      <c r="AF64511" s="6"/>
      <c r="AG64511" s="6"/>
      <c r="AH64511" s="6"/>
      <c r="AI64511" s="6"/>
      <c r="AJ64511" s="6"/>
      <c r="AK64511" s="6"/>
      <c r="AL64511" s="6"/>
      <c r="AM64511" s="6"/>
    </row>
    <row r="64512" spans="2:39" ht="9.9499999999999993" hidden="1" customHeight="1" x14ac:dyDescent="0.2">
      <c r="B64512" s="6"/>
      <c r="C64512" s="6"/>
      <c r="D64512" s="6"/>
      <c r="E64512" s="6"/>
      <c r="F64512" s="6"/>
      <c r="G64512" s="6"/>
      <c r="H64512" s="6"/>
      <c r="I64512" s="6"/>
      <c r="J64512" s="6"/>
      <c r="K64512" s="6"/>
      <c r="L64512" s="6"/>
      <c r="M64512" s="6"/>
      <c r="N64512" s="6"/>
      <c r="O64512" s="6"/>
      <c r="P64512" s="6"/>
      <c r="Q64512" s="6"/>
      <c r="R64512" s="6"/>
      <c r="S64512" s="6"/>
      <c r="T64512" s="6"/>
      <c r="U64512" s="6"/>
      <c r="V64512" s="6"/>
      <c r="W64512" s="6"/>
      <c r="X64512" s="6"/>
      <c r="Y64512" s="6"/>
      <c r="Z64512" s="6"/>
      <c r="AA64512" s="6"/>
      <c r="AB64512" s="6"/>
      <c r="AC64512" s="6"/>
      <c r="AD64512" s="6"/>
      <c r="AE64512" s="6"/>
      <c r="AF64512" s="6"/>
      <c r="AG64512" s="6"/>
      <c r="AH64512" s="6"/>
      <c r="AI64512" s="6"/>
      <c r="AJ64512" s="6"/>
      <c r="AK64512" s="6"/>
      <c r="AL64512" s="6"/>
      <c r="AM64512" s="6"/>
    </row>
    <row r="64513" spans="2:39" ht="9.9499999999999993" hidden="1" customHeight="1" x14ac:dyDescent="0.2">
      <c r="B64513" s="6"/>
      <c r="C64513" s="6"/>
      <c r="D64513" s="6"/>
      <c r="E64513" s="6"/>
      <c r="F64513" s="6"/>
      <c r="G64513" s="6"/>
      <c r="H64513" s="6"/>
      <c r="I64513" s="6"/>
      <c r="J64513" s="6"/>
      <c r="K64513" s="6"/>
      <c r="L64513" s="6"/>
      <c r="M64513" s="6"/>
      <c r="N64513" s="6"/>
      <c r="O64513" s="6"/>
      <c r="P64513" s="6"/>
      <c r="Q64513" s="6"/>
      <c r="R64513" s="6"/>
      <c r="S64513" s="6"/>
      <c r="T64513" s="6"/>
      <c r="U64513" s="6"/>
      <c r="V64513" s="6"/>
      <c r="W64513" s="6"/>
      <c r="X64513" s="6"/>
      <c r="Y64513" s="6"/>
      <c r="Z64513" s="6"/>
      <c r="AA64513" s="6"/>
      <c r="AB64513" s="6"/>
      <c r="AC64513" s="6"/>
      <c r="AD64513" s="6"/>
      <c r="AE64513" s="6"/>
      <c r="AF64513" s="6"/>
      <c r="AG64513" s="6"/>
      <c r="AH64513" s="6"/>
      <c r="AI64513" s="6"/>
      <c r="AJ64513" s="6"/>
      <c r="AK64513" s="6"/>
      <c r="AL64513" s="6"/>
      <c r="AM64513" s="6"/>
    </row>
    <row r="64514" spans="2:39" ht="9.9499999999999993" hidden="1" customHeight="1" x14ac:dyDescent="0.2">
      <c r="B64514" s="6"/>
      <c r="C64514" s="6"/>
      <c r="D64514" s="6"/>
      <c r="E64514" s="6"/>
      <c r="F64514" s="6"/>
      <c r="G64514" s="6"/>
      <c r="H64514" s="6"/>
      <c r="I64514" s="6"/>
      <c r="J64514" s="6"/>
      <c r="K64514" s="6"/>
      <c r="L64514" s="6"/>
      <c r="M64514" s="6"/>
      <c r="N64514" s="6"/>
      <c r="O64514" s="6"/>
      <c r="P64514" s="6"/>
      <c r="Q64514" s="6"/>
      <c r="R64514" s="6"/>
      <c r="S64514" s="6"/>
      <c r="T64514" s="6"/>
      <c r="U64514" s="6"/>
      <c r="V64514" s="6"/>
      <c r="W64514" s="6"/>
      <c r="X64514" s="6"/>
      <c r="Y64514" s="6"/>
      <c r="Z64514" s="6"/>
      <c r="AA64514" s="6"/>
      <c r="AB64514" s="6"/>
      <c r="AC64514" s="6"/>
      <c r="AD64514" s="6"/>
      <c r="AE64514" s="6"/>
      <c r="AF64514" s="6"/>
      <c r="AG64514" s="6"/>
      <c r="AH64514" s="6"/>
      <c r="AI64514" s="6"/>
      <c r="AJ64514" s="6"/>
      <c r="AK64514" s="6"/>
      <c r="AL64514" s="6"/>
      <c r="AM64514" s="6"/>
    </row>
    <row r="64515" spans="2:39" ht="9.9499999999999993" hidden="1" customHeight="1" x14ac:dyDescent="0.2">
      <c r="B64515" s="6"/>
      <c r="C64515" s="6"/>
      <c r="D64515" s="6"/>
      <c r="E64515" s="6"/>
      <c r="F64515" s="6"/>
      <c r="G64515" s="6"/>
      <c r="H64515" s="6"/>
      <c r="I64515" s="6"/>
      <c r="J64515" s="6"/>
      <c r="K64515" s="6"/>
      <c r="L64515" s="6"/>
      <c r="M64515" s="6"/>
      <c r="N64515" s="6"/>
      <c r="O64515" s="6"/>
      <c r="P64515" s="6"/>
      <c r="Q64515" s="6"/>
      <c r="R64515" s="6"/>
      <c r="S64515" s="6"/>
      <c r="T64515" s="6"/>
      <c r="U64515" s="6"/>
      <c r="V64515" s="6"/>
      <c r="W64515" s="6"/>
      <c r="X64515" s="6"/>
      <c r="Y64515" s="6"/>
      <c r="Z64515" s="6"/>
      <c r="AA64515" s="6"/>
      <c r="AB64515" s="6"/>
      <c r="AC64515" s="6"/>
      <c r="AD64515" s="6"/>
      <c r="AE64515" s="6"/>
      <c r="AF64515" s="6"/>
      <c r="AG64515" s="6"/>
      <c r="AH64515" s="6"/>
      <c r="AI64515" s="6"/>
      <c r="AJ64515" s="6"/>
      <c r="AK64515" s="6"/>
      <c r="AL64515" s="6"/>
      <c r="AM64515" s="6"/>
    </row>
    <row r="64516" spans="2:39" ht="9.9499999999999993" hidden="1" customHeight="1" x14ac:dyDescent="0.2">
      <c r="B64516" s="6"/>
      <c r="C64516" s="6"/>
      <c r="D64516" s="6"/>
      <c r="E64516" s="6"/>
      <c r="F64516" s="6"/>
      <c r="G64516" s="6"/>
      <c r="H64516" s="6"/>
      <c r="I64516" s="6"/>
      <c r="J64516" s="6"/>
      <c r="K64516" s="6"/>
      <c r="L64516" s="6"/>
      <c r="M64516" s="6"/>
      <c r="N64516" s="6"/>
      <c r="O64516" s="6"/>
      <c r="P64516" s="6"/>
      <c r="Q64516" s="6"/>
      <c r="R64516" s="6"/>
      <c r="S64516" s="6"/>
      <c r="T64516" s="6"/>
      <c r="U64516" s="6"/>
      <c r="V64516" s="6"/>
      <c r="W64516" s="6"/>
      <c r="X64516" s="6"/>
      <c r="Y64516" s="6"/>
      <c r="Z64516" s="6"/>
      <c r="AA64516" s="6"/>
      <c r="AB64516" s="6"/>
      <c r="AC64516" s="6"/>
      <c r="AD64516" s="6"/>
      <c r="AE64516" s="6"/>
      <c r="AF64516" s="6"/>
      <c r="AG64516" s="6"/>
      <c r="AH64516" s="6"/>
      <c r="AI64516" s="6"/>
      <c r="AJ64516" s="6"/>
      <c r="AK64516" s="6"/>
      <c r="AL64516" s="6"/>
      <c r="AM64516" s="6"/>
    </row>
    <row r="64517" spans="2:39" ht="9.9499999999999993" hidden="1" customHeight="1" x14ac:dyDescent="0.2">
      <c r="B64517" s="6"/>
      <c r="C64517" s="6"/>
      <c r="D64517" s="6"/>
      <c r="E64517" s="6"/>
      <c r="F64517" s="6"/>
      <c r="G64517" s="6"/>
      <c r="H64517" s="6"/>
      <c r="I64517" s="6"/>
      <c r="J64517" s="6"/>
      <c r="K64517" s="6"/>
      <c r="L64517" s="6"/>
      <c r="M64517" s="6"/>
      <c r="N64517" s="6"/>
      <c r="O64517" s="6"/>
      <c r="P64517" s="6"/>
      <c r="Q64517" s="6"/>
      <c r="R64517" s="6"/>
      <c r="S64517" s="6"/>
      <c r="T64517" s="6"/>
      <c r="U64517" s="6"/>
      <c r="V64517" s="6"/>
      <c r="W64517" s="6"/>
      <c r="X64517" s="6"/>
      <c r="Y64517" s="6"/>
      <c r="Z64517" s="6"/>
      <c r="AA64517" s="6"/>
      <c r="AB64517" s="6"/>
      <c r="AC64517" s="6"/>
      <c r="AD64517" s="6"/>
      <c r="AE64517" s="6"/>
      <c r="AF64517" s="6"/>
      <c r="AG64517" s="6"/>
      <c r="AH64517" s="6"/>
      <c r="AI64517" s="6"/>
      <c r="AJ64517" s="6"/>
      <c r="AK64517" s="6"/>
      <c r="AL64517" s="6"/>
      <c r="AM64517" s="6"/>
    </row>
    <row r="64518" spans="2:39" ht="9.9499999999999993" hidden="1" customHeight="1" x14ac:dyDescent="0.2">
      <c r="B64518" s="6"/>
      <c r="C64518" s="6"/>
      <c r="D64518" s="6"/>
      <c r="E64518" s="6"/>
      <c r="F64518" s="6"/>
      <c r="G64518" s="6"/>
      <c r="H64518" s="6"/>
      <c r="I64518" s="6"/>
      <c r="J64518" s="6"/>
      <c r="K64518" s="6"/>
      <c r="L64518" s="6"/>
      <c r="M64518" s="6"/>
      <c r="N64518" s="6"/>
      <c r="O64518" s="6"/>
      <c r="P64518" s="6"/>
      <c r="Q64518" s="6"/>
      <c r="R64518" s="6"/>
      <c r="S64518" s="6"/>
      <c r="T64518" s="6"/>
      <c r="U64518" s="6"/>
      <c r="V64518" s="6"/>
      <c r="W64518" s="6"/>
      <c r="X64518" s="6"/>
      <c r="Y64518" s="6"/>
      <c r="Z64518" s="6"/>
      <c r="AA64518" s="6"/>
      <c r="AB64518" s="6"/>
      <c r="AC64518" s="6"/>
      <c r="AD64518" s="6"/>
      <c r="AE64518" s="6"/>
      <c r="AF64518" s="6"/>
      <c r="AG64518" s="6"/>
      <c r="AH64518" s="6"/>
      <c r="AI64518" s="6"/>
      <c r="AJ64518" s="6"/>
      <c r="AK64518" s="6"/>
      <c r="AL64518" s="6"/>
      <c r="AM64518" s="6"/>
    </row>
    <row r="64519" spans="2:39" ht="9.9499999999999993" hidden="1" customHeight="1" x14ac:dyDescent="0.2">
      <c r="B64519" s="6"/>
      <c r="C64519" s="6"/>
      <c r="D64519" s="6"/>
      <c r="E64519" s="6"/>
      <c r="F64519" s="6"/>
      <c r="G64519" s="6"/>
      <c r="H64519" s="6"/>
      <c r="I64519" s="6"/>
      <c r="J64519" s="6"/>
      <c r="K64519" s="6"/>
      <c r="L64519" s="6"/>
      <c r="M64519" s="6"/>
      <c r="N64519" s="6"/>
      <c r="O64519" s="6"/>
      <c r="P64519" s="6"/>
      <c r="Q64519" s="6"/>
      <c r="R64519" s="6"/>
      <c r="S64519" s="6"/>
      <c r="T64519" s="6"/>
      <c r="U64519" s="6"/>
      <c r="V64519" s="6"/>
      <c r="W64519" s="6"/>
      <c r="X64519" s="6"/>
      <c r="Y64519" s="6"/>
      <c r="Z64519" s="6"/>
      <c r="AA64519" s="6"/>
      <c r="AB64519" s="6"/>
      <c r="AC64519" s="6"/>
      <c r="AD64519" s="6"/>
      <c r="AE64519" s="6"/>
      <c r="AF64519" s="6"/>
      <c r="AG64519" s="6"/>
      <c r="AH64519" s="6"/>
      <c r="AI64519" s="6"/>
      <c r="AJ64519" s="6"/>
      <c r="AK64519" s="6"/>
      <c r="AL64519" s="6"/>
      <c r="AM64519" s="6"/>
    </row>
    <row r="64520" spans="2:39" ht="9.9499999999999993" hidden="1" customHeight="1" x14ac:dyDescent="0.2">
      <c r="B64520" s="6"/>
      <c r="C64520" s="6"/>
      <c r="D64520" s="6"/>
      <c r="E64520" s="6"/>
      <c r="F64520" s="6"/>
      <c r="G64520" s="6"/>
      <c r="H64520" s="6"/>
      <c r="I64520" s="6"/>
      <c r="J64520" s="6"/>
      <c r="K64520" s="6"/>
      <c r="L64520" s="6"/>
      <c r="M64520" s="6"/>
      <c r="N64520" s="6"/>
      <c r="O64520" s="6"/>
      <c r="P64520" s="6"/>
      <c r="Q64520" s="6"/>
      <c r="R64520" s="6"/>
      <c r="S64520" s="6"/>
      <c r="T64520" s="6"/>
      <c r="U64520" s="6"/>
      <c r="V64520" s="6"/>
      <c r="W64520" s="6"/>
      <c r="X64520" s="6"/>
      <c r="Y64520" s="6"/>
      <c r="Z64520" s="6"/>
      <c r="AA64520" s="6"/>
      <c r="AB64520" s="6"/>
      <c r="AC64520" s="6"/>
      <c r="AD64520" s="6"/>
      <c r="AE64520" s="6"/>
      <c r="AF64520" s="6"/>
      <c r="AG64520" s="6"/>
      <c r="AH64520" s="6"/>
      <c r="AI64520" s="6"/>
      <c r="AJ64520" s="6"/>
      <c r="AK64520" s="6"/>
      <c r="AL64520" s="6"/>
      <c r="AM64520" s="6"/>
    </row>
    <row r="64521" spans="2:39" ht="9.9499999999999993" hidden="1" customHeight="1" x14ac:dyDescent="0.2">
      <c r="B64521" s="6"/>
      <c r="C64521" s="6"/>
      <c r="D64521" s="6"/>
      <c r="E64521" s="6"/>
      <c r="F64521" s="6"/>
      <c r="G64521" s="6"/>
      <c r="H64521" s="6"/>
      <c r="I64521" s="6"/>
      <c r="J64521" s="6"/>
      <c r="K64521" s="6"/>
      <c r="L64521" s="6"/>
      <c r="M64521" s="6"/>
      <c r="N64521" s="6"/>
      <c r="O64521" s="6"/>
      <c r="P64521" s="6"/>
      <c r="Q64521" s="6"/>
      <c r="R64521" s="6"/>
      <c r="S64521" s="6"/>
      <c r="T64521" s="6"/>
      <c r="U64521" s="6"/>
      <c r="V64521" s="6"/>
      <c r="W64521" s="6"/>
      <c r="X64521" s="6"/>
      <c r="Y64521" s="6"/>
      <c r="Z64521" s="6"/>
      <c r="AA64521" s="6"/>
      <c r="AB64521" s="6"/>
      <c r="AC64521" s="6"/>
      <c r="AD64521" s="6"/>
      <c r="AE64521" s="6"/>
      <c r="AF64521" s="6"/>
      <c r="AG64521" s="6"/>
      <c r="AH64521" s="6"/>
      <c r="AI64521" s="6"/>
      <c r="AJ64521" s="6"/>
      <c r="AK64521" s="6"/>
      <c r="AL64521" s="6"/>
      <c r="AM64521" s="6"/>
    </row>
    <row r="64522" spans="2:39" ht="9.9499999999999993" hidden="1" customHeight="1" x14ac:dyDescent="0.2">
      <c r="B64522" s="6"/>
      <c r="C64522" s="6"/>
      <c r="D64522" s="6"/>
      <c r="E64522" s="6"/>
      <c r="F64522" s="6"/>
      <c r="G64522" s="6"/>
      <c r="H64522" s="6"/>
      <c r="I64522" s="6"/>
      <c r="J64522" s="6"/>
      <c r="K64522" s="6"/>
      <c r="L64522" s="6"/>
      <c r="M64522" s="6"/>
      <c r="N64522" s="6"/>
      <c r="O64522" s="6"/>
      <c r="P64522" s="6"/>
      <c r="Q64522" s="6"/>
      <c r="R64522" s="6"/>
      <c r="S64522" s="6"/>
      <c r="T64522" s="6"/>
      <c r="U64522" s="6"/>
      <c r="V64522" s="6"/>
      <c r="W64522" s="6"/>
      <c r="X64522" s="6"/>
      <c r="Y64522" s="6"/>
      <c r="Z64522" s="6"/>
      <c r="AA64522" s="6"/>
      <c r="AB64522" s="6"/>
      <c r="AC64522" s="6"/>
      <c r="AD64522" s="6"/>
      <c r="AE64522" s="6"/>
      <c r="AF64522" s="6"/>
      <c r="AG64522" s="6"/>
      <c r="AH64522" s="6"/>
      <c r="AI64522" s="6"/>
      <c r="AJ64522" s="6"/>
      <c r="AK64522" s="6"/>
      <c r="AL64522" s="6"/>
      <c r="AM64522" s="6"/>
    </row>
    <row r="64523" spans="2:39" ht="9.9499999999999993" hidden="1" customHeight="1" x14ac:dyDescent="0.2">
      <c r="B64523" s="6"/>
      <c r="C64523" s="6"/>
      <c r="D64523" s="6"/>
      <c r="E64523" s="6"/>
      <c r="F64523" s="6"/>
      <c r="G64523" s="6"/>
      <c r="H64523" s="6"/>
      <c r="I64523" s="6"/>
      <c r="J64523" s="6"/>
      <c r="K64523" s="6"/>
      <c r="L64523" s="6"/>
      <c r="M64523" s="6"/>
      <c r="N64523" s="6"/>
      <c r="O64523" s="6"/>
      <c r="P64523" s="6"/>
      <c r="Q64523" s="6"/>
      <c r="R64523" s="6"/>
      <c r="S64523" s="6"/>
      <c r="T64523" s="6"/>
      <c r="U64523" s="6"/>
      <c r="V64523" s="6"/>
      <c r="W64523" s="6"/>
      <c r="X64523" s="6"/>
      <c r="Y64523" s="6"/>
      <c r="Z64523" s="6"/>
      <c r="AA64523" s="6"/>
      <c r="AB64523" s="6"/>
      <c r="AC64523" s="6"/>
      <c r="AD64523" s="6"/>
      <c r="AE64523" s="6"/>
      <c r="AF64523" s="6"/>
      <c r="AG64523" s="6"/>
      <c r="AH64523" s="6"/>
      <c r="AI64523" s="6"/>
      <c r="AJ64523" s="6"/>
      <c r="AK64523" s="6"/>
      <c r="AL64523" s="6"/>
      <c r="AM64523" s="6"/>
    </row>
    <row r="64524" spans="2:39" ht="9.9499999999999993" hidden="1" customHeight="1" x14ac:dyDescent="0.2">
      <c r="B64524" s="6"/>
      <c r="C64524" s="6"/>
      <c r="D64524" s="6"/>
      <c r="E64524" s="6"/>
      <c r="F64524" s="6"/>
      <c r="G64524" s="6"/>
      <c r="H64524" s="6"/>
      <c r="I64524" s="6"/>
      <c r="J64524" s="6"/>
      <c r="K64524" s="6"/>
      <c r="L64524" s="6"/>
      <c r="M64524" s="6"/>
      <c r="N64524" s="6"/>
      <c r="O64524" s="6"/>
      <c r="P64524" s="6"/>
      <c r="Q64524" s="6"/>
      <c r="R64524" s="6"/>
      <c r="S64524" s="6"/>
      <c r="T64524" s="6"/>
      <c r="U64524" s="6"/>
      <c r="V64524" s="6"/>
      <c r="W64524" s="6"/>
      <c r="X64524" s="6"/>
      <c r="Y64524" s="6"/>
      <c r="Z64524" s="6"/>
      <c r="AA64524" s="6"/>
      <c r="AB64524" s="6"/>
      <c r="AC64524" s="6"/>
      <c r="AD64524" s="6"/>
      <c r="AE64524" s="6"/>
      <c r="AF64524" s="6"/>
      <c r="AG64524" s="6"/>
      <c r="AH64524" s="6"/>
      <c r="AI64524" s="6"/>
      <c r="AJ64524" s="6"/>
      <c r="AK64524" s="6"/>
      <c r="AL64524" s="6"/>
      <c r="AM64524" s="6"/>
    </row>
    <row r="64525" spans="2:39" ht="9.9499999999999993" hidden="1" customHeight="1" x14ac:dyDescent="0.2">
      <c r="B64525" s="6"/>
      <c r="C64525" s="6"/>
      <c r="D64525" s="6"/>
      <c r="E64525" s="6"/>
      <c r="F64525" s="6"/>
      <c r="G64525" s="6"/>
      <c r="H64525" s="6"/>
      <c r="I64525" s="6"/>
      <c r="J64525" s="6"/>
      <c r="K64525" s="6"/>
      <c r="L64525" s="6"/>
      <c r="M64525" s="6"/>
      <c r="N64525" s="6"/>
      <c r="O64525" s="6"/>
      <c r="P64525" s="6"/>
      <c r="Q64525" s="6"/>
      <c r="R64525" s="6"/>
      <c r="S64525" s="6"/>
      <c r="T64525" s="6"/>
      <c r="U64525" s="6"/>
      <c r="V64525" s="6"/>
      <c r="W64525" s="6"/>
      <c r="X64525" s="6"/>
      <c r="Y64525" s="6"/>
      <c r="Z64525" s="6"/>
      <c r="AA64525" s="6"/>
      <c r="AB64525" s="6"/>
      <c r="AC64525" s="6"/>
      <c r="AD64525" s="6"/>
      <c r="AE64525" s="6"/>
      <c r="AF64525" s="6"/>
      <c r="AG64525" s="6"/>
      <c r="AH64525" s="6"/>
      <c r="AI64525" s="6"/>
      <c r="AJ64525" s="6"/>
      <c r="AK64525" s="6"/>
      <c r="AL64525" s="6"/>
      <c r="AM64525" s="6"/>
    </row>
    <row r="64526" spans="2:39" ht="9.9499999999999993" hidden="1" customHeight="1" x14ac:dyDescent="0.2">
      <c r="B64526" s="6"/>
      <c r="C64526" s="6"/>
      <c r="D64526" s="6"/>
      <c r="E64526" s="6"/>
      <c r="F64526" s="6"/>
      <c r="G64526" s="6"/>
      <c r="H64526" s="6"/>
      <c r="I64526" s="6"/>
      <c r="J64526" s="6"/>
      <c r="K64526" s="6"/>
      <c r="L64526" s="6"/>
      <c r="M64526" s="6"/>
      <c r="N64526" s="6"/>
      <c r="O64526" s="6"/>
      <c r="P64526" s="6"/>
      <c r="Q64526" s="6"/>
      <c r="R64526" s="6"/>
      <c r="S64526" s="6"/>
      <c r="T64526" s="6"/>
      <c r="U64526" s="6"/>
      <c r="V64526" s="6"/>
      <c r="W64526" s="6"/>
      <c r="X64526" s="6"/>
      <c r="Y64526" s="6"/>
      <c r="Z64526" s="6"/>
      <c r="AA64526" s="6"/>
      <c r="AB64526" s="6"/>
      <c r="AC64526" s="6"/>
      <c r="AD64526" s="6"/>
      <c r="AE64526" s="6"/>
      <c r="AF64526" s="6"/>
      <c r="AG64526" s="6"/>
      <c r="AH64526" s="6"/>
      <c r="AI64526" s="6"/>
      <c r="AJ64526" s="6"/>
      <c r="AK64526" s="6"/>
      <c r="AL64526" s="6"/>
      <c r="AM64526" s="6"/>
    </row>
    <row r="64527" spans="2:39" ht="9.9499999999999993" hidden="1" customHeight="1" x14ac:dyDescent="0.2">
      <c r="B64527" s="6"/>
      <c r="C64527" s="6"/>
      <c r="D64527" s="6"/>
      <c r="E64527" s="6"/>
      <c r="F64527" s="6"/>
      <c r="G64527" s="6"/>
      <c r="H64527" s="6"/>
      <c r="I64527" s="6"/>
      <c r="J64527" s="6"/>
      <c r="K64527" s="6"/>
      <c r="L64527" s="6"/>
      <c r="M64527" s="6"/>
      <c r="N64527" s="6"/>
      <c r="O64527" s="6"/>
      <c r="P64527" s="6"/>
      <c r="Q64527" s="6"/>
      <c r="R64527" s="6"/>
      <c r="S64527" s="6"/>
      <c r="T64527" s="6"/>
      <c r="U64527" s="6"/>
      <c r="V64527" s="6"/>
      <c r="W64527" s="6"/>
      <c r="X64527" s="6"/>
      <c r="Y64527" s="6"/>
      <c r="Z64527" s="6"/>
      <c r="AA64527" s="6"/>
      <c r="AB64527" s="6"/>
      <c r="AC64527" s="6"/>
      <c r="AD64527" s="6"/>
      <c r="AE64527" s="6"/>
      <c r="AF64527" s="6"/>
      <c r="AG64527" s="6"/>
      <c r="AH64527" s="6"/>
      <c r="AI64527" s="6"/>
      <c r="AJ64527" s="6"/>
      <c r="AK64527" s="6"/>
      <c r="AL64527" s="6"/>
      <c r="AM64527" s="6"/>
    </row>
    <row r="64528" spans="2:39" ht="9.9499999999999993" hidden="1" customHeight="1" x14ac:dyDescent="0.2">
      <c r="B64528" s="6"/>
      <c r="C64528" s="6"/>
      <c r="D64528" s="6"/>
      <c r="E64528" s="6"/>
      <c r="F64528" s="6"/>
      <c r="G64528" s="6"/>
      <c r="H64528" s="6"/>
      <c r="I64528" s="6"/>
      <c r="J64528" s="6"/>
      <c r="K64528" s="6"/>
      <c r="L64528" s="6"/>
      <c r="M64528" s="6"/>
      <c r="N64528" s="6"/>
      <c r="O64528" s="6"/>
      <c r="P64528" s="6"/>
      <c r="Q64528" s="6"/>
      <c r="R64528" s="6"/>
      <c r="S64528" s="6"/>
      <c r="T64528" s="6"/>
      <c r="U64528" s="6"/>
      <c r="V64528" s="6"/>
      <c r="W64528" s="6"/>
      <c r="X64528" s="6"/>
      <c r="Y64528" s="6"/>
      <c r="Z64528" s="6"/>
      <c r="AA64528" s="6"/>
      <c r="AB64528" s="6"/>
      <c r="AC64528" s="6"/>
      <c r="AD64528" s="6"/>
      <c r="AE64528" s="6"/>
      <c r="AF64528" s="6"/>
      <c r="AG64528" s="6"/>
      <c r="AH64528" s="6"/>
      <c r="AI64528" s="6"/>
      <c r="AJ64528" s="6"/>
      <c r="AK64528" s="6"/>
      <c r="AL64528" s="6"/>
      <c r="AM64528" s="6"/>
    </row>
    <row r="64529" spans="2:39" ht="9.9499999999999993" hidden="1" customHeight="1" x14ac:dyDescent="0.2">
      <c r="B64529" s="6"/>
      <c r="C64529" s="6"/>
      <c r="D64529" s="6"/>
      <c r="E64529" s="6"/>
      <c r="F64529" s="6"/>
      <c r="G64529" s="6"/>
      <c r="H64529" s="6"/>
      <c r="I64529" s="6"/>
      <c r="J64529" s="6"/>
      <c r="K64529" s="6"/>
      <c r="L64529" s="6"/>
      <c r="M64529" s="6"/>
      <c r="N64529" s="6"/>
      <c r="O64529" s="6"/>
      <c r="P64529" s="6"/>
      <c r="Q64529" s="6"/>
      <c r="R64529" s="6"/>
      <c r="S64529" s="6"/>
      <c r="T64529" s="6"/>
      <c r="U64529" s="6"/>
      <c r="V64529" s="6"/>
      <c r="W64529" s="6"/>
      <c r="X64529" s="6"/>
      <c r="Y64529" s="6"/>
      <c r="Z64529" s="6"/>
      <c r="AA64529" s="6"/>
      <c r="AB64529" s="6"/>
      <c r="AC64529" s="6"/>
      <c r="AD64529" s="6"/>
      <c r="AE64529" s="6"/>
      <c r="AF64529" s="6"/>
      <c r="AG64529" s="6"/>
      <c r="AH64529" s="6"/>
      <c r="AI64529" s="6"/>
      <c r="AJ64529" s="6"/>
      <c r="AK64529" s="6"/>
      <c r="AL64529" s="6"/>
      <c r="AM64529" s="6"/>
    </row>
    <row r="64530" spans="2:39" ht="9.9499999999999993" hidden="1" customHeight="1" x14ac:dyDescent="0.2">
      <c r="B64530" s="6"/>
      <c r="C64530" s="6"/>
      <c r="D64530" s="6"/>
      <c r="E64530" s="6"/>
      <c r="F64530" s="6"/>
      <c r="G64530" s="6"/>
      <c r="H64530" s="6"/>
      <c r="I64530" s="6"/>
      <c r="J64530" s="6"/>
      <c r="K64530" s="6"/>
      <c r="L64530" s="6"/>
      <c r="M64530" s="6"/>
      <c r="N64530" s="6"/>
      <c r="O64530" s="6"/>
      <c r="P64530" s="6"/>
      <c r="Q64530" s="6"/>
      <c r="R64530" s="6"/>
      <c r="S64530" s="6"/>
      <c r="T64530" s="6"/>
      <c r="U64530" s="6"/>
      <c r="V64530" s="6"/>
      <c r="W64530" s="6"/>
      <c r="X64530" s="6"/>
      <c r="Y64530" s="6"/>
      <c r="Z64530" s="6"/>
      <c r="AA64530" s="6"/>
      <c r="AB64530" s="6"/>
      <c r="AC64530" s="6"/>
      <c r="AD64530" s="6"/>
      <c r="AE64530" s="6"/>
      <c r="AF64530" s="6"/>
      <c r="AG64530" s="6"/>
      <c r="AH64530" s="6"/>
      <c r="AI64530" s="6"/>
      <c r="AJ64530" s="6"/>
      <c r="AK64530" s="6"/>
      <c r="AL64530" s="6"/>
      <c r="AM64530" s="6"/>
    </row>
    <row r="64531" spans="2:39" ht="9.9499999999999993" hidden="1" customHeight="1" x14ac:dyDescent="0.2">
      <c r="B64531" s="6"/>
      <c r="C64531" s="6"/>
      <c r="D64531" s="6"/>
      <c r="E64531" s="6"/>
      <c r="F64531" s="6"/>
      <c r="G64531" s="6"/>
      <c r="H64531" s="6"/>
      <c r="I64531" s="6"/>
      <c r="J64531" s="6"/>
      <c r="K64531" s="6"/>
      <c r="L64531" s="6"/>
      <c r="M64531" s="6"/>
      <c r="N64531" s="6"/>
      <c r="O64531" s="6"/>
      <c r="P64531" s="6"/>
      <c r="Q64531" s="6"/>
      <c r="R64531" s="6"/>
      <c r="S64531" s="6"/>
      <c r="T64531" s="6"/>
      <c r="U64531" s="6"/>
      <c r="V64531" s="6"/>
      <c r="W64531" s="6"/>
      <c r="X64531" s="6"/>
      <c r="Y64531" s="6"/>
      <c r="Z64531" s="6"/>
      <c r="AA64531" s="6"/>
      <c r="AB64531" s="6"/>
      <c r="AC64531" s="6"/>
      <c r="AD64531" s="6"/>
      <c r="AE64531" s="6"/>
      <c r="AF64531" s="6"/>
      <c r="AG64531" s="6"/>
      <c r="AH64531" s="6"/>
      <c r="AI64531" s="6"/>
      <c r="AJ64531" s="6"/>
      <c r="AK64531" s="6"/>
      <c r="AL64531" s="6"/>
      <c r="AM64531" s="6"/>
    </row>
    <row r="64532" spans="2:39" ht="9.9499999999999993" hidden="1" customHeight="1" x14ac:dyDescent="0.2">
      <c r="B64532" s="6"/>
      <c r="C64532" s="6"/>
      <c r="D64532" s="6"/>
      <c r="E64532" s="6"/>
      <c r="F64532" s="6"/>
      <c r="G64532" s="6"/>
      <c r="H64532" s="6"/>
      <c r="I64532" s="6"/>
      <c r="J64532" s="6"/>
      <c r="K64532" s="6"/>
      <c r="L64532" s="6"/>
      <c r="M64532" s="6"/>
      <c r="N64532" s="6"/>
      <c r="O64532" s="6"/>
      <c r="P64532" s="6"/>
      <c r="Q64532" s="6"/>
      <c r="R64532" s="6"/>
      <c r="S64532" s="6"/>
      <c r="T64532" s="6"/>
      <c r="U64532" s="6"/>
      <c r="V64532" s="6"/>
      <c r="W64532" s="6"/>
      <c r="X64532" s="6"/>
      <c r="Y64532" s="6"/>
      <c r="Z64532" s="6"/>
      <c r="AA64532" s="6"/>
      <c r="AB64532" s="6"/>
      <c r="AC64532" s="6"/>
      <c r="AD64532" s="6"/>
      <c r="AE64532" s="6"/>
      <c r="AF64532" s="6"/>
      <c r="AG64532" s="6"/>
      <c r="AH64532" s="6"/>
      <c r="AI64532" s="6"/>
      <c r="AJ64532" s="6"/>
      <c r="AK64532" s="6"/>
      <c r="AL64532" s="6"/>
      <c r="AM64532" s="6"/>
    </row>
    <row r="64533" spans="2:39" ht="9.9499999999999993" hidden="1" customHeight="1" x14ac:dyDescent="0.2">
      <c r="B64533" s="6"/>
      <c r="C64533" s="6"/>
      <c r="D64533" s="6"/>
      <c r="E64533" s="6"/>
      <c r="F64533" s="6"/>
      <c r="G64533" s="6"/>
      <c r="H64533" s="6"/>
      <c r="I64533" s="6"/>
      <c r="J64533" s="6"/>
      <c r="K64533" s="6"/>
      <c r="L64533" s="6"/>
      <c r="M64533" s="6"/>
      <c r="N64533" s="6"/>
      <c r="O64533" s="6"/>
      <c r="P64533" s="6"/>
      <c r="Q64533" s="6"/>
      <c r="R64533" s="6"/>
      <c r="S64533" s="6"/>
      <c r="T64533" s="6"/>
      <c r="U64533" s="6"/>
      <c r="V64533" s="6"/>
      <c r="W64533" s="6"/>
      <c r="X64533" s="6"/>
      <c r="Y64533" s="6"/>
      <c r="Z64533" s="6"/>
      <c r="AA64533" s="6"/>
      <c r="AB64533" s="6"/>
      <c r="AC64533" s="6"/>
      <c r="AD64533" s="6"/>
      <c r="AE64533" s="6"/>
      <c r="AF64533" s="6"/>
      <c r="AG64533" s="6"/>
      <c r="AH64533" s="6"/>
      <c r="AI64533" s="6"/>
      <c r="AJ64533" s="6"/>
      <c r="AK64533" s="6"/>
      <c r="AL64533" s="6"/>
      <c r="AM64533" s="6"/>
    </row>
    <row r="64534" spans="2:39" ht="9.9499999999999993" hidden="1" customHeight="1" x14ac:dyDescent="0.2">
      <c r="B64534" s="6"/>
      <c r="C64534" s="6"/>
      <c r="D64534" s="6"/>
      <c r="E64534" s="6"/>
      <c r="F64534" s="6"/>
      <c r="G64534" s="6"/>
      <c r="H64534" s="6"/>
      <c r="I64534" s="6"/>
      <c r="J64534" s="6"/>
      <c r="K64534" s="6"/>
      <c r="L64534" s="6"/>
      <c r="M64534" s="6"/>
      <c r="N64534" s="6"/>
      <c r="O64534" s="6"/>
      <c r="P64534" s="6"/>
      <c r="Q64534" s="6"/>
      <c r="R64534" s="6"/>
      <c r="S64534" s="6"/>
      <c r="T64534" s="6"/>
      <c r="U64534" s="6"/>
      <c r="V64534" s="6"/>
      <c r="W64534" s="6"/>
      <c r="X64534" s="6"/>
      <c r="Y64534" s="6"/>
      <c r="Z64534" s="6"/>
      <c r="AA64534" s="6"/>
      <c r="AB64534" s="6"/>
      <c r="AC64534" s="6"/>
      <c r="AD64534" s="6"/>
      <c r="AE64534" s="6"/>
      <c r="AF64534" s="6"/>
      <c r="AG64534" s="6"/>
      <c r="AH64534" s="6"/>
      <c r="AI64534" s="6"/>
      <c r="AJ64534" s="6"/>
      <c r="AK64534" s="6"/>
      <c r="AL64534" s="6"/>
      <c r="AM64534" s="6"/>
    </row>
    <row r="64535" spans="2:39" ht="9.9499999999999993" hidden="1" customHeight="1" x14ac:dyDescent="0.2">
      <c r="B64535" s="6"/>
      <c r="C64535" s="6"/>
      <c r="D64535" s="6"/>
      <c r="E64535" s="6"/>
      <c r="F64535" s="6"/>
      <c r="G64535" s="6"/>
      <c r="H64535" s="6"/>
      <c r="I64535" s="6"/>
      <c r="J64535" s="6"/>
      <c r="K64535" s="6"/>
      <c r="L64535" s="6"/>
      <c r="M64535" s="6"/>
      <c r="N64535" s="6"/>
      <c r="O64535" s="6"/>
      <c r="P64535" s="6"/>
      <c r="Q64535" s="6"/>
      <c r="R64535" s="6"/>
      <c r="S64535" s="6"/>
      <c r="T64535" s="6"/>
      <c r="U64535" s="6"/>
      <c r="V64535" s="6"/>
      <c r="W64535" s="6"/>
      <c r="X64535" s="6"/>
      <c r="Y64535" s="6"/>
      <c r="Z64535" s="6"/>
      <c r="AA64535" s="6"/>
      <c r="AB64535" s="6"/>
      <c r="AC64535" s="6"/>
      <c r="AD64535" s="6"/>
      <c r="AE64535" s="6"/>
      <c r="AF64535" s="6"/>
      <c r="AG64535" s="6"/>
      <c r="AH64535" s="6"/>
      <c r="AI64535" s="6"/>
      <c r="AJ64535" s="6"/>
      <c r="AK64535" s="6"/>
      <c r="AL64535" s="6"/>
      <c r="AM64535" s="6"/>
    </row>
    <row r="64536" spans="2:39" ht="9.9499999999999993" hidden="1" customHeight="1" x14ac:dyDescent="0.2">
      <c r="B64536" s="6"/>
      <c r="C64536" s="6"/>
      <c r="D64536" s="6"/>
      <c r="E64536" s="6"/>
      <c r="F64536" s="6"/>
      <c r="G64536" s="6"/>
      <c r="H64536" s="6"/>
      <c r="I64536" s="6"/>
      <c r="J64536" s="6"/>
      <c r="K64536" s="6"/>
      <c r="L64536" s="6"/>
      <c r="M64536" s="6"/>
      <c r="N64536" s="6"/>
      <c r="O64536" s="6"/>
      <c r="P64536" s="6"/>
      <c r="Q64536" s="6"/>
      <c r="R64536" s="6"/>
      <c r="S64536" s="6"/>
      <c r="T64536" s="6"/>
      <c r="U64536" s="6"/>
      <c r="V64536" s="6"/>
      <c r="W64536" s="6"/>
      <c r="X64536" s="6"/>
      <c r="Y64536" s="6"/>
      <c r="Z64536" s="6"/>
      <c r="AA64536" s="6"/>
      <c r="AB64536" s="6"/>
      <c r="AC64536" s="6"/>
      <c r="AD64536" s="6"/>
      <c r="AE64536" s="6"/>
      <c r="AF64536" s="6"/>
      <c r="AG64536" s="6"/>
      <c r="AH64536" s="6"/>
      <c r="AI64536" s="6"/>
      <c r="AJ64536" s="6"/>
      <c r="AK64536" s="6"/>
      <c r="AL64536" s="6"/>
      <c r="AM64536" s="6"/>
    </row>
    <row r="64537" spans="2:39" ht="9.9499999999999993" hidden="1" customHeight="1" x14ac:dyDescent="0.2">
      <c r="B64537" s="6"/>
      <c r="C64537" s="6"/>
      <c r="D64537" s="6"/>
      <c r="E64537" s="6"/>
      <c r="F64537" s="6"/>
      <c r="G64537" s="6"/>
      <c r="H64537" s="6"/>
      <c r="I64537" s="6"/>
      <c r="J64537" s="6"/>
      <c r="K64537" s="6"/>
      <c r="L64537" s="6"/>
      <c r="M64537" s="6"/>
      <c r="N64537" s="6"/>
      <c r="O64537" s="6"/>
      <c r="P64537" s="6"/>
      <c r="Q64537" s="6"/>
      <c r="R64537" s="6"/>
      <c r="S64537" s="6"/>
      <c r="T64537" s="6"/>
      <c r="U64537" s="6"/>
      <c r="V64537" s="6"/>
      <c r="W64537" s="6"/>
      <c r="X64537" s="6"/>
      <c r="Y64537" s="6"/>
      <c r="Z64537" s="6"/>
      <c r="AA64537" s="6"/>
      <c r="AB64537" s="6"/>
      <c r="AC64537" s="6"/>
      <c r="AD64537" s="6"/>
      <c r="AE64537" s="6"/>
      <c r="AF64537" s="6"/>
      <c r="AG64537" s="6"/>
      <c r="AH64537" s="6"/>
      <c r="AI64537" s="6"/>
      <c r="AJ64537" s="6"/>
      <c r="AK64537" s="6"/>
      <c r="AL64537" s="6"/>
      <c r="AM64537" s="6"/>
    </row>
    <row r="64538" spans="2:39" ht="9.9499999999999993" hidden="1" customHeight="1" x14ac:dyDescent="0.2">
      <c r="B64538" s="6"/>
      <c r="C64538" s="6"/>
      <c r="D64538" s="6"/>
      <c r="E64538" s="6"/>
      <c r="F64538" s="6"/>
      <c r="G64538" s="6"/>
      <c r="H64538" s="6"/>
      <c r="I64538" s="6"/>
      <c r="J64538" s="6"/>
      <c r="K64538" s="6"/>
      <c r="L64538" s="6"/>
      <c r="M64538" s="6"/>
      <c r="N64538" s="6"/>
      <c r="O64538" s="6"/>
      <c r="P64538" s="6"/>
      <c r="Q64538" s="6"/>
      <c r="R64538" s="6"/>
      <c r="S64538" s="6"/>
      <c r="T64538" s="6"/>
      <c r="U64538" s="6"/>
      <c r="V64538" s="6"/>
      <c r="W64538" s="6"/>
      <c r="X64538" s="6"/>
      <c r="Y64538" s="6"/>
      <c r="Z64538" s="6"/>
      <c r="AA64538" s="6"/>
      <c r="AB64538" s="6"/>
      <c r="AC64538" s="6"/>
      <c r="AD64538" s="6"/>
      <c r="AE64538" s="6"/>
      <c r="AF64538" s="6"/>
      <c r="AG64538" s="6"/>
      <c r="AH64538" s="6"/>
      <c r="AI64538" s="6"/>
      <c r="AJ64538" s="6"/>
      <c r="AK64538" s="6"/>
      <c r="AL64538" s="6"/>
      <c r="AM64538" s="6"/>
    </row>
    <row r="64539" spans="2:39" ht="9.9499999999999993" hidden="1" customHeight="1" x14ac:dyDescent="0.2">
      <c r="B64539" s="6"/>
      <c r="C64539" s="6"/>
      <c r="D64539" s="6"/>
      <c r="E64539" s="6"/>
      <c r="F64539" s="6"/>
      <c r="G64539" s="6"/>
      <c r="H64539" s="6"/>
      <c r="I64539" s="6"/>
      <c r="J64539" s="6"/>
      <c r="K64539" s="6"/>
      <c r="L64539" s="6"/>
      <c r="M64539" s="6"/>
      <c r="N64539" s="6"/>
      <c r="O64539" s="6"/>
      <c r="P64539" s="6"/>
      <c r="Q64539" s="6"/>
      <c r="R64539" s="6"/>
      <c r="S64539" s="6"/>
      <c r="T64539" s="6"/>
      <c r="U64539" s="6"/>
      <c r="V64539" s="6"/>
      <c r="W64539" s="6"/>
      <c r="X64539" s="6"/>
      <c r="Y64539" s="6"/>
      <c r="Z64539" s="6"/>
      <c r="AA64539" s="6"/>
      <c r="AB64539" s="6"/>
      <c r="AC64539" s="6"/>
      <c r="AD64539" s="6"/>
      <c r="AE64539" s="6"/>
      <c r="AF64539" s="6"/>
      <c r="AG64539" s="6"/>
      <c r="AH64539" s="6"/>
      <c r="AI64539" s="6"/>
      <c r="AJ64539" s="6"/>
      <c r="AK64539" s="6"/>
      <c r="AL64539" s="6"/>
      <c r="AM64539" s="6"/>
    </row>
    <row r="64540" spans="2:39" ht="9.9499999999999993" hidden="1" customHeight="1" x14ac:dyDescent="0.2">
      <c r="B64540" s="6"/>
      <c r="C64540" s="6"/>
      <c r="D64540" s="6"/>
      <c r="E64540" s="6"/>
      <c r="F64540" s="6"/>
      <c r="G64540" s="6"/>
      <c r="H64540" s="6"/>
      <c r="I64540" s="6"/>
      <c r="J64540" s="6"/>
      <c r="K64540" s="6"/>
      <c r="L64540" s="6"/>
      <c r="M64540" s="6"/>
      <c r="N64540" s="6"/>
      <c r="O64540" s="6"/>
      <c r="P64540" s="6"/>
      <c r="Q64540" s="6"/>
      <c r="R64540" s="6"/>
      <c r="S64540" s="6"/>
      <c r="T64540" s="6"/>
      <c r="U64540" s="6"/>
      <c r="V64540" s="6"/>
      <c r="W64540" s="6"/>
      <c r="X64540" s="6"/>
      <c r="Y64540" s="6"/>
      <c r="Z64540" s="6"/>
      <c r="AA64540" s="6"/>
      <c r="AB64540" s="6"/>
      <c r="AC64540" s="6"/>
      <c r="AD64540" s="6"/>
      <c r="AE64540" s="6"/>
      <c r="AF64540" s="6"/>
      <c r="AG64540" s="6"/>
      <c r="AH64540" s="6"/>
      <c r="AI64540" s="6"/>
      <c r="AJ64540" s="6"/>
      <c r="AK64540" s="6"/>
      <c r="AL64540" s="6"/>
      <c r="AM64540" s="6"/>
    </row>
    <row r="64541" spans="2:39" ht="9.9499999999999993" hidden="1" customHeight="1" x14ac:dyDescent="0.2">
      <c r="B64541" s="6"/>
      <c r="C64541" s="6"/>
      <c r="D64541" s="6"/>
      <c r="E64541" s="6"/>
      <c r="F64541" s="6"/>
      <c r="G64541" s="6"/>
      <c r="H64541" s="6"/>
      <c r="I64541" s="6"/>
      <c r="J64541" s="6"/>
      <c r="K64541" s="6"/>
      <c r="L64541" s="6"/>
      <c r="M64541" s="6"/>
      <c r="N64541" s="6"/>
      <c r="O64541" s="6"/>
      <c r="P64541" s="6"/>
      <c r="Q64541" s="6"/>
      <c r="R64541" s="6"/>
      <c r="S64541" s="6"/>
      <c r="T64541" s="6"/>
      <c r="U64541" s="6"/>
      <c r="V64541" s="6"/>
      <c r="W64541" s="6"/>
      <c r="X64541" s="6"/>
      <c r="Y64541" s="6"/>
      <c r="Z64541" s="6"/>
      <c r="AA64541" s="6"/>
      <c r="AB64541" s="6"/>
      <c r="AC64541" s="6"/>
      <c r="AD64541" s="6"/>
      <c r="AE64541" s="6"/>
      <c r="AF64541" s="6"/>
      <c r="AG64541" s="6"/>
      <c r="AH64541" s="6"/>
      <c r="AI64541" s="6"/>
      <c r="AJ64541" s="6"/>
      <c r="AK64541" s="6"/>
      <c r="AL64541" s="6"/>
      <c r="AM64541" s="6"/>
    </row>
    <row r="64542" spans="2:39" ht="9.9499999999999993" hidden="1" customHeight="1" x14ac:dyDescent="0.2">
      <c r="B64542" s="6"/>
      <c r="C64542" s="6"/>
      <c r="D64542" s="6"/>
      <c r="E64542" s="6"/>
      <c r="F64542" s="6"/>
      <c r="G64542" s="6"/>
      <c r="H64542" s="6"/>
      <c r="I64542" s="6"/>
      <c r="J64542" s="6"/>
      <c r="K64542" s="6"/>
      <c r="L64542" s="6"/>
      <c r="M64542" s="6"/>
      <c r="N64542" s="6"/>
      <c r="O64542" s="6"/>
      <c r="P64542" s="6"/>
      <c r="Q64542" s="6"/>
      <c r="R64542" s="6"/>
      <c r="S64542" s="6"/>
      <c r="T64542" s="6"/>
      <c r="U64542" s="6"/>
      <c r="V64542" s="6"/>
      <c r="W64542" s="6"/>
      <c r="X64542" s="6"/>
      <c r="Y64542" s="6"/>
      <c r="Z64542" s="6"/>
      <c r="AA64542" s="6"/>
      <c r="AB64542" s="6"/>
      <c r="AC64542" s="6"/>
      <c r="AD64542" s="6"/>
      <c r="AE64542" s="6"/>
      <c r="AF64542" s="6"/>
      <c r="AG64542" s="6"/>
      <c r="AH64542" s="6"/>
      <c r="AI64542" s="6"/>
      <c r="AJ64542" s="6"/>
      <c r="AK64542" s="6"/>
      <c r="AL64542" s="6"/>
      <c r="AM64542" s="6"/>
    </row>
    <row r="64543" spans="2:39" ht="9.9499999999999993" hidden="1" customHeight="1" x14ac:dyDescent="0.2">
      <c r="B64543" s="6"/>
      <c r="C64543" s="6"/>
      <c r="D64543" s="6"/>
      <c r="E64543" s="6"/>
      <c r="F64543" s="6"/>
      <c r="G64543" s="6"/>
      <c r="H64543" s="6"/>
      <c r="I64543" s="6"/>
      <c r="J64543" s="6"/>
      <c r="K64543" s="6"/>
      <c r="L64543" s="6"/>
      <c r="M64543" s="6"/>
      <c r="N64543" s="6"/>
      <c r="O64543" s="6"/>
      <c r="P64543" s="6"/>
      <c r="Q64543" s="6"/>
      <c r="R64543" s="6"/>
      <c r="S64543" s="6"/>
      <c r="T64543" s="6"/>
      <c r="U64543" s="6"/>
      <c r="V64543" s="6"/>
      <c r="W64543" s="6"/>
      <c r="X64543" s="6"/>
      <c r="Y64543" s="6"/>
      <c r="Z64543" s="6"/>
      <c r="AA64543" s="6"/>
      <c r="AB64543" s="6"/>
      <c r="AC64543" s="6"/>
      <c r="AD64543" s="6"/>
      <c r="AE64543" s="6"/>
      <c r="AF64543" s="6"/>
      <c r="AG64543" s="6"/>
      <c r="AH64543" s="6"/>
      <c r="AI64543" s="6"/>
      <c r="AJ64543" s="6"/>
      <c r="AK64543" s="6"/>
      <c r="AL64543" s="6"/>
      <c r="AM64543" s="6"/>
    </row>
    <row r="64544" spans="2:39" ht="9.9499999999999993" hidden="1" customHeight="1" x14ac:dyDescent="0.2">
      <c r="B64544" s="6"/>
      <c r="C64544" s="6"/>
      <c r="D64544" s="6"/>
      <c r="E64544" s="6"/>
      <c r="F64544" s="6"/>
      <c r="G64544" s="6"/>
      <c r="H64544" s="6"/>
      <c r="I64544" s="6"/>
      <c r="J64544" s="6"/>
      <c r="K64544" s="6"/>
      <c r="L64544" s="6"/>
      <c r="M64544" s="6"/>
      <c r="N64544" s="6"/>
      <c r="O64544" s="6"/>
      <c r="P64544" s="6"/>
      <c r="Q64544" s="6"/>
      <c r="R64544" s="6"/>
      <c r="S64544" s="6"/>
      <c r="T64544" s="6"/>
      <c r="U64544" s="6"/>
      <c r="V64544" s="6"/>
      <c r="W64544" s="6"/>
      <c r="X64544" s="6"/>
      <c r="Y64544" s="6"/>
      <c r="Z64544" s="6"/>
      <c r="AA64544" s="6"/>
      <c r="AB64544" s="6"/>
      <c r="AC64544" s="6"/>
      <c r="AD64544" s="6"/>
      <c r="AE64544" s="6"/>
      <c r="AF64544" s="6"/>
      <c r="AG64544" s="6"/>
      <c r="AH64544" s="6"/>
      <c r="AI64544" s="6"/>
      <c r="AJ64544" s="6"/>
      <c r="AK64544" s="6"/>
      <c r="AL64544" s="6"/>
      <c r="AM64544" s="6"/>
    </row>
    <row r="64545" spans="2:39" ht="9.9499999999999993" hidden="1" customHeight="1" x14ac:dyDescent="0.2">
      <c r="B64545" s="6"/>
      <c r="C64545" s="6"/>
      <c r="D64545" s="6"/>
      <c r="E64545" s="6"/>
      <c r="F64545" s="6"/>
      <c r="G64545" s="6"/>
      <c r="H64545" s="6"/>
      <c r="I64545" s="6"/>
      <c r="J64545" s="6"/>
      <c r="K64545" s="6"/>
      <c r="L64545" s="6"/>
      <c r="M64545" s="6"/>
      <c r="N64545" s="6"/>
      <c r="O64545" s="6"/>
      <c r="P64545" s="6"/>
      <c r="Q64545" s="6"/>
      <c r="R64545" s="6"/>
      <c r="S64545" s="6"/>
      <c r="T64545" s="6"/>
      <c r="U64545" s="6"/>
      <c r="V64545" s="6"/>
      <c r="W64545" s="6"/>
      <c r="X64545" s="6"/>
      <c r="Y64545" s="6"/>
      <c r="Z64545" s="6"/>
      <c r="AA64545" s="6"/>
      <c r="AB64545" s="6"/>
      <c r="AC64545" s="6"/>
      <c r="AD64545" s="6"/>
      <c r="AE64545" s="6"/>
      <c r="AF64545" s="6"/>
      <c r="AG64545" s="6"/>
      <c r="AH64545" s="6"/>
      <c r="AI64545" s="6"/>
      <c r="AJ64545" s="6"/>
      <c r="AK64545" s="6"/>
      <c r="AL64545" s="6"/>
      <c r="AM64545" s="6"/>
    </row>
    <row r="64546" spans="2:39" ht="9.9499999999999993" hidden="1" customHeight="1" x14ac:dyDescent="0.2">
      <c r="B64546" s="6"/>
      <c r="C64546" s="6"/>
      <c r="D64546" s="6"/>
      <c r="E64546" s="6"/>
      <c r="F64546" s="6"/>
      <c r="G64546" s="6"/>
      <c r="H64546" s="6"/>
      <c r="I64546" s="6"/>
      <c r="J64546" s="6"/>
      <c r="K64546" s="6"/>
      <c r="L64546" s="6"/>
      <c r="M64546" s="6"/>
      <c r="N64546" s="6"/>
      <c r="O64546" s="6"/>
      <c r="P64546" s="6"/>
      <c r="Q64546" s="6"/>
      <c r="R64546" s="6"/>
      <c r="S64546" s="6"/>
      <c r="T64546" s="6"/>
      <c r="U64546" s="6"/>
      <c r="V64546" s="6"/>
      <c r="W64546" s="6"/>
      <c r="X64546" s="6"/>
      <c r="Y64546" s="6"/>
      <c r="Z64546" s="6"/>
      <c r="AA64546" s="6"/>
      <c r="AB64546" s="6"/>
      <c r="AC64546" s="6"/>
      <c r="AD64546" s="6"/>
      <c r="AE64546" s="6"/>
      <c r="AF64546" s="6"/>
      <c r="AG64546" s="6"/>
      <c r="AH64546" s="6"/>
      <c r="AI64546" s="6"/>
      <c r="AJ64546" s="6"/>
      <c r="AK64546" s="6"/>
      <c r="AL64546" s="6"/>
      <c r="AM64546" s="6"/>
    </row>
    <row r="64547" spans="2:39" ht="9.9499999999999993" hidden="1" customHeight="1" x14ac:dyDescent="0.2">
      <c r="B64547" s="6"/>
      <c r="C64547" s="6"/>
      <c r="D64547" s="6"/>
      <c r="E64547" s="6"/>
      <c r="F64547" s="6"/>
      <c r="G64547" s="6"/>
      <c r="H64547" s="6"/>
      <c r="I64547" s="6"/>
      <c r="J64547" s="6"/>
      <c r="K64547" s="6"/>
      <c r="L64547" s="6"/>
      <c r="M64547" s="6"/>
      <c r="N64547" s="6"/>
      <c r="O64547" s="6"/>
      <c r="P64547" s="6"/>
      <c r="Q64547" s="6"/>
      <c r="R64547" s="6"/>
      <c r="S64547" s="6"/>
      <c r="T64547" s="6"/>
      <c r="U64547" s="6"/>
      <c r="V64547" s="6"/>
      <c r="W64547" s="6"/>
      <c r="X64547" s="6"/>
      <c r="Y64547" s="6"/>
      <c r="Z64547" s="6"/>
      <c r="AA64547" s="6"/>
      <c r="AB64547" s="6"/>
      <c r="AC64547" s="6"/>
      <c r="AD64547" s="6"/>
      <c r="AE64547" s="6"/>
      <c r="AF64547" s="6"/>
      <c r="AG64547" s="6"/>
      <c r="AH64547" s="6"/>
      <c r="AI64547" s="6"/>
      <c r="AJ64547" s="6"/>
      <c r="AK64547" s="6"/>
      <c r="AL64547" s="6"/>
      <c r="AM64547" s="6"/>
    </row>
    <row r="64548" spans="2:39" ht="9.9499999999999993" hidden="1" customHeight="1" x14ac:dyDescent="0.2">
      <c r="B64548" s="6"/>
      <c r="C64548" s="6"/>
      <c r="D64548" s="6"/>
      <c r="E64548" s="6"/>
      <c r="F64548" s="6"/>
      <c r="G64548" s="6"/>
      <c r="H64548" s="6"/>
      <c r="I64548" s="6"/>
      <c r="J64548" s="6"/>
      <c r="K64548" s="6"/>
      <c r="L64548" s="6"/>
      <c r="M64548" s="6"/>
      <c r="N64548" s="6"/>
      <c r="O64548" s="6"/>
      <c r="P64548" s="6"/>
      <c r="Q64548" s="6"/>
      <c r="R64548" s="6"/>
      <c r="S64548" s="6"/>
      <c r="T64548" s="6"/>
      <c r="U64548" s="6"/>
      <c r="V64548" s="6"/>
      <c r="W64548" s="6"/>
      <c r="X64548" s="6"/>
      <c r="Y64548" s="6"/>
      <c r="Z64548" s="6"/>
      <c r="AA64548" s="6"/>
      <c r="AB64548" s="6"/>
      <c r="AC64548" s="6"/>
      <c r="AD64548" s="6"/>
      <c r="AE64548" s="6"/>
      <c r="AF64548" s="6"/>
      <c r="AG64548" s="6"/>
      <c r="AH64548" s="6"/>
      <c r="AI64548" s="6"/>
      <c r="AJ64548" s="6"/>
      <c r="AK64548" s="6"/>
      <c r="AL64548" s="6"/>
      <c r="AM64548" s="6"/>
    </row>
    <row r="64549" spans="2:39" ht="9.9499999999999993" hidden="1" customHeight="1" x14ac:dyDescent="0.2">
      <c r="B64549" s="6"/>
      <c r="C64549" s="6"/>
      <c r="D64549" s="6"/>
      <c r="E64549" s="6"/>
      <c r="F64549" s="6"/>
      <c r="G64549" s="6"/>
      <c r="H64549" s="6"/>
      <c r="I64549" s="6"/>
      <c r="J64549" s="6"/>
      <c r="K64549" s="6"/>
      <c r="L64549" s="6"/>
      <c r="M64549" s="6"/>
      <c r="N64549" s="6"/>
      <c r="O64549" s="6"/>
      <c r="P64549" s="6"/>
      <c r="Q64549" s="6"/>
      <c r="R64549" s="6"/>
      <c r="S64549" s="6"/>
      <c r="T64549" s="6"/>
      <c r="U64549" s="6"/>
      <c r="V64549" s="6"/>
      <c r="W64549" s="6"/>
      <c r="X64549" s="6"/>
      <c r="Y64549" s="6"/>
      <c r="Z64549" s="6"/>
      <c r="AA64549" s="6"/>
      <c r="AB64549" s="6"/>
      <c r="AC64549" s="6"/>
      <c r="AD64549" s="6"/>
      <c r="AE64549" s="6"/>
      <c r="AF64549" s="6"/>
      <c r="AG64549" s="6"/>
      <c r="AH64549" s="6"/>
      <c r="AI64549" s="6"/>
      <c r="AJ64549" s="6"/>
      <c r="AK64549" s="6"/>
      <c r="AL64549" s="6"/>
      <c r="AM64549" s="6"/>
    </row>
    <row r="64550" spans="2:39" ht="9.9499999999999993" hidden="1" customHeight="1" x14ac:dyDescent="0.2">
      <c r="B64550" s="6"/>
      <c r="C64550" s="6"/>
      <c r="D64550" s="6"/>
      <c r="E64550" s="6"/>
      <c r="F64550" s="6"/>
      <c r="G64550" s="6"/>
      <c r="H64550" s="6"/>
      <c r="I64550" s="6"/>
      <c r="J64550" s="6"/>
      <c r="K64550" s="6"/>
      <c r="L64550" s="6"/>
      <c r="M64550" s="6"/>
      <c r="N64550" s="6"/>
      <c r="O64550" s="6"/>
      <c r="P64550" s="6"/>
      <c r="Q64550" s="6"/>
      <c r="R64550" s="6"/>
      <c r="S64550" s="6"/>
      <c r="T64550" s="6"/>
      <c r="U64550" s="6"/>
      <c r="V64550" s="6"/>
      <c r="W64550" s="6"/>
      <c r="X64550" s="6"/>
      <c r="Y64550" s="6"/>
      <c r="Z64550" s="6"/>
      <c r="AA64550" s="6"/>
      <c r="AB64550" s="6"/>
      <c r="AC64550" s="6"/>
      <c r="AD64550" s="6"/>
      <c r="AE64550" s="6"/>
      <c r="AF64550" s="6"/>
      <c r="AG64550" s="6"/>
      <c r="AH64550" s="6"/>
      <c r="AI64550" s="6"/>
      <c r="AJ64550" s="6"/>
      <c r="AK64550" s="6"/>
      <c r="AL64550" s="6"/>
      <c r="AM64550" s="6"/>
    </row>
    <row r="64551" spans="2:39" ht="9.9499999999999993" hidden="1" customHeight="1" x14ac:dyDescent="0.2">
      <c r="B64551" s="6"/>
      <c r="C64551" s="6"/>
      <c r="D64551" s="6"/>
      <c r="E64551" s="6"/>
      <c r="F64551" s="6"/>
      <c r="G64551" s="6"/>
      <c r="H64551" s="6"/>
      <c r="I64551" s="6"/>
      <c r="J64551" s="6"/>
      <c r="K64551" s="6"/>
      <c r="L64551" s="6"/>
      <c r="M64551" s="6"/>
      <c r="N64551" s="6"/>
      <c r="O64551" s="6"/>
      <c r="P64551" s="6"/>
      <c r="Q64551" s="6"/>
      <c r="R64551" s="6"/>
      <c r="S64551" s="6"/>
      <c r="T64551" s="6"/>
      <c r="U64551" s="6"/>
      <c r="V64551" s="6"/>
      <c r="W64551" s="6"/>
      <c r="X64551" s="6"/>
      <c r="Y64551" s="6"/>
      <c r="Z64551" s="6"/>
      <c r="AA64551" s="6"/>
      <c r="AB64551" s="6"/>
      <c r="AC64551" s="6"/>
      <c r="AD64551" s="6"/>
      <c r="AE64551" s="6"/>
      <c r="AF64551" s="6"/>
      <c r="AG64551" s="6"/>
      <c r="AH64551" s="6"/>
      <c r="AI64551" s="6"/>
      <c r="AJ64551" s="6"/>
      <c r="AK64551" s="6"/>
      <c r="AL64551" s="6"/>
      <c r="AM64551" s="6"/>
    </row>
    <row r="64552" spans="2:39" ht="9.9499999999999993" hidden="1" customHeight="1" x14ac:dyDescent="0.2">
      <c r="B64552" s="6"/>
      <c r="C64552" s="6"/>
      <c r="D64552" s="6"/>
      <c r="E64552" s="6"/>
      <c r="F64552" s="6"/>
      <c r="G64552" s="6"/>
      <c r="H64552" s="6"/>
      <c r="I64552" s="6"/>
      <c r="J64552" s="6"/>
      <c r="K64552" s="6"/>
      <c r="L64552" s="6"/>
      <c r="M64552" s="6"/>
      <c r="N64552" s="6"/>
      <c r="O64552" s="6"/>
      <c r="P64552" s="6"/>
      <c r="Q64552" s="6"/>
      <c r="R64552" s="6"/>
      <c r="S64552" s="6"/>
      <c r="T64552" s="6"/>
      <c r="U64552" s="6"/>
      <c r="V64552" s="6"/>
      <c r="W64552" s="6"/>
      <c r="X64552" s="6"/>
      <c r="Y64552" s="6"/>
      <c r="Z64552" s="6"/>
      <c r="AA64552" s="6"/>
      <c r="AB64552" s="6"/>
      <c r="AC64552" s="6"/>
      <c r="AD64552" s="6"/>
      <c r="AE64552" s="6"/>
      <c r="AF64552" s="6"/>
      <c r="AG64552" s="6"/>
      <c r="AH64552" s="6"/>
      <c r="AI64552" s="6"/>
      <c r="AJ64552" s="6"/>
      <c r="AK64552" s="6"/>
      <c r="AL64552" s="6"/>
      <c r="AM64552" s="6"/>
    </row>
    <row r="64553" spans="2:39" ht="9.9499999999999993" hidden="1" customHeight="1" x14ac:dyDescent="0.2">
      <c r="B64553" s="6"/>
      <c r="C64553" s="6"/>
      <c r="D64553" s="6"/>
      <c r="E64553" s="6"/>
      <c r="F64553" s="6"/>
      <c r="G64553" s="6"/>
      <c r="H64553" s="6"/>
      <c r="I64553" s="6"/>
      <c r="J64553" s="6"/>
      <c r="K64553" s="6"/>
      <c r="L64553" s="6"/>
      <c r="M64553" s="6"/>
      <c r="N64553" s="6"/>
      <c r="O64553" s="6"/>
      <c r="P64553" s="6"/>
      <c r="Q64553" s="6"/>
      <c r="R64553" s="6"/>
      <c r="S64553" s="6"/>
      <c r="T64553" s="6"/>
      <c r="U64553" s="6"/>
      <c r="V64553" s="6"/>
      <c r="W64553" s="6"/>
      <c r="X64553" s="6"/>
      <c r="Y64553" s="6"/>
      <c r="Z64553" s="6"/>
      <c r="AA64553" s="6"/>
      <c r="AB64553" s="6"/>
      <c r="AC64553" s="6"/>
      <c r="AD64553" s="6"/>
      <c r="AE64553" s="6"/>
      <c r="AF64553" s="6"/>
      <c r="AG64553" s="6"/>
      <c r="AH64553" s="6"/>
      <c r="AI64553" s="6"/>
      <c r="AJ64553" s="6"/>
      <c r="AK64553" s="6"/>
      <c r="AL64553" s="6"/>
      <c r="AM64553" s="6"/>
    </row>
    <row r="64554" spans="2:39" ht="9.9499999999999993" hidden="1" customHeight="1" x14ac:dyDescent="0.2">
      <c r="B64554" s="6"/>
      <c r="C64554" s="6"/>
      <c r="D64554" s="6"/>
      <c r="E64554" s="6"/>
      <c r="F64554" s="6"/>
      <c r="G64554" s="6"/>
      <c r="H64554" s="6"/>
      <c r="I64554" s="6"/>
      <c r="J64554" s="6"/>
      <c r="K64554" s="6"/>
      <c r="L64554" s="6"/>
      <c r="M64554" s="6"/>
      <c r="N64554" s="6"/>
      <c r="O64554" s="6"/>
      <c r="P64554" s="6"/>
      <c r="Q64554" s="6"/>
      <c r="R64554" s="6"/>
      <c r="S64554" s="6"/>
      <c r="T64554" s="6"/>
      <c r="U64554" s="6"/>
      <c r="V64554" s="6"/>
      <c r="W64554" s="6"/>
      <c r="X64554" s="6"/>
      <c r="Y64554" s="6"/>
      <c r="Z64554" s="6"/>
      <c r="AA64554" s="6"/>
      <c r="AB64554" s="6"/>
      <c r="AC64554" s="6"/>
      <c r="AD64554" s="6"/>
      <c r="AE64554" s="6"/>
      <c r="AF64554" s="6"/>
      <c r="AG64554" s="6"/>
      <c r="AH64554" s="6"/>
      <c r="AI64554" s="6"/>
      <c r="AJ64554" s="6"/>
      <c r="AK64554" s="6"/>
      <c r="AL64554" s="6"/>
      <c r="AM64554" s="6"/>
    </row>
    <row r="64555" spans="2:39" ht="9.9499999999999993" hidden="1" customHeight="1" x14ac:dyDescent="0.2">
      <c r="B64555" s="6"/>
      <c r="C64555" s="6"/>
      <c r="D64555" s="6"/>
      <c r="E64555" s="6"/>
      <c r="F64555" s="6"/>
      <c r="G64555" s="6"/>
      <c r="H64555" s="6"/>
      <c r="I64555" s="6"/>
      <c r="J64555" s="6"/>
      <c r="K64555" s="6"/>
      <c r="L64555" s="6"/>
      <c r="M64555" s="6"/>
      <c r="N64555" s="6"/>
      <c r="O64555" s="6"/>
      <c r="P64555" s="6"/>
      <c r="Q64555" s="6"/>
      <c r="R64555" s="6"/>
      <c r="S64555" s="6"/>
      <c r="T64555" s="6"/>
      <c r="U64555" s="6"/>
      <c r="V64555" s="6"/>
      <c r="W64555" s="6"/>
      <c r="X64555" s="6"/>
      <c r="Y64555" s="6"/>
      <c r="Z64555" s="6"/>
      <c r="AA64555" s="6"/>
      <c r="AB64555" s="6"/>
      <c r="AC64555" s="6"/>
      <c r="AD64555" s="6"/>
      <c r="AE64555" s="6"/>
      <c r="AF64555" s="6"/>
      <c r="AG64555" s="6"/>
      <c r="AH64555" s="6"/>
      <c r="AI64555" s="6"/>
      <c r="AJ64555" s="6"/>
      <c r="AK64555" s="6"/>
      <c r="AL64555" s="6"/>
      <c r="AM64555" s="6"/>
    </row>
    <row r="64556" spans="2:39" ht="9.9499999999999993" hidden="1" customHeight="1" x14ac:dyDescent="0.2">
      <c r="B64556" s="6"/>
      <c r="C64556" s="6"/>
      <c r="D64556" s="6"/>
      <c r="E64556" s="6"/>
      <c r="F64556" s="6"/>
      <c r="G64556" s="6"/>
      <c r="H64556" s="6"/>
      <c r="I64556" s="6"/>
      <c r="J64556" s="6"/>
      <c r="K64556" s="6"/>
      <c r="L64556" s="6"/>
      <c r="M64556" s="6"/>
      <c r="N64556" s="6"/>
      <c r="O64556" s="6"/>
      <c r="P64556" s="6"/>
      <c r="Q64556" s="6"/>
      <c r="R64556" s="6"/>
      <c r="S64556" s="6"/>
      <c r="T64556" s="6"/>
      <c r="U64556" s="6"/>
      <c r="V64556" s="6"/>
      <c r="W64556" s="6"/>
      <c r="X64556" s="6"/>
      <c r="Y64556" s="6"/>
      <c r="Z64556" s="6"/>
      <c r="AA64556" s="6"/>
      <c r="AB64556" s="6"/>
      <c r="AC64556" s="6"/>
      <c r="AD64556" s="6"/>
      <c r="AE64556" s="6"/>
      <c r="AF64556" s="6"/>
      <c r="AG64556" s="6"/>
      <c r="AH64556" s="6"/>
      <c r="AI64556" s="6"/>
      <c r="AJ64556" s="6"/>
      <c r="AK64556" s="6"/>
      <c r="AL64556" s="6"/>
      <c r="AM64556" s="6"/>
    </row>
    <row r="64557" spans="2:39" ht="9.9499999999999993" hidden="1" customHeight="1" x14ac:dyDescent="0.2">
      <c r="B64557" s="6"/>
      <c r="C64557" s="6"/>
      <c r="D64557" s="6"/>
      <c r="E64557" s="6"/>
      <c r="F64557" s="6"/>
      <c r="G64557" s="6"/>
      <c r="H64557" s="6"/>
      <c r="I64557" s="6"/>
      <c r="J64557" s="6"/>
      <c r="K64557" s="6"/>
      <c r="L64557" s="6"/>
      <c r="M64557" s="6"/>
      <c r="N64557" s="6"/>
      <c r="O64557" s="6"/>
      <c r="P64557" s="6"/>
      <c r="Q64557" s="6"/>
      <c r="R64557" s="6"/>
      <c r="S64557" s="6"/>
      <c r="T64557" s="6"/>
      <c r="U64557" s="6"/>
      <c r="V64557" s="6"/>
      <c r="W64557" s="6"/>
      <c r="X64557" s="6"/>
      <c r="Y64557" s="6"/>
      <c r="Z64557" s="6"/>
      <c r="AA64557" s="6"/>
      <c r="AB64557" s="6"/>
      <c r="AC64557" s="6"/>
      <c r="AD64557" s="6"/>
      <c r="AE64557" s="6"/>
      <c r="AF64557" s="6"/>
      <c r="AG64557" s="6"/>
      <c r="AH64557" s="6"/>
      <c r="AI64557" s="6"/>
      <c r="AJ64557" s="6"/>
      <c r="AK64557" s="6"/>
      <c r="AL64557" s="6"/>
      <c r="AM64557" s="6"/>
    </row>
    <row r="64558" spans="2:39" ht="9.9499999999999993" hidden="1" customHeight="1" x14ac:dyDescent="0.2">
      <c r="B64558" s="6"/>
      <c r="C64558" s="6"/>
      <c r="D64558" s="6"/>
      <c r="E64558" s="6"/>
      <c r="F64558" s="6"/>
      <c r="G64558" s="6"/>
      <c r="H64558" s="6"/>
      <c r="I64558" s="6"/>
      <c r="J64558" s="6"/>
      <c r="K64558" s="6"/>
      <c r="L64558" s="6"/>
      <c r="M64558" s="6"/>
      <c r="N64558" s="6"/>
      <c r="O64558" s="6"/>
      <c r="P64558" s="6"/>
      <c r="Q64558" s="6"/>
      <c r="R64558" s="6"/>
      <c r="S64558" s="6"/>
      <c r="T64558" s="6"/>
      <c r="U64558" s="6"/>
      <c r="V64558" s="6"/>
      <c r="W64558" s="6"/>
      <c r="X64558" s="6"/>
      <c r="Y64558" s="6"/>
      <c r="Z64558" s="6"/>
      <c r="AA64558" s="6"/>
      <c r="AB64558" s="6"/>
      <c r="AC64558" s="6"/>
      <c r="AD64558" s="6"/>
      <c r="AE64558" s="6"/>
      <c r="AF64558" s="6"/>
      <c r="AG64558" s="6"/>
      <c r="AH64558" s="6"/>
      <c r="AI64558" s="6"/>
      <c r="AJ64558" s="6"/>
      <c r="AK64558" s="6"/>
      <c r="AL64558" s="6"/>
      <c r="AM64558" s="6"/>
    </row>
    <row r="64559" spans="2:39" ht="9.9499999999999993" hidden="1" customHeight="1" x14ac:dyDescent="0.2">
      <c r="B64559" s="6"/>
      <c r="C64559" s="6"/>
      <c r="D64559" s="6"/>
      <c r="E64559" s="6"/>
      <c r="F64559" s="6"/>
      <c r="G64559" s="6"/>
      <c r="H64559" s="6"/>
      <c r="I64559" s="6"/>
      <c r="J64559" s="6"/>
      <c r="K64559" s="6"/>
      <c r="L64559" s="6"/>
      <c r="M64559" s="6"/>
      <c r="N64559" s="6"/>
      <c r="O64559" s="6"/>
      <c r="P64559" s="6"/>
      <c r="Q64559" s="6"/>
      <c r="R64559" s="6"/>
      <c r="S64559" s="6"/>
      <c r="T64559" s="6"/>
      <c r="U64559" s="6"/>
      <c r="V64559" s="6"/>
      <c r="W64559" s="6"/>
      <c r="X64559" s="6"/>
      <c r="Y64559" s="6"/>
      <c r="Z64559" s="6"/>
      <c r="AA64559" s="6"/>
      <c r="AB64559" s="6"/>
      <c r="AC64559" s="6"/>
      <c r="AD64559" s="6"/>
      <c r="AE64559" s="6"/>
      <c r="AF64559" s="6"/>
      <c r="AG64559" s="6"/>
      <c r="AH64559" s="6"/>
      <c r="AI64559" s="6"/>
      <c r="AJ64559" s="6"/>
      <c r="AK64559" s="6"/>
      <c r="AL64559" s="6"/>
      <c r="AM64559" s="6"/>
    </row>
    <row r="64560" spans="2:39" ht="9.9499999999999993" hidden="1" customHeight="1" x14ac:dyDescent="0.2">
      <c r="B64560" s="6"/>
      <c r="C64560" s="6"/>
      <c r="D64560" s="6"/>
      <c r="E64560" s="6"/>
      <c r="F64560" s="6"/>
      <c r="G64560" s="6"/>
      <c r="H64560" s="6"/>
      <c r="I64560" s="6"/>
      <c r="J64560" s="6"/>
      <c r="K64560" s="6"/>
      <c r="L64560" s="6"/>
      <c r="M64560" s="6"/>
      <c r="N64560" s="6"/>
      <c r="O64560" s="6"/>
      <c r="P64560" s="6"/>
      <c r="Q64560" s="6"/>
      <c r="R64560" s="6"/>
      <c r="S64560" s="6"/>
      <c r="T64560" s="6"/>
      <c r="U64560" s="6"/>
      <c r="V64560" s="6"/>
      <c r="W64560" s="6"/>
      <c r="X64560" s="6"/>
      <c r="Y64560" s="6"/>
      <c r="Z64560" s="6"/>
      <c r="AA64560" s="6"/>
      <c r="AB64560" s="6"/>
      <c r="AC64560" s="6"/>
      <c r="AD64560" s="6"/>
      <c r="AE64560" s="6"/>
      <c r="AF64560" s="6"/>
      <c r="AG64560" s="6"/>
      <c r="AH64560" s="6"/>
      <c r="AI64560" s="6"/>
      <c r="AJ64560" s="6"/>
      <c r="AK64560" s="6"/>
      <c r="AL64560" s="6"/>
      <c r="AM64560" s="6"/>
    </row>
    <row r="64561" spans="2:39" ht="9.9499999999999993" hidden="1" customHeight="1" x14ac:dyDescent="0.2">
      <c r="B64561" s="6"/>
      <c r="C64561" s="6"/>
      <c r="D64561" s="6"/>
      <c r="E64561" s="6"/>
      <c r="F64561" s="6"/>
      <c r="G64561" s="6"/>
      <c r="H64561" s="6"/>
      <c r="I64561" s="6"/>
      <c r="J64561" s="6"/>
      <c r="K64561" s="6"/>
      <c r="L64561" s="6"/>
      <c r="M64561" s="6"/>
      <c r="N64561" s="6"/>
      <c r="O64561" s="6"/>
      <c r="P64561" s="6"/>
      <c r="Q64561" s="6"/>
      <c r="R64561" s="6"/>
      <c r="S64561" s="6"/>
      <c r="T64561" s="6"/>
      <c r="U64561" s="6"/>
      <c r="V64561" s="6"/>
      <c r="W64561" s="6"/>
      <c r="X64561" s="6"/>
      <c r="Y64561" s="6"/>
      <c r="Z64561" s="6"/>
      <c r="AA64561" s="6"/>
      <c r="AB64561" s="6"/>
      <c r="AC64561" s="6"/>
      <c r="AD64561" s="6"/>
      <c r="AE64561" s="6"/>
      <c r="AF64561" s="6"/>
      <c r="AG64561" s="6"/>
      <c r="AH64561" s="6"/>
      <c r="AI64561" s="6"/>
      <c r="AJ64561" s="6"/>
      <c r="AK64561" s="6"/>
      <c r="AL64561" s="6"/>
      <c r="AM64561" s="6"/>
    </row>
    <row r="64562" spans="2:39" ht="9.9499999999999993" hidden="1" customHeight="1" x14ac:dyDescent="0.2">
      <c r="B64562" s="6"/>
      <c r="C64562" s="6"/>
      <c r="D64562" s="6"/>
      <c r="E64562" s="6"/>
      <c r="F64562" s="6"/>
      <c r="G64562" s="6"/>
      <c r="H64562" s="6"/>
      <c r="I64562" s="6"/>
      <c r="J64562" s="6"/>
      <c r="K64562" s="6"/>
      <c r="L64562" s="6"/>
      <c r="M64562" s="6"/>
      <c r="N64562" s="6"/>
      <c r="O64562" s="6"/>
      <c r="P64562" s="6"/>
      <c r="Q64562" s="6"/>
      <c r="R64562" s="6"/>
      <c r="S64562" s="6"/>
      <c r="T64562" s="6"/>
      <c r="U64562" s="6"/>
      <c r="V64562" s="6"/>
      <c r="W64562" s="6"/>
      <c r="X64562" s="6"/>
      <c r="Y64562" s="6"/>
      <c r="Z64562" s="6"/>
      <c r="AA64562" s="6"/>
      <c r="AB64562" s="6"/>
      <c r="AC64562" s="6"/>
      <c r="AD64562" s="6"/>
      <c r="AE64562" s="6"/>
      <c r="AF64562" s="6"/>
      <c r="AG64562" s="6"/>
      <c r="AH64562" s="6"/>
      <c r="AI64562" s="6"/>
      <c r="AJ64562" s="6"/>
      <c r="AK64562" s="6"/>
      <c r="AL64562" s="6"/>
      <c r="AM64562" s="6"/>
    </row>
    <row r="64563" spans="2:39" ht="9.9499999999999993" hidden="1" customHeight="1" x14ac:dyDescent="0.2">
      <c r="B64563" s="6"/>
      <c r="C64563" s="6"/>
      <c r="D64563" s="6"/>
      <c r="E64563" s="6"/>
      <c r="F64563" s="6"/>
      <c r="G64563" s="6"/>
      <c r="H64563" s="6"/>
      <c r="I64563" s="6"/>
      <c r="J64563" s="6"/>
      <c r="K64563" s="6"/>
      <c r="L64563" s="6"/>
      <c r="M64563" s="6"/>
      <c r="N64563" s="6"/>
      <c r="O64563" s="6"/>
      <c r="P64563" s="6"/>
      <c r="Q64563" s="6"/>
      <c r="R64563" s="6"/>
      <c r="S64563" s="6"/>
      <c r="T64563" s="6"/>
      <c r="U64563" s="6"/>
      <c r="V64563" s="6"/>
      <c r="W64563" s="6"/>
      <c r="X64563" s="6"/>
      <c r="Y64563" s="6"/>
      <c r="Z64563" s="6"/>
      <c r="AA64563" s="6"/>
      <c r="AB64563" s="6"/>
      <c r="AC64563" s="6"/>
      <c r="AD64563" s="6"/>
      <c r="AE64563" s="6"/>
      <c r="AF64563" s="6"/>
      <c r="AG64563" s="6"/>
      <c r="AH64563" s="6"/>
      <c r="AI64563" s="6"/>
      <c r="AJ64563" s="6"/>
      <c r="AK64563" s="6"/>
      <c r="AL64563" s="6"/>
      <c r="AM64563" s="6"/>
    </row>
    <row r="64564" spans="2:39" ht="9.9499999999999993" hidden="1" customHeight="1" x14ac:dyDescent="0.2">
      <c r="B64564" s="6"/>
      <c r="C64564" s="6"/>
      <c r="D64564" s="6"/>
      <c r="E64564" s="6"/>
      <c r="F64564" s="6"/>
      <c r="G64564" s="6"/>
      <c r="H64564" s="6"/>
      <c r="I64564" s="6"/>
      <c r="J64564" s="6"/>
      <c r="K64564" s="6"/>
      <c r="L64564" s="6"/>
      <c r="M64564" s="6"/>
      <c r="N64564" s="6"/>
      <c r="O64564" s="6"/>
      <c r="P64564" s="6"/>
      <c r="Q64564" s="6"/>
      <c r="R64564" s="6"/>
      <c r="S64564" s="6"/>
      <c r="T64564" s="6"/>
      <c r="U64564" s="6"/>
      <c r="V64564" s="6"/>
      <c r="W64564" s="6"/>
      <c r="X64564" s="6"/>
      <c r="Y64564" s="6"/>
      <c r="Z64564" s="6"/>
      <c r="AA64564" s="6"/>
      <c r="AB64564" s="6"/>
      <c r="AC64564" s="6"/>
      <c r="AD64564" s="6"/>
      <c r="AE64564" s="6"/>
      <c r="AF64564" s="6"/>
      <c r="AG64564" s="6"/>
      <c r="AH64564" s="6"/>
      <c r="AI64564" s="6"/>
      <c r="AJ64564" s="6"/>
      <c r="AK64564" s="6"/>
      <c r="AL64564" s="6"/>
      <c r="AM64564" s="6"/>
    </row>
    <row r="64565" spans="2:39" ht="9.9499999999999993" hidden="1" customHeight="1" x14ac:dyDescent="0.2">
      <c r="B64565" s="6"/>
      <c r="C64565" s="6"/>
      <c r="D64565" s="6"/>
      <c r="E64565" s="6"/>
      <c r="F64565" s="6"/>
      <c r="G64565" s="6"/>
      <c r="H64565" s="6"/>
      <c r="I64565" s="6"/>
      <c r="J64565" s="6"/>
      <c r="K64565" s="6"/>
      <c r="L64565" s="6"/>
      <c r="M64565" s="6"/>
      <c r="N64565" s="6"/>
      <c r="O64565" s="6"/>
      <c r="P64565" s="6"/>
      <c r="Q64565" s="6"/>
      <c r="R64565" s="6"/>
      <c r="S64565" s="6"/>
      <c r="T64565" s="6"/>
      <c r="U64565" s="6"/>
      <c r="V64565" s="6"/>
      <c r="W64565" s="6"/>
      <c r="X64565" s="6"/>
      <c r="Y64565" s="6"/>
      <c r="Z64565" s="6"/>
      <c r="AA64565" s="6"/>
      <c r="AB64565" s="6"/>
      <c r="AC64565" s="6"/>
      <c r="AD64565" s="6"/>
      <c r="AE64565" s="6"/>
      <c r="AF64565" s="6"/>
      <c r="AG64565" s="6"/>
      <c r="AH64565" s="6"/>
      <c r="AI64565" s="6"/>
      <c r="AJ64565" s="6"/>
      <c r="AK64565" s="6"/>
      <c r="AL64565" s="6"/>
      <c r="AM64565" s="6"/>
    </row>
    <row r="64566" spans="2:39" ht="9.9499999999999993" hidden="1" customHeight="1" x14ac:dyDescent="0.2">
      <c r="B64566" s="6"/>
      <c r="C64566" s="6"/>
      <c r="D64566" s="6"/>
      <c r="E64566" s="6"/>
      <c r="F64566" s="6"/>
      <c r="G64566" s="6"/>
      <c r="H64566" s="6"/>
      <c r="I64566" s="6"/>
      <c r="J64566" s="6"/>
      <c r="K64566" s="6"/>
      <c r="L64566" s="6"/>
      <c r="M64566" s="6"/>
      <c r="N64566" s="6"/>
      <c r="O64566" s="6"/>
      <c r="P64566" s="6"/>
      <c r="Q64566" s="6"/>
      <c r="R64566" s="6"/>
      <c r="S64566" s="6"/>
      <c r="T64566" s="6"/>
      <c r="U64566" s="6"/>
      <c r="V64566" s="6"/>
      <c r="W64566" s="6"/>
      <c r="X64566" s="6"/>
      <c r="Y64566" s="6"/>
      <c r="Z64566" s="6"/>
      <c r="AA64566" s="6"/>
      <c r="AB64566" s="6"/>
      <c r="AC64566" s="6"/>
      <c r="AD64566" s="6"/>
      <c r="AE64566" s="6"/>
      <c r="AF64566" s="6"/>
      <c r="AG64566" s="6"/>
      <c r="AH64566" s="6"/>
      <c r="AI64566" s="6"/>
      <c r="AJ64566" s="6"/>
      <c r="AK64566" s="6"/>
      <c r="AL64566" s="6"/>
      <c r="AM64566" s="6"/>
    </row>
    <row r="64567" spans="2:39" ht="9.9499999999999993" hidden="1" customHeight="1" x14ac:dyDescent="0.2">
      <c r="B64567" s="6"/>
      <c r="C64567" s="6"/>
      <c r="D64567" s="6"/>
      <c r="E64567" s="6"/>
      <c r="F64567" s="6"/>
      <c r="G64567" s="6"/>
      <c r="H64567" s="6"/>
      <c r="I64567" s="6"/>
      <c r="J64567" s="6"/>
      <c r="K64567" s="6"/>
      <c r="L64567" s="6"/>
      <c r="M64567" s="6"/>
      <c r="N64567" s="6"/>
      <c r="O64567" s="6"/>
      <c r="P64567" s="6"/>
      <c r="Q64567" s="6"/>
      <c r="R64567" s="6"/>
      <c r="S64567" s="6"/>
      <c r="T64567" s="6"/>
      <c r="U64567" s="6"/>
      <c r="V64567" s="6"/>
      <c r="W64567" s="6"/>
      <c r="X64567" s="6"/>
      <c r="Y64567" s="6"/>
      <c r="Z64567" s="6"/>
      <c r="AA64567" s="6"/>
      <c r="AB64567" s="6"/>
      <c r="AC64567" s="6"/>
      <c r="AD64567" s="6"/>
      <c r="AE64567" s="6"/>
      <c r="AF64567" s="6"/>
      <c r="AG64567" s="6"/>
      <c r="AH64567" s="6"/>
      <c r="AI64567" s="6"/>
      <c r="AJ64567" s="6"/>
      <c r="AK64567" s="6"/>
      <c r="AL64567" s="6"/>
      <c r="AM64567" s="6"/>
    </row>
    <row r="64568" spans="2:39" ht="9.9499999999999993" hidden="1" customHeight="1" x14ac:dyDescent="0.2">
      <c r="B64568" s="6"/>
      <c r="C64568" s="6"/>
      <c r="D64568" s="6"/>
      <c r="E64568" s="6"/>
      <c r="F64568" s="6"/>
      <c r="G64568" s="6"/>
      <c r="H64568" s="6"/>
      <c r="I64568" s="6"/>
      <c r="J64568" s="6"/>
      <c r="K64568" s="6"/>
      <c r="L64568" s="6"/>
      <c r="M64568" s="6"/>
      <c r="N64568" s="6"/>
      <c r="O64568" s="6"/>
      <c r="P64568" s="6"/>
      <c r="Q64568" s="6"/>
      <c r="R64568" s="6"/>
      <c r="S64568" s="6"/>
      <c r="T64568" s="6"/>
      <c r="U64568" s="6"/>
      <c r="V64568" s="6"/>
      <c r="W64568" s="6"/>
      <c r="X64568" s="6"/>
      <c r="Y64568" s="6"/>
      <c r="Z64568" s="6"/>
      <c r="AA64568" s="6"/>
      <c r="AB64568" s="6"/>
      <c r="AC64568" s="6"/>
      <c r="AD64568" s="6"/>
      <c r="AE64568" s="6"/>
      <c r="AF64568" s="6"/>
      <c r="AG64568" s="6"/>
      <c r="AH64568" s="6"/>
      <c r="AI64568" s="6"/>
      <c r="AJ64568" s="6"/>
      <c r="AK64568" s="6"/>
      <c r="AL64568" s="6"/>
      <c r="AM64568" s="6"/>
    </row>
    <row r="64569" spans="2:39" ht="9.9499999999999993" hidden="1" customHeight="1" x14ac:dyDescent="0.2">
      <c r="B64569" s="6"/>
      <c r="C64569" s="6"/>
      <c r="D64569" s="6"/>
      <c r="E64569" s="6"/>
      <c r="F64569" s="6"/>
      <c r="G64569" s="6"/>
      <c r="H64569" s="6"/>
      <c r="I64569" s="6"/>
      <c r="J64569" s="6"/>
      <c r="K64569" s="6"/>
      <c r="L64569" s="6"/>
      <c r="M64569" s="6"/>
      <c r="N64569" s="6"/>
      <c r="O64569" s="6"/>
      <c r="P64569" s="6"/>
      <c r="Q64569" s="6"/>
      <c r="R64569" s="6"/>
      <c r="S64569" s="6"/>
      <c r="T64569" s="6"/>
      <c r="U64569" s="6"/>
      <c r="V64569" s="6"/>
      <c r="W64569" s="6"/>
      <c r="X64569" s="6"/>
      <c r="Y64569" s="6"/>
      <c r="Z64569" s="6"/>
      <c r="AA64569" s="6"/>
      <c r="AB64569" s="6"/>
      <c r="AC64569" s="6"/>
      <c r="AD64569" s="6"/>
      <c r="AE64569" s="6"/>
      <c r="AF64569" s="6"/>
      <c r="AG64569" s="6"/>
      <c r="AH64569" s="6"/>
      <c r="AI64569" s="6"/>
      <c r="AJ64569" s="6"/>
      <c r="AK64569" s="6"/>
      <c r="AL64569" s="6"/>
      <c r="AM64569" s="6"/>
    </row>
    <row r="64570" spans="2:39" ht="9.9499999999999993" hidden="1" customHeight="1" x14ac:dyDescent="0.2">
      <c r="B64570" s="6"/>
      <c r="C64570" s="6"/>
      <c r="D64570" s="6"/>
      <c r="E64570" s="6"/>
      <c r="F64570" s="6"/>
      <c r="G64570" s="6"/>
      <c r="H64570" s="6"/>
      <c r="I64570" s="6"/>
      <c r="J64570" s="6"/>
      <c r="K64570" s="6"/>
      <c r="L64570" s="6"/>
      <c r="M64570" s="6"/>
      <c r="N64570" s="6"/>
      <c r="O64570" s="6"/>
      <c r="P64570" s="6"/>
      <c r="Q64570" s="6"/>
      <c r="R64570" s="6"/>
      <c r="S64570" s="6"/>
      <c r="T64570" s="6"/>
      <c r="U64570" s="6"/>
      <c r="V64570" s="6"/>
      <c r="W64570" s="6"/>
      <c r="X64570" s="6"/>
      <c r="Y64570" s="6"/>
      <c r="Z64570" s="6"/>
      <c r="AA64570" s="6"/>
      <c r="AB64570" s="6"/>
      <c r="AC64570" s="6"/>
      <c r="AD64570" s="6"/>
      <c r="AE64570" s="6"/>
      <c r="AF64570" s="6"/>
      <c r="AG64570" s="6"/>
      <c r="AH64570" s="6"/>
      <c r="AI64570" s="6"/>
      <c r="AJ64570" s="6"/>
      <c r="AK64570" s="6"/>
      <c r="AL64570" s="6"/>
      <c r="AM64570" s="6"/>
    </row>
    <row r="64571" spans="2:39" ht="9.9499999999999993" hidden="1" customHeight="1" x14ac:dyDescent="0.2">
      <c r="B64571" s="6"/>
      <c r="C64571" s="6"/>
      <c r="D64571" s="6"/>
      <c r="E64571" s="6"/>
      <c r="F64571" s="6"/>
      <c r="G64571" s="6"/>
      <c r="H64571" s="6"/>
      <c r="I64571" s="6"/>
      <c r="J64571" s="6"/>
      <c r="K64571" s="6"/>
      <c r="L64571" s="6"/>
      <c r="M64571" s="6"/>
      <c r="N64571" s="6"/>
      <c r="O64571" s="6"/>
      <c r="P64571" s="6"/>
      <c r="Q64571" s="6"/>
      <c r="R64571" s="6"/>
      <c r="S64571" s="6"/>
      <c r="T64571" s="6"/>
      <c r="U64571" s="6"/>
      <c r="V64571" s="6"/>
      <c r="W64571" s="6"/>
      <c r="X64571" s="6"/>
      <c r="Y64571" s="6"/>
      <c r="Z64571" s="6"/>
      <c r="AA64571" s="6"/>
      <c r="AB64571" s="6"/>
      <c r="AC64571" s="6"/>
      <c r="AD64571" s="6"/>
      <c r="AE64571" s="6"/>
      <c r="AF64571" s="6"/>
      <c r="AG64571" s="6"/>
      <c r="AH64571" s="6"/>
      <c r="AI64571" s="6"/>
      <c r="AJ64571" s="6"/>
      <c r="AK64571" s="6"/>
      <c r="AL64571" s="6"/>
      <c r="AM64571" s="6"/>
    </row>
    <row r="64572" spans="2:39" ht="9.9499999999999993" hidden="1" customHeight="1" x14ac:dyDescent="0.2">
      <c r="B64572" s="6"/>
      <c r="C64572" s="6"/>
      <c r="D64572" s="6"/>
      <c r="E64572" s="6"/>
      <c r="F64572" s="6"/>
      <c r="G64572" s="6"/>
      <c r="H64572" s="6"/>
      <c r="I64572" s="6"/>
      <c r="J64572" s="6"/>
      <c r="K64572" s="6"/>
      <c r="L64572" s="6"/>
      <c r="M64572" s="6"/>
      <c r="N64572" s="6"/>
      <c r="O64572" s="6"/>
      <c r="P64572" s="6"/>
      <c r="Q64572" s="6"/>
      <c r="R64572" s="6"/>
      <c r="S64572" s="6"/>
      <c r="T64572" s="6"/>
      <c r="U64572" s="6"/>
      <c r="V64572" s="6"/>
      <c r="W64572" s="6"/>
      <c r="X64572" s="6"/>
      <c r="Y64572" s="6"/>
      <c r="Z64572" s="6"/>
      <c r="AA64572" s="6"/>
      <c r="AB64572" s="6"/>
      <c r="AC64572" s="6"/>
      <c r="AD64572" s="6"/>
      <c r="AE64572" s="6"/>
      <c r="AF64572" s="6"/>
      <c r="AG64572" s="6"/>
      <c r="AH64572" s="6"/>
      <c r="AI64572" s="6"/>
      <c r="AJ64572" s="6"/>
      <c r="AK64572" s="6"/>
      <c r="AL64572" s="6"/>
      <c r="AM64572" s="6"/>
    </row>
    <row r="64573" spans="2:39" ht="9.9499999999999993" hidden="1" customHeight="1" x14ac:dyDescent="0.2">
      <c r="B64573" s="6"/>
      <c r="C64573" s="6"/>
      <c r="D64573" s="6"/>
      <c r="E64573" s="6"/>
      <c r="F64573" s="6"/>
      <c r="G64573" s="6"/>
      <c r="H64573" s="6"/>
      <c r="I64573" s="6"/>
      <c r="J64573" s="6"/>
      <c r="K64573" s="6"/>
      <c r="L64573" s="6"/>
      <c r="M64573" s="6"/>
      <c r="N64573" s="6"/>
      <c r="O64573" s="6"/>
      <c r="P64573" s="6"/>
      <c r="Q64573" s="6"/>
      <c r="R64573" s="6"/>
      <c r="S64573" s="6"/>
      <c r="T64573" s="6"/>
      <c r="U64573" s="6"/>
      <c r="V64573" s="6"/>
      <c r="W64573" s="6"/>
      <c r="X64573" s="6"/>
      <c r="Y64573" s="6"/>
      <c r="Z64573" s="6"/>
      <c r="AA64573" s="6"/>
      <c r="AB64573" s="6"/>
      <c r="AC64573" s="6"/>
      <c r="AD64573" s="6"/>
      <c r="AE64573" s="6"/>
      <c r="AF64573" s="6"/>
      <c r="AG64573" s="6"/>
      <c r="AH64573" s="6"/>
      <c r="AI64573" s="6"/>
      <c r="AJ64573" s="6"/>
      <c r="AK64573" s="6"/>
      <c r="AL64573" s="6"/>
      <c r="AM64573" s="6"/>
    </row>
    <row r="64574" spans="2:39" ht="9.9499999999999993" hidden="1" customHeight="1" x14ac:dyDescent="0.2">
      <c r="B64574" s="6"/>
      <c r="C64574" s="6"/>
      <c r="D64574" s="6"/>
      <c r="E64574" s="6"/>
      <c r="F64574" s="6"/>
      <c r="G64574" s="6"/>
      <c r="H64574" s="6"/>
      <c r="I64574" s="6"/>
      <c r="J64574" s="6"/>
      <c r="K64574" s="6"/>
      <c r="L64574" s="6"/>
      <c r="M64574" s="6"/>
      <c r="N64574" s="6"/>
      <c r="O64574" s="6"/>
      <c r="P64574" s="6"/>
      <c r="Q64574" s="6"/>
      <c r="R64574" s="6"/>
      <c r="S64574" s="6"/>
      <c r="T64574" s="6"/>
      <c r="U64574" s="6"/>
      <c r="V64574" s="6"/>
      <c r="W64574" s="6"/>
      <c r="X64574" s="6"/>
      <c r="Y64574" s="6"/>
      <c r="Z64574" s="6"/>
      <c r="AA64574" s="6"/>
      <c r="AB64574" s="6"/>
      <c r="AC64574" s="6"/>
      <c r="AD64574" s="6"/>
      <c r="AE64574" s="6"/>
      <c r="AF64574" s="6"/>
      <c r="AG64574" s="6"/>
      <c r="AH64574" s="6"/>
      <c r="AI64574" s="6"/>
      <c r="AJ64574" s="6"/>
      <c r="AK64574" s="6"/>
      <c r="AL64574" s="6"/>
      <c r="AM64574" s="6"/>
    </row>
    <row r="64575" spans="2:39" ht="9.9499999999999993" hidden="1" customHeight="1" x14ac:dyDescent="0.2">
      <c r="B64575" s="6"/>
      <c r="C64575" s="6"/>
      <c r="D64575" s="6"/>
      <c r="E64575" s="6"/>
      <c r="F64575" s="6"/>
      <c r="G64575" s="6"/>
      <c r="H64575" s="6"/>
      <c r="I64575" s="6"/>
      <c r="J64575" s="6"/>
      <c r="K64575" s="6"/>
      <c r="L64575" s="6"/>
      <c r="M64575" s="6"/>
      <c r="N64575" s="6"/>
      <c r="O64575" s="6"/>
      <c r="P64575" s="6"/>
      <c r="Q64575" s="6"/>
      <c r="R64575" s="6"/>
      <c r="S64575" s="6"/>
      <c r="T64575" s="6"/>
      <c r="U64575" s="6"/>
      <c r="V64575" s="6"/>
      <c r="W64575" s="6"/>
      <c r="X64575" s="6"/>
      <c r="Y64575" s="6"/>
      <c r="Z64575" s="6"/>
      <c r="AA64575" s="6"/>
      <c r="AB64575" s="6"/>
      <c r="AC64575" s="6"/>
      <c r="AD64575" s="6"/>
      <c r="AE64575" s="6"/>
      <c r="AF64575" s="6"/>
      <c r="AG64575" s="6"/>
      <c r="AH64575" s="6"/>
      <c r="AI64575" s="6"/>
      <c r="AJ64575" s="6"/>
      <c r="AK64575" s="6"/>
      <c r="AL64575" s="6"/>
      <c r="AM64575" s="6"/>
    </row>
    <row r="64576" spans="2:39" ht="9.9499999999999993" hidden="1" customHeight="1" x14ac:dyDescent="0.2">
      <c r="B64576" s="6"/>
      <c r="C64576" s="6"/>
      <c r="D64576" s="6"/>
      <c r="E64576" s="6"/>
      <c r="F64576" s="6"/>
      <c r="G64576" s="6"/>
      <c r="H64576" s="6"/>
      <c r="I64576" s="6"/>
      <c r="J64576" s="6"/>
      <c r="K64576" s="6"/>
      <c r="L64576" s="6"/>
      <c r="M64576" s="6"/>
      <c r="N64576" s="6"/>
      <c r="O64576" s="6"/>
      <c r="P64576" s="6"/>
      <c r="Q64576" s="6"/>
      <c r="R64576" s="6"/>
      <c r="S64576" s="6"/>
      <c r="T64576" s="6"/>
      <c r="U64576" s="6"/>
      <c r="V64576" s="6"/>
      <c r="W64576" s="6"/>
      <c r="X64576" s="6"/>
      <c r="Y64576" s="6"/>
      <c r="Z64576" s="6"/>
      <c r="AA64576" s="6"/>
      <c r="AB64576" s="6"/>
      <c r="AC64576" s="6"/>
      <c r="AD64576" s="6"/>
      <c r="AE64576" s="6"/>
      <c r="AF64576" s="6"/>
      <c r="AG64576" s="6"/>
      <c r="AH64576" s="6"/>
      <c r="AI64576" s="6"/>
      <c r="AJ64576" s="6"/>
      <c r="AK64576" s="6"/>
      <c r="AL64576" s="6"/>
      <c r="AM64576" s="6"/>
    </row>
    <row r="64577" spans="2:39" ht="9.9499999999999993" hidden="1" customHeight="1" x14ac:dyDescent="0.2">
      <c r="B64577" s="6"/>
      <c r="C64577" s="6"/>
      <c r="D64577" s="6"/>
      <c r="E64577" s="6"/>
      <c r="F64577" s="6"/>
      <c r="G64577" s="6"/>
      <c r="H64577" s="6"/>
      <c r="I64577" s="6"/>
      <c r="J64577" s="6"/>
      <c r="K64577" s="6"/>
      <c r="L64577" s="6"/>
      <c r="M64577" s="6"/>
      <c r="N64577" s="6"/>
      <c r="O64577" s="6"/>
      <c r="P64577" s="6"/>
      <c r="Q64577" s="6"/>
      <c r="R64577" s="6"/>
      <c r="S64577" s="6"/>
      <c r="T64577" s="6"/>
      <c r="U64577" s="6"/>
      <c r="V64577" s="6"/>
      <c r="W64577" s="6"/>
      <c r="X64577" s="6"/>
      <c r="Y64577" s="6"/>
      <c r="Z64577" s="6"/>
      <c r="AA64577" s="6"/>
      <c r="AB64577" s="6"/>
      <c r="AC64577" s="6"/>
      <c r="AD64577" s="6"/>
      <c r="AE64577" s="6"/>
      <c r="AF64577" s="6"/>
      <c r="AG64577" s="6"/>
      <c r="AH64577" s="6"/>
      <c r="AI64577" s="6"/>
      <c r="AJ64577" s="6"/>
      <c r="AK64577" s="6"/>
      <c r="AL64577" s="6"/>
      <c r="AM64577" s="6"/>
    </row>
    <row r="64578" spans="2:39" ht="9.9499999999999993" hidden="1" customHeight="1" x14ac:dyDescent="0.2">
      <c r="B64578" s="6"/>
      <c r="C64578" s="6"/>
      <c r="D64578" s="6"/>
      <c r="E64578" s="6"/>
      <c r="F64578" s="6"/>
      <c r="G64578" s="6"/>
      <c r="H64578" s="6"/>
      <c r="I64578" s="6"/>
      <c r="J64578" s="6"/>
      <c r="K64578" s="6"/>
      <c r="L64578" s="6"/>
      <c r="M64578" s="6"/>
      <c r="N64578" s="6"/>
      <c r="O64578" s="6"/>
      <c r="P64578" s="6"/>
      <c r="Q64578" s="6"/>
      <c r="R64578" s="6"/>
      <c r="S64578" s="6"/>
      <c r="T64578" s="6"/>
      <c r="U64578" s="6"/>
      <c r="V64578" s="6"/>
      <c r="W64578" s="6"/>
      <c r="X64578" s="6"/>
      <c r="Y64578" s="6"/>
      <c r="Z64578" s="6"/>
      <c r="AA64578" s="6"/>
      <c r="AB64578" s="6"/>
      <c r="AC64578" s="6"/>
      <c r="AD64578" s="6"/>
      <c r="AE64578" s="6"/>
      <c r="AF64578" s="6"/>
      <c r="AG64578" s="6"/>
      <c r="AH64578" s="6"/>
      <c r="AI64578" s="6"/>
      <c r="AJ64578" s="6"/>
      <c r="AK64578" s="6"/>
      <c r="AL64578" s="6"/>
      <c r="AM64578" s="6"/>
    </row>
    <row r="64579" spans="2:39" ht="9.9499999999999993" hidden="1" customHeight="1" x14ac:dyDescent="0.2">
      <c r="B64579" s="6"/>
      <c r="C64579" s="6"/>
      <c r="D64579" s="6"/>
      <c r="E64579" s="6"/>
      <c r="F64579" s="6"/>
      <c r="G64579" s="6"/>
      <c r="H64579" s="6"/>
      <c r="I64579" s="6"/>
      <c r="J64579" s="6"/>
      <c r="K64579" s="6"/>
      <c r="L64579" s="6"/>
      <c r="M64579" s="6"/>
      <c r="N64579" s="6"/>
      <c r="O64579" s="6"/>
      <c r="P64579" s="6"/>
      <c r="Q64579" s="6"/>
      <c r="R64579" s="6"/>
      <c r="S64579" s="6"/>
      <c r="T64579" s="6"/>
      <c r="U64579" s="6"/>
      <c r="V64579" s="6"/>
      <c r="W64579" s="6"/>
      <c r="X64579" s="6"/>
      <c r="Y64579" s="6"/>
      <c r="Z64579" s="6"/>
      <c r="AA64579" s="6"/>
      <c r="AB64579" s="6"/>
      <c r="AC64579" s="6"/>
      <c r="AD64579" s="6"/>
      <c r="AE64579" s="6"/>
      <c r="AF64579" s="6"/>
      <c r="AG64579" s="6"/>
      <c r="AH64579" s="6"/>
      <c r="AI64579" s="6"/>
      <c r="AJ64579" s="6"/>
      <c r="AK64579" s="6"/>
      <c r="AL64579" s="6"/>
      <c r="AM64579" s="6"/>
    </row>
    <row r="64580" spans="2:39" ht="9.9499999999999993" hidden="1" customHeight="1" x14ac:dyDescent="0.2">
      <c r="B64580" s="6"/>
      <c r="C64580" s="6"/>
      <c r="D64580" s="6"/>
      <c r="E64580" s="6"/>
      <c r="F64580" s="6"/>
      <c r="G64580" s="6"/>
      <c r="H64580" s="6"/>
      <c r="I64580" s="6"/>
      <c r="J64580" s="6"/>
      <c r="K64580" s="6"/>
      <c r="L64580" s="6"/>
      <c r="M64580" s="6"/>
      <c r="N64580" s="6"/>
      <c r="O64580" s="6"/>
      <c r="P64580" s="6"/>
      <c r="Q64580" s="6"/>
      <c r="R64580" s="6"/>
      <c r="S64580" s="6"/>
      <c r="T64580" s="6"/>
      <c r="U64580" s="6"/>
      <c r="V64580" s="6"/>
      <c r="W64580" s="6"/>
      <c r="X64580" s="6"/>
      <c r="Y64580" s="6"/>
      <c r="Z64580" s="6"/>
      <c r="AA64580" s="6"/>
      <c r="AB64580" s="6"/>
      <c r="AC64580" s="6"/>
      <c r="AD64580" s="6"/>
      <c r="AE64580" s="6"/>
      <c r="AF64580" s="6"/>
      <c r="AG64580" s="6"/>
      <c r="AH64580" s="6"/>
      <c r="AI64580" s="6"/>
      <c r="AJ64580" s="6"/>
      <c r="AK64580" s="6"/>
      <c r="AL64580" s="6"/>
      <c r="AM64580" s="6"/>
    </row>
    <row r="64581" spans="2:39" ht="9.9499999999999993" hidden="1" customHeight="1" x14ac:dyDescent="0.2">
      <c r="B64581" s="6"/>
      <c r="C64581" s="6"/>
      <c r="D64581" s="6"/>
      <c r="E64581" s="6"/>
      <c r="F64581" s="6"/>
      <c r="G64581" s="6"/>
      <c r="H64581" s="6"/>
      <c r="I64581" s="6"/>
      <c r="J64581" s="6"/>
      <c r="K64581" s="6"/>
      <c r="L64581" s="6"/>
      <c r="M64581" s="6"/>
      <c r="N64581" s="6"/>
      <c r="O64581" s="6"/>
      <c r="P64581" s="6"/>
      <c r="Q64581" s="6"/>
      <c r="R64581" s="6"/>
      <c r="S64581" s="6"/>
      <c r="T64581" s="6"/>
      <c r="U64581" s="6"/>
      <c r="V64581" s="6"/>
      <c r="W64581" s="6"/>
      <c r="X64581" s="6"/>
      <c r="Y64581" s="6"/>
      <c r="Z64581" s="6"/>
      <c r="AA64581" s="6"/>
      <c r="AB64581" s="6"/>
      <c r="AC64581" s="6"/>
      <c r="AD64581" s="6"/>
      <c r="AE64581" s="6"/>
      <c r="AF64581" s="6"/>
      <c r="AG64581" s="6"/>
      <c r="AH64581" s="6"/>
      <c r="AI64581" s="6"/>
      <c r="AJ64581" s="6"/>
      <c r="AK64581" s="6"/>
      <c r="AL64581" s="6"/>
      <c r="AM64581" s="6"/>
    </row>
    <row r="64582" spans="2:39" ht="9.9499999999999993" hidden="1" customHeight="1" x14ac:dyDescent="0.2">
      <c r="B64582" s="6"/>
      <c r="C64582" s="6"/>
      <c r="D64582" s="6"/>
      <c r="E64582" s="6"/>
      <c r="F64582" s="6"/>
      <c r="G64582" s="6"/>
      <c r="H64582" s="6"/>
      <c r="I64582" s="6"/>
      <c r="J64582" s="6"/>
      <c r="K64582" s="6"/>
      <c r="L64582" s="6"/>
      <c r="M64582" s="6"/>
      <c r="N64582" s="6"/>
      <c r="O64582" s="6"/>
      <c r="P64582" s="6"/>
      <c r="Q64582" s="6"/>
      <c r="R64582" s="6"/>
      <c r="S64582" s="6"/>
      <c r="T64582" s="6"/>
      <c r="U64582" s="6"/>
      <c r="V64582" s="6"/>
      <c r="W64582" s="6"/>
      <c r="X64582" s="6"/>
      <c r="Y64582" s="6"/>
      <c r="Z64582" s="6"/>
      <c r="AA64582" s="6"/>
      <c r="AB64582" s="6"/>
      <c r="AC64582" s="6"/>
      <c r="AD64582" s="6"/>
      <c r="AE64582" s="6"/>
      <c r="AF64582" s="6"/>
      <c r="AG64582" s="6"/>
      <c r="AH64582" s="6"/>
      <c r="AI64582" s="6"/>
      <c r="AJ64582" s="6"/>
      <c r="AK64582" s="6"/>
      <c r="AL64582" s="6"/>
      <c r="AM64582" s="6"/>
    </row>
    <row r="64583" spans="2:39" ht="9.9499999999999993" hidden="1" customHeight="1" x14ac:dyDescent="0.2">
      <c r="B64583" s="6"/>
      <c r="C64583" s="6"/>
      <c r="D64583" s="6"/>
      <c r="E64583" s="6"/>
      <c r="F64583" s="6"/>
      <c r="G64583" s="6"/>
      <c r="H64583" s="6"/>
      <c r="I64583" s="6"/>
      <c r="J64583" s="6"/>
      <c r="K64583" s="6"/>
      <c r="L64583" s="6"/>
      <c r="M64583" s="6"/>
      <c r="N64583" s="6"/>
      <c r="O64583" s="6"/>
      <c r="P64583" s="6"/>
      <c r="Q64583" s="6"/>
      <c r="R64583" s="6"/>
      <c r="S64583" s="6"/>
      <c r="T64583" s="6"/>
      <c r="U64583" s="6"/>
      <c r="V64583" s="6"/>
      <c r="W64583" s="6"/>
      <c r="X64583" s="6"/>
      <c r="Y64583" s="6"/>
      <c r="Z64583" s="6"/>
      <c r="AA64583" s="6"/>
      <c r="AB64583" s="6"/>
      <c r="AC64583" s="6"/>
      <c r="AD64583" s="6"/>
      <c r="AE64583" s="6"/>
      <c r="AF64583" s="6"/>
      <c r="AG64583" s="6"/>
      <c r="AH64583" s="6"/>
      <c r="AI64583" s="6"/>
      <c r="AJ64583" s="6"/>
      <c r="AK64583" s="6"/>
      <c r="AL64583" s="6"/>
      <c r="AM64583" s="6"/>
    </row>
    <row r="64584" spans="2:39" ht="9.9499999999999993" hidden="1" customHeight="1" x14ac:dyDescent="0.2">
      <c r="B64584" s="6"/>
      <c r="C64584" s="6"/>
      <c r="D64584" s="6"/>
      <c r="E64584" s="6"/>
      <c r="F64584" s="6"/>
      <c r="G64584" s="6"/>
      <c r="H64584" s="6"/>
      <c r="I64584" s="6"/>
      <c r="J64584" s="6"/>
      <c r="K64584" s="6"/>
      <c r="L64584" s="6"/>
      <c r="M64584" s="6"/>
      <c r="N64584" s="6"/>
      <c r="O64584" s="6"/>
      <c r="P64584" s="6"/>
      <c r="Q64584" s="6"/>
      <c r="R64584" s="6"/>
      <c r="S64584" s="6"/>
      <c r="T64584" s="6"/>
      <c r="U64584" s="6"/>
      <c r="V64584" s="6"/>
      <c r="W64584" s="6"/>
      <c r="X64584" s="6"/>
      <c r="Y64584" s="6"/>
      <c r="Z64584" s="6"/>
      <c r="AA64584" s="6"/>
      <c r="AB64584" s="6"/>
      <c r="AC64584" s="6"/>
      <c r="AD64584" s="6"/>
      <c r="AE64584" s="6"/>
      <c r="AF64584" s="6"/>
      <c r="AG64584" s="6"/>
      <c r="AH64584" s="6"/>
      <c r="AI64584" s="6"/>
      <c r="AJ64584" s="6"/>
      <c r="AK64584" s="6"/>
      <c r="AL64584" s="6"/>
      <c r="AM64584" s="6"/>
    </row>
    <row r="64585" spans="2:39" ht="9.9499999999999993" hidden="1" customHeight="1" x14ac:dyDescent="0.2">
      <c r="B64585" s="6"/>
      <c r="C64585" s="6"/>
      <c r="D64585" s="6"/>
      <c r="E64585" s="6"/>
      <c r="F64585" s="6"/>
      <c r="G64585" s="6"/>
      <c r="H64585" s="6"/>
      <c r="I64585" s="6"/>
      <c r="J64585" s="6"/>
      <c r="K64585" s="6"/>
      <c r="L64585" s="6"/>
      <c r="M64585" s="6"/>
      <c r="N64585" s="6"/>
      <c r="O64585" s="6"/>
      <c r="P64585" s="6"/>
      <c r="Q64585" s="6"/>
      <c r="R64585" s="6"/>
      <c r="S64585" s="6"/>
      <c r="T64585" s="6"/>
      <c r="U64585" s="6"/>
      <c r="V64585" s="6"/>
      <c r="W64585" s="6"/>
      <c r="X64585" s="6"/>
      <c r="Y64585" s="6"/>
      <c r="Z64585" s="6"/>
      <c r="AA64585" s="6"/>
      <c r="AB64585" s="6"/>
      <c r="AC64585" s="6"/>
      <c r="AD64585" s="6"/>
      <c r="AE64585" s="6"/>
      <c r="AF64585" s="6"/>
      <c r="AG64585" s="6"/>
      <c r="AH64585" s="6"/>
      <c r="AI64585" s="6"/>
      <c r="AJ64585" s="6"/>
      <c r="AK64585" s="6"/>
      <c r="AL64585" s="6"/>
      <c r="AM64585" s="6"/>
    </row>
    <row r="64586" spans="2:39" ht="9.9499999999999993" hidden="1" customHeight="1" x14ac:dyDescent="0.2">
      <c r="B64586" s="6"/>
      <c r="C64586" s="6"/>
      <c r="D64586" s="6"/>
      <c r="E64586" s="6"/>
      <c r="F64586" s="6"/>
      <c r="G64586" s="6"/>
      <c r="H64586" s="6"/>
      <c r="I64586" s="6"/>
      <c r="J64586" s="6"/>
      <c r="K64586" s="6"/>
      <c r="L64586" s="6"/>
      <c r="M64586" s="6"/>
      <c r="N64586" s="6"/>
      <c r="O64586" s="6"/>
      <c r="P64586" s="6"/>
      <c r="Q64586" s="6"/>
      <c r="R64586" s="6"/>
      <c r="S64586" s="6"/>
      <c r="T64586" s="6"/>
      <c r="U64586" s="6"/>
      <c r="V64586" s="6"/>
      <c r="W64586" s="6"/>
      <c r="X64586" s="6"/>
      <c r="Y64586" s="6"/>
      <c r="Z64586" s="6"/>
      <c r="AA64586" s="6"/>
      <c r="AB64586" s="6"/>
      <c r="AC64586" s="6"/>
      <c r="AD64586" s="6"/>
      <c r="AE64586" s="6"/>
      <c r="AF64586" s="6"/>
      <c r="AG64586" s="6"/>
      <c r="AH64586" s="6"/>
      <c r="AI64586" s="6"/>
      <c r="AJ64586" s="6"/>
      <c r="AK64586" s="6"/>
      <c r="AL64586" s="6"/>
      <c r="AM64586" s="6"/>
    </row>
    <row r="64587" spans="2:39" ht="9.9499999999999993" hidden="1" customHeight="1" x14ac:dyDescent="0.2">
      <c r="B64587" s="6"/>
      <c r="C64587" s="6"/>
      <c r="D64587" s="6"/>
      <c r="E64587" s="6"/>
      <c r="F64587" s="6"/>
      <c r="G64587" s="6"/>
      <c r="H64587" s="6"/>
      <c r="I64587" s="6"/>
      <c r="J64587" s="6"/>
      <c r="K64587" s="6"/>
      <c r="L64587" s="6"/>
      <c r="M64587" s="6"/>
      <c r="N64587" s="6"/>
      <c r="O64587" s="6"/>
      <c r="P64587" s="6"/>
      <c r="Q64587" s="6"/>
      <c r="R64587" s="6"/>
      <c r="S64587" s="6"/>
      <c r="T64587" s="6"/>
      <c r="U64587" s="6"/>
      <c r="V64587" s="6"/>
      <c r="W64587" s="6"/>
      <c r="X64587" s="6"/>
      <c r="Y64587" s="6"/>
      <c r="Z64587" s="6"/>
      <c r="AA64587" s="6"/>
      <c r="AB64587" s="6"/>
      <c r="AC64587" s="6"/>
      <c r="AD64587" s="6"/>
      <c r="AE64587" s="6"/>
      <c r="AF64587" s="6"/>
      <c r="AG64587" s="6"/>
      <c r="AH64587" s="6"/>
      <c r="AI64587" s="6"/>
      <c r="AJ64587" s="6"/>
      <c r="AK64587" s="6"/>
      <c r="AL64587" s="6"/>
      <c r="AM64587" s="6"/>
    </row>
    <row r="64588" spans="2:39" ht="9.9499999999999993" hidden="1" customHeight="1" x14ac:dyDescent="0.2">
      <c r="B64588" s="6"/>
      <c r="C64588" s="6"/>
      <c r="D64588" s="6"/>
      <c r="E64588" s="6"/>
      <c r="F64588" s="6"/>
      <c r="G64588" s="6"/>
      <c r="H64588" s="6"/>
      <c r="I64588" s="6"/>
      <c r="J64588" s="6"/>
      <c r="K64588" s="6"/>
      <c r="L64588" s="6"/>
      <c r="M64588" s="6"/>
      <c r="N64588" s="6"/>
      <c r="O64588" s="6"/>
      <c r="P64588" s="6"/>
      <c r="Q64588" s="6"/>
      <c r="R64588" s="6"/>
      <c r="S64588" s="6"/>
      <c r="T64588" s="6"/>
      <c r="U64588" s="6"/>
      <c r="V64588" s="6"/>
      <c r="W64588" s="6"/>
      <c r="X64588" s="6"/>
      <c r="Y64588" s="6"/>
      <c r="Z64588" s="6"/>
      <c r="AA64588" s="6"/>
      <c r="AB64588" s="6"/>
      <c r="AC64588" s="6"/>
      <c r="AD64588" s="6"/>
      <c r="AE64588" s="6"/>
      <c r="AF64588" s="6"/>
      <c r="AG64588" s="6"/>
      <c r="AH64588" s="6"/>
      <c r="AI64588" s="6"/>
      <c r="AJ64588" s="6"/>
      <c r="AK64588" s="6"/>
      <c r="AL64588" s="6"/>
      <c r="AM64588" s="6"/>
    </row>
    <row r="64589" spans="2:39" ht="9.9499999999999993" hidden="1" customHeight="1" x14ac:dyDescent="0.2">
      <c r="B64589" s="6"/>
      <c r="C64589" s="6"/>
      <c r="D64589" s="6"/>
      <c r="E64589" s="6"/>
      <c r="F64589" s="6"/>
      <c r="G64589" s="6"/>
      <c r="H64589" s="6"/>
      <c r="I64589" s="6"/>
      <c r="J64589" s="6"/>
      <c r="K64589" s="6"/>
      <c r="L64589" s="6"/>
      <c r="M64589" s="6"/>
      <c r="N64589" s="6"/>
      <c r="O64589" s="6"/>
      <c r="P64589" s="6"/>
      <c r="Q64589" s="6"/>
      <c r="R64589" s="6"/>
      <c r="S64589" s="6"/>
      <c r="T64589" s="6"/>
      <c r="U64589" s="6"/>
      <c r="V64589" s="6"/>
      <c r="W64589" s="6"/>
      <c r="X64589" s="6"/>
      <c r="Y64589" s="6"/>
      <c r="Z64589" s="6"/>
      <c r="AA64589" s="6"/>
      <c r="AB64589" s="6"/>
      <c r="AC64589" s="6"/>
      <c r="AD64589" s="6"/>
      <c r="AE64589" s="6"/>
      <c r="AF64589" s="6"/>
      <c r="AG64589" s="6"/>
      <c r="AH64589" s="6"/>
      <c r="AI64589" s="6"/>
      <c r="AJ64589" s="6"/>
      <c r="AK64589" s="6"/>
      <c r="AL64589" s="6"/>
      <c r="AM64589" s="6"/>
    </row>
    <row r="64590" spans="2:39" ht="9.9499999999999993" hidden="1" customHeight="1" x14ac:dyDescent="0.2">
      <c r="B64590" s="6"/>
      <c r="C64590" s="6"/>
      <c r="D64590" s="6"/>
      <c r="E64590" s="6"/>
      <c r="F64590" s="6"/>
      <c r="G64590" s="6"/>
      <c r="H64590" s="6"/>
      <c r="I64590" s="6"/>
      <c r="J64590" s="6"/>
      <c r="K64590" s="6"/>
      <c r="L64590" s="6"/>
      <c r="M64590" s="6"/>
      <c r="N64590" s="6"/>
      <c r="O64590" s="6"/>
      <c r="P64590" s="6"/>
      <c r="Q64590" s="6"/>
      <c r="R64590" s="6"/>
      <c r="S64590" s="6"/>
      <c r="T64590" s="6"/>
      <c r="U64590" s="6"/>
      <c r="V64590" s="6"/>
      <c r="W64590" s="6"/>
      <c r="X64590" s="6"/>
      <c r="Y64590" s="6"/>
      <c r="Z64590" s="6"/>
      <c r="AA64590" s="6"/>
      <c r="AB64590" s="6"/>
      <c r="AC64590" s="6"/>
      <c r="AD64590" s="6"/>
      <c r="AE64590" s="6"/>
      <c r="AF64590" s="6"/>
      <c r="AG64590" s="6"/>
      <c r="AH64590" s="6"/>
      <c r="AI64590" s="6"/>
      <c r="AJ64590" s="6"/>
      <c r="AK64590" s="6"/>
      <c r="AL64590" s="6"/>
      <c r="AM64590" s="6"/>
    </row>
    <row r="64591" spans="2:39" ht="9.9499999999999993" hidden="1" customHeight="1" x14ac:dyDescent="0.2">
      <c r="B64591" s="6"/>
      <c r="C64591" s="6"/>
      <c r="D64591" s="6"/>
      <c r="E64591" s="6"/>
      <c r="F64591" s="6"/>
      <c r="G64591" s="6"/>
      <c r="H64591" s="6"/>
      <c r="I64591" s="6"/>
      <c r="J64591" s="6"/>
      <c r="K64591" s="6"/>
      <c r="L64591" s="6"/>
      <c r="M64591" s="6"/>
      <c r="N64591" s="6"/>
      <c r="O64591" s="6"/>
      <c r="P64591" s="6"/>
      <c r="Q64591" s="6"/>
      <c r="R64591" s="6"/>
      <c r="S64591" s="6"/>
      <c r="T64591" s="6"/>
      <c r="U64591" s="6"/>
      <c r="V64591" s="6"/>
      <c r="W64591" s="6"/>
      <c r="X64591" s="6"/>
      <c r="Y64591" s="6"/>
      <c r="Z64591" s="6"/>
      <c r="AA64591" s="6"/>
      <c r="AB64591" s="6"/>
      <c r="AC64591" s="6"/>
      <c r="AD64591" s="6"/>
      <c r="AE64591" s="6"/>
      <c r="AF64591" s="6"/>
      <c r="AG64591" s="6"/>
      <c r="AH64591" s="6"/>
      <c r="AI64591" s="6"/>
      <c r="AJ64591" s="6"/>
      <c r="AK64591" s="6"/>
      <c r="AL64591" s="6"/>
      <c r="AM64591" s="6"/>
    </row>
    <row r="64592" spans="2:39" ht="9.9499999999999993" hidden="1" customHeight="1" x14ac:dyDescent="0.2">
      <c r="B64592" s="6"/>
      <c r="C64592" s="6"/>
      <c r="D64592" s="6"/>
      <c r="E64592" s="6"/>
      <c r="F64592" s="6"/>
      <c r="G64592" s="6"/>
      <c r="H64592" s="6"/>
      <c r="I64592" s="6"/>
      <c r="J64592" s="6"/>
      <c r="K64592" s="6"/>
      <c r="L64592" s="6"/>
      <c r="M64592" s="6"/>
      <c r="N64592" s="6"/>
      <c r="O64592" s="6"/>
      <c r="P64592" s="6"/>
      <c r="Q64592" s="6"/>
      <c r="R64592" s="6"/>
      <c r="S64592" s="6"/>
      <c r="T64592" s="6"/>
      <c r="U64592" s="6"/>
      <c r="V64592" s="6"/>
      <c r="W64592" s="6"/>
      <c r="X64592" s="6"/>
      <c r="Y64592" s="6"/>
      <c r="Z64592" s="6"/>
      <c r="AA64592" s="6"/>
      <c r="AB64592" s="6"/>
      <c r="AC64592" s="6"/>
      <c r="AD64592" s="6"/>
      <c r="AE64592" s="6"/>
      <c r="AF64592" s="6"/>
      <c r="AG64592" s="6"/>
      <c r="AH64592" s="6"/>
      <c r="AI64592" s="6"/>
      <c r="AJ64592" s="6"/>
      <c r="AK64592" s="6"/>
      <c r="AL64592" s="6"/>
      <c r="AM64592" s="6"/>
    </row>
    <row r="64593" spans="2:39" ht="9.9499999999999993" hidden="1" customHeight="1" x14ac:dyDescent="0.2">
      <c r="B64593" s="6"/>
      <c r="C64593" s="6"/>
      <c r="D64593" s="6"/>
      <c r="E64593" s="6"/>
      <c r="F64593" s="6"/>
      <c r="G64593" s="6"/>
      <c r="H64593" s="6"/>
      <c r="I64593" s="6"/>
      <c r="J64593" s="6"/>
      <c r="K64593" s="6"/>
      <c r="L64593" s="6"/>
      <c r="M64593" s="6"/>
      <c r="N64593" s="6"/>
      <c r="O64593" s="6"/>
      <c r="P64593" s="6"/>
      <c r="Q64593" s="6"/>
      <c r="R64593" s="6"/>
      <c r="S64593" s="6"/>
      <c r="T64593" s="6"/>
      <c r="U64593" s="6"/>
      <c r="V64593" s="6"/>
      <c r="W64593" s="6"/>
      <c r="X64593" s="6"/>
      <c r="Y64593" s="6"/>
      <c r="Z64593" s="6"/>
      <c r="AA64593" s="6"/>
      <c r="AB64593" s="6"/>
      <c r="AC64593" s="6"/>
      <c r="AD64593" s="6"/>
      <c r="AE64593" s="6"/>
      <c r="AF64593" s="6"/>
      <c r="AG64593" s="6"/>
      <c r="AH64593" s="6"/>
      <c r="AI64593" s="6"/>
      <c r="AJ64593" s="6"/>
      <c r="AK64593" s="6"/>
      <c r="AL64593" s="6"/>
      <c r="AM64593" s="6"/>
    </row>
    <row r="64594" spans="2:39" ht="9.9499999999999993" hidden="1" customHeight="1" x14ac:dyDescent="0.2">
      <c r="B64594" s="6"/>
      <c r="C64594" s="6"/>
      <c r="D64594" s="6"/>
      <c r="E64594" s="6"/>
      <c r="F64594" s="6"/>
      <c r="G64594" s="6"/>
      <c r="H64594" s="6"/>
      <c r="I64594" s="6"/>
      <c r="J64594" s="6"/>
      <c r="K64594" s="6"/>
      <c r="L64594" s="6"/>
      <c r="M64594" s="6"/>
      <c r="N64594" s="6"/>
      <c r="O64594" s="6"/>
      <c r="P64594" s="6"/>
      <c r="Q64594" s="6"/>
      <c r="R64594" s="6"/>
      <c r="S64594" s="6"/>
      <c r="T64594" s="6"/>
      <c r="U64594" s="6"/>
      <c r="V64594" s="6"/>
      <c r="W64594" s="6"/>
      <c r="X64594" s="6"/>
      <c r="Y64594" s="6"/>
      <c r="Z64594" s="6"/>
      <c r="AA64594" s="6"/>
      <c r="AB64594" s="6"/>
      <c r="AC64594" s="6"/>
      <c r="AD64594" s="6"/>
      <c r="AE64594" s="6"/>
      <c r="AF64594" s="6"/>
      <c r="AG64594" s="6"/>
      <c r="AH64594" s="6"/>
      <c r="AI64594" s="6"/>
      <c r="AJ64594" s="6"/>
      <c r="AK64594" s="6"/>
      <c r="AL64594" s="6"/>
      <c r="AM64594" s="6"/>
    </row>
    <row r="64595" spans="2:39" ht="9.9499999999999993" hidden="1" customHeight="1" x14ac:dyDescent="0.2">
      <c r="B64595" s="6"/>
      <c r="C64595" s="6"/>
      <c r="D64595" s="6"/>
      <c r="E64595" s="6"/>
      <c r="F64595" s="6"/>
      <c r="G64595" s="6"/>
      <c r="H64595" s="6"/>
      <c r="I64595" s="6"/>
      <c r="J64595" s="6"/>
      <c r="K64595" s="6"/>
      <c r="L64595" s="6"/>
      <c r="M64595" s="6"/>
      <c r="N64595" s="6"/>
      <c r="O64595" s="6"/>
      <c r="P64595" s="6"/>
      <c r="Q64595" s="6"/>
      <c r="R64595" s="6"/>
      <c r="S64595" s="6"/>
      <c r="T64595" s="6"/>
      <c r="U64595" s="6"/>
      <c r="V64595" s="6"/>
      <c r="W64595" s="6"/>
      <c r="X64595" s="6"/>
      <c r="Y64595" s="6"/>
      <c r="Z64595" s="6"/>
      <c r="AA64595" s="6"/>
      <c r="AB64595" s="6"/>
      <c r="AC64595" s="6"/>
      <c r="AD64595" s="6"/>
      <c r="AE64595" s="6"/>
      <c r="AF64595" s="6"/>
      <c r="AG64595" s="6"/>
      <c r="AH64595" s="6"/>
      <c r="AI64595" s="6"/>
      <c r="AJ64595" s="6"/>
      <c r="AK64595" s="6"/>
      <c r="AL64595" s="6"/>
      <c r="AM64595" s="6"/>
    </row>
    <row r="64596" spans="2:39" ht="9.9499999999999993" hidden="1" customHeight="1" x14ac:dyDescent="0.2">
      <c r="B64596" s="6"/>
      <c r="C64596" s="6"/>
      <c r="D64596" s="6"/>
      <c r="E64596" s="6"/>
      <c r="F64596" s="6"/>
      <c r="G64596" s="6"/>
      <c r="H64596" s="6"/>
      <c r="I64596" s="6"/>
      <c r="J64596" s="6"/>
      <c r="K64596" s="6"/>
      <c r="L64596" s="6"/>
      <c r="M64596" s="6"/>
      <c r="N64596" s="6"/>
      <c r="O64596" s="6"/>
      <c r="P64596" s="6"/>
      <c r="Q64596" s="6"/>
      <c r="R64596" s="6"/>
      <c r="S64596" s="6"/>
      <c r="T64596" s="6"/>
      <c r="U64596" s="6"/>
      <c r="V64596" s="6"/>
      <c r="W64596" s="6"/>
      <c r="X64596" s="6"/>
      <c r="Y64596" s="6"/>
      <c r="Z64596" s="6"/>
      <c r="AA64596" s="6"/>
      <c r="AB64596" s="6"/>
      <c r="AC64596" s="6"/>
      <c r="AD64596" s="6"/>
      <c r="AE64596" s="6"/>
      <c r="AF64596" s="6"/>
      <c r="AG64596" s="6"/>
      <c r="AH64596" s="6"/>
      <c r="AI64596" s="6"/>
      <c r="AJ64596" s="6"/>
      <c r="AK64596" s="6"/>
      <c r="AL64596" s="6"/>
      <c r="AM64596" s="6"/>
    </row>
    <row r="64597" spans="2:39" ht="9.9499999999999993" hidden="1" customHeight="1" x14ac:dyDescent="0.2">
      <c r="B64597" s="6"/>
      <c r="C64597" s="6"/>
      <c r="D64597" s="6"/>
      <c r="E64597" s="6"/>
      <c r="F64597" s="6"/>
      <c r="G64597" s="6"/>
      <c r="H64597" s="6"/>
      <c r="I64597" s="6"/>
      <c r="J64597" s="6"/>
      <c r="K64597" s="6"/>
      <c r="L64597" s="6"/>
      <c r="M64597" s="6"/>
      <c r="N64597" s="6"/>
      <c r="O64597" s="6"/>
      <c r="P64597" s="6"/>
      <c r="Q64597" s="6"/>
      <c r="R64597" s="6"/>
      <c r="S64597" s="6"/>
      <c r="T64597" s="6"/>
      <c r="U64597" s="6"/>
      <c r="V64597" s="6"/>
      <c r="W64597" s="6"/>
      <c r="X64597" s="6"/>
      <c r="Y64597" s="6"/>
      <c r="Z64597" s="6"/>
      <c r="AA64597" s="6"/>
      <c r="AB64597" s="6"/>
      <c r="AC64597" s="6"/>
      <c r="AD64597" s="6"/>
      <c r="AE64597" s="6"/>
      <c r="AF64597" s="6"/>
      <c r="AG64597" s="6"/>
      <c r="AH64597" s="6"/>
      <c r="AI64597" s="6"/>
      <c r="AJ64597" s="6"/>
      <c r="AK64597" s="6"/>
      <c r="AL64597" s="6"/>
      <c r="AM64597" s="6"/>
    </row>
    <row r="64598" spans="2:39" ht="9.9499999999999993" hidden="1" customHeight="1" x14ac:dyDescent="0.2">
      <c r="B64598" s="6"/>
      <c r="C64598" s="6"/>
      <c r="D64598" s="6"/>
      <c r="E64598" s="6"/>
      <c r="F64598" s="6"/>
      <c r="G64598" s="6"/>
      <c r="H64598" s="6"/>
      <c r="I64598" s="6"/>
      <c r="J64598" s="6"/>
      <c r="K64598" s="6"/>
      <c r="L64598" s="6"/>
      <c r="M64598" s="6"/>
      <c r="N64598" s="6"/>
      <c r="O64598" s="6"/>
      <c r="P64598" s="6"/>
      <c r="Q64598" s="6"/>
      <c r="R64598" s="6"/>
      <c r="S64598" s="6"/>
      <c r="T64598" s="6"/>
      <c r="U64598" s="6"/>
      <c r="V64598" s="6"/>
      <c r="W64598" s="6"/>
      <c r="X64598" s="6"/>
      <c r="Y64598" s="6"/>
      <c r="Z64598" s="6"/>
      <c r="AA64598" s="6"/>
      <c r="AB64598" s="6"/>
      <c r="AC64598" s="6"/>
      <c r="AD64598" s="6"/>
      <c r="AE64598" s="6"/>
      <c r="AF64598" s="6"/>
      <c r="AG64598" s="6"/>
      <c r="AH64598" s="6"/>
      <c r="AI64598" s="6"/>
      <c r="AJ64598" s="6"/>
      <c r="AK64598" s="6"/>
      <c r="AL64598" s="6"/>
      <c r="AM64598" s="6"/>
    </row>
    <row r="64599" spans="2:39" ht="9.9499999999999993" hidden="1" customHeight="1" x14ac:dyDescent="0.2">
      <c r="B64599" s="6"/>
      <c r="C64599" s="6"/>
      <c r="D64599" s="6"/>
      <c r="E64599" s="6"/>
      <c r="F64599" s="6"/>
      <c r="G64599" s="6"/>
      <c r="H64599" s="6"/>
      <c r="I64599" s="6"/>
      <c r="J64599" s="6"/>
      <c r="K64599" s="6"/>
      <c r="L64599" s="6"/>
      <c r="M64599" s="6"/>
      <c r="N64599" s="6"/>
      <c r="O64599" s="6"/>
      <c r="P64599" s="6"/>
      <c r="Q64599" s="6"/>
      <c r="R64599" s="6"/>
      <c r="S64599" s="6"/>
      <c r="T64599" s="6"/>
      <c r="U64599" s="6"/>
      <c r="V64599" s="6"/>
      <c r="W64599" s="6"/>
      <c r="X64599" s="6"/>
      <c r="Y64599" s="6"/>
      <c r="Z64599" s="6"/>
      <c r="AA64599" s="6"/>
      <c r="AB64599" s="6"/>
      <c r="AC64599" s="6"/>
      <c r="AD64599" s="6"/>
      <c r="AE64599" s="6"/>
      <c r="AF64599" s="6"/>
      <c r="AG64599" s="6"/>
      <c r="AH64599" s="6"/>
      <c r="AI64599" s="6"/>
      <c r="AJ64599" s="6"/>
      <c r="AK64599" s="6"/>
      <c r="AL64599" s="6"/>
      <c r="AM64599" s="6"/>
    </row>
    <row r="64600" spans="2:39" ht="9.9499999999999993" hidden="1" customHeight="1" x14ac:dyDescent="0.2">
      <c r="B64600" s="6"/>
      <c r="C64600" s="6"/>
      <c r="D64600" s="6"/>
      <c r="E64600" s="6"/>
      <c r="F64600" s="6"/>
      <c r="G64600" s="6"/>
      <c r="H64600" s="6"/>
      <c r="I64600" s="6"/>
      <c r="J64600" s="6"/>
      <c r="K64600" s="6"/>
      <c r="L64600" s="6"/>
      <c r="M64600" s="6"/>
      <c r="N64600" s="6"/>
      <c r="O64600" s="6"/>
      <c r="P64600" s="6"/>
      <c r="Q64600" s="6"/>
      <c r="R64600" s="6"/>
      <c r="S64600" s="6"/>
      <c r="T64600" s="6"/>
      <c r="U64600" s="6"/>
      <c r="V64600" s="6"/>
      <c r="W64600" s="6"/>
      <c r="X64600" s="6"/>
      <c r="Y64600" s="6"/>
      <c r="Z64600" s="6"/>
      <c r="AA64600" s="6"/>
      <c r="AB64600" s="6"/>
      <c r="AC64600" s="6"/>
      <c r="AD64600" s="6"/>
      <c r="AE64600" s="6"/>
      <c r="AF64600" s="6"/>
      <c r="AG64600" s="6"/>
      <c r="AH64600" s="6"/>
      <c r="AI64600" s="6"/>
      <c r="AJ64600" s="6"/>
      <c r="AK64600" s="6"/>
      <c r="AL64600" s="6"/>
      <c r="AM64600" s="6"/>
    </row>
    <row r="64601" spans="2:39" ht="9.9499999999999993" hidden="1" customHeight="1" x14ac:dyDescent="0.2">
      <c r="B64601" s="6"/>
      <c r="C64601" s="6"/>
      <c r="D64601" s="6"/>
      <c r="E64601" s="6"/>
      <c r="F64601" s="6"/>
      <c r="G64601" s="6"/>
      <c r="H64601" s="6"/>
      <c r="I64601" s="6"/>
      <c r="J64601" s="6"/>
      <c r="K64601" s="6"/>
      <c r="L64601" s="6"/>
      <c r="M64601" s="6"/>
      <c r="N64601" s="6"/>
      <c r="O64601" s="6"/>
      <c r="P64601" s="6"/>
      <c r="Q64601" s="6"/>
      <c r="R64601" s="6"/>
      <c r="S64601" s="6"/>
      <c r="T64601" s="6"/>
      <c r="U64601" s="6"/>
      <c r="V64601" s="6"/>
      <c r="W64601" s="6"/>
      <c r="X64601" s="6"/>
      <c r="Y64601" s="6"/>
      <c r="Z64601" s="6"/>
      <c r="AA64601" s="6"/>
      <c r="AB64601" s="6"/>
      <c r="AC64601" s="6"/>
      <c r="AD64601" s="6"/>
      <c r="AE64601" s="6"/>
      <c r="AF64601" s="6"/>
      <c r="AG64601" s="6"/>
      <c r="AH64601" s="6"/>
      <c r="AI64601" s="6"/>
      <c r="AJ64601" s="6"/>
      <c r="AK64601" s="6"/>
      <c r="AL64601" s="6"/>
      <c r="AM64601" s="6"/>
    </row>
    <row r="64602" spans="2:39" ht="9.9499999999999993" hidden="1" customHeight="1" x14ac:dyDescent="0.2">
      <c r="B64602" s="6"/>
      <c r="C64602" s="6"/>
      <c r="D64602" s="6"/>
      <c r="E64602" s="6"/>
      <c r="F64602" s="6"/>
      <c r="G64602" s="6"/>
      <c r="H64602" s="6"/>
      <c r="I64602" s="6"/>
      <c r="J64602" s="6"/>
      <c r="K64602" s="6"/>
      <c r="L64602" s="6"/>
      <c r="M64602" s="6"/>
      <c r="N64602" s="6"/>
      <c r="O64602" s="6"/>
      <c r="P64602" s="6"/>
      <c r="Q64602" s="6"/>
      <c r="R64602" s="6"/>
      <c r="S64602" s="6"/>
      <c r="T64602" s="6"/>
      <c r="U64602" s="6"/>
      <c r="V64602" s="6"/>
      <c r="W64602" s="6"/>
      <c r="X64602" s="6"/>
      <c r="Y64602" s="6"/>
      <c r="Z64602" s="6"/>
      <c r="AA64602" s="6"/>
      <c r="AB64602" s="6"/>
      <c r="AC64602" s="6"/>
      <c r="AD64602" s="6"/>
      <c r="AE64602" s="6"/>
      <c r="AF64602" s="6"/>
      <c r="AG64602" s="6"/>
      <c r="AH64602" s="6"/>
      <c r="AI64602" s="6"/>
      <c r="AJ64602" s="6"/>
      <c r="AK64602" s="6"/>
      <c r="AL64602" s="6"/>
      <c r="AM64602" s="6"/>
    </row>
    <row r="64603" spans="2:39" ht="9.9499999999999993" hidden="1" customHeight="1" x14ac:dyDescent="0.2">
      <c r="B64603" s="6"/>
      <c r="C64603" s="6"/>
      <c r="D64603" s="6"/>
      <c r="E64603" s="6"/>
      <c r="F64603" s="6"/>
      <c r="G64603" s="6"/>
      <c r="H64603" s="6"/>
      <c r="I64603" s="6"/>
      <c r="J64603" s="6"/>
      <c r="K64603" s="6"/>
      <c r="L64603" s="6"/>
      <c r="M64603" s="6"/>
      <c r="N64603" s="6"/>
      <c r="O64603" s="6"/>
      <c r="P64603" s="6"/>
      <c r="Q64603" s="6"/>
      <c r="R64603" s="6"/>
      <c r="S64603" s="6"/>
      <c r="T64603" s="6"/>
      <c r="U64603" s="6"/>
      <c r="V64603" s="6"/>
      <c r="W64603" s="6"/>
      <c r="X64603" s="6"/>
      <c r="Y64603" s="6"/>
      <c r="Z64603" s="6"/>
      <c r="AA64603" s="6"/>
      <c r="AB64603" s="6"/>
      <c r="AC64603" s="6"/>
      <c r="AD64603" s="6"/>
      <c r="AE64603" s="6"/>
      <c r="AF64603" s="6"/>
      <c r="AG64603" s="6"/>
      <c r="AH64603" s="6"/>
      <c r="AI64603" s="6"/>
      <c r="AJ64603" s="6"/>
      <c r="AK64603" s="6"/>
      <c r="AL64603" s="6"/>
      <c r="AM64603" s="6"/>
    </row>
    <row r="64604" spans="2:39" ht="9.9499999999999993" hidden="1" customHeight="1" x14ac:dyDescent="0.2">
      <c r="B64604" s="6"/>
      <c r="C64604" s="6"/>
      <c r="D64604" s="6"/>
      <c r="E64604" s="6"/>
      <c r="F64604" s="6"/>
      <c r="G64604" s="6"/>
      <c r="H64604" s="6"/>
      <c r="I64604" s="6"/>
      <c r="J64604" s="6"/>
      <c r="K64604" s="6"/>
      <c r="L64604" s="6"/>
      <c r="M64604" s="6"/>
      <c r="N64604" s="6"/>
      <c r="O64604" s="6"/>
      <c r="P64604" s="6"/>
      <c r="Q64604" s="6"/>
      <c r="R64604" s="6"/>
      <c r="S64604" s="6"/>
      <c r="T64604" s="6"/>
      <c r="U64604" s="6"/>
      <c r="V64604" s="6"/>
      <c r="W64604" s="6"/>
      <c r="X64604" s="6"/>
      <c r="Y64604" s="6"/>
      <c r="Z64604" s="6"/>
      <c r="AA64604" s="6"/>
      <c r="AB64604" s="6"/>
      <c r="AC64604" s="6"/>
      <c r="AD64604" s="6"/>
      <c r="AE64604" s="6"/>
      <c r="AF64604" s="6"/>
      <c r="AG64604" s="6"/>
      <c r="AH64604" s="6"/>
      <c r="AI64604" s="6"/>
      <c r="AJ64604" s="6"/>
      <c r="AK64604" s="6"/>
      <c r="AL64604" s="6"/>
      <c r="AM64604" s="6"/>
    </row>
    <row r="64605" spans="2:39" ht="9.9499999999999993" hidden="1" customHeight="1" x14ac:dyDescent="0.2">
      <c r="B64605" s="6"/>
      <c r="C64605" s="6"/>
      <c r="D64605" s="6"/>
      <c r="E64605" s="6"/>
      <c r="F64605" s="6"/>
      <c r="G64605" s="6"/>
      <c r="H64605" s="6"/>
      <c r="I64605" s="6"/>
      <c r="J64605" s="6"/>
      <c r="K64605" s="6"/>
      <c r="L64605" s="6"/>
      <c r="M64605" s="6"/>
      <c r="N64605" s="6"/>
      <c r="O64605" s="6"/>
      <c r="P64605" s="6"/>
      <c r="Q64605" s="6"/>
      <c r="R64605" s="6"/>
      <c r="S64605" s="6"/>
      <c r="T64605" s="6"/>
      <c r="U64605" s="6"/>
      <c r="V64605" s="6"/>
      <c r="W64605" s="6"/>
      <c r="X64605" s="6"/>
      <c r="Y64605" s="6"/>
      <c r="Z64605" s="6"/>
      <c r="AA64605" s="6"/>
      <c r="AB64605" s="6"/>
      <c r="AC64605" s="6"/>
      <c r="AD64605" s="6"/>
      <c r="AE64605" s="6"/>
      <c r="AF64605" s="6"/>
      <c r="AG64605" s="6"/>
      <c r="AH64605" s="6"/>
      <c r="AI64605" s="6"/>
      <c r="AJ64605" s="6"/>
      <c r="AK64605" s="6"/>
      <c r="AL64605" s="6"/>
      <c r="AM64605" s="6"/>
    </row>
    <row r="64606" spans="2:39" ht="9.9499999999999993" hidden="1" customHeight="1" x14ac:dyDescent="0.2">
      <c r="B64606" s="6"/>
      <c r="C64606" s="6"/>
      <c r="D64606" s="6"/>
      <c r="E64606" s="6"/>
      <c r="F64606" s="6"/>
      <c r="G64606" s="6"/>
      <c r="H64606" s="6"/>
      <c r="I64606" s="6"/>
      <c r="J64606" s="6"/>
      <c r="K64606" s="6"/>
      <c r="L64606" s="6"/>
      <c r="M64606" s="6"/>
      <c r="N64606" s="6"/>
      <c r="O64606" s="6"/>
      <c r="P64606" s="6"/>
      <c r="Q64606" s="6"/>
      <c r="R64606" s="6"/>
      <c r="S64606" s="6"/>
      <c r="T64606" s="6"/>
      <c r="U64606" s="6"/>
      <c r="V64606" s="6"/>
      <c r="W64606" s="6"/>
      <c r="X64606" s="6"/>
      <c r="Y64606" s="6"/>
      <c r="Z64606" s="6"/>
      <c r="AA64606" s="6"/>
      <c r="AB64606" s="6"/>
      <c r="AC64606" s="6"/>
      <c r="AD64606" s="6"/>
      <c r="AE64606" s="6"/>
      <c r="AF64606" s="6"/>
      <c r="AG64606" s="6"/>
      <c r="AH64606" s="6"/>
      <c r="AI64606" s="6"/>
      <c r="AJ64606" s="6"/>
      <c r="AK64606" s="6"/>
      <c r="AL64606" s="6"/>
      <c r="AM64606" s="6"/>
    </row>
    <row r="64607" spans="2:39" ht="9.9499999999999993" hidden="1" customHeight="1" x14ac:dyDescent="0.2">
      <c r="B64607" s="6"/>
      <c r="C64607" s="6"/>
      <c r="D64607" s="6"/>
      <c r="E64607" s="6"/>
      <c r="F64607" s="6"/>
      <c r="G64607" s="6"/>
      <c r="H64607" s="6"/>
      <c r="I64607" s="6"/>
      <c r="J64607" s="6"/>
      <c r="K64607" s="6"/>
      <c r="L64607" s="6"/>
      <c r="M64607" s="6"/>
      <c r="N64607" s="6"/>
      <c r="O64607" s="6"/>
      <c r="P64607" s="6"/>
      <c r="Q64607" s="6"/>
      <c r="R64607" s="6"/>
      <c r="S64607" s="6"/>
      <c r="T64607" s="6"/>
      <c r="U64607" s="6"/>
      <c r="V64607" s="6"/>
      <c r="W64607" s="6"/>
      <c r="X64607" s="6"/>
      <c r="Y64607" s="6"/>
      <c r="Z64607" s="6"/>
      <c r="AA64607" s="6"/>
      <c r="AB64607" s="6"/>
      <c r="AC64607" s="6"/>
      <c r="AD64607" s="6"/>
      <c r="AE64607" s="6"/>
      <c r="AF64607" s="6"/>
      <c r="AG64607" s="6"/>
      <c r="AH64607" s="6"/>
      <c r="AI64607" s="6"/>
      <c r="AJ64607" s="6"/>
      <c r="AK64607" s="6"/>
      <c r="AL64607" s="6"/>
      <c r="AM64607" s="6"/>
    </row>
    <row r="64608" spans="2:39" ht="9.9499999999999993" hidden="1" customHeight="1" x14ac:dyDescent="0.2">
      <c r="B64608" s="6"/>
      <c r="C64608" s="6"/>
      <c r="D64608" s="6"/>
      <c r="E64608" s="6"/>
      <c r="F64608" s="6"/>
      <c r="G64608" s="6"/>
      <c r="H64608" s="6"/>
      <c r="I64608" s="6"/>
      <c r="J64608" s="6"/>
      <c r="K64608" s="6"/>
      <c r="L64608" s="6"/>
      <c r="M64608" s="6"/>
      <c r="N64608" s="6"/>
      <c r="O64608" s="6"/>
      <c r="P64608" s="6"/>
      <c r="Q64608" s="6"/>
      <c r="R64608" s="6"/>
      <c r="S64608" s="6"/>
      <c r="T64608" s="6"/>
      <c r="U64608" s="6"/>
      <c r="V64608" s="6"/>
      <c r="W64608" s="6"/>
      <c r="X64608" s="6"/>
      <c r="Y64608" s="6"/>
      <c r="Z64608" s="6"/>
      <c r="AA64608" s="6"/>
      <c r="AB64608" s="6"/>
      <c r="AC64608" s="6"/>
      <c r="AD64608" s="6"/>
      <c r="AE64608" s="6"/>
      <c r="AF64608" s="6"/>
      <c r="AG64608" s="6"/>
      <c r="AH64608" s="6"/>
      <c r="AI64608" s="6"/>
      <c r="AJ64608" s="6"/>
      <c r="AK64608" s="6"/>
      <c r="AL64608" s="6"/>
      <c r="AM64608" s="6"/>
    </row>
    <row r="64609" spans="2:39" ht="9.9499999999999993" hidden="1" customHeight="1" x14ac:dyDescent="0.2">
      <c r="B64609" s="6"/>
      <c r="C64609" s="6"/>
      <c r="D64609" s="6"/>
      <c r="E64609" s="6"/>
      <c r="F64609" s="6"/>
      <c r="G64609" s="6"/>
      <c r="H64609" s="6"/>
      <c r="I64609" s="6"/>
      <c r="J64609" s="6"/>
      <c r="K64609" s="6"/>
      <c r="L64609" s="6"/>
      <c r="M64609" s="6"/>
      <c r="N64609" s="6"/>
      <c r="O64609" s="6"/>
      <c r="P64609" s="6"/>
      <c r="Q64609" s="6"/>
      <c r="R64609" s="6"/>
      <c r="S64609" s="6"/>
      <c r="T64609" s="6"/>
      <c r="U64609" s="6"/>
      <c r="V64609" s="6"/>
      <c r="W64609" s="6"/>
      <c r="X64609" s="6"/>
      <c r="Y64609" s="6"/>
      <c r="Z64609" s="6"/>
      <c r="AA64609" s="6"/>
      <c r="AB64609" s="6"/>
      <c r="AC64609" s="6"/>
      <c r="AD64609" s="6"/>
      <c r="AE64609" s="6"/>
      <c r="AF64609" s="6"/>
      <c r="AG64609" s="6"/>
      <c r="AH64609" s="6"/>
      <c r="AI64609" s="6"/>
      <c r="AJ64609" s="6"/>
      <c r="AK64609" s="6"/>
      <c r="AL64609" s="6"/>
      <c r="AM64609" s="6"/>
    </row>
    <row r="64610" spans="2:39" ht="9.9499999999999993" hidden="1" customHeight="1" x14ac:dyDescent="0.2">
      <c r="B64610" s="6"/>
      <c r="C64610" s="6"/>
      <c r="D64610" s="6"/>
      <c r="E64610" s="6"/>
      <c r="F64610" s="6"/>
      <c r="G64610" s="6"/>
      <c r="H64610" s="6"/>
      <c r="I64610" s="6"/>
      <c r="J64610" s="6"/>
      <c r="K64610" s="6"/>
      <c r="L64610" s="6"/>
      <c r="M64610" s="6"/>
      <c r="N64610" s="6"/>
      <c r="O64610" s="6"/>
      <c r="P64610" s="6"/>
      <c r="Q64610" s="6"/>
      <c r="R64610" s="6"/>
      <c r="S64610" s="6"/>
      <c r="T64610" s="6"/>
      <c r="U64610" s="6"/>
      <c r="V64610" s="6"/>
      <c r="W64610" s="6"/>
      <c r="X64610" s="6"/>
      <c r="Y64610" s="6"/>
      <c r="Z64610" s="6"/>
      <c r="AA64610" s="6"/>
      <c r="AB64610" s="6"/>
      <c r="AC64610" s="6"/>
      <c r="AD64610" s="6"/>
      <c r="AE64610" s="6"/>
      <c r="AF64610" s="6"/>
      <c r="AG64610" s="6"/>
      <c r="AH64610" s="6"/>
      <c r="AI64610" s="6"/>
      <c r="AJ64610" s="6"/>
      <c r="AK64610" s="6"/>
      <c r="AL64610" s="6"/>
      <c r="AM64610" s="6"/>
    </row>
    <row r="64611" spans="2:39" ht="9.9499999999999993" hidden="1" customHeight="1" x14ac:dyDescent="0.2">
      <c r="B64611" s="6"/>
      <c r="C64611" s="6"/>
      <c r="D64611" s="6"/>
      <c r="E64611" s="6"/>
      <c r="F64611" s="6"/>
      <c r="G64611" s="6"/>
      <c r="H64611" s="6"/>
      <c r="I64611" s="6"/>
      <c r="J64611" s="6"/>
      <c r="K64611" s="6"/>
      <c r="L64611" s="6"/>
      <c r="M64611" s="6"/>
      <c r="N64611" s="6"/>
      <c r="O64611" s="6"/>
      <c r="P64611" s="6"/>
      <c r="Q64611" s="6"/>
      <c r="R64611" s="6"/>
      <c r="S64611" s="6"/>
      <c r="T64611" s="6"/>
      <c r="U64611" s="6"/>
      <c r="V64611" s="6"/>
      <c r="W64611" s="6"/>
      <c r="X64611" s="6"/>
      <c r="Y64611" s="6"/>
      <c r="Z64611" s="6"/>
      <c r="AA64611" s="6"/>
      <c r="AB64611" s="6"/>
      <c r="AC64611" s="6"/>
      <c r="AD64611" s="6"/>
      <c r="AE64611" s="6"/>
      <c r="AF64611" s="6"/>
      <c r="AG64611" s="6"/>
      <c r="AH64611" s="6"/>
      <c r="AI64611" s="6"/>
      <c r="AJ64611" s="6"/>
      <c r="AK64611" s="6"/>
      <c r="AL64611" s="6"/>
      <c r="AM64611" s="6"/>
    </row>
    <row r="64612" spans="2:39" ht="9.9499999999999993" hidden="1" customHeight="1" x14ac:dyDescent="0.2">
      <c r="B64612" s="6"/>
      <c r="C64612" s="6"/>
      <c r="D64612" s="6"/>
      <c r="E64612" s="6"/>
      <c r="F64612" s="6"/>
      <c r="G64612" s="6"/>
      <c r="H64612" s="6"/>
      <c r="I64612" s="6"/>
      <c r="J64612" s="6"/>
      <c r="K64612" s="6"/>
      <c r="L64612" s="6"/>
      <c r="M64612" s="6"/>
      <c r="N64612" s="6"/>
      <c r="O64612" s="6"/>
      <c r="P64612" s="6"/>
      <c r="Q64612" s="6"/>
      <c r="R64612" s="6"/>
      <c r="S64612" s="6"/>
      <c r="T64612" s="6"/>
      <c r="U64612" s="6"/>
      <c r="V64612" s="6"/>
      <c r="W64612" s="6"/>
      <c r="X64612" s="6"/>
      <c r="Y64612" s="6"/>
      <c r="Z64612" s="6"/>
      <c r="AA64612" s="6"/>
      <c r="AB64612" s="6"/>
      <c r="AC64612" s="6"/>
      <c r="AD64612" s="6"/>
      <c r="AE64612" s="6"/>
      <c r="AF64612" s="6"/>
      <c r="AG64612" s="6"/>
      <c r="AH64612" s="6"/>
      <c r="AI64612" s="6"/>
      <c r="AJ64612" s="6"/>
      <c r="AK64612" s="6"/>
      <c r="AL64612" s="6"/>
      <c r="AM64612" s="6"/>
    </row>
    <row r="64613" spans="2:39" ht="9.9499999999999993" hidden="1" customHeight="1" x14ac:dyDescent="0.2">
      <c r="B64613" s="6"/>
      <c r="C64613" s="6"/>
      <c r="D64613" s="6"/>
      <c r="E64613" s="6"/>
      <c r="F64613" s="6"/>
      <c r="G64613" s="6"/>
      <c r="H64613" s="6"/>
      <c r="I64613" s="6"/>
      <c r="J64613" s="6"/>
      <c r="K64613" s="6"/>
      <c r="L64613" s="6"/>
      <c r="M64613" s="6"/>
      <c r="N64613" s="6"/>
      <c r="O64613" s="6"/>
      <c r="P64613" s="6"/>
      <c r="Q64613" s="6"/>
      <c r="R64613" s="6"/>
      <c r="S64613" s="6"/>
      <c r="T64613" s="6"/>
      <c r="U64613" s="6"/>
      <c r="V64613" s="6"/>
      <c r="W64613" s="6"/>
      <c r="X64613" s="6"/>
      <c r="Y64613" s="6"/>
      <c r="Z64613" s="6"/>
      <c r="AA64613" s="6"/>
      <c r="AB64613" s="6"/>
      <c r="AC64613" s="6"/>
      <c r="AD64613" s="6"/>
      <c r="AE64613" s="6"/>
      <c r="AF64613" s="6"/>
      <c r="AG64613" s="6"/>
      <c r="AH64613" s="6"/>
      <c r="AI64613" s="6"/>
      <c r="AJ64613" s="6"/>
      <c r="AK64613" s="6"/>
      <c r="AL64613" s="6"/>
      <c r="AM64613" s="6"/>
    </row>
    <row r="64614" spans="2:39" ht="9.9499999999999993" hidden="1" customHeight="1" x14ac:dyDescent="0.2">
      <c r="B64614" s="6"/>
      <c r="C64614" s="6"/>
      <c r="D64614" s="6"/>
      <c r="E64614" s="6"/>
      <c r="F64614" s="6"/>
      <c r="G64614" s="6"/>
      <c r="H64614" s="6"/>
      <c r="I64614" s="6"/>
      <c r="J64614" s="6"/>
      <c r="K64614" s="6"/>
      <c r="L64614" s="6"/>
      <c r="M64614" s="6"/>
      <c r="N64614" s="6"/>
      <c r="O64614" s="6"/>
      <c r="P64614" s="6"/>
      <c r="Q64614" s="6"/>
      <c r="R64614" s="6"/>
      <c r="S64614" s="6"/>
      <c r="T64614" s="6"/>
      <c r="U64614" s="6"/>
      <c r="V64614" s="6"/>
      <c r="W64614" s="6"/>
      <c r="X64614" s="6"/>
      <c r="Y64614" s="6"/>
      <c r="Z64614" s="6"/>
      <c r="AA64614" s="6"/>
      <c r="AB64614" s="6"/>
      <c r="AC64614" s="6"/>
      <c r="AD64614" s="6"/>
      <c r="AE64614" s="6"/>
      <c r="AF64614" s="6"/>
      <c r="AG64614" s="6"/>
      <c r="AH64614" s="6"/>
      <c r="AI64614" s="6"/>
      <c r="AJ64614" s="6"/>
      <c r="AK64614" s="6"/>
      <c r="AL64614" s="6"/>
      <c r="AM64614" s="6"/>
    </row>
    <row r="64615" spans="2:39" ht="9.9499999999999993" hidden="1" customHeight="1" x14ac:dyDescent="0.2">
      <c r="B64615" s="6"/>
      <c r="C64615" s="6"/>
      <c r="D64615" s="6"/>
      <c r="E64615" s="6"/>
      <c r="F64615" s="6"/>
      <c r="G64615" s="6"/>
      <c r="H64615" s="6"/>
      <c r="I64615" s="6"/>
      <c r="J64615" s="6"/>
      <c r="K64615" s="6"/>
      <c r="L64615" s="6"/>
      <c r="M64615" s="6"/>
      <c r="N64615" s="6"/>
      <c r="O64615" s="6"/>
      <c r="P64615" s="6"/>
      <c r="Q64615" s="6"/>
      <c r="R64615" s="6"/>
      <c r="S64615" s="6"/>
      <c r="T64615" s="6"/>
      <c r="U64615" s="6"/>
      <c r="V64615" s="6"/>
      <c r="W64615" s="6"/>
      <c r="X64615" s="6"/>
      <c r="Y64615" s="6"/>
      <c r="Z64615" s="6"/>
      <c r="AA64615" s="6"/>
      <c r="AB64615" s="6"/>
      <c r="AC64615" s="6"/>
      <c r="AD64615" s="6"/>
      <c r="AE64615" s="6"/>
      <c r="AF64615" s="6"/>
      <c r="AG64615" s="6"/>
      <c r="AH64615" s="6"/>
      <c r="AI64615" s="6"/>
      <c r="AJ64615" s="6"/>
      <c r="AK64615" s="6"/>
      <c r="AL64615" s="6"/>
      <c r="AM64615" s="6"/>
    </row>
    <row r="64616" spans="2:39" ht="9.9499999999999993" hidden="1" customHeight="1" x14ac:dyDescent="0.2">
      <c r="B64616" s="6"/>
      <c r="C64616" s="6"/>
      <c r="D64616" s="6"/>
      <c r="E64616" s="6"/>
      <c r="F64616" s="6"/>
      <c r="G64616" s="6"/>
      <c r="H64616" s="6"/>
      <c r="I64616" s="6"/>
      <c r="J64616" s="6"/>
      <c r="K64616" s="6"/>
      <c r="L64616" s="6"/>
      <c r="M64616" s="6"/>
      <c r="N64616" s="6"/>
      <c r="O64616" s="6"/>
      <c r="P64616" s="6"/>
      <c r="Q64616" s="6"/>
      <c r="R64616" s="6"/>
      <c r="S64616" s="6"/>
      <c r="T64616" s="6"/>
      <c r="U64616" s="6"/>
      <c r="V64616" s="6"/>
      <c r="W64616" s="6"/>
      <c r="X64616" s="6"/>
      <c r="Y64616" s="6"/>
      <c r="Z64616" s="6"/>
      <c r="AA64616" s="6"/>
      <c r="AB64616" s="6"/>
      <c r="AC64616" s="6"/>
      <c r="AD64616" s="6"/>
      <c r="AE64616" s="6"/>
      <c r="AF64616" s="6"/>
      <c r="AG64616" s="6"/>
      <c r="AH64616" s="6"/>
      <c r="AI64616" s="6"/>
      <c r="AJ64616" s="6"/>
      <c r="AK64616" s="6"/>
      <c r="AL64616" s="6"/>
      <c r="AM64616" s="6"/>
    </row>
    <row r="64617" spans="2:39" ht="9.9499999999999993" hidden="1" customHeight="1" x14ac:dyDescent="0.2">
      <c r="B64617" s="6"/>
      <c r="C64617" s="6"/>
      <c r="D64617" s="6"/>
      <c r="E64617" s="6"/>
      <c r="F64617" s="6"/>
      <c r="G64617" s="6"/>
      <c r="H64617" s="6"/>
      <c r="I64617" s="6"/>
      <c r="J64617" s="6"/>
      <c r="K64617" s="6"/>
      <c r="L64617" s="6"/>
      <c r="M64617" s="6"/>
      <c r="N64617" s="6"/>
      <c r="O64617" s="6"/>
      <c r="P64617" s="6"/>
      <c r="Q64617" s="6"/>
      <c r="R64617" s="6"/>
      <c r="S64617" s="6"/>
      <c r="T64617" s="6"/>
      <c r="U64617" s="6"/>
      <c r="V64617" s="6"/>
      <c r="W64617" s="6"/>
      <c r="X64617" s="6"/>
      <c r="Y64617" s="6"/>
      <c r="Z64617" s="6"/>
      <c r="AA64617" s="6"/>
      <c r="AB64617" s="6"/>
      <c r="AC64617" s="6"/>
      <c r="AD64617" s="6"/>
      <c r="AE64617" s="6"/>
      <c r="AF64617" s="6"/>
      <c r="AG64617" s="6"/>
      <c r="AH64617" s="6"/>
      <c r="AI64617" s="6"/>
      <c r="AJ64617" s="6"/>
      <c r="AK64617" s="6"/>
      <c r="AL64617" s="6"/>
      <c r="AM64617" s="6"/>
    </row>
    <row r="64618" spans="2:39" ht="9.9499999999999993" hidden="1" customHeight="1" x14ac:dyDescent="0.2">
      <c r="B64618" s="6"/>
      <c r="C64618" s="6"/>
      <c r="D64618" s="6"/>
      <c r="E64618" s="6"/>
      <c r="F64618" s="6"/>
      <c r="G64618" s="6"/>
      <c r="H64618" s="6"/>
      <c r="I64618" s="6"/>
      <c r="J64618" s="6"/>
      <c r="K64618" s="6"/>
      <c r="L64618" s="6"/>
      <c r="M64618" s="6"/>
      <c r="N64618" s="6"/>
      <c r="O64618" s="6"/>
      <c r="P64618" s="6"/>
      <c r="Q64618" s="6"/>
      <c r="R64618" s="6"/>
      <c r="S64618" s="6"/>
      <c r="T64618" s="6"/>
      <c r="U64618" s="6"/>
      <c r="V64618" s="6"/>
      <c r="W64618" s="6"/>
      <c r="X64618" s="6"/>
      <c r="Y64618" s="6"/>
      <c r="Z64618" s="6"/>
      <c r="AA64618" s="6"/>
      <c r="AB64618" s="6"/>
      <c r="AC64618" s="6"/>
      <c r="AD64618" s="6"/>
      <c r="AE64618" s="6"/>
      <c r="AF64618" s="6"/>
      <c r="AG64618" s="6"/>
      <c r="AH64618" s="6"/>
      <c r="AI64618" s="6"/>
      <c r="AJ64618" s="6"/>
      <c r="AK64618" s="6"/>
      <c r="AL64618" s="6"/>
      <c r="AM64618" s="6"/>
    </row>
    <row r="64619" spans="2:39" ht="9.9499999999999993" hidden="1" customHeight="1" x14ac:dyDescent="0.2">
      <c r="B64619" s="6"/>
      <c r="C64619" s="6"/>
      <c r="D64619" s="6"/>
      <c r="E64619" s="6"/>
      <c r="F64619" s="6"/>
      <c r="G64619" s="6"/>
      <c r="H64619" s="6"/>
      <c r="I64619" s="6"/>
      <c r="J64619" s="6"/>
      <c r="K64619" s="6"/>
      <c r="L64619" s="6"/>
      <c r="M64619" s="6"/>
      <c r="N64619" s="6"/>
      <c r="O64619" s="6"/>
      <c r="P64619" s="6"/>
      <c r="Q64619" s="6"/>
      <c r="R64619" s="6"/>
      <c r="S64619" s="6"/>
      <c r="T64619" s="6"/>
      <c r="U64619" s="6"/>
      <c r="V64619" s="6"/>
      <c r="W64619" s="6"/>
      <c r="X64619" s="6"/>
      <c r="Y64619" s="6"/>
      <c r="Z64619" s="6"/>
      <c r="AA64619" s="6"/>
      <c r="AB64619" s="6"/>
      <c r="AC64619" s="6"/>
      <c r="AD64619" s="6"/>
      <c r="AE64619" s="6"/>
      <c r="AF64619" s="6"/>
      <c r="AG64619" s="6"/>
      <c r="AH64619" s="6"/>
      <c r="AI64619" s="6"/>
      <c r="AJ64619" s="6"/>
      <c r="AK64619" s="6"/>
      <c r="AL64619" s="6"/>
      <c r="AM64619" s="6"/>
    </row>
    <row r="64620" spans="2:39" ht="9.9499999999999993" hidden="1" customHeight="1" x14ac:dyDescent="0.2">
      <c r="B64620" s="6"/>
      <c r="C64620" s="6"/>
      <c r="D64620" s="6"/>
      <c r="E64620" s="6"/>
      <c r="F64620" s="6"/>
      <c r="G64620" s="6"/>
      <c r="H64620" s="6"/>
      <c r="I64620" s="6"/>
      <c r="J64620" s="6"/>
      <c r="K64620" s="6"/>
      <c r="L64620" s="6"/>
      <c r="M64620" s="6"/>
      <c r="N64620" s="6"/>
      <c r="O64620" s="6"/>
      <c r="P64620" s="6"/>
      <c r="Q64620" s="6"/>
      <c r="R64620" s="6"/>
      <c r="S64620" s="6"/>
      <c r="T64620" s="6"/>
      <c r="U64620" s="6"/>
      <c r="V64620" s="6"/>
      <c r="W64620" s="6"/>
      <c r="X64620" s="6"/>
      <c r="Y64620" s="6"/>
      <c r="Z64620" s="6"/>
      <c r="AA64620" s="6"/>
      <c r="AB64620" s="6"/>
      <c r="AC64620" s="6"/>
      <c r="AD64620" s="6"/>
      <c r="AE64620" s="6"/>
      <c r="AF64620" s="6"/>
      <c r="AG64620" s="6"/>
      <c r="AH64620" s="6"/>
      <c r="AI64620" s="6"/>
      <c r="AJ64620" s="6"/>
      <c r="AK64620" s="6"/>
      <c r="AL64620" s="6"/>
      <c r="AM64620" s="6"/>
    </row>
    <row r="64621" spans="2:39" ht="9.9499999999999993" hidden="1" customHeight="1" x14ac:dyDescent="0.2">
      <c r="B64621" s="6"/>
      <c r="C64621" s="6"/>
      <c r="D64621" s="6"/>
      <c r="E64621" s="6"/>
      <c r="F64621" s="6"/>
      <c r="G64621" s="6"/>
      <c r="H64621" s="6"/>
      <c r="I64621" s="6"/>
      <c r="J64621" s="6"/>
      <c r="K64621" s="6"/>
      <c r="L64621" s="6"/>
      <c r="M64621" s="6"/>
      <c r="N64621" s="6"/>
      <c r="O64621" s="6"/>
      <c r="P64621" s="6"/>
      <c r="Q64621" s="6"/>
      <c r="R64621" s="6"/>
      <c r="S64621" s="6"/>
      <c r="T64621" s="6"/>
      <c r="U64621" s="6"/>
      <c r="V64621" s="6"/>
      <c r="W64621" s="6"/>
      <c r="X64621" s="6"/>
      <c r="Y64621" s="6"/>
      <c r="Z64621" s="6"/>
      <c r="AA64621" s="6"/>
      <c r="AB64621" s="6"/>
      <c r="AC64621" s="6"/>
      <c r="AD64621" s="6"/>
      <c r="AE64621" s="6"/>
      <c r="AF64621" s="6"/>
      <c r="AG64621" s="6"/>
      <c r="AH64621" s="6"/>
      <c r="AI64621" s="6"/>
      <c r="AJ64621" s="6"/>
      <c r="AK64621" s="6"/>
      <c r="AL64621" s="6"/>
      <c r="AM64621" s="6"/>
    </row>
    <row r="64622" spans="2:39" ht="9.9499999999999993" hidden="1" customHeight="1" x14ac:dyDescent="0.2">
      <c r="B64622" s="6"/>
      <c r="C64622" s="6"/>
      <c r="D64622" s="6"/>
      <c r="E64622" s="6"/>
      <c r="F64622" s="6"/>
      <c r="G64622" s="6"/>
      <c r="H64622" s="6"/>
      <c r="I64622" s="6"/>
      <c r="J64622" s="6"/>
      <c r="K64622" s="6"/>
      <c r="L64622" s="6"/>
      <c r="M64622" s="6"/>
      <c r="N64622" s="6"/>
      <c r="O64622" s="6"/>
      <c r="P64622" s="6"/>
      <c r="Q64622" s="6"/>
      <c r="R64622" s="6"/>
      <c r="S64622" s="6"/>
      <c r="T64622" s="6"/>
      <c r="U64622" s="6"/>
      <c r="V64622" s="6"/>
      <c r="W64622" s="6"/>
      <c r="X64622" s="6"/>
      <c r="Y64622" s="6"/>
      <c r="Z64622" s="6"/>
      <c r="AA64622" s="6"/>
      <c r="AB64622" s="6"/>
      <c r="AC64622" s="6"/>
      <c r="AD64622" s="6"/>
      <c r="AE64622" s="6"/>
      <c r="AF64622" s="6"/>
      <c r="AG64622" s="6"/>
      <c r="AH64622" s="6"/>
      <c r="AI64622" s="6"/>
      <c r="AJ64622" s="6"/>
      <c r="AK64622" s="6"/>
      <c r="AL64622" s="6"/>
      <c r="AM64622" s="6"/>
    </row>
    <row r="64623" spans="2:39" ht="9.9499999999999993" hidden="1" customHeight="1" x14ac:dyDescent="0.2">
      <c r="B64623" s="6"/>
      <c r="C64623" s="6"/>
      <c r="D64623" s="6"/>
      <c r="E64623" s="6"/>
      <c r="F64623" s="6"/>
      <c r="G64623" s="6"/>
      <c r="H64623" s="6"/>
      <c r="I64623" s="6"/>
      <c r="J64623" s="6"/>
      <c r="K64623" s="6"/>
      <c r="L64623" s="6"/>
      <c r="M64623" s="6"/>
      <c r="N64623" s="6"/>
      <c r="O64623" s="6"/>
      <c r="P64623" s="6"/>
      <c r="Q64623" s="6"/>
      <c r="R64623" s="6"/>
      <c r="S64623" s="6"/>
      <c r="T64623" s="6"/>
      <c r="U64623" s="6"/>
      <c r="V64623" s="6"/>
      <c r="W64623" s="6"/>
      <c r="X64623" s="6"/>
      <c r="Y64623" s="6"/>
      <c r="Z64623" s="6"/>
      <c r="AA64623" s="6"/>
      <c r="AB64623" s="6"/>
      <c r="AC64623" s="6"/>
      <c r="AD64623" s="6"/>
      <c r="AE64623" s="6"/>
      <c r="AF64623" s="6"/>
      <c r="AG64623" s="6"/>
      <c r="AH64623" s="6"/>
      <c r="AI64623" s="6"/>
      <c r="AJ64623" s="6"/>
      <c r="AK64623" s="6"/>
      <c r="AL64623" s="6"/>
      <c r="AM64623" s="6"/>
    </row>
    <row r="64624" spans="2:39" ht="9.9499999999999993" hidden="1" customHeight="1" x14ac:dyDescent="0.2">
      <c r="B64624" s="6"/>
      <c r="C64624" s="6"/>
      <c r="D64624" s="6"/>
      <c r="E64624" s="6"/>
      <c r="F64624" s="6"/>
      <c r="G64624" s="6"/>
      <c r="H64624" s="6"/>
      <c r="I64624" s="6"/>
      <c r="J64624" s="6"/>
      <c r="K64624" s="6"/>
      <c r="L64624" s="6"/>
      <c r="M64624" s="6"/>
      <c r="N64624" s="6"/>
      <c r="O64624" s="6"/>
      <c r="P64624" s="6"/>
      <c r="Q64624" s="6"/>
      <c r="R64624" s="6"/>
      <c r="S64624" s="6"/>
      <c r="T64624" s="6"/>
      <c r="U64624" s="6"/>
      <c r="V64624" s="6"/>
      <c r="W64624" s="6"/>
      <c r="X64624" s="6"/>
      <c r="Y64624" s="6"/>
      <c r="Z64624" s="6"/>
      <c r="AA64624" s="6"/>
      <c r="AB64624" s="6"/>
      <c r="AC64624" s="6"/>
      <c r="AD64624" s="6"/>
      <c r="AE64624" s="6"/>
      <c r="AF64624" s="6"/>
      <c r="AG64624" s="6"/>
      <c r="AH64624" s="6"/>
      <c r="AI64624" s="6"/>
      <c r="AJ64624" s="6"/>
      <c r="AK64624" s="6"/>
      <c r="AL64624" s="6"/>
      <c r="AM64624" s="6"/>
    </row>
    <row r="64625" spans="2:39" ht="9.9499999999999993" hidden="1" customHeight="1" x14ac:dyDescent="0.2">
      <c r="B64625" s="6"/>
      <c r="C64625" s="6"/>
      <c r="D64625" s="6"/>
      <c r="E64625" s="6"/>
      <c r="F64625" s="6"/>
      <c r="G64625" s="6"/>
      <c r="H64625" s="6"/>
      <c r="I64625" s="6"/>
      <c r="J64625" s="6"/>
      <c r="K64625" s="6"/>
      <c r="L64625" s="6"/>
      <c r="M64625" s="6"/>
      <c r="N64625" s="6"/>
      <c r="O64625" s="6"/>
      <c r="P64625" s="6"/>
      <c r="Q64625" s="6"/>
      <c r="R64625" s="6"/>
      <c r="S64625" s="6"/>
      <c r="T64625" s="6"/>
      <c r="U64625" s="6"/>
      <c r="V64625" s="6"/>
      <c r="W64625" s="6"/>
      <c r="X64625" s="6"/>
      <c r="Y64625" s="6"/>
      <c r="Z64625" s="6"/>
      <c r="AA64625" s="6"/>
      <c r="AB64625" s="6"/>
      <c r="AC64625" s="6"/>
      <c r="AD64625" s="6"/>
      <c r="AE64625" s="6"/>
      <c r="AF64625" s="6"/>
      <c r="AG64625" s="6"/>
      <c r="AH64625" s="6"/>
      <c r="AI64625" s="6"/>
      <c r="AJ64625" s="6"/>
      <c r="AK64625" s="6"/>
      <c r="AL64625" s="6"/>
      <c r="AM64625" s="6"/>
    </row>
    <row r="64626" spans="2:39" ht="9.9499999999999993" hidden="1" customHeight="1" x14ac:dyDescent="0.2">
      <c r="B64626" s="6"/>
      <c r="C64626" s="6"/>
      <c r="D64626" s="6"/>
      <c r="E64626" s="6"/>
      <c r="F64626" s="6"/>
      <c r="G64626" s="6"/>
      <c r="H64626" s="6"/>
      <c r="I64626" s="6"/>
      <c r="J64626" s="6"/>
      <c r="K64626" s="6"/>
      <c r="L64626" s="6"/>
      <c r="M64626" s="6"/>
      <c r="N64626" s="6"/>
      <c r="O64626" s="6"/>
      <c r="P64626" s="6"/>
      <c r="Q64626" s="6"/>
      <c r="R64626" s="6"/>
      <c r="S64626" s="6"/>
      <c r="T64626" s="6"/>
      <c r="U64626" s="6"/>
      <c r="V64626" s="6"/>
      <c r="W64626" s="6"/>
      <c r="X64626" s="6"/>
      <c r="Y64626" s="6"/>
      <c r="Z64626" s="6"/>
      <c r="AA64626" s="6"/>
      <c r="AB64626" s="6"/>
      <c r="AC64626" s="6"/>
      <c r="AD64626" s="6"/>
      <c r="AE64626" s="6"/>
      <c r="AF64626" s="6"/>
      <c r="AG64626" s="6"/>
      <c r="AH64626" s="6"/>
      <c r="AI64626" s="6"/>
      <c r="AJ64626" s="6"/>
      <c r="AK64626" s="6"/>
      <c r="AL64626" s="6"/>
      <c r="AM64626" s="6"/>
    </row>
    <row r="64627" spans="2:39" ht="9.9499999999999993" hidden="1" customHeight="1" x14ac:dyDescent="0.2">
      <c r="B64627" s="6"/>
      <c r="C64627" s="6"/>
      <c r="D64627" s="6"/>
      <c r="E64627" s="6"/>
      <c r="F64627" s="6"/>
      <c r="G64627" s="6"/>
      <c r="H64627" s="6"/>
      <c r="I64627" s="6"/>
      <c r="J64627" s="6"/>
      <c r="K64627" s="6"/>
      <c r="L64627" s="6"/>
      <c r="M64627" s="6"/>
      <c r="N64627" s="6"/>
      <c r="O64627" s="6"/>
      <c r="P64627" s="6"/>
      <c r="Q64627" s="6"/>
      <c r="R64627" s="6"/>
      <c r="S64627" s="6"/>
      <c r="T64627" s="6"/>
      <c r="U64627" s="6"/>
      <c r="V64627" s="6"/>
      <c r="W64627" s="6"/>
      <c r="X64627" s="6"/>
      <c r="Y64627" s="6"/>
      <c r="Z64627" s="6"/>
      <c r="AA64627" s="6"/>
      <c r="AB64627" s="6"/>
      <c r="AC64627" s="6"/>
      <c r="AD64627" s="6"/>
      <c r="AE64627" s="6"/>
      <c r="AF64627" s="6"/>
      <c r="AG64627" s="6"/>
      <c r="AH64627" s="6"/>
      <c r="AI64627" s="6"/>
      <c r="AJ64627" s="6"/>
      <c r="AK64627" s="6"/>
      <c r="AL64627" s="6"/>
      <c r="AM64627" s="6"/>
    </row>
    <row r="64628" spans="2:39" ht="9.9499999999999993" hidden="1" customHeight="1" x14ac:dyDescent="0.2">
      <c r="B64628" s="6"/>
      <c r="C64628" s="6"/>
      <c r="D64628" s="6"/>
      <c r="E64628" s="6"/>
      <c r="F64628" s="6"/>
      <c r="G64628" s="6"/>
      <c r="H64628" s="6"/>
      <c r="I64628" s="6"/>
      <c r="J64628" s="6"/>
      <c r="K64628" s="6"/>
      <c r="L64628" s="6"/>
      <c r="M64628" s="6"/>
      <c r="N64628" s="6"/>
      <c r="O64628" s="6"/>
      <c r="P64628" s="6"/>
      <c r="Q64628" s="6"/>
      <c r="R64628" s="6"/>
      <c r="S64628" s="6"/>
      <c r="T64628" s="6"/>
      <c r="U64628" s="6"/>
      <c r="V64628" s="6"/>
      <c r="W64628" s="6"/>
      <c r="X64628" s="6"/>
      <c r="Y64628" s="6"/>
      <c r="Z64628" s="6"/>
      <c r="AA64628" s="6"/>
      <c r="AB64628" s="6"/>
      <c r="AC64628" s="6"/>
      <c r="AD64628" s="6"/>
      <c r="AE64628" s="6"/>
      <c r="AF64628" s="6"/>
      <c r="AG64628" s="6"/>
      <c r="AH64628" s="6"/>
      <c r="AI64628" s="6"/>
      <c r="AJ64628" s="6"/>
      <c r="AK64628" s="6"/>
      <c r="AL64628" s="6"/>
      <c r="AM64628" s="6"/>
    </row>
    <row r="64629" spans="2:39" ht="9.9499999999999993" hidden="1" customHeight="1" x14ac:dyDescent="0.2">
      <c r="B64629" s="6"/>
      <c r="C64629" s="6"/>
      <c r="D64629" s="6"/>
      <c r="E64629" s="6"/>
      <c r="F64629" s="6"/>
      <c r="G64629" s="6"/>
      <c r="H64629" s="6"/>
      <c r="I64629" s="6"/>
      <c r="J64629" s="6"/>
      <c r="K64629" s="6"/>
      <c r="L64629" s="6"/>
      <c r="M64629" s="6"/>
      <c r="N64629" s="6"/>
      <c r="O64629" s="6"/>
      <c r="P64629" s="6"/>
      <c r="Q64629" s="6"/>
      <c r="R64629" s="6"/>
      <c r="S64629" s="6"/>
      <c r="T64629" s="6"/>
      <c r="U64629" s="6"/>
      <c r="V64629" s="6"/>
      <c r="W64629" s="6"/>
      <c r="X64629" s="6"/>
      <c r="Y64629" s="6"/>
      <c r="Z64629" s="6"/>
      <c r="AA64629" s="6"/>
      <c r="AB64629" s="6"/>
      <c r="AC64629" s="6"/>
      <c r="AD64629" s="6"/>
      <c r="AE64629" s="6"/>
      <c r="AF64629" s="6"/>
      <c r="AG64629" s="6"/>
      <c r="AH64629" s="6"/>
      <c r="AI64629" s="6"/>
      <c r="AJ64629" s="6"/>
      <c r="AK64629" s="6"/>
      <c r="AL64629" s="6"/>
      <c r="AM64629" s="6"/>
    </row>
    <row r="64630" spans="2:39" ht="9.9499999999999993" hidden="1" customHeight="1" x14ac:dyDescent="0.2">
      <c r="B64630" s="6"/>
      <c r="C64630" s="6"/>
      <c r="D64630" s="6"/>
      <c r="E64630" s="6"/>
      <c r="F64630" s="6"/>
      <c r="G64630" s="6"/>
      <c r="H64630" s="6"/>
      <c r="I64630" s="6"/>
      <c r="J64630" s="6"/>
      <c r="K64630" s="6"/>
      <c r="L64630" s="6"/>
      <c r="M64630" s="6"/>
      <c r="N64630" s="6"/>
      <c r="O64630" s="6"/>
      <c r="P64630" s="6"/>
      <c r="Q64630" s="6"/>
      <c r="R64630" s="6"/>
      <c r="S64630" s="6"/>
      <c r="T64630" s="6"/>
      <c r="U64630" s="6"/>
      <c r="V64630" s="6"/>
      <c r="W64630" s="6"/>
      <c r="X64630" s="6"/>
      <c r="Y64630" s="6"/>
      <c r="Z64630" s="6"/>
      <c r="AA64630" s="6"/>
      <c r="AB64630" s="6"/>
      <c r="AC64630" s="6"/>
      <c r="AD64630" s="6"/>
      <c r="AE64630" s="6"/>
      <c r="AF64630" s="6"/>
      <c r="AG64630" s="6"/>
      <c r="AH64630" s="6"/>
      <c r="AI64630" s="6"/>
      <c r="AJ64630" s="6"/>
      <c r="AK64630" s="6"/>
      <c r="AL64630" s="6"/>
      <c r="AM64630" s="6"/>
    </row>
    <row r="64631" spans="2:39" ht="9.9499999999999993" hidden="1" customHeight="1" x14ac:dyDescent="0.2">
      <c r="B64631" s="6"/>
      <c r="C64631" s="6"/>
      <c r="D64631" s="6"/>
      <c r="E64631" s="6"/>
      <c r="F64631" s="6"/>
      <c r="G64631" s="6"/>
      <c r="H64631" s="6"/>
      <c r="I64631" s="6"/>
      <c r="J64631" s="6"/>
      <c r="K64631" s="6"/>
      <c r="L64631" s="6"/>
      <c r="M64631" s="6"/>
      <c r="N64631" s="6"/>
      <c r="O64631" s="6"/>
      <c r="P64631" s="6"/>
      <c r="Q64631" s="6"/>
      <c r="R64631" s="6"/>
      <c r="S64631" s="6"/>
      <c r="T64631" s="6"/>
      <c r="U64631" s="6"/>
      <c r="V64631" s="6"/>
      <c r="W64631" s="6"/>
      <c r="X64631" s="6"/>
      <c r="Y64631" s="6"/>
      <c r="Z64631" s="6"/>
      <c r="AA64631" s="6"/>
      <c r="AB64631" s="6"/>
      <c r="AC64631" s="6"/>
      <c r="AD64631" s="6"/>
      <c r="AE64631" s="6"/>
      <c r="AF64631" s="6"/>
      <c r="AG64631" s="6"/>
      <c r="AH64631" s="6"/>
      <c r="AI64631" s="6"/>
      <c r="AJ64631" s="6"/>
      <c r="AK64631" s="6"/>
      <c r="AL64631" s="6"/>
      <c r="AM64631" s="6"/>
    </row>
    <row r="64632" spans="2:39" ht="9.9499999999999993" hidden="1" customHeight="1" x14ac:dyDescent="0.2">
      <c r="B64632" s="6"/>
      <c r="C64632" s="6"/>
      <c r="D64632" s="6"/>
      <c r="E64632" s="6"/>
      <c r="F64632" s="6"/>
      <c r="G64632" s="6"/>
      <c r="H64632" s="6"/>
      <c r="I64632" s="6"/>
      <c r="J64632" s="6"/>
      <c r="K64632" s="6"/>
      <c r="L64632" s="6"/>
      <c r="M64632" s="6"/>
      <c r="N64632" s="6"/>
      <c r="O64632" s="6"/>
      <c r="P64632" s="6"/>
      <c r="Q64632" s="6"/>
      <c r="R64632" s="6"/>
      <c r="S64632" s="6"/>
      <c r="T64632" s="6"/>
      <c r="U64632" s="6"/>
      <c r="V64632" s="6"/>
      <c r="W64632" s="6"/>
      <c r="X64632" s="6"/>
      <c r="Y64632" s="6"/>
      <c r="Z64632" s="6"/>
      <c r="AA64632" s="6"/>
      <c r="AB64632" s="6"/>
      <c r="AC64632" s="6"/>
      <c r="AD64632" s="6"/>
      <c r="AE64632" s="6"/>
      <c r="AF64632" s="6"/>
      <c r="AG64632" s="6"/>
      <c r="AH64632" s="6"/>
      <c r="AI64632" s="6"/>
      <c r="AJ64632" s="6"/>
      <c r="AK64632" s="6"/>
      <c r="AL64632" s="6"/>
      <c r="AM64632" s="6"/>
    </row>
    <row r="64633" spans="2:39" ht="9.9499999999999993" hidden="1" customHeight="1" x14ac:dyDescent="0.2">
      <c r="B64633" s="6"/>
      <c r="C64633" s="6"/>
      <c r="D64633" s="6"/>
      <c r="E64633" s="6"/>
      <c r="F64633" s="6"/>
      <c r="G64633" s="6"/>
      <c r="H64633" s="6"/>
      <c r="I64633" s="6"/>
      <c r="J64633" s="6"/>
      <c r="K64633" s="6"/>
      <c r="L64633" s="6"/>
      <c r="M64633" s="6"/>
      <c r="N64633" s="6"/>
      <c r="O64633" s="6"/>
      <c r="P64633" s="6"/>
      <c r="Q64633" s="6"/>
      <c r="R64633" s="6"/>
      <c r="S64633" s="6"/>
      <c r="T64633" s="6"/>
      <c r="U64633" s="6"/>
      <c r="V64633" s="6"/>
      <c r="W64633" s="6"/>
      <c r="X64633" s="6"/>
      <c r="Y64633" s="6"/>
      <c r="Z64633" s="6"/>
      <c r="AA64633" s="6"/>
      <c r="AB64633" s="6"/>
      <c r="AC64633" s="6"/>
      <c r="AD64633" s="6"/>
      <c r="AE64633" s="6"/>
      <c r="AF64633" s="6"/>
      <c r="AG64633" s="6"/>
      <c r="AH64633" s="6"/>
      <c r="AI64633" s="6"/>
      <c r="AJ64633" s="6"/>
      <c r="AK64633" s="6"/>
      <c r="AL64633" s="6"/>
      <c r="AM64633" s="6"/>
    </row>
    <row r="64634" spans="2:39" ht="9.9499999999999993" hidden="1" customHeight="1" x14ac:dyDescent="0.2">
      <c r="B64634" s="6"/>
      <c r="C64634" s="6"/>
      <c r="D64634" s="6"/>
      <c r="E64634" s="6"/>
      <c r="F64634" s="6"/>
      <c r="G64634" s="6"/>
      <c r="H64634" s="6"/>
      <c r="I64634" s="6"/>
      <c r="J64634" s="6"/>
      <c r="K64634" s="6"/>
      <c r="L64634" s="6"/>
      <c r="M64634" s="6"/>
      <c r="N64634" s="6"/>
      <c r="O64634" s="6"/>
      <c r="P64634" s="6"/>
      <c r="Q64634" s="6"/>
      <c r="R64634" s="6"/>
      <c r="S64634" s="6"/>
      <c r="T64634" s="6"/>
      <c r="U64634" s="6"/>
      <c r="V64634" s="6"/>
      <c r="W64634" s="6"/>
      <c r="X64634" s="6"/>
      <c r="Y64634" s="6"/>
      <c r="Z64634" s="6"/>
      <c r="AA64634" s="6"/>
      <c r="AB64634" s="6"/>
      <c r="AC64634" s="6"/>
      <c r="AD64634" s="6"/>
      <c r="AE64634" s="6"/>
      <c r="AF64634" s="6"/>
      <c r="AG64634" s="6"/>
      <c r="AH64634" s="6"/>
      <c r="AI64634" s="6"/>
      <c r="AJ64634" s="6"/>
      <c r="AK64634" s="6"/>
      <c r="AL64634" s="6"/>
      <c r="AM64634" s="6"/>
    </row>
    <row r="64635" spans="2:39" ht="9.9499999999999993" hidden="1" customHeight="1" x14ac:dyDescent="0.2">
      <c r="B64635" s="6"/>
      <c r="C64635" s="6"/>
      <c r="D64635" s="6"/>
      <c r="E64635" s="6"/>
      <c r="F64635" s="6"/>
      <c r="G64635" s="6"/>
      <c r="H64635" s="6"/>
      <c r="I64635" s="6"/>
      <c r="J64635" s="6"/>
      <c r="K64635" s="6"/>
      <c r="L64635" s="6"/>
      <c r="M64635" s="6"/>
      <c r="N64635" s="6"/>
      <c r="O64635" s="6"/>
      <c r="P64635" s="6"/>
      <c r="Q64635" s="6"/>
      <c r="R64635" s="6"/>
      <c r="S64635" s="6"/>
      <c r="T64635" s="6"/>
      <c r="U64635" s="6"/>
      <c r="V64635" s="6"/>
      <c r="W64635" s="6"/>
      <c r="X64635" s="6"/>
      <c r="Y64635" s="6"/>
      <c r="Z64635" s="6"/>
      <c r="AA64635" s="6"/>
      <c r="AB64635" s="6"/>
      <c r="AC64635" s="6"/>
      <c r="AD64635" s="6"/>
      <c r="AE64635" s="6"/>
      <c r="AF64635" s="6"/>
      <c r="AG64635" s="6"/>
      <c r="AH64635" s="6"/>
      <c r="AI64635" s="6"/>
      <c r="AJ64635" s="6"/>
      <c r="AK64635" s="6"/>
      <c r="AL64635" s="6"/>
      <c r="AM64635" s="6"/>
    </row>
    <row r="64636" spans="2:39" ht="9.9499999999999993" hidden="1" customHeight="1" x14ac:dyDescent="0.2">
      <c r="B64636" s="6"/>
      <c r="C64636" s="6"/>
      <c r="D64636" s="6"/>
      <c r="E64636" s="6"/>
      <c r="F64636" s="6"/>
      <c r="G64636" s="6"/>
      <c r="H64636" s="6"/>
      <c r="I64636" s="6"/>
      <c r="J64636" s="6"/>
      <c r="K64636" s="6"/>
      <c r="L64636" s="6"/>
      <c r="M64636" s="6"/>
      <c r="N64636" s="6"/>
      <c r="O64636" s="6"/>
      <c r="P64636" s="6"/>
      <c r="Q64636" s="6"/>
      <c r="R64636" s="6"/>
      <c r="S64636" s="6"/>
      <c r="T64636" s="6"/>
      <c r="U64636" s="6"/>
      <c r="V64636" s="6"/>
      <c r="W64636" s="6"/>
      <c r="X64636" s="6"/>
      <c r="Y64636" s="6"/>
      <c r="Z64636" s="6"/>
      <c r="AA64636" s="6"/>
      <c r="AB64636" s="6"/>
      <c r="AC64636" s="6"/>
      <c r="AD64636" s="6"/>
      <c r="AE64636" s="6"/>
      <c r="AF64636" s="6"/>
      <c r="AG64636" s="6"/>
      <c r="AH64636" s="6"/>
      <c r="AI64636" s="6"/>
      <c r="AJ64636" s="6"/>
      <c r="AK64636" s="6"/>
      <c r="AL64636" s="6"/>
      <c r="AM64636" s="6"/>
    </row>
    <row r="64637" spans="2:39" ht="9.9499999999999993" hidden="1" customHeight="1" x14ac:dyDescent="0.2">
      <c r="B64637" s="6"/>
      <c r="C64637" s="6"/>
      <c r="D64637" s="6"/>
      <c r="E64637" s="6"/>
      <c r="F64637" s="6"/>
      <c r="G64637" s="6"/>
      <c r="H64637" s="6"/>
      <c r="I64637" s="6"/>
      <c r="J64637" s="6"/>
      <c r="K64637" s="6"/>
      <c r="L64637" s="6"/>
      <c r="M64637" s="6"/>
      <c r="N64637" s="6"/>
      <c r="O64637" s="6"/>
      <c r="P64637" s="6"/>
      <c r="Q64637" s="6"/>
      <c r="R64637" s="6"/>
      <c r="S64637" s="6"/>
      <c r="T64637" s="6"/>
      <c r="U64637" s="6"/>
      <c r="V64637" s="6"/>
      <c r="W64637" s="6"/>
      <c r="X64637" s="6"/>
      <c r="Y64637" s="6"/>
      <c r="Z64637" s="6"/>
      <c r="AA64637" s="6"/>
      <c r="AB64637" s="6"/>
      <c r="AC64637" s="6"/>
      <c r="AD64637" s="6"/>
      <c r="AE64637" s="6"/>
      <c r="AF64637" s="6"/>
      <c r="AG64637" s="6"/>
      <c r="AH64637" s="6"/>
      <c r="AI64637" s="6"/>
      <c r="AJ64637" s="6"/>
      <c r="AK64637" s="6"/>
      <c r="AL64637" s="6"/>
      <c r="AM64637" s="6"/>
    </row>
    <row r="64638" spans="2:39" ht="9.9499999999999993" hidden="1" customHeight="1" x14ac:dyDescent="0.2">
      <c r="B64638" s="6"/>
      <c r="C64638" s="6"/>
      <c r="D64638" s="6"/>
      <c r="E64638" s="6"/>
      <c r="F64638" s="6"/>
      <c r="G64638" s="6"/>
      <c r="H64638" s="6"/>
      <c r="I64638" s="6"/>
      <c r="J64638" s="6"/>
      <c r="K64638" s="6"/>
      <c r="L64638" s="6"/>
      <c r="M64638" s="6"/>
      <c r="N64638" s="6"/>
      <c r="O64638" s="6"/>
      <c r="P64638" s="6"/>
      <c r="Q64638" s="6"/>
      <c r="R64638" s="6"/>
      <c r="S64638" s="6"/>
      <c r="T64638" s="6"/>
      <c r="U64638" s="6"/>
      <c r="V64638" s="6"/>
      <c r="W64638" s="6"/>
      <c r="X64638" s="6"/>
      <c r="Y64638" s="6"/>
      <c r="Z64638" s="6"/>
      <c r="AA64638" s="6"/>
      <c r="AB64638" s="6"/>
      <c r="AC64638" s="6"/>
      <c r="AD64638" s="6"/>
      <c r="AE64638" s="6"/>
      <c r="AF64638" s="6"/>
      <c r="AG64638" s="6"/>
      <c r="AH64638" s="6"/>
      <c r="AI64638" s="6"/>
      <c r="AJ64638" s="6"/>
      <c r="AK64638" s="6"/>
      <c r="AL64638" s="6"/>
      <c r="AM64638" s="6"/>
    </row>
    <row r="64639" spans="2:39" ht="9.9499999999999993" hidden="1" customHeight="1" x14ac:dyDescent="0.2">
      <c r="B64639" s="6"/>
      <c r="C64639" s="6"/>
      <c r="D64639" s="6"/>
      <c r="E64639" s="6"/>
      <c r="F64639" s="6"/>
      <c r="G64639" s="6"/>
      <c r="H64639" s="6"/>
      <c r="I64639" s="6"/>
      <c r="J64639" s="6"/>
      <c r="K64639" s="6"/>
      <c r="L64639" s="6"/>
      <c r="M64639" s="6"/>
      <c r="N64639" s="6"/>
      <c r="O64639" s="6"/>
      <c r="P64639" s="6"/>
      <c r="Q64639" s="6"/>
      <c r="R64639" s="6"/>
      <c r="S64639" s="6"/>
      <c r="T64639" s="6"/>
      <c r="U64639" s="6"/>
      <c r="V64639" s="6"/>
      <c r="W64639" s="6"/>
      <c r="X64639" s="6"/>
      <c r="Y64639" s="6"/>
      <c r="Z64639" s="6"/>
      <c r="AA64639" s="6"/>
      <c r="AB64639" s="6"/>
      <c r="AC64639" s="6"/>
      <c r="AD64639" s="6"/>
      <c r="AE64639" s="6"/>
      <c r="AF64639" s="6"/>
      <c r="AG64639" s="6"/>
      <c r="AH64639" s="6"/>
      <c r="AI64639" s="6"/>
      <c r="AJ64639" s="6"/>
      <c r="AK64639" s="6"/>
      <c r="AL64639" s="6"/>
      <c r="AM64639" s="6"/>
    </row>
    <row r="64640" spans="2:39" ht="9.9499999999999993" hidden="1" customHeight="1" x14ac:dyDescent="0.2">
      <c r="B64640" s="6"/>
      <c r="C64640" s="6"/>
      <c r="D64640" s="6"/>
      <c r="E64640" s="6"/>
      <c r="F64640" s="6"/>
      <c r="G64640" s="6"/>
      <c r="H64640" s="6"/>
      <c r="I64640" s="6"/>
      <c r="J64640" s="6"/>
      <c r="K64640" s="6"/>
      <c r="L64640" s="6"/>
      <c r="M64640" s="6"/>
      <c r="N64640" s="6"/>
      <c r="O64640" s="6"/>
      <c r="P64640" s="6"/>
      <c r="Q64640" s="6"/>
      <c r="R64640" s="6"/>
      <c r="S64640" s="6"/>
      <c r="T64640" s="6"/>
      <c r="U64640" s="6"/>
      <c r="V64640" s="6"/>
      <c r="W64640" s="6"/>
      <c r="X64640" s="6"/>
      <c r="Y64640" s="6"/>
      <c r="Z64640" s="6"/>
      <c r="AA64640" s="6"/>
      <c r="AB64640" s="6"/>
      <c r="AC64640" s="6"/>
      <c r="AD64640" s="6"/>
      <c r="AE64640" s="6"/>
      <c r="AF64640" s="6"/>
      <c r="AG64640" s="6"/>
      <c r="AH64640" s="6"/>
      <c r="AI64640" s="6"/>
      <c r="AJ64640" s="6"/>
      <c r="AK64640" s="6"/>
      <c r="AL64640" s="6"/>
      <c r="AM64640" s="6"/>
    </row>
    <row r="64641" spans="2:39" ht="9.9499999999999993" hidden="1" customHeight="1" x14ac:dyDescent="0.2">
      <c r="B64641" s="6"/>
      <c r="C64641" s="6"/>
      <c r="D64641" s="6"/>
      <c r="E64641" s="6"/>
      <c r="F64641" s="6"/>
      <c r="G64641" s="6"/>
      <c r="H64641" s="6"/>
      <c r="I64641" s="6"/>
      <c r="J64641" s="6"/>
      <c r="K64641" s="6"/>
      <c r="L64641" s="6"/>
      <c r="M64641" s="6"/>
      <c r="N64641" s="6"/>
      <c r="O64641" s="6"/>
      <c r="P64641" s="6"/>
      <c r="Q64641" s="6"/>
      <c r="R64641" s="6"/>
      <c r="S64641" s="6"/>
      <c r="T64641" s="6"/>
      <c r="U64641" s="6"/>
      <c r="V64641" s="6"/>
      <c r="W64641" s="6"/>
      <c r="X64641" s="6"/>
      <c r="Y64641" s="6"/>
      <c r="Z64641" s="6"/>
      <c r="AA64641" s="6"/>
      <c r="AB64641" s="6"/>
      <c r="AC64641" s="6"/>
      <c r="AD64641" s="6"/>
      <c r="AE64641" s="6"/>
      <c r="AF64641" s="6"/>
      <c r="AG64641" s="6"/>
      <c r="AH64641" s="6"/>
      <c r="AI64641" s="6"/>
      <c r="AJ64641" s="6"/>
      <c r="AK64641" s="6"/>
      <c r="AL64641" s="6"/>
      <c r="AM64641" s="6"/>
    </row>
    <row r="64642" spans="2:39" ht="9.9499999999999993" hidden="1" customHeight="1" x14ac:dyDescent="0.2">
      <c r="B64642" s="6"/>
      <c r="C64642" s="6"/>
      <c r="D64642" s="6"/>
      <c r="E64642" s="6"/>
      <c r="F64642" s="6"/>
      <c r="G64642" s="6"/>
      <c r="H64642" s="6"/>
      <c r="I64642" s="6"/>
      <c r="J64642" s="6"/>
      <c r="K64642" s="6"/>
      <c r="L64642" s="6"/>
      <c r="M64642" s="6"/>
      <c r="N64642" s="6"/>
      <c r="O64642" s="6"/>
      <c r="P64642" s="6"/>
      <c r="Q64642" s="6"/>
      <c r="R64642" s="6"/>
      <c r="S64642" s="6"/>
      <c r="T64642" s="6"/>
      <c r="U64642" s="6"/>
      <c r="V64642" s="6"/>
      <c r="W64642" s="6"/>
      <c r="X64642" s="6"/>
      <c r="Y64642" s="6"/>
      <c r="Z64642" s="6"/>
      <c r="AA64642" s="6"/>
      <c r="AB64642" s="6"/>
      <c r="AC64642" s="6"/>
      <c r="AD64642" s="6"/>
      <c r="AE64642" s="6"/>
      <c r="AF64642" s="6"/>
      <c r="AG64642" s="6"/>
      <c r="AH64642" s="6"/>
      <c r="AI64642" s="6"/>
      <c r="AJ64642" s="6"/>
      <c r="AK64642" s="6"/>
      <c r="AL64642" s="6"/>
      <c r="AM64642" s="6"/>
    </row>
    <row r="64643" spans="2:39" ht="9.9499999999999993" hidden="1" customHeight="1" x14ac:dyDescent="0.2">
      <c r="B64643" s="6"/>
      <c r="C64643" s="6"/>
      <c r="D64643" s="6"/>
      <c r="E64643" s="6"/>
      <c r="F64643" s="6"/>
      <c r="G64643" s="6"/>
      <c r="H64643" s="6"/>
      <c r="I64643" s="6"/>
      <c r="J64643" s="6"/>
      <c r="K64643" s="6"/>
      <c r="L64643" s="6"/>
      <c r="M64643" s="6"/>
      <c r="N64643" s="6"/>
      <c r="O64643" s="6"/>
      <c r="P64643" s="6"/>
      <c r="Q64643" s="6"/>
      <c r="R64643" s="6"/>
      <c r="S64643" s="6"/>
      <c r="T64643" s="6"/>
      <c r="U64643" s="6"/>
      <c r="V64643" s="6"/>
      <c r="W64643" s="6"/>
      <c r="X64643" s="6"/>
      <c r="Y64643" s="6"/>
      <c r="Z64643" s="6"/>
      <c r="AA64643" s="6"/>
      <c r="AB64643" s="6"/>
      <c r="AC64643" s="6"/>
      <c r="AD64643" s="6"/>
      <c r="AE64643" s="6"/>
      <c r="AF64643" s="6"/>
      <c r="AG64643" s="6"/>
      <c r="AH64643" s="6"/>
      <c r="AI64643" s="6"/>
      <c r="AJ64643" s="6"/>
      <c r="AK64643" s="6"/>
      <c r="AL64643" s="6"/>
      <c r="AM64643" s="6"/>
    </row>
    <row r="64644" spans="2:39" ht="9.9499999999999993" hidden="1" customHeight="1" x14ac:dyDescent="0.2">
      <c r="B64644" s="6"/>
      <c r="C64644" s="6"/>
      <c r="D64644" s="6"/>
      <c r="E64644" s="6"/>
      <c r="F64644" s="6"/>
      <c r="G64644" s="6"/>
      <c r="H64644" s="6"/>
      <c r="I64644" s="6"/>
      <c r="J64644" s="6"/>
      <c r="K64644" s="6"/>
      <c r="L64644" s="6"/>
      <c r="M64644" s="6"/>
      <c r="N64644" s="6"/>
      <c r="O64644" s="6"/>
      <c r="P64644" s="6"/>
      <c r="Q64644" s="6"/>
      <c r="R64644" s="6"/>
      <c r="S64644" s="6"/>
      <c r="T64644" s="6"/>
      <c r="U64644" s="6"/>
      <c r="V64644" s="6"/>
      <c r="W64644" s="6"/>
      <c r="X64644" s="6"/>
      <c r="Y64644" s="6"/>
      <c r="Z64644" s="6"/>
      <c r="AA64644" s="6"/>
      <c r="AB64644" s="6"/>
      <c r="AC64644" s="6"/>
      <c r="AD64644" s="6"/>
      <c r="AE64644" s="6"/>
      <c r="AF64644" s="6"/>
      <c r="AG64644" s="6"/>
      <c r="AH64644" s="6"/>
      <c r="AI64644" s="6"/>
      <c r="AJ64644" s="6"/>
      <c r="AK64644" s="6"/>
      <c r="AL64644" s="6"/>
      <c r="AM64644" s="6"/>
    </row>
    <row r="64645" spans="2:39" ht="9.9499999999999993" hidden="1" customHeight="1" x14ac:dyDescent="0.2">
      <c r="B64645" s="6"/>
      <c r="C64645" s="6"/>
      <c r="D64645" s="6"/>
      <c r="E64645" s="6"/>
      <c r="F64645" s="6"/>
      <c r="G64645" s="6"/>
      <c r="H64645" s="6"/>
      <c r="I64645" s="6"/>
      <c r="J64645" s="6"/>
      <c r="K64645" s="6"/>
      <c r="L64645" s="6"/>
      <c r="M64645" s="6"/>
      <c r="N64645" s="6"/>
      <c r="O64645" s="6"/>
      <c r="P64645" s="6"/>
      <c r="Q64645" s="6"/>
      <c r="R64645" s="6"/>
      <c r="S64645" s="6"/>
      <c r="T64645" s="6"/>
      <c r="U64645" s="6"/>
      <c r="V64645" s="6"/>
      <c r="W64645" s="6"/>
      <c r="X64645" s="6"/>
      <c r="Y64645" s="6"/>
      <c r="Z64645" s="6"/>
      <c r="AA64645" s="6"/>
      <c r="AB64645" s="6"/>
      <c r="AC64645" s="6"/>
      <c r="AD64645" s="6"/>
      <c r="AE64645" s="6"/>
      <c r="AF64645" s="6"/>
      <c r="AG64645" s="6"/>
      <c r="AH64645" s="6"/>
      <c r="AI64645" s="6"/>
      <c r="AJ64645" s="6"/>
      <c r="AK64645" s="6"/>
      <c r="AL64645" s="6"/>
      <c r="AM64645" s="6"/>
    </row>
    <row r="64646" spans="2:39" ht="9.9499999999999993" hidden="1" customHeight="1" x14ac:dyDescent="0.2">
      <c r="B64646" s="6"/>
      <c r="C64646" s="6"/>
      <c r="D64646" s="6"/>
      <c r="E64646" s="6"/>
      <c r="F64646" s="6"/>
      <c r="G64646" s="6"/>
      <c r="H64646" s="6"/>
      <c r="I64646" s="6"/>
      <c r="J64646" s="6"/>
      <c r="K64646" s="6"/>
      <c r="L64646" s="6"/>
      <c r="M64646" s="6"/>
      <c r="N64646" s="6"/>
      <c r="O64646" s="6"/>
      <c r="P64646" s="6"/>
      <c r="Q64646" s="6"/>
      <c r="R64646" s="6"/>
      <c r="S64646" s="6"/>
      <c r="T64646" s="6"/>
      <c r="U64646" s="6"/>
      <c r="V64646" s="6"/>
      <c r="W64646" s="6"/>
      <c r="X64646" s="6"/>
      <c r="Y64646" s="6"/>
      <c r="Z64646" s="6"/>
      <c r="AA64646" s="6"/>
      <c r="AB64646" s="6"/>
      <c r="AC64646" s="6"/>
      <c r="AD64646" s="6"/>
      <c r="AE64646" s="6"/>
      <c r="AF64646" s="6"/>
      <c r="AG64646" s="6"/>
      <c r="AH64646" s="6"/>
      <c r="AI64646" s="6"/>
      <c r="AJ64646" s="6"/>
      <c r="AK64646" s="6"/>
      <c r="AL64646" s="6"/>
      <c r="AM64646" s="6"/>
    </row>
    <row r="64647" spans="2:39" ht="9.9499999999999993" hidden="1" customHeight="1" x14ac:dyDescent="0.2">
      <c r="B64647" s="6"/>
      <c r="C64647" s="6"/>
      <c r="D64647" s="6"/>
      <c r="E64647" s="6"/>
      <c r="F64647" s="6"/>
      <c r="G64647" s="6"/>
      <c r="H64647" s="6"/>
      <c r="I64647" s="6"/>
      <c r="J64647" s="6"/>
      <c r="K64647" s="6"/>
      <c r="L64647" s="6"/>
      <c r="M64647" s="6"/>
      <c r="N64647" s="6"/>
      <c r="O64647" s="6"/>
      <c r="P64647" s="6"/>
      <c r="Q64647" s="6"/>
      <c r="R64647" s="6"/>
      <c r="S64647" s="6"/>
      <c r="T64647" s="6"/>
      <c r="U64647" s="6"/>
      <c r="V64647" s="6"/>
      <c r="W64647" s="6"/>
      <c r="X64647" s="6"/>
      <c r="Y64647" s="6"/>
      <c r="Z64647" s="6"/>
      <c r="AA64647" s="6"/>
      <c r="AB64647" s="6"/>
      <c r="AC64647" s="6"/>
      <c r="AD64647" s="6"/>
      <c r="AE64647" s="6"/>
      <c r="AF64647" s="6"/>
      <c r="AG64647" s="6"/>
      <c r="AH64647" s="6"/>
      <c r="AI64647" s="6"/>
      <c r="AJ64647" s="6"/>
      <c r="AK64647" s="6"/>
      <c r="AL64647" s="6"/>
      <c r="AM64647" s="6"/>
    </row>
    <row r="64648" spans="2:39" ht="9.9499999999999993" hidden="1" customHeight="1" x14ac:dyDescent="0.2">
      <c r="B64648" s="6"/>
      <c r="C64648" s="6"/>
      <c r="D64648" s="6"/>
      <c r="E64648" s="6"/>
      <c r="F64648" s="6"/>
      <c r="G64648" s="6"/>
      <c r="H64648" s="6"/>
      <c r="I64648" s="6"/>
      <c r="J64648" s="6"/>
      <c r="K64648" s="6"/>
      <c r="L64648" s="6"/>
      <c r="M64648" s="6"/>
      <c r="N64648" s="6"/>
      <c r="O64648" s="6"/>
      <c r="P64648" s="6"/>
      <c r="Q64648" s="6"/>
      <c r="R64648" s="6"/>
      <c r="S64648" s="6"/>
      <c r="T64648" s="6"/>
      <c r="U64648" s="6"/>
      <c r="V64648" s="6"/>
      <c r="W64648" s="6"/>
      <c r="X64648" s="6"/>
      <c r="Y64648" s="6"/>
      <c r="Z64648" s="6"/>
      <c r="AA64648" s="6"/>
      <c r="AB64648" s="6"/>
      <c r="AC64648" s="6"/>
      <c r="AD64648" s="6"/>
      <c r="AE64648" s="6"/>
      <c r="AF64648" s="6"/>
      <c r="AG64648" s="6"/>
      <c r="AH64648" s="6"/>
      <c r="AI64648" s="6"/>
      <c r="AJ64648" s="6"/>
      <c r="AK64648" s="6"/>
      <c r="AL64648" s="6"/>
      <c r="AM64648" s="6"/>
    </row>
    <row r="64649" spans="2:39" ht="9.9499999999999993" hidden="1" customHeight="1" x14ac:dyDescent="0.2">
      <c r="B64649" s="6"/>
      <c r="C64649" s="6"/>
      <c r="D64649" s="6"/>
      <c r="E64649" s="6"/>
      <c r="F64649" s="6"/>
      <c r="G64649" s="6"/>
      <c r="H64649" s="6"/>
      <c r="I64649" s="6"/>
      <c r="J64649" s="6"/>
      <c r="K64649" s="6"/>
      <c r="L64649" s="6"/>
      <c r="M64649" s="6"/>
      <c r="N64649" s="6"/>
      <c r="O64649" s="6"/>
      <c r="P64649" s="6"/>
      <c r="Q64649" s="6"/>
      <c r="R64649" s="6"/>
      <c r="S64649" s="6"/>
      <c r="T64649" s="6"/>
      <c r="U64649" s="6"/>
      <c r="V64649" s="6"/>
      <c r="W64649" s="6"/>
      <c r="X64649" s="6"/>
      <c r="Y64649" s="6"/>
      <c r="Z64649" s="6"/>
      <c r="AA64649" s="6"/>
      <c r="AB64649" s="6"/>
      <c r="AC64649" s="6"/>
      <c r="AD64649" s="6"/>
      <c r="AE64649" s="6"/>
      <c r="AF64649" s="6"/>
      <c r="AG64649" s="6"/>
      <c r="AH64649" s="6"/>
      <c r="AI64649" s="6"/>
      <c r="AJ64649" s="6"/>
      <c r="AK64649" s="6"/>
      <c r="AL64649" s="6"/>
      <c r="AM64649" s="6"/>
    </row>
    <row r="64650" spans="2:39" ht="9.9499999999999993" hidden="1" customHeight="1" x14ac:dyDescent="0.2">
      <c r="B64650" s="6"/>
      <c r="C64650" s="6"/>
      <c r="D64650" s="6"/>
      <c r="E64650" s="6"/>
      <c r="F64650" s="6"/>
      <c r="G64650" s="6"/>
      <c r="H64650" s="6"/>
      <c r="I64650" s="6"/>
      <c r="J64650" s="6"/>
      <c r="K64650" s="6"/>
      <c r="L64650" s="6"/>
      <c r="M64650" s="6"/>
      <c r="N64650" s="6"/>
      <c r="O64650" s="6"/>
      <c r="P64650" s="6"/>
      <c r="Q64650" s="6"/>
      <c r="R64650" s="6"/>
      <c r="S64650" s="6"/>
      <c r="T64650" s="6"/>
      <c r="U64650" s="6"/>
      <c r="V64650" s="6"/>
      <c r="W64650" s="6"/>
      <c r="X64650" s="6"/>
      <c r="Y64650" s="6"/>
      <c r="Z64650" s="6"/>
      <c r="AA64650" s="6"/>
      <c r="AB64650" s="6"/>
      <c r="AC64650" s="6"/>
      <c r="AD64650" s="6"/>
      <c r="AE64650" s="6"/>
      <c r="AF64650" s="6"/>
      <c r="AG64650" s="6"/>
      <c r="AH64650" s="6"/>
      <c r="AI64650" s="6"/>
      <c r="AJ64650" s="6"/>
      <c r="AK64650" s="6"/>
      <c r="AL64650" s="6"/>
      <c r="AM64650" s="6"/>
    </row>
    <row r="64651" spans="2:39" ht="9.9499999999999993" hidden="1" customHeight="1" x14ac:dyDescent="0.2">
      <c r="B64651" s="6"/>
      <c r="C64651" s="6"/>
      <c r="D64651" s="6"/>
      <c r="E64651" s="6"/>
      <c r="F64651" s="6"/>
      <c r="G64651" s="6"/>
      <c r="H64651" s="6"/>
      <c r="I64651" s="6"/>
      <c r="J64651" s="6"/>
      <c r="K64651" s="6"/>
      <c r="L64651" s="6"/>
      <c r="M64651" s="6"/>
      <c r="N64651" s="6"/>
      <c r="O64651" s="6"/>
      <c r="P64651" s="6"/>
      <c r="Q64651" s="6"/>
      <c r="R64651" s="6"/>
      <c r="S64651" s="6"/>
      <c r="T64651" s="6"/>
      <c r="U64651" s="6"/>
      <c r="V64651" s="6"/>
      <c r="W64651" s="6"/>
      <c r="X64651" s="6"/>
      <c r="Y64651" s="6"/>
      <c r="Z64651" s="6"/>
      <c r="AA64651" s="6"/>
      <c r="AB64651" s="6"/>
      <c r="AC64651" s="6"/>
      <c r="AD64651" s="6"/>
      <c r="AE64651" s="6"/>
      <c r="AF64651" s="6"/>
      <c r="AG64651" s="6"/>
      <c r="AH64651" s="6"/>
      <c r="AI64651" s="6"/>
      <c r="AJ64651" s="6"/>
      <c r="AK64651" s="6"/>
      <c r="AL64651" s="6"/>
      <c r="AM64651" s="6"/>
    </row>
    <row r="64652" spans="2:39" ht="9.9499999999999993" hidden="1" customHeight="1" x14ac:dyDescent="0.2">
      <c r="B64652" s="6"/>
      <c r="C64652" s="6"/>
      <c r="D64652" s="6"/>
      <c r="E64652" s="6"/>
      <c r="F64652" s="6"/>
      <c r="G64652" s="6"/>
      <c r="H64652" s="6"/>
      <c r="I64652" s="6"/>
      <c r="J64652" s="6"/>
      <c r="K64652" s="6"/>
      <c r="L64652" s="6"/>
      <c r="M64652" s="6"/>
      <c r="N64652" s="6"/>
      <c r="O64652" s="6"/>
      <c r="P64652" s="6"/>
      <c r="Q64652" s="6"/>
      <c r="R64652" s="6"/>
      <c r="S64652" s="6"/>
      <c r="T64652" s="6"/>
      <c r="U64652" s="6"/>
      <c r="V64652" s="6"/>
      <c r="W64652" s="6"/>
      <c r="X64652" s="6"/>
      <c r="Y64652" s="6"/>
      <c r="Z64652" s="6"/>
      <c r="AA64652" s="6"/>
      <c r="AB64652" s="6"/>
      <c r="AC64652" s="6"/>
      <c r="AD64652" s="6"/>
      <c r="AE64652" s="6"/>
      <c r="AF64652" s="6"/>
      <c r="AG64652" s="6"/>
      <c r="AH64652" s="6"/>
      <c r="AI64652" s="6"/>
      <c r="AJ64652" s="6"/>
      <c r="AK64652" s="6"/>
      <c r="AL64652" s="6"/>
      <c r="AM64652" s="6"/>
    </row>
    <row r="64653" spans="2:39" ht="9.9499999999999993" hidden="1" customHeight="1" x14ac:dyDescent="0.2">
      <c r="B64653" s="6"/>
      <c r="C64653" s="6"/>
      <c r="D64653" s="6"/>
      <c r="E64653" s="6"/>
      <c r="F64653" s="6"/>
      <c r="G64653" s="6"/>
      <c r="H64653" s="6"/>
      <c r="I64653" s="6"/>
      <c r="J64653" s="6"/>
      <c r="K64653" s="6"/>
      <c r="L64653" s="6"/>
      <c r="M64653" s="6"/>
      <c r="N64653" s="6"/>
      <c r="O64653" s="6"/>
      <c r="P64653" s="6"/>
      <c r="Q64653" s="6"/>
      <c r="R64653" s="6"/>
      <c r="S64653" s="6"/>
      <c r="T64653" s="6"/>
      <c r="U64653" s="6"/>
      <c r="V64653" s="6"/>
      <c r="W64653" s="6"/>
      <c r="X64653" s="6"/>
      <c r="Y64653" s="6"/>
      <c r="Z64653" s="6"/>
      <c r="AA64653" s="6"/>
      <c r="AB64653" s="6"/>
      <c r="AC64653" s="6"/>
      <c r="AD64653" s="6"/>
      <c r="AE64653" s="6"/>
      <c r="AF64653" s="6"/>
      <c r="AG64653" s="6"/>
      <c r="AH64653" s="6"/>
      <c r="AI64653" s="6"/>
      <c r="AJ64653" s="6"/>
      <c r="AK64653" s="6"/>
      <c r="AL64653" s="6"/>
      <c r="AM64653" s="6"/>
    </row>
    <row r="64654" spans="2:39" ht="9.9499999999999993" hidden="1" customHeight="1" x14ac:dyDescent="0.2">
      <c r="B64654" s="6"/>
      <c r="C64654" s="6"/>
      <c r="D64654" s="6"/>
      <c r="E64654" s="6"/>
      <c r="F64654" s="6"/>
      <c r="G64654" s="6"/>
      <c r="H64654" s="6"/>
      <c r="I64654" s="6"/>
      <c r="J64654" s="6"/>
      <c r="K64654" s="6"/>
      <c r="L64654" s="6"/>
      <c r="M64654" s="6"/>
      <c r="N64654" s="6"/>
      <c r="O64654" s="6"/>
      <c r="P64654" s="6"/>
      <c r="Q64654" s="6"/>
      <c r="R64654" s="6"/>
      <c r="S64654" s="6"/>
      <c r="T64654" s="6"/>
      <c r="U64654" s="6"/>
      <c r="V64654" s="6"/>
      <c r="W64654" s="6"/>
      <c r="X64654" s="6"/>
      <c r="Y64654" s="6"/>
      <c r="Z64654" s="6"/>
      <c r="AA64654" s="6"/>
      <c r="AB64654" s="6"/>
      <c r="AC64654" s="6"/>
      <c r="AD64654" s="6"/>
      <c r="AE64654" s="6"/>
      <c r="AF64654" s="6"/>
      <c r="AG64654" s="6"/>
      <c r="AH64654" s="6"/>
      <c r="AI64654" s="6"/>
      <c r="AJ64654" s="6"/>
      <c r="AK64654" s="6"/>
      <c r="AL64654" s="6"/>
      <c r="AM64654" s="6"/>
    </row>
    <row r="64655" spans="2:39" ht="9.9499999999999993" hidden="1" customHeight="1" x14ac:dyDescent="0.2">
      <c r="B64655" s="6"/>
      <c r="C64655" s="6"/>
      <c r="D64655" s="6"/>
      <c r="E64655" s="6"/>
      <c r="F64655" s="6"/>
      <c r="G64655" s="6"/>
      <c r="H64655" s="6"/>
      <c r="I64655" s="6"/>
      <c r="J64655" s="6"/>
      <c r="K64655" s="6"/>
      <c r="L64655" s="6"/>
      <c r="M64655" s="6"/>
      <c r="N64655" s="6"/>
      <c r="O64655" s="6"/>
      <c r="P64655" s="6"/>
      <c r="Q64655" s="6"/>
      <c r="R64655" s="6"/>
      <c r="S64655" s="6"/>
      <c r="T64655" s="6"/>
      <c r="U64655" s="6"/>
      <c r="V64655" s="6"/>
      <c r="W64655" s="6"/>
      <c r="X64655" s="6"/>
      <c r="Y64655" s="6"/>
      <c r="Z64655" s="6"/>
      <c r="AA64655" s="6"/>
      <c r="AB64655" s="6"/>
      <c r="AC64655" s="6"/>
      <c r="AD64655" s="6"/>
      <c r="AE64655" s="6"/>
      <c r="AF64655" s="6"/>
      <c r="AG64655" s="6"/>
      <c r="AH64655" s="6"/>
      <c r="AI64655" s="6"/>
      <c r="AJ64655" s="6"/>
      <c r="AK64655" s="6"/>
      <c r="AL64655" s="6"/>
      <c r="AM64655" s="6"/>
    </row>
    <row r="64656" spans="2:39" ht="9.9499999999999993" hidden="1" customHeight="1" x14ac:dyDescent="0.2">
      <c r="B64656" s="6"/>
      <c r="C64656" s="6"/>
      <c r="D64656" s="6"/>
      <c r="E64656" s="6"/>
      <c r="F64656" s="6"/>
      <c r="G64656" s="6"/>
      <c r="H64656" s="6"/>
      <c r="I64656" s="6"/>
      <c r="J64656" s="6"/>
      <c r="K64656" s="6"/>
      <c r="L64656" s="6"/>
      <c r="M64656" s="6"/>
      <c r="N64656" s="6"/>
      <c r="O64656" s="6"/>
      <c r="P64656" s="6"/>
      <c r="Q64656" s="6"/>
      <c r="R64656" s="6"/>
      <c r="S64656" s="6"/>
      <c r="T64656" s="6"/>
      <c r="U64656" s="6"/>
      <c r="V64656" s="6"/>
      <c r="W64656" s="6"/>
      <c r="X64656" s="6"/>
      <c r="Y64656" s="6"/>
      <c r="Z64656" s="6"/>
      <c r="AA64656" s="6"/>
      <c r="AB64656" s="6"/>
      <c r="AC64656" s="6"/>
      <c r="AD64656" s="6"/>
      <c r="AE64656" s="6"/>
      <c r="AF64656" s="6"/>
      <c r="AG64656" s="6"/>
      <c r="AH64656" s="6"/>
      <c r="AI64656" s="6"/>
      <c r="AJ64656" s="6"/>
      <c r="AK64656" s="6"/>
      <c r="AL64656" s="6"/>
      <c r="AM64656" s="6"/>
    </row>
    <row r="64657" spans="2:39" ht="9.9499999999999993" hidden="1" customHeight="1" x14ac:dyDescent="0.2">
      <c r="B64657" s="6"/>
      <c r="C64657" s="6"/>
      <c r="D64657" s="6"/>
      <c r="E64657" s="6"/>
      <c r="F64657" s="6"/>
      <c r="G64657" s="6"/>
      <c r="H64657" s="6"/>
      <c r="I64657" s="6"/>
      <c r="J64657" s="6"/>
      <c r="K64657" s="6"/>
      <c r="L64657" s="6"/>
      <c r="M64657" s="6"/>
      <c r="N64657" s="6"/>
      <c r="O64657" s="6"/>
      <c r="P64657" s="6"/>
      <c r="Q64657" s="6"/>
      <c r="R64657" s="6"/>
      <c r="S64657" s="6"/>
      <c r="T64657" s="6"/>
      <c r="U64657" s="6"/>
      <c r="V64657" s="6"/>
      <c r="W64657" s="6"/>
      <c r="X64657" s="6"/>
      <c r="Y64657" s="6"/>
      <c r="Z64657" s="6"/>
      <c r="AA64657" s="6"/>
      <c r="AB64657" s="6"/>
      <c r="AC64657" s="6"/>
      <c r="AD64657" s="6"/>
      <c r="AE64657" s="6"/>
      <c r="AF64657" s="6"/>
      <c r="AG64657" s="6"/>
      <c r="AH64657" s="6"/>
      <c r="AI64657" s="6"/>
      <c r="AJ64657" s="6"/>
      <c r="AK64657" s="6"/>
      <c r="AL64657" s="6"/>
      <c r="AM64657" s="6"/>
    </row>
    <row r="64658" spans="2:39" ht="9.9499999999999993" hidden="1" customHeight="1" x14ac:dyDescent="0.2">
      <c r="B64658" s="6"/>
      <c r="C64658" s="6"/>
      <c r="D64658" s="6"/>
      <c r="E64658" s="6"/>
      <c r="F64658" s="6"/>
      <c r="G64658" s="6"/>
      <c r="H64658" s="6"/>
      <c r="I64658" s="6"/>
      <c r="J64658" s="6"/>
      <c r="K64658" s="6"/>
      <c r="L64658" s="6"/>
      <c r="M64658" s="6"/>
      <c r="N64658" s="6"/>
      <c r="O64658" s="6"/>
      <c r="P64658" s="6"/>
      <c r="Q64658" s="6"/>
      <c r="R64658" s="6"/>
      <c r="S64658" s="6"/>
      <c r="T64658" s="6"/>
      <c r="U64658" s="6"/>
      <c r="V64658" s="6"/>
      <c r="W64658" s="6"/>
      <c r="X64658" s="6"/>
      <c r="Y64658" s="6"/>
      <c r="Z64658" s="6"/>
      <c r="AA64658" s="6"/>
      <c r="AB64658" s="6"/>
      <c r="AC64658" s="6"/>
      <c r="AD64658" s="6"/>
      <c r="AE64658" s="6"/>
      <c r="AF64658" s="6"/>
      <c r="AG64658" s="6"/>
      <c r="AH64658" s="6"/>
      <c r="AI64658" s="6"/>
      <c r="AJ64658" s="6"/>
      <c r="AK64658" s="6"/>
      <c r="AL64658" s="6"/>
      <c r="AM64658" s="6"/>
    </row>
    <row r="64659" spans="2:39" ht="9.9499999999999993" hidden="1" customHeight="1" x14ac:dyDescent="0.2">
      <c r="B64659" s="6"/>
      <c r="C64659" s="6"/>
      <c r="D64659" s="6"/>
      <c r="E64659" s="6"/>
      <c r="F64659" s="6"/>
      <c r="G64659" s="6"/>
      <c r="H64659" s="6"/>
      <c r="I64659" s="6"/>
      <c r="J64659" s="6"/>
      <c r="K64659" s="6"/>
      <c r="L64659" s="6"/>
      <c r="M64659" s="6"/>
      <c r="N64659" s="6"/>
      <c r="O64659" s="6"/>
      <c r="P64659" s="6"/>
      <c r="Q64659" s="6"/>
      <c r="R64659" s="6"/>
      <c r="S64659" s="6"/>
      <c r="T64659" s="6"/>
      <c r="U64659" s="6"/>
      <c r="V64659" s="6"/>
      <c r="W64659" s="6"/>
      <c r="X64659" s="6"/>
      <c r="Y64659" s="6"/>
      <c r="Z64659" s="6"/>
      <c r="AA64659" s="6"/>
      <c r="AB64659" s="6"/>
      <c r="AC64659" s="6"/>
      <c r="AD64659" s="6"/>
      <c r="AE64659" s="6"/>
      <c r="AF64659" s="6"/>
      <c r="AG64659" s="6"/>
      <c r="AH64659" s="6"/>
      <c r="AI64659" s="6"/>
      <c r="AJ64659" s="6"/>
      <c r="AK64659" s="6"/>
      <c r="AL64659" s="6"/>
      <c r="AM64659" s="6"/>
    </row>
    <row r="64660" spans="2:39" ht="9.9499999999999993" hidden="1" customHeight="1" x14ac:dyDescent="0.2">
      <c r="B64660" s="6"/>
      <c r="C64660" s="6"/>
      <c r="D64660" s="6"/>
      <c r="E64660" s="6"/>
      <c r="F64660" s="6"/>
      <c r="G64660" s="6"/>
      <c r="H64660" s="6"/>
      <c r="I64660" s="6"/>
      <c r="J64660" s="6"/>
      <c r="K64660" s="6"/>
      <c r="L64660" s="6"/>
      <c r="M64660" s="6"/>
      <c r="N64660" s="6"/>
      <c r="O64660" s="6"/>
      <c r="P64660" s="6"/>
      <c r="Q64660" s="6"/>
      <c r="R64660" s="6"/>
      <c r="S64660" s="6"/>
      <c r="T64660" s="6"/>
      <c r="U64660" s="6"/>
      <c r="V64660" s="6"/>
      <c r="W64660" s="6"/>
      <c r="X64660" s="6"/>
      <c r="Y64660" s="6"/>
      <c r="Z64660" s="6"/>
      <c r="AA64660" s="6"/>
      <c r="AB64660" s="6"/>
      <c r="AC64660" s="6"/>
      <c r="AD64660" s="6"/>
      <c r="AE64660" s="6"/>
      <c r="AF64660" s="6"/>
      <c r="AG64660" s="6"/>
      <c r="AH64660" s="6"/>
      <c r="AI64660" s="6"/>
      <c r="AJ64660" s="6"/>
      <c r="AK64660" s="6"/>
      <c r="AL64660" s="6"/>
      <c r="AM64660" s="6"/>
    </row>
    <row r="64661" spans="2:39" ht="9.9499999999999993" hidden="1" customHeight="1" x14ac:dyDescent="0.2">
      <c r="B64661" s="6"/>
      <c r="C64661" s="6"/>
      <c r="D64661" s="6"/>
      <c r="E64661" s="6"/>
      <c r="F64661" s="6"/>
      <c r="G64661" s="6"/>
      <c r="H64661" s="6"/>
      <c r="I64661" s="6"/>
      <c r="J64661" s="6"/>
      <c r="K64661" s="6"/>
      <c r="L64661" s="6"/>
      <c r="M64661" s="6"/>
      <c r="N64661" s="6"/>
      <c r="O64661" s="6"/>
      <c r="P64661" s="6"/>
      <c r="Q64661" s="6"/>
      <c r="R64661" s="6"/>
      <c r="S64661" s="6"/>
      <c r="T64661" s="6"/>
      <c r="U64661" s="6"/>
      <c r="V64661" s="6"/>
      <c r="W64661" s="6"/>
      <c r="X64661" s="6"/>
      <c r="Y64661" s="6"/>
      <c r="Z64661" s="6"/>
      <c r="AA64661" s="6"/>
      <c r="AB64661" s="6"/>
      <c r="AC64661" s="6"/>
      <c r="AD64661" s="6"/>
      <c r="AE64661" s="6"/>
      <c r="AF64661" s="6"/>
      <c r="AG64661" s="6"/>
      <c r="AH64661" s="6"/>
      <c r="AI64661" s="6"/>
      <c r="AJ64661" s="6"/>
      <c r="AK64661" s="6"/>
      <c r="AL64661" s="6"/>
      <c r="AM64661" s="6"/>
    </row>
    <row r="64662" spans="2:39" ht="9.9499999999999993" hidden="1" customHeight="1" x14ac:dyDescent="0.2">
      <c r="B64662" s="6"/>
      <c r="C64662" s="6"/>
      <c r="D64662" s="6"/>
      <c r="E64662" s="6"/>
      <c r="F64662" s="6"/>
      <c r="G64662" s="6"/>
      <c r="H64662" s="6"/>
      <c r="I64662" s="6"/>
      <c r="J64662" s="6"/>
      <c r="K64662" s="6"/>
      <c r="L64662" s="6"/>
      <c r="M64662" s="6"/>
      <c r="N64662" s="6"/>
      <c r="O64662" s="6"/>
      <c r="P64662" s="6"/>
      <c r="Q64662" s="6"/>
      <c r="R64662" s="6"/>
      <c r="S64662" s="6"/>
      <c r="T64662" s="6"/>
      <c r="U64662" s="6"/>
      <c r="V64662" s="6"/>
      <c r="W64662" s="6"/>
      <c r="X64662" s="6"/>
      <c r="Y64662" s="6"/>
      <c r="Z64662" s="6"/>
      <c r="AA64662" s="6"/>
      <c r="AB64662" s="6"/>
      <c r="AC64662" s="6"/>
      <c r="AD64662" s="6"/>
      <c r="AE64662" s="6"/>
      <c r="AF64662" s="6"/>
      <c r="AG64662" s="6"/>
      <c r="AH64662" s="6"/>
      <c r="AI64662" s="6"/>
      <c r="AJ64662" s="6"/>
      <c r="AK64662" s="6"/>
      <c r="AL64662" s="6"/>
      <c r="AM64662" s="6"/>
    </row>
    <row r="64663" spans="2:39" ht="9.9499999999999993" hidden="1" customHeight="1" x14ac:dyDescent="0.2">
      <c r="B64663" s="6"/>
      <c r="C64663" s="6"/>
      <c r="D64663" s="6"/>
      <c r="E64663" s="6"/>
      <c r="F64663" s="6"/>
      <c r="G64663" s="6"/>
      <c r="H64663" s="6"/>
      <c r="I64663" s="6"/>
      <c r="J64663" s="6"/>
      <c r="K64663" s="6"/>
      <c r="L64663" s="6"/>
      <c r="M64663" s="6"/>
      <c r="N64663" s="6"/>
      <c r="O64663" s="6"/>
      <c r="P64663" s="6"/>
      <c r="Q64663" s="6"/>
      <c r="R64663" s="6"/>
      <c r="S64663" s="6"/>
      <c r="T64663" s="6"/>
      <c r="U64663" s="6"/>
      <c r="V64663" s="6"/>
      <c r="W64663" s="6"/>
      <c r="X64663" s="6"/>
      <c r="Y64663" s="6"/>
      <c r="Z64663" s="6"/>
      <c r="AA64663" s="6"/>
      <c r="AB64663" s="6"/>
      <c r="AC64663" s="6"/>
      <c r="AD64663" s="6"/>
      <c r="AE64663" s="6"/>
      <c r="AF64663" s="6"/>
      <c r="AG64663" s="6"/>
      <c r="AH64663" s="6"/>
      <c r="AI64663" s="6"/>
      <c r="AJ64663" s="6"/>
      <c r="AK64663" s="6"/>
      <c r="AL64663" s="6"/>
      <c r="AM64663" s="6"/>
    </row>
    <row r="64664" spans="2:39" ht="9.9499999999999993" hidden="1" customHeight="1" x14ac:dyDescent="0.2">
      <c r="B64664" s="6"/>
      <c r="C64664" s="6"/>
      <c r="D64664" s="6"/>
      <c r="E64664" s="6"/>
      <c r="F64664" s="6"/>
      <c r="G64664" s="6"/>
      <c r="H64664" s="6"/>
      <c r="I64664" s="6"/>
      <c r="J64664" s="6"/>
      <c r="K64664" s="6"/>
      <c r="L64664" s="6"/>
      <c r="M64664" s="6"/>
      <c r="N64664" s="6"/>
      <c r="O64664" s="6"/>
      <c r="P64664" s="6"/>
      <c r="Q64664" s="6"/>
      <c r="R64664" s="6"/>
      <c r="S64664" s="6"/>
      <c r="T64664" s="6"/>
      <c r="U64664" s="6"/>
      <c r="V64664" s="6"/>
      <c r="W64664" s="6"/>
      <c r="X64664" s="6"/>
      <c r="Y64664" s="6"/>
      <c r="Z64664" s="6"/>
      <c r="AA64664" s="6"/>
      <c r="AB64664" s="6"/>
      <c r="AC64664" s="6"/>
      <c r="AD64664" s="6"/>
      <c r="AE64664" s="6"/>
      <c r="AF64664" s="6"/>
      <c r="AG64664" s="6"/>
      <c r="AH64664" s="6"/>
      <c r="AI64664" s="6"/>
      <c r="AJ64664" s="6"/>
      <c r="AK64664" s="6"/>
      <c r="AL64664" s="6"/>
      <c r="AM64664" s="6"/>
    </row>
    <row r="64665" spans="2:39" ht="9.9499999999999993" hidden="1" customHeight="1" x14ac:dyDescent="0.2">
      <c r="B64665" s="6"/>
      <c r="C64665" s="6"/>
      <c r="D64665" s="6"/>
      <c r="E64665" s="6"/>
      <c r="F64665" s="6"/>
      <c r="G64665" s="6"/>
      <c r="H64665" s="6"/>
      <c r="I64665" s="6"/>
      <c r="J64665" s="6"/>
      <c r="K64665" s="6"/>
      <c r="L64665" s="6"/>
      <c r="M64665" s="6"/>
      <c r="N64665" s="6"/>
      <c r="O64665" s="6"/>
      <c r="P64665" s="6"/>
      <c r="Q64665" s="6"/>
      <c r="R64665" s="6"/>
      <c r="S64665" s="6"/>
      <c r="T64665" s="6"/>
      <c r="U64665" s="6"/>
      <c r="V64665" s="6"/>
      <c r="W64665" s="6"/>
      <c r="X64665" s="6"/>
      <c r="Y64665" s="6"/>
      <c r="Z64665" s="6"/>
      <c r="AA64665" s="6"/>
      <c r="AB64665" s="6"/>
      <c r="AC64665" s="6"/>
      <c r="AD64665" s="6"/>
      <c r="AE64665" s="6"/>
      <c r="AF64665" s="6"/>
      <c r="AG64665" s="6"/>
      <c r="AH64665" s="6"/>
      <c r="AI64665" s="6"/>
      <c r="AJ64665" s="6"/>
      <c r="AK64665" s="6"/>
      <c r="AL64665" s="6"/>
      <c r="AM64665" s="6"/>
    </row>
    <row r="64666" spans="2:39" ht="9.9499999999999993" hidden="1" customHeight="1" x14ac:dyDescent="0.2">
      <c r="B64666" s="6"/>
      <c r="C64666" s="6"/>
      <c r="D64666" s="6"/>
      <c r="E64666" s="6"/>
      <c r="F64666" s="6"/>
      <c r="G64666" s="6"/>
      <c r="H64666" s="6"/>
      <c r="I64666" s="6"/>
      <c r="J64666" s="6"/>
      <c r="K64666" s="6"/>
      <c r="L64666" s="6"/>
      <c r="M64666" s="6"/>
      <c r="N64666" s="6"/>
      <c r="O64666" s="6"/>
      <c r="P64666" s="6"/>
      <c r="Q64666" s="6"/>
      <c r="R64666" s="6"/>
      <c r="S64666" s="6"/>
      <c r="T64666" s="6"/>
      <c r="U64666" s="6"/>
      <c r="V64666" s="6"/>
      <c r="W64666" s="6"/>
      <c r="X64666" s="6"/>
      <c r="Y64666" s="6"/>
      <c r="Z64666" s="6"/>
      <c r="AA64666" s="6"/>
      <c r="AB64666" s="6"/>
      <c r="AC64666" s="6"/>
      <c r="AD64666" s="6"/>
      <c r="AE64666" s="6"/>
      <c r="AF64666" s="6"/>
      <c r="AG64666" s="6"/>
      <c r="AH64666" s="6"/>
      <c r="AI64666" s="6"/>
      <c r="AJ64666" s="6"/>
      <c r="AK64666" s="6"/>
      <c r="AL64666" s="6"/>
      <c r="AM64666" s="6"/>
    </row>
    <row r="64667" spans="2:39" ht="9.9499999999999993" hidden="1" customHeight="1" x14ac:dyDescent="0.2">
      <c r="B64667" s="6"/>
      <c r="C64667" s="6"/>
      <c r="D64667" s="6"/>
      <c r="E64667" s="6"/>
      <c r="F64667" s="6"/>
      <c r="G64667" s="6"/>
      <c r="H64667" s="6"/>
      <c r="I64667" s="6"/>
      <c r="J64667" s="6"/>
      <c r="K64667" s="6"/>
      <c r="L64667" s="6"/>
      <c r="M64667" s="6"/>
      <c r="N64667" s="6"/>
      <c r="O64667" s="6"/>
      <c r="P64667" s="6"/>
      <c r="Q64667" s="6"/>
      <c r="R64667" s="6"/>
      <c r="S64667" s="6"/>
      <c r="T64667" s="6"/>
      <c r="U64667" s="6"/>
      <c r="V64667" s="6"/>
      <c r="W64667" s="6"/>
      <c r="X64667" s="6"/>
      <c r="Y64667" s="6"/>
      <c r="Z64667" s="6"/>
      <c r="AA64667" s="6"/>
      <c r="AB64667" s="6"/>
      <c r="AC64667" s="6"/>
      <c r="AD64667" s="6"/>
      <c r="AE64667" s="6"/>
      <c r="AF64667" s="6"/>
      <c r="AG64667" s="6"/>
      <c r="AH64667" s="6"/>
      <c r="AI64667" s="6"/>
      <c r="AJ64667" s="6"/>
      <c r="AK64667" s="6"/>
      <c r="AL64667" s="6"/>
      <c r="AM64667" s="6"/>
    </row>
    <row r="64668" spans="2:39" ht="9.9499999999999993" hidden="1" customHeight="1" x14ac:dyDescent="0.2">
      <c r="B64668" s="6"/>
      <c r="C64668" s="6"/>
      <c r="D64668" s="6"/>
      <c r="E64668" s="6"/>
      <c r="F64668" s="6"/>
      <c r="G64668" s="6"/>
      <c r="H64668" s="6"/>
      <c r="I64668" s="6"/>
      <c r="J64668" s="6"/>
      <c r="K64668" s="6"/>
      <c r="L64668" s="6"/>
      <c r="M64668" s="6"/>
      <c r="N64668" s="6"/>
      <c r="O64668" s="6"/>
      <c r="P64668" s="6"/>
      <c r="Q64668" s="6"/>
      <c r="R64668" s="6"/>
      <c r="S64668" s="6"/>
      <c r="T64668" s="6"/>
      <c r="U64668" s="6"/>
      <c r="V64668" s="6"/>
      <c r="W64668" s="6"/>
      <c r="X64668" s="6"/>
      <c r="Y64668" s="6"/>
      <c r="Z64668" s="6"/>
      <c r="AA64668" s="6"/>
      <c r="AB64668" s="6"/>
      <c r="AC64668" s="6"/>
      <c r="AD64668" s="6"/>
      <c r="AE64668" s="6"/>
      <c r="AF64668" s="6"/>
      <c r="AG64668" s="6"/>
      <c r="AH64668" s="6"/>
      <c r="AI64668" s="6"/>
      <c r="AJ64668" s="6"/>
      <c r="AK64668" s="6"/>
      <c r="AL64668" s="6"/>
      <c r="AM64668" s="6"/>
    </row>
    <row r="64669" spans="2:39" ht="9.9499999999999993" hidden="1" customHeight="1" x14ac:dyDescent="0.2">
      <c r="B64669" s="6"/>
      <c r="C64669" s="6"/>
      <c r="D64669" s="6"/>
      <c r="E64669" s="6"/>
      <c r="F64669" s="6"/>
      <c r="G64669" s="6"/>
      <c r="H64669" s="6"/>
      <c r="I64669" s="6"/>
      <c r="J64669" s="6"/>
      <c r="K64669" s="6"/>
      <c r="L64669" s="6"/>
      <c r="M64669" s="6"/>
      <c r="N64669" s="6"/>
      <c r="O64669" s="6"/>
      <c r="P64669" s="6"/>
      <c r="Q64669" s="6"/>
      <c r="R64669" s="6"/>
      <c r="S64669" s="6"/>
      <c r="T64669" s="6"/>
      <c r="U64669" s="6"/>
      <c r="V64669" s="6"/>
      <c r="W64669" s="6"/>
      <c r="X64669" s="6"/>
      <c r="Y64669" s="6"/>
      <c r="Z64669" s="6"/>
      <c r="AA64669" s="6"/>
      <c r="AB64669" s="6"/>
      <c r="AC64669" s="6"/>
      <c r="AD64669" s="6"/>
      <c r="AE64669" s="6"/>
      <c r="AF64669" s="6"/>
      <c r="AG64669" s="6"/>
      <c r="AH64669" s="6"/>
      <c r="AI64669" s="6"/>
      <c r="AJ64669" s="6"/>
      <c r="AK64669" s="6"/>
      <c r="AL64669" s="6"/>
      <c r="AM64669" s="6"/>
    </row>
    <row r="64670" spans="2:39" ht="9.9499999999999993" hidden="1" customHeight="1" x14ac:dyDescent="0.2">
      <c r="B64670" s="6"/>
      <c r="C64670" s="6"/>
      <c r="D64670" s="6"/>
      <c r="E64670" s="6"/>
      <c r="F64670" s="6"/>
      <c r="G64670" s="6"/>
      <c r="H64670" s="6"/>
      <c r="I64670" s="6"/>
      <c r="J64670" s="6"/>
      <c r="K64670" s="6"/>
      <c r="L64670" s="6"/>
      <c r="M64670" s="6"/>
      <c r="N64670" s="6"/>
      <c r="O64670" s="6"/>
      <c r="P64670" s="6"/>
      <c r="Q64670" s="6"/>
      <c r="R64670" s="6"/>
      <c r="S64670" s="6"/>
      <c r="T64670" s="6"/>
      <c r="U64670" s="6"/>
      <c r="V64670" s="6"/>
      <c r="W64670" s="6"/>
      <c r="X64670" s="6"/>
      <c r="Y64670" s="6"/>
      <c r="Z64670" s="6"/>
      <c r="AA64670" s="6"/>
      <c r="AB64670" s="6"/>
      <c r="AC64670" s="6"/>
      <c r="AD64670" s="6"/>
      <c r="AE64670" s="6"/>
      <c r="AF64670" s="6"/>
      <c r="AG64670" s="6"/>
      <c r="AH64670" s="6"/>
      <c r="AI64670" s="6"/>
      <c r="AJ64670" s="6"/>
      <c r="AK64670" s="6"/>
      <c r="AL64670" s="6"/>
      <c r="AM64670" s="6"/>
    </row>
    <row r="64671" spans="2:39" ht="9.9499999999999993" hidden="1" customHeight="1" x14ac:dyDescent="0.2">
      <c r="B64671" s="6"/>
      <c r="C64671" s="6"/>
      <c r="D64671" s="6"/>
      <c r="E64671" s="6"/>
      <c r="F64671" s="6"/>
      <c r="G64671" s="6"/>
      <c r="H64671" s="6"/>
      <c r="I64671" s="6"/>
      <c r="J64671" s="6"/>
      <c r="K64671" s="6"/>
      <c r="L64671" s="6"/>
      <c r="M64671" s="6"/>
      <c r="N64671" s="6"/>
      <c r="O64671" s="6"/>
      <c r="P64671" s="6"/>
      <c r="Q64671" s="6"/>
      <c r="R64671" s="6"/>
      <c r="S64671" s="6"/>
      <c r="T64671" s="6"/>
      <c r="U64671" s="6"/>
      <c r="V64671" s="6"/>
      <c r="W64671" s="6"/>
      <c r="X64671" s="6"/>
      <c r="Y64671" s="6"/>
      <c r="Z64671" s="6"/>
      <c r="AA64671" s="6"/>
      <c r="AB64671" s="6"/>
      <c r="AC64671" s="6"/>
      <c r="AD64671" s="6"/>
      <c r="AE64671" s="6"/>
      <c r="AF64671" s="6"/>
      <c r="AG64671" s="6"/>
      <c r="AH64671" s="6"/>
      <c r="AI64671" s="6"/>
      <c r="AJ64671" s="6"/>
      <c r="AK64671" s="6"/>
      <c r="AL64671" s="6"/>
      <c r="AM64671" s="6"/>
    </row>
    <row r="64672" spans="2:39" ht="9.9499999999999993" hidden="1" customHeight="1" x14ac:dyDescent="0.2">
      <c r="B64672" s="6"/>
      <c r="C64672" s="6"/>
      <c r="D64672" s="6"/>
      <c r="E64672" s="6"/>
      <c r="F64672" s="6"/>
      <c r="G64672" s="6"/>
      <c r="H64672" s="6"/>
      <c r="I64672" s="6"/>
      <c r="J64672" s="6"/>
      <c r="K64672" s="6"/>
      <c r="L64672" s="6"/>
      <c r="M64672" s="6"/>
      <c r="N64672" s="6"/>
      <c r="O64672" s="6"/>
      <c r="P64672" s="6"/>
      <c r="Q64672" s="6"/>
      <c r="R64672" s="6"/>
      <c r="S64672" s="6"/>
      <c r="T64672" s="6"/>
      <c r="U64672" s="6"/>
      <c r="V64672" s="6"/>
      <c r="W64672" s="6"/>
      <c r="X64672" s="6"/>
      <c r="Y64672" s="6"/>
      <c r="Z64672" s="6"/>
      <c r="AA64672" s="6"/>
      <c r="AB64672" s="6"/>
      <c r="AC64672" s="6"/>
      <c r="AD64672" s="6"/>
      <c r="AE64672" s="6"/>
      <c r="AF64672" s="6"/>
      <c r="AG64672" s="6"/>
      <c r="AH64672" s="6"/>
      <c r="AI64672" s="6"/>
      <c r="AJ64672" s="6"/>
      <c r="AK64672" s="6"/>
      <c r="AL64672" s="6"/>
      <c r="AM64672" s="6"/>
    </row>
    <row r="64673" spans="2:39" ht="9.9499999999999993" hidden="1" customHeight="1" x14ac:dyDescent="0.2">
      <c r="B64673" s="6"/>
      <c r="C64673" s="6"/>
      <c r="D64673" s="6"/>
      <c r="E64673" s="6"/>
      <c r="F64673" s="6"/>
      <c r="G64673" s="6"/>
      <c r="H64673" s="6"/>
      <c r="I64673" s="6"/>
      <c r="J64673" s="6"/>
      <c r="K64673" s="6"/>
      <c r="L64673" s="6"/>
      <c r="M64673" s="6"/>
      <c r="N64673" s="6"/>
      <c r="O64673" s="6"/>
      <c r="P64673" s="6"/>
      <c r="Q64673" s="6"/>
      <c r="R64673" s="6"/>
      <c r="S64673" s="6"/>
      <c r="T64673" s="6"/>
      <c r="U64673" s="6"/>
      <c r="V64673" s="6"/>
      <c r="W64673" s="6"/>
      <c r="X64673" s="6"/>
      <c r="Y64673" s="6"/>
      <c r="Z64673" s="6"/>
      <c r="AA64673" s="6"/>
      <c r="AB64673" s="6"/>
      <c r="AC64673" s="6"/>
      <c r="AD64673" s="6"/>
      <c r="AE64673" s="6"/>
      <c r="AF64673" s="6"/>
      <c r="AG64673" s="6"/>
      <c r="AH64673" s="6"/>
      <c r="AI64673" s="6"/>
      <c r="AJ64673" s="6"/>
      <c r="AK64673" s="6"/>
      <c r="AL64673" s="6"/>
      <c r="AM64673" s="6"/>
    </row>
    <row r="64674" spans="2:39" ht="9.9499999999999993" hidden="1" customHeight="1" x14ac:dyDescent="0.2">
      <c r="B64674" s="6"/>
      <c r="C64674" s="6"/>
      <c r="D64674" s="6"/>
      <c r="E64674" s="6"/>
      <c r="F64674" s="6"/>
      <c r="G64674" s="6"/>
      <c r="H64674" s="6"/>
      <c r="I64674" s="6"/>
      <c r="J64674" s="6"/>
      <c r="K64674" s="6"/>
      <c r="L64674" s="6"/>
      <c r="M64674" s="6"/>
      <c r="N64674" s="6"/>
      <c r="O64674" s="6"/>
      <c r="P64674" s="6"/>
      <c r="Q64674" s="6"/>
      <c r="R64674" s="6"/>
      <c r="S64674" s="6"/>
      <c r="T64674" s="6"/>
      <c r="U64674" s="6"/>
      <c r="V64674" s="6"/>
      <c r="W64674" s="6"/>
      <c r="X64674" s="6"/>
      <c r="Y64674" s="6"/>
      <c r="Z64674" s="6"/>
      <c r="AA64674" s="6"/>
      <c r="AB64674" s="6"/>
      <c r="AC64674" s="6"/>
      <c r="AD64674" s="6"/>
      <c r="AE64674" s="6"/>
      <c r="AF64674" s="6"/>
      <c r="AG64674" s="6"/>
      <c r="AH64674" s="6"/>
      <c r="AI64674" s="6"/>
      <c r="AJ64674" s="6"/>
      <c r="AK64674" s="6"/>
      <c r="AL64674" s="6"/>
      <c r="AM64674" s="6"/>
    </row>
    <row r="64675" spans="2:39" ht="9.9499999999999993" hidden="1" customHeight="1" x14ac:dyDescent="0.2">
      <c r="B64675" s="6"/>
      <c r="C64675" s="6"/>
      <c r="D64675" s="6"/>
      <c r="E64675" s="6"/>
      <c r="F64675" s="6"/>
      <c r="G64675" s="6"/>
      <c r="H64675" s="6"/>
      <c r="I64675" s="6"/>
      <c r="J64675" s="6"/>
      <c r="K64675" s="6"/>
      <c r="L64675" s="6"/>
      <c r="M64675" s="6"/>
      <c r="N64675" s="6"/>
      <c r="O64675" s="6"/>
      <c r="P64675" s="6"/>
      <c r="Q64675" s="6"/>
      <c r="R64675" s="6"/>
      <c r="S64675" s="6"/>
      <c r="T64675" s="6"/>
      <c r="U64675" s="6"/>
      <c r="V64675" s="6"/>
      <c r="W64675" s="6"/>
      <c r="X64675" s="6"/>
      <c r="Y64675" s="6"/>
      <c r="Z64675" s="6"/>
      <c r="AA64675" s="6"/>
      <c r="AB64675" s="6"/>
      <c r="AC64675" s="6"/>
      <c r="AD64675" s="6"/>
      <c r="AE64675" s="6"/>
      <c r="AF64675" s="6"/>
      <c r="AG64675" s="6"/>
      <c r="AH64675" s="6"/>
      <c r="AI64675" s="6"/>
      <c r="AJ64675" s="6"/>
      <c r="AK64675" s="6"/>
      <c r="AL64675" s="6"/>
      <c r="AM64675" s="6"/>
    </row>
    <row r="64676" spans="2:39" ht="9.9499999999999993" hidden="1" customHeight="1" x14ac:dyDescent="0.2">
      <c r="B64676" s="6"/>
      <c r="C64676" s="6"/>
      <c r="D64676" s="6"/>
      <c r="E64676" s="6"/>
      <c r="F64676" s="6"/>
      <c r="G64676" s="6"/>
      <c r="H64676" s="6"/>
      <c r="I64676" s="6"/>
      <c r="J64676" s="6"/>
      <c r="K64676" s="6"/>
      <c r="L64676" s="6"/>
      <c r="M64676" s="6"/>
      <c r="N64676" s="6"/>
      <c r="O64676" s="6"/>
      <c r="P64676" s="6"/>
      <c r="Q64676" s="6"/>
      <c r="R64676" s="6"/>
      <c r="S64676" s="6"/>
      <c r="T64676" s="6"/>
      <c r="U64676" s="6"/>
      <c r="V64676" s="6"/>
      <c r="W64676" s="6"/>
      <c r="X64676" s="6"/>
      <c r="Y64676" s="6"/>
      <c r="Z64676" s="6"/>
      <c r="AA64676" s="6"/>
      <c r="AB64676" s="6"/>
      <c r="AC64676" s="6"/>
      <c r="AD64676" s="6"/>
      <c r="AE64676" s="6"/>
      <c r="AF64676" s="6"/>
      <c r="AG64676" s="6"/>
      <c r="AH64676" s="6"/>
      <c r="AI64676" s="6"/>
      <c r="AJ64676" s="6"/>
      <c r="AK64676" s="6"/>
      <c r="AL64676" s="6"/>
      <c r="AM64676" s="6"/>
    </row>
    <row r="64677" spans="2:39" ht="9.9499999999999993" hidden="1" customHeight="1" x14ac:dyDescent="0.2">
      <c r="B64677" s="6"/>
      <c r="C64677" s="6"/>
      <c r="D64677" s="6"/>
      <c r="E64677" s="6"/>
      <c r="F64677" s="6"/>
      <c r="G64677" s="6"/>
      <c r="H64677" s="6"/>
      <c r="I64677" s="6"/>
      <c r="J64677" s="6"/>
      <c r="K64677" s="6"/>
      <c r="L64677" s="6"/>
      <c r="M64677" s="6"/>
      <c r="N64677" s="6"/>
      <c r="O64677" s="6"/>
      <c r="P64677" s="6"/>
      <c r="Q64677" s="6"/>
      <c r="R64677" s="6"/>
      <c r="S64677" s="6"/>
      <c r="T64677" s="6"/>
      <c r="U64677" s="6"/>
      <c r="V64677" s="6"/>
      <c r="W64677" s="6"/>
      <c r="X64677" s="6"/>
      <c r="Y64677" s="6"/>
      <c r="Z64677" s="6"/>
      <c r="AA64677" s="6"/>
      <c r="AB64677" s="6"/>
      <c r="AC64677" s="6"/>
      <c r="AD64677" s="6"/>
      <c r="AE64677" s="6"/>
      <c r="AF64677" s="6"/>
      <c r="AG64677" s="6"/>
      <c r="AH64677" s="6"/>
      <c r="AI64677" s="6"/>
      <c r="AJ64677" s="6"/>
      <c r="AK64677" s="6"/>
      <c r="AL64677" s="6"/>
      <c r="AM64677" s="6"/>
    </row>
    <row r="64678" spans="2:39" ht="9.9499999999999993" hidden="1" customHeight="1" x14ac:dyDescent="0.2">
      <c r="B64678" s="6"/>
      <c r="C64678" s="6"/>
      <c r="D64678" s="6"/>
      <c r="E64678" s="6"/>
      <c r="F64678" s="6"/>
      <c r="G64678" s="6"/>
      <c r="H64678" s="6"/>
      <c r="I64678" s="6"/>
      <c r="J64678" s="6"/>
      <c r="K64678" s="6"/>
      <c r="L64678" s="6"/>
      <c r="M64678" s="6"/>
      <c r="N64678" s="6"/>
      <c r="O64678" s="6"/>
      <c r="P64678" s="6"/>
      <c r="Q64678" s="6"/>
      <c r="R64678" s="6"/>
      <c r="S64678" s="6"/>
      <c r="T64678" s="6"/>
      <c r="U64678" s="6"/>
      <c r="V64678" s="6"/>
      <c r="W64678" s="6"/>
      <c r="X64678" s="6"/>
      <c r="Y64678" s="6"/>
      <c r="Z64678" s="6"/>
      <c r="AA64678" s="6"/>
      <c r="AB64678" s="6"/>
      <c r="AC64678" s="6"/>
      <c r="AD64678" s="6"/>
      <c r="AE64678" s="6"/>
      <c r="AF64678" s="6"/>
      <c r="AG64678" s="6"/>
      <c r="AH64678" s="6"/>
      <c r="AI64678" s="6"/>
      <c r="AJ64678" s="6"/>
      <c r="AK64678" s="6"/>
      <c r="AL64678" s="6"/>
      <c r="AM64678" s="6"/>
    </row>
    <row r="64679" spans="2:39" ht="9.9499999999999993" hidden="1" customHeight="1" x14ac:dyDescent="0.2">
      <c r="B64679" s="6"/>
      <c r="C64679" s="6"/>
      <c r="D64679" s="6"/>
      <c r="E64679" s="6"/>
      <c r="F64679" s="6"/>
      <c r="G64679" s="6"/>
      <c r="H64679" s="6"/>
      <c r="I64679" s="6"/>
      <c r="J64679" s="6"/>
      <c r="K64679" s="6"/>
      <c r="L64679" s="6"/>
      <c r="M64679" s="6"/>
      <c r="N64679" s="6"/>
      <c r="O64679" s="6"/>
      <c r="P64679" s="6"/>
      <c r="Q64679" s="6"/>
      <c r="R64679" s="6"/>
      <c r="S64679" s="6"/>
      <c r="T64679" s="6"/>
      <c r="U64679" s="6"/>
      <c r="V64679" s="6"/>
      <c r="W64679" s="6"/>
      <c r="X64679" s="6"/>
      <c r="Y64679" s="6"/>
      <c r="Z64679" s="6"/>
      <c r="AA64679" s="6"/>
      <c r="AB64679" s="6"/>
      <c r="AC64679" s="6"/>
      <c r="AD64679" s="6"/>
      <c r="AE64679" s="6"/>
      <c r="AF64679" s="6"/>
      <c r="AG64679" s="6"/>
      <c r="AH64679" s="6"/>
      <c r="AI64679" s="6"/>
      <c r="AJ64679" s="6"/>
      <c r="AK64679" s="6"/>
      <c r="AL64679" s="6"/>
      <c r="AM64679" s="6"/>
    </row>
    <row r="64680" spans="2:39" ht="9.9499999999999993" hidden="1" customHeight="1" x14ac:dyDescent="0.2">
      <c r="B64680" s="6"/>
      <c r="C64680" s="6"/>
      <c r="D64680" s="6"/>
      <c r="E64680" s="6"/>
      <c r="F64680" s="6"/>
      <c r="G64680" s="6"/>
      <c r="H64680" s="6"/>
      <c r="I64680" s="6"/>
      <c r="J64680" s="6"/>
      <c r="K64680" s="6"/>
      <c r="L64680" s="6"/>
      <c r="M64680" s="6"/>
      <c r="N64680" s="6"/>
      <c r="O64680" s="6"/>
      <c r="P64680" s="6"/>
      <c r="Q64680" s="6"/>
      <c r="R64680" s="6"/>
      <c r="S64680" s="6"/>
      <c r="T64680" s="6"/>
      <c r="U64680" s="6"/>
      <c r="V64680" s="6"/>
      <c r="W64680" s="6"/>
      <c r="X64680" s="6"/>
      <c r="Y64680" s="6"/>
      <c r="Z64680" s="6"/>
      <c r="AA64680" s="6"/>
      <c r="AB64680" s="6"/>
      <c r="AC64680" s="6"/>
      <c r="AD64680" s="6"/>
      <c r="AE64680" s="6"/>
      <c r="AF64680" s="6"/>
      <c r="AG64680" s="6"/>
      <c r="AH64680" s="6"/>
      <c r="AI64680" s="6"/>
      <c r="AJ64680" s="6"/>
      <c r="AK64680" s="6"/>
      <c r="AL64680" s="6"/>
      <c r="AM64680" s="6"/>
    </row>
    <row r="64681" spans="2:39" ht="9.9499999999999993" hidden="1" customHeight="1" x14ac:dyDescent="0.2">
      <c r="B64681" s="6"/>
      <c r="C64681" s="6"/>
      <c r="D64681" s="6"/>
      <c r="E64681" s="6"/>
      <c r="F64681" s="6"/>
      <c r="G64681" s="6"/>
      <c r="H64681" s="6"/>
      <c r="I64681" s="6"/>
      <c r="J64681" s="6"/>
      <c r="K64681" s="6"/>
      <c r="L64681" s="6"/>
      <c r="M64681" s="6"/>
      <c r="N64681" s="6"/>
      <c r="O64681" s="6"/>
      <c r="P64681" s="6"/>
      <c r="Q64681" s="6"/>
      <c r="R64681" s="6"/>
      <c r="S64681" s="6"/>
      <c r="T64681" s="6"/>
      <c r="U64681" s="6"/>
      <c r="V64681" s="6"/>
      <c r="W64681" s="6"/>
      <c r="X64681" s="6"/>
      <c r="Y64681" s="6"/>
      <c r="Z64681" s="6"/>
      <c r="AA64681" s="6"/>
      <c r="AB64681" s="6"/>
      <c r="AC64681" s="6"/>
      <c r="AD64681" s="6"/>
      <c r="AE64681" s="6"/>
      <c r="AF64681" s="6"/>
      <c r="AG64681" s="6"/>
      <c r="AH64681" s="6"/>
      <c r="AI64681" s="6"/>
      <c r="AJ64681" s="6"/>
      <c r="AK64681" s="6"/>
      <c r="AL64681" s="6"/>
      <c r="AM64681" s="6"/>
    </row>
    <row r="64682" spans="2:39" ht="9.9499999999999993" hidden="1" customHeight="1" x14ac:dyDescent="0.2">
      <c r="B64682" s="6"/>
      <c r="C64682" s="6"/>
      <c r="D64682" s="6"/>
      <c r="E64682" s="6"/>
      <c r="F64682" s="6"/>
      <c r="G64682" s="6"/>
      <c r="H64682" s="6"/>
      <c r="I64682" s="6"/>
      <c r="J64682" s="6"/>
      <c r="K64682" s="6"/>
      <c r="L64682" s="6"/>
      <c r="M64682" s="6"/>
      <c r="N64682" s="6"/>
      <c r="O64682" s="6"/>
      <c r="P64682" s="6"/>
      <c r="Q64682" s="6"/>
      <c r="R64682" s="6"/>
      <c r="S64682" s="6"/>
      <c r="T64682" s="6"/>
      <c r="U64682" s="6"/>
      <c r="V64682" s="6"/>
      <c r="W64682" s="6"/>
      <c r="X64682" s="6"/>
      <c r="Y64682" s="6"/>
      <c r="Z64682" s="6"/>
      <c r="AA64682" s="6"/>
      <c r="AB64682" s="6"/>
      <c r="AC64682" s="6"/>
      <c r="AD64682" s="6"/>
      <c r="AE64682" s="6"/>
      <c r="AF64682" s="6"/>
      <c r="AG64682" s="6"/>
      <c r="AH64682" s="6"/>
      <c r="AI64682" s="6"/>
      <c r="AJ64682" s="6"/>
      <c r="AK64682" s="6"/>
      <c r="AL64682" s="6"/>
      <c r="AM64682" s="6"/>
    </row>
    <row r="64683" spans="2:39" ht="9.9499999999999993" hidden="1" customHeight="1" x14ac:dyDescent="0.2">
      <c r="B64683" s="6"/>
      <c r="C64683" s="6"/>
      <c r="D64683" s="6"/>
      <c r="E64683" s="6"/>
      <c r="F64683" s="6"/>
      <c r="G64683" s="6"/>
      <c r="H64683" s="6"/>
      <c r="I64683" s="6"/>
      <c r="J64683" s="6"/>
      <c r="K64683" s="6"/>
      <c r="L64683" s="6"/>
      <c r="M64683" s="6"/>
      <c r="N64683" s="6"/>
      <c r="O64683" s="6"/>
      <c r="P64683" s="6"/>
      <c r="Q64683" s="6"/>
      <c r="R64683" s="6"/>
      <c r="S64683" s="6"/>
      <c r="T64683" s="6"/>
      <c r="U64683" s="6"/>
      <c r="V64683" s="6"/>
      <c r="W64683" s="6"/>
      <c r="X64683" s="6"/>
      <c r="Y64683" s="6"/>
      <c r="Z64683" s="6"/>
      <c r="AA64683" s="6"/>
      <c r="AB64683" s="6"/>
      <c r="AC64683" s="6"/>
      <c r="AD64683" s="6"/>
      <c r="AE64683" s="6"/>
      <c r="AF64683" s="6"/>
      <c r="AG64683" s="6"/>
      <c r="AH64683" s="6"/>
      <c r="AI64683" s="6"/>
      <c r="AJ64683" s="6"/>
      <c r="AK64683" s="6"/>
      <c r="AL64683" s="6"/>
      <c r="AM64683" s="6"/>
    </row>
    <row r="64684" spans="2:39" ht="9.9499999999999993" hidden="1" customHeight="1" x14ac:dyDescent="0.2">
      <c r="B64684" s="6"/>
      <c r="C64684" s="6"/>
      <c r="D64684" s="6"/>
      <c r="E64684" s="6"/>
      <c r="F64684" s="6"/>
      <c r="G64684" s="6"/>
      <c r="H64684" s="6"/>
      <c r="I64684" s="6"/>
      <c r="J64684" s="6"/>
      <c r="K64684" s="6"/>
      <c r="L64684" s="6"/>
      <c r="M64684" s="6"/>
      <c r="N64684" s="6"/>
      <c r="O64684" s="6"/>
      <c r="P64684" s="6"/>
      <c r="Q64684" s="6"/>
      <c r="R64684" s="6"/>
      <c r="S64684" s="6"/>
      <c r="T64684" s="6"/>
      <c r="U64684" s="6"/>
      <c r="V64684" s="6"/>
      <c r="W64684" s="6"/>
      <c r="X64684" s="6"/>
      <c r="Y64684" s="6"/>
      <c r="Z64684" s="6"/>
      <c r="AA64684" s="6"/>
      <c r="AB64684" s="6"/>
      <c r="AC64684" s="6"/>
      <c r="AD64684" s="6"/>
      <c r="AE64684" s="6"/>
      <c r="AF64684" s="6"/>
      <c r="AG64684" s="6"/>
      <c r="AH64684" s="6"/>
      <c r="AI64684" s="6"/>
      <c r="AJ64684" s="6"/>
      <c r="AK64684" s="6"/>
      <c r="AL64684" s="6"/>
      <c r="AM64684" s="6"/>
    </row>
    <row r="64685" spans="2:39" ht="9.9499999999999993" hidden="1" customHeight="1" x14ac:dyDescent="0.2">
      <c r="B64685" s="6"/>
      <c r="C64685" s="6"/>
      <c r="D64685" s="6"/>
      <c r="E64685" s="6"/>
      <c r="F64685" s="6"/>
      <c r="G64685" s="6"/>
      <c r="H64685" s="6"/>
      <c r="I64685" s="6"/>
      <c r="J64685" s="6"/>
      <c r="K64685" s="6"/>
      <c r="L64685" s="6"/>
      <c r="M64685" s="6"/>
      <c r="N64685" s="6"/>
      <c r="O64685" s="6"/>
      <c r="P64685" s="6"/>
      <c r="Q64685" s="6"/>
      <c r="R64685" s="6"/>
      <c r="S64685" s="6"/>
      <c r="T64685" s="6"/>
      <c r="U64685" s="6"/>
      <c r="V64685" s="6"/>
      <c r="W64685" s="6"/>
      <c r="X64685" s="6"/>
      <c r="Y64685" s="6"/>
      <c r="Z64685" s="6"/>
      <c r="AA64685" s="6"/>
      <c r="AB64685" s="6"/>
      <c r="AC64685" s="6"/>
      <c r="AD64685" s="6"/>
      <c r="AE64685" s="6"/>
      <c r="AF64685" s="6"/>
      <c r="AG64685" s="6"/>
      <c r="AH64685" s="6"/>
      <c r="AI64685" s="6"/>
      <c r="AJ64685" s="6"/>
      <c r="AK64685" s="6"/>
      <c r="AL64685" s="6"/>
      <c r="AM64685" s="6"/>
    </row>
    <row r="64686" spans="2:39" ht="9.9499999999999993" hidden="1" customHeight="1" x14ac:dyDescent="0.2">
      <c r="B64686" s="6"/>
      <c r="C64686" s="6"/>
      <c r="D64686" s="6"/>
      <c r="E64686" s="6"/>
      <c r="F64686" s="6"/>
      <c r="G64686" s="6"/>
      <c r="H64686" s="6"/>
      <c r="I64686" s="6"/>
      <c r="J64686" s="6"/>
      <c r="K64686" s="6"/>
      <c r="L64686" s="6"/>
      <c r="M64686" s="6"/>
      <c r="N64686" s="6"/>
      <c r="O64686" s="6"/>
      <c r="P64686" s="6"/>
      <c r="Q64686" s="6"/>
      <c r="R64686" s="6"/>
      <c r="S64686" s="6"/>
      <c r="T64686" s="6"/>
      <c r="U64686" s="6"/>
      <c r="V64686" s="6"/>
      <c r="W64686" s="6"/>
      <c r="X64686" s="6"/>
      <c r="Y64686" s="6"/>
      <c r="Z64686" s="6"/>
      <c r="AA64686" s="6"/>
      <c r="AB64686" s="6"/>
      <c r="AC64686" s="6"/>
      <c r="AD64686" s="6"/>
      <c r="AE64686" s="6"/>
      <c r="AF64686" s="6"/>
      <c r="AG64686" s="6"/>
      <c r="AH64686" s="6"/>
      <c r="AI64686" s="6"/>
      <c r="AJ64686" s="6"/>
      <c r="AK64686" s="6"/>
      <c r="AL64686" s="6"/>
      <c r="AM64686" s="6"/>
    </row>
    <row r="64687" spans="2:39" ht="9.9499999999999993" hidden="1" customHeight="1" x14ac:dyDescent="0.2">
      <c r="B64687" s="6"/>
      <c r="C64687" s="6"/>
      <c r="D64687" s="6"/>
      <c r="E64687" s="6"/>
      <c r="F64687" s="6"/>
      <c r="G64687" s="6"/>
      <c r="H64687" s="6"/>
      <c r="I64687" s="6"/>
      <c r="J64687" s="6"/>
      <c r="K64687" s="6"/>
      <c r="L64687" s="6"/>
      <c r="M64687" s="6"/>
      <c r="N64687" s="6"/>
      <c r="O64687" s="6"/>
      <c r="P64687" s="6"/>
      <c r="Q64687" s="6"/>
      <c r="R64687" s="6"/>
      <c r="S64687" s="6"/>
      <c r="T64687" s="6"/>
      <c r="U64687" s="6"/>
      <c r="V64687" s="6"/>
      <c r="W64687" s="6"/>
      <c r="X64687" s="6"/>
      <c r="Y64687" s="6"/>
      <c r="Z64687" s="6"/>
      <c r="AA64687" s="6"/>
      <c r="AB64687" s="6"/>
      <c r="AC64687" s="6"/>
      <c r="AD64687" s="6"/>
      <c r="AE64687" s="6"/>
      <c r="AF64687" s="6"/>
      <c r="AG64687" s="6"/>
      <c r="AH64687" s="6"/>
      <c r="AI64687" s="6"/>
      <c r="AJ64687" s="6"/>
      <c r="AK64687" s="6"/>
      <c r="AL64687" s="6"/>
      <c r="AM64687" s="6"/>
    </row>
    <row r="64688" spans="2:39" ht="9.9499999999999993" hidden="1" customHeight="1" x14ac:dyDescent="0.2">
      <c r="B64688" s="6"/>
      <c r="C64688" s="6"/>
      <c r="D64688" s="6"/>
      <c r="E64688" s="6"/>
      <c r="F64688" s="6"/>
      <c r="G64688" s="6"/>
      <c r="H64688" s="6"/>
      <c r="I64688" s="6"/>
      <c r="J64688" s="6"/>
      <c r="K64688" s="6"/>
      <c r="L64688" s="6"/>
      <c r="M64688" s="6"/>
      <c r="N64688" s="6"/>
      <c r="O64688" s="6"/>
      <c r="P64688" s="6"/>
      <c r="Q64688" s="6"/>
      <c r="R64688" s="6"/>
      <c r="S64688" s="6"/>
      <c r="T64688" s="6"/>
      <c r="U64688" s="6"/>
      <c r="V64688" s="6"/>
      <c r="W64688" s="6"/>
      <c r="X64688" s="6"/>
      <c r="Y64688" s="6"/>
      <c r="Z64688" s="6"/>
      <c r="AA64688" s="6"/>
      <c r="AB64688" s="6"/>
      <c r="AC64688" s="6"/>
      <c r="AD64688" s="6"/>
      <c r="AE64688" s="6"/>
      <c r="AF64688" s="6"/>
      <c r="AG64688" s="6"/>
      <c r="AH64688" s="6"/>
      <c r="AI64688" s="6"/>
      <c r="AJ64688" s="6"/>
      <c r="AK64688" s="6"/>
      <c r="AL64688" s="6"/>
      <c r="AM64688" s="6"/>
    </row>
    <row r="64689" spans="2:39" ht="9.9499999999999993" hidden="1" customHeight="1" x14ac:dyDescent="0.2">
      <c r="B64689" s="6"/>
      <c r="C64689" s="6"/>
      <c r="D64689" s="6"/>
      <c r="E64689" s="6"/>
      <c r="F64689" s="6"/>
      <c r="G64689" s="6"/>
      <c r="H64689" s="6"/>
      <c r="I64689" s="6"/>
      <c r="J64689" s="6"/>
      <c r="K64689" s="6"/>
      <c r="L64689" s="6"/>
      <c r="M64689" s="6"/>
      <c r="N64689" s="6"/>
      <c r="O64689" s="6"/>
      <c r="P64689" s="6"/>
      <c r="Q64689" s="6"/>
      <c r="R64689" s="6"/>
      <c r="S64689" s="6"/>
      <c r="T64689" s="6"/>
      <c r="U64689" s="6"/>
      <c r="V64689" s="6"/>
      <c r="W64689" s="6"/>
      <c r="X64689" s="6"/>
      <c r="Y64689" s="6"/>
      <c r="Z64689" s="6"/>
      <c r="AA64689" s="6"/>
      <c r="AB64689" s="6"/>
      <c r="AC64689" s="6"/>
      <c r="AD64689" s="6"/>
      <c r="AE64689" s="6"/>
      <c r="AF64689" s="6"/>
      <c r="AG64689" s="6"/>
      <c r="AH64689" s="6"/>
      <c r="AI64689" s="6"/>
      <c r="AJ64689" s="6"/>
      <c r="AK64689" s="6"/>
      <c r="AL64689" s="6"/>
      <c r="AM64689" s="6"/>
    </row>
    <row r="64690" spans="2:39" ht="9.9499999999999993" hidden="1" customHeight="1" x14ac:dyDescent="0.2">
      <c r="B64690" s="6"/>
      <c r="C64690" s="6"/>
      <c r="D64690" s="6"/>
      <c r="E64690" s="6"/>
      <c r="F64690" s="6"/>
      <c r="G64690" s="6"/>
      <c r="H64690" s="6"/>
      <c r="I64690" s="6"/>
      <c r="J64690" s="6"/>
      <c r="K64690" s="6"/>
      <c r="L64690" s="6"/>
      <c r="M64690" s="6"/>
      <c r="N64690" s="6"/>
      <c r="O64690" s="6"/>
      <c r="P64690" s="6"/>
      <c r="Q64690" s="6"/>
      <c r="R64690" s="6"/>
      <c r="S64690" s="6"/>
      <c r="T64690" s="6"/>
      <c r="U64690" s="6"/>
      <c r="V64690" s="6"/>
      <c r="W64690" s="6"/>
      <c r="X64690" s="6"/>
      <c r="Y64690" s="6"/>
      <c r="Z64690" s="6"/>
      <c r="AA64690" s="6"/>
      <c r="AB64690" s="6"/>
      <c r="AC64690" s="6"/>
      <c r="AD64690" s="6"/>
      <c r="AE64690" s="6"/>
      <c r="AF64690" s="6"/>
      <c r="AG64690" s="6"/>
      <c r="AH64690" s="6"/>
      <c r="AI64690" s="6"/>
      <c r="AJ64690" s="6"/>
      <c r="AK64690" s="6"/>
      <c r="AL64690" s="6"/>
      <c r="AM64690" s="6"/>
    </row>
    <row r="64691" spans="2:39" ht="9.9499999999999993" hidden="1" customHeight="1" x14ac:dyDescent="0.2">
      <c r="B64691" s="6"/>
      <c r="C64691" s="6"/>
      <c r="D64691" s="6"/>
      <c r="E64691" s="6"/>
      <c r="F64691" s="6"/>
      <c r="G64691" s="6"/>
      <c r="H64691" s="6"/>
      <c r="I64691" s="6"/>
      <c r="J64691" s="6"/>
      <c r="K64691" s="6"/>
      <c r="L64691" s="6"/>
      <c r="M64691" s="6"/>
      <c r="N64691" s="6"/>
      <c r="O64691" s="6"/>
      <c r="P64691" s="6"/>
      <c r="Q64691" s="6"/>
      <c r="R64691" s="6"/>
      <c r="S64691" s="6"/>
      <c r="T64691" s="6"/>
      <c r="U64691" s="6"/>
      <c r="V64691" s="6"/>
      <c r="W64691" s="6"/>
      <c r="X64691" s="6"/>
      <c r="Y64691" s="6"/>
      <c r="Z64691" s="6"/>
      <c r="AA64691" s="6"/>
      <c r="AB64691" s="6"/>
      <c r="AC64691" s="6"/>
      <c r="AD64691" s="6"/>
      <c r="AE64691" s="6"/>
      <c r="AF64691" s="6"/>
      <c r="AG64691" s="6"/>
      <c r="AH64691" s="6"/>
      <c r="AI64691" s="6"/>
      <c r="AJ64691" s="6"/>
      <c r="AK64691" s="6"/>
      <c r="AL64691" s="6"/>
      <c r="AM64691" s="6"/>
    </row>
    <row r="64692" spans="2:39" ht="9.9499999999999993" hidden="1" customHeight="1" x14ac:dyDescent="0.2">
      <c r="B64692" s="6"/>
      <c r="C64692" s="6"/>
      <c r="D64692" s="6"/>
      <c r="E64692" s="6"/>
      <c r="F64692" s="6"/>
      <c r="G64692" s="6"/>
      <c r="H64692" s="6"/>
      <c r="I64692" s="6"/>
      <c r="J64692" s="6"/>
      <c r="K64692" s="6"/>
      <c r="L64692" s="6"/>
      <c r="M64692" s="6"/>
      <c r="N64692" s="6"/>
      <c r="O64692" s="6"/>
      <c r="P64692" s="6"/>
      <c r="Q64692" s="6"/>
      <c r="R64692" s="6"/>
      <c r="S64692" s="6"/>
      <c r="T64692" s="6"/>
      <c r="U64692" s="6"/>
      <c r="V64692" s="6"/>
      <c r="W64692" s="6"/>
      <c r="X64692" s="6"/>
      <c r="Y64692" s="6"/>
      <c r="Z64692" s="6"/>
      <c r="AA64692" s="6"/>
      <c r="AB64692" s="6"/>
      <c r="AC64692" s="6"/>
      <c r="AD64692" s="6"/>
      <c r="AE64692" s="6"/>
      <c r="AF64692" s="6"/>
      <c r="AG64692" s="6"/>
      <c r="AH64692" s="6"/>
      <c r="AI64692" s="6"/>
      <c r="AJ64692" s="6"/>
      <c r="AK64692" s="6"/>
      <c r="AL64692" s="6"/>
      <c r="AM64692" s="6"/>
    </row>
    <row r="64693" spans="2:39" ht="9.9499999999999993" hidden="1" customHeight="1" x14ac:dyDescent="0.2">
      <c r="B64693" s="6"/>
      <c r="C64693" s="6"/>
      <c r="D64693" s="6"/>
      <c r="E64693" s="6"/>
      <c r="F64693" s="6"/>
      <c r="G64693" s="6"/>
      <c r="H64693" s="6"/>
      <c r="I64693" s="6"/>
      <c r="J64693" s="6"/>
      <c r="K64693" s="6"/>
      <c r="L64693" s="6"/>
      <c r="M64693" s="6"/>
      <c r="N64693" s="6"/>
      <c r="O64693" s="6"/>
      <c r="P64693" s="6"/>
      <c r="Q64693" s="6"/>
      <c r="R64693" s="6"/>
      <c r="S64693" s="6"/>
      <c r="T64693" s="6"/>
      <c r="U64693" s="6"/>
      <c r="V64693" s="6"/>
      <c r="W64693" s="6"/>
      <c r="X64693" s="6"/>
      <c r="Y64693" s="6"/>
      <c r="Z64693" s="6"/>
      <c r="AA64693" s="6"/>
      <c r="AB64693" s="6"/>
      <c r="AC64693" s="6"/>
      <c r="AD64693" s="6"/>
      <c r="AE64693" s="6"/>
      <c r="AF64693" s="6"/>
      <c r="AG64693" s="6"/>
      <c r="AH64693" s="6"/>
      <c r="AI64693" s="6"/>
      <c r="AJ64693" s="6"/>
      <c r="AK64693" s="6"/>
      <c r="AL64693" s="6"/>
      <c r="AM64693" s="6"/>
    </row>
    <row r="64694" spans="2:39" ht="9.9499999999999993" hidden="1" customHeight="1" x14ac:dyDescent="0.2">
      <c r="B64694" s="6"/>
      <c r="C64694" s="6"/>
      <c r="D64694" s="6"/>
      <c r="E64694" s="6"/>
      <c r="F64694" s="6"/>
      <c r="G64694" s="6"/>
      <c r="H64694" s="6"/>
      <c r="I64694" s="6"/>
      <c r="J64694" s="6"/>
      <c r="K64694" s="6"/>
      <c r="L64694" s="6"/>
      <c r="M64694" s="6"/>
      <c r="N64694" s="6"/>
      <c r="O64694" s="6"/>
      <c r="P64694" s="6"/>
      <c r="Q64694" s="6"/>
      <c r="R64694" s="6"/>
      <c r="S64694" s="6"/>
      <c r="T64694" s="6"/>
      <c r="U64694" s="6"/>
      <c r="V64694" s="6"/>
      <c r="W64694" s="6"/>
      <c r="X64694" s="6"/>
      <c r="Y64694" s="6"/>
      <c r="Z64694" s="6"/>
      <c r="AA64694" s="6"/>
      <c r="AB64694" s="6"/>
      <c r="AC64694" s="6"/>
      <c r="AD64694" s="6"/>
      <c r="AE64694" s="6"/>
      <c r="AF64694" s="6"/>
      <c r="AG64694" s="6"/>
      <c r="AH64694" s="6"/>
      <c r="AI64694" s="6"/>
      <c r="AJ64694" s="6"/>
      <c r="AK64694" s="6"/>
      <c r="AL64694" s="6"/>
      <c r="AM64694" s="6"/>
    </row>
    <row r="64695" spans="2:39" ht="9.9499999999999993" hidden="1" customHeight="1" x14ac:dyDescent="0.2">
      <c r="B64695" s="6"/>
      <c r="C64695" s="6"/>
      <c r="D64695" s="6"/>
      <c r="E64695" s="6"/>
      <c r="F64695" s="6"/>
      <c r="G64695" s="6"/>
      <c r="H64695" s="6"/>
      <c r="I64695" s="6"/>
      <c r="J64695" s="6"/>
      <c r="K64695" s="6"/>
      <c r="L64695" s="6"/>
      <c r="M64695" s="6"/>
      <c r="N64695" s="6"/>
      <c r="O64695" s="6"/>
      <c r="P64695" s="6"/>
      <c r="Q64695" s="6"/>
      <c r="R64695" s="6"/>
      <c r="S64695" s="6"/>
      <c r="T64695" s="6"/>
      <c r="U64695" s="6"/>
      <c r="V64695" s="6"/>
      <c r="W64695" s="6"/>
      <c r="X64695" s="6"/>
      <c r="Y64695" s="6"/>
      <c r="Z64695" s="6"/>
      <c r="AA64695" s="6"/>
      <c r="AB64695" s="6"/>
      <c r="AC64695" s="6"/>
      <c r="AD64695" s="6"/>
      <c r="AE64695" s="6"/>
      <c r="AF64695" s="6"/>
      <c r="AG64695" s="6"/>
      <c r="AH64695" s="6"/>
      <c r="AI64695" s="6"/>
      <c r="AJ64695" s="6"/>
      <c r="AK64695" s="6"/>
      <c r="AL64695" s="6"/>
      <c r="AM64695" s="6"/>
    </row>
    <row r="64696" spans="2:39" ht="9.9499999999999993" hidden="1" customHeight="1" x14ac:dyDescent="0.2">
      <c r="B64696" s="6"/>
      <c r="C64696" s="6"/>
      <c r="D64696" s="6"/>
      <c r="E64696" s="6"/>
      <c r="F64696" s="6"/>
      <c r="G64696" s="6"/>
      <c r="H64696" s="6"/>
      <c r="I64696" s="6"/>
      <c r="J64696" s="6"/>
      <c r="K64696" s="6"/>
      <c r="L64696" s="6"/>
      <c r="M64696" s="6"/>
      <c r="N64696" s="6"/>
      <c r="O64696" s="6"/>
      <c r="P64696" s="6"/>
      <c r="Q64696" s="6"/>
      <c r="R64696" s="6"/>
      <c r="S64696" s="6"/>
      <c r="T64696" s="6"/>
      <c r="U64696" s="6"/>
      <c r="V64696" s="6"/>
      <c r="W64696" s="6"/>
      <c r="X64696" s="6"/>
      <c r="Y64696" s="6"/>
      <c r="Z64696" s="6"/>
      <c r="AA64696" s="6"/>
      <c r="AB64696" s="6"/>
      <c r="AC64696" s="6"/>
      <c r="AD64696" s="6"/>
      <c r="AE64696" s="6"/>
      <c r="AF64696" s="6"/>
      <c r="AG64696" s="6"/>
      <c r="AH64696" s="6"/>
      <c r="AI64696" s="6"/>
      <c r="AJ64696" s="6"/>
      <c r="AK64696" s="6"/>
      <c r="AL64696" s="6"/>
      <c r="AM64696" s="6"/>
    </row>
    <row r="64697" spans="2:39" ht="9.9499999999999993" hidden="1" customHeight="1" x14ac:dyDescent="0.2">
      <c r="B64697" s="6"/>
      <c r="C64697" s="6"/>
      <c r="D64697" s="6"/>
      <c r="E64697" s="6"/>
      <c r="F64697" s="6"/>
      <c r="G64697" s="6"/>
      <c r="H64697" s="6"/>
      <c r="I64697" s="6"/>
      <c r="J64697" s="6"/>
      <c r="K64697" s="6"/>
      <c r="L64697" s="6"/>
      <c r="M64697" s="6"/>
      <c r="N64697" s="6"/>
      <c r="O64697" s="6"/>
      <c r="P64697" s="6"/>
      <c r="Q64697" s="6"/>
      <c r="R64697" s="6"/>
      <c r="S64697" s="6"/>
      <c r="T64697" s="6"/>
      <c r="U64697" s="6"/>
      <c r="V64697" s="6"/>
      <c r="W64697" s="6"/>
      <c r="X64697" s="6"/>
      <c r="Y64697" s="6"/>
      <c r="Z64697" s="6"/>
      <c r="AA64697" s="6"/>
      <c r="AB64697" s="6"/>
      <c r="AC64697" s="6"/>
      <c r="AD64697" s="6"/>
      <c r="AE64697" s="6"/>
      <c r="AF64697" s="6"/>
      <c r="AG64697" s="6"/>
      <c r="AH64697" s="6"/>
      <c r="AI64697" s="6"/>
      <c r="AJ64697" s="6"/>
      <c r="AK64697" s="6"/>
      <c r="AL64697" s="6"/>
      <c r="AM64697" s="6"/>
    </row>
    <row r="64698" spans="2:39" ht="9.9499999999999993" hidden="1" customHeight="1" x14ac:dyDescent="0.2">
      <c r="B64698" s="6"/>
      <c r="C64698" s="6"/>
      <c r="D64698" s="6"/>
      <c r="E64698" s="6"/>
      <c r="F64698" s="6"/>
      <c r="G64698" s="6"/>
      <c r="H64698" s="6"/>
      <c r="I64698" s="6"/>
      <c r="J64698" s="6"/>
      <c r="K64698" s="6"/>
      <c r="L64698" s="6"/>
      <c r="M64698" s="6"/>
      <c r="N64698" s="6"/>
      <c r="O64698" s="6"/>
      <c r="P64698" s="6"/>
      <c r="Q64698" s="6"/>
      <c r="R64698" s="6"/>
      <c r="S64698" s="6"/>
      <c r="T64698" s="6"/>
      <c r="U64698" s="6"/>
      <c r="V64698" s="6"/>
      <c r="W64698" s="6"/>
      <c r="X64698" s="6"/>
      <c r="Y64698" s="6"/>
      <c r="Z64698" s="6"/>
      <c r="AA64698" s="6"/>
      <c r="AB64698" s="6"/>
      <c r="AC64698" s="6"/>
      <c r="AD64698" s="6"/>
      <c r="AE64698" s="6"/>
      <c r="AF64698" s="6"/>
      <c r="AG64698" s="6"/>
      <c r="AH64698" s="6"/>
      <c r="AI64698" s="6"/>
      <c r="AJ64698" s="6"/>
      <c r="AK64698" s="6"/>
      <c r="AL64698" s="6"/>
      <c r="AM64698" s="6"/>
    </row>
    <row r="64699" spans="2:39" ht="9.9499999999999993" hidden="1" customHeight="1" x14ac:dyDescent="0.2">
      <c r="B64699" s="6"/>
      <c r="C64699" s="6"/>
      <c r="D64699" s="6"/>
      <c r="E64699" s="6"/>
      <c r="F64699" s="6"/>
      <c r="G64699" s="6"/>
      <c r="H64699" s="6"/>
      <c r="I64699" s="6"/>
      <c r="J64699" s="6"/>
      <c r="K64699" s="6"/>
      <c r="L64699" s="6"/>
      <c r="M64699" s="6"/>
      <c r="N64699" s="6"/>
      <c r="O64699" s="6"/>
      <c r="P64699" s="6"/>
      <c r="Q64699" s="6"/>
      <c r="R64699" s="6"/>
      <c r="S64699" s="6"/>
      <c r="T64699" s="6"/>
      <c r="U64699" s="6"/>
      <c r="V64699" s="6"/>
      <c r="W64699" s="6"/>
      <c r="X64699" s="6"/>
      <c r="Y64699" s="6"/>
      <c r="Z64699" s="6"/>
      <c r="AA64699" s="6"/>
      <c r="AB64699" s="6"/>
      <c r="AC64699" s="6"/>
      <c r="AD64699" s="6"/>
      <c r="AE64699" s="6"/>
      <c r="AF64699" s="6"/>
      <c r="AG64699" s="6"/>
      <c r="AH64699" s="6"/>
      <c r="AI64699" s="6"/>
      <c r="AJ64699" s="6"/>
      <c r="AK64699" s="6"/>
      <c r="AL64699" s="6"/>
      <c r="AM64699" s="6"/>
    </row>
    <row r="64700" spans="2:39" ht="9.9499999999999993" hidden="1" customHeight="1" x14ac:dyDescent="0.2">
      <c r="B64700" s="6"/>
      <c r="C64700" s="6"/>
      <c r="D64700" s="6"/>
      <c r="E64700" s="6"/>
      <c r="F64700" s="6"/>
      <c r="G64700" s="6"/>
      <c r="H64700" s="6"/>
      <c r="I64700" s="6"/>
      <c r="J64700" s="6"/>
      <c r="K64700" s="6"/>
      <c r="L64700" s="6"/>
      <c r="M64700" s="6"/>
      <c r="N64700" s="6"/>
      <c r="O64700" s="6"/>
      <c r="P64700" s="6"/>
      <c r="Q64700" s="6"/>
      <c r="R64700" s="6"/>
      <c r="S64700" s="6"/>
      <c r="T64700" s="6"/>
      <c r="U64700" s="6"/>
      <c r="V64700" s="6"/>
      <c r="W64700" s="6"/>
      <c r="X64700" s="6"/>
      <c r="Y64700" s="6"/>
      <c r="Z64700" s="6"/>
      <c r="AA64700" s="6"/>
      <c r="AB64700" s="6"/>
      <c r="AC64700" s="6"/>
      <c r="AD64700" s="6"/>
      <c r="AE64700" s="6"/>
      <c r="AF64700" s="6"/>
      <c r="AG64700" s="6"/>
      <c r="AH64700" s="6"/>
      <c r="AI64700" s="6"/>
      <c r="AJ64700" s="6"/>
      <c r="AK64700" s="6"/>
      <c r="AL64700" s="6"/>
      <c r="AM64700" s="6"/>
    </row>
    <row r="64701" spans="2:39" ht="9.9499999999999993" hidden="1" customHeight="1" x14ac:dyDescent="0.2">
      <c r="B64701" s="6"/>
      <c r="C64701" s="6"/>
      <c r="D64701" s="6"/>
      <c r="E64701" s="6"/>
      <c r="F64701" s="6"/>
      <c r="G64701" s="6"/>
      <c r="H64701" s="6"/>
      <c r="I64701" s="6"/>
      <c r="J64701" s="6"/>
      <c r="K64701" s="6"/>
      <c r="L64701" s="6"/>
      <c r="M64701" s="6"/>
      <c r="N64701" s="6"/>
      <c r="O64701" s="6"/>
      <c r="P64701" s="6"/>
      <c r="Q64701" s="6"/>
      <c r="R64701" s="6"/>
      <c r="S64701" s="6"/>
      <c r="T64701" s="6"/>
      <c r="U64701" s="6"/>
      <c r="V64701" s="6"/>
      <c r="W64701" s="6"/>
      <c r="X64701" s="6"/>
      <c r="Y64701" s="6"/>
      <c r="Z64701" s="6"/>
      <c r="AA64701" s="6"/>
      <c r="AB64701" s="6"/>
      <c r="AC64701" s="6"/>
      <c r="AD64701" s="6"/>
      <c r="AE64701" s="6"/>
      <c r="AF64701" s="6"/>
      <c r="AG64701" s="6"/>
      <c r="AH64701" s="6"/>
      <c r="AI64701" s="6"/>
      <c r="AJ64701" s="6"/>
      <c r="AK64701" s="6"/>
      <c r="AL64701" s="6"/>
      <c r="AM64701" s="6"/>
    </row>
    <row r="64702" spans="2:39" ht="9.9499999999999993" hidden="1" customHeight="1" x14ac:dyDescent="0.2">
      <c r="B64702" s="6"/>
      <c r="C64702" s="6"/>
      <c r="D64702" s="6"/>
      <c r="E64702" s="6"/>
      <c r="F64702" s="6"/>
      <c r="G64702" s="6"/>
      <c r="H64702" s="6"/>
      <c r="I64702" s="6"/>
      <c r="J64702" s="6"/>
      <c r="K64702" s="6"/>
      <c r="L64702" s="6"/>
      <c r="M64702" s="6"/>
      <c r="N64702" s="6"/>
      <c r="O64702" s="6"/>
      <c r="P64702" s="6"/>
      <c r="Q64702" s="6"/>
      <c r="R64702" s="6"/>
      <c r="S64702" s="6"/>
      <c r="T64702" s="6"/>
      <c r="U64702" s="6"/>
      <c r="V64702" s="6"/>
      <c r="W64702" s="6"/>
      <c r="X64702" s="6"/>
      <c r="Y64702" s="6"/>
      <c r="Z64702" s="6"/>
      <c r="AA64702" s="6"/>
      <c r="AB64702" s="6"/>
      <c r="AC64702" s="6"/>
      <c r="AD64702" s="6"/>
      <c r="AE64702" s="6"/>
      <c r="AF64702" s="6"/>
      <c r="AG64702" s="6"/>
      <c r="AH64702" s="6"/>
      <c r="AI64702" s="6"/>
      <c r="AJ64702" s="6"/>
      <c r="AK64702" s="6"/>
      <c r="AL64702" s="6"/>
      <c r="AM64702" s="6"/>
    </row>
    <row r="64703" spans="2:39" ht="9.9499999999999993" hidden="1" customHeight="1" x14ac:dyDescent="0.2">
      <c r="B64703" s="6"/>
      <c r="C64703" s="6"/>
      <c r="D64703" s="6"/>
      <c r="E64703" s="6"/>
      <c r="F64703" s="6"/>
      <c r="G64703" s="6"/>
      <c r="H64703" s="6"/>
      <c r="I64703" s="6"/>
      <c r="J64703" s="6"/>
      <c r="K64703" s="6"/>
      <c r="L64703" s="6"/>
      <c r="M64703" s="6"/>
      <c r="N64703" s="6"/>
      <c r="O64703" s="6"/>
      <c r="P64703" s="6"/>
      <c r="Q64703" s="6"/>
      <c r="R64703" s="6"/>
      <c r="S64703" s="6"/>
      <c r="T64703" s="6"/>
      <c r="U64703" s="6"/>
      <c r="V64703" s="6"/>
      <c r="W64703" s="6"/>
      <c r="X64703" s="6"/>
      <c r="Y64703" s="6"/>
      <c r="Z64703" s="6"/>
      <c r="AA64703" s="6"/>
      <c r="AB64703" s="6"/>
      <c r="AC64703" s="6"/>
      <c r="AD64703" s="6"/>
      <c r="AE64703" s="6"/>
      <c r="AF64703" s="6"/>
      <c r="AG64703" s="6"/>
      <c r="AH64703" s="6"/>
      <c r="AI64703" s="6"/>
      <c r="AJ64703" s="6"/>
      <c r="AK64703" s="6"/>
      <c r="AL64703" s="6"/>
      <c r="AM64703" s="6"/>
    </row>
    <row r="64704" spans="2:39" ht="9.9499999999999993" hidden="1" customHeight="1" x14ac:dyDescent="0.2">
      <c r="B64704" s="6"/>
      <c r="C64704" s="6"/>
      <c r="D64704" s="6"/>
      <c r="E64704" s="6"/>
      <c r="F64704" s="6"/>
      <c r="G64704" s="6"/>
      <c r="H64704" s="6"/>
      <c r="I64704" s="6"/>
      <c r="J64704" s="6"/>
      <c r="K64704" s="6"/>
      <c r="L64704" s="6"/>
      <c r="M64704" s="6"/>
      <c r="N64704" s="6"/>
      <c r="O64704" s="6"/>
      <c r="P64704" s="6"/>
      <c r="Q64704" s="6"/>
      <c r="R64704" s="6"/>
      <c r="S64704" s="6"/>
      <c r="T64704" s="6"/>
      <c r="U64704" s="6"/>
      <c r="V64704" s="6"/>
      <c r="W64704" s="6"/>
      <c r="X64704" s="6"/>
      <c r="Y64704" s="6"/>
      <c r="Z64704" s="6"/>
      <c r="AA64704" s="6"/>
      <c r="AB64704" s="6"/>
      <c r="AC64704" s="6"/>
      <c r="AD64704" s="6"/>
      <c r="AE64704" s="6"/>
      <c r="AF64704" s="6"/>
      <c r="AG64704" s="6"/>
      <c r="AH64704" s="6"/>
      <c r="AI64704" s="6"/>
      <c r="AJ64704" s="6"/>
      <c r="AK64704" s="6"/>
      <c r="AL64704" s="6"/>
      <c r="AM64704" s="6"/>
    </row>
    <row r="64705" spans="2:39" ht="9.9499999999999993" hidden="1" customHeight="1" x14ac:dyDescent="0.2">
      <c r="B64705" s="6"/>
      <c r="C64705" s="6"/>
      <c r="D64705" s="6"/>
      <c r="E64705" s="6"/>
      <c r="F64705" s="6"/>
      <c r="G64705" s="6"/>
      <c r="H64705" s="6"/>
      <c r="I64705" s="6"/>
      <c r="J64705" s="6"/>
      <c r="K64705" s="6"/>
      <c r="L64705" s="6"/>
      <c r="M64705" s="6"/>
      <c r="N64705" s="6"/>
      <c r="O64705" s="6"/>
      <c r="P64705" s="6"/>
      <c r="Q64705" s="6"/>
      <c r="R64705" s="6"/>
      <c r="S64705" s="6"/>
      <c r="T64705" s="6"/>
      <c r="U64705" s="6"/>
      <c r="V64705" s="6"/>
      <c r="W64705" s="6"/>
      <c r="X64705" s="6"/>
      <c r="Y64705" s="6"/>
      <c r="Z64705" s="6"/>
      <c r="AA64705" s="6"/>
      <c r="AB64705" s="6"/>
      <c r="AC64705" s="6"/>
      <c r="AD64705" s="6"/>
      <c r="AE64705" s="6"/>
      <c r="AF64705" s="6"/>
      <c r="AG64705" s="6"/>
      <c r="AH64705" s="6"/>
      <c r="AI64705" s="6"/>
      <c r="AJ64705" s="6"/>
      <c r="AK64705" s="6"/>
      <c r="AL64705" s="6"/>
      <c r="AM64705" s="6"/>
    </row>
    <row r="64706" spans="2:39" ht="9.9499999999999993" hidden="1" customHeight="1" x14ac:dyDescent="0.2">
      <c r="B64706" s="6"/>
      <c r="C64706" s="6"/>
      <c r="D64706" s="6"/>
      <c r="E64706" s="6"/>
      <c r="F64706" s="6"/>
      <c r="G64706" s="6"/>
      <c r="H64706" s="6"/>
      <c r="I64706" s="6"/>
      <c r="J64706" s="6"/>
      <c r="K64706" s="6"/>
      <c r="L64706" s="6"/>
      <c r="M64706" s="6"/>
      <c r="N64706" s="6"/>
      <c r="O64706" s="6"/>
      <c r="P64706" s="6"/>
      <c r="Q64706" s="6"/>
      <c r="R64706" s="6"/>
      <c r="S64706" s="6"/>
      <c r="T64706" s="6"/>
      <c r="U64706" s="6"/>
      <c r="V64706" s="6"/>
      <c r="W64706" s="6"/>
      <c r="X64706" s="6"/>
      <c r="Y64706" s="6"/>
      <c r="Z64706" s="6"/>
      <c r="AA64706" s="6"/>
      <c r="AB64706" s="6"/>
      <c r="AC64706" s="6"/>
      <c r="AD64706" s="6"/>
      <c r="AE64706" s="6"/>
      <c r="AF64706" s="6"/>
      <c r="AG64706" s="6"/>
      <c r="AH64706" s="6"/>
      <c r="AI64706" s="6"/>
      <c r="AJ64706" s="6"/>
      <c r="AK64706" s="6"/>
      <c r="AL64706" s="6"/>
      <c r="AM64706" s="6"/>
    </row>
    <row r="64707" spans="2:39" ht="9.9499999999999993" hidden="1" customHeight="1" x14ac:dyDescent="0.2">
      <c r="B64707" s="6"/>
      <c r="C64707" s="6"/>
      <c r="D64707" s="6"/>
      <c r="E64707" s="6"/>
      <c r="F64707" s="6"/>
      <c r="G64707" s="6"/>
      <c r="H64707" s="6"/>
      <c r="I64707" s="6"/>
      <c r="J64707" s="6"/>
      <c r="K64707" s="6"/>
      <c r="L64707" s="6"/>
      <c r="M64707" s="6"/>
      <c r="N64707" s="6"/>
      <c r="O64707" s="6"/>
      <c r="P64707" s="6"/>
      <c r="Q64707" s="6"/>
      <c r="R64707" s="6"/>
      <c r="S64707" s="6"/>
      <c r="T64707" s="6"/>
      <c r="U64707" s="6"/>
      <c r="V64707" s="6"/>
      <c r="W64707" s="6"/>
      <c r="X64707" s="6"/>
      <c r="Y64707" s="6"/>
      <c r="Z64707" s="6"/>
      <c r="AA64707" s="6"/>
      <c r="AB64707" s="6"/>
      <c r="AC64707" s="6"/>
      <c r="AD64707" s="6"/>
      <c r="AE64707" s="6"/>
      <c r="AF64707" s="6"/>
      <c r="AG64707" s="6"/>
      <c r="AH64707" s="6"/>
      <c r="AI64707" s="6"/>
      <c r="AJ64707" s="6"/>
      <c r="AK64707" s="6"/>
      <c r="AL64707" s="6"/>
      <c r="AM64707" s="6"/>
    </row>
    <row r="64708" spans="2:39" ht="9.9499999999999993" hidden="1" customHeight="1" x14ac:dyDescent="0.2">
      <c r="B64708" s="6"/>
      <c r="C64708" s="6"/>
      <c r="D64708" s="6"/>
      <c r="E64708" s="6"/>
      <c r="F64708" s="6"/>
      <c r="G64708" s="6"/>
      <c r="H64708" s="6"/>
      <c r="I64708" s="6"/>
      <c r="J64708" s="6"/>
      <c r="K64708" s="6"/>
      <c r="L64708" s="6"/>
      <c r="M64708" s="6"/>
      <c r="N64708" s="6"/>
      <c r="O64708" s="6"/>
      <c r="P64708" s="6"/>
      <c r="Q64708" s="6"/>
      <c r="R64708" s="6"/>
      <c r="S64708" s="6"/>
      <c r="T64708" s="6"/>
      <c r="U64708" s="6"/>
      <c r="V64708" s="6"/>
      <c r="W64708" s="6"/>
      <c r="X64708" s="6"/>
      <c r="Y64708" s="6"/>
      <c r="Z64708" s="6"/>
      <c r="AA64708" s="6"/>
      <c r="AB64708" s="6"/>
      <c r="AC64708" s="6"/>
      <c r="AD64708" s="6"/>
      <c r="AE64708" s="6"/>
      <c r="AF64708" s="6"/>
      <c r="AG64708" s="6"/>
      <c r="AH64708" s="6"/>
      <c r="AI64708" s="6"/>
      <c r="AJ64708" s="6"/>
      <c r="AK64708" s="6"/>
      <c r="AL64708" s="6"/>
      <c r="AM64708" s="6"/>
    </row>
    <row r="64709" spans="2:39" ht="9.9499999999999993" hidden="1" customHeight="1" x14ac:dyDescent="0.2">
      <c r="B64709" s="6"/>
      <c r="C64709" s="6"/>
      <c r="D64709" s="6"/>
      <c r="E64709" s="6"/>
      <c r="F64709" s="6"/>
      <c r="G64709" s="6"/>
      <c r="H64709" s="6"/>
      <c r="I64709" s="6"/>
      <c r="J64709" s="6"/>
      <c r="K64709" s="6"/>
      <c r="L64709" s="6"/>
      <c r="M64709" s="6"/>
      <c r="N64709" s="6"/>
      <c r="O64709" s="6"/>
      <c r="P64709" s="6"/>
      <c r="Q64709" s="6"/>
      <c r="R64709" s="6"/>
      <c r="S64709" s="6"/>
      <c r="T64709" s="6"/>
      <c r="U64709" s="6"/>
      <c r="V64709" s="6"/>
      <c r="W64709" s="6"/>
      <c r="X64709" s="6"/>
      <c r="Y64709" s="6"/>
      <c r="Z64709" s="6"/>
      <c r="AA64709" s="6"/>
      <c r="AB64709" s="6"/>
      <c r="AC64709" s="6"/>
      <c r="AD64709" s="6"/>
      <c r="AE64709" s="6"/>
      <c r="AF64709" s="6"/>
      <c r="AG64709" s="6"/>
      <c r="AH64709" s="6"/>
      <c r="AI64709" s="6"/>
      <c r="AJ64709" s="6"/>
      <c r="AK64709" s="6"/>
      <c r="AL64709" s="6"/>
      <c r="AM64709" s="6"/>
    </row>
    <row r="64710" spans="2:39" ht="9.9499999999999993" hidden="1" customHeight="1" x14ac:dyDescent="0.2">
      <c r="B64710" s="6"/>
      <c r="C64710" s="6"/>
      <c r="D64710" s="6"/>
      <c r="E64710" s="6"/>
      <c r="F64710" s="6"/>
      <c r="G64710" s="6"/>
      <c r="H64710" s="6"/>
      <c r="I64710" s="6"/>
      <c r="J64710" s="6"/>
      <c r="K64710" s="6"/>
      <c r="L64710" s="6"/>
      <c r="M64710" s="6"/>
      <c r="N64710" s="6"/>
      <c r="O64710" s="6"/>
      <c r="P64710" s="6"/>
      <c r="Q64710" s="6"/>
      <c r="R64710" s="6"/>
      <c r="S64710" s="6"/>
      <c r="T64710" s="6"/>
      <c r="U64710" s="6"/>
      <c r="V64710" s="6"/>
      <c r="W64710" s="6"/>
      <c r="X64710" s="6"/>
      <c r="Y64710" s="6"/>
      <c r="Z64710" s="6"/>
      <c r="AA64710" s="6"/>
      <c r="AB64710" s="6"/>
      <c r="AC64710" s="6"/>
      <c r="AD64710" s="6"/>
      <c r="AE64710" s="6"/>
      <c r="AF64710" s="6"/>
      <c r="AG64710" s="6"/>
      <c r="AH64710" s="6"/>
      <c r="AI64710" s="6"/>
      <c r="AJ64710" s="6"/>
      <c r="AK64710" s="6"/>
      <c r="AL64710" s="6"/>
      <c r="AM64710" s="6"/>
    </row>
    <row r="64711" spans="2:39" ht="9.9499999999999993" hidden="1" customHeight="1" x14ac:dyDescent="0.2">
      <c r="B64711" s="6"/>
      <c r="C64711" s="6"/>
      <c r="D64711" s="6"/>
      <c r="E64711" s="6"/>
      <c r="F64711" s="6"/>
      <c r="G64711" s="6"/>
      <c r="H64711" s="6"/>
      <c r="I64711" s="6"/>
      <c r="J64711" s="6"/>
      <c r="K64711" s="6"/>
      <c r="L64711" s="6"/>
      <c r="M64711" s="6"/>
      <c r="N64711" s="6"/>
      <c r="O64711" s="6"/>
      <c r="P64711" s="6"/>
      <c r="Q64711" s="6"/>
      <c r="R64711" s="6"/>
      <c r="S64711" s="6"/>
      <c r="T64711" s="6"/>
      <c r="U64711" s="6"/>
      <c r="V64711" s="6"/>
      <c r="W64711" s="6"/>
      <c r="X64711" s="6"/>
      <c r="Y64711" s="6"/>
      <c r="Z64711" s="6"/>
      <c r="AA64711" s="6"/>
      <c r="AB64711" s="6"/>
      <c r="AC64711" s="6"/>
      <c r="AD64711" s="6"/>
      <c r="AE64711" s="6"/>
      <c r="AF64711" s="6"/>
      <c r="AG64711" s="6"/>
      <c r="AH64711" s="6"/>
      <c r="AI64711" s="6"/>
      <c r="AJ64711" s="6"/>
      <c r="AK64711" s="6"/>
      <c r="AL64711" s="6"/>
      <c r="AM64711" s="6"/>
    </row>
    <row r="64712" spans="2:39" ht="9.9499999999999993" hidden="1" customHeight="1" x14ac:dyDescent="0.2">
      <c r="B64712" s="6"/>
      <c r="C64712" s="6"/>
      <c r="D64712" s="6"/>
      <c r="E64712" s="6"/>
      <c r="F64712" s="6"/>
      <c r="G64712" s="6"/>
      <c r="H64712" s="6"/>
      <c r="I64712" s="6"/>
      <c r="J64712" s="6"/>
      <c r="K64712" s="6"/>
      <c r="L64712" s="6"/>
      <c r="M64712" s="6"/>
      <c r="N64712" s="6"/>
      <c r="O64712" s="6"/>
      <c r="P64712" s="6"/>
      <c r="Q64712" s="6"/>
      <c r="R64712" s="6"/>
      <c r="S64712" s="6"/>
      <c r="T64712" s="6"/>
      <c r="U64712" s="6"/>
      <c r="V64712" s="6"/>
      <c r="W64712" s="6"/>
      <c r="X64712" s="6"/>
      <c r="Y64712" s="6"/>
      <c r="Z64712" s="6"/>
      <c r="AA64712" s="6"/>
      <c r="AB64712" s="6"/>
      <c r="AC64712" s="6"/>
      <c r="AD64712" s="6"/>
      <c r="AE64712" s="6"/>
      <c r="AF64712" s="6"/>
      <c r="AG64712" s="6"/>
      <c r="AH64712" s="6"/>
      <c r="AI64712" s="6"/>
      <c r="AJ64712" s="6"/>
      <c r="AK64712" s="6"/>
      <c r="AL64712" s="6"/>
      <c r="AM64712" s="6"/>
    </row>
    <row r="64713" spans="2:39" ht="9.9499999999999993" hidden="1" customHeight="1" x14ac:dyDescent="0.2">
      <c r="B64713" s="6"/>
      <c r="C64713" s="6"/>
      <c r="D64713" s="6"/>
      <c r="E64713" s="6"/>
      <c r="F64713" s="6"/>
      <c r="G64713" s="6"/>
      <c r="H64713" s="6"/>
      <c r="I64713" s="6"/>
      <c r="J64713" s="6"/>
      <c r="K64713" s="6"/>
      <c r="L64713" s="6"/>
      <c r="M64713" s="6"/>
      <c r="N64713" s="6"/>
      <c r="O64713" s="6"/>
      <c r="P64713" s="6"/>
      <c r="Q64713" s="6"/>
      <c r="R64713" s="6"/>
      <c r="S64713" s="6"/>
      <c r="T64713" s="6"/>
      <c r="U64713" s="6"/>
      <c r="V64713" s="6"/>
      <c r="W64713" s="6"/>
      <c r="X64713" s="6"/>
      <c r="Y64713" s="6"/>
      <c r="Z64713" s="6"/>
      <c r="AA64713" s="6"/>
      <c r="AB64713" s="6"/>
      <c r="AC64713" s="6"/>
      <c r="AD64713" s="6"/>
      <c r="AE64713" s="6"/>
      <c r="AF64713" s="6"/>
      <c r="AG64713" s="6"/>
      <c r="AH64713" s="6"/>
      <c r="AI64713" s="6"/>
      <c r="AJ64713" s="6"/>
      <c r="AK64713" s="6"/>
      <c r="AL64713" s="6"/>
      <c r="AM64713" s="6"/>
    </row>
    <row r="64714" spans="2:39" ht="9.9499999999999993" hidden="1" customHeight="1" x14ac:dyDescent="0.2">
      <c r="B64714" s="6"/>
      <c r="C64714" s="6"/>
      <c r="D64714" s="6"/>
      <c r="E64714" s="6"/>
      <c r="F64714" s="6"/>
      <c r="G64714" s="6"/>
      <c r="H64714" s="6"/>
      <c r="I64714" s="6"/>
      <c r="J64714" s="6"/>
      <c r="K64714" s="6"/>
      <c r="L64714" s="6"/>
      <c r="M64714" s="6"/>
      <c r="N64714" s="6"/>
      <c r="O64714" s="6"/>
      <c r="P64714" s="6"/>
      <c r="Q64714" s="6"/>
      <c r="R64714" s="6"/>
      <c r="S64714" s="6"/>
      <c r="T64714" s="6"/>
      <c r="U64714" s="6"/>
      <c r="V64714" s="6"/>
      <c r="W64714" s="6"/>
      <c r="X64714" s="6"/>
      <c r="Y64714" s="6"/>
      <c r="Z64714" s="6"/>
      <c r="AA64714" s="6"/>
      <c r="AB64714" s="6"/>
      <c r="AC64714" s="6"/>
      <c r="AD64714" s="6"/>
      <c r="AE64714" s="6"/>
      <c r="AF64714" s="6"/>
      <c r="AG64714" s="6"/>
      <c r="AH64714" s="6"/>
      <c r="AI64714" s="6"/>
      <c r="AJ64714" s="6"/>
      <c r="AK64714" s="6"/>
      <c r="AL64714" s="6"/>
      <c r="AM64714" s="6"/>
    </row>
    <row r="64715" spans="2:39" ht="9.9499999999999993" hidden="1" customHeight="1" x14ac:dyDescent="0.2">
      <c r="B64715" s="6"/>
      <c r="C64715" s="6"/>
      <c r="D64715" s="6"/>
      <c r="E64715" s="6"/>
      <c r="F64715" s="6"/>
      <c r="G64715" s="6"/>
      <c r="H64715" s="6"/>
      <c r="I64715" s="6"/>
      <c r="J64715" s="6"/>
      <c r="K64715" s="6"/>
      <c r="L64715" s="6"/>
      <c r="M64715" s="6"/>
      <c r="N64715" s="6"/>
      <c r="O64715" s="6"/>
      <c r="P64715" s="6"/>
      <c r="Q64715" s="6"/>
      <c r="R64715" s="6"/>
      <c r="S64715" s="6"/>
      <c r="T64715" s="6"/>
      <c r="U64715" s="6"/>
      <c r="V64715" s="6"/>
      <c r="W64715" s="6"/>
      <c r="X64715" s="6"/>
      <c r="Y64715" s="6"/>
      <c r="Z64715" s="6"/>
      <c r="AA64715" s="6"/>
      <c r="AB64715" s="6"/>
      <c r="AC64715" s="6"/>
      <c r="AD64715" s="6"/>
      <c r="AE64715" s="6"/>
      <c r="AF64715" s="6"/>
      <c r="AG64715" s="6"/>
      <c r="AH64715" s="6"/>
      <c r="AI64715" s="6"/>
      <c r="AJ64715" s="6"/>
      <c r="AK64715" s="6"/>
      <c r="AL64715" s="6"/>
      <c r="AM64715" s="6"/>
    </row>
    <row r="64716" spans="2:39" ht="9.9499999999999993" hidden="1" customHeight="1" x14ac:dyDescent="0.2">
      <c r="B64716" s="6"/>
      <c r="C64716" s="6"/>
      <c r="D64716" s="6"/>
      <c r="E64716" s="6"/>
      <c r="F64716" s="6"/>
      <c r="G64716" s="6"/>
      <c r="H64716" s="6"/>
      <c r="I64716" s="6"/>
      <c r="J64716" s="6"/>
      <c r="K64716" s="6"/>
      <c r="L64716" s="6"/>
      <c r="M64716" s="6"/>
      <c r="N64716" s="6"/>
      <c r="O64716" s="6"/>
      <c r="P64716" s="6"/>
      <c r="Q64716" s="6"/>
      <c r="R64716" s="6"/>
      <c r="S64716" s="6"/>
      <c r="T64716" s="6"/>
      <c r="U64716" s="6"/>
      <c r="V64716" s="6"/>
      <c r="W64716" s="6"/>
      <c r="X64716" s="6"/>
      <c r="Y64716" s="6"/>
      <c r="Z64716" s="6"/>
      <c r="AA64716" s="6"/>
      <c r="AB64716" s="6"/>
      <c r="AC64716" s="6"/>
      <c r="AD64716" s="6"/>
      <c r="AE64716" s="6"/>
      <c r="AF64716" s="6"/>
      <c r="AG64716" s="6"/>
      <c r="AH64716" s="6"/>
      <c r="AI64716" s="6"/>
      <c r="AJ64716" s="6"/>
      <c r="AK64716" s="6"/>
      <c r="AL64716" s="6"/>
      <c r="AM64716" s="6"/>
    </row>
    <row r="64717" spans="2:39" ht="9.9499999999999993" hidden="1" customHeight="1" x14ac:dyDescent="0.2">
      <c r="B64717" s="6"/>
      <c r="C64717" s="6"/>
      <c r="D64717" s="6"/>
      <c r="E64717" s="6"/>
      <c r="F64717" s="6"/>
      <c r="G64717" s="6"/>
      <c r="H64717" s="6"/>
      <c r="I64717" s="6"/>
      <c r="J64717" s="6"/>
      <c r="K64717" s="6"/>
      <c r="L64717" s="6"/>
      <c r="M64717" s="6"/>
      <c r="N64717" s="6"/>
      <c r="O64717" s="6"/>
      <c r="P64717" s="6"/>
      <c r="Q64717" s="6"/>
      <c r="R64717" s="6"/>
      <c r="S64717" s="6"/>
      <c r="T64717" s="6"/>
      <c r="U64717" s="6"/>
      <c r="V64717" s="6"/>
      <c r="W64717" s="6"/>
      <c r="X64717" s="6"/>
      <c r="Y64717" s="6"/>
      <c r="Z64717" s="6"/>
      <c r="AA64717" s="6"/>
      <c r="AB64717" s="6"/>
      <c r="AC64717" s="6"/>
      <c r="AD64717" s="6"/>
      <c r="AE64717" s="6"/>
      <c r="AF64717" s="6"/>
      <c r="AG64717" s="6"/>
      <c r="AH64717" s="6"/>
      <c r="AI64717" s="6"/>
      <c r="AJ64717" s="6"/>
      <c r="AK64717" s="6"/>
      <c r="AL64717" s="6"/>
      <c r="AM64717" s="6"/>
    </row>
    <row r="64718" spans="2:39" ht="9.9499999999999993" hidden="1" customHeight="1" x14ac:dyDescent="0.2">
      <c r="B64718" s="6"/>
      <c r="C64718" s="6"/>
      <c r="D64718" s="6"/>
      <c r="E64718" s="6"/>
      <c r="F64718" s="6"/>
      <c r="G64718" s="6"/>
      <c r="H64718" s="6"/>
      <c r="I64718" s="6"/>
      <c r="J64718" s="6"/>
      <c r="K64718" s="6"/>
      <c r="L64718" s="6"/>
      <c r="M64718" s="6"/>
      <c r="N64718" s="6"/>
      <c r="O64718" s="6"/>
      <c r="P64718" s="6"/>
      <c r="Q64718" s="6"/>
      <c r="R64718" s="6"/>
      <c r="S64718" s="6"/>
      <c r="T64718" s="6"/>
      <c r="U64718" s="6"/>
      <c r="V64718" s="6"/>
      <c r="W64718" s="6"/>
      <c r="X64718" s="6"/>
      <c r="Y64718" s="6"/>
      <c r="Z64718" s="6"/>
      <c r="AA64718" s="6"/>
      <c r="AB64718" s="6"/>
      <c r="AC64718" s="6"/>
      <c r="AD64718" s="6"/>
      <c r="AE64718" s="6"/>
      <c r="AF64718" s="6"/>
      <c r="AG64718" s="6"/>
      <c r="AH64718" s="6"/>
      <c r="AI64718" s="6"/>
      <c r="AJ64718" s="6"/>
      <c r="AK64718" s="6"/>
      <c r="AL64718" s="6"/>
      <c r="AM64718" s="6"/>
    </row>
    <row r="64719" spans="2:39" ht="9.9499999999999993" hidden="1" customHeight="1" x14ac:dyDescent="0.2">
      <c r="B64719" s="6"/>
      <c r="C64719" s="6"/>
      <c r="D64719" s="6"/>
      <c r="E64719" s="6"/>
      <c r="F64719" s="6"/>
      <c r="G64719" s="6"/>
      <c r="H64719" s="6"/>
      <c r="I64719" s="6"/>
      <c r="J64719" s="6"/>
      <c r="K64719" s="6"/>
      <c r="L64719" s="6"/>
      <c r="M64719" s="6"/>
      <c r="N64719" s="6"/>
      <c r="O64719" s="6"/>
      <c r="P64719" s="6"/>
      <c r="Q64719" s="6"/>
      <c r="R64719" s="6"/>
      <c r="S64719" s="6"/>
      <c r="T64719" s="6"/>
      <c r="U64719" s="6"/>
      <c r="V64719" s="6"/>
      <c r="W64719" s="6"/>
      <c r="X64719" s="6"/>
      <c r="Y64719" s="6"/>
      <c r="Z64719" s="6"/>
      <c r="AA64719" s="6"/>
      <c r="AB64719" s="6"/>
      <c r="AC64719" s="6"/>
      <c r="AD64719" s="6"/>
      <c r="AE64719" s="6"/>
      <c r="AF64719" s="6"/>
      <c r="AG64719" s="6"/>
      <c r="AH64719" s="6"/>
      <c r="AI64719" s="6"/>
      <c r="AJ64719" s="6"/>
      <c r="AK64719" s="6"/>
      <c r="AL64719" s="6"/>
      <c r="AM64719" s="6"/>
    </row>
    <row r="64720" spans="2:39" ht="9.9499999999999993" hidden="1" customHeight="1" x14ac:dyDescent="0.2">
      <c r="B64720" s="6"/>
      <c r="C64720" s="6"/>
      <c r="D64720" s="6"/>
      <c r="E64720" s="6"/>
      <c r="F64720" s="6"/>
      <c r="G64720" s="6"/>
      <c r="H64720" s="6"/>
      <c r="I64720" s="6"/>
      <c r="J64720" s="6"/>
      <c r="K64720" s="6"/>
      <c r="L64720" s="6"/>
      <c r="M64720" s="6"/>
      <c r="N64720" s="6"/>
      <c r="O64720" s="6"/>
      <c r="P64720" s="6"/>
      <c r="Q64720" s="6"/>
      <c r="R64720" s="6"/>
      <c r="S64720" s="6"/>
      <c r="T64720" s="6"/>
      <c r="U64720" s="6"/>
      <c r="V64720" s="6"/>
      <c r="W64720" s="6"/>
      <c r="X64720" s="6"/>
      <c r="Y64720" s="6"/>
      <c r="Z64720" s="6"/>
      <c r="AA64720" s="6"/>
      <c r="AB64720" s="6"/>
      <c r="AC64720" s="6"/>
      <c r="AD64720" s="6"/>
      <c r="AE64720" s="6"/>
      <c r="AF64720" s="6"/>
      <c r="AG64720" s="6"/>
      <c r="AH64720" s="6"/>
      <c r="AI64720" s="6"/>
      <c r="AJ64720" s="6"/>
      <c r="AK64720" s="6"/>
      <c r="AL64720" s="6"/>
      <c r="AM64720" s="6"/>
    </row>
    <row r="64721" spans="2:39" ht="9.9499999999999993" hidden="1" customHeight="1" x14ac:dyDescent="0.2">
      <c r="B64721" s="6"/>
      <c r="C64721" s="6"/>
      <c r="D64721" s="6"/>
      <c r="E64721" s="6"/>
      <c r="F64721" s="6"/>
      <c r="G64721" s="6"/>
      <c r="H64721" s="6"/>
      <c r="I64721" s="6"/>
      <c r="J64721" s="6"/>
      <c r="K64721" s="6"/>
      <c r="L64721" s="6"/>
      <c r="M64721" s="6"/>
      <c r="N64721" s="6"/>
      <c r="O64721" s="6"/>
      <c r="P64721" s="6"/>
      <c r="Q64721" s="6"/>
      <c r="R64721" s="6"/>
      <c r="S64721" s="6"/>
      <c r="T64721" s="6"/>
      <c r="U64721" s="6"/>
      <c r="V64721" s="6"/>
      <c r="W64721" s="6"/>
      <c r="X64721" s="6"/>
      <c r="Y64721" s="6"/>
      <c r="Z64721" s="6"/>
      <c r="AA64721" s="6"/>
      <c r="AB64721" s="6"/>
      <c r="AC64721" s="6"/>
      <c r="AD64721" s="6"/>
      <c r="AE64721" s="6"/>
      <c r="AF64721" s="6"/>
      <c r="AG64721" s="6"/>
      <c r="AH64721" s="6"/>
      <c r="AI64721" s="6"/>
      <c r="AJ64721" s="6"/>
      <c r="AK64721" s="6"/>
      <c r="AL64721" s="6"/>
      <c r="AM64721" s="6"/>
    </row>
    <row r="64722" spans="2:39" ht="9.9499999999999993" hidden="1" customHeight="1" x14ac:dyDescent="0.2">
      <c r="B64722" s="6"/>
      <c r="C64722" s="6"/>
      <c r="D64722" s="6"/>
      <c r="E64722" s="6"/>
      <c r="F64722" s="6"/>
      <c r="G64722" s="6"/>
      <c r="H64722" s="6"/>
      <c r="I64722" s="6"/>
      <c r="J64722" s="6"/>
      <c r="K64722" s="6"/>
      <c r="L64722" s="6"/>
      <c r="M64722" s="6"/>
      <c r="N64722" s="6"/>
      <c r="O64722" s="6"/>
      <c r="P64722" s="6"/>
      <c r="Q64722" s="6"/>
      <c r="R64722" s="6"/>
      <c r="S64722" s="6"/>
      <c r="T64722" s="6"/>
      <c r="U64722" s="6"/>
      <c r="V64722" s="6"/>
      <c r="W64722" s="6"/>
      <c r="X64722" s="6"/>
      <c r="Y64722" s="6"/>
      <c r="Z64722" s="6"/>
      <c r="AA64722" s="6"/>
      <c r="AB64722" s="6"/>
      <c r="AC64722" s="6"/>
      <c r="AD64722" s="6"/>
      <c r="AE64722" s="6"/>
      <c r="AF64722" s="6"/>
      <c r="AG64722" s="6"/>
      <c r="AH64722" s="6"/>
      <c r="AI64722" s="6"/>
      <c r="AJ64722" s="6"/>
      <c r="AK64722" s="6"/>
      <c r="AL64722" s="6"/>
      <c r="AM64722" s="6"/>
    </row>
    <row r="64723" spans="2:39" ht="9.9499999999999993" hidden="1" customHeight="1" x14ac:dyDescent="0.2">
      <c r="B64723" s="6"/>
      <c r="C64723" s="6"/>
      <c r="D64723" s="6"/>
      <c r="E64723" s="6"/>
      <c r="F64723" s="6"/>
      <c r="G64723" s="6"/>
      <c r="H64723" s="6"/>
      <c r="I64723" s="6"/>
      <c r="J64723" s="6"/>
      <c r="K64723" s="6"/>
      <c r="L64723" s="6"/>
      <c r="M64723" s="6"/>
      <c r="N64723" s="6"/>
      <c r="O64723" s="6"/>
      <c r="P64723" s="6"/>
      <c r="Q64723" s="6"/>
      <c r="R64723" s="6"/>
      <c r="S64723" s="6"/>
      <c r="T64723" s="6"/>
      <c r="U64723" s="6"/>
      <c r="V64723" s="6"/>
      <c r="W64723" s="6"/>
      <c r="X64723" s="6"/>
      <c r="Y64723" s="6"/>
      <c r="Z64723" s="6"/>
      <c r="AA64723" s="6"/>
      <c r="AB64723" s="6"/>
      <c r="AC64723" s="6"/>
      <c r="AD64723" s="6"/>
      <c r="AE64723" s="6"/>
      <c r="AF64723" s="6"/>
      <c r="AG64723" s="6"/>
      <c r="AH64723" s="6"/>
      <c r="AI64723" s="6"/>
      <c r="AJ64723" s="6"/>
      <c r="AK64723" s="6"/>
      <c r="AL64723" s="6"/>
      <c r="AM64723" s="6"/>
    </row>
    <row r="64724" spans="2:39" ht="9.9499999999999993" hidden="1" customHeight="1" x14ac:dyDescent="0.2">
      <c r="B64724" s="6"/>
      <c r="C64724" s="6"/>
      <c r="D64724" s="6"/>
      <c r="E64724" s="6"/>
      <c r="F64724" s="6"/>
      <c r="G64724" s="6"/>
      <c r="H64724" s="6"/>
      <c r="I64724" s="6"/>
      <c r="J64724" s="6"/>
      <c r="K64724" s="6"/>
      <c r="L64724" s="6"/>
      <c r="M64724" s="6"/>
      <c r="N64724" s="6"/>
      <c r="O64724" s="6"/>
      <c r="P64724" s="6"/>
      <c r="Q64724" s="6"/>
      <c r="R64724" s="6"/>
      <c r="S64724" s="6"/>
      <c r="T64724" s="6"/>
      <c r="U64724" s="6"/>
      <c r="V64724" s="6"/>
      <c r="W64724" s="6"/>
      <c r="X64724" s="6"/>
      <c r="Y64724" s="6"/>
      <c r="Z64724" s="6"/>
      <c r="AA64724" s="6"/>
      <c r="AB64724" s="6"/>
      <c r="AC64724" s="6"/>
      <c r="AD64724" s="6"/>
      <c r="AE64724" s="6"/>
      <c r="AF64724" s="6"/>
      <c r="AG64724" s="6"/>
      <c r="AH64724" s="6"/>
      <c r="AI64724" s="6"/>
      <c r="AJ64724" s="6"/>
      <c r="AK64724" s="6"/>
      <c r="AL64724" s="6"/>
      <c r="AM64724" s="6"/>
    </row>
    <row r="64725" spans="2:39" ht="9.9499999999999993" hidden="1" customHeight="1" x14ac:dyDescent="0.2">
      <c r="B64725" s="6"/>
      <c r="C64725" s="6"/>
      <c r="D64725" s="6"/>
      <c r="E64725" s="6"/>
      <c r="F64725" s="6"/>
      <c r="G64725" s="6"/>
      <c r="H64725" s="6"/>
      <c r="I64725" s="6"/>
      <c r="J64725" s="6"/>
      <c r="K64725" s="6"/>
      <c r="L64725" s="6"/>
      <c r="M64725" s="6"/>
      <c r="N64725" s="6"/>
      <c r="O64725" s="6"/>
      <c r="P64725" s="6"/>
      <c r="Q64725" s="6"/>
      <c r="R64725" s="6"/>
      <c r="S64725" s="6"/>
      <c r="T64725" s="6"/>
      <c r="U64725" s="6"/>
      <c r="V64725" s="6"/>
      <c r="W64725" s="6"/>
      <c r="X64725" s="6"/>
      <c r="Y64725" s="6"/>
      <c r="Z64725" s="6"/>
      <c r="AA64725" s="6"/>
      <c r="AB64725" s="6"/>
      <c r="AC64725" s="6"/>
      <c r="AD64725" s="6"/>
      <c r="AE64725" s="6"/>
      <c r="AF64725" s="6"/>
      <c r="AG64725" s="6"/>
      <c r="AH64725" s="6"/>
      <c r="AI64725" s="6"/>
      <c r="AJ64725" s="6"/>
      <c r="AK64725" s="6"/>
      <c r="AL64725" s="6"/>
      <c r="AM64725" s="6"/>
    </row>
    <row r="64726" spans="2:39" ht="9.9499999999999993" hidden="1" customHeight="1" x14ac:dyDescent="0.2">
      <c r="B64726" s="6"/>
      <c r="C64726" s="6"/>
      <c r="D64726" s="6"/>
      <c r="E64726" s="6"/>
      <c r="F64726" s="6"/>
      <c r="G64726" s="6"/>
      <c r="H64726" s="6"/>
      <c r="I64726" s="6"/>
      <c r="J64726" s="6"/>
      <c r="K64726" s="6"/>
      <c r="L64726" s="6"/>
      <c r="M64726" s="6"/>
      <c r="N64726" s="6"/>
      <c r="O64726" s="6"/>
      <c r="P64726" s="6"/>
      <c r="Q64726" s="6"/>
      <c r="R64726" s="6"/>
      <c r="S64726" s="6"/>
      <c r="T64726" s="6"/>
      <c r="U64726" s="6"/>
      <c r="V64726" s="6"/>
      <c r="W64726" s="6"/>
      <c r="X64726" s="6"/>
      <c r="Y64726" s="6"/>
      <c r="Z64726" s="6"/>
      <c r="AA64726" s="6"/>
      <c r="AB64726" s="6"/>
      <c r="AC64726" s="6"/>
      <c r="AD64726" s="6"/>
      <c r="AE64726" s="6"/>
      <c r="AF64726" s="6"/>
      <c r="AG64726" s="6"/>
      <c r="AH64726" s="6"/>
      <c r="AI64726" s="6"/>
      <c r="AJ64726" s="6"/>
      <c r="AK64726" s="6"/>
      <c r="AL64726" s="6"/>
      <c r="AM64726" s="6"/>
    </row>
    <row r="64727" spans="2:39" ht="9.9499999999999993" hidden="1" customHeight="1" x14ac:dyDescent="0.2">
      <c r="B64727" s="6"/>
      <c r="C64727" s="6"/>
      <c r="D64727" s="6"/>
      <c r="E64727" s="6"/>
      <c r="F64727" s="6"/>
      <c r="G64727" s="6"/>
      <c r="H64727" s="6"/>
      <c r="I64727" s="6"/>
      <c r="J64727" s="6"/>
      <c r="K64727" s="6"/>
      <c r="L64727" s="6"/>
      <c r="M64727" s="6"/>
      <c r="N64727" s="6"/>
      <c r="O64727" s="6"/>
      <c r="P64727" s="6"/>
      <c r="Q64727" s="6"/>
      <c r="R64727" s="6"/>
      <c r="S64727" s="6"/>
      <c r="T64727" s="6"/>
      <c r="U64727" s="6"/>
      <c r="V64727" s="6"/>
      <c r="W64727" s="6"/>
      <c r="X64727" s="6"/>
      <c r="Y64727" s="6"/>
      <c r="Z64727" s="6"/>
      <c r="AA64727" s="6"/>
      <c r="AB64727" s="6"/>
      <c r="AC64727" s="6"/>
      <c r="AD64727" s="6"/>
      <c r="AE64727" s="6"/>
      <c r="AF64727" s="6"/>
      <c r="AG64727" s="6"/>
      <c r="AH64727" s="6"/>
      <c r="AI64727" s="6"/>
      <c r="AJ64727" s="6"/>
      <c r="AK64727" s="6"/>
      <c r="AL64727" s="6"/>
      <c r="AM64727" s="6"/>
    </row>
    <row r="64728" spans="2:39" ht="9.9499999999999993" hidden="1" customHeight="1" x14ac:dyDescent="0.2">
      <c r="B64728" s="6"/>
      <c r="C64728" s="6"/>
      <c r="D64728" s="6"/>
      <c r="E64728" s="6"/>
      <c r="F64728" s="6"/>
      <c r="G64728" s="6"/>
      <c r="H64728" s="6"/>
      <c r="I64728" s="6"/>
      <c r="J64728" s="6"/>
      <c r="K64728" s="6"/>
      <c r="L64728" s="6"/>
      <c r="M64728" s="6"/>
      <c r="N64728" s="6"/>
      <c r="O64728" s="6"/>
      <c r="P64728" s="6"/>
      <c r="Q64728" s="6"/>
      <c r="R64728" s="6"/>
      <c r="S64728" s="6"/>
      <c r="T64728" s="6"/>
      <c r="U64728" s="6"/>
      <c r="V64728" s="6"/>
      <c r="W64728" s="6"/>
      <c r="X64728" s="6"/>
      <c r="Y64728" s="6"/>
      <c r="Z64728" s="6"/>
      <c r="AA64728" s="6"/>
      <c r="AB64728" s="6"/>
      <c r="AC64728" s="6"/>
      <c r="AD64728" s="6"/>
      <c r="AE64728" s="6"/>
      <c r="AF64728" s="6"/>
      <c r="AG64728" s="6"/>
      <c r="AH64728" s="6"/>
      <c r="AI64728" s="6"/>
      <c r="AJ64728" s="6"/>
      <c r="AK64728" s="6"/>
      <c r="AL64728" s="6"/>
      <c r="AM64728" s="6"/>
    </row>
    <row r="64729" spans="2:39" ht="9.9499999999999993" hidden="1" customHeight="1" x14ac:dyDescent="0.2">
      <c r="B64729" s="6"/>
      <c r="C64729" s="6"/>
      <c r="D64729" s="6"/>
      <c r="E64729" s="6"/>
      <c r="F64729" s="6"/>
      <c r="G64729" s="6"/>
      <c r="H64729" s="6"/>
      <c r="I64729" s="6"/>
      <c r="J64729" s="6"/>
      <c r="K64729" s="6"/>
      <c r="L64729" s="6"/>
      <c r="M64729" s="6"/>
      <c r="N64729" s="6"/>
      <c r="O64729" s="6"/>
      <c r="P64729" s="6"/>
      <c r="Q64729" s="6"/>
      <c r="R64729" s="6"/>
      <c r="S64729" s="6"/>
      <c r="T64729" s="6"/>
      <c r="U64729" s="6"/>
      <c r="V64729" s="6"/>
      <c r="W64729" s="6"/>
      <c r="X64729" s="6"/>
      <c r="Y64729" s="6"/>
      <c r="Z64729" s="6"/>
      <c r="AA64729" s="6"/>
      <c r="AB64729" s="6"/>
      <c r="AC64729" s="6"/>
      <c r="AD64729" s="6"/>
      <c r="AE64729" s="6"/>
      <c r="AF64729" s="6"/>
      <c r="AG64729" s="6"/>
      <c r="AH64729" s="6"/>
      <c r="AI64729" s="6"/>
      <c r="AJ64729" s="6"/>
      <c r="AK64729" s="6"/>
      <c r="AL64729" s="6"/>
      <c r="AM64729" s="6"/>
    </row>
    <row r="64730" spans="2:39" ht="9.9499999999999993" hidden="1" customHeight="1" x14ac:dyDescent="0.2">
      <c r="B64730" s="6"/>
      <c r="C64730" s="6"/>
      <c r="D64730" s="6"/>
      <c r="E64730" s="6"/>
      <c r="F64730" s="6"/>
      <c r="G64730" s="6"/>
      <c r="H64730" s="6"/>
      <c r="I64730" s="6"/>
      <c r="J64730" s="6"/>
      <c r="K64730" s="6"/>
      <c r="L64730" s="6"/>
      <c r="M64730" s="6"/>
      <c r="N64730" s="6"/>
      <c r="O64730" s="6"/>
      <c r="P64730" s="6"/>
      <c r="Q64730" s="6"/>
      <c r="R64730" s="6"/>
      <c r="S64730" s="6"/>
      <c r="T64730" s="6"/>
      <c r="U64730" s="6"/>
      <c r="V64730" s="6"/>
      <c r="W64730" s="6"/>
      <c r="X64730" s="6"/>
      <c r="Y64730" s="6"/>
      <c r="Z64730" s="6"/>
      <c r="AA64730" s="6"/>
      <c r="AB64730" s="6"/>
      <c r="AC64730" s="6"/>
      <c r="AD64730" s="6"/>
      <c r="AE64730" s="6"/>
      <c r="AF64730" s="6"/>
      <c r="AG64730" s="6"/>
      <c r="AH64730" s="6"/>
      <c r="AI64730" s="6"/>
      <c r="AJ64730" s="6"/>
      <c r="AK64730" s="6"/>
      <c r="AL64730" s="6"/>
      <c r="AM64730" s="6"/>
    </row>
    <row r="64731" spans="2:39" ht="9.9499999999999993" hidden="1" customHeight="1" x14ac:dyDescent="0.2">
      <c r="B64731" s="6"/>
      <c r="C64731" s="6"/>
      <c r="D64731" s="6"/>
      <c r="E64731" s="6"/>
      <c r="F64731" s="6"/>
      <c r="G64731" s="6"/>
      <c r="H64731" s="6"/>
      <c r="I64731" s="6"/>
      <c r="J64731" s="6"/>
      <c r="K64731" s="6"/>
      <c r="L64731" s="6"/>
      <c r="M64731" s="6"/>
      <c r="N64731" s="6"/>
      <c r="O64731" s="6"/>
      <c r="P64731" s="6"/>
      <c r="Q64731" s="6"/>
      <c r="R64731" s="6"/>
      <c r="S64731" s="6"/>
      <c r="T64731" s="6"/>
      <c r="U64731" s="6"/>
      <c r="V64731" s="6"/>
      <c r="W64731" s="6"/>
      <c r="X64731" s="6"/>
      <c r="Y64731" s="6"/>
      <c r="Z64731" s="6"/>
      <c r="AA64731" s="6"/>
      <c r="AB64731" s="6"/>
      <c r="AC64731" s="6"/>
      <c r="AD64731" s="6"/>
      <c r="AE64731" s="6"/>
      <c r="AF64731" s="6"/>
      <c r="AG64731" s="6"/>
      <c r="AH64731" s="6"/>
      <c r="AI64731" s="6"/>
      <c r="AJ64731" s="6"/>
      <c r="AK64731" s="6"/>
      <c r="AL64731" s="6"/>
      <c r="AM64731" s="6"/>
    </row>
    <row r="64732" spans="2:39" ht="9.9499999999999993" hidden="1" customHeight="1" x14ac:dyDescent="0.2">
      <c r="B64732" s="6"/>
      <c r="C64732" s="6"/>
      <c r="D64732" s="6"/>
      <c r="E64732" s="6"/>
      <c r="F64732" s="6"/>
      <c r="G64732" s="6"/>
      <c r="H64732" s="6"/>
      <c r="I64732" s="6"/>
      <c r="J64732" s="6"/>
      <c r="K64732" s="6"/>
      <c r="L64732" s="6"/>
      <c r="M64732" s="6"/>
      <c r="N64732" s="6"/>
      <c r="O64732" s="6"/>
      <c r="P64732" s="6"/>
      <c r="Q64732" s="6"/>
      <c r="R64732" s="6"/>
      <c r="S64732" s="6"/>
      <c r="T64732" s="6"/>
      <c r="U64732" s="6"/>
      <c r="V64732" s="6"/>
      <c r="W64732" s="6"/>
      <c r="X64732" s="6"/>
      <c r="Y64732" s="6"/>
      <c r="Z64732" s="6"/>
      <c r="AA64732" s="6"/>
      <c r="AB64732" s="6"/>
      <c r="AC64732" s="6"/>
      <c r="AD64732" s="6"/>
      <c r="AE64732" s="6"/>
      <c r="AF64732" s="6"/>
      <c r="AG64732" s="6"/>
      <c r="AH64732" s="6"/>
      <c r="AI64732" s="6"/>
      <c r="AJ64732" s="6"/>
      <c r="AK64732" s="6"/>
      <c r="AL64732" s="6"/>
      <c r="AM64732" s="6"/>
    </row>
    <row r="64733" spans="2:39" ht="9.9499999999999993" hidden="1" customHeight="1" x14ac:dyDescent="0.2">
      <c r="B64733" s="6"/>
      <c r="C64733" s="6"/>
      <c r="D64733" s="6"/>
      <c r="E64733" s="6"/>
      <c r="F64733" s="6"/>
      <c r="G64733" s="6"/>
      <c r="H64733" s="6"/>
      <c r="I64733" s="6"/>
      <c r="J64733" s="6"/>
      <c r="K64733" s="6"/>
      <c r="L64733" s="6"/>
      <c r="M64733" s="6"/>
      <c r="N64733" s="6"/>
      <c r="O64733" s="6"/>
      <c r="P64733" s="6"/>
      <c r="Q64733" s="6"/>
      <c r="R64733" s="6"/>
      <c r="S64733" s="6"/>
      <c r="T64733" s="6"/>
      <c r="U64733" s="6"/>
      <c r="V64733" s="6"/>
      <c r="W64733" s="6"/>
      <c r="X64733" s="6"/>
      <c r="Y64733" s="6"/>
      <c r="Z64733" s="6"/>
      <c r="AA64733" s="6"/>
      <c r="AB64733" s="6"/>
      <c r="AC64733" s="6"/>
      <c r="AD64733" s="6"/>
      <c r="AE64733" s="6"/>
      <c r="AF64733" s="6"/>
      <c r="AG64733" s="6"/>
      <c r="AH64733" s="6"/>
      <c r="AI64733" s="6"/>
      <c r="AJ64733" s="6"/>
      <c r="AK64733" s="6"/>
      <c r="AL64733" s="6"/>
      <c r="AM64733" s="6"/>
    </row>
    <row r="64734" spans="2:39" ht="9.9499999999999993" hidden="1" customHeight="1" x14ac:dyDescent="0.2">
      <c r="B64734" s="6"/>
      <c r="C64734" s="6"/>
      <c r="D64734" s="6"/>
      <c r="E64734" s="6"/>
      <c r="F64734" s="6"/>
      <c r="G64734" s="6"/>
      <c r="H64734" s="6"/>
      <c r="I64734" s="6"/>
      <c r="J64734" s="6"/>
      <c r="K64734" s="6"/>
      <c r="L64734" s="6"/>
      <c r="M64734" s="6"/>
      <c r="N64734" s="6"/>
      <c r="O64734" s="6"/>
      <c r="P64734" s="6"/>
      <c r="Q64734" s="6"/>
      <c r="R64734" s="6"/>
      <c r="S64734" s="6"/>
      <c r="T64734" s="6"/>
      <c r="U64734" s="6"/>
      <c r="V64734" s="6"/>
      <c r="W64734" s="6"/>
      <c r="X64734" s="6"/>
      <c r="Y64734" s="6"/>
      <c r="Z64734" s="6"/>
      <c r="AA64734" s="6"/>
      <c r="AB64734" s="6"/>
      <c r="AC64734" s="6"/>
      <c r="AD64734" s="6"/>
      <c r="AE64734" s="6"/>
      <c r="AF64734" s="6"/>
      <c r="AG64734" s="6"/>
      <c r="AH64734" s="6"/>
      <c r="AI64734" s="6"/>
      <c r="AJ64734" s="6"/>
      <c r="AK64734" s="6"/>
      <c r="AL64734" s="6"/>
      <c r="AM64734" s="6"/>
    </row>
    <row r="64735" spans="2:39" ht="9.9499999999999993" hidden="1" customHeight="1" x14ac:dyDescent="0.2">
      <c r="B64735" s="6"/>
      <c r="C64735" s="6"/>
      <c r="D64735" s="6"/>
      <c r="E64735" s="6"/>
      <c r="F64735" s="6"/>
      <c r="G64735" s="6"/>
      <c r="H64735" s="6"/>
      <c r="I64735" s="6"/>
      <c r="J64735" s="6"/>
      <c r="K64735" s="6"/>
      <c r="L64735" s="6"/>
      <c r="M64735" s="6"/>
      <c r="N64735" s="6"/>
      <c r="O64735" s="6"/>
      <c r="P64735" s="6"/>
      <c r="Q64735" s="6"/>
      <c r="R64735" s="6"/>
      <c r="S64735" s="6"/>
      <c r="T64735" s="6"/>
      <c r="U64735" s="6"/>
      <c r="V64735" s="6"/>
      <c r="W64735" s="6"/>
      <c r="X64735" s="6"/>
      <c r="Y64735" s="6"/>
      <c r="Z64735" s="6"/>
      <c r="AA64735" s="6"/>
      <c r="AB64735" s="6"/>
      <c r="AC64735" s="6"/>
      <c r="AD64735" s="6"/>
      <c r="AE64735" s="6"/>
      <c r="AF64735" s="6"/>
      <c r="AG64735" s="6"/>
      <c r="AH64735" s="6"/>
      <c r="AI64735" s="6"/>
      <c r="AJ64735" s="6"/>
      <c r="AK64735" s="6"/>
      <c r="AL64735" s="6"/>
      <c r="AM64735" s="6"/>
    </row>
    <row r="64736" spans="2:39" ht="9.9499999999999993" hidden="1" customHeight="1" x14ac:dyDescent="0.2">
      <c r="B64736" s="6"/>
      <c r="C64736" s="6"/>
      <c r="D64736" s="6"/>
      <c r="E64736" s="6"/>
      <c r="F64736" s="6"/>
      <c r="G64736" s="6"/>
      <c r="H64736" s="6"/>
      <c r="I64736" s="6"/>
      <c r="J64736" s="6"/>
      <c r="K64736" s="6"/>
      <c r="L64736" s="6"/>
      <c r="M64736" s="6"/>
      <c r="N64736" s="6"/>
      <c r="O64736" s="6"/>
      <c r="P64736" s="6"/>
      <c r="Q64736" s="6"/>
      <c r="R64736" s="6"/>
      <c r="S64736" s="6"/>
      <c r="T64736" s="6"/>
      <c r="U64736" s="6"/>
      <c r="V64736" s="6"/>
      <c r="W64736" s="6"/>
      <c r="X64736" s="6"/>
      <c r="Y64736" s="6"/>
      <c r="Z64736" s="6"/>
      <c r="AA64736" s="6"/>
      <c r="AB64736" s="6"/>
      <c r="AC64736" s="6"/>
      <c r="AD64736" s="6"/>
      <c r="AE64736" s="6"/>
      <c r="AF64736" s="6"/>
      <c r="AG64736" s="6"/>
      <c r="AH64736" s="6"/>
      <c r="AI64736" s="6"/>
      <c r="AJ64736" s="6"/>
      <c r="AK64736" s="6"/>
      <c r="AL64736" s="6"/>
      <c r="AM64736" s="6"/>
    </row>
    <row r="64737" spans="2:39" ht="9.9499999999999993" hidden="1" customHeight="1" x14ac:dyDescent="0.2">
      <c r="B64737" s="6"/>
      <c r="C64737" s="6"/>
      <c r="D64737" s="6"/>
      <c r="E64737" s="6"/>
      <c r="F64737" s="6"/>
      <c r="G64737" s="6"/>
      <c r="H64737" s="6"/>
      <c r="I64737" s="6"/>
      <c r="J64737" s="6"/>
      <c r="K64737" s="6"/>
      <c r="L64737" s="6"/>
      <c r="M64737" s="6"/>
      <c r="N64737" s="6"/>
      <c r="O64737" s="6"/>
      <c r="P64737" s="6"/>
      <c r="Q64737" s="6"/>
      <c r="R64737" s="6"/>
      <c r="S64737" s="6"/>
      <c r="T64737" s="6"/>
      <c r="U64737" s="6"/>
      <c r="V64737" s="6"/>
      <c r="W64737" s="6"/>
      <c r="X64737" s="6"/>
      <c r="Y64737" s="6"/>
      <c r="Z64737" s="6"/>
      <c r="AA64737" s="6"/>
      <c r="AB64737" s="6"/>
      <c r="AC64737" s="6"/>
      <c r="AD64737" s="6"/>
      <c r="AE64737" s="6"/>
      <c r="AF64737" s="6"/>
      <c r="AG64737" s="6"/>
      <c r="AH64737" s="6"/>
      <c r="AI64737" s="6"/>
      <c r="AJ64737" s="6"/>
      <c r="AK64737" s="6"/>
      <c r="AL64737" s="6"/>
      <c r="AM64737" s="6"/>
    </row>
    <row r="64738" spans="2:39" ht="9.9499999999999993" hidden="1" customHeight="1" x14ac:dyDescent="0.2">
      <c r="B64738" s="6"/>
      <c r="C64738" s="6"/>
      <c r="D64738" s="6"/>
      <c r="E64738" s="6"/>
      <c r="F64738" s="6"/>
      <c r="G64738" s="6"/>
      <c r="H64738" s="6"/>
      <c r="I64738" s="6"/>
      <c r="J64738" s="6"/>
      <c r="K64738" s="6"/>
      <c r="L64738" s="6"/>
      <c r="M64738" s="6"/>
      <c r="N64738" s="6"/>
      <c r="O64738" s="6"/>
      <c r="P64738" s="6"/>
      <c r="Q64738" s="6"/>
      <c r="R64738" s="6"/>
      <c r="S64738" s="6"/>
      <c r="T64738" s="6"/>
      <c r="U64738" s="6"/>
      <c r="V64738" s="6"/>
      <c r="W64738" s="6"/>
      <c r="X64738" s="6"/>
      <c r="Y64738" s="6"/>
      <c r="Z64738" s="6"/>
      <c r="AA64738" s="6"/>
      <c r="AB64738" s="6"/>
      <c r="AC64738" s="6"/>
      <c r="AD64738" s="6"/>
      <c r="AE64738" s="6"/>
      <c r="AF64738" s="6"/>
      <c r="AG64738" s="6"/>
      <c r="AH64738" s="6"/>
      <c r="AI64738" s="6"/>
      <c r="AJ64738" s="6"/>
      <c r="AK64738" s="6"/>
      <c r="AL64738" s="6"/>
      <c r="AM64738" s="6"/>
    </row>
    <row r="64739" spans="2:39" ht="9.9499999999999993" hidden="1" customHeight="1" x14ac:dyDescent="0.2">
      <c r="B64739" s="6"/>
      <c r="C64739" s="6"/>
      <c r="D64739" s="6"/>
      <c r="E64739" s="6"/>
      <c r="F64739" s="6"/>
      <c r="G64739" s="6"/>
      <c r="H64739" s="6"/>
      <c r="I64739" s="6"/>
      <c r="J64739" s="6"/>
      <c r="K64739" s="6"/>
      <c r="L64739" s="6"/>
      <c r="M64739" s="6"/>
      <c r="N64739" s="6"/>
      <c r="O64739" s="6"/>
      <c r="P64739" s="6"/>
      <c r="Q64739" s="6"/>
      <c r="R64739" s="6"/>
      <c r="S64739" s="6"/>
      <c r="T64739" s="6"/>
      <c r="U64739" s="6"/>
      <c r="V64739" s="6"/>
      <c r="W64739" s="6"/>
      <c r="X64739" s="6"/>
      <c r="Y64739" s="6"/>
      <c r="Z64739" s="6"/>
      <c r="AA64739" s="6"/>
      <c r="AB64739" s="6"/>
      <c r="AC64739" s="6"/>
      <c r="AD64739" s="6"/>
      <c r="AE64739" s="6"/>
      <c r="AF64739" s="6"/>
      <c r="AG64739" s="6"/>
      <c r="AH64739" s="6"/>
      <c r="AI64739" s="6"/>
      <c r="AJ64739" s="6"/>
      <c r="AK64739" s="6"/>
      <c r="AL64739" s="6"/>
      <c r="AM64739" s="6"/>
    </row>
    <row r="64740" spans="2:39" ht="9.9499999999999993" hidden="1" customHeight="1" x14ac:dyDescent="0.2">
      <c r="B64740" s="6"/>
      <c r="C64740" s="6"/>
      <c r="D64740" s="6"/>
      <c r="E64740" s="6"/>
      <c r="F64740" s="6"/>
      <c r="G64740" s="6"/>
      <c r="H64740" s="6"/>
      <c r="I64740" s="6"/>
      <c r="J64740" s="6"/>
      <c r="K64740" s="6"/>
      <c r="L64740" s="6"/>
      <c r="M64740" s="6"/>
      <c r="N64740" s="6"/>
      <c r="O64740" s="6"/>
      <c r="P64740" s="6"/>
      <c r="Q64740" s="6"/>
      <c r="R64740" s="6"/>
      <c r="S64740" s="6"/>
      <c r="T64740" s="6"/>
      <c r="U64740" s="6"/>
      <c r="V64740" s="6"/>
      <c r="W64740" s="6"/>
      <c r="X64740" s="6"/>
      <c r="Y64740" s="6"/>
      <c r="Z64740" s="6"/>
      <c r="AA64740" s="6"/>
      <c r="AB64740" s="6"/>
      <c r="AC64740" s="6"/>
      <c r="AD64740" s="6"/>
      <c r="AE64740" s="6"/>
      <c r="AF64740" s="6"/>
      <c r="AG64740" s="6"/>
      <c r="AH64740" s="6"/>
      <c r="AI64740" s="6"/>
      <c r="AJ64740" s="6"/>
      <c r="AK64740" s="6"/>
      <c r="AL64740" s="6"/>
      <c r="AM64740" s="6"/>
    </row>
    <row r="64741" spans="2:39" ht="9.9499999999999993" hidden="1" customHeight="1" x14ac:dyDescent="0.2">
      <c r="B64741" s="6"/>
      <c r="C64741" s="6"/>
      <c r="D64741" s="6"/>
      <c r="E64741" s="6"/>
      <c r="F64741" s="6"/>
      <c r="G64741" s="6"/>
      <c r="H64741" s="6"/>
      <c r="I64741" s="6"/>
      <c r="J64741" s="6"/>
      <c r="K64741" s="6"/>
      <c r="L64741" s="6"/>
      <c r="M64741" s="6"/>
      <c r="N64741" s="6"/>
      <c r="O64741" s="6"/>
      <c r="P64741" s="6"/>
      <c r="Q64741" s="6"/>
      <c r="R64741" s="6"/>
      <c r="S64741" s="6"/>
      <c r="T64741" s="6"/>
      <c r="U64741" s="6"/>
      <c r="V64741" s="6"/>
      <c r="W64741" s="6"/>
      <c r="X64741" s="6"/>
      <c r="Y64741" s="6"/>
      <c r="Z64741" s="6"/>
      <c r="AA64741" s="6"/>
      <c r="AB64741" s="6"/>
      <c r="AC64741" s="6"/>
      <c r="AD64741" s="6"/>
      <c r="AE64741" s="6"/>
      <c r="AF64741" s="6"/>
      <c r="AG64741" s="6"/>
      <c r="AH64741" s="6"/>
      <c r="AI64741" s="6"/>
      <c r="AJ64741" s="6"/>
      <c r="AK64741" s="6"/>
      <c r="AL64741" s="6"/>
      <c r="AM64741" s="6"/>
    </row>
    <row r="64742" spans="2:39" ht="9.9499999999999993" hidden="1" customHeight="1" x14ac:dyDescent="0.2">
      <c r="B64742" s="6"/>
      <c r="C64742" s="6"/>
      <c r="D64742" s="6"/>
      <c r="E64742" s="6"/>
      <c r="F64742" s="6"/>
      <c r="G64742" s="6"/>
      <c r="H64742" s="6"/>
      <c r="I64742" s="6"/>
      <c r="J64742" s="6"/>
      <c r="K64742" s="6"/>
      <c r="L64742" s="6"/>
      <c r="M64742" s="6"/>
      <c r="N64742" s="6"/>
      <c r="O64742" s="6"/>
      <c r="P64742" s="6"/>
      <c r="Q64742" s="6"/>
      <c r="R64742" s="6"/>
      <c r="S64742" s="6"/>
      <c r="T64742" s="6"/>
      <c r="U64742" s="6"/>
      <c r="V64742" s="6"/>
      <c r="W64742" s="6"/>
      <c r="X64742" s="6"/>
      <c r="Y64742" s="6"/>
      <c r="Z64742" s="6"/>
      <c r="AA64742" s="6"/>
      <c r="AB64742" s="6"/>
      <c r="AC64742" s="6"/>
      <c r="AD64742" s="6"/>
      <c r="AE64742" s="6"/>
      <c r="AF64742" s="6"/>
      <c r="AG64742" s="6"/>
      <c r="AH64742" s="6"/>
      <c r="AI64742" s="6"/>
      <c r="AJ64742" s="6"/>
      <c r="AK64742" s="6"/>
      <c r="AL64742" s="6"/>
      <c r="AM64742" s="6"/>
    </row>
    <row r="64743" spans="2:39" ht="9.9499999999999993" hidden="1" customHeight="1" x14ac:dyDescent="0.2">
      <c r="B64743" s="6"/>
      <c r="C64743" s="6"/>
      <c r="D64743" s="6"/>
      <c r="E64743" s="6"/>
      <c r="F64743" s="6"/>
      <c r="G64743" s="6"/>
      <c r="H64743" s="6"/>
      <c r="I64743" s="6"/>
      <c r="J64743" s="6"/>
      <c r="K64743" s="6"/>
      <c r="L64743" s="6"/>
      <c r="M64743" s="6"/>
      <c r="N64743" s="6"/>
      <c r="O64743" s="6"/>
      <c r="P64743" s="6"/>
      <c r="Q64743" s="6"/>
      <c r="R64743" s="6"/>
      <c r="S64743" s="6"/>
      <c r="T64743" s="6"/>
      <c r="U64743" s="6"/>
      <c r="V64743" s="6"/>
      <c r="W64743" s="6"/>
      <c r="X64743" s="6"/>
      <c r="Y64743" s="6"/>
      <c r="Z64743" s="6"/>
      <c r="AA64743" s="6"/>
      <c r="AB64743" s="6"/>
      <c r="AC64743" s="6"/>
      <c r="AD64743" s="6"/>
      <c r="AE64743" s="6"/>
      <c r="AF64743" s="6"/>
      <c r="AG64743" s="6"/>
      <c r="AH64743" s="6"/>
      <c r="AI64743" s="6"/>
      <c r="AJ64743" s="6"/>
      <c r="AK64743" s="6"/>
      <c r="AL64743" s="6"/>
      <c r="AM64743" s="6"/>
    </row>
    <row r="64744" spans="2:39" ht="9.9499999999999993" hidden="1" customHeight="1" x14ac:dyDescent="0.2">
      <c r="B64744" s="6"/>
      <c r="C64744" s="6"/>
      <c r="D64744" s="6"/>
      <c r="E64744" s="6"/>
      <c r="F64744" s="6"/>
      <c r="G64744" s="6"/>
      <c r="H64744" s="6"/>
      <c r="I64744" s="6"/>
      <c r="J64744" s="6"/>
      <c r="K64744" s="6"/>
      <c r="L64744" s="6"/>
      <c r="M64744" s="6"/>
      <c r="N64744" s="6"/>
      <c r="O64744" s="6"/>
      <c r="P64744" s="6"/>
      <c r="Q64744" s="6"/>
      <c r="R64744" s="6"/>
      <c r="S64744" s="6"/>
      <c r="T64744" s="6"/>
      <c r="U64744" s="6"/>
      <c r="V64744" s="6"/>
      <c r="W64744" s="6"/>
      <c r="X64744" s="6"/>
      <c r="Y64744" s="6"/>
      <c r="Z64744" s="6"/>
      <c r="AA64744" s="6"/>
      <c r="AB64744" s="6"/>
      <c r="AC64744" s="6"/>
      <c r="AD64744" s="6"/>
      <c r="AE64744" s="6"/>
      <c r="AF64744" s="6"/>
      <c r="AG64744" s="6"/>
      <c r="AH64744" s="6"/>
      <c r="AI64744" s="6"/>
      <c r="AJ64744" s="6"/>
      <c r="AK64744" s="6"/>
      <c r="AL64744" s="6"/>
      <c r="AM64744" s="6"/>
    </row>
    <row r="64745" spans="2:39" ht="9.9499999999999993" hidden="1" customHeight="1" x14ac:dyDescent="0.2">
      <c r="B64745" s="6"/>
      <c r="C64745" s="6"/>
      <c r="D64745" s="6"/>
      <c r="E64745" s="6"/>
      <c r="F64745" s="6"/>
      <c r="G64745" s="6"/>
      <c r="H64745" s="6"/>
      <c r="I64745" s="6"/>
      <c r="J64745" s="6"/>
      <c r="K64745" s="6"/>
      <c r="L64745" s="6"/>
      <c r="M64745" s="6"/>
      <c r="N64745" s="6"/>
      <c r="O64745" s="6"/>
      <c r="P64745" s="6"/>
      <c r="Q64745" s="6"/>
      <c r="R64745" s="6"/>
      <c r="S64745" s="6"/>
      <c r="T64745" s="6"/>
      <c r="U64745" s="6"/>
      <c r="V64745" s="6"/>
      <c r="W64745" s="6"/>
      <c r="X64745" s="6"/>
      <c r="Y64745" s="6"/>
      <c r="Z64745" s="6"/>
      <c r="AA64745" s="6"/>
      <c r="AB64745" s="6"/>
      <c r="AC64745" s="6"/>
      <c r="AD64745" s="6"/>
      <c r="AE64745" s="6"/>
      <c r="AF64745" s="6"/>
      <c r="AG64745" s="6"/>
      <c r="AH64745" s="6"/>
      <c r="AI64745" s="6"/>
      <c r="AJ64745" s="6"/>
      <c r="AK64745" s="6"/>
      <c r="AL64745" s="6"/>
      <c r="AM64745" s="6"/>
    </row>
    <row r="64746" spans="2:39" ht="9.9499999999999993" hidden="1" customHeight="1" x14ac:dyDescent="0.2">
      <c r="B64746" s="6"/>
      <c r="C64746" s="6"/>
      <c r="D64746" s="6"/>
      <c r="E64746" s="6"/>
      <c r="F64746" s="6"/>
      <c r="G64746" s="6"/>
      <c r="H64746" s="6"/>
      <c r="I64746" s="6"/>
      <c r="J64746" s="6"/>
      <c r="K64746" s="6"/>
      <c r="L64746" s="6"/>
      <c r="M64746" s="6"/>
      <c r="N64746" s="6"/>
      <c r="O64746" s="6"/>
      <c r="P64746" s="6"/>
      <c r="Q64746" s="6"/>
      <c r="R64746" s="6"/>
      <c r="S64746" s="6"/>
      <c r="T64746" s="6"/>
      <c r="U64746" s="6"/>
      <c r="V64746" s="6"/>
      <c r="W64746" s="6"/>
      <c r="X64746" s="6"/>
      <c r="Y64746" s="6"/>
      <c r="Z64746" s="6"/>
      <c r="AA64746" s="6"/>
      <c r="AB64746" s="6"/>
      <c r="AC64746" s="6"/>
      <c r="AD64746" s="6"/>
      <c r="AE64746" s="6"/>
      <c r="AF64746" s="6"/>
      <c r="AG64746" s="6"/>
      <c r="AH64746" s="6"/>
      <c r="AI64746" s="6"/>
      <c r="AJ64746" s="6"/>
      <c r="AK64746" s="6"/>
      <c r="AL64746" s="6"/>
      <c r="AM64746" s="6"/>
    </row>
    <row r="64747" spans="2:39" ht="9.9499999999999993" hidden="1" customHeight="1" x14ac:dyDescent="0.2">
      <c r="B64747" s="6"/>
      <c r="C64747" s="6"/>
      <c r="D64747" s="6"/>
      <c r="E64747" s="6"/>
      <c r="F64747" s="6"/>
      <c r="G64747" s="6"/>
      <c r="H64747" s="6"/>
      <c r="I64747" s="6"/>
      <c r="J64747" s="6"/>
      <c r="K64747" s="6"/>
      <c r="L64747" s="6"/>
      <c r="M64747" s="6"/>
      <c r="N64747" s="6"/>
      <c r="O64747" s="6"/>
      <c r="P64747" s="6"/>
      <c r="Q64747" s="6"/>
      <c r="R64747" s="6"/>
      <c r="S64747" s="6"/>
      <c r="T64747" s="6"/>
      <c r="U64747" s="6"/>
      <c r="V64747" s="6"/>
      <c r="W64747" s="6"/>
      <c r="X64747" s="6"/>
      <c r="Y64747" s="6"/>
      <c r="Z64747" s="6"/>
      <c r="AA64747" s="6"/>
      <c r="AB64747" s="6"/>
      <c r="AC64747" s="6"/>
      <c r="AD64747" s="6"/>
      <c r="AE64747" s="6"/>
      <c r="AF64747" s="6"/>
      <c r="AG64747" s="6"/>
      <c r="AH64747" s="6"/>
      <c r="AI64747" s="6"/>
      <c r="AJ64747" s="6"/>
      <c r="AK64747" s="6"/>
      <c r="AL64747" s="6"/>
      <c r="AM64747" s="6"/>
    </row>
    <row r="64748" spans="2:39" ht="9.9499999999999993" hidden="1" customHeight="1" x14ac:dyDescent="0.2">
      <c r="B64748" s="6"/>
      <c r="C64748" s="6"/>
      <c r="D64748" s="6"/>
      <c r="E64748" s="6"/>
      <c r="F64748" s="6"/>
      <c r="G64748" s="6"/>
      <c r="H64748" s="6"/>
      <c r="I64748" s="6"/>
      <c r="J64748" s="6"/>
      <c r="K64748" s="6"/>
      <c r="L64748" s="6"/>
      <c r="M64748" s="6"/>
      <c r="N64748" s="6"/>
      <c r="O64748" s="6"/>
      <c r="P64748" s="6"/>
      <c r="Q64748" s="6"/>
      <c r="R64748" s="6"/>
      <c r="S64748" s="6"/>
      <c r="T64748" s="6"/>
      <c r="U64748" s="6"/>
      <c r="V64748" s="6"/>
      <c r="W64748" s="6"/>
      <c r="X64748" s="6"/>
      <c r="Y64748" s="6"/>
      <c r="Z64748" s="6"/>
      <c r="AA64748" s="6"/>
      <c r="AB64748" s="6"/>
      <c r="AC64748" s="6"/>
      <c r="AD64748" s="6"/>
      <c r="AE64748" s="6"/>
      <c r="AF64748" s="6"/>
      <c r="AG64748" s="6"/>
      <c r="AH64748" s="6"/>
      <c r="AI64748" s="6"/>
      <c r="AJ64748" s="6"/>
      <c r="AK64748" s="6"/>
      <c r="AL64748" s="6"/>
      <c r="AM64748" s="6"/>
    </row>
    <row r="64749" spans="2:39" ht="9.9499999999999993" hidden="1" customHeight="1" x14ac:dyDescent="0.2">
      <c r="B64749" s="6"/>
      <c r="C64749" s="6"/>
      <c r="D64749" s="6"/>
      <c r="E64749" s="6"/>
      <c r="F64749" s="6"/>
      <c r="G64749" s="6"/>
      <c r="H64749" s="6"/>
      <c r="I64749" s="6"/>
      <c r="J64749" s="6"/>
      <c r="K64749" s="6"/>
      <c r="L64749" s="6"/>
      <c r="M64749" s="6"/>
      <c r="N64749" s="6"/>
      <c r="O64749" s="6"/>
      <c r="P64749" s="6"/>
      <c r="Q64749" s="6"/>
      <c r="R64749" s="6"/>
      <c r="S64749" s="6"/>
      <c r="T64749" s="6"/>
      <c r="U64749" s="6"/>
      <c r="V64749" s="6"/>
      <c r="W64749" s="6"/>
      <c r="X64749" s="6"/>
      <c r="Y64749" s="6"/>
      <c r="Z64749" s="6"/>
      <c r="AA64749" s="6"/>
      <c r="AB64749" s="6"/>
      <c r="AC64749" s="6"/>
      <c r="AD64749" s="6"/>
      <c r="AE64749" s="6"/>
      <c r="AF64749" s="6"/>
      <c r="AG64749" s="6"/>
      <c r="AH64749" s="6"/>
      <c r="AI64749" s="6"/>
      <c r="AJ64749" s="6"/>
      <c r="AK64749" s="6"/>
      <c r="AL64749" s="6"/>
      <c r="AM64749" s="6"/>
    </row>
    <row r="64750" spans="2:39" ht="9.9499999999999993" hidden="1" customHeight="1" x14ac:dyDescent="0.2">
      <c r="B64750" s="6"/>
      <c r="C64750" s="6"/>
      <c r="D64750" s="6"/>
      <c r="E64750" s="6"/>
      <c r="F64750" s="6"/>
      <c r="G64750" s="6"/>
      <c r="H64750" s="6"/>
      <c r="I64750" s="6"/>
      <c r="J64750" s="6"/>
      <c r="K64750" s="6"/>
      <c r="L64750" s="6"/>
      <c r="M64750" s="6"/>
      <c r="N64750" s="6"/>
      <c r="O64750" s="6"/>
      <c r="P64750" s="6"/>
      <c r="Q64750" s="6"/>
      <c r="R64750" s="6"/>
      <c r="S64750" s="6"/>
      <c r="T64750" s="6"/>
      <c r="U64750" s="6"/>
      <c r="V64750" s="6"/>
      <c r="W64750" s="6"/>
      <c r="X64750" s="6"/>
      <c r="Y64750" s="6"/>
      <c r="Z64750" s="6"/>
      <c r="AA64750" s="6"/>
      <c r="AB64750" s="6"/>
      <c r="AC64750" s="6"/>
      <c r="AD64750" s="6"/>
      <c r="AE64750" s="6"/>
      <c r="AF64750" s="6"/>
      <c r="AG64750" s="6"/>
      <c r="AH64750" s="6"/>
      <c r="AI64750" s="6"/>
      <c r="AJ64750" s="6"/>
      <c r="AK64750" s="6"/>
      <c r="AL64750" s="6"/>
      <c r="AM64750" s="6"/>
    </row>
    <row r="64751" spans="2:39" ht="9.9499999999999993" hidden="1" customHeight="1" x14ac:dyDescent="0.2">
      <c r="B64751" s="6"/>
      <c r="C64751" s="6"/>
      <c r="D64751" s="6"/>
      <c r="E64751" s="6"/>
      <c r="F64751" s="6"/>
      <c r="G64751" s="6"/>
      <c r="H64751" s="6"/>
      <c r="I64751" s="6"/>
      <c r="J64751" s="6"/>
      <c r="K64751" s="6"/>
      <c r="L64751" s="6"/>
      <c r="M64751" s="6"/>
      <c r="N64751" s="6"/>
      <c r="O64751" s="6"/>
      <c r="P64751" s="6"/>
      <c r="Q64751" s="6"/>
      <c r="R64751" s="6"/>
      <c r="S64751" s="6"/>
      <c r="T64751" s="6"/>
      <c r="U64751" s="6"/>
      <c r="V64751" s="6"/>
      <c r="W64751" s="6"/>
      <c r="X64751" s="6"/>
      <c r="Y64751" s="6"/>
      <c r="Z64751" s="6"/>
      <c r="AA64751" s="6"/>
      <c r="AB64751" s="6"/>
      <c r="AC64751" s="6"/>
      <c r="AD64751" s="6"/>
      <c r="AE64751" s="6"/>
      <c r="AF64751" s="6"/>
      <c r="AG64751" s="6"/>
      <c r="AH64751" s="6"/>
      <c r="AI64751" s="6"/>
      <c r="AJ64751" s="6"/>
      <c r="AK64751" s="6"/>
      <c r="AL64751" s="6"/>
      <c r="AM64751" s="6"/>
    </row>
    <row r="64752" spans="2:39" ht="9.9499999999999993" hidden="1" customHeight="1" x14ac:dyDescent="0.2">
      <c r="B64752" s="6"/>
      <c r="C64752" s="6"/>
      <c r="D64752" s="6"/>
      <c r="E64752" s="6"/>
      <c r="F64752" s="6"/>
      <c r="G64752" s="6"/>
      <c r="H64752" s="6"/>
      <c r="I64752" s="6"/>
      <c r="J64752" s="6"/>
      <c r="K64752" s="6"/>
      <c r="L64752" s="6"/>
      <c r="M64752" s="6"/>
      <c r="N64752" s="6"/>
      <c r="O64752" s="6"/>
      <c r="P64752" s="6"/>
      <c r="Q64752" s="6"/>
      <c r="R64752" s="6"/>
      <c r="S64752" s="6"/>
      <c r="T64752" s="6"/>
      <c r="U64752" s="6"/>
      <c r="V64752" s="6"/>
      <c r="W64752" s="6"/>
      <c r="X64752" s="6"/>
      <c r="Y64752" s="6"/>
      <c r="Z64752" s="6"/>
      <c r="AA64752" s="6"/>
      <c r="AB64752" s="6"/>
      <c r="AC64752" s="6"/>
      <c r="AD64752" s="6"/>
      <c r="AE64752" s="6"/>
      <c r="AF64752" s="6"/>
      <c r="AG64752" s="6"/>
      <c r="AH64752" s="6"/>
      <c r="AI64752" s="6"/>
      <c r="AJ64752" s="6"/>
      <c r="AK64752" s="6"/>
      <c r="AL64752" s="6"/>
      <c r="AM64752" s="6"/>
    </row>
    <row r="64753" spans="2:39" ht="9.9499999999999993" hidden="1" customHeight="1" x14ac:dyDescent="0.2">
      <c r="B64753" s="6"/>
      <c r="C64753" s="6"/>
      <c r="D64753" s="6"/>
      <c r="E64753" s="6"/>
      <c r="F64753" s="6"/>
      <c r="G64753" s="6"/>
      <c r="H64753" s="6"/>
      <c r="I64753" s="6"/>
      <c r="J64753" s="6"/>
      <c r="K64753" s="6"/>
      <c r="L64753" s="6"/>
      <c r="M64753" s="6"/>
      <c r="N64753" s="6"/>
      <c r="O64753" s="6"/>
      <c r="P64753" s="6"/>
      <c r="Q64753" s="6"/>
      <c r="R64753" s="6"/>
      <c r="S64753" s="6"/>
      <c r="T64753" s="6"/>
      <c r="U64753" s="6"/>
      <c r="V64753" s="6"/>
      <c r="W64753" s="6"/>
      <c r="X64753" s="6"/>
      <c r="Y64753" s="6"/>
      <c r="Z64753" s="6"/>
      <c r="AA64753" s="6"/>
      <c r="AB64753" s="6"/>
      <c r="AC64753" s="6"/>
      <c r="AD64753" s="6"/>
      <c r="AE64753" s="6"/>
      <c r="AF64753" s="6"/>
      <c r="AG64753" s="6"/>
      <c r="AH64753" s="6"/>
      <c r="AI64753" s="6"/>
      <c r="AJ64753" s="6"/>
      <c r="AK64753" s="6"/>
      <c r="AL64753" s="6"/>
      <c r="AM64753" s="6"/>
    </row>
    <row r="64754" spans="2:39" ht="9.9499999999999993" hidden="1" customHeight="1" x14ac:dyDescent="0.2">
      <c r="B64754" s="6"/>
      <c r="C64754" s="6"/>
      <c r="D64754" s="6"/>
      <c r="E64754" s="6"/>
      <c r="F64754" s="6"/>
      <c r="G64754" s="6"/>
      <c r="H64754" s="6"/>
      <c r="I64754" s="6"/>
      <c r="J64754" s="6"/>
      <c r="K64754" s="6"/>
      <c r="L64754" s="6"/>
      <c r="M64754" s="6"/>
      <c r="N64754" s="6"/>
      <c r="O64754" s="6"/>
      <c r="P64754" s="6"/>
      <c r="Q64754" s="6"/>
      <c r="R64754" s="6"/>
      <c r="S64754" s="6"/>
      <c r="T64754" s="6"/>
      <c r="U64754" s="6"/>
      <c r="V64754" s="6"/>
      <c r="W64754" s="6"/>
      <c r="X64754" s="6"/>
      <c r="Y64754" s="6"/>
      <c r="Z64754" s="6"/>
      <c r="AA64754" s="6"/>
      <c r="AB64754" s="6"/>
      <c r="AC64754" s="6"/>
      <c r="AD64754" s="6"/>
      <c r="AE64754" s="6"/>
      <c r="AF64754" s="6"/>
      <c r="AG64754" s="6"/>
      <c r="AH64754" s="6"/>
      <c r="AI64754" s="6"/>
      <c r="AJ64754" s="6"/>
      <c r="AK64754" s="6"/>
      <c r="AL64754" s="6"/>
      <c r="AM64754" s="6"/>
    </row>
    <row r="64755" spans="2:39" ht="9.9499999999999993" hidden="1" customHeight="1" x14ac:dyDescent="0.2">
      <c r="B64755" s="6"/>
      <c r="C64755" s="6"/>
      <c r="D64755" s="6"/>
      <c r="E64755" s="6"/>
      <c r="F64755" s="6"/>
      <c r="G64755" s="6"/>
      <c r="H64755" s="6"/>
      <c r="I64755" s="6"/>
      <c r="J64755" s="6"/>
      <c r="K64755" s="6"/>
      <c r="L64755" s="6"/>
      <c r="M64755" s="6"/>
      <c r="N64755" s="6"/>
      <c r="O64755" s="6"/>
      <c r="P64755" s="6"/>
      <c r="Q64755" s="6"/>
      <c r="R64755" s="6"/>
      <c r="S64755" s="6"/>
      <c r="T64755" s="6"/>
      <c r="U64755" s="6"/>
      <c r="V64755" s="6"/>
      <c r="W64755" s="6"/>
      <c r="X64755" s="6"/>
      <c r="Y64755" s="6"/>
      <c r="Z64755" s="6"/>
      <c r="AA64755" s="6"/>
      <c r="AB64755" s="6"/>
      <c r="AC64755" s="6"/>
      <c r="AD64755" s="6"/>
      <c r="AE64755" s="6"/>
      <c r="AF64755" s="6"/>
      <c r="AG64755" s="6"/>
      <c r="AH64755" s="6"/>
      <c r="AI64755" s="6"/>
      <c r="AJ64755" s="6"/>
      <c r="AK64755" s="6"/>
      <c r="AL64755" s="6"/>
      <c r="AM64755" s="6"/>
    </row>
    <row r="64756" spans="2:39" ht="9.9499999999999993" hidden="1" customHeight="1" x14ac:dyDescent="0.2">
      <c r="B64756" s="6"/>
      <c r="C64756" s="6"/>
      <c r="D64756" s="6"/>
      <c r="E64756" s="6"/>
      <c r="F64756" s="6"/>
      <c r="G64756" s="6"/>
      <c r="H64756" s="6"/>
      <c r="I64756" s="6"/>
      <c r="J64756" s="6"/>
      <c r="K64756" s="6"/>
      <c r="L64756" s="6"/>
      <c r="M64756" s="6"/>
      <c r="N64756" s="6"/>
      <c r="O64756" s="6"/>
      <c r="P64756" s="6"/>
      <c r="Q64756" s="6"/>
      <c r="R64756" s="6"/>
      <c r="S64756" s="6"/>
      <c r="T64756" s="6"/>
      <c r="U64756" s="6"/>
      <c r="V64756" s="6"/>
      <c r="W64756" s="6"/>
      <c r="X64756" s="6"/>
      <c r="Y64756" s="6"/>
      <c r="Z64756" s="6"/>
      <c r="AA64756" s="6"/>
      <c r="AB64756" s="6"/>
      <c r="AC64756" s="6"/>
      <c r="AD64756" s="6"/>
      <c r="AE64756" s="6"/>
      <c r="AF64756" s="6"/>
      <c r="AG64756" s="6"/>
      <c r="AH64756" s="6"/>
      <c r="AI64756" s="6"/>
      <c r="AJ64756" s="6"/>
      <c r="AK64756" s="6"/>
      <c r="AL64756" s="6"/>
      <c r="AM64756" s="6"/>
    </row>
    <row r="64757" spans="2:39" ht="9.9499999999999993" hidden="1" customHeight="1" x14ac:dyDescent="0.2">
      <c r="B64757" s="6"/>
      <c r="C64757" s="6"/>
      <c r="D64757" s="6"/>
      <c r="E64757" s="6"/>
      <c r="F64757" s="6"/>
      <c r="G64757" s="6"/>
      <c r="H64757" s="6"/>
      <c r="I64757" s="6"/>
      <c r="J64757" s="6"/>
      <c r="K64757" s="6"/>
      <c r="L64757" s="6"/>
      <c r="M64757" s="6"/>
      <c r="N64757" s="6"/>
      <c r="O64757" s="6"/>
      <c r="P64757" s="6"/>
      <c r="Q64757" s="6"/>
      <c r="R64757" s="6"/>
      <c r="S64757" s="6"/>
      <c r="T64757" s="6"/>
      <c r="U64757" s="6"/>
      <c r="V64757" s="6"/>
      <c r="W64757" s="6"/>
      <c r="X64757" s="6"/>
      <c r="Y64757" s="6"/>
      <c r="Z64757" s="6"/>
      <c r="AA64757" s="6"/>
      <c r="AB64757" s="6"/>
      <c r="AC64757" s="6"/>
      <c r="AD64757" s="6"/>
      <c r="AE64757" s="6"/>
      <c r="AF64757" s="6"/>
      <c r="AG64757" s="6"/>
      <c r="AH64757" s="6"/>
      <c r="AI64757" s="6"/>
      <c r="AJ64757" s="6"/>
      <c r="AK64757" s="6"/>
      <c r="AL64757" s="6"/>
      <c r="AM64757" s="6"/>
    </row>
    <row r="64758" spans="2:39" ht="9.9499999999999993" hidden="1" customHeight="1" x14ac:dyDescent="0.2">
      <c r="B64758" s="6"/>
      <c r="C64758" s="6"/>
      <c r="D64758" s="6"/>
      <c r="E64758" s="6"/>
      <c r="F64758" s="6"/>
      <c r="G64758" s="6"/>
      <c r="H64758" s="6"/>
      <c r="I64758" s="6"/>
      <c r="J64758" s="6"/>
      <c r="K64758" s="6"/>
      <c r="L64758" s="6"/>
      <c r="M64758" s="6"/>
      <c r="N64758" s="6"/>
      <c r="O64758" s="6"/>
      <c r="P64758" s="6"/>
      <c r="Q64758" s="6"/>
      <c r="R64758" s="6"/>
      <c r="S64758" s="6"/>
      <c r="T64758" s="6"/>
      <c r="U64758" s="6"/>
      <c r="V64758" s="6"/>
      <c r="W64758" s="6"/>
      <c r="X64758" s="6"/>
      <c r="Y64758" s="6"/>
      <c r="Z64758" s="6"/>
      <c r="AA64758" s="6"/>
      <c r="AB64758" s="6"/>
      <c r="AC64758" s="6"/>
      <c r="AD64758" s="6"/>
      <c r="AE64758" s="6"/>
      <c r="AF64758" s="6"/>
      <c r="AG64758" s="6"/>
      <c r="AH64758" s="6"/>
      <c r="AI64758" s="6"/>
      <c r="AJ64758" s="6"/>
      <c r="AK64758" s="6"/>
      <c r="AL64758" s="6"/>
      <c r="AM64758" s="6"/>
    </row>
    <row r="64759" spans="2:39" ht="9.9499999999999993" hidden="1" customHeight="1" x14ac:dyDescent="0.2">
      <c r="B64759" s="6"/>
      <c r="C64759" s="6"/>
      <c r="D64759" s="6"/>
      <c r="E64759" s="6"/>
      <c r="F64759" s="6"/>
      <c r="G64759" s="6"/>
      <c r="H64759" s="6"/>
      <c r="I64759" s="6"/>
      <c r="J64759" s="6"/>
      <c r="K64759" s="6"/>
      <c r="L64759" s="6"/>
      <c r="M64759" s="6"/>
      <c r="N64759" s="6"/>
      <c r="O64759" s="6"/>
      <c r="P64759" s="6"/>
      <c r="Q64759" s="6"/>
      <c r="R64759" s="6"/>
      <c r="S64759" s="6"/>
      <c r="T64759" s="6"/>
      <c r="U64759" s="6"/>
      <c r="V64759" s="6"/>
      <c r="W64759" s="6"/>
      <c r="X64759" s="6"/>
      <c r="Y64759" s="6"/>
      <c r="Z64759" s="6"/>
      <c r="AA64759" s="6"/>
      <c r="AB64759" s="6"/>
      <c r="AC64759" s="6"/>
      <c r="AD64759" s="6"/>
      <c r="AE64759" s="6"/>
      <c r="AF64759" s="6"/>
      <c r="AG64759" s="6"/>
      <c r="AH64759" s="6"/>
      <c r="AI64759" s="6"/>
      <c r="AJ64759" s="6"/>
      <c r="AK64759" s="6"/>
      <c r="AL64759" s="6"/>
      <c r="AM64759" s="6"/>
    </row>
    <row r="64760" spans="2:39" ht="9.9499999999999993" hidden="1" customHeight="1" x14ac:dyDescent="0.2">
      <c r="B64760" s="6"/>
      <c r="C64760" s="6"/>
      <c r="D64760" s="6"/>
      <c r="E64760" s="6"/>
      <c r="F64760" s="6"/>
      <c r="G64760" s="6"/>
      <c r="H64760" s="6"/>
      <c r="I64760" s="6"/>
      <c r="J64760" s="6"/>
      <c r="K64760" s="6"/>
      <c r="L64760" s="6"/>
      <c r="M64760" s="6"/>
      <c r="N64760" s="6"/>
      <c r="O64760" s="6"/>
      <c r="P64760" s="6"/>
      <c r="Q64760" s="6"/>
      <c r="R64760" s="6"/>
      <c r="S64760" s="6"/>
      <c r="T64760" s="6"/>
      <c r="U64760" s="6"/>
      <c r="V64760" s="6"/>
      <c r="W64760" s="6"/>
      <c r="X64760" s="6"/>
      <c r="Y64760" s="6"/>
      <c r="Z64760" s="6"/>
      <c r="AA64760" s="6"/>
      <c r="AB64760" s="6"/>
      <c r="AC64760" s="6"/>
      <c r="AD64760" s="6"/>
      <c r="AE64760" s="6"/>
      <c r="AF64760" s="6"/>
      <c r="AG64760" s="6"/>
      <c r="AH64760" s="6"/>
      <c r="AI64760" s="6"/>
      <c r="AJ64760" s="6"/>
      <c r="AK64760" s="6"/>
      <c r="AL64760" s="6"/>
      <c r="AM64760" s="6"/>
    </row>
    <row r="64761" spans="2:39" ht="9.9499999999999993" hidden="1" customHeight="1" x14ac:dyDescent="0.2">
      <c r="B64761" s="6"/>
      <c r="C64761" s="6"/>
      <c r="D64761" s="6"/>
      <c r="E64761" s="6"/>
      <c r="F64761" s="6"/>
      <c r="G64761" s="6"/>
      <c r="H64761" s="6"/>
      <c r="I64761" s="6"/>
      <c r="J64761" s="6"/>
      <c r="K64761" s="6"/>
      <c r="L64761" s="6"/>
      <c r="M64761" s="6"/>
      <c r="N64761" s="6"/>
      <c r="O64761" s="6"/>
      <c r="P64761" s="6"/>
      <c r="Q64761" s="6"/>
      <c r="R64761" s="6"/>
      <c r="S64761" s="6"/>
      <c r="T64761" s="6"/>
      <c r="U64761" s="6"/>
      <c r="V64761" s="6"/>
      <c r="W64761" s="6"/>
      <c r="X64761" s="6"/>
      <c r="Y64761" s="6"/>
      <c r="Z64761" s="6"/>
      <c r="AA64761" s="6"/>
      <c r="AB64761" s="6"/>
      <c r="AC64761" s="6"/>
      <c r="AD64761" s="6"/>
      <c r="AE64761" s="6"/>
      <c r="AF64761" s="6"/>
      <c r="AG64761" s="6"/>
      <c r="AH64761" s="6"/>
      <c r="AI64761" s="6"/>
      <c r="AJ64761" s="6"/>
      <c r="AK64761" s="6"/>
      <c r="AL64761" s="6"/>
      <c r="AM64761" s="6"/>
    </row>
    <row r="64762" spans="2:39" ht="9.9499999999999993" hidden="1" customHeight="1" x14ac:dyDescent="0.2">
      <c r="B64762" s="6"/>
      <c r="C64762" s="6"/>
      <c r="D64762" s="6"/>
      <c r="E64762" s="6"/>
      <c r="F64762" s="6"/>
      <c r="G64762" s="6"/>
      <c r="H64762" s="6"/>
      <c r="I64762" s="6"/>
      <c r="J64762" s="6"/>
      <c r="K64762" s="6"/>
      <c r="L64762" s="6"/>
      <c r="M64762" s="6"/>
      <c r="N64762" s="6"/>
      <c r="O64762" s="6"/>
      <c r="P64762" s="6"/>
      <c r="Q64762" s="6"/>
      <c r="R64762" s="6"/>
      <c r="S64762" s="6"/>
      <c r="T64762" s="6"/>
      <c r="U64762" s="6"/>
      <c r="V64762" s="6"/>
      <c r="W64762" s="6"/>
      <c r="X64762" s="6"/>
      <c r="Y64762" s="6"/>
      <c r="Z64762" s="6"/>
      <c r="AA64762" s="6"/>
      <c r="AB64762" s="6"/>
      <c r="AC64762" s="6"/>
      <c r="AD64762" s="6"/>
      <c r="AE64762" s="6"/>
      <c r="AF64762" s="6"/>
      <c r="AG64762" s="6"/>
      <c r="AH64762" s="6"/>
      <c r="AI64762" s="6"/>
      <c r="AJ64762" s="6"/>
      <c r="AK64762" s="6"/>
      <c r="AL64762" s="6"/>
      <c r="AM64762" s="6"/>
    </row>
    <row r="64763" spans="2:39" ht="9.9499999999999993" hidden="1" customHeight="1" x14ac:dyDescent="0.2">
      <c r="B64763" s="6"/>
      <c r="C64763" s="6"/>
      <c r="D64763" s="6"/>
      <c r="E64763" s="6"/>
      <c r="F64763" s="6"/>
      <c r="G64763" s="6"/>
      <c r="H64763" s="6"/>
      <c r="I64763" s="6"/>
      <c r="J64763" s="6"/>
      <c r="K64763" s="6"/>
      <c r="L64763" s="6"/>
      <c r="M64763" s="6"/>
      <c r="N64763" s="6"/>
      <c r="O64763" s="6"/>
      <c r="P64763" s="6"/>
      <c r="Q64763" s="6"/>
      <c r="R64763" s="6"/>
      <c r="S64763" s="6"/>
      <c r="T64763" s="6"/>
      <c r="U64763" s="6"/>
      <c r="V64763" s="6"/>
      <c r="W64763" s="6"/>
      <c r="X64763" s="6"/>
      <c r="Y64763" s="6"/>
      <c r="Z64763" s="6"/>
      <c r="AA64763" s="6"/>
      <c r="AB64763" s="6"/>
      <c r="AC64763" s="6"/>
      <c r="AD64763" s="6"/>
      <c r="AE64763" s="6"/>
      <c r="AF64763" s="6"/>
      <c r="AG64763" s="6"/>
      <c r="AH64763" s="6"/>
      <c r="AI64763" s="6"/>
      <c r="AJ64763" s="6"/>
      <c r="AK64763" s="6"/>
      <c r="AL64763" s="6"/>
      <c r="AM64763" s="6"/>
    </row>
    <row r="64764" spans="2:39" ht="9.9499999999999993" hidden="1" customHeight="1" x14ac:dyDescent="0.2">
      <c r="B64764" s="6"/>
      <c r="C64764" s="6"/>
      <c r="D64764" s="6"/>
      <c r="E64764" s="6"/>
      <c r="F64764" s="6"/>
      <c r="G64764" s="6"/>
      <c r="H64764" s="6"/>
      <c r="I64764" s="6"/>
      <c r="J64764" s="6"/>
      <c r="K64764" s="6"/>
      <c r="L64764" s="6"/>
      <c r="M64764" s="6"/>
      <c r="N64764" s="6"/>
      <c r="O64764" s="6"/>
      <c r="P64764" s="6"/>
      <c r="Q64764" s="6"/>
      <c r="R64764" s="6"/>
      <c r="S64764" s="6"/>
      <c r="T64764" s="6"/>
      <c r="U64764" s="6"/>
      <c r="V64764" s="6"/>
      <c r="W64764" s="6"/>
      <c r="X64764" s="6"/>
      <c r="Y64764" s="6"/>
      <c r="Z64764" s="6"/>
      <c r="AA64764" s="6"/>
      <c r="AB64764" s="6"/>
      <c r="AC64764" s="6"/>
      <c r="AD64764" s="6"/>
      <c r="AE64764" s="6"/>
      <c r="AF64764" s="6"/>
      <c r="AG64764" s="6"/>
      <c r="AH64764" s="6"/>
      <c r="AI64764" s="6"/>
      <c r="AJ64764" s="6"/>
      <c r="AK64764" s="6"/>
      <c r="AL64764" s="6"/>
      <c r="AM64764" s="6"/>
    </row>
    <row r="64765" spans="2:39" ht="9.9499999999999993" hidden="1" customHeight="1" x14ac:dyDescent="0.2">
      <c r="B64765" s="6"/>
      <c r="C64765" s="6"/>
      <c r="D64765" s="6"/>
      <c r="E64765" s="6"/>
      <c r="F64765" s="6"/>
      <c r="G64765" s="6"/>
      <c r="H64765" s="6"/>
      <c r="I64765" s="6"/>
      <c r="J64765" s="6"/>
      <c r="K64765" s="6"/>
      <c r="L64765" s="6"/>
      <c r="M64765" s="6"/>
      <c r="N64765" s="6"/>
      <c r="O64765" s="6"/>
      <c r="P64765" s="6"/>
      <c r="Q64765" s="6"/>
      <c r="R64765" s="6"/>
      <c r="S64765" s="6"/>
      <c r="T64765" s="6"/>
      <c r="U64765" s="6"/>
      <c r="V64765" s="6"/>
      <c r="W64765" s="6"/>
      <c r="X64765" s="6"/>
      <c r="Y64765" s="6"/>
      <c r="Z64765" s="6"/>
      <c r="AA64765" s="6"/>
      <c r="AB64765" s="6"/>
      <c r="AC64765" s="6"/>
      <c r="AD64765" s="6"/>
      <c r="AE64765" s="6"/>
      <c r="AF64765" s="6"/>
      <c r="AG64765" s="6"/>
      <c r="AH64765" s="6"/>
      <c r="AI64765" s="6"/>
      <c r="AJ64765" s="6"/>
      <c r="AK64765" s="6"/>
      <c r="AL64765" s="6"/>
      <c r="AM64765" s="6"/>
    </row>
    <row r="64766" spans="2:39" ht="9.9499999999999993" hidden="1" customHeight="1" x14ac:dyDescent="0.2">
      <c r="B64766" s="6"/>
      <c r="C64766" s="6"/>
      <c r="D64766" s="6"/>
      <c r="E64766" s="6"/>
      <c r="F64766" s="6"/>
      <c r="G64766" s="6"/>
      <c r="H64766" s="6"/>
      <c r="I64766" s="6"/>
      <c r="J64766" s="6"/>
      <c r="K64766" s="6"/>
      <c r="L64766" s="6"/>
      <c r="M64766" s="6"/>
      <c r="N64766" s="6"/>
      <c r="O64766" s="6"/>
      <c r="P64766" s="6"/>
      <c r="Q64766" s="6"/>
      <c r="R64766" s="6"/>
      <c r="S64766" s="6"/>
      <c r="T64766" s="6"/>
      <c r="U64766" s="6"/>
      <c r="V64766" s="6"/>
      <c r="W64766" s="6"/>
      <c r="X64766" s="6"/>
      <c r="Y64766" s="6"/>
      <c r="Z64766" s="6"/>
      <c r="AA64766" s="6"/>
      <c r="AB64766" s="6"/>
      <c r="AC64766" s="6"/>
      <c r="AD64766" s="6"/>
      <c r="AE64766" s="6"/>
      <c r="AF64766" s="6"/>
      <c r="AG64766" s="6"/>
      <c r="AH64766" s="6"/>
      <c r="AI64766" s="6"/>
      <c r="AJ64766" s="6"/>
      <c r="AK64766" s="6"/>
      <c r="AL64766" s="6"/>
      <c r="AM64766" s="6"/>
    </row>
    <row r="64767" spans="2:39" ht="9.9499999999999993" hidden="1" customHeight="1" x14ac:dyDescent="0.2">
      <c r="B64767" s="6"/>
      <c r="C64767" s="6"/>
      <c r="D64767" s="6"/>
      <c r="E64767" s="6"/>
      <c r="F64767" s="6"/>
      <c r="G64767" s="6"/>
      <c r="H64767" s="6"/>
      <c r="I64767" s="6"/>
      <c r="J64767" s="6"/>
      <c r="K64767" s="6"/>
      <c r="L64767" s="6"/>
      <c r="M64767" s="6"/>
      <c r="N64767" s="6"/>
      <c r="O64767" s="6"/>
      <c r="P64767" s="6"/>
      <c r="Q64767" s="6"/>
      <c r="R64767" s="6"/>
      <c r="S64767" s="6"/>
      <c r="T64767" s="6"/>
      <c r="U64767" s="6"/>
      <c r="V64767" s="6"/>
      <c r="W64767" s="6"/>
      <c r="X64767" s="6"/>
      <c r="Y64767" s="6"/>
      <c r="Z64767" s="6"/>
      <c r="AA64767" s="6"/>
      <c r="AB64767" s="6"/>
      <c r="AC64767" s="6"/>
      <c r="AD64767" s="6"/>
      <c r="AE64767" s="6"/>
      <c r="AF64767" s="6"/>
      <c r="AG64767" s="6"/>
      <c r="AH64767" s="6"/>
      <c r="AI64767" s="6"/>
      <c r="AJ64767" s="6"/>
      <c r="AK64767" s="6"/>
      <c r="AL64767" s="6"/>
      <c r="AM64767" s="6"/>
    </row>
    <row r="64768" spans="2:39" ht="9.9499999999999993" hidden="1" customHeight="1" x14ac:dyDescent="0.2">
      <c r="B64768" s="6"/>
      <c r="C64768" s="6"/>
      <c r="D64768" s="6"/>
      <c r="E64768" s="6"/>
      <c r="F64768" s="6"/>
      <c r="G64768" s="6"/>
      <c r="H64768" s="6"/>
      <c r="I64768" s="6"/>
      <c r="J64768" s="6"/>
      <c r="K64768" s="6"/>
      <c r="L64768" s="6"/>
      <c r="M64768" s="6"/>
      <c r="N64768" s="6"/>
      <c r="O64768" s="6"/>
      <c r="P64768" s="6"/>
      <c r="Q64768" s="6"/>
      <c r="R64768" s="6"/>
      <c r="S64768" s="6"/>
      <c r="T64768" s="6"/>
      <c r="U64768" s="6"/>
      <c r="V64768" s="6"/>
      <c r="W64768" s="6"/>
      <c r="X64768" s="6"/>
      <c r="Y64768" s="6"/>
      <c r="Z64768" s="6"/>
      <c r="AA64768" s="6"/>
      <c r="AB64768" s="6"/>
      <c r="AC64768" s="6"/>
      <c r="AD64768" s="6"/>
      <c r="AE64768" s="6"/>
      <c r="AF64768" s="6"/>
      <c r="AG64768" s="6"/>
      <c r="AH64768" s="6"/>
      <c r="AI64768" s="6"/>
      <c r="AJ64768" s="6"/>
      <c r="AK64768" s="6"/>
      <c r="AL64768" s="6"/>
      <c r="AM64768" s="6"/>
    </row>
    <row r="64769" spans="2:39" ht="9.9499999999999993" hidden="1" customHeight="1" x14ac:dyDescent="0.2">
      <c r="B64769" s="6"/>
      <c r="C64769" s="6"/>
      <c r="D64769" s="6"/>
      <c r="E64769" s="6"/>
      <c r="F64769" s="6"/>
      <c r="G64769" s="6"/>
      <c r="H64769" s="6"/>
      <c r="I64769" s="6"/>
      <c r="J64769" s="6"/>
      <c r="K64769" s="6"/>
      <c r="L64769" s="6"/>
      <c r="M64769" s="6"/>
      <c r="N64769" s="6"/>
      <c r="O64769" s="6"/>
      <c r="P64769" s="6"/>
      <c r="Q64769" s="6"/>
      <c r="R64769" s="6"/>
      <c r="S64769" s="6"/>
      <c r="T64769" s="6"/>
      <c r="U64769" s="6"/>
      <c r="V64769" s="6"/>
      <c r="W64769" s="6"/>
      <c r="X64769" s="6"/>
      <c r="Y64769" s="6"/>
      <c r="Z64769" s="6"/>
      <c r="AA64769" s="6"/>
      <c r="AB64769" s="6"/>
      <c r="AC64769" s="6"/>
      <c r="AD64769" s="6"/>
      <c r="AE64769" s="6"/>
      <c r="AF64769" s="6"/>
      <c r="AG64769" s="6"/>
      <c r="AH64769" s="6"/>
      <c r="AI64769" s="6"/>
      <c r="AJ64769" s="6"/>
      <c r="AK64769" s="6"/>
      <c r="AL64769" s="6"/>
      <c r="AM64769" s="6"/>
    </row>
    <row r="64770" spans="2:39" ht="9.9499999999999993" hidden="1" customHeight="1" x14ac:dyDescent="0.2">
      <c r="B64770" s="6"/>
      <c r="C64770" s="6"/>
      <c r="D64770" s="6"/>
      <c r="E64770" s="6"/>
      <c r="F64770" s="6"/>
      <c r="G64770" s="6"/>
      <c r="H64770" s="6"/>
      <c r="I64770" s="6"/>
      <c r="J64770" s="6"/>
      <c r="K64770" s="6"/>
      <c r="L64770" s="6"/>
      <c r="M64770" s="6"/>
      <c r="N64770" s="6"/>
      <c r="O64770" s="6"/>
      <c r="P64770" s="6"/>
      <c r="Q64770" s="6"/>
      <c r="R64770" s="6"/>
      <c r="S64770" s="6"/>
      <c r="T64770" s="6"/>
      <c r="U64770" s="6"/>
      <c r="V64770" s="6"/>
      <c r="W64770" s="6"/>
      <c r="X64770" s="6"/>
      <c r="Y64770" s="6"/>
      <c r="Z64770" s="6"/>
      <c r="AA64770" s="6"/>
      <c r="AB64770" s="6"/>
      <c r="AC64770" s="6"/>
      <c r="AD64770" s="6"/>
      <c r="AE64770" s="6"/>
      <c r="AF64770" s="6"/>
      <c r="AG64770" s="6"/>
      <c r="AH64770" s="6"/>
      <c r="AI64770" s="6"/>
      <c r="AJ64770" s="6"/>
      <c r="AK64770" s="6"/>
      <c r="AL64770" s="6"/>
      <c r="AM64770" s="6"/>
    </row>
    <row r="64771" spans="2:39" ht="9.9499999999999993" hidden="1" customHeight="1" x14ac:dyDescent="0.2">
      <c r="B64771" s="6"/>
      <c r="C64771" s="6"/>
      <c r="D64771" s="6"/>
      <c r="E64771" s="6"/>
      <c r="F64771" s="6"/>
      <c r="G64771" s="6"/>
      <c r="H64771" s="6"/>
      <c r="I64771" s="6"/>
      <c r="J64771" s="6"/>
      <c r="K64771" s="6"/>
      <c r="L64771" s="6"/>
      <c r="M64771" s="6"/>
      <c r="N64771" s="6"/>
      <c r="O64771" s="6"/>
      <c r="P64771" s="6"/>
      <c r="Q64771" s="6"/>
      <c r="R64771" s="6"/>
      <c r="S64771" s="6"/>
      <c r="T64771" s="6"/>
      <c r="U64771" s="6"/>
      <c r="V64771" s="6"/>
      <c r="W64771" s="6"/>
      <c r="X64771" s="6"/>
      <c r="Y64771" s="6"/>
      <c r="Z64771" s="6"/>
      <c r="AA64771" s="6"/>
      <c r="AB64771" s="6"/>
      <c r="AC64771" s="6"/>
      <c r="AD64771" s="6"/>
      <c r="AE64771" s="6"/>
      <c r="AF64771" s="6"/>
      <c r="AG64771" s="6"/>
      <c r="AH64771" s="6"/>
      <c r="AI64771" s="6"/>
      <c r="AJ64771" s="6"/>
      <c r="AK64771" s="6"/>
      <c r="AL64771" s="6"/>
      <c r="AM64771" s="6"/>
    </row>
    <row r="64772" spans="2:39" ht="9.9499999999999993" hidden="1" customHeight="1" x14ac:dyDescent="0.2">
      <c r="B64772" s="6"/>
      <c r="C64772" s="6"/>
      <c r="D64772" s="6"/>
      <c r="E64772" s="6"/>
      <c r="F64772" s="6"/>
      <c r="G64772" s="6"/>
      <c r="H64772" s="6"/>
      <c r="I64772" s="6"/>
      <c r="J64772" s="6"/>
      <c r="K64772" s="6"/>
      <c r="L64772" s="6"/>
      <c r="M64772" s="6"/>
      <c r="N64772" s="6"/>
      <c r="O64772" s="6"/>
      <c r="P64772" s="6"/>
      <c r="Q64772" s="6"/>
      <c r="R64772" s="6"/>
      <c r="S64772" s="6"/>
      <c r="T64772" s="6"/>
      <c r="U64772" s="6"/>
      <c r="V64772" s="6"/>
      <c r="W64772" s="6"/>
      <c r="X64772" s="6"/>
      <c r="Y64772" s="6"/>
      <c r="Z64772" s="6"/>
      <c r="AA64772" s="6"/>
      <c r="AB64772" s="6"/>
      <c r="AC64772" s="6"/>
      <c r="AD64772" s="6"/>
      <c r="AE64772" s="6"/>
      <c r="AF64772" s="6"/>
      <c r="AG64772" s="6"/>
      <c r="AH64772" s="6"/>
      <c r="AI64772" s="6"/>
      <c r="AJ64772" s="6"/>
      <c r="AK64772" s="6"/>
      <c r="AL64772" s="6"/>
      <c r="AM64772" s="6"/>
    </row>
    <row r="64773" spans="2:39" ht="9.9499999999999993" hidden="1" customHeight="1" x14ac:dyDescent="0.2">
      <c r="B64773" s="6"/>
      <c r="C64773" s="6"/>
      <c r="D64773" s="6"/>
      <c r="E64773" s="6"/>
      <c r="F64773" s="6"/>
      <c r="G64773" s="6"/>
      <c r="H64773" s="6"/>
      <c r="I64773" s="6"/>
      <c r="J64773" s="6"/>
      <c r="K64773" s="6"/>
      <c r="L64773" s="6"/>
      <c r="M64773" s="6"/>
      <c r="N64773" s="6"/>
      <c r="O64773" s="6"/>
      <c r="P64773" s="6"/>
      <c r="Q64773" s="6"/>
      <c r="R64773" s="6"/>
      <c r="S64773" s="6"/>
      <c r="T64773" s="6"/>
      <c r="U64773" s="6"/>
      <c r="V64773" s="6"/>
      <c r="W64773" s="6"/>
      <c r="X64773" s="6"/>
      <c r="Y64773" s="6"/>
      <c r="Z64773" s="6"/>
      <c r="AA64773" s="6"/>
      <c r="AB64773" s="6"/>
      <c r="AC64773" s="6"/>
      <c r="AD64773" s="6"/>
      <c r="AE64773" s="6"/>
      <c r="AF64773" s="6"/>
      <c r="AG64773" s="6"/>
      <c r="AH64773" s="6"/>
      <c r="AI64773" s="6"/>
      <c r="AJ64773" s="6"/>
      <c r="AK64773" s="6"/>
      <c r="AL64773" s="6"/>
      <c r="AM64773" s="6"/>
    </row>
    <row r="64774" spans="2:39" ht="9.9499999999999993" hidden="1" customHeight="1" x14ac:dyDescent="0.2">
      <c r="B64774" s="6"/>
      <c r="C64774" s="6"/>
      <c r="D64774" s="6"/>
      <c r="E64774" s="6"/>
      <c r="F64774" s="6"/>
      <c r="G64774" s="6"/>
      <c r="H64774" s="6"/>
      <c r="I64774" s="6"/>
      <c r="J64774" s="6"/>
      <c r="K64774" s="6"/>
      <c r="L64774" s="6"/>
      <c r="M64774" s="6"/>
      <c r="N64774" s="6"/>
      <c r="O64774" s="6"/>
      <c r="P64774" s="6"/>
      <c r="Q64774" s="6"/>
      <c r="R64774" s="6"/>
      <c r="S64774" s="6"/>
      <c r="T64774" s="6"/>
      <c r="U64774" s="6"/>
      <c r="V64774" s="6"/>
      <c r="W64774" s="6"/>
      <c r="X64774" s="6"/>
      <c r="Y64774" s="6"/>
      <c r="Z64774" s="6"/>
      <c r="AA64774" s="6"/>
      <c r="AB64774" s="6"/>
      <c r="AC64774" s="6"/>
      <c r="AD64774" s="6"/>
      <c r="AE64774" s="6"/>
      <c r="AF64774" s="6"/>
      <c r="AG64774" s="6"/>
      <c r="AH64774" s="6"/>
      <c r="AI64774" s="6"/>
      <c r="AJ64774" s="6"/>
      <c r="AK64774" s="6"/>
      <c r="AL64774" s="6"/>
      <c r="AM64774" s="6"/>
    </row>
    <row r="64775" spans="2:39" ht="9.9499999999999993" hidden="1" customHeight="1" x14ac:dyDescent="0.2">
      <c r="B64775" s="6"/>
      <c r="C64775" s="6"/>
      <c r="D64775" s="6"/>
      <c r="E64775" s="6"/>
      <c r="F64775" s="6"/>
      <c r="G64775" s="6"/>
      <c r="H64775" s="6"/>
      <c r="I64775" s="6"/>
      <c r="J64775" s="6"/>
      <c r="K64775" s="6"/>
      <c r="L64775" s="6"/>
      <c r="M64775" s="6"/>
      <c r="N64775" s="6"/>
      <c r="O64775" s="6"/>
      <c r="P64775" s="6"/>
      <c r="Q64775" s="6"/>
      <c r="R64775" s="6"/>
      <c r="S64775" s="6"/>
      <c r="T64775" s="6"/>
      <c r="U64775" s="6"/>
      <c r="V64775" s="6"/>
      <c r="W64775" s="6"/>
      <c r="X64775" s="6"/>
      <c r="Y64775" s="6"/>
      <c r="Z64775" s="6"/>
      <c r="AA64775" s="6"/>
      <c r="AB64775" s="6"/>
      <c r="AC64775" s="6"/>
      <c r="AD64775" s="6"/>
      <c r="AE64775" s="6"/>
      <c r="AF64775" s="6"/>
      <c r="AG64775" s="6"/>
      <c r="AH64775" s="6"/>
      <c r="AI64775" s="6"/>
      <c r="AJ64775" s="6"/>
      <c r="AK64775" s="6"/>
      <c r="AL64775" s="6"/>
      <c r="AM64775" s="6"/>
    </row>
    <row r="64776" spans="2:39" ht="9.9499999999999993" hidden="1" customHeight="1" x14ac:dyDescent="0.2">
      <c r="B64776" s="6"/>
      <c r="C64776" s="6"/>
      <c r="D64776" s="6"/>
      <c r="E64776" s="6"/>
      <c r="F64776" s="6"/>
      <c r="G64776" s="6"/>
      <c r="H64776" s="6"/>
      <c r="I64776" s="6"/>
      <c r="J64776" s="6"/>
      <c r="K64776" s="6"/>
      <c r="L64776" s="6"/>
      <c r="M64776" s="6"/>
      <c r="N64776" s="6"/>
      <c r="O64776" s="6"/>
      <c r="P64776" s="6"/>
      <c r="Q64776" s="6"/>
      <c r="R64776" s="6"/>
      <c r="S64776" s="6"/>
      <c r="T64776" s="6"/>
      <c r="U64776" s="6"/>
      <c r="V64776" s="6"/>
      <c r="W64776" s="6"/>
      <c r="X64776" s="6"/>
      <c r="Y64776" s="6"/>
      <c r="Z64776" s="6"/>
      <c r="AA64776" s="6"/>
      <c r="AB64776" s="6"/>
      <c r="AC64776" s="6"/>
      <c r="AD64776" s="6"/>
      <c r="AE64776" s="6"/>
      <c r="AF64776" s="6"/>
      <c r="AG64776" s="6"/>
      <c r="AH64776" s="6"/>
      <c r="AI64776" s="6"/>
      <c r="AJ64776" s="6"/>
      <c r="AK64776" s="6"/>
      <c r="AL64776" s="6"/>
      <c r="AM64776" s="6"/>
    </row>
    <row r="64777" spans="2:39" ht="9.9499999999999993" hidden="1" customHeight="1" x14ac:dyDescent="0.2">
      <c r="B64777" s="6"/>
      <c r="C64777" s="6"/>
      <c r="D64777" s="6"/>
      <c r="E64777" s="6"/>
      <c r="F64777" s="6"/>
      <c r="G64777" s="6"/>
      <c r="H64777" s="6"/>
      <c r="I64777" s="6"/>
      <c r="J64777" s="6"/>
      <c r="K64777" s="6"/>
      <c r="L64777" s="6"/>
      <c r="M64777" s="6"/>
      <c r="N64777" s="6"/>
      <c r="O64777" s="6"/>
      <c r="P64777" s="6"/>
      <c r="Q64777" s="6"/>
      <c r="R64777" s="6"/>
      <c r="S64777" s="6"/>
      <c r="T64777" s="6"/>
      <c r="U64777" s="6"/>
      <c r="V64777" s="6"/>
      <c r="W64777" s="6"/>
      <c r="X64777" s="6"/>
      <c r="Y64777" s="6"/>
      <c r="Z64777" s="6"/>
      <c r="AA64777" s="6"/>
      <c r="AB64777" s="6"/>
      <c r="AC64777" s="6"/>
      <c r="AD64777" s="6"/>
      <c r="AE64777" s="6"/>
      <c r="AF64777" s="6"/>
      <c r="AG64777" s="6"/>
      <c r="AH64777" s="6"/>
      <c r="AI64777" s="6"/>
      <c r="AJ64777" s="6"/>
      <c r="AK64777" s="6"/>
      <c r="AL64777" s="6"/>
      <c r="AM64777" s="6"/>
    </row>
    <row r="64778" spans="2:39" ht="9.9499999999999993" hidden="1" customHeight="1" x14ac:dyDescent="0.2">
      <c r="B64778" s="6"/>
      <c r="C64778" s="6"/>
      <c r="D64778" s="6"/>
      <c r="E64778" s="6"/>
      <c r="F64778" s="6"/>
      <c r="G64778" s="6"/>
      <c r="H64778" s="6"/>
      <c r="I64778" s="6"/>
      <c r="J64778" s="6"/>
      <c r="K64778" s="6"/>
      <c r="L64778" s="6"/>
      <c r="M64778" s="6"/>
      <c r="N64778" s="6"/>
      <c r="O64778" s="6"/>
      <c r="P64778" s="6"/>
      <c r="Q64778" s="6"/>
      <c r="R64778" s="6"/>
      <c r="S64778" s="6"/>
      <c r="T64778" s="6"/>
      <c r="U64778" s="6"/>
      <c r="V64778" s="6"/>
      <c r="W64778" s="6"/>
      <c r="X64778" s="6"/>
      <c r="Y64778" s="6"/>
      <c r="Z64778" s="6"/>
      <c r="AA64778" s="6"/>
      <c r="AB64778" s="6"/>
      <c r="AC64778" s="6"/>
      <c r="AD64778" s="6"/>
      <c r="AE64778" s="6"/>
      <c r="AF64778" s="6"/>
      <c r="AG64778" s="6"/>
      <c r="AH64778" s="6"/>
      <c r="AI64778" s="6"/>
      <c r="AJ64778" s="6"/>
      <c r="AK64778" s="6"/>
      <c r="AL64778" s="6"/>
      <c r="AM64778" s="6"/>
    </row>
    <row r="64779" spans="2:39" ht="9.9499999999999993" hidden="1" customHeight="1" x14ac:dyDescent="0.2">
      <c r="B64779" s="6"/>
      <c r="C64779" s="6"/>
      <c r="D64779" s="6"/>
      <c r="E64779" s="6"/>
      <c r="F64779" s="6"/>
      <c r="G64779" s="6"/>
      <c r="H64779" s="6"/>
      <c r="I64779" s="6"/>
      <c r="J64779" s="6"/>
      <c r="K64779" s="6"/>
      <c r="L64779" s="6"/>
      <c r="M64779" s="6"/>
      <c r="N64779" s="6"/>
      <c r="O64779" s="6"/>
      <c r="P64779" s="6"/>
      <c r="Q64779" s="6"/>
      <c r="R64779" s="6"/>
      <c r="S64779" s="6"/>
      <c r="T64779" s="6"/>
      <c r="U64779" s="6"/>
      <c r="V64779" s="6"/>
      <c r="W64779" s="6"/>
      <c r="X64779" s="6"/>
      <c r="Y64779" s="6"/>
      <c r="Z64779" s="6"/>
      <c r="AA64779" s="6"/>
      <c r="AB64779" s="6"/>
      <c r="AC64779" s="6"/>
      <c r="AD64779" s="6"/>
      <c r="AE64779" s="6"/>
      <c r="AF64779" s="6"/>
      <c r="AG64779" s="6"/>
      <c r="AH64779" s="6"/>
      <c r="AI64779" s="6"/>
      <c r="AJ64779" s="6"/>
      <c r="AK64779" s="6"/>
      <c r="AL64779" s="6"/>
      <c r="AM64779" s="6"/>
    </row>
    <row r="64780" spans="2:39" ht="9.9499999999999993" hidden="1" customHeight="1" x14ac:dyDescent="0.2">
      <c r="B64780" s="6"/>
      <c r="C64780" s="6"/>
      <c r="D64780" s="6"/>
      <c r="E64780" s="6"/>
      <c r="F64780" s="6"/>
      <c r="G64780" s="6"/>
      <c r="H64780" s="6"/>
      <c r="I64780" s="6"/>
      <c r="J64780" s="6"/>
      <c r="K64780" s="6"/>
      <c r="L64780" s="6"/>
      <c r="M64780" s="6"/>
      <c r="N64780" s="6"/>
      <c r="O64780" s="6"/>
      <c r="P64780" s="6"/>
      <c r="Q64780" s="6"/>
      <c r="R64780" s="6"/>
      <c r="S64780" s="6"/>
      <c r="T64780" s="6"/>
      <c r="U64780" s="6"/>
      <c r="V64780" s="6"/>
      <c r="W64780" s="6"/>
      <c r="X64780" s="6"/>
      <c r="Y64780" s="6"/>
      <c r="Z64780" s="6"/>
      <c r="AA64780" s="6"/>
      <c r="AB64780" s="6"/>
      <c r="AC64780" s="6"/>
      <c r="AD64780" s="6"/>
      <c r="AE64780" s="6"/>
      <c r="AF64780" s="6"/>
      <c r="AG64780" s="6"/>
      <c r="AH64780" s="6"/>
      <c r="AI64780" s="6"/>
      <c r="AJ64780" s="6"/>
      <c r="AK64780" s="6"/>
      <c r="AL64780" s="6"/>
      <c r="AM64780" s="6"/>
    </row>
    <row r="64781" spans="2:39" ht="9.9499999999999993" hidden="1" customHeight="1" x14ac:dyDescent="0.2">
      <c r="B64781" s="6"/>
      <c r="C64781" s="6"/>
      <c r="D64781" s="6"/>
      <c r="E64781" s="6"/>
      <c r="F64781" s="6"/>
      <c r="G64781" s="6"/>
      <c r="H64781" s="6"/>
      <c r="I64781" s="6"/>
      <c r="J64781" s="6"/>
      <c r="K64781" s="6"/>
      <c r="L64781" s="6"/>
      <c r="M64781" s="6"/>
      <c r="N64781" s="6"/>
      <c r="O64781" s="6"/>
      <c r="P64781" s="6"/>
      <c r="Q64781" s="6"/>
      <c r="R64781" s="6"/>
      <c r="S64781" s="6"/>
      <c r="T64781" s="6"/>
      <c r="U64781" s="6"/>
      <c r="V64781" s="6"/>
      <c r="W64781" s="6"/>
      <c r="X64781" s="6"/>
      <c r="Y64781" s="6"/>
      <c r="Z64781" s="6"/>
      <c r="AA64781" s="6"/>
      <c r="AB64781" s="6"/>
      <c r="AC64781" s="6"/>
      <c r="AD64781" s="6"/>
      <c r="AE64781" s="6"/>
      <c r="AF64781" s="6"/>
      <c r="AG64781" s="6"/>
      <c r="AH64781" s="6"/>
      <c r="AI64781" s="6"/>
      <c r="AJ64781" s="6"/>
      <c r="AK64781" s="6"/>
      <c r="AL64781" s="6"/>
      <c r="AM64781" s="6"/>
    </row>
    <row r="64782" spans="2:39" ht="9.9499999999999993" hidden="1" customHeight="1" x14ac:dyDescent="0.2">
      <c r="B64782" s="6"/>
      <c r="C64782" s="6"/>
      <c r="D64782" s="6"/>
      <c r="E64782" s="6"/>
      <c r="F64782" s="6"/>
      <c r="G64782" s="6"/>
      <c r="H64782" s="6"/>
      <c r="I64782" s="6"/>
      <c r="J64782" s="6"/>
      <c r="K64782" s="6"/>
      <c r="L64782" s="6"/>
      <c r="M64782" s="6"/>
      <c r="N64782" s="6"/>
      <c r="O64782" s="6"/>
      <c r="P64782" s="6"/>
      <c r="Q64782" s="6"/>
      <c r="R64782" s="6"/>
      <c r="S64782" s="6"/>
      <c r="T64782" s="6"/>
      <c r="U64782" s="6"/>
      <c r="V64782" s="6"/>
      <c r="W64782" s="6"/>
      <c r="X64782" s="6"/>
      <c r="Y64782" s="6"/>
      <c r="Z64782" s="6"/>
      <c r="AA64782" s="6"/>
      <c r="AB64782" s="6"/>
      <c r="AC64782" s="6"/>
      <c r="AD64782" s="6"/>
      <c r="AE64782" s="6"/>
      <c r="AF64782" s="6"/>
      <c r="AG64782" s="6"/>
      <c r="AH64782" s="6"/>
      <c r="AI64782" s="6"/>
      <c r="AJ64782" s="6"/>
      <c r="AK64782" s="6"/>
      <c r="AL64782" s="6"/>
      <c r="AM64782" s="6"/>
    </row>
    <row r="64783" spans="2:39" ht="9.9499999999999993" hidden="1" customHeight="1" x14ac:dyDescent="0.2">
      <c r="B64783" s="6"/>
      <c r="C64783" s="6"/>
      <c r="D64783" s="6"/>
      <c r="E64783" s="6"/>
      <c r="F64783" s="6"/>
      <c r="G64783" s="6"/>
      <c r="H64783" s="6"/>
      <c r="I64783" s="6"/>
      <c r="J64783" s="6"/>
      <c r="K64783" s="6"/>
      <c r="L64783" s="6"/>
      <c r="M64783" s="6"/>
      <c r="N64783" s="6"/>
      <c r="O64783" s="6"/>
      <c r="P64783" s="6"/>
      <c r="Q64783" s="6"/>
      <c r="R64783" s="6"/>
      <c r="S64783" s="6"/>
      <c r="T64783" s="6"/>
      <c r="U64783" s="6"/>
      <c r="V64783" s="6"/>
      <c r="W64783" s="6"/>
      <c r="X64783" s="6"/>
      <c r="Y64783" s="6"/>
      <c r="Z64783" s="6"/>
      <c r="AA64783" s="6"/>
      <c r="AB64783" s="6"/>
      <c r="AC64783" s="6"/>
      <c r="AD64783" s="6"/>
      <c r="AE64783" s="6"/>
      <c r="AF64783" s="6"/>
      <c r="AG64783" s="6"/>
      <c r="AH64783" s="6"/>
      <c r="AI64783" s="6"/>
      <c r="AJ64783" s="6"/>
      <c r="AK64783" s="6"/>
      <c r="AL64783" s="6"/>
      <c r="AM64783" s="6"/>
    </row>
    <row r="64784" spans="2:39" ht="9.9499999999999993" hidden="1" customHeight="1" x14ac:dyDescent="0.2">
      <c r="B64784" s="6"/>
      <c r="C64784" s="6"/>
      <c r="D64784" s="6"/>
      <c r="E64784" s="6"/>
      <c r="F64784" s="6"/>
      <c r="G64784" s="6"/>
      <c r="H64784" s="6"/>
      <c r="I64784" s="6"/>
      <c r="J64784" s="6"/>
      <c r="K64784" s="6"/>
      <c r="L64784" s="6"/>
      <c r="M64784" s="6"/>
      <c r="N64784" s="6"/>
      <c r="O64784" s="6"/>
      <c r="P64784" s="6"/>
      <c r="Q64784" s="6"/>
      <c r="R64784" s="6"/>
      <c r="S64784" s="6"/>
      <c r="T64784" s="6"/>
      <c r="U64784" s="6"/>
      <c r="V64784" s="6"/>
      <c r="W64784" s="6"/>
      <c r="X64784" s="6"/>
      <c r="Y64784" s="6"/>
      <c r="Z64784" s="6"/>
      <c r="AA64784" s="6"/>
      <c r="AB64784" s="6"/>
      <c r="AC64784" s="6"/>
      <c r="AD64784" s="6"/>
      <c r="AE64784" s="6"/>
      <c r="AF64784" s="6"/>
      <c r="AG64784" s="6"/>
      <c r="AH64784" s="6"/>
      <c r="AI64784" s="6"/>
      <c r="AJ64784" s="6"/>
      <c r="AK64784" s="6"/>
      <c r="AL64784" s="6"/>
      <c r="AM64784" s="6"/>
    </row>
    <row r="64785" spans="2:39" ht="9.9499999999999993" hidden="1" customHeight="1" x14ac:dyDescent="0.2">
      <c r="B64785" s="6"/>
      <c r="C64785" s="6"/>
      <c r="D64785" s="6"/>
      <c r="E64785" s="6"/>
      <c r="F64785" s="6"/>
      <c r="G64785" s="6"/>
      <c r="H64785" s="6"/>
      <c r="I64785" s="6"/>
      <c r="J64785" s="6"/>
      <c r="K64785" s="6"/>
      <c r="L64785" s="6"/>
      <c r="M64785" s="6"/>
      <c r="N64785" s="6"/>
      <c r="O64785" s="6"/>
      <c r="P64785" s="6"/>
      <c r="Q64785" s="6"/>
      <c r="R64785" s="6"/>
      <c r="S64785" s="6"/>
      <c r="T64785" s="6"/>
      <c r="U64785" s="6"/>
      <c r="V64785" s="6"/>
      <c r="W64785" s="6"/>
      <c r="X64785" s="6"/>
      <c r="Y64785" s="6"/>
      <c r="Z64785" s="6"/>
      <c r="AA64785" s="6"/>
      <c r="AB64785" s="6"/>
      <c r="AC64785" s="6"/>
      <c r="AD64785" s="6"/>
      <c r="AE64785" s="6"/>
      <c r="AF64785" s="6"/>
      <c r="AG64785" s="6"/>
      <c r="AH64785" s="6"/>
      <c r="AI64785" s="6"/>
      <c r="AJ64785" s="6"/>
      <c r="AK64785" s="6"/>
      <c r="AL64785" s="6"/>
      <c r="AM64785" s="6"/>
    </row>
    <row r="64786" spans="2:39" ht="9.9499999999999993" hidden="1" customHeight="1" x14ac:dyDescent="0.2">
      <c r="B64786" s="6"/>
      <c r="C64786" s="6"/>
      <c r="D64786" s="6"/>
      <c r="E64786" s="6"/>
      <c r="F64786" s="6"/>
      <c r="G64786" s="6"/>
      <c r="H64786" s="6"/>
      <c r="I64786" s="6"/>
      <c r="J64786" s="6"/>
      <c r="K64786" s="6"/>
      <c r="L64786" s="6"/>
      <c r="M64786" s="6"/>
      <c r="N64786" s="6"/>
      <c r="O64786" s="6"/>
      <c r="P64786" s="6"/>
      <c r="Q64786" s="6"/>
      <c r="R64786" s="6"/>
      <c r="S64786" s="6"/>
      <c r="T64786" s="6"/>
      <c r="U64786" s="6"/>
      <c r="V64786" s="6"/>
      <c r="W64786" s="6"/>
      <c r="X64786" s="6"/>
      <c r="Y64786" s="6"/>
      <c r="Z64786" s="6"/>
      <c r="AA64786" s="6"/>
      <c r="AB64786" s="6"/>
      <c r="AC64786" s="6"/>
      <c r="AD64786" s="6"/>
      <c r="AE64786" s="6"/>
      <c r="AF64786" s="6"/>
      <c r="AG64786" s="6"/>
      <c r="AH64786" s="6"/>
      <c r="AI64786" s="6"/>
      <c r="AJ64786" s="6"/>
      <c r="AK64786" s="6"/>
      <c r="AL64786" s="6"/>
      <c r="AM64786" s="6"/>
    </row>
    <row r="64787" spans="2:39" ht="9.9499999999999993" hidden="1" customHeight="1" x14ac:dyDescent="0.2">
      <c r="B64787" s="6"/>
      <c r="C64787" s="6"/>
      <c r="D64787" s="6"/>
      <c r="E64787" s="6"/>
      <c r="F64787" s="6"/>
      <c r="G64787" s="6"/>
      <c r="H64787" s="6"/>
      <c r="I64787" s="6"/>
      <c r="J64787" s="6"/>
      <c r="K64787" s="6"/>
      <c r="L64787" s="6"/>
      <c r="M64787" s="6"/>
      <c r="N64787" s="6"/>
      <c r="O64787" s="6"/>
      <c r="P64787" s="6"/>
      <c r="Q64787" s="6"/>
      <c r="R64787" s="6"/>
      <c r="S64787" s="6"/>
      <c r="T64787" s="6"/>
      <c r="U64787" s="6"/>
      <c r="V64787" s="6"/>
      <c r="W64787" s="6"/>
      <c r="X64787" s="6"/>
      <c r="Y64787" s="6"/>
      <c r="Z64787" s="6"/>
      <c r="AA64787" s="6"/>
      <c r="AB64787" s="6"/>
      <c r="AC64787" s="6"/>
      <c r="AD64787" s="6"/>
      <c r="AE64787" s="6"/>
      <c r="AF64787" s="6"/>
      <c r="AG64787" s="6"/>
      <c r="AH64787" s="6"/>
      <c r="AI64787" s="6"/>
      <c r="AJ64787" s="6"/>
      <c r="AK64787" s="6"/>
      <c r="AL64787" s="6"/>
      <c r="AM64787" s="6"/>
    </row>
    <row r="64788" spans="2:39" ht="9.9499999999999993" hidden="1" customHeight="1" x14ac:dyDescent="0.2">
      <c r="B64788" s="6"/>
      <c r="C64788" s="6"/>
      <c r="D64788" s="6"/>
      <c r="E64788" s="6"/>
      <c r="F64788" s="6"/>
      <c r="G64788" s="6"/>
      <c r="H64788" s="6"/>
      <c r="I64788" s="6"/>
      <c r="J64788" s="6"/>
      <c r="K64788" s="6"/>
      <c r="L64788" s="6"/>
      <c r="M64788" s="6"/>
      <c r="N64788" s="6"/>
      <c r="O64788" s="6"/>
      <c r="P64788" s="6"/>
      <c r="Q64788" s="6"/>
      <c r="R64788" s="6"/>
      <c r="S64788" s="6"/>
      <c r="T64788" s="6"/>
      <c r="U64788" s="6"/>
      <c r="V64788" s="6"/>
      <c r="W64788" s="6"/>
      <c r="X64788" s="6"/>
      <c r="Y64788" s="6"/>
      <c r="Z64788" s="6"/>
      <c r="AA64788" s="6"/>
      <c r="AB64788" s="6"/>
      <c r="AC64788" s="6"/>
      <c r="AD64788" s="6"/>
      <c r="AE64788" s="6"/>
      <c r="AF64788" s="6"/>
      <c r="AG64788" s="6"/>
      <c r="AH64788" s="6"/>
      <c r="AI64788" s="6"/>
      <c r="AJ64788" s="6"/>
      <c r="AK64788" s="6"/>
      <c r="AL64788" s="6"/>
      <c r="AM64788" s="6"/>
    </row>
    <row r="64789" spans="2:39" ht="9.9499999999999993" hidden="1" customHeight="1" x14ac:dyDescent="0.2">
      <c r="B64789" s="6"/>
      <c r="C64789" s="6"/>
      <c r="D64789" s="6"/>
      <c r="E64789" s="6"/>
      <c r="F64789" s="6"/>
      <c r="G64789" s="6"/>
      <c r="H64789" s="6"/>
      <c r="I64789" s="6"/>
      <c r="J64789" s="6"/>
      <c r="K64789" s="6"/>
      <c r="L64789" s="6"/>
      <c r="M64789" s="6"/>
      <c r="N64789" s="6"/>
      <c r="O64789" s="6"/>
      <c r="P64789" s="6"/>
      <c r="Q64789" s="6"/>
      <c r="R64789" s="6"/>
      <c r="S64789" s="6"/>
      <c r="T64789" s="6"/>
      <c r="U64789" s="6"/>
      <c r="V64789" s="6"/>
      <c r="W64789" s="6"/>
      <c r="X64789" s="6"/>
      <c r="Y64789" s="6"/>
      <c r="Z64789" s="6"/>
      <c r="AA64789" s="6"/>
      <c r="AB64789" s="6"/>
      <c r="AC64789" s="6"/>
      <c r="AD64789" s="6"/>
      <c r="AE64789" s="6"/>
      <c r="AF64789" s="6"/>
      <c r="AG64789" s="6"/>
      <c r="AH64789" s="6"/>
      <c r="AI64789" s="6"/>
      <c r="AJ64789" s="6"/>
      <c r="AK64789" s="6"/>
      <c r="AL64789" s="6"/>
      <c r="AM64789" s="6"/>
    </row>
    <row r="64790" spans="2:39" ht="9.9499999999999993" hidden="1" customHeight="1" x14ac:dyDescent="0.2">
      <c r="B64790" s="6"/>
      <c r="C64790" s="6"/>
      <c r="D64790" s="6"/>
      <c r="E64790" s="6"/>
      <c r="F64790" s="6"/>
      <c r="G64790" s="6"/>
      <c r="H64790" s="6"/>
      <c r="I64790" s="6"/>
      <c r="J64790" s="6"/>
      <c r="K64790" s="6"/>
      <c r="L64790" s="6"/>
      <c r="M64790" s="6"/>
      <c r="N64790" s="6"/>
      <c r="O64790" s="6"/>
      <c r="P64790" s="6"/>
      <c r="Q64790" s="6"/>
      <c r="R64790" s="6"/>
      <c r="S64790" s="6"/>
      <c r="T64790" s="6"/>
      <c r="U64790" s="6"/>
      <c r="V64790" s="6"/>
      <c r="W64790" s="6"/>
      <c r="X64790" s="6"/>
      <c r="Y64790" s="6"/>
      <c r="Z64790" s="6"/>
      <c r="AA64790" s="6"/>
      <c r="AB64790" s="6"/>
      <c r="AC64790" s="6"/>
      <c r="AD64790" s="6"/>
      <c r="AE64790" s="6"/>
      <c r="AF64790" s="6"/>
      <c r="AG64790" s="6"/>
      <c r="AH64790" s="6"/>
      <c r="AI64790" s="6"/>
      <c r="AJ64790" s="6"/>
      <c r="AK64790" s="6"/>
      <c r="AL64790" s="6"/>
      <c r="AM64790" s="6"/>
    </row>
    <row r="64791" spans="2:39" ht="9.9499999999999993" hidden="1" customHeight="1" x14ac:dyDescent="0.2">
      <c r="B64791" s="6"/>
      <c r="C64791" s="6"/>
      <c r="D64791" s="6"/>
      <c r="E64791" s="6"/>
      <c r="F64791" s="6"/>
      <c r="G64791" s="6"/>
      <c r="H64791" s="6"/>
      <c r="I64791" s="6"/>
      <c r="J64791" s="6"/>
      <c r="K64791" s="6"/>
      <c r="L64791" s="6"/>
      <c r="M64791" s="6"/>
      <c r="N64791" s="6"/>
      <c r="O64791" s="6"/>
      <c r="P64791" s="6"/>
      <c r="Q64791" s="6"/>
      <c r="R64791" s="6"/>
      <c r="S64791" s="6"/>
      <c r="T64791" s="6"/>
      <c r="U64791" s="6"/>
      <c r="V64791" s="6"/>
      <c r="W64791" s="6"/>
      <c r="X64791" s="6"/>
      <c r="Y64791" s="6"/>
      <c r="Z64791" s="6"/>
      <c r="AA64791" s="6"/>
      <c r="AB64791" s="6"/>
      <c r="AC64791" s="6"/>
      <c r="AD64791" s="6"/>
      <c r="AE64791" s="6"/>
      <c r="AF64791" s="6"/>
      <c r="AG64791" s="6"/>
      <c r="AH64791" s="6"/>
      <c r="AI64791" s="6"/>
      <c r="AJ64791" s="6"/>
      <c r="AK64791" s="6"/>
      <c r="AL64791" s="6"/>
      <c r="AM64791" s="6"/>
    </row>
    <row r="64792" spans="2:39" ht="9.9499999999999993" hidden="1" customHeight="1" x14ac:dyDescent="0.2">
      <c r="B64792" s="6"/>
      <c r="C64792" s="6"/>
      <c r="D64792" s="6"/>
      <c r="E64792" s="6"/>
      <c r="F64792" s="6"/>
      <c r="G64792" s="6"/>
      <c r="H64792" s="6"/>
      <c r="I64792" s="6"/>
      <c r="J64792" s="6"/>
      <c r="K64792" s="6"/>
      <c r="L64792" s="6"/>
      <c r="M64792" s="6"/>
      <c r="N64792" s="6"/>
      <c r="O64792" s="6"/>
      <c r="P64792" s="6"/>
      <c r="Q64792" s="6"/>
      <c r="R64792" s="6"/>
      <c r="S64792" s="6"/>
      <c r="T64792" s="6"/>
      <c r="U64792" s="6"/>
      <c r="V64792" s="6"/>
      <c r="W64792" s="6"/>
      <c r="X64792" s="6"/>
      <c r="Y64792" s="6"/>
      <c r="Z64792" s="6"/>
      <c r="AA64792" s="6"/>
      <c r="AB64792" s="6"/>
      <c r="AC64792" s="6"/>
      <c r="AD64792" s="6"/>
      <c r="AE64792" s="6"/>
      <c r="AF64792" s="6"/>
      <c r="AG64792" s="6"/>
      <c r="AH64792" s="6"/>
      <c r="AI64792" s="6"/>
      <c r="AJ64792" s="6"/>
      <c r="AK64792" s="6"/>
      <c r="AL64792" s="6"/>
      <c r="AM64792" s="6"/>
    </row>
    <row r="64793" spans="2:39" ht="9.9499999999999993" hidden="1" customHeight="1" x14ac:dyDescent="0.2">
      <c r="B64793" s="6"/>
      <c r="C64793" s="6"/>
      <c r="D64793" s="6"/>
      <c r="E64793" s="6"/>
      <c r="F64793" s="6"/>
      <c r="G64793" s="6"/>
      <c r="H64793" s="6"/>
      <c r="I64793" s="6"/>
      <c r="J64793" s="6"/>
      <c r="K64793" s="6"/>
      <c r="L64793" s="6"/>
      <c r="M64793" s="6"/>
      <c r="N64793" s="6"/>
      <c r="O64793" s="6"/>
      <c r="P64793" s="6"/>
      <c r="Q64793" s="6"/>
      <c r="R64793" s="6"/>
      <c r="S64793" s="6"/>
      <c r="T64793" s="6"/>
      <c r="U64793" s="6"/>
      <c r="V64793" s="6"/>
      <c r="W64793" s="6"/>
      <c r="X64793" s="6"/>
      <c r="Y64793" s="6"/>
      <c r="Z64793" s="6"/>
      <c r="AA64793" s="6"/>
      <c r="AB64793" s="6"/>
      <c r="AC64793" s="6"/>
      <c r="AD64793" s="6"/>
      <c r="AE64793" s="6"/>
      <c r="AF64793" s="6"/>
      <c r="AG64793" s="6"/>
      <c r="AH64793" s="6"/>
      <c r="AI64793" s="6"/>
      <c r="AJ64793" s="6"/>
      <c r="AK64793" s="6"/>
      <c r="AL64793" s="6"/>
      <c r="AM64793" s="6"/>
    </row>
    <row r="64794" spans="2:39" ht="9.9499999999999993" hidden="1" customHeight="1" x14ac:dyDescent="0.2">
      <c r="B64794" s="6"/>
      <c r="C64794" s="6"/>
      <c r="D64794" s="6"/>
      <c r="E64794" s="6"/>
      <c r="F64794" s="6"/>
      <c r="G64794" s="6"/>
      <c r="H64794" s="6"/>
      <c r="I64794" s="6"/>
      <c r="J64794" s="6"/>
      <c r="K64794" s="6"/>
      <c r="L64794" s="6"/>
      <c r="M64794" s="6"/>
      <c r="N64794" s="6"/>
      <c r="O64794" s="6"/>
      <c r="P64794" s="6"/>
      <c r="Q64794" s="6"/>
      <c r="R64794" s="6"/>
      <c r="S64794" s="6"/>
      <c r="T64794" s="6"/>
      <c r="U64794" s="6"/>
      <c r="V64794" s="6"/>
      <c r="W64794" s="6"/>
      <c r="X64794" s="6"/>
      <c r="Y64794" s="6"/>
      <c r="Z64794" s="6"/>
      <c r="AA64794" s="6"/>
      <c r="AB64794" s="6"/>
      <c r="AC64794" s="6"/>
      <c r="AD64794" s="6"/>
      <c r="AE64794" s="6"/>
      <c r="AF64794" s="6"/>
      <c r="AG64794" s="6"/>
      <c r="AH64794" s="6"/>
      <c r="AI64794" s="6"/>
      <c r="AJ64794" s="6"/>
      <c r="AK64794" s="6"/>
      <c r="AL64794" s="6"/>
      <c r="AM64794" s="6"/>
    </row>
    <row r="64795" spans="2:39" ht="9.9499999999999993" hidden="1" customHeight="1" x14ac:dyDescent="0.2">
      <c r="B64795" s="6"/>
      <c r="C64795" s="6"/>
      <c r="D64795" s="6"/>
      <c r="E64795" s="6"/>
      <c r="F64795" s="6"/>
      <c r="G64795" s="6"/>
      <c r="H64795" s="6"/>
      <c r="I64795" s="6"/>
      <c r="J64795" s="6"/>
      <c r="K64795" s="6"/>
      <c r="L64795" s="6"/>
      <c r="M64795" s="6"/>
      <c r="N64795" s="6"/>
      <c r="O64795" s="6"/>
      <c r="P64795" s="6"/>
      <c r="Q64795" s="6"/>
      <c r="R64795" s="6"/>
      <c r="S64795" s="6"/>
      <c r="T64795" s="6"/>
      <c r="U64795" s="6"/>
      <c r="V64795" s="6"/>
      <c r="W64795" s="6"/>
      <c r="X64795" s="6"/>
      <c r="Y64795" s="6"/>
      <c r="Z64795" s="6"/>
      <c r="AA64795" s="6"/>
      <c r="AB64795" s="6"/>
      <c r="AC64795" s="6"/>
      <c r="AD64795" s="6"/>
      <c r="AE64795" s="6"/>
      <c r="AF64795" s="6"/>
      <c r="AG64795" s="6"/>
      <c r="AH64795" s="6"/>
      <c r="AI64795" s="6"/>
      <c r="AJ64795" s="6"/>
      <c r="AK64795" s="6"/>
      <c r="AL64795" s="6"/>
      <c r="AM64795" s="6"/>
    </row>
    <row r="64796" spans="2:39" ht="9.9499999999999993" hidden="1" customHeight="1" x14ac:dyDescent="0.2">
      <c r="B64796" s="6"/>
      <c r="C64796" s="6"/>
      <c r="D64796" s="6"/>
      <c r="E64796" s="6"/>
      <c r="F64796" s="6"/>
      <c r="G64796" s="6"/>
      <c r="H64796" s="6"/>
      <c r="I64796" s="6"/>
      <c r="J64796" s="6"/>
      <c r="K64796" s="6"/>
      <c r="L64796" s="6"/>
      <c r="M64796" s="6"/>
      <c r="N64796" s="6"/>
      <c r="O64796" s="6"/>
      <c r="P64796" s="6"/>
      <c r="Q64796" s="6"/>
      <c r="R64796" s="6"/>
      <c r="S64796" s="6"/>
      <c r="T64796" s="6"/>
      <c r="U64796" s="6"/>
      <c r="V64796" s="6"/>
      <c r="W64796" s="6"/>
      <c r="X64796" s="6"/>
      <c r="Y64796" s="6"/>
      <c r="Z64796" s="6"/>
      <c r="AA64796" s="6"/>
      <c r="AB64796" s="6"/>
      <c r="AC64796" s="6"/>
      <c r="AD64796" s="6"/>
      <c r="AE64796" s="6"/>
      <c r="AF64796" s="6"/>
      <c r="AG64796" s="6"/>
      <c r="AH64796" s="6"/>
      <c r="AI64796" s="6"/>
      <c r="AJ64796" s="6"/>
      <c r="AK64796" s="6"/>
      <c r="AL64796" s="6"/>
      <c r="AM64796" s="6"/>
    </row>
    <row r="64797" spans="2:39" ht="9.9499999999999993" hidden="1" customHeight="1" x14ac:dyDescent="0.2">
      <c r="B64797" s="6"/>
      <c r="C64797" s="6"/>
      <c r="D64797" s="6"/>
      <c r="E64797" s="6"/>
      <c r="F64797" s="6"/>
      <c r="G64797" s="6"/>
      <c r="H64797" s="6"/>
      <c r="I64797" s="6"/>
      <c r="J64797" s="6"/>
      <c r="K64797" s="6"/>
      <c r="L64797" s="6"/>
      <c r="M64797" s="6"/>
      <c r="N64797" s="6"/>
      <c r="O64797" s="6"/>
      <c r="P64797" s="6"/>
      <c r="Q64797" s="6"/>
      <c r="R64797" s="6"/>
      <c r="S64797" s="6"/>
      <c r="T64797" s="6"/>
      <c r="U64797" s="6"/>
      <c r="V64797" s="6"/>
      <c r="W64797" s="6"/>
      <c r="X64797" s="6"/>
      <c r="Y64797" s="6"/>
      <c r="Z64797" s="6"/>
      <c r="AA64797" s="6"/>
      <c r="AB64797" s="6"/>
      <c r="AC64797" s="6"/>
      <c r="AD64797" s="6"/>
      <c r="AE64797" s="6"/>
      <c r="AF64797" s="6"/>
      <c r="AG64797" s="6"/>
      <c r="AH64797" s="6"/>
      <c r="AI64797" s="6"/>
      <c r="AJ64797" s="6"/>
      <c r="AK64797" s="6"/>
      <c r="AL64797" s="6"/>
      <c r="AM64797" s="6"/>
    </row>
    <row r="64798" spans="2:39" ht="9.9499999999999993" hidden="1" customHeight="1" x14ac:dyDescent="0.2">
      <c r="B64798" s="6"/>
      <c r="C64798" s="6"/>
      <c r="D64798" s="6"/>
      <c r="E64798" s="6"/>
      <c r="F64798" s="6"/>
      <c r="G64798" s="6"/>
      <c r="H64798" s="6"/>
      <c r="I64798" s="6"/>
      <c r="J64798" s="6"/>
      <c r="K64798" s="6"/>
      <c r="L64798" s="6"/>
      <c r="M64798" s="6"/>
      <c r="N64798" s="6"/>
      <c r="O64798" s="6"/>
      <c r="P64798" s="6"/>
      <c r="Q64798" s="6"/>
      <c r="R64798" s="6"/>
      <c r="S64798" s="6"/>
      <c r="T64798" s="6"/>
      <c r="U64798" s="6"/>
      <c r="V64798" s="6"/>
      <c r="W64798" s="6"/>
      <c r="X64798" s="6"/>
      <c r="Y64798" s="6"/>
      <c r="Z64798" s="6"/>
      <c r="AA64798" s="6"/>
      <c r="AB64798" s="6"/>
      <c r="AC64798" s="6"/>
      <c r="AD64798" s="6"/>
      <c r="AE64798" s="6"/>
      <c r="AF64798" s="6"/>
      <c r="AG64798" s="6"/>
      <c r="AH64798" s="6"/>
      <c r="AI64798" s="6"/>
      <c r="AJ64798" s="6"/>
      <c r="AK64798" s="6"/>
      <c r="AL64798" s="6"/>
      <c r="AM64798" s="6"/>
    </row>
    <row r="64799" spans="2:39" ht="9.9499999999999993" hidden="1" customHeight="1" x14ac:dyDescent="0.2">
      <c r="B64799" s="6"/>
      <c r="C64799" s="6"/>
      <c r="D64799" s="6"/>
      <c r="E64799" s="6"/>
      <c r="F64799" s="6"/>
      <c r="G64799" s="6"/>
      <c r="H64799" s="6"/>
      <c r="I64799" s="6"/>
      <c r="J64799" s="6"/>
      <c r="K64799" s="6"/>
      <c r="L64799" s="6"/>
      <c r="M64799" s="6"/>
      <c r="N64799" s="6"/>
      <c r="O64799" s="6"/>
      <c r="P64799" s="6"/>
      <c r="Q64799" s="6"/>
      <c r="R64799" s="6"/>
      <c r="S64799" s="6"/>
      <c r="T64799" s="6"/>
      <c r="U64799" s="6"/>
      <c r="V64799" s="6"/>
      <c r="W64799" s="6"/>
      <c r="X64799" s="6"/>
      <c r="Y64799" s="6"/>
      <c r="Z64799" s="6"/>
      <c r="AA64799" s="6"/>
      <c r="AB64799" s="6"/>
      <c r="AC64799" s="6"/>
      <c r="AD64799" s="6"/>
      <c r="AE64799" s="6"/>
      <c r="AF64799" s="6"/>
      <c r="AG64799" s="6"/>
      <c r="AH64799" s="6"/>
      <c r="AI64799" s="6"/>
      <c r="AJ64799" s="6"/>
      <c r="AK64799" s="6"/>
      <c r="AL64799" s="6"/>
      <c r="AM64799" s="6"/>
    </row>
    <row r="64800" spans="2:39" ht="9.9499999999999993" hidden="1" customHeight="1" x14ac:dyDescent="0.2">
      <c r="B64800" s="6"/>
      <c r="C64800" s="6"/>
      <c r="D64800" s="6"/>
      <c r="E64800" s="6"/>
      <c r="F64800" s="6"/>
      <c r="G64800" s="6"/>
      <c r="H64800" s="6"/>
      <c r="I64800" s="6"/>
      <c r="J64800" s="6"/>
      <c r="K64800" s="6"/>
      <c r="L64800" s="6"/>
      <c r="M64800" s="6"/>
      <c r="N64800" s="6"/>
      <c r="O64800" s="6"/>
      <c r="P64800" s="6"/>
      <c r="Q64800" s="6"/>
      <c r="R64800" s="6"/>
      <c r="S64800" s="6"/>
      <c r="T64800" s="6"/>
      <c r="U64800" s="6"/>
      <c r="V64800" s="6"/>
      <c r="W64800" s="6"/>
      <c r="X64800" s="6"/>
      <c r="Y64800" s="6"/>
      <c r="Z64800" s="6"/>
      <c r="AA64800" s="6"/>
      <c r="AB64800" s="6"/>
      <c r="AC64800" s="6"/>
      <c r="AD64800" s="6"/>
      <c r="AE64800" s="6"/>
      <c r="AF64800" s="6"/>
      <c r="AG64800" s="6"/>
      <c r="AH64800" s="6"/>
      <c r="AI64800" s="6"/>
      <c r="AJ64800" s="6"/>
      <c r="AK64800" s="6"/>
      <c r="AL64800" s="6"/>
      <c r="AM64800" s="6"/>
    </row>
    <row r="64801" spans="2:39" ht="9.9499999999999993" hidden="1" customHeight="1" x14ac:dyDescent="0.2">
      <c r="B64801" s="6"/>
      <c r="C64801" s="6"/>
      <c r="D64801" s="6"/>
      <c r="E64801" s="6"/>
      <c r="F64801" s="6"/>
      <c r="G64801" s="6"/>
      <c r="H64801" s="6"/>
      <c r="I64801" s="6"/>
      <c r="J64801" s="6"/>
      <c r="K64801" s="6"/>
      <c r="L64801" s="6"/>
      <c r="M64801" s="6"/>
      <c r="N64801" s="6"/>
      <c r="O64801" s="6"/>
      <c r="P64801" s="6"/>
      <c r="Q64801" s="6"/>
      <c r="R64801" s="6"/>
      <c r="S64801" s="6"/>
      <c r="T64801" s="6"/>
      <c r="U64801" s="6"/>
      <c r="V64801" s="6"/>
      <c r="W64801" s="6"/>
      <c r="X64801" s="6"/>
      <c r="Y64801" s="6"/>
      <c r="Z64801" s="6"/>
      <c r="AA64801" s="6"/>
      <c r="AB64801" s="6"/>
      <c r="AC64801" s="6"/>
      <c r="AD64801" s="6"/>
      <c r="AE64801" s="6"/>
      <c r="AF64801" s="6"/>
      <c r="AG64801" s="6"/>
      <c r="AH64801" s="6"/>
      <c r="AI64801" s="6"/>
      <c r="AJ64801" s="6"/>
      <c r="AK64801" s="6"/>
      <c r="AL64801" s="6"/>
      <c r="AM64801" s="6"/>
    </row>
    <row r="64802" spans="2:39" ht="9.9499999999999993" hidden="1" customHeight="1" x14ac:dyDescent="0.2">
      <c r="B64802" s="6"/>
      <c r="C64802" s="6"/>
      <c r="D64802" s="6"/>
      <c r="E64802" s="6"/>
      <c r="F64802" s="6"/>
      <c r="G64802" s="6"/>
      <c r="H64802" s="6"/>
      <c r="I64802" s="6"/>
      <c r="J64802" s="6"/>
      <c r="K64802" s="6"/>
      <c r="L64802" s="6"/>
      <c r="M64802" s="6"/>
      <c r="N64802" s="6"/>
      <c r="O64802" s="6"/>
      <c r="P64802" s="6"/>
      <c r="Q64802" s="6"/>
      <c r="R64802" s="6"/>
      <c r="S64802" s="6"/>
      <c r="T64802" s="6"/>
      <c r="U64802" s="6"/>
      <c r="V64802" s="6"/>
      <c r="W64802" s="6"/>
      <c r="X64802" s="6"/>
      <c r="Y64802" s="6"/>
      <c r="Z64802" s="6"/>
      <c r="AA64802" s="6"/>
      <c r="AB64802" s="6"/>
      <c r="AC64802" s="6"/>
      <c r="AD64802" s="6"/>
      <c r="AE64802" s="6"/>
      <c r="AF64802" s="6"/>
      <c r="AG64802" s="6"/>
      <c r="AH64802" s="6"/>
      <c r="AI64802" s="6"/>
      <c r="AJ64802" s="6"/>
      <c r="AK64802" s="6"/>
      <c r="AL64802" s="6"/>
      <c r="AM64802" s="6"/>
    </row>
    <row r="64803" spans="2:39" ht="9.9499999999999993" hidden="1" customHeight="1" x14ac:dyDescent="0.2">
      <c r="B64803" s="6"/>
      <c r="C64803" s="6"/>
      <c r="D64803" s="6"/>
      <c r="E64803" s="6"/>
      <c r="F64803" s="6"/>
      <c r="G64803" s="6"/>
      <c r="H64803" s="6"/>
      <c r="I64803" s="6"/>
      <c r="J64803" s="6"/>
      <c r="K64803" s="6"/>
      <c r="L64803" s="6"/>
      <c r="M64803" s="6"/>
      <c r="N64803" s="6"/>
      <c r="O64803" s="6"/>
      <c r="P64803" s="6"/>
      <c r="Q64803" s="6"/>
      <c r="R64803" s="6"/>
      <c r="S64803" s="6"/>
      <c r="T64803" s="6"/>
      <c r="U64803" s="6"/>
      <c r="V64803" s="6"/>
      <c r="W64803" s="6"/>
      <c r="X64803" s="6"/>
      <c r="Y64803" s="6"/>
      <c r="Z64803" s="6"/>
      <c r="AA64803" s="6"/>
      <c r="AB64803" s="6"/>
      <c r="AC64803" s="6"/>
      <c r="AD64803" s="6"/>
      <c r="AE64803" s="6"/>
      <c r="AF64803" s="6"/>
      <c r="AG64803" s="6"/>
      <c r="AH64803" s="6"/>
      <c r="AI64803" s="6"/>
      <c r="AJ64803" s="6"/>
      <c r="AK64803" s="6"/>
      <c r="AL64803" s="6"/>
      <c r="AM64803" s="6"/>
    </row>
    <row r="64804" spans="2:39" ht="9.9499999999999993" hidden="1" customHeight="1" x14ac:dyDescent="0.2">
      <c r="B64804" s="6"/>
      <c r="C64804" s="6"/>
      <c r="D64804" s="6"/>
      <c r="E64804" s="6"/>
      <c r="F64804" s="6"/>
      <c r="G64804" s="6"/>
      <c r="H64804" s="6"/>
      <c r="I64804" s="6"/>
      <c r="J64804" s="6"/>
      <c r="K64804" s="6"/>
      <c r="L64804" s="6"/>
      <c r="M64804" s="6"/>
      <c r="N64804" s="6"/>
      <c r="O64804" s="6"/>
      <c r="P64804" s="6"/>
      <c r="Q64804" s="6"/>
      <c r="R64804" s="6"/>
      <c r="S64804" s="6"/>
      <c r="T64804" s="6"/>
      <c r="U64804" s="6"/>
      <c r="V64804" s="6"/>
      <c r="W64804" s="6"/>
      <c r="X64804" s="6"/>
      <c r="Y64804" s="6"/>
      <c r="Z64804" s="6"/>
      <c r="AA64804" s="6"/>
      <c r="AB64804" s="6"/>
      <c r="AC64804" s="6"/>
      <c r="AD64804" s="6"/>
      <c r="AE64804" s="6"/>
      <c r="AF64804" s="6"/>
      <c r="AG64804" s="6"/>
      <c r="AH64804" s="6"/>
      <c r="AI64804" s="6"/>
      <c r="AJ64804" s="6"/>
      <c r="AK64804" s="6"/>
      <c r="AL64804" s="6"/>
      <c r="AM64804" s="6"/>
    </row>
    <row r="64805" spans="2:39" ht="9.9499999999999993" hidden="1" customHeight="1" x14ac:dyDescent="0.2">
      <c r="B64805" s="6"/>
      <c r="C64805" s="6"/>
      <c r="D64805" s="6"/>
      <c r="E64805" s="6"/>
      <c r="F64805" s="6"/>
      <c r="G64805" s="6"/>
      <c r="H64805" s="6"/>
      <c r="I64805" s="6"/>
      <c r="J64805" s="6"/>
      <c r="K64805" s="6"/>
      <c r="L64805" s="6"/>
      <c r="M64805" s="6"/>
      <c r="N64805" s="6"/>
      <c r="O64805" s="6"/>
      <c r="P64805" s="6"/>
      <c r="Q64805" s="6"/>
      <c r="R64805" s="6"/>
      <c r="S64805" s="6"/>
      <c r="T64805" s="6"/>
      <c r="U64805" s="6"/>
      <c r="V64805" s="6"/>
      <c r="W64805" s="6"/>
      <c r="X64805" s="6"/>
      <c r="Y64805" s="6"/>
      <c r="Z64805" s="6"/>
      <c r="AA64805" s="6"/>
      <c r="AB64805" s="6"/>
      <c r="AC64805" s="6"/>
      <c r="AD64805" s="6"/>
      <c r="AE64805" s="6"/>
      <c r="AF64805" s="6"/>
      <c r="AG64805" s="6"/>
      <c r="AH64805" s="6"/>
      <c r="AI64805" s="6"/>
      <c r="AJ64805" s="6"/>
      <c r="AK64805" s="6"/>
      <c r="AL64805" s="6"/>
      <c r="AM64805" s="6"/>
    </row>
    <row r="64806" spans="2:39" ht="9.9499999999999993" hidden="1" customHeight="1" x14ac:dyDescent="0.2">
      <c r="B64806" s="6"/>
      <c r="C64806" s="6"/>
      <c r="D64806" s="6"/>
      <c r="E64806" s="6"/>
      <c r="F64806" s="6"/>
      <c r="G64806" s="6"/>
      <c r="H64806" s="6"/>
      <c r="I64806" s="6"/>
      <c r="J64806" s="6"/>
      <c r="K64806" s="6"/>
      <c r="L64806" s="6"/>
      <c r="M64806" s="6"/>
      <c r="N64806" s="6"/>
      <c r="O64806" s="6"/>
      <c r="P64806" s="6"/>
      <c r="Q64806" s="6"/>
      <c r="R64806" s="6"/>
      <c r="S64806" s="6"/>
      <c r="T64806" s="6"/>
      <c r="U64806" s="6"/>
      <c r="V64806" s="6"/>
      <c r="W64806" s="6"/>
      <c r="X64806" s="6"/>
      <c r="Y64806" s="6"/>
      <c r="Z64806" s="6"/>
      <c r="AA64806" s="6"/>
      <c r="AB64806" s="6"/>
      <c r="AC64806" s="6"/>
      <c r="AD64806" s="6"/>
      <c r="AE64806" s="6"/>
      <c r="AF64806" s="6"/>
      <c r="AG64806" s="6"/>
      <c r="AH64806" s="6"/>
      <c r="AI64806" s="6"/>
      <c r="AJ64806" s="6"/>
      <c r="AK64806" s="6"/>
      <c r="AL64806" s="6"/>
      <c r="AM64806" s="6"/>
    </row>
    <row r="64807" spans="2:39" ht="9.9499999999999993" hidden="1" customHeight="1" x14ac:dyDescent="0.2">
      <c r="B64807" s="6"/>
      <c r="C64807" s="6"/>
      <c r="D64807" s="6"/>
      <c r="E64807" s="6"/>
      <c r="F64807" s="6"/>
      <c r="G64807" s="6"/>
      <c r="H64807" s="6"/>
      <c r="I64807" s="6"/>
      <c r="J64807" s="6"/>
      <c r="K64807" s="6"/>
      <c r="L64807" s="6"/>
      <c r="M64807" s="6"/>
      <c r="N64807" s="6"/>
      <c r="O64807" s="6"/>
      <c r="P64807" s="6"/>
      <c r="Q64807" s="6"/>
      <c r="R64807" s="6"/>
      <c r="S64807" s="6"/>
      <c r="T64807" s="6"/>
      <c r="U64807" s="6"/>
      <c r="V64807" s="6"/>
      <c r="W64807" s="6"/>
      <c r="X64807" s="6"/>
      <c r="Y64807" s="6"/>
      <c r="Z64807" s="6"/>
      <c r="AA64807" s="6"/>
      <c r="AB64807" s="6"/>
      <c r="AC64807" s="6"/>
      <c r="AD64807" s="6"/>
      <c r="AE64807" s="6"/>
      <c r="AF64807" s="6"/>
      <c r="AG64807" s="6"/>
      <c r="AH64807" s="6"/>
      <c r="AI64807" s="6"/>
      <c r="AJ64807" s="6"/>
      <c r="AK64807" s="6"/>
      <c r="AL64807" s="6"/>
      <c r="AM64807" s="6"/>
    </row>
    <row r="64808" spans="2:39" ht="9.9499999999999993" hidden="1" customHeight="1" x14ac:dyDescent="0.2">
      <c r="B64808" s="6"/>
      <c r="C64808" s="6"/>
      <c r="D64808" s="6"/>
      <c r="E64808" s="6"/>
      <c r="F64808" s="6"/>
      <c r="G64808" s="6"/>
      <c r="H64808" s="6"/>
      <c r="I64808" s="6"/>
      <c r="J64808" s="6"/>
      <c r="K64808" s="6"/>
      <c r="L64808" s="6"/>
      <c r="M64808" s="6"/>
      <c r="N64808" s="6"/>
      <c r="O64808" s="6"/>
      <c r="P64808" s="6"/>
      <c r="Q64808" s="6"/>
      <c r="R64808" s="6"/>
      <c r="S64808" s="6"/>
      <c r="T64808" s="6"/>
      <c r="U64808" s="6"/>
      <c r="V64808" s="6"/>
      <c r="W64808" s="6"/>
      <c r="X64808" s="6"/>
      <c r="Y64808" s="6"/>
      <c r="Z64808" s="6"/>
      <c r="AA64808" s="6"/>
      <c r="AB64808" s="6"/>
      <c r="AC64808" s="6"/>
      <c r="AD64808" s="6"/>
      <c r="AE64808" s="6"/>
      <c r="AF64808" s="6"/>
      <c r="AG64808" s="6"/>
      <c r="AH64808" s="6"/>
      <c r="AI64808" s="6"/>
      <c r="AJ64808" s="6"/>
      <c r="AK64808" s="6"/>
      <c r="AL64808" s="6"/>
      <c r="AM64808" s="6"/>
    </row>
    <row r="64809" spans="2:39" ht="9.9499999999999993" hidden="1" customHeight="1" x14ac:dyDescent="0.2">
      <c r="B64809" s="6"/>
      <c r="C64809" s="6"/>
      <c r="D64809" s="6"/>
      <c r="E64809" s="6"/>
      <c r="F64809" s="6"/>
      <c r="G64809" s="6"/>
      <c r="H64809" s="6"/>
      <c r="I64809" s="6"/>
      <c r="J64809" s="6"/>
      <c r="K64809" s="6"/>
      <c r="L64809" s="6"/>
      <c r="M64809" s="6"/>
      <c r="N64809" s="6"/>
      <c r="O64809" s="6"/>
      <c r="P64809" s="6"/>
      <c r="Q64809" s="6"/>
      <c r="R64809" s="6"/>
      <c r="S64809" s="6"/>
      <c r="T64809" s="6"/>
      <c r="U64809" s="6"/>
      <c r="V64809" s="6"/>
      <c r="W64809" s="6"/>
      <c r="X64809" s="6"/>
      <c r="Y64809" s="6"/>
      <c r="Z64809" s="6"/>
      <c r="AA64809" s="6"/>
      <c r="AB64809" s="6"/>
      <c r="AC64809" s="6"/>
      <c r="AD64809" s="6"/>
      <c r="AE64809" s="6"/>
      <c r="AF64809" s="6"/>
      <c r="AG64809" s="6"/>
      <c r="AH64809" s="6"/>
      <c r="AI64809" s="6"/>
      <c r="AJ64809" s="6"/>
      <c r="AK64809" s="6"/>
      <c r="AL64809" s="6"/>
      <c r="AM64809" s="6"/>
    </row>
    <row r="64810" spans="2:39" ht="9.9499999999999993" hidden="1" customHeight="1" x14ac:dyDescent="0.2">
      <c r="B64810" s="6"/>
      <c r="C64810" s="6"/>
      <c r="D64810" s="6"/>
      <c r="E64810" s="6"/>
      <c r="F64810" s="6"/>
      <c r="G64810" s="6"/>
      <c r="H64810" s="6"/>
      <c r="I64810" s="6"/>
      <c r="J64810" s="6"/>
      <c r="K64810" s="6"/>
      <c r="L64810" s="6"/>
      <c r="M64810" s="6"/>
      <c r="N64810" s="6"/>
      <c r="O64810" s="6"/>
      <c r="P64810" s="6"/>
      <c r="Q64810" s="6"/>
      <c r="R64810" s="6"/>
      <c r="S64810" s="6"/>
      <c r="T64810" s="6"/>
      <c r="U64810" s="6"/>
      <c r="V64810" s="6"/>
      <c r="W64810" s="6"/>
      <c r="X64810" s="6"/>
      <c r="Y64810" s="6"/>
      <c r="Z64810" s="6"/>
      <c r="AA64810" s="6"/>
      <c r="AB64810" s="6"/>
      <c r="AC64810" s="6"/>
      <c r="AD64810" s="6"/>
      <c r="AE64810" s="6"/>
      <c r="AF64810" s="6"/>
      <c r="AG64810" s="6"/>
      <c r="AH64810" s="6"/>
      <c r="AI64810" s="6"/>
      <c r="AJ64810" s="6"/>
      <c r="AK64810" s="6"/>
      <c r="AL64810" s="6"/>
      <c r="AM64810" s="6"/>
    </row>
    <row r="64811" spans="2:39" ht="9.9499999999999993" hidden="1" customHeight="1" x14ac:dyDescent="0.2">
      <c r="B64811" s="6"/>
      <c r="C64811" s="6"/>
      <c r="D64811" s="6"/>
      <c r="E64811" s="6"/>
      <c r="F64811" s="6"/>
      <c r="G64811" s="6"/>
      <c r="H64811" s="6"/>
      <c r="I64811" s="6"/>
      <c r="J64811" s="6"/>
      <c r="K64811" s="6"/>
      <c r="L64811" s="6"/>
      <c r="M64811" s="6"/>
      <c r="N64811" s="6"/>
      <c r="O64811" s="6"/>
      <c r="P64811" s="6"/>
      <c r="Q64811" s="6"/>
      <c r="R64811" s="6"/>
      <c r="S64811" s="6"/>
      <c r="T64811" s="6"/>
      <c r="U64811" s="6"/>
      <c r="V64811" s="6"/>
      <c r="W64811" s="6"/>
      <c r="X64811" s="6"/>
      <c r="Y64811" s="6"/>
      <c r="Z64811" s="6"/>
      <c r="AA64811" s="6"/>
      <c r="AB64811" s="6"/>
      <c r="AC64811" s="6"/>
      <c r="AD64811" s="6"/>
      <c r="AE64811" s="6"/>
      <c r="AF64811" s="6"/>
      <c r="AG64811" s="6"/>
      <c r="AH64811" s="6"/>
      <c r="AI64811" s="6"/>
      <c r="AJ64811" s="6"/>
      <c r="AK64811" s="6"/>
      <c r="AL64811" s="6"/>
      <c r="AM64811" s="6"/>
    </row>
    <row r="64812" spans="2:39" ht="9.9499999999999993" hidden="1" customHeight="1" x14ac:dyDescent="0.2">
      <c r="B64812" s="6"/>
      <c r="C64812" s="6"/>
      <c r="D64812" s="6"/>
      <c r="E64812" s="6"/>
      <c r="F64812" s="6"/>
      <c r="G64812" s="6"/>
      <c r="H64812" s="6"/>
      <c r="I64812" s="6"/>
      <c r="J64812" s="6"/>
      <c r="K64812" s="6"/>
      <c r="L64812" s="6"/>
      <c r="M64812" s="6"/>
      <c r="N64812" s="6"/>
      <c r="O64812" s="6"/>
      <c r="P64812" s="6"/>
      <c r="Q64812" s="6"/>
      <c r="R64812" s="6"/>
      <c r="S64812" s="6"/>
      <c r="T64812" s="6"/>
      <c r="U64812" s="6"/>
      <c r="V64812" s="6"/>
      <c r="W64812" s="6"/>
      <c r="X64812" s="6"/>
      <c r="Y64812" s="6"/>
      <c r="Z64812" s="6"/>
      <c r="AA64812" s="6"/>
      <c r="AB64812" s="6"/>
      <c r="AC64812" s="6"/>
      <c r="AD64812" s="6"/>
      <c r="AE64812" s="6"/>
      <c r="AF64812" s="6"/>
      <c r="AG64812" s="6"/>
      <c r="AH64812" s="6"/>
      <c r="AI64812" s="6"/>
      <c r="AJ64812" s="6"/>
      <c r="AK64812" s="6"/>
      <c r="AL64812" s="6"/>
      <c r="AM64812" s="6"/>
    </row>
    <row r="64813" spans="2:39" ht="9.9499999999999993" hidden="1" customHeight="1" x14ac:dyDescent="0.2">
      <c r="B64813" s="6"/>
      <c r="C64813" s="6"/>
      <c r="D64813" s="6"/>
      <c r="E64813" s="6"/>
      <c r="F64813" s="6"/>
      <c r="G64813" s="6"/>
      <c r="H64813" s="6"/>
      <c r="I64813" s="6"/>
      <c r="J64813" s="6"/>
      <c r="K64813" s="6"/>
      <c r="L64813" s="6"/>
      <c r="M64813" s="6"/>
      <c r="N64813" s="6"/>
      <c r="O64813" s="6"/>
      <c r="P64813" s="6"/>
      <c r="Q64813" s="6"/>
      <c r="R64813" s="6"/>
      <c r="S64813" s="6"/>
      <c r="T64813" s="6"/>
      <c r="U64813" s="6"/>
      <c r="V64813" s="6"/>
      <c r="W64813" s="6"/>
      <c r="X64813" s="6"/>
      <c r="Y64813" s="6"/>
      <c r="Z64813" s="6"/>
      <c r="AA64813" s="6"/>
      <c r="AB64813" s="6"/>
      <c r="AC64813" s="6"/>
      <c r="AD64813" s="6"/>
      <c r="AE64813" s="6"/>
      <c r="AF64813" s="6"/>
      <c r="AG64813" s="6"/>
      <c r="AH64813" s="6"/>
      <c r="AI64813" s="6"/>
      <c r="AJ64813" s="6"/>
      <c r="AK64813" s="6"/>
      <c r="AL64813" s="6"/>
      <c r="AM64813" s="6"/>
    </row>
    <row r="64814" spans="2:39" ht="9.9499999999999993" hidden="1" customHeight="1" x14ac:dyDescent="0.2">
      <c r="B64814" s="6"/>
      <c r="C64814" s="6"/>
      <c r="D64814" s="6"/>
      <c r="E64814" s="6"/>
      <c r="F64814" s="6"/>
      <c r="G64814" s="6"/>
      <c r="H64814" s="6"/>
      <c r="I64814" s="6"/>
      <c r="J64814" s="6"/>
      <c r="K64814" s="6"/>
      <c r="L64814" s="6"/>
      <c r="M64814" s="6"/>
      <c r="N64814" s="6"/>
      <c r="O64814" s="6"/>
      <c r="P64814" s="6"/>
      <c r="Q64814" s="6"/>
      <c r="R64814" s="6"/>
      <c r="S64814" s="6"/>
      <c r="T64814" s="6"/>
      <c r="U64814" s="6"/>
      <c r="V64814" s="6"/>
      <c r="W64814" s="6"/>
      <c r="X64814" s="6"/>
      <c r="Y64814" s="6"/>
      <c r="Z64814" s="6"/>
      <c r="AA64814" s="6"/>
      <c r="AB64814" s="6"/>
      <c r="AC64814" s="6"/>
      <c r="AD64814" s="6"/>
      <c r="AE64814" s="6"/>
      <c r="AF64814" s="6"/>
      <c r="AG64814" s="6"/>
      <c r="AH64814" s="6"/>
      <c r="AI64814" s="6"/>
      <c r="AJ64814" s="6"/>
      <c r="AK64814" s="6"/>
      <c r="AL64814" s="6"/>
      <c r="AM64814" s="6"/>
    </row>
    <row r="64815" spans="2:39" ht="9.9499999999999993" hidden="1" customHeight="1" x14ac:dyDescent="0.2">
      <c r="B64815" s="6"/>
      <c r="C64815" s="6"/>
      <c r="D64815" s="6"/>
      <c r="E64815" s="6"/>
      <c r="F64815" s="6"/>
      <c r="G64815" s="6"/>
      <c r="H64815" s="6"/>
      <c r="I64815" s="6"/>
      <c r="J64815" s="6"/>
      <c r="K64815" s="6"/>
      <c r="L64815" s="6"/>
      <c r="M64815" s="6"/>
      <c r="N64815" s="6"/>
      <c r="O64815" s="6"/>
      <c r="P64815" s="6"/>
      <c r="Q64815" s="6"/>
      <c r="R64815" s="6"/>
      <c r="S64815" s="6"/>
      <c r="T64815" s="6"/>
      <c r="U64815" s="6"/>
      <c r="V64815" s="6"/>
      <c r="W64815" s="6"/>
      <c r="X64815" s="6"/>
      <c r="Y64815" s="6"/>
      <c r="Z64815" s="6"/>
      <c r="AA64815" s="6"/>
      <c r="AB64815" s="6"/>
      <c r="AC64815" s="6"/>
      <c r="AD64815" s="6"/>
      <c r="AE64815" s="6"/>
      <c r="AF64815" s="6"/>
      <c r="AG64815" s="6"/>
      <c r="AH64815" s="6"/>
      <c r="AI64815" s="6"/>
      <c r="AJ64815" s="6"/>
      <c r="AK64815" s="6"/>
      <c r="AL64815" s="6"/>
      <c r="AM64815" s="6"/>
    </row>
    <row r="64816" spans="2:39" ht="9.9499999999999993" hidden="1" customHeight="1" x14ac:dyDescent="0.2">
      <c r="B64816" s="6"/>
      <c r="C64816" s="6"/>
      <c r="D64816" s="6"/>
      <c r="E64816" s="6"/>
      <c r="F64816" s="6"/>
      <c r="G64816" s="6"/>
      <c r="H64816" s="6"/>
      <c r="I64816" s="6"/>
      <c r="J64816" s="6"/>
      <c r="K64816" s="6"/>
      <c r="L64816" s="6"/>
      <c r="M64816" s="6"/>
      <c r="N64816" s="6"/>
      <c r="O64816" s="6"/>
      <c r="P64816" s="6"/>
      <c r="Q64816" s="6"/>
      <c r="R64816" s="6"/>
      <c r="S64816" s="6"/>
      <c r="T64816" s="6"/>
      <c r="U64816" s="6"/>
      <c r="V64816" s="6"/>
      <c r="W64816" s="6"/>
      <c r="X64816" s="6"/>
      <c r="Y64816" s="6"/>
      <c r="Z64816" s="6"/>
      <c r="AA64816" s="6"/>
      <c r="AB64816" s="6"/>
      <c r="AC64816" s="6"/>
      <c r="AD64816" s="6"/>
      <c r="AE64816" s="6"/>
      <c r="AF64816" s="6"/>
      <c r="AG64816" s="6"/>
      <c r="AH64816" s="6"/>
      <c r="AI64816" s="6"/>
      <c r="AJ64816" s="6"/>
      <c r="AK64816" s="6"/>
      <c r="AL64816" s="6"/>
      <c r="AM64816" s="6"/>
    </row>
    <row r="64817" spans="2:39" ht="9.9499999999999993" hidden="1" customHeight="1" x14ac:dyDescent="0.2">
      <c r="B64817" s="6"/>
      <c r="C64817" s="6"/>
      <c r="D64817" s="6"/>
      <c r="E64817" s="6"/>
      <c r="F64817" s="6"/>
      <c r="G64817" s="6"/>
      <c r="H64817" s="6"/>
      <c r="I64817" s="6"/>
      <c r="J64817" s="6"/>
      <c r="K64817" s="6"/>
      <c r="L64817" s="6"/>
      <c r="M64817" s="6"/>
      <c r="N64817" s="6"/>
      <c r="O64817" s="6"/>
      <c r="P64817" s="6"/>
      <c r="Q64817" s="6"/>
      <c r="R64817" s="6"/>
      <c r="S64817" s="6"/>
      <c r="T64817" s="6"/>
      <c r="U64817" s="6"/>
      <c r="V64817" s="6"/>
      <c r="W64817" s="6"/>
      <c r="X64817" s="6"/>
      <c r="Y64817" s="6"/>
      <c r="Z64817" s="6"/>
      <c r="AA64817" s="6"/>
      <c r="AB64817" s="6"/>
      <c r="AC64817" s="6"/>
      <c r="AD64817" s="6"/>
      <c r="AE64817" s="6"/>
      <c r="AF64817" s="6"/>
      <c r="AG64817" s="6"/>
      <c r="AH64817" s="6"/>
      <c r="AI64817" s="6"/>
      <c r="AJ64817" s="6"/>
      <c r="AK64817" s="6"/>
      <c r="AL64817" s="6"/>
      <c r="AM64817" s="6"/>
    </row>
    <row r="64818" spans="2:39" ht="9.9499999999999993" hidden="1" customHeight="1" x14ac:dyDescent="0.2">
      <c r="B64818" s="6"/>
      <c r="C64818" s="6"/>
      <c r="D64818" s="6"/>
      <c r="E64818" s="6"/>
      <c r="F64818" s="6"/>
      <c r="G64818" s="6"/>
      <c r="H64818" s="6"/>
      <c r="I64818" s="6"/>
      <c r="J64818" s="6"/>
      <c r="K64818" s="6"/>
      <c r="L64818" s="6"/>
      <c r="M64818" s="6"/>
      <c r="N64818" s="6"/>
      <c r="O64818" s="6"/>
      <c r="P64818" s="6"/>
      <c r="Q64818" s="6"/>
      <c r="R64818" s="6"/>
      <c r="S64818" s="6"/>
      <c r="T64818" s="6"/>
      <c r="U64818" s="6"/>
      <c r="V64818" s="6"/>
      <c r="W64818" s="6"/>
      <c r="X64818" s="6"/>
      <c r="Y64818" s="6"/>
      <c r="Z64818" s="6"/>
      <c r="AA64818" s="6"/>
      <c r="AB64818" s="6"/>
      <c r="AC64818" s="6"/>
      <c r="AD64818" s="6"/>
      <c r="AE64818" s="6"/>
      <c r="AF64818" s="6"/>
      <c r="AG64818" s="6"/>
      <c r="AH64818" s="6"/>
      <c r="AI64818" s="6"/>
      <c r="AJ64818" s="6"/>
      <c r="AK64818" s="6"/>
      <c r="AL64818" s="6"/>
      <c r="AM64818" s="6"/>
    </row>
    <row r="64819" spans="2:39" ht="9.9499999999999993" hidden="1" customHeight="1" x14ac:dyDescent="0.2">
      <c r="B64819" s="6"/>
      <c r="C64819" s="6"/>
      <c r="D64819" s="6"/>
      <c r="E64819" s="6"/>
      <c r="F64819" s="6"/>
      <c r="G64819" s="6"/>
      <c r="H64819" s="6"/>
      <c r="I64819" s="6"/>
      <c r="J64819" s="6"/>
      <c r="K64819" s="6"/>
      <c r="L64819" s="6"/>
      <c r="M64819" s="6"/>
      <c r="N64819" s="6"/>
      <c r="O64819" s="6"/>
      <c r="P64819" s="6"/>
      <c r="Q64819" s="6"/>
      <c r="R64819" s="6"/>
      <c r="S64819" s="6"/>
      <c r="T64819" s="6"/>
      <c r="U64819" s="6"/>
      <c r="V64819" s="6"/>
      <c r="W64819" s="6"/>
      <c r="X64819" s="6"/>
      <c r="Y64819" s="6"/>
      <c r="Z64819" s="6"/>
      <c r="AA64819" s="6"/>
      <c r="AB64819" s="6"/>
      <c r="AC64819" s="6"/>
      <c r="AD64819" s="6"/>
      <c r="AE64819" s="6"/>
      <c r="AF64819" s="6"/>
      <c r="AG64819" s="6"/>
      <c r="AH64819" s="6"/>
      <c r="AI64819" s="6"/>
      <c r="AJ64819" s="6"/>
      <c r="AK64819" s="6"/>
      <c r="AL64819" s="6"/>
      <c r="AM64819" s="6"/>
    </row>
    <row r="64820" spans="2:39" ht="9.9499999999999993" hidden="1" customHeight="1" x14ac:dyDescent="0.2">
      <c r="B64820" s="6"/>
      <c r="C64820" s="6"/>
      <c r="D64820" s="6"/>
      <c r="E64820" s="6"/>
      <c r="F64820" s="6"/>
      <c r="G64820" s="6"/>
      <c r="H64820" s="6"/>
      <c r="I64820" s="6"/>
      <c r="J64820" s="6"/>
      <c r="K64820" s="6"/>
      <c r="L64820" s="6"/>
      <c r="M64820" s="6"/>
      <c r="N64820" s="6"/>
      <c r="O64820" s="6"/>
      <c r="P64820" s="6"/>
      <c r="Q64820" s="6"/>
      <c r="R64820" s="6"/>
      <c r="S64820" s="6"/>
      <c r="T64820" s="6"/>
      <c r="U64820" s="6"/>
      <c r="V64820" s="6"/>
      <c r="W64820" s="6"/>
      <c r="X64820" s="6"/>
      <c r="Y64820" s="6"/>
      <c r="Z64820" s="6"/>
      <c r="AA64820" s="6"/>
      <c r="AB64820" s="6"/>
      <c r="AC64820" s="6"/>
      <c r="AD64820" s="6"/>
      <c r="AE64820" s="6"/>
      <c r="AF64820" s="6"/>
      <c r="AG64820" s="6"/>
      <c r="AH64820" s="6"/>
      <c r="AI64820" s="6"/>
      <c r="AJ64820" s="6"/>
      <c r="AK64820" s="6"/>
      <c r="AL64820" s="6"/>
      <c r="AM64820" s="6"/>
    </row>
    <row r="64821" spans="2:39" ht="9.9499999999999993" hidden="1" customHeight="1" x14ac:dyDescent="0.2">
      <c r="B64821" s="6"/>
      <c r="C64821" s="6"/>
      <c r="D64821" s="6"/>
      <c r="E64821" s="6"/>
      <c r="F64821" s="6"/>
      <c r="G64821" s="6"/>
      <c r="H64821" s="6"/>
      <c r="I64821" s="6"/>
      <c r="J64821" s="6"/>
      <c r="K64821" s="6"/>
      <c r="L64821" s="6"/>
      <c r="M64821" s="6"/>
      <c r="N64821" s="6"/>
      <c r="O64821" s="6"/>
      <c r="P64821" s="6"/>
      <c r="Q64821" s="6"/>
      <c r="R64821" s="6"/>
      <c r="S64821" s="6"/>
      <c r="T64821" s="6"/>
      <c r="U64821" s="6"/>
      <c r="V64821" s="6"/>
      <c r="W64821" s="6"/>
      <c r="X64821" s="6"/>
      <c r="Y64821" s="6"/>
      <c r="Z64821" s="6"/>
      <c r="AA64821" s="6"/>
      <c r="AB64821" s="6"/>
      <c r="AC64821" s="6"/>
      <c r="AD64821" s="6"/>
      <c r="AE64821" s="6"/>
      <c r="AF64821" s="6"/>
      <c r="AG64821" s="6"/>
      <c r="AH64821" s="6"/>
      <c r="AI64821" s="6"/>
      <c r="AJ64821" s="6"/>
      <c r="AK64821" s="6"/>
      <c r="AL64821" s="6"/>
      <c r="AM64821" s="6"/>
    </row>
    <row r="64822" spans="2:39" ht="9.9499999999999993" hidden="1" customHeight="1" x14ac:dyDescent="0.2">
      <c r="B64822" s="6"/>
      <c r="C64822" s="6"/>
      <c r="D64822" s="6"/>
      <c r="E64822" s="6"/>
      <c r="F64822" s="6"/>
      <c r="G64822" s="6"/>
      <c r="H64822" s="6"/>
      <c r="I64822" s="6"/>
      <c r="J64822" s="6"/>
      <c r="K64822" s="6"/>
      <c r="L64822" s="6"/>
      <c r="M64822" s="6"/>
      <c r="N64822" s="6"/>
      <c r="O64822" s="6"/>
      <c r="P64822" s="6"/>
      <c r="Q64822" s="6"/>
      <c r="R64822" s="6"/>
      <c r="S64822" s="6"/>
      <c r="T64822" s="6"/>
      <c r="U64822" s="6"/>
      <c r="V64822" s="6"/>
      <c r="W64822" s="6"/>
      <c r="X64822" s="6"/>
      <c r="Y64822" s="6"/>
      <c r="Z64822" s="6"/>
      <c r="AA64822" s="6"/>
      <c r="AB64822" s="6"/>
      <c r="AC64822" s="6"/>
      <c r="AD64822" s="6"/>
      <c r="AE64822" s="6"/>
      <c r="AF64822" s="6"/>
      <c r="AG64822" s="6"/>
      <c r="AH64822" s="6"/>
      <c r="AI64822" s="6"/>
      <c r="AJ64822" s="6"/>
      <c r="AK64822" s="6"/>
      <c r="AL64822" s="6"/>
      <c r="AM64822" s="6"/>
    </row>
    <row r="64823" spans="2:39" ht="9.9499999999999993" hidden="1" customHeight="1" x14ac:dyDescent="0.2">
      <c r="B64823" s="6"/>
      <c r="C64823" s="6"/>
      <c r="D64823" s="6"/>
      <c r="E64823" s="6"/>
      <c r="F64823" s="6"/>
      <c r="G64823" s="6"/>
      <c r="H64823" s="6"/>
      <c r="I64823" s="6"/>
      <c r="J64823" s="6"/>
      <c r="K64823" s="6"/>
      <c r="L64823" s="6"/>
      <c r="M64823" s="6"/>
      <c r="N64823" s="6"/>
      <c r="O64823" s="6"/>
      <c r="P64823" s="6"/>
      <c r="Q64823" s="6"/>
      <c r="R64823" s="6"/>
      <c r="S64823" s="6"/>
      <c r="T64823" s="6"/>
      <c r="U64823" s="6"/>
      <c r="V64823" s="6"/>
      <c r="W64823" s="6"/>
      <c r="X64823" s="6"/>
      <c r="Y64823" s="6"/>
      <c r="Z64823" s="6"/>
      <c r="AA64823" s="6"/>
      <c r="AB64823" s="6"/>
      <c r="AC64823" s="6"/>
      <c r="AD64823" s="6"/>
      <c r="AE64823" s="6"/>
      <c r="AF64823" s="6"/>
      <c r="AG64823" s="6"/>
      <c r="AH64823" s="6"/>
      <c r="AI64823" s="6"/>
      <c r="AJ64823" s="6"/>
      <c r="AK64823" s="6"/>
      <c r="AL64823" s="6"/>
      <c r="AM64823" s="6"/>
    </row>
    <row r="64824" spans="2:39" ht="9.9499999999999993" hidden="1" customHeight="1" x14ac:dyDescent="0.2">
      <c r="B64824" s="6"/>
      <c r="C64824" s="6"/>
      <c r="D64824" s="6"/>
      <c r="E64824" s="6"/>
      <c r="F64824" s="6"/>
      <c r="G64824" s="6"/>
      <c r="H64824" s="6"/>
      <c r="I64824" s="6"/>
      <c r="J64824" s="6"/>
      <c r="K64824" s="6"/>
      <c r="L64824" s="6"/>
      <c r="M64824" s="6"/>
      <c r="N64824" s="6"/>
      <c r="O64824" s="6"/>
      <c r="P64824" s="6"/>
      <c r="Q64824" s="6"/>
      <c r="R64824" s="6"/>
      <c r="S64824" s="6"/>
      <c r="T64824" s="6"/>
      <c r="U64824" s="6"/>
      <c r="V64824" s="6"/>
      <c r="W64824" s="6"/>
      <c r="X64824" s="6"/>
      <c r="Y64824" s="6"/>
      <c r="Z64824" s="6"/>
      <c r="AA64824" s="6"/>
      <c r="AB64824" s="6"/>
      <c r="AC64824" s="6"/>
      <c r="AD64824" s="6"/>
      <c r="AE64824" s="6"/>
      <c r="AF64824" s="6"/>
      <c r="AG64824" s="6"/>
      <c r="AH64824" s="6"/>
      <c r="AI64824" s="6"/>
      <c r="AJ64824" s="6"/>
      <c r="AK64824" s="6"/>
      <c r="AL64824" s="6"/>
      <c r="AM64824" s="6"/>
    </row>
    <row r="64825" spans="2:39" ht="9.9499999999999993" hidden="1" customHeight="1" x14ac:dyDescent="0.2">
      <c r="B64825" s="6"/>
      <c r="C64825" s="6"/>
      <c r="D64825" s="6"/>
      <c r="E64825" s="6"/>
      <c r="F64825" s="6"/>
      <c r="G64825" s="6"/>
      <c r="H64825" s="6"/>
      <c r="I64825" s="6"/>
      <c r="J64825" s="6"/>
      <c r="K64825" s="6"/>
      <c r="L64825" s="6"/>
      <c r="M64825" s="6"/>
      <c r="N64825" s="6"/>
      <c r="O64825" s="6"/>
      <c r="P64825" s="6"/>
      <c r="Q64825" s="6"/>
      <c r="R64825" s="6"/>
      <c r="S64825" s="6"/>
      <c r="T64825" s="6"/>
      <c r="U64825" s="6"/>
      <c r="V64825" s="6"/>
      <c r="W64825" s="6"/>
      <c r="X64825" s="6"/>
      <c r="Y64825" s="6"/>
      <c r="Z64825" s="6"/>
      <c r="AA64825" s="6"/>
      <c r="AB64825" s="6"/>
      <c r="AC64825" s="6"/>
      <c r="AD64825" s="6"/>
      <c r="AE64825" s="6"/>
      <c r="AF64825" s="6"/>
      <c r="AG64825" s="6"/>
      <c r="AH64825" s="6"/>
      <c r="AI64825" s="6"/>
      <c r="AJ64825" s="6"/>
      <c r="AK64825" s="6"/>
      <c r="AL64825" s="6"/>
      <c r="AM64825" s="6"/>
    </row>
    <row r="64826" spans="2:39" ht="9.9499999999999993" hidden="1" customHeight="1" x14ac:dyDescent="0.2">
      <c r="B64826" s="6"/>
      <c r="C64826" s="6"/>
      <c r="D64826" s="6"/>
      <c r="E64826" s="6"/>
      <c r="F64826" s="6"/>
      <c r="G64826" s="6"/>
      <c r="H64826" s="6"/>
      <c r="I64826" s="6"/>
      <c r="J64826" s="6"/>
      <c r="K64826" s="6"/>
      <c r="L64826" s="6"/>
      <c r="M64826" s="6"/>
      <c r="N64826" s="6"/>
      <c r="O64826" s="6"/>
      <c r="P64826" s="6"/>
      <c r="Q64826" s="6"/>
      <c r="R64826" s="6"/>
      <c r="S64826" s="6"/>
      <c r="T64826" s="6"/>
      <c r="U64826" s="6"/>
      <c r="V64826" s="6"/>
      <c r="W64826" s="6"/>
      <c r="X64826" s="6"/>
      <c r="Y64826" s="6"/>
      <c r="Z64826" s="6"/>
      <c r="AA64826" s="6"/>
      <c r="AB64826" s="6"/>
      <c r="AC64826" s="6"/>
      <c r="AD64826" s="6"/>
      <c r="AE64826" s="6"/>
      <c r="AF64826" s="6"/>
      <c r="AG64826" s="6"/>
      <c r="AH64826" s="6"/>
      <c r="AI64826" s="6"/>
      <c r="AJ64826" s="6"/>
      <c r="AK64826" s="6"/>
      <c r="AL64826" s="6"/>
      <c r="AM64826" s="6"/>
    </row>
    <row r="64827" spans="2:39" ht="9.9499999999999993" hidden="1" customHeight="1" x14ac:dyDescent="0.2">
      <c r="B64827" s="6"/>
      <c r="C64827" s="6"/>
      <c r="D64827" s="6"/>
      <c r="E64827" s="6"/>
      <c r="F64827" s="6"/>
      <c r="G64827" s="6"/>
      <c r="H64827" s="6"/>
      <c r="I64827" s="6"/>
      <c r="J64827" s="6"/>
      <c r="K64827" s="6"/>
      <c r="L64827" s="6"/>
      <c r="M64827" s="6"/>
      <c r="N64827" s="6"/>
      <c r="O64827" s="6"/>
      <c r="P64827" s="6"/>
      <c r="Q64827" s="6"/>
      <c r="R64827" s="6"/>
      <c r="S64827" s="6"/>
      <c r="T64827" s="6"/>
      <c r="U64827" s="6"/>
      <c r="V64827" s="6"/>
      <c r="W64827" s="6"/>
      <c r="X64827" s="6"/>
      <c r="Y64827" s="6"/>
      <c r="Z64827" s="6"/>
      <c r="AA64827" s="6"/>
      <c r="AB64827" s="6"/>
      <c r="AC64827" s="6"/>
      <c r="AD64827" s="6"/>
      <c r="AE64827" s="6"/>
      <c r="AF64827" s="6"/>
      <c r="AG64827" s="6"/>
      <c r="AH64827" s="6"/>
      <c r="AI64827" s="6"/>
      <c r="AJ64827" s="6"/>
      <c r="AK64827" s="6"/>
      <c r="AL64827" s="6"/>
      <c r="AM64827" s="6"/>
    </row>
    <row r="64828" spans="2:39" ht="9.9499999999999993" hidden="1" customHeight="1" x14ac:dyDescent="0.2">
      <c r="B64828" s="6"/>
      <c r="C64828" s="6"/>
      <c r="D64828" s="6"/>
      <c r="E64828" s="6"/>
      <c r="F64828" s="6"/>
      <c r="G64828" s="6"/>
      <c r="H64828" s="6"/>
      <c r="I64828" s="6"/>
      <c r="J64828" s="6"/>
      <c r="K64828" s="6"/>
      <c r="L64828" s="6"/>
      <c r="M64828" s="6"/>
      <c r="N64828" s="6"/>
      <c r="O64828" s="6"/>
      <c r="P64828" s="6"/>
      <c r="Q64828" s="6"/>
      <c r="R64828" s="6"/>
      <c r="S64828" s="6"/>
      <c r="T64828" s="6"/>
      <c r="U64828" s="6"/>
      <c r="V64828" s="6"/>
      <c r="W64828" s="6"/>
      <c r="X64828" s="6"/>
      <c r="Y64828" s="6"/>
      <c r="Z64828" s="6"/>
      <c r="AA64828" s="6"/>
      <c r="AB64828" s="6"/>
      <c r="AC64828" s="6"/>
      <c r="AD64828" s="6"/>
      <c r="AE64828" s="6"/>
      <c r="AF64828" s="6"/>
      <c r="AG64828" s="6"/>
      <c r="AH64828" s="6"/>
      <c r="AI64828" s="6"/>
      <c r="AJ64828" s="6"/>
      <c r="AK64828" s="6"/>
      <c r="AL64828" s="6"/>
      <c r="AM64828" s="6"/>
    </row>
    <row r="64829" spans="2:39" ht="9.9499999999999993" hidden="1" customHeight="1" x14ac:dyDescent="0.2">
      <c r="B64829" s="6"/>
      <c r="C64829" s="6"/>
      <c r="D64829" s="6"/>
      <c r="E64829" s="6"/>
      <c r="F64829" s="6"/>
      <c r="G64829" s="6"/>
      <c r="H64829" s="6"/>
      <c r="I64829" s="6"/>
      <c r="J64829" s="6"/>
      <c r="K64829" s="6"/>
      <c r="L64829" s="6"/>
      <c r="M64829" s="6"/>
      <c r="N64829" s="6"/>
      <c r="O64829" s="6"/>
      <c r="P64829" s="6"/>
      <c r="Q64829" s="6"/>
      <c r="R64829" s="6"/>
      <c r="S64829" s="6"/>
      <c r="T64829" s="6"/>
      <c r="U64829" s="6"/>
      <c r="V64829" s="6"/>
      <c r="W64829" s="6"/>
      <c r="X64829" s="6"/>
      <c r="Y64829" s="6"/>
      <c r="Z64829" s="6"/>
      <c r="AA64829" s="6"/>
      <c r="AB64829" s="6"/>
      <c r="AC64829" s="6"/>
      <c r="AD64829" s="6"/>
      <c r="AE64829" s="6"/>
      <c r="AF64829" s="6"/>
      <c r="AG64829" s="6"/>
      <c r="AH64829" s="6"/>
      <c r="AI64829" s="6"/>
      <c r="AJ64829" s="6"/>
      <c r="AK64829" s="6"/>
      <c r="AL64829" s="6"/>
      <c r="AM64829" s="6"/>
    </row>
    <row r="64830" spans="2:39" ht="9.9499999999999993" hidden="1" customHeight="1" x14ac:dyDescent="0.2">
      <c r="B64830" s="6"/>
      <c r="C64830" s="6"/>
      <c r="D64830" s="6"/>
      <c r="E64830" s="6"/>
      <c r="F64830" s="6"/>
      <c r="G64830" s="6"/>
      <c r="H64830" s="6"/>
      <c r="I64830" s="6"/>
      <c r="J64830" s="6"/>
      <c r="K64830" s="6"/>
      <c r="L64830" s="6"/>
      <c r="M64830" s="6"/>
      <c r="N64830" s="6"/>
      <c r="O64830" s="6"/>
      <c r="P64830" s="6"/>
      <c r="Q64830" s="6"/>
      <c r="R64830" s="6"/>
      <c r="S64830" s="6"/>
      <c r="T64830" s="6"/>
      <c r="U64830" s="6"/>
      <c r="V64830" s="6"/>
      <c r="W64830" s="6"/>
      <c r="X64830" s="6"/>
      <c r="Y64830" s="6"/>
      <c r="Z64830" s="6"/>
      <c r="AA64830" s="6"/>
      <c r="AB64830" s="6"/>
      <c r="AC64830" s="6"/>
      <c r="AD64830" s="6"/>
      <c r="AE64830" s="6"/>
      <c r="AF64830" s="6"/>
      <c r="AG64830" s="6"/>
      <c r="AH64830" s="6"/>
      <c r="AI64830" s="6"/>
      <c r="AJ64830" s="6"/>
      <c r="AK64830" s="6"/>
      <c r="AL64830" s="6"/>
      <c r="AM64830" s="6"/>
    </row>
    <row r="64831" spans="2:39" ht="9.9499999999999993" hidden="1" customHeight="1" x14ac:dyDescent="0.2">
      <c r="B64831" s="6"/>
      <c r="C64831" s="6"/>
      <c r="D64831" s="6"/>
      <c r="E64831" s="6"/>
      <c r="F64831" s="6"/>
      <c r="G64831" s="6"/>
      <c r="H64831" s="6"/>
      <c r="I64831" s="6"/>
      <c r="J64831" s="6"/>
      <c r="K64831" s="6"/>
      <c r="L64831" s="6"/>
      <c r="M64831" s="6"/>
      <c r="N64831" s="6"/>
      <c r="O64831" s="6"/>
      <c r="P64831" s="6"/>
      <c r="Q64831" s="6"/>
      <c r="R64831" s="6"/>
      <c r="S64831" s="6"/>
      <c r="T64831" s="6"/>
      <c r="U64831" s="6"/>
      <c r="V64831" s="6"/>
      <c r="W64831" s="6"/>
      <c r="X64831" s="6"/>
      <c r="Y64831" s="6"/>
      <c r="Z64831" s="6"/>
      <c r="AA64831" s="6"/>
      <c r="AB64831" s="6"/>
      <c r="AC64831" s="6"/>
      <c r="AD64831" s="6"/>
      <c r="AE64831" s="6"/>
      <c r="AF64831" s="6"/>
      <c r="AG64831" s="6"/>
      <c r="AH64831" s="6"/>
      <c r="AI64831" s="6"/>
      <c r="AJ64831" s="6"/>
      <c r="AK64831" s="6"/>
      <c r="AL64831" s="6"/>
      <c r="AM64831" s="6"/>
    </row>
    <row r="64832" spans="2:39" ht="9.9499999999999993" hidden="1" customHeight="1" x14ac:dyDescent="0.2">
      <c r="B64832" s="6"/>
      <c r="C64832" s="6"/>
      <c r="D64832" s="6"/>
      <c r="E64832" s="6"/>
      <c r="F64832" s="6"/>
      <c r="G64832" s="6"/>
      <c r="H64832" s="6"/>
      <c r="I64832" s="6"/>
      <c r="J64832" s="6"/>
      <c r="K64832" s="6"/>
      <c r="L64832" s="6"/>
      <c r="M64832" s="6"/>
      <c r="N64832" s="6"/>
      <c r="O64832" s="6"/>
      <c r="P64832" s="6"/>
      <c r="Q64832" s="6"/>
      <c r="R64832" s="6"/>
      <c r="S64832" s="6"/>
      <c r="T64832" s="6"/>
      <c r="U64832" s="6"/>
      <c r="V64832" s="6"/>
      <c r="W64832" s="6"/>
      <c r="X64832" s="6"/>
      <c r="Y64832" s="6"/>
      <c r="Z64832" s="6"/>
      <c r="AA64832" s="6"/>
      <c r="AB64832" s="6"/>
      <c r="AC64832" s="6"/>
      <c r="AD64832" s="6"/>
      <c r="AE64832" s="6"/>
      <c r="AF64832" s="6"/>
      <c r="AG64832" s="6"/>
      <c r="AH64832" s="6"/>
      <c r="AI64832" s="6"/>
      <c r="AJ64832" s="6"/>
      <c r="AK64832" s="6"/>
      <c r="AL64832" s="6"/>
      <c r="AM64832" s="6"/>
    </row>
    <row r="64833" spans="2:39" ht="9.9499999999999993" hidden="1" customHeight="1" x14ac:dyDescent="0.2">
      <c r="B64833" s="6"/>
      <c r="C64833" s="6"/>
      <c r="D64833" s="6"/>
      <c r="E64833" s="6"/>
      <c r="F64833" s="6"/>
      <c r="G64833" s="6"/>
      <c r="H64833" s="6"/>
      <c r="I64833" s="6"/>
      <c r="J64833" s="6"/>
      <c r="K64833" s="6"/>
      <c r="L64833" s="6"/>
      <c r="M64833" s="6"/>
      <c r="N64833" s="6"/>
      <c r="O64833" s="6"/>
      <c r="P64833" s="6"/>
      <c r="Q64833" s="6"/>
      <c r="R64833" s="6"/>
      <c r="S64833" s="6"/>
      <c r="T64833" s="6"/>
      <c r="U64833" s="6"/>
      <c r="V64833" s="6"/>
      <c r="W64833" s="6"/>
      <c r="X64833" s="6"/>
      <c r="Y64833" s="6"/>
      <c r="Z64833" s="6"/>
      <c r="AA64833" s="6"/>
      <c r="AB64833" s="6"/>
      <c r="AC64833" s="6"/>
      <c r="AD64833" s="6"/>
      <c r="AE64833" s="6"/>
      <c r="AF64833" s="6"/>
      <c r="AG64833" s="6"/>
      <c r="AH64833" s="6"/>
      <c r="AI64833" s="6"/>
      <c r="AJ64833" s="6"/>
      <c r="AK64833" s="6"/>
      <c r="AL64833" s="6"/>
      <c r="AM64833" s="6"/>
    </row>
    <row r="64834" spans="2:39" ht="9.9499999999999993" hidden="1" customHeight="1" x14ac:dyDescent="0.2">
      <c r="B64834" s="6"/>
      <c r="C64834" s="6"/>
      <c r="D64834" s="6"/>
      <c r="E64834" s="6"/>
      <c r="F64834" s="6"/>
      <c r="G64834" s="6"/>
      <c r="H64834" s="6"/>
      <c r="I64834" s="6"/>
      <c r="J64834" s="6"/>
      <c r="K64834" s="6"/>
      <c r="L64834" s="6"/>
      <c r="M64834" s="6"/>
      <c r="N64834" s="6"/>
      <c r="O64834" s="6"/>
      <c r="P64834" s="6"/>
      <c r="Q64834" s="6"/>
      <c r="R64834" s="6"/>
      <c r="S64834" s="6"/>
      <c r="T64834" s="6"/>
      <c r="U64834" s="6"/>
      <c r="V64834" s="6"/>
      <c r="W64834" s="6"/>
      <c r="X64834" s="6"/>
      <c r="Y64834" s="6"/>
      <c r="Z64834" s="6"/>
      <c r="AA64834" s="6"/>
      <c r="AB64834" s="6"/>
      <c r="AC64834" s="6"/>
      <c r="AD64834" s="6"/>
      <c r="AE64834" s="6"/>
      <c r="AF64834" s="6"/>
      <c r="AG64834" s="6"/>
      <c r="AH64834" s="6"/>
      <c r="AI64834" s="6"/>
      <c r="AJ64834" s="6"/>
      <c r="AK64834" s="6"/>
      <c r="AL64834" s="6"/>
      <c r="AM64834" s="6"/>
    </row>
    <row r="64835" spans="2:39" ht="9.9499999999999993" hidden="1" customHeight="1" x14ac:dyDescent="0.2">
      <c r="B64835" s="6"/>
      <c r="C64835" s="6"/>
      <c r="D64835" s="6"/>
      <c r="E64835" s="6"/>
      <c r="F64835" s="6"/>
      <c r="G64835" s="6"/>
      <c r="H64835" s="6"/>
      <c r="I64835" s="6"/>
      <c r="J64835" s="6"/>
      <c r="K64835" s="6"/>
      <c r="L64835" s="6"/>
      <c r="M64835" s="6"/>
      <c r="N64835" s="6"/>
      <c r="O64835" s="6"/>
      <c r="P64835" s="6"/>
      <c r="Q64835" s="6"/>
      <c r="R64835" s="6"/>
      <c r="S64835" s="6"/>
      <c r="T64835" s="6"/>
      <c r="U64835" s="6"/>
      <c r="V64835" s="6"/>
      <c r="W64835" s="6"/>
      <c r="X64835" s="6"/>
      <c r="Y64835" s="6"/>
      <c r="Z64835" s="6"/>
      <c r="AA64835" s="6"/>
      <c r="AB64835" s="6"/>
      <c r="AC64835" s="6"/>
      <c r="AD64835" s="6"/>
      <c r="AE64835" s="6"/>
      <c r="AF64835" s="6"/>
      <c r="AG64835" s="6"/>
      <c r="AH64835" s="6"/>
      <c r="AI64835" s="6"/>
      <c r="AJ64835" s="6"/>
      <c r="AK64835" s="6"/>
      <c r="AL64835" s="6"/>
      <c r="AM64835" s="6"/>
    </row>
    <row r="64836" spans="2:39" ht="9.9499999999999993" hidden="1" customHeight="1" x14ac:dyDescent="0.2">
      <c r="B64836" s="6"/>
      <c r="C64836" s="6"/>
      <c r="D64836" s="6"/>
      <c r="E64836" s="6"/>
      <c r="F64836" s="6"/>
      <c r="G64836" s="6"/>
      <c r="H64836" s="6"/>
      <c r="I64836" s="6"/>
      <c r="J64836" s="6"/>
      <c r="K64836" s="6"/>
      <c r="L64836" s="6"/>
      <c r="M64836" s="6"/>
      <c r="N64836" s="6"/>
      <c r="O64836" s="6"/>
      <c r="P64836" s="6"/>
      <c r="Q64836" s="6"/>
      <c r="R64836" s="6"/>
      <c r="S64836" s="6"/>
      <c r="T64836" s="6"/>
      <c r="U64836" s="6"/>
      <c r="V64836" s="6"/>
      <c r="W64836" s="6"/>
      <c r="X64836" s="6"/>
      <c r="Y64836" s="6"/>
      <c r="Z64836" s="6"/>
      <c r="AA64836" s="6"/>
      <c r="AB64836" s="6"/>
      <c r="AC64836" s="6"/>
      <c r="AD64836" s="6"/>
      <c r="AE64836" s="6"/>
      <c r="AF64836" s="6"/>
      <c r="AG64836" s="6"/>
      <c r="AH64836" s="6"/>
      <c r="AI64836" s="6"/>
      <c r="AJ64836" s="6"/>
      <c r="AK64836" s="6"/>
      <c r="AL64836" s="6"/>
      <c r="AM64836" s="6"/>
    </row>
    <row r="64837" spans="2:39" ht="9.9499999999999993" hidden="1" customHeight="1" x14ac:dyDescent="0.2">
      <c r="B64837" s="6"/>
      <c r="C64837" s="6"/>
      <c r="D64837" s="6"/>
      <c r="E64837" s="6"/>
      <c r="F64837" s="6"/>
      <c r="G64837" s="6"/>
      <c r="H64837" s="6"/>
      <c r="I64837" s="6"/>
      <c r="J64837" s="6"/>
      <c r="K64837" s="6"/>
      <c r="L64837" s="6"/>
      <c r="M64837" s="6"/>
      <c r="N64837" s="6"/>
      <c r="O64837" s="6"/>
      <c r="P64837" s="6"/>
      <c r="Q64837" s="6"/>
      <c r="R64837" s="6"/>
      <c r="S64837" s="6"/>
      <c r="T64837" s="6"/>
      <c r="U64837" s="6"/>
      <c r="V64837" s="6"/>
      <c r="W64837" s="6"/>
      <c r="X64837" s="6"/>
      <c r="Y64837" s="6"/>
      <c r="Z64837" s="6"/>
      <c r="AA64837" s="6"/>
      <c r="AB64837" s="6"/>
      <c r="AC64837" s="6"/>
      <c r="AD64837" s="6"/>
      <c r="AE64837" s="6"/>
      <c r="AF64837" s="6"/>
      <c r="AG64837" s="6"/>
      <c r="AH64837" s="6"/>
      <c r="AI64837" s="6"/>
      <c r="AJ64837" s="6"/>
      <c r="AK64837" s="6"/>
      <c r="AL64837" s="6"/>
      <c r="AM64837" s="6"/>
    </row>
    <row r="64838" spans="2:39" ht="9.9499999999999993" hidden="1" customHeight="1" x14ac:dyDescent="0.2">
      <c r="B64838" s="6"/>
      <c r="C64838" s="6"/>
      <c r="D64838" s="6"/>
      <c r="E64838" s="6"/>
      <c r="F64838" s="6"/>
      <c r="G64838" s="6"/>
      <c r="H64838" s="6"/>
      <c r="I64838" s="6"/>
      <c r="J64838" s="6"/>
      <c r="K64838" s="6"/>
      <c r="L64838" s="6"/>
      <c r="M64838" s="6"/>
      <c r="N64838" s="6"/>
      <c r="O64838" s="6"/>
      <c r="P64838" s="6"/>
      <c r="Q64838" s="6"/>
      <c r="R64838" s="6"/>
      <c r="S64838" s="6"/>
      <c r="T64838" s="6"/>
      <c r="U64838" s="6"/>
      <c r="V64838" s="6"/>
      <c r="W64838" s="6"/>
      <c r="X64838" s="6"/>
      <c r="Y64838" s="6"/>
      <c r="Z64838" s="6"/>
      <c r="AA64838" s="6"/>
      <c r="AB64838" s="6"/>
      <c r="AC64838" s="6"/>
      <c r="AD64838" s="6"/>
      <c r="AE64838" s="6"/>
      <c r="AF64838" s="6"/>
      <c r="AG64838" s="6"/>
      <c r="AH64838" s="6"/>
      <c r="AI64838" s="6"/>
      <c r="AJ64838" s="6"/>
      <c r="AK64838" s="6"/>
      <c r="AL64838" s="6"/>
      <c r="AM64838" s="6"/>
    </row>
    <row r="64839" spans="2:39" ht="9.9499999999999993" hidden="1" customHeight="1" x14ac:dyDescent="0.2">
      <c r="B64839" s="6"/>
      <c r="C64839" s="6"/>
      <c r="D64839" s="6"/>
      <c r="E64839" s="6"/>
      <c r="F64839" s="6"/>
      <c r="G64839" s="6"/>
      <c r="H64839" s="6"/>
      <c r="I64839" s="6"/>
      <c r="J64839" s="6"/>
      <c r="K64839" s="6"/>
      <c r="L64839" s="6"/>
      <c r="M64839" s="6"/>
      <c r="N64839" s="6"/>
      <c r="O64839" s="6"/>
      <c r="P64839" s="6"/>
      <c r="Q64839" s="6"/>
      <c r="R64839" s="6"/>
      <c r="S64839" s="6"/>
      <c r="T64839" s="6"/>
      <c r="U64839" s="6"/>
      <c r="V64839" s="6"/>
      <c r="W64839" s="6"/>
      <c r="X64839" s="6"/>
      <c r="Y64839" s="6"/>
      <c r="Z64839" s="6"/>
      <c r="AA64839" s="6"/>
      <c r="AB64839" s="6"/>
      <c r="AC64839" s="6"/>
      <c r="AD64839" s="6"/>
      <c r="AE64839" s="6"/>
      <c r="AF64839" s="6"/>
      <c r="AG64839" s="6"/>
      <c r="AH64839" s="6"/>
      <c r="AI64839" s="6"/>
      <c r="AJ64839" s="6"/>
      <c r="AK64839" s="6"/>
      <c r="AL64839" s="6"/>
      <c r="AM64839" s="6"/>
    </row>
    <row r="64840" spans="2:39" ht="9.9499999999999993" hidden="1" customHeight="1" x14ac:dyDescent="0.2">
      <c r="B64840" s="6"/>
      <c r="C64840" s="6"/>
      <c r="D64840" s="6"/>
      <c r="E64840" s="6"/>
      <c r="F64840" s="6"/>
      <c r="G64840" s="6"/>
      <c r="H64840" s="6"/>
      <c r="I64840" s="6"/>
      <c r="J64840" s="6"/>
      <c r="K64840" s="6"/>
      <c r="L64840" s="6"/>
      <c r="M64840" s="6"/>
      <c r="N64840" s="6"/>
      <c r="O64840" s="6"/>
      <c r="P64840" s="6"/>
      <c r="Q64840" s="6"/>
      <c r="R64840" s="6"/>
      <c r="S64840" s="6"/>
      <c r="T64840" s="6"/>
      <c r="U64840" s="6"/>
      <c r="V64840" s="6"/>
      <c r="W64840" s="6"/>
      <c r="X64840" s="6"/>
      <c r="Y64840" s="6"/>
      <c r="Z64840" s="6"/>
      <c r="AA64840" s="6"/>
      <c r="AB64840" s="6"/>
      <c r="AC64840" s="6"/>
      <c r="AD64840" s="6"/>
      <c r="AE64840" s="6"/>
      <c r="AF64840" s="6"/>
      <c r="AG64840" s="6"/>
      <c r="AH64840" s="6"/>
      <c r="AI64840" s="6"/>
      <c r="AJ64840" s="6"/>
      <c r="AK64840" s="6"/>
      <c r="AL64840" s="6"/>
      <c r="AM64840" s="6"/>
    </row>
    <row r="64841" spans="2:39" ht="9.9499999999999993" hidden="1" customHeight="1" x14ac:dyDescent="0.2">
      <c r="B64841" s="6"/>
      <c r="C64841" s="6"/>
      <c r="D64841" s="6"/>
      <c r="E64841" s="6"/>
      <c r="F64841" s="6"/>
      <c r="G64841" s="6"/>
      <c r="H64841" s="6"/>
      <c r="I64841" s="6"/>
      <c r="J64841" s="6"/>
      <c r="K64841" s="6"/>
      <c r="L64841" s="6"/>
      <c r="M64841" s="6"/>
      <c r="N64841" s="6"/>
      <c r="O64841" s="6"/>
      <c r="P64841" s="6"/>
      <c r="Q64841" s="6"/>
      <c r="R64841" s="6"/>
      <c r="S64841" s="6"/>
      <c r="T64841" s="6"/>
      <c r="U64841" s="6"/>
      <c r="V64841" s="6"/>
      <c r="W64841" s="6"/>
      <c r="X64841" s="6"/>
      <c r="Y64841" s="6"/>
      <c r="Z64841" s="6"/>
      <c r="AA64841" s="6"/>
      <c r="AB64841" s="6"/>
      <c r="AC64841" s="6"/>
      <c r="AD64841" s="6"/>
      <c r="AE64841" s="6"/>
      <c r="AF64841" s="6"/>
      <c r="AG64841" s="6"/>
      <c r="AH64841" s="6"/>
      <c r="AI64841" s="6"/>
      <c r="AJ64841" s="6"/>
      <c r="AK64841" s="6"/>
      <c r="AL64841" s="6"/>
      <c r="AM64841" s="6"/>
    </row>
    <row r="64842" spans="2:39" ht="9.9499999999999993" hidden="1" customHeight="1" x14ac:dyDescent="0.2">
      <c r="B64842" s="6"/>
      <c r="C64842" s="6"/>
      <c r="D64842" s="6"/>
      <c r="E64842" s="6"/>
      <c r="F64842" s="6"/>
      <c r="G64842" s="6"/>
      <c r="H64842" s="6"/>
      <c r="I64842" s="6"/>
      <c r="J64842" s="6"/>
      <c r="K64842" s="6"/>
      <c r="L64842" s="6"/>
      <c r="M64842" s="6"/>
      <c r="N64842" s="6"/>
      <c r="O64842" s="6"/>
      <c r="P64842" s="6"/>
      <c r="Q64842" s="6"/>
      <c r="R64842" s="6"/>
      <c r="S64842" s="6"/>
      <c r="T64842" s="6"/>
      <c r="U64842" s="6"/>
      <c r="V64842" s="6"/>
      <c r="W64842" s="6"/>
      <c r="X64842" s="6"/>
      <c r="Y64842" s="6"/>
      <c r="Z64842" s="6"/>
      <c r="AA64842" s="6"/>
      <c r="AB64842" s="6"/>
      <c r="AC64842" s="6"/>
      <c r="AD64842" s="6"/>
      <c r="AE64842" s="6"/>
      <c r="AF64842" s="6"/>
      <c r="AG64842" s="6"/>
      <c r="AH64842" s="6"/>
      <c r="AI64842" s="6"/>
      <c r="AJ64842" s="6"/>
      <c r="AK64842" s="6"/>
      <c r="AL64842" s="6"/>
      <c r="AM64842" s="6"/>
    </row>
    <row r="64843" spans="2:39" ht="9.9499999999999993" hidden="1" customHeight="1" x14ac:dyDescent="0.2">
      <c r="B64843" s="6"/>
      <c r="C64843" s="6"/>
      <c r="D64843" s="6"/>
      <c r="E64843" s="6"/>
      <c r="F64843" s="6"/>
      <c r="G64843" s="6"/>
      <c r="H64843" s="6"/>
      <c r="I64843" s="6"/>
      <c r="J64843" s="6"/>
      <c r="K64843" s="6"/>
      <c r="L64843" s="6"/>
      <c r="M64843" s="6"/>
      <c r="N64843" s="6"/>
      <c r="O64843" s="6"/>
      <c r="P64843" s="6"/>
      <c r="Q64843" s="6"/>
      <c r="R64843" s="6"/>
      <c r="S64843" s="6"/>
      <c r="T64843" s="6"/>
      <c r="U64843" s="6"/>
      <c r="V64843" s="6"/>
      <c r="W64843" s="6"/>
      <c r="X64843" s="6"/>
      <c r="Y64843" s="6"/>
      <c r="Z64843" s="6"/>
      <c r="AA64843" s="6"/>
      <c r="AB64843" s="6"/>
      <c r="AC64843" s="6"/>
      <c r="AD64843" s="6"/>
      <c r="AE64843" s="6"/>
      <c r="AF64843" s="6"/>
      <c r="AG64843" s="6"/>
      <c r="AH64843" s="6"/>
      <c r="AI64843" s="6"/>
      <c r="AJ64843" s="6"/>
      <c r="AK64843" s="6"/>
      <c r="AL64843" s="6"/>
      <c r="AM64843" s="6"/>
    </row>
    <row r="64844" spans="2:39" ht="9.9499999999999993" hidden="1" customHeight="1" x14ac:dyDescent="0.2">
      <c r="B64844" s="6"/>
      <c r="C64844" s="6"/>
      <c r="D64844" s="6"/>
      <c r="E64844" s="6"/>
      <c r="F64844" s="6"/>
      <c r="G64844" s="6"/>
      <c r="H64844" s="6"/>
      <c r="I64844" s="6"/>
      <c r="J64844" s="6"/>
      <c r="K64844" s="6"/>
      <c r="L64844" s="6"/>
      <c r="M64844" s="6"/>
      <c r="N64844" s="6"/>
      <c r="O64844" s="6"/>
      <c r="P64844" s="6"/>
      <c r="Q64844" s="6"/>
      <c r="R64844" s="6"/>
      <c r="S64844" s="6"/>
      <c r="T64844" s="6"/>
      <c r="U64844" s="6"/>
      <c r="V64844" s="6"/>
      <c r="W64844" s="6"/>
      <c r="X64844" s="6"/>
      <c r="Y64844" s="6"/>
      <c r="Z64844" s="6"/>
      <c r="AA64844" s="6"/>
      <c r="AB64844" s="6"/>
      <c r="AC64844" s="6"/>
      <c r="AD64844" s="6"/>
      <c r="AE64844" s="6"/>
      <c r="AF64844" s="6"/>
      <c r="AG64844" s="6"/>
      <c r="AH64844" s="6"/>
      <c r="AI64844" s="6"/>
      <c r="AJ64844" s="6"/>
      <c r="AK64844" s="6"/>
      <c r="AL64844" s="6"/>
      <c r="AM64844" s="6"/>
    </row>
    <row r="64845" spans="2:39" ht="9.9499999999999993" hidden="1" customHeight="1" x14ac:dyDescent="0.2">
      <c r="B64845" s="6"/>
      <c r="C64845" s="6"/>
      <c r="D64845" s="6"/>
      <c r="E64845" s="6"/>
      <c r="F64845" s="6"/>
      <c r="G64845" s="6"/>
      <c r="H64845" s="6"/>
      <c r="I64845" s="6"/>
      <c r="J64845" s="6"/>
      <c r="K64845" s="6"/>
      <c r="L64845" s="6"/>
      <c r="M64845" s="6"/>
      <c r="N64845" s="6"/>
      <c r="O64845" s="6"/>
      <c r="P64845" s="6"/>
      <c r="Q64845" s="6"/>
      <c r="R64845" s="6"/>
      <c r="S64845" s="6"/>
      <c r="T64845" s="6"/>
      <c r="U64845" s="6"/>
      <c r="V64845" s="6"/>
      <c r="W64845" s="6"/>
      <c r="X64845" s="6"/>
      <c r="Y64845" s="6"/>
      <c r="Z64845" s="6"/>
      <c r="AA64845" s="6"/>
      <c r="AB64845" s="6"/>
      <c r="AC64845" s="6"/>
      <c r="AD64845" s="6"/>
      <c r="AE64845" s="6"/>
      <c r="AF64845" s="6"/>
      <c r="AG64845" s="6"/>
      <c r="AH64845" s="6"/>
      <c r="AI64845" s="6"/>
      <c r="AJ64845" s="6"/>
      <c r="AK64845" s="6"/>
      <c r="AL64845" s="6"/>
      <c r="AM64845" s="6"/>
    </row>
    <row r="64846" spans="2:39" ht="9.9499999999999993" hidden="1" customHeight="1" x14ac:dyDescent="0.2">
      <c r="B64846" s="6"/>
      <c r="C64846" s="6"/>
      <c r="D64846" s="6"/>
      <c r="E64846" s="6"/>
      <c r="F64846" s="6"/>
      <c r="G64846" s="6"/>
      <c r="H64846" s="6"/>
      <c r="I64846" s="6"/>
      <c r="J64846" s="6"/>
      <c r="K64846" s="6"/>
      <c r="L64846" s="6"/>
      <c r="M64846" s="6"/>
      <c r="N64846" s="6"/>
      <c r="O64846" s="6"/>
      <c r="P64846" s="6"/>
      <c r="Q64846" s="6"/>
      <c r="R64846" s="6"/>
      <c r="S64846" s="6"/>
      <c r="T64846" s="6"/>
      <c r="U64846" s="6"/>
      <c r="V64846" s="6"/>
      <c r="W64846" s="6"/>
      <c r="X64846" s="6"/>
      <c r="Y64846" s="6"/>
      <c r="Z64846" s="6"/>
      <c r="AA64846" s="6"/>
      <c r="AB64846" s="6"/>
      <c r="AC64846" s="6"/>
      <c r="AD64846" s="6"/>
      <c r="AE64846" s="6"/>
      <c r="AF64846" s="6"/>
      <c r="AG64846" s="6"/>
      <c r="AH64846" s="6"/>
      <c r="AI64846" s="6"/>
      <c r="AJ64846" s="6"/>
      <c r="AK64846" s="6"/>
      <c r="AL64846" s="6"/>
      <c r="AM64846" s="6"/>
    </row>
    <row r="64847" spans="2:39" ht="9.9499999999999993" hidden="1" customHeight="1" x14ac:dyDescent="0.2">
      <c r="B64847" s="6"/>
      <c r="C64847" s="6"/>
      <c r="D64847" s="6"/>
      <c r="E64847" s="6"/>
      <c r="F64847" s="6"/>
      <c r="G64847" s="6"/>
      <c r="H64847" s="6"/>
      <c r="I64847" s="6"/>
      <c r="J64847" s="6"/>
      <c r="K64847" s="6"/>
      <c r="L64847" s="6"/>
      <c r="M64847" s="6"/>
      <c r="N64847" s="6"/>
      <c r="O64847" s="6"/>
      <c r="P64847" s="6"/>
      <c r="Q64847" s="6"/>
      <c r="R64847" s="6"/>
      <c r="S64847" s="6"/>
      <c r="T64847" s="6"/>
      <c r="U64847" s="6"/>
      <c r="V64847" s="6"/>
      <c r="W64847" s="6"/>
      <c r="X64847" s="6"/>
      <c r="Y64847" s="6"/>
      <c r="Z64847" s="6"/>
      <c r="AA64847" s="6"/>
      <c r="AB64847" s="6"/>
      <c r="AC64847" s="6"/>
      <c r="AD64847" s="6"/>
      <c r="AE64847" s="6"/>
      <c r="AF64847" s="6"/>
      <c r="AG64847" s="6"/>
      <c r="AH64847" s="6"/>
      <c r="AI64847" s="6"/>
      <c r="AJ64847" s="6"/>
      <c r="AK64847" s="6"/>
      <c r="AL64847" s="6"/>
      <c r="AM64847" s="6"/>
    </row>
    <row r="64848" spans="2:39" ht="9.9499999999999993" hidden="1" customHeight="1" x14ac:dyDescent="0.2">
      <c r="B64848" s="6"/>
      <c r="C64848" s="6"/>
      <c r="D64848" s="6"/>
      <c r="E64848" s="6"/>
      <c r="F64848" s="6"/>
      <c r="G64848" s="6"/>
      <c r="H64848" s="6"/>
      <c r="I64848" s="6"/>
      <c r="J64848" s="6"/>
      <c r="K64848" s="6"/>
      <c r="L64848" s="6"/>
      <c r="M64848" s="6"/>
      <c r="N64848" s="6"/>
      <c r="O64848" s="6"/>
      <c r="P64848" s="6"/>
      <c r="Q64848" s="6"/>
      <c r="R64848" s="6"/>
      <c r="S64848" s="6"/>
      <c r="T64848" s="6"/>
      <c r="U64848" s="6"/>
      <c r="V64848" s="6"/>
      <c r="W64848" s="6"/>
      <c r="X64848" s="6"/>
      <c r="Y64848" s="6"/>
      <c r="Z64848" s="6"/>
      <c r="AA64848" s="6"/>
      <c r="AB64848" s="6"/>
      <c r="AC64848" s="6"/>
      <c r="AD64848" s="6"/>
      <c r="AE64848" s="6"/>
      <c r="AF64848" s="6"/>
      <c r="AG64848" s="6"/>
      <c r="AH64848" s="6"/>
      <c r="AI64848" s="6"/>
      <c r="AJ64848" s="6"/>
      <c r="AK64848" s="6"/>
      <c r="AL64848" s="6"/>
      <c r="AM64848" s="6"/>
    </row>
    <row r="64849" spans="2:39" ht="9.9499999999999993" hidden="1" customHeight="1" x14ac:dyDescent="0.2">
      <c r="B64849" s="6"/>
      <c r="C64849" s="6"/>
      <c r="D64849" s="6"/>
      <c r="E64849" s="6"/>
      <c r="F64849" s="6"/>
      <c r="G64849" s="6"/>
      <c r="H64849" s="6"/>
      <c r="I64849" s="6"/>
      <c r="J64849" s="6"/>
      <c r="K64849" s="6"/>
      <c r="L64849" s="6"/>
      <c r="M64849" s="6"/>
      <c r="N64849" s="6"/>
      <c r="O64849" s="6"/>
      <c r="P64849" s="6"/>
      <c r="Q64849" s="6"/>
      <c r="R64849" s="6"/>
      <c r="S64849" s="6"/>
      <c r="T64849" s="6"/>
      <c r="U64849" s="6"/>
      <c r="V64849" s="6"/>
      <c r="W64849" s="6"/>
      <c r="X64849" s="6"/>
      <c r="Y64849" s="6"/>
      <c r="Z64849" s="6"/>
      <c r="AA64849" s="6"/>
      <c r="AB64849" s="6"/>
      <c r="AC64849" s="6"/>
      <c r="AD64849" s="6"/>
      <c r="AE64849" s="6"/>
      <c r="AF64849" s="6"/>
      <c r="AG64849" s="6"/>
      <c r="AH64849" s="6"/>
      <c r="AI64849" s="6"/>
      <c r="AJ64849" s="6"/>
      <c r="AK64849" s="6"/>
      <c r="AL64849" s="6"/>
      <c r="AM64849" s="6"/>
    </row>
    <row r="64850" spans="2:39" ht="9.9499999999999993" hidden="1" customHeight="1" x14ac:dyDescent="0.2">
      <c r="B64850" s="6"/>
      <c r="C64850" s="6"/>
      <c r="D64850" s="6"/>
      <c r="E64850" s="6"/>
      <c r="F64850" s="6"/>
      <c r="G64850" s="6"/>
      <c r="H64850" s="6"/>
      <c r="I64850" s="6"/>
      <c r="J64850" s="6"/>
      <c r="K64850" s="6"/>
      <c r="L64850" s="6"/>
      <c r="M64850" s="6"/>
      <c r="N64850" s="6"/>
      <c r="O64850" s="6"/>
      <c r="P64850" s="6"/>
      <c r="Q64850" s="6"/>
      <c r="R64850" s="6"/>
      <c r="S64850" s="6"/>
      <c r="T64850" s="6"/>
      <c r="U64850" s="6"/>
      <c r="V64850" s="6"/>
      <c r="W64850" s="6"/>
      <c r="X64850" s="6"/>
      <c r="Y64850" s="6"/>
      <c r="Z64850" s="6"/>
      <c r="AA64850" s="6"/>
      <c r="AB64850" s="6"/>
      <c r="AC64850" s="6"/>
      <c r="AD64850" s="6"/>
      <c r="AE64850" s="6"/>
      <c r="AF64850" s="6"/>
      <c r="AG64850" s="6"/>
      <c r="AH64850" s="6"/>
      <c r="AI64850" s="6"/>
      <c r="AJ64850" s="6"/>
      <c r="AK64850" s="6"/>
      <c r="AL64850" s="6"/>
      <c r="AM64850" s="6"/>
    </row>
    <row r="64851" spans="2:39" ht="9.9499999999999993" hidden="1" customHeight="1" x14ac:dyDescent="0.2">
      <c r="B64851" s="6"/>
      <c r="C64851" s="6"/>
      <c r="D64851" s="6"/>
      <c r="E64851" s="6"/>
      <c r="F64851" s="6"/>
      <c r="G64851" s="6"/>
      <c r="H64851" s="6"/>
      <c r="I64851" s="6"/>
      <c r="J64851" s="6"/>
      <c r="K64851" s="6"/>
      <c r="L64851" s="6"/>
      <c r="M64851" s="6"/>
      <c r="N64851" s="6"/>
      <c r="O64851" s="6"/>
      <c r="P64851" s="6"/>
      <c r="Q64851" s="6"/>
      <c r="R64851" s="6"/>
      <c r="S64851" s="6"/>
      <c r="T64851" s="6"/>
      <c r="U64851" s="6"/>
      <c r="V64851" s="6"/>
      <c r="W64851" s="6"/>
      <c r="X64851" s="6"/>
      <c r="Y64851" s="6"/>
      <c r="Z64851" s="6"/>
      <c r="AA64851" s="6"/>
      <c r="AB64851" s="6"/>
      <c r="AC64851" s="6"/>
      <c r="AD64851" s="6"/>
      <c r="AE64851" s="6"/>
      <c r="AF64851" s="6"/>
      <c r="AG64851" s="6"/>
      <c r="AH64851" s="6"/>
      <c r="AI64851" s="6"/>
      <c r="AJ64851" s="6"/>
      <c r="AK64851" s="6"/>
      <c r="AL64851" s="6"/>
      <c r="AM64851" s="6"/>
    </row>
    <row r="64852" spans="2:39" ht="9.9499999999999993" hidden="1" customHeight="1" x14ac:dyDescent="0.2">
      <c r="B64852" s="6"/>
      <c r="C64852" s="6"/>
      <c r="D64852" s="6"/>
      <c r="E64852" s="6"/>
      <c r="F64852" s="6"/>
      <c r="G64852" s="6"/>
      <c r="H64852" s="6"/>
      <c r="I64852" s="6"/>
      <c r="J64852" s="6"/>
      <c r="K64852" s="6"/>
      <c r="L64852" s="6"/>
      <c r="M64852" s="6"/>
      <c r="N64852" s="6"/>
      <c r="O64852" s="6"/>
      <c r="P64852" s="6"/>
      <c r="Q64852" s="6"/>
      <c r="R64852" s="6"/>
      <c r="S64852" s="6"/>
      <c r="T64852" s="6"/>
      <c r="U64852" s="6"/>
      <c r="V64852" s="6"/>
      <c r="W64852" s="6"/>
      <c r="X64852" s="6"/>
      <c r="Y64852" s="6"/>
      <c r="Z64852" s="6"/>
      <c r="AA64852" s="6"/>
      <c r="AB64852" s="6"/>
      <c r="AC64852" s="6"/>
      <c r="AD64852" s="6"/>
      <c r="AE64852" s="6"/>
      <c r="AF64852" s="6"/>
      <c r="AG64852" s="6"/>
      <c r="AH64852" s="6"/>
      <c r="AI64852" s="6"/>
      <c r="AJ64852" s="6"/>
      <c r="AK64852" s="6"/>
      <c r="AL64852" s="6"/>
      <c r="AM64852" s="6"/>
    </row>
    <row r="64853" spans="2:39" ht="9.9499999999999993" hidden="1" customHeight="1" x14ac:dyDescent="0.2">
      <c r="B64853" s="6"/>
      <c r="C64853" s="6"/>
      <c r="D64853" s="6"/>
      <c r="E64853" s="6"/>
      <c r="F64853" s="6"/>
      <c r="G64853" s="6"/>
      <c r="H64853" s="6"/>
      <c r="I64853" s="6"/>
      <c r="J64853" s="6"/>
      <c r="K64853" s="6"/>
      <c r="L64853" s="6"/>
      <c r="M64853" s="6"/>
      <c r="N64853" s="6"/>
      <c r="O64853" s="6"/>
      <c r="P64853" s="6"/>
      <c r="Q64853" s="6"/>
      <c r="R64853" s="6"/>
      <c r="S64853" s="6"/>
      <c r="T64853" s="6"/>
      <c r="U64853" s="6"/>
      <c r="V64853" s="6"/>
      <c r="W64853" s="6"/>
      <c r="X64853" s="6"/>
      <c r="Y64853" s="6"/>
      <c r="Z64853" s="6"/>
      <c r="AA64853" s="6"/>
      <c r="AB64853" s="6"/>
      <c r="AC64853" s="6"/>
      <c r="AD64853" s="6"/>
      <c r="AE64853" s="6"/>
      <c r="AF64853" s="6"/>
      <c r="AG64853" s="6"/>
      <c r="AH64853" s="6"/>
      <c r="AI64853" s="6"/>
      <c r="AJ64853" s="6"/>
      <c r="AK64853" s="6"/>
      <c r="AL64853" s="6"/>
      <c r="AM64853" s="6"/>
    </row>
    <row r="64854" spans="2:39" ht="9.9499999999999993" hidden="1" customHeight="1" x14ac:dyDescent="0.2">
      <c r="B64854" s="6"/>
      <c r="C64854" s="6"/>
      <c r="D64854" s="6"/>
      <c r="E64854" s="6"/>
      <c r="F64854" s="6"/>
      <c r="G64854" s="6"/>
      <c r="H64854" s="6"/>
      <c r="I64854" s="6"/>
      <c r="J64854" s="6"/>
      <c r="K64854" s="6"/>
      <c r="L64854" s="6"/>
      <c r="M64854" s="6"/>
      <c r="N64854" s="6"/>
      <c r="O64854" s="6"/>
      <c r="P64854" s="6"/>
      <c r="Q64854" s="6"/>
      <c r="R64854" s="6"/>
      <c r="S64854" s="6"/>
      <c r="T64854" s="6"/>
      <c r="U64854" s="6"/>
      <c r="V64854" s="6"/>
      <c r="W64854" s="6"/>
      <c r="X64854" s="6"/>
      <c r="Y64854" s="6"/>
      <c r="Z64854" s="6"/>
      <c r="AA64854" s="6"/>
      <c r="AB64854" s="6"/>
      <c r="AC64854" s="6"/>
      <c r="AD64854" s="6"/>
      <c r="AE64854" s="6"/>
      <c r="AF64854" s="6"/>
      <c r="AG64854" s="6"/>
      <c r="AH64854" s="6"/>
      <c r="AI64854" s="6"/>
      <c r="AJ64854" s="6"/>
      <c r="AK64854" s="6"/>
      <c r="AL64854" s="6"/>
      <c r="AM64854" s="6"/>
    </row>
    <row r="64855" spans="2:39" ht="9.9499999999999993" hidden="1" customHeight="1" x14ac:dyDescent="0.2">
      <c r="B64855" s="6"/>
      <c r="C64855" s="6"/>
      <c r="D64855" s="6"/>
      <c r="E64855" s="6"/>
      <c r="F64855" s="6"/>
      <c r="G64855" s="6"/>
      <c r="H64855" s="6"/>
      <c r="I64855" s="6"/>
      <c r="J64855" s="6"/>
      <c r="K64855" s="6"/>
      <c r="L64855" s="6"/>
      <c r="M64855" s="6"/>
      <c r="N64855" s="6"/>
      <c r="O64855" s="6"/>
      <c r="P64855" s="6"/>
      <c r="Q64855" s="6"/>
      <c r="R64855" s="6"/>
      <c r="S64855" s="6"/>
      <c r="T64855" s="6"/>
      <c r="U64855" s="6"/>
      <c r="V64855" s="6"/>
      <c r="W64855" s="6"/>
      <c r="X64855" s="6"/>
      <c r="Y64855" s="6"/>
      <c r="Z64855" s="6"/>
      <c r="AA64855" s="6"/>
      <c r="AB64855" s="6"/>
      <c r="AC64855" s="6"/>
      <c r="AD64855" s="6"/>
      <c r="AE64855" s="6"/>
      <c r="AF64855" s="6"/>
      <c r="AG64855" s="6"/>
      <c r="AH64855" s="6"/>
      <c r="AI64855" s="6"/>
      <c r="AJ64855" s="6"/>
      <c r="AK64855" s="6"/>
      <c r="AL64855" s="6"/>
      <c r="AM64855" s="6"/>
    </row>
    <row r="64856" spans="2:39" ht="9.9499999999999993" hidden="1" customHeight="1" x14ac:dyDescent="0.2">
      <c r="B64856" s="6"/>
      <c r="C64856" s="6"/>
      <c r="D64856" s="6"/>
      <c r="E64856" s="6"/>
      <c r="F64856" s="6"/>
      <c r="G64856" s="6"/>
      <c r="H64856" s="6"/>
      <c r="I64856" s="6"/>
      <c r="J64856" s="6"/>
      <c r="K64856" s="6"/>
      <c r="L64856" s="6"/>
      <c r="M64856" s="6"/>
      <c r="N64856" s="6"/>
      <c r="O64856" s="6"/>
      <c r="P64856" s="6"/>
      <c r="Q64856" s="6"/>
      <c r="R64856" s="6"/>
      <c r="S64856" s="6"/>
      <c r="T64856" s="6"/>
      <c r="U64856" s="6"/>
      <c r="V64856" s="6"/>
      <c r="W64856" s="6"/>
      <c r="X64856" s="6"/>
      <c r="Y64856" s="6"/>
      <c r="Z64856" s="6"/>
      <c r="AA64856" s="6"/>
      <c r="AB64856" s="6"/>
      <c r="AC64856" s="6"/>
      <c r="AD64856" s="6"/>
      <c r="AE64856" s="6"/>
      <c r="AF64856" s="6"/>
      <c r="AG64856" s="6"/>
      <c r="AH64856" s="6"/>
      <c r="AI64856" s="6"/>
      <c r="AJ64856" s="6"/>
      <c r="AK64856" s="6"/>
      <c r="AL64856" s="6"/>
      <c r="AM64856" s="6"/>
    </row>
    <row r="64857" spans="2:39" ht="9.9499999999999993" hidden="1" customHeight="1" x14ac:dyDescent="0.2">
      <c r="B64857" s="6"/>
      <c r="C64857" s="6"/>
      <c r="D64857" s="6"/>
      <c r="E64857" s="6"/>
      <c r="F64857" s="6"/>
      <c r="G64857" s="6"/>
      <c r="H64857" s="6"/>
      <c r="I64857" s="6"/>
      <c r="J64857" s="6"/>
      <c r="K64857" s="6"/>
      <c r="L64857" s="6"/>
      <c r="M64857" s="6"/>
      <c r="N64857" s="6"/>
      <c r="O64857" s="6"/>
      <c r="P64857" s="6"/>
      <c r="Q64857" s="6"/>
      <c r="R64857" s="6"/>
      <c r="S64857" s="6"/>
      <c r="T64857" s="6"/>
      <c r="U64857" s="6"/>
      <c r="V64857" s="6"/>
      <c r="W64857" s="6"/>
      <c r="X64857" s="6"/>
      <c r="Y64857" s="6"/>
      <c r="Z64857" s="6"/>
      <c r="AA64857" s="6"/>
      <c r="AB64857" s="6"/>
      <c r="AC64857" s="6"/>
      <c r="AD64857" s="6"/>
      <c r="AE64857" s="6"/>
      <c r="AF64857" s="6"/>
      <c r="AG64857" s="6"/>
      <c r="AH64857" s="6"/>
      <c r="AI64857" s="6"/>
      <c r="AJ64857" s="6"/>
      <c r="AK64857" s="6"/>
      <c r="AL64857" s="6"/>
      <c r="AM64857" s="6"/>
    </row>
    <row r="64858" spans="2:39" ht="9.9499999999999993" hidden="1" customHeight="1" x14ac:dyDescent="0.2">
      <c r="B64858" s="6"/>
      <c r="C64858" s="6"/>
      <c r="D64858" s="6"/>
      <c r="E64858" s="6"/>
      <c r="F64858" s="6"/>
      <c r="G64858" s="6"/>
      <c r="H64858" s="6"/>
      <c r="I64858" s="6"/>
      <c r="J64858" s="6"/>
      <c r="K64858" s="6"/>
      <c r="L64858" s="6"/>
      <c r="M64858" s="6"/>
      <c r="N64858" s="6"/>
      <c r="O64858" s="6"/>
      <c r="P64858" s="6"/>
      <c r="Q64858" s="6"/>
      <c r="R64858" s="6"/>
      <c r="S64858" s="6"/>
      <c r="T64858" s="6"/>
      <c r="U64858" s="6"/>
      <c r="V64858" s="6"/>
      <c r="W64858" s="6"/>
      <c r="X64858" s="6"/>
      <c r="Y64858" s="6"/>
      <c r="Z64858" s="6"/>
      <c r="AA64858" s="6"/>
      <c r="AB64858" s="6"/>
      <c r="AC64858" s="6"/>
      <c r="AD64858" s="6"/>
      <c r="AE64858" s="6"/>
      <c r="AF64858" s="6"/>
      <c r="AG64858" s="6"/>
      <c r="AH64858" s="6"/>
      <c r="AI64858" s="6"/>
      <c r="AJ64858" s="6"/>
      <c r="AK64858" s="6"/>
      <c r="AL64858" s="6"/>
      <c r="AM64858" s="6"/>
    </row>
    <row r="64859" spans="2:39" ht="9.9499999999999993" hidden="1" customHeight="1" x14ac:dyDescent="0.2">
      <c r="B64859" s="6"/>
      <c r="C64859" s="6"/>
      <c r="D64859" s="6"/>
      <c r="E64859" s="6"/>
      <c r="F64859" s="6"/>
      <c r="G64859" s="6"/>
      <c r="H64859" s="6"/>
      <c r="I64859" s="6"/>
      <c r="J64859" s="6"/>
      <c r="K64859" s="6"/>
      <c r="L64859" s="6"/>
      <c r="M64859" s="6"/>
      <c r="N64859" s="6"/>
      <c r="O64859" s="6"/>
      <c r="P64859" s="6"/>
      <c r="Q64859" s="6"/>
      <c r="R64859" s="6"/>
      <c r="S64859" s="6"/>
      <c r="T64859" s="6"/>
      <c r="U64859" s="6"/>
      <c r="V64859" s="6"/>
      <c r="W64859" s="6"/>
      <c r="X64859" s="6"/>
      <c r="Y64859" s="6"/>
      <c r="Z64859" s="6"/>
      <c r="AA64859" s="6"/>
      <c r="AB64859" s="6"/>
      <c r="AC64859" s="6"/>
      <c r="AD64859" s="6"/>
      <c r="AE64859" s="6"/>
      <c r="AF64859" s="6"/>
      <c r="AG64859" s="6"/>
      <c r="AH64859" s="6"/>
      <c r="AI64859" s="6"/>
      <c r="AJ64859" s="6"/>
      <c r="AK64859" s="6"/>
      <c r="AL64859" s="6"/>
      <c r="AM64859" s="6"/>
    </row>
    <row r="64860" spans="2:39" ht="9.9499999999999993" hidden="1" customHeight="1" x14ac:dyDescent="0.2">
      <c r="B64860" s="6"/>
      <c r="C64860" s="6"/>
      <c r="D64860" s="6"/>
      <c r="E64860" s="6"/>
      <c r="F64860" s="6"/>
      <c r="G64860" s="6"/>
      <c r="H64860" s="6"/>
      <c r="I64860" s="6"/>
      <c r="J64860" s="6"/>
      <c r="K64860" s="6"/>
      <c r="L64860" s="6"/>
      <c r="M64860" s="6"/>
      <c r="N64860" s="6"/>
      <c r="O64860" s="6"/>
      <c r="P64860" s="6"/>
      <c r="Q64860" s="6"/>
      <c r="R64860" s="6"/>
      <c r="S64860" s="6"/>
      <c r="T64860" s="6"/>
      <c r="U64860" s="6"/>
      <c r="V64860" s="6"/>
      <c r="W64860" s="6"/>
      <c r="X64860" s="6"/>
      <c r="Y64860" s="6"/>
      <c r="Z64860" s="6"/>
      <c r="AA64860" s="6"/>
      <c r="AB64860" s="6"/>
      <c r="AC64860" s="6"/>
      <c r="AD64860" s="6"/>
      <c r="AE64860" s="6"/>
      <c r="AF64860" s="6"/>
      <c r="AG64860" s="6"/>
      <c r="AH64860" s="6"/>
      <c r="AI64860" s="6"/>
      <c r="AJ64860" s="6"/>
      <c r="AK64860" s="6"/>
      <c r="AL64860" s="6"/>
      <c r="AM64860" s="6"/>
    </row>
    <row r="64861" spans="2:39" ht="9.9499999999999993" hidden="1" customHeight="1" x14ac:dyDescent="0.2">
      <c r="B64861" s="6"/>
      <c r="C64861" s="6"/>
      <c r="D64861" s="6"/>
      <c r="E64861" s="6"/>
      <c r="F64861" s="6"/>
      <c r="G64861" s="6"/>
      <c r="H64861" s="6"/>
      <c r="I64861" s="6"/>
      <c r="J64861" s="6"/>
      <c r="K64861" s="6"/>
      <c r="L64861" s="6"/>
      <c r="M64861" s="6"/>
      <c r="N64861" s="6"/>
      <c r="O64861" s="6"/>
      <c r="P64861" s="6"/>
      <c r="Q64861" s="6"/>
      <c r="R64861" s="6"/>
      <c r="S64861" s="6"/>
      <c r="T64861" s="6"/>
      <c r="U64861" s="6"/>
      <c r="V64861" s="6"/>
      <c r="W64861" s="6"/>
      <c r="X64861" s="6"/>
      <c r="Y64861" s="6"/>
      <c r="Z64861" s="6"/>
      <c r="AA64861" s="6"/>
      <c r="AB64861" s="6"/>
      <c r="AC64861" s="6"/>
      <c r="AD64861" s="6"/>
      <c r="AE64861" s="6"/>
      <c r="AF64861" s="6"/>
      <c r="AG64861" s="6"/>
      <c r="AH64861" s="6"/>
      <c r="AI64861" s="6"/>
      <c r="AJ64861" s="6"/>
      <c r="AK64861" s="6"/>
      <c r="AL64861" s="6"/>
      <c r="AM64861" s="6"/>
    </row>
    <row r="64862" spans="2:39" ht="9.9499999999999993" hidden="1" customHeight="1" x14ac:dyDescent="0.2">
      <c r="B64862" s="6"/>
      <c r="C64862" s="6"/>
      <c r="D64862" s="6"/>
      <c r="E64862" s="6"/>
      <c r="F64862" s="6"/>
      <c r="G64862" s="6"/>
      <c r="H64862" s="6"/>
      <c r="I64862" s="6"/>
      <c r="J64862" s="6"/>
      <c r="K64862" s="6"/>
      <c r="L64862" s="6"/>
      <c r="M64862" s="6"/>
      <c r="N64862" s="6"/>
      <c r="O64862" s="6"/>
      <c r="P64862" s="6"/>
      <c r="Q64862" s="6"/>
      <c r="R64862" s="6"/>
      <c r="S64862" s="6"/>
      <c r="T64862" s="6"/>
      <c r="U64862" s="6"/>
      <c r="V64862" s="6"/>
      <c r="W64862" s="6"/>
      <c r="X64862" s="6"/>
      <c r="Y64862" s="6"/>
      <c r="Z64862" s="6"/>
      <c r="AA64862" s="6"/>
      <c r="AB64862" s="6"/>
      <c r="AC64862" s="6"/>
      <c r="AD64862" s="6"/>
      <c r="AE64862" s="6"/>
      <c r="AF64862" s="6"/>
      <c r="AG64862" s="6"/>
      <c r="AH64862" s="6"/>
      <c r="AI64862" s="6"/>
      <c r="AJ64862" s="6"/>
      <c r="AK64862" s="6"/>
      <c r="AL64862" s="6"/>
      <c r="AM64862" s="6"/>
    </row>
    <row r="64863" spans="2:39" ht="9.9499999999999993" hidden="1" customHeight="1" x14ac:dyDescent="0.2">
      <c r="B64863" s="6"/>
      <c r="C64863" s="6"/>
      <c r="D64863" s="6"/>
      <c r="E64863" s="6"/>
      <c r="F64863" s="6"/>
      <c r="G64863" s="6"/>
      <c r="H64863" s="6"/>
      <c r="I64863" s="6"/>
      <c r="J64863" s="6"/>
      <c r="K64863" s="6"/>
      <c r="L64863" s="6"/>
      <c r="M64863" s="6"/>
      <c r="N64863" s="6"/>
      <c r="O64863" s="6"/>
      <c r="P64863" s="6"/>
      <c r="Q64863" s="6"/>
      <c r="R64863" s="6"/>
      <c r="S64863" s="6"/>
      <c r="T64863" s="6"/>
      <c r="U64863" s="6"/>
      <c r="V64863" s="6"/>
      <c r="W64863" s="6"/>
      <c r="X64863" s="6"/>
      <c r="Y64863" s="6"/>
      <c r="Z64863" s="6"/>
      <c r="AA64863" s="6"/>
      <c r="AB64863" s="6"/>
      <c r="AC64863" s="6"/>
      <c r="AD64863" s="6"/>
      <c r="AE64863" s="6"/>
      <c r="AF64863" s="6"/>
      <c r="AG64863" s="6"/>
      <c r="AH64863" s="6"/>
      <c r="AI64863" s="6"/>
      <c r="AJ64863" s="6"/>
      <c r="AK64863" s="6"/>
      <c r="AL64863" s="6"/>
      <c r="AM64863" s="6"/>
    </row>
    <row r="64864" spans="2:39" ht="9.9499999999999993" hidden="1" customHeight="1" x14ac:dyDescent="0.2">
      <c r="B64864" s="6"/>
      <c r="C64864" s="6"/>
      <c r="D64864" s="6"/>
      <c r="E64864" s="6"/>
      <c r="F64864" s="6"/>
      <c r="G64864" s="6"/>
      <c r="H64864" s="6"/>
      <c r="I64864" s="6"/>
      <c r="J64864" s="6"/>
      <c r="K64864" s="6"/>
      <c r="L64864" s="6"/>
      <c r="M64864" s="6"/>
      <c r="N64864" s="6"/>
      <c r="O64864" s="6"/>
      <c r="P64864" s="6"/>
      <c r="Q64864" s="6"/>
      <c r="R64864" s="6"/>
      <c r="S64864" s="6"/>
      <c r="T64864" s="6"/>
      <c r="U64864" s="6"/>
      <c r="V64864" s="6"/>
      <c r="W64864" s="6"/>
      <c r="X64864" s="6"/>
      <c r="Y64864" s="6"/>
      <c r="Z64864" s="6"/>
      <c r="AA64864" s="6"/>
      <c r="AB64864" s="6"/>
      <c r="AC64864" s="6"/>
      <c r="AD64864" s="6"/>
      <c r="AE64864" s="6"/>
      <c r="AF64864" s="6"/>
      <c r="AG64864" s="6"/>
      <c r="AH64864" s="6"/>
      <c r="AI64864" s="6"/>
      <c r="AJ64864" s="6"/>
      <c r="AK64864" s="6"/>
      <c r="AL64864" s="6"/>
      <c r="AM64864" s="6"/>
    </row>
    <row r="64865" spans="2:39" ht="9.9499999999999993" hidden="1" customHeight="1" x14ac:dyDescent="0.2">
      <c r="B64865" s="6"/>
      <c r="C64865" s="6"/>
      <c r="D64865" s="6"/>
      <c r="E64865" s="6"/>
      <c r="F64865" s="6"/>
      <c r="G64865" s="6"/>
      <c r="H64865" s="6"/>
      <c r="I64865" s="6"/>
      <c r="J64865" s="6"/>
      <c r="K64865" s="6"/>
      <c r="L64865" s="6"/>
      <c r="M64865" s="6"/>
      <c r="N64865" s="6"/>
      <c r="O64865" s="6"/>
      <c r="P64865" s="6"/>
      <c r="Q64865" s="6"/>
      <c r="R64865" s="6"/>
      <c r="S64865" s="6"/>
      <c r="T64865" s="6"/>
      <c r="U64865" s="6"/>
      <c r="V64865" s="6"/>
      <c r="W64865" s="6"/>
      <c r="X64865" s="6"/>
      <c r="Y64865" s="6"/>
      <c r="Z64865" s="6"/>
      <c r="AA64865" s="6"/>
      <c r="AB64865" s="6"/>
      <c r="AC64865" s="6"/>
      <c r="AD64865" s="6"/>
      <c r="AE64865" s="6"/>
      <c r="AF64865" s="6"/>
      <c r="AG64865" s="6"/>
      <c r="AH64865" s="6"/>
      <c r="AI64865" s="6"/>
      <c r="AJ64865" s="6"/>
      <c r="AK64865" s="6"/>
      <c r="AL64865" s="6"/>
      <c r="AM64865" s="6"/>
    </row>
    <row r="64866" spans="2:39" ht="9.9499999999999993" hidden="1" customHeight="1" x14ac:dyDescent="0.2">
      <c r="B64866" s="6"/>
      <c r="C64866" s="6"/>
      <c r="D64866" s="6"/>
      <c r="E64866" s="6"/>
      <c r="F64866" s="6"/>
      <c r="G64866" s="6"/>
      <c r="H64866" s="6"/>
      <c r="I64866" s="6"/>
      <c r="J64866" s="6"/>
      <c r="K64866" s="6"/>
      <c r="L64866" s="6"/>
      <c r="M64866" s="6"/>
      <c r="N64866" s="6"/>
      <c r="O64866" s="6"/>
      <c r="P64866" s="6"/>
      <c r="Q64866" s="6"/>
      <c r="R64866" s="6"/>
      <c r="S64866" s="6"/>
      <c r="T64866" s="6"/>
      <c r="U64866" s="6"/>
      <c r="V64866" s="6"/>
      <c r="W64866" s="6"/>
      <c r="X64866" s="6"/>
      <c r="Y64866" s="6"/>
      <c r="Z64866" s="6"/>
      <c r="AA64866" s="6"/>
      <c r="AB64866" s="6"/>
      <c r="AC64866" s="6"/>
      <c r="AD64866" s="6"/>
      <c r="AE64866" s="6"/>
      <c r="AF64866" s="6"/>
      <c r="AG64866" s="6"/>
      <c r="AH64866" s="6"/>
      <c r="AI64866" s="6"/>
      <c r="AJ64866" s="6"/>
      <c r="AK64866" s="6"/>
      <c r="AL64866" s="6"/>
      <c r="AM64866" s="6"/>
    </row>
    <row r="64867" spans="2:39" ht="9.9499999999999993" hidden="1" customHeight="1" x14ac:dyDescent="0.2">
      <c r="B64867" s="6"/>
      <c r="C64867" s="6"/>
      <c r="D64867" s="6"/>
      <c r="E64867" s="6"/>
      <c r="F64867" s="6"/>
      <c r="G64867" s="6"/>
      <c r="H64867" s="6"/>
      <c r="I64867" s="6"/>
      <c r="J64867" s="6"/>
      <c r="K64867" s="6"/>
      <c r="L64867" s="6"/>
      <c r="M64867" s="6"/>
      <c r="N64867" s="6"/>
      <c r="O64867" s="6"/>
      <c r="P64867" s="6"/>
      <c r="Q64867" s="6"/>
      <c r="R64867" s="6"/>
      <c r="S64867" s="6"/>
      <c r="T64867" s="6"/>
      <c r="U64867" s="6"/>
      <c r="V64867" s="6"/>
      <c r="W64867" s="6"/>
      <c r="X64867" s="6"/>
      <c r="Y64867" s="6"/>
      <c r="Z64867" s="6"/>
      <c r="AA64867" s="6"/>
      <c r="AB64867" s="6"/>
      <c r="AC64867" s="6"/>
      <c r="AD64867" s="6"/>
      <c r="AE64867" s="6"/>
      <c r="AF64867" s="6"/>
      <c r="AG64867" s="6"/>
      <c r="AH64867" s="6"/>
      <c r="AI64867" s="6"/>
      <c r="AJ64867" s="6"/>
      <c r="AK64867" s="6"/>
      <c r="AL64867" s="6"/>
      <c r="AM64867" s="6"/>
    </row>
    <row r="64868" spans="2:39" ht="9.9499999999999993" hidden="1" customHeight="1" x14ac:dyDescent="0.2">
      <c r="B64868" s="6"/>
      <c r="C64868" s="6"/>
      <c r="D64868" s="6"/>
      <c r="E64868" s="6"/>
      <c r="F64868" s="6"/>
      <c r="G64868" s="6"/>
      <c r="H64868" s="6"/>
      <c r="I64868" s="6"/>
      <c r="J64868" s="6"/>
      <c r="K64868" s="6"/>
      <c r="L64868" s="6"/>
      <c r="M64868" s="6"/>
      <c r="N64868" s="6"/>
      <c r="O64868" s="6"/>
      <c r="P64868" s="6"/>
      <c r="Q64868" s="6"/>
      <c r="R64868" s="6"/>
      <c r="S64868" s="6"/>
      <c r="T64868" s="6"/>
      <c r="U64868" s="6"/>
      <c r="V64868" s="6"/>
      <c r="W64868" s="6"/>
      <c r="X64868" s="6"/>
      <c r="Y64868" s="6"/>
      <c r="Z64868" s="6"/>
      <c r="AA64868" s="6"/>
      <c r="AB64868" s="6"/>
      <c r="AC64868" s="6"/>
      <c r="AD64868" s="6"/>
      <c r="AE64868" s="6"/>
      <c r="AF64868" s="6"/>
      <c r="AG64868" s="6"/>
      <c r="AH64868" s="6"/>
      <c r="AI64868" s="6"/>
      <c r="AJ64868" s="6"/>
      <c r="AK64868" s="6"/>
      <c r="AL64868" s="6"/>
      <c r="AM64868" s="6"/>
    </row>
    <row r="64869" spans="2:39" ht="9.9499999999999993" hidden="1" customHeight="1" x14ac:dyDescent="0.2">
      <c r="B64869" s="6"/>
      <c r="C64869" s="6"/>
      <c r="D64869" s="6"/>
      <c r="E64869" s="6"/>
      <c r="F64869" s="6"/>
      <c r="G64869" s="6"/>
      <c r="H64869" s="6"/>
      <c r="I64869" s="6"/>
      <c r="J64869" s="6"/>
      <c r="K64869" s="6"/>
      <c r="L64869" s="6"/>
      <c r="M64869" s="6"/>
      <c r="N64869" s="6"/>
      <c r="O64869" s="6"/>
      <c r="P64869" s="6"/>
      <c r="Q64869" s="6"/>
      <c r="R64869" s="6"/>
      <c r="S64869" s="6"/>
      <c r="T64869" s="6"/>
      <c r="U64869" s="6"/>
      <c r="V64869" s="6"/>
      <c r="W64869" s="6"/>
      <c r="X64869" s="6"/>
      <c r="Y64869" s="6"/>
      <c r="Z64869" s="6"/>
      <c r="AA64869" s="6"/>
      <c r="AB64869" s="6"/>
      <c r="AC64869" s="6"/>
      <c r="AD64869" s="6"/>
      <c r="AE64869" s="6"/>
      <c r="AF64869" s="6"/>
      <c r="AG64869" s="6"/>
      <c r="AH64869" s="6"/>
      <c r="AI64869" s="6"/>
      <c r="AJ64869" s="6"/>
      <c r="AK64869" s="6"/>
      <c r="AL64869" s="6"/>
      <c r="AM64869" s="6"/>
    </row>
    <row r="64870" spans="2:39" ht="9.9499999999999993" hidden="1" customHeight="1" x14ac:dyDescent="0.2">
      <c r="B64870" s="6"/>
      <c r="C64870" s="6"/>
      <c r="D64870" s="6"/>
      <c r="E64870" s="6"/>
      <c r="F64870" s="6"/>
      <c r="G64870" s="6"/>
      <c r="H64870" s="6"/>
      <c r="I64870" s="6"/>
      <c r="J64870" s="6"/>
      <c r="K64870" s="6"/>
      <c r="L64870" s="6"/>
      <c r="M64870" s="6"/>
      <c r="N64870" s="6"/>
      <c r="O64870" s="6"/>
      <c r="P64870" s="6"/>
      <c r="Q64870" s="6"/>
      <c r="R64870" s="6"/>
      <c r="S64870" s="6"/>
      <c r="T64870" s="6"/>
      <c r="U64870" s="6"/>
      <c r="V64870" s="6"/>
      <c r="W64870" s="6"/>
      <c r="X64870" s="6"/>
      <c r="Y64870" s="6"/>
      <c r="Z64870" s="6"/>
      <c r="AA64870" s="6"/>
      <c r="AB64870" s="6"/>
      <c r="AC64870" s="6"/>
      <c r="AD64870" s="6"/>
      <c r="AE64870" s="6"/>
      <c r="AF64870" s="6"/>
      <c r="AG64870" s="6"/>
      <c r="AH64870" s="6"/>
      <c r="AI64870" s="6"/>
      <c r="AJ64870" s="6"/>
      <c r="AK64870" s="6"/>
      <c r="AL64870" s="6"/>
      <c r="AM64870" s="6"/>
    </row>
    <row r="64871" spans="2:39" ht="9.9499999999999993" hidden="1" customHeight="1" x14ac:dyDescent="0.2">
      <c r="B64871" s="6"/>
      <c r="C64871" s="6"/>
      <c r="D64871" s="6"/>
      <c r="E64871" s="6"/>
      <c r="F64871" s="6"/>
      <c r="G64871" s="6"/>
      <c r="H64871" s="6"/>
      <c r="I64871" s="6"/>
      <c r="J64871" s="6"/>
      <c r="K64871" s="6"/>
      <c r="L64871" s="6"/>
      <c r="M64871" s="6"/>
      <c r="N64871" s="6"/>
      <c r="O64871" s="6"/>
      <c r="P64871" s="6"/>
      <c r="Q64871" s="6"/>
      <c r="R64871" s="6"/>
      <c r="S64871" s="6"/>
      <c r="T64871" s="6"/>
      <c r="U64871" s="6"/>
      <c r="V64871" s="6"/>
      <c r="W64871" s="6"/>
      <c r="X64871" s="6"/>
      <c r="Y64871" s="6"/>
      <c r="Z64871" s="6"/>
      <c r="AA64871" s="6"/>
      <c r="AB64871" s="6"/>
      <c r="AC64871" s="6"/>
      <c r="AD64871" s="6"/>
      <c r="AE64871" s="6"/>
      <c r="AF64871" s="6"/>
      <c r="AG64871" s="6"/>
      <c r="AH64871" s="6"/>
      <c r="AI64871" s="6"/>
      <c r="AJ64871" s="6"/>
      <c r="AK64871" s="6"/>
      <c r="AL64871" s="6"/>
      <c r="AM64871" s="6"/>
    </row>
    <row r="64872" spans="2:39" ht="9.9499999999999993" hidden="1" customHeight="1" x14ac:dyDescent="0.2">
      <c r="B64872" s="6"/>
      <c r="C64872" s="6"/>
      <c r="D64872" s="6"/>
      <c r="E64872" s="6"/>
      <c r="F64872" s="6"/>
      <c r="G64872" s="6"/>
      <c r="H64872" s="6"/>
      <c r="I64872" s="6"/>
      <c r="J64872" s="6"/>
      <c r="K64872" s="6"/>
      <c r="L64872" s="6"/>
      <c r="M64872" s="6"/>
      <c r="N64872" s="6"/>
      <c r="O64872" s="6"/>
      <c r="P64872" s="6"/>
      <c r="Q64872" s="6"/>
      <c r="R64872" s="6"/>
      <c r="S64872" s="6"/>
      <c r="T64872" s="6"/>
      <c r="U64872" s="6"/>
      <c r="V64872" s="6"/>
      <c r="W64872" s="6"/>
      <c r="X64872" s="6"/>
      <c r="Y64872" s="6"/>
      <c r="Z64872" s="6"/>
      <c r="AA64872" s="6"/>
      <c r="AB64872" s="6"/>
      <c r="AC64872" s="6"/>
      <c r="AD64872" s="6"/>
      <c r="AE64872" s="6"/>
      <c r="AF64872" s="6"/>
      <c r="AG64872" s="6"/>
      <c r="AH64872" s="6"/>
      <c r="AI64872" s="6"/>
      <c r="AJ64872" s="6"/>
      <c r="AK64872" s="6"/>
      <c r="AL64872" s="6"/>
      <c r="AM64872" s="6"/>
    </row>
    <row r="64873" spans="2:39" ht="9.9499999999999993" hidden="1" customHeight="1" x14ac:dyDescent="0.2">
      <c r="B64873" s="6"/>
      <c r="C64873" s="6"/>
      <c r="D64873" s="6"/>
      <c r="E64873" s="6"/>
      <c r="F64873" s="6"/>
      <c r="G64873" s="6"/>
      <c r="H64873" s="6"/>
      <c r="I64873" s="6"/>
      <c r="J64873" s="6"/>
      <c r="K64873" s="6"/>
      <c r="L64873" s="6"/>
      <c r="M64873" s="6"/>
      <c r="N64873" s="6"/>
      <c r="O64873" s="6"/>
      <c r="P64873" s="6"/>
      <c r="Q64873" s="6"/>
      <c r="R64873" s="6"/>
      <c r="S64873" s="6"/>
      <c r="T64873" s="6"/>
      <c r="U64873" s="6"/>
      <c r="V64873" s="6"/>
      <c r="W64873" s="6"/>
      <c r="X64873" s="6"/>
      <c r="Y64873" s="6"/>
      <c r="Z64873" s="6"/>
      <c r="AA64873" s="6"/>
      <c r="AB64873" s="6"/>
      <c r="AC64873" s="6"/>
      <c r="AD64873" s="6"/>
      <c r="AE64873" s="6"/>
      <c r="AF64873" s="6"/>
      <c r="AG64873" s="6"/>
      <c r="AH64873" s="6"/>
      <c r="AI64873" s="6"/>
      <c r="AJ64873" s="6"/>
      <c r="AK64873" s="6"/>
      <c r="AL64873" s="6"/>
      <c r="AM64873" s="6"/>
    </row>
    <row r="64874" spans="2:39" ht="9.9499999999999993" hidden="1" customHeight="1" x14ac:dyDescent="0.2">
      <c r="B64874" s="6"/>
      <c r="C64874" s="6"/>
      <c r="D64874" s="6"/>
      <c r="E64874" s="6"/>
      <c r="F64874" s="6"/>
      <c r="G64874" s="6"/>
      <c r="H64874" s="6"/>
      <c r="I64874" s="6"/>
      <c r="J64874" s="6"/>
      <c r="K64874" s="6"/>
      <c r="L64874" s="6"/>
      <c r="M64874" s="6"/>
      <c r="N64874" s="6"/>
      <c r="O64874" s="6"/>
      <c r="P64874" s="6"/>
      <c r="Q64874" s="6"/>
      <c r="R64874" s="6"/>
      <c r="S64874" s="6"/>
      <c r="T64874" s="6"/>
      <c r="U64874" s="6"/>
      <c r="V64874" s="6"/>
      <c r="W64874" s="6"/>
      <c r="X64874" s="6"/>
      <c r="Y64874" s="6"/>
      <c r="Z64874" s="6"/>
      <c r="AA64874" s="6"/>
      <c r="AB64874" s="6"/>
      <c r="AC64874" s="6"/>
      <c r="AD64874" s="6"/>
      <c r="AE64874" s="6"/>
      <c r="AF64874" s="6"/>
      <c r="AG64874" s="6"/>
      <c r="AH64874" s="6"/>
      <c r="AI64874" s="6"/>
      <c r="AJ64874" s="6"/>
      <c r="AK64874" s="6"/>
      <c r="AL64874" s="6"/>
      <c r="AM64874" s="6"/>
    </row>
    <row r="64875" spans="2:39" ht="9.9499999999999993" hidden="1" customHeight="1" x14ac:dyDescent="0.2">
      <c r="B64875" s="6"/>
      <c r="C64875" s="6"/>
      <c r="D64875" s="6"/>
      <c r="E64875" s="6"/>
      <c r="F64875" s="6"/>
      <c r="G64875" s="6"/>
      <c r="H64875" s="6"/>
      <c r="I64875" s="6"/>
      <c r="J64875" s="6"/>
      <c r="K64875" s="6"/>
      <c r="L64875" s="6"/>
      <c r="M64875" s="6"/>
      <c r="N64875" s="6"/>
      <c r="O64875" s="6"/>
      <c r="P64875" s="6"/>
      <c r="Q64875" s="6"/>
      <c r="R64875" s="6"/>
      <c r="S64875" s="6"/>
      <c r="T64875" s="6"/>
      <c r="U64875" s="6"/>
      <c r="V64875" s="6"/>
      <c r="W64875" s="6"/>
      <c r="X64875" s="6"/>
      <c r="Y64875" s="6"/>
      <c r="Z64875" s="6"/>
      <c r="AA64875" s="6"/>
      <c r="AB64875" s="6"/>
      <c r="AC64875" s="6"/>
      <c r="AD64875" s="6"/>
      <c r="AE64875" s="6"/>
      <c r="AF64875" s="6"/>
      <c r="AG64875" s="6"/>
      <c r="AH64875" s="6"/>
      <c r="AI64875" s="6"/>
      <c r="AJ64875" s="6"/>
      <c r="AK64875" s="6"/>
      <c r="AL64875" s="6"/>
      <c r="AM64875" s="6"/>
    </row>
    <row r="64876" spans="2:39" ht="9.9499999999999993" hidden="1" customHeight="1" x14ac:dyDescent="0.2">
      <c r="B64876" s="6"/>
      <c r="C64876" s="6"/>
      <c r="D64876" s="6"/>
      <c r="E64876" s="6"/>
      <c r="F64876" s="6"/>
      <c r="G64876" s="6"/>
      <c r="H64876" s="6"/>
      <c r="I64876" s="6"/>
      <c r="J64876" s="6"/>
      <c r="K64876" s="6"/>
      <c r="L64876" s="6"/>
      <c r="M64876" s="6"/>
      <c r="N64876" s="6"/>
      <c r="O64876" s="6"/>
      <c r="P64876" s="6"/>
      <c r="Q64876" s="6"/>
      <c r="R64876" s="6"/>
      <c r="S64876" s="6"/>
      <c r="T64876" s="6"/>
      <c r="U64876" s="6"/>
      <c r="V64876" s="6"/>
      <c r="W64876" s="6"/>
      <c r="X64876" s="6"/>
      <c r="Y64876" s="6"/>
      <c r="Z64876" s="6"/>
      <c r="AA64876" s="6"/>
      <c r="AB64876" s="6"/>
      <c r="AC64876" s="6"/>
      <c r="AD64876" s="6"/>
      <c r="AE64876" s="6"/>
      <c r="AF64876" s="6"/>
      <c r="AG64876" s="6"/>
      <c r="AH64876" s="6"/>
      <c r="AI64876" s="6"/>
      <c r="AJ64876" s="6"/>
      <c r="AK64876" s="6"/>
      <c r="AL64876" s="6"/>
      <c r="AM64876" s="6"/>
    </row>
    <row r="64877" spans="2:39" ht="9.9499999999999993" hidden="1" customHeight="1" x14ac:dyDescent="0.2">
      <c r="B64877" s="6"/>
      <c r="C64877" s="6"/>
      <c r="D64877" s="6"/>
      <c r="E64877" s="6"/>
      <c r="F64877" s="6"/>
      <c r="G64877" s="6"/>
      <c r="H64877" s="6"/>
      <c r="I64877" s="6"/>
      <c r="J64877" s="6"/>
      <c r="K64877" s="6"/>
      <c r="L64877" s="6"/>
      <c r="M64877" s="6"/>
      <c r="N64877" s="6"/>
      <c r="O64877" s="6"/>
      <c r="P64877" s="6"/>
      <c r="Q64877" s="6"/>
      <c r="R64877" s="6"/>
      <c r="S64877" s="6"/>
      <c r="T64877" s="6"/>
      <c r="U64877" s="6"/>
      <c r="V64877" s="6"/>
      <c r="W64877" s="6"/>
      <c r="X64877" s="6"/>
      <c r="Y64877" s="6"/>
      <c r="Z64877" s="6"/>
      <c r="AA64877" s="6"/>
      <c r="AB64877" s="6"/>
      <c r="AC64877" s="6"/>
      <c r="AD64877" s="6"/>
      <c r="AE64877" s="6"/>
      <c r="AF64877" s="6"/>
      <c r="AG64877" s="6"/>
      <c r="AH64877" s="6"/>
      <c r="AI64877" s="6"/>
      <c r="AJ64877" s="6"/>
      <c r="AK64877" s="6"/>
      <c r="AL64877" s="6"/>
      <c r="AM64877" s="6"/>
    </row>
    <row r="64878" spans="2:39" ht="9.9499999999999993" hidden="1" customHeight="1" x14ac:dyDescent="0.2">
      <c r="B64878" s="6"/>
      <c r="C64878" s="6"/>
      <c r="D64878" s="6"/>
      <c r="E64878" s="6"/>
      <c r="F64878" s="6"/>
      <c r="G64878" s="6"/>
      <c r="H64878" s="6"/>
      <c r="I64878" s="6"/>
      <c r="J64878" s="6"/>
      <c r="K64878" s="6"/>
      <c r="L64878" s="6"/>
      <c r="M64878" s="6"/>
      <c r="N64878" s="6"/>
      <c r="O64878" s="6"/>
      <c r="P64878" s="6"/>
      <c r="Q64878" s="6"/>
      <c r="R64878" s="6"/>
      <c r="S64878" s="6"/>
      <c r="T64878" s="6"/>
      <c r="U64878" s="6"/>
      <c r="V64878" s="6"/>
      <c r="W64878" s="6"/>
      <c r="X64878" s="6"/>
      <c r="Y64878" s="6"/>
      <c r="Z64878" s="6"/>
      <c r="AA64878" s="6"/>
      <c r="AB64878" s="6"/>
      <c r="AC64878" s="6"/>
      <c r="AD64878" s="6"/>
      <c r="AE64878" s="6"/>
      <c r="AF64878" s="6"/>
      <c r="AG64878" s="6"/>
      <c r="AH64878" s="6"/>
      <c r="AI64878" s="6"/>
      <c r="AJ64878" s="6"/>
      <c r="AK64878" s="6"/>
      <c r="AL64878" s="6"/>
      <c r="AM64878" s="6"/>
    </row>
    <row r="64879" spans="2:39" ht="9.9499999999999993" hidden="1" customHeight="1" x14ac:dyDescent="0.2">
      <c r="B64879" s="6"/>
      <c r="C64879" s="6"/>
      <c r="D64879" s="6"/>
      <c r="E64879" s="6"/>
      <c r="F64879" s="6"/>
      <c r="G64879" s="6"/>
      <c r="H64879" s="6"/>
      <c r="I64879" s="6"/>
      <c r="J64879" s="6"/>
      <c r="K64879" s="6"/>
      <c r="L64879" s="6"/>
      <c r="M64879" s="6"/>
      <c r="N64879" s="6"/>
      <c r="O64879" s="6"/>
      <c r="P64879" s="6"/>
      <c r="Q64879" s="6"/>
      <c r="R64879" s="6"/>
      <c r="S64879" s="6"/>
      <c r="T64879" s="6"/>
      <c r="U64879" s="6"/>
      <c r="V64879" s="6"/>
      <c r="W64879" s="6"/>
      <c r="X64879" s="6"/>
      <c r="Y64879" s="6"/>
      <c r="Z64879" s="6"/>
      <c r="AA64879" s="6"/>
      <c r="AB64879" s="6"/>
      <c r="AC64879" s="6"/>
      <c r="AD64879" s="6"/>
      <c r="AE64879" s="6"/>
      <c r="AF64879" s="6"/>
      <c r="AG64879" s="6"/>
      <c r="AH64879" s="6"/>
      <c r="AI64879" s="6"/>
      <c r="AJ64879" s="6"/>
      <c r="AK64879" s="6"/>
      <c r="AL64879" s="6"/>
      <c r="AM64879" s="6"/>
    </row>
    <row r="64880" spans="2:39" ht="9.9499999999999993" hidden="1" customHeight="1" x14ac:dyDescent="0.2">
      <c r="B64880" s="6"/>
      <c r="C64880" s="6"/>
      <c r="D64880" s="6"/>
      <c r="E64880" s="6"/>
      <c r="F64880" s="6"/>
      <c r="G64880" s="6"/>
      <c r="H64880" s="6"/>
      <c r="I64880" s="6"/>
      <c r="J64880" s="6"/>
      <c r="K64880" s="6"/>
      <c r="L64880" s="6"/>
      <c r="M64880" s="6"/>
      <c r="N64880" s="6"/>
      <c r="O64880" s="6"/>
      <c r="P64880" s="6"/>
      <c r="Q64880" s="6"/>
      <c r="R64880" s="6"/>
      <c r="S64880" s="6"/>
      <c r="T64880" s="6"/>
      <c r="U64880" s="6"/>
      <c r="V64880" s="6"/>
      <c r="W64880" s="6"/>
      <c r="X64880" s="6"/>
      <c r="Y64880" s="6"/>
      <c r="Z64880" s="6"/>
      <c r="AA64880" s="6"/>
      <c r="AB64880" s="6"/>
      <c r="AC64880" s="6"/>
      <c r="AD64880" s="6"/>
      <c r="AE64880" s="6"/>
      <c r="AF64880" s="6"/>
      <c r="AG64880" s="6"/>
      <c r="AH64880" s="6"/>
      <c r="AI64880" s="6"/>
      <c r="AJ64880" s="6"/>
      <c r="AK64880" s="6"/>
      <c r="AL64880" s="6"/>
      <c r="AM64880" s="6"/>
    </row>
    <row r="64881" spans="2:39" ht="9.9499999999999993" hidden="1" customHeight="1" x14ac:dyDescent="0.2">
      <c r="B64881" s="6"/>
      <c r="C64881" s="6"/>
      <c r="D64881" s="6"/>
      <c r="E64881" s="6"/>
      <c r="F64881" s="6"/>
      <c r="G64881" s="6"/>
      <c r="H64881" s="6"/>
      <c r="I64881" s="6"/>
      <c r="J64881" s="6"/>
      <c r="K64881" s="6"/>
      <c r="L64881" s="6"/>
      <c r="M64881" s="6"/>
      <c r="N64881" s="6"/>
      <c r="O64881" s="6"/>
      <c r="P64881" s="6"/>
      <c r="Q64881" s="6"/>
      <c r="R64881" s="6"/>
      <c r="S64881" s="6"/>
      <c r="T64881" s="6"/>
      <c r="U64881" s="6"/>
      <c r="V64881" s="6"/>
      <c r="W64881" s="6"/>
      <c r="X64881" s="6"/>
      <c r="Y64881" s="6"/>
      <c r="Z64881" s="6"/>
      <c r="AA64881" s="6"/>
      <c r="AB64881" s="6"/>
      <c r="AC64881" s="6"/>
      <c r="AD64881" s="6"/>
      <c r="AE64881" s="6"/>
      <c r="AF64881" s="6"/>
      <c r="AG64881" s="6"/>
      <c r="AH64881" s="6"/>
      <c r="AI64881" s="6"/>
      <c r="AJ64881" s="6"/>
      <c r="AK64881" s="6"/>
      <c r="AL64881" s="6"/>
      <c r="AM64881" s="6"/>
    </row>
    <row r="64882" spans="2:39" ht="9.9499999999999993" hidden="1" customHeight="1" x14ac:dyDescent="0.2">
      <c r="B64882" s="6"/>
      <c r="C64882" s="6"/>
      <c r="D64882" s="6"/>
      <c r="E64882" s="6"/>
      <c r="F64882" s="6"/>
      <c r="G64882" s="6"/>
      <c r="H64882" s="6"/>
      <c r="I64882" s="6"/>
      <c r="J64882" s="6"/>
      <c r="K64882" s="6"/>
      <c r="L64882" s="6"/>
      <c r="M64882" s="6"/>
      <c r="N64882" s="6"/>
      <c r="O64882" s="6"/>
      <c r="P64882" s="6"/>
      <c r="Q64882" s="6"/>
      <c r="R64882" s="6"/>
      <c r="S64882" s="6"/>
      <c r="T64882" s="6"/>
      <c r="U64882" s="6"/>
      <c r="V64882" s="6"/>
      <c r="W64882" s="6"/>
      <c r="X64882" s="6"/>
      <c r="Y64882" s="6"/>
      <c r="Z64882" s="6"/>
      <c r="AA64882" s="6"/>
      <c r="AB64882" s="6"/>
      <c r="AC64882" s="6"/>
      <c r="AD64882" s="6"/>
      <c r="AE64882" s="6"/>
      <c r="AF64882" s="6"/>
      <c r="AG64882" s="6"/>
      <c r="AH64882" s="6"/>
      <c r="AI64882" s="6"/>
      <c r="AJ64882" s="6"/>
      <c r="AK64882" s="6"/>
      <c r="AL64882" s="6"/>
      <c r="AM64882" s="6"/>
    </row>
    <row r="64883" spans="2:39" ht="9.9499999999999993" hidden="1" customHeight="1" x14ac:dyDescent="0.2">
      <c r="B64883" s="6"/>
      <c r="C64883" s="6"/>
      <c r="D64883" s="6"/>
      <c r="E64883" s="6"/>
      <c r="F64883" s="6"/>
      <c r="G64883" s="6"/>
      <c r="H64883" s="6"/>
      <c r="I64883" s="6"/>
      <c r="J64883" s="6"/>
      <c r="K64883" s="6"/>
      <c r="L64883" s="6"/>
      <c r="M64883" s="6"/>
      <c r="N64883" s="6"/>
      <c r="O64883" s="6"/>
      <c r="P64883" s="6"/>
      <c r="Q64883" s="6"/>
      <c r="R64883" s="6"/>
      <c r="S64883" s="6"/>
      <c r="T64883" s="6"/>
      <c r="U64883" s="6"/>
      <c r="V64883" s="6"/>
      <c r="W64883" s="6"/>
      <c r="X64883" s="6"/>
      <c r="Y64883" s="6"/>
      <c r="Z64883" s="6"/>
      <c r="AA64883" s="6"/>
      <c r="AB64883" s="6"/>
      <c r="AC64883" s="6"/>
      <c r="AD64883" s="6"/>
      <c r="AE64883" s="6"/>
      <c r="AF64883" s="6"/>
      <c r="AG64883" s="6"/>
      <c r="AH64883" s="6"/>
      <c r="AI64883" s="6"/>
      <c r="AJ64883" s="6"/>
      <c r="AK64883" s="6"/>
      <c r="AL64883" s="6"/>
      <c r="AM64883" s="6"/>
    </row>
    <row r="64884" spans="2:39" ht="9.9499999999999993" hidden="1" customHeight="1" x14ac:dyDescent="0.2">
      <c r="B64884" s="6"/>
      <c r="C64884" s="6"/>
      <c r="D64884" s="6"/>
      <c r="E64884" s="6"/>
      <c r="F64884" s="6"/>
      <c r="G64884" s="6"/>
      <c r="H64884" s="6"/>
      <c r="I64884" s="6"/>
      <c r="J64884" s="6"/>
      <c r="K64884" s="6"/>
      <c r="L64884" s="6"/>
      <c r="M64884" s="6"/>
      <c r="N64884" s="6"/>
      <c r="O64884" s="6"/>
      <c r="P64884" s="6"/>
      <c r="Q64884" s="6"/>
      <c r="R64884" s="6"/>
      <c r="S64884" s="6"/>
      <c r="T64884" s="6"/>
      <c r="U64884" s="6"/>
      <c r="V64884" s="6"/>
      <c r="W64884" s="6"/>
      <c r="X64884" s="6"/>
      <c r="Y64884" s="6"/>
      <c r="Z64884" s="6"/>
      <c r="AA64884" s="6"/>
      <c r="AB64884" s="6"/>
      <c r="AC64884" s="6"/>
      <c r="AD64884" s="6"/>
      <c r="AE64884" s="6"/>
      <c r="AF64884" s="6"/>
      <c r="AG64884" s="6"/>
      <c r="AH64884" s="6"/>
      <c r="AI64884" s="6"/>
      <c r="AJ64884" s="6"/>
      <c r="AK64884" s="6"/>
      <c r="AL64884" s="6"/>
      <c r="AM64884" s="6"/>
    </row>
    <row r="64885" spans="2:39" ht="9.9499999999999993" hidden="1" customHeight="1" x14ac:dyDescent="0.2">
      <c r="B64885" s="6"/>
      <c r="C64885" s="6"/>
      <c r="D64885" s="6"/>
      <c r="E64885" s="6"/>
      <c r="F64885" s="6"/>
      <c r="G64885" s="6"/>
      <c r="H64885" s="6"/>
      <c r="I64885" s="6"/>
      <c r="J64885" s="6"/>
      <c r="K64885" s="6"/>
      <c r="L64885" s="6"/>
      <c r="M64885" s="6"/>
      <c r="N64885" s="6"/>
      <c r="O64885" s="6"/>
      <c r="P64885" s="6"/>
      <c r="Q64885" s="6"/>
      <c r="R64885" s="6"/>
      <c r="S64885" s="6"/>
      <c r="T64885" s="6"/>
      <c r="U64885" s="6"/>
      <c r="V64885" s="6"/>
      <c r="W64885" s="6"/>
      <c r="X64885" s="6"/>
      <c r="Y64885" s="6"/>
      <c r="Z64885" s="6"/>
      <c r="AA64885" s="6"/>
      <c r="AB64885" s="6"/>
      <c r="AC64885" s="6"/>
      <c r="AD64885" s="6"/>
      <c r="AE64885" s="6"/>
      <c r="AF64885" s="6"/>
      <c r="AG64885" s="6"/>
      <c r="AH64885" s="6"/>
      <c r="AI64885" s="6"/>
      <c r="AJ64885" s="6"/>
      <c r="AK64885" s="6"/>
      <c r="AL64885" s="6"/>
      <c r="AM64885" s="6"/>
    </row>
    <row r="64886" spans="2:39" ht="9.9499999999999993" hidden="1" customHeight="1" x14ac:dyDescent="0.2">
      <c r="B64886" s="6"/>
      <c r="C64886" s="6"/>
      <c r="D64886" s="6"/>
      <c r="E64886" s="6"/>
      <c r="F64886" s="6"/>
      <c r="G64886" s="6"/>
      <c r="H64886" s="6"/>
      <c r="I64886" s="6"/>
      <c r="J64886" s="6"/>
      <c r="K64886" s="6"/>
      <c r="L64886" s="6"/>
      <c r="M64886" s="6"/>
      <c r="N64886" s="6"/>
      <c r="O64886" s="6"/>
      <c r="P64886" s="6"/>
      <c r="Q64886" s="6"/>
      <c r="R64886" s="6"/>
      <c r="S64886" s="6"/>
      <c r="T64886" s="6"/>
      <c r="U64886" s="6"/>
      <c r="V64886" s="6"/>
      <c r="W64886" s="6"/>
      <c r="X64886" s="6"/>
      <c r="Y64886" s="6"/>
      <c r="Z64886" s="6"/>
      <c r="AA64886" s="6"/>
      <c r="AB64886" s="6"/>
      <c r="AC64886" s="6"/>
      <c r="AD64886" s="6"/>
      <c r="AE64886" s="6"/>
      <c r="AF64886" s="6"/>
      <c r="AG64886" s="6"/>
      <c r="AH64886" s="6"/>
      <c r="AI64886" s="6"/>
      <c r="AJ64886" s="6"/>
      <c r="AK64886" s="6"/>
      <c r="AL64886" s="6"/>
      <c r="AM64886" s="6"/>
    </row>
    <row r="64887" spans="2:39" ht="9.9499999999999993" hidden="1" customHeight="1" x14ac:dyDescent="0.2">
      <c r="B64887" s="6"/>
      <c r="C64887" s="6"/>
      <c r="D64887" s="6"/>
      <c r="E64887" s="6"/>
      <c r="F64887" s="6"/>
      <c r="G64887" s="6"/>
      <c r="H64887" s="6"/>
      <c r="I64887" s="6"/>
      <c r="J64887" s="6"/>
      <c r="K64887" s="6"/>
      <c r="L64887" s="6"/>
      <c r="M64887" s="6"/>
      <c r="N64887" s="6"/>
      <c r="O64887" s="6"/>
      <c r="P64887" s="6"/>
      <c r="Q64887" s="6"/>
      <c r="R64887" s="6"/>
      <c r="S64887" s="6"/>
      <c r="T64887" s="6"/>
      <c r="U64887" s="6"/>
      <c r="V64887" s="6"/>
      <c r="W64887" s="6"/>
      <c r="X64887" s="6"/>
      <c r="Y64887" s="6"/>
      <c r="Z64887" s="6"/>
      <c r="AA64887" s="6"/>
      <c r="AB64887" s="6"/>
      <c r="AC64887" s="6"/>
      <c r="AD64887" s="6"/>
      <c r="AE64887" s="6"/>
      <c r="AF64887" s="6"/>
      <c r="AG64887" s="6"/>
      <c r="AH64887" s="6"/>
      <c r="AI64887" s="6"/>
      <c r="AJ64887" s="6"/>
      <c r="AK64887" s="6"/>
      <c r="AL64887" s="6"/>
      <c r="AM64887" s="6"/>
    </row>
    <row r="64888" spans="2:39" ht="9.9499999999999993" hidden="1" customHeight="1" x14ac:dyDescent="0.2">
      <c r="B64888" s="6"/>
      <c r="C64888" s="6"/>
      <c r="D64888" s="6"/>
      <c r="E64888" s="6"/>
      <c r="F64888" s="6"/>
      <c r="G64888" s="6"/>
      <c r="H64888" s="6"/>
      <c r="I64888" s="6"/>
      <c r="J64888" s="6"/>
      <c r="K64888" s="6"/>
      <c r="L64888" s="6"/>
      <c r="M64888" s="6"/>
      <c r="N64888" s="6"/>
      <c r="O64888" s="6"/>
      <c r="P64888" s="6"/>
      <c r="Q64888" s="6"/>
      <c r="R64888" s="6"/>
      <c r="S64888" s="6"/>
      <c r="T64888" s="6"/>
      <c r="U64888" s="6"/>
      <c r="V64888" s="6"/>
      <c r="W64888" s="6"/>
      <c r="X64888" s="6"/>
      <c r="Y64888" s="6"/>
      <c r="Z64888" s="6"/>
      <c r="AA64888" s="6"/>
      <c r="AB64888" s="6"/>
      <c r="AC64888" s="6"/>
      <c r="AD64888" s="6"/>
      <c r="AE64888" s="6"/>
      <c r="AF64888" s="6"/>
      <c r="AG64888" s="6"/>
      <c r="AH64888" s="6"/>
      <c r="AI64888" s="6"/>
      <c r="AJ64888" s="6"/>
      <c r="AK64888" s="6"/>
      <c r="AL64888" s="6"/>
      <c r="AM64888" s="6"/>
    </row>
    <row r="64889" spans="2:39" ht="9.9499999999999993" hidden="1" customHeight="1" x14ac:dyDescent="0.2">
      <c r="B64889" s="6"/>
      <c r="C64889" s="6"/>
      <c r="D64889" s="6"/>
      <c r="E64889" s="6"/>
      <c r="F64889" s="6"/>
      <c r="G64889" s="6"/>
      <c r="H64889" s="6"/>
      <c r="I64889" s="6"/>
      <c r="J64889" s="6"/>
      <c r="K64889" s="6"/>
      <c r="L64889" s="6"/>
      <c r="M64889" s="6"/>
      <c r="N64889" s="6"/>
      <c r="O64889" s="6"/>
      <c r="P64889" s="6"/>
      <c r="Q64889" s="6"/>
      <c r="R64889" s="6"/>
      <c r="S64889" s="6"/>
      <c r="T64889" s="6"/>
      <c r="U64889" s="6"/>
      <c r="V64889" s="6"/>
      <c r="W64889" s="6"/>
      <c r="X64889" s="6"/>
      <c r="Y64889" s="6"/>
      <c r="Z64889" s="6"/>
      <c r="AA64889" s="6"/>
      <c r="AB64889" s="6"/>
      <c r="AC64889" s="6"/>
      <c r="AD64889" s="6"/>
      <c r="AE64889" s="6"/>
      <c r="AF64889" s="6"/>
      <c r="AG64889" s="6"/>
      <c r="AH64889" s="6"/>
      <c r="AI64889" s="6"/>
      <c r="AJ64889" s="6"/>
      <c r="AK64889" s="6"/>
      <c r="AL64889" s="6"/>
      <c r="AM64889" s="6"/>
    </row>
    <row r="64890" spans="2:39" ht="9.9499999999999993" hidden="1" customHeight="1" x14ac:dyDescent="0.2">
      <c r="B64890" s="6"/>
      <c r="C64890" s="6"/>
      <c r="D64890" s="6"/>
      <c r="E64890" s="6"/>
      <c r="F64890" s="6"/>
      <c r="G64890" s="6"/>
      <c r="H64890" s="6"/>
      <c r="I64890" s="6"/>
      <c r="J64890" s="6"/>
      <c r="K64890" s="6"/>
      <c r="L64890" s="6"/>
      <c r="M64890" s="6"/>
      <c r="N64890" s="6"/>
      <c r="O64890" s="6"/>
      <c r="P64890" s="6"/>
      <c r="Q64890" s="6"/>
      <c r="R64890" s="6"/>
      <c r="S64890" s="6"/>
      <c r="T64890" s="6"/>
      <c r="U64890" s="6"/>
      <c r="V64890" s="6"/>
      <c r="W64890" s="6"/>
      <c r="X64890" s="6"/>
      <c r="Y64890" s="6"/>
      <c r="Z64890" s="6"/>
      <c r="AA64890" s="6"/>
      <c r="AB64890" s="6"/>
      <c r="AC64890" s="6"/>
      <c r="AD64890" s="6"/>
      <c r="AE64890" s="6"/>
      <c r="AF64890" s="6"/>
      <c r="AG64890" s="6"/>
      <c r="AH64890" s="6"/>
      <c r="AI64890" s="6"/>
      <c r="AJ64890" s="6"/>
      <c r="AK64890" s="6"/>
      <c r="AL64890" s="6"/>
      <c r="AM64890" s="6"/>
    </row>
    <row r="64891" spans="2:39" ht="9.9499999999999993" hidden="1" customHeight="1" x14ac:dyDescent="0.2">
      <c r="B64891" s="6"/>
      <c r="C64891" s="6"/>
      <c r="D64891" s="6"/>
      <c r="E64891" s="6"/>
      <c r="F64891" s="6"/>
      <c r="G64891" s="6"/>
      <c r="H64891" s="6"/>
      <c r="I64891" s="6"/>
      <c r="J64891" s="6"/>
      <c r="K64891" s="6"/>
      <c r="L64891" s="6"/>
      <c r="M64891" s="6"/>
      <c r="N64891" s="6"/>
      <c r="O64891" s="6"/>
      <c r="P64891" s="6"/>
      <c r="Q64891" s="6"/>
      <c r="R64891" s="6"/>
      <c r="S64891" s="6"/>
      <c r="T64891" s="6"/>
      <c r="U64891" s="6"/>
      <c r="V64891" s="6"/>
      <c r="W64891" s="6"/>
      <c r="X64891" s="6"/>
      <c r="Y64891" s="6"/>
      <c r="Z64891" s="6"/>
      <c r="AA64891" s="6"/>
      <c r="AB64891" s="6"/>
      <c r="AC64891" s="6"/>
      <c r="AD64891" s="6"/>
      <c r="AE64891" s="6"/>
      <c r="AF64891" s="6"/>
      <c r="AG64891" s="6"/>
      <c r="AH64891" s="6"/>
      <c r="AI64891" s="6"/>
      <c r="AJ64891" s="6"/>
      <c r="AK64891" s="6"/>
      <c r="AL64891" s="6"/>
      <c r="AM64891" s="6"/>
    </row>
    <row r="64892" spans="2:39" ht="9.9499999999999993" hidden="1" customHeight="1" x14ac:dyDescent="0.2">
      <c r="B64892" s="6"/>
      <c r="C64892" s="6"/>
      <c r="D64892" s="6"/>
      <c r="E64892" s="6"/>
      <c r="F64892" s="6"/>
      <c r="G64892" s="6"/>
      <c r="H64892" s="6"/>
      <c r="I64892" s="6"/>
      <c r="J64892" s="6"/>
      <c r="K64892" s="6"/>
      <c r="L64892" s="6"/>
      <c r="M64892" s="6"/>
      <c r="N64892" s="6"/>
      <c r="O64892" s="6"/>
      <c r="P64892" s="6"/>
      <c r="Q64892" s="6"/>
      <c r="R64892" s="6"/>
      <c r="S64892" s="6"/>
      <c r="T64892" s="6"/>
      <c r="U64892" s="6"/>
      <c r="V64892" s="6"/>
      <c r="W64892" s="6"/>
      <c r="X64892" s="6"/>
      <c r="Y64892" s="6"/>
      <c r="Z64892" s="6"/>
      <c r="AA64892" s="6"/>
      <c r="AB64892" s="6"/>
      <c r="AC64892" s="6"/>
      <c r="AD64892" s="6"/>
      <c r="AE64892" s="6"/>
      <c r="AF64892" s="6"/>
      <c r="AG64892" s="6"/>
      <c r="AH64892" s="6"/>
      <c r="AI64892" s="6"/>
      <c r="AJ64892" s="6"/>
      <c r="AK64892" s="6"/>
      <c r="AL64892" s="6"/>
      <c r="AM64892" s="6"/>
    </row>
    <row r="64893" spans="2:39" ht="9.9499999999999993" hidden="1" customHeight="1" x14ac:dyDescent="0.2">
      <c r="B64893" s="6"/>
      <c r="C64893" s="6"/>
      <c r="D64893" s="6"/>
      <c r="E64893" s="6"/>
      <c r="F64893" s="6"/>
      <c r="G64893" s="6"/>
      <c r="H64893" s="6"/>
      <c r="I64893" s="6"/>
      <c r="J64893" s="6"/>
      <c r="K64893" s="6"/>
      <c r="L64893" s="6"/>
      <c r="M64893" s="6"/>
      <c r="N64893" s="6"/>
      <c r="O64893" s="6"/>
      <c r="P64893" s="6"/>
      <c r="Q64893" s="6"/>
      <c r="R64893" s="6"/>
      <c r="S64893" s="6"/>
      <c r="T64893" s="6"/>
      <c r="U64893" s="6"/>
      <c r="V64893" s="6"/>
      <c r="W64893" s="6"/>
      <c r="X64893" s="6"/>
      <c r="Y64893" s="6"/>
      <c r="Z64893" s="6"/>
      <c r="AA64893" s="6"/>
      <c r="AB64893" s="6"/>
      <c r="AC64893" s="6"/>
      <c r="AD64893" s="6"/>
      <c r="AE64893" s="6"/>
      <c r="AF64893" s="6"/>
      <c r="AG64893" s="6"/>
      <c r="AH64893" s="6"/>
      <c r="AI64893" s="6"/>
      <c r="AJ64893" s="6"/>
      <c r="AK64893" s="6"/>
      <c r="AL64893" s="6"/>
      <c r="AM64893" s="6"/>
    </row>
    <row r="64894" spans="2:39" ht="9.9499999999999993" hidden="1" customHeight="1" x14ac:dyDescent="0.2">
      <c r="B64894" s="6"/>
      <c r="C64894" s="6"/>
      <c r="D64894" s="6"/>
      <c r="E64894" s="6"/>
      <c r="F64894" s="6"/>
      <c r="G64894" s="6"/>
      <c r="H64894" s="6"/>
      <c r="I64894" s="6"/>
      <c r="J64894" s="6"/>
      <c r="K64894" s="6"/>
      <c r="L64894" s="6"/>
      <c r="M64894" s="6"/>
      <c r="N64894" s="6"/>
      <c r="O64894" s="6"/>
      <c r="P64894" s="6"/>
      <c r="Q64894" s="6"/>
      <c r="R64894" s="6"/>
      <c r="S64894" s="6"/>
      <c r="T64894" s="6"/>
      <c r="U64894" s="6"/>
      <c r="V64894" s="6"/>
      <c r="W64894" s="6"/>
      <c r="X64894" s="6"/>
      <c r="Y64894" s="6"/>
      <c r="Z64894" s="6"/>
      <c r="AA64894" s="6"/>
      <c r="AB64894" s="6"/>
      <c r="AC64894" s="6"/>
      <c r="AD64894" s="6"/>
      <c r="AE64894" s="6"/>
      <c r="AF64894" s="6"/>
      <c r="AG64894" s="6"/>
      <c r="AH64894" s="6"/>
      <c r="AI64894" s="6"/>
      <c r="AJ64894" s="6"/>
      <c r="AK64894" s="6"/>
      <c r="AL64894" s="6"/>
      <c r="AM64894" s="6"/>
    </row>
    <row r="64895" spans="2:39" ht="9.9499999999999993" hidden="1" customHeight="1" x14ac:dyDescent="0.2">
      <c r="B64895" s="6"/>
      <c r="C64895" s="6"/>
      <c r="D64895" s="6"/>
      <c r="E64895" s="6"/>
      <c r="F64895" s="6"/>
      <c r="G64895" s="6"/>
      <c r="H64895" s="6"/>
      <c r="I64895" s="6"/>
      <c r="J64895" s="6"/>
      <c r="K64895" s="6"/>
      <c r="L64895" s="6"/>
      <c r="M64895" s="6"/>
      <c r="N64895" s="6"/>
      <c r="O64895" s="6"/>
      <c r="P64895" s="6"/>
      <c r="Q64895" s="6"/>
      <c r="R64895" s="6"/>
      <c r="S64895" s="6"/>
      <c r="T64895" s="6"/>
      <c r="U64895" s="6"/>
      <c r="V64895" s="6"/>
      <c r="W64895" s="6"/>
      <c r="X64895" s="6"/>
      <c r="Y64895" s="6"/>
      <c r="Z64895" s="6"/>
      <c r="AA64895" s="6"/>
      <c r="AB64895" s="6"/>
      <c r="AC64895" s="6"/>
      <c r="AD64895" s="6"/>
      <c r="AE64895" s="6"/>
      <c r="AF64895" s="6"/>
      <c r="AG64895" s="6"/>
      <c r="AH64895" s="6"/>
      <c r="AI64895" s="6"/>
      <c r="AJ64895" s="6"/>
      <c r="AK64895" s="6"/>
      <c r="AL64895" s="6"/>
      <c r="AM64895" s="6"/>
    </row>
    <row r="64896" spans="2:39" ht="9.9499999999999993" hidden="1" customHeight="1" x14ac:dyDescent="0.2">
      <c r="B64896" s="6"/>
      <c r="C64896" s="6"/>
      <c r="D64896" s="6"/>
      <c r="E64896" s="6"/>
      <c r="F64896" s="6"/>
      <c r="G64896" s="6"/>
      <c r="H64896" s="6"/>
      <c r="I64896" s="6"/>
      <c r="J64896" s="6"/>
      <c r="K64896" s="6"/>
      <c r="L64896" s="6"/>
      <c r="M64896" s="6"/>
      <c r="N64896" s="6"/>
      <c r="O64896" s="6"/>
      <c r="P64896" s="6"/>
      <c r="Q64896" s="6"/>
      <c r="R64896" s="6"/>
      <c r="S64896" s="6"/>
      <c r="T64896" s="6"/>
      <c r="U64896" s="6"/>
      <c r="V64896" s="6"/>
      <c r="W64896" s="6"/>
      <c r="X64896" s="6"/>
      <c r="Y64896" s="6"/>
      <c r="Z64896" s="6"/>
      <c r="AA64896" s="6"/>
      <c r="AB64896" s="6"/>
      <c r="AC64896" s="6"/>
      <c r="AD64896" s="6"/>
      <c r="AE64896" s="6"/>
      <c r="AF64896" s="6"/>
      <c r="AG64896" s="6"/>
      <c r="AH64896" s="6"/>
      <c r="AI64896" s="6"/>
      <c r="AJ64896" s="6"/>
      <c r="AK64896" s="6"/>
      <c r="AL64896" s="6"/>
      <c r="AM64896" s="6"/>
    </row>
    <row r="64897" spans="2:39" ht="9.9499999999999993" hidden="1" customHeight="1" x14ac:dyDescent="0.2">
      <c r="B64897" s="6"/>
      <c r="C64897" s="6"/>
      <c r="D64897" s="6"/>
      <c r="E64897" s="6"/>
      <c r="F64897" s="6"/>
      <c r="G64897" s="6"/>
      <c r="H64897" s="6"/>
      <c r="I64897" s="6"/>
      <c r="J64897" s="6"/>
      <c r="K64897" s="6"/>
      <c r="L64897" s="6"/>
      <c r="M64897" s="6"/>
      <c r="N64897" s="6"/>
      <c r="O64897" s="6"/>
      <c r="P64897" s="6"/>
      <c r="Q64897" s="6"/>
      <c r="R64897" s="6"/>
      <c r="S64897" s="6"/>
      <c r="T64897" s="6"/>
      <c r="U64897" s="6"/>
      <c r="V64897" s="6"/>
      <c r="W64897" s="6"/>
      <c r="X64897" s="6"/>
      <c r="Y64897" s="6"/>
      <c r="Z64897" s="6"/>
      <c r="AA64897" s="6"/>
      <c r="AB64897" s="6"/>
      <c r="AC64897" s="6"/>
      <c r="AD64897" s="6"/>
      <c r="AE64897" s="6"/>
      <c r="AF64897" s="6"/>
      <c r="AG64897" s="6"/>
      <c r="AH64897" s="6"/>
      <c r="AI64897" s="6"/>
      <c r="AJ64897" s="6"/>
      <c r="AK64897" s="6"/>
      <c r="AL64897" s="6"/>
      <c r="AM64897" s="6"/>
    </row>
    <row r="64898" spans="2:39" ht="9.9499999999999993" hidden="1" customHeight="1" x14ac:dyDescent="0.2">
      <c r="B64898" s="6"/>
      <c r="C64898" s="6"/>
      <c r="D64898" s="6"/>
      <c r="E64898" s="6"/>
      <c r="F64898" s="6"/>
      <c r="G64898" s="6"/>
      <c r="H64898" s="6"/>
      <c r="I64898" s="6"/>
      <c r="J64898" s="6"/>
      <c r="K64898" s="6"/>
      <c r="L64898" s="6"/>
      <c r="M64898" s="6"/>
      <c r="N64898" s="6"/>
      <c r="O64898" s="6"/>
      <c r="P64898" s="6"/>
      <c r="Q64898" s="6"/>
      <c r="R64898" s="6"/>
      <c r="S64898" s="6"/>
      <c r="T64898" s="6"/>
      <c r="U64898" s="6"/>
      <c r="V64898" s="6"/>
      <c r="W64898" s="6"/>
      <c r="X64898" s="6"/>
      <c r="Y64898" s="6"/>
      <c r="Z64898" s="6"/>
      <c r="AA64898" s="6"/>
      <c r="AB64898" s="6"/>
      <c r="AC64898" s="6"/>
      <c r="AD64898" s="6"/>
      <c r="AE64898" s="6"/>
      <c r="AF64898" s="6"/>
      <c r="AG64898" s="6"/>
      <c r="AH64898" s="6"/>
      <c r="AI64898" s="6"/>
      <c r="AJ64898" s="6"/>
      <c r="AK64898" s="6"/>
      <c r="AL64898" s="6"/>
      <c r="AM64898" s="6"/>
    </row>
    <row r="64899" spans="2:39" ht="9.9499999999999993" hidden="1" customHeight="1" x14ac:dyDescent="0.2">
      <c r="B64899" s="6"/>
      <c r="C64899" s="6"/>
      <c r="D64899" s="6"/>
      <c r="E64899" s="6"/>
      <c r="F64899" s="6"/>
      <c r="G64899" s="6"/>
      <c r="H64899" s="6"/>
      <c r="I64899" s="6"/>
      <c r="J64899" s="6"/>
      <c r="K64899" s="6"/>
      <c r="L64899" s="6"/>
      <c r="M64899" s="6"/>
      <c r="N64899" s="6"/>
      <c r="O64899" s="6"/>
      <c r="P64899" s="6"/>
      <c r="Q64899" s="6"/>
      <c r="R64899" s="6"/>
      <c r="S64899" s="6"/>
      <c r="T64899" s="6"/>
      <c r="U64899" s="6"/>
      <c r="V64899" s="6"/>
      <c r="W64899" s="6"/>
      <c r="X64899" s="6"/>
      <c r="Y64899" s="6"/>
      <c r="Z64899" s="6"/>
      <c r="AA64899" s="6"/>
      <c r="AB64899" s="6"/>
      <c r="AC64899" s="6"/>
      <c r="AD64899" s="6"/>
      <c r="AE64899" s="6"/>
      <c r="AF64899" s="6"/>
      <c r="AG64899" s="6"/>
      <c r="AH64899" s="6"/>
      <c r="AI64899" s="6"/>
      <c r="AJ64899" s="6"/>
      <c r="AK64899" s="6"/>
      <c r="AL64899" s="6"/>
      <c r="AM64899" s="6"/>
    </row>
    <row r="64900" spans="2:39" ht="9.9499999999999993" hidden="1" customHeight="1" x14ac:dyDescent="0.2">
      <c r="B64900" s="6"/>
      <c r="C64900" s="6"/>
      <c r="D64900" s="6"/>
      <c r="E64900" s="6"/>
      <c r="F64900" s="6"/>
      <c r="G64900" s="6"/>
      <c r="H64900" s="6"/>
      <c r="I64900" s="6"/>
      <c r="J64900" s="6"/>
      <c r="K64900" s="6"/>
      <c r="L64900" s="6"/>
      <c r="M64900" s="6"/>
      <c r="N64900" s="6"/>
      <c r="O64900" s="6"/>
      <c r="P64900" s="6"/>
      <c r="Q64900" s="6"/>
      <c r="R64900" s="6"/>
      <c r="S64900" s="6"/>
      <c r="T64900" s="6"/>
      <c r="U64900" s="6"/>
      <c r="V64900" s="6"/>
      <c r="W64900" s="6"/>
      <c r="X64900" s="6"/>
      <c r="Y64900" s="6"/>
      <c r="Z64900" s="6"/>
      <c r="AA64900" s="6"/>
      <c r="AB64900" s="6"/>
      <c r="AC64900" s="6"/>
      <c r="AD64900" s="6"/>
      <c r="AE64900" s="6"/>
      <c r="AF64900" s="6"/>
      <c r="AG64900" s="6"/>
      <c r="AH64900" s="6"/>
      <c r="AI64900" s="6"/>
      <c r="AJ64900" s="6"/>
      <c r="AK64900" s="6"/>
      <c r="AL64900" s="6"/>
      <c r="AM64900" s="6"/>
    </row>
    <row r="64901" spans="2:39" ht="9.9499999999999993" hidden="1" customHeight="1" x14ac:dyDescent="0.2">
      <c r="B64901" s="6"/>
      <c r="C64901" s="6"/>
      <c r="D64901" s="6"/>
      <c r="E64901" s="6"/>
      <c r="F64901" s="6"/>
      <c r="G64901" s="6"/>
      <c r="H64901" s="6"/>
      <c r="I64901" s="6"/>
      <c r="J64901" s="6"/>
      <c r="K64901" s="6"/>
      <c r="L64901" s="6"/>
      <c r="M64901" s="6"/>
      <c r="N64901" s="6"/>
      <c r="O64901" s="6"/>
      <c r="P64901" s="6"/>
      <c r="Q64901" s="6"/>
      <c r="R64901" s="6"/>
      <c r="S64901" s="6"/>
      <c r="T64901" s="6"/>
      <c r="U64901" s="6"/>
      <c r="V64901" s="6"/>
      <c r="W64901" s="6"/>
      <c r="X64901" s="6"/>
      <c r="Y64901" s="6"/>
      <c r="Z64901" s="6"/>
      <c r="AA64901" s="6"/>
      <c r="AB64901" s="6"/>
      <c r="AC64901" s="6"/>
      <c r="AD64901" s="6"/>
      <c r="AE64901" s="6"/>
      <c r="AF64901" s="6"/>
      <c r="AG64901" s="6"/>
      <c r="AH64901" s="6"/>
      <c r="AI64901" s="6"/>
      <c r="AJ64901" s="6"/>
      <c r="AK64901" s="6"/>
      <c r="AL64901" s="6"/>
      <c r="AM64901" s="6"/>
    </row>
    <row r="64902" spans="2:39" ht="9.9499999999999993" hidden="1" customHeight="1" x14ac:dyDescent="0.2">
      <c r="B64902" s="6"/>
      <c r="C64902" s="6"/>
      <c r="D64902" s="6"/>
      <c r="E64902" s="6"/>
      <c r="F64902" s="6"/>
      <c r="G64902" s="6"/>
      <c r="H64902" s="6"/>
      <c r="I64902" s="6"/>
      <c r="J64902" s="6"/>
      <c r="K64902" s="6"/>
      <c r="L64902" s="6"/>
      <c r="M64902" s="6"/>
      <c r="N64902" s="6"/>
      <c r="O64902" s="6"/>
      <c r="P64902" s="6"/>
      <c r="Q64902" s="6"/>
      <c r="R64902" s="6"/>
      <c r="S64902" s="6"/>
      <c r="T64902" s="6"/>
      <c r="U64902" s="6"/>
      <c r="V64902" s="6"/>
      <c r="W64902" s="6"/>
      <c r="X64902" s="6"/>
      <c r="Y64902" s="6"/>
      <c r="Z64902" s="6"/>
      <c r="AA64902" s="6"/>
      <c r="AB64902" s="6"/>
      <c r="AC64902" s="6"/>
      <c r="AD64902" s="6"/>
      <c r="AE64902" s="6"/>
      <c r="AF64902" s="6"/>
      <c r="AG64902" s="6"/>
      <c r="AH64902" s="6"/>
      <c r="AI64902" s="6"/>
      <c r="AJ64902" s="6"/>
      <c r="AK64902" s="6"/>
      <c r="AL64902" s="6"/>
      <c r="AM64902" s="6"/>
    </row>
    <row r="64903" spans="2:39" ht="9.9499999999999993" hidden="1" customHeight="1" x14ac:dyDescent="0.2">
      <c r="B64903" s="6"/>
      <c r="C64903" s="6"/>
      <c r="D64903" s="6"/>
      <c r="E64903" s="6"/>
      <c r="F64903" s="6"/>
      <c r="G64903" s="6"/>
      <c r="H64903" s="6"/>
      <c r="I64903" s="6"/>
      <c r="J64903" s="6"/>
      <c r="K64903" s="6"/>
      <c r="L64903" s="6"/>
      <c r="M64903" s="6"/>
      <c r="N64903" s="6"/>
      <c r="O64903" s="6"/>
      <c r="P64903" s="6"/>
      <c r="Q64903" s="6"/>
      <c r="R64903" s="6"/>
      <c r="S64903" s="6"/>
      <c r="T64903" s="6"/>
      <c r="U64903" s="6"/>
      <c r="V64903" s="6"/>
      <c r="W64903" s="6"/>
      <c r="X64903" s="6"/>
      <c r="Y64903" s="6"/>
      <c r="Z64903" s="6"/>
      <c r="AA64903" s="6"/>
      <c r="AB64903" s="6"/>
      <c r="AC64903" s="6"/>
      <c r="AD64903" s="6"/>
      <c r="AE64903" s="6"/>
      <c r="AF64903" s="6"/>
      <c r="AG64903" s="6"/>
      <c r="AH64903" s="6"/>
      <c r="AI64903" s="6"/>
      <c r="AJ64903" s="6"/>
      <c r="AK64903" s="6"/>
      <c r="AL64903" s="6"/>
      <c r="AM64903" s="6"/>
    </row>
    <row r="64904" spans="2:39" ht="9.9499999999999993" hidden="1" customHeight="1" x14ac:dyDescent="0.2">
      <c r="B64904" s="6"/>
      <c r="C64904" s="6"/>
      <c r="D64904" s="6"/>
      <c r="E64904" s="6"/>
      <c r="F64904" s="6"/>
      <c r="G64904" s="6"/>
      <c r="H64904" s="6"/>
      <c r="I64904" s="6"/>
      <c r="J64904" s="6"/>
      <c r="K64904" s="6"/>
      <c r="L64904" s="6"/>
      <c r="M64904" s="6"/>
      <c r="N64904" s="6"/>
      <c r="O64904" s="6"/>
      <c r="P64904" s="6"/>
      <c r="Q64904" s="6"/>
      <c r="R64904" s="6"/>
      <c r="S64904" s="6"/>
      <c r="T64904" s="6"/>
      <c r="U64904" s="6"/>
      <c r="V64904" s="6"/>
      <c r="W64904" s="6"/>
      <c r="X64904" s="6"/>
      <c r="Y64904" s="6"/>
      <c r="Z64904" s="6"/>
      <c r="AA64904" s="6"/>
      <c r="AB64904" s="6"/>
      <c r="AC64904" s="6"/>
      <c r="AD64904" s="6"/>
      <c r="AE64904" s="6"/>
      <c r="AF64904" s="6"/>
      <c r="AG64904" s="6"/>
      <c r="AH64904" s="6"/>
      <c r="AI64904" s="6"/>
      <c r="AJ64904" s="6"/>
      <c r="AK64904" s="6"/>
      <c r="AL64904" s="6"/>
      <c r="AM64904" s="6"/>
    </row>
    <row r="64905" spans="2:39" ht="9.9499999999999993" hidden="1" customHeight="1" x14ac:dyDescent="0.2">
      <c r="B64905" s="6"/>
      <c r="C64905" s="6"/>
      <c r="D64905" s="6"/>
      <c r="E64905" s="6"/>
      <c r="F64905" s="6"/>
      <c r="G64905" s="6"/>
      <c r="H64905" s="6"/>
      <c r="I64905" s="6"/>
      <c r="J64905" s="6"/>
      <c r="K64905" s="6"/>
      <c r="L64905" s="6"/>
      <c r="M64905" s="6"/>
      <c r="N64905" s="6"/>
      <c r="O64905" s="6"/>
      <c r="P64905" s="6"/>
      <c r="Q64905" s="6"/>
      <c r="R64905" s="6"/>
      <c r="S64905" s="6"/>
      <c r="T64905" s="6"/>
      <c r="U64905" s="6"/>
      <c r="V64905" s="6"/>
      <c r="W64905" s="6"/>
      <c r="X64905" s="6"/>
      <c r="Y64905" s="6"/>
      <c r="Z64905" s="6"/>
      <c r="AA64905" s="6"/>
      <c r="AB64905" s="6"/>
      <c r="AC64905" s="6"/>
      <c r="AD64905" s="6"/>
      <c r="AE64905" s="6"/>
      <c r="AF64905" s="6"/>
      <c r="AG64905" s="6"/>
      <c r="AH64905" s="6"/>
      <c r="AI64905" s="6"/>
      <c r="AJ64905" s="6"/>
      <c r="AK64905" s="6"/>
      <c r="AL64905" s="6"/>
      <c r="AM64905" s="6"/>
    </row>
    <row r="64906" spans="2:39" ht="9.9499999999999993" hidden="1" customHeight="1" x14ac:dyDescent="0.2">
      <c r="B64906" s="6"/>
      <c r="C64906" s="6"/>
      <c r="D64906" s="6"/>
      <c r="E64906" s="6"/>
      <c r="F64906" s="6"/>
      <c r="G64906" s="6"/>
      <c r="H64906" s="6"/>
      <c r="I64906" s="6"/>
      <c r="J64906" s="6"/>
      <c r="K64906" s="6"/>
      <c r="L64906" s="6"/>
      <c r="M64906" s="6"/>
      <c r="N64906" s="6"/>
      <c r="O64906" s="6"/>
      <c r="P64906" s="6"/>
      <c r="Q64906" s="6"/>
      <c r="R64906" s="6"/>
      <c r="S64906" s="6"/>
      <c r="T64906" s="6"/>
      <c r="U64906" s="6"/>
      <c r="V64906" s="6"/>
      <c r="W64906" s="6"/>
      <c r="X64906" s="6"/>
      <c r="Y64906" s="6"/>
      <c r="Z64906" s="6"/>
      <c r="AA64906" s="6"/>
      <c r="AB64906" s="6"/>
      <c r="AC64906" s="6"/>
      <c r="AD64906" s="6"/>
      <c r="AE64906" s="6"/>
      <c r="AF64906" s="6"/>
      <c r="AG64906" s="6"/>
      <c r="AH64906" s="6"/>
      <c r="AI64906" s="6"/>
      <c r="AJ64906" s="6"/>
      <c r="AK64906" s="6"/>
      <c r="AL64906" s="6"/>
      <c r="AM64906" s="6"/>
    </row>
    <row r="64907" spans="2:39" ht="9.9499999999999993" hidden="1" customHeight="1" x14ac:dyDescent="0.2">
      <c r="B64907" s="6"/>
      <c r="C64907" s="6"/>
      <c r="D64907" s="6"/>
      <c r="E64907" s="6"/>
      <c r="F64907" s="6"/>
      <c r="G64907" s="6"/>
      <c r="H64907" s="6"/>
      <c r="I64907" s="6"/>
      <c r="J64907" s="6"/>
      <c r="K64907" s="6"/>
      <c r="L64907" s="6"/>
      <c r="M64907" s="6"/>
      <c r="N64907" s="6"/>
      <c r="O64907" s="6"/>
      <c r="P64907" s="6"/>
      <c r="Q64907" s="6"/>
      <c r="R64907" s="6"/>
      <c r="S64907" s="6"/>
      <c r="T64907" s="6"/>
      <c r="U64907" s="6"/>
      <c r="V64907" s="6"/>
      <c r="W64907" s="6"/>
      <c r="X64907" s="6"/>
      <c r="Y64907" s="6"/>
      <c r="Z64907" s="6"/>
      <c r="AA64907" s="6"/>
      <c r="AB64907" s="6"/>
      <c r="AC64907" s="6"/>
      <c r="AD64907" s="6"/>
      <c r="AE64907" s="6"/>
      <c r="AF64907" s="6"/>
      <c r="AG64907" s="6"/>
      <c r="AH64907" s="6"/>
      <c r="AI64907" s="6"/>
      <c r="AJ64907" s="6"/>
      <c r="AK64907" s="6"/>
      <c r="AL64907" s="6"/>
      <c r="AM64907" s="6"/>
    </row>
    <row r="64908" spans="2:39" ht="9.9499999999999993" hidden="1" customHeight="1" x14ac:dyDescent="0.2">
      <c r="B64908" s="6"/>
      <c r="C64908" s="6"/>
      <c r="D64908" s="6"/>
      <c r="E64908" s="6"/>
      <c r="F64908" s="6"/>
      <c r="G64908" s="6"/>
      <c r="H64908" s="6"/>
      <c r="I64908" s="6"/>
      <c r="J64908" s="6"/>
      <c r="K64908" s="6"/>
      <c r="L64908" s="6"/>
      <c r="M64908" s="6"/>
      <c r="N64908" s="6"/>
      <c r="O64908" s="6"/>
      <c r="P64908" s="6"/>
      <c r="Q64908" s="6"/>
      <c r="R64908" s="6"/>
      <c r="S64908" s="6"/>
      <c r="T64908" s="6"/>
      <c r="U64908" s="6"/>
      <c r="V64908" s="6"/>
      <c r="W64908" s="6"/>
      <c r="X64908" s="6"/>
      <c r="Y64908" s="6"/>
      <c r="Z64908" s="6"/>
      <c r="AA64908" s="6"/>
      <c r="AB64908" s="6"/>
      <c r="AC64908" s="6"/>
      <c r="AD64908" s="6"/>
      <c r="AE64908" s="6"/>
      <c r="AF64908" s="6"/>
      <c r="AG64908" s="6"/>
      <c r="AH64908" s="6"/>
      <c r="AI64908" s="6"/>
      <c r="AJ64908" s="6"/>
      <c r="AK64908" s="6"/>
      <c r="AL64908" s="6"/>
      <c r="AM64908" s="6"/>
    </row>
    <row r="64909" spans="2:39" ht="9.9499999999999993" hidden="1" customHeight="1" x14ac:dyDescent="0.2">
      <c r="B64909" s="6"/>
      <c r="C64909" s="6"/>
      <c r="D64909" s="6"/>
      <c r="E64909" s="6"/>
      <c r="F64909" s="6"/>
      <c r="G64909" s="6"/>
      <c r="H64909" s="6"/>
      <c r="I64909" s="6"/>
      <c r="J64909" s="6"/>
      <c r="K64909" s="6"/>
      <c r="L64909" s="6"/>
      <c r="M64909" s="6"/>
      <c r="N64909" s="6"/>
      <c r="O64909" s="6"/>
      <c r="P64909" s="6"/>
      <c r="Q64909" s="6"/>
      <c r="R64909" s="6"/>
      <c r="S64909" s="6"/>
      <c r="T64909" s="6"/>
      <c r="U64909" s="6"/>
      <c r="V64909" s="6"/>
      <c r="W64909" s="6"/>
      <c r="X64909" s="6"/>
      <c r="Y64909" s="6"/>
      <c r="Z64909" s="6"/>
      <c r="AA64909" s="6"/>
      <c r="AB64909" s="6"/>
      <c r="AC64909" s="6"/>
      <c r="AD64909" s="6"/>
      <c r="AE64909" s="6"/>
      <c r="AF64909" s="6"/>
      <c r="AG64909" s="6"/>
      <c r="AH64909" s="6"/>
      <c r="AI64909" s="6"/>
      <c r="AJ64909" s="6"/>
      <c r="AK64909" s="6"/>
      <c r="AL64909" s="6"/>
      <c r="AM64909" s="6"/>
    </row>
    <row r="64910" spans="2:39" ht="9.9499999999999993" hidden="1" customHeight="1" x14ac:dyDescent="0.2">
      <c r="B64910" s="6"/>
      <c r="C64910" s="6"/>
      <c r="D64910" s="6"/>
      <c r="E64910" s="6"/>
      <c r="F64910" s="6"/>
      <c r="G64910" s="6"/>
      <c r="H64910" s="6"/>
      <c r="I64910" s="6"/>
      <c r="J64910" s="6"/>
      <c r="K64910" s="6"/>
      <c r="L64910" s="6"/>
      <c r="M64910" s="6"/>
      <c r="N64910" s="6"/>
      <c r="O64910" s="6"/>
      <c r="P64910" s="6"/>
      <c r="Q64910" s="6"/>
      <c r="R64910" s="6"/>
      <c r="S64910" s="6"/>
      <c r="T64910" s="6"/>
      <c r="U64910" s="6"/>
      <c r="V64910" s="6"/>
      <c r="W64910" s="6"/>
      <c r="X64910" s="6"/>
      <c r="Y64910" s="6"/>
      <c r="Z64910" s="6"/>
      <c r="AA64910" s="6"/>
      <c r="AB64910" s="6"/>
      <c r="AC64910" s="6"/>
      <c r="AD64910" s="6"/>
      <c r="AE64910" s="6"/>
      <c r="AF64910" s="6"/>
      <c r="AG64910" s="6"/>
      <c r="AH64910" s="6"/>
      <c r="AI64910" s="6"/>
      <c r="AJ64910" s="6"/>
      <c r="AK64910" s="6"/>
      <c r="AL64910" s="6"/>
      <c r="AM64910" s="6"/>
    </row>
    <row r="64911" spans="2:39" ht="9.9499999999999993" hidden="1" customHeight="1" x14ac:dyDescent="0.2">
      <c r="B64911" s="6"/>
      <c r="C64911" s="6"/>
      <c r="D64911" s="6"/>
      <c r="E64911" s="6"/>
      <c r="F64911" s="6"/>
      <c r="G64911" s="6"/>
      <c r="H64911" s="6"/>
      <c r="I64911" s="6"/>
      <c r="J64911" s="6"/>
      <c r="K64911" s="6"/>
      <c r="L64911" s="6"/>
      <c r="M64911" s="6"/>
      <c r="N64911" s="6"/>
      <c r="O64911" s="6"/>
      <c r="P64911" s="6"/>
      <c r="Q64911" s="6"/>
      <c r="R64911" s="6"/>
      <c r="S64911" s="6"/>
      <c r="T64911" s="6"/>
      <c r="U64911" s="6"/>
      <c r="V64911" s="6"/>
      <c r="W64911" s="6"/>
      <c r="X64911" s="6"/>
      <c r="Y64911" s="6"/>
      <c r="Z64911" s="6"/>
      <c r="AA64911" s="6"/>
      <c r="AB64911" s="6"/>
      <c r="AC64911" s="6"/>
      <c r="AD64911" s="6"/>
      <c r="AE64911" s="6"/>
      <c r="AF64911" s="6"/>
      <c r="AG64911" s="6"/>
      <c r="AH64911" s="6"/>
      <c r="AI64911" s="6"/>
      <c r="AJ64911" s="6"/>
      <c r="AK64911" s="6"/>
      <c r="AL64911" s="6"/>
      <c r="AM64911" s="6"/>
    </row>
    <row r="64912" spans="2:39" ht="9.9499999999999993" hidden="1" customHeight="1" x14ac:dyDescent="0.2">
      <c r="B64912" s="6"/>
      <c r="C64912" s="6"/>
      <c r="D64912" s="6"/>
      <c r="E64912" s="6"/>
      <c r="F64912" s="6"/>
      <c r="G64912" s="6"/>
      <c r="H64912" s="6"/>
      <c r="I64912" s="6"/>
      <c r="J64912" s="6"/>
      <c r="K64912" s="6"/>
      <c r="L64912" s="6"/>
      <c r="M64912" s="6"/>
      <c r="N64912" s="6"/>
      <c r="O64912" s="6"/>
      <c r="P64912" s="6"/>
      <c r="Q64912" s="6"/>
      <c r="R64912" s="6"/>
      <c r="S64912" s="6"/>
      <c r="T64912" s="6"/>
      <c r="U64912" s="6"/>
      <c r="V64912" s="6"/>
      <c r="W64912" s="6"/>
      <c r="X64912" s="6"/>
      <c r="Y64912" s="6"/>
      <c r="Z64912" s="6"/>
      <c r="AA64912" s="6"/>
      <c r="AB64912" s="6"/>
      <c r="AC64912" s="6"/>
      <c r="AD64912" s="6"/>
      <c r="AE64912" s="6"/>
      <c r="AF64912" s="6"/>
      <c r="AG64912" s="6"/>
      <c r="AH64912" s="6"/>
      <c r="AI64912" s="6"/>
      <c r="AJ64912" s="6"/>
      <c r="AK64912" s="6"/>
      <c r="AL64912" s="6"/>
      <c r="AM64912" s="6"/>
    </row>
    <row r="64913" spans="2:39" ht="9.9499999999999993" hidden="1" customHeight="1" x14ac:dyDescent="0.2">
      <c r="B64913" s="6"/>
      <c r="C64913" s="6"/>
      <c r="D64913" s="6"/>
      <c r="E64913" s="6"/>
      <c r="F64913" s="6"/>
      <c r="G64913" s="6"/>
      <c r="H64913" s="6"/>
      <c r="I64913" s="6"/>
      <c r="J64913" s="6"/>
      <c r="K64913" s="6"/>
      <c r="L64913" s="6"/>
      <c r="M64913" s="6"/>
      <c r="N64913" s="6"/>
      <c r="O64913" s="6"/>
      <c r="P64913" s="6"/>
      <c r="Q64913" s="6"/>
      <c r="R64913" s="6"/>
      <c r="S64913" s="6"/>
      <c r="T64913" s="6"/>
      <c r="U64913" s="6"/>
      <c r="V64913" s="6"/>
      <c r="W64913" s="6"/>
      <c r="X64913" s="6"/>
      <c r="Y64913" s="6"/>
      <c r="Z64913" s="6"/>
      <c r="AA64913" s="6"/>
      <c r="AB64913" s="6"/>
      <c r="AC64913" s="6"/>
      <c r="AD64913" s="6"/>
      <c r="AE64913" s="6"/>
      <c r="AF64913" s="6"/>
      <c r="AG64913" s="6"/>
      <c r="AH64913" s="6"/>
      <c r="AI64913" s="6"/>
      <c r="AJ64913" s="6"/>
      <c r="AK64913" s="6"/>
      <c r="AL64913" s="6"/>
      <c r="AM64913" s="6"/>
    </row>
    <row r="64914" spans="2:39" ht="9.9499999999999993" hidden="1" customHeight="1" x14ac:dyDescent="0.2">
      <c r="B64914" s="6"/>
      <c r="C64914" s="6"/>
      <c r="D64914" s="6"/>
      <c r="E64914" s="6"/>
      <c r="F64914" s="6"/>
      <c r="G64914" s="6"/>
      <c r="H64914" s="6"/>
      <c r="I64914" s="6"/>
      <c r="J64914" s="6"/>
      <c r="K64914" s="6"/>
      <c r="L64914" s="6"/>
      <c r="M64914" s="6"/>
      <c r="N64914" s="6"/>
      <c r="O64914" s="6"/>
      <c r="P64914" s="6"/>
      <c r="Q64914" s="6"/>
      <c r="R64914" s="6"/>
      <c r="S64914" s="6"/>
      <c r="T64914" s="6"/>
      <c r="U64914" s="6"/>
      <c r="V64914" s="6"/>
      <c r="W64914" s="6"/>
      <c r="X64914" s="6"/>
      <c r="Y64914" s="6"/>
      <c r="Z64914" s="6"/>
      <c r="AA64914" s="6"/>
      <c r="AB64914" s="6"/>
      <c r="AC64914" s="6"/>
      <c r="AD64914" s="6"/>
      <c r="AE64914" s="6"/>
      <c r="AF64914" s="6"/>
      <c r="AG64914" s="6"/>
      <c r="AH64914" s="6"/>
      <c r="AI64914" s="6"/>
      <c r="AJ64914" s="6"/>
      <c r="AK64914" s="6"/>
      <c r="AL64914" s="6"/>
      <c r="AM64914" s="6"/>
    </row>
    <row r="64915" spans="2:39" ht="9.9499999999999993" hidden="1" customHeight="1" x14ac:dyDescent="0.2">
      <c r="B64915" s="6"/>
      <c r="C64915" s="6"/>
      <c r="D64915" s="6"/>
      <c r="E64915" s="6"/>
      <c r="F64915" s="6"/>
      <c r="G64915" s="6"/>
      <c r="H64915" s="6"/>
      <c r="I64915" s="6"/>
      <c r="J64915" s="6"/>
      <c r="K64915" s="6"/>
      <c r="L64915" s="6"/>
      <c r="M64915" s="6"/>
      <c r="N64915" s="6"/>
      <c r="O64915" s="6"/>
      <c r="P64915" s="6"/>
      <c r="Q64915" s="6"/>
      <c r="R64915" s="6"/>
      <c r="S64915" s="6"/>
      <c r="T64915" s="6"/>
      <c r="U64915" s="6"/>
      <c r="V64915" s="6"/>
      <c r="W64915" s="6"/>
      <c r="X64915" s="6"/>
      <c r="Y64915" s="6"/>
      <c r="Z64915" s="6"/>
      <c r="AA64915" s="6"/>
      <c r="AB64915" s="6"/>
      <c r="AC64915" s="6"/>
      <c r="AD64915" s="6"/>
      <c r="AE64915" s="6"/>
      <c r="AF64915" s="6"/>
      <c r="AG64915" s="6"/>
      <c r="AH64915" s="6"/>
      <c r="AI64915" s="6"/>
      <c r="AJ64915" s="6"/>
      <c r="AK64915" s="6"/>
      <c r="AL64915" s="6"/>
      <c r="AM64915" s="6"/>
    </row>
    <row r="64916" spans="2:39" ht="9.9499999999999993" hidden="1" customHeight="1" x14ac:dyDescent="0.2">
      <c r="B64916" s="6"/>
      <c r="C64916" s="6"/>
      <c r="D64916" s="6"/>
      <c r="E64916" s="6"/>
      <c r="F64916" s="6"/>
      <c r="G64916" s="6"/>
      <c r="H64916" s="6"/>
      <c r="I64916" s="6"/>
      <c r="J64916" s="6"/>
      <c r="K64916" s="6"/>
      <c r="L64916" s="6"/>
      <c r="M64916" s="6"/>
      <c r="N64916" s="6"/>
      <c r="O64916" s="6"/>
      <c r="P64916" s="6"/>
      <c r="Q64916" s="6"/>
      <c r="R64916" s="6"/>
      <c r="S64916" s="6"/>
      <c r="T64916" s="6"/>
      <c r="U64916" s="6"/>
      <c r="V64916" s="6"/>
      <c r="W64916" s="6"/>
      <c r="X64916" s="6"/>
      <c r="Y64916" s="6"/>
      <c r="Z64916" s="6"/>
      <c r="AA64916" s="6"/>
      <c r="AB64916" s="6"/>
      <c r="AC64916" s="6"/>
      <c r="AD64916" s="6"/>
      <c r="AE64916" s="6"/>
      <c r="AF64916" s="6"/>
      <c r="AG64916" s="6"/>
      <c r="AH64916" s="6"/>
      <c r="AI64916" s="6"/>
      <c r="AJ64916" s="6"/>
      <c r="AK64916" s="6"/>
      <c r="AL64916" s="6"/>
      <c r="AM64916" s="6"/>
    </row>
    <row r="64917" spans="2:39" ht="9.9499999999999993" hidden="1" customHeight="1" x14ac:dyDescent="0.2">
      <c r="B64917" s="6"/>
      <c r="C64917" s="6"/>
      <c r="D64917" s="6"/>
      <c r="E64917" s="6"/>
      <c r="F64917" s="6"/>
      <c r="G64917" s="6"/>
      <c r="H64917" s="6"/>
      <c r="I64917" s="6"/>
      <c r="J64917" s="6"/>
      <c r="K64917" s="6"/>
      <c r="L64917" s="6"/>
      <c r="M64917" s="6"/>
      <c r="N64917" s="6"/>
      <c r="O64917" s="6"/>
      <c r="P64917" s="6"/>
      <c r="Q64917" s="6"/>
      <c r="R64917" s="6"/>
      <c r="S64917" s="6"/>
      <c r="T64917" s="6"/>
      <c r="U64917" s="6"/>
      <c r="V64917" s="6"/>
      <c r="W64917" s="6"/>
      <c r="X64917" s="6"/>
      <c r="Y64917" s="6"/>
      <c r="Z64917" s="6"/>
      <c r="AA64917" s="6"/>
      <c r="AB64917" s="6"/>
      <c r="AC64917" s="6"/>
      <c r="AD64917" s="6"/>
      <c r="AE64917" s="6"/>
      <c r="AF64917" s="6"/>
      <c r="AG64917" s="6"/>
      <c r="AH64917" s="6"/>
      <c r="AI64917" s="6"/>
      <c r="AJ64917" s="6"/>
      <c r="AK64917" s="6"/>
      <c r="AL64917" s="6"/>
      <c r="AM64917" s="6"/>
    </row>
    <row r="64918" spans="2:39" ht="9.9499999999999993" hidden="1" customHeight="1" x14ac:dyDescent="0.2">
      <c r="B64918" s="6"/>
      <c r="C64918" s="6"/>
      <c r="D64918" s="6"/>
      <c r="E64918" s="6"/>
      <c r="F64918" s="6"/>
      <c r="G64918" s="6"/>
      <c r="H64918" s="6"/>
      <c r="I64918" s="6"/>
      <c r="J64918" s="6"/>
      <c r="K64918" s="6"/>
      <c r="L64918" s="6"/>
      <c r="M64918" s="6"/>
      <c r="N64918" s="6"/>
      <c r="O64918" s="6"/>
      <c r="P64918" s="6"/>
      <c r="Q64918" s="6"/>
      <c r="R64918" s="6"/>
      <c r="S64918" s="6"/>
      <c r="T64918" s="6"/>
      <c r="U64918" s="6"/>
      <c r="V64918" s="6"/>
      <c r="W64918" s="6"/>
      <c r="X64918" s="6"/>
      <c r="Y64918" s="6"/>
      <c r="Z64918" s="6"/>
      <c r="AA64918" s="6"/>
      <c r="AB64918" s="6"/>
      <c r="AC64918" s="6"/>
      <c r="AD64918" s="6"/>
      <c r="AE64918" s="6"/>
      <c r="AF64918" s="6"/>
      <c r="AG64918" s="6"/>
      <c r="AH64918" s="6"/>
      <c r="AI64918" s="6"/>
      <c r="AJ64918" s="6"/>
      <c r="AK64918" s="6"/>
      <c r="AL64918" s="6"/>
      <c r="AM64918" s="6"/>
    </row>
    <row r="64919" spans="2:39" ht="9.9499999999999993" hidden="1" customHeight="1" x14ac:dyDescent="0.2">
      <c r="B64919" s="6"/>
      <c r="C64919" s="6"/>
      <c r="D64919" s="6"/>
      <c r="E64919" s="6"/>
      <c r="F64919" s="6"/>
      <c r="G64919" s="6"/>
      <c r="H64919" s="6"/>
      <c r="I64919" s="6"/>
      <c r="J64919" s="6"/>
      <c r="K64919" s="6"/>
      <c r="L64919" s="6"/>
      <c r="M64919" s="6"/>
      <c r="N64919" s="6"/>
      <c r="O64919" s="6"/>
      <c r="P64919" s="6"/>
      <c r="Q64919" s="6"/>
      <c r="R64919" s="6"/>
      <c r="S64919" s="6"/>
      <c r="T64919" s="6"/>
      <c r="U64919" s="6"/>
      <c r="V64919" s="6"/>
      <c r="W64919" s="6"/>
      <c r="X64919" s="6"/>
      <c r="Y64919" s="6"/>
      <c r="Z64919" s="6"/>
      <c r="AA64919" s="6"/>
      <c r="AB64919" s="6"/>
      <c r="AC64919" s="6"/>
      <c r="AD64919" s="6"/>
      <c r="AE64919" s="6"/>
      <c r="AF64919" s="6"/>
      <c r="AG64919" s="6"/>
      <c r="AH64919" s="6"/>
      <c r="AI64919" s="6"/>
      <c r="AJ64919" s="6"/>
      <c r="AK64919" s="6"/>
      <c r="AL64919" s="6"/>
      <c r="AM64919" s="6"/>
    </row>
    <row r="64920" spans="2:39" ht="9.9499999999999993" hidden="1" customHeight="1" x14ac:dyDescent="0.2">
      <c r="B64920" s="6"/>
      <c r="C64920" s="6"/>
      <c r="D64920" s="6"/>
      <c r="E64920" s="6"/>
      <c r="F64920" s="6"/>
      <c r="G64920" s="6"/>
      <c r="H64920" s="6"/>
      <c r="I64920" s="6"/>
      <c r="J64920" s="6"/>
      <c r="K64920" s="6"/>
      <c r="L64920" s="6"/>
      <c r="M64920" s="6"/>
      <c r="N64920" s="6"/>
      <c r="O64920" s="6"/>
      <c r="P64920" s="6"/>
      <c r="Q64920" s="6"/>
      <c r="R64920" s="6"/>
      <c r="S64920" s="6"/>
      <c r="T64920" s="6"/>
      <c r="U64920" s="6"/>
      <c r="V64920" s="6"/>
      <c r="W64920" s="6"/>
      <c r="X64920" s="6"/>
      <c r="Y64920" s="6"/>
      <c r="Z64920" s="6"/>
      <c r="AA64920" s="6"/>
      <c r="AB64920" s="6"/>
      <c r="AC64920" s="6"/>
      <c r="AD64920" s="6"/>
      <c r="AE64920" s="6"/>
      <c r="AF64920" s="6"/>
      <c r="AG64920" s="6"/>
      <c r="AH64920" s="6"/>
      <c r="AI64920" s="6"/>
      <c r="AJ64920" s="6"/>
      <c r="AK64920" s="6"/>
      <c r="AL64920" s="6"/>
      <c r="AM64920" s="6"/>
    </row>
    <row r="64921" spans="2:39" ht="9.9499999999999993" hidden="1" customHeight="1" x14ac:dyDescent="0.2">
      <c r="B64921" s="6"/>
      <c r="C64921" s="6"/>
      <c r="D64921" s="6"/>
      <c r="E64921" s="6"/>
      <c r="F64921" s="6"/>
      <c r="G64921" s="6"/>
      <c r="H64921" s="6"/>
      <c r="I64921" s="6"/>
      <c r="J64921" s="6"/>
      <c r="K64921" s="6"/>
      <c r="L64921" s="6"/>
      <c r="M64921" s="6"/>
      <c r="N64921" s="6"/>
      <c r="O64921" s="6"/>
      <c r="P64921" s="6"/>
      <c r="Q64921" s="6"/>
      <c r="R64921" s="6"/>
      <c r="S64921" s="6"/>
      <c r="T64921" s="6"/>
      <c r="U64921" s="6"/>
      <c r="V64921" s="6"/>
      <c r="W64921" s="6"/>
      <c r="X64921" s="6"/>
      <c r="Y64921" s="6"/>
      <c r="Z64921" s="6"/>
      <c r="AA64921" s="6"/>
      <c r="AB64921" s="6"/>
      <c r="AC64921" s="6"/>
      <c r="AD64921" s="6"/>
      <c r="AE64921" s="6"/>
      <c r="AF64921" s="6"/>
      <c r="AG64921" s="6"/>
      <c r="AH64921" s="6"/>
      <c r="AI64921" s="6"/>
      <c r="AJ64921" s="6"/>
      <c r="AK64921" s="6"/>
      <c r="AL64921" s="6"/>
      <c r="AM64921" s="6"/>
    </row>
    <row r="64922" spans="2:39" ht="9.9499999999999993" hidden="1" customHeight="1" x14ac:dyDescent="0.2">
      <c r="B64922" s="6"/>
      <c r="C64922" s="6"/>
      <c r="D64922" s="6"/>
      <c r="E64922" s="6"/>
      <c r="F64922" s="6"/>
      <c r="G64922" s="6"/>
      <c r="H64922" s="6"/>
      <c r="I64922" s="6"/>
      <c r="J64922" s="6"/>
      <c r="K64922" s="6"/>
      <c r="L64922" s="6"/>
      <c r="M64922" s="6"/>
      <c r="N64922" s="6"/>
      <c r="O64922" s="6"/>
      <c r="P64922" s="6"/>
      <c r="Q64922" s="6"/>
      <c r="R64922" s="6"/>
      <c r="S64922" s="6"/>
      <c r="T64922" s="6"/>
      <c r="U64922" s="6"/>
      <c r="V64922" s="6"/>
      <c r="W64922" s="6"/>
      <c r="X64922" s="6"/>
      <c r="Y64922" s="6"/>
      <c r="Z64922" s="6"/>
      <c r="AA64922" s="6"/>
      <c r="AB64922" s="6"/>
      <c r="AC64922" s="6"/>
      <c r="AD64922" s="6"/>
      <c r="AE64922" s="6"/>
      <c r="AF64922" s="6"/>
      <c r="AG64922" s="6"/>
      <c r="AH64922" s="6"/>
      <c r="AI64922" s="6"/>
      <c r="AJ64922" s="6"/>
      <c r="AK64922" s="6"/>
      <c r="AL64922" s="6"/>
      <c r="AM64922" s="6"/>
    </row>
    <row r="64923" spans="2:39" ht="9.9499999999999993" hidden="1" customHeight="1" x14ac:dyDescent="0.2">
      <c r="B64923" s="6"/>
      <c r="C64923" s="6"/>
      <c r="D64923" s="6"/>
      <c r="E64923" s="6"/>
      <c r="F64923" s="6"/>
      <c r="G64923" s="6"/>
      <c r="H64923" s="6"/>
      <c r="I64923" s="6"/>
      <c r="J64923" s="6"/>
      <c r="K64923" s="6"/>
      <c r="L64923" s="6"/>
      <c r="M64923" s="6"/>
      <c r="N64923" s="6"/>
      <c r="O64923" s="6"/>
      <c r="P64923" s="6"/>
      <c r="Q64923" s="6"/>
      <c r="R64923" s="6"/>
      <c r="S64923" s="6"/>
      <c r="T64923" s="6"/>
      <c r="U64923" s="6"/>
      <c r="V64923" s="6"/>
      <c r="W64923" s="6"/>
      <c r="X64923" s="6"/>
      <c r="Y64923" s="6"/>
      <c r="Z64923" s="6"/>
      <c r="AA64923" s="6"/>
      <c r="AB64923" s="6"/>
      <c r="AC64923" s="6"/>
      <c r="AD64923" s="6"/>
      <c r="AE64923" s="6"/>
      <c r="AF64923" s="6"/>
      <c r="AG64923" s="6"/>
      <c r="AH64923" s="6"/>
      <c r="AI64923" s="6"/>
      <c r="AJ64923" s="6"/>
      <c r="AK64923" s="6"/>
      <c r="AL64923" s="6"/>
      <c r="AM64923" s="6"/>
    </row>
    <row r="64924" spans="2:39" ht="9.9499999999999993" hidden="1" customHeight="1" x14ac:dyDescent="0.2">
      <c r="B64924" s="6"/>
      <c r="C64924" s="6"/>
      <c r="D64924" s="6"/>
      <c r="E64924" s="6"/>
      <c r="F64924" s="6"/>
      <c r="G64924" s="6"/>
      <c r="H64924" s="6"/>
      <c r="I64924" s="6"/>
      <c r="J64924" s="6"/>
      <c r="K64924" s="6"/>
      <c r="L64924" s="6"/>
      <c r="M64924" s="6"/>
      <c r="N64924" s="6"/>
      <c r="O64924" s="6"/>
      <c r="P64924" s="6"/>
      <c r="Q64924" s="6"/>
      <c r="R64924" s="6"/>
      <c r="S64924" s="6"/>
      <c r="T64924" s="6"/>
      <c r="U64924" s="6"/>
      <c r="V64924" s="6"/>
      <c r="W64924" s="6"/>
      <c r="X64924" s="6"/>
      <c r="Y64924" s="6"/>
      <c r="Z64924" s="6"/>
      <c r="AA64924" s="6"/>
      <c r="AB64924" s="6"/>
      <c r="AC64924" s="6"/>
      <c r="AD64924" s="6"/>
      <c r="AE64924" s="6"/>
      <c r="AF64924" s="6"/>
      <c r="AG64924" s="6"/>
      <c r="AH64924" s="6"/>
      <c r="AI64924" s="6"/>
      <c r="AJ64924" s="6"/>
      <c r="AK64924" s="6"/>
      <c r="AL64924" s="6"/>
      <c r="AM64924" s="6"/>
    </row>
    <row r="64925" spans="2:39" ht="9.9499999999999993" hidden="1" customHeight="1" x14ac:dyDescent="0.2">
      <c r="B64925" s="6"/>
      <c r="C64925" s="6"/>
      <c r="D64925" s="6"/>
      <c r="E64925" s="6"/>
      <c r="F64925" s="6"/>
      <c r="G64925" s="6"/>
      <c r="H64925" s="6"/>
      <c r="I64925" s="6"/>
      <c r="J64925" s="6"/>
      <c r="K64925" s="6"/>
      <c r="L64925" s="6"/>
      <c r="M64925" s="6"/>
      <c r="N64925" s="6"/>
      <c r="O64925" s="6"/>
      <c r="P64925" s="6"/>
      <c r="Q64925" s="6"/>
      <c r="R64925" s="6"/>
      <c r="S64925" s="6"/>
      <c r="T64925" s="6"/>
      <c r="U64925" s="6"/>
      <c r="V64925" s="6"/>
      <c r="W64925" s="6"/>
      <c r="X64925" s="6"/>
      <c r="Y64925" s="6"/>
      <c r="Z64925" s="6"/>
      <c r="AA64925" s="6"/>
      <c r="AB64925" s="6"/>
      <c r="AC64925" s="6"/>
      <c r="AD64925" s="6"/>
      <c r="AE64925" s="6"/>
      <c r="AF64925" s="6"/>
      <c r="AG64925" s="6"/>
      <c r="AH64925" s="6"/>
      <c r="AI64925" s="6"/>
      <c r="AJ64925" s="6"/>
      <c r="AK64925" s="6"/>
      <c r="AL64925" s="6"/>
      <c r="AM64925" s="6"/>
    </row>
    <row r="64926" spans="2:39" ht="9.9499999999999993" hidden="1" customHeight="1" x14ac:dyDescent="0.2">
      <c r="B64926" s="6"/>
      <c r="C64926" s="6"/>
      <c r="D64926" s="6"/>
      <c r="E64926" s="6"/>
      <c r="F64926" s="6"/>
      <c r="G64926" s="6"/>
      <c r="H64926" s="6"/>
      <c r="I64926" s="6"/>
      <c r="J64926" s="6"/>
      <c r="K64926" s="6"/>
      <c r="L64926" s="6"/>
      <c r="M64926" s="6"/>
      <c r="N64926" s="6"/>
      <c r="O64926" s="6"/>
      <c r="P64926" s="6"/>
      <c r="Q64926" s="6"/>
      <c r="R64926" s="6"/>
      <c r="S64926" s="6"/>
      <c r="T64926" s="6"/>
      <c r="U64926" s="6"/>
      <c r="V64926" s="6"/>
      <c r="W64926" s="6"/>
      <c r="X64926" s="6"/>
      <c r="Y64926" s="6"/>
      <c r="Z64926" s="6"/>
      <c r="AA64926" s="6"/>
      <c r="AB64926" s="6"/>
      <c r="AC64926" s="6"/>
      <c r="AD64926" s="6"/>
      <c r="AE64926" s="6"/>
      <c r="AF64926" s="6"/>
      <c r="AG64926" s="6"/>
      <c r="AH64926" s="6"/>
      <c r="AI64926" s="6"/>
      <c r="AJ64926" s="6"/>
      <c r="AK64926" s="6"/>
      <c r="AL64926" s="6"/>
      <c r="AM64926" s="6"/>
    </row>
    <row r="64927" spans="2:39" ht="9.9499999999999993" hidden="1" customHeight="1" x14ac:dyDescent="0.2">
      <c r="B64927" s="6"/>
      <c r="C64927" s="6"/>
      <c r="D64927" s="6"/>
      <c r="E64927" s="6"/>
      <c r="F64927" s="6"/>
      <c r="G64927" s="6"/>
      <c r="H64927" s="6"/>
      <c r="I64927" s="6"/>
      <c r="J64927" s="6"/>
      <c r="K64927" s="6"/>
      <c r="L64927" s="6"/>
      <c r="M64927" s="6"/>
      <c r="N64927" s="6"/>
      <c r="O64927" s="6"/>
      <c r="P64927" s="6"/>
      <c r="Q64927" s="6"/>
      <c r="R64927" s="6"/>
      <c r="S64927" s="6"/>
      <c r="T64927" s="6"/>
      <c r="U64927" s="6"/>
      <c r="V64927" s="6"/>
      <c r="W64927" s="6"/>
      <c r="X64927" s="6"/>
      <c r="Y64927" s="6"/>
      <c r="Z64927" s="6"/>
      <c r="AA64927" s="6"/>
      <c r="AB64927" s="6"/>
      <c r="AC64927" s="6"/>
      <c r="AD64927" s="6"/>
      <c r="AE64927" s="6"/>
      <c r="AF64927" s="6"/>
      <c r="AG64927" s="6"/>
      <c r="AH64927" s="6"/>
      <c r="AI64927" s="6"/>
      <c r="AJ64927" s="6"/>
      <c r="AK64927" s="6"/>
      <c r="AL64927" s="6"/>
      <c r="AM64927" s="6"/>
    </row>
    <row r="64928" spans="2:39" ht="9.9499999999999993" hidden="1" customHeight="1" x14ac:dyDescent="0.2">
      <c r="B64928" s="6"/>
      <c r="C64928" s="6"/>
      <c r="D64928" s="6"/>
      <c r="E64928" s="6"/>
      <c r="F64928" s="6"/>
      <c r="G64928" s="6"/>
      <c r="H64928" s="6"/>
      <c r="I64928" s="6"/>
      <c r="J64928" s="6"/>
      <c r="K64928" s="6"/>
      <c r="L64928" s="6"/>
      <c r="M64928" s="6"/>
      <c r="N64928" s="6"/>
      <c r="O64928" s="6"/>
      <c r="P64928" s="6"/>
      <c r="Q64928" s="6"/>
      <c r="R64928" s="6"/>
      <c r="S64928" s="6"/>
      <c r="T64928" s="6"/>
      <c r="U64928" s="6"/>
      <c r="V64928" s="6"/>
      <c r="W64928" s="6"/>
      <c r="X64928" s="6"/>
      <c r="Y64928" s="6"/>
      <c r="Z64928" s="6"/>
      <c r="AA64928" s="6"/>
      <c r="AB64928" s="6"/>
      <c r="AC64928" s="6"/>
      <c r="AD64928" s="6"/>
      <c r="AE64928" s="6"/>
      <c r="AF64928" s="6"/>
      <c r="AG64928" s="6"/>
      <c r="AH64928" s="6"/>
      <c r="AI64928" s="6"/>
      <c r="AJ64928" s="6"/>
      <c r="AK64928" s="6"/>
      <c r="AL64928" s="6"/>
      <c r="AM64928" s="6"/>
    </row>
    <row r="64929" spans="2:39" ht="9.9499999999999993" hidden="1" customHeight="1" x14ac:dyDescent="0.2">
      <c r="B64929" s="6"/>
      <c r="C64929" s="6"/>
      <c r="D64929" s="6"/>
      <c r="E64929" s="6"/>
      <c r="F64929" s="6"/>
      <c r="G64929" s="6"/>
      <c r="H64929" s="6"/>
      <c r="I64929" s="6"/>
      <c r="J64929" s="6"/>
      <c r="K64929" s="6"/>
      <c r="L64929" s="6"/>
      <c r="M64929" s="6"/>
      <c r="N64929" s="6"/>
      <c r="O64929" s="6"/>
      <c r="P64929" s="6"/>
      <c r="Q64929" s="6"/>
      <c r="R64929" s="6"/>
      <c r="S64929" s="6"/>
      <c r="T64929" s="6"/>
      <c r="U64929" s="6"/>
      <c r="V64929" s="6"/>
      <c r="W64929" s="6"/>
      <c r="X64929" s="6"/>
      <c r="Y64929" s="6"/>
      <c r="Z64929" s="6"/>
      <c r="AA64929" s="6"/>
      <c r="AB64929" s="6"/>
      <c r="AC64929" s="6"/>
      <c r="AD64929" s="6"/>
      <c r="AE64929" s="6"/>
      <c r="AF64929" s="6"/>
      <c r="AG64929" s="6"/>
      <c r="AH64929" s="6"/>
      <c r="AI64929" s="6"/>
      <c r="AJ64929" s="6"/>
      <c r="AK64929" s="6"/>
      <c r="AL64929" s="6"/>
      <c r="AM64929" s="6"/>
    </row>
    <row r="64930" spans="2:39" ht="9.9499999999999993" hidden="1" customHeight="1" x14ac:dyDescent="0.2">
      <c r="B64930" s="6"/>
      <c r="C64930" s="6"/>
      <c r="D64930" s="6"/>
      <c r="E64930" s="6"/>
      <c r="F64930" s="6"/>
      <c r="G64930" s="6"/>
      <c r="H64930" s="6"/>
      <c r="I64930" s="6"/>
      <c r="J64930" s="6"/>
      <c r="K64930" s="6"/>
      <c r="L64930" s="6"/>
      <c r="M64930" s="6"/>
      <c r="N64930" s="6"/>
      <c r="O64930" s="6"/>
      <c r="P64930" s="6"/>
      <c r="Q64930" s="6"/>
      <c r="R64930" s="6"/>
      <c r="S64930" s="6"/>
      <c r="T64930" s="6"/>
      <c r="U64930" s="6"/>
      <c r="V64930" s="6"/>
      <c r="W64930" s="6"/>
      <c r="X64930" s="6"/>
      <c r="Y64930" s="6"/>
      <c r="Z64930" s="6"/>
      <c r="AA64930" s="6"/>
      <c r="AB64930" s="6"/>
      <c r="AC64930" s="6"/>
      <c r="AD64930" s="6"/>
      <c r="AE64930" s="6"/>
      <c r="AF64930" s="6"/>
      <c r="AG64930" s="6"/>
      <c r="AH64930" s="6"/>
      <c r="AI64930" s="6"/>
      <c r="AJ64930" s="6"/>
      <c r="AK64930" s="6"/>
      <c r="AL64930" s="6"/>
      <c r="AM64930" s="6"/>
    </row>
    <row r="64931" spans="2:39" ht="9.9499999999999993" hidden="1" customHeight="1" x14ac:dyDescent="0.2">
      <c r="B64931" s="6"/>
      <c r="C64931" s="6"/>
      <c r="D64931" s="6"/>
      <c r="E64931" s="6"/>
      <c r="F64931" s="6"/>
      <c r="G64931" s="6"/>
      <c r="H64931" s="6"/>
      <c r="I64931" s="6"/>
      <c r="J64931" s="6"/>
      <c r="K64931" s="6"/>
      <c r="L64931" s="6"/>
      <c r="M64931" s="6"/>
      <c r="N64931" s="6"/>
      <c r="O64931" s="6"/>
      <c r="P64931" s="6"/>
      <c r="Q64931" s="6"/>
      <c r="R64931" s="6"/>
      <c r="S64931" s="6"/>
      <c r="T64931" s="6"/>
      <c r="U64931" s="6"/>
      <c r="V64931" s="6"/>
      <c r="W64931" s="6"/>
      <c r="X64931" s="6"/>
      <c r="Y64931" s="6"/>
      <c r="Z64931" s="6"/>
      <c r="AA64931" s="6"/>
      <c r="AB64931" s="6"/>
      <c r="AC64931" s="6"/>
      <c r="AD64931" s="6"/>
      <c r="AE64931" s="6"/>
      <c r="AF64931" s="6"/>
      <c r="AG64931" s="6"/>
      <c r="AH64931" s="6"/>
      <c r="AI64931" s="6"/>
      <c r="AJ64931" s="6"/>
      <c r="AK64931" s="6"/>
      <c r="AL64931" s="6"/>
      <c r="AM64931" s="6"/>
    </row>
    <row r="64932" spans="2:39" ht="9.9499999999999993" hidden="1" customHeight="1" x14ac:dyDescent="0.2">
      <c r="B64932" s="6"/>
      <c r="C64932" s="6"/>
      <c r="D64932" s="6"/>
      <c r="E64932" s="6"/>
      <c r="F64932" s="6"/>
      <c r="G64932" s="6"/>
      <c r="H64932" s="6"/>
      <c r="I64932" s="6"/>
      <c r="J64932" s="6"/>
      <c r="K64932" s="6"/>
      <c r="L64932" s="6"/>
      <c r="M64932" s="6"/>
      <c r="N64932" s="6"/>
      <c r="O64932" s="6"/>
      <c r="P64932" s="6"/>
      <c r="Q64932" s="6"/>
      <c r="R64932" s="6"/>
      <c r="S64932" s="6"/>
      <c r="T64932" s="6"/>
      <c r="U64932" s="6"/>
      <c r="V64932" s="6"/>
      <c r="W64932" s="6"/>
      <c r="X64932" s="6"/>
      <c r="Y64932" s="6"/>
      <c r="Z64932" s="6"/>
      <c r="AA64932" s="6"/>
      <c r="AB64932" s="6"/>
      <c r="AC64932" s="6"/>
      <c r="AD64932" s="6"/>
      <c r="AE64932" s="6"/>
      <c r="AF64932" s="6"/>
      <c r="AG64932" s="6"/>
      <c r="AH64932" s="6"/>
      <c r="AI64932" s="6"/>
      <c r="AJ64932" s="6"/>
      <c r="AK64932" s="6"/>
      <c r="AL64932" s="6"/>
      <c r="AM64932" s="6"/>
    </row>
    <row r="64933" spans="2:39" ht="9.9499999999999993" hidden="1" customHeight="1" x14ac:dyDescent="0.2">
      <c r="B64933" s="6"/>
      <c r="C64933" s="6"/>
      <c r="D64933" s="6"/>
      <c r="E64933" s="6"/>
      <c r="F64933" s="6"/>
      <c r="G64933" s="6"/>
      <c r="H64933" s="6"/>
      <c r="I64933" s="6"/>
      <c r="J64933" s="6"/>
      <c r="K64933" s="6"/>
      <c r="L64933" s="6"/>
      <c r="M64933" s="6"/>
      <c r="N64933" s="6"/>
      <c r="O64933" s="6"/>
      <c r="P64933" s="6"/>
      <c r="Q64933" s="6"/>
      <c r="R64933" s="6"/>
      <c r="S64933" s="6"/>
      <c r="T64933" s="6"/>
      <c r="U64933" s="6"/>
      <c r="V64933" s="6"/>
      <c r="W64933" s="6"/>
      <c r="X64933" s="6"/>
      <c r="Y64933" s="6"/>
      <c r="Z64933" s="6"/>
      <c r="AA64933" s="6"/>
      <c r="AB64933" s="6"/>
      <c r="AC64933" s="6"/>
      <c r="AD64933" s="6"/>
      <c r="AE64933" s="6"/>
      <c r="AF64933" s="6"/>
      <c r="AG64933" s="6"/>
      <c r="AH64933" s="6"/>
      <c r="AI64933" s="6"/>
      <c r="AJ64933" s="6"/>
      <c r="AK64933" s="6"/>
      <c r="AL64933" s="6"/>
      <c r="AM64933" s="6"/>
    </row>
    <row r="64934" spans="2:39" ht="9.9499999999999993" hidden="1" customHeight="1" x14ac:dyDescent="0.2">
      <c r="B64934" s="6"/>
      <c r="C64934" s="6"/>
      <c r="D64934" s="6"/>
      <c r="E64934" s="6"/>
      <c r="F64934" s="6"/>
      <c r="G64934" s="6"/>
      <c r="H64934" s="6"/>
      <c r="I64934" s="6"/>
      <c r="J64934" s="6"/>
      <c r="K64934" s="6"/>
      <c r="L64934" s="6"/>
      <c r="M64934" s="6"/>
      <c r="N64934" s="6"/>
      <c r="O64934" s="6"/>
      <c r="P64934" s="6"/>
      <c r="Q64934" s="6"/>
      <c r="R64934" s="6"/>
      <c r="S64934" s="6"/>
      <c r="T64934" s="6"/>
      <c r="U64934" s="6"/>
      <c r="V64934" s="6"/>
      <c r="W64934" s="6"/>
      <c r="X64934" s="6"/>
      <c r="Y64934" s="6"/>
      <c r="Z64934" s="6"/>
      <c r="AA64934" s="6"/>
      <c r="AB64934" s="6"/>
      <c r="AC64934" s="6"/>
      <c r="AD64934" s="6"/>
      <c r="AE64934" s="6"/>
      <c r="AF64934" s="6"/>
      <c r="AG64934" s="6"/>
      <c r="AH64934" s="6"/>
      <c r="AI64934" s="6"/>
      <c r="AJ64934" s="6"/>
      <c r="AK64934" s="6"/>
      <c r="AL64934" s="6"/>
      <c r="AM64934" s="6"/>
    </row>
    <row r="64935" spans="2:39" ht="9.9499999999999993" hidden="1" customHeight="1" x14ac:dyDescent="0.2">
      <c r="B64935" s="6"/>
      <c r="C64935" s="6"/>
      <c r="D64935" s="6"/>
      <c r="E64935" s="6"/>
      <c r="F64935" s="6"/>
      <c r="G64935" s="6"/>
      <c r="H64935" s="6"/>
      <c r="I64935" s="6"/>
      <c r="J64935" s="6"/>
      <c r="K64935" s="6"/>
      <c r="L64935" s="6"/>
      <c r="M64935" s="6"/>
      <c r="N64935" s="6"/>
      <c r="O64935" s="6"/>
      <c r="P64935" s="6"/>
      <c r="Q64935" s="6"/>
      <c r="R64935" s="6"/>
      <c r="S64935" s="6"/>
      <c r="T64935" s="6"/>
      <c r="U64935" s="6"/>
      <c r="V64935" s="6"/>
      <c r="W64935" s="6"/>
      <c r="X64935" s="6"/>
      <c r="Y64935" s="6"/>
      <c r="Z64935" s="6"/>
      <c r="AA64935" s="6"/>
      <c r="AB64935" s="6"/>
      <c r="AC64935" s="6"/>
      <c r="AD64935" s="6"/>
      <c r="AE64935" s="6"/>
      <c r="AF64935" s="6"/>
      <c r="AG64935" s="6"/>
      <c r="AH64935" s="6"/>
      <c r="AI64935" s="6"/>
      <c r="AJ64935" s="6"/>
      <c r="AK64935" s="6"/>
      <c r="AL64935" s="6"/>
      <c r="AM64935" s="6"/>
    </row>
    <row r="64936" spans="2:39" ht="9.9499999999999993" hidden="1" customHeight="1" x14ac:dyDescent="0.2">
      <c r="B64936" s="6"/>
      <c r="C64936" s="6"/>
      <c r="D64936" s="6"/>
      <c r="E64936" s="6"/>
      <c r="F64936" s="6"/>
      <c r="G64936" s="6"/>
      <c r="H64936" s="6"/>
      <c r="I64936" s="6"/>
      <c r="J64936" s="6"/>
      <c r="K64936" s="6"/>
      <c r="L64936" s="6"/>
      <c r="M64936" s="6"/>
      <c r="N64936" s="6"/>
      <c r="O64936" s="6"/>
      <c r="P64936" s="6"/>
      <c r="Q64936" s="6"/>
      <c r="R64936" s="6"/>
      <c r="S64936" s="6"/>
      <c r="T64936" s="6"/>
      <c r="U64936" s="6"/>
      <c r="V64936" s="6"/>
      <c r="W64936" s="6"/>
      <c r="X64936" s="6"/>
      <c r="Y64936" s="6"/>
      <c r="Z64936" s="6"/>
      <c r="AA64936" s="6"/>
      <c r="AB64936" s="6"/>
      <c r="AC64936" s="6"/>
      <c r="AD64936" s="6"/>
      <c r="AE64936" s="6"/>
      <c r="AF64936" s="6"/>
      <c r="AG64936" s="6"/>
      <c r="AH64936" s="6"/>
      <c r="AI64936" s="6"/>
      <c r="AJ64936" s="6"/>
      <c r="AK64936" s="6"/>
      <c r="AL64936" s="6"/>
      <c r="AM64936" s="6"/>
    </row>
    <row r="64937" spans="2:39" ht="9.9499999999999993" hidden="1" customHeight="1" x14ac:dyDescent="0.2">
      <c r="B64937" s="6"/>
      <c r="C64937" s="6"/>
      <c r="D64937" s="6"/>
      <c r="E64937" s="6"/>
      <c r="F64937" s="6"/>
      <c r="G64937" s="6"/>
      <c r="H64937" s="6"/>
      <c r="I64937" s="6"/>
      <c r="J64937" s="6"/>
      <c r="K64937" s="6"/>
      <c r="L64937" s="6"/>
      <c r="M64937" s="6"/>
      <c r="N64937" s="6"/>
      <c r="O64937" s="6"/>
      <c r="P64937" s="6"/>
      <c r="Q64937" s="6"/>
      <c r="R64937" s="6"/>
      <c r="S64937" s="6"/>
      <c r="T64937" s="6"/>
      <c r="U64937" s="6"/>
      <c r="V64937" s="6"/>
      <c r="W64937" s="6"/>
      <c r="X64937" s="6"/>
      <c r="Y64937" s="6"/>
      <c r="Z64937" s="6"/>
      <c r="AA64937" s="6"/>
      <c r="AB64937" s="6"/>
      <c r="AC64937" s="6"/>
      <c r="AD64937" s="6"/>
      <c r="AE64937" s="6"/>
      <c r="AF64937" s="6"/>
      <c r="AG64937" s="6"/>
      <c r="AH64937" s="6"/>
      <c r="AI64937" s="6"/>
      <c r="AJ64937" s="6"/>
      <c r="AK64937" s="6"/>
      <c r="AL64937" s="6"/>
      <c r="AM64937" s="6"/>
    </row>
    <row r="64938" spans="2:39" ht="9.9499999999999993" hidden="1" customHeight="1" x14ac:dyDescent="0.2">
      <c r="B64938" s="6"/>
      <c r="C64938" s="6"/>
      <c r="D64938" s="6"/>
      <c r="E64938" s="6"/>
      <c r="F64938" s="6"/>
      <c r="G64938" s="6"/>
      <c r="H64938" s="6"/>
      <c r="I64938" s="6"/>
      <c r="J64938" s="6"/>
      <c r="K64938" s="6"/>
      <c r="L64938" s="6"/>
      <c r="M64938" s="6"/>
      <c r="N64938" s="6"/>
      <c r="O64938" s="6"/>
      <c r="P64938" s="6"/>
      <c r="Q64938" s="6"/>
      <c r="R64938" s="6"/>
      <c r="S64938" s="6"/>
      <c r="T64938" s="6"/>
      <c r="U64938" s="6"/>
      <c r="V64938" s="6"/>
      <c r="W64938" s="6"/>
      <c r="X64938" s="6"/>
      <c r="Y64938" s="6"/>
      <c r="Z64938" s="6"/>
      <c r="AA64938" s="6"/>
      <c r="AB64938" s="6"/>
      <c r="AC64938" s="6"/>
      <c r="AD64938" s="6"/>
      <c r="AE64938" s="6"/>
      <c r="AF64938" s="6"/>
      <c r="AG64938" s="6"/>
      <c r="AH64938" s="6"/>
      <c r="AI64938" s="6"/>
      <c r="AJ64938" s="6"/>
      <c r="AK64938" s="6"/>
      <c r="AL64938" s="6"/>
      <c r="AM64938" s="6"/>
    </row>
    <row r="64939" spans="2:39" ht="9.9499999999999993" hidden="1" customHeight="1" x14ac:dyDescent="0.2">
      <c r="B64939" s="6"/>
      <c r="C64939" s="6"/>
      <c r="D64939" s="6"/>
      <c r="E64939" s="6"/>
      <c r="F64939" s="6"/>
      <c r="G64939" s="6"/>
      <c r="H64939" s="6"/>
      <c r="I64939" s="6"/>
      <c r="J64939" s="6"/>
      <c r="K64939" s="6"/>
      <c r="L64939" s="6"/>
      <c r="M64939" s="6"/>
      <c r="N64939" s="6"/>
      <c r="O64939" s="6"/>
      <c r="P64939" s="6"/>
      <c r="Q64939" s="6"/>
      <c r="R64939" s="6"/>
      <c r="S64939" s="6"/>
      <c r="T64939" s="6"/>
      <c r="U64939" s="6"/>
      <c r="V64939" s="6"/>
      <c r="W64939" s="6"/>
      <c r="X64939" s="6"/>
      <c r="Y64939" s="6"/>
      <c r="Z64939" s="6"/>
      <c r="AA64939" s="6"/>
      <c r="AB64939" s="6"/>
      <c r="AC64939" s="6"/>
      <c r="AD64939" s="6"/>
      <c r="AE64939" s="6"/>
      <c r="AF64939" s="6"/>
      <c r="AG64939" s="6"/>
      <c r="AH64939" s="6"/>
      <c r="AI64939" s="6"/>
      <c r="AJ64939" s="6"/>
      <c r="AK64939" s="6"/>
      <c r="AL64939" s="6"/>
      <c r="AM64939" s="6"/>
    </row>
    <row r="64940" spans="2:39" ht="9.9499999999999993" hidden="1" customHeight="1" x14ac:dyDescent="0.2">
      <c r="B64940" s="6"/>
      <c r="C64940" s="6"/>
      <c r="D64940" s="6"/>
      <c r="E64940" s="6"/>
      <c r="F64940" s="6"/>
      <c r="G64940" s="6"/>
      <c r="H64940" s="6"/>
      <c r="I64940" s="6"/>
      <c r="J64940" s="6"/>
      <c r="K64940" s="6"/>
      <c r="L64940" s="6"/>
      <c r="M64940" s="6"/>
      <c r="N64940" s="6"/>
      <c r="O64940" s="6"/>
      <c r="P64940" s="6"/>
      <c r="Q64940" s="6"/>
      <c r="R64940" s="6"/>
      <c r="S64940" s="6"/>
      <c r="T64940" s="6"/>
      <c r="U64940" s="6"/>
      <c r="V64940" s="6"/>
      <c r="W64940" s="6"/>
      <c r="X64940" s="6"/>
      <c r="Y64940" s="6"/>
      <c r="Z64940" s="6"/>
      <c r="AA64940" s="6"/>
      <c r="AB64940" s="6"/>
      <c r="AC64940" s="6"/>
      <c r="AD64940" s="6"/>
      <c r="AE64940" s="6"/>
      <c r="AF64940" s="6"/>
      <c r="AG64940" s="6"/>
      <c r="AH64940" s="6"/>
      <c r="AI64940" s="6"/>
      <c r="AJ64940" s="6"/>
      <c r="AK64940" s="6"/>
      <c r="AL64940" s="6"/>
      <c r="AM64940" s="6"/>
    </row>
    <row r="64941" spans="2:39" ht="9.9499999999999993" hidden="1" customHeight="1" x14ac:dyDescent="0.2">
      <c r="B64941" s="6"/>
      <c r="C64941" s="6"/>
      <c r="D64941" s="6"/>
      <c r="E64941" s="6"/>
      <c r="F64941" s="6"/>
      <c r="G64941" s="6"/>
      <c r="H64941" s="6"/>
      <c r="I64941" s="6"/>
      <c r="J64941" s="6"/>
      <c r="K64941" s="6"/>
      <c r="L64941" s="6"/>
      <c r="M64941" s="6"/>
      <c r="N64941" s="6"/>
      <c r="O64941" s="6"/>
      <c r="P64941" s="6"/>
      <c r="Q64941" s="6"/>
      <c r="R64941" s="6"/>
      <c r="S64941" s="6"/>
      <c r="T64941" s="6"/>
      <c r="U64941" s="6"/>
      <c r="V64941" s="6"/>
      <c r="W64941" s="6"/>
      <c r="X64941" s="6"/>
      <c r="Y64941" s="6"/>
      <c r="Z64941" s="6"/>
      <c r="AA64941" s="6"/>
      <c r="AB64941" s="6"/>
      <c r="AC64941" s="6"/>
      <c r="AD64941" s="6"/>
      <c r="AE64941" s="6"/>
      <c r="AF64941" s="6"/>
      <c r="AG64941" s="6"/>
      <c r="AH64941" s="6"/>
      <c r="AI64941" s="6"/>
      <c r="AJ64941" s="6"/>
      <c r="AK64941" s="6"/>
      <c r="AL64941" s="6"/>
      <c r="AM64941" s="6"/>
    </row>
    <row r="64942" spans="2:39" ht="9.9499999999999993" hidden="1" customHeight="1" x14ac:dyDescent="0.2">
      <c r="B64942" s="6"/>
      <c r="C64942" s="6"/>
      <c r="D64942" s="6"/>
      <c r="E64942" s="6"/>
      <c r="F64942" s="6"/>
      <c r="G64942" s="6"/>
      <c r="H64942" s="6"/>
      <c r="I64942" s="6"/>
      <c r="J64942" s="6"/>
      <c r="K64942" s="6"/>
      <c r="L64942" s="6"/>
      <c r="M64942" s="6"/>
      <c r="N64942" s="6"/>
      <c r="O64942" s="6"/>
      <c r="P64942" s="6"/>
      <c r="Q64942" s="6"/>
      <c r="R64942" s="6"/>
      <c r="S64942" s="6"/>
      <c r="T64942" s="6"/>
      <c r="U64942" s="6"/>
      <c r="V64942" s="6"/>
      <c r="W64942" s="6"/>
      <c r="X64942" s="6"/>
      <c r="Y64942" s="6"/>
      <c r="Z64942" s="6"/>
      <c r="AA64942" s="6"/>
      <c r="AB64942" s="6"/>
      <c r="AC64942" s="6"/>
      <c r="AD64942" s="6"/>
      <c r="AE64942" s="6"/>
      <c r="AF64942" s="6"/>
      <c r="AG64942" s="6"/>
      <c r="AH64942" s="6"/>
      <c r="AI64942" s="6"/>
      <c r="AJ64942" s="6"/>
      <c r="AK64942" s="6"/>
      <c r="AL64942" s="6"/>
      <c r="AM64942" s="6"/>
    </row>
    <row r="64943" spans="2:39" ht="9.9499999999999993" hidden="1" customHeight="1" x14ac:dyDescent="0.2">
      <c r="B64943" s="6"/>
      <c r="C64943" s="6"/>
      <c r="D64943" s="6"/>
      <c r="E64943" s="6"/>
      <c r="F64943" s="6"/>
      <c r="G64943" s="6"/>
      <c r="H64943" s="6"/>
      <c r="I64943" s="6"/>
      <c r="J64943" s="6"/>
      <c r="K64943" s="6"/>
      <c r="L64943" s="6"/>
      <c r="M64943" s="6"/>
      <c r="N64943" s="6"/>
      <c r="O64943" s="6"/>
      <c r="P64943" s="6"/>
      <c r="Q64943" s="6"/>
      <c r="R64943" s="6"/>
      <c r="S64943" s="6"/>
      <c r="T64943" s="6"/>
      <c r="U64943" s="6"/>
      <c r="V64943" s="6"/>
      <c r="W64943" s="6"/>
      <c r="X64943" s="6"/>
      <c r="Y64943" s="6"/>
      <c r="Z64943" s="6"/>
      <c r="AA64943" s="6"/>
      <c r="AB64943" s="6"/>
      <c r="AC64943" s="6"/>
      <c r="AD64943" s="6"/>
      <c r="AE64943" s="6"/>
      <c r="AF64943" s="6"/>
      <c r="AG64943" s="6"/>
      <c r="AH64943" s="6"/>
      <c r="AI64943" s="6"/>
      <c r="AJ64943" s="6"/>
      <c r="AK64943" s="6"/>
      <c r="AL64943" s="6"/>
      <c r="AM64943" s="6"/>
    </row>
    <row r="64944" spans="2:39" ht="9.9499999999999993" hidden="1" customHeight="1" x14ac:dyDescent="0.2">
      <c r="B64944" s="6"/>
      <c r="C64944" s="6"/>
      <c r="D64944" s="6"/>
      <c r="E64944" s="6"/>
      <c r="F64944" s="6"/>
      <c r="G64944" s="6"/>
      <c r="H64944" s="6"/>
      <c r="I64944" s="6"/>
      <c r="J64944" s="6"/>
      <c r="K64944" s="6"/>
      <c r="L64944" s="6"/>
      <c r="M64944" s="6"/>
      <c r="N64944" s="6"/>
      <c r="O64944" s="6"/>
      <c r="P64944" s="6"/>
      <c r="Q64944" s="6"/>
      <c r="R64944" s="6"/>
      <c r="S64944" s="6"/>
      <c r="T64944" s="6"/>
      <c r="U64944" s="6"/>
      <c r="V64944" s="6"/>
      <c r="W64944" s="6"/>
      <c r="X64944" s="6"/>
      <c r="Y64944" s="6"/>
      <c r="Z64944" s="6"/>
      <c r="AA64944" s="6"/>
      <c r="AB64944" s="6"/>
      <c r="AC64944" s="6"/>
      <c r="AD64944" s="6"/>
      <c r="AE64944" s="6"/>
      <c r="AF64944" s="6"/>
      <c r="AG64944" s="6"/>
      <c r="AH64944" s="6"/>
      <c r="AI64944" s="6"/>
      <c r="AJ64944" s="6"/>
      <c r="AK64944" s="6"/>
      <c r="AL64944" s="6"/>
      <c r="AM64944" s="6"/>
    </row>
    <row r="64945" spans="2:39" ht="9.9499999999999993" hidden="1" customHeight="1" x14ac:dyDescent="0.2">
      <c r="B64945" s="6"/>
      <c r="C64945" s="6"/>
      <c r="D64945" s="6"/>
      <c r="E64945" s="6"/>
      <c r="F64945" s="6"/>
      <c r="G64945" s="6"/>
      <c r="H64945" s="6"/>
      <c r="I64945" s="6"/>
      <c r="J64945" s="6"/>
      <c r="K64945" s="6"/>
      <c r="L64945" s="6"/>
      <c r="M64945" s="6"/>
      <c r="N64945" s="6"/>
      <c r="O64945" s="6"/>
      <c r="P64945" s="6"/>
      <c r="Q64945" s="6"/>
      <c r="R64945" s="6"/>
      <c r="S64945" s="6"/>
      <c r="T64945" s="6"/>
      <c r="U64945" s="6"/>
      <c r="V64945" s="6"/>
      <c r="W64945" s="6"/>
      <c r="X64945" s="6"/>
      <c r="Y64945" s="6"/>
      <c r="Z64945" s="6"/>
      <c r="AA64945" s="6"/>
      <c r="AB64945" s="6"/>
      <c r="AC64945" s="6"/>
      <c r="AD64945" s="6"/>
      <c r="AE64945" s="6"/>
      <c r="AF64945" s="6"/>
      <c r="AG64945" s="6"/>
      <c r="AH64945" s="6"/>
      <c r="AI64945" s="6"/>
      <c r="AJ64945" s="6"/>
      <c r="AK64945" s="6"/>
      <c r="AL64945" s="6"/>
      <c r="AM64945" s="6"/>
    </row>
    <row r="64946" spans="2:39" ht="9.9499999999999993" hidden="1" customHeight="1" x14ac:dyDescent="0.2">
      <c r="B64946" s="6"/>
      <c r="C64946" s="6"/>
      <c r="D64946" s="6"/>
      <c r="E64946" s="6"/>
      <c r="F64946" s="6"/>
      <c r="G64946" s="6"/>
      <c r="H64946" s="6"/>
      <c r="I64946" s="6"/>
      <c r="J64946" s="6"/>
      <c r="K64946" s="6"/>
      <c r="L64946" s="6"/>
      <c r="M64946" s="6"/>
      <c r="N64946" s="6"/>
      <c r="O64946" s="6"/>
      <c r="P64946" s="6"/>
      <c r="Q64946" s="6"/>
      <c r="R64946" s="6"/>
      <c r="S64946" s="6"/>
      <c r="T64946" s="6"/>
      <c r="U64946" s="6"/>
      <c r="V64946" s="6"/>
      <c r="W64946" s="6"/>
      <c r="X64946" s="6"/>
      <c r="Y64946" s="6"/>
      <c r="Z64946" s="6"/>
      <c r="AA64946" s="6"/>
      <c r="AB64946" s="6"/>
      <c r="AC64946" s="6"/>
      <c r="AD64946" s="6"/>
      <c r="AE64946" s="6"/>
      <c r="AF64946" s="6"/>
      <c r="AG64946" s="6"/>
      <c r="AH64946" s="6"/>
      <c r="AI64946" s="6"/>
      <c r="AJ64946" s="6"/>
      <c r="AK64946" s="6"/>
      <c r="AL64946" s="6"/>
      <c r="AM64946" s="6"/>
    </row>
    <row r="64947" spans="2:39" ht="9.9499999999999993" hidden="1" customHeight="1" x14ac:dyDescent="0.2">
      <c r="B64947" s="6"/>
      <c r="C64947" s="6"/>
      <c r="D64947" s="6"/>
      <c r="E64947" s="6"/>
      <c r="F64947" s="6"/>
      <c r="G64947" s="6"/>
      <c r="H64947" s="6"/>
      <c r="I64947" s="6"/>
      <c r="J64947" s="6"/>
      <c r="K64947" s="6"/>
      <c r="L64947" s="6"/>
      <c r="M64947" s="6"/>
      <c r="N64947" s="6"/>
      <c r="O64947" s="6"/>
      <c r="P64947" s="6"/>
      <c r="Q64947" s="6"/>
      <c r="R64947" s="6"/>
      <c r="S64947" s="6"/>
      <c r="T64947" s="6"/>
      <c r="U64947" s="6"/>
      <c r="V64947" s="6"/>
      <c r="W64947" s="6"/>
      <c r="X64947" s="6"/>
      <c r="Y64947" s="6"/>
      <c r="Z64947" s="6"/>
      <c r="AA64947" s="6"/>
      <c r="AB64947" s="6"/>
      <c r="AC64947" s="6"/>
      <c r="AD64947" s="6"/>
      <c r="AE64947" s="6"/>
      <c r="AF64947" s="6"/>
      <c r="AG64947" s="6"/>
      <c r="AH64947" s="6"/>
      <c r="AI64947" s="6"/>
      <c r="AJ64947" s="6"/>
      <c r="AK64947" s="6"/>
      <c r="AL64947" s="6"/>
      <c r="AM64947" s="6"/>
    </row>
    <row r="64948" spans="2:39" ht="9.9499999999999993" hidden="1" customHeight="1" x14ac:dyDescent="0.2">
      <c r="B64948" s="6"/>
      <c r="C64948" s="6"/>
      <c r="D64948" s="6"/>
      <c r="E64948" s="6"/>
      <c r="F64948" s="6"/>
      <c r="G64948" s="6"/>
      <c r="H64948" s="6"/>
      <c r="I64948" s="6"/>
      <c r="J64948" s="6"/>
      <c r="K64948" s="6"/>
      <c r="L64948" s="6"/>
      <c r="M64948" s="6"/>
      <c r="N64948" s="6"/>
      <c r="O64948" s="6"/>
      <c r="P64948" s="6"/>
      <c r="Q64948" s="6"/>
      <c r="R64948" s="6"/>
      <c r="S64948" s="6"/>
      <c r="T64948" s="6"/>
      <c r="U64948" s="6"/>
      <c r="V64948" s="6"/>
      <c r="W64948" s="6"/>
      <c r="X64948" s="6"/>
      <c r="Y64948" s="6"/>
      <c r="Z64948" s="6"/>
      <c r="AA64948" s="6"/>
      <c r="AB64948" s="6"/>
      <c r="AC64948" s="6"/>
      <c r="AD64948" s="6"/>
      <c r="AE64948" s="6"/>
      <c r="AF64948" s="6"/>
      <c r="AG64948" s="6"/>
      <c r="AH64948" s="6"/>
      <c r="AI64948" s="6"/>
      <c r="AJ64948" s="6"/>
      <c r="AK64948" s="6"/>
      <c r="AL64948" s="6"/>
      <c r="AM64948" s="6"/>
    </row>
    <row r="64949" spans="2:39" ht="9.9499999999999993" hidden="1" customHeight="1" x14ac:dyDescent="0.2">
      <c r="B64949" s="6"/>
      <c r="C64949" s="6"/>
      <c r="D64949" s="6"/>
      <c r="E64949" s="6"/>
      <c r="F64949" s="6"/>
      <c r="G64949" s="6"/>
      <c r="H64949" s="6"/>
      <c r="I64949" s="6"/>
      <c r="J64949" s="6"/>
      <c r="K64949" s="6"/>
      <c r="L64949" s="6"/>
      <c r="M64949" s="6"/>
      <c r="N64949" s="6"/>
      <c r="O64949" s="6"/>
      <c r="P64949" s="6"/>
      <c r="Q64949" s="6"/>
      <c r="R64949" s="6"/>
      <c r="S64949" s="6"/>
      <c r="T64949" s="6"/>
      <c r="U64949" s="6"/>
      <c r="V64949" s="6"/>
      <c r="W64949" s="6"/>
      <c r="X64949" s="6"/>
      <c r="Y64949" s="6"/>
      <c r="Z64949" s="6"/>
      <c r="AA64949" s="6"/>
      <c r="AB64949" s="6"/>
      <c r="AC64949" s="6"/>
      <c r="AD64949" s="6"/>
      <c r="AE64949" s="6"/>
      <c r="AF64949" s="6"/>
      <c r="AG64949" s="6"/>
      <c r="AH64949" s="6"/>
      <c r="AI64949" s="6"/>
      <c r="AJ64949" s="6"/>
      <c r="AK64949" s="6"/>
      <c r="AL64949" s="6"/>
      <c r="AM64949" s="6"/>
    </row>
    <row r="64950" spans="2:39" ht="9.9499999999999993" hidden="1" customHeight="1" x14ac:dyDescent="0.2">
      <c r="B64950" s="6"/>
      <c r="C64950" s="6"/>
      <c r="D64950" s="6"/>
      <c r="E64950" s="6"/>
      <c r="F64950" s="6"/>
      <c r="G64950" s="6"/>
      <c r="H64950" s="6"/>
      <c r="I64950" s="6"/>
      <c r="J64950" s="6"/>
      <c r="K64950" s="6"/>
      <c r="L64950" s="6"/>
      <c r="M64950" s="6"/>
      <c r="N64950" s="6"/>
      <c r="O64950" s="6"/>
      <c r="P64950" s="6"/>
      <c r="Q64950" s="6"/>
      <c r="R64950" s="6"/>
      <c r="S64950" s="6"/>
      <c r="T64950" s="6"/>
      <c r="U64950" s="6"/>
      <c r="V64950" s="6"/>
      <c r="W64950" s="6"/>
      <c r="X64950" s="6"/>
      <c r="Y64950" s="6"/>
      <c r="Z64950" s="6"/>
      <c r="AA64950" s="6"/>
      <c r="AB64950" s="6"/>
      <c r="AC64950" s="6"/>
      <c r="AD64950" s="6"/>
      <c r="AE64950" s="6"/>
      <c r="AF64950" s="6"/>
      <c r="AG64950" s="6"/>
      <c r="AH64950" s="6"/>
      <c r="AI64950" s="6"/>
      <c r="AJ64950" s="6"/>
      <c r="AK64950" s="6"/>
      <c r="AL64950" s="6"/>
      <c r="AM64950" s="6"/>
    </row>
    <row r="64951" spans="2:39" ht="9.9499999999999993" hidden="1" customHeight="1" x14ac:dyDescent="0.2">
      <c r="B64951" s="6"/>
      <c r="C64951" s="6"/>
      <c r="D64951" s="6"/>
      <c r="E64951" s="6"/>
      <c r="F64951" s="6"/>
      <c r="G64951" s="6"/>
      <c r="H64951" s="6"/>
      <c r="I64951" s="6"/>
      <c r="J64951" s="6"/>
      <c r="K64951" s="6"/>
      <c r="L64951" s="6"/>
      <c r="M64951" s="6"/>
      <c r="N64951" s="6"/>
      <c r="O64951" s="6"/>
      <c r="P64951" s="6"/>
      <c r="Q64951" s="6"/>
      <c r="R64951" s="6"/>
      <c r="S64951" s="6"/>
      <c r="T64951" s="6"/>
      <c r="U64951" s="6"/>
      <c r="V64951" s="6"/>
      <c r="W64951" s="6"/>
      <c r="X64951" s="6"/>
      <c r="Y64951" s="6"/>
      <c r="Z64951" s="6"/>
      <c r="AA64951" s="6"/>
      <c r="AB64951" s="6"/>
      <c r="AC64951" s="6"/>
      <c r="AD64951" s="6"/>
      <c r="AE64951" s="6"/>
      <c r="AF64951" s="6"/>
      <c r="AG64951" s="6"/>
      <c r="AH64951" s="6"/>
      <c r="AI64951" s="6"/>
      <c r="AJ64951" s="6"/>
      <c r="AK64951" s="6"/>
      <c r="AL64951" s="6"/>
      <c r="AM64951" s="6"/>
    </row>
    <row r="64952" spans="2:39" ht="9.9499999999999993" hidden="1" customHeight="1" x14ac:dyDescent="0.2">
      <c r="B64952" s="6"/>
      <c r="C64952" s="6"/>
      <c r="D64952" s="6"/>
      <c r="E64952" s="6"/>
      <c r="F64952" s="6"/>
      <c r="G64952" s="6"/>
      <c r="H64952" s="6"/>
      <c r="I64952" s="6"/>
      <c r="J64952" s="6"/>
      <c r="K64952" s="6"/>
      <c r="L64952" s="6"/>
      <c r="M64952" s="6"/>
      <c r="N64952" s="6"/>
      <c r="O64952" s="6"/>
      <c r="P64952" s="6"/>
      <c r="Q64952" s="6"/>
      <c r="R64952" s="6"/>
      <c r="S64952" s="6"/>
      <c r="T64952" s="6"/>
      <c r="U64952" s="6"/>
      <c r="V64952" s="6"/>
      <c r="W64952" s="6"/>
      <c r="X64952" s="6"/>
      <c r="Y64952" s="6"/>
      <c r="Z64952" s="6"/>
      <c r="AA64952" s="6"/>
      <c r="AB64952" s="6"/>
      <c r="AC64952" s="6"/>
      <c r="AD64952" s="6"/>
      <c r="AE64952" s="6"/>
      <c r="AF64952" s="6"/>
      <c r="AG64952" s="6"/>
      <c r="AH64952" s="6"/>
      <c r="AI64952" s="6"/>
      <c r="AJ64952" s="6"/>
      <c r="AK64952" s="6"/>
      <c r="AL64952" s="6"/>
      <c r="AM64952" s="6"/>
    </row>
    <row r="64953" spans="2:39" ht="9.9499999999999993" hidden="1" customHeight="1" x14ac:dyDescent="0.2">
      <c r="B64953" s="6"/>
      <c r="C64953" s="6"/>
      <c r="D64953" s="6"/>
      <c r="E64953" s="6"/>
      <c r="F64953" s="6"/>
      <c r="G64953" s="6"/>
      <c r="H64953" s="6"/>
      <c r="I64953" s="6"/>
      <c r="J64953" s="6"/>
      <c r="K64953" s="6"/>
      <c r="L64953" s="6"/>
      <c r="M64953" s="6"/>
      <c r="N64953" s="6"/>
      <c r="O64953" s="6"/>
      <c r="P64953" s="6"/>
      <c r="Q64953" s="6"/>
      <c r="R64953" s="6"/>
      <c r="S64953" s="6"/>
      <c r="T64953" s="6"/>
      <c r="U64953" s="6"/>
      <c r="V64953" s="6"/>
      <c r="W64953" s="6"/>
      <c r="X64953" s="6"/>
      <c r="Y64953" s="6"/>
      <c r="Z64953" s="6"/>
      <c r="AA64953" s="6"/>
      <c r="AB64953" s="6"/>
      <c r="AC64953" s="6"/>
      <c r="AD64953" s="6"/>
      <c r="AE64953" s="6"/>
      <c r="AF64953" s="6"/>
      <c r="AG64953" s="6"/>
      <c r="AH64953" s="6"/>
      <c r="AI64953" s="6"/>
      <c r="AJ64953" s="6"/>
      <c r="AK64953" s="6"/>
      <c r="AL64953" s="6"/>
      <c r="AM64953" s="6"/>
    </row>
    <row r="64954" spans="2:39" ht="9.9499999999999993" hidden="1" customHeight="1" x14ac:dyDescent="0.2">
      <c r="B64954" s="6"/>
      <c r="C64954" s="6"/>
      <c r="D64954" s="6"/>
      <c r="E64954" s="6"/>
      <c r="F64954" s="6"/>
      <c r="G64954" s="6"/>
      <c r="H64954" s="6"/>
      <c r="I64954" s="6"/>
      <c r="J64954" s="6"/>
      <c r="K64954" s="6"/>
      <c r="L64954" s="6"/>
      <c r="M64954" s="6"/>
      <c r="N64954" s="6"/>
      <c r="O64954" s="6"/>
      <c r="P64954" s="6"/>
      <c r="Q64954" s="6"/>
      <c r="R64954" s="6"/>
      <c r="S64954" s="6"/>
      <c r="T64954" s="6"/>
      <c r="U64954" s="6"/>
      <c r="V64954" s="6"/>
      <c r="W64954" s="6"/>
      <c r="X64954" s="6"/>
      <c r="Y64954" s="6"/>
      <c r="Z64954" s="6"/>
      <c r="AA64954" s="6"/>
      <c r="AB64954" s="6"/>
      <c r="AC64954" s="6"/>
      <c r="AD64954" s="6"/>
      <c r="AE64954" s="6"/>
      <c r="AF64954" s="6"/>
      <c r="AG64954" s="6"/>
      <c r="AH64954" s="6"/>
      <c r="AI64954" s="6"/>
      <c r="AJ64954" s="6"/>
      <c r="AK64954" s="6"/>
      <c r="AL64954" s="6"/>
      <c r="AM64954" s="6"/>
    </row>
    <row r="64955" spans="2:39" ht="9.9499999999999993" hidden="1" customHeight="1" x14ac:dyDescent="0.2">
      <c r="B64955" s="6"/>
      <c r="C64955" s="6"/>
      <c r="D64955" s="6"/>
      <c r="E64955" s="6"/>
      <c r="F64955" s="6"/>
      <c r="G64955" s="6"/>
      <c r="H64955" s="6"/>
      <c r="I64955" s="6"/>
      <c r="J64955" s="6"/>
      <c r="K64955" s="6"/>
      <c r="L64955" s="6"/>
      <c r="M64955" s="6"/>
      <c r="N64955" s="6"/>
      <c r="O64955" s="6"/>
      <c r="P64955" s="6"/>
      <c r="Q64955" s="6"/>
      <c r="R64955" s="6"/>
      <c r="S64955" s="6"/>
      <c r="T64955" s="6"/>
      <c r="U64955" s="6"/>
      <c r="V64955" s="6"/>
      <c r="W64955" s="6"/>
      <c r="X64955" s="6"/>
      <c r="Y64955" s="6"/>
      <c r="Z64955" s="6"/>
      <c r="AA64955" s="6"/>
      <c r="AB64955" s="6"/>
      <c r="AC64955" s="6"/>
      <c r="AD64955" s="6"/>
      <c r="AE64955" s="6"/>
      <c r="AF64955" s="6"/>
      <c r="AG64955" s="6"/>
      <c r="AH64955" s="6"/>
      <c r="AI64955" s="6"/>
      <c r="AJ64955" s="6"/>
      <c r="AK64955" s="6"/>
      <c r="AL64955" s="6"/>
      <c r="AM64955" s="6"/>
    </row>
    <row r="64956" spans="2:39" ht="9.9499999999999993" hidden="1" customHeight="1" x14ac:dyDescent="0.2">
      <c r="B64956" s="6"/>
      <c r="C64956" s="6"/>
      <c r="D64956" s="6"/>
      <c r="E64956" s="6"/>
      <c r="F64956" s="6"/>
      <c r="G64956" s="6"/>
      <c r="H64956" s="6"/>
      <c r="I64956" s="6"/>
      <c r="J64956" s="6"/>
      <c r="K64956" s="6"/>
      <c r="L64956" s="6"/>
      <c r="M64956" s="6"/>
      <c r="N64956" s="6"/>
      <c r="O64956" s="6"/>
      <c r="P64956" s="6"/>
      <c r="Q64956" s="6"/>
      <c r="R64956" s="6"/>
      <c r="S64956" s="6"/>
      <c r="T64956" s="6"/>
      <c r="U64956" s="6"/>
      <c r="V64956" s="6"/>
      <c r="W64956" s="6"/>
      <c r="X64956" s="6"/>
      <c r="Y64956" s="6"/>
      <c r="Z64956" s="6"/>
      <c r="AA64956" s="6"/>
      <c r="AB64956" s="6"/>
      <c r="AC64956" s="6"/>
      <c r="AD64956" s="6"/>
      <c r="AE64956" s="6"/>
      <c r="AF64956" s="6"/>
      <c r="AG64956" s="6"/>
      <c r="AH64956" s="6"/>
      <c r="AI64956" s="6"/>
      <c r="AJ64956" s="6"/>
      <c r="AK64956" s="6"/>
      <c r="AL64956" s="6"/>
      <c r="AM64956" s="6"/>
    </row>
    <row r="64957" spans="2:39" ht="9.9499999999999993" hidden="1" customHeight="1" x14ac:dyDescent="0.2">
      <c r="B64957" s="6"/>
      <c r="C64957" s="6"/>
      <c r="D64957" s="6"/>
      <c r="E64957" s="6"/>
      <c r="F64957" s="6"/>
      <c r="G64957" s="6"/>
      <c r="H64957" s="6"/>
      <c r="I64957" s="6"/>
      <c r="J64957" s="6"/>
      <c r="K64957" s="6"/>
      <c r="L64957" s="6"/>
      <c r="M64957" s="6"/>
      <c r="N64957" s="6"/>
      <c r="O64957" s="6"/>
      <c r="P64957" s="6"/>
      <c r="Q64957" s="6"/>
      <c r="R64957" s="6"/>
      <c r="S64957" s="6"/>
      <c r="T64957" s="6"/>
      <c r="U64957" s="6"/>
      <c r="V64957" s="6"/>
      <c r="W64957" s="6"/>
      <c r="X64957" s="6"/>
      <c r="Y64957" s="6"/>
      <c r="Z64957" s="6"/>
      <c r="AA64957" s="6"/>
      <c r="AB64957" s="6"/>
      <c r="AC64957" s="6"/>
      <c r="AD64957" s="6"/>
      <c r="AE64957" s="6"/>
      <c r="AF64957" s="6"/>
      <c r="AG64957" s="6"/>
      <c r="AH64957" s="6"/>
      <c r="AI64957" s="6"/>
      <c r="AJ64957" s="6"/>
      <c r="AK64957" s="6"/>
      <c r="AL64957" s="6"/>
      <c r="AM64957" s="6"/>
    </row>
    <row r="64958" spans="2:39" ht="9.9499999999999993" hidden="1" customHeight="1" x14ac:dyDescent="0.2">
      <c r="B64958" s="6"/>
      <c r="C64958" s="6"/>
      <c r="D64958" s="6"/>
      <c r="E64958" s="6"/>
      <c r="F64958" s="6"/>
      <c r="G64958" s="6"/>
      <c r="H64958" s="6"/>
      <c r="I64958" s="6"/>
      <c r="J64958" s="6"/>
      <c r="K64958" s="6"/>
      <c r="L64958" s="6"/>
      <c r="M64958" s="6"/>
      <c r="N64958" s="6"/>
      <c r="O64958" s="6"/>
      <c r="P64958" s="6"/>
      <c r="Q64958" s="6"/>
      <c r="R64958" s="6"/>
      <c r="S64958" s="6"/>
      <c r="T64958" s="6"/>
      <c r="U64958" s="6"/>
      <c r="V64958" s="6"/>
      <c r="W64958" s="6"/>
      <c r="X64958" s="6"/>
      <c r="Y64958" s="6"/>
      <c r="Z64958" s="6"/>
      <c r="AA64958" s="6"/>
      <c r="AB64958" s="6"/>
      <c r="AC64958" s="6"/>
      <c r="AD64958" s="6"/>
      <c r="AE64958" s="6"/>
      <c r="AF64958" s="6"/>
      <c r="AG64958" s="6"/>
      <c r="AH64958" s="6"/>
      <c r="AI64958" s="6"/>
      <c r="AJ64958" s="6"/>
      <c r="AK64958" s="6"/>
      <c r="AL64958" s="6"/>
      <c r="AM64958" s="6"/>
    </row>
    <row r="64959" spans="2:39" ht="9.9499999999999993" hidden="1" customHeight="1" x14ac:dyDescent="0.2">
      <c r="B64959" s="6"/>
      <c r="C64959" s="6"/>
      <c r="D64959" s="6"/>
      <c r="E64959" s="6"/>
      <c r="F64959" s="6"/>
      <c r="G64959" s="6"/>
      <c r="H64959" s="6"/>
      <c r="I64959" s="6"/>
      <c r="J64959" s="6"/>
      <c r="K64959" s="6"/>
      <c r="L64959" s="6"/>
      <c r="M64959" s="6"/>
      <c r="N64959" s="6"/>
      <c r="O64959" s="6"/>
      <c r="P64959" s="6"/>
      <c r="Q64959" s="6"/>
      <c r="R64959" s="6"/>
      <c r="S64959" s="6"/>
      <c r="T64959" s="6"/>
      <c r="U64959" s="6"/>
      <c r="V64959" s="6"/>
      <c r="W64959" s="6"/>
      <c r="X64959" s="6"/>
      <c r="Y64959" s="6"/>
      <c r="Z64959" s="6"/>
      <c r="AA64959" s="6"/>
      <c r="AB64959" s="6"/>
      <c r="AC64959" s="6"/>
      <c r="AD64959" s="6"/>
      <c r="AE64959" s="6"/>
      <c r="AF64959" s="6"/>
      <c r="AG64959" s="6"/>
      <c r="AH64959" s="6"/>
      <c r="AI64959" s="6"/>
      <c r="AJ64959" s="6"/>
      <c r="AK64959" s="6"/>
      <c r="AL64959" s="6"/>
      <c r="AM64959" s="6"/>
    </row>
    <row r="64960" spans="2:39" ht="9.9499999999999993" hidden="1" customHeight="1" x14ac:dyDescent="0.2">
      <c r="B64960" s="6"/>
      <c r="C64960" s="6"/>
      <c r="D64960" s="6"/>
      <c r="E64960" s="6"/>
      <c r="F64960" s="6"/>
      <c r="G64960" s="6"/>
      <c r="H64960" s="6"/>
      <c r="I64960" s="6"/>
      <c r="J64960" s="6"/>
      <c r="K64960" s="6"/>
      <c r="L64960" s="6"/>
      <c r="M64960" s="6"/>
      <c r="N64960" s="6"/>
      <c r="O64960" s="6"/>
      <c r="P64960" s="6"/>
      <c r="Q64960" s="6"/>
      <c r="R64960" s="6"/>
      <c r="S64960" s="6"/>
      <c r="T64960" s="6"/>
      <c r="U64960" s="6"/>
      <c r="V64960" s="6"/>
      <c r="W64960" s="6"/>
      <c r="X64960" s="6"/>
      <c r="Y64960" s="6"/>
      <c r="Z64960" s="6"/>
      <c r="AA64960" s="6"/>
      <c r="AB64960" s="6"/>
      <c r="AC64960" s="6"/>
      <c r="AD64960" s="6"/>
      <c r="AE64960" s="6"/>
      <c r="AF64960" s="6"/>
      <c r="AG64960" s="6"/>
      <c r="AH64960" s="6"/>
      <c r="AI64960" s="6"/>
      <c r="AJ64960" s="6"/>
      <c r="AK64960" s="6"/>
      <c r="AL64960" s="6"/>
      <c r="AM64960" s="6"/>
    </row>
    <row r="64961" spans="2:39" ht="9.9499999999999993" hidden="1" customHeight="1" x14ac:dyDescent="0.2">
      <c r="B64961" s="6"/>
      <c r="C64961" s="6"/>
      <c r="D64961" s="6"/>
      <c r="E64961" s="6"/>
      <c r="F64961" s="6"/>
      <c r="G64961" s="6"/>
      <c r="H64961" s="6"/>
      <c r="I64961" s="6"/>
      <c r="J64961" s="6"/>
      <c r="K64961" s="6"/>
      <c r="L64961" s="6"/>
      <c r="M64961" s="6"/>
      <c r="N64961" s="6"/>
      <c r="O64961" s="6"/>
      <c r="P64961" s="6"/>
      <c r="Q64961" s="6"/>
      <c r="R64961" s="6"/>
      <c r="S64961" s="6"/>
      <c r="T64961" s="6"/>
      <c r="U64961" s="6"/>
      <c r="V64961" s="6"/>
      <c r="W64961" s="6"/>
      <c r="X64961" s="6"/>
      <c r="Y64961" s="6"/>
      <c r="Z64961" s="6"/>
      <c r="AA64961" s="6"/>
      <c r="AB64961" s="6"/>
      <c r="AC64961" s="6"/>
      <c r="AD64961" s="6"/>
      <c r="AE64961" s="6"/>
      <c r="AF64961" s="6"/>
      <c r="AG64961" s="6"/>
      <c r="AH64961" s="6"/>
      <c r="AI64961" s="6"/>
      <c r="AJ64961" s="6"/>
      <c r="AK64961" s="6"/>
      <c r="AL64961" s="6"/>
      <c r="AM64961" s="6"/>
    </row>
    <row r="64962" spans="2:39" ht="9.9499999999999993" hidden="1" customHeight="1" x14ac:dyDescent="0.2">
      <c r="B64962" s="6"/>
      <c r="C64962" s="6"/>
      <c r="D64962" s="6"/>
      <c r="E64962" s="6"/>
      <c r="F64962" s="6"/>
      <c r="G64962" s="6"/>
      <c r="H64962" s="6"/>
      <c r="I64962" s="6"/>
      <c r="J64962" s="6"/>
      <c r="K64962" s="6"/>
      <c r="L64962" s="6"/>
      <c r="M64962" s="6"/>
      <c r="N64962" s="6"/>
      <c r="O64962" s="6"/>
      <c r="P64962" s="6"/>
      <c r="Q64962" s="6"/>
      <c r="R64962" s="6"/>
      <c r="S64962" s="6"/>
      <c r="T64962" s="6"/>
      <c r="U64962" s="6"/>
      <c r="V64962" s="6"/>
      <c r="W64962" s="6"/>
      <c r="X64962" s="6"/>
      <c r="Y64962" s="6"/>
      <c r="Z64962" s="6"/>
      <c r="AA64962" s="6"/>
      <c r="AB64962" s="6"/>
      <c r="AC64962" s="6"/>
      <c r="AD64962" s="6"/>
      <c r="AE64962" s="6"/>
      <c r="AF64962" s="6"/>
      <c r="AG64962" s="6"/>
      <c r="AH64962" s="6"/>
      <c r="AI64962" s="6"/>
      <c r="AJ64962" s="6"/>
      <c r="AK64962" s="6"/>
      <c r="AL64962" s="6"/>
      <c r="AM64962" s="6"/>
    </row>
    <row r="64963" spans="2:39" ht="9.9499999999999993" hidden="1" customHeight="1" x14ac:dyDescent="0.2">
      <c r="B64963" s="6"/>
      <c r="C64963" s="6"/>
      <c r="D64963" s="6"/>
      <c r="E64963" s="6"/>
      <c r="F64963" s="6"/>
      <c r="G64963" s="6"/>
      <c r="H64963" s="6"/>
      <c r="I64963" s="6"/>
      <c r="J64963" s="6"/>
      <c r="K64963" s="6"/>
      <c r="L64963" s="6"/>
      <c r="M64963" s="6"/>
      <c r="N64963" s="6"/>
      <c r="O64963" s="6"/>
      <c r="P64963" s="6"/>
      <c r="Q64963" s="6"/>
      <c r="R64963" s="6"/>
      <c r="S64963" s="6"/>
      <c r="T64963" s="6"/>
      <c r="U64963" s="6"/>
      <c r="V64963" s="6"/>
      <c r="W64963" s="6"/>
      <c r="X64963" s="6"/>
      <c r="Y64963" s="6"/>
      <c r="Z64963" s="6"/>
      <c r="AA64963" s="6"/>
      <c r="AB64963" s="6"/>
      <c r="AC64963" s="6"/>
      <c r="AD64963" s="6"/>
      <c r="AE64963" s="6"/>
      <c r="AF64963" s="6"/>
      <c r="AG64963" s="6"/>
      <c r="AH64963" s="6"/>
      <c r="AI64963" s="6"/>
      <c r="AJ64963" s="6"/>
      <c r="AK64963" s="6"/>
      <c r="AL64963" s="6"/>
      <c r="AM64963" s="6"/>
    </row>
    <row r="64964" spans="2:39" ht="9.9499999999999993" hidden="1" customHeight="1" x14ac:dyDescent="0.2">
      <c r="B64964" s="6"/>
      <c r="C64964" s="6"/>
      <c r="D64964" s="6"/>
      <c r="E64964" s="6"/>
      <c r="F64964" s="6"/>
      <c r="G64964" s="6"/>
      <c r="H64964" s="6"/>
      <c r="I64964" s="6"/>
      <c r="J64964" s="6"/>
      <c r="K64964" s="6"/>
      <c r="L64964" s="6"/>
      <c r="M64964" s="6"/>
      <c r="N64964" s="6"/>
      <c r="O64964" s="6"/>
      <c r="P64964" s="6"/>
      <c r="Q64964" s="6"/>
      <c r="R64964" s="6"/>
      <c r="S64964" s="6"/>
      <c r="T64964" s="6"/>
      <c r="U64964" s="6"/>
      <c r="V64964" s="6"/>
      <c r="W64964" s="6"/>
      <c r="X64964" s="6"/>
      <c r="Y64964" s="6"/>
      <c r="Z64964" s="6"/>
      <c r="AA64964" s="6"/>
      <c r="AB64964" s="6"/>
      <c r="AC64964" s="6"/>
      <c r="AD64964" s="6"/>
      <c r="AE64964" s="6"/>
      <c r="AF64964" s="6"/>
      <c r="AG64964" s="6"/>
      <c r="AH64964" s="6"/>
      <c r="AI64964" s="6"/>
      <c r="AJ64964" s="6"/>
      <c r="AK64964" s="6"/>
      <c r="AL64964" s="6"/>
      <c r="AM64964" s="6"/>
    </row>
    <row r="64965" spans="2:39" ht="9.9499999999999993" hidden="1" customHeight="1" x14ac:dyDescent="0.2">
      <c r="B64965" s="6"/>
      <c r="C64965" s="6"/>
      <c r="D64965" s="6"/>
      <c r="E64965" s="6"/>
      <c r="F64965" s="6"/>
      <c r="G64965" s="6"/>
      <c r="H64965" s="6"/>
      <c r="I64965" s="6"/>
      <c r="J64965" s="6"/>
      <c r="K64965" s="6"/>
      <c r="L64965" s="6"/>
      <c r="M64965" s="6"/>
      <c r="N64965" s="6"/>
      <c r="O64965" s="6"/>
      <c r="P64965" s="6"/>
      <c r="Q64965" s="6"/>
      <c r="R64965" s="6"/>
      <c r="S64965" s="6"/>
      <c r="T64965" s="6"/>
      <c r="U64965" s="6"/>
      <c r="V64965" s="6"/>
      <c r="W64965" s="6"/>
      <c r="X64965" s="6"/>
      <c r="Y64965" s="6"/>
      <c r="Z64965" s="6"/>
      <c r="AA64965" s="6"/>
      <c r="AB64965" s="6"/>
      <c r="AC64965" s="6"/>
      <c r="AD64965" s="6"/>
      <c r="AE64965" s="6"/>
      <c r="AF64965" s="6"/>
      <c r="AG64965" s="6"/>
      <c r="AH64965" s="6"/>
      <c r="AI64965" s="6"/>
      <c r="AJ64965" s="6"/>
      <c r="AK64965" s="6"/>
      <c r="AL64965" s="6"/>
      <c r="AM64965" s="6"/>
    </row>
    <row r="64966" spans="2:39" ht="9.9499999999999993" hidden="1" customHeight="1" x14ac:dyDescent="0.2">
      <c r="B64966" s="6"/>
      <c r="C64966" s="6"/>
      <c r="D64966" s="6"/>
      <c r="E64966" s="6"/>
      <c r="F64966" s="6"/>
      <c r="G64966" s="6"/>
      <c r="H64966" s="6"/>
      <c r="I64966" s="6"/>
      <c r="J64966" s="6"/>
      <c r="K64966" s="6"/>
      <c r="L64966" s="6"/>
      <c r="M64966" s="6"/>
      <c r="N64966" s="6"/>
      <c r="O64966" s="6"/>
      <c r="P64966" s="6"/>
      <c r="Q64966" s="6"/>
      <c r="R64966" s="6"/>
      <c r="S64966" s="6"/>
      <c r="T64966" s="6"/>
      <c r="U64966" s="6"/>
      <c r="V64966" s="6"/>
      <c r="W64966" s="6"/>
      <c r="X64966" s="6"/>
      <c r="Y64966" s="6"/>
      <c r="Z64966" s="6"/>
      <c r="AA64966" s="6"/>
      <c r="AB64966" s="6"/>
      <c r="AC64966" s="6"/>
      <c r="AD64966" s="6"/>
      <c r="AE64966" s="6"/>
      <c r="AF64966" s="6"/>
      <c r="AG64966" s="6"/>
      <c r="AH64966" s="6"/>
      <c r="AI64966" s="6"/>
      <c r="AJ64966" s="6"/>
      <c r="AK64966" s="6"/>
      <c r="AL64966" s="6"/>
      <c r="AM64966" s="6"/>
    </row>
    <row r="64967" spans="2:39" ht="9.9499999999999993" hidden="1" customHeight="1" x14ac:dyDescent="0.2">
      <c r="B64967" s="6"/>
      <c r="C64967" s="6"/>
      <c r="D64967" s="6"/>
      <c r="E64967" s="6"/>
      <c r="F64967" s="6"/>
      <c r="G64967" s="6"/>
      <c r="H64967" s="6"/>
      <c r="I64967" s="6"/>
      <c r="J64967" s="6"/>
      <c r="K64967" s="6"/>
      <c r="L64967" s="6"/>
      <c r="M64967" s="6"/>
      <c r="N64967" s="6"/>
      <c r="O64967" s="6"/>
      <c r="P64967" s="6"/>
      <c r="Q64967" s="6"/>
      <c r="R64967" s="6"/>
      <c r="S64967" s="6"/>
      <c r="T64967" s="6"/>
      <c r="U64967" s="6"/>
      <c r="V64967" s="6"/>
      <c r="W64967" s="6"/>
      <c r="X64967" s="6"/>
      <c r="Y64967" s="6"/>
      <c r="Z64967" s="6"/>
      <c r="AA64967" s="6"/>
      <c r="AB64967" s="6"/>
      <c r="AC64967" s="6"/>
      <c r="AD64967" s="6"/>
      <c r="AE64967" s="6"/>
      <c r="AF64967" s="6"/>
      <c r="AG64967" s="6"/>
      <c r="AH64967" s="6"/>
      <c r="AI64967" s="6"/>
      <c r="AJ64967" s="6"/>
      <c r="AK64967" s="6"/>
      <c r="AL64967" s="6"/>
      <c r="AM64967" s="6"/>
    </row>
    <row r="64968" spans="2:39" ht="9.9499999999999993" hidden="1" customHeight="1" x14ac:dyDescent="0.2">
      <c r="B64968" s="6"/>
      <c r="C64968" s="6"/>
      <c r="D64968" s="6"/>
      <c r="E64968" s="6"/>
      <c r="F64968" s="6"/>
      <c r="G64968" s="6"/>
      <c r="H64968" s="6"/>
      <c r="I64968" s="6"/>
      <c r="J64968" s="6"/>
      <c r="K64968" s="6"/>
      <c r="L64968" s="6"/>
      <c r="M64968" s="6"/>
      <c r="N64968" s="6"/>
      <c r="O64968" s="6"/>
      <c r="P64968" s="6"/>
      <c r="Q64968" s="6"/>
      <c r="R64968" s="6"/>
      <c r="S64968" s="6"/>
      <c r="T64968" s="6"/>
      <c r="U64968" s="6"/>
      <c r="V64968" s="6"/>
      <c r="W64968" s="6"/>
      <c r="X64968" s="6"/>
      <c r="Y64968" s="6"/>
      <c r="Z64968" s="6"/>
      <c r="AA64968" s="6"/>
      <c r="AB64968" s="6"/>
      <c r="AC64968" s="6"/>
      <c r="AD64968" s="6"/>
      <c r="AE64968" s="6"/>
      <c r="AF64968" s="6"/>
      <c r="AG64968" s="6"/>
      <c r="AH64968" s="6"/>
      <c r="AI64968" s="6"/>
      <c r="AJ64968" s="6"/>
      <c r="AK64968" s="6"/>
      <c r="AL64968" s="6"/>
      <c r="AM64968" s="6"/>
    </row>
    <row r="64969" spans="2:39" ht="9.9499999999999993" hidden="1" customHeight="1" x14ac:dyDescent="0.2">
      <c r="B64969" s="6"/>
      <c r="C64969" s="6"/>
      <c r="D64969" s="6"/>
      <c r="E64969" s="6"/>
      <c r="F64969" s="6"/>
      <c r="G64969" s="6"/>
      <c r="H64969" s="6"/>
      <c r="I64969" s="6"/>
      <c r="J64969" s="6"/>
      <c r="K64969" s="6"/>
      <c r="L64969" s="6"/>
      <c r="M64969" s="6"/>
      <c r="N64969" s="6"/>
      <c r="O64969" s="6"/>
      <c r="P64969" s="6"/>
      <c r="Q64969" s="6"/>
      <c r="R64969" s="6"/>
      <c r="S64969" s="6"/>
      <c r="T64969" s="6"/>
      <c r="U64969" s="6"/>
      <c r="V64969" s="6"/>
      <c r="W64969" s="6"/>
      <c r="X64969" s="6"/>
      <c r="Y64969" s="6"/>
      <c r="Z64969" s="6"/>
      <c r="AA64969" s="6"/>
      <c r="AB64969" s="6"/>
      <c r="AC64969" s="6"/>
      <c r="AD64969" s="6"/>
      <c r="AE64969" s="6"/>
      <c r="AF64969" s="6"/>
      <c r="AG64969" s="6"/>
      <c r="AH64969" s="6"/>
      <c r="AI64969" s="6"/>
      <c r="AJ64969" s="6"/>
      <c r="AK64969" s="6"/>
      <c r="AL64969" s="6"/>
      <c r="AM64969" s="6"/>
    </row>
    <row r="64970" spans="2:39" ht="9.9499999999999993" hidden="1" customHeight="1" x14ac:dyDescent="0.2">
      <c r="B64970" s="6"/>
      <c r="C64970" s="6"/>
      <c r="D64970" s="6"/>
      <c r="E64970" s="6"/>
      <c r="F64970" s="6"/>
      <c r="G64970" s="6"/>
      <c r="H64970" s="6"/>
      <c r="I64970" s="6"/>
      <c r="J64970" s="6"/>
      <c r="K64970" s="6"/>
      <c r="L64970" s="6"/>
      <c r="M64970" s="6"/>
      <c r="N64970" s="6"/>
      <c r="O64970" s="6"/>
      <c r="P64970" s="6"/>
      <c r="Q64970" s="6"/>
      <c r="R64970" s="6"/>
      <c r="S64970" s="6"/>
      <c r="T64970" s="6"/>
      <c r="U64970" s="6"/>
      <c r="V64970" s="6"/>
      <c r="W64970" s="6"/>
      <c r="X64970" s="6"/>
      <c r="Y64970" s="6"/>
      <c r="Z64970" s="6"/>
      <c r="AA64970" s="6"/>
      <c r="AB64970" s="6"/>
      <c r="AC64970" s="6"/>
      <c r="AD64970" s="6"/>
      <c r="AE64970" s="6"/>
      <c r="AF64970" s="6"/>
      <c r="AG64970" s="6"/>
      <c r="AH64970" s="6"/>
      <c r="AI64970" s="6"/>
      <c r="AJ64970" s="6"/>
      <c r="AK64970" s="6"/>
      <c r="AL64970" s="6"/>
      <c r="AM64970" s="6"/>
    </row>
    <row r="64971" spans="2:39" ht="9.9499999999999993" hidden="1" customHeight="1" x14ac:dyDescent="0.2">
      <c r="B64971" s="6"/>
      <c r="C64971" s="6"/>
      <c r="D64971" s="6"/>
      <c r="E64971" s="6"/>
      <c r="F64971" s="6"/>
      <c r="G64971" s="6"/>
      <c r="H64971" s="6"/>
      <c r="I64971" s="6"/>
      <c r="J64971" s="6"/>
      <c r="K64971" s="6"/>
      <c r="L64971" s="6"/>
      <c r="M64971" s="6"/>
      <c r="N64971" s="6"/>
      <c r="O64971" s="6"/>
      <c r="P64971" s="6"/>
      <c r="Q64971" s="6"/>
      <c r="R64971" s="6"/>
      <c r="S64971" s="6"/>
      <c r="T64971" s="6"/>
      <c r="U64971" s="6"/>
      <c r="V64971" s="6"/>
      <c r="W64971" s="6"/>
      <c r="X64971" s="6"/>
      <c r="Y64971" s="6"/>
      <c r="Z64971" s="6"/>
      <c r="AA64971" s="6"/>
      <c r="AB64971" s="6"/>
      <c r="AC64971" s="6"/>
      <c r="AD64971" s="6"/>
      <c r="AE64971" s="6"/>
      <c r="AF64971" s="6"/>
      <c r="AG64971" s="6"/>
      <c r="AH64971" s="6"/>
      <c r="AI64971" s="6"/>
      <c r="AJ64971" s="6"/>
      <c r="AK64971" s="6"/>
      <c r="AL64971" s="6"/>
      <c r="AM64971" s="6"/>
    </row>
    <row r="64972" spans="2:39" ht="9.9499999999999993" hidden="1" customHeight="1" x14ac:dyDescent="0.2">
      <c r="B64972" s="6"/>
      <c r="C64972" s="6"/>
      <c r="D64972" s="6"/>
      <c r="E64972" s="6"/>
      <c r="F64972" s="6"/>
      <c r="G64972" s="6"/>
      <c r="H64972" s="6"/>
      <c r="I64972" s="6"/>
      <c r="J64972" s="6"/>
      <c r="K64972" s="6"/>
      <c r="L64972" s="6"/>
      <c r="M64972" s="6"/>
      <c r="N64972" s="6"/>
      <c r="O64972" s="6"/>
      <c r="P64972" s="6"/>
      <c r="Q64972" s="6"/>
      <c r="R64972" s="6"/>
      <c r="S64972" s="6"/>
      <c r="T64972" s="6"/>
      <c r="U64972" s="6"/>
      <c r="V64972" s="6"/>
      <c r="W64972" s="6"/>
      <c r="X64972" s="6"/>
      <c r="Y64972" s="6"/>
      <c r="Z64972" s="6"/>
      <c r="AA64972" s="6"/>
      <c r="AB64972" s="6"/>
      <c r="AC64972" s="6"/>
      <c r="AD64972" s="6"/>
      <c r="AE64972" s="6"/>
      <c r="AF64972" s="6"/>
      <c r="AG64972" s="6"/>
      <c r="AH64972" s="6"/>
      <c r="AI64972" s="6"/>
      <c r="AJ64972" s="6"/>
      <c r="AK64972" s="6"/>
      <c r="AL64972" s="6"/>
      <c r="AM64972" s="6"/>
    </row>
    <row r="64973" spans="2:39" ht="9.9499999999999993" hidden="1" customHeight="1" x14ac:dyDescent="0.2">
      <c r="B64973" s="6"/>
      <c r="C64973" s="6"/>
      <c r="D64973" s="6"/>
      <c r="E64973" s="6"/>
      <c r="F64973" s="6"/>
      <c r="G64973" s="6"/>
      <c r="H64973" s="6"/>
      <c r="I64973" s="6"/>
      <c r="J64973" s="6"/>
      <c r="K64973" s="6"/>
      <c r="L64973" s="6"/>
      <c r="M64973" s="6"/>
      <c r="N64973" s="6"/>
      <c r="O64973" s="6"/>
      <c r="P64973" s="6"/>
      <c r="Q64973" s="6"/>
      <c r="R64973" s="6"/>
      <c r="S64973" s="6"/>
      <c r="T64973" s="6"/>
      <c r="U64973" s="6"/>
      <c r="V64973" s="6"/>
      <c r="W64973" s="6"/>
      <c r="X64973" s="6"/>
      <c r="Y64973" s="6"/>
      <c r="Z64973" s="6"/>
      <c r="AA64973" s="6"/>
      <c r="AB64973" s="6"/>
      <c r="AC64973" s="6"/>
      <c r="AD64973" s="6"/>
      <c r="AE64973" s="6"/>
      <c r="AF64973" s="6"/>
      <c r="AG64973" s="6"/>
      <c r="AH64973" s="6"/>
      <c r="AI64973" s="6"/>
      <c r="AJ64973" s="6"/>
      <c r="AK64973" s="6"/>
      <c r="AL64973" s="6"/>
      <c r="AM64973" s="6"/>
    </row>
    <row r="64974" spans="2:39" ht="9.9499999999999993" hidden="1" customHeight="1" x14ac:dyDescent="0.2">
      <c r="B64974" s="6"/>
      <c r="C64974" s="6"/>
      <c r="D64974" s="6"/>
      <c r="E64974" s="6"/>
      <c r="F64974" s="6"/>
      <c r="G64974" s="6"/>
      <c r="H64974" s="6"/>
      <c r="I64974" s="6"/>
      <c r="J64974" s="6"/>
      <c r="K64974" s="6"/>
      <c r="L64974" s="6"/>
      <c r="M64974" s="6"/>
      <c r="N64974" s="6"/>
      <c r="O64974" s="6"/>
      <c r="P64974" s="6"/>
      <c r="Q64974" s="6"/>
      <c r="R64974" s="6"/>
      <c r="S64974" s="6"/>
      <c r="T64974" s="6"/>
      <c r="U64974" s="6"/>
      <c r="V64974" s="6"/>
      <c r="W64974" s="6"/>
      <c r="X64974" s="6"/>
      <c r="Y64974" s="6"/>
      <c r="Z64974" s="6"/>
      <c r="AA64974" s="6"/>
      <c r="AB64974" s="6"/>
      <c r="AC64974" s="6"/>
      <c r="AD64974" s="6"/>
      <c r="AE64974" s="6"/>
      <c r="AF64974" s="6"/>
      <c r="AG64974" s="6"/>
      <c r="AH64974" s="6"/>
      <c r="AI64974" s="6"/>
      <c r="AJ64974" s="6"/>
      <c r="AK64974" s="6"/>
      <c r="AL64974" s="6"/>
      <c r="AM64974" s="6"/>
    </row>
    <row r="64975" spans="2:39" ht="9.9499999999999993" hidden="1" customHeight="1" x14ac:dyDescent="0.2">
      <c r="B64975" s="6"/>
      <c r="C64975" s="6"/>
      <c r="D64975" s="6"/>
      <c r="E64975" s="6"/>
      <c r="F64975" s="6"/>
      <c r="G64975" s="6"/>
      <c r="H64975" s="6"/>
      <c r="I64975" s="6"/>
      <c r="J64975" s="6"/>
      <c r="K64975" s="6"/>
      <c r="L64975" s="6"/>
      <c r="M64975" s="6"/>
      <c r="N64975" s="6"/>
      <c r="O64975" s="6"/>
      <c r="P64975" s="6"/>
      <c r="Q64975" s="6"/>
      <c r="R64975" s="6"/>
      <c r="S64975" s="6"/>
      <c r="T64975" s="6"/>
      <c r="U64975" s="6"/>
      <c r="V64975" s="6"/>
      <c r="W64975" s="6"/>
      <c r="X64975" s="6"/>
      <c r="Y64975" s="6"/>
      <c r="Z64975" s="6"/>
      <c r="AA64975" s="6"/>
      <c r="AB64975" s="6"/>
      <c r="AC64975" s="6"/>
      <c r="AD64975" s="6"/>
      <c r="AE64975" s="6"/>
      <c r="AF64975" s="6"/>
      <c r="AG64975" s="6"/>
      <c r="AH64975" s="6"/>
      <c r="AI64975" s="6"/>
      <c r="AJ64975" s="6"/>
      <c r="AK64975" s="6"/>
      <c r="AL64975" s="6"/>
      <c r="AM64975" s="6"/>
    </row>
    <row r="64976" spans="2:39" ht="9.9499999999999993" hidden="1" customHeight="1" x14ac:dyDescent="0.2">
      <c r="B64976" s="6"/>
      <c r="C64976" s="6"/>
      <c r="D64976" s="6"/>
      <c r="E64976" s="6"/>
      <c r="F64976" s="6"/>
      <c r="G64976" s="6"/>
      <c r="H64976" s="6"/>
      <c r="I64976" s="6"/>
      <c r="J64976" s="6"/>
      <c r="K64976" s="6"/>
      <c r="L64976" s="6"/>
      <c r="M64976" s="6"/>
      <c r="N64976" s="6"/>
      <c r="O64976" s="6"/>
      <c r="P64976" s="6"/>
      <c r="Q64976" s="6"/>
      <c r="R64976" s="6"/>
      <c r="S64976" s="6"/>
      <c r="T64976" s="6"/>
      <c r="U64976" s="6"/>
      <c r="V64976" s="6"/>
      <c r="W64976" s="6"/>
      <c r="X64976" s="6"/>
      <c r="Y64976" s="6"/>
      <c r="Z64976" s="6"/>
      <c r="AA64976" s="6"/>
      <c r="AB64976" s="6"/>
      <c r="AC64976" s="6"/>
      <c r="AD64976" s="6"/>
      <c r="AE64976" s="6"/>
      <c r="AF64976" s="6"/>
      <c r="AG64976" s="6"/>
      <c r="AH64976" s="6"/>
      <c r="AI64976" s="6"/>
      <c r="AJ64976" s="6"/>
      <c r="AK64976" s="6"/>
      <c r="AL64976" s="6"/>
      <c r="AM64976" s="6"/>
    </row>
    <row r="64977" spans="2:39" ht="9.9499999999999993" hidden="1" customHeight="1" x14ac:dyDescent="0.2">
      <c r="B64977" s="6"/>
      <c r="C64977" s="6"/>
      <c r="D64977" s="6"/>
      <c r="E64977" s="6"/>
      <c r="F64977" s="6"/>
      <c r="G64977" s="6"/>
      <c r="H64977" s="6"/>
      <c r="I64977" s="6"/>
      <c r="J64977" s="6"/>
      <c r="K64977" s="6"/>
      <c r="L64977" s="6"/>
      <c r="M64977" s="6"/>
      <c r="N64977" s="6"/>
      <c r="O64977" s="6"/>
      <c r="P64977" s="6"/>
      <c r="Q64977" s="6"/>
      <c r="R64977" s="6"/>
      <c r="S64977" s="6"/>
      <c r="T64977" s="6"/>
      <c r="U64977" s="6"/>
      <c r="V64977" s="6"/>
      <c r="W64977" s="6"/>
      <c r="X64977" s="6"/>
      <c r="Y64977" s="6"/>
      <c r="Z64977" s="6"/>
      <c r="AA64977" s="6"/>
      <c r="AB64977" s="6"/>
      <c r="AC64977" s="6"/>
      <c r="AD64977" s="6"/>
      <c r="AE64977" s="6"/>
      <c r="AF64977" s="6"/>
      <c r="AG64977" s="6"/>
      <c r="AH64977" s="6"/>
      <c r="AI64977" s="6"/>
      <c r="AJ64977" s="6"/>
      <c r="AK64977" s="6"/>
      <c r="AL64977" s="6"/>
      <c r="AM64977" s="6"/>
    </row>
    <row r="64978" spans="2:39" ht="9.9499999999999993" hidden="1" customHeight="1" x14ac:dyDescent="0.2">
      <c r="B64978" s="6"/>
      <c r="C64978" s="6"/>
      <c r="D64978" s="6"/>
      <c r="E64978" s="6"/>
      <c r="F64978" s="6"/>
      <c r="G64978" s="6"/>
      <c r="H64978" s="6"/>
      <c r="I64978" s="6"/>
      <c r="J64978" s="6"/>
      <c r="K64978" s="6"/>
      <c r="L64978" s="6"/>
      <c r="M64978" s="6"/>
      <c r="N64978" s="6"/>
      <c r="O64978" s="6"/>
      <c r="P64978" s="6"/>
      <c r="Q64978" s="6"/>
      <c r="R64978" s="6"/>
      <c r="S64978" s="6"/>
      <c r="T64978" s="6"/>
      <c r="U64978" s="6"/>
      <c r="V64978" s="6"/>
      <c r="W64978" s="6"/>
      <c r="X64978" s="6"/>
      <c r="Y64978" s="6"/>
      <c r="Z64978" s="6"/>
      <c r="AA64978" s="6"/>
      <c r="AB64978" s="6"/>
      <c r="AC64978" s="6"/>
      <c r="AD64978" s="6"/>
      <c r="AE64978" s="6"/>
      <c r="AF64978" s="6"/>
      <c r="AG64978" s="6"/>
      <c r="AH64978" s="6"/>
      <c r="AI64978" s="6"/>
      <c r="AJ64978" s="6"/>
      <c r="AK64978" s="6"/>
      <c r="AL64978" s="6"/>
      <c r="AM64978" s="6"/>
    </row>
    <row r="64979" spans="2:39" ht="9.9499999999999993" hidden="1" customHeight="1" x14ac:dyDescent="0.2">
      <c r="B64979" s="6"/>
      <c r="C64979" s="6"/>
      <c r="D64979" s="6"/>
      <c r="E64979" s="6"/>
      <c r="F64979" s="6"/>
      <c r="G64979" s="6"/>
      <c r="H64979" s="6"/>
      <c r="I64979" s="6"/>
      <c r="J64979" s="6"/>
      <c r="K64979" s="6"/>
      <c r="L64979" s="6"/>
      <c r="M64979" s="6"/>
      <c r="N64979" s="6"/>
      <c r="O64979" s="6"/>
      <c r="P64979" s="6"/>
      <c r="Q64979" s="6"/>
      <c r="R64979" s="6"/>
      <c r="S64979" s="6"/>
      <c r="T64979" s="6"/>
      <c r="U64979" s="6"/>
      <c r="V64979" s="6"/>
      <c r="W64979" s="6"/>
      <c r="X64979" s="6"/>
      <c r="Y64979" s="6"/>
      <c r="Z64979" s="6"/>
      <c r="AA64979" s="6"/>
      <c r="AB64979" s="6"/>
      <c r="AC64979" s="6"/>
      <c r="AD64979" s="6"/>
      <c r="AE64979" s="6"/>
      <c r="AF64979" s="6"/>
      <c r="AG64979" s="6"/>
      <c r="AH64979" s="6"/>
      <c r="AI64979" s="6"/>
      <c r="AJ64979" s="6"/>
      <c r="AK64979" s="6"/>
      <c r="AL64979" s="6"/>
      <c r="AM64979" s="6"/>
    </row>
    <row r="64980" spans="2:39" ht="9.9499999999999993" hidden="1" customHeight="1" x14ac:dyDescent="0.2">
      <c r="B64980" s="6"/>
      <c r="C64980" s="6"/>
      <c r="D64980" s="6"/>
      <c r="E64980" s="6"/>
      <c r="F64980" s="6"/>
      <c r="G64980" s="6"/>
      <c r="H64980" s="6"/>
      <c r="I64980" s="6"/>
      <c r="J64980" s="6"/>
      <c r="K64980" s="6"/>
      <c r="L64980" s="6"/>
      <c r="M64980" s="6"/>
      <c r="N64980" s="6"/>
      <c r="O64980" s="6"/>
      <c r="P64980" s="6"/>
      <c r="Q64980" s="6"/>
      <c r="R64980" s="6"/>
      <c r="S64980" s="6"/>
      <c r="T64980" s="6"/>
      <c r="U64980" s="6"/>
      <c r="V64980" s="6"/>
      <c r="W64980" s="6"/>
      <c r="X64980" s="6"/>
      <c r="Y64980" s="6"/>
      <c r="Z64980" s="6"/>
      <c r="AA64980" s="6"/>
      <c r="AB64980" s="6"/>
      <c r="AC64980" s="6"/>
      <c r="AD64980" s="6"/>
      <c r="AE64980" s="6"/>
      <c r="AF64980" s="6"/>
      <c r="AG64980" s="6"/>
      <c r="AH64980" s="6"/>
      <c r="AI64980" s="6"/>
      <c r="AJ64980" s="6"/>
      <c r="AK64980" s="6"/>
      <c r="AL64980" s="6"/>
      <c r="AM64980" s="6"/>
    </row>
    <row r="64981" spans="2:39" ht="9.9499999999999993" hidden="1" customHeight="1" x14ac:dyDescent="0.2">
      <c r="B64981" s="6"/>
      <c r="C64981" s="6"/>
      <c r="D64981" s="6"/>
      <c r="E64981" s="6"/>
      <c r="F64981" s="6"/>
      <c r="G64981" s="6"/>
      <c r="H64981" s="6"/>
      <c r="I64981" s="6"/>
      <c r="J64981" s="6"/>
      <c r="K64981" s="6"/>
      <c r="L64981" s="6"/>
      <c r="M64981" s="6"/>
      <c r="N64981" s="6"/>
      <c r="O64981" s="6"/>
      <c r="P64981" s="6"/>
      <c r="Q64981" s="6"/>
      <c r="R64981" s="6"/>
      <c r="S64981" s="6"/>
      <c r="T64981" s="6"/>
      <c r="U64981" s="6"/>
      <c r="V64981" s="6"/>
      <c r="W64981" s="6"/>
      <c r="X64981" s="6"/>
      <c r="Y64981" s="6"/>
      <c r="Z64981" s="6"/>
      <c r="AA64981" s="6"/>
      <c r="AB64981" s="6"/>
      <c r="AC64981" s="6"/>
      <c r="AD64981" s="6"/>
      <c r="AE64981" s="6"/>
      <c r="AF64981" s="6"/>
      <c r="AG64981" s="6"/>
      <c r="AH64981" s="6"/>
      <c r="AI64981" s="6"/>
      <c r="AJ64981" s="6"/>
      <c r="AK64981" s="6"/>
      <c r="AL64981" s="6"/>
      <c r="AM64981" s="6"/>
    </row>
    <row r="64982" spans="2:39" ht="9.9499999999999993" hidden="1" customHeight="1" x14ac:dyDescent="0.2">
      <c r="B64982" s="6"/>
      <c r="C64982" s="6"/>
      <c r="D64982" s="6"/>
      <c r="E64982" s="6"/>
      <c r="F64982" s="6"/>
      <c r="G64982" s="6"/>
      <c r="H64982" s="6"/>
      <c r="I64982" s="6"/>
      <c r="J64982" s="6"/>
      <c r="K64982" s="6"/>
      <c r="L64982" s="6"/>
      <c r="M64982" s="6"/>
      <c r="N64982" s="6"/>
      <c r="O64982" s="6"/>
      <c r="P64982" s="6"/>
      <c r="Q64982" s="6"/>
      <c r="R64982" s="6"/>
      <c r="S64982" s="6"/>
      <c r="T64982" s="6"/>
      <c r="U64982" s="6"/>
      <c r="V64982" s="6"/>
      <c r="W64982" s="6"/>
      <c r="X64982" s="6"/>
      <c r="Y64982" s="6"/>
      <c r="Z64982" s="6"/>
      <c r="AA64982" s="6"/>
      <c r="AB64982" s="6"/>
      <c r="AC64982" s="6"/>
      <c r="AD64982" s="6"/>
      <c r="AE64982" s="6"/>
      <c r="AF64982" s="6"/>
      <c r="AG64982" s="6"/>
      <c r="AH64982" s="6"/>
      <c r="AI64982" s="6"/>
      <c r="AJ64982" s="6"/>
      <c r="AK64982" s="6"/>
      <c r="AL64982" s="6"/>
      <c r="AM64982" s="6"/>
    </row>
    <row r="64983" spans="2:39" ht="9.9499999999999993" hidden="1" customHeight="1" x14ac:dyDescent="0.2">
      <c r="B64983" s="6"/>
      <c r="C64983" s="6"/>
      <c r="D64983" s="6"/>
      <c r="E64983" s="6"/>
      <c r="F64983" s="6"/>
      <c r="G64983" s="6"/>
      <c r="H64983" s="6"/>
      <c r="I64983" s="6"/>
      <c r="J64983" s="6"/>
      <c r="K64983" s="6"/>
      <c r="L64983" s="6"/>
      <c r="M64983" s="6"/>
      <c r="N64983" s="6"/>
      <c r="O64983" s="6"/>
      <c r="P64983" s="6"/>
      <c r="Q64983" s="6"/>
      <c r="R64983" s="6"/>
      <c r="S64983" s="6"/>
      <c r="T64983" s="6"/>
      <c r="U64983" s="6"/>
      <c r="V64983" s="6"/>
      <c r="W64983" s="6"/>
      <c r="X64983" s="6"/>
      <c r="Y64983" s="6"/>
      <c r="Z64983" s="6"/>
      <c r="AA64983" s="6"/>
      <c r="AB64983" s="6"/>
      <c r="AC64983" s="6"/>
      <c r="AD64983" s="6"/>
      <c r="AE64983" s="6"/>
      <c r="AF64983" s="6"/>
      <c r="AG64983" s="6"/>
      <c r="AH64983" s="6"/>
      <c r="AI64983" s="6"/>
      <c r="AJ64983" s="6"/>
      <c r="AK64983" s="6"/>
      <c r="AL64983" s="6"/>
      <c r="AM64983" s="6"/>
    </row>
    <row r="64984" spans="2:39" ht="9.9499999999999993" hidden="1" customHeight="1" x14ac:dyDescent="0.2">
      <c r="B64984" s="6"/>
      <c r="C64984" s="6"/>
      <c r="D64984" s="6"/>
      <c r="E64984" s="6"/>
      <c r="F64984" s="6"/>
      <c r="G64984" s="6"/>
      <c r="H64984" s="6"/>
      <c r="I64984" s="6"/>
      <c r="J64984" s="6"/>
      <c r="K64984" s="6"/>
      <c r="L64984" s="6"/>
      <c r="M64984" s="6"/>
      <c r="N64984" s="6"/>
      <c r="O64984" s="6"/>
      <c r="P64984" s="6"/>
      <c r="Q64984" s="6"/>
      <c r="R64984" s="6"/>
      <c r="S64984" s="6"/>
      <c r="T64984" s="6"/>
      <c r="U64984" s="6"/>
      <c r="V64984" s="6"/>
      <c r="W64984" s="6"/>
      <c r="X64984" s="6"/>
      <c r="Y64984" s="6"/>
      <c r="Z64984" s="6"/>
      <c r="AA64984" s="6"/>
      <c r="AB64984" s="6"/>
      <c r="AC64984" s="6"/>
      <c r="AD64984" s="6"/>
      <c r="AE64984" s="6"/>
      <c r="AF64984" s="6"/>
      <c r="AG64984" s="6"/>
      <c r="AH64984" s="6"/>
      <c r="AI64984" s="6"/>
      <c r="AJ64984" s="6"/>
      <c r="AK64984" s="6"/>
      <c r="AL64984" s="6"/>
      <c r="AM64984" s="6"/>
    </row>
    <row r="64985" spans="2:39" ht="9.9499999999999993" hidden="1" customHeight="1" x14ac:dyDescent="0.2">
      <c r="B64985" s="6"/>
      <c r="C64985" s="6"/>
      <c r="D64985" s="6"/>
      <c r="E64985" s="6"/>
      <c r="F64985" s="6"/>
      <c r="G64985" s="6"/>
      <c r="H64985" s="6"/>
      <c r="I64985" s="6"/>
      <c r="J64985" s="6"/>
      <c r="K64985" s="6"/>
      <c r="L64985" s="6"/>
      <c r="M64985" s="6"/>
      <c r="N64985" s="6"/>
      <c r="O64985" s="6"/>
      <c r="P64985" s="6"/>
      <c r="Q64985" s="6"/>
      <c r="R64985" s="6"/>
      <c r="S64985" s="6"/>
      <c r="T64985" s="6"/>
      <c r="U64985" s="6"/>
      <c r="V64985" s="6"/>
      <c r="W64985" s="6"/>
      <c r="X64985" s="6"/>
      <c r="Y64985" s="6"/>
      <c r="Z64985" s="6"/>
      <c r="AA64985" s="6"/>
      <c r="AB64985" s="6"/>
      <c r="AC64985" s="6"/>
      <c r="AD64985" s="6"/>
      <c r="AE64985" s="6"/>
      <c r="AF64985" s="6"/>
      <c r="AG64985" s="6"/>
      <c r="AH64985" s="6"/>
      <c r="AI64985" s="6"/>
      <c r="AJ64985" s="6"/>
      <c r="AK64985" s="6"/>
      <c r="AL64985" s="6"/>
      <c r="AM64985" s="6"/>
    </row>
    <row r="64986" spans="2:39" ht="9.9499999999999993" hidden="1" customHeight="1" x14ac:dyDescent="0.2">
      <c r="B64986" s="6"/>
      <c r="C64986" s="6"/>
      <c r="D64986" s="6"/>
      <c r="E64986" s="6"/>
      <c r="F64986" s="6"/>
      <c r="G64986" s="6"/>
      <c r="H64986" s="6"/>
      <c r="I64986" s="6"/>
      <c r="J64986" s="6"/>
      <c r="K64986" s="6"/>
      <c r="L64986" s="6"/>
      <c r="M64986" s="6"/>
      <c r="N64986" s="6"/>
      <c r="O64986" s="6"/>
      <c r="P64986" s="6"/>
      <c r="Q64986" s="6"/>
      <c r="R64986" s="6"/>
      <c r="S64986" s="6"/>
      <c r="T64986" s="6"/>
      <c r="U64986" s="6"/>
      <c r="V64986" s="6"/>
      <c r="W64986" s="6"/>
      <c r="X64986" s="6"/>
      <c r="Y64986" s="6"/>
      <c r="Z64986" s="6"/>
      <c r="AA64986" s="6"/>
      <c r="AB64986" s="6"/>
      <c r="AC64986" s="6"/>
      <c r="AD64986" s="6"/>
      <c r="AE64986" s="6"/>
      <c r="AF64986" s="6"/>
      <c r="AG64986" s="6"/>
      <c r="AH64986" s="6"/>
      <c r="AI64986" s="6"/>
      <c r="AJ64986" s="6"/>
      <c r="AK64986" s="6"/>
      <c r="AL64986" s="6"/>
      <c r="AM64986" s="6"/>
    </row>
    <row r="64987" spans="2:39" ht="9.9499999999999993" hidden="1" customHeight="1" x14ac:dyDescent="0.2">
      <c r="B64987" s="6"/>
      <c r="C64987" s="6"/>
      <c r="D64987" s="6"/>
      <c r="E64987" s="6"/>
      <c r="F64987" s="6"/>
      <c r="G64987" s="6"/>
      <c r="H64987" s="6"/>
      <c r="I64987" s="6"/>
      <c r="J64987" s="6"/>
      <c r="K64987" s="6"/>
      <c r="L64987" s="6"/>
      <c r="M64987" s="6"/>
      <c r="N64987" s="6"/>
      <c r="O64987" s="6"/>
      <c r="P64987" s="6"/>
      <c r="Q64987" s="6"/>
      <c r="R64987" s="6"/>
      <c r="S64987" s="6"/>
      <c r="T64987" s="6"/>
      <c r="U64987" s="6"/>
      <c r="V64987" s="6"/>
      <c r="W64987" s="6"/>
      <c r="X64987" s="6"/>
      <c r="Y64987" s="6"/>
      <c r="Z64987" s="6"/>
      <c r="AA64987" s="6"/>
      <c r="AB64987" s="6"/>
      <c r="AC64987" s="6"/>
      <c r="AD64987" s="6"/>
      <c r="AE64987" s="6"/>
      <c r="AF64987" s="6"/>
      <c r="AG64987" s="6"/>
      <c r="AH64987" s="6"/>
      <c r="AI64987" s="6"/>
      <c r="AJ64987" s="6"/>
      <c r="AK64987" s="6"/>
      <c r="AL64987" s="6"/>
      <c r="AM64987" s="6"/>
    </row>
    <row r="64988" spans="2:39" ht="9.9499999999999993" hidden="1" customHeight="1" x14ac:dyDescent="0.2">
      <c r="B64988" s="6"/>
      <c r="C64988" s="6"/>
      <c r="D64988" s="6"/>
      <c r="E64988" s="6"/>
      <c r="F64988" s="6"/>
      <c r="G64988" s="6"/>
      <c r="H64988" s="6"/>
      <c r="I64988" s="6"/>
      <c r="J64988" s="6"/>
      <c r="K64988" s="6"/>
      <c r="L64988" s="6"/>
      <c r="M64988" s="6"/>
      <c r="N64988" s="6"/>
      <c r="O64988" s="6"/>
      <c r="P64988" s="6"/>
      <c r="Q64988" s="6"/>
      <c r="R64988" s="6"/>
      <c r="S64988" s="6"/>
      <c r="T64988" s="6"/>
      <c r="U64988" s="6"/>
      <c r="V64988" s="6"/>
      <c r="W64988" s="6"/>
      <c r="X64988" s="6"/>
      <c r="Y64988" s="6"/>
      <c r="Z64988" s="6"/>
      <c r="AA64988" s="6"/>
      <c r="AB64988" s="6"/>
      <c r="AC64988" s="6"/>
      <c r="AD64988" s="6"/>
      <c r="AE64988" s="6"/>
      <c r="AF64988" s="6"/>
      <c r="AG64988" s="6"/>
      <c r="AH64988" s="6"/>
      <c r="AI64988" s="6"/>
      <c r="AJ64988" s="6"/>
      <c r="AK64988" s="6"/>
      <c r="AL64988" s="6"/>
      <c r="AM64988" s="6"/>
    </row>
    <row r="64989" spans="2:39" ht="9.9499999999999993" hidden="1" customHeight="1" x14ac:dyDescent="0.2">
      <c r="B64989" s="6"/>
      <c r="C64989" s="6"/>
      <c r="D64989" s="6"/>
      <c r="E64989" s="6"/>
      <c r="F64989" s="6"/>
      <c r="G64989" s="6"/>
      <c r="H64989" s="6"/>
      <c r="I64989" s="6"/>
      <c r="J64989" s="6"/>
      <c r="K64989" s="6"/>
      <c r="L64989" s="6"/>
      <c r="M64989" s="6"/>
      <c r="N64989" s="6"/>
      <c r="O64989" s="6"/>
      <c r="P64989" s="6"/>
      <c r="Q64989" s="6"/>
      <c r="R64989" s="6"/>
      <c r="S64989" s="6"/>
      <c r="T64989" s="6"/>
      <c r="U64989" s="6"/>
      <c r="V64989" s="6"/>
      <c r="W64989" s="6"/>
      <c r="X64989" s="6"/>
      <c r="Y64989" s="6"/>
      <c r="Z64989" s="6"/>
      <c r="AA64989" s="6"/>
      <c r="AB64989" s="6"/>
      <c r="AC64989" s="6"/>
      <c r="AD64989" s="6"/>
      <c r="AE64989" s="6"/>
      <c r="AF64989" s="6"/>
      <c r="AG64989" s="6"/>
      <c r="AH64989" s="6"/>
      <c r="AI64989" s="6"/>
      <c r="AJ64989" s="6"/>
      <c r="AK64989" s="6"/>
      <c r="AL64989" s="6"/>
      <c r="AM64989" s="6"/>
    </row>
    <row r="64990" spans="2:39" ht="9.9499999999999993" hidden="1" customHeight="1" x14ac:dyDescent="0.2">
      <c r="B64990" s="6"/>
      <c r="C64990" s="6"/>
      <c r="D64990" s="6"/>
      <c r="E64990" s="6"/>
      <c r="F64990" s="6"/>
      <c r="G64990" s="6"/>
      <c r="H64990" s="6"/>
      <c r="I64990" s="6"/>
      <c r="J64990" s="6"/>
      <c r="K64990" s="6"/>
      <c r="L64990" s="6"/>
      <c r="M64990" s="6"/>
      <c r="N64990" s="6"/>
      <c r="O64990" s="6"/>
      <c r="P64990" s="6"/>
      <c r="Q64990" s="6"/>
      <c r="R64990" s="6"/>
      <c r="S64990" s="6"/>
      <c r="T64990" s="6"/>
      <c r="U64990" s="6"/>
      <c r="V64990" s="6"/>
      <c r="W64990" s="6"/>
      <c r="X64990" s="6"/>
      <c r="Y64990" s="6"/>
      <c r="Z64990" s="6"/>
      <c r="AA64990" s="6"/>
      <c r="AB64990" s="6"/>
      <c r="AC64990" s="6"/>
      <c r="AD64990" s="6"/>
      <c r="AE64990" s="6"/>
      <c r="AF64990" s="6"/>
      <c r="AG64990" s="6"/>
      <c r="AH64990" s="6"/>
      <c r="AI64990" s="6"/>
      <c r="AJ64990" s="6"/>
      <c r="AK64990" s="6"/>
      <c r="AL64990" s="6"/>
      <c r="AM64990" s="6"/>
    </row>
    <row r="64991" spans="2:39" ht="9.9499999999999993" hidden="1" customHeight="1" x14ac:dyDescent="0.2">
      <c r="B64991" s="6"/>
      <c r="C64991" s="6"/>
      <c r="D64991" s="6"/>
      <c r="E64991" s="6"/>
      <c r="F64991" s="6"/>
      <c r="G64991" s="6"/>
      <c r="H64991" s="6"/>
      <c r="I64991" s="6"/>
      <c r="J64991" s="6"/>
      <c r="K64991" s="6"/>
      <c r="L64991" s="6"/>
      <c r="M64991" s="6"/>
      <c r="N64991" s="6"/>
      <c r="O64991" s="6"/>
      <c r="P64991" s="6"/>
      <c r="Q64991" s="6"/>
      <c r="R64991" s="6"/>
      <c r="S64991" s="6"/>
      <c r="T64991" s="6"/>
      <c r="U64991" s="6"/>
      <c r="V64991" s="6"/>
      <c r="W64991" s="6"/>
      <c r="X64991" s="6"/>
      <c r="Y64991" s="6"/>
      <c r="Z64991" s="6"/>
      <c r="AA64991" s="6"/>
      <c r="AB64991" s="6"/>
      <c r="AC64991" s="6"/>
      <c r="AD64991" s="6"/>
      <c r="AE64991" s="6"/>
      <c r="AF64991" s="6"/>
      <c r="AG64991" s="6"/>
      <c r="AH64991" s="6"/>
      <c r="AI64991" s="6"/>
      <c r="AJ64991" s="6"/>
      <c r="AK64991" s="6"/>
      <c r="AL64991" s="6"/>
      <c r="AM64991" s="6"/>
    </row>
    <row r="64992" spans="2:39" ht="9.9499999999999993" hidden="1" customHeight="1" x14ac:dyDescent="0.2">
      <c r="B64992" s="6"/>
      <c r="C64992" s="6"/>
      <c r="D64992" s="6"/>
      <c r="E64992" s="6"/>
      <c r="F64992" s="6"/>
      <c r="G64992" s="6"/>
      <c r="H64992" s="6"/>
      <c r="I64992" s="6"/>
      <c r="J64992" s="6"/>
      <c r="K64992" s="6"/>
      <c r="L64992" s="6"/>
      <c r="M64992" s="6"/>
      <c r="N64992" s="6"/>
      <c r="O64992" s="6"/>
      <c r="P64992" s="6"/>
      <c r="Q64992" s="6"/>
      <c r="R64992" s="6"/>
      <c r="S64992" s="6"/>
      <c r="T64992" s="6"/>
      <c r="U64992" s="6"/>
      <c r="V64992" s="6"/>
      <c r="W64992" s="6"/>
      <c r="X64992" s="6"/>
      <c r="Y64992" s="6"/>
      <c r="Z64992" s="6"/>
      <c r="AA64992" s="6"/>
      <c r="AB64992" s="6"/>
      <c r="AC64992" s="6"/>
      <c r="AD64992" s="6"/>
      <c r="AE64992" s="6"/>
      <c r="AF64992" s="6"/>
      <c r="AG64992" s="6"/>
      <c r="AH64992" s="6"/>
      <c r="AI64992" s="6"/>
      <c r="AJ64992" s="6"/>
      <c r="AK64992" s="6"/>
      <c r="AL64992" s="6"/>
      <c r="AM64992" s="6"/>
    </row>
    <row r="64993" spans="2:39" ht="9.9499999999999993" hidden="1" customHeight="1" x14ac:dyDescent="0.2">
      <c r="B64993" s="6"/>
      <c r="C64993" s="6"/>
      <c r="D64993" s="6"/>
      <c r="E64993" s="6"/>
      <c r="F64993" s="6"/>
      <c r="G64993" s="6"/>
      <c r="H64993" s="6"/>
      <c r="I64993" s="6"/>
      <c r="J64993" s="6"/>
      <c r="K64993" s="6"/>
      <c r="L64993" s="6"/>
      <c r="M64993" s="6"/>
      <c r="N64993" s="6"/>
      <c r="O64993" s="6"/>
      <c r="P64993" s="6"/>
      <c r="Q64993" s="6"/>
      <c r="R64993" s="6"/>
      <c r="S64993" s="6"/>
      <c r="T64993" s="6"/>
      <c r="U64993" s="6"/>
      <c r="V64993" s="6"/>
      <c r="W64993" s="6"/>
      <c r="X64993" s="6"/>
      <c r="Y64993" s="6"/>
      <c r="Z64993" s="6"/>
      <c r="AA64993" s="6"/>
      <c r="AB64993" s="6"/>
      <c r="AC64993" s="6"/>
      <c r="AD64993" s="6"/>
      <c r="AE64993" s="6"/>
      <c r="AF64993" s="6"/>
      <c r="AG64993" s="6"/>
      <c r="AH64993" s="6"/>
      <c r="AI64993" s="6"/>
      <c r="AJ64993" s="6"/>
      <c r="AK64993" s="6"/>
      <c r="AL64993" s="6"/>
      <c r="AM64993" s="6"/>
    </row>
    <row r="64994" spans="2:39" ht="9.9499999999999993" hidden="1" customHeight="1" x14ac:dyDescent="0.2">
      <c r="B64994" s="6"/>
      <c r="C64994" s="6"/>
      <c r="D64994" s="6"/>
      <c r="E64994" s="6"/>
      <c r="F64994" s="6"/>
      <c r="G64994" s="6"/>
      <c r="H64994" s="6"/>
      <c r="I64994" s="6"/>
      <c r="J64994" s="6"/>
      <c r="K64994" s="6"/>
      <c r="L64994" s="6"/>
      <c r="M64994" s="6"/>
      <c r="N64994" s="6"/>
      <c r="O64994" s="6"/>
      <c r="P64994" s="6"/>
      <c r="Q64994" s="6"/>
      <c r="R64994" s="6"/>
      <c r="S64994" s="6"/>
      <c r="T64994" s="6"/>
      <c r="U64994" s="6"/>
      <c r="V64994" s="6"/>
      <c r="W64994" s="6"/>
      <c r="X64994" s="6"/>
      <c r="Y64994" s="6"/>
      <c r="Z64994" s="6"/>
      <c r="AA64994" s="6"/>
      <c r="AB64994" s="6"/>
      <c r="AC64994" s="6"/>
      <c r="AD64994" s="6"/>
      <c r="AE64994" s="6"/>
      <c r="AF64994" s="6"/>
      <c r="AG64994" s="6"/>
      <c r="AH64994" s="6"/>
      <c r="AI64994" s="6"/>
      <c r="AJ64994" s="6"/>
      <c r="AK64994" s="6"/>
      <c r="AL64994" s="6"/>
      <c r="AM64994" s="6"/>
    </row>
    <row r="64995" spans="2:39" ht="9.9499999999999993" hidden="1" customHeight="1" x14ac:dyDescent="0.2">
      <c r="B64995" s="6"/>
      <c r="C64995" s="6"/>
      <c r="D64995" s="6"/>
      <c r="E64995" s="6"/>
      <c r="F64995" s="6"/>
      <c r="G64995" s="6"/>
      <c r="H64995" s="6"/>
      <c r="I64995" s="6"/>
      <c r="J64995" s="6"/>
      <c r="K64995" s="6"/>
      <c r="L64995" s="6"/>
      <c r="M64995" s="6"/>
      <c r="N64995" s="6"/>
      <c r="O64995" s="6"/>
      <c r="P64995" s="6"/>
      <c r="Q64995" s="6"/>
      <c r="R64995" s="6"/>
      <c r="S64995" s="6"/>
      <c r="T64995" s="6"/>
      <c r="U64995" s="6"/>
      <c r="V64995" s="6"/>
      <c r="W64995" s="6"/>
      <c r="X64995" s="6"/>
      <c r="Y64995" s="6"/>
      <c r="Z64995" s="6"/>
      <c r="AA64995" s="6"/>
      <c r="AB64995" s="6"/>
      <c r="AC64995" s="6"/>
      <c r="AD64995" s="6"/>
      <c r="AE64995" s="6"/>
      <c r="AF64995" s="6"/>
      <c r="AG64995" s="6"/>
      <c r="AH64995" s="6"/>
      <c r="AI64995" s="6"/>
      <c r="AJ64995" s="6"/>
      <c r="AK64995" s="6"/>
      <c r="AL64995" s="6"/>
      <c r="AM64995" s="6"/>
    </row>
    <row r="64996" spans="2:39" ht="9.9499999999999993" hidden="1" customHeight="1" x14ac:dyDescent="0.2">
      <c r="B64996" s="6"/>
      <c r="C64996" s="6"/>
      <c r="D64996" s="6"/>
      <c r="E64996" s="6"/>
      <c r="F64996" s="6"/>
      <c r="G64996" s="6"/>
      <c r="H64996" s="6"/>
      <c r="I64996" s="6"/>
      <c r="J64996" s="6"/>
      <c r="K64996" s="6"/>
      <c r="L64996" s="6"/>
      <c r="M64996" s="6"/>
      <c r="N64996" s="6"/>
      <c r="O64996" s="6"/>
      <c r="P64996" s="6"/>
      <c r="Q64996" s="6"/>
      <c r="R64996" s="6"/>
      <c r="S64996" s="6"/>
      <c r="T64996" s="6"/>
      <c r="U64996" s="6"/>
      <c r="V64996" s="6"/>
      <c r="W64996" s="6"/>
      <c r="X64996" s="6"/>
      <c r="Y64996" s="6"/>
      <c r="Z64996" s="6"/>
      <c r="AA64996" s="6"/>
      <c r="AB64996" s="6"/>
      <c r="AC64996" s="6"/>
      <c r="AD64996" s="6"/>
      <c r="AE64996" s="6"/>
      <c r="AF64996" s="6"/>
      <c r="AG64996" s="6"/>
      <c r="AH64996" s="6"/>
      <c r="AI64996" s="6"/>
      <c r="AJ64996" s="6"/>
      <c r="AK64996" s="6"/>
      <c r="AL64996" s="6"/>
      <c r="AM64996" s="6"/>
    </row>
    <row r="64997" spans="2:39" ht="9.9499999999999993" hidden="1" customHeight="1" x14ac:dyDescent="0.2">
      <c r="B64997" s="6"/>
      <c r="C64997" s="6"/>
      <c r="D64997" s="6"/>
      <c r="E64997" s="6"/>
      <c r="F64997" s="6"/>
      <c r="G64997" s="6"/>
      <c r="H64997" s="6"/>
      <c r="I64997" s="6"/>
      <c r="J64997" s="6"/>
      <c r="K64997" s="6"/>
      <c r="L64997" s="6"/>
      <c r="M64997" s="6"/>
      <c r="N64997" s="6"/>
      <c r="O64997" s="6"/>
      <c r="P64997" s="6"/>
      <c r="Q64997" s="6"/>
      <c r="R64997" s="6"/>
      <c r="S64997" s="6"/>
      <c r="T64997" s="6"/>
      <c r="U64997" s="6"/>
      <c r="V64997" s="6"/>
      <c r="W64997" s="6"/>
      <c r="X64997" s="6"/>
      <c r="Y64997" s="6"/>
      <c r="Z64997" s="6"/>
      <c r="AA64997" s="6"/>
      <c r="AB64997" s="6"/>
      <c r="AC64997" s="6"/>
      <c r="AD64997" s="6"/>
      <c r="AE64997" s="6"/>
      <c r="AF64997" s="6"/>
      <c r="AG64997" s="6"/>
      <c r="AH64997" s="6"/>
      <c r="AI64997" s="6"/>
      <c r="AJ64997" s="6"/>
      <c r="AK64997" s="6"/>
      <c r="AL64997" s="6"/>
      <c r="AM64997" s="6"/>
    </row>
    <row r="64998" spans="2:39" ht="9.9499999999999993" hidden="1" customHeight="1" x14ac:dyDescent="0.2">
      <c r="B64998" s="6"/>
      <c r="C64998" s="6"/>
      <c r="D64998" s="6"/>
      <c r="E64998" s="6"/>
      <c r="F64998" s="6"/>
      <c r="G64998" s="6"/>
      <c r="H64998" s="6"/>
      <c r="I64998" s="6"/>
      <c r="J64998" s="6"/>
      <c r="K64998" s="6"/>
      <c r="L64998" s="6"/>
      <c r="M64998" s="6"/>
      <c r="N64998" s="6"/>
      <c r="O64998" s="6"/>
      <c r="P64998" s="6"/>
      <c r="Q64998" s="6"/>
      <c r="R64998" s="6"/>
      <c r="S64998" s="6"/>
      <c r="T64998" s="6"/>
      <c r="U64998" s="6"/>
      <c r="V64998" s="6"/>
      <c r="W64998" s="6"/>
      <c r="X64998" s="6"/>
      <c r="Y64998" s="6"/>
      <c r="Z64998" s="6"/>
      <c r="AA64998" s="6"/>
      <c r="AB64998" s="6"/>
      <c r="AC64998" s="6"/>
      <c r="AD64998" s="6"/>
      <c r="AE64998" s="6"/>
      <c r="AF64998" s="6"/>
      <c r="AG64998" s="6"/>
      <c r="AH64998" s="6"/>
      <c r="AI64998" s="6"/>
      <c r="AJ64998" s="6"/>
      <c r="AK64998" s="6"/>
      <c r="AL64998" s="6"/>
      <c r="AM64998" s="6"/>
    </row>
    <row r="64999" spans="2:39" ht="9.9499999999999993" hidden="1" customHeight="1" x14ac:dyDescent="0.2">
      <c r="B64999" s="6"/>
      <c r="C64999" s="6"/>
      <c r="D64999" s="6"/>
      <c r="E64999" s="6"/>
      <c r="F64999" s="6"/>
      <c r="G64999" s="6"/>
      <c r="H64999" s="6"/>
      <c r="I64999" s="6"/>
      <c r="J64999" s="6"/>
      <c r="K64999" s="6"/>
      <c r="L64999" s="6"/>
      <c r="M64999" s="6"/>
      <c r="N64999" s="6"/>
      <c r="O64999" s="6"/>
      <c r="P64999" s="6"/>
      <c r="Q64999" s="6"/>
      <c r="R64999" s="6"/>
      <c r="S64999" s="6"/>
      <c r="T64999" s="6"/>
      <c r="U64999" s="6"/>
      <c r="V64999" s="6"/>
      <c r="W64999" s="6"/>
      <c r="X64999" s="6"/>
      <c r="Y64999" s="6"/>
      <c r="Z64999" s="6"/>
      <c r="AA64999" s="6"/>
      <c r="AB64999" s="6"/>
      <c r="AC64999" s="6"/>
      <c r="AD64999" s="6"/>
      <c r="AE64999" s="6"/>
      <c r="AF64999" s="6"/>
      <c r="AG64999" s="6"/>
      <c r="AH64999" s="6"/>
      <c r="AI64999" s="6"/>
      <c r="AJ64999" s="6"/>
      <c r="AK64999" s="6"/>
      <c r="AL64999" s="6"/>
      <c r="AM64999" s="6"/>
    </row>
    <row r="65000" spans="2:39" ht="9.9499999999999993" hidden="1" customHeight="1" x14ac:dyDescent="0.2">
      <c r="B65000" s="6"/>
      <c r="C65000" s="6"/>
      <c r="D65000" s="6"/>
      <c r="E65000" s="6"/>
      <c r="F65000" s="6"/>
      <c r="G65000" s="6"/>
      <c r="H65000" s="6"/>
      <c r="I65000" s="6"/>
      <c r="J65000" s="6"/>
      <c r="K65000" s="6"/>
      <c r="L65000" s="6"/>
      <c r="M65000" s="6"/>
      <c r="N65000" s="6"/>
      <c r="O65000" s="6"/>
      <c r="P65000" s="6"/>
      <c r="Q65000" s="6"/>
      <c r="R65000" s="6"/>
      <c r="S65000" s="6"/>
      <c r="T65000" s="6"/>
      <c r="U65000" s="6"/>
      <c r="V65000" s="6"/>
      <c r="W65000" s="6"/>
      <c r="X65000" s="6"/>
      <c r="Y65000" s="6"/>
      <c r="Z65000" s="6"/>
      <c r="AA65000" s="6"/>
      <c r="AB65000" s="6"/>
      <c r="AC65000" s="6"/>
      <c r="AD65000" s="6"/>
      <c r="AE65000" s="6"/>
      <c r="AF65000" s="6"/>
      <c r="AG65000" s="6"/>
      <c r="AH65000" s="6"/>
      <c r="AI65000" s="6"/>
      <c r="AJ65000" s="6"/>
      <c r="AK65000" s="6"/>
      <c r="AL65000" s="6"/>
      <c r="AM65000" s="6"/>
    </row>
    <row r="65001" spans="2:39" ht="9.9499999999999993" hidden="1" customHeight="1" x14ac:dyDescent="0.2">
      <c r="B65001" s="6"/>
      <c r="C65001" s="6"/>
      <c r="D65001" s="6"/>
      <c r="E65001" s="6"/>
      <c r="F65001" s="6"/>
      <c r="G65001" s="6"/>
      <c r="H65001" s="6"/>
      <c r="I65001" s="6"/>
      <c r="J65001" s="6"/>
      <c r="K65001" s="6"/>
      <c r="L65001" s="6"/>
      <c r="M65001" s="6"/>
      <c r="N65001" s="6"/>
      <c r="O65001" s="6"/>
      <c r="P65001" s="6"/>
      <c r="Q65001" s="6"/>
      <c r="R65001" s="6"/>
      <c r="S65001" s="6"/>
      <c r="T65001" s="6"/>
      <c r="U65001" s="6"/>
      <c r="V65001" s="6"/>
      <c r="W65001" s="6"/>
      <c r="X65001" s="6"/>
      <c r="Y65001" s="6"/>
      <c r="Z65001" s="6"/>
      <c r="AA65001" s="6"/>
      <c r="AB65001" s="6"/>
      <c r="AC65001" s="6"/>
      <c r="AD65001" s="6"/>
      <c r="AE65001" s="6"/>
      <c r="AF65001" s="6"/>
      <c r="AG65001" s="6"/>
      <c r="AH65001" s="6"/>
      <c r="AI65001" s="6"/>
      <c r="AJ65001" s="6"/>
      <c r="AK65001" s="6"/>
      <c r="AL65001" s="6"/>
      <c r="AM65001" s="6"/>
    </row>
    <row r="65002" spans="2:39" ht="9.9499999999999993" hidden="1" customHeight="1" x14ac:dyDescent="0.2">
      <c r="B65002" s="6"/>
      <c r="C65002" s="6"/>
      <c r="D65002" s="6"/>
      <c r="E65002" s="6"/>
      <c r="F65002" s="6"/>
      <c r="G65002" s="6"/>
      <c r="H65002" s="6"/>
      <c r="I65002" s="6"/>
      <c r="J65002" s="6"/>
      <c r="K65002" s="6"/>
      <c r="L65002" s="6"/>
      <c r="M65002" s="6"/>
      <c r="N65002" s="6"/>
      <c r="O65002" s="6"/>
      <c r="P65002" s="6"/>
      <c r="Q65002" s="6"/>
      <c r="R65002" s="6"/>
      <c r="S65002" s="6"/>
      <c r="T65002" s="6"/>
      <c r="U65002" s="6"/>
      <c r="V65002" s="6"/>
      <c r="W65002" s="6"/>
      <c r="X65002" s="6"/>
      <c r="Y65002" s="6"/>
      <c r="Z65002" s="6"/>
      <c r="AA65002" s="6"/>
      <c r="AB65002" s="6"/>
      <c r="AC65002" s="6"/>
      <c r="AD65002" s="6"/>
      <c r="AE65002" s="6"/>
      <c r="AF65002" s="6"/>
      <c r="AG65002" s="6"/>
      <c r="AH65002" s="6"/>
      <c r="AI65002" s="6"/>
      <c r="AJ65002" s="6"/>
      <c r="AK65002" s="6"/>
      <c r="AL65002" s="6"/>
      <c r="AM65002" s="6"/>
    </row>
    <row r="65003" spans="2:39" ht="9.9499999999999993" hidden="1" customHeight="1" x14ac:dyDescent="0.2">
      <c r="B65003" s="6"/>
      <c r="C65003" s="6"/>
      <c r="D65003" s="6"/>
      <c r="E65003" s="6"/>
      <c r="F65003" s="6"/>
      <c r="G65003" s="6"/>
      <c r="H65003" s="6"/>
      <c r="I65003" s="6"/>
      <c r="J65003" s="6"/>
      <c r="K65003" s="6"/>
      <c r="L65003" s="6"/>
      <c r="M65003" s="6"/>
      <c r="N65003" s="6"/>
      <c r="O65003" s="6"/>
      <c r="P65003" s="6"/>
      <c r="Q65003" s="6"/>
      <c r="R65003" s="6"/>
      <c r="S65003" s="6"/>
      <c r="T65003" s="6"/>
      <c r="U65003" s="6"/>
      <c r="V65003" s="6"/>
      <c r="W65003" s="6"/>
      <c r="X65003" s="6"/>
      <c r="Y65003" s="6"/>
      <c r="Z65003" s="6"/>
      <c r="AA65003" s="6"/>
      <c r="AB65003" s="6"/>
      <c r="AC65003" s="6"/>
      <c r="AD65003" s="6"/>
      <c r="AE65003" s="6"/>
      <c r="AF65003" s="6"/>
      <c r="AG65003" s="6"/>
      <c r="AH65003" s="6"/>
      <c r="AI65003" s="6"/>
      <c r="AJ65003" s="6"/>
      <c r="AK65003" s="6"/>
      <c r="AL65003" s="6"/>
      <c r="AM65003" s="6"/>
    </row>
    <row r="65004" spans="2:39" ht="9.9499999999999993" hidden="1" customHeight="1" x14ac:dyDescent="0.2">
      <c r="B65004" s="6"/>
      <c r="C65004" s="6"/>
      <c r="D65004" s="6"/>
      <c r="E65004" s="6"/>
      <c r="F65004" s="6"/>
      <c r="G65004" s="6"/>
      <c r="H65004" s="6"/>
      <c r="I65004" s="6"/>
      <c r="J65004" s="6"/>
      <c r="K65004" s="6"/>
      <c r="L65004" s="6"/>
      <c r="M65004" s="6"/>
      <c r="N65004" s="6"/>
      <c r="O65004" s="6"/>
      <c r="P65004" s="6"/>
      <c r="Q65004" s="6"/>
      <c r="R65004" s="6"/>
      <c r="S65004" s="6"/>
      <c r="T65004" s="6"/>
      <c r="U65004" s="6"/>
      <c r="V65004" s="6"/>
      <c r="W65004" s="6"/>
      <c r="X65004" s="6"/>
      <c r="Y65004" s="6"/>
      <c r="Z65004" s="6"/>
      <c r="AA65004" s="6"/>
      <c r="AB65004" s="6"/>
      <c r="AC65004" s="6"/>
      <c r="AD65004" s="6"/>
      <c r="AE65004" s="6"/>
      <c r="AF65004" s="6"/>
      <c r="AG65004" s="6"/>
      <c r="AH65004" s="6"/>
      <c r="AI65004" s="6"/>
      <c r="AJ65004" s="6"/>
      <c r="AK65004" s="6"/>
      <c r="AL65004" s="6"/>
      <c r="AM65004" s="6"/>
    </row>
    <row r="65005" spans="2:39" ht="9.9499999999999993" hidden="1" customHeight="1" x14ac:dyDescent="0.2">
      <c r="B65005" s="6"/>
      <c r="C65005" s="6"/>
      <c r="D65005" s="6"/>
      <c r="E65005" s="6"/>
      <c r="F65005" s="6"/>
      <c r="G65005" s="6"/>
      <c r="H65005" s="6"/>
      <c r="I65005" s="6"/>
      <c r="J65005" s="6"/>
      <c r="K65005" s="6"/>
      <c r="L65005" s="6"/>
      <c r="M65005" s="6"/>
      <c r="N65005" s="6"/>
      <c r="O65005" s="6"/>
      <c r="P65005" s="6"/>
      <c r="Q65005" s="6"/>
      <c r="R65005" s="6"/>
      <c r="S65005" s="6"/>
      <c r="T65005" s="6"/>
      <c r="U65005" s="6"/>
      <c r="V65005" s="6"/>
      <c r="W65005" s="6"/>
      <c r="X65005" s="6"/>
      <c r="Y65005" s="6"/>
      <c r="Z65005" s="6"/>
      <c r="AA65005" s="6"/>
      <c r="AB65005" s="6"/>
      <c r="AC65005" s="6"/>
      <c r="AD65005" s="6"/>
      <c r="AE65005" s="6"/>
      <c r="AF65005" s="6"/>
      <c r="AG65005" s="6"/>
      <c r="AH65005" s="6"/>
      <c r="AI65005" s="6"/>
      <c r="AJ65005" s="6"/>
      <c r="AK65005" s="6"/>
      <c r="AL65005" s="6"/>
      <c r="AM65005" s="6"/>
    </row>
    <row r="65006" spans="2:39" ht="9.9499999999999993" hidden="1" customHeight="1" x14ac:dyDescent="0.2">
      <c r="B65006" s="6"/>
      <c r="C65006" s="6"/>
      <c r="D65006" s="6"/>
      <c r="E65006" s="6"/>
      <c r="F65006" s="6"/>
      <c r="G65006" s="6"/>
      <c r="H65006" s="6"/>
      <c r="I65006" s="6"/>
      <c r="J65006" s="6"/>
      <c r="K65006" s="6"/>
      <c r="L65006" s="6"/>
      <c r="M65006" s="6"/>
      <c r="N65006" s="6"/>
      <c r="O65006" s="6"/>
      <c r="P65006" s="6"/>
      <c r="Q65006" s="6"/>
      <c r="R65006" s="6"/>
      <c r="S65006" s="6"/>
      <c r="T65006" s="6"/>
      <c r="U65006" s="6"/>
      <c r="V65006" s="6"/>
      <c r="W65006" s="6"/>
      <c r="X65006" s="6"/>
      <c r="Y65006" s="6"/>
      <c r="Z65006" s="6"/>
      <c r="AA65006" s="6"/>
      <c r="AB65006" s="6"/>
      <c r="AC65006" s="6"/>
      <c r="AD65006" s="6"/>
      <c r="AE65006" s="6"/>
      <c r="AF65006" s="6"/>
      <c r="AG65006" s="6"/>
      <c r="AH65006" s="6"/>
      <c r="AI65006" s="6"/>
      <c r="AJ65006" s="6"/>
      <c r="AK65006" s="6"/>
      <c r="AL65006" s="6"/>
      <c r="AM65006" s="6"/>
    </row>
    <row r="65007" spans="2:39" ht="9.9499999999999993" hidden="1" customHeight="1" x14ac:dyDescent="0.2">
      <c r="B65007" s="6"/>
      <c r="C65007" s="6"/>
      <c r="D65007" s="6"/>
      <c r="E65007" s="6"/>
      <c r="F65007" s="6"/>
      <c r="G65007" s="6"/>
      <c r="H65007" s="6"/>
      <c r="I65007" s="6"/>
      <c r="J65007" s="6"/>
      <c r="K65007" s="6"/>
      <c r="L65007" s="6"/>
      <c r="M65007" s="6"/>
      <c r="N65007" s="6"/>
      <c r="O65007" s="6"/>
      <c r="P65007" s="6"/>
      <c r="Q65007" s="6"/>
      <c r="R65007" s="6"/>
      <c r="S65007" s="6"/>
      <c r="T65007" s="6"/>
      <c r="U65007" s="6"/>
      <c r="V65007" s="6"/>
      <c r="W65007" s="6"/>
      <c r="X65007" s="6"/>
      <c r="Y65007" s="6"/>
      <c r="Z65007" s="6"/>
      <c r="AA65007" s="6"/>
      <c r="AB65007" s="6"/>
      <c r="AC65007" s="6"/>
      <c r="AD65007" s="6"/>
      <c r="AE65007" s="6"/>
      <c r="AF65007" s="6"/>
      <c r="AG65007" s="6"/>
      <c r="AH65007" s="6"/>
      <c r="AI65007" s="6"/>
      <c r="AJ65007" s="6"/>
      <c r="AK65007" s="6"/>
      <c r="AL65007" s="6"/>
      <c r="AM65007" s="6"/>
    </row>
    <row r="65008" spans="2:39" ht="9.9499999999999993" hidden="1" customHeight="1" x14ac:dyDescent="0.2">
      <c r="B65008" s="6"/>
      <c r="C65008" s="6"/>
      <c r="D65008" s="6"/>
      <c r="E65008" s="6"/>
      <c r="F65008" s="6"/>
      <c r="G65008" s="6"/>
      <c r="H65008" s="6"/>
      <c r="I65008" s="6"/>
      <c r="J65008" s="6"/>
      <c r="K65008" s="6"/>
      <c r="L65008" s="6"/>
      <c r="M65008" s="6"/>
      <c r="N65008" s="6"/>
      <c r="O65008" s="6"/>
      <c r="P65008" s="6"/>
      <c r="Q65008" s="6"/>
      <c r="R65008" s="6"/>
      <c r="S65008" s="6"/>
      <c r="T65008" s="6"/>
      <c r="U65008" s="6"/>
      <c r="V65008" s="6"/>
      <c r="W65008" s="6"/>
      <c r="X65008" s="6"/>
      <c r="Y65008" s="6"/>
      <c r="Z65008" s="6"/>
      <c r="AA65008" s="6"/>
      <c r="AB65008" s="6"/>
      <c r="AC65008" s="6"/>
      <c r="AD65008" s="6"/>
      <c r="AE65008" s="6"/>
      <c r="AF65008" s="6"/>
      <c r="AG65008" s="6"/>
      <c r="AH65008" s="6"/>
      <c r="AI65008" s="6"/>
      <c r="AJ65008" s="6"/>
      <c r="AK65008" s="6"/>
      <c r="AL65008" s="6"/>
      <c r="AM65008" s="6"/>
    </row>
    <row r="65009" spans="2:39" ht="9.9499999999999993" hidden="1" customHeight="1" x14ac:dyDescent="0.2">
      <c r="B65009" s="6"/>
      <c r="C65009" s="6"/>
      <c r="D65009" s="6"/>
      <c r="E65009" s="6"/>
      <c r="F65009" s="6"/>
      <c r="G65009" s="6"/>
      <c r="H65009" s="6"/>
      <c r="I65009" s="6"/>
      <c r="J65009" s="6"/>
      <c r="K65009" s="6"/>
      <c r="L65009" s="6"/>
      <c r="M65009" s="6"/>
      <c r="N65009" s="6"/>
      <c r="O65009" s="6"/>
      <c r="P65009" s="6"/>
      <c r="Q65009" s="6"/>
      <c r="R65009" s="6"/>
      <c r="S65009" s="6"/>
      <c r="T65009" s="6"/>
      <c r="U65009" s="6"/>
      <c r="V65009" s="6"/>
      <c r="W65009" s="6"/>
      <c r="X65009" s="6"/>
      <c r="Y65009" s="6"/>
      <c r="Z65009" s="6"/>
      <c r="AA65009" s="6"/>
      <c r="AB65009" s="6"/>
      <c r="AC65009" s="6"/>
      <c r="AD65009" s="6"/>
      <c r="AE65009" s="6"/>
      <c r="AF65009" s="6"/>
      <c r="AG65009" s="6"/>
      <c r="AH65009" s="6"/>
      <c r="AI65009" s="6"/>
      <c r="AJ65009" s="6"/>
      <c r="AK65009" s="6"/>
      <c r="AL65009" s="6"/>
      <c r="AM65009" s="6"/>
    </row>
    <row r="65010" spans="2:39" ht="9.9499999999999993" hidden="1" customHeight="1" x14ac:dyDescent="0.2">
      <c r="B65010" s="6"/>
      <c r="C65010" s="6"/>
      <c r="D65010" s="6"/>
      <c r="E65010" s="6"/>
      <c r="F65010" s="6"/>
      <c r="G65010" s="6"/>
      <c r="H65010" s="6"/>
      <c r="I65010" s="6"/>
      <c r="J65010" s="6"/>
      <c r="K65010" s="6"/>
      <c r="L65010" s="6"/>
      <c r="M65010" s="6"/>
      <c r="N65010" s="6"/>
      <c r="O65010" s="6"/>
      <c r="P65010" s="6"/>
      <c r="Q65010" s="6"/>
      <c r="R65010" s="6"/>
      <c r="S65010" s="6"/>
      <c r="T65010" s="6"/>
      <c r="U65010" s="6"/>
      <c r="V65010" s="6"/>
      <c r="W65010" s="6"/>
      <c r="X65010" s="6"/>
      <c r="Y65010" s="6"/>
      <c r="Z65010" s="6"/>
      <c r="AA65010" s="6"/>
      <c r="AB65010" s="6"/>
      <c r="AC65010" s="6"/>
      <c r="AD65010" s="6"/>
      <c r="AE65010" s="6"/>
      <c r="AF65010" s="6"/>
      <c r="AG65010" s="6"/>
      <c r="AH65010" s="6"/>
      <c r="AI65010" s="6"/>
      <c r="AJ65010" s="6"/>
      <c r="AK65010" s="6"/>
      <c r="AL65010" s="6"/>
      <c r="AM65010" s="6"/>
    </row>
    <row r="65011" spans="2:39" ht="9.9499999999999993" hidden="1" customHeight="1" x14ac:dyDescent="0.2">
      <c r="B65011" s="6"/>
      <c r="C65011" s="6"/>
      <c r="D65011" s="6"/>
      <c r="E65011" s="6"/>
      <c r="F65011" s="6"/>
      <c r="G65011" s="6"/>
      <c r="H65011" s="6"/>
      <c r="I65011" s="6"/>
      <c r="J65011" s="6"/>
      <c r="K65011" s="6"/>
      <c r="L65011" s="6"/>
      <c r="M65011" s="6"/>
      <c r="N65011" s="6"/>
      <c r="O65011" s="6"/>
      <c r="P65011" s="6"/>
      <c r="Q65011" s="6"/>
      <c r="R65011" s="6"/>
      <c r="S65011" s="6"/>
      <c r="T65011" s="6"/>
      <c r="U65011" s="6"/>
      <c r="V65011" s="6"/>
      <c r="W65011" s="6"/>
      <c r="X65011" s="6"/>
      <c r="Y65011" s="6"/>
      <c r="Z65011" s="6"/>
      <c r="AA65011" s="6"/>
      <c r="AB65011" s="6"/>
      <c r="AC65011" s="6"/>
      <c r="AD65011" s="6"/>
      <c r="AE65011" s="6"/>
      <c r="AF65011" s="6"/>
      <c r="AG65011" s="6"/>
      <c r="AH65011" s="6"/>
      <c r="AI65011" s="6"/>
      <c r="AJ65011" s="6"/>
      <c r="AK65011" s="6"/>
      <c r="AL65011" s="6"/>
      <c r="AM65011" s="6"/>
    </row>
    <row r="65012" spans="2:39" ht="9.9499999999999993" hidden="1" customHeight="1" x14ac:dyDescent="0.2">
      <c r="B65012" s="6"/>
      <c r="C65012" s="6"/>
      <c r="D65012" s="6"/>
      <c r="E65012" s="6"/>
      <c r="F65012" s="6"/>
      <c r="G65012" s="6"/>
      <c r="H65012" s="6"/>
      <c r="I65012" s="6"/>
      <c r="J65012" s="6"/>
      <c r="K65012" s="6"/>
      <c r="L65012" s="6"/>
      <c r="M65012" s="6"/>
      <c r="N65012" s="6"/>
      <c r="O65012" s="6"/>
      <c r="P65012" s="6"/>
      <c r="Q65012" s="6"/>
      <c r="R65012" s="6"/>
      <c r="S65012" s="6"/>
      <c r="T65012" s="6"/>
      <c r="U65012" s="6"/>
      <c r="V65012" s="6"/>
      <c r="W65012" s="6"/>
      <c r="X65012" s="6"/>
      <c r="Y65012" s="6"/>
      <c r="Z65012" s="6"/>
      <c r="AA65012" s="6"/>
      <c r="AB65012" s="6"/>
      <c r="AC65012" s="6"/>
      <c r="AD65012" s="6"/>
      <c r="AE65012" s="6"/>
      <c r="AF65012" s="6"/>
      <c r="AG65012" s="6"/>
      <c r="AH65012" s="6"/>
      <c r="AI65012" s="6"/>
      <c r="AJ65012" s="6"/>
      <c r="AK65012" s="6"/>
      <c r="AL65012" s="6"/>
      <c r="AM65012" s="6"/>
    </row>
    <row r="65013" spans="2:39" ht="9.9499999999999993" hidden="1" customHeight="1" x14ac:dyDescent="0.2">
      <c r="B65013" s="6"/>
      <c r="C65013" s="6"/>
      <c r="D65013" s="6"/>
      <c r="E65013" s="6"/>
      <c r="F65013" s="6"/>
      <c r="G65013" s="6"/>
      <c r="H65013" s="6"/>
      <c r="I65013" s="6"/>
      <c r="J65013" s="6"/>
      <c r="K65013" s="6"/>
      <c r="L65013" s="6"/>
      <c r="M65013" s="6"/>
      <c r="N65013" s="6"/>
      <c r="O65013" s="6"/>
      <c r="P65013" s="6"/>
      <c r="Q65013" s="6"/>
      <c r="R65013" s="6"/>
      <c r="S65013" s="6"/>
      <c r="T65013" s="6"/>
      <c r="U65013" s="6"/>
      <c r="V65013" s="6"/>
      <c r="W65013" s="6"/>
      <c r="X65013" s="6"/>
      <c r="Y65013" s="6"/>
      <c r="Z65013" s="6"/>
      <c r="AA65013" s="6"/>
      <c r="AB65013" s="6"/>
      <c r="AC65013" s="6"/>
      <c r="AD65013" s="6"/>
      <c r="AE65013" s="6"/>
      <c r="AF65013" s="6"/>
      <c r="AG65013" s="6"/>
      <c r="AH65013" s="6"/>
      <c r="AI65013" s="6"/>
      <c r="AJ65013" s="6"/>
      <c r="AK65013" s="6"/>
      <c r="AL65013" s="6"/>
      <c r="AM65013" s="6"/>
    </row>
    <row r="65014" spans="2:39" ht="9.9499999999999993" hidden="1" customHeight="1" x14ac:dyDescent="0.2">
      <c r="B65014" s="6"/>
      <c r="C65014" s="6"/>
      <c r="D65014" s="6"/>
      <c r="E65014" s="6"/>
      <c r="F65014" s="6"/>
      <c r="G65014" s="6"/>
      <c r="H65014" s="6"/>
      <c r="I65014" s="6"/>
      <c r="J65014" s="6"/>
      <c r="K65014" s="6"/>
      <c r="L65014" s="6"/>
      <c r="M65014" s="6"/>
      <c r="N65014" s="6"/>
      <c r="O65014" s="6"/>
      <c r="P65014" s="6"/>
      <c r="Q65014" s="6"/>
      <c r="R65014" s="6"/>
      <c r="S65014" s="6"/>
      <c r="T65014" s="6"/>
      <c r="U65014" s="6"/>
      <c r="V65014" s="6"/>
      <c r="W65014" s="6"/>
      <c r="X65014" s="6"/>
      <c r="Y65014" s="6"/>
      <c r="Z65014" s="6"/>
      <c r="AA65014" s="6"/>
      <c r="AB65014" s="6"/>
      <c r="AC65014" s="6"/>
      <c r="AD65014" s="6"/>
      <c r="AE65014" s="6"/>
      <c r="AF65014" s="6"/>
      <c r="AG65014" s="6"/>
      <c r="AH65014" s="6"/>
      <c r="AI65014" s="6"/>
      <c r="AJ65014" s="6"/>
      <c r="AK65014" s="6"/>
      <c r="AL65014" s="6"/>
      <c r="AM65014" s="6"/>
    </row>
    <row r="65015" spans="2:39" ht="9.9499999999999993" hidden="1" customHeight="1" x14ac:dyDescent="0.2">
      <c r="B65015" s="6"/>
      <c r="C65015" s="6"/>
      <c r="D65015" s="6"/>
      <c r="E65015" s="6"/>
      <c r="F65015" s="6"/>
      <c r="G65015" s="6"/>
      <c r="H65015" s="6"/>
      <c r="I65015" s="6"/>
      <c r="J65015" s="6"/>
      <c r="K65015" s="6"/>
      <c r="L65015" s="6"/>
      <c r="M65015" s="6"/>
      <c r="N65015" s="6"/>
      <c r="O65015" s="6"/>
      <c r="P65015" s="6"/>
      <c r="Q65015" s="6"/>
      <c r="R65015" s="6"/>
      <c r="S65015" s="6"/>
      <c r="T65015" s="6"/>
      <c r="U65015" s="6"/>
      <c r="V65015" s="6"/>
      <c r="W65015" s="6"/>
      <c r="X65015" s="6"/>
      <c r="Y65015" s="6"/>
      <c r="Z65015" s="6"/>
      <c r="AA65015" s="6"/>
      <c r="AB65015" s="6"/>
      <c r="AC65015" s="6"/>
      <c r="AD65015" s="6"/>
      <c r="AE65015" s="6"/>
      <c r="AF65015" s="6"/>
      <c r="AG65015" s="6"/>
      <c r="AH65015" s="6"/>
      <c r="AI65015" s="6"/>
      <c r="AJ65015" s="6"/>
      <c r="AK65015" s="6"/>
      <c r="AL65015" s="6"/>
      <c r="AM65015" s="6"/>
    </row>
    <row r="65016" spans="2:39" ht="9.9499999999999993" hidden="1" customHeight="1" x14ac:dyDescent="0.2">
      <c r="B65016" s="6"/>
      <c r="C65016" s="6"/>
      <c r="D65016" s="6"/>
      <c r="E65016" s="6"/>
      <c r="F65016" s="6"/>
      <c r="G65016" s="6"/>
      <c r="H65016" s="6"/>
      <c r="I65016" s="6"/>
      <c r="J65016" s="6"/>
      <c r="K65016" s="6"/>
      <c r="L65016" s="6"/>
      <c r="M65016" s="6"/>
      <c r="N65016" s="6"/>
      <c r="O65016" s="6"/>
      <c r="P65016" s="6"/>
      <c r="Q65016" s="6"/>
      <c r="R65016" s="6"/>
      <c r="S65016" s="6"/>
      <c r="T65016" s="6"/>
      <c r="U65016" s="6"/>
      <c r="V65016" s="6"/>
      <c r="W65016" s="6"/>
      <c r="X65016" s="6"/>
      <c r="Y65016" s="6"/>
      <c r="Z65016" s="6"/>
      <c r="AA65016" s="6"/>
      <c r="AB65016" s="6"/>
      <c r="AC65016" s="6"/>
      <c r="AD65016" s="6"/>
      <c r="AE65016" s="6"/>
      <c r="AF65016" s="6"/>
      <c r="AG65016" s="6"/>
      <c r="AH65016" s="6"/>
      <c r="AI65016" s="6"/>
      <c r="AJ65016" s="6"/>
      <c r="AK65016" s="6"/>
      <c r="AL65016" s="6"/>
      <c r="AM65016" s="6"/>
    </row>
    <row r="65017" spans="2:39" ht="9.9499999999999993" hidden="1" customHeight="1" x14ac:dyDescent="0.2">
      <c r="B65017" s="6"/>
      <c r="C65017" s="6"/>
      <c r="D65017" s="6"/>
      <c r="E65017" s="6"/>
      <c r="F65017" s="6"/>
      <c r="G65017" s="6"/>
      <c r="H65017" s="6"/>
      <c r="I65017" s="6"/>
      <c r="J65017" s="6"/>
      <c r="K65017" s="6"/>
      <c r="L65017" s="6"/>
      <c r="M65017" s="6"/>
      <c r="N65017" s="6"/>
      <c r="O65017" s="6"/>
      <c r="P65017" s="6"/>
      <c r="Q65017" s="6"/>
      <c r="R65017" s="6"/>
      <c r="S65017" s="6"/>
      <c r="T65017" s="6"/>
      <c r="U65017" s="6"/>
      <c r="V65017" s="6"/>
      <c r="W65017" s="6"/>
      <c r="X65017" s="6"/>
      <c r="Y65017" s="6"/>
      <c r="Z65017" s="6"/>
      <c r="AA65017" s="6"/>
      <c r="AB65017" s="6"/>
      <c r="AC65017" s="6"/>
      <c r="AD65017" s="6"/>
      <c r="AE65017" s="6"/>
      <c r="AF65017" s="6"/>
      <c r="AG65017" s="6"/>
      <c r="AH65017" s="6"/>
      <c r="AI65017" s="6"/>
      <c r="AJ65017" s="6"/>
      <c r="AK65017" s="6"/>
      <c r="AL65017" s="6"/>
      <c r="AM65017" s="6"/>
    </row>
    <row r="65018" spans="2:39" ht="9.9499999999999993" hidden="1" customHeight="1" x14ac:dyDescent="0.2">
      <c r="B65018" s="6"/>
      <c r="C65018" s="6"/>
      <c r="D65018" s="6"/>
      <c r="E65018" s="6"/>
      <c r="F65018" s="6"/>
      <c r="G65018" s="6"/>
      <c r="H65018" s="6"/>
      <c r="I65018" s="6"/>
      <c r="J65018" s="6"/>
      <c r="K65018" s="6"/>
      <c r="L65018" s="6"/>
      <c r="M65018" s="6"/>
      <c r="N65018" s="6"/>
      <c r="O65018" s="6"/>
      <c r="P65018" s="6"/>
      <c r="Q65018" s="6"/>
      <c r="R65018" s="6"/>
      <c r="S65018" s="6"/>
      <c r="T65018" s="6"/>
      <c r="U65018" s="6"/>
      <c r="V65018" s="6"/>
      <c r="W65018" s="6"/>
      <c r="X65018" s="6"/>
      <c r="Y65018" s="6"/>
      <c r="Z65018" s="6"/>
      <c r="AA65018" s="6"/>
      <c r="AB65018" s="6"/>
      <c r="AC65018" s="6"/>
      <c r="AD65018" s="6"/>
      <c r="AE65018" s="6"/>
      <c r="AF65018" s="6"/>
      <c r="AG65018" s="6"/>
      <c r="AH65018" s="6"/>
      <c r="AI65018" s="6"/>
      <c r="AJ65018" s="6"/>
      <c r="AK65018" s="6"/>
      <c r="AL65018" s="6"/>
      <c r="AM65018" s="6"/>
    </row>
    <row r="65019" spans="2:39" ht="9.9499999999999993" hidden="1" customHeight="1" x14ac:dyDescent="0.2">
      <c r="B65019" s="6"/>
      <c r="C65019" s="6"/>
      <c r="D65019" s="6"/>
      <c r="E65019" s="6"/>
      <c r="F65019" s="6"/>
      <c r="G65019" s="6"/>
      <c r="H65019" s="6"/>
      <c r="I65019" s="6"/>
      <c r="J65019" s="6"/>
      <c r="K65019" s="6"/>
      <c r="L65019" s="6"/>
      <c r="M65019" s="6"/>
      <c r="N65019" s="6"/>
      <c r="O65019" s="6"/>
      <c r="P65019" s="6"/>
      <c r="Q65019" s="6"/>
      <c r="R65019" s="6"/>
      <c r="S65019" s="6"/>
      <c r="T65019" s="6"/>
      <c r="U65019" s="6"/>
      <c r="V65019" s="6"/>
      <c r="W65019" s="6"/>
      <c r="X65019" s="6"/>
      <c r="Y65019" s="6"/>
      <c r="Z65019" s="6"/>
      <c r="AA65019" s="6"/>
      <c r="AB65019" s="6"/>
      <c r="AC65019" s="6"/>
      <c r="AD65019" s="6"/>
      <c r="AE65019" s="6"/>
      <c r="AF65019" s="6"/>
      <c r="AG65019" s="6"/>
      <c r="AH65019" s="6"/>
      <c r="AI65019" s="6"/>
      <c r="AJ65019" s="6"/>
      <c r="AK65019" s="6"/>
      <c r="AL65019" s="6"/>
      <c r="AM65019" s="6"/>
    </row>
    <row r="65020" spans="2:39" ht="9.9499999999999993" hidden="1" customHeight="1" x14ac:dyDescent="0.2">
      <c r="B65020" s="6"/>
      <c r="C65020" s="6"/>
      <c r="D65020" s="6"/>
      <c r="E65020" s="6"/>
      <c r="F65020" s="6"/>
      <c r="G65020" s="6"/>
      <c r="H65020" s="6"/>
      <c r="I65020" s="6"/>
      <c r="J65020" s="6"/>
      <c r="K65020" s="6"/>
      <c r="L65020" s="6"/>
      <c r="M65020" s="6"/>
      <c r="N65020" s="6"/>
      <c r="O65020" s="6"/>
      <c r="P65020" s="6"/>
      <c r="Q65020" s="6"/>
      <c r="R65020" s="6"/>
      <c r="S65020" s="6"/>
      <c r="T65020" s="6"/>
      <c r="U65020" s="6"/>
      <c r="V65020" s="6"/>
      <c r="W65020" s="6"/>
      <c r="X65020" s="6"/>
      <c r="Y65020" s="6"/>
      <c r="Z65020" s="6"/>
      <c r="AA65020" s="6"/>
      <c r="AB65020" s="6"/>
      <c r="AC65020" s="6"/>
      <c r="AD65020" s="6"/>
      <c r="AE65020" s="6"/>
      <c r="AF65020" s="6"/>
      <c r="AG65020" s="6"/>
      <c r="AH65020" s="6"/>
      <c r="AI65020" s="6"/>
      <c r="AJ65020" s="6"/>
      <c r="AK65020" s="6"/>
      <c r="AL65020" s="6"/>
      <c r="AM65020" s="6"/>
    </row>
    <row r="65021" spans="2:39" ht="9.9499999999999993" hidden="1" customHeight="1" x14ac:dyDescent="0.2">
      <c r="B65021" s="6"/>
      <c r="C65021" s="6"/>
      <c r="D65021" s="6"/>
      <c r="E65021" s="6"/>
      <c r="F65021" s="6"/>
      <c r="G65021" s="6"/>
      <c r="H65021" s="6"/>
      <c r="I65021" s="6"/>
      <c r="J65021" s="6"/>
      <c r="K65021" s="6"/>
      <c r="L65021" s="6"/>
      <c r="M65021" s="6"/>
      <c r="N65021" s="6"/>
      <c r="O65021" s="6"/>
      <c r="P65021" s="6"/>
      <c r="Q65021" s="6"/>
      <c r="R65021" s="6"/>
      <c r="S65021" s="6"/>
      <c r="T65021" s="6"/>
      <c r="U65021" s="6"/>
      <c r="V65021" s="6"/>
      <c r="W65021" s="6"/>
      <c r="X65021" s="6"/>
      <c r="Y65021" s="6"/>
      <c r="Z65021" s="6"/>
      <c r="AA65021" s="6"/>
      <c r="AB65021" s="6"/>
      <c r="AC65021" s="6"/>
      <c r="AD65021" s="6"/>
      <c r="AE65021" s="6"/>
      <c r="AF65021" s="6"/>
      <c r="AG65021" s="6"/>
      <c r="AH65021" s="6"/>
      <c r="AI65021" s="6"/>
      <c r="AJ65021" s="6"/>
      <c r="AK65021" s="6"/>
      <c r="AL65021" s="6"/>
      <c r="AM65021" s="6"/>
    </row>
    <row r="65022" spans="2:39" ht="9.9499999999999993" hidden="1" customHeight="1" x14ac:dyDescent="0.2">
      <c r="B65022" s="6"/>
      <c r="C65022" s="6"/>
      <c r="D65022" s="6"/>
      <c r="E65022" s="6"/>
      <c r="F65022" s="6"/>
      <c r="G65022" s="6"/>
      <c r="H65022" s="6"/>
      <c r="I65022" s="6"/>
      <c r="J65022" s="6"/>
      <c r="K65022" s="6"/>
      <c r="L65022" s="6"/>
      <c r="M65022" s="6"/>
      <c r="N65022" s="6"/>
      <c r="O65022" s="6"/>
      <c r="P65022" s="6"/>
      <c r="Q65022" s="6"/>
      <c r="R65022" s="6"/>
      <c r="S65022" s="6"/>
      <c r="T65022" s="6"/>
      <c r="U65022" s="6"/>
      <c r="V65022" s="6"/>
      <c r="W65022" s="6"/>
      <c r="X65022" s="6"/>
      <c r="Y65022" s="6"/>
      <c r="Z65022" s="6"/>
      <c r="AA65022" s="6"/>
      <c r="AB65022" s="6"/>
      <c r="AC65022" s="6"/>
      <c r="AD65022" s="6"/>
      <c r="AE65022" s="6"/>
      <c r="AF65022" s="6"/>
      <c r="AG65022" s="6"/>
      <c r="AH65022" s="6"/>
      <c r="AI65022" s="6"/>
      <c r="AJ65022" s="6"/>
      <c r="AK65022" s="6"/>
      <c r="AL65022" s="6"/>
      <c r="AM65022" s="6"/>
    </row>
    <row r="65023" spans="2:39" ht="9.9499999999999993" hidden="1" customHeight="1" x14ac:dyDescent="0.2">
      <c r="B65023" s="6"/>
      <c r="C65023" s="6"/>
      <c r="D65023" s="6"/>
      <c r="E65023" s="6"/>
      <c r="F65023" s="6"/>
      <c r="G65023" s="6"/>
      <c r="H65023" s="6"/>
      <c r="I65023" s="6"/>
      <c r="J65023" s="6"/>
      <c r="K65023" s="6"/>
      <c r="L65023" s="6"/>
      <c r="M65023" s="6"/>
      <c r="N65023" s="6"/>
      <c r="O65023" s="6"/>
      <c r="P65023" s="6"/>
      <c r="Q65023" s="6"/>
      <c r="R65023" s="6"/>
      <c r="S65023" s="6"/>
      <c r="T65023" s="6"/>
      <c r="U65023" s="6"/>
      <c r="V65023" s="6"/>
      <c r="W65023" s="6"/>
      <c r="X65023" s="6"/>
      <c r="Y65023" s="6"/>
      <c r="Z65023" s="6"/>
      <c r="AA65023" s="6"/>
      <c r="AB65023" s="6"/>
      <c r="AC65023" s="6"/>
      <c r="AD65023" s="6"/>
      <c r="AE65023" s="6"/>
      <c r="AF65023" s="6"/>
      <c r="AG65023" s="6"/>
      <c r="AH65023" s="6"/>
      <c r="AI65023" s="6"/>
      <c r="AJ65023" s="6"/>
      <c r="AK65023" s="6"/>
      <c r="AL65023" s="6"/>
      <c r="AM65023" s="6"/>
    </row>
    <row r="65024" spans="2:39" ht="9.9499999999999993" hidden="1" customHeight="1" x14ac:dyDescent="0.2">
      <c r="B65024" s="6"/>
      <c r="C65024" s="6"/>
      <c r="D65024" s="6"/>
      <c r="E65024" s="6"/>
      <c r="F65024" s="6"/>
      <c r="G65024" s="6"/>
      <c r="H65024" s="6"/>
      <c r="I65024" s="6"/>
      <c r="J65024" s="6"/>
      <c r="K65024" s="6"/>
      <c r="L65024" s="6"/>
      <c r="M65024" s="6"/>
      <c r="N65024" s="6"/>
      <c r="O65024" s="6"/>
      <c r="P65024" s="6"/>
      <c r="Q65024" s="6"/>
      <c r="R65024" s="6"/>
      <c r="S65024" s="6"/>
      <c r="T65024" s="6"/>
      <c r="U65024" s="6"/>
      <c r="V65024" s="6"/>
      <c r="W65024" s="6"/>
      <c r="X65024" s="6"/>
      <c r="Y65024" s="6"/>
      <c r="Z65024" s="6"/>
      <c r="AA65024" s="6"/>
      <c r="AB65024" s="6"/>
      <c r="AC65024" s="6"/>
      <c r="AD65024" s="6"/>
      <c r="AE65024" s="6"/>
      <c r="AF65024" s="6"/>
      <c r="AG65024" s="6"/>
      <c r="AH65024" s="6"/>
      <c r="AI65024" s="6"/>
      <c r="AJ65024" s="6"/>
      <c r="AK65024" s="6"/>
      <c r="AL65024" s="6"/>
      <c r="AM65024" s="6"/>
    </row>
    <row r="65025" spans="2:39" ht="9.9499999999999993" hidden="1" customHeight="1" x14ac:dyDescent="0.2">
      <c r="B65025" s="6"/>
      <c r="C65025" s="6"/>
      <c r="D65025" s="6"/>
      <c r="E65025" s="6"/>
      <c r="F65025" s="6"/>
      <c r="G65025" s="6"/>
      <c r="H65025" s="6"/>
      <c r="I65025" s="6"/>
      <c r="J65025" s="6"/>
      <c r="K65025" s="6"/>
      <c r="L65025" s="6"/>
      <c r="M65025" s="6"/>
      <c r="N65025" s="6"/>
      <c r="O65025" s="6"/>
      <c r="P65025" s="6"/>
      <c r="Q65025" s="6"/>
      <c r="R65025" s="6"/>
      <c r="S65025" s="6"/>
      <c r="T65025" s="6"/>
      <c r="U65025" s="6"/>
      <c r="V65025" s="6"/>
      <c r="W65025" s="6"/>
      <c r="X65025" s="6"/>
      <c r="Y65025" s="6"/>
      <c r="Z65025" s="6"/>
      <c r="AA65025" s="6"/>
      <c r="AB65025" s="6"/>
      <c r="AC65025" s="6"/>
      <c r="AD65025" s="6"/>
      <c r="AE65025" s="6"/>
      <c r="AF65025" s="6"/>
      <c r="AG65025" s="6"/>
      <c r="AH65025" s="6"/>
      <c r="AI65025" s="6"/>
      <c r="AJ65025" s="6"/>
      <c r="AK65025" s="6"/>
      <c r="AL65025" s="6"/>
      <c r="AM65025" s="6"/>
    </row>
    <row r="65026" spans="2:39" ht="9.9499999999999993" hidden="1" customHeight="1" x14ac:dyDescent="0.2">
      <c r="B65026" s="6"/>
      <c r="C65026" s="6"/>
      <c r="D65026" s="6"/>
      <c r="E65026" s="6"/>
      <c r="F65026" s="6"/>
      <c r="G65026" s="6"/>
      <c r="H65026" s="6"/>
      <c r="I65026" s="6"/>
      <c r="J65026" s="6"/>
      <c r="K65026" s="6"/>
      <c r="L65026" s="6"/>
      <c r="M65026" s="6"/>
      <c r="N65026" s="6"/>
      <c r="O65026" s="6"/>
      <c r="P65026" s="6"/>
      <c r="Q65026" s="6"/>
      <c r="R65026" s="6"/>
      <c r="S65026" s="6"/>
      <c r="T65026" s="6"/>
      <c r="U65026" s="6"/>
      <c r="V65026" s="6"/>
      <c r="W65026" s="6"/>
      <c r="X65026" s="6"/>
      <c r="Y65026" s="6"/>
      <c r="Z65026" s="6"/>
      <c r="AA65026" s="6"/>
      <c r="AB65026" s="6"/>
      <c r="AC65026" s="6"/>
      <c r="AD65026" s="6"/>
      <c r="AE65026" s="6"/>
      <c r="AF65026" s="6"/>
      <c r="AG65026" s="6"/>
      <c r="AH65026" s="6"/>
      <c r="AI65026" s="6"/>
      <c r="AJ65026" s="6"/>
      <c r="AK65026" s="6"/>
      <c r="AL65026" s="6"/>
      <c r="AM65026" s="6"/>
    </row>
    <row r="65027" spans="2:39" ht="9.9499999999999993" hidden="1" customHeight="1" x14ac:dyDescent="0.2">
      <c r="B65027" s="6"/>
      <c r="C65027" s="6"/>
      <c r="D65027" s="6"/>
      <c r="E65027" s="6"/>
      <c r="F65027" s="6"/>
      <c r="G65027" s="6"/>
      <c r="H65027" s="6"/>
      <c r="I65027" s="6"/>
      <c r="J65027" s="6"/>
      <c r="K65027" s="6"/>
      <c r="L65027" s="6"/>
      <c r="M65027" s="6"/>
      <c r="N65027" s="6"/>
      <c r="O65027" s="6"/>
      <c r="P65027" s="6"/>
      <c r="Q65027" s="6"/>
      <c r="R65027" s="6"/>
      <c r="S65027" s="6"/>
      <c r="T65027" s="6"/>
      <c r="U65027" s="6"/>
      <c r="V65027" s="6"/>
      <c r="W65027" s="6"/>
      <c r="X65027" s="6"/>
      <c r="Y65027" s="6"/>
      <c r="Z65027" s="6"/>
      <c r="AA65027" s="6"/>
      <c r="AB65027" s="6"/>
      <c r="AC65027" s="6"/>
      <c r="AD65027" s="6"/>
      <c r="AE65027" s="6"/>
      <c r="AF65027" s="6"/>
      <c r="AG65027" s="6"/>
      <c r="AH65027" s="6"/>
      <c r="AI65027" s="6"/>
      <c r="AJ65027" s="6"/>
      <c r="AK65027" s="6"/>
      <c r="AL65027" s="6"/>
      <c r="AM65027" s="6"/>
    </row>
    <row r="65028" spans="2:39" ht="9.9499999999999993" hidden="1" customHeight="1" x14ac:dyDescent="0.2">
      <c r="B65028" s="6"/>
      <c r="C65028" s="6"/>
      <c r="D65028" s="6"/>
      <c r="E65028" s="6"/>
      <c r="F65028" s="6"/>
      <c r="G65028" s="6"/>
      <c r="H65028" s="6"/>
      <c r="I65028" s="6"/>
      <c r="J65028" s="6"/>
      <c r="K65028" s="6"/>
      <c r="L65028" s="6"/>
      <c r="M65028" s="6"/>
      <c r="N65028" s="6"/>
      <c r="O65028" s="6"/>
      <c r="P65028" s="6"/>
      <c r="Q65028" s="6"/>
      <c r="R65028" s="6"/>
      <c r="S65028" s="6"/>
      <c r="T65028" s="6"/>
      <c r="U65028" s="6"/>
      <c r="V65028" s="6"/>
      <c r="W65028" s="6"/>
      <c r="X65028" s="6"/>
      <c r="Y65028" s="6"/>
      <c r="Z65028" s="6"/>
      <c r="AA65028" s="6"/>
      <c r="AB65028" s="6"/>
      <c r="AC65028" s="6"/>
      <c r="AD65028" s="6"/>
      <c r="AE65028" s="6"/>
      <c r="AF65028" s="6"/>
      <c r="AG65028" s="6"/>
      <c r="AH65028" s="6"/>
      <c r="AI65028" s="6"/>
      <c r="AJ65028" s="6"/>
      <c r="AK65028" s="6"/>
      <c r="AL65028" s="6"/>
      <c r="AM65028" s="6"/>
    </row>
    <row r="65029" spans="2:39" ht="9.9499999999999993" hidden="1" customHeight="1" x14ac:dyDescent="0.2">
      <c r="B65029" s="6"/>
      <c r="C65029" s="6"/>
      <c r="D65029" s="6"/>
      <c r="E65029" s="6"/>
      <c r="F65029" s="6"/>
      <c r="G65029" s="6"/>
      <c r="H65029" s="6"/>
      <c r="I65029" s="6"/>
      <c r="J65029" s="6"/>
      <c r="K65029" s="6"/>
      <c r="L65029" s="6"/>
      <c r="M65029" s="6"/>
      <c r="N65029" s="6"/>
      <c r="O65029" s="6"/>
      <c r="P65029" s="6"/>
      <c r="Q65029" s="6"/>
      <c r="R65029" s="6"/>
      <c r="S65029" s="6"/>
      <c r="T65029" s="6"/>
      <c r="U65029" s="6"/>
      <c r="V65029" s="6"/>
      <c r="W65029" s="6"/>
      <c r="X65029" s="6"/>
      <c r="Y65029" s="6"/>
      <c r="Z65029" s="6"/>
      <c r="AA65029" s="6"/>
      <c r="AB65029" s="6"/>
      <c r="AC65029" s="6"/>
      <c r="AD65029" s="6"/>
      <c r="AE65029" s="6"/>
      <c r="AF65029" s="6"/>
      <c r="AG65029" s="6"/>
      <c r="AH65029" s="6"/>
      <c r="AI65029" s="6"/>
      <c r="AJ65029" s="6"/>
      <c r="AK65029" s="6"/>
      <c r="AL65029" s="6"/>
      <c r="AM65029" s="6"/>
    </row>
    <row r="65030" spans="2:39" ht="9.9499999999999993" hidden="1" customHeight="1" x14ac:dyDescent="0.2">
      <c r="B65030" s="6"/>
      <c r="C65030" s="6"/>
      <c r="D65030" s="6"/>
      <c r="E65030" s="6"/>
      <c r="F65030" s="6"/>
      <c r="G65030" s="6"/>
      <c r="H65030" s="6"/>
      <c r="I65030" s="6"/>
      <c r="J65030" s="6"/>
      <c r="K65030" s="6"/>
      <c r="L65030" s="6"/>
      <c r="M65030" s="6"/>
      <c r="N65030" s="6"/>
      <c r="O65030" s="6"/>
      <c r="P65030" s="6"/>
      <c r="Q65030" s="6"/>
      <c r="R65030" s="6"/>
      <c r="S65030" s="6"/>
      <c r="T65030" s="6"/>
      <c r="U65030" s="6"/>
      <c r="V65030" s="6"/>
      <c r="W65030" s="6"/>
      <c r="X65030" s="6"/>
      <c r="Y65030" s="6"/>
      <c r="Z65030" s="6"/>
      <c r="AA65030" s="6"/>
      <c r="AB65030" s="6"/>
      <c r="AC65030" s="6"/>
      <c r="AD65030" s="6"/>
      <c r="AE65030" s="6"/>
      <c r="AF65030" s="6"/>
      <c r="AG65030" s="6"/>
      <c r="AH65030" s="6"/>
      <c r="AI65030" s="6"/>
      <c r="AJ65030" s="6"/>
      <c r="AK65030" s="6"/>
      <c r="AL65030" s="6"/>
      <c r="AM65030" s="6"/>
    </row>
    <row r="65031" spans="2:39" ht="9.9499999999999993" hidden="1" customHeight="1" x14ac:dyDescent="0.2">
      <c r="B65031" s="6"/>
      <c r="C65031" s="6"/>
      <c r="D65031" s="6"/>
      <c r="E65031" s="6"/>
      <c r="F65031" s="6"/>
      <c r="G65031" s="6"/>
      <c r="H65031" s="6"/>
      <c r="I65031" s="6"/>
      <c r="J65031" s="6"/>
      <c r="K65031" s="6"/>
      <c r="L65031" s="6"/>
      <c r="M65031" s="6"/>
      <c r="N65031" s="6"/>
      <c r="O65031" s="6"/>
      <c r="P65031" s="6"/>
      <c r="Q65031" s="6"/>
      <c r="R65031" s="6"/>
      <c r="S65031" s="6"/>
      <c r="T65031" s="6"/>
      <c r="U65031" s="6"/>
      <c r="V65031" s="6"/>
      <c r="W65031" s="6"/>
      <c r="X65031" s="6"/>
      <c r="Y65031" s="6"/>
      <c r="Z65031" s="6"/>
      <c r="AA65031" s="6"/>
      <c r="AB65031" s="6"/>
      <c r="AC65031" s="6"/>
      <c r="AD65031" s="6"/>
      <c r="AE65031" s="6"/>
      <c r="AF65031" s="6"/>
      <c r="AG65031" s="6"/>
      <c r="AH65031" s="6"/>
      <c r="AI65031" s="6"/>
      <c r="AJ65031" s="6"/>
      <c r="AK65031" s="6"/>
      <c r="AL65031" s="6"/>
      <c r="AM65031" s="6"/>
    </row>
    <row r="65032" spans="2:39" ht="9.9499999999999993" hidden="1" customHeight="1" x14ac:dyDescent="0.2">
      <c r="B65032" s="6"/>
      <c r="C65032" s="6"/>
      <c r="D65032" s="6"/>
      <c r="E65032" s="6"/>
      <c r="F65032" s="6"/>
      <c r="G65032" s="6"/>
      <c r="H65032" s="6"/>
      <c r="I65032" s="6"/>
      <c r="J65032" s="6"/>
      <c r="K65032" s="6"/>
      <c r="L65032" s="6"/>
      <c r="M65032" s="6"/>
      <c r="N65032" s="6"/>
      <c r="O65032" s="6"/>
      <c r="P65032" s="6"/>
      <c r="Q65032" s="6"/>
      <c r="R65032" s="6"/>
      <c r="S65032" s="6"/>
      <c r="T65032" s="6"/>
      <c r="U65032" s="6"/>
      <c r="V65032" s="6"/>
      <c r="W65032" s="6"/>
      <c r="X65032" s="6"/>
      <c r="Y65032" s="6"/>
      <c r="Z65032" s="6"/>
      <c r="AA65032" s="6"/>
      <c r="AB65032" s="6"/>
      <c r="AC65032" s="6"/>
      <c r="AD65032" s="6"/>
      <c r="AE65032" s="6"/>
      <c r="AF65032" s="6"/>
      <c r="AG65032" s="6"/>
      <c r="AH65032" s="6"/>
      <c r="AI65032" s="6"/>
      <c r="AJ65032" s="6"/>
      <c r="AK65032" s="6"/>
      <c r="AL65032" s="6"/>
      <c r="AM65032" s="6"/>
    </row>
    <row r="65033" spans="2:39" ht="9.9499999999999993" hidden="1" customHeight="1" x14ac:dyDescent="0.2">
      <c r="B65033" s="6"/>
      <c r="C65033" s="6"/>
      <c r="D65033" s="6"/>
      <c r="E65033" s="6"/>
      <c r="F65033" s="6"/>
      <c r="G65033" s="6"/>
      <c r="H65033" s="6"/>
      <c r="I65033" s="6"/>
      <c r="J65033" s="6"/>
      <c r="K65033" s="6"/>
      <c r="L65033" s="6"/>
      <c r="M65033" s="6"/>
      <c r="N65033" s="6"/>
      <c r="O65033" s="6"/>
      <c r="P65033" s="6"/>
      <c r="Q65033" s="6"/>
      <c r="R65033" s="6"/>
      <c r="S65033" s="6"/>
      <c r="T65033" s="6"/>
      <c r="U65033" s="6"/>
      <c r="V65033" s="6"/>
      <c r="W65033" s="6"/>
      <c r="X65033" s="6"/>
      <c r="Y65033" s="6"/>
      <c r="Z65033" s="6"/>
      <c r="AA65033" s="6"/>
      <c r="AB65033" s="6"/>
      <c r="AC65033" s="6"/>
      <c r="AD65033" s="6"/>
      <c r="AE65033" s="6"/>
      <c r="AF65033" s="6"/>
      <c r="AG65033" s="6"/>
      <c r="AH65033" s="6"/>
      <c r="AI65033" s="6"/>
      <c r="AJ65033" s="6"/>
      <c r="AK65033" s="6"/>
      <c r="AL65033" s="6"/>
      <c r="AM65033" s="6"/>
    </row>
    <row r="65034" spans="2:39" ht="9.9499999999999993" hidden="1" customHeight="1" x14ac:dyDescent="0.2">
      <c r="B65034" s="6"/>
      <c r="C65034" s="6"/>
      <c r="D65034" s="6"/>
      <c r="E65034" s="6"/>
      <c r="F65034" s="6"/>
      <c r="G65034" s="6"/>
      <c r="H65034" s="6"/>
      <c r="I65034" s="6"/>
      <c r="J65034" s="6"/>
      <c r="K65034" s="6"/>
      <c r="L65034" s="6"/>
      <c r="M65034" s="6"/>
      <c r="N65034" s="6"/>
      <c r="O65034" s="6"/>
      <c r="P65034" s="6"/>
      <c r="Q65034" s="6"/>
      <c r="R65034" s="6"/>
      <c r="S65034" s="6"/>
      <c r="T65034" s="6"/>
      <c r="U65034" s="6"/>
      <c r="V65034" s="6"/>
      <c r="W65034" s="6"/>
      <c r="X65034" s="6"/>
      <c r="Y65034" s="6"/>
      <c r="Z65034" s="6"/>
      <c r="AA65034" s="6"/>
      <c r="AB65034" s="6"/>
      <c r="AC65034" s="6"/>
      <c r="AD65034" s="6"/>
      <c r="AE65034" s="6"/>
      <c r="AF65034" s="6"/>
      <c r="AG65034" s="6"/>
      <c r="AH65034" s="6"/>
      <c r="AI65034" s="6"/>
      <c r="AJ65034" s="6"/>
      <c r="AK65034" s="6"/>
      <c r="AL65034" s="6"/>
      <c r="AM65034" s="6"/>
    </row>
    <row r="65035" spans="2:39" ht="9.9499999999999993" hidden="1" customHeight="1" x14ac:dyDescent="0.2">
      <c r="B65035" s="6"/>
      <c r="C65035" s="6"/>
      <c r="D65035" s="6"/>
      <c r="E65035" s="6"/>
      <c r="F65035" s="6"/>
      <c r="G65035" s="6"/>
      <c r="H65035" s="6"/>
      <c r="I65035" s="6"/>
      <c r="J65035" s="6"/>
      <c r="K65035" s="6"/>
      <c r="L65035" s="6"/>
      <c r="M65035" s="6"/>
      <c r="N65035" s="6"/>
      <c r="O65035" s="6"/>
      <c r="P65035" s="6"/>
      <c r="Q65035" s="6"/>
      <c r="R65035" s="6"/>
      <c r="S65035" s="6"/>
      <c r="T65035" s="6"/>
      <c r="U65035" s="6"/>
      <c r="V65035" s="6"/>
      <c r="W65035" s="6"/>
      <c r="X65035" s="6"/>
      <c r="Y65035" s="6"/>
      <c r="Z65035" s="6"/>
      <c r="AA65035" s="6"/>
      <c r="AB65035" s="6"/>
      <c r="AC65035" s="6"/>
      <c r="AD65035" s="6"/>
      <c r="AE65035" s="6"/>
      <c r="AF65035" s="6"/>
      <c r="AG65035" s="6"/>
      <c r="AH65035" s="6"/>
      <c r="AI65035" s="6"/>
      <c r="AJ65035" s="6"/>
      <c r="AK65035" s="6"/>
      <c r="AL65035" s="6"/>
      <c r="AM65035" s="6"/>
    </row>
    <row r="65036" spans="2:39" ht="9.9499999999999993" hidden="1" customHeight="1" x14ac:dyDescent="0.2">
      <c r="B65036" s="6"/>
      <c r="C65036" s="6"/>
      <c r="D65036" s="6"/>
      <c r="E65036" s="6"/>
      <c r="F65036" s="6"/>
      <c r="G65036" s="6"/>
      <c r="H65036" s="6"/>
      <c r="I65036" s="6"/>
      <c r="J65036" s="6"/>
      <c r="K65036" s="6"/>
      <c r="L65036" s="6"/>
      <c r="M65036" s="6"/>
      <c r="N65036" s="6"/>
      <c r="O65036" s="6"/>
      <c r="P65036" s="6"/>
      <c r="Q65036" s="6"/>
      <c r="R65036" s="6"/>
      <c r="S65036" s="6"/>
      <c r="T65036" s="6"/>
      <c r="U65036" s="6"/>
      <c r="V65036" s="6"/>
      <c r="W65036" s="6"/>
      <c r="X65036" s="6"/>
      <c r="Y65036" s="6"/>
      <c r="Z65036" s="6"/>
      <c r="AA65036" s="6"/>
      <c r="AB65036" s="6"/>
      <c r="AC65036" s="6"/>
      <c r="AD65036" s="6"/>
      <c r="AE65036" s="6"/>
      <c r="AF65036" s="6"/>
      <c r="AG65036" s="6"/>
      <c r="AH65036" s="6"/>
      <c r="AI65036" s="6"/>
      <c r="AJ65036" s="6"/>
      <c r="AK65036" s="6"/>
      <c r="AL65036" s="6"/>
      <c r="AM65036" s="6"/>
    </row>
    <row r="65037" spans="2:39" ht="9.9499999999999993" hidden="1" customHeight="1" x14ac:dyDescent="0.2">
      <c r="B65037" s="6"/>
      <c r="C65037" s="6"/>
      <c r="D65037" s="6"/>
      <c r="E65037" s="6"/>
      <c r="F65037" s="6"/>
      <c r="G65037" s="6"/>
      <c r="H65037" s="6"/>
      <c r="I65037" s="6"/>
      <c r="J65037" s="6"/>
      <c r="K65037" s="6"/>
      <c r="L65037" s="6"/>
      <c r="M65037" s="6"/>
      <c r="N65037" s="6"/>
      <c r="O65037" s="6"/>
      <c r="P65037" s="6"/>
      <c r="Q65037" s="6"/>
      <c r="R65037" s="6"/>
      <c r="S65037" s="6"/>
      <c r="T65037" s="6"/>
      <c r="U65037" s="6"/>
      <c r="V65037" s="6"/>
      <c r="W65037" s="6"/>
      <c r="X65037" s="6"/>
      <c r="Y65037" s="6"/>
      <c r="Z65037" s="6"/>
      <c r="AA65037" s="6"/>
      <c r="AB65037" s="6"/>
      <c r="AC65037" s="6"/>
      <c r="AD65037" s="6"/>
      <c r="AE65037" s="6"/>
      <c r="AF65037" s="6"/>
      <c r="AG65037" s="6"/>
      <c r="AH65037" s="6"/>
      <c r="AI65037" s="6"/>
      <c r="AJ65037" s="6"/>
      <c r="AK65037" s="6"/>
      <c r="AL65037" s="6"/>
      <c r="AM65037" s="6"/>
    </row>
    <row r="65038" spans="2:39" ht="9.9499999999999993" hidden="1" customHeight="1" x14ac:dyDescent="0.2">
      <c r="B65038" s="6"/>
      <c r="C65038" s="6"/>
      <c r="D65038" s="6"/>
      <c r="E65038" s="6"/>
      <c r="F65038" s="6"/>
      <c r="G65038" s="6"/>
      <c r="H65038" s="6"/>
      <c r="I65038" s="6"/>
      <c r="J65038" s="6"/>
      <c r="K65038" s="6"/>
      <c r="L65038" s="6"/>
      <c r="M65038" s="6"/>
      <c r="N65038" s="6"/>
      <c r="O65038" s="6"/>
      <c r="P65038" s="6"/>
      <c r="Q65038" s="6"/>
      <c r="R65038" s="6"/>
      <c r="S65038" s="6"/>
      <c r="T65038" s="6"/>
      <c r="U65038" s="6"/>
      <c r="V65038" s="6"/>
      <c r="W65038" s="6"/>
      <c r="X65038" s="6"/>
      <c r="Y65038" s="6"/>
      <c r="Z65038" s="6"/>
      <c r="AA65038" s="6"/>
      <c r="AB65038" s="6"/>
      <c r="AC65038" s="6"/>
      <c r="AD65038" s="6"/>
      <c r="AE65038" s="6"/>
      <c r="AF65038" s="6"/>
      <c r="AG65038" s="6"/>
      <c r="AH65038" s="6"/>
      <c r="AI65038" s="6"/>
      <c r="AJ65038" s="6"/>
      <c r="AK65038" s="6"/>
      <c r="AL65038" s="6"/>
      <c r="AM65038" s="6"/>
    </row>
    <row r="65039" spans="2:39" ht="9.9499999999999993" hidden="1" customHeight="1" x14ac:dyDescent="0.2">
      <c r="B65039" s="6"/>
      <c r="C65039" s="6"/>
      <c r="D65039" s="6"/>
      <c r="E65039" s="6"/>
      <c r="F65039" s="6"/>
      <c r="G65039" s="6"/>
      <c r="H65039" s="6"/>
      <c r="I65039" s="6"/>
      <c r="J65039" s="6"/>
      <c r="K65039" s="6"/>
      <c r="L65039" s="6"/>
      <c r="M65039" s="6"/>
      <c r="N65039" s="6"/>
      <c r="O65039" s="6"/>
      <c r="P65039" s="6"/>
      <c r="Q65039" s="6"/>
      <c r="R65039" s="6"/>
      <c r="S65039" s="6"/>
      <c r="T65039" s="6"/>
      <c r="U65039" s="6"/>
      <c r="V65039" s="6"/>
      <c r="W65039" s="6"/>
      <c r="X65039" s="6"/>
      <c r="Y65039" s="6"/>
      <c r="Z65039" s="6"/>
      <c r="AA65039" s="6"/>
      <c r="AB65039" s="6"/>
      <c r="AC65039" s="6"/>
      <c r="AD65039" s="6"/>
      <c r="AE65039" s="6"/>
      <c r="AF65039" s="6"/>
      <c r="AG65039" s="6"/>
      <c r="AH65039" s="6"/>
      <c r="AI65039" s="6"/>
      <c r="AJ65039" s="6"/>
      <c r="AK65039" s="6"/>
      <c r="AL65039" s="6"/>
      <c r="AM65039" s="6"/>
    </row>
    <row r="65040" spans="2:39" ht="9.9499999999999993" hidden="1" customHeight="1" x14ac:dyDescent="0.2">
      <c r="B65040" s="6"/>
      <c r="C65040" s="6"/>
      <c r="D65040" s="6"/>
      <c r="E65040" s="6"/>
      <c r="F65040" s="6"/>
      <c r="G65040" s="6"/>
      <c r="H65040" s="6"/>
      <c r="I65040" s="6"/>
      <c r="J65040" s="6"/>
      <c r="K65040" s="6"/>
      <c r="L65040" s="6"/>
      <c r="M65040" s="6"/>
      <c r="N65040" s="6"/>
      <c r="O65040" s="6"/>
      <c r="P65040" s="6"/>
      <c r="Q65040" s="6"/>
      <c r="R65040" s="6"/>
      <c r="S65040" s="6"/>
      <c r="T65040" s="6"/>
      <c r="U65040" s="6"/>
      <c r="V65040" s="6"/>
      <c r="W65040" s="6"/>
      <c r="X65040" s="6"/>
      <c r="Y65040" s="6"/>
      <c r="Z65040" s="6"/>
      <c r="AA65040" s="6"/>
      <c r="AB65040" s="6"/>
      <c r="AC65040" s="6"/>
      <c r="AD65040" s="6"/>
      <c r="AE65040" s="6"/>
      <c r="AF65040" s="6"/>
      <c r="AG65040" s="6"/>
      <c r="AH65040" s="6"/>
      <c r="AI65040" s="6"/>
      <c r="AJ65040" s="6"/>
      <c r="AK65040" s="6"/>
      <c r="AL65040" s="6"/>
      <c r="AM65040" s="6"/>
    </row>
    <row r="65041" spans="2:39" ht="9.9499999999999993" hidden="1" customHeight="1" x14ac:dyDescent="0.2">
      <c r="B65041" s="6"/>
      <c r="C65041" s="6"/>
      <c r="D65041" s="6"/>
      <c r="E65041" s="6"/>
      <c r="F65041" s="6"/>
      <c r="G65041" s="6"/>
      <c r="H65041" s="6"/>
      <c r="I65041" s="6"/>
      <c r="J65041" s="6"/>
      <c r="K65041" s="6"/>
      <c r="L65041" s="6"/>
      <c r="M65041" s="6"/>
      <c r="N65041" s="6"/>
      <c r="O65041" s="6"/>
      <c r="P65041" s="6"/>
      <c r="Q65041" s="6"/>
      <c r="R65041" s="6"/>
      <c r="S65041" s="6"/>
      <c r="T65041" s="6"/>
      <c r="U65041" s="6"/>
      <c r="V65041" s="6"/>
      <c r="W65041" s="6"/>
      <c r="X65041" s="6"/>
      <c r="Y65041" s="6"/>
      <c r="Z65041" s="6"/>
      <c r="AA65041" s="6"/>
      <c r="AB65041" s="6"/>
      <c r="AC65041" s="6"/>
      <c r="AD65041" s="6"/>
      <c r="AE65041" s="6"/>
      <c r="AF65041" s="6"/>
      <c r="AG65041" s="6"/>
      <c r="AH65041" s="6"/>
      <c r="AI65041" s="6"/>
      <c r="AJ65041" s="6"/>
      <c r="AK65041" s="6"/>
      <c r="AL65041" s="6"/>
      <c r="AM65041" s="6"/>
    </row>
    <row r="65042" spans="2:39" ht="9.9499999999999993" hidden="1" customHeight="1" x14ac:dyDescent="0.2">
      <c r="B65042" s="6"/>
      <c r="C65042" s="6"/>
      <c r="D65042" s="6"/>
      <c r="E65042" s="6"/>
      <c r="F65042" s="6"/>
      <c r="G65042" s="6"/>
      <c r="H65042" s="6"/>
      <c r="I65042" s="6"/>
      <c r="J65042" s="6"/>
      <c r="K65042" s="6"/>
      <c r="L65042" s="6"/>
      <c r="M65042" s="6"/>
      <c r="N65042" s="6"/>
      <c r="O65042" s="6"/>
      <c r="P65042" s="6"/>
      <c r="Q65042" s="6"/>
      <c r="R65042" s="6"/>
      <c r="S65042" s="6"/>
      <c r="T65042" s="6"/>
      <c r="U65042" s="6"/>
      <c r="V65042" s="6"/>
      <c r="W65042" s="6"/>
      <c r="X65042" s="6"/>
      <c r="Y65042" s="6"/>
      <c r="Z65042" s="6"/>
      <c r="AA65042" s="6"/>
      <c r="AB65042" s="6"/>
      <c r="AC65042" s="6"/>
      <c r="AD65042" s="6"/>
      <c r="AE65042" s="6"/>
      <c r="AF65042" s="6"/>
      <c r="AG65042" s="6"/>
      <c r="AH65042" s="6"/>
      <c r="AI65042" s="6"/>
      <c r="AJ65042" s="6"/>
      <c r="AK65042" s="6"/>
      <c r="AL65042" s="6"/>
      <c r="AM65042" s="6"/>
    </row>
    <row r="65043" spans="2:39" ht="9.9499999999999993" hidden="1" customHeight="1" x14ac:dyDescent="0.2">
      <c r="B65043" s="6"/>
      <c r="C65043" s="6"/>
      <c r="D65043" s="6"/>
      <c r="E65043" s="6"/>
      <c r="F65043" s="6"/>
      <c r="G65043" s="6"/>
      <c r="H65043" s="6"/>
      <c r="I65043" s="6"/>
      <c r="J65043" s="6"/>
      <c r="K65043" s="6"/>
      <c r="L65043" s="6"/>
      <c r="M65043" s="6"/>
      <c r="N65043" s="6"/>
      <c r="O65043" s="6"/>
      <c r="P65043" s="6"/>
      <c r="Q65043" s="6"/>
      <c r="R65043" s="6"/>
      <c r="S65043" s="6"/>
      <c r="T65043" s="6"/>
      <c r="U65043" s="6"/>
      <c r="V65043" s="6"/>
      <c r="W65043" s="6"/>
      <c r="X65043" s="6"/>
      <c r="Y65043" s="6"/>
      <c r="Z65043" s="6"/>
      <c r="AA65043" s="6"/>
      <c r="AB65043" s="6"/>
      <c r="AC65043" s="6"/>
      <c r="AD65043" s="6"/>
      <c r="AE65043" s="6"/>
      <c r="AF65043" s="6"/>
      <c r="AG65043" s="6"/>
      <c r="AH65043" s="6"/>
      <c r="AI65043" s="6"/>
      <c r="AJ65043" s="6"/>
      <c r="AK65043" s="6"/>
      <c r="AL65043" s="6"/>
      <c r="AM65043" s="6"/>
    </row>
    <row r="65044" spans="2:39" ht="9.9499999999999993" hidden="1" customHeight="1" x14ac:dyDescent="0.2">
      <c r="B65044" s="6"/>
      <c r="C65044" s="6"/>
      <c r="D65044" s="6"/>
      <c r="E65044" s="6"/>
      <c r="F65044" s="6"/>
      <c r="G65044" s="6"/>
      <c r="H65044" s="6"/>
      <c r="I65044" s="6"/>
      <c r="J65044" s="6"/>
      <c r="K65044" s="6"/>
      <c r="L65044" s="6"/>
      <c r="M65044" s="6"/>
      <c r="N65044" s="6"/>
      <c r="O65044" s="6"/>
      <c r="P65044" s="6"/>
      <c r="Q65044" s="6"/>
      <c r="R65044" s="6"/>
      <c r="S65044" s="6"/>
      <c r="T65044" s="6"/>
      <c r="U65044" s="6"/>
      <c r="V65044" s="6"/>
      <c r="W65044" s="6"/>
      <c r="X65044" s="6"/>
      <c r="Y65044" s="6"/>
      <c r="Z65044" s="6"/>
      <c r="AA65044" s="6"/>
      <c r="AB65044" s="6"/>
      <c r="AC65044" s="6"/>
      <c r="AD65044" s="6"/>
      <c r="AE65044" s="6"/>
      <c r="AF65044" s="6"/>
      <c r="AG65044" s="6"/>
      <c r="AH65044" s="6"/>
      <c r="AI65044" s="6"/>
      <c r="AJ65044" s="6"/>
      <c r="AK65044" s="6"/>
      <c r="AL65044" s="6"/>
      <c r="AM65044" s="6"/>
    </row>
    <row r="65045" spans="2:39" ht="9.9499999999999993" hidden="1" customHeight="1" x14ac:dyDescent="0.2">
      <c r="B65045" s="6"/>
      <c r="C65045" s="6"/>
      <c r="D65045" s="6"/>
      <c r="E65045" s="6"/>
      <c r="F65045" s="6"/>
      <c r="G65045" s="6"/>
      <c r="H65045" s="6"/>
      <c r="I65045" s="6"/>
      <c r="J65045" s="6"/>
      <c r="K65045" s="6"/>
      <c r="L65045" s="6"/>
      <c r="M65045" s="6"/>
      <c r="N65045" s="6"/>
      <c r="O65045" s="6"/>
      <c r="P65045" s="6"/>
      <c r="Q65045" s="6"/>
      <c r="R65045" s="6"/>
      <c r="S65045" s="6"/>
      <c r="T65045" s="6"/>
      <c r="U65045" s="6"/>
      <c r="V65045" s="6"/>
      <c r="W65045" s="6"/>
      <c r="X65045" s="6"/>
      <c r="Y65045" s="6"/>
      <c r="Z65045" s="6"/>
      <c r="AA65045" s="6"/>
      <c r="AB65045" s="6"/>
      <c r="AC65045" s="6"/>
      <c r="AD65045" s="6"/>
      <c r="AE65045" s="6"/>
      <c r="AF65045" s="6"/>
      <c r="AG65045" s="6"/>
      <c r="AH65045" s="6"/>
      <c r="AI65045" s="6"/>
      <c r="AJ65045" s="6"/>
      <c r="AK65045" s="6"/>
      <c r="AL65045" s="6"/>
      <c r="AM65045" s="6"/>
    </row>
    <row r="65046" spans="2:39" ht="9.9499999999999993" hidden="1" customHeight="1" x14ac:dyDescent="0.2">
      <c r="B65046" s="6"/>
      <c r="C65046" s="6"/>
      <c r="D65046" s="6"/>
      <c r="E65046" s="6"/>
      <c r="F65046" s="6"/>
      <c r="G65046" s="6"/>
      <c r="H65046" s="6"/>
      <c r="I65046" s="6"/>
      <c r="J65046" s="6"/>
      <c r="K65046" s="6"/>
      <c r="L65046" s="6"/>
      <c r="M65046" s="6"/>
      <c r="N65046" s="6"/>
      <c r="O65046" s="6"/>
      <c r="P65046" s="6"/>
      <c r="Q65046" s="6"/>
      <c r="R65046" s="6"/>
      <c r="S65046" s="6"/>
      <c r="T65046" s="6"/>
      <c r="U65046" s="6"/>
      <c r="V65046" s="6"/>
      <c r="W65046" s="6"/>
      <c r="X65046" s="6"/>
      <c r="Y65046" s="6"/>
      <c r="Z65046" s="6"/>
      <c r="AA65046" s="6"/>
      <c r="AB65046" s="6"/>
      <c r="AC65046" s="6"/>
      <c r="AD65046" s="6"/>
      <c r="AE65046" s="6"/>
      <c r="AF65046" s="6"/>
      <c r="AG65046" s="6"/>
      <c r="AH65046" s="6"/>
      <c r="AI65046" s="6"/>
      <c r="AJ65046" s="6"/>
      <c r="AK65046" s="6"/>
      <c r="AL65046" s="6"/>
      <c r="AM65046" s="6"/>
    </row>
    <row r="65047" spans="2:39" ht="9.9499999999999993" hidden="1" customHeight="1" x14ac:dyDescent="0.2">
      <c r="B65047" s="6"/>
      <c r="C65047" s="6"/>
      <c r="D65047" s="6"/>
      <c r="E65047" s="6"/>
      <c r="F65047" s="6"/>
      <c r="G65047" s="6"/>
      <c r="H65047" s="6"/>
      <c r="I65047" s="6"/>
      <c r="J65047" s="6"/>
      <c r="K65047" s="6"/>
      <c r="L65047" s="6"/>
      <c r="M65047" s="6"/>
      <c r="N65047" s="6"/>
      <c r="O65047" s="6"/>
      <c r="P65047" s="6"/>
      <c r="Q65047" s="6"/>
      <c r="R65047" s="6"/>
      <c r="S65047" s="6"/>
      <c r="T65047" s="6"/>
      <c r="U65047" s="6"/>
      <c r="V65047" s="6"/>
      <c r="W65047" s="6"/>
      <c r="X65047" s="6"/>
      <c r="Y65047" s="6"/>
      <c r="Z65047" s="6"/>
      <c r="AA65047" s="6"/>
      <c r="AB65047" s="6"/>
      <c r="AC65047" s="6"/>
      <c r="AD65047" s="6"/>
      <c r="AE65047" s="6"/>
      <c r="AF65047" s="6"/>
      <c r="AG65047" s="6"/>
      <c r="AH65047" s="6"/>
      <c r="AI65047" s="6"/>
      <c r="AJ65047" s="6"/>
      <c r="AK65047" s="6"/>
      <c r="AL65047" s="6"/>
      <c r="AM65047" s="6"/>
    </row>
    <row r="65048" spans="2:39" ht="9.9499999999999993" hidden="1" customHeight="1" x14ac:dyDescent="0.2">
      <c r="B65048" s="6"/>
      <c r="C65048" s="6"/>
      <c r="D65048" s="6"/>
      <c r="E65048" s="6"/>
      <c r="F65048" s="6"/>
      <c r="G65048" s="6"/>
      <c r="H65048" s="6"/>
      <c r="I65048" s="6"/>
      <c r="J65048" s="6"/>
      <c r="K65048" s="6"/>
      <c r="L65048" s="6"/>
      <c r="M65048" s="6"/>
      <c r="N65048" s="6"/>
      <c r="O65048" s="6"/>
      <c r="P65048" s="6"/>
      <c r="Q65048" s="6"/>
      <c r="R65048" s="6"/>
      <c r="S65048" s="6"/>
      <c r="T65048" s="6"/>
      <c r="U65048" s="6"/>
      <c r="V65048" s="6"/>
      <c r="W65048" s="6"/>
      <c r="X65048" s="6"/>
      <c r="Y65048" s="6"/>
      <c r="Z65048" s="6"/>
      <c r="AA65048" s="6"/>
      <c r="AB65048" s="6"/>
      <c r="AC65048" s="6"/>
      <c r="AD65048" s="6"/>
      <c r="AE65048" s="6"/>
      <c r="AF65048" s="6"/>
      <c r="AG65048" s="6"/>
      <c r="AH65048" s="6"/>
      <c r="AI65048" s="6"/>
      <c r="AJ65048" s="6"/>
      <c r="AK65048" s="6"/>
      <c r="AL65048" s="6"/>
      <c r="AM65048" s="6"/>
    </row>
    <row r="65049" spans="2:39" ht="9.9499999999999993" hidden="1" customHeight="1" x14ac:dyDescent="0.2">
      <c r="B65049" s="6"/>
      <c r="C65049" s="6"/>
      <c r="D65049" s="6"/>
      <c r="E65049" s="6"/>
      <c r="F65049" s="6"/>
      <c r="G65049" s="6"/>
      <c r="H65049" s="6"/>
      <c r="I65049" s="6"/>
      <c r="J65049" s="6"/>
      <c r="K65049" s="6"/>
      <c r="L65049" s="6"/>
      <c r="M65049" s="6"/>
      <c r="N65049" s="6"/>
      <c r="O65049" s="6"/>
      <c r="P65049" s="6"/>
      <c r="Q65049" s="6"/>
      <c r="R65049" s="6"/>
      <c r="S65049" s="6"/>
      <c r="T65049" s="6"/>
      <c r="U65049" s="6"/>
      <c r="V65049" s="6"/>
      <c r="W65049" s="6"/>
      <c r="X65049" s="6"/>
      <c r="Y65049" s="6"/>
      <c r="Z65049" s="6"/>
      <c r="AA65049" s="6"/>
      <c r="AB65049" s="6"/>
      <c r="AC65049" s="6"/>
      <c r="AD65049" s="6"/>
      <c r="AE65049" s="6"/>
      <c r="AF65049" s="6"/>
      <c r="AG65049" s="6"/>
      <c r="AH65049" s="6"/>
      <c r="AI65049" s="6"/>
      <c r="AJ65049" s="6"/>
      <c r="AK65049" s="6"/>
      <c r="AL65049" s="6"/>
      <c r="AM65049" s="6"/>
    </row>
    <row r="65050" spans="2:39" ht="9.9499999999999993" hidden="1" customHeight="1" x14ac:dyDescent="0.2">
      <c r="B65050" s="6"/>
      <c r="C65050" s="6"/>
      <c r="D65050" s="6"/>
      <c r="E65050" s="6"/>
      <c r="F65050" s="6"/>
      <c r="G65050" s="6"/>
      <c r="H65050" s="6"/>
      <c r="I65050" s="6"/>
      <c r="J65050" s="6"/>
      <c r="K65050" s="6"/>
      <c r="L65050" s="6"/>
      <c r="M65050" s="6"/>
      <c r="N65050" s="6"/>
      <c r="O65050" s="6"/>
      <c r="P65050" s="6"/>
      <c r="Q65050" s="6"/>
      <c r="R65050" s="6"/>
      <c r="S65050" s="6"/>
      <c r="T65050" s="6"/>
      <c r="U65050" s="6"/>
      <c r="V65050" s="6"/>
      <c r="W65050" s="6"/>
      <c r="X65050" s="6"/>
      <c r="Y65050" s="6"/>
      <c r="Z65050" s="6"/>
      <c r="AA65050" s="6"/>
      <c r="AB65050" s="6"/>
      <c r="AC65050" s="6"/>
      <c r="AD65050" s="6"/>
      <c r="AE65050" s="6"/>
      <c r="AF65050" s="6"/>
      <c r="AG65050" s="6"/>
      <c r="AH65050" s="6"/>
      <c r="AI65050" s="6"/>
      <c r="AJ65050" s="6"/>
      <c r="AK65050" s="6"/>
      <c r="AL65050" s="6"/>
      <c r="AM65050" s="6"/>
    </row>
    <row r="65051" spans="2:39" ht="9.9499999999999993" hidden="1" customHeight="1" x14ac:dyDescent="0.2">
      <c r="B65051" s="6"/>
      <c r="C65051" s="6"/>
      <c r="D65051" s="6"/>
      <c r="E65051" s="6"/>
      <c r="F65051" s="6"/>
      <c r="G65051" s="6"/>
      <c r="H65051" s="6"/>
      <c r="I65051" s="6"/>
      <c r="J65051" s="6"/>
      <c r="K65051" s="6"/>
      <c r="L65051" s="6"/>
      <c r="M65051" s="6"/>
      <c r="N65051" s="6"/>
      <c r="O65051" s="6"/>
      <c r="P65051" s="6"/>
      <c r="Q65051" s="6"/>
      <c r="R65051" s="6"/>
      <c r="S65051" s="6"/>
      <c r="T65051" s="6"/>
      <c r="U65051" s="6"/>
      <c r="V65051" s="6"/>
      <c r="W65051" s="6"/>
      <c r="X65051" s="6"/>
      <c r="Y65051" s="6"/>
      <c r="Z65051" s="6"/>
      <c r="AA65051" s="6"/>
      <c r="AB65051" s="6"/>
      <c r="AC65051" s="6"/>
      <c r="AD65051" s="6"/>
      <c r="AE65051" s="6"/>
      <c r="AF65051" s="6"/>
      <c r="AG65051" s="6"/>
      <c r="AH65051" s="6"/>
      <c r="AI65051" s="6"/>
      <c r="AJ65051" s="6"/>
      <c r="AK65051" s="6"/>
      <c r="AL65051" s="6"/>
      <c r="AM65051" s="6"/>
    </row>
    <row r="65052" spans="2:39" ht="9.9499999999999993" hidden="1" customHeight="1" x14ac:dyDescent="0.2">
      <c r="B65052" s="6"/>
      <c r="C65052" s="6"/>
      <c r="D65052" s="6"/>
      <c r="E65052" s="6"/>
      <c r="F65052" s="6"/>
      <c r="G65052" s="6"/>
      <c r="H65052" s="6"/>
      <c r="I65052" s="6"/>
      <c r="J65052" s="6"/>
      <c r="K65052" s="6"/>
      <c r="L65052" s="6"/>
      <c r="M65052" s="6"/>
      <c r="N65052" s="6"/>
      <c r="O65052" s="6"/>
      <c r="P65052" s="6"/>
      <c r="Q65052" s="6"/>
      <c r="R65052" s="6"/>
      <c r="S65052" s="6"/>
      <c r="T65052" s="6"/>
      <c r="U65052" s="6"/>
      <c r="V65052" s="6"/>
      <c r="W65052" s="6"/>
      <c r="X65052" s="6"/>
      <c r="Y65052" s="6"/>
      <c r="Z65052" s="6"/>
      <c r="AA65052" s="6"/>
      <c r="AB65052" s="6"/>
      <c r="AC65052" s="6"/>
      <c r="AD65052" s="6"/>
      <c r="AE65052" s="6"/>
      <c r="AF65052" s="6"/>
      <c r="AG65052" s="6"/>
      <c r="AH65052" s="6"/>
      <c r="AI65052" s="6"/>
      <c r="AJ65052" s="6"/>
      <c r="AK65052" s="6"/>
      <c r="AL65052" s="6"/>
      <c r="AM65052" s="6"/>
    </row>
    <row r="65053" spans="2:39" ht="9.9499999999999993" hidden="1" customHeight="1" x14ac:dyDescent="0.2">
      <c r="B65053" s="6"/>
      <c r="C65053" s="6"/>
      <c r="D65053" s="6"/>
      <c r="E65053" s="6"/>
      <c r="F65053" s="6"/>
      <c r="G65053" s="6"/>
      <c r="H65053" s="6"/>
      <c r="I65053" s="6"/>
      <c r="J65053" s="6"/>
      <c r="K65053" s="6"/>
      <c r="L65053" s="6"/>
      <c r="M65053" s="6"/>
      <c r="N65053" s="6"/>
      <c r="O65053" s="6"/>
      <c r="P65053" s="6"/>
      <c r="Q65053" s="6"/>
      <c r="R65053" s="6"/>
      <c r="S65053" s="6"/>
      <c r="T65053" s="6"/>
      <c r="U65053" s="6"/>
      <c r="V65053" s="6"/>
      <c r="W65053" s="6"/>
      <c r="X65053" s="6"/>
      <c r="Y65053" s="6"/>
      <c r="Z65053" s="6"/>
      <c r="AA65053" s="6"/>
      <c r="AB65053" s="6"/>
      <c r="AC65053" s="6"/>
      <c r="AD65053" s="6"/>
      <c r="AE65053" s="6"/>
      <c r="AF65053" s="6"/>
      <c r="AG65053" s="6"/>
      <c r="AH65053" s="6"/>
      <c r="AI65053" s="6"/>
      <c r="AJ65053" s="6"/>
      <c r="AK65053" s="6"/>
      <c r="AL65053" s="6"/>
      <c r="AM65053" s="6"/>
    </row>
    <row r="65054" spans="2:39" ht="9.9499999999999993" hidden="1" customHeight="1" x14ac:dyDescent="0.2">
      <c r="B65054" s="6"/>
      <c r="C65054" s="6"/>
      <c r="D65054" s="6"/>
      <c r="E65054" s="6"/>
      <c r="F65054" s="6"/>
      <c r="G65054" s="6"/>
      <c r="H65054" s="6"/>
      <c r="I65054" s="6"/>
      <c r="J65054" s="6"/>
      <c r="K65054" s="6"/>
      <c r="L65054" s="6"/>
      <c r="M65054" s="6"/>
      <c r="N65054" s="6"/>
      <c r="O65054" s="6"/>
      <c r="P65054" s="6"/>
      <c r="Q65054" s="6"/>
      <c r="R65054" s="6"/>
      <c r="S65054" s="6"/>
      <c r="T65054" s="6"/>
      <c r="U65054" s="6"/>
      <c r="V65054" s="6"/>
      <c r="W65054" s="6"/>
      <c r="X65054" s="6"/>
      <c r="Y65054" s="6"/>
      <c r="Z65054" s="6"/>
      <c r="AA65054" s="6"/>
      <c r="AB65054" s="6"/>
      <c r="AC65054" s="6"/>
      <c r="AD65054" s="6"/>
      <c r="AE65054" s="6"/>
      <c r="AF65054" s="6"/>
      <c r="AG65054" s="6"/>
      <c r="AH65054" s="6"/>
      <c r="AI65054" s="6"/>
      <c r="AJ65054" s="6"/>
      <c r="AK65054" s="6"/>
      <c r="AL65054" s="6"/>
      <c r="AM65054" s="6"/>
    </row>
    <row r="65055" spans="2:39" ht="9.9499999999999993" hidden="1" customHeight="1" x14ac:dyDescent="0.2">
      <c r="B65055" s="6"/>
      <c r="C65055" s="6"/>
      <c r="D65055" s="6"/>
      <c r="E65055" s="6"/>
      <c r="F65055" s="6"/>
      <c r="G65055" s="6"/>
      <c r="H65055" s="6"/>
      <c r="I65055" s="6"/>
      <c r="J65055" s="6"/>
      <c r="K65055" s="6"/>
      <c r="L65055" s="6"/>
      <c r="M65055" s="6"/>
      <c r="N65055" s="6"/>
      <c r="O65055" s="6"/>
      <c r="P65055" s="6"/>
      <c r="Q65055" s="6"/>
      <c r="R65055" s="6"/>
      <c r="S65055" s="6"/>
      <c r="T65055" s="6"/>
      <c r="U65055" s="6"/>
      <c r="V65055" s="6"/>
      <c r="W65055" s="6"/>
      <c r="X65055" s="6"/>
      <c r="Y65055" s="6"/>
      <c r="Z65055" s="6"/>
      <c r="AA65055" s="6"/>
      <c r="AB65055" s="6"/>
      <c r="AC65055" s="6"/>
      <c r="AD65055" s="6"/>
      <c r="AE65055" s="6"/>
      <c r="AF65055" s="6"/>
      <c r="AG65055" s="6"/>
      <c r="AH65055" s="6"/>
      <c r="AI65055" s="6"/>
      <c r="AJ65055" s="6"/>
      <c r="AK65055" s="6"/>
      <c r="AL65055" s="6"/>
      <c r="AM65055" s="6"/>
    </row>
    <row r="65056" spans="2:39" ht="9.9499999999999993" hidden="1" customHeight="1" x14ac:dyDescent="0.2">
      <c r="B65056" s="6"/>
      <c r="C65056" s="6"/>
      <c r="D65056" s="6"/>
      <c r="E65056" s="6"/>
      <c r="F65056" s="6"/>
      <c r="G65056" s="6"/>
      <c r="H65056" s="6"/>
      <c r="I65056" s="6"/>
      <c r="J65056" s="6"/>
      <c r="K65056" s="6"/>
      <c r="L65056" s="6"/>
      <c r="M65056" s="6"/>
      <c r="N65056" s="6"/>
      <c r="O65056" s="6"/>
      <c r="P65056" s="6"/>
      <c r="Q65056" s="6"/>
      <c r="R65056" s="6"/>
      <c r="S65056" s="6"/>
      <c r="T65056" s="6"/>
      <c r="U65056" s="6"/>
      <c r="V65056" s="6"/>
      <c r="W65056" s="6"/>
      <c r="X65056" s="6"/>
      <c r="Y65056" s="6"/>
      <c r="Z65056" s="6"/>
      <c r="AA65056" s="6"/>
      <c r="AB65056" s="6"/>
      <c r="AC65056" s="6"/>
      <c r="AD65056" s="6"/>
      <c r="AE65056" s="6"/>
      <c r="AF65056" s="6"/>
      <c r="AG65056" s="6"/>
      <c r="AH65056" s="6"/>
      <c r="AI65056" s="6"/>
      <c r="AJ65056" s="6"/>
      <c r="AK65056" s="6"/>
      <c r="AL65056" s="6"/>
      <c r="AM65056" s="6"/>
    </row>
    <row r="65057" spans="2:39" ht="9.9499999999999993" hidden="1" customHeight="1" x14ac:dyDescent="0.2">
      <c r="B65057" s="6"/>
      <c r="C65057" s="6"/>
      <c r="D65057" s="6"/>
      <c r="E65057" s="6"/>
      <c r="F65057" s="6"/>
      <c r="G65057" s="6"/>
      <c r="H65057" s="6"/>
      <c r="I65057" s="6"/>
      <c r="J65057" s="6"/>
      <c r="K65057" s="6"/>
      <c r="L65057" s="6"/>
      <c r="M65057" s="6"/>
      <c r="N65057" s="6"/>
      <c r="O65057" s="6"/>
      <c r="P65057" s="6"/>
      <c r="Q65057" s="6"/>
      <c r="R65057" s="6"/>
      <c r="S65057" s="6"/>
      <c r="T65057" s="6"/>
      <c r="U65057" s="6"/>
      <c r="V65057" s="6"/>
      <c r="W65057" s="6"/>
      <c r="X65057" s="6"/>
      <c r="Y65057" s="6"/>
      <c r="Z65057" s="6"/>
      <c r="AA65057" s="6"/>
      <c r="AB65057" s="6"/>
      <c r="AC65057" s="6"/>
      <c r="AD65057" s="6"/>
      <c r="AE65057" s="6"/>
      <c r="AF65057" s="6"/>
      <c r="AG65057" s="6"/>
      <c r="AH65057" s="6"/>
      <c r="AI65057" s="6"/>
      <c r="AJ65057" s="6"/>
      <c r="AK65057" s="6"/>
      <c r="AL65057" s="6"/>
      <c r="AM65057" s="6"/>
    </row>
    <row r="65058" spans="2:39" ht="9.9499999999999993" hidden="1" customHeight="1" x14ac:dyDescent="0.2">
      <c r="B65058" s="6"/>
      <c r="C65058" s="6"/>
      <c r="D65058" s="6"/>
      <c r="E65058" s="6"/>
      <c r="F65058" s="6"/>
      <c r="G65058" s="6"/>
      <c r="H65058" s="6"/>
      <c r="I65058" s="6"/>
      <c r="J65058" s="6"/>
      <c r="K65058" s="6"/>
      <c r="L65058" s="6"/>
      <c r="M65058" s="6"/>
      <c r="N65058" s="6"/>
      <c r="O65058" s="6"/>
      <c r="P65058" s="6"/>
      <c r="Q65058" s="6"/>
      <c r="R65058" s="6"/>
      <c r="S65058" s="6"/>
      <c r="T65058" s="6"/>
      <c r="U65058" s="6"/>
      <c r="V65058" s="6"/>
      <c r="W65058" s="6"/>
      <c r="X65058" s="6"/>
      <c r="Y65058" s="6"/>
      <c r="Z65058" s="6"/>
      <c r="AA65058" s="6"/>
      <c r="AB65058" s="6"/>
      <c r="AC65058" s="6"/>
      <c r="AD65058" s="6"/>
      <c r="AE65058" s="6"/>
      <c r="AF65058" s="6"/>
      <c r="AG65058" s="6"/>
      <c r="AH65058" s="6"/>
      <c r="AI65058" s="6"/>
      <c r="AJ65058" s="6"/>
      <c r="AK65058" s="6"/>
      <c r="AL65058" s="6"/>
      <c r="AM65058" s="6"/>
    </row>
    <row r="65059" spans="2:39" ht="9.9499999999999993" hidden="1" customHeight="1" x14ac:dyDescent="0.2">
      <c r="B65059" s="6"/>
      <c r="C65059" s="6"/>
      <c r="D65059" s="6"/>
      <c r="E65059" s="6"/>
      <c r="F65059" s="6"/>
      <c r="G65059" s="6"/>
      <c r="H65059" s="6"/>
      <c r="I65059" s="6"/>
      <c r="J65059" s="6"/>
      <c r="K65059" s="6"/>
      <c r="L65059" s="6"/>
      <c r="M65059" s="6"/>
      <c r="N65059" s="6"/>
      <c r="O65059" s="6"/>
      <c r="P65059" s="6"/>
      <c r="Q65059" s="6"/>
      <c r="R65059" s="6"/>
      <c r="S65059" s="6"/>
      <c r="T65059" s="6"/>
      <c r="U65059" s="6"/>
      <c r="V65059" s="6"/>
      <c r="W65059" s="6"/>
      <c r="X65059" s="6"/>
      <c r="Y65059" s="6"/>
      <c r="Z65059" s="6"/>
      <c r="AA65059" s="6"/>
      <c r="AB65059" s="6"/>
      <c r="AC65059" s="6"/>
      <c r="AD65059" s="6"/>
      <c r="AE65059" s="6"/>
      <c r="AF65059" s="6"/>
      <c r="AG65059" s="6"/>
      <c r="AH65059" s="6"/>
      <c r="AI65059" s="6"/>
      <c r="AJ65059" s="6"/>
      <c r="AK65059" s="6"/>
      <c r="AL65059" s="6"/>
      <c r="AM65059" s="6"/>
    </row>
    <row r="65060" spans="2:39" ht="9.9499999999999993" hidden="1" customHeight="1" x14ac:dyDescent="0.2">
      <c r="B65060" s="6"/>
      <c r="C65060" s="6"/>
      <c r="D65060" s="6"/>
      <c r="E65060" s="6"/>
      <c r="F65060" s="6"/>
      <c r="G65060" s="6"/>
      <c r="H65060" s="6"/>
      <c r="I65060" s="6"/>
      <c r="J65060" s="6"/>
      <c r="K65060" s="6"/>
      <c r="L65060" s="6"/>
      <c r="M65060" s="6"/>
      <c r="N65060" s="6"/>
      <c r="O65060" s="6"/>
      <c r="P65060" s="6"/>
      <c r="Q65060" s="6"/>
      <c r="R65060" s="6"/>
      <c r="S65060" s="6"/>
      <c r="T65060" s="6"/>
      <c r="U65060" s="6"/>
      <c r="V65060" s="6"/>
      <c r="W65060" s="6"/>
      <c r="X65060" s="6"/>
      <c r="Y65060" s="6"/>
      <c r="Z65060" s="6"/>
      <c r="AA65060" s="6"/>
      <c r="AB65060" s="6"/>
      <c r="AC65060" s="6"/>
      <c r="AD65060" s="6"/>
      <c r="AE65060" s="6"/>
      <c r="AF65060" s="6"/>
      <c r="AG65060" s="6"/>
      <c r="AH65060" s="6"/>
      <c r="AI65060" s="6"/>
      <c r="AJ65060" s="6"/>
      <c r="AK65060" s="6"/>
      <c r="AL65060" s="6"/>
      <c r="AM65060" s="6"/>
    </row>
    <row r="65061" spans="2:39" ht="9.9499999999999993" hidden="1" customHeight="1" x14ac:dyDescent="0.2">
      <c r="B65061" s="6"/>
      <c r="C65061" s="6"/>
      <c r="D65061" s="6"/>
      <c r="E65061" s="6"/>
      <c r="F65061" s="6"/>
      <c r="G65061" s="6"/>
      <c r="H65061" s="6"/>
      <c r="I65061" s="6"/>
      <c r="J65061" s="6"/>
      <c r="K65061" s="6"/>
      <c r="L65061" s="6"/>
      <c r="M65061" s="6"/>
      <c r="N65061" s="6"/>
      <c r="O65061" s="6"/>
      <c r="P65061" s="6"/>
      <c r="Q65061" s="6"/>
      <c r="R65061" s="6"/>
      <c r="S65061" s="6"/>
      <c r="T65061" s="6"/>
      <c r="U65061" s="6"/>
      <c r="V65061" s="6"/>
      <c r="W65061" s="6"/>
      <c r="X65061" s="6"/>
      <c r="Y65061" s="6"/>
      <c r="Z65061" s="6"/>
      <c r="AA65061" s="6"/>
      <c r="AB65061" s="6"/>
      <c r="AC65061" s="6"/>
      <c r="AD65061" s="6"/>
      <c r="AE65061" s="6"/>
      <c r="AF65061" s="6"/>
      <c r="AG65061" s="6"/>
      <c r="AH65061" s="6"/>
      <c r="AI65061" s="6"/>
      <c r="AJ65061" s="6"/>
      <c r="AK65061" s="6"/>
      <c r="AL65061" s="6"/>
      <c r="AM65061" s="6"/>
    </row>
    <row r="65062" spans="2:39" ht="9.9499999999999993" hidden="1" customHeight="1" x14ac:dyDescent="0.2">
      <c r="B65062" s="6"/>
      <c r="C65062" s="6"/>
      <c r="D65062" s="6"/>
      <c r="E65062" s="6"/>
      <c r="F65062" s="6"/>
      <c r="G65062" s="6"/>
      <c r="H65062" s="6"/>
      <c r="I65062" s="6"/>
      <c r="J65062" s="6"/>
      <c r="K65062" s="6"/>
      <c r="L65062" s="6"/>
      <c r="M65062" s="6"/>
      <c r="N65062" s="6"/>
      <c r="O65062" s="6"/>
      <c r="P65062" s="6"/>
      <c r="Q65062" s="6"/>
      <c r="R65062" s="6"/>
      <c r="S65062" s="6"/>
      <c r="T65062" s="6"/>
      <c r="U65062" s="6"/>
      <c r="V65062" s="6"/>
      <c r="W65062" s="6"/>
      <c r="X65062" s="6"/>
      <c r="Y65062" s="6"/>
      <c r="Z65062" s="6"/>
      <c r="AA65062" s="6"/>
      <c r="AB65062" s="6"/>
      <c r="AC65062" s="6"/>
      <c r="AD65062" s="6"/>
      <c r="AE65062" s="6"/>
      <c r="AF65062" s="6"/>
      <c r="AG65062" s="6"/>
      <c r="AH65062" s="6"/>
      <c r="AI65062" s="6"/>
      <c r="AJ65062" s="6"/>
      <c r="AK65062" s="6"/>
      <c r="AL65062" s="6"/>
      <c r="AM65062" s="6"/>
    </row>
    <row r="65063" spans="2:39" ht="9.9499999999999993" hidden="1" customHeight="1" x14ac:dyDescent="0.2">
      <c r="B65063" s="6"/>
      <c r="C65063" s="6"/>
      <c r="D65063" s="6"/>
      <c r="E65063" s="6"/>
      <c r="F65063" s="6"/>
      <c r="G65063" s="6"/>
      <c r="H65063" s="6"/>
      <c r="I65063" s="6"/>
      <c r="J65063" s="6"/>
      <c r="K65063" s="6"/>
      <c r="L65063" s="6"/>
      <c r="M65063" s="6"/>
      <c r="N65063" s="6"/>
      <c r="O65063" s="6"/>
      <c r="P65063" s="6"/>
      <c r="Q65063" s="6"/>
      <c r="R65063" s="6"/>
      <c r="S65063" s="6"/>
      <c r="T65063" s="6"/>
      <c r="U65063" s="6"/>
      <c r="V65063" s="6"/>
      <c r="W65063" s="6"/>
      <c r="X65063" s="6"/>
      <c r="Y65063" s="6"/>
      <c r="Z65063" s="6"/>
      <c r="AA65063" s="6"/>
      <c r="AB65063" s="6"/>
      <c r="AC65063" s="6"/>
      <c r="AD65063" s="6"/>
      <c r="AE65063" s="6"/>
      <c r="AF65063" s="6"/>
      <c r="AG65063" s="6"/>
      <c r="AH65063" s="6"/>
      <c r="AI65063" s="6"/>
      <c r="AJ65063" s="6"/>
      <c r="AK65063" s="6"/>
      <c r="AL65063" s="6"/>
      <c r="AM65063" s="6"/>
    </row>
    <row r="65064" spans="2:39" ht="9.9499999999999993" hidden="1" customHeight="1" x14ac:dyDescent="0.2">
      <c r="B65064" s="6"/>
      <c r="C65064" s="6"/>
      <c r="D65064" s="6"/>
      <c r="E65064" s="6"/>
      <c r="F65064" s="6"/>
      <c r="G65064" s="6"/>
      <c r="H65064" s="6"/>
      <c r="I65064" s="6"/>
      <c r="J65064" s="6"/>
      <c r="K65064" s="6"/>
      <c r="L65064" s="6"/>
      <c r="M65064" s="6"/>
      <c r="N65064" s="6"/>
      <c r="O65064" s="6"/>
      <c r="P65064" s="6"/>
      <c r="Q65064" s="6"/>
      <c r="R65064" s="6"/>
      <c r="S65064" s="6"/>
      <c r="T65064" s="6"/>
      <c r="U65064" s="6"/>
      <c r="V65064" s="6"/>
      <c r="W65064" s="6"/>
      <c r="X65064" s="6"/>
      <c r="Y65064" s="6"/>
      <c r="Z65064" s="6"/>
      <c r="AA65064" s="6"/>
      <c r="AB65064" s="6"/>
      <c r="AC65064" s="6"/>
      <c r="AD65064" s="6"/>
      <c r="AE65064" s="6"/>
      <c r="AF65064" s="6"/>
      <c r="AG65064" s="6"/>
      <c r="AH65064" s="6"/>
      <c r="AI65064" s="6"/>
      <c r="AJ65064" s="6"/>
      <c r="AK65064" s="6"/>
      <c r="AL65064" s="6"/>
      <c r="AM65064" s="6"/>
    </row>
    <row r="65065" spans="2:39" ht="9.9499999999999993" hidden="1" customHeight="1" x14ac:dyDescent="0.2">
      <c r="B65065" s="6"/>
      <c r="C65065" s="6"/>
      <c r="D65065" s="6"/>
      <c r="E65065" s="6"/>
      <c r="F65065" s="6"/>
      <c r="G65065" s="6"/>
      <c r="H65065" s="6"/>
      <c r="I65065" s="6"/>
      <c r="J65065" s="6"/>
      <c r="K65065" s="6"/>
      <c r="L65065" s="6"/>
      <c r="M65065" s="6"/>
      <c r="N65065" s="6"/>
      <c r="O65065" s="6"/>
      <c r="P65065" s="6"/>
      <c r="Q65065" s="6"/>
      <c r="R65065" s="6"/>
      <c r="S65065" s="6"/>
      <c r="T65065" s="6"/>
      <c r="U65065" s="6"/>
      <c r="V65065" s="6"/>
      <c r="W65065" s="6"/>
      <c r="X65065" s="6"/>
      <c r="Y65065" s="6"/>
      <c r="Z65065" s="6"/>
      <c r="AA65065" s="6"/>
      <c r="AB65065" s="6"/>
      <c r="AC65065" s="6"/>
      <c r="AD65065" s="6"/>
      <c r="AE65065" s="6"/>
      <c r="AF65065" s="6"/>
      <c r="AG65065" s="6"/>
      <c r="AH65065" s="6"/>
      <c r="AI65065" s="6"/>
      <c r="AJ65065" s="6"/>
      <c r="AK65065" s="6"/>
      <c r="AL65065" s="6"/>
      <c r="AM65065" s="6"/>
    </row>
    <row r="65066" spans="2:39" ht="9.9499999999999993" hidden="1" customHeight="1" x14ac:dyDescent="0.2">
      <c r="B65066" s="6"/>
      <c r="C65066" s="6"/>
      <c r="D65066" s="6"/>
      <c r="E65066" s="6"/>
      <c r="F65066" s="6"/>
      <c r="G65066" s="6"/>
      <c r="H65066" s="6"/>
      <c r="I65066" s="6"/>
      <c r="J65066" s="6"/>
      <c r="K65066" s="6"/>
      <c r="L65066" s="6"/>
      <c r="M65066" s="6"/>
      <c r="N65066" s="6"/>
      <c r="O65066" s="6"/>
      <c r="P65066" s="6"/>
      <c r="Q65066" s="6"/>
      <c r="R65066" s="6"/>
      <c r="S65066" s="6"/>
      <c r="T65066" s="6"/>
      <c r="U65066" s="6"/>
      <c r="V65066" s="6"/>
      <c r="W65066" s="6"/>
      <c r="X65066" s="6"/>
      <c r="Y65066" s="6"/>
      <c r="Z65066" s="6"/>
      <c r="AA65066" s="6"/>
      <c r="AB65066" s="6"/>
      <c r="AC65066" s="6"/>
      <c r="AD65066" s="6"/>
      <c r="AE65066" s="6"/>
      <c r="AF65066" s="6"/>
      <c r="AG65066" s="6"/>
      <c r="AH65066" s="6"/>
      <c r="AI65066" s="6"/>
      <c r="AJ65066" s="6"/>
      <c r="AK65066" s="6"/>
      <c r="AL65066" s="6"/>
      <c r="AM65066" s="6"/>
    </row>
    <row r="65067" spans="2:39" ht="9.9499999999999993" hidden="1" customHeight="1" x14ac:dyDescent="0.2">
      <c r="B65067" s="6"/>
      <c r="C65067" s="6"/>
      <c r="D65067" s="6"/>
      <c r="E65067" s="6"/>
      <c r="F65067" s="6"/>
      <c r="G65067" s="6"/>
      <c r="H65067" s="6"/>
      <c r="I65067" s="6"/>
      <c r="J65067" s="6"/>
      <c r="K65067" s="6"/>
      <c r="L65067" s="6"/>
      <c r="M65067" s="6"/>
      <c r="N65067" s="6"/>
      <c r="O65067" s="6"/>
      <c r="P65067" s="6"/>
      <c r="Q65067" s="6"/>
      <c r="R65067" s="6"/>
      <c r="S65067" s="6"/>
      <c r="T65067" s="6"/>
      <c r="U65067" s="6"/>
      <c r="V65067" s="6"/>
      <c r="W65067" s="6"/>
      <c r="X65067" s="6"/>
      <c r="Y65067" s="6"/>
      <c r="Z65067" s="6"/>
      <c r="AA65067" s="6"/>
      <c r="AB65067" s="6"/>
      <c r="AC65067" s="6"/>
      <c r="AD65067" s="6"/>
      <c r="AE65067" s="6"/>
      <c r="AF65067" s="6"/>
      <c r="AG65067" s="6"/>
      <c r="AH65067" s="6"/>
      <c r="AI65067" s="6"/>
      <c r="AJ65067" s="6"/>
      <c r="AK65067" s="6"/>
      <c r="AL65067" s="6"/>
      <c r="AM65067" s="6"/>
    </row>
    <row r="65068" spans="2:39" ht="9.9499999999999993" hidden="1" customHeight="1" x14ac:dyDescent="0.2">
      <c r="B65068" s="6"/>
      <c r="C65068" s="6"/>
      <c r="D65068" s="6"/>
      <c r="E65068" s="6"/>
      <c r="F65068" s="6"/>
      <c r="G65068" s="6"/>
      <c r="H65068" s="6"/>
      <c r="I65068" s="6"/>
      <c r="J65068" s="6"/>
      <c r="K65068" s="6"/>
      <c r="L65068" s="6"/>
      <c r="M65068" s="6"/>
      <c r="N65068" s="6"/>
      <c r="O65068" s="6"/>
      <c r="P65068" s="6"/>
      <c r="Q65068" s="6"/>
      <c r="R65068" s="6"/>
      <c r="S65068" s="6"/>
      <c r="T65068" s="6"/>
      <c r="U65068" s="6"/>
      <c r="V65068" s="6"/>
      <c r="W65068" s="6"/>
      <c r="X65068" s="6"/>
      <c r="Y65068" s="6"/>
      <c r="Z65068" s="6"/>
      <c r="AA65068" s="6"/>
      <c r="AB65068" s="6"/>
      <c r="AC65068" s="6"/>
      <c r="AD65068" s="6"/>
      <c r="AE65068" s="6"/>
      <c r="AF65068" s="6"/>
      <c r="AG65068" s="6"/>
      <c r="AH65068" s="6"/>
      <c r="AI65068" s="6"/>
      <c r="AJ65068" s="6"/>
      <c r="AK65068" s="6"/>
      <c r="AL65068" s="6"/>
      <c r="AM65068" s="6"/>
    </row>
    <row r="65069" spans="2:39" ht="9.9499999999999993" hidden="1" customHeight="1" x14ac:dyDescent="0.2">
      <c r="B65069" s="6"/>
      <c r="C65069" s="6"/>
      <c r="D65069" s="6"/>
      <c r="E65069" s="6"/>
      <c r="F65069" s="6"/>
      <c r="G65069" s="6"/>
      <c r="H65069" s="6"/>
      <c r="I65069" s="6"/>
      <c r="J65069" s="6"/>
      <c r="K65069" s="6"/>
      <c r="L65069" s="6"/>
      <c r="M65069" s="6"/>
      <c r="N65069" s="6"/>
      <c r="O65069" s="6"/>
      <c r="P65069" s="6"/>
      <c r="Q65069" s="6"/>
      <c r="R65069" s="6"/>
      <c r="S65069" s="6"/>
      <c r="T65069" s="6"/>
      <c r="U65069" s="6"/>
      <c r="V65069" s="6"/>
      <c r="W65069" s="6"/>
      <c r="X65069" s="6"/>
      <c r="Y65069" s="6"/>
      <c r="Z65069" s="6"/>
      <c r="AA65069" s="6"/>
      <c r="AB65069" s="6"/>
      <c r="AC65069" s="6"/>
      <c r="AD65069" s="6"/>
      <c r="AE65069" s="6"/>
      <c r="AF65069" s="6"/>
      <c r="AG65069" s="6"/>
      <c r="AH65069" s="6"/>
      <c r="AI65069" s="6"/>
      <c r="AJ65069" s="6"/>
      <c r="AK65069" s="6"/>
      <c r="AL65069" s="6"/>
      <c r="AM65069" s="6"/>
    </row>
    <row r="65070" spans="2:39" ht="9.9499999999999993" hidden="1" customHeight="1" x14ac:dyDescent="0.2">
      <c r="B65070" s="6"/>
      <c r="C65070" s="6"/>
      <c r="D65070" s="6"/>
      <c r="E65070" s="6"/>
      <c r="F65070" s="6"/>
      <c r="G65070" s="6"/>
      <c r="H65070" s="6"/>
      <c r="I65070" s="6"/>
      <c r="J65070" s="6"/>
      <c r="K65070" s="6"/>
      <c r="L65070" s="6"/>
      <c r="M65070" s="6"/>
      <c r="N65070" s="6"/>
      <c r="O65070" s="6"/>
      <c r="P65070" s="6"/>
      <c r="Q65070" s="6"/>
      <c r="R65070" s="6"/>
      <c r="S65070" s="6"/>
      <c r="T65070" s="6"/>
      <c r="U65070" s="6"/>
      <c r="V65070" s="6"/>
      <c r="W65070" s="6"/>
      <c r="X65070" s="6"/>
      <c r="Y65070" s="6"/>
      <c r="Z65070" s="6"/>
      <c r="AA65070" s="6"/>
      <c r="AB65070" s="6"/>
      <c r="AC65070" s="6"/>
      <c r="AD65070" s="6"/>
      <c r="AE65070" s="6"/>
      <c r="AF65070" s="6"/>
      <c r="AG65070" s="6"/>
      <c r="AH65070" s="6"/>
      <c r="AI65070" s="6"/>
      <c r="AJ65070" s="6"/>
      <c r="AK65070" s="6"/>
      <c r="AL65070" s="6"/>
      <c r="AM65070" s="6"/>
    </row>
    <row r="65071" spans="2:39" ht="9.9499999999999993" hidden="1" customHeight="1" x14ac:dyDescent="0.2">
      <c r="B65071" s="6"/>
      <c r="C65071" s="6"/>
      <c r="D65071" s="6"/>
      <c r="E65071" s="6"/>
      <c r="F65071" s="6"/>
      <c r="G65071" s="6"/>
      <c r="H65071" s="6"/>
      <c r="I65071" s="6"/>
      <c r="J65071" s="6"/>
      <c r="K65071" s="6"/>
      <c r="L65071" s="6"/>
      <c r="M65071" s="6"/>
      <c r="N65071" s="6"/>
      <c r="O65071" s="6"/>
      <c r="P65071" s="6"/>
      <c r="Q65071" s="6"/>
      <c r="R65071" s="6"/>
      <c r="S65071" s="6"/>
      <c r="T65071" s="6"/>
      <c r="U65071" s="6"/>
      <c r="V65071" s="6"/>
      <c r="W65071" s="6"/>
      <c r="X65071" s="6"/>
      <c r="Y65071" s="6"/>
      <c r="Z65071" s="6"/>
      <c r="AA65071" s="6"/>
      <c r="AB65071" s="6"/>
      <c r="AC65071" s="6"/>
      <c r="AD65071" s="6"/>
      <c r="AE65071" s="6"/>
      <c r="AF65071" s="6"/>
      <c r="AG65071" s="6"/>
      <c r="AH65071" s="6"/>
      <c r="AI65071" s="6"/>
      <c r="AJ65071" s="6"/>
      <c r="AK65071" s="6"/>
      <c r="AL65071" s="6"/>
      <c r="AM65071" s="6"/>
    </row>
    <row r="65072" spans="2:39" ht="9.9499999999999993" hidden="1" customHeight="1" x14ac:dyDescent="0.2">
      <c r="B65072" s="6"/>
      <c r="C65072" s="6"/>
      <c r="D65072" s="6"/>
      <c r="E65072" s="6"/>
      <c r="F65072" s="6"/>
      <c r="G65072" s="6"/>
      <c r="H65072" s="6"/>
      <c r="I65072" s="6"/>
      <c r="J65072" s="6"/>
      <c r="K65072" s="6"/>
      <c r="L65072" s="6"/>
      <c r="M65072" s="6"/>
      <c r="N65072" s="6"/>
      <c r="O65072" s="6"/>
      <c r="P65072" s="6"/>
      <c r="Q65072" s="6"/>
      <c r="R65072" s="6"/>
      <c r="S65072" s="6"/>
      <c r="T65072" s="6"/>
      <c r="U65072" s="6"/>
      <c r="V65072" s="6"/>
      <c r="W65072" s="6"/>
      <c r="X65072" s="6"/>
      <c r="Y65072" s="6"/>
      <c r="Z65072" s="6"/>
      <c r="AA65072" s="6"/>
      <c r="AB65072" s="6"/>
      <c r="AC65072" s="6"/>
      <c r="AD65072" s="6"/>
      <c r="AE65072" s="6"/>
      <c r="AF65072" s="6"/>
      <c r="AG65072" s="6"/>
      <c r="AH65072" s="6"/>
      <c r="AI65072" s="6"/>
      <c r="AJ65072" s="6"/>
      <c r="AK65072" s="6"/>
      <c r="AL65072" s="6"/>
      <c r="AM65072" s="6"/>
    </row>
    <row r="65073" spans="2:39" ht="9.9499999999999993" hidden="1" customHeight="1" x14ac:dyDescent="0.2">
      <c r="B65073" s="6"/>
      <c r="C65073" s="6"/>
      <c r="D65073" s="6"/>
      <c r="E65073" s="6"/>
      <c r="F65073" s="6"/>
      <c r="G65073" s="6"/>
      <c r="H65073" s="6"/>
      <c r="I65073" s="6"/>
      <c r="J65073" s="6"/>
      <c r="K65073" s="6"/>
      <c r="L65073" s="6"/>
      <c r="M65073" s="6"/>
      <c r="N65073" s="6"/>
      <c r="O65073" s="6"/>
      <c r="P65073" s="6"/>
      <c r="Q65073" s="6"/>
      <c r="R65073" s="6"/>
      <c r="S65073" s="6"/>
      <c r="T65073" s="6"/>
      <c r="U65073" s="6"/>
      <c r="V65073" s="6"/>
      <c r="W65073" s="6"/>
      <c r="X65073" s="6"/>
      <c r="Y65073" s="6"/>
      <c r="Z65073" s="6"/>
      <c r="AA65073" s="6"/>
      <c r="AB65073" s="6"/>
      <c r="AC65073" s="6"/>
      <c r="AD65073" s="6"/>
      <c r="AE65073" s="6"/>
      <c r="AF65073" s="6"/>
      <c r="AG65073" s="6"/>
      <c r="AH65073" s="6"/>
      <c r="AI65073" s="6"/>
      <c r="AJ65073" s="6"/>
      <c r="AK65073" s="6"/>
      <c r="AL65073" s="6"/>
      <c r="AM65073" s="6"/>
    </row>
    <row r="65074" spans="2:39" ht="9.9499999999999993" hidden="1" customHeight="1" x14ac:dyDescent="0.2">
      <c r="B65074" s="6"/>
      <c r="C65074" s="6"/>
      <c r="D65074" s="6"/>
      <c r="E65074" s="6"/>
      <c r="F65074" s="6"/>
      <c r="G65074" s="6"/>
      <c r="H65074" s="6"/>
      <c r="I65074" s="6"/>
      <c r="J65074" s="6"/>
      <c r="K65074" s="6"/>
      <c r="L65074" s="6"/>
      <c r="M65074" s="6"/>
      <c r="N65074" s="6"/>
      <c r="O65074" s="6"/>
      <c r="P65074" s="6"/>
      <c r="Q65074" s="6"/>
      <c r="R65074" s="6"/>
      <c r="S65074" s="6"/>
      <c r="T65074" s="6"/>
      <c r="U65074" s="6"/>
      <c r="V65074" s="6"/>
      <c r="W65074" s="6"/>
      <c r="X65074" s="6"/>
      <c r="Y65074" s="6"/>
      <c r="Z65074" s="6"/>
      <c r="AA65074" s="6"/>
      <c r="AB65074" s="6"/>
      <c r="AC65074" s="6"/>
      <c r="AD65074" s="6"/>
      <c r="AE65074" s="6"/>
      <c r="AF65074" s="6"/>
      <c r="AG65074" s="6"/>
      <c r="AH65074" s="6"/>
      <c r="AI65074" s="6"/>
      <c r="AJ65074" s="6"/>
      <c r="AK65074" s="6"/>
      <c r="AL65074" s="6"/>
      <c r="AM65074" s="6"/>
    </row>
    <row r="65075" spans="2:39" ht="9.9499999999999993" hidden="1" customHeight="1" x14ac:dyDescent="0.2">
      <c r="B65075" s="6"/>
      <c r="C65075" s="6"/>
      <c r="D65075" s="6"/>
      <c r="E65075" s="6"/>
      <c r="F65075" s="6"/>
      <c r="G65075" s="6"/>
      <c r="H65075" s="6"/>
      <c r="I65075" s="6"/>
      <c r="J65075" s="6"/>
      <c r="K65075" s="6"/>
      <c r="L65075" s="6"/>
      <c r="M65075" s="6"/>
      <c r="N65075" s="6"/>
      <c r="O65075" s="6"/>
      <c r="P65075" s="6"/>
      <c r="Q65075" s="6"/>
      <c r="R65075" s="6"/>
      <c r="S65075" s="6"/>
      <c r="T65075" s="6"/>
      <c r="U65075" s="6"/>
      <c r="V65075" s="6"/>
      <c r="W65075" s="6"/>
      <c r="X65075" s="6"/>
      <c r="Y65075" s="6"/>
      <c r="Z65075" s="6"/>
      <c r="AA65075" s="6"/>
      <c r="AB65075" s="6"/>
      <c r="AC65075" s="6"/>
      <c r="AD65075" s="6"/>
      <c r="AE65075" s="6"/>
      <c r="AF65075" s="6"/>
      <c r="AG65075" s="6"/>
      <c r="AH65075" s="6"/>
      <c r="AI65075" s="6"/>
      <c r="AJ65075" s="6"/>
      <c r="AK65075" s="6"/>
      <c r="AL65075" s="6"/>
      <c r="AM65075" s="6"/>
    </row>
    <row r="65076" spans="2:39" ht="9.9499999999999993" hidden="1" customHeight="1" x14ac:dyDescent="0.2">
      <c r="B65076" s="6"/>
      <c r="C65076" s="6"/>
      <c r="D65076" s="6"/>
      <c r="E65076" s="6"/>
      <c r="F65076" s="6"/>
      <c r="G65076" s="6"/>
      <c r="H65076" s="6"/>
      <c r="I65076" s="6"/>
      <c r="J65076" s="6"/>
      <c r="K65076" s="6"/>
      <c r="L65076" s="6"/>
      <c r="M65076" s="6"/>
      <c r="N65076" s="6"/>
      <c r="O65076" s="6"/>
      <c r="P65076" s="6"/>
      <c r="Q65076" s="6"/>
      <c r="R65076" s="6"/>
      <c r="S65076" s="6"/>
      <c r="T65076" s="6"/>
      <c r="U65076" s="6"/>
      <c r="V65076" s="6"/>
      <c r="W65076" s="6"/>
      <c r="X65076" s="6"/>
      <c r="Y65076" s="6"/>
      <c r="Z65076" s="6"/>
      <c r="AA65076" s="6"/>
      <c r="AB65076" s="6"/>
      <c r="AC65076" s="6"/>
      <c r="AD65076" s="6"/>
      <c r="AE65076" s="6"/>
      <c r="AF65076" s="6"/>
      <c r="AG65076" s="6"/>
      <c r="AH65076" s="6"/>
      <c r="AI65076" s="6"/>
      <c r="AJ65076" s="6"/>
      <c r="AK65076" s="6"/>
      <c r="AL65076" s="6"/>
      <c r="AM65076" s="6"/>
    </row>
    <row r="65077" spans="2:39" ht="9.9499999999999993" hidden="1" customHeight="1" x14ac:dyDescent="0.2">
      <c r="B65077" s="6"/>
      <c r="C65077" s="6"/>
      <c r="D65077" s="6"/>
      <c r="E65077" s="6"/>
      <c r="F65077" s="6"/>
      <c r="G65077" s="6"/>
      <c r="H65077" s="6"/>
      <c r="I65077" s="6"/>
      <c r="J65077" s="6"/>
      <c r="K65077" s="6"/>
      <c r="L65077" s="6"/>
      <c r="M65077" s="6"/>
      <c r="N65077" s="6"/>
      <c r="O65077" s="6"/>
      <c r="P65077" s="6"/>
      <c r="Q65077" s="6"/>
      <c r="R65077" s="6"/>
      <c r="S65077" s="6"/>
      <c r="T65077" s="6"/>
      <c r="U65077" s="6"/>
      <c r="V65077" s="6"/>
      <c r="W65077" s="6"/>
      <c r="X65077" s="6"/>
      <c r="Y65077" s="6"/>
      <c r="Z65077" s="6"/>
      <c r="AA65077" s="6"/>
      <c r="AB65077" s="6"/>
      <c r="AC65077" s="6"/>
      <c r="AD65077" s="6"/>
      <c r="AE65077" s="6"/>
      <c r="AF65077" s="6"/>
      <c r="AG65077" s="6"/>
      <c r="AH65077" s="6"/>
      <c r="AI65077" s="6"/>
      <c r="AJ65077" s="6"/>
      <c r="AK65077" s="6"/>
      <c r="AL65077" s="6"/>
      <c r="AM65077" s="6"/>
    </row>
    <row r="65078" spans="2:39" ht="9.9499999999999993" hidden="1" customHeight="1" x14ac:dyDescent="0.2">
      <c r="B65078" s="6"/>
      <c r="C65078" s="6"/>
      <c r="D65078" s="6"/>
      <c r="E65078" s="6"/>
      <c r="F65078" s="6"/>
      <c r="G65078" s="6"/>
      <c r="H65078" s="6"/>
      <c r="I65078" s="6"/>
      <c r="J65078" s="6"/>
      <c r="K65078" s="6"/>
      <c r="L65078" s="6"/>
      <c r="M65078" s="6"/>
      <c r="N65078" s="6"/>
      <c r="O65078" s="6"/>
      <c r="P65078" s="6"/>
      <c r="Q65078" s="6"/>
      <c r="R65078" s="6"/>
      <c r="S65078" s="6"/>
      <c r="T65078" s="6"/>
      <c r="U65078" s="6"/>
      <c r="V65078" s="6"/>
      <c r="W65078" s="6"/>
      <c r="X65078" s="6"/>
      <c r="Y65078" s="6"/>
      <c r="Z65078" s="6"/>
      <c r="AA65078" s="6"/>
      <c r="AB65078" s="6"/>
      <c r="AC65078" s="6"/>
      <c r="AD65078" s="6"/>
      <c r="AE65078" s="6"/>
      <c r="AF65078" s="6"/>
      <c r="AG65078" s="6"/>
      <c r="AH65078" s="6"/>
      <c r="AI65078" s="6"/>
      <c r="AJ65078" s="6"/>
      <c r="AK65078" s="6"/>
      <c r="AL65078" s="6"/>
      <c r="AM65078" s="6"/>
    </row>
    <row r="65079" spans="2:39" ht="9.9499999999999993" hidden="1" customHeight="1" x14ac:dyDescent="0.2">
      <c r="B65079" s="6"/>
      <c r="C65079" s="6"/>
      <c r="D65079" s="6"/>
      <c r="E65079" s="6"/>
      <c r="F65079" s="6"/>
      <c r="G65079" s="6"/>
      <c r="H65079" s="6"/>
      <c r="I65079" s="6"/>
      <c r="J65079" s="6"/>
      <c r="K65079" s="6"/>
      <c r="L65079" s="6"/>
      <c r="M65079" s="6"/>
      <c r="N65079" s="6"/>
      <c r="O65079" s="6"/>
      <c r="P65079" s="6"/>
      <c r="Q65079" s="6"/>
      <c r="R65079" s="6"/>
      <c r="S65079" s="6"/>
      <c r="T65079" s="6"/>
      <c r="U65079" s="6"/>
      <c r="V65079" s="6"/>
      <c r="W65079" s="6"/>
      <c r="X65079" s="6"/>
      <c r="Y65079" s="6"/>
      <c r="Z65079" s="6"/>
      <c r="AA65079" s="6"/>
      <c r="AB65079" s="6"/>
      <c r="AC65079" s="6"/>
      <c r="AD65079" s="6"/>
      <c r="AE65079" s="6"/>
      <c r="AF65079" s="6"/>
      <c r="AG65079" s="6"/>
      <c r="AH65079" s="6"/>
      <c r="AI65079" s="6"/>
      <c r="AJ65079" s="6"/>
      <c r="AK65079" s="6"/>
      <c r="AL65079" s="6"/>
      <c r="AM65079" s="6"/>
    </row>
    <row r="65080" spans="2:39" ht="9.9499999999999993" hidden="1" customHeight="1" x14ac:dyDescent="0.2">
      <c r="B65080" s="6"/>
      <c r="C65080" s="6"/>
      <c r="D65080" s="6"/>
      <c r="E65080" s="6"/>
      <c r="F65080" s="6"/>
      <c r="G65080" s="6"/>
      <c r="H65080" s="6"/>
      <c r="I65080" s="6"/>
      <c r="J65080" s="6"/>
      <c r="K65080" s="6"/>
      <c r="L65080" s="6"/>
      <c r="M65080" s="6"/>
      <c r="N65080" s="6"/>
      <c r="O65080" s="6"/>
      <c r="P65080" s="6"/>
      <c r="Q65080" s="6"/>
      <c r="R65080" s="6"/>
      <c r="S65080" s="6"/>
      <c r="T65080" s="6"/>
      <c r="U65080" s="6"/>
      <c r="V65080" s="6"/>
      <c r="W65080" s="6"/>
      <c r="X65080" s="6"/>
      <c r="Y65080" s="6"/>
      <c r="Z65080" s="6"/>
      <c r="AA65080" s="6"/>
      <c r="AB65080" s="6"/>
      <c r="AC65080" s="6"/>
      <c r="AD65080" s="6"/>
      <c r="AE65080" s="6"/>
      <c r="AF65080" s="6"/>
      <c r="AG65080" s="6"/>
      <c r="AH65080" s="6"/>
      <c r="AI65080" s="6"/>
      <c r="AJ65080" s="6"/>
      <c r="AK65080" s="6"/>
      <c r="AL65080" s="6"/>
      <c r="AM65080" s="6"/>
    </row>
    <row r="65081" spans="2:39" ht="9.9499999999999993" hidden="1" customHeight="1" x14ac:dyDescent="0.2">
      <c r="B65081" s="6"/>
      <c r="C65081" s="6"/>
      <c r="D65081" s="6"/>
      <c r="E65081" s="6"/>
      <c r="F65081" s="6"/>
      <c r="G65081" s="6"/>
      <c r="H65081" s="6"/>
      <c r="I65081" s="6"/>
      <c r="J65081" s="6"/>
      <c r="K65081" s="6"/>
      <c r="L65081" s="6"/>
      <c r="M65081" s="6"/>
      <c r="N65081" s="6"/>
      <c r="O65081" s="6"/>
      <c r="P65081" s="6"/>
      <c r="Q65081" s="6"/>
      <c r="R65081" s="6"/>
      <c r="S65081" s="6"/>
      <c r="T65081" s="6"/>
      <c r="U65081" s="6"/>
      <c r="V65081" s="6"/>
      <c r="W65081" s="6"/>
      <c r="X65081" s="6"/>
      <c r="Y65081" s="6"/>
      <c r="Z65081" s="6"/>
      <c r="AA65081" s="6"/>
      <c r="AB65081" s="6"/>
      <c r="AC65081" s="6"/>
      <c r="AD65081" s="6"/>
      <c r="AE65081" s="6"/>
      <c r="AF65081" s="6"/>
      <c r="AG65081" s="6"/>
      <c r="AH65081" s="6"/>
      <c r="AI65081" s="6"/>
      <c r="AJ65081" s="6"/>
      <c r="AK65081" s="6"/>
      <c r="AL65081" s="6"/>
      <c r="AM65081" s="6"/>
    </row>
    <row r="65082" spans="2:39" ht="9.9499999999999993" hidden="1" customHeight="1" x14ac:dyDescent="0.2">
      <c r="B65082" s="6"/>
      <c r="C65082" s="6"/>
      <c r="D65082" s="6"/>
      <c r="E65082" s="6"/>
      <c r="F65082" s="6"/>
      <c r="G65082" s="6"/>
      <c r="H65082" s="6"/>
      <c r="I65082" s="6"/>
      <c r="J65082" s="6"/>
      <c r="K65082" s="6"/>
      <c r="L65082" s="6"/>
      <c r="M65082" s="6"/>
      <c r="N65082" s="6"/>
      <c r="O65082" s="6"/>
      <c r="P65082" s="6"/>
      <c r="Q65082" s="6"/>
      <c r="R65082" s="6"/>
      <c r="S65082" s="6"/>
      <c r="T65082" s="6"/>
      <c r="U65082" s="6"/>
      <c r="V65082" s="6"/>
      <c r="W65082" s="6"/>
      <c r="X65082" s="6"/>
      <c r="Y65082" s="6"/>
      <c r="Z65082" s="6"/>
      <c r="AA65082" s="6"/>
      <c r="AB65082" s="6"/>
      <c r="AC65082" s="6"/>
      <c r="AD65082" s="6"/>
      <c r="AE65082" s="6"/>
      <c r="AF65082" s="6"/>
      <c r="AG65082" s="6"/>
      <c r="AH65082" s="6"/>
      <c r="AI65082" s="6"/>
      <c r="AJ65082" s="6"/>
      <c r="AK65082" s="6"/>
      <c r="AL65082" s="6"/>
      <c r="AM65082" s="6"/>
    </row>
    <row r="65083" spans="2:39" ht="9.9499999999999993" hidden="1" customHeight="1" x14ac:dyDescent="0.2">
      <c r="B65083" s="6"/>
      <c r="C65083" s="6"/>
      <c r="D65083" s="6"/>
      <c r="E65083" s="6"/>
      <c r="F65083" s="6"/>
      <c r="G65083" s="6"/>
      <c r="H65083" s="6"/>
      <c r="I65083" s="6"/>
      <c r="J65083" s="6"/>
      <c r="K65083" s="6"/>
      <c r="L65083" s="6"/>
      <c r="M65083" s="6"/>
      <c r="N65083" s="6"/>
      <c r="O65083" s="6"/>
      <c r="P65083" s="6"/>
      <c r="Q65083" s="6"/>
      <c r="R65083" s="6"/>
      <c r="S65083" s="6"/>
      <c r="T65083" s="6"/>
      <c r="U65083" s="6"/>
      <c r="V65083" s="6"/>
      <c r="W65083" s="6"/>
      <c r="X65083" s="6"/>
      <c r="Y65083" s="6"/>
      <c r="Z65083" s="6"/>
      <c r="AA65083" s="6"/>
      <c r="AB65083" s="6"/>
      <c r="AC65083" s="6"/>
      <c r="AD65083" s="6"/>
      <c r="AE65083" s="6"/>
      <c r="AF65083" s="6"/>
      <c r="AG65083" s="6"/>
      <c r="AH65083" s="6"/>
      <c r="AI65083" s="6"/>
      <c r="AJ65083" s="6"/>
      <c r="AK65083" s="6"/>
      <c r="AL65083" s="6"/>
      <c r="AM65083" s="6"/>
    </row>
    <row r="65084" spans="2:39" ht="9.9499999999999993" hidden="1" customHeight="1" x14ac:dyDescent="0.2">
      <c r="B65084" s="6"/>
      <c r="C65084" s="6"/>
      <c r="D65084" s="6"/>
      <c r="E65084" s="6"/>
      <c r="F65084" s="6"/>
      <c r="G65084" s="6"/>
      <c r="H65084" s="6"/>
      <c r="I65084" s="6"/>
      <c r="J65084" s="6"/>
      <c r="K65084" s="6"/>
      <c r="L65084" s="6"/>
      <c r="M65084" s="6"/>
      <c r="N65084" s="6"/>
      <c r="O65084" s="6"/>
      <c r="P65084" s="6"/>
      <c r="Q65084" s="6"/>
      <c r="R65084" s="6"/>
      <c r="S65084" s="6"/>
      <c r="T65084" s="6"/>
      <c r="U65084" s="6"/>
      <c r="V65084" s="6"/>
      <c r="W65084" s="6"/>
      <c r="X65084" s="6"/>
      <c r="Y65084" s="6"/>
      <c r="Z65084" s="6"/>
      <c r="AA65084" s="6"/>
      <c r="AB65084" s="6"/>
      <c r="AC65084" s="6"/>
      <c r="AD65084" s="6"/>
      <c r="AE65084" s="6"/>
      <c r="AF65084" s="6"/>
      <c r="AG65084" s="6"/>
      <c r="AH65084" s="6"/>
      <c r="AI65084" s="6"/>
      <c r="AJ65084" s="6"/>
      <c r="AK65084" s="6"/>
      <c r="AL65084" s="6"/>
      <c r="AM65084" s="6"/>
    </row>
    <row r="65085" spans="2:39" ht="9.9499999999999993" hidden="1" customHeight="1" x14ac:dyDescent="0.2">
      <c r="B65085" s="6"/>
      <c r="C65085" s="6"/>
      <c r="D65085" s="6"/>
      <c r="E65085" s="6"/>
      <c r="F65085" s="6"/>
      <c r="G65085" s="6"/>
      <c r="H65085" s="6"/>
      <c r="I65085" s="6"/>
      <c r="J65085" s="6"/>
      <c r="K65085" s="6"/>
      <c r="L65085" s="6"/>
      <c r="M65085" s="6"/>
      <c r="N65085" s="6"/>
      <c r="O65085" s="6"/>
      <c r="P65085" s="6"/>
      <c r="Q65085" s="6"/>
      <c r="R65085" s="6"/>
      <c r="S65085" s="6"/>
      <c r="T65085" s="6"/>
      <c r="U65085" s="6"/>
      <c r="V65085" s="6"/>
      <c r="W65085" s="6"/>
      <c r="X65085" s="6"/>
      <c r="Y65085" s="6"/>
      <c r="Z65085" s="6"/>
      <c r="AA65085" s="6"/>
      <c r="AB65085" s="6"/>
      <c r="AC65085" s="6"/>
      <c r="AD65085" s="6"/>
      <c r="AE65085" s="6"/>
      <c r="AF65085" s="6"/>
      <c r="AG65085" s="6"/>
      <c r="AH65085" s="6"/>
      <c r="AI65085" s="6"/>
      <c r="AJ65085" s="6"/>
      <c r="AK65085" s="6"/>
      <c r="AL65085" s="6"/>
      <c r="AM65085" s="6"/>
    </row>
    <row r="65086" spans="2:39" ht="9.9499999999999993" hidden="1" customHeight="1" x14ac:dyDescent="0.2">
      <c r="B65086" s="6"/>
      <c r="C65086" s="6"/>
      <c r="D65086" s="6"/>
      <c r="E65086" s="6"/>
      <c r="F65086" s="6"/>
      <c r="G65086" s="6"/>
      <c r="H65086" s="6"/>
      <c r="I65086" s="6"/>
      <c r="J65086" s="6"/>
      <c r="K65086" s="6"/>
      <c r="L65086" s="6"/>
      <c r="M65086" s="6"/>
      <c r="N65086" s="6"/>
      <c r="O65086" s="6"/>
      <c r="P65086" s="6"/>
      <c r="Q65086" s="6"/>
      <c r="R65086" s="6"/>
      <c r="S65086" s="6"/>
      <c r="T65086" s="6"/>
      <c r="U65086" s="6"/>
      <c r="V65086" s="6"/>
      <c r="W65086" s="6"/>
      <c r="X65086" s="6"/>
      <c r="Y65086" s="6"/>
      <c r="Z65086" s="6"/>
      <c r="AA65086" s="6"/>
      <c r="AB65086" s="6"/>
      <c r="AC65086" s="6"/>
      <c r="AD65086" s="6"/>
      <c r="AE65086" s="6"/>
      <c r="AF65086" s="6"/>
      <c r="AG65086" s="6"/>
      <c r="AH65086" s="6"/>
      <c r="AI65086" s="6"/>
      <c r="AJ65086" s="6"/>
      <c r="AK65086" s="6"/>
      <c r="AL65086" s="6"/>
      <c r="AM65086" s="6"/>
    </row>
    <row r="65087" spans="2:39" ht="9.9499999999999993" hidden="1" customHeight="1" x14ac:dyDescent="0.2">
      <c r="B65087" s="6"/>
      <c r="C65087" s="6"/>
      <c r="D65087" s="6"/>
      <c r="E65087" s="6"/>
      <c r="F65087" s="6"/>
      <c r="G65087" s="6"/>
      <c r="H65087" s="6"/>
      <c r="I65087" s="6"/>
      <c r="J65087" s="6"/>
      <c r="K65087" s="6"/>
      <c r="L65087" s="6"/>
      <c r="M65087" s="6"/>
      <c r="N65087" s="6"/>
      <c r="O65087" s="6"/>
      <c r="P65087" s="6"/>
      <c r="Q65087" s="6"/>
      <c r="R65087" s="6"/>
      <c r="S65087" s="6"/>
      <c r="T65087" s="6"/>
      <c r="U65087" s="6"/>
      <c r="V65087" s="6"/>
      <c r="W65087" s="6"/>
      <c r="X65087" s="6"/>
      <c r="Y65087" s="6"/>
      <c r="Z65087" s="6"/>
      <c r="AA65087" s="6"/>
      <c r="AB65087" s="6"/>
      <c r="AC65087" s="6"/>
      <c r="AD65087" s="6"/>
      <c r="AE65087" s="6"/>
      <c r="AF65087" s="6"/>
      <c r="AG65087" s="6"/>
      <c r="AH65087" s="6"/>
      <c r="AI65087" s="6"/>
      <c r="AJ65087" s="6"/>
      <c r="AK65087" s="6"/>
      <c r="AL65087" s="6"/>
      <c r="AM65087" s="6"/>
    </row>
    <row r="65088" spans="2:39" ht="9.9499999999999993" hidden="1" customHeight="1" x14ac:dyDescent="0.2">
      <c r="B65088" s="6"/>
      <c r="C65088" s="6"/>
      <c r="D65088" s="6"/>
      <c r="E65088" s="6"/>
      <c r="F65088" s="6"/>
      <c r="G65088" s="6"/>
      <c r="H65088" s="6"/>
      <c r="I65088" s="6"/>
      <c r="J65088" s="6"/>
      <c r="K65088" s="6"/>
      <c r="L65088" s="6"/>
      <c r="M65088" s="6"/>
      <c r="N65088" s="6"/>
      <c r="O65088" s="6"/>
      <c r="P65088" s="6"/>
      <c r="Q65088" s="6"/>
      <c r="R65088" s="6"/>
      <c r="S65088" s="6"/>
      <c r="T65088" s="6"/>
      <c r="U65088" s="6"/>
      <c r="V65088" s="6"/>
      <c r="W65088" s="6"/>
      <c r="X65088" s="6"/>
      <c r="Y65088" s="6"/>
      <c r="Z65088" s="6"/>
      <c r="AA65088" s="6"/>
      <c r="AB65088" s="6"/>
      <c r="AC65088" s="6"/>
      <c r="AD65088" s="6"/>
      <c r="AE65088" s="6"/>
      <c r="AF65088" s="6"/>
      <c r="AG65088" s="6"/>
      <c r="AH65088" s="6"/>
      <c r="AI65088" s="6"/>
      <c r="AJ65088" s="6"/>
      <c r="AK65088" s="6"/>
      <c r="AL65088" s="6"/>
      <c r="AM65088" s="6"/>
    </row>
    <row r="65089" spans="2:39" ht="9.9499999999999993" hidden="1" customHeight="1" x14ac:dyDescent="0.2">
      <c r="B65089" s="6"/>
      <c r="C65089" s="6"/>
      <c r="D65089" s="6"/>
      <c r="E65089" s="6"/>
      <c r="F65089" s="6"/>
      <c r="G65089" s="6"/>
      <c r="H65089" s="6"/>
      <c r="I65089" s="6"/>
      <c r="J65089" s="6"/>
      <c r="K65089" s="6"/>
      <c r="L65089" s="6"/>
      <c r="M65089" s="6"/>
      <c r="N65089" s="6"/>
      <c r="O65089" s="6"/>
      <c r="P65089" s="6"/>
      <c r="Q65089" s="6"/>
      <c r="R65089" s="6"/>
      <c r="S65089" s="6"/>
      <c r="T65089" s="6"/>
      <c r="U65089" s="6"/>
      <c r="V65089" s="6"/>
      <c r="W65089" s="6"/>
      <c r="X65089" s="6"/>
      <c r="Y65089" s="6"/>
      <c r="Z65089" s="6"/>
      <c r="AA65089" s="6"/>
      <c r="AB65089" s="6"/>
      <c r="AC65089" s="6"/>
      <c r="AD65089" s="6"/>
      <c r="AE65089" s="6"/>
      <c r="AF65089" s="6"/>
      <c r="AG65089" s="6"/>
      <c r="AH65089" s="6"/>
      <c r="AI65089" s="6"/>
      <c r="AJ65089" s="6"/>
      <c r="AK65089" s="6"/>
      <c r="AL65089" s="6"/>
      <c r="AM65089" s="6"/>
    </row>
    <row r="65090" spans="2:39" ht="9.9499999999999993" hidden="1" customHeight="1" x14ac:dyDescent="0.2">
      <c r="B65090" s="6"/>
      <c r="C65090" s="6"/>
      <c r="D65090" s="6"/>
      <c r="E65090" s="6"/>
      <c r="F65090" s="6"/>
      <c r="G65090" s="6"/>
      <c r="H65090" s="6"/>
      <c r="I65090" s="6"/>
      <c r="J65090" s="6"/>
      <c r="K65090" s="6"/>
      <c r="L65090" s="6"/>
      <c r="M65090" s="6"/>
      <c r="N65090" s="6"/>
      <c r="O65090" s="6"/>
      <c r="P65090" s="6"/>
      <c r="Q65090" s="6"/>
      <c r="R65090" s="6"/>
      <c r="S65090" s="6"/>
      <c r="T65090" s="6"/>
      <c r="U65090" s="6"/>
      <c r="V65090" s="6"/>
      <c r="W65090" s="6"/>
      <c r="X65090" s="6"/>
      <c r="Y65090" s="6"/>
      <c r="Z65090" s="6"/>
      <c r="AA65090" s="6"/>
      <c r="AB65090" s="6"/>
      <c r="AC65090" s="6"/>
      <c r="AD65090" s="6"/>
      <c r="AE65090" s="6"/>
      <c r="AF65090" s="6"/>
      <c r="AG65090" s="6"/>
      <c r="AH65090" s="6"/>
      <c r="AI65090" s="6"/>
      <c r="AJ65090" s="6"/>
      <c r="AK65090" s="6"/>
      <c r="AL65090" s="6"/>
      <c r="AM65090" s="6"/>
    </row>
    <row r="65091" spans="2:39" ht="9.9499999999999993" hidden="1" customHeight="1" x14ac:dyDescent="0.2">
      <c r="B65091" s="6"/>
      <c r="C65091" s="6"/>
      <c r="D65091" s="6"/>
      <c r="E65091" s="6"/>
      <c r="F65091" s="6"/>
      <c r="G65091" s="6"/>
      <c r="H65091" s="6"/>
      <c r="I65091" s="6"/>
      <c r="J65091" s="6"/>
      <c r="K65091" s="6"/>
      <c r="L65091" s="6"/>
      <c r="M65091" s="6"/>
      <c r="N65091" s="6"/>
      <c r="O65091" s="6"/>
      <c r="P65091" s="6"/>
      <c r="Q65091" s="6"/>
      <c r="R65091" s="6"/>
      <c r="S65091" s="6"/>
      <c r="T65091" s="6"/>
      <c r="U65091" s="6"/>
      <c r="V65091" s="6"/>
      <c r="W65091" s="6"/>
      <c r="X65091" s="6"/>
      <c r="Y65091" s="6"/>
      <c r="Z65091" s="6"/>
      <c r="AA65091" s="6"/>
      <c r="AB65091" s="6"/>
      <c r="AC65091" s="6"/>
      <c r="AD65091" s="6"/>
      <c r="AE65091" s="6"/>
      <c r="AF65091" s="6"/>
      <c r="AG65091" s="6"/>
      <c r="AH65091" s="6"/>
      <c r="AI65091" s="6"/>
      <c r="AJ65091" s="6"/>
      <c r="AK65091" s="6"/>
      <c r="AL65091" s="6"/>
      <c r="AM65091" s="6"/>
    </row>
    <row r="65092" spans="2:39" ht="9.9499999999999993" hidden="1" customHeight="1" x14ac:dyDescent="0.2">
      <c r="B65092" s="6"/>
      <c r="C65092" s="6"/>
      <c r="D65092" s="6"/>
      <c r="E65092" s="6"/>
      <c r="F65092" s="6"/>
      <c r="G65092" s="6"/>
      <c r="H65092" s="6"/>
      <c r="I65092" s="6"/>
      <c r="J65092" s="6"/>
      <c r="K65092" s="6"/>
      <c r="L65092" s="6"/>
      <c r="M65092" s="6"/>
      <c r="N65092" s="6"/>
      <c r="O65092" s="6"/>
      <c r="P65092" s="6"/>
      <c r="Q65092" s="6"/>
      <c r="R65092" s="6"/>
      <c r="S65092" s="6"/>
      <c r="T65092" s="6"/>
      <c r="U65092" s="6"/>
      <c r="V65092" s="6"/>
      <c r="W65092" s="6"/>
      <c r="X65092" s="6"/>
      <c r="Y65092" s="6"/>
      <c r="Z65092" s="6"/>
      <c r="AA65092" s="6"/>
      <c r="AB65092" s="6"/>
      <c r="AC65092" s="6"/>
      <c r="AD65092" s="6"/>
      <c r="AE65092" s="6"/>
      <c r="AF65092" s="6"/>
      <c r="AG65092" s="6"/>
      <c r="AH65092" s="6"/>
      <c r="AI65092" s="6"/>
      <c r="AJ65092" s="6"/>
      <c r="AK65092" s="6"/>
      <c r="AL65092" s="6"/>
      <c r="AM65092" s="6"/>
    </row>
    <row r="65093" spans="2:39" ht="9.9499999999999993" hidden="1" customHeight="1" x14ac:dyDescent="0.2">
      <c r="B65093" s="6"/>
      <c r="C65093" s="6"/>
      <c r="D65093" s="6"/>
      <c r="E65093" s="6"/>
      <c r="F65093" s="6"/>
      <c r="G65093" s="6"/>
      <c r="H65093" s="6"/>
      <c r="I65093" s="6"/>
      <c r="J65093" s="6"/>
      <c r="K65093" s="6"/>
      <c r="L65093" s="6"/>
      <c r="M65093" s="6"/>
      <c r="N65093" s="6"/>
      <c r="O65093" s="6"/>
      <c r="P65093" s="6"/>
      <c r="Q65093" s="6"/>
      <c r="R65093" s="6"/>
      <c r="S65093" s="6"/>
      <c r="T65093" s="6"/>
      <c r="U65093" s="6"/>
      <c r="V65093" s="6"/>
      <c r="W65093" s="6"/>
      <c r="X65093" s="6"/>
      <c r="Y65093" s="6"/>
      <c r="Z65093" s="6"/>
      <c r="AA65093" s="6"/>
      <c r="AB65093" s="6"/>
      <c r="AC65093" s="6"/>
      <c r="AD65093" s="6"/>
      <c r="AE65093" s="6"/>
      <c r="AF65093" s="6"/>
      <c r="AG65093" s="6"/>
      <c r="AH65093" s="6"/>
      <c r="AI65093" s="6"/>
      <c r="AJ65093" s="6"/>
      <c r="AK65093" s="6"/>
      <c r="AL65093" s="6"/>
      <c r="AM65093" s="6"/>
    </row>
    <row r="65094" spans="2:39" ht="9.9499999999999993" hidden="1" customHeight="1" x14ac:dyDescent="0.2">
      <c r="B65094" s="6"/>
      <c r="C65094" s="6"/>
      <c r="D65094" s="6"/>
      <c r="E65094" s="6"/>
      <c r="F65094" s="6"/>
      <c r="G65094" s="6"/>
      <c r="H65094" s="6"/>
      <c r="I65094" s="6"/>
      <c r="J65094" s="6"/>
      <c r="K65094" s="6"/>
      <c r="L65094" s="6"/>
      <c r="M65094" s="6"/>
      <c r="N65094" s="6"/>
      <c r="O65094" s="6"/>
      <c r="P65094" s="6"/>
      <c r="Q65094" s="6"/>
      <c r="R65094" s="6"/>
      <c r="S65094" s="6"/>
      <c r="T65094" s="6"/>
      <c r="U65094" s="6"/>
      <c r="V65094" s="6"/>
      <c r="W65094" s="6"/>
      <c r="X65094" s="6"/>
      <c r="Y65094" s="6"/>
      <c r="Z65094" s="6"/>
      <c r="AA65094" s="6"/>
      <c r="AB65094" s="6"/>
      <c r="AC65094" s="6"/>
      <c r="AD65094" s="6"/>
      <c r="AE65094" s="6"/>
      <c r="AF65094" s="6"/>
      <c r="AG65094" s="6"/>
      <c r="AH65094" s="6"/>
      <c r="AI65094" s="6"/>
      <c r="AJ65094" s="6"/>
      <c r="AK65094" s="6"/>
      <c r="AL65094" s="6"/>
      <c r="AM65094" s="6"/>
    </row>
    <row r="65095" spans="2:39" ht="9.9499999999999993" hidden="1" customHeight="1" x14ac:dyDescent="0.2">
      <c r="B65095" s="6"/>
      <c r="C65095" s="6"/>
      <c r="D65095" s="6"/>
      <c r="E65095" s="6"/>
      <c r="F65095" s="6"/>
      <c r="G65095" s="6"/>
      <c r="H65095" s="6"/>
      <c r="I65095" s="6"/>
      <c r="J65095" s="6"/>
      <c r="K65095" s="6"/>
      <c r="L65095" s="6"/>
      <c r="M65095" s="6"/>
      <c r="N65095" s="6"/>
      <c r="O65095" s="6"/>
      <c r="P65095" s="6"/>
      <c r="Q65095" s="6"/>
      <c r="R65095" s="6"/>
      <c r="S65095" s="6"/>
      <c r="T65095" s="6"/>
      <c r="U65095" s="6"/>
      <c r="V65095" s="6"/>
      <c r="W65095" s="6"/>
      <c r="X65095" s="6"/>
      <c r="Y65095" s="6"/>
      <c r="Z65095" s="6"/>
      <c r="AA65095" s="6"/>
      <c r="AB65095" s="6"/>
      <c r="AC65095" s="6"/>
      <c r="AD65095" s="6"/>
      <c r="AE65095" s="6"/>
      <c r="AF65095" s="6"/>
      <c r="AG65095" s="6"/>
      <c r="AH65095" s="6"/>
      <c r="AI65095" s="6"/>
      <c r="AJ65095" s="6"/>
      <c r="AK65095" s="6"/>
      <c r="AL65095" s="6"/>
      <c r="AM65095" s="6"/>
    </row>
    <row r="65096" spans="2:39" ht="9.9499999999999993" hidden="1" customHeight="1" x14ac:dyDescent="0.2">
      <c r="B65096" s="6"/>
      <c r="C65096" s="6"/>
      <c r="D65096" s="6"/>
      <c r="E65096" s="6"/>
      <c r="F65096" s="6"/>
      <c r="G65096" s="6"/>
      <c r="H65096" s="6"/>
      <c r="I65096" s="6"/>
      <c r="J65096" s="6"/>
      <c r="K65096" s="6"/>
      <c r="L65096" s="6"/>
      <c r="M65096" s="6"/>
      <c r="N65096" s="6"/>
      <c r="O65096" s="6"/>
      <c r="P65096" s="6"/>
      <c r="Q65096" s="6"/>
      <c r="R65096" s="6"/>
      <c r="S65096" s="6"/>
      <c r="T65096" s="6"/>
      <c r="U65096" s="6"/>
      <c r="V65096" s="6"/>
      <c r="W65096" s="6"/>
      <c r="X65096" s="6"/>
      <c r="Y65096" s="6"/>
      <c r="Z65096" s="6"/>
      <c r="AA65096" s="6"/>
      <c r="AB65096" s="6"/>
      <c r="AC65096" s="6"/>
      <c r="AD65096" s="6"/>
      <c r="AE65096" s="6"/>
      <c r="AF65096" s="6"/>
      <c r="AG65096" s="6"/>
      <c r="AH65096" s="6"/>
      <c r="AI65096" s="6"/>
      <c r="AJ65096" s="6"/>
      <c r="AK65096" s="6"/>
      <c r="AL65096" s="6"/>
      <c r="AM65096" s="6"/>
    </row>
    <row r="65097" spans="2:39" ht="9.9499999999999993" hidden="1" customHeight="1" x14ac:dyDescent="0.2">
      <c r="B65097" s="6"/>
      <c r="C65097" s="6"/>
      <c r="D65097" s="6"/>
      <c r="E65097" s="6"/>
      <c r="F65097" s="6"/>
      <c r="G65097" s="6"/>
      <c r="H65097" s="6"/>
      <c r="I65097" s="6"/>
      <c r="J65097" s="6"/>
      <c r="K65097" s="6"/>
      <c r="L65097" s="6"/>
      <c r="M65097" s="6"/>
      <c r="N65097" s="6"/>
      <c r="O65097" s="6"/>
      <c r="P65097" s="6"/>
      <c r="Q65097" s="6"/>
      <c r="R65097" s="6"/>
      <c r="S65097" s="6"/>
      <c r="T65097" s="6"/>
      <c r="U65097" s="6"/>
      <c r="V65097" s="6"/>
      <c r="W65097" s="6"/>
      <c r="X65097" s="6"/>
      <c r="Y65097" s="6"/>
      <c r="Z65097" s="6"/>
      <c r="AA65097" s="6"/>
      <c r="AB65097" s="6"/>
      <c r="AC65097" s="6"/>
      <c r="AD65097" s="6"/>
      <c r="AE65097" s="6"/>
      <c r="AF65097" s="6"/>
      <c r="AG65097" s="6"/>
      <c r="AH65097" s="6"/>
      <c r="AI65097" s="6"/>
      <c r="AJ65097" s="6"/>
      <c r="AK65097" s="6"/>
      <c r="AL65097" s="6"/>
      <c r="AM65097" s="6"/>
    </row>
    <row r="65098" spans="2:39" ht="9.9499999999999993" hidden="1" customHeight="1" x14ac:dyDescent="0.2">
      <c r="B65098" s="6"/>
      <c r="C65098" s="6"/>
      <c r="D65098" s="6"/>
      <c r="E65098" s="6"/>
      <c r="F65098" s="6"/>
      <c r="G65098" s="6"/>
      <c r="H65098" s="6"/>
      <c r="I65098" s="6"/>
      <c r="J65098" s="6"/>
      <c r="K65098" s="6"/>
      <c r="L65098" s="6"/>
      <c r="M65098" s="6"/>
      <c r="N65098" s="6"/>
      <c r="O65098" s="6"/>
      <c r="P65098" s="6"/>
      <c r="Q65098" s="6"/>
      <c r="R65098" s="6"/>
      <c r="S65098" s="6"/>
      <c r="T65098" s="6"/>
      <c r="U65098" s="6"/>
      <c r="V65098" s="6"/>
      <c r="W65098" s="6"/>
      <c r="X65098" s="6"/>
      <c r="Y65098" s="6"/>
      <c r="Z65098" s="6"/>
      <c r="AA65098" s="6"/>
      <c r="AB65098" s="6"/>
      <c r="AC65098" s="6"/>
      <c r="AD65098" s="6"/>
      <c r="AE65098" s="6"/>
      <c r="AF65098" s="6"/>
      <c r="AG65098" s="6"/>
      <c r="AH65098" s="6"/>
      <c r="AI65098" s="6"/>
      <c r="AJ65098" s="6"/>
      <c r="AK65098" s="6"/>
      <c r="AL65098" s="6"/>
      <c r="AM65098" s="6"/>
    </row>
    <row r="65099" spans="2:39" ht="9.9499999999999993" hidden="1" customHeight="1" x14ac:dyDescent="0.2">
      <c r="B65099" s="6"/>
      <c r="C65099" s="6"/>
      <c r="D65099" s="6"/>
      <c r="E65099" s="6"/>
      <c r="F65099" s="6"/>
      <c r="G65099" s="6"/>
      <c r="H65099" s="6"/>
      <c r="I65099" s="6"/>
      <c r="J65099" s="6"/>
      <c r="K65099" s="6"/>
      <c r="L65099" s="6"/>
      <c r="M65099" s="6"/>
      <c r="N65099" s="6"/>
      <c r="O65099" s="6"/>
      <c r="P65099" s="6"/>
      <c r="Q65099" s="6"/>
      <c r="R65099" s="6"/>
      <c r="S65099" s="6"/>
      <c r="T65099" s="6"/>
      <c r="U65099" s="6"/>
      <c r="V65099" s="6"/>
      <c r="W65099" s="6"/>
      <c r="X65099" s="6"/>
      <c r="Y65099" s="6"/>
      <c r="Z65099" s="6"/>
      <c r="AA65099" s="6"/>
      <c r="AB65099" s="6"/>
      <c r="AC65099" s="6"/>
      <c r="AD65099" s="6"/>
      <c r="AE65099" s="6"/>
      <c r="AF65099" s="6"/>
      <c r="AG65099" s="6"/>
      <c r="AH65099" s="6"/>
      <c r="AI65099" s="6"/>
      <c r="AJ65099" s="6"/>
      <c r="AK65099" s="6"/>
      <c r="AL65099" s="6"/>
      <c r="AM65099" s="6"/>
    </row>
    <row r="65100" spans="2:39" ht="9.9499999999999993" hidden="1" customHeight="1" x14ac:dyDescent="0.2">
      <c r="B65100" s="6"/>
      <c r="C65100" s="6"/>
      <c r="D65100" s="6"/>
      <c r="E65100" s="6"/>
      <c r="F65100" s="6"/>
      <c r="G65100" s="6"/>
      <c r="H65100" s="6"/>
      <c r="I65100" s="6"/>
      <c r="J65100" s="6"/>
      <c r="K65100" s="6"/>
      <c r="L65100" s="6"/>
      <c r="M65100" s="6"/>
      <c r="N65100" s="6"/>
      <c r="O65100" s="6"/>
      <c r="P65100" s="6"/>
      <c r="Q65100" s="6"/>
      <c r="R65100" s="6"/>
      <c r="S65100" s="6"/>
      <c r="T65100" s="6"/>
      <c r="U65100" s="6"/>
      <c r="V65100" s="6"/>
      <c r="W65100" s="6"/>
      <c r="X65100" s="6"/>
      <c r="Y65100" s="6"/>
      <c r="Z65100" s="6"/>
      <c r="AA65100" s="6"/>
      <c r="AB65100" s="6"/>
      <c r="AC65100" s="6"/>
      <c r="AD65100" s="6"/>
      <c r="AE65100" s="6"/>
      <c r="AF65100" s="6"/>
      <c r="AG65100" s="6"/>
      <c r="AH65100" s="6"/>
      <c r="AI65100" s="6"/>
      <c r="AJ65100" s="6"/>
      <c r="AK65100" s="6"/>
      <c r="AL65100" s="6"/>
      <c r="AM65100" s="6"/>
    </row>
    <row r="65101" spans="2:39" ht="9.9499999999999993" hidden="1" customHeight="1" x14ac:dyDescent="0.2">
      <c r="B65101" s="6"/>
      <c r="C65101" s="6"/>
      <c r="D65101" s="6"/>
      <c r="E65101" s="6"/>
      <c r="F65101" s="6"/>
      <c r="G65101" s="6"/>
      <c r="H65101" s="6"/>
      <c r="I65101" s="6"/>
      <c r="J65101" s="6"/>
      <c r="K65101" s="6"/>
      <c r="L65101" s="6"/>
      <c r="M65101" s="6"/>
      <c r="N65101" s="6"/>
      <c r="O65101" s="6"/>
      <c r="P65101" s="6"/>
      <c r="Q65101" s="6"/>
      <c r="R65101" s="6"/>
      <c r="S65101" s="6"/>
      <c r="T65101" s="6"/>
      <c r="U65101" s="6"/>
      <c r="V65101" s="6"/>
      <c r="W65101" s="6"/>
      <c r="X65101" s="6"/>
      <c r="Y65101" s="6"/>
      <c r="Z65101" s="6"/>
      <c r="AA65101" s="6"/>
      <c r="AB65101" s="6"/>
      <c r="AC65101" s="6"/>
      <c r="AD65101" s="6"/>
      <c r="AE65101" s="6"/>
      <c r="AF65101" s="6"/>
      <c r="AG65101" s="6"/>
      <c r="AH65101" s="6"/>
      <c r="AI65101" s="6"/>
      <c r="AJ65101" s="6"/>
      <c r="AK65101" s="6"/>
      <c r="AL65101" s="6"/>
      <c r="AM65101" s="6"/>
    </row>
    <row r="65102" spans="2:39" ht="9.9499999999999993" hidden="1" customHeight="1" x14ac:dyDescent="0.2">
      <c r="B65102" s="6"/>
      <c r="C65102" s="6"/>
      <c r="D65102" s="6"/>
      <c r="E65102" s="6"/>
      <c r="F65102" s="6"/>
      <c r="G65102" s="6"/>
      <c r="H65102" s="6"/>
      <c r="I65102" s="6"/>
      <c r="J65102" s="6"/>
      <c r="K65102" s="6"/>
      <c r="L65102" s="6"/>
      <c r="M65102" s="6"/>
      <c r="N65102" s="6"/>
      <c r="O65102" s="6"/>
      <c r="P65102" s="6"/>
      <c r="Q65102" s="6"/>
      <c r="R65102" s="6"/>
      <c r="S65102" s="6"/>
      <c r="T65102" s="6"/>
      <c r="U65102" s="6"/>
      <c r="V65102" s="6"/>
      <c r="W65102" s="6"/>
      <c r="X65102" s="6"/>
      <c r="Y65102" s="6"/>
      <c r="Z65102" s="6"/>
      <c r="AA65102" s="6"/>
      <c r="AB65102" s="6"/>
      <c r="AC65102" s="6"/>
      <c r="AD65102" s="6"/>
      <c r="AE65102" s="6"/>
      <c r="AF65102" s="6"/>
      <c r="AG65102" s="6"/>
      <c r="AH65102" s="6"/>
      <c r="AI65102" s="6"/>
      <c r="AJ65102" s="6"/>
      <c r="AK65102" s="6"/>
      <c r="AL65102" s="6"/>
      <c r="AM65102" s="6"/>
    </row>
    <row r="65103" spans="2:39" ht="9.9499999999999993" hidden="1" customHeight="1" x14ac:dyDescent="0.2">
      <c r="B65103" s="6"/>
      <c r="C65103" s="6"/>
      <c r="D65103" s="6"/>
      <c r="E65103" s="6"/>
      <c r="F65103" s="6"/>
      <c r="G65103" s="6"/>
      <c r="H65103" s="6"/>
      <c r="I65103" s="6"/>
      <c r="J65103" s="6"/>
      <c r="K65103" s="6"/>
      <c r="L65103" s="6"/>
      <c r="M65103" s="6"/>
      <c r="N65103" s="6"/>
      <c r="O65103" s="6"/>
      <c r="P65103" s="6"/>
      <c r="Q65103" s="6"/>
      <c r="R65103" s="6"/>
      <c r="S65103" s="6"/>
      <c r="T65103" s="6"/>
      <c r="U65103" s="6"/>
      <c r="V65103" s="6"/>
      <c r="W65103" s="6"/>
      <c r="X65103" s="6"/>
      <c r="Y65103" s="6"/>
      <c r="Z65103" s="6"/>
      <c r="AA65103" s="6"/>
      <c r="AB65103" s="6"/>
      <c r="AC65103" s="6"/>
      <c r="AD65103" s="6"/>
      <c r="AE65103" s="6"/>
      <c r="AF65103" s="6"/>
      <c r="AG65103" s="6"/>
      <c r="AH65103" s="6"/>
      <c r="AI65103" s="6"/>
      <c r="AJ65103" s="6"/>
      <c r="AK65103" s="6"/>
      <c r="AL65103" s="6"/>
      <c r="AM65103" s="6"/>
    </row>
    <row r="65104" spans="2:39" ht="9.9499999999999993" hidden="1" customHeight="1" x14ac:dyDescent="0.2">
      <c r="B65104" s="6"/>
      <c r="C65104" s="6"/>
      <c r="D65104" s="6"/>
      <c r="E65104" s="6"/>
      <c r="F65104" s="6"/>
      <c r="G65104" s="6"/>
      <c r="H65104" s="6"/>
      <c r="I65104" s="6"/>
      <c r="J65104" s="6"/>
      <c r="K65104" s="6"/>
      <c r="L65104" s="6"/>
      <c r="M65104" s="6"/>
      <c r="N65104" s="6"/>
      <c r="O65104" s="6"/>
      <c r="P65104" s="6"/>
      <c r="Q65104" s="6"/>
      <c r="R65104" s="6"/>
      <c r="S65104" s="6"/>
      <c r="T65104" s="6"/>
      <c r="U65104" s="6"/>
      <c r="V65104" s="6"/>
      <c r="W65104" s="6"/>
      <c r="X65104" s="6"/>
      <c r="Y65104" s="6"/>
      <c r="Z65104" s="6"/>
      <c r="AA65104" s="6"/>
      <c r="AB65104" s="6"/>
      <c r="AC65104" s="6"/>
      <c r="AD65104" s="6"/>
      <c r="AE65104" s="6"/>
      <c r="AF65104" s="6"/>
      <c r="AG65104" s="6"/>
      <c r="AH65104" s="6"/>
      <c r="AI65104" s="6"/>
      <c r="AJ65104" s="6"/>
      <c r="AK65104" s="6"/>
      <c r="AL65104" s="6"/>
      <c r="AM65104" s="6"/>
    </row>
    <row r="65105" spans="2:39" ht="9.9499999999999993" hidden="1" customHeight="1" x14ac:dyDescent="0.2">
      <c r="B65105" s="6"/>
      <c r="C65105" s="6"/>
      <c r="D65105" s="6"/>
      <c r="E65105" s="6"/>
      <c r="F65105" s="6"/>
      <c r="G65105" s="6"/>
      <c r="H65105" s="6"/>
      <c r="I65105" s="6"/>
      <c r="J65105" s="6"/>
      <c r="K65105" s="6"/>
      <c r="L65105" s="6"/>
      <c r="M65105" s="6"/>
      <c r="N65105" s="6"/>
      <c r="O65105" s="6"/>
      <c r="P65105" s="6"/>
      <c r="Q65105" s="6"/>
      <c r="R65105" s="6"/>
      <c r="S65105" s="6"/>
      <c r="T65105" s="6"/>
      <c r="U65105" s="6"/>
      <c r="V65105" s="6"/>
      <c r="W65105" s="6"/>
      <c r="X65105" s="6"/>
      <c r="Y65105" s="6"/>
      <c r="Z65105" s="6"/>
      <c r="AA65105" s="6"/>
      <c r="AB65105" s="6"/>
      <c r="AC65105" s="6"/>
      <c r="AD65105" s="6"/>
      <c r="AE65105" s="6"/>
      <c r="AF65105" s="6"/>
      <c r="AG65105" s="6"/>
      <c r="AH65105" s="6"/>
      <c r="AI65105" s="6"/>
      <c r="AJ65105" s="6"/>
      <c r="AK65105" s="6"/>
      <c r="AL65105" s="6"/>
      <c r="AM65105" s="6"/>
    </row>
    <row r="65106" spans="2:39" ht="9.9499999999999993" hidden="1" customHeight="1" x14ac:dyDescent="0.2">
      <c r="B65106" s="6"/>
      <c r="C65106" s="6"/>
      <c r="D65106" s="6"/>
      <c r="E65106" s="6"/>
      <c r="F65106" s="6"/>
      <c r="G65106" s="6"/>
      <c r="H65106" s="6"/>
      <c r="I65106" s="6"/>
      <c r="J65106" s="6"/>
      <c r="K65106" s="6"/>
      <c r="L65106" s="6"/>
      <c r="M65106" s="6"/>
      <c r="N65106" s="6"/>
      <c r="O65106" s="6"/>
      <c r="P65106" s="6"/>
      <c r="Q65106" s="6"/>
      <c r="R65106" s="6"/>
      <c r="S65106" s="6"/>
      <c r="T65106" s="6"/>
      <c r="U65106" s="6"/>
      <c r="V65106" s="6"/>
      <c r="W65106" s="6"/>
      <c r="X65106" s="6"/>
      <c r="Y65106" s="6"/>
      <c r="Z65106" s="6"/>
      <c r="AA65106" s="6"/>
      <c r="AB65106" s="6"/>
      <c r="AC65106" s="6"/>
      <c r="AD65106" s="6"/>
      <c r="AE65106" s="6"/>
      <c r="AF65106" s="6"/>
      <c r="AG65106" s="6"/>
      <c r="AH65106" s="6"/>
      <c r="AI65106" s="6"/>
      <c r="AJ65106" s="6"/>
      <c r="AK65106" s="6"/>
      <c r="AL65106" s="6"/>
      <c r="AM65106" s="6"/>
    </row>
    <row r="65107" spans="2:39" ht="9.9499999999999993" hidden="1" customHeight="1" x14ac:dyDescent="0.2">
      <c r="B65107" s="6"/>
      <c r="C65107" s="6"/>
      <c r="D65107" s="6"/>
      <c r="E65107" s="6"/>
      <c r="F65107" s="6"/>
      <c r="G65107" s="6"/>
      <c r="H65107" s="6"/>
      <c r="I65107" s="6"/>
      <c r="J65107" s="6"/>
      <c r="K65107" s="6"/>
      <c r="L65107" s="6"/>
      <c r="M65107" s="6"/>
      <c r="N65107" s="6"/>
      <c r="O65107" s="6"/>
      <c r="P65107" s="6"/>
      <c r="Q65107" s="6"/>
      <c r="R65107" s="6"/>
      <c r="S65107" s="6"/>
      <c r="T65107" s="6"/>
      <c r="U65107" s="6"/>
      <c r="V65107" s="6"/>
      <c r="W65107" s="6"/>
      <c r="X65107" s="6"/>
      <c r="Y65107" s="6"/>
      <c r="Z65107" s="6"/>
      <c r="AA65107" s="6"/>
      <c r="AB65107" s="6"/>
      <c r="AC65107" s="6"/>
      <c r="AD65107" s="6"/>
      <c r="AE65107" s="6"/>
      <c r="AF65107" s="6"/>
      <c r="AG65107" s="6"/>
      <c r="AH65107" s="6"/>
      <c r="AI65107" s="6"/>
      <c r="AJ65107" s="6"/>
      <c r="AK65107" s="6"/>
      <c r="AL65107" s="6"/>
      <c r="AM65107" s="6"/>
    </row>
    <row r="65108" spans="2:39" ht="9.9499999999999993" hidden="1" customHeight="1" x14ac:dyDescent="0.2">
      <c r="B65108" s="6"/>
      <c r="C65108" s="6"/>
      <c r="D65108" s="6"/>
      <c r="E65108" s="6"/>
      <c r="F65108" s="6"/>
      <c r="G65108" s="6"/>
      <c r="H65108" s="6"/>
      <c r="I65108" s="6"/>
      <c r="J65108" s="6"/>
      <c r="K65108" s="6"/>
      <c r="L65108" s="6"/>
      <c r="M65108" s="6"/>
      <c r="N65108" s="6"/>
      <c r="O65108" s="6"/>
      <c r="P65108" s="6"/>
      <c r="Q65108" s="6"/>
      <c r="R65108" s="6"/>
      <c r="S65108" s="6"/>
      <c r="T65108" s="6"/>
      <c r="U65108" s="6"/>
      <c r="V65108" s="6"/>
      <c r="W65108" s="6"/>
      <c r="X65108" s="6"/>
      <c r="Y65108" s="6"/>
      <c r="Z65108" s="6"/>
      <c r="AA65108" s="6"/>
      <c r="AB65108" s="6"/>
      <c r="AC65108" s="6"/>
      <c r="AD65108" s="6"/>
      <c r="AE65108" s="6"/>
      <c r="AF65108" s="6"/>
      <c r="AG65108" s="6"/>
      <c r="AH65108" s="6"/>
      <c r="AI65108" s="6"/>
      <c r="AJ65108" s="6"/>
      <c r="AK65108" s="6"/>
      <c r="AL65108" s="6"/>
      <c r="AM65108" s="6"/>
    </row>
    <row r="65109" spans="2:39" ht="9.9499999999999993" hidden="1" customHeight="1" x14ac:dyDescent="0.2">
      <c r="B65109" s="6"/>
      <c r="C65109" s="6"/>
      <c r="D65109" s="6"/>
      <c r="E65109" s="6"/>
      <c r="F65109" s="6"/>
      <c r="G65109" s="6"/>
      <c r="H65109" s="6"/>
      <c r="I65109" s="6"/>
      <c r="J65109" s="6"/>
      <c r="K65109" s="6"/>
      <c r="L65109" s="6"/>
      <c r="M65109" s="6"/>
      <c r="N65109" s="6"/>
      <c r="O65109" s="6"/>
      <c r="P65109" s="6"/>
      <c r="Q65109" s="6"/>
      <c r="R65109" s="6"/>
      <c r="S65109" s="6"/>
      <c r="T65109" s="6"/>
      <c r="U65109" s="6"/>
      <c r="V65109" s="6"/>
      <c r="W65109" s="6"/>
      <c r="X65109" s="6"/>
      <c r="Y65109" s="6"/>
      <c r="Z65109" s="6"/>
      <c r="AA65109" s="6"/>
      <c r="AB65109" s="6"/>
      <c r="AC65109" s="6"/>
      <c r="AD65109" s="6"/>
      <c r="AE65109" s="6"/>
      <c r="AF65109" s="6"/>
      <c r="AG65109" s="6"/>
      <c r="AH65109" s="6"/>
      <c r="AI65109" s="6"/>
      <c r="AJ65109" s="6"/>
      <c r="AK65109" s="6"/>
      <c r="AL65109" s="6"/>
      <c r="AM65109" s="6"/>
    </row>
    <row r="65110" spans="2:39" ht="9.9499999999999993" hidden="1" customHeight="1" x14ac:dyDescent="0.2">
      <c r="B65110" s="6"/>
      <c r="C65110" s="6"/>
      <c r="D65110" s="6"/>
      <c r="E65110" s="6"/>
      <c r="F65110" s="6"/>
      <c r="G65110" s="6"/>
      <c r="H65110" s="6"/>
      <c r="I65110" s="6"/>
      <c r="J65110" s="6"/>
      <c r="K65110" s="6"/>
      <c r="L65110" s="6"/>
      <c r="M65110" s="6"/>
      <c r="N65110" s="6"/>
      <c r="O65110" s="6"/>
      <c r="P65110" s="6"/>
      <c r="Q65110" s="6"/>
      <c r="R65110" s="6"/>
      <c r="S65110" s="6"/>
      <c r="T65110" s="6"/>
      <c r="U65110" s="6"/>
      <c r="V65110" s="6"/>
      <c r="W65110" s="6"/>
      <c r="X65110" s="6"/>
      <c r="Y65110" s="6"/>
      <c r="Z65110" s="6"/>
      <c r="AA65110" s="6"/>
      <c r="AB65110" s="6"/>
      <c r="AC65110" s="6"/>
      <c r="AD65110" s="6"/>
      <c r="AE65110" s="6"/>
      <c r="AF65110" s="6"/>
      <c r="AG65110" s="6"/>
      <c r="AH65110" s="6"/>
      <c r="AI65110" s="6"/>
      <c r="AJ65110" s="6"/>
      <c r="AK65110" s="6"/>
      <c r="AL65110" s="6"/>
      <c r="AM65110" s="6"/>
    </row>
    <row r="65111" spans="2:39" ht="9.9499999999999993" hidden="1" customHeight="1" x14ac:dyDescent="0.2">
      <c r="B65111" s="6"/>
      <c r="C65111" s="6"/>
      <c r="D65111" s="6"/>
      <c r="E65111" s="6"/>
      <c r="F65111" s="6"/>
      <c r="G65111" s="6"/>
      <c r="H65111" s="6"/>
      <c r="I65111" s="6"/>
      <c r="J65111" s="6"/>
      <c r="K65111" s="6"/>
      <c r="L65111" s="6"/>
      <c r="M65111" s="6"/>
      <c r="N65111" s="6"/>
      <c r="O65111" s="6"/>
      <c r="P65111" s="6"/>
      <c r="Q65111" s="6"/>
      <c r="R65111" s="6"/>
      <c r="S65111" s="6"/>
      <c r="T65111" s="6"/>
      <c r="U65111" s="6"/>
      <c r="V65111" s="6"/>
      <c r="W65111" s="6"/>
      <c r="X65111" s="6"/>
      <c r="Y65111" s="6"/>
      <c r="Z65111" s="6"/>
      <c r="AA65111" s="6"/>
      <c r="AB65111" s="6"/>
      <c r="AC65111" s="6"/>
      <c r="AD65111" s="6"/>
      <c r="AE65111" s="6"/>
      <c r="AF65111" s="6"/>
      <c r="AG65111" s="6"/>
      <c r="AH65111" s="6"/>
      <c r="AI65111" s="6"/>
      <c r="AJ65111" s="6"/>
      <c r="AK65111" s="6"/>
      <c r="AL65111" s="6"/>
      <c r="AM65111" s="6"/>
    </row>
    <row r="65112" spans="2:39" ht="9.9499999999999993" hidden="1" customHeight="1" x14ac:dyDescent="0.2">
      <c r="B65112" s="6"/>
      <c r="C65112" s="6"/>
      <c r="D65112" s="6"/>
      <c r="E65112" s="6"/>
      <c r="F65112" s="6"/>
      <c r="G65112" s="6"/>
      <c r="H65112" s="6"/>
      <c r="I65112" s="6"/>
      <c r="J65112" s="6"/>
      <c r="K65112" s="6"/>
      <c r="L65112" s="6"/>
      <c r="M65112" s="6"/>
      <c r="N65112" s="6"/>
      <c r="O65112" s="6"/>
      <c r="P65112" s="6"/>
      <c r="Q65112" s="6"/>
      <c r="R65112" s="6"/>
      <c r="S65112" s="6"/>
      <c r="T65112" s="6"/>
      <c r="U65112" s="6"/>
      <c r="V65112" s="6"/>
      <c r="W65112" s="6"/>
      <c r="X65112" s="6"/>
      <c r="Y65112" s="6"/>
      <c r="Z65112" s="6"/>
      <c r="AA65112" s="6"/>
      <c r="AB65112" s="6"/>
      <c r="AC65112" s="6"/>
      <c r="AD65112" s="6"/>
      <c r="AE65112" s="6"/>
      <c r="AF65112" s="6"/>
      <c r="AG65112" s="6"/>
      <c r="AH65112" s="6"/>
      <c r="AI65112" s="6"/>
      <c r="AJ65112" s="6"/>
      <c r="AK65112" s="6"/>
      <c r="AL65112" s="6"/>
      <c r="AM65112" s="6"/>
    </row>
    <row r="65113" spans="2:39" ht="9.9499999999999993" hidden="1" customHeight="1" x14ac:dyDescent="0.2">
      <c r="B65113" s="6"/>
      <c r="C65113" s="6"/>
      <c r="D65113" s="6"/>
      <c r="E65113" s="6"/>
      <c r="F65113" s="6"/>
      <c r="G65113" s="6"/>
      <c r="H65113" s="6"/>
      <c r="I65113" s="6"/>
      <c r="J65113" s="6"/>
      <c r="K65113" s="6"/>
      <c r="L65113" s="6"/>
      <c r="M65113" s="6"/>
      <c r="N65113" s="6"/>
      <c r="O65113" s="6"/>
      <c r="P65113" s="6"/>
      <c r="Q65113" s="6"/>
      <c r="R65113" s="6"/>
      <c r="S65113" s="6"/>
      <c r="T65113" s="6"/>
      <c r="U65113" s="6"/>
      <c r="V65113" s="6"/>
      <c r="W65113" s="6"/>
      <c r="X65113" s="6"/>
      <c r="Y65113" s="6"/>
      <c r="Z65113" s="6"/>
      <c r="AA65113" s="6"/>
      <c r="AB65113" s="6"/>
      <c r="AC65113" s="6"/>
      <c r="AD65113" s="6"/>
      <c r="AE65113" s="6"/>
      <c r="AF65113" s="6"/>
      <c r="AG65113" s="6"/>
      <c r="AH65113" s="6"/>
      <c r="AI65113" s="6"/>
      <c r="AJ65113" s="6"/>
      <c r="AK65113" s="6"/>
      <c r="AL65113" s="6"/>
      <c r="AM65113" s="6"/>
    </row>
    <row r="65114" spans="2:39" ht="9.9499999999999993" hidden="1" customHeight="1" x14ac:dyDescent="0.2">
      <c r="B65114" s="6"/>
      <c r="C65114" s="6"/>
      <c r="D65114" s="6"/>
      <c r="E65114" s="6"/>
      <c r="F65114" s="6"/>
      <c r="G65114" s="6"/>
      <c r="H65114" s="6"/>
      <c r="I65114" s="6"/>
      <c r="J65114" s="6"/>
      <c r="K65114" s="6"/>
      <c r="L65114" s="6"/>
      <c r="M65114" s="6"/>
      <c r="N65114" s="6"/>
      <c r="O65114" s="6"/>
      <c r="P65114" s="6"/>
      <c r="Q65114" s="6"/>
      <c r="R65114" s="6"/>
      <c r="S65114" s="6"/>
      <c r="T65114" s="6"/>
      <c r="U65114" s="6"/>
      <c r="V65114" s="6"/>
      <c r="W65114" s="6"/>
      <c r="X65114" s="6"/>
      <c r="Y65114" s="6"/>
      <c r="Z65114" s="6"/>
      <c r="AA65114" s="6"/>
      <c r="AB65114" s="6"/>
      <c r="AC65114" s="6"/>
      <c r="AD65114" s="6"/>
      <c r="AE65114" s="6"/>
      <c r="AF65114" s="6"/>
      <c r="AG65114" s="6"/>
      <c r="AH65114" s="6"/>
      <c r="AI65114" s="6"/>
      <c r="AJ65114" s="6"/>
      <c r="AK65114" s="6"/>
      <c r="AL65114" s="6"/>
      <c r="AM65114" s="6"/>
    </row>
    <row r="65115" spans="2:39" ht="9.9499999999999993" hidden="1" customHeight="1" x14ac:dyDescent="0.2">
      <c r="B65115" s="6"/>
      <c r="C65115" s="6"/>
      <c r="D65115" s="6"/>
      <c r="E65115" s="6"/>
      <c r="F65115" s="6"/>
      <c r="G65115" s="6"/>
      <c r="H65115" s="6"/>
      <c r="I65115" s="6"/>
      <c r="J65115" s="6"/>
      <c r="K65115" s="6"/>
      <c r="L65115" s="6"/>
      <c r="M65115" s="6"/>
      <c r="N65115" s="6"/>
      <c r="O65115" s="6"/>
      <c r="P65115" s="6"/>
      <c r="Q65115" s="6"/>
      <c r="R65115" s="6"/>
      <c r="S65115" s="6"/>
      <c r="T65115" s="6"/>
      <c r="U65115" s="6"/>
      <c r="V65115" s="6"/>
      <c r="W65115" s="6"/>
      <c r="X65115" s="6"/>
      <c r="Y65115" s="6"/>
      <c r="Z65115" s="6"/>
      <c r="AA65115" s="6"/>
      <c r="AB65115" s="6"/>
      <c r="AC65115" s="6"/>
      <c r="AD65115" s="6"/>
      <c r="AE65115" s="6"/>
      <c r="AF65115" s="6"/>
      <c r="AG65115" s="6"/>
      <c r="AH65115" s="6"/>
      <c r="AI65115" s="6"/>
      <c r="AJ65115" s="6"/>
      <c r="AK65115" s="6"/>
      <c r="AL65115" s="6"/>
      <c r="AM65115" s="6"/>
    </row>
    <row r="65116" spans="2:39" ht="9.9499999999999993" hidden="1" customHeight="1" x14ac:dyDescent="0.2">
      <c r="B65116" s="6"/>
      <c r="C65116" s="6"/>
      <c r="D65116" s="6"/>
      <c r="E65116" s="6"/>
      <c r="F65116" s="6"/>
      <c r="G65116" s="6"/>
      <c r="H65116" s="6"/>
      <c r="I65116" s="6"/>
      <c r="J65116" s="6"/>
      <c r="K65116" s="6"/>
      <c r="L65116" s="6"/>
      <c r="M65116" s="6"/>
      <c r="N65116" s="6"/>
      <c r="O65116" s="6"/>
      <c r="P65116" s="6"/>
      <c r="Q65116" s="6"/>
      <c r="R65116" s="6"/>
      <c r="S65116" s="6"/>
      <c r="T65116" s="6"/>
      <c r="U65116" s="6"/>
      <c r="V65116" s="6"/>
      <c r="W65116" s="6"/>
      <c r="X65116" s="6"/>
      <c r="Y65116" s="6"/>
      <c r="Z65116" s="6"/>
      <c r="AA65116" s="6"/>
      <c r="AB65116" s="6"/>
      <c r="AC65116" s="6"/>
      <c r="AD65116" s="6"/>
      <c r="AE65116" s="6"/>
      <c r="AF65116" s="6"/>
      <c r="AG65116" s="6"/>
      <c r="AH65116" s="6"/>
      <c r="AI65116" s="6"/>
      <c r="AJ65116" s="6"/>
      <c r="AK65116" s="6"/>
      <c r="AL65116" s="6"/>
      <c r="AM65116" s="6"/>
    </row>
    <row r="65117" spans="2:39" ht="9.9499999999999993" hidden="1" customHeight="1" x14ac:dyDescent="0.2">
      <c r="B65117" s="6"/>
      <c r="C65117" s="6"/>
      <c r="D65117" s="6"/>
      <c r="E65117" s="6"/>
      <c r="F65117" s="6"/>
      <c r="G65117" s="6"/>
      <c r="H65117" s="6"/>
      <c r="I65117" s="6"/>
      <c r="J65117" s="6"/>
      <c r="K65117" s="6"/>
      <c r="L65117" s="6"/>
      <c r="M65117" s="6"/>
      <c r="N65117" s="6"/>
      <c r="O65117" s="6"/>
      <c r="P65117" s="6"/>
      <c r="Q65117" s="6"/>
      <c r="R65117" s="6"/>
      <c r="S65117" s="6"/>
      <c r="T65117" s="6"/>
      <c r="U65117" s="6"/>
      <c r="V65117" s="6"/>
      <c r="W65117" s="6"/>
      <c r="X65117" s="6"/>
      <c r="Y65117" s="6"/>
      <c r="Z65117" s="6"/>
      <c r="AA65117" s="6"/>
      <c r="AB65117" s="6"/>
      <c r="AC65117" s="6"/>
      <c r="AD65117" s="6"/>
      <c r="AE65117" s="6"/>
      <c r="AF65117" s="6"/>
      <c r="AG65117" s="6"/>
      <c r="AH65117" s="6"/>
      <c r="AI65117" s="6"/>
      <c r="AJ65117" s="6"/>
      <c r="AK65117" s="6"/>
      <c r="AL65117" s="6"/>
      <c r="AM65117" s="6"/>
    </row>
    <row r="65118" spans="2:39" ht="9.9499999999999993" hidden="1" customHeight="1" x14ac:dyDescent="0.2">
      <c r="B65118" s="6"/>
      <c r="C65118" s="6"/>
      <c r="D65118" s="6"/>
      <c r="E65118" s="6"/>
      <c r="F65118" s="6"/>
      <c r="G65118" s="6"/>
      <c r="H65118" s="6"/>
      <c r="I65118" s="6"/>
      <c r="J65118" s="6"/>
      <c r="K65118" s="6"/>
      <c r="L65118" s="6"/>
      <c r="M65118" s="6"/>
      <c r="N65118" s="6"/>
      <c r="O65118" s="6"/>
      <c r="P65118" s="6"/>
      <c r="Q65118" s="6"/>
      <c r="R65118" s="6"/>
      <c r="S65118" s="6"/>
      <c r="T65118" s="6"/>
      <c r="U65118" s="6"/>
      <c r="V65118" s="6"/>
      <c r="W65118" s="6"/>
      <c r="X65118" s="6"/>
      <c r="Y65118" s="6"/>
      <c r="Z65118" s="6"/>
      <c r="AA65118" s="6"/>
      <c r="AB65118" s="6"/>
      <c r="AC65118" s="6"/>
      <c r="AD65118" s="6"/>
      <c r="AE65118" s="6"/>
      <c r="AF65118" s="6"/>
      <c r="AG65118" s="6"/>
      <c r="AH65118" s="6"/>
      <c r="AI65118" s="6"/>
      <c r="AJ65118" s="6"/>
      <c r="AK65118" s="6"/>
      <c r="AL65118" s="6"/>
      <c r="AM65118" s="6"/>
    </row>
    <row r="65119" spans="2:39" ht="9.9499999999999993" hidden="1" customHeight="1" x14ac:dyDescent="0.2">
      <c r="B65119" s="6"/>
      <c r="C65119" s="6"/>
      <c r="D65119" s="6"/>
      <c r="E65119" s="6"/>
      <c r="F65119" s="6"/>
      <c r="G65119" s="6"/>
      <c r="H65119" s="6"/>
      <c r="I65119" s="6"/>
      <c r="J65119" s="6"/>
      <c r="K65119" s="6"/>
      <c r="L65119" s="6"/>
      <c r="M65119" s="6"/>
      <c r="N65119" s="6"/>
      <c r="O65119" s="6"/>
      <c r="P65119" s="6"/>
      <c r="Q65119" s="6"/>
      <c r="R65119" s="6"/>
      <c r="S65119" s="6"/>
      <c r="T65119" s="6"/>
      <c r="U65119" s="6"/>
      <c r="V65119" s="6"/>
      <c r="W65119" s="6"/>
      <c r="X65119" s="6"/>
      <c r="Y65119" s="6"/>
      <c r="Z65119" s="6"/>
      <c r="AA65119" s="6"/>
      <c r="AB65119" s="6"/>
      <c r="AC65119" s="6"/>
      <c r="AD65119" s="6"/>
      <c r="AE65119" s="6"/>
      <c r="AF65119" s="6"/>
      <c r="AG65119" s="6"/>
      <c r="AH65119" s="6"/>
      <c r="AI65119" s="6"/>
      <c r="AJ65119" s="6"/>
      <c r="AK65119" s="6"/>
      <c r="AL65119" s="6"/>
      <c r="AM65119" s="6"/>
    </row>
    <row r="65120" spans="2:39" ht="9.9499999999999993" hidden="1" customHeight="1" x14ac:dyDescent="0.2">
      <c r="B65120" s="6"/>
      <c r="C65120" s="6"/>
      <c r="D65120" s="6"/>
      <c r="E65120" s="6"/>
      <c r="F65120" s="6"/>
      <c r="G65120" s="6"/>
      <c r="H65120" s="6"/>
      <c r="I65120" s="6"/>
      <c r="J65120" s="6"/>
      <c r="K65120" s="6"/>
      <c r="L65120" s="6"/>
      <c r="M65120" s="6"/>
      <c r="N65120" s="6"/>
      <c r="O65120" s="6"/>
      <c r="P65120" s="6"/>
      <c r="Q65120" s="6"/>
      <c r="R65120" s="6"/>
      <c r="S65120" s="6"/>
      <c r="T65120" s="6"/>
      <c r="U65120" s="6"/>
      <c r="V65120" s="6"/>
      <c r="W65120" s="6"/>
      <c r="X65120" s="6"/>
      <c r="Y65120" s="6"/>
      <c r="Z65120" s="6"/>
      <c r="AA65120" s="6"/>
      <c r="AB65120" s="6"/>
      <c r="AC65120" s="6"/>
      <c r="AD65120" s="6"/>
      <c r="AE65120" s="6"/>
      <c r="AF65120" s="6"/>
      <c r="AG65120" s="6"/>
      <c r="AH65120" s="6"/>
      <c r="AI65120" s="6"/>
      <c r="AJ65120" s="6"/>
      <c r="AK65120" s="6"/>
      <c r="AL65120" s="6"/>
      <c r="AM65120" s="6"/>
    </row>
    <row r="65121" spans="2:39" ht="9.9499999999999993" hidden="1" customHeight="1" x14ac:dyDescent="0.2">
      <c r="B65121" s="6"/>
      <c r="C65121" s="6"/>
      <c r="D65121" s="6"/>
      <c r="E65121" s="6"/>
      <c r="F65121" s="6"/>
      <c r="G65121" s="6"/>
      <c r="H65121" s="6"/>
      <c r="I65121" s="6"/>
      <c r="J65121" s="6"/>
      <c r="K65121" s="6"/>
      <c r="L65121" s="6"/>
      <c r="M65121" s="6"/>
      <c r="N65121" s="6"/>
      <c r="O65121" s="6"/>
      <c r="P65121" s="6"/>
      <c r="Q65121" s="6"/>
      <c r="R65121" s="6"/>
      <c r="S65121" s="6"/>
      <c r="T65121" s="6"/>
      <c r="U65121" s="6"/>
      <c r="V65121" s="6"/>
      <c r="W65121" s="6"/>
      <c r="X65121" s="6"/>
      <c r="Y65121" s="6"/>
      <c r="Z65121" s="6"/>
      <c r="AA65121" s="6"/>
      <c r="AB65121" s="6"/>
      <c r="AC65121" s="6"/>
      <c r="AD65121" s="6"/>
      <c r="AE65121" s="6"/>
      <c r="AF65121" s="6"/>
      <c r="AG65121" s="6"/>
      <c r="AH65121" s="6"/>
      <c r="AI65121" s="6"/>
      <c r="AJ65121" s="6"/>
      <c r="AK65121" s="6"/>
      <c r="AL65121" s="6"/>
      <c r="AM65121" s="6"/>
    </row>
    <row r="65122" spans="2:39" ht="9.9499999999999993" hidden="1" customHeight="1" x14ac:dyDescent="0.2">
      <c r="B65122" s="6"/>
      <c r="C65122" s="6"/>
      <c r="D65122" s="6"/>
      <c r="E65122" s="6"/>
      <c r="F65122" s="6"/>
      <c r="G65122" s="6"/>
      <c r="H65122" s="6"/>
      <c r="I65122" s="6"/>
      <c r="J65122" s="6"/>
      <c r="K65122" s="6"/>
      <c r="L65122" s="6"/>
      <c r="M65122" s="6"/>
      <c r="N65122" s="6"/>
      <c r="O65122" s="6"/>
      <c r="P65122" s="6"/>
      <c r="Q65122" s="6"/>
      <c r="R65122" s="6"/>
      <c r="S65122" s="6"/>
      <c r="T65122" s="6"/>
      <c r="U65122" s="6"/>
      <c r="V65122" s="6"/>
      <c r="W65122" s="6"/>
      <c r="X65122" s="6"/>
      <c r="Y65122" s="6"/>
      <c r="Z65122" s="6"/>
      <c r="AA65122" s="6"/>
      <c r="AB65122" s="6"/>
      <c r="AC65122" s="6"/>
      <c r="AD65122" s="6"/>
      <c r="AE65122" s="6"/>
      <c r="AF65122" s="6"/>
      <c r="AG65122" s="6"/>
      <c r="AH65122" s="6"/>
      <c r="AI65122" s="6"/>
      <c r="AJ65122" s="6"/>
      <c r="AK65122" s="6"/>
      <c r="AL65122" s="6"/>
      <c r="AM65122" s="6"/>
    </row>
    <row r="65123" spans="2:39" ht="9.9499999999999993" hidden="1" customHeight="1" x14ac:dyDescent="0.2">
      <c r="B65123" s="6"/>
      <c r="C65123" s="6"/>
      <c r="D65123" s="6"/>
      <c r="E65123" s="6"/>
      <c r="F65123" s="6"/>
      <c r="G65123" s="6"/>
      <c r="H65123" s="6"/>
      <c r="I65123" s="6"/>
      <c r="J65123" s="6"/>
      <c r="K65123" s="6"/>
      <c r="L65123" s="6"/>
      <c r="M65123" s="6"/>
      <c r="N65123" s="6"/>
      <c r="O65123" s="6"/>
      <c r="P65123" s="6"/>
      <c r="Q65123" s="6"/>
      <c r="R65123" s="6"/>
      <c r="S65123" s="6"/>
      <c r="T65123" s="6"/>
      <c r="U65123" s="6"/>
      <c r="V65123" s="6"/>
      <c r="W65123" s="6"/>
      <c r="X65123" s="6"/>
      <c r="Y65123" s="6"/>
      <c r="Z65123" s="6"/>
      <c r="AA65123" s="6"/>
      <c r="AB65123" s="6"/>
      <c r="AC65123" s="6"/>
      <c r="AD65123" s="6"/>
      <c r="AE65123" s="6"/>
      <c r="AF65123" s="6"/>
      <c r="AG65123" s="6"/>
      <c r="AH65123" s="6"/>
      <c r="AI65123" s="6"/>
      <c r="AJ65123" s="6"/>
      <c r="AK65123" s="6"/>
      <c r="AL65123" s="6"/>
      <c r="AM65123" s="6"/>
    </row>
    <row r="65124" spans="2:39" ht="9.9499999999999993" hidden="1" customHeight="1" x14ac:dyDescent="0.2">
      <c r="B65124" s="6"/>
      <c r="C65124" s="6"/>
      <c r="D65124" s="6"/>
      <c r="E65124" s="6"/>
      <c r="F65124" s="6"/>
      <c r="G65124" s="6"/>
      <c r="H65124" s="6"/>
      <c r="I65124" s="6"/>
      <c r="J65124" s="6"/>
      <c r="K65124" s="6"/>
      <c r="L65124" s="6"/>
      <c r="M65124" s="6"/>
      <c r="N65124" s="6"/>
      <c r="O65124" s="6"/>
      <c r="P65124" s="6"/>
      <c r="Q65124" s="6"/>
      <c r="R65124" s="6"/>
      <c r="S65124" s="6"/>
      <c r="T65124" s="6"/>
      <c r="U65124" s="6"/>
      <c r="V65124" s="6"/>
      <c r="W65124" s="6"/>
      <c r="X65124" s="6"/>
      <c r="Y65124" s="6"/>
      <c r="Z65124" s="6"/>
      <c r="AA65124" s="6"/>
      <c r="AB65124" s="6"/>
      <c r="AC65124" s="6"/>
      <c r="AD65124" s="6"/>
      <c r="AE65124" s="6"/>
      <c r="AF65124" s="6"/>
      <c r="AG65124" s="6"/>
      <c r="AH65124" s="6"/>
      <c r="AI65124" s="6"/>
      <c r="AJ65124" s="6"/>
      <c r="AK65124" s="6"/>
      <c r="AL65124" s="6"/>
      <c r="AM65124" s="6"/>
    </row>
    <row r="65125" spans="2:39" ht="9.9499999999999993" hidden="1" customHeight="1" x14ac:dyDescent="0.2">
      <c r="B65125" s="6"/>
      <c r="C65125" s="6"/>
      <c r="D65125" s="6"/>
      <c r="E65125" s="6"/>
      <c r="F65125" s="6"/>
      <c r="G65125" s="6"/>
      <c r="H65125" s="6"/>
      <c r="I65125" s="6"/>
      <c r="J65125" s="6"/>
      <c r="K65125" s="6"/>
      <c r="L65125" s="6"/>
      <c r="M65125" s="6"/>
      <c r="N65125" s="6"/>
      <c r="O65125" s="6"/>
      <c r="P65125" s="6"/>
      <c r="Q65125" s="6"/>
      <c r="R65125" s="6"/>
      <c r="S65125" s="6"/>
      <c r="T65125" s="6"/>
      <c r="U65125" s="6"/>
      <c r="V65125" s="6"/>
      <c r="W65125" s="6"/>
      <c r="X65125" s="6"/>
      <c r="Y65125" s="6"/>
      <c r="Z65125" s="6"/>
      <c r="AA65125" s="6"/>
      <c r="AB65125" s="6"/>
      <c r="AC65125" s="6"/>
      <c r="AD65125" s="6"/>
      <c r="AE65125" s="6"/>
      <c r="AF65125" s="6"/>
      <c r="AG65125" s="6"/>
      <c r="AH65125" s="6"/>
      <c r="AI65125" s="6"/>
      <c r="AJ65125" s="6"/>
      <c r="AK65125" s="6"/>
      <c r="AL65125" s="6"/>
      <c r="AM65125" s="6"/>
    </row>
    <row r="65126" spans="2:39" ht="9.9499999999999993" hidden="1" customHeight="1" x14ac:dyDescent="0.2">
      <c r="B65126" s="6"/>
      <c r="C65126" s="6"/>
      <c r="D65126" s="6"/>
      <c r="E65126" s="6"/>
      <c r="F65126" s="6"/>
      <c r="G65126" s="6"/>
      <c r="H65126" s="6"/>
      <c r="I65126" s="6"/>
      <c r="J65126" s="6"/>
      <c r="K65126" s="6"/>
      <c r="L65126" s="6"/>
      <c r="M65126" s="6"/>
      <c r="N65126" s="6"/>
      <c r="O65126" s="6"/>
      <c r="P65126" s="6"/>
      <c r="Q65126" s="6"/>
      <c r="R65126" s="6"/>
      <c r="S65126" s="6"/>
      <c r="T65126" s="6"/>
      <c r="U65126" s="6"/>
      <c r="V65126" s="6"/>
      <c r="W65126" s="6"/>
      <c r="X65126" s="6"/>
      <c r="Y65126" s="6"/>
      <c r="Z65126" s="6"/>
      <c r="AA65126" s="6"/>
      <c r="AB65126" s="6"/>
      <c r="AC65126" s="6"/>
      <c r="AD65126" s="6"/>
      <c r="AE65126" s="6"/>
      <c r="AF65126" s="6"/>
      <c r="AG65126" s="6"/>
      <c r="AH65126" s="6"/>
      <c r="AI65126" s="6"/>
      <c r="AJ65126" s="6"/>
      <c r="AK65126" s="6"/>
      <c r="AL65126" s="6"/>
      <c r="AM65126" s="6"/>
    </row>
    <row r="65127" spans="2:39" ht="9.9499999999999993" hidden="1" customHeight="1" x14ac:dyDescent="0.2">
      <c r="B65127" s="6"/>
      <c r="C65127" s="6"/>
      <c r="D65127" s="6"/>
      <c r="E65127" s="6"/>
      <c r="F65127" s="6"/>
      <c r="G65127" s="6"/>
      <c r="H65127" s="6"/>
      <c r="I65127" s="6"/>
      <c r="J65127" s="6"/>
      <c r="K65127" s="6"/>
      <c r="L65127" s="6"/>
      <c r="M65127" s="6"/>
      <c r="N65127" s="6"/>
      <c r="O65127" s="6"/>
      <c r="P65127" s="6"/>
      <c r="Q65127" s="6"/>
      <c r="R65127" s="6"/>
      <c r="S65127" s="6"/>
      <c r="T65127" s="6"/>
      <c r="U65127" s="6"/>
      <c r="V65127" s="6"/>
      <c r="W65127" s="6"/>
      <c r="X65127" s="6"/>
      <c r="Y65127" s="6"/>
      <c r="Z65127" s="6"/>
      <c r="AA65127" s="6"/>
      <c r="AB65127" s="6"/>
      <c r="AC65127" s="6"/>
      <c r="AD65127" s="6"/>
      <c r="AE65127" s="6"/>
      <c r="AF65127" s="6"/>
      <c r="AG65127" s="6"/>
      <c r="AH65127" s="6"/>
      <c r="AI65127" s="6"/>
      <c r="AJ65127" s="6"/>
      <c r="AK65127" s="6"/>
      <c r="AL65127" s="6"/>
      <c r="AM65127" s="6"/>
    </row>
    <row r="65128" spans="2:39" ht="9.9499999999999993" hidden="1" customHeight="1" x14ac:dyDescent="0.2">
      <c r="B65128" s="6"/>
      <c r="C65128" s="6"/>
      <c r="D65128" s="6"/>
      <c r="E65128" s="6"/>
      <c r="F65128" s="6"/>
      <c r="G65128" s="6"/>
      <c r="H65128" s="6"/>
      <c r="I65128" s="6"/>
      <c r="J65128" s="6"/>
      <c r="K65128" s="6"/>
      <c r="L65128" s="6"/>
      <c r="M65128" s="6"/>
      <c r="N65128" s="6"/>
      <c r="O65128" s="6"/>
      <c r="P65128" s="6"/>
      <c r="Q65128" s="6"/>
      <c r="R65128" s="6"/>
      <c r="S65128" s="6"/>
      <c r="T65128" s="6"/>
      <c r="U65128" s="6"/>
      <c r="V65128" s="6"/>
      <c r="W65128" s="6"/>
      <c r="X65128" s="6"/>
      <c r="Y65128" s="6"/>
      <c r="Z65128" s="6"/>
      <c r="AA65128" s="6"/>
      <c r="AB65128" s="6"/>
      <c r="AC65128" s="6"/>
      <c r="AD65128" s="6"/>
      <c r="AE65128" s="6"/>
      <c r="AF65128" s="6"/>
      <c r="AG65128" s="6"/>
      <c r="AH65128" s="6"/>
      <c r="AI65128" s="6"/>
      <c r="AJ65128" s="6"/>
      <c r="AK65128" s="6"/>
      <c r="AL65128" s="6"/>
      <c r="AM65128" s="6"/>
    </row>
    <row r="65129" spans="2:39" ht="9.9499999999999993" hidden="1" customHeight="1" x14ac:dyDescent="0.2">
      <c r="B65129" s="6"/>
      <c r="C65129" s="6"/>
      <c r="D65129" s="6"/>
      <c r="E65129" s="6"/>
      <c r="F65129" s="6"/>
      <c r="G65129" s="6"/>
      <c r="H65129" s="6"/>
      <c r="I65129" s="6"/>
      <c r="J65129" s="6"/>
      <c r="K65129" s="6"/>
      <c r="L65129" s="6"/>
      <c r="M65129" s="6"/>
      <c r="N65129" s="6"/>
      <c r="O65129" s="6"/>
      <c r="P65129" s="6"/>
      <c r="Q65129" s="6"/>
      <c r="R65129" s="6"/>
      <c r="S65129" s="6"/>
      <c r="T65129" s="6"/>
      <c r="U65129" s="6"/>
      <c r="V65129" s="6"/>
      <c r="W65129" s="6"/>
      <c r="X65129" s="6"/>
      <c r="Y65129" s="6"/>
      <c r="Z65129" s="6"/>
      <c r="AA65129" s="6"/>
      <c r="AB65129" s="6"/>
      <c r="AC65129" s="6"/>
      <c r="AD65129" s="6"/>
      <c r="AE65129" s="6"/>
      <c r="AF65129" s="6"/>
      <c r="AG65129" s="6"/>
      <c r="AH65129" s="6"/>
      <c r="AI65129" s="6"/>
      <c r="AJ65129" s="6"/>
      <c r="AK65129" s="6"/>
      <c r="AL65129" s="6"/>
      <c r="AM65129" s="6"/>
    </row>
    <row r="65130" spans="2:39" ht="9.9499999999999993" hidden="1" customHeight="1" x14ac:dyDescent="0.2">
      <c r="B65130" s="6"/>
      <c r="C65130" s="6"/>
      <c r="D65130" s="6"/>
      <c r="E65130" s="6"/>
      <c r="F65130" s="6"/>
      <c r="G65130" s="6"/>
      <c r="H65130" s="6"/>
      <c r="I65130" s="6"/>
      <c r="J65130" s="6"/>
      <c r="K65130" s="6"/>
      <c r="L65130" s="6"/>
      <c r="M65130" s="6"/>
      <c r="N65130" s="6"/>
      <c r="O65130" s="6"/>
      <c r="P65130" s="6"/>
      <c r="Q65130" s="6"/>
      <c r="R65130" s="6"/>
      <c r="S65130" s="6"/>
      <c r="T65130" s="6"/>
      <c r="U65130" s="6"/>
      <c r="V65130" s="6"/>
      <c r="W65130" s="6"/>
      <c r="X65130" s="6"/>
      <c r="Y65130" s="6"/>
      <c r="Z65130" s="6"/>
      <c r="AA65130" s="6"/>
      <c r="AB65130" s="6"/>
      <c r="AC65130" s="6"/>
      <c r="AD65130" s="6"/>
      <c r="AE65130" s="6"/>
      <c r="AF65130" s="6"/>
      <c r="AG65130" s="6"/>
      <c r="AH65130" s="6"/>
      <c r="AI65130" s="6"/>
      <c r="AJ65130" s="6"/>
      <c r="AK65130" s="6"/>
      <c r="AL65130" s="6"/>
      <c r="AM65130" s="6"/>
    </row>
    <row r="65131" spans="2:39" ht="9.9499999999999993" hidden="1" customHeight="1" x14ac:dyDescent="0.2">
      <c r="B65131" s="6"/>
      <c r="C65131" s="6"/>
      <c r="D65131" s="6"/>
      <c r="E65131" s="6"/>
      <c r="F65131" s="6"/>
      <c r="G65131" s="6"/>
      <c r="H65131" s="6"/>
      <c r="I65131" s="6"/>
      <c r="J65131" s="6"/>
      <c r="K65131" s="6"/>
      <c r="L65131" s="6"/>
      <c r="M65131" s="6"/>
      <c r="N65131" s="6"/>
      <c r="O65131" s="6"/>
      <c r="P65131" s="6"/>
      <c r="Q65131" s="6"/>
      <c r="R65131" s="6"/>
      <c r="S65131" s="6"/>
      <c r="T65131" s="6"/>
      <c r="U65131" s="6"/>
      <c r="V65131" s="6"/>
      <c r="W65131" s="6"/>
      <c r="X65131" s="6"/>
      <c r="Y65131" s="6"/>
      <c r="Z65131" s="6"/>
      <c r="AA65131" s="6"/>
      <c r="AB65131" s="6"/>
      <c r="AC65131" s="6"/>
      <c r="AD65131" s="6"/>
      <c r="AE65131" s="6"/>
      <c r="AF65131" s="6"/>
      <c r="AG65131" s="6"/>
      <c r="AH65131" s="6"/>
      <c r="AI65131" s="6"/>
      <c r="AJ65131" s="6"/>
      <c r="AK65131" s="6"/>
      <c r="AL65131" s="6"/>
      <c r="AM65131" s="6"/>
    </row>
    <row r="65132" spans="2:39" ht="9.9499999999999993" hidden="1" customHeight="1" x14ac:dyDescent="0.2">
      <c r="B65132" s="6"/>
      <c r="C65132" s="6"/>
      <c r="D65132" s="6"/>
      <c r="E65132" s="6"/>
      <c r="F65132" s="6"/>
      <c r="G65132" s="6"/>
      <c r="H65132" s="6"/>
      <c r="I65132" s="6"/>
      <c r="J65132" s="6"/>
      <c r="K65132" s="6"/>
      <c r="L65132" s="6"/>
      <c r="M65132" s="6"/>
      <c r="N65132" s="6"/>
      <c r="O65132" s="6"/>
      <c r="P65132" s="6"/>
      <c r="Q65132" s="6"/>
      <c r="R65132" s="6"/>
      <c r="S65132" s="6"/>
      <c r="T65132" s="6"/>
      <c r="U65132" s="6"/>
      <c r="V65132" s="6"/>
      <c r="W65132" s="6"/>
      <c r="X65132" s="6"/>
      <c r="Y65132" s="6"/>
      <c r="Z65132" s="6"/>
      <c r="AA65132" s="6"/>
      <c r="AB65132" s="6"/>
      <c r="AC65132" s="6"/>
      <c r="AD65132" s="6"/>
      <c r="AE65132" s="6"/>
      <c r="AF65132" s="6"/>
      <c r="AG65132" s="6"/>
      <c r="AH65132" s="6"/>
      <c r="AI65132" s="6"/>
      <c r="AJ65132" s="6"/>
      <c r="AK65132" s="6"/>
      <c r="AL65132" s="6"/>
      <c r="AM65132" s="6"/>
    </row>
    <row r="65133" spans="2:39" ht="9.9499999999999993" hidden="1" customHeight="1" x14ac:dyDescent="0.2">
      <c r="B65133" s="6"/>
      <c r="C65133" s="6"/>
      <c r="D65133" s="6"/>
      <c r="E65133" s="6"/>
      <c r="F65133" s="6"/>
      <c r="G65133" s="6"/>
      <c r="H65133" s="6"/>
      <c r="I65133" s="6"/>
      <c r="J65133" s="6"/>
      <c r="K65133" s="6"/>
      <c r="L65133" s="6"/>
      <c r="M65133" s="6"/>
      <c r="N65133" s="6"/>
      <c r="O65133" s="6"/>
      <c r="P65133" s="6"/>
      <c r="Q65133" s="6"/>
      <c r="R65133" s="6"/>
      <c r="S65133" s="6"/>
      <c r="T65133" s="6"/>
      <c r="U65133" s="6"/>
      <c r="V65133" s="6"/>
      <c r="W65133" s="6"/>
      <c r="X65133" s="6"/>
      <c r="Y65133" s="6"/>
      <c r="Z65133" s="6"/>
      <c r="AA65133" s="6"/>
      <c r="AB65133" s="6"/>
      <c r="AC65133" s="6"/>
      <c r="AD65133" s="6"/>
      <c r="AE65133" s="6"/>
      <c r="AF65133" s="6"/>
      <c r="AG65133" s="6"/>
      <c r="AH65133" s="6"/>
      <c r="AI65133" s="6"/>
      <c r="AJ65133" s="6"/>
      <c r="AK65133" s="6"/>
      <c r="AL65133" s="6"/>
      <c r="AM65133" s="6"/>
    </row>
    <row r="65134" spans="2:39" ht="9.9499999999999993" hidden="1" customHeight="1" x14ac:dyDescent="0.2">
      <c r="B65134" s="6"/>
      <c r="C65134" s="6"/>
      <c r="D65134" s="6"/>
      <c r="E65134" s="6"/>
      <c r="F65134" s="6"/>
      <c r="G65134" s="6"/>
      <c r="H65134" s="6"/>
      <c r="I65134" s="6"/>
      <c r="J65134" s="6"/>
      <c r="K65134" s="6"/>
      <c r="L65134" s="6"/>
      <c r="M65134" s="6"/>
      <c r="N65134" s="6"/>
      <c r="O65134" s="6"/>
      <c r="P65134" s="6"/>
      <c r="Q65134" s="6"/>
      <c r="R65134" s="6"/>
      <c r="S65134" s="6"/>
      <c r="T65134" s="6"/>
      <c r="U65134" s="6"/>
      <c r="V65134" s="6"/>
      <c r="W65134" s="6"/>
      <c r="X65134" s="6"/>
      <c r="Y65134" s="6"/>
      <c r="Z65134" s="6"/>
      <c r="AA65134" s="6"/>
      <c r="AB65134" s="6"/>
      <c r="AC65134" s="6"/>
      <c r="AD65134" s="6"/>
      <c r="AE65134" s="6"/>
      <c r="AF65134" s="6"/>
      <c r="AG65134" s="6"/>
      <c r="AH65134" s="6"/>
      <c r="AI65134" s="6"/>
      <c r="AJ65134" s="6"/>
      <c r="AK65134" s="6"/>
      <c r="AL65134" s="6"/>
      <c r="AM65134" s="6"/>
    </row>
    <row r="65135" spans="2:39" ht="9.9499999999999993" hidden="1" customHeight="1" x14ac:dyDescent="0.2">
      <c r="B65135" s="6"/>
      <c r="C65135" s="6"/>
      <c r="D65135" s="6"/>
      <c r="E65135" s="6"/>
      <c r="F65135" s="6"/>
      <c r="G65135" s="6"/>
      <c r="H65135" s="6"/>
      <c r="I65135" s="6"/>
      <c r="J65135" s="6"/>
      <c r="K65135" s="6"/>
      <c r="L65135" s="6"/>
      <c r="M65135" s="6"/>
      <c r="N65135" s="6"/>
      <c r="O65135" s="6"/>
      <c r="P65135" s="6"/>
      <c r="Q65135" s="6"/>
      <c r="R65135" s="6"/>
      <c r="S65135" s="6"/>
      <c r="T65135" s="6"/>
      <c r="U65135" s="6"/>
      <c r="V65135" s="6"/>
      <c r="W65135" s="6"/>
      <c r="X65135" s="6"/>
      <c r="Y65135" s="6"/>
      <c r="Z65135" s="6"/>
      <c r="AA65135" s="6"/>
      <c r="AB65135" s="6"/>
      <c r="AC65135" s="6"/>
      <c r="AD65135" s="6"/>
      <c r="AE65135" s="6"/>
      <c r="AF65135" s="6"/>
      <c r="AG65135" s="6"/>
      <c r="AH65135" s="6"/>
      <c r="AI65135" s="6"/>
      <c r="AJ65135" s="6"/>
      <c r="AK65135" s="6"/>
      <c r="AL65135" s="6"/>
      <c r="AM65135" s="6"/>
    </row>
    <row r="65136" spans="2:39" ht="9.9499999999999993" hidden="1" customHeight="1" x14ac:dyDescent="0.2">
      <c r="B65136" s="6"/>
      <c r="C65136" s="6"/>
      <c r="D65136" s="6"/>
      <c r="E65136" s="6"/>
      <c r="F65136" s="6"/>
      <c r="G65136" s="6"/>
      <c r="H65136" s="6"/>
      <c r="I65136" s="6"/>
      <c r="J65136" s="6"/>
      <c r="K65136" s="6"/>
      <c r="L65136" s="6"/>
      <c r="M65136" s="6"/>
      <c r="N65136" s="6"/>
      <c r="O65136" s="6"/>
      <c r="P65136" s="6"/>
      <c r="Q65136" s="6"/>
      <c r="R65136" s="6"/>
      <c r="S65136" s="6"/>
      <c r="T65136" s="6"/>
      <c r="U65136" s="6"/>
      <c r="V65136" s="6"/>
      <c r="W65136" s="6"/>
      <c r="X65136" s="6"/>
      <c r="Y65136" s="6"/>
      <c r="Z65136" s="6"/>
      <c r="AA65136" s="6"/>
      <c r="AB65136" s="6"/>
      <c r="AC65136" s="6"/>
      <c r="AD65136" s="6"/>
      <c r="AE65136" s="6"/>
      <c r="AF65136" s="6"/>
      <c r="AG65136" s="6"/>
      <c r="AH65136" s="6"/>
      <c r="AI65136" s="6"/>
      <c r="AJ65136" s="6"/>
      <c r="AK65136" s="6"/>
      <c r="AL65136" s="6"/>
      <c r="AM65136" s="6"/>
    </row>
    <row r="65137" spans="2:39" ht="9.9499999999999993" hidden="1" customHeight="1" x14ac:dyDescent="0.2">
      <c r="B65137" s="6"/>
      <c r="C65137" s="6"/>
      <c r="D65137" s="6"/>
      <c r="E65137" s="6"/>
      <c r="F65137" s="6"/>
      <c r="G65137" s="6"/>
      <c r="H65137" s="6"/>
      <c r="I65137" s="6"/>
      <c r="J65137" s="6"/>
      <c r="K65137" s="6"/>
      <c r="L65137" s="6"/>
      <c r="M65137" s="6"/>
      <c r="N65137" s="6"/>
      <c r="O65137" s="6"/>
      <c r="P65137" s="6"/>
      <c r="Q65137" s="6"/>
      <c r="R65137" s="6"/>
      <c r="S65137" s="6"/>
      <c r="T65137" s="6"/>
      <c r="U65137" s="6"/>
      <c r="V65137" s="6"/>
      <c r="W65137" s="6"/>
      <c r="X65137" s="6"/>
      <c r="Y65137" s="6"/>
      <c r="Z65137" s="6"/>
      <c r="AA65137" s="6"/>
      <c r="AB65137" s="6"/>
      <c r="AC65137" s="6"/>
      <c r="AD65137" s="6"/>
      <c r="AE65137" s="6"/>
      <c r="AF65137" s="6"/>
      <c r="AG65137" s="6"/>
      <c r="AH65137" s="6"/>
      <c r="AI65137" s="6"/>
      <c r="AJ65137" s="6"/>
      <c r="AK65137" s="6"/>
      <c r="AL65137" s="6"/>
      <c r="AM65137" s="6"/>
    </row>
    <row r="65138" spans="2:39" ht="9.9499999999999993" hidden="1" customHeight="1" x14ac:dyDescent="0.2">
      <c r="B65138" s="6"/>
      <c r="C65138" s="6"/>
      <c r="D65138" s="6"/>
      <c r="E65138" s="6"/>
      <c r="F65138" s="6"/>
      <c r="G65138" s="6"/>
      <c r="H65138" s="6"/>
      <c r="I65138" s="6"/>
      <c r="J65138" s="6"/>
      <c r="K65138" s="6"/>
      <c r="L65138" s="6"/>
      <c r="M65138" s="6"/>
      <c r="N65138" s="6"/>
      <c r="O65138" s="6"/>
      <c r="P65138" s="6"/>
      <c r="Q65138" s="6"/>
      <c r="R65138" s="6"/>
      <c r="S65138" s="6"/>
      <c r="T65138" s="6"/>
      <c r="U65138" s="6"/>
      <c r="V65138" s="6"/>
      <c r="W65138" s="6"/>
      <c r="X65138" s="6"/>
      <c r="Y65138" s="6"/>
      <c r="Z65138" s="6"/>
      <c r="AA65138" s="6"/>
      <c r="AB65138" s="6"/>
      <c r="AC65138" s="6"/>
      <c r="AD65138" s="6"/>
      <c r="AE65138" s="6"/>
      <c r="AF65138" s="6"/>
      <c r="AG65138" s="6"/>
      <c r="AH65138" s="6"/>
      <c r="AI65138" s="6"/>
      <c r="AJ65138" s="6"/>
      <c r="AK65138" s="6"/>
      <c r="AL65138" s="6"/>
      <c r="AM65138" s="6"/>
    </row>
    <row r="65139" spans="2:39" ht="9.9499999999999993" hidden="1" customHeight="1" x14ac:dyDescent="0.2">
      <c r="B65139" s="6"/>
      <c r="C65139" s="6"/>
      <c r="D65139" s="6"/>
      <c r="E65139" s="6"/>
      <c r="F65139" s="6"/>
      <c r="G65139" s="6"/>
      <c r="H65139" s="6"/>
      <c r="I65139" s="6"/>
      <c r="J65139" s="6"/>
      <c r="K65139" s="6"/>
      <c r="L65139" s="6"/>
      <c r="M65139" s="6"/>
      <c r="N65139" s="6"/>
      <c r="O65139" s="6"/>
      <c r="P65139" s="6"/>
      <c r="Q65139" s="6"/>
      <c r="R65139" s="6"/>
      <c r="S65139" s="6"/>
      <c r="T65139" s="6"/>
      <c r="U65139" s="6"/>
      <c r="V65139" s="6"/>
      <c r="W65139" s="6"/>
      <c r="X65139" s="6"/>
      <c r="Y65139" s="6"/>
      <c r="Z65139" s="6"/>
      <c r="AA65139" s="6"/>
      <c r="AB65139" s="6"/>
      <c r="AC65139" s="6"/>
      <c r="AD65139" s="6"/>
      <c r="AE65139" s="6"/>
      <c r="AF65139" s="6"/>
      <c r="AG65139" s="6"/>
      <c r="AH65139" s="6"/>
      <c r="AI65139" s="6"/>
      <c r="AJ65139" s="6"/>
      <c r="AK65139" s="6"/>
      <c r="AL65139" s="6"/>
      <c r="AM65139" s="6"/>
    </row>
    <row r="65140" spans="2:39" ht="9.9499999999999993" hidden="1" customHeight="1" x14ac:dyDescent="0.2">
      <c r="B65140" s="6"/>
      <c r="C65140" s="6"/>
      <c r="D65140" s="6"/>
      <c r="E65140" s="6"/>
      <c r="F65140" s="6"/>
      <c r="G65140" s="6"/>
      <c r="H65140" s="6"/>
      <c r="I65140" s="6"/>
      <c r="J65140" s="6"/>
      <c r="K65140" s="6"/>
      <c r="L65140" s="6"/>
      <c r="M65140" s="6"/>
      <c r="N65140" s="6"/>
      <c r="O65140" s="6"/>
      <c r="P65140" s="6"/>
      <c r="Q65140" s="6"/>
      <c r="R65140" s="6"/>
      <c r="S65140" s="6"/>
      <c r="T65140" s="6"/>
      <c r="U65140" s="6"/>
      <c r="V65140" s="6"/>
      <c r="W65140" s="6"/>
      <c r="X65140" s="6"/>
      <c r="Y65140" s="6"/>
      <c r="Z65140" s="6"/>
      <c r="AA65140" s="6"/>
      <c r="AB65140" s="6"/>
      <c r="AC65140" s="6"/>
      <c r="AD65140" s="6"/>
      <c r="AE65140" s="6"/>
      <c r="AF65140" s="6"/>
      <c r="AG65140" s="6"/>
      <c r="AH65140" s="6"/>
      <c r="AI65140" s="6"/>
      <c r="AJ65140" s="6"/>
      <c r="AK65140" s="6"/>
      <c r="AL65140" s="6"/>
      <c r="AM65140" s="6"/>
    </row>
    <row r="65141" spans="2:39" ht="9.9499999999999993" hidden="1" customHeight="1" x14ac:dyDescent="0.2">
      <c r="B65141" s="6"/>
      <c r="C65141" s="6"/>
      <c r="D65141" s="6"/>
      <c r="E65141" s="6"/>
      <c r="F65141" s="6"/>
      <c r="G65141" s="6"/>
      <c r="H65141" s="6"/>
      <c r="I65141" s="6"/>
      <c r="J65141" s="6"/>
      <c r="K65141" s="6"/>
      <c r="L65141" s="6"/>
      <c r="M65141" s="6"/>
      <c r="N65141" s="6"/>
      <c r="O65141" s="6"/>
      <c r="P65141" s="6"/>
      <c r="Q65141" s="6"/>
      <c r="R65141" s="6"/>
      <c r="S65141" s="6"/>
      <c r="T65141" s="6"/>
      <c r="U65141" s="6"/>
      <c r="V65141" s="6"/>
      <c r="W65141" s="6"/>
      <c r="X65141" s="6"/>
      <c r="Y65141" s="6"/>
      <c r="Z65141" s="6"/>
      <c r="AA65141" s="6"/>
      <c r="AB65141" s="6"/>
      <c r="AC65141" s="6"/>
      <c r="AD65141" s="6"/>
      <c r="AE65141" s="6"/>
      <c r="AF65141" s="6"/>
      <c r="AG65141" s="6"/>
      <c r="AH65141" s="6"/>
      <c r="AI65141" s="6"/>
      <c r="AJ65141" s="6"/>
      <c r="AK65141" s="6"/>
      <c r="AL65141" s="6"/>
      <c r="AM65141" s="6"/>
    </row>
    <row r="65142" spans="2:39" ht="9.9499999999999993" hidden="1" customHeight="1" x14ac:dyDescent="0.2">
      <c r="B65142" s="6"/>
      <c r="C65142" s="6"/>
      <c r="D65142" s="6"/>
      <c r="E65142" s="6"/>
      <c r="F65142" s="6"/>
      <c r="G65142" s="6"/>
      <c r="H65142" s="6"/>
      <c r="I65142" s="6"/>
      <c r="J65142" s="6"/>
      <c r="K65142" s="6"/>
      <c r="L65142" s="6"/>
      <c r="M65142" s="6"/>
      <c r="N65142" s="6"/>
      <c r="O65142" s="6"/>
      <c r="P65142" s="6"/>
      <c r="Q65142" s="6"/>
      <c r="R65142" s="6"/>
      <c r="S65142" s="6"/>
      <c r="T65142" s="6"/>
      <c r="U65142" s="6"/>
      <c r="V65142" s="6"/>
      <c r="W65142" s="6"/>
      <c r="X65142" s="6"/>
      <c r="Y65142" s="6"/>
      <c r="Z65142" s="6"/>
      <c r="AA65142" s="6"/>
      <c r="AB65142" s="6"/>
      <c r="AC65142" s="6"/>
      <c r="AD65142" s="6"/>
      <c r="AE65142" s="6"/>
      <c r="AF65142" s="6"/>
      <c r="AG65142" s="6"/>
      <c r="AH65142" s="6"/>
      <c r="AI65142" s="6"/>
      <c r="AJ65142" s="6"/>
      <c r="AK65142" s="6"/>
      <c r="AL65142" s="6"/>
      <c r="AM65142" s="6"/>
    </row>
    <row r="65143" spans="2:39" ht="9.9499999999999993" hidden="1" customHeight="1" x14ac:dyDescent="0.2">
      <c r="B65143" s="6"/>
      <c r="C65143" s="6"/>
      <c r="D65143" s="6"/>
      <c r="E65143" s="6"/>
      <c r="F65143" s="6"/>
      <c r="G65143" s="6"/>
      <c r="H65143" s="6"/>
      <c r="I65143" s="6"/>
      <c r="J65143" s="6"/>
      <c r="K65143" s="6"/>
      <c r="L65143" s="6"/>
      <c r="M65143" s="6"/>
      <c r="N65143" s="6"/>
      <c r="O65143" s="6"/>
      <c r="P65143" s="6"/>
      <c r="Q65143" s="6"/>
      <c r="R65143" s="6"/>
      <c r="S65143" s="6"/>
      <c r="T65143" s="6"/>
      <c r="U65143" s="6"/>
      <c r="V65143" s="6"/>
      <c r="W65143" s="6"/>
      <c r="X65143" s="6"/>
      <c r="Y65143" s="6"/>
      <c r="Z65143" s="6"/>
      <c r="AA65143" s="6"/>
      <c r="AB65143" s="6"/>
      <c r="AC65143" s="6"/>
      <c r="AD65143" s="6"/>
      <c r="AE65143" s="6"/>
      <c r="AF65143" s="6"/>
      <c r="AG65143" s="6"/>
      <c r="AH65143" s="6"/>
      <c r="AI65143" s="6"/>
      <c r="AJ65143" s="6"/>
      <c r="AK65143" s="6"/>
      <c r="AL65143" s="6"/>
      <c r="AM65143" s="6"/>
    </row>
    <row r="65144" spans="2:39" ht="9.9499999999999993" hidden="1" customHeight="1" x14ac:dyDescent="0.2">
      <c r="B65144" s="6"/>
      <c r="C65144" s="6"/>
      <c r="D65144" s="6"/>
      <c r="E65144" s="6"/>
      <c r="F65144" s="6"/>
      <c r="G65144" s="6"/>
      <c r="H65144" s="6"/>
      <c r="I65144" s="6"/>
      <c r="J65144" s="6"/>
      <c r="K65144" s="6"/>
      <c r="L65144" s="6"/>
      <c r="M65144" s="6"/>
      <c r="N65144" s="6"/>
      <c r="O65144" s="6"/>
      <c r="P65144" s="6"/>
      <c r="Q65144" s="6"/>
      <c r="R65144" s="6"/>
      <c r="S65144" s="6"/>
      <c r="T65144" s="6"/>
      <c r="U65144" s="6"/>
      <c r="V65144" s="6"/>
      <c r="W65144" s="6"/>
      <c r="X65144" s="6"/>
      <c r="Y65144" s="6"/>
      <c r="Z65144" s="6"/>
      <c r="AA65144" s="6"/>
      <c r="AB65144" s="6"/>
      <c r="AC65144" s="6"/>
      <c r="AD65144" s="6"/>
      <c r="AE65144" s="6"/>
      <c r="AF65144" s="6"/>
      <c r="AG65144" s="6"/>
      <c r="AH65144" s="6"/>
      <c r="AI65144" s="6"/>
      <c r="AJ65144" s="6"/>
      <c r="AK65144" s="6"/>
      <c r="AL65144" s="6"/>
      <c r="AM65144" s="6"/>
    </row>
    <row r="65145" spans="2:39" ht="9.9499999999999993" hidden="1" customHeight="1" x14ac:dyDescent="0.2">
      <c r="B65145" s="6"/>
      <c r="C65145" s="6"/>
      <c r="D65145" s="6"/>
      <c r="E65145" s="6"/>
      <c r="F65145" s="6"/>
      <c r="G65145" s="6"/>
      <c r="H65145" s="6"/>
      <c r="I65145" s="6"/>
      <c r="J65145" s="6"/>
      <c r="K65145" s="6"/>
      <c r="L65145" s="6"/>
      <c r="M65145" s="6"/>
      <c r="N65145" s="6"/>
      <c r="O65145" s="6"/>
      <c r="P65145" s="6"/>
      <c r="Q65145" s="6"/>
      <c r="R65145" s="6"/>
      <c r="S65145" s="6"/>
      <c r="T65145" s="6"/>
      <c r="U65145" s="6"/>
      <c r="V65145" s="6"/>
      <c r="W65145" s="6"/>
      <c r="X65145" s="6"/>
      <c r="Y65145" s="6"/>
      <c r="Z65145" s="6"/>
      <c r="AA65145" s="6"/>
      <c r="AB65145" s="6"/>
      <c r="AC65145" s="6"/>
      <c r="AD65145" s="6"/>
      <c r="AE65145" s="6"/>
      <c r="AF65145" s="6"/>
      <c r="AG65145" s="6"/>
      <c r="AH65145" s="6"/>
      <c r="AI65145" s="6"/>
      <c r="AJ65145" s="6"/>
      <c r="AK65145" s="6"/>
      <c r="AL65145" s="6"/>
      <c r="AM65145" s="6"/>
    </row>
    <row r="65146" spans="2:39" ht="9.9499999999999993" hidden="1" customHeight="1" x14ac:dyDescent="0.2">
      <c r="B65146" s="6"/>
      <c r="C65146" s="6"/>
      <c r="D65146" s="6"/>
      <c r="E65146" s="6"/>
      <c r="F65146" s="6"/>
      <c r="G65146" s="6"/>
      <c r="H65146" s="6"/>
      <c r="I65146" s="6"/>
      <c r="J65146" s="6"/>
      <c r="K65146" s="6"/>
      <c r="L65146" s="6"/>
      <c r="M65146" s="6"/>
      <c r="N65146" s="6"/>
      <c r="O65146" s="6"/>
      <c r="P65146" s="6"/>
      <c r="Q65146" s="6"/>
      <c r="R65146" s="6"/>
      <c r="S65146" s="6"/>
      <c r="T65146" s="6"/>
      <c r="U65146" s="6"/>
      <c r="V65146" s="6"/>
      <c r="W65146" s="6"/>
      <c r="X65146" s="6"/>
      <c r="Y65146" s="6"/>
      <c r="Z65146" s="6"/>
      <c r="AA65146" s="6"/>
      <c r="AB65146" s="6"/>
      <c r="AC65146" s="6"/>
      <c r="AD65146" s="6"/>
      <c r="AE65146" s="6"/>
      <c r="AF65146" s="6"/>
      <c r="AG65146" s="6"/>
      <c r="AH65146" s="6"/>
      <c r="AI65146" s="6"/>
      <c r="AJ65146" s="6"/>
      <c r="AK65146" s="6"/>
      <c r="AL65146" s="6"/>
      <c r="AM65146" s="6"/>
    </row>
    <row r="65147" spans="2:39" ht="9.9499999999999993" hidden="1" customHeight="1" x14ac:dyDescent="0.2">
      <c r="B65147" s="6"/>
      <c r="C65147" s="6"/>
      <c r="D65147" s="6"/>
      <c r="E65147" s="6"/>
      <c r="F65147" s="6"/>
      <c r="G65147" s="6"/>
      <c r="H65147" s="6"/>
      <c r="I65147" s="6"/>
      <c r="J65147" s="6"/>
      <c r="K65147" s="6"/>
      <c r="L65147" s="6"/>
      <c r="M65147" s="6"/>
      <c r="N65147" s="6"/>
      <c r="O65147" s="6"/>
      <c r="P65147" s="6"/>
      <c r="Q65147" s="6"/>
      <c r="R65147" s="6"/>
      <c r="S65147" s="6"/>
      <c r="T65147" s="6"/>
      <c r="U65147" s="6"/>
      <c r="V65147" s="6"/>
      <c r="W65147" s="6"/>
      <c r="X65147" s="6"/>
      <c r="Y65147" s="6"/>
      <c r="Z65147" s="6"/>
      <c r="AA65147" s="6"/>
      <c r="AB65147" s="6"/>
      <c r="AC65147" s="6"/>
      <c r="AD65147" s="6"/>
      <c r="AE65147" s="6"/>
      <c r="AF65147" s="6"/>
      <c r="AG65147" s="6"/>
      <c r="AH65147" s="6"/>
      <c r="AI65147" s="6"/>
      <c r="AJ65147" s="6"/>
      <c r="AK65147" s="6"/>
      <c r="AL65147" s="6"/>
      <c r="AM65147" s="6"/>
    </row>
    <row r="65148" spans="2:39" ht="9.9499999999999993" hidden="1" customHeight="1" x14ac:dyDescent="0.2">
      <c r="B65148" s="6"/>
      <c r="C65148" s="6"/>
      <c r="D65148" s="6"/>
      <c r="E65148" s="6"/>
      <c r="F65148" s="6"/>
      <c r="G65148" s="6"/>
      <c r="H65148" s="6"/>
      <c r="I65148" s="6"/>
      <c r="J65148" s="6"/>
      <c r="K65148" s="6"/>
      <c r="L65148" s="6"/>
      <c r="M65148" s="6"/>
      <c r="N65148" s="6"/>
      <c r="O65148" s="6"/>
      <c r="P65148" s="6"/>
      <c r="Q65148" s="6"/>
      <c r="R65148" s="6"/>
      <c r="S65148" s="6"/>
      <c r="T65148" s="6"/>
      <c r="U65148" s="6"/>
      <c r="V65148" s="6"/>
      <c r="W65148" s="6"/>
      <c r="X65148" s="6"/>
      <c r="Y65148" s="6"/>
      <c r="Z65148" s="6"/>
      <c r="AA65148" s="6"/>
      <c r="AB65148" s="6"/>
      <c r="AC65148" s="6"/>
      <c r="AD65148" s="6"/>
      <c r="AE65148" s="6"/>
      <c r="AF65148" s="6"/>
      <c r="AG65148" s="6"/>
      <c r="AH65148" s="6"/>
      <c r="AI65148" s="6"/>
      <c r="AJ65148" s="6"/>
      <c r="AK65148" s="6"/>
      <c r="AL65148" s="6"/>
      <c r="AM65148" s="6"/>
    </row>
    <row r="65149" spans="2:39" ht="9.9499999999999993" hidden="1" customHeight="1" x14ac:dyDescent="0.2">
      <c r="B65149" s="6"/>
      <c r="C65149" s="6"/>
      <c r="D65149" s="6"/>
      <c r="E65149" s="6"/>
      <c r="F65149" s="6"/>
      <c r="G65149" s="6"/>
      <c r="H65149" s="6"/>
      <c r="I65149" s="6"/>
      <c r="J65149" s="6"/>
      <c r="K65149" s="6"/>
      <c r="L65149" s="6"/>
      <c r="M65149" s="6"/>
      <c r="N65149" s="6"/>
      <c r="O65149" s="6"/>
      <c r="P65149" s="6"/>
      <c r="Q65149" s="6"/>
      <c r="R65149" s="6"/>
      <c r="S65149" s="6"/>
      <c r="T65149" s="6"/>
      <c r="U65149" s="6"/>
      <c r="V65149" s="6"/>
      <c r="W65149" s="6"/>
      <c r="X65149" s="6"/>
      <c r="Y65149" s="6"/>
      <c r="Z65149" s="6"/>
      <c r="AA65149" s="6"/>
      <c r="AB65149" s="6"/>
      <c r="AC65149" s="6"/>
      <c r="AD65149" s="6"/>
      <c r="AE65149" s="6"/>
      <c r="AF65149" s="6"/>
      <c r="AG65149" s="6"/>
      <c r="AH65149" s="6"/>
      <c r="AI65149" s="6"/>
      <c r="AJ65149" s="6"/>
      <c r="AK65149" s="6"/>
      <c r="AL65149" s="6"/>
      <c r="AM65149" s="6"/>
    </row>
    <row r="65150" spans="2:39" ht="9.9499999999999993" hidden="1" customHeight="1" x14ac:dyDescent="0.2">
      <c r="B65150" s="6"/>
      <c r="C65150" s="6"/>
      <c r="D65150" s="6"/>
      <c r="E65150" s="6"/>
      <c r="F65150" s="6"/>
      <c r="G65150" s="6"/>
      <c r="H65150" s="6"/>
      <c r="I65150" s="6"/>
      <c r="J65150" s="6"/>
      <c r="K65150" s="6"/>
      <c r="L65150" s="6"/>
      <c r="M65150" s="6"/>
      <c r="N65150" s="6"/>
      <c r="O65150" s="6"/>
      <c r="P65150" s="6"/>
      <c r="Q65150" s="6"/>
      <c r="R65150" s="6"/>
      <c r="S65150" s="6"/>
      <c r="T65150" s="6"/>
      <c r="U65150" s="6"/>
      <c r="V65150" s="6"/>
      <c r="W65150" s="6"/>
      <c r="X65150" s="6"/>
      <c r="Y65150" s="6"/>
      <c r="Z65150" s="6"/>
      <c r="AA65150" s="6"/>
      <c r="AB65150" s="6"/>
      <c r="AC65150" s="6"/>
      <c r="AD65150" s="6"/>
      <c r="AE65150" s="6"/>
      <c r="AF65150" s="6"/>
      <c r="AG65150" s="6"/>
      <c r="AH65150" s="6"/>
      <c r="AI65150" s="6"/>
      <c r="AJ65150" s="6"/>
      <c r="AK65150" s="6"/>
      <c r="AL65150" s="6"/>
      <c r="AM65150" s="6"/>
    </row>
    <row r="65151" spans="2:39" ht="9.9499999999999993" hidden="1" customHeight="1" x14ac:dyDescent="0.2">
      <c r="B65151" s="6"/>
      <c r="C65151" s="6"/>
      <c r="D65151" s="6"/>
      <c r="E65151" s="6"/>
      <c r="F65151" s="6"/>
      <c r="G65151" s="6"/>
      <c r="H65151" s="6"/>
      <c r="I65151" s="6"/>
      <c r="J65151" s="6"/>
      <c r="K65151" s="6"/>
      <c r="L65151" s="6"/>
      <c r="M65151" s="6"/>
      <c r="N65151" s="6"/>
      <c r="O65151" s="6"/>
      <c r="P65151" s="6"/>
      <c r="Q65151" s="6"/>
      <c r="R65151" s="6"/>
      <c r="S65151" s="6"/>
      <c r="T65151" s="6"/>
      <c r="U65151" s="6"/>
      <c r="V65151" s="6"/>
      <c r="W65151" s="6"/>
      <c r="X65151" s="6"/>
      <c r="Y65151" s="6"/>
      <c r="Z65151" s="6"/>
      <c r="AA65151" s="6"/>
      <c r="AB65151" s="6"/>
      <c r="AC65151" s="6"/>
      <c r="AD65151" s="6"/>
      <c r="AE65151" s="6"/>
      <c r="AF65151" s="6"/>
      <c r="AG65151" s="6"/>
      <c r="AH65151" s="6"/>
      <c r="AI65151" s="6"/>
      <c r="AJ65151" s="6"/>
      <c r="AK65151" s="6"/>
      <c r="AL65151" s="6"/>
      <c r="AM65151" s="6"/>
    </row>
    <row r="65152" spans="2:39" ht="9.9499999999999993" hidden="1" customHeight="1" x14ac:dyDescent="0.2">
      <c r="B65152" s="6"/>
      <c r="C65152" s="6"/>
      <c r="D65152" s="6"/>
      <c r="E65152" s="6"/>
      <c r="F65152" s="6"/>
      <c r="G65152" s="6"/>
      <c r="H65152" s="6"/>
      <c r="I65152" s="6"/>
      <c r="J65152" s="6"/>
      <c r="K65152" s="6"/>
      <c r="L65152" s="6"/>
      <c r="M65152" s="6"/>
      <c r="N65152" s="6"/>
      <c r="O65152" s="6"/>
      <c r="P65152" s="6"/>
      <c r="Q65152" s="6"/>
      <c r="R65152" s="6"/>
      <c r="S65152" s="6"/>
      <c r="T65152" s="6"/>
      <c r="U65152" s="6"/>
      <c r="V65152" s="6"/>
      <c r="W65152" s="6"/>
      <c r="X65152" s="6"/>
      <c r="Y65152" s="6"/>
      <c r="Z65152" s="6"/>
      <c r="AA65152" s="6"/>
      <c r="AB65152" s="6"/>
      <c r="AC65152" s="6"/>
      <c r="AD65152" s="6"/>
      <c r="AE65152" s="6"/>
      <c r="AF65152" s="6"/>
      <c r="AG65152" s="6"/>
      <c r="AH65152" s="6"/>
      <c r="AI65152" s="6"/>
      <c r="AJ65152" s="6"/>
      <c r="AK65152" s="6"/>
      <c r="AL65152" s="6"/>
      <c r="AM65152" s="6"/>
    </row>
    <row r="65153" spans="2:39" ht="9.9499999999999993" hidden="1" customHeight="1" x14ac:dyDescent="0.2">
      <c r="B65153" s="6"/>
      <c r="C65153" s="6"/>
      <c r="D65153" s="6"/>
      <c r="E65153" s="6"/>
      <c r="F65153" s="6"/>
      <c r="G65153" s="6"/>
      <c r="H65153" s="6"/>
      <c r="I65153" s="6"/>
      <c r="J65153" s="6"/>
      <c r="K65153" s="6"/>
      <c r="L65153" s="6"/>
      <c r="M65153" s="6"/>
      <c r="N65153" s="6"/>
      <c r="O65153" s="6"/>
      <c r="P65153" s="6"/>
      <c r="Q65153" s="6"/>
      <c r="R65153" s="6"/>
      <c r="S65153" s="6"/>
      <c r="T65153" s="6"/>
      <c r="U65153" s="6"/>
      <c r="V65153" s="6"/>
      <c r="W65153" s="6"/>
      <c r="X65153" s="6"/>
      <c r="Y65153" s="6"/>
      <c r="Z65153" s="6"/>
      <c r="AA65153" s="6"/>
      <c r="AB65153" s="6"/>
      <c r="AC65153" s="6"/>
      <c r="AD65153" s="6"/>
      <c r="AE65153" s="6"/>
      <c r="AF65153" s="6"/>
      <c r="AG65153" s="6"/>
      <c r="AH65153" s="6"/>
      <c r="AI65153" s="6"/>
      <c r="AJ65153" s="6"/>
      <c r="AK65153" s="6"/>
      <c r="AL65153" s="6"/>
      <c r="AM65153" s="6"/>
    </row>
    <row r="65154" spans="2:39" ht="9.9499999999999993" hidden="1" customHeight="1" x14ac:dyDescent="0.2">
      <c r="B65154" s="6"/>
      <c r="C65154" s="6"/>
      <c r="D65154" s="6"/>
      <c r="E65154" s="6"/>
      <c r="F65154" s="6"/>
      <c r="G65154" s="6"/>
      <c r="H65154" s="6"/>
      <c r="I65154" s="6"/>
      <c r="J65154" s="6"/>
      <c r="K65154" s="6"/>
      <c r="L65154" s="6"/>
      <c r="M65154" s="6"/>
      <c r="N65154" s="6"/>
      <c r="O65154" s="6"/>
      <c r="P65154" s="6"/>
      <c r="Q65154" s="6"/>
      <c r="R65154" s="6"/>
      <c r="S65154" s="6"/>
      <c r="T65154" s="6"/>
      <c r="U65154" s="6"/>
      <c r="V65154" s="6"/>
      <c r="W65154" s="6"/>
      <c r="X65154" s="6"/>
      <c r="Y65154" s="6"/>
      <c r="Z65154" s="6"/>
      <c r="AA65154" s="6"/>
      <c r="AB65154" s="6"/>
      <c r="AC65154" s="6"/>
      <c r="AD65154" s="6"/>
      <c r="AE65154" s="6"/>
      <c r="AF65154" s="6"/>
      <c r="AG65154" s="6"/>
      <c r="AH65154" s="6"/>
      <c r="AI65154" s="6"/>
      <c r="AJ65154" s="6"/>
      <c r="AK65154" s="6"/>
      <c r="AL65154" s="6"/>
      <c r="AM65154" s="6"/>
    </row>
    <row r="65155" spans="2:39" ht="9.9499999999999993" hidden="1" customHeight="1" x14ac:dyDescent="0.2">
      <c r="B65155" s="6"/>
      <c r="C65155" s="6"/>
      <c r="D65155" s="6"/>
      <c r="E65155" s="6"/>
      <c r="F65155" s="6"/>
      <c r="G65155" s="6"/>
      <c r="H65155" s="6"/>
      <c r="I65155" s="6"/>
      <c r="J65155" s="6"/>
      <c r="K65155" s="6"/>
      <c r="L65155" s="6"/>
      <c r="M65155" s="6"/>
      <c r="N65155" s="6"/>
      <c r="O65155" s="6"/>
      <c r="P65155" s="6"/>
      <c r="Q65155" s="6"/>
      <c r="R65155" s="6"/>
      <c r="S65155" s="6"/>
      <c r="T65155" s="6"/>
      <c r="U65155" s="6"/>
      <c r="V65155" s="6"/>
      <c r="W65155" s="6"/>
      <c r="X65155" s="6"/>
      <c r="Y65155" s="6"/>
      <c r="Z65155" s="6"/>
      <c r="AA65155" s="6"/>
      <c r="AB65155" s="6"/>
      <c r="AC65155" s="6"/>
      <c r="AD65155" s="6"/>
      <c r="AE65155" s="6"/>
      <c r="AF65155" s="6"/>
      <c r="AG65155" s="6"/>
      <c r="AH65155" s="6"/>
      <c r="AI65155" s="6"/>
      <c r="AJ65155" s="6"/>
      <c r="AK65155" s="6"/>
      <c r="AL65155" s="6"/>
      <c r="AM65155" s="6"/>
    </row>
    <row r="65156" spans="2:39" ht="9.9499999999999993" hidden="1" customHeight="1" x14ac:dyDescent="0.2">
      <c r="B65156" s="6"/>
      <c r="C65156" s="6"/>
      <c r="D65156" s="6"/>
      <c r="E65156" s="6"/>
      <c r="F65156" s="6"/>
      <c r="G65156" s="6"/>
      <c r="H65156" s="6"/>
      <c r="I65156" s="6"/>
      <c r="J65156" s="6"/>
      <c r="K65156" s="6"/>
      <c r="L65156" s="6"/>
      <c r="M65156" s="6"/>
      <c r="N65156" s="6"/>
      <c r="O65156" s="6"/>
      <c r="P65156" s="6"/>
      <c r="Q65156" s="6"/>
      <c r="R65156" s="6"/>
      <c r="S65156" s="6"/>
      <c r="T65156" s="6"/>
      <c r="U65156" s="6"/>
      <c r="V65156" s="6"/>
      <c r="W65156" s="6"/>
      <c r="X65156" s="6"/>
      <c r="Y65156" s="6"/>
      <c r="Z65156" s="6"/>
      <c r="AA65156" s="6"/>
      <c r="AB65156" s="6"/>
      <c r="AC65156" s="6"/>
      <c r="AD65156" s="6"/>
      <c r="AE65156" s="6"/>
      <c r="AF65156" s="6"/>
      <c r="AG65156" s="6"/>
      <c r="AH65156" s="6"/>
      <c r="AI65156" s="6"/>
      <c r="AJ65156" s="6"/>
      <c r="AK65156" s="6"/>
      <c r="AL65156" s="6"/>
      <c r="AM65156" s="6"/>
    </row>
    <row r="65157" spans="2:39" ht="9.9499999999999993" hidden="1" customHeight="1" x14ac:dyDescent="0.2">
      <c r="B65157" s="6"/>
      <c r="C65157" s="6"/>
      <c r="D65157" s="6"/>
      <c r="E65157" s="6"/>
      <c r="F65157" s="6"/>
      <c r="G65157" s="6"/>
      <c r="H65157" s="6"/>
      <c r="I65157" s="6"/>
      <c r="J65157" s="6"/>
      <c r="K65157" s="6"/>
      <c r="L65157" s="6"/>
      <c r="M65157" s="6"/>
      <c r="N65157" s="6"/>
      <c r="O65157" s="6"/>
      <c r="P65157" s="6"/>
      <c r="Q65157" s="6"/>
      <c r="R65157" s="6"/>
      <c r="S65157" s="6"/>
      <c r="T65157" s="6"/>
      <c r="U65157" s="6"/>
      <c r="V65157" s="6"/>
      <c r="W65157" s="6"/>
      <c r="X65157" s="6"/>
      <c r="Y65157" s="6"/>
      <c r="Z65157" s="6"/>
      <c r="AA65157" s="6"/>
      <c r="AB65157" s="6"/>
      <c r="AC65157" s="6"/>
      <c r="AD65157" s="6"/>
      <c r="AE65157" s="6"/>
      <c r="AF65157" s="6"/>
      <c r="AG65157" s="6"/>
      <c r="AH65157" s="6"/>
      <c r="AI65157" s="6"/>
      <c r="AJ65157" s="6"/>
      <c r="AK65157" s="6"/>
      <c r="AL65157" s="6"/>
      <c r="AM65157" s="6"/>
    </row>
    <row r="65158" spans="2:39" ht="9.9499999999999993" hidden="1" customHeight="1" x14ac:dyDescent="0.2">
      <c r="B65158" s="6"/>
      <c r="C65158" s="6"/>
      <c r="D65158" s="6"/>
      <c r="E65158" s="6"/>
      <c r="F65158" s="6"/>
      <c r="G65158" s="6"/>
      <c r="H65158" s="6"/>
      <c r="I65158" s="6"/>
      <c r="J65158" s="6"/>
      <c r="K65158" s="6"/>
      <c r="L65158" s="6"/>
      <c r="M65158" s="6"/>
      <c r="N65158" s="6"/>
      <c r="O65158" s="6"/>
      <c r="P65158" s="6"/>
      <c r="Q65158" s="6"/>
      <c r="R65158" s="6"/>
      <c r="S65158" s="6"/>
      <c r="T65158" s="6"/>
      <c r="U65158" s="6"/>
      <c r="V65158" s="6"/>
      <c r="W65158" s="6"/>
      <c r="X65158" s="6"/>
      <c r="Y65158" s="6"/>
      <c r="Z65158" s="6"/>
      <c r="AA65158" s="6"/>
      <c r="AB65158" s="6"/>
      <c r="AC65158" s="6"/>
      <c r="AD65158" s="6"/>
      <c r="AE65158" s="6"/>
      <c r="AF65158" s="6"/>
      <c r="AG65158" s="6"/>
      <c r="AH65158" s="6"/>
      <c r="AI65158" s="6"/>
      <c r="AJ65158" s="6"/>
      <c r="AK65158" s="6"/>
      <c r="AL65158" s="6"/>
      <c r="AM65158" s="6"/>
    </row>
    <row r="65159" spans="2:39" ht="9.9499999999999993" hidden="1" customHeight="1" x14ac:dyDescent="0.2">
      <c r="B65159" s="6"/>
      <c r="C65159" s="6"/>
      <c r="D65159" s="6"/>
      <c r="E65159" s="6"/>
      <c r="F65159" s="6"/>
      <c r="G65159" s="6"/>
      <c r="H65159" s="6"/>
      <c r="I65159" s="6"/>
      <c r="J65159" s="6"/>
      <c r="K65159" s="6"/>
      <c r="L65159" s="6"/>
      <c r="M65159" s="6"/>
      <c r="N65159" s="6"/>
      <c r="O65159" s="6"/>
      <c r="P65159" s="6"/>
      <c r="Q65159" s="6"/>
      <c r="R65159" s="6"/>
      <c r="S65159" s="6"/>
      <c r="T65159" s="6"/>
      <c r="U65159" s="6"/>
      <c r="V65159" s="6"/>
      <c r="W65159" s="6"/>
      <c r="X65159" s="6"/>
      <c r="Y65159" s="6"/>
      <c r="Z65159" s="6"/>
      <c r="AA65159" s="6"/>
      <c r="AB65159" s="6"/>
      <c r="AC65159" s="6"/>
      <c r="AD65159" s="6"/>
      <c r="AE65159" s="6"/>
      <c r="AF65159" s="6"/>
      <c r="AG65159" s="6"/>
      <c r="AH65159" s="6"/>
      <c r="AI65159" s="6"/>
      <c r="AJ65159" s="6"/>
      <c r="AK65159" s="6"/>
      <c r="AL65159" s="6"/>
      <c r="AM65159" s="6"/>
    </row>
    <row r="65160" spans="2:39" ht="9.9499999999999993" hidden="1" customHeight="1" x14ac:dyDescent="0.2">
      <c r="B65160" s="6"/>
      <c r="C65160" s="6"/>
      <c r="D65160" s="6"/>
      <c r="E65160" s="6"/>
      <c r="F65160" s="6"/>
      <c r="G65160" s="6"/>
      <c r="H65160" s="6"/>
      <c r="I65160" s="6"/>
      <c r="J65160" s="6"/>
      <c r="K65160" s="6"/>
      <c r="L65160" s="6"/>
      <c r="M65160" s="6"/>
      <c r="N65160" s="6"/>
      <c r="O65160" s="6"/>
      <c r="P65160" s="6"/>
      <c r="Q65160" s="6"/>
      <c r="R65160" s="6"/>
      <c r="S65160" s="6"/>
      <c r="T65160" s="6"/>
      <c r="U65160" s="6"/>
      <c r="V65160" s="6"/>
      <c r="W65160" s="6"/>
      <c r="X65160" s="6"/>
      <c r="Y65160" s="6"/>
      <c r="Z65160" s="6"/>
      <c r="AA65160" s="6"/>
      <c r="AB65160" s="6"/>
      <c r="AC65160" s="6"/>
      <c r="AD65160" s="6"/>
      <c r="AE65160" s="6"/>
      <c r="AF65160" s="6"/>
      <c r="AG65160" s="6"/>
      <c r="AH65160" s="6"/>
      <c r="AI65160" s="6"/>
      <c r="AJ65160" s="6"/>
      <c r="AK65160" s="6"/>
      <c r="AL65160" s="6"/>
      <c r="AM65160" s="6"/>
    </row>
    <row r="65161" spans="2:39" ht="9.9499999999999993" hidden="1" customHeight="1" x14ac:dyDescent="0.2">
      <c r="B65161" s="6"/>
      <c r="C65161" s="6"/>
      <c r="D65161" s="6"/>
      <c r="E65161" s="6"/>
      <c r="F65161" s="6"/>
      <c r="G65161" s="6"/>
      <c r="H65161" s="6"/>
      <c r="I65161" s="6"/>
      <c r="J65161" s="6"/>
      <c r="K65161" s="6"/>
      <c r="L65161" s="6"/>
      <c r="M65161" s="6"/>
      <c r="N65161" s="6"/>
      <c r="O65161" s="6"/>
      <c r="P65161" s="6"/>
      <c r="Q65161" s="6"/>
      <c r="R65161" s="6"/>
      <c r="S65161" s="6"/>
      <c r="T65161" s="6"/>
      <c r="U65161" s="6"/>
      <c r="V65161" s="6"/>
      <c r="W65161" s="6"/>
      <c r="X65161" s="6"/>
      <c r="Y65161" s="6"/>
      <c r="Z65161" s="6"/>
      <c r="AA65161" s="6"/>
      <c r="AB65161" s="6"/>
      <c r="AC65161" s="6"/>
      <c r="AD65161" s="6"/>
      <c r="AE65161" s="6"/>
      <c r="AF65161" s="6"/>
      <c r="AG65161" s="6"/>
      <c r="AH65161" s="6"/>
      <c r="AI65161" s="6"/>
      <c r="AJ65161" s="6"/>
      <c r="AK65161" s="6"/>
      <c r="AL65161" s="6"/>
      <c r="AM65161" s="6"/>
    </row>
    <row r="65162" spans="2:39" ht="9.9499999999999993" hidden="1" customHeight="1" x14ac:dyDescent="0.2">
      <c r="B65162" s="6"/>
      <c r="C65162" s="6"/>
      <c r="D65162" s="6"/>
      <c r="E65162" s="6"/>
      <c r="F65162" s="6"/>
      <c r="G65162" s="6"/>
      <c r="H65162" s="6"/>
      <c r="I65162" s="6"/>
      <c r="J65162" s="6"/>
      <c r="K65162" s="6"/>
      <c r="L65162" s="6"/>
      <c r="M65162" s="6"/>
      <c r="N65162" s="6"/>
      <c r="O65162" s="6"/>
      <c r="P65162" s="6"/>
      <c r="Q65162" s="6"/>
      <c r="R65162" s="6"/>
      <c r="S65162" s="6"/>
      <c r="T65162" s="6"/>
      <c r="U65162" s="6"/>
      <c r="V65162" s="6"/>
      <c r="W65162" s="6"/>
      <c r="X65162" s="6"/>
      <c r="Y65162" s="6"/>
      <c r="Z65162" s="6"/>
      <c r="AA65162" s="6"/>
      <c r="AB65162" s="6"/>
      <c r="AC65162" s="6"/>
      <c r="AD65162" s="6"/>
      <c r="AE65162" s="6"/>
      <c r="AF65162" s="6"/>
      <c r="AG65162" s="6"/>
      <c r="AH65162" s="6"/>
      <c r="AI65162" s="6"/>
      <c r="AJ65162" s="6"/>
      <c r="AK65162" s="6"/>
      <c r="AL65162" s="6"/>
      <c r="AM65162" s="6"/>
    </row>
    <row r="65163" spans="2:39" ht="9.9499999999999993" hidden="1" customHeight="1" x14ac:dyDescent="0.2">
      <c r="B65163" s="6"/>
      <c r="C65163" s="6"/>
      <c r="D65163" s="6"/>
      <c r="E65163" s="6"/>
      <c r="F65163" s="6"/>
      <c r="G65163" s="6"/>
      <c r="H65163" s="6"/>
      <c r="I65163" s="6"/>
      <c r="J65163" s="6"/>
      <c r="K65163" s="6"/>
      <c r="L65163" s="6"/>
      <c r="M65163" s="6"/>
      <c r="N65163" s="6"/>
      <c r="O65163" s="6"/>
      <c r="P65163" s="6"/>
      <c r="Q65163" s="6"/>
      <c r="R65163" s="6"/>
      <c r="S65163" s="6"/>
      <c r="T65163" s="6"/>
      <c r="U65163" s="6"/>
      <c r="V65163" s="6"/>
      <c r="W65163" s="6"/>
      <c r="X65163" s="6"/>
      <c r="Y65163" s="6"/>
      <c r="Z65163" s="6"/>
      <c r="AA65163" s="6"/>
      <c r="AB65163" s="6"/>
      <c r="AC65163" s="6"/>
      <c r="AD65163" s="6"/>
      <c r="AE65163" s="6"/>
      <c r="AF65163" s="6"/>
      <c r="AG65163" s="6"/>
      <c r="AH65163" s="6"/>
      <c r="AI65163" s="6"/>
      <c r="AJ65163" s="6"/>
      <c r="AK65163" s="6"/>
      <c r="AL65163" s="6"/>
      <c r="AM65163" s="6"/>
    </row>
    <row r="65164" spans="2:39" ht="9.9499999999999993" hidden="1" customHeight="1" x14ac:dyDescent="0.2">
      <c r="B65164" s="6"/>
      <c r="C65164" s="6"/>
      <c r="D65164" s="6"/>
      <c r="E65164" s="6"/>
      <c r="F65164" s="6"/>
      <c r="G65164" s="6"/>
      <c r="H65164" s="6"/>
      <c r="I65164" s="6"/>
      <c r="J65164" s="6"/>
      <c r="K65164" s="6"/>
      <c r="L65164" s="6"/>
      <c r="M65164" s="6"/>
      <c r="N65164" s="6"/>
      <c r="O65164" s="6"/>
      <c r="P65164" s="6"/>
      <c r="Q65164" s="6"/>
      <c r="R65164" s="6"/>
      <c r="S65164" s="6"/>
      <c r="T65164" s="6"/>
      <c r="U65164" s="6"/>
      <c r="V65164" s="6"/>
      <c r="W65164" s="6"/>
      <c r="X65164" s="6"/>
      <c r="Y65164" s="6"/>
      <c r="Z65164" s="6"/>
      <c r="AA65164" s="6"/>
      <c r="AB65164" s="6"/>
      <c r="AC65164" s="6"/>
      <c r="AD65164" s="6"/>
      <c r="AE65164" s="6"/>
      <c r="AF65164" s="6"/>
      <c r="AG65164" s="6"/>
      <c r="AH65164" s="6"/>
      <c r="AI65164" s="6"/>
      <c r="AJ65164" s="6"/>
      <c r="AK65164" s="6"/>
      <c r="AL65164" s="6"/>
      <c r="AM65164" s="6"/>
    </row>
    <row r="65165" spans="2:39" ht="9.9499999999999993" hidden="1" customHeight="1" x14ac:dyDescent="0.2">
      <c r="B65165" s="6"/>
      <c r="C65165" s="6"/>
      <c r="D65165" s="6"/>
      <c r="E65165" s="6"/>
      <c r="F65165" s="6"/>
      <c r="G65165" s="6"/>
      <c r="H65165" s="6"/>
      <c r="I65165" s="6"/>
      <c r="J65165" s="6"/>
      <c r="K65165" s="6"/>
      <c r="L65165" s="6"/>
      <c r="M65165" s="6"/>
      <c r="N65165" s="6"/>
      <c r="O65165" s="6"/>
      <c r="P65165" s="6"/>
      <c r="Q65165" s="6"/>
      <c r="R65165" s="6"/>
      <c r="S65165" s="6"/>
      <c r="T65165" s="6"/>
      <c r="U65165" s="6"/>
      <c r="V65165" s="6"/>
      <c r="W65165" s="6"/>
      <c r="X65165" s="6"/>
      <c r="Y65165" s="6"/>
      <c r="Z65165" s="6"/>
      <c r="AA65165" s="6"/>
      <c r="AB65165" s="6"/>
      <c r="AC65165" s="6"/>
      <c r="AD65165" s="6"/>
      <c r="AE65165" s="6"/>
      <c r="AF65165" s="6"/>
      <c r="AG65165" s="6"/>
      <c r="AH65165" s="6"/>
      <c r="AI65165" s="6"/>
      <c r="AJ65165" s="6"/>
      <c r="AK65165" s="6"/>
      <c r="AL65165" s="6"/>
      <c r="AM65165" s="6"/>
    </row>
    <row r="65166" spans="2:39" ht="9.9499999999999993" hidden="1" customHeight="1" x14ac:dyDescent="0.2">
      <c r="B65166" s="6"/>
      <c r="C65166" s="6"/>
      <c r="D65166" s="6"/>
      <c r="E65166" s="6"/>
      <c r="F65166" s="6"/>
      <c r="G65166" s="6"/>
      <c r="H65166" s="6"/>
      <c r="I65166" s="6"/>
      <c r="J65166" s="6"/>
      <c r="K65166" s="6"/>
      <c r="L65166" s="6"/>
      <c r="M65166" s="6"/>
      <c r="N65166" s="6"/>
      <c r="O65166" s="6"/>
      <c r="P65166" s="6"/>
      <c r="Q65166" s="6"/>
      <c r="R65166" s="6"/>
      <c r="S65166" s="6"/>
      <c r="T65166" s="6"/>
      <c r="U65166" s="6"/>
      <c r="V65166" s="6"/>
      <c r="W65166" s="6"/>
      <c r="X65166" s="6"/>
      <c r="Y65166" s="6"/>
      <c r="Z65166" s="6"/>
      <c r="AA65166" s="6"/>
      <c r="AB65166" s="6"/>
      <c r="AC65166" s="6"/>
      <c r="AD65166" s="6"/>
      <c r="AE65166" s="6"/>
      <c r="AF65166" s="6"/>
      <c r="AG65166" s="6"/>
      <c r="AH65166" s="6"/>
      <c r="AI65166" s="6"/>
      <c r="AJ65166" s="6"/>
      <c r="AK65166" s="6"/>
      <c r="AL65166" s="6"/>
      <c r="AM65166" s="6"/>
    </row>
    <row r="65167" spans="2:39" ht="9.9499999999999993" hidden="1" customHeight="1" x14ac:dyDescent="0.2">
      <c r="B65167" s="6"/>
      <c r="C65167" s="6"/>
      <c r="D65167" s="6"/>
      <c r="E65167" s="6"/>
      <c r="F65167" s="6"/>
      <c r="G65167" s="6"/>
      <c r="H65167" s="6"/>
      <c r="I65167" s="6"/>
      <c r="J65167" s="6"/>
      <c r="K65167" s="6"/>
      <c r="L65167" s="6"/>
      <c r="M65167" s="6"/>
      <c r="N65167" s="6"/>
      <c r="O65167" s="6"/>
      <c r="P65167" s="6"/>
      <c r="Q65167" s="6"/>
      <c r="R65167" s="6"/>
      <c r="S65167" s="6"/>
      <c r="T65167" s="6"/>
      <c r="U65167" s="6"/>
      <c r="V65167" s="6"/>
      <c r="W65167" s="6"/>
      <c r="X65167" s="6"/>
      <c r="Y65167" s="6"/>
      <c r="Z65167" s="6"/>
      <c r="AA65167" s="6"/>
      <c r="AB65167" s="6"/>
      <c r="AC65167" s="6"/>
      <c r="AD65167" s="6"/>
      <c r="AE65167" s="6"/>
      <c r="AF65167" s="6"/>
      <c r="AG65167" s="6"/>
      <c r="AH65167" s="6"/>
      <c r="AI65167" s="6"/>
      <c r="AJ65167" s="6"/>
      <c r="AK65167" s="6"/>
      <c r="AL65167" s="6"/>
      <c r="AM65167" s="6"/>
    </row>
    <row r="65168" spans="2:39" ht="9.9499999999999993" hidden="1" customHeight="1" x14ac:dyDescent="0.2">
      <c r="B65168" s="6"/>
      <c r="C65168" s="6"/>
      <c r="D65168" s="6"/>
      <c r="E65168" s="6"/>
      <c r="F65168" s="6"/>
      <c r="G65168" s="6"/>
      <c r="H65168" s="6"/>
      <c r="I65168" s="6"/>
      <c r="J65168" s="6"/>
      <c r="K65168" s="6"/>
      <c r="L65168" s="6"/>
      <c r="M65168" s="6"/>
      <c r="N65168" s="6"/>
      <c r="O65168" s="6"/>
      <c r="P65168" s="6"/>
      <c r="Q65168" s="6"/>
      <c r="R65168" s="6"/>
      <c r="S65168" s="6"/>
      <c r="T65168" s="6"/>
      <c r="U65168" s="6"/>
      <c r="V65168" s="6"/>
      <c r="W65168" s="6"/>
      <c r="X65168" s="6"/>
      <c r="Y65168" s="6"/>
      <c r="Z65168" s="6"/>
      <c r="AA65168" s="6"/>
      <c r="AB65168" s="6"/>
      <c r="AC65168" s="6"/>
      <c r="AD65168" s="6"/>
      <c r="AE65168" s="6"/>
      <c r="AF65168" s="6"/>
      <c r="AG65168" s="6"/>
      <c r="AH65168" s="6"/>
      <c r="AI65168" s="6"/>
      <c r="AJ65168" s="6"/>
      <c r="AK65168" s="6"/>
      <c r="AL65168" s="6"/>
      <c r="AM65168" s="6"/>
    </row>
    <row r="65169" spans="2:39" ht="9.9499999999999993" hidden="1" customHeight="1" x14ac:dyDescent="0.2">
      <c r="B65169" s="6"/>
      <c r="C65169" s="6"/>
      <c r="D65169" s="6"/>
      <c r="E65169" s="6"/>
      <c r="F65169" s="6"/>
      <c r="G65169" s="6"/>
      <c r="H65169" s="6"/>
      <c r="I65169" s="6"/>
      <c r="J65169" s="6"/>
      <c r="K65169" s="6"/>
      <c r="L65169" s="6"/>
      <c r="M65169" s="6"/>
      <c r="N65169" s="6"/>
      <c r="O65169" s="6"/>
      <c r="P65169" s="6"/>
      <c r="Q65169" s="6"/>
      <c r="R65169" s="6"/>
      <c r="S65169" s="6"/>
      <c r="T65169" s="6"/>
      <c r="U65169" s="6"/>
      <c r="V65169" s="6"/>
      <c r="W65169" s="6"/>
      <c r="X65169" s="6"/>
      <c r="Y65169" s="6"/>
      <c r="Z65169" s="6"/>
      <c r="AA65169" s="6"/>
      <c r="AB65169" s="6"/>
      <c r="AC65169" s="6"/>
      <c r="AD65169" s="6"/>
      <c r="AE65169" s="6"/>
      <c r="AF65169" s="6"/>
      <c r="AG65169" s="6"/>
      <c r="AH65169" s="6"/>
      <c r="AI65169" s="6"/>
      <c r="AJ65169" s="6"/>
      <c r="AK65169" s="6"/>
      <c r="AL65169" s="6"/>
      <c r="AM65169" s="6"/>
    </row>
    <row r="65170" spans="2:39" ht="9.9499999999999993" hidden="1" customHeight="1" x14ac:dyDescent="0.2">
      <c r="B65170" s="6"/>
      <c r="C65170" s="6"/>
      <c r="D65170" s="6"/>
      <c r="E65170" s="6"/>
      <c r="F65170" s="6"/>
      <c r="G65170" s="6"/>
      <c r="H65170" s="6"/>
      <c r="I65170" s="6"/>
      <c r="J65170" s="6"/>
      <c r="K65170" s="6"/>
      <c r="L65170" s="6"/>
      <c r="M65170" s="6"/>
      <c r="N65170" s="6"/>
      <c r="O65170" s="6"/>
      <c r="P65170" s="6"/>
      <c r="Q65170" s="6"/>
      <c r="R65170" s="6"/>
      <c r="S65170" s="6"/>
      <c r="T65170" s="6"/>
      <c r="U65170" s="6"/>
      <c r="V65170" s="6"/>
      <c r="W65170" s="6"/>
      <c r="X65170" s="6"/>
      <c r="Y65170" s="6"/>
      <c r="Z65170" s="6"/>
      <c r="AA65170" s="6"/>
      <c r="AB65170" s="6"/>
      <c r="AC65170" s="6"/>
      <c r="AD65170" s="6"/>
      <c r="AE65170" s="6"/>
      <c r="AF65170" s="6"/>
      <c r="AG65170" s="6"/>
      <c r="AH65170" s="6"/>
      <c r="AI65170" s="6"/>
      <c r="AJ65170" s="6"/>
      <c r="AK65170" s="6"/>
      <c r="AL65170" s="6"/>
      <c r="AM65170" s="6"/>
    </row>
    <row r="65171" spans="2:39" ht="9.9499999999999993" hidden="1" customHeight="1" x14ac:dyDescent="0.2">
      <c r="B65171" s="6"/>
      <c r="C65171" s="6"/>
      <c r="D65171" s="6"/>
      <c r="E65171" s="6"/>
      <c r="F65171" s="6"/>
      <c r="G65171" s="6"/>
      <c r="H65171" s="6"/>
      <c r="I65171" s="6"/>
      <c r="J65171" s="6"/>
      <c r="K65171" s="6"/>
      <c r="L65171" s="6"/>
      <c r="M65171" s="6"/>
      <c r="N65171" s="6"/>
      <c r="O65171" s="6"/>
      <c r="P65171" s="6"/>
      <c r="Q65171" s="6"/>
      <c r="R65171" s="6"/>
      <c r="S65171" s="6"/>
      <c r="T65171" s="6"/>
      <c r="U65171" s="6"/>
      <c r="V65171" s="6"/>
      <c r="W65171" s="6"/>
      <c r="X65171" s="6"/>
      <c r="Y65171" s="6"/>
      <c r="Z65171" s="6"/>
      <c r="AA65171" s="6"/>
      <c r="AB65171" s="6"/>
      <c r="AC65171" s="6"/>
      <c r="AD65171" s="6"/>
      <c r="AE65171" s="6"/>
      <c r="AF65171" s="6"/>
      <c r="AG65171" s="6"/>
      <c r="AH65171" s="6"/>
      <c r="AI65171" s="6"/>
      <c r="AJ65171" s="6"/>
      <c r="AK65171" s="6"/>
      <c r="AL65171" s="6"/>
      <c r="AM65171" s="6"/>
    </row>
    <row r="65172" spans="2:39" ht="9.9499999999999993" hidden="1" customHeight="1" x14ac:dyDescent="0.2">
      <c r="B65172" s="6"/>
      <c r="C65172" s="6"/>
      <c r="D65172" s="6"/>
      <c r="E65172" s="6"/>
      <c r="F65172" s="6"/>
      <c r="G65172" s="6"/>
      <c r="H65172" s="6"/>
      <c r="I65172" s="6"/>
      <c r="J65172" s="6"/>
      <c r="K65172" s="6"/>
      <c r="L65172" s="6"/>
      <c r="M65172" s="6"/>
      <c r="N65172" s="6"/>
      <c r="O65172" s="6"/>
      <c r="P65172" s="6"/>
      <c r="Q65172" s="6"/>
      <c r="R65172" s="6"/>
      <c r="S65172" s="6"/>
      <c r="T65172" s="6"/>
      <c r="U65172" s="6"/>
      <c r="V65172" s="6"/>
      <c r="W65172" s="6"/>
      <c r="X65172" s="6"/>
      <c r="Y65172" s="6"/>
      <c r="Z65172" s="6"/>
      <c r="AA65172" s="6"/>
      <c r="AB65172" s="6"/>
      <c r="AC65172" s="6"/>
      <c r="AD65172" s="6"/>
      <c r="AE65172" s="6"/>
      <c r="AF65172" s="6"/>
      <c r="AG65172" s="6"/>
      <c r="AH65172" s="6"/>
      <c r="AI65172" s="6"/>
      <c r="AJ65172" s="6"/>
      <c r="AK65172" s="6"/>
      <c r="AL65172" s="6"/>
      <c r="AM65172" s="6"/>
    </row>
    <row r="65173" spans="2:39" ht="9.9499999999999993" hidden="1" customHeight="1" x14ac:dyDescent="0.2">
      <c r="B65173" s="6"/>
      <c r="C65173" s="6"/>
      <c r="D65173" s="6"/>
      <c r="E65173" s="6"/>
      <c r="F65173" s="6"/>
      <c r="G65173" s="6"/>
      <c r="H65173" s="6"/>
      <c r="I65173" s="6"/>
      <c r="J65173" s="6"/>
      <c r="K65173" s="6"/>
      <c r="L65173" s="6"/>
      <c r="M65173" s="6"/>
      <c r="N65173" s="6"/>
      <c r="O65173" s="6"/>
      <c r="P65173" s="6"/>
      <c r="Q65173" s="6"/>
      <c r="R65173" s="6"/>
      <c r="S65173" s="6"/>
      <c r="T65173" s="6"/>
      <c r="U65173" s="6"/>
      <c r="V65173" s="6"/>
      <c r="W65173" s="6"/>
      <c r="X65173" s="6"/>
      <c r="Y65173" s="6"/>
      <c r="Z65173" s="6"/>
      <c r="AA65173" s="6"/>
      <c r="AB65173" s="6"/>
      <c r="AC65173" s="6"/>
      <c r="AD65173" s="6"/>
      <c r="AE65173" s="6"/>
      <c r="AF65173" s="6"/>
      <c r="AG65173" s="6"/>
      <c r="AH65173" s="6"/>
      <c r="AI65173" s="6"/>
      <c r="AJ65173" s="6"/>
      <c r="AK65173" s="6"/>
      <c r="AL65173" s="6"/>
      <c r="AM65173" s="6"/>
    </row>
    <row r="65174" spans="2:39" ht="9.9499999999999993" hidden="1" customHeight="1" x14ac:dyDescent="0.2">
      <c r="B65174" s="6"/>
      <c r="C65174" s="6"/>
      <c r="D65174" s="6"/>
      <c r="E65174" s="6"/>
      <c r="F65174" s="6"/>
      <c r="G65174" s="6"/>
      <c r="H65174" s="6"/>
      <c r="I65174" s="6"/>
      <c r="J65174" s="6"/>
      <c r="K65174" s="6"/>
      <c r="L65174" s="6"/>
      <c r="M65174" s="6"/>
      <c r="N65174" s="6"/>
      <c r="O65174" s="6"/>
      <c r="P65174" s="6"/>
      <c r="Q65174" s="6"/>
      <c r="R65174" s="6"/>
      <c r="S65174" s="6"/>
      <c r="T65174" s="6"/>
      <c r="U65174" s="6"/>
      <c r="V65174" s="6"/>
      <c r="W65174" s="6"/>
      <c r="X65174" s="6"/>
      <c r="Y65174" s="6"/>
      <c r="Z65174" s="6"/>
      <c r="AA65174" s="6"/>
      <c r="AB65174" s="6"/>
      <c r="AC65174" s="6"/>
      <c r="AD65174" s="6"/>
      <c r="AE65174" s="6"/>
      <c r="AF65174" s="6"/>
      <c r="AG65174" s="6"/>
      <c r="AH65174" s="6"/>
      <c r="AI65174" s="6"/>
      <c r="AJ65174" s="6"/>
      <c r="AK65174" s="6"/>
      <c r="AL65174" s="6"/>
      <c r="AM65174" s="6"/>
    </row>
    <row r="65175" spans="2:39" ht="9.9499999999999993" hidden="1" customHeight="1" x14ac:dyDescent="0.2">
      <c r="B65175" s="6"/>
      <c r="C65175" s="6"/>
      <c r="D65175" s="6"/>
      <c r="E65175" s="6"/>
      <c r="F65175" s="6"/>
      <c r="G65175" s="6"/>
      <c r="H65175" s="6"/>
      <c r="I65175" s="6"/>
      <c r="J65175" s="6"/>
      <c r="K65175" s="6"/>
      <c r="L65175" s="6"/>
      <c r="M65175" s="6"/>
      <c r="N65175" s="6"/>
      <c r="O65175" s="6"/>
      <c r="P65175" s="6"/>
      <c r="Q65175" s="6"/>
      <c r="R65175" s="6"/>
      <c r="S65175" s="6"/>
      <c r="T65175" s="6"/>
      <c r="U65175" s="6"/>
      <c r="V65175" s="6"/>
      <c r="W65175" s="6"/>
      <c r="X65175" s="6"/>
      <c r="Y65175" s="6"/>
      <c r="Z65175" s="6"/>
      <c r="AA65175" s="6"/>
      <c r="AB65175" s="6"/>
      <c r="AC65175" s="6"/>
      <c r="AD65175" s="6"/>
      <c r="AE65175" s="6"/>
      <c r="AF65175" s="6"/>
      <c r="AG65175" s="6"/>
      <c r="AH65175" s="6"/>
      <c r="AI65175" s="6"/>
      <c r="AJ65175" s="6"/>
      <c r="AK65175" s="6"/>
      <c r="AL65175" s="6"/>
      <c r="AM65175" s="6"/>
    </row>
    <row r="65176" spans="2:39" ht="9.9499999999999993" hidden="1" customHeight="1" x14ac:dyDescent="0.2">
      <c r="B65176" s="6"/>
      <c r="C65176" s="6"/>
      <c r="D65176" s="6"/>
      <c r="E65176" s="6"/>
      <c r="F65176" s="6"/>
      <c r="G65176" s="6"/>
      <c r="H65176" s="6"/>
      <c r="I65176" s="6"/>
      <c r="J65176" s="6"/>
      <c r="K65176" s="6"/>
      <c r="L65176" s="6"/>
      <c r="M65176" s="6"/>
      <c r="N65176" s="6"/>
      <c r="O65176" s="6"/>
      <c r="P65176" s="6"/>
      <c r="Q65176" s="6"/>
      <c r="R65176" s="6"/>
      <c r="S65176" s="6"/>
      <c r="T65176" s="6"/>
      <c r="U65176" s="6"/>
      <c r="V65176" s="6"/>
      <c r="W65176" s="6"/>
      <c r="X65176" s="6"/>
      <c r="Y65176" s="6"/>
      <c r="Z65176" s="6"/>
      <c r="AA65176" s="6"/>
      <c r="AB65176" s="6"/>
      <c r="AC65176" s="6"/>
      <c r="AD65176" s="6"/>
      <c r="AE65176" s="6"/>
      <c r="AF65176" s="6"/>
      <c r="AG65176" s="6"/>
      <c r="AH65176" s="6"/>
      <c r="AI65176" s="6"/>
      <c r="AJ65176" s="6"/>
      <c r="AK65176" s="6"/>
      <c r="AL65176" s="6"/>
      <c r="AM65176" s="6"/>
    </row>
    <row r="65177" spans="2:39" ht="9.9499999999999993" hidden="1" customHeight="1" x14ac:dyDescent="0.2">
      <c r="B65177" s="6"/>
      <c r="C65177" s="6"/>
      <c r="D65177" s="6"/>
      <c r="E65177" s="6"/>
      <c r="F65177" s="6"/>
      <c r="G65177" s="6"/>
      <c r="H65177" s="6"/>
      <c r="I65177" s="6"/>
      <c r="J65177" s="6"/>
      <c r="K65177" s="6"/>
      <c r="L65177" s="6"/>
      <c r="M65177" s="6"/>
      <c r="N65177" s="6"/>
      <c r="O65177" s="6"/>
      <c r="P65177" s="6"/>
      <c r="Q65177" s="6"/>
      <c r="R65177" s="6"/>
      <c r="S65177" s="6"/>
      <c r="T65177" s="6"/>
      <c r="U65177" s="6"/>
      <c r="V65177" s="6"/>
      <c r="W65177" s="6"/>
      <c r="X65177" s="6"/>
      <c r="Y65177" s="6"/>
      <c r="Z65177" s="6"/>
      <c r="AA65177" s="6"/>
      <c r="AB65177" s="6"/>
      <c r="AC65177" s="6"/>
      <c r="AD65177" s="6"/>
      <c r="AE65177" s="6"/>
      <c r="AF65177" s="6"/>
      <c r="AG65177" s="6"/>
      <c r="AH65177" s="6"/>
      <c r="AI65177" s="6"/>
      <c r="AJ65177" s="6"/>
      <c r="AK65177" s="6"/>
      <c r="AL65177" s="6"/>
      <c r="AM65177" s="6"/>
    </row>
    <row r="65178" spans="2:39" ht="9.9499999999999993" hidden="1" customHeight="1" x14ac:dyDescent="0.2">
      <c r="B65178" s="6"/>
      <c r="C65178" s="6"/>
      <c r="D65178" s="6"/>
      <c r="E65178" s="6"/>
      <c r="F65178" s="6"/>
      <c r="G65178" s="6"/>
      <c r="H65178" s="6"/>
      <c r="I65178" s="6"/>
      <c r="J65178" s="6"/>
      <c r="K65178" s="6"/>
      <c r="L65178" s="6"/>
      <c r="M65178" s="6"/>
      <c r="N65178" s="6"/>
      <c r="O65178" s="6"/>
      <c r="P65178" s="6"/>
      <c r="Q65178" s="6"/>
      <c r="R65178" s="6"/>
      <c r="S65178" s="6"/>
      <c r="T65178" s="6"/>
      <c r="U65178" s="6"/>
      <c r="V65178" s="6"/>
      <c r="W65178" s="6"/>
      <c r="X65178" s="6"/>
      <c r="Y65178" s="6"/>
      <c r="Z65178" s="6"/>
      <c r="AA65178" s="6"/>
      <c r="AB65178" s="6"/>
      <c r="AC65178" s="6"/>
      <c r="AD65178" s="6"/>
      <c r="AE65178" s="6"/>
      <c r="AF65178" s="6"/>
      <c r="AG65178" s="6"/>
      <c r="AH65178" s="6"/>
      <c r="AI65178" s="6"/>
      <c r="AJ65178" s="6"/>
      <c r="AK65178" s="6"/>
      <c r="AL65178" s="6"/>
      <c r="AM65178" s="6"/>
    </row>
    <row r="65179" spans="2:39" ht="9.9499999999999993" hidden="1" customHeight="1" x14ac:dyDescent="0.2">
      <c r="B65179" s="6"/>
      <c r="C65179" s="6"/>
      <c r="D65179" s="6"/>
      <c r="E65179" s="6"/>
      <c r="F65179" s="6"/>
      <c r="G65179" s="6"/>
      <c r="H65179" s="6"/>
      <c r="I65179" s="6"/>
      <c r="J65179" s="6"/>
      <c r="K65179" s="6"/>
      <c r="L65179" s="6"/>
      <c r="M65179" s="6"/>
      <c r="N65179" s="6"/>
      <c r="O65179" s="6"/>
      <c r="P65179" s="6"/>
      <c r="Q65179" s="6"/>
      <c r="R65179" s="6"/>
      <c r="S65179" s="6"/>
      <c r="T65179" s="6"/>
      <c r="U65179" s="6"/>
      <c r="V65179" s="6"/>
      <c r="W65179" s="6"/>
      <c r="X65179" s="6"/>
      <c r="Y65179" s="6"/>
      <c r="Z65179" s="6"/>
      <c r="AA65179" s="6"/>
      <c r="AB65179" s="6"/>
      <c r="AC65179" s="6"/>
      <c r="AD65179" s="6"/>
      <c r="AE65179" s="6"/>
      <c r="AF65179" s="6"/>
      <c r="AG65179" s="6"/>
      <c r="AH65179" s="6"/>
      <c r="AI65179" s="6"/>
      <c r="AJ65179" s="6"/>
      <c r="AK65179" s="6"/>
      <c r="AL65179" s="6"/>
      <c r="AM65179" s="6"/>
    </row>
    <row r="65180" spans="2:39" ht="9.9499999999999993" hidden="1" customHeight="1" x14ac:dyDescent="0.2">
      <c r="B65180" s="6"/>
      <c r="C65180" s="6"/>
      <c r="D65180" s="6"/>
      <c r="E65180" s="6"/>
      <c r="F65180" s="6"/>
      <c r="G65180" s="6"/>
      <c r="H65180" s="6"/>
      <c r="I65180" s="6"/>
      <c r="J65180" s="6"/>
      <c r="K65180" s="6"/>
      <c r="L65180" s="6"/>
      <c r="M65180" s="6"/>
      <c r="N65180" s="6"/>
      <c r="O65180" s="6"/>
      <c r="P65180" s="6"/>
      <c r="Q65180" s="6"/>
      <c r="R65180" s="6"/>
      <c r="S65180" s="6"/>
      <c r="T65180" s="6"/>
      <c r="U65180" s="6"/>
      <c r="V65180" s="6"/>
      <c r="W65180" s="6"/>
      <c r="X65180" s="6"/>
      <c r="Y65180" s="6"/>
      <c r="Z65180" s="6"/>
      <c r="AA65180" s="6"/>
      <c r="AB65180" s="6"/>
      <c r="AC65180" s="6"/>
      <c r="AD65180" s="6"/>
      <c r="AE65180" s="6"/>
      <c r="AF65180" s="6"/>
      <c r="AG65180" s="6"/>
      <c r="AH65180" s="6"/>
      <c r="AI65180" s="6"/>
      <c r="AJ65180" s="6"/>
      <c r="AK65180" s="6"/>
      <c r="AL65180" s="6"/>
      <c r="AM65180" s="6"/>
    </row>
    <row r="65181" spans="2:39" ht="9.9499999999999993" hidden="1" customHeight="1" x14ac:dyDescent="0.2">
      <c r="B65181" s="6"/>
      <c r="C65181" s="6"/>
      <c r="D65181" s="6"/>
      <c r="E65181" s="6"/>
      <c r="F65181" s="6"/>
      <c r="G65181" s="6"/>
      <c r="H65181" s="6"/>
      <c r="I65181" s="6"/>
      <c r="J65181" s="6"/>
      <c r="K65181" s="6"/>
      <c r="L65181" s="6"/>
      <c r="M65181" s="6"/>
      <c r="N65181" s="6"/>
      <c r="O65181" s="6"/>
      <c r="P65181" s="6"/>
      <c r="Q65181" s="6"/>
      <c r="R65181" s="6"/>
      <c r="S65181" s="6"/>
      <c r="T65181" s="6"/>
      <c r="U65181" s="6"/>
      <c r="V65181" s="6"/>
      <c r="W65181" s="6"/>
      <c r="X65181" s="6"/>
      <c r="Y65181" s="6"/>
      <c r="Z65181" s="6"/>
      <c r="AA65181" s="6"/>
      <c r="AB65181" s="6"/>
      <c r="AC65181" s="6"/>
      <c r="AD65181" s="6"/>
      <c r="AE65181" s="6"/>
      <c r="AF65181" s="6"/>
      <c r="AG65181" s="6"/>
      <c r="AH65181" s="6"/>
      <c r="AI65181" s="6"/>
      <c r="AJ65181" s="6"/>
      <c r="AK65181" s="6"/>
      <c r="AL65181" s="6"/>
      <c r="AM65181" s="6"/>
    </row>
    <row r="65182" spans="2:39" ht="9.9499999999999993" hidden="1" customHeight="1" x14ac:dyDescent="0.2">
      <c r="B65182" s="6"/>
      <c r="C65182" s="6"/>
      <c r="D65182" s="6"/>
      <c r="E65182" s="6"/>
      <c r="F65182" s="6"/>
      <c r="G65182" s="6"/>
      <c r="H65182" s="6"/>
      <c r="I65182" s="6"/>
      <c r="J65182" s="6"/>
      <c r="K65182" s="6"/>
      <c r="L65182" s="6"/>
      <c r="M65182" s="6"/>
      <c r="N65182" s="6"/>
      <c r="O65182" s="6"/>
      <c r="P65182" s="6"/>
      <c r="Q65182" s="6"/>
      <c r="R65182" s="6"/>
      <c r="S65182" s="6"/>
      <c r="T65182" s="6"/>
      <c r="U65182" s="6"/>
      <c r="V65182" s="6"/>
      <c r="W65182" s="6"/>
      <c r="X65182" s="6"/>
      <c r="Y65182" s="6"/>
      <c r="Z65182" s="6"/>
      <c r="AA65182" s="6"/>
      <c r="AB65182" s="6"/>
      <c r="AC65182" s="6"/>
      <c r="AD65182" s="6"/>
      <c r="AE65182" s="6"/>
      <c r="AF65182" s="6"/>
      <c r="AG65182" s="6"/>
      <c r="AH65182" s="6"/>
      <c r="AI65182" s="6"/>
      <c r="AJ65182" s="6"/>
      <c r="AK65182" s="6"/>
      <c r="AL65182" s="6"/>
      <c r="AM65182" s="6"/>
    </row>
    <row r="65183" spans="2:39" ht="9.9499999999999993" hidden="1" customHeight="1" x14ac:dyDescent="0.2">
      <c r="B65183" s="6"/>
      <c r="C65183" s="6"/>
      <c r="D65183" s="6"/>
      <c r="E65183" s="6"/>
      <c r="F65183" s="6"/>
      <c r="G65183" s="6"/>
      <c r="H65183" s="6"/>
      <c r="I65183" s="6"/>
      <c r="J65183" s="6"/>
      <c r="K65183" s="6"/>
      <c r="L65183" s="6"/>
      <c r="M65183" s="6"/>
      <c r="N65183" s="6"/>
      <c r="O65183" s="6"/>
      <c r="P65183" s="6"/>
      <c r="Q65183" s="6"/>
      <c r="R65183" s="6"/>
      <c r="S65183" s="6"/>
      <c r="T65183" s="6"/>
      <c r="U65183" s="6"/>
      <c r="V65183" s="6"/>
      <c r="W65183" s="6"/>
      <c r="X65183" s="6"/>
      <c r="Y65183" s="6"/>
      <c r="Z65183" s="6"/>
      <c r="AA65183" s="6"/>
      <c r="AB65183" s="6"/>
      <c r="AC65183" s="6"/>
      <c r="AD65183" s="6"/>
      <c r="AE65183" s="6"/>
      <c r="AF65183" s="6"/>
      <c r="AG65183" s="6"/>
      <c r="AH65183" s="6"/>
      <c r="AI65183" s="6"/>
      <c r="AJ65183" s="6"/>
      <c r="AK65183" s="6"/>
      <c r="AL65183" s="6"/>
      <c r="AM65183" s="6"/>
    </row>
    <row r="65184" spans="2:39" ht="9.9499999999999993" hidden="1" customHeight="1" x14ac:dyDescent="0.2">
      <c r="B65184" s="6"/>
      <c r="C65184" s="6"/>
      <c r="D65184" s="6"/>
      <c r="E65184" s="6"/>
      <c r="F65184" s="6"/>
      <c r="G65184" s="6"/>
      <c r="H65184" s="6"/>
      <c r="I65184" s="6"/>
      <c r="J65184" s="6"/>
      <c r="K65184" s="6"/>
      <c r="L65184" s="6"/>
      <c r="M65184" s="6"/>
      <c r="N65184" s="6"/>
      <c r="O65184" s="6"/>
      <c r="P65184" s="6"/>
      <c r="Q65184" s="6"/>
      <c r="R65184" s="6"/>
      <c r="S65184" s="6"/>
      <c r="T65184" s="6"/>
      <c r="U65184" s="6"/>
      <c r="V65184" s="6"/>
      <c r="W65184" s="6"/>
      <c r="X65184" s="6"/>
      <c r="Y65184" s="6"/>
      <c r="Z65184" s="6"/>
      <c r="AA65184" s="6"/>
      <c r="AB65184" s="6"/>
      <c r="AC65184" s="6"/>
      <c r="AD65184" s="6"/>
      <c r="AE65184" s="6"/>
      <c r="AF65184" s="6"/>
      <c r="AG65184" s="6"/>
      <c r="AH65184" s="6"/>
      <c r="AI65184" s="6"/>
      <c r="AJ65184" s="6"/>
      <c r="AK65184" s="6"/>
      <c r="AL65184" s="6"/>
      <c r="AM65184" s="6"/>
    </row>
    <row r="65185" spans="2:39" ht="9.9499999999999993" hidden="1" customHeight="1" x14ac:dyDescent="0.2">
      <c r="B65185" s="6"/>
      <c r="C65185" s="6"/>
      <c r="D65185" s="6"/>
      <c r="E65185" s="6"/>
      <c r="F65185" s="6"/>
      <c r="G65185" s="6"/>
      <c r="H65185" s="6"/>
      <c r="I65185" s="6"/>
      <c r="J65185" s="6"/>
      <c r="K65185" s="6"/>
      <c r="L65185" s="6"/>
      <c r="M65185" s="6"/>
      <c r="N65185" s="6"/>
      <c r="O65185" s="6"/>
      <c r="P65185" s="6"/>
      <c r="Q65185" s="6"/>
      <c r="R65185" s="6"/>
      <c r="S65185" s="6"/>
      <c r="T65185" s="6"/>
      <c r="U65185" s="6"/>
      <c r="V65185" s="6"/>
      <c r="W65185" s="6"/>
      <c r="X65185" s="6"/>
      <c r="Y65185" s="6"/>
      <c r="Z65185" s="6"/>
      <c r="AA65185" s="6"/>
      <c r="AB65185" s="6"/>
      <c r="AC65185" s="6"/>
      <c r="AD65185" s="6"/>
      <c r="AE65185" s="6"/>
      <c r="AF65185" s="6"/>
      <c r="AG65185" s="6"/>
      <c r="AH65185" s="6"/>
      <c r="AI65185" s="6"/>
      <c r="AJ65185" s="6"/>
      <c r="AK65185" s="6"/>
      <c r="AL65185" s="6"/>
      <c r="AM65185" s="6"/>
    </row>
    <row r="65186" spans="2:39" ht="9.9499999999999993" hidden="1" customHeight="1" x14ac:dyDescent="0.2">
      <c r="B65186" s="6"/>
      <c r="C65186" s="6"/>
      <c r="D65186" s="6"/>
      <c r="E65186" s="6"/>
      <c r="F65186" s="6"/>
      <c r="G65186" s="6"/>
      <c r="H65186" s="6"/>
      <c r="I65186" s="6"/>
      <c r="J65186" s="6"/>
      <c r="K65186" s="6"/>
      <c r="L65186" s="6"/>
      <c r="M65186" s="6"/>
      <c r="N65186" s="6"/>
      <c r="O65186" s="6"/>
      <c r="P65186" s="6"/>
      <c r="Q65186" s="6"/>
      <c r="R65186" s="6"/>
      <c r="S65186" s="6"/>
      <c r="T65186" s="6"/>
      <c r="U65186" s="6"/>
      <c r="V65186" s="6"/>
      <c r="W65186" s="6"/>
      <c r="X65186" s="6"/>
      <c r="Y65186" s="6"/>
      <c r="Z65186" s="6"/>
      <c r="AA65186" s="6"/>
      <c r="AB65186" s="6"/>
      <c r="AC65186" s="6"/>
      <c r="AD65186" s="6"/>
      <c r="AE65186" s="6"/>
      <c r="AF65186" s="6"/>
      <c r="AG65186" s="6"/>
      <c r="AH65186" s="6"/>
      <c r="AI65186" s="6"/>
      <c r="AJ65186" s="6"/>
      <c r="AK65186" s="6"/>
      <c r="AL65186" s="6"/>
      <c r="AM65186" s="6"/>
    </row>
    <row r="65187" spans="2:39" ht="9.9499999999999993" hidden="1" customHeight="1" x14ac:dyDescent="0.2">
      <c r="B65187" s="6"/>
      <c r="C65187" s="6"/>
      <c r="D65187" s="6"/>
      <c r="E65187" s="6"/>
      <c r="F65187" s="6"/>
      <c r="G65187" s="6"/>
      <c r="H65187" s="6"/>
      <c r="I65187" s="6"/>
      <c r="J65187" s="6"/>
      <c r="K65187" s="6"/>
      <c r="L65187" s="6"/>
      <c r="M65187" s="6"/>
      <c r="N65187" s="6"/>
      <c r="O65187" s="6"/>
      <c r="P65187" s="6"/>
      <c r="Q65187" s="6"/>
      <c r="R65187" s="6"/>
      <c r="S65187" s="6"/>
      <c r="T65187" s="6"/>
      <c r="U65187" s="6"/>
      <c r="V65187" s="6"/>
      <c r="W65187" s="6"/>
      <c r="X65187" s="6"/>
      <c r="Y65187" s="6"/>
      <c r="Z65187" s="6"/>
      <c r="AA65187" s="6"/>
      <c r="AB65187" s="6"/>
      <c r="AC65187" s="6"/>
      <c r="AD65187" s="6"/>
      <c r="AE65187" s="6"/>
      <c r="AF65187" s="6"/>
      <c r="AG65187" s="6"/>
      <c r="AH65187" s="6"/>
      <c r="AI65187" s="6"/>
      <c r="AJ65187" s="6"/>
      <c r="AK65187" s="6"/>
      <c r="AL65187" s="6"/>
      <c r="AM65187" s="6"/>
    </row>
    <row r="65188" spans="2:39" ht="9.9499999999999993" hidden="1" customHeight="1" x14ac:dyDescent="0.2">
      <c r="B65188" s="6"/>
      <c r="C65188" s="6"/>
      <c r="D65188" s="6"/>
      <c r="E65188" s="6"/>
      <c r="F65188" s="6"/>
      <c r="G65188" s="6"/>
      <c r="H65188" s="6"/>
      <c r="I65188" s="6"/>
      <c r="J65188" s="6"/>
      <c r="K65188" s="6"/>
      <c r="L65188" s="6"/>
      <c r="M65188" s="6"/>
      <c r="N65188" s="6"/>
      <c r="O65188" s="6"/>
      <c r="P65188" s="6"/>
      <c r="Q65188" s="6"/>
      <c r="R65188" s="6"/>
      <c r="S65188" s="6"/>
      <c r="T65188" s="6"/>
      <c r="U65188" s="6"/>
      <c r="V65188" s="6"/>
      <c r="W65188" s="6"/>
      <c r="X65188" s="6"/>
      <c r="Y65188" s="6"/>
      <c r="Z65188" s="6"/>
      <c r="AA65188" s="6"/>
      <c r="AB65188" s="6"/>
      <c r="AC65188" s="6"/>
      <c r="AD65188" s="6"/>
      <c r="AE65188" s="6"/>
      <c r="AF65188" s="6"/>
      <c r="AG65188" s="6"/>
      <c r="AH65188" s="6"/>
      <c r="AI65188" s="6"/>
      <c r="AJ65188" s="6"/>
      <c r="AK65188" s="6"/>
      <c r="AL65188" s="6"/>
      <c r="AM65188" s="6"/>
    </row>
    <row r="65189" spans="2:39" ht="9.9499999999999993" hidden="1" customHeight="1" x14ac:dyDescent="0.2">
      <c r="B65189" s="6"/>
      <c r="C65189" s="6"/>
      <c r="D65189" s="6"/>
      <c r="E65189" s="6"/>
      <c r="F65189" s="6"/>
      <c r="G65189" s="6"/>
      <c r="H65189" s="6"/>
      <c r="I65189" s="6"/>
      <c r="J65189" s="6"/>
      <c r="K65189" s="6"/>
      <c r="L65189" s="6"/>
      <c r="M65189" s="6"/>
      <c r="N65189" s="6"/>
      <c r="O65189" s="6"/>
      <c r="P65189" s="6"/>
      <c r="Q65189" s="6"/>
      <c r="R65189" s="6"/>
      <c r="S65189" s="6"/>
      <c r="T65189" s="6"/>
      <c r="U65189" s="6"/>
      <c r="V65189" s="6"/>
      <c r="W65189" s="6"/>
      <c r="X65189" s="6"/>
      <c r="Y65189" s="6"/>
      <c r="Z65189" s="6"/>
      <c r="AA65189" s="6"/>
      <c r="AB65189" s="6"/>
      <c r="AC65189" s="6"/>
      <c r="AD65189" s="6"/>
      <c r="AE65189" s="6"/>
      <c r="AF65189" s="6"/>
      <c r="AG65189" s="6"/>
      <c r="AH65189" s="6"/>
      <c r="AI65189" s="6"/>
      <c r="AJ65189" s="6"/>
      <c r="AK65189" s="6"/>
      <c r="AL65189" s="6"/>
      <c r="AM65189" s="6"/>
    </row>
    <row r="65190" spans="2:39" ht="9.9499999999999993" hidden="1" customHeight="1" x14ac:dyDescent="0.2">
      <c r="B65190" s="6"/>
      <c r="C65190" s="6"/>
      <c r="D65190" s="6"/>
      <c r="E65190" s="6"/>
      <c r="F65190" s="6"/>
      <c r="G65190" s="6"/>
      <c r="H65190" s="6"/>
      <c r="I65190" s="6"/>
      <c r="J65190" s="6"/>
      <c r="K65190" s="6"/>
      <c r="L65190" s="6"/>
      <c r="M65190" s="6"/>
      <c r="N65190" s="6"/>
      <c r="O65190" s="6"/>
      <c r="P65190" s="6"/>
      <c r="Q65190" s="6"/>
      <c r="R65190" s="6"/>
      <c r="S65190" s="6"/>
      <c r="T65190" s="6"/>
      <c r="U65190" s="6"/>
      <c r="V65190" s="6"/>
      <c r="W65190" s="6"/>
      <c r="X65190" s="6"/>
      <c r="Y65190" s="6"/>
      <c r="Z65190" s="6"/>
      <c r="AA65190" s="6"/>
      <c r="AB65190" s="6"/>
      <c r="AC65190" s="6"/>
      <c r="AD65190" s="6"/>
      <c r="AE65190" s="6"/>
      <c r="AF65190" s="6"/>
      <c r="AG65190" s="6"/>
      <c r="AH65190" s="6"/>
      <c r="AI65190" s="6"/>
      <c r="AJ65190" s="6"/>
      <c r="AK65190" s="6"/>
      <c r="AL65190" s="6"/>
      <c r="AM65190" s="6"/>
    </row>
    <row r="65191" spans="2:39" ht="9.9499999999999993" hidden="1" customHeight="1" x14ac:dyDescent="0.2">
      <c r="B65191" s="6"/>
      <c r="C65191" s="6"/>
      <c r="D65191" s="6"/>
      <c r="E65191" s="6"/>
      <c r="F65191" s="6"/>
      <c r="G65191" s="6"/>
      <c r="H65191" s="6"/>
      <c r="I65191" s="6"/>
      <c r="J65191" s="6"/>
      <c r="K65191" s="6"/>
      <c r="L65191" s="6"/>
      <c r="M65191" s="6"/>
      <c r="N65191" s="6"/>
      <c r="O65191" s="6"/>
      <c r="P65191" s="6"/>
      <c r="Q65191" s="6"/>
      <c r="R65191" s="6"/>
      <c r="S65191" s="6"/>
      <c r="T65191" s="6"/>
      <c r="U65191" s="6"/>
      <c r="V65191" s="6"/>
      <c r="W65191" s="6"/>
      <c r="X65191" s="6"/>
      <c r="Y65191" s="6"/>
      <c r="Z65191" s="6"/>
      <c r="AA65191" s="6"/>
      <c r="AB65191" s="6"/>
      <c r="AC65191" s="6"/>
      <c r="AD65191" s="6"/>
      <c r="AE65191" s="6"/>
      <c r="AF65191" s="6"/>
      <c r="AG65191" s="6"/>
      <c r="AH65191" s="6"/>
      <c r="AI65191" s="6"/>
      <c r="AJ65191" s="6"/>
      <c r="AK65191" s="6"/>
      <c r="AL65191" s="6"/>
      <c r="AM65191" s="6"/>
    </row>
    <row r="65192" spans="2:39" ht="9.9499999999999993" hidden="1" customHeight="1" x14ac:dyDescent="0.2">
      <c r="B65192" s="6"/>
      <c r="C65192" s="6"/>
      <c r="D65192" s="6"/>
      <c r="E65192" s="6"/>
      <c r="F65192" s="6"/>
      <c r="G65192" s="6"/>
      <c r="H65192" s="6"/>
      <c r="I65192" s="6"/>
      <c r="J65192" s="6"/>
      <c r="K65192" s="6"/>
      <c r="L65192" s="6"/>
      <c r="M65192" s="6"/>
      <c r="N65192" s="6"/>
      <c r="O65192" s="6"/>
      <c r="P65192" s="6"/>
      <c r="Q65192" s="6"/>
      <c r="R65192" s="6"/>
      <c r="S65192" s="6"/>
      <c r="T65192" s="6"/>
      <c r="U65192" s="6"/>
      <c r="V65192" s="6"/>
      <c r="W65192" s="6"/>
      <c r="X65192" s="6"/>
      <c r="Y65192" s="6"/>
      <c r="Z65192" s="6"/>
      <c r="AA65192" s="6"/>
      <c r="AB65192" s="6"/>
      <c r="AC65192" s="6"/>
      <c r="AD65192" s="6"/>
      <c r="AE65192" s="6"/>
      <c r="AF65192" s="6"/>
      <c r="AG65192" s="6"/>
      <c r="AH65192" s="6"/>
      <c r="AI65192" s="6"/>
      <c r="AJ65192" s="6"/>
      <c r="AK65192" s="6"/>
      <c r="AL65192" s="6"/>
      <c r="AM65192" s="6"/>
    </row>
    <row r="65193" spans="2:39" ht="9.9499999999999993" hidden="1" customHeight="1" x14ac:dyDescent="0.2">
      <c r="B65193" s="6"/>
      <c r="C65193" s="6"/>
      <c r="D65193" s="6"/>
      <c r="E65193" s="6"/>
      <c r="F65193" s="6"/>
      <c r="G65193" s="6"/>
      <c r="H65193" s="6"/>
      <c r="I65193" s="6"/>
      <c r="J65193" s="6"/>
      <c r="K65193" s="6"/>
      <c r="L65193" s="6"/>
      <c r="M65193" s="6"/>
      <c r="N65193" s="6"/>
      <c r="O65193" s="6"/>
      <c r="P65193" s="6"/>
      <c r="Q65193" s="6"/>
      <c r="R65193" s="6"/>
      <c r="S65193" s="6"/>
      <c r="T65193" s="6"/>
      <c r="U65193" s="6"/>
      <c r="V65193" s="6"/>
      <c r="W65193" s="6"/>
      <c r="X65193" s="6"/>
      <c r="Y65193" s="6"/>
      <c r="Z65193" s="6"/>
      <c r="AA65193" s="6"/>
      <c r="AB65193" s="6"/>
      <c r="AC65193" s="6"/>
      <c r="AD65193" s="6"/>
      <c r="AE65193" s="6"/>
      <c r="AF65193" s="6"/>
      <c r="AG65193" s="6"/>
      <c r="AH65193" s="6"/>
      <c r="AI65193" s="6"/>
      <c r="AJ65193" s="6"/>
      <c r="AK65193" s="6"/>
      <c r="AL65193" s="6"/>
      <c r="AM65193" s="6"/>
    </row>
    <row r="65194" spans="2:39" ht="9.9499999999999993" hidden="1" customHeight="1" x14ac:dyDescent="0.2">
      <c r="B65194" s="6"/>
      <c r="C65194" s="6"/>
      <c r="D65194" s="6"/>
      <c r="E65194" s="6"/>
      <c r="F65194" s="6"/>
      <c r="G65194" s="6"/>
      <c r="H65194" s="6"/>
      <c r="I65194" s="6"/>
      <c r="J65194" s="6"/>
      <c r="K65194" s="6"/>
      <c r="L65194" s="6"/>
      <c r="M65194" s="6"/>
      <c r="N65194" s="6"/>
      <c r="O65194" s="6"/>
      <c r="P65194" s="6"/>
      <c r="Q65194" s="6"/>
      <c r="R65194" s="6"/>
      <c r="S65194" s="6"/>
      <c r="T65194" s="6"/>
      <c r="U65194" s="6"/>
      <c r="V65194" s="6"/>
      <c r="W65194" s="6"/>
      <c r="X65194" s="6"/>
      <c r="Y65194" s="6"/>
      <c r="Z65194" s="6"/>
      <c r="AA65194" s="6"/>
      <c r="AB65194" s="6"/>
      <c r="AC65194" s="6"/>
      <c r="AD65194" s="6"/>
      <c r="AE65194" s="6"/>
      <c r="AF65194" s="6"/>
      <c r="AG65194" s="6"/>
      <c r="AH65194" s="6"/>
      <c r="AI65194" s="6"/>
      <c r="AJ65194" s="6"/>
      <c r="AK65194" s="6"/>
      <c r="AL65194" s="6"/>
      <c r="AM65194" s="6"/>
    </row>
    <row r="65195" spans="2:39" ht="9.9499999999999993" hidden="1" customHeight="1" x14ac:dyDescent="0.2">
      <c r="B65195" s="6"/>
      <c r="C65195" s="6"/>
      <c r="D65195" s="6"/>
      <c r="E65195" s="6"/>
      <c r="F65195" s="6"/>
      <c r="G65195" s="6"/>
      <c r="H65195" s="6"/>
      <c r="I65195" s="6"/>
      <c r="J65195" s="6"/>
      <c r="K65195" s="6"/>
      <c r="L65195" s="6"/>
      <c r="M65195" s="6"/>
      <c r="N65195" s="6"/>
      <c r="O65195" s="6"/>
      <c r="P65195" s="6"/>
      <c r="Q65195" s="6"/>
      <c r="R65195" s="6"/>
      <c r="S65195" s="6"/>
      <c r="T65195" s="6"/>
      <c r="U65195" s="6"/>
      <c r="V65195" s="6"/>
      <c r="W65195" s="6"/>
      <c r="X65195" s="6"/>
      <c r="Y65195" s="6"/>
      <c r="Z65195" s="6"/>
      <c r="AA65195" s="6"/>
      <c r="AB65195" s="6"/>
      <c r="AC65195" s="6"/>
      <c r="AD65195" s="6"/>
      <c r="AE65195" s="6"/>
      <c r="AF65195" s="6"/>
      <c r="AG65195" s="6"/>
      <c r="AH65195" s="6"/>
      <c r="AI65195" s="6"/>
      <c r="AJ65195" s="6"/>
      <c r="AK65195" s="6"/>
      <c r="AL65195" s="6"/>
      <c r="AM65195" s="6"/>
    </row>
    <row r="65196" spans="2:39" ht="9.9499999999999993" hidden="1" customHeight="1" x14ac:dyDescent="0.2">
      <c r="B65196" s="6"/>
      <c r="C65196" s="6"/>
      <c r="D65196" s="6"/>
      <c r="E65196" s="6"/>
      <c r="F65196" s="6"/>
      <c r="G65196" s="6"/>
      <c r="H65196" s="6"/>
      <c r="I65196" s="6"/>
      <c r="J65196" s="6"/>
      <c r="K65196" s="6"/>
      <c r="L65196" s="6"/>
      <c r="M65196" s="6"/>
      <c r="N65196" s="6"/>
      <c r="O65196" s="6"/>
      <c r="P65196" s="6"/>
      <c r="Q65196" s="6"/>
      <c r="R65196" s="6"/>
      <c r="S65196" s="6"/>
      <c r="T65196" s="6"/>
      <c r="U65196" s="6"/>
      <c r="V65196" s="6"/>
      <c r="W65196" s="6"/>
      <c r="X65196" s="6"/>
      <c r="Y65196" s="6"/>
      <c r="Z65196" s="6"/>
      <c r="AA65196" s="6"/>
      <c r="AB65196" s="6"/>
      <c r="AC65196" s="6"/>
      <c r="AD65196" s="6"/>
      <c r="AE65196" s="6"/>
      <c r="AF65196" s="6"/>
      <c r="AG65196" s="6"/>
      <c r="AH65196" s="6"/>
      <c r="AI65196" s="6"/>
      <c r="AJ65196" s="6"/>
      <c r="AK65196" s="6"/>
      <c r="AL65196" s="6"/>
      <c r="AM65196" s="6"/>
    </row>
    <row r="65197" spans="2:39" ht="9.9499999999999993" hidden="1" customHeight="1" x14ac:dyDescent="0.2">
      <c r="B65197" s="6"/>
      <c r="C65197" s="6"/>
      <c r="D65197" s="6"/>
      <c r="E65197" s="6"/>
      <c r="F65197" s="6"/>
      <c r="G65197" s="6"/>
      <c r="H65197" s="6"/>
      <c r="I65197" s="6"/>
      <c r="J65197" s="6"/>
      <c r="K65197" s="6"/>
      <c r="L65197" s="6"/>
      <c r="M65197" s="6"/>
      <c r="N65197" s="6"/>
      <c r="O65197" s="6"/>
      <c r="P65197" s="6"/>
      <c r="Q65197" s="6"/>
      <c r="R65197" s="6"/>
      <c r="S65197" s="6"/>
      <c r="T65197" s="6"/>
      <c r="U65197" s="6"/>
      <c r="V65197" s="6"/>
      <c r="W65197" s="6"/>
      <c r="X65197" s="6"/>
      <c r="Y65197" s="6"/>
      <c r="Z65197" s="6"/>
      <c r="AA65197" s="6"/>
      <c r="AB65197" s="6"/>
      <c r="AC65197" s="6"/>
      <c r="AD65197" s="6"/>
      <c r="AE65197" s="6"/>
      <c r="AF65197" s="6"/>
      <c r="AG65197" s="6"/>
      <c r="AH65197" s="6"/>
      <c r="AI65197" s="6"/>
      <c r="AJ65197" s="6"/>
      <c r="AK65197" s="6"/>
      <c r="AL65197" s="6"/>
      <c r="AM65197" s="6"/>
    </row>
    <row r="65198" spans="2:39" ht="9.9499999999999993" hidden="1" customHeight="1" x14ac:dyDescent="0.2">
      <c r="B65198" s="6"/>
      <c r="C65198" s="6"/>
      <c r="D65198" s="6"/>
      <c r="E65198" s="6"/>
      <c r="F65198" s="6"/>
      <c r="G65198" s="6"/>
      <c r="H65198" s="6"/>
      <c r="I65198" s="6"/>
      <c r="J65198" s="6"/>
      <c r="K65198" s="6"/>
      <c r="L65198" s="6"/>
      <c r="M65198" s="6"/>
      <c r="N65198" s="6"/>
      <c r="O65198" s="6"/>
      <c r="P65198" s="6"/>
      <c r="Q65198" s="6"/>
      <c r="R65198" s="6"/>
      <c r="S65198" s="6"/>
      <c r="T65198" s="6"/>
      <c r="U65198" s="6"/>
      <c r="V65198" s="6"/>
      <c r="W65198" s="6"/>
      <c r="X65198" s="6"/>
      <c r="Y65198" s="6"/>
      <c r="Z65198" s="6"/>
      <c r="AA65198" s="6"/>
      <c r="AB65198" s="6"/>
      <c r="AC65198" s="6"/>
      <c r="AD65198" s="6"/>
      <c r="AE65198" s="6"/>
      <c r="AF65198" s="6"/>
      <c r="AG65198" s="6"/>
      <c r="AH65198" s="6"/>
      <c r="AI65198" s="6"/>
      <c r="AJ65198" s="6"/>
      <c r="AK65198" s="6"/>
      <c r="AL65198" s="6"/>
      <c r="AM65198" s="6"/>
    </row>
    <row r="65199" spans="2:39" ht="9.9499999999999993" hidden="1" customHeight="1" x14ac:dyDescent="0.2">
      <c r="B65199" s="6"/>
      <c r="C65199" s="6"/>
      <c r="D65199" s="6"/>
      <c r="E65199" s="6"/>
      <c r="F65199" s="6"/>
      <c r="G65199" s="6"/>
      <c r="H65199" s="6"/>
      <c r="I65199" s="6"/>
      <c r="J65199" s="6"/>
      <c r="K65199" s="6"/>
      <c r="L65199" s="6"/>
      <c r="M65199" s="6"/>
      <c r="N65199" s="6"/>
      <c r="O65199" s="6"/>
      <c r="P65199" s="6"/>
      <c r="Q65199" s="6"/>
      <c r="R65199" s="6"/>
      <c r="S65199" s="6"/>
      <c r="T65199" s="6"/>
      <c r="U65199" s="6"/>
      <c r="V65199" s="6"/>
      <c r="W65199" s="6"/>
      <c r="X65199" s="6"/>
      <c r="Y65199" s="6"/>
      <c r="Z65199" s="6"/>
      <c r="AA65199" s="6"/>
      <c r="AB65199" s="6"/>
      <c r="AC65199" s="6"/>
      <c r="AD65199" s="6"/>
      <c r="AE65199" s="6"/>
      <c r="AF65199" s="6"/>
      <c r="AG65199" s="6"/>
      <c r="AH65199" s="6"/>
      <c r="AI65199" s="6"/>
      <c r="AJ65199" s="6"/>
      <c r="AK65199" s="6"/>
      <c r="AL65199" s="6"/>
      <c r="AM65199" s="6"/>
    </row>
    <row r="65200" spans="2:39" ht="9.9499999999999993" hidden="1" customHeight="1" x14ac:dyDescent="0.2">
      <c r="B65200" s="6"/>
      <c r="C65200" s="6"/>
      <c r="D65200" s="6"/>
      <c r="E65200" s="6"/>
      <c r="F65200" s="6"/>
      <c r="G65200" s="6"/>
      <c r="H65200" s="6"/>
      <c r="I65200" s="6"/>
      <c r="J65200" s="6"/>
      <c r="K65200" s="6"/>
      <c r="L65200" s="6"/>
      <c r="M65200" s="6"/>
      <c r="N65200" s="6"/>
      <c r="O65200" s="6"/>
      <c r="P65200" s="6"/>
      <c r="Q65200" s="6"/>
      <c r="R65200" s="6"/>
      <c r="S65200" s="6"/>
      <c r="T65200" s="6"/>
      <c r="U65200" s="6"/>
      <c r="V65200" s="6"/>
      <c r="W65200" s="6"/>
      <c r="X65200" s="6"/>
      <c r="Y65200" s="6"/>
      <c r="Z65200" s="6"/>
      <c r="AA65200" s="6"/>
      <c r="AB65200" s="6"/>
      <c r="AC65200" s="6"/>
      <c r="AD65200" s="6"/>
      <c r="AE65200" s="6"/>
      <c r="AF65200" s="6"/>
      <c r="AG65200" s="6"/>
      <c r="AH65200" s="6"/>
      <c r="AI65200" s="6"/>
      <c r="AJ65200" s="6"/>
      <c r="AK65200" s="6"/>
      <c r="AL65200" s="6"/>
      <c r="AM65200" s="6"/>
    </row>
    <row r="65201" spans="2:39" ht="9.9499999999999993" hidden="1" customHeight="1" x14ac:dyDescent="0.2">
      <c r="B65201" s="6"/>
      <c r="C65201" s="6"/>
      <c r="D65201" s="6"/>
      <c r="E65201" s="6"/>
      <c r="F65201" s="6"/>
      <c r="G65201" s="6"/>
      <c r="H65201" s="6"/>
      <c r="I65201" s="6"/>
      <c r="J65201" s="6"/>
      <c r="K65201" s="6"/>
      <c r="L65201" s="6"/>
      <c r="M65201" s="6"/>
      <c r="N65201" s="6"/>
      <c r="O65201" s="6"/>
      <c r="P65201" s="6"/>
      <c r="Q65201" s="6"/>
      <c r="R65201" s="6"/>
      <c r="S65201" s="6"/>
      <c r="T65201" s="6"/>
      <c r="U65201" s="6"/>
      <c r="V65201" s="6"/>
      <c r="W65201" s="6"/>
      <c r="X65201" s="6"/>
      <c r="Y65201" s="6"/>
      <c r="Z65201" s="6"/>
      <c r="AA65201" s="6"/>
      <c r="AB65201" s="6"/>
      <c r="AC65201" s="6"/>
      <c r="AD65201" s="6"/>
      <c r="AE65201" s="6"/>
      <c r="AF65201" s="6"/>
      <c r="AG65201" s="6"/>
      <c r="AH65201" s="6"/>
      <c r="AI65201" s="6"/>
      <c r="AJ65201" s="6"/>
      <c r="AK65201" s="6"/>
      <c r="AL65201" s="6"/>
      <c r="AM65201" s="6"/>
    </row>
    <row r="65202" spans="2:39" ht="9.9499999999999993" hidden="1" customHeight="1" x14ac:dyDescent="0.2">
      <c r="B65202" s="6"/>
      <c r="C65202" s="6"/>
      <c r="D65202" s="6"/>
      <c r="E65202" s="6"/>
      <c r="F65202" s="6"/>
      <c r="G65202" s="6"/>
      <c r="H65202" s="6"/>
      <c r="I65202" s="6"/>
      <c r="J65202" s="6"/>
      <c r="K65202" s="6"/>
      <c r="L65202" s="6"/>
      <c r="M65202" s="6"/>
      <c r="N65202" s="6"/>
      <c r="O65202" s="6"/>
      <c r="P65202" s="6"/>
      <c r="Q65202" s="6"/>
      <c r="R65202" s="6"/>
      <c r="S65202" s="6"/>
      <c r="T65202" s="6"/>
      <c r="U65202" s="6"/>
      <c r="V65202" s="6"/>
      <c r="W65202" s="6"/>
      <c r="X65202" s="6"/>
      <c r="Y65202" s="6"/>
      <c r="Z65202" s="6"/>
      <c r="AA65202" s="6"/>
      <c r="AB65202" s="6"/>
      <c r="AC65202" s="6"/>
      <c r="AD65202" s="6"/>
      <c r="AE65202" s="6"/>
      <c r="AF65202" s="6"/>
      <c r="AG65202" s="6"/>
      <c r="AH65202" s="6"/>
      <c r="AI65202" s="6"/>
      <c r="AJ65202" s="6"/>
      <c r="AK65202" s="6"/>
      <c r="AL65202" s="6"/>
      <c r="AM65202" s="6"/>
    </row>
    <row r="65203" spans="2:39" ht="9.9499999999999993" hidden="1" customHeight="1" x14ac:dyDescent="0.2">
      <c r="B65203" s="6"/>
      <c r="C65203" s="6"/>
      <c r="D65203" s="6"/>
      <c r="E65203" s="6"/>
      <c r="F65203" s="6"/>
      <c r="G65203" s="6"/>
      <c r="H65203" s="6"/>
      <c r="I65203" s="6"/>
      <c r="J65203" s="6"/>
      <c r="K65203" s="6"/>
      <c r="L65203" s="6"/>
      <c r="M65203" s="6"/>
      <c r="N65203" s="6"/>
      <c r="O65203" s="6"/>
      <c r="P65203" s="6"/>
      <c r="Q65203" s="6"/>
      <c r="R65203" s="6"/>
      <c r="S65203" s="6"/>
      <c r="T65203" s="6"/>
      <c r="U65203" s="6"/>
      <c r="V65203" s="6"/>
      <c r="W65203" s="6"/>
      <c r="X65203" s="6"/>
      <c r="Y65203" s="6"/>
      <c r="Z65203" s="6"/>
      <c r="AA65203" s="6"/>
      <c r="AB65203" s="6"/>
      <c r="AC65203" s="6"/>
      <c r="AD65203" s="6"/>
      <c r="AE65203" s="6"/>
      <c r="AF65203" s="6"/>
      <c r="AG65203" s="6"/>
      <c r="AH65203" s="6"/>
      <c r="AI65203" s="6"/>
      <c r="AJ65203" s="6"/>
      <c r="AK65203" s="6"/>
      <c r="AL65203" s="6"/>
      <c r="AM65203" s="6"/>
    </row>
    <row r="65204" spans="2:39" ht="9.9499999999999993" hidden="1" customHeight="1" x14ac:dyDescent="0.2">
      <c r="B65204" s="6"/>
      <c r="C65204" s="6"/>
      <c r="D65204" s="6"/>
      <c r="E65204" s="6"/>
      <c r="F65204" s="6"/>
      <c r="G65204" s="6"/>
      <c r="H65204" s="6"/>
      <c r="I65204" s="6"/>
      <c r="J65204" s="6"/>
      <c r="K65204" s="6"/>
      <c r="L65204" s="6"/>
      <c r="M65204" s="6"/>
      <c r="N65204" s="6"/>
      <c r="O65204" s="6"/>
      <c r="P65204" s="6"/>
      <c r="Q65204" s="6"/>
      <c r="R65204" s="6"/>
      <c r="S65204" s="6"/>
      <c r="T65204" s="6"/>
      <c r="U65204" s="6"/>
      <c r="V65204" s="6"/>
      <c r="W65204" s="6"/>
      <c r="X65204" s="6"/>
      <c r="Y65204" s="6"/>
      <c r="Z65204" s="6"/>
      <c r="AA65204" s="6"/>
      <c r="AB65204" s="6"/>
      <c r="AC65204" s="6"/>
      <c r="AD65204" s="6"/>
      <c r="AE65204" s="6"/>
      <c r="AF65204" s="6"/>
      <c r="AG65204" s="6"/>
      <c r="AH65204" s="6"/>
      <c r="AI65204" s="6"/>
      <c r="AJ65204" s="6"/>
      <c r="AK65204" s="6"/>
      <c r="AL65204" s="6"/>
      <c r="AM65204" s="6"/>
    </row>
    <row r="65205" spans="2:39" ht="9.9499999999999993" hidden="1" customHeight="1" x14ac:dyDescent="0.2">
      <c r="B65205" s="6"/>
      <c r="C65205" s="6"/>
      <c r="D65205" s="6"/>
      <c r="E65205" s="6"/>
      <c r="F65205" s="6"/>
      <c r="G65205" s="6"/>
      <c r="H65205" s="6"/>
      <c r="I65205" s="6"/>
      <c r="J65205" s="6"/>
      <c r="K65205" s="6"/>
      <c r="L65205" s="6"/>
      <c r="M65205" s="6"/>
      <c r="N65205" s="6"/>
      <c r="O65205" s="6"/>
      <c r="P65205" s="6"/>
      <c r="Q65205" s="6"/>
      <c r="R65205" s="6"/>
      <c r="S65205" s="6"/>
      <c r="T65205" s="6"/>
      <c r="U65205" s="6"/>
      <c r="V65205" s="6"/>
      <c r="W65205" s="6"/>
      <c r="X65205" s="6"/>
      <c r="Y65205" s="6"/>
      <c r="Z65205" s="6"/>
      <c r="AA65205" s="6"/>
      <c r="AB65205" s="6"/>
      <c r="AC65205" s="6"/>
      <c r="AD65205" s="6"/>
      <c r="AE65205" s="6"/>
      <c r="AF65205" s="6"/>
      <c r="AG65205" s="6"/>
      <c r="AH65205" s="6"/>
      <c r="AI65205" s="6"/>
      <c r="AJ65205" s="6"/>
      <c r="AK65205" s="6"/>
      <c r="AL65205" s="6"/>
      <c r="AM65205" s="6"/>
    </row>
    <row r="65206" spans="2:39" ht="9.9499999999999993" hidden="1" customHeight="1" x14ac:dyDescent="0.2">
      <c r="B65206" s="6"/>
      <c r="C65206" s="6"/>
      <c r="D65206" s="6"/>
      <c r="E65206" s="6"/>
      <c r="F65206" s="6"/>
      <c r="G65206" s="6"/>
      <c r="H65206" s="6"/>
      <c r="I65206" s="6"/>
      <c r="J65206" s="6"/>
      <c r="K65206" s="6"/>
      <c r="L65206" s="6"/>
      <c r="M65206" s="6"/>
      <c r="N65206" s="6"/>
      <c r="O65206" s="6"/>
      <c r="P65206" s="6"/>
      <c r="Q65206" s="6"/>
      <c r="R65206" s="6"/>
      <c r="S65206" s="6"/>
      <c r="T65206" s="6"/>
      <c r="U65206" s="6"/>
      <c r="V65206" s="6"/>
      <c r="W65206" s="6"/>
      <c r="X65206" s="6"/>
      <c r="Y65206" s="6"/>
      <c r="Z65206" s="6"/>
      <c r="AA65206" s="6"/>
      <c r="AB65206" s="6"/>
      <c r="AC65206" s="6"/>
      <c r="AD65206" s="6"/>
      <c r="AE65206" s="6"/>
      <c r="AF65206" s="6"/>
      <c r="AG65206" s="6"/>
      <c r="AH65206" s="6"/>
      <c r="AI65206" s="6"/>
      <c r="AJ65206" s="6"/>
      <c r="AK65206" s="6"/>
      <c r="AL65206" s="6"/>
      <c r="AM65206" s="6"/>
    </row>
    <row r="65207" spans="2:39" ht="9.9499999999999993" hidden="1" customHeight="1" x14ac:dyDescent="0.2">
      <c r="B65207" s="6"/>
      <c r="C65207" s="6"/>
      <c r="D65207" s="6"/>
      <c r="E65207" s="6"/>
      <c r="F65207" s="6"/>
      <c r="G65207" s="6"/>
      <c r="H65207" s="6"/>
      <c r="I65207" s="6"/>
      <c r="J65207" s="6"/>
      <c r="K65207" s="6"/>
      <c r="L65207" s="6"/>
      <c r="M65207" s="6"/>
      <c r="N65207" s="6"/>
      <c r="O65207" s="6"/>
      <c r="P65207" s="6"/>
      <c r="Q65207" s="6"/>
      <c r="R65207" s="6"/>
      <c r="S65207" s="6"/>
      <c r="T65207" s="6"/>
      <c r="U65207" s="6"/>
      <c r="V65207" s="6"/>
      <c r="W65207" s="6"/>
      <c r="X65207" s="6"/>
      <c r="Y65207" s="6"/>
      <c r="Z65207" s="6"/>
      <c r="AA65207" s="6"/>
      <c r="AB65207" s="6"/>
      <c r="AC65207" s="6"/>
      <c r="AD65207" s="6"/>
      <c r="AE65207" s="6"/>
      <c r="AF65207" s="6"/>
      <c r="AG65207" s="6"/>
      <c r="AH65207" s="6"/>
      <c r="AI65207" s="6"/>
      <c r="AJ65207" s="6"/>
      <c r="AK65207" s="6"/>
      <c r="AL65207" s="6"/>
      <c r="AM65207" s="6"/>
    </row>
    <row r="65208" spans="2:39" ht="9.9499999999999993" hidden="1" customHeight="1" x14ac:dyDescent="0.2">
      <c r="B65208" s="6"/>
      <c r="C65208" s="6"/>
      <c r="D65208" s="6"/>
      <c r="E65208" s="6"/>
      <c r="F65208" s="6"/>
      <c r="G65208" s="6"/>
      <c r="H65208" s="6"/>
      <c r="I65208" s="6"/>
      <c r="J65208" s="6"/>
      <c r="K65208" s="6"/>
      <c r="L65208" s="6"/>
      <c r="M65208" s="6"/>
      <c r="N65208" s="6"/>
      <c r="O65208" s="6"/>
      <c r="P65208" s="6"/>
      <c r="Q65208" s="6"/>
      <c r="R65208" s="6"/>
      <c r="S65208" s="6"/>
      <c r="T65208" s="6"/>
      <c r="U65208" s="6"/>
      <c r="V65208" s="6"/>
      <c r="W65208" s="6"/>
      <c r="X65208" s="6"/>
      <c r="Y65208" s="6"/>
      <c r="Z65208" s="6"/>
      <c r="AA65208" s="6"/>
      <c r="AB65208" s="6"/>
      <c r="AC65208" s="6"/>
      <c r="AD65208" s="6"/>
      <c r="AE65208" s="6"/>
      <c r="AF65208" s="6"/>
      <c r="AG65208" s="6"/>
      <c r="AH65208" s="6"/>
      <c r="AI65208" s="6"/>
      <c r="AJ65208" s="6"/>
      <c r="AK65208" s="6"/>
      <c r="AL65208" s="6"/>
      <c r="AM65208" s="6"/>
    </row>
    <row r="65209" spans="2:39" ht="9.9499999999999993" hidden="1" customHeight="1" x14ac:dyDescent="0.2">
      <c r="B65209" s="6"/>
      <c r="C65209" s="6"/>
      <c r="D65209" s="6"/>
      <c r="E65209" s="6"/>
      <c r="F65209" s="6"/>
      <c r="G65209" s="6"/>
      <c r="H65209" s="6"/>
      <c r="I65209" s="6"/>
      <c r="J65209" s="6"/>
      <c r="K65209" s="6"/>
      <c r="L65209" s="6"/>
      <c r="M65209" s="6"/>
      <c r="N65209" s="6"/>
      <c r="O65209" s="6"/>
      <c r="P65209" s="6"/>
      <c r="Q65209" s="6"/>
      <c r="R65209" s="6"/>
      <c r="S65209" s="6"/>
      <c r="T65209" s="6"/>
      <c r="U65209" s="6"/>
      <c r="V65209" s="6"/>
      <c r="W65209" s="6"/>
      <c r="X65209" s="6"/>
      <c r="Y65209" s="6"/>
      <c r="Z65209" s="6"/>
      <c r="AA65209" s="6"/>
      <c r="AB65209" s="6"/>
      <c r="AC65209" s="6"/>
      <c r="AD65209" s="6"/>
      <c r="AE65209" s="6"/>
      <c r="AF65209" s="6"/>
      <c r="AG65209" s="6"/>
      <c r="AH65209" s="6"/>
      <c r="AI65209" s="6"/>
      <c r="AJ65209" s="6"/>
      <c r="AK65209" s="6"/>
      <c r="AL65209" s="6"/>
      <c r="AM65209" s="6"/>
    </row>
    <row r="65210" spans="2:39" ht="9.9499999999999993" hidden="1" customHeight="1" x14ac:dyDescent="0.2">
      <c r="B65210" s="6"/>
      <c r="C65210" s="6"/>
      <c r="D65210" s="6"/>
      <c r="E65210" s="6"/>
      <c r="F65210" s="6"/>
      <c r="G65210" s="6"/>
      <c r="H65210" s="6"/>
      <c r="I65210" s="6"/>
      <c r="J65210" s="6"/>
      <c r="K65210" s="6"/>
      <c r="L65210" s="6"/>
      <c r="M65210" s="6"/>
      <c r="N65210" s="6"/>
      <c r="O65210" s="6"/>
      <c r="P65210" s="6"/>
      <c r="Q65210" s="6"/>
      <c r="R65210" s="6"/>
      <c r="S65210" s="6"/>
      <c r="T65210" s="6"/>
      <c r="U65210" s="6"/>
      <c r="V65210" s="6"/>
      <c r="W65210" s="6"/>
      <c r="X65210" s="6"/>
      <c r="Y65210" s="6"/>
      <c r="Z65210" s="6"/>
      <c r="AA65210" s="6"/>
      <c r="AB65210" s="6"/>
      <c r="AC65210" s="6"/>
      <c r="AD65210" s="6"/>
      <c r="AE65210" s="6"/>
      <c r="AF65210" s="6"/>
      <c r="AG65210" s="6"/>
      <c r="AH65210" s="6"/>
      <c r="AI65210" s="6"/>
      <c r="AJ65210" s="6"/>
      <c r="AK65210" s="6"/>
      <c r="AL65210" s="6"/>
      <c r="AM65210" s="6"/>
    </row>
    <row r="65211" spans="2:39" ht="9.9499999999999993" hidden="1" customHeight="1" x14ac:dyDescent="0.2">
      <c r="B65211" s="6"/>
      <c r="C65211" s="6"/>
      <c r="D65211" s="6"/>
      <c r="E65211" s="6"/>
      <c r="F65211" s="6"/>
      <c r="G65211" s="6"/>
      <c r="H65211" s="6"/>
      <c r="I65211" s="6"/>
      <c r="J65211" s="6"/>
      <c r="K65211" s="6"/>
      <c r="L65211" s="6"/>
      <c r="M65211" s="6"/>
      <c r="N65211" s="6"/>
      <c r="O65211" s="6"/>
      <c r="P65211" s="6"/>
      <c r="Q65211" s="6"/>
      <c r="R65211" s="6"/>
      <c r="S65211" s="6"/>
      <c r="T65211" s="6"/>
      <c r="U65211" s="6"/>
      <c r="V65211" s="6"/>
      <c r="W65211" s="6"/>
      <c r="X65211" s="6"/>
      <c r="Y65211" s="6"/>
      <c r="Z65211" s="6"/>
      <c r="AA65211" s="6"/>
      <c r="AB65211" s="6"/>
      <c r="AC65211" s="6"/>
      <c r="AD65211" s="6"/>
      <c r="AE65211" s="6"/>
      <c r="AF65211" s="6"/>
      <c r="AG65211" s="6"/>
      <c r="AH65211" s="6"/>
      <c r="AI65211" s="6"/>
      <c r="AJ65211" s="6"/>
      <c r="AK65211" s="6"/>
      <c r="AL65211" s="6"/>
      <c r="AM65211" s="6"/>
    </row>
    <row r="65212" spans="2:39" ht="9.9499999999999993" hidden="1" customHeight="1" x14ac:dyDescent="0.2">
      <c r="B65212" s="6"/>
      <c r="C65212" s="6"/>
      <c r="D65212" s="6"/>
      <c r="E65212" s="6"/>
      <c r="F65212" s="6"/>
      <c r="G65212" s="6"/>
      <c r="H65212" s="6"/>
      <c r="I65212" s="6"/>
      <c r="J65212" s="6"/>
      <c r="K65212" s="6"/>
      <c r="L65212" s="6"/>
      <c r="M65212" s="6"/>
      <c r="N65212" s="6"/>
      <c r="O65212" s="6"/>
      <c r="P65212" s="6"/>
      <c r="Q65212" s="6"/>
      <c r="R65212" s="6"/>
      <c r="S65212" s="6"/>
      <c r="T65212" s="6"/>
      <c r="U65212" s="6"/>
      <c r="V65212" s="6"/>
      <c r="W65212" s="6"/>
      <c r="X65212" s="6"/>
      <c r="Y65212" s="6"/>
      <c r="Z65212" s="6"/>
      <c r="AA65212" s="6"/>
      <c r="AB65212" s="6"/>
      <c r="AC65212" s="6"/>
      <c r="AD65212" s="6"/>
      <c r="AE65212" s="6"/>
      <c r="AF65212" s="6"/>
      <c r="AG65212" s="6"/>
      <c r="AH65212" s="6"/>
      <c r="AI65212" s="6"/>
      <c r="AJ65212" s="6"/>
      <c r="AK65212" s="6"/>
      <c r="AL65212" s="6"/>
      <c r="AM65212" s="6"/>
    </row>
    <row r="65213" spans="2:39" ht="9.9499999999999993" hidden="1" customHeight="1" x14ac:dyDescent="0.2">
      <c r="B65213" s="6"/>
      <c r="C65213" s="6"/>
      <c r="D65213" s="6"/>
      <c r="E65213" s="6"/>
      <c r="F65213" s="6"/>
      <c r="G65213" s="6"/>
      <c r="H65213" s="6"/>
      <c r="I65213" s="6"/>
      <c r="J65213" s="6"/>
      <c r="K65213" s="6"/>
      <c r="L65213" s="6"/>
      <c r="M65213" s="6"/>
      <c r="N65213" s="6"/>
      <c r="O65213" s="6"/>
      <c r="P65213" s="6"/>
      <c r="Q65213" s="6"/>
      <c r="R65213" s="6"/>
      <c r="S65213" s="6"/>
      <c r="T65213" s="6"/>
      <c r="U65213" s="6"/>
      <c r="V65213" s="6"/>
      <c r="W65213" s="6"/>
      <c r="X65213" s="6"/>
      <c r="Y65213" s="6"/>
      <c r="Z65213" s="6"/>
      <c r="AA65213" s="6"/>
      <c r="AB65213" s="6"/>
      <c r="AC65213" s="6"/>
      <c r="AD65213" s="6"/>
      <c r="AE65213" s="6"/>
      <c r="AF65213" s="6"/>
      <c r="AG65213" s="6"/>
      <c r="AH65213" s="6"/>
      <c r="AI65213" s="6"/>
      <c r="AJ65213" s="6"/>
      <c r="AK65213" s="6"/>
      <c r="AL65213" s="6"/>
      <c r="AM65213" s="6"/>
    </row>
    <row r="65214" spans="2:39" ht="9.9499999999999993" hidden="1" customHeight="1" x14ac:dyDescent="0.2">
      <c r="B65214" s="6"/>
      <c r="C65214" s="6"/>
      <c r="D65214" s="6"/>
      <c r="E65214" s="6"/>
      <c r="F65214" s="6"/>
      <c r="G65214" s="6"/>
      <c r="H65214" s="6"/>
      <c r="I65214" s="6"/>
      <c r="J65214" s="6"/>
      <c r="K65214" s="6"/>
      <c r="L65214" s="6"/>
      <c r="M65214" s="6"/>
      <c r="N65214" s="6"/>
      <c r="O65214" s="6"/>
      <c r="P65214" s="6"/>
      <c r="Q65214" s="6"/>
      <c r="R65214" s="6"/>
      <c r="S65214" s="6"/>
      <c r="T65214" s="6"/>
      <c r="U65214" s="6"/>
      <c r="V65214" s="6"/>
      <c r="W65214" s="6"/>
      <c r="X65214" s="6"/>
      <c r="Y65214" s="6"/>
      <c r="Z65214" s="6"/>
      <c r="AA65214" s="6"/>
      <c r="AB65214" s="6"/>
      <c r="AC65214" s="6"/>
      <c r="AD65214" s="6"/>
      <c r="AE65214" s="6"/>
      <c r="AF65214" s="6"/>
      <c r="AG65214" s="6"/>
      <c r="AH65214" s="6"/>
      <c r="AI65214" s="6"/>
      <c r="AJ65214" s="6"/>
      <c r="AK65214" s="6"/>
      <c r="AL65214" s="6"/>
      <c r="AM65214" s="6"/>
    </row>
    <row r="65215" spans="2:39" ht="9.9499999999999993" hidden="1" customHeight="1" x14ac:dyDescent="0.2">
      <c r="B65215" s="6"/>
      <c r="C65215" s="6"/>
      <c r="D65215" s="6"/>
      <c r="E65215" s="6"/>
      <c r="F65215" s="6"/>
      <c r="G65215" s="6"/>
      <c r="H65215" s="6"/>
      <c r="I65215" s="6"/>
      <c r="J65215" s="6"/>
      <c r="K65215" s="6"/>
      <c r="L65215" s="6"/>
      <c r="M65215" s="6"/>
      <c r="N65215" s="6"/>
      <c r="O65215" s="6"/>
      <c r="P65215" s="6"/>
      <c r="Q65215" s="6"/>
      <c r="R65215" s="6"/>
      <c r="S65215" s="6"/>
      <c r="T65215" s="6"/>
      <c r="U65215" s="6"/>
      <c r="V65215" s="6"/>
      <c r="W65215" s="6"/>
      <c r="X65215" s="6"/>
      <c r="Y65215" s="6"/>
      <c r="Z65215" s="6"/>
      <c r="AA65215" s="6"/>
      <c r="AB65215" s="6"/>
      <c r="AC65215" s="6"/>
      <c r="AD65215" s="6"/>
      <c r="AE65215" s="6"/>
      <c r="AF65215" s="6"/>
      <c r="AG65215" s="6"/>
      <c r="AH65215" s="6"/>
      <c r="AI65215" s="6"/>
      <c r="AJ65215" s="6"/>
      <c r="AK65215" s="6"/>
      <c r="AL65215" s="6"/>
      <c r="AM65215" s="6"/>
    </row>
    <row r="65216" spans="2:39" ht="9.9499999999999993" hidden="1" customHeight="1" x14ac:dyDescent="0.2">
      <c r="B65216" s="6"/>
      <c r="C65216" s="6"/>
      <c r="D65216" s="6"/>
      <c r="E65216" s="6"/>
      <c r="F65216" s="6"/>
      <c r="G65216" s="6"/>
      <c r="H65216" s="6"/>
      <c r="I65216" s="6"/>
      <c r="J65216" s="6"/>
      <c r="K65216" s="6"/>
      <c r="L65216" s="6"/>
      <c r="M65216" s="6"/>
      <c r="N65216" s="6"/>
      <c r="O65216" s="6"/>
      <c r="P65216" s="6"/>
      <c r="Q65216" s="6"/>
      <c r="R65216" s="6"/>
      <c r="S65216" s="6"/>
      <c r="T65216" s="6"/>
      <c r="U65216" s="6"/>
      <c r="V65216" s="6"/>
      <c r="W65216" s="6"/>
      <c r="X65216" s="6"/>
      <c r="Y65216" s="6"/>
      <c r="Z65216" s="6"/>
      <c r="AA65216" s="6"/>
      <c r="AB65216" s="6"/>
      <c r="AC65216" s="6"/>
      <c r="AD65216" s="6"/>
      <c r="AE65216" s="6"/>
      <c r="AF65216" s="6"/>
      <c r="AG65216" s="6"/>
      <c r="AH65216" s="6"/>
      <c r="AI65216" s="6"/>
      <c r="AJ65216" s="6"/>
      <c r="AK65216" s="6"/>
      <c r="AL65216" s="6"/>
      <c r="AM65216" s="6"/>
    </row>
    <row r="65217" spans="2:39" ht="9.9499999999999993" hidden="1" customHeight="1" x14ac:dyDescent="0.2">
      <c r="B65217" s="6"/>
      <c r="C65217" s="6"/>
      <c r="D65217" s="6"/>
      <c r="E65217" s="6"/>
      <c r="F65217" s="6"/>
      <c r="G65217" s="6"/>
      <c r="H65217" s="6"/>
      <c r="I65217" s="6"/>
      <c r="J65217" s="6"/>
      <c r="K65217" s="6"/>
      <c r="L65217" s="6"/>
      <c r="M65217" s="6"/>
      <c r="N65217" s="6"/>
      <c r="O65217" s="6"/>
      <c r="P65217" s="6"/>
      <c r="Q65217" s="6"/>
      <c r="R65217" s="6"/>
      <c r="S65217" s="6"/>
      <c r="T65217" s="6"/>
      <c r="U65217" s="6"/>
      <c r="V65217" s="6"/>
      <c r="W65217" s="6"/>
      <c r="X65217" s="6"/>
      <c r="Y65217" s="6"/>
      <c r="Z65217" s="6"/>
      <c r="AA65217" s="6"/>
      <c r="AB65217" s="6"/>
      <c r="AC65217" s="6"/>
      <c r="AD65217" s="6"/>
      <c r="AE65217" s="6"/>
      <c r="AF65217" s="6"/>
      <c r="AG65217" s="6"/>
      <c r="AH65217" s="6"/>
      <c r="AI65217" s="6"/>
      <c r="AJ65217" s="6"/>
      <c r="AK65217" s="6"/>
      <c r="AL65217" s="6"/>
      <c r="AM65217" s="6"/>
    </row>
    <row r="65218" spans="2:39" ht="9.9499999999999993" hidden="1" customHeight="1" x14ac:dyDescent="0.2">
      <c r="B65218" s="6"/>
      <c r="C65218" s="6"/>
      <c r="D65218" s="6"/>
      <c r="E65218" s="6"/>
      <c r="F65218" s="6"/>
      <c r="G65218" s="6"/>
      <c r="H65218" s="6"/>
      <c r="I65218" s="6"/>
      <c r="J65218" s="6"/>
      <c r="K65218" s="6"/>
      <c r="L65218" s="6"/>
      <c r="M65218" s="6"/>
      <c r="N65218" s="6"/>
      <c r="O65218" s="6"/>
      <c r="P65218" s="6"/>
      <c r="Q65218" s="6"/>
      <c r="R65218" s="6"/>
      <c r="S65218" s="6"/>
      <c r="T65218" s="6"/>
      <c r="U65218" s="6"/>
      <c r="V65218" s="6"/>
      <c r="W65218" s="6"/>
      <c r="X65218" s="6"/>
      <c r="Y65218" s="6"/>
      <c r="Z65218" s="6"/>
      <c r="AA65218" s="6"/>
      <c r="AB65218" s="6"/>
      <c r="AC65218" s="6"/>
      <c r="AD65218" s="6"/>
      <c r="AE65218" s="6"/>
      <c r="AF65218" s="6"/>
      <c r="AG65218" s="6"/>
      <c r="AH65218" s="6"/>
      <c r="AI65218" s="6"/>
      <c r="AJ65218" s="6"/>
      <c r="AK65218" s="6"/>
      <c r="AL65218" s="6"/>
      <c r="AM65218" s="6"/>
    </row>
    <row r="65219" spans="2:39" ht="9.9499999999999993" hidden="1" customHeight="1" x14ac:dyDescent="0.2">
      <c r="B65219" s="6"/>
      <c r="C65219" s="6"/>
      <c r="D65219" s="6"/>
      <c r="E65219" s="6"/>
      <c r="F65219" s="6"/>
      <c r="G65219" s="6"/>
      <c r="H65219" s="6"/>
      <c r="I65219" s="6"/>
      <c r="J65219" s="6"/>
      <c r="K65219" s="6"/>
      <c r="L65219" s="6"/>
      <c r="M65219" s="6"/>
      <c r="N65219" s="6"/>
      <c r="O65219" s="6"/>
      <c r="P65219" s="6"/>
      <c r="Q65219" s="6"/>
      <c r="R65219" s="6"/>
      <c r="S65219" s="6"/>
      <c r="T65219" s="6"/>
      <c r="U65219" s="6"/>
      <c r="V65219" s="6"/>
      <c r="W65219" s="6"/>
      <c r="X65219" s="6"/>
      <c r="Y65219" s="6"/>
      <c r="Z65219" s="6"/>
      <c r="AA65219" s="6"/>
      <c r="AB65219" s="6"/>
      <c r="AC65219" s="6"/>
      <c r="AD65219" s="6"/>
      <c r="AE65219" s="6"/>
      <c r="AF65219" s="6"/>
      <c r="AG65219" s="6"/>
      <c r="AH65219" s="6"/>
      <c r="AI65219" s="6"/>
      <c r="AJ65219" s="6"/>
      <c r="AK65219" s="6"/>
      <c r="AL65219" s="6"/>
      <c r="AM65219" s="6"/>
    </row>
    <row r="65220" spans="2:39" ht="9.9499999999999993" hidden="1" customHeight="1" x14ac:dyDescent="0.2">
      <c r="B65220" s="6"/>
      <c r="C65220" s="6"/>
      <c r="D65220" s="6"/>
      <c r="E65220" s="6"/>
      <c r="F65220" s="6"/>
      <c r="G65220" s="6"/>
      <c r="H65220" s="6"/>
      <c r="I65220" s="6"/>
      <c r="J65220" s="6"/>
      <c r="K65220" s="6"/>
      <c r="L65220" s="6"/>
      <c r="M65220" s="6"/>
      <c r="N65220" s="6"/>
      <c r="O65220" s="6"/>
      <c r="P65220" s="6"/>
      <c r="Q65220" s="6"/>
      <c r="R65220" s="6"/>
      <c r="S65220" s="6"/>
      <c r="T65220" s="6"/>
      <c r="U65220" s="6"/>
      <c r="V65220" s="6"/>
      <c r="W65220" s="6"/>
      <c r="X65220" s="6"/>
      <c r="Y65220" s="6"/>
      <c r="Z65220" s="6"/>
      <c r="AA65220" s="6"/>
      <c r="AB65220" s="6"/>
      <c r="AC65220" s="6"/>
      <c r="AD65220" s="6"/>
      <c r="AE65220" s="6"/>
      <c r="AF65220" s="6"/>
      <c r="AG65220" s="6"/>
      <c r="AH65220" s="6"/>
      <c r="AI65220" s="6"/>
      <c r="AJ65220" s="6"/>
      <c r="AK65220" s="6"/>
      <c r="AL65220" s="6"/>
      <c r="AM65220" s="6"/>
    </row>
    <row r="65221" spans="2:39" ht="9.9499999999999993" hidden="1" customHeight="1" x14ac:dyDescent="0.2">
      <c r="B65221" s="6"/>
      <c r="C65221" s="6"/>
      <c r="D65221" s="6"/>
      <c r="E65221" s="6"/>
      <c r="F65221" s="6"/>
      <c r="G65221" s="6"/>
      <c r="H65221" s="6"/>
      <c r="I65221" s="6"/>
      <c r="J65221" s="6"/>
      <c r="K65221" s="6"/>
      <c r="L65221" s="6"/>
      <c r="M65221" s="6"/>
      <c r="N65221" s="6"/>
      <c r="O65221" s="6"/>
      <c r="P65221" s="6"/>
      <c r="Q65221" s="6"/>
      <c r="R65221" s="6"/>
      <c r="S65221" s="6"/>
      <c r="T65221" s="6"/>
      <c r="U65221" s="6"/>
      <c r="V65221" s="6"/>
      <c r="W65221" s="6"/>
      <c r="X65221" s="6"/>
      <c r="Y65221" s="6"/>
      <c r="Z65221" s="6"/>
      <c r="AA65221" s="6"/>
      <c r="AB65221" s="6"/>
      <c r="AC65221" s="6"/>
      <c r="AD65221" s="6"/>
      <c r="AE65221" s="6"/>
      <c r="AF65221" s="6"/>
      <c r="AG65221" s="6"/>
      <c r="AH65221" s="6"/>
      <c r="AI65221" s="6"/>
      <c r="AJ65221" s="6"/>
      <c r="AK65221" s="6"/>
      <c r="AL65221" s="6"/>
      <c r="AM65221" s="6"/>
    </row>
    <row r="65222" spans="2:39" ht="9.9499999999999993" hidden="1" customHeight="1" x14ac:dyDescent="0.2">
      <c r="B65222" s="6"/>
      <c r="C65222" s="6"/>
      <c r="D65222" s="6"/>
      <c r="E65222" s="6"/>
      <c r="F65222" s="6"/>
      <c r="G65222" s="6"/>
      <c r="H65222" s="6"/>
      <c r="I65222" s="6"/>
      <c r="J65222" s="6"/>
      <c r="K65222" s="6"/>
      <c r="L65222" s="6"/>
      <c r="M65222" s="6"/>
      <c r="N65222" s="6"/>
      <c r="O65222" s="6"/>
      <c r="P65222" s="6"/>
      <c r="Q65222" s="6"/>
      <c r="R65222" s="6"/>
      <c r="S65222" s="6"/>
      <c r="T65222" s="6"/>
      <c r="U65222" s="6"/>
      <c r="V65222" s="6"/>
      <c r="W65222" s="6"/>
      <c r="X65222" s="6"/>
      <c r="Y65222" s="6"/>
      <c r="Z65222" s="6"/>
      <c r="AA65222" s="6"/>
      <c r="AB65222" s="6"/>
      <c r="AC65222" s="6"/>
      <c r="AD65222" s="6"/>
      <c r="AE65222" s="6"/>
      <c r="AF65222" s="6"/>
      <c r="AG65222" s="6"/>
      <c r="AH65222" s="6"/>
      <c r="AI65222" s="6"/>
      <c r="AJ65222" s="6"/>
      <c r="AK65222" s="6"/>
      <c r="AL65222" s="6"/>
      <c r="AM65222" s="6"/>
    </row>
    <row r="65223" spans="2:39" ht="9.9499999999999993" hidden="1" customHeight="1" x14ac:dyDescent="0.2">
      <c r="B65223" s="6"/>
      <c r="C65223" s="6"/>
      <c r="D65223" s="6"/>
      <c r="E65223" s="6"/>
      <c r="F65223" s="6"/>
      <c r="G65223" s="6"/>
      <c r="H65223" s="6"/>
      <c r="I65223" s="6"/>
      <c r="J65223" s="6"/>
      <c r="K65223" s="6"/>
      <c r="L65223" s="6"/>
      <c r="M65223" s="6"/>
      <c r="N65223" s="6"/>
      <c r="O65223" s="6"/>
      <c r="P65223" s="6"/>
      <c r="Q65223" s="6"/>
      <c r="R65223" s="6"/>
      <c r="S65223" s="6"/>
      <c r="T65223" s="6"/>
      <c r="U65223" s="6"/>
      <c r="V65223" s="6"/>
      <c r="W65223" s="6"/>
      <c r="X65223" s="6"/>
      <c r="Y65223" s="6"/>
      <c r="Z65223" s="6"/>
      <c r="AA65223" s="6"/>
      <c r="AB65223" s="6"/>
      <c r="AC65223" s="6"/>
      <c r="AD65223" s="6"/>
      <c r="AE65223" s="6"/>
      <c r="AF65223" s="6"/>
      <c r="AG65223" s="6"/>
      <c r="AH65223" s="6"/>
      <c r="AI65223" s="6"/>
      <c r="AJ65223" s="6"/>
      <c r="AK65223" s="6"/>
      <c r="AL65223" s="6"/>
      <c r="AM65223" s="6"/>
    </row>
    <row r="65224" spans="2:39" ht="9.9499999999999993" hidden="1" customHeight="1" x14ac:dyDescent="0.2">
      <c r="B65224" s="6"/>
      <c r="C65224" s="6"/>
      <c r="D65224" s="6"/>
      <c r="E65224" s="6"/>
      <c r="F65224" s="6"/>
      <c r="G65224" s="6"/>
      <c r="H65224" s="6"/>
      <c r="I65224" s="6"/>
      <c r="J65224" s="6"/>
      <c r="K65224" s="6"/>
      <c r="L65224" s="6"/>
      <c r="M65224" s="6"/>
      <c r="N65224" s="6"/>
      <c r="O65224" s="6"/>
      <c r="P65224" s="6"/>
      <c r="Q65224" s="6"/>
      <c r="R65224" s="6"/>
      <c r="S65224" s="6"/>
      <c r="T65224" s="6"/>
      <c r="U65224" s="6"/>
      <c r="V65224" s="6"/>
      <c r="W65224" s="6"/>
      <c r="X65224" s="6"/>
      <c r="Y65224" s="6"/>
      <c r="Z65224" s="6"/>
      <c r="AA65224" s="6"/>
      <c r="AB65224" s="6"/>
      <c r="AC65224" s="6"/>
      <c r="AD65224" s="6"/>
      <c r="AE65224" s="6"/>
      <c r="AF65224" s="6"/>
      <c r="AG65224" s="6"/>
      <c r="AH65224" s="6"/>
      <c r="AI65224" s="6"/>
      <c r="AJ65224" s="6"/>
      <c r="AK65224" s="6"/>
      <c r="AL65224" s="6"/>
      <c r="AM65224" s="6"/>
    </row>
    <row r="65225" spans="2:39" ht="9.9499999999999993" hidden="1" customHeight="1" x14ac:dyDescent="0.2">
      <c r="B65225" s="6"/>
      <c r="C65225" s="6"/>
      <c r="D65225" s="6"/>
      <c r="E65225" s="6"/>
      <c r="F65225" s="6"/>
      <c r="G65225" s="6"/>
      <c r="H65225" s="6"/>
      <c r="I65225" s="6"/>
      <c r="J65225" s="6"/>
      <c r="K65225" s="6"/>
      <c r="L65225" s="6"/>
      <c r="M65225" s="6"/>
      <c r="N65225" s="6"/>
      <c r="O65225" s="6"/>
      <c r="P65225" s="6"/>
      <c r="Q65225" s="6"/>
      <c r="R65225" s="6"/>
      <c r="S65225" s="6"/>
      <c r="T65225" s="6"/>
      <c r="U65225" s="6"/>
      <c r="V65225" s="6"/>
      <c r="W65225" s="6"/>
      <c r="X65225" s="6"/>
      <c r="Y65225" s="6"/>
      <c r="Z65225" s="6"/>
      <c r="AA65225" s="6"/>
      <c r="AB65225" s="6"/>
      <c r="AC65225" s="6"/>
      <c r="AD65225" s="6"/>
      <c r="AE65225" s="6"/>
      <c r="AF65225" s="6"/>
      <c r="AG65225" s="6"/>
      <c r="AH65225" s="6"/>
      <c r="AI65225" s="6"/>
      <c r="AJ65225" s="6"/>
      <c r="AK65225" s="6"/>
      <c r="AL65225" s="6"/>
      <c r="AM65225" s="6"/>
    </row>
    <row r="65226" spans="2:39" ht="9.9499999999999993" hidden="1" customHeight="1" x14ac:dyDescent="0.2">
      <c r="B65226" s="6"/>
      <c r="C65226" s="6"/>
      <c r="D65226" s="6"/>
      <c r="E65226" s="6"/>
      <c r="F65226" s="6"/>
      <c r="G65226" s="6"/>
      <c r="H65226" s="6"/>
      <c r="I65226" s="6"/>
      <c r="J65226" s="6"/>
      <c r="K65226" s="6"/>
      <c r="L65226" s="6"/>
      <c r="M65226" s="6"/>
      <c r="N65226" s="6"/>
      <c r="O65226" s="6"/>
      <c r="P65226" s="6"/>
      <c r="Q65226" s="6"/>
      <c r="R65226" s="6"/>
      <c r="S65226" s="6"/>
      <c r="T65226" s="6"/>
      <c r="U65226" s="6"/>
      <c r="V65226" s="6"/>
      <c r="W65226" s="6"/>
      <c r="X65226" s="6"/>
      <c r="Y65226" s="6"/>
      <c r="Z65226" s="6"/>
      <c r="AA65226" s="6"/>
      <c r="AB65226" s="6"/>
      <c r="AC65226" s="6"/>
      <c r="AD65226" s="6"/>
      <c r="AE65226" s="6"/>
      <c r="AF65226" s="6"/>
      <c r="AG65226" s="6"/>
      <c r="AH65226" s="6"/>
      <c r="AI65226" s="6"/>
      <c r="AJ65226" s="6"/>
      <c r="AK65226" s="6"/>
      <c r="AL65226" s="6"/>
      <c r="AM65226" s="6"/>
    </row>
    <row r="65227" spans="2:39" ht="9.9499999999999993" hidden="1" customHeight="1" x14ac:dyDescent="0.2">
      <c r="B65227" s="6"/>
      <c r="C65227" s="6"/>
      <c r="D65227" s="6"/>
      <c r="E65227" s="6"/>
      <c r="F65227" s="6"/>
      <c r="G65227" s="6"/>
      <c r="H65227" s="6"/>
      <c r="I65227" s="6"/>
      <c r="J65227" s="6"/>
      <c r="K65227" s="6"/>
      <c r="L65227" s="6"/>
      <c r="M65227" s="6"/>
      <c r="N65227" s="6"/>
      <c r="O65227" s="6"/>
      <c r="P65227" s="6"/>
      <c r="Q65227" s="6"/>
      <c r="R65227" s="6"/>
      <c r="S65227" s="6"/>
      <c r="T65227" s="6"/>
      <c r="U65227" s="6"/>
      <c r="V65227" s="6"/>
      <c r="W65227" s="6"/>
      <c r="X65227" s="6"/>
      <c r="Y65227" s="6"/>
      <c r="Z65227" s="6"/>
      <c r="AA65227" s="6"/>
      <c r="AB65227" s="6"/>
      <c r="AC65227" s="6"/>
      <c r="AD65227" s="6"/>
      <c r="AE65227" s="6"/>
      <c r="AF65227" s="6"/>
      <c r="AG65227" s="6"/>
      <c r="AH65227" s="6"/>
      <c r="AI65227" s="6"/>
      <c r="AJ65227" s="6"/>
      <c r="AK65227" s="6"/>
      <c r="AL65227" s="6"/>
      <c r="AM65227" s="6"/>
    </row>
    <row r="65228" spans="2:39" ht="9.9499999999999993" hidden="1" customHeight="1" x14ac:dyDescent="0.2">
      <c r="B65228" s="6"/>
      <c r="C65228" s="6"/>
      <c r="D65228" s="6"/>
      <c r="E65228" s="6"/>
      <c r="F65228" s="6"/>
      <c r="G65228" s="6"/>
      <c r="H65228" s="6"/>
      <c r="I65228" s="6"/>
      <c r="J65228" s="6"/>
      <c r="K65228" s="6"/>
      <c r="L65228" s="6"/>
      <c r="M65228" s="6"/>
      <c r="N65228" s="6"/>
      <c r="O65228" s="6"/>
      <c r="P65228" s="6"/>
      <c r="Q65228" s="6"/>
      <c r="R65228" s="6"/>
      <c r="S65228" s="6"/>
      <c r="T65228" s="6"/>
      <c r="U65228" s="6"/>
      <c r="V65228" s="6"/>
      <c r="W65228" s="6"/>
      <c r="X65228" s="6"/>
      <c r="Y65228" s="6"/>
      <c r="Z65228" s="6"/>
      <c r="AA65228" s="6"/>
      <c r="AB65228" s="6"/>
      <c r="AC65228" s="6"/>
      <c r="AD65228" s="6"/>
      <c r="AE65228" s="6"/>
      <c r="AF65228" s="6"/>
      <c r="AG65228" s="6"/>
      <c r="AH65228" s="6"/>
      <c r="AI65228" s="6"/>
      <c r="AJ65228" s="6"/>
      <c r="AK65228" s="6"/>
      <c r="AL65228" s="6"/>
      <c r="AM65228" s="6"/>
    </row>
    <row r="65229" spans="2:39" ht="9.9499999999999993" hidden="1" customHeight="1" x14ac:dyDescent="0.2">
      <c r="B65229" s="6"/>
      <c r="C65229" s="6"/>
      <c r="D65229" s="6"/>
      <c r="E65229" s="6"/>
      <c r="F65229" s="6"/>
      <c r="G65229" s="6"/>
      <c r="H65229" s="6"/>
      <c r="I65229" s="6"/>
      <c r="J65229" s="6"/>
      <c r="K65229" s="6"/>
      <c r="L65229" s="6"/>
      <c r="M65229" s="6"/>
      <c r="N65229" s="6"/>
      <c r="O65229" s="6"/>
      <c r="P65229" s="6"/>
      <c r="Q65229" s="6"/>
      <c r="R65229" s="6"/>
      <c r="S65229" s="6"/>
      <c r="T65229" s="6"/>
      <c r="U65229" s="6"/>
      <c r="V65229" s="6"/>
      <c r="W65229" s="6"/>
      <c r="X65229" s="6"/>
      <c r="Y65229" s="6"/>
      <c r="Z65229" s="6"/>
      <c r="AA65229" s="6"/>
      <c r="AB65229" s="6"/>
      <c r="AC65229" s="6"/>
      <c r="AD65229" s="6"/>
      <c r="AE65229" s="6"/>
      <c r="AF65229" s="6"/>
      <c r="AG65229" s="6"/>
      <c r="AH65229" s="6"/>
      <c r="AI65229" s="6"/>
      <c r="AJ65229" s="6"/>
      <c r="AK65229" s="6"/>
      <c r="AL65229" s="6"/>
      <c r="AM65229" s="6"/>
    </row>
    <row r="65230" spans="2:39" ht="9.9499999999999993" hidden="1" customHeight="1" x14ac:dyDescent="0.2">
      <c r="B65230" s="6"/>
      <c r="C65230" s="6"/>
      <c r="D65230" s="6"/>
      <c r="E65230" s="6"/>
      <c r="F65230" s="6"/>
      <c r="G65230" s="6"/>
      <c r="H65230" s="6"/>
      <c r="I65230" s="6"/>
      <c r="J65230" s="6"/>
      <c r="K65230" s="6"/>
      <c r="L65230" s="6"/>
      <c r="M65230" s="6"/>
      <c r="N65230" s="6"/>
      <c r="O65230" s="6"/>
      <c r="P65230" s="6"/>
      <c r="Q65230" s="6"/>
      <c r="R65230" s="6"/>
      <c r="S65230" s="6"/>
      <c r="T65230" s="6"/>
      <c r="U65230" s="6"/>
      <c r="V65230" s="6"/>
      <c r="W65230" s="6"/>
      <c r="X65230" s="6"/>
      <c r="Y65230" s="6"/>
      <c r="Z65230" s="6"/>
      <c r="AA65230" s="6"/>
      <c r="AB65230" s="6"/>
      <c r="AC65230" s="6"/>
      <c r="AD65230" s="6"/>
      <c r="AE65230" s="6"/>
      <c r="AF65230" s="6"/>
      <c r="AG65230" s="6"/>
      <c r="AH65230" s="6"/>
      <c r="AI65230" s="6"/>
      <c r="AJ65230" s="6"/>
      <c r="AK65230" s="6"/>
      <c r="AL65230" s="6"/>
      <c r="AM65230" s="6"/>
    </row>
    <row r="65231" spans="2:39" ht="9.9499999999999993" hidden="1" customHeight="1" x14ac:dyDescent="0.2">
      <c r="B65231" s="6"/>
      <c r="C65231" s="6"/>
      <c r="D65231" s="6"/>
      <c r="E65231" s="6"/>
      <c r="F65231" s="6"/>
      <c r="G65231" s="6"/>
      <c r="H65231" s="6"/>
      <c r="I65231" s="6"/>
      <c r="J65231" s="6"/>
      <c r="K65231" s="6"/>
      <c r="L65231" s="6"/>
      <c r="M65231" s="6"/>
      <c r="N65231" s="6"/>
      <c r="O65231" s="6"/>
      <c r="P65231" s="6"/>
      <c r="Q65231" s="6"/>
      <c r="R65231" s="6"/>
      <c r="S65231" s="6"/>
      <c r="T65231" s="6"/>
      <c r="U65231" s="6"/>
      <c r="V65231" s="6"/>
      <c r="W65231" s="6"/>
      <c r="X65231" s="6"/>
      <c r="Y65231" s="6"/>
      <c r="Z65231" s="6"/>
      <c r="AA65231" s="6"/>
      <c r="AB65231" s="6"/>
      <c r="AC65231" s="6"/>
      <c r="AD65231" s="6"/>
      <c r="AE65231" s="6"/>
      <c r="AF65231" s="6"/>
      <c r="AG65231" s="6"/>
      <c r="AH65231" s="6"/>
      <c r="AI65231" s="6"/>
      <c r="AJ65231" s="6"/>
      <c r="AK65231" s="6"/>
      <c r="AL65231" s="6"/>
      <c r="AM65231" s="6"/>
    </row>
    <row r="65232" spans="2:39" ht="9.9499999999999993" hidden="1" customHeight="1" x14ac:dyDescent="0.2">
      <c r="B65232" s="6"/>
      <c r="C65232" s="6"/>
      <c r="D65232" s="6"/>
      <c r="E65232" s="6"/>
      <c r="F65232" s="6"/>
      <c r="G65232" s="6"/>
      <c r="H65232" s="6"/>
      <c r="I65232" s="6"/>
      <c r="J65232" s="6"/>
      <c r="K65232" s="6"/>
      <c r="L65232" s="6"/>
      <c r="M65232" s="6"/>
      <c r="N65232" s="6"/>
      <c r="O65232" s="6"/>
      <c r="P65232" s="6"/>
      <c r="Q65232" s="6"/>
      <c r="R65232" s="6"/>
      <c r="S65232" s="6"/>
      <c r="T65232" s="6"/>
      <c r="U65232" s="6"/>
      <c r="V65232" s="6"/>
      <c r="W65232" s="6"/>
      <c r="X65232" s="6"/>
      <c r="Y65232" s="6"/>
      <c r="Z65232" s="6"/>
      <c r="AA65232" s="6"/>
      <c r="AB65232" s="6"/>
      <c r="AC65232" s="6"/>
      <c r="AD65232" s="6"/>
      <c r="AE65232" s="6"/>
      <c r="AF65232" s="6"/>
      <c r="AG65232" s="6"/>
      <c r="AH65232" s="6"/>
      <c r="AI65232" s="6"/>
      <c r="AJ65232" s="6"/>
      <c r="AK65232" s="6"/>
      <c r="AL65232" s="6"/>
      <c r="AM65232" s="6"/>
    </row>
    <row r="65233" spans="2:39" ht="9.9499999999999993" hidden="1" customHeight="1" x14ac:dyDescent="0.2">
      <c r="B65233" s="6"/>
      <c r="C65233" s="6"/>
      <c r="D65233" s="6"/>
      <c r="E65233" s="6"/>
      <c r="F65233" s="6"/>
      <c r="G65233" s="6"/>
      <c r="H65233" s="6"/>
      <c r="I65233" s="6"/>
      <c r="J65233" s="6"/>
      <c r="K65233" s="6"/>
      <c r="L65233" s="6"/>
      <c r="M65233" s="6"/>
      <c r="N65233" s="6"/>
      <c r="O65233" s="6"/>
      <c r="P65233" s="6"/>
      <c r="Q65233" s="6"/>
      <c r="R65233" s="6"/>
      <c r="S65233" s="6"/>
      <c r="T65233" s="6"/>
      <c r="U65233" s="6"/>
      <c r="V65233" s="6"/>
      <c r="W65233" s="6"/>
      <c r="X65233" s="6"/>
      <c r="Y65233" s="6"/>
      <c r="Z65233" s="6"/>
      <c r="AA65233" s="6"/>
      <c r="AB65233" s="6"/>
      <c r="AC65233" s="6"/>
      <c r="AD65233" s="6"/>
      <c r="AE65233" s="6"/>
      <c r="AF65233" s="6"/>
      <c r="AG65233" s="6"/>
      <c r="AH65233" s="6"/>
      <c r="AI65233" s="6"/>
      <c r="AJ65233" s="6"/>
      <c r="AK65233" s="6"/>
      <c r="AL65233" s="6"/>
      <c r="AM65233" s="6"/>
    </row>
    <row r="65234" spans="2:39" ht="9.9499999999999993" hidden="1" customHeight="1" x14ac:dyDescent="0.2">
      <c r="B65234" s="6"/>
      <c r="C65234" s="6"/>
      <c r="D65234" s="6"/>
      <c r="E65234" s="6"/>
      <c r="F65234" s="6"/>
      <c r="G65234" s="6"/>
      <c r="H65234" s="6"/>
      <c r="I65234" s="6"/>
      <c r="J65234" s="6"/>
      <c r="K65234" s="6"/>
      <c r="L65234" s="6"/>
      <c r="M65234" s="6"/>
      <c r="N65234" s="6"/>
      <c r="O65234" s="6"/>
      <c r="P65234" s="6"/>
      <c r="Q65234" s="6"/>
      <c r="R65234" s="6"/>
      <c r="S65234" s="6"/>
      <c r="T65234" s="6"/>
      <c r="U65234" s="6"/>
      <c r="V65234" s="6"/>
      <c r="W65234" s="6"/>
      <c r="X65234" s="6"/>
      <c r="Y65234" s="6"/>
      <c r="Z65234" s="6"/>
      <c r="AA65234" s="6"/>
      <c r="AB65234" s="6"/>
      <c r="AC65234" s="6"/>
      <c r="AD65234" s="6"/>
      <c r="AE65234" s="6"/>
      <c r="AF65234" s="6"/>
      <c r="AG65234" s="6"/>
      <c r="AH65234" s="6"/>
      <c r="AI65234" s="6"/>
      <c r="AJ65234" s="6"/>
      <c r="AK65234" s="6"/>
      <c r="AL65234" s="6"/>
      <c r="AM65234" s="6"/>
    </row>
    <row r="65235" spans="2:39" ht="9.9499999999999993" hidden="1" customHeight="1" x14ac:dyDescent="0.2">
      <c r="B65235" s="6"/>
      <c r="C65235" s="6"/>
      <c r="D65235" s="6"/>
      <c r="E65235" s="6"/>
      <c r="F65235" s="6"/>
      <c r="G65235" s="6"/>
      <c r="H65235" s="6"/>
      <c r="I65235" s="6"/>
      <c r="J65235" s="6"/>
      <c r="K65235" s="6"/>
      <c r="L65235" s="6"/>
      <c r="M65235" s="6"/>
      <c r="N65235" s="6"/>
      <c r="O65235" s="6"/>
      <c r="P65235" s="6"/>
      <c r="Q65235" s="6"/>
      <c r="R65235" s="6"/>
      <c r="S65235" s="6"/>
      <c r="T65235" s="6"/>
      <c r="U65235" s="6"/>
      <c r="V65235" s="6"/>
      <c r="W65235" s="6"/>
      <c r="X65235" s="6"/>
      <c r="Y65235" s="6"/>
      <c r="Z65235" s="6"/>
      <c r="AA65235" s="6"/>
      <c r="AB65235" s="6"/>
      <c r="AC65235" s="6"/>
      <c r="AD65235" s="6"/>
      <c r="AE65235" s="6"/>
      <c r="AF65235" s="6"/>
      <c r="AG65235" s="6"/>
      <c r="AH65235" s="6"/>
      <c r="AI65235" s="6"/>
      <c r="AJ65235" s="6"/>
      <c r="AK65235" s="6"/>
      <c r="AL65235" s="6"/>
      <c r="AM65235" s="6"/>
    </row>
    <row r="65236" spans="2:39" ht="9.9499999999999993" hidden="1" customHeight="1" x14ac:dyDescent="0.2">
      <c r="B65236" s="6"/>
      <c r="C65236" s="6"/>
      <c r="D65236" s="6"/>
      <c r="E65236" s="6"/>
      <c r="F65236" s="6"/>
      <c r="G65236" s="6"/>
      <c r="H65236" s="6"/>
      <c r="I65236" s="6"/>
      <c r="J65236" s="6"/>
      <c r="K65236" s="6"/>
      <c r="L65236" s="6"/>
      <c r="M65236" s="6"/>
      <c r="N65236" s="6"/>
      <c r="O65236" s="6"/>
      <c r="P65236" s="6"/>
      <c r="Q65236" s="6"/>
      <c r="R65236" s="6"/>
      <c r="S65236" s="6"/>
      <c r="T65236" s="6"/>
      <c r="U65236" s="6"/>
      <c r="V65236" s="6"/>
      <c r="W65236" s="6"/>
      <c r="X65236" s="6"/>
      <c r="Y65236" s="6"/>
      <c r="Z65236" s="6"/>
      <c r="AA65236" s="6"/>
      <c r="AB65236" s="6"/>
      <c r="AC65236" s="6"/>
      <c r="AD65236" s="6"/>
      <c r="AE65236" s="6"/>
      <c r="AF65236" s="6"/>
      <c r="AG65236" s="6"/>
      <c r="AH65236" s="6"/>
      <c r="AI65236" s="6"/>
      <c r="AJ65236" s="6"/>
      <c r="AK65236" s="6"/>
      <c r="AL65236" s="6"/>
      <c r="AM65236" s="6"/>
    </row>
    <row r="65237" spans="2:39" ht="9.9499999999999993" hidden="1" customHeight="1" x14ac:dyDescent="0.2">
      <c r="B65237" s="6"/>
      <c r="C65237" s="6"/>
      <c r="D65237" s="6"/>
      <c r="E65237" s="6"/>
      <c r="F65237" s="6"/>
      <c r="G65237" s="6"/>
      <c r="H65237" s="6"/>
      <c r="I65237" s="6"/>
      <c r="J65237" s="6"/>
      <c r="K65237" s="6"/>
      <c r="L65237" s="6"/>
      <c r="M65237" s="6"/>
      <c r="N65237" s="6"/>
      <c r="O65237" s="6"/>
      <c r="P65237" s="6"/>
      <c r="Q65237" s="6"/>
      <c r="R65237" s="6"/>
      <c r="S65237" s="6"/>
      <c r="T65237" s="6"/>
      <c r="U65237" s="6"/>
      <c r="V65237" s="6"/>
      <c r="W65237" s="6"/>
      <c r="X65237" s="6"/>
      <c r="Y65237" s="6"/>
      <c r="Z65237" s="6"/>
      <c r="AA65237" s="6"/>
      <c r="AB65237" s="6"/>
      <c r="AC65237" s="6"/>
      <c r="AD65237" s="6"/>
      <c r="AE65237" s="6"/>
      <c r="AF65237" s="6"/>
      <c r="AG65237" s="6"/>
      <c r="AH65237" s="6"/>
      <c r="AI65237" s="6"/>
      <c r="AJ65237" s="6"/>
      <c r="AK65237" s="6"/>
      <c r="AL65237" s="6"/>
      <c r="AM65237" s="6"/>
    </row>
    <row r="65238" spans="2:39" ht="9.9499999999999993" hidden="1" customHeight="1" x14ac:dyDescent="0.2">
      <c r="B65238" s="6"/>
      <c r="C65238" s="6"/>
      <c r="D65238" s="6"/>
      <c r="E65238" s="6"/>
      <c r="F65238" s="6"/>
      <c r="G65238" s="6"/>
      <c r="H65238" s="6"/>
      <c r="I65238" s="6"/>
      <c r="J65238" s="6"/>
      <c r="K65238" s="6"/>
      <c r="L65238" s="6"/>
      <c r="M65238" s="6"/>
      <c r="N65238" s="6"/>
      <c r="O65238" s="6"/>
      <c r="P65238" s="6"/>
      <c r="Q65238" s="6"/>
      <c r="R65238" s="6"/>
      <c r="S65238" s="6"/>
      <c r="T65238" s="6"/>
      <c r="U65238" s="6"/>
      <c r="V65238" s="6"/>
      <c r="W65238" s="6"/>
      <c r="X65238" s="6"/>
      <c r="Y65238" s="6"/>
      <c r="Z65238" s="6"/>
      <c r="AA65238" s="6"/>
      <c r="AB65238" s="6"/>
      <c r="AC65238" s="6"/>
      <c r="AD65238" s="6"/>
      <c r="AE65238" s="6"/>
      <c r="AF65238" s="6"/>
      <c r="AG65238" s="6"/>
      <c r="AH65238" s="6"/>
      <c r="AI65238" s="6"/>
      <c r="AJ65238" s="6"/>
      <c r="AK65238" s="6"/>
      <c r="AL65238" s="6"/>
      <c r="AM65238" s="6"/>
    </row>
    <row r="65239" spans="2:39" ht="9.9499999999999993" hidden="1" customHeight="1" x14ac:dyDescent="0.2">
      <c r="B65239" s="6"/>
      <c r="C65239" s="6"/>
      <c r="D65239" s="6"/>
      <c r="E65239" s="6"/>
      <c r="F65239" s="6"/>
      <c r="G65239" s="6"/>
      <c r="H65239" s="6"/>
      <c r="I65239" s="6"/>
      <c r="J65239" s="6"/>
      <c r="K65239" s="6"/>
      <c r="L65239" s="6"/>
      <c r="M65239" s="6"/>
      <c r="N65239" s="6"/>
      <c r="O65239" s="6"/>
      <c r="P65239" s="6"/>
      <c r="Q65239" s="6"/>
      <c r="R65239" s="6"/>
      <c r="S65239" s="6"/>
      <c r="T65239" s="6"/>
      <c r="U65239" s="6"/>
      <c r="V65239" s="6"/>
      <c r="W65239" s="6"/>
      <c r="X65239" s="6"/>
      <c r="Y65239" s="6"/>
      <c r="Z65239" s="6"/>
      <c r="AA65239" s="6"/>
      <c r="AB65239" s="6"/>
      <c r="AC65239" s="6"/>
      <c r="AD65239" s="6"/>
      <c r="AE65239" s="6"/>
      <c r="AF65239" s="6"/>
      <c r="AG65239" s="6"/>
      <c r="AH65239" s="6"/>
      <c r="AI65239" s="6"/>
      <c r="AJ65239" s="6"/>
      <c r="AK65239" s="6"/>
      <c r="AL65239" s="6"/>
      <c r="AM65239" s="6"/>
    </row>
    <row r="65240" spans="2:39" ht="9.9499999999999993" hidden="1" customHeight="1" x14ac:dyDescent="0.2">
      <c r="B65240" s="6"/>
      <c r="C65240" s="6"/>
      <c r="D65240" s="6"/>
      <c r="E65240" s="6"/>
      <c r="F65240" s="6"/>
      <c r="G65240" s="6"/>
      <c r="H65240" s="6"/>
      <c r="I65240" s="6"/>
      <c r="J65240" s="6"/>
      <c r="K65240" s="6"/>
      <c r="L65240" s="6"/>
      <c r="M65240" s="6"/>
      <c r="N65240" s="6"/>
      <c r="O65240" s="6"/>
      <c r="P65240" s="6"/>
      <c r="Q65240" s="6"/>
      <c r="R65240" s="6"/>
      <c r="S65240" s="6"/>
      <c r="T65240" s="6"/>
      <c r="U65240" s="6"/>
      <c r="V65240" s="6"/>
      <c r="W65240" s="6"/>
      <c r="X65240" s="6"/>
      <c r="Y65240" s="6"/>
      <c r="Z65240" s="6"/>
      <c r="AA65240" s="6"/>
      <c r="AB65240" s="6"/>
      <c r="AC65240" s="6"/>
      <c r="AD65240" s="6"/>
      <c r="AE65240" s="6"/>
      <c r="AF65240" s="6"/>
      <c r="AG65240" s="6"/>
      <c r="AH65240" s="6"/>
      <c r="AI65240" s="6"/>
      <c r="AJ65240" s="6"/>
      <c r="AK65240" s="6"/>
      <c r="AL65240" s="6"/>
      <c r="AM65240" s="6"/>
    </row>
    <row r="65241" spans="2:39" ht="9.9499999999999993" hidden="1" customHeight="1" x14ac:dyDescent="0.2">
      <c r="B65241" s="6"/>
      <c r="C65241" s="6"/>
      <c r="D65241" s="6"/>
      <c r="E65241" s="6"/>
      <c r="F65241" s="6"/>
      <c r="G65241" s="6"/>
      <c r="H65241" s="6"/>
      <c r="I65241" s="6"/>
      <c r="J65241" s="6"/>
      <c r="K65241" s="6"/>
      <c r="L65241" s="6"/>
      <c r="M65241" s="6"/>
      <c r="N65241" s="6"/>
      <c r="O65241" s="6"/>
      <c r="P65241" s="6"/>
      <c r="Q65241" s="6"/>
      <c r="R65241" s="6"/>
      <c r="S65241" s="6"/>
      <c r="T65241" s="6"/>
      <c r="U65241" s="6"/>
      <c r="V65241" s="6"/>
      <c r="W65241" s="6"/>
      <c r="X65241" s="6"/>
      <c r="Y65241" s="6"/>
      <c r="Z65241" s="6"/>
      <c r="AA65241" s="6"/>
      <c r="AB65241" s="6"/>
      <c r="AC65241" s="6"/>
      <c r="AD65241" s="6"/>
      <c r="AE65241" s="6"/>
      <c r="AF65241" s="6"/>
      <c r="AG65241" s="6"/>
      <c r="AH65241" s="6"/>
      <c r="AI65241" s="6"/>
      <c r="AJ65241" s="6"/>
      <c r="AK65241" s="6"/>
      <c r="AL65241" s="6"/>
      <c r="AM65241" s="6"/>
    </row>
    <row r="65242" spans="2:39" ht="9.9499999999999993" hidden="1" customHeight="1" x14ac:dyDescent="0.2">
      <c r="B65242" s="6"/>
      <c r="C65242" s="6"/>
      <c r="D65242" s="6"/>
      <c r="E65242" s="6"/>
      <c r="F65242" s="6"/>
      <c r="G65242" s="6"/>
      <c r="H65242" s="6"/>
      <c r="I65242" s="6"/>
      <c r="J65242" s="6"/>
      <c r="K65242" s="6"/>
      <c r="L65242" s="6"/>
      <c r="M65242" s="6"/>
      <c r="N65242" s="6"/>
      <c r="O65242" s="6"/>
      <c r="P65242" s="6"/>
      <c r="Q65242" s="6"/>
      <c r="R65242" s="6"/>
      <c r="S65242" s="6"/>
      <c r="T65242" s="6"/>
      <c r="U65242" s="6"/>
      <c r="V65242" s="6"/>
      <c r="W65242" s="6"/>
      <c r="X65242" s="6"/>
      <c r="Y65242" s="6"/>
      <c r="Z65242" s="6"/>
      <c r="AA65242" s="6"/>
      <c r="AB65242" s="6"/>
      <c r="AC65242" s="6"/>
      <c r="AD65242" s="6"/>
      <c r="AE65242" s="6"/>
      <c r="AF65242" s="6"/>
      <c r="AG65242" s="6"/>
      <c r="AH65242" s="6"/>
      <c r="AI65242" s="6"/>
      <c r="AJ65242" s="6"/>
      <c r="AK65242" s="6"/>
      <c r="AL65242" s="6"/>
      <c r="AM65242" s="6"/>
    </row>
    <row r="65243" spans="2:39" ht="9.9499999999999993" hidden="1" customHeight="1" x14ac:dyDescent="0.2">
      <c r="B65243" s="6"/>
      <c r="C65243" s="6"/>
      <c r="D65243" s="6"/>
      <c r="E65243" s="6"/>
      <c r="F65243" s="6"/>
      <c r="G65243" s="6"/>
      <c r="H65243" s="6"/>
      <c r="I65243" s="6"/>
      <c r="J65243" s="6"/>
      <c r="K65243" s="6"/>
      <c r="L65243" s="6"/>
      <c r="M65243" s="6"/>
      <c r="N65243" s="6"/>
      <c r="O65243" s="6"/>
      <c r="P65243" s="6"/>
      <c r="Q65243" s="6"/>
      <c r="R65243" s="6"/>
      <c r="S65243" s="6"/>
      <c r="T65243" s="6"/>
      <c r="U65243" s="6"/>
      <c r="V65243" s="6"/>
      <c r="W65243" s="6"/>
      <c r="X65243" s="6"/>
      <c r="Y65243" s="6"/>
      <c r="Z65243" s="6"/>
      <c r="AA65243" s="6"/>
      <c r="AB65243" s="6"/>
      <c r="AC65243" s="6"/>
      <c r="AD65243" s="6"/>
      <c r="AE65243" s="6"/>
      <c r="AF65243" s="6"/>
      <c r="AG65243" s="6"/>
      <c r="AH65243" s="6"/>
      <c r="AI65243" s="6"/>
      <c r="AJ65243" s="6"/>
      <c r="AK65243" s="6"/>
      <c r="AL65243" s="6"/>
      <c r="AM65243" s="6"/>
    </row>
    <row r="65244" spans="2:39" ht="9.9499999999999993" hidden="1" customHeight="1" x14ac:dyDescent="0.2">
      <c r="B65244" s="6"/>
      <c r="C65244" s="6"/>
      <c r="D65244" s="6"/>
      <c r="E65244" s="6"/>
      <c r="F65244" s="6"/>
      <c r="G65244" s="6"/>
      <c r="H65244" s="6"/>
      <c r="I65244" s="6"/>
      <c r="J65244" s="6"/>
      <c r="K65244" s="6"/>
      <c r="L65244" s="6"/>
      <c r="M65244" s="6"/>
      <c r="N65244" s="6"/>
      <c r="O65244" s="6"/>
      <c r="P65244" s="6"/>
      <c r="Q65244" s="6"/>
      <c r="R65244" s="6"/>
      <c r="S65244" s="6"/>
      <c r="T65244" s="6"/>
      <c r="U65244" s="6"/>
      <c r="V65244" s="6"/>
      <c r="W65244" s="6"/>
      <c r="X65244" s="6"/>
      <c r="Y65244" s="6"/>
      <c r="Z65244" s="6"/>
      <c r="AA65244" s="6"/>
      <c r="AB65244" s="6"/>
      <c r="AC65244" s="6"/>
      <c r="AD65244" s="6"/>
      <c r="AE65244" s="6"/>
      <c r="AF65244" s="6"/>
      <c r="AG65244" s="6"/>
      <c r="AH65244" s="6"/>
      <c r="AI65244" s="6"/>
      <c r="AJ65244" s="6"/>
      <c r="AK65244" s="6"/>
      <c r="AL65244" s="6"/>
      <c r="AM65244" s="6"/>
    </row>
    <row r="65245" spans="2:39" ht="9.9499999999999993" hidden="1" customHeight="1" x14ac:dyDescent="0.2">
      <c r="B65245" s="6"/>
      <c r="C65245" s="6"/>
      <c r="D65245" s="6"/>
      <c r="E65245" s="6"/>
      <c r="F65245" s="6"/>
      <c r="G65245" s="6"/>
      <c r="H65245" s="6"/>
      <c r="I65245" s="6"/>
      <c r="J65245" s="6"/>
      <c r="K65245" s="6"/>
      <c r="L65245" s="6"/>
      <c r="M65245" s="6"/>
      <c r="N65245" s="6"/>
      <c r="O65245" s="6"/>
      <c r="P65245" s="6"/>
      <c r="Q65245" s="6"/>
      <c r="R65245" s="6"/>
      <c r="S65245" s="6"/>
      <c r="T65245" s="6"/>
      <c r="U65245" s="6"/>
      <c r="V65245" s="6"/>
      <c r="W65245" s="6"/>
      <c r="X65245" s="6"/>
      <c r="Y65245" s="6"/>
      <c r="Z65245" s="6"/>
      <c r="AA65245" s="6"/>
      <c r="AB65245" s="6"/>
      <c r="AC65245" s="6"/>
      <c r="AD65245" s="6"/>
      <c r="AE65245" s="6"/>
      <c r="AF65245" s="6"/>
      <c r="AG65245" s="6"/>
      <c r="AH65245" s="6"/>
      <c r="AI65245" s="6"/>
      <c r="AJ65245" s="6"/>
      <c r="AK65245" s="6"/>
      <c r="AL65245" s="6"/>
      <c r="AM65245" s="6"/>
    </row>
    <row r="65246" spans="2:39" ht="9.9499999999999993" hidden="1" customHeight="1" x14ac:dyDescent="0.2">
      <c r="B65246" s="6"/>
      <c r="C65246" s="6"/>
      <c r="D65246" s="6"/>
      <c r="E65246" s="6"/>
      <c r="F65246" s="6"/>
      <c r="G65246" s="6"/>
      <c r="H65246" s="6"/>
      <c r="I65246" s="6"/>
      <c r="J65246" s="6"/>
      <c r="K65246" s="6"/>
      <c r="L65246" s="6"/>
      <c r="M65246" s="6"/>
      <c r="N65246" s="6"/>
      <c r="O65246" s="6"/>
      <c r="P65246" s="6"/>
      <c r="Q65246" s="6"/>
      <c r="R65246" s="6"/>
      <c r="S65246" s="6"/>
      <c r="T65246" s="6"/>
      <c r="U65246" s="6"/>
      <c r="V65246" s="6"/>
      <c r="W65246" s="6"/>
      <c r="X65246" s="6"/>
      <c r="Y65246" s="6"/>
      <c r="Z65246" s="6"/>
      <c r="AA65246" s="6"/>
      <c r="AB65246" s="6"/>
      <c r="AC65246" s="6"/>
      <c r="AD65246" s="6"/>
      <c r="AE65246" s="6"/>
      <c r="AF65246" s="6"/>
      <c r="AG65246" s="6"/>
      <c r="AH65246" s="6"/>
      <c r="AI65246" s="6"/>
      <c r="AJ65246" s="6"/>
      <c r="AK65246" s="6"/>
      <c r="AL65246" s="6"/>
      <c r="AM65246" s="6"/>
    </row>
    <row r="65247" spans="2:39" ht="9.9499999999999993" hidden="1" customHeight="1" x14ac:dyDescent="0.2">
      <c r="B65247" s="6"/>
      <c r="C65247" s="6"/>
      <c r="D65247" s="6"/>
      <c r="E65247" s="6"/>
      <c r="F65247" s="6"/>
      <c r="G65247" s="6"/>
      <c r="H65247" s="6"/>
      <c r="I65247" s="6"/>
      <c r="J65247" s="6"/>
      <c r="K65247" s="6"/>
      <c r="L65247" s="6"/>
      <c r="M65247" s="6"/>
      <c r="N65247" s="6"/>
      <c r="O65247" s="6"/>
      <c r="P65247" s="6"/>
      <c r="Q65247" s="6"/>
      <c r="R65247" s="6"/>
      <c r="S65247" s="6"/>
      <c r="T65247" s="6"/>
      <c r="U65247" s="6"/>
      <c r="V65247" s="6"/>
      <c r="W65247" s="6"/>
      <c r="X65247" s="6"/>
      <c r="Y65247" s="6"/>
      <c r="Z65247" s="6"/>
      <c r="AA65247" s="6"/>
      <c r="AB65247" s="6"/>
      <c r="AC65247" s="6"/>
      <c r="AD65247" s="6"/>
      <c r="AE65247" s="6"/>
      <c r="AF65247" s="6"/>
      <c r="AG65247" s="6"/>
      <c r="AH65247" s="6"/>
      <c r="AI65247" s="6"/>
      <c r="AJ65247" s="6"/>
      <c r="AK65247" s="6"/>
      <c r="AL65247" s="6"/>
      <c r="AM65247" s="6"/>
    </row>
    <row r="65248" spans="2:39" ht="9.9499999999999993" hidden="1" customHeight="1" x14ac:dyDescent="0.2">
      <c r="B65248" s="6"/>
      <c r="C65248" s="6"/>
      <c r="D65248" s="6"/>
      <c r="E65248" s="6"/>
      <c r="F65248" s="6"/>
      <c r="G65248" s="6"/>
      <c r="H65248" s="6"/>
      <c r="I65248" s="6"/>
      <c r="J65248" s="6"/>
      <c r="K65248" s="6"/>
      <c r="L65248" s="6"/>
      <c r="M65248" s="6"/>
      <c r="N65248" s="6"/>
      <c r="O65248" s="6"/>
      <c r="P65248" s="6"/>
      <c r="Q65248" s="6"/>
      <c r="R65248" s="6"/>
      <c r="S65248" s="6"/>
      <c r="T65248" s="6"/>
      <c r="U65248" s="6"/>
      <c r="V65248" s="6"/>
      <c r="W65248" s="6"/>
      <c r="X65248" s="6"/>
      <c r="Y65248" s="6"/>
      <c r="Z65248" s="6"/>
      <c r="AA65248" s="6"/>
      <c r="AB65248" s="6"/>
      <c r="AC65248" s="6"/>
      <c r="AD65248" s="6"/>
      <c r="AE65248" s="6"/>
      <c r="AF65248" s="6"/>
      <c r="AG65248" s="6"/>
      <c r="AH65248" s="6"/>
      <c r="AI65248" s="6"/>
      <c r="AJ65248" s="6"/>
      <c r="AK65248" s="6"/>
      <c r="AL65248" s="6"/>
      <c r="AM65248" s="6"/>
    </row>
    <row r="65249" spans="2:39" ht="9.9499999999999993" hidden="1" customHeight="1" x14ac:dyDescent="0.2">
      <c r="B65249" s="6"/>
      <c r="C65249" s="6"/>
      <c r="D65249" s="6"/>
      <c r="E65249" s="6"/>
      <c r="F65249" s="6"/>
      <c r="G65249" s="6"/>
      <c r="H65249" s="6"/>
      <c r="I65249" s="6"/>
      <c r="J65249" s="6"/>
      <c r="K65249" s="6"/>
      <c r="L65249" s="6"/>
      <c r="M65249" s="6"/>
      <c r="N65249" s="6"/>
      <c r="O65249" s="6"/>
      <c r="P65249" s="6"/>
      <c r="Q65249" s="6"/>
      <c r="R65249" s="6"/>
      <c r="S65249" s="6"/>
      <c r="T65249" s="6"/>
      <c r="U65249" s="6"/>
      <c r="V65249" s="6"/>
      <c r="W65249" s="6"/>
      <c r="X65249" s="6"/>
      <c r="Y65249" s="6"/>
      <c r="Z65249" s="6"/>
      <c r="AA65249" s="6"/>
      <c r="AB65249" s="6"/>
      <c r="AC65249" s="6"/>
      <c r="AD65249" s="6"/>
      <c r="AE65249" s="6"/>
      <c r="AF65249" s="6"/>
      <c r="AG65249" s="6"/>
      <c r="AH65249" s="6"/>
      <c r="AI65249" s="6"/>
      <c r="AJ65249" s="6"/>
      <c r="AK65249" s="6"/>
      <c r="AL65249" s="6"/>
      <c r="AM65249" s="6"/>
    </row>
    <row r="65250" spans="2:39" ht="9.9499999999999993" hidden="1" customHeight="1" x14ac:dyDescent="0.2">
      <c r="B65250" s="6"/>
      <c r="C65250" s="6"/>
      <c r="D65250" s="6"/>
      <c r="E65250" s="6"/>
      <c r="F65250" s="6"/>
      <c r="G65250" s="6"/>
      <c r="H65250" s="6"/>
      <c r="I65250" s="6"/>
      <c r="J65250" s="6"/>
      <c r="K65250" s="6"/>
      <c r="L65250" s="6"/>
      <c r="M65250" s="6"/>
      <c r="N65250" s="6"/>
      <c r="O65250" s="6"/>
      <c r="P65250" s="6"/>
      <c r="Q65250" s="6"/>
      <c r="R65250" s="6"/>
      <c r="S65250" s="6"/>
      <c r="T65250" s="6"/>
      <c r="U65250" s="6"/>
      <c r="V65250" s="6"/>
      <c r="W65250" s="6"/>
      <c r="X65250" s="6"/>
      <c r="Y65250" s="6"/>
      <c r="Z65250" s="6"/>
      <c r="AA65250" s="6"/>
      <c r="AB65250" s="6"/>
      <c r="AC65250" s="6"/>
      <c r="AD65250" s="6"/>
      <c r="AE65250" s="6"/>
      <c r="AF65250" s="6"/>
      <c r="AG65250" s="6"/>
      <c r="AH65250" s="6"/>
      <c r="AI65250" s="6"/>
      <c r="AJ65250" s="6"/>
      <c r="AK65250" s="6"/>
      <c r="AL65250" s="6"/>
      <c r="AM65250" s="6"/>
    </row>
    <row r="65251" spans="2:39" ht="9.9499999999999993" hidden="1" customHeight="1" x14ac:dyDescent="0.2">
      <c r="B65251" s="6"/>
      <c r="C65251" s="6"/>
      <c r="D65251" s="6"/>
      <c r="E65251" s="6"/>
      <c r="F65251" s="6"/>
      <c r="G65251" s="6"/>
      <c r="H65251" s="6"/>
      <c r="I65251" s="6"/>
      <c r="J65251" s="6"/>
      <c r="K65251" s="6"/>
      <c r="L65251" s="6"/>
      <c r="M65251" s="6"/>
      <c r="N65251" s="6"/>
      <c r="O65251" s="6"/>
      <c r="P65251" s="6"/>
      <c r="Q65251" s="6"/>
      <c r="R65251" s="6"/>
      <c r="S65251" s="6"/>
      <c r="T65251" s="6"/>
      <c r="U65251" s="6"/>
      <c r="V65251" s="6"/>
      <c r="W65251" s="6"/>
      <c r="X65251" s="6"/>
      <c r="Y65251" s="6"/>
      <c r="Z65251" s="6"/>
      <c r="AA65251" s="6"/>
      <c r="AB65251" s="6"/>
      <c r="AC65251" s="6"/>
      <c r="AD65251" s="6"/>
      <c r="AE65251" s="6"/>
      <c r="AF65251" s="6"/>
      <c r="AG65251" s="6"/>
      <c r="AH65251" s="6"/>
      <c r="AI65251" s="6"/>
      <c r="AJ65251" s="6"/>
      <c r="AK65251" s="6"/>
      <c r="AL65251" s="6"/>
      <c r="AM65251" s="6"/>
    </row>
    <row r="65252" spans="2:39" ht="9.9499999999999993" hidden="1" customHeight="1" x14ac:dyDescent="0.2">
      <c r="B65252" s="6"/>
      <c r="C65252" s="6"/>
      <c r="D65252" s="6"/>
      <c r="E65252" s="6"/>
      <c r="F65252" s="6"/>
      <c r="G65252" s="6"/>
      <c r="H65252" s="6"/>
      <c r="I65252" s="6"/>
      <c r="J65252" s="6"/>
      <c r="K65252" s="6"/>
      <c r="L65252" s="6"/>
      <c r="M65252" s="6"/>
      <c r="N65252" s="6"/>
      <c r="O65252" s="6"/>
      <c r="P65252" s="6"/>
      <c r="Q65252" s="6"/>
      <c r="R65252" s="6"/>
      <c r="S65252" s="6"/>
      <c r="T65252" s="6"/>
      <c r="U65252" s="6"/>
      <c r="V65252" s="6"/>
      <c r="W65252" s="6"/>
      <c r="X65252" s="6"/>
      <c r="Y65252" s="6"/>
      <c r="Z65252" s="6"/>
      <c r="AA65252" s="6"/>
      <c r="AB65252" s="6"/>
      <c r="AC65252" s="6"/>
      <c r="AD65252" s="6"/>
      <c r="AE65252" s="6"/>
      <c r="AF65252" s="6"/>
      <c r="AG65252" s="6"/>
      <c r="AH65252" s="6"/>
      <c r="AI65252" s="6"/>
      <c r="AJ65252" s="6"/>
      <c r="AK65252" s="6"/>
      <c r="AL65252" s="6"/>
      <c r="AM65252" s="6"/>
    </row>
    <row r="65253" spans="2:39" ht="9.9499999999999993" hidden="1" customHeight="1" x14ac:dyDescent="0.2">
      <c r="B65253" s="6"/>
      <c r="C65253" s="6"/>
      <c r="D65253" s="6"/>
      <c r="E65253" s="6"/>
      <c r="F65253" s="6"/>
      <c r="G65253" s="6"/>
      <c r="H65253" s="6"/>
      <c r="I65253" s="6"/>
      <c r="J65253" s="6"/>
      <c r="K65253" s="6"/>
      <c r="L65253" s="6"/>
      <c r="M65253" s="6"/>
      <c r="N65253" s="6"/>
      <c r="O65253" s="6"/>
      <c r="P65253" s="6"/>
      <c r="Q65253" s="6"/>
      <c r="R65253" s="6"/>
      <c r="S65253" s="6"/>
      <c r="T65253" s="6"/>
      <c r="U65253" s="6"/>
      <c r="V65253" s="6"/>
      <c r="W65253" s="6"/>
      <c r="X65253" s="6"/>
      <c r="Y65253" s="6"/>
      <c r="Z65253" s="6"/>
      <c r="AA65253" s="6"/>
      <c r="AB65253" s="6"/>
      <c r="AC65253" s="6"/>
      <c r="AD65253" s="6"/>
      <c r="AE65253" s="6"/>
      <c r="AF65253" s="6"/>
      <c r="AG65253" s="6"/>
      <c r="AH65253" s="6"/>
      <c r="AI65253" s="6"/>
      <c r="AJ65253" s="6"/>
      <c r="AK65253" s="6"/>
      <c r="AL65253" s="6"/>
      <c r="AM65253" s="6"/>
    </row>
    <row r="65254" spans="2:39" ht="9.9499999999999993" hidden="1" customHeight="1" x14ac:dyDescent="0.2">
      <c r="B65254" s="6"/>
      <c r="C65254" s="6"/>
      <c r="D65254" s="6"/>
      <c r="E65254" s="6"/>
      <c r="F65254" s="6"/>
      <c r="G65254" s="6"/>
      <c r="H65254" s="6"/>
      <c r="I65254" s="6"/>
      <c r="J65254" s="6"/>
      <c r="K65254" s="6"/>
      <c r="L65254" s="6"/>
      <c r="M65254" s="6"/>
      <c r="N65254" s="6"/>
      <c r="O65254" s="6"/>
      <c r="P65254" s="6"/>
      <c r="Q65254" s="6"/>
      <c r="R65254" s="6"/>
      <c r="S65254" s="6"/>
      <c r="T65254" s="6"/>
      <c r="U65254" s="6"/>
      <c r="V65254" s="6"/>
      <c r="W65254" s="6"/>
      <c r="X65254" s="6"/>
      <c r="Y65254" s="6"/>
      <c r="Z65254" s="6"/>
      <c r="AA65254" s="6"/>
      <c r="AB65254" s="6"/>
      <c r="AC65254" s="6"/>
      <c r="AD65254" s="6"/>
      <c r="AE65254" s="6"/>
      <c r="AF65254" s="6"/>
      <c r="AG65254" s="6"/>
      <c r="AH65254" s="6"/>
      <c r="AI65254" s="6"/>
      <c r="AJ65254" s="6"/>
      <c r="AK65254" s="6"/>
      <c r="AL65254" s="6"/>
      <c r="AM65254" s="6"/>
    </row>
    <row r="65255" spans="2:39" ht="9.9499999999999993" hidden="1" customHeight="1" x14ac:dyDescent="0.2">
      <c r="B65255" s="6"/>
      <c r="C65255" s="6"/>
      <c r="D65255" s="6"/>
      <c r="E65255" s="6"/>
      <c r="F65255" s="6"/>
      <c r="G65255" s="6"/>
      <c r="H65255" s="6"/>
      <c r="I65255" s="6"/>
      <c r="J65255" s="6"/>
      <c r="K65255" s="6"/>
      <c r="L65255" s="6"/>
      <c r="M65255" s="6"/>
      <c r="N65255" s="6"/>
      <c r="O65255" s="6"/>
      <c r="P65255" s="6"/>
      <c r="Q65255" s="6"/>
      <c r="R65255" s="6"/>
      <c r="S65255" s="6"/>
      <c r="T65255" s="6"/>
      <c r="U65255" s="6"/>
      <c r="V65255" s="6"/>
      <c r="W65255" s="6"/>
      <c r="X65255" s="6"/>
      <c r="Y65255" s="6"/>
      <c r="Z65255" s="6"/>
      <c r="AA65255" s="6"/>
      <c r="AB65255" s="6"/>
      <c r="AC65255" s="6"/>
      <c r="AD65255" s="6"/>
      <c r="AE65255" s="6"/>
      <c r="AF65255" s="6"/>
      <c r="AG65255" s="6"/>
      <c r="AH65255" s="6"/>
      <c r="AI65255" s="6"/>
      <c r="AJ65255" s="6"/>
      <c r="AK65255" s="6"/>
      <c r="AL65255" s="6"/>
      <c r="AM65255" s="6"/>
    </row>
    <row r="65256" spans="2:39" ht="9.9499999999999993" hidden="1" customHeight="1" x14ac:dyDescent="0.2">
      <c r="B65256" s="6"/>
      <c r="C65256" s="6"/>
      <c r="D65256" s="6"/>
      <c r="E65256" s="6"/>
      <c r="F65256" s="6"/>
      <c r="G65256" s="6"/>
      <c r="H65256" s="6"/>
      <c r="I65256" s="6"/>
      <c r="J65256" s="6"/>
      <c r="K65256" s="6"/>
      <c r="L65256" s="6"/>
      <c r="M65256" s="6"/>
      <c r="N65256" s="6"/>
      <c r="O65256" s="6"/>
      <c r="P65256" s="6"/>
      <c r="Q65256" s="6"/>
      <c r="R65256" s="6"/>
      <c r="S65256" s="6"/>
      <c r="T65256" s="6"/>
      <c r="U65256" s="6"/>
      <c r="V65256" s="6"/>
      <c r="W65256" s="6"/>
      <c r="X65256" s="6"/>
      <c r="Y65256" s="6"/>
      <c r="Z65256" s="6"/>
      <c r="AA65256" s="6"/>
      <c r="AB65256" s="6"/>
      <c r="AC65256" s="6"/>
      <c r="AD65256" s="6"/>
      <c r="AE65256" s="6"/>
      <c r="AF65256" s="6"/>
      <c r="AG65256" s="6"/>
      <c r="AH65256" s="6"/>
      <c r="AI65256" s="6"/>
      <c r="AJ65256" s="6"/>
      <c r="AK65256" s="6"/>
      <c r="AL65256" s="6"/>
      <c r="AM65256" s="6"/>
    </row>
    <row r="65257" spans="2:39" ht="9.9499999999999993" hidden="1" customHeight="1" x14ac:dyDescent="0.2">
      <c r="B65257" s="6"/>
      <c r="C65257" s="6"/>
      <c r="D65257" s="6"/>
      <c r="E65257" s="6"/>
      <c r="F65257" s="6"/>
      <c r="G65257" s="6"/>
      <c r="H65257" s="6"/>
      <c r="I65257" s="6"/>
      <c r="J65257" s="6"/>
      <c r="K65257" s="6"/>
      <c r="L65257" s="6"/>
      <c r="M65257" s="6"/>
      <c r="N65257" s="6"/>
      <c r="O65257" s="6"/>
      <c r="P65257" s="6"/>
      <c r="Q65257" s="6"/>
      <c r="R65257" s="6"/>
      <c r="S65257" s="6"/>
      <c r="T65257" s="6"/>
      <c r="U65257" s="6"/>
      <c r="V65257" s="6"/>
      <c r="W65257" s="6"/>
      <c r="X65257" s="6"/>
      <c r="Y65257" s="6"/>
      <c r="Z65257" s="6"/>
      <c r="AA65257" s="6"/>
      <c r="AB65257" s="6"/>
      <c r="AC65257" s="6"/>
      <c r="AD65257" s="6"/>
      <c r="AE65257" s="6"/>
      <c r="AF65257" s="6"/>
      <c r="AG65257" s="6"/>
      <c r="AH65257" s="6"/>
      <c r="AI65257" s="6"/>
      <c r="AJ65257" s="6"/>
      <c r="AK65257" s="6"/>
      <c r="AL65257" s="6"/>
      <c r="AM65257" s="6"/>
    </row>
    <row r="65258" spans="2:39" ht="9.9499999999999993" hidden="1" customHeight="1" x14ac:dyDescent="0.2">
      <c r="B65258" s="6"/>
      <c r="C65258" s="6"/>
      <c r="D65258" s="6"/>
      <c r="E65258" s="6"/>
      <c r="F65258" s="6"/>
      <c r="G65258" s="6"/>
      <c r="H65258" s="6"/>
      <c r="I65258" s="6"/>
      <c r="J65258" s="6"/>
      <c r="K65258" s="6"/>
      <c r="L65258" s="6"/>
      <c r="M65258" s="6"/>
      <c r="N65258" s="6"/>
      <c r="O65258" s="6"/>
      <c r="P65258" s="6"/>
      <c r="Q65258" s="6"/>
      <c r="R65258" s="6"/>
      <c r="S65258" s="6"/>
      <c r="T65258" s="6"/>
      <c r="U65258" s="6"/>
      <c r="V65258" s="6"/>
      <c r="W65258" s="6"/>
      <c r="X65258" s="6"/>
      <c r="Y65258" s="6"/>
      <c r="Z65258" s="6"/>
      <c r="AA65258" s="6"/>
      <c r="AB65258" s="6"/>
      <c r="AC65258" s="6"/>
      <c r="AD65258" s="6"/>
      <c r="AE65258" s="6"/>
      <c r="AF65258" s="6"/>
      <c r="AG65258" s="6"/>
      <c r="AH65258" s="6"/>
      <c r="AI65258" s="6"/>
      <c r="AJ65258" s="6"/>
      <c r="AK65258" s="6"/>
      <c r="AL65258" s="6"/>
      <c r="AM65258" s="6"/>
    </row>
    <row r="65259" spans="2:39" ht="9.9499999999999993" hidden="1" customHeight="1" x14ac:dyDescent="0.2">
      <c r="B65259" s="6"/>
      <c r="C65259" s="6"/>
      <c r="D65259" s="6"/>
      <c r="E65259" s="6"/>
      <c r="F65259" s="6"/>
      <c r="G65259" s="6"/>
      <c r="H65259" s="6"/>
      <c r="I65259" s="6"/>
      <c r="J65259" s="6"/>
      <c r="K65259" s="6"/>
      <c r="L65259" s="6"/>
      <c r="M65259" s="6"/>
      <c r="N65259" s="6"/>
      <c r="O65259" s="6"/>
      <c r="P65259" s="6"/>
      <c r="Q65259" s="6"/>
      <c r="R65259" s="6"/>
      <c r="S65259" s="6"/>
      <c r="T65259" s="6"/>
      <c r="U65259" s="6"/>
      <c r="V65259" s="6"/>
      <c r="W65259" s="6"/>
      <c r="X65259" s="6"/>
      <c r="Y65259" s="6"/>
      <c r="Z65259" s="6"/>
      <c r="AA65259" s="6"/>
      <c r="AB65259" s="6"/>
      <c r="AC65259" s="6"/>
      <c r="AD65259" s="6"/>
      <c r="AE65259" s="6"/>
      <c r="AF65259" s="6"/>
      <c r="AG65259" s="6"/>
      <c r="AH65259" s="6"/>
      <c r="AI65259" s="6"/>
      <c r="AJ65259" s="6"/>
      <c r="AK65259" s="6"/>
      <c r="AL65259" s="6"/>
      <c r="AM65259" s="6"/>
    </row>
    <row r="65260" spans="2:39" ht="9.9499999999999993" hidden="1" customHeight="1" x14ac:dyDescent="0.2">
      <c r="B65260" s="6"/>
      <c r="C65260" s="6"/>
      <c r="D65260" s="6"/>
      <c r="E65260" s="6"/>
      <c r="F65260" s="6"/>
      <c r="G65260" s="6"/>
      <c r="H65260" s="6"/>
      <c r="I65260" s="6"/>
      <c r="J65260" s="6"/>
      <c r="K65260" s="6"/>
      <c r="L65260" s="6"/>
      <c r="M65260" s="6"/>
      <c r="N65260" s="6"/>
      <c r="O65260" s="6"/>
      <c r="P65260" s="6"/>
      <c r="Q65260" s="6"/>
      <c r="R65260" s="6"/>
      <c r="S65260" s="6"/>
      <c r="T65260" s="6"/>
      <c r="U65260" s="6"/>
      <c r="V65260" s="6"/>
      <c r="W65260" s="6"/>
      <c r="X65260" s="6"/>
      <c r="Y65260" s="6"/>
      <c r="Z65260" s="6"/>
      <c r="AA65260" s="6"/>
      <c r="AB65260" s="6"/>
      <c r="AC65260" s="6"/>
      <c r="AD65260" s="6"/>
      <c r="AE65260" s="6"/>
      <c r="AF65260" s="6"/>
      <c r="AG65260" s="6"/>
      <c r="AH65260" s="6"/>
      <c r="AI65260" s="6"/>
      <c r="AJ65260" s="6"/>
      <c r="AK65260" s="6"/>
      <c r="AL65260" s="6"/>
      <c r="AM65260" s="6"/>
    </row>
    <row r="65261" spans="2:39" ht="9.9499999999999993" hidden="1" customHeight="1" x14ac:dyDescent="0.2">
      <c r="B65261" s="6"/>
      <c r="C65261" s="6"/>
      <c r="D65261" s="6"/>
      <c r="E65261" s="6"/>
      <c r="F65261" s="6"/>
      <c r="G65261" s="6"/>
      <c r="H65261" s="6"/>
      <c r="I65261" s="6"/>
      <c r="J65261" s="6"/>
      <c r="K65261" s="6"/>
      <c r="L65261" s="6"/>
      <c r="M65261" s="6"/>
      <c r="N65261" s="6"/>
      <c r="O65261" s="6"/>
      <c r="P65261" s="6"/>
      <c r="Q65261" s="6"/>
      <c r="R65261" s="6"/>
      <c r="S65261" s="6"/>
      <c r="T65261" s="6"/>
      <c r="U65261" s="6"/>
      <c r="V65261" s="6"/>
      <c r="W65261" s="6"/>
      <c r="X65261" s="6"/>
      <c r="Y65261" s="6"/>
      <c r="Z65261" s="6"/>
      <c r="AA65261" s="6"/>
      <c r="AB65261" s="6"/>
      <c r="AC65261" s="6"/>
      <c r="AD65261" s="6"/>
      <c r="AE65261" s="6"/>
      <c r="AF65261" s="6"/>
      <c r="AG65261" s="6"/>
      <c r="AH65261" s="6"/>
      <c r="AI65261" s="6"/>
      <c r="AJ65261" s="6"/>
      <c r="AK65261" s="6"/>
      <c r="AL65261" s="6"/>
      <c r="AM65261" s="6"/>
    </row>
    <row r="65262" spans="2:39" ht="9.9499999999999993" hidden="1" customHeight="1" x14ac:dyDescent="0.2">
      <c r="B65262" s="6"/>
      <c r="C65262" s="6"/>
      <c r="D65262" s="6"/>
      <c r="E65262" s="6"/>
      <c r="F65262" s="6"/>
      <c r="G65262" s="6"/>
      <c r="H65262" s="6"/>
      <c r="I65262" s="6"/>
      <c r="J65262" s="6"/>
      <c r="K65262" s="6"/>
      <c r="L65262" s="6"/>
      <c r="M65262" s="6"/>
      <c r="N65262" s="6"/>
      <c r="O65262" s="6"/>
      <c r="P65262" s="6"/>
      <c r="Q65262" s="6"/>
      <c r="R65262" s="6"/>
      <c r="S65262" s="6"/>
      <c r="T65262" s="6"/>
      <c r="U65262" s="6"/>
      <c r="V65262" s="6"/>
      <c r="W65262" s="6"/>
      <c r="X65262" s="6"/>
      <c r="Y65262" s="6"/>
      <c r="Z65262" s="6"/>
      <c r="AA65262" s="6"/>
      <c r="AB65262" s="6"/>
      <c r="AC65262" s="6"/>
      <c r="AD65262" s="6"/>
      <c r="AE65262" s="6"/>
      <c r="AF65262" s="6"/>
      <c r="AG65262" s="6"/>
      <c r="AH65262" s="6"/>
      <c r="AI65262" s="6"/>
      <c r="AJ65262" s="6"/>
      <c r="AK65262" s="6"/>
      <c r="AL65262" s="6"/>
      <c r="AM65262" s="6"/>
    </row>
    <row r="65263" spans="2:39" ht="9.9499999999999993" hidden="1" customHeight="1" x14ac:dyDescent="0.2">
      <c r="B65263" s="6"/>
      <c r="C65263" s="6"/>
      <c r="D65263" s="6"/>
      <c r="E65263" s="6"/>
      <c r="F65263" s="6"/>
      <c r="G65263" s="6"/>
      <c r="H65263" s="6"/>
      <c r="I65263" s="6"/>
      <c r="J65263" s="6"/>
      <c r="K65263" s="6"/>
      <c r="L65263" s="6"/>
      <c r="M65263" s="6"/>
      <c r="N65263" s="6"/>
      <c r="O65263" s="6"/>
      <c r="P65263" s="6"/>
      <c r="Q65263" s="6"/>
      <c r="R65263" s="6"/>
      <c r="S65263" s="6"/>
      <c r="T65263" s="6"/>
      <c r="U65263" s="6"/>
      <c r="V65263" s="6"/>
      <c r="W65263" s="6"/>
      <c r="X65263" s="6"/>
      <c r="Y65263" s="6"/>
      <c r="Z65263" s="6"/>
      <c r="AA65263" s="6"/>
      <c r="AB65263" s="6"/>
      <c r="AC65263" s="6"/>
      <c r="AD65263" s="6"/>
      <c r="AE65263" s="6"/>
      <c r="AF65263" s="6"/>
      <c r="AG65263" s="6"/>
      <c r="AH65263" s="6"/>
      <c r="AI65263" s="6"/>
      <c r="AJ65263" s="6"/>
      <c r="AK65263" s="6"/>
      <c r="AL65263" s="6"/>
      <c r="AM65263" s="6"/>
    </row>
    <row r="65264" spans="2:39" ht="9.9499999999999993" hidden="1" customHeight="1" x14ac:dyDescent="0.2">
      <c r="B65264" s="6"/>
      <c r="C65264" s="6"/>
      <c r="D65264" s="6"/>
      <c r="E65264" s="6"/>
      <c r="F65264" s="6"/>
      <c r="G65264" s="6"/>
      <c r="H65264" s="6"/>
      <c r="I65264" s="6"/>
      <c r="J65264" s="6"/>
      <c r="K65264" s="6"/>
      <c r="L65264" s="6"/>
      <c r="M65264" s="6"/>
      <c r="N65264" s="6"/>
      <c r="O65264" s="6"/>
      <c r="P65264" s="6"/>
      <c r="Q65264" s="6"/>
      <c r="R65264" s="6"/>
      <c r="S65264" s="6"/>
      <c r="T65264" s="6"/>
      <c r="U65264" s="6"/>
      <c r="V65264" s="6"/>
      <c r="W65264" s="6"/>
      <c r="X65264" s="6"/>
      <c r="Y65264" s="6"/>
      <c r="Z65264" s="6"/>
      <c r="AA65264" s="6"/>
      <c r="AB65264" s="6"/>
      <c r="AC65264" s="6"/>
      <c r="AD65264" s="6"/>
      <c r="AE65264" s="6"/>
      <c r="AF65264" s="6"/>
      <c r="AG65264" s="6"/>
      <c r="AH65264" s="6"/>
      <c r="AI65264" s="6"/>
      <c r="AJ65264" s="6"/>
      <c r="AK65264" s="6"/>
      <c r="AL65264" s="6"/>
      <c r="AM65264" s="6"/>
    </row>
    <row r="65265" spans="2:39" ht="9.9499999999999993" hidden="1" customHeight="1" x14ac:dyDescent="0.2">
      <c r="B65265" s="6"/>
      <c r="C65265" s="6"/>
      <c r="D65265" s="6"/>
      <c r="E65265" s="6"/>
      <c r="F65265" s="6"/>
      <c r="G65265" s="6"/>
      <c r="H65265" s="6"/>
      <c r="I65265" s="6"/>
      <c r="J65265" s="6"/>
      <c r="K65265" s="6"/>
      <c r="L65265" s="6"/>
      <c r="M65265" s="6"/>
      <c r="N65265" s="6"/>
      <c r="O65265" s="6"/>
      <c r="P65265" s="6"/>
      <c r="Q65265" s="6"/>
      <c r="R65265" s="6"/>
      <c r="S65265" s="6"/>
      <c r="T65265" s="6"/>
      <c r="U65265" s="6"/>
      <c r="V65265" s="6"/>
      <c r="W65265" s="6"/>
      <c r="X65265" s="6"/>
      <c r="Y65265" s="6"/>
      <c r="Z65265" s="6"/>
      <c r="AA65265" s="6"/>
      <c r="AB65265" s="6"/>
      <c r="AC65265" s="6"/>
      <c r="AD65265" s="6"/>
      <c r="AE65265" s="6"/>
      <c r="AF65265" s="6"/>
      <c r="AG65265" s="6"/>
      <c r="AH65265" s="6"/>
      <c r="AI65265" s="6"/>
      <c r="AJ65265" s="6"/>
      <c r="AK65265" s="6"/>
      <c r="AL65265" s="6"/>
      <c r="AM65265" s="6"/>
    </row>
    <row r="65266" spans="2:39" ht="9.9499999999999993" hidden="1" customHeight="1" x14ac:dyDescent="0.2">
      <c r="B65266" s="6"/>
      <c r="C65266" s="6"/>
      <c r="D65266" s="6"/>
      <c r="E65266" s="6"/>
      <c r="F65266" s="6"/>
      <c r="G65266" s="6"/>
      <c r="H65266" s="6"/>
      <c r="I65266" s="6"/>
      <c r="J65266" s="6"/>
      <c r="K65266" s="6"/>
      <c r="L65266" s="6"/>
      <c r="M65266" s="6"/>
      <c r="N65266" s="6"/>
      <c r="O65266" s="6"/>
      <c r="P65266" s="6"/>
      <c r="Q65266" s="6"/>
      <c r="R65266" s="6"/>
      <c r="S65266" s="6"/>
      <c r="T65266" s="6"/>
      <c r="U65266" s="6"/>
      <c r="V65266" s="6"/>
      <c r="W65266" s="6"/>
      <c r="X65266" s="6"/>
      <c r="Y65266" s="6"/>
      <c r="Z65266" s="6"/>
      <c r="AA65266" s="6"/>
      <c r="AB65266" s="6"/>
      <c r="AC65266" s="6"/>
      <c r="AD65266" s="6"/>
      <c r="AE65266" s="6"/>
      <c r="AF65266" s="6"/>
      <c r="AG65266" s="6"/>
      <c r="AH65266" s="6"/>
      <c r="AI65266" s="6"/>
      <c r="AJ65266" s="6"/>
      <c r="AK65266" s="6"/>
      <c r="AL65266" s="6"/>
      <c r="AM65266" s="6"/>
    </row>
    <row r="65267" spans="2:39" ht="9.9499999999999993" hidden="1" customHeight="1" x14ac:dyDescent="0.2">
      <c r="B65267" s="6"/>
      <c r="C65267" s="6"/>
      <c r="D65267" s="6"/>
      <c r="E65267" s="6"/>
      <c r="F65267" s="6"/>
      <c r="G65267" s="6"/>
      <c r="H65267" s="6"/>
      <c r="I65267" s="6"/>
      <c r="J65267" s="6"/>
      <c r="K65267" s="6"/>
      <c r="L65267" s="6"/>
      <c r="M65267" s="6"/>
      <c r="N65267" s="6"/>
      <c r="O65267" s="6"/>
      <c r="P65267" s="6"/>
      <c r="Q65267" s="6"/>
      <c r="R65267" s="6"/>
      <c r="S65267" s="6"/>
      <c r="T65267" s="6"/>
      <c r="U65267" s="6"/>
      <c r="V65267" s="6"/>
      <c r="W65267" s="6"/>
      <c r="X65267" s="6"/>
      <c r="Y65267" s="6"/>
      <c r="Z65267" s="6"/>
      <c r="AA65267" s="6"/>
      <c r="AB65267" s="6"/>
      <c r="AC65267" s="6"/>
      <c r="AD65267" s="6"/>
      <c r="AE65267" s="6"/>
      <c r="AF65267" s="6"/>
      <c r="AG65267" s="6"/>
      <c r="AH65267" s="6"/>
      <c r="AI65267" s="6"/>
      <c r="AJ65267" s="6"/>
      <c r="AK65267" s="6"/>
      <c r="AL65267" s="6"/>
      <c r="AM65267" s="6"/>
    </row>
    <row r="65268" spans="2:39" ht="9.9499999999999993" hidden="1" customHeight="1" x14ac:dyDescent="0.2">
      <c r="B65268" s="6"/>
      <c r="C65268" s="6"/>
      <c r="D65268" s="6"/>
      <c r="E65268" s="6"/>
      <c r="F65268" s="6"/>
      <c r="G65268" s="6"/>
      <c r="H65268" s="6"/>
      <c r="I65268" s="6"/>
      <c r="J65268" s="6"/>
      <c r="K65268" s="6"/>
      <c r="L65268" s="6"/>
      <c r="M65268" s="6"/>
      <c r="N65268" s="6"/>
      <c r="O65268" s="6"/>
      <c r="P65268" s="6"/>
      <c r="Q65268" s="6"/>
      <c r="R65268" s="6"/>
      <c r="S65268" s="6"/>
      <c r="T65268" s="6"/>
      <c r="U65268" s="6"/>
      <c r="V65268" s="6"/>
      <c r="W65268" s="6"/>
      <c r="X65268" s="6"/>
      <c r="Y65268" s="6"/>
      <c r="Z65268" s="6"/>
      <c r="AA65268" s="6"/>
      <c r="AB65268" s="6"/>
      <c r="AC65268" s="6"/>
      <c r="AD65268" s="6"/>
      <c r="AE65268" s="6"/>
      <c r="AF65268" s="6"/>
      <c r="AG65268" s="6"/>
      <c r="AH65268" s="6"/>
      <c r="AI65268" s="6"/>
      <c r="AJ65268" s="6"/>
      <c r="AK65268" s="6"/>
      <c r="AL65268" s="6"/>
      <c r="AM65268" s="6"/>
    </row>
    <row r="65269" spans="2:39" ht="9.9499999999999993" hidden="1" customHeight="1" x14ac:dyDescent="0.2">
      <c r="B65269" s="6"/>
      <c r="C65269" s="6"/>
      <c r="D65269" s="6"/>
      <c r="E65269" s="6"/>
      <c r="F65269" s="6"/>
      <c r="G65269" s="6"/>
      <c r="H65269" s="6"/>
      <c r="I65269" s="6"/>
      <c r="J65269" s="6"/>
      <c r="K65269" s="6"/>
      <c r="L65269" s="6"/>
      <c r="M65269" s="6"/>
      <c r="N65269" s="6"/>
      <c r="O65269" s="6"/>
      <c r="P65269" s="6"/>
      <c r="Q65269" s="6"/>
      <c r="R65269" s="6"/>
      <c r="S65269" s="6"/>
      <c r="T65269" s="6"/>
      <c r="U65269" s="6"/>
      <c r="V65269" s="6"/>
      <c r="W65269" s="6"/>
      <c r="X65269" s="6"/>
      <c r="Y65269" s="6"/>
      <c r="Z65269" s="6"/>
      <c r="AA65269" s="6"/>
      <c r="AB65269" s="6"/>
      <c r="AC65269" s="6"/>
      <c r="AD65269" s="6"/>
      <c r="AE65269" s="6"/>
      <c r="AF65269" s="6"/>
      <c r="AG65269" s="6"/>
      <c r="AH65269" s="6"/>
      <c r="AI65269" s="6"/>
      <c r="AJ65269" s="6"/>
      <c r="AK65269" s="6"/>
      <c r="AL65269" s="6"/>
      <c r="AM65269" s="6"/>
    </row>
    <row r="65270" spans="2:39" ht="9.9499999999999993" hidden="1" customHeight="1" x14ac:dyDescent="0.2">
      <c r="B65270" s="6"/>
      <c r="C65270" s="6"/>
      <c r="D65270" s="6"/>
      <c r="E65270" s="6"/>
      <c r="F65270" s="6"/>
      <c r="G65270" s="6"/>
      <c r="H65270" s="6"/>
      <c r="I65270" s="6"/>
      <c r="J65270" s="6"/>
      <c r="K65270" s="6"/>
      <c r="L65270" s="6"/>
      <c r="M65270" s="6"/>
      <c r="N65270" s="6"/>
      <c r="O65270" s="6"/>
      <c r="P65270" s="6"/>
      <c r="Q65270" s="6"/>
      <c r="R65270" s="6"/>
      <c r="S65270" s="6"/>
      <c r="T65270" s="6"/>
      <c r="U65270" s="6"/>
      <c r="V65270" s="6"/>
      <c r="W65270" s="6"/>
      <c r="X65270" s="6"/>
      <c r="Y65270" s="6"/>
      <c r="Z65270" s="6"/>
      <c r="AA65270" s="6"/>
      <c r="AB65270" s="6"/>
      <c r="AC65270" s="6"/>
      <c r="AD65270" s="6"/>
      <c r="AE65270" s="6"/>
      <c r="AF65270" s="6"/>
      <c r="AG65270" s="6"/>
      <c r="AH65270" s="6"/>
      <c r="AI65270" s="6"/>
      <c r="AJ65270" s="6"/>
      <c r="AK65270" s="6"/>
      <c r="AL65270" s="6"/>
      <c r="AM65270" s="6"/>
    </row>
    <row r="65271" spans="2:39" ht="9.9499999999999993" hidden="1" customHeight="1" x14ac:dyDescent="0.2">
      <c r="B65271" s="6"/>
      <c r="C65271" s="6"/>
      <c r="D65271" s="6"/>
      <c r="E65271" s="6"/>
      <c r="F65271" s="6"/>
      <c r="G65271" s="6"/>
      <c r="H65271" s="6"/>
      <c r="I65271" s="6"/>
      <c r="J65271" s="6"/>
      <c r="K65271" s="6"/>
      <c r="L65271" s="6"/>
      <c r="M65271" s="6"/>
      <c r="N65271" s="6"/>
      <c r="O65271" s="6"/>
      <c r="P65271" s="6"/>
      <c r="Q65271" s="6"/>
      <c r="R65271" s="6"/>
      <c r="S65271" s="6"/>
      <c r="T65271" s="6"/>
      <c r="U65271" s="6"/>
      <c r="V65271" s="6"/>
      <c r="W65271" s="6"/>
      <c r="X65271" s="6"/>
      <c r="Y65271" s="6"/>
      <c r="Z65271" s="6"/>
      <c r="AA65271" s="6"/>
      <c r="AB65271" s="6"/>
      <c r="AC65271" s="6"/>
      <c r="AD65271" s="6"/>
      <c r="AE65271" s="6"/>
      <c r="AF65271" s="6"/>
      <c r="AG65271" s="6"/>
      <c r="AH65271" s="6"/>
      <c r="AI65271" s="6"/>
      <c r="AJ65271" s="6"/>
      <c r="AK65271" s="6"/>
      <c r="AL65271" s="6"/>
      <c r="AM65271" s="6"/>
    </row>
    <row r="65272" spans="2:39" ht="9.9499999999999993" hidden="1" customHeight="1" x14ac:dyDescent="0.2">
      <c r="B65272" s="6"/>
      <c r="C65272" s="6"/>
      <c r="D65272" s="6"/>
      <c r="E65272" s="6"/>
      <c r="F65272" s="6"/>
      <c r="G65272" s="6"/>
      <c r="H65272" s="6"/>
      <c r="I65272" s="6"/>
      <c r="J65272" s="6"/>
      <c r="K65272" s="6"/>
      <c r="L65272" s="6"/>
      <c r="M65272" s="6"/>
      <c r="N65272" s="6"/>
      <c r="O65272" s="6"/>
      <c r="P65272" s="6"/>
      <c r="Q65272" s="6"/>
      <c r="R65272" s="6"/>
      <c r="S65272" s="6"/>
      <c r="T65272" s="6"/>
      <c r="U65272" s="6"/>
      <c r="V65272" s="6"/>
      <c r="W65272" s="6"/>
      <c r="X65272" s="6"/>
      <c r="Y65272" s="6"/>
      <c r="Z65272" s="6"/>
      <c r="AA65272" s="6"/>
      <c r="AB65272" s="6"/>
      <c r="AC65272" s="6"/>
      <c r="AD65272" s="6"/>
      <c r="AE65272" s="6"/>
      <c r="AF65272" s="6"/>
      <c r="AG65272" s="6"/>
      <c r="AH65272" s="6"/>
      <c r="AI65272" s="6"/>
      <c r="AJ65272" s="6"/>
      <c r="AK65272" s="6"/>
      <c r="AL65272" s="6"/>
      <c r="AM65272" s="6"/>
    </row>
    <row r="65273" spans="2:39" ht="9.9499999999999993" hidden="1" customHeight="1" x14ac:dyDescent="0.2">
      <c r="B65273" s="6"/>
      <c r="C65273" s="6"/>
      <c r="D65273" s="6"/>
      <c r="E65273" s="6"/>
      <c r="F65273" s="6"/>
      <c r="G65273" s="6"/>
      <c r="H65273" s="6"/>
      <c r="I65273" s="6"/>
      <c r="J65273" s="6"/>
      <c r="K65273" s="6"/>
      <c r="L65273" s="6"/>
      <c r="M65273" s="6"/>
      <c r="N65273" s="6"/>
      <c r="O65273" s="6"/>
      <c r="P65273" s="6"/>
      <c r="Q65273" s="6"/>
      <c r="R65273" s="6"/>
      <c r="S65273" s="6"/>
      <c r="T65273" s="6"/>
      <c r="U65273" s="6"/>
      <c r="V65273" s="6"/>
      <c r="W65273" s="6"/>
      <c r="X65273" s="6"/>
      <c r="Y65273" s="6"/>
      <c r="Z65273" s="6"/>
      <c r="AA65273" s="6"/>
      <c r="AB65273" s="6"/>
      <c r="AC65273" s="6"/>
      <c r="AD65273" s="6"/>
      <c r="AE65273" s="6"/>
      <c r="AF65273" s="6"/>
      <c r="AG65273" s="6"/>
      <c r="AH65273" s="6"/>
      <c r="AI65273" s="6"/>
      <c r="AJ65273" s="6"/>
      <c r="AK65273" s="6"/>
      <c r="AL65273" s="6"/>
      <c r="AM65273" s="6"/>
    </row>
    <row r="65274" spans="2:39" ht="9.9499999999999993" hidden="1" customHeight="1" x14ac:dyDescent="0.2">
      <c r="B65274" s="6"/>
      <c r="C65274" s="6"/>
      <c r="D65274" s="6"/>
      <c r="E65274" s="6"/>
      <c r="F65274" s="6"/>
      <c r="G65274" s="6"/>
      <c r="H65274" s="6"/>
      <c r="I65274" s="6"/>
      <c r="J65274" s="6"/>
      <c r="K65274" s="6"/>
      <c r="L65274" s="6"/>
      <c r="M65274" s="6"/>
      <c r="N65274" s="6"/>
      <c r="O65274" s="6"/>
      <c r="P65274" s="6"/>
      <c r="Q65274" s="6"/>
      <c r="R65274" s="6"/>
      <c r="S65274" s="6"/>
      <c r="T65274" s="6"/>
      <c r="U65274" s="6"/>
      <c r="V65274" s="6"/>
      <c r="W65274" s="6"/>
      <c r="X65274" s="6"/>
      <c r="Y65274" s="6"/>
      <c r="Z65274" s="6"/>
      <c r="AA65274" s="6"/>
      <c r="AB65274" s="6"/>
      <c r="AC65274" s="6"/>
      <c r="AD65274" s="6"/>
      <c r="AE65274" s="6"/>
      <c r="AF65274" s="6"/>
      <c r="AG65274" s="6"/>
      <c r="AH65274" s="6"/>
      <c r="AI65274" s="6"/>
      <c r="AJ65274" s="6"/>
      <c r="AK65274" s="6"/>
      <c r="AL65274" s="6"/>
      <c r="AM65274" s="6"/>
    </row>
    <row r="65275" spans="2:39" ht="9.9499999999999993" hidden="1" customHeight="1" x14ac:dyDescent="0.2">
      <c r="B65275" s="6"/>
      <c r="C65275" s="6"/>
      <c r="D65275" s="6"/>
      <c r="E65275" s="6"/>
      <c r="F65275" s="6"/>
      <c r="G65275" s="6"/>
      <c r="H65275" s="6"/>
      <c r="I65275" s="6"/>
      <c r="J65275" s="6"/>
      <c r="K65275" s="6"/>
      <c r="L65275" s="6"/>
      <c r="M65275" s="6"/>
      <c r="N65275" s="6"/>
      <c r="O65275" s="6"/>
      <c r="P65275" s="6"/>
      <c r="Q65275" s="6"/>
      <c r="R65275" s="6"/>
      <c r="S65275" s="6"/>
      <c r="T65275" s="6"/>
      <c r="U65275" s="6"/>
      <c r="V65275" s="6"/>
      <c r="W65275" s="6"/>
      <c r="X65275" s="6"/>
      <c r="Y65275" s="6"/>
      <c r="Z65275" s="6"/>
      <c r="AA65275" s="6"/>
      <c r="AB65275" s="6"/>
      <c r="AC65275" s="6"/>
      <c r="AD65275" s="6"/>
      <c r="AE65275" s="6"/>
      <c r="AF65275" s="6"/>
      <c r="AG65275" s="6"/>
      <c r="AH65275" s="6"/>
      <c r="AI65275" s="6"/>
      <c r="AJ65275" s="6"/>
      <c r="AK65275" s="6"/>
      <c r="AL65275" s="6"/>
      <c r="AM65275" s="6"/>
    </row>
    <row r="65276" spans="2:39" ht="9.9499999999999993" hidden="1" customHeight="1" x14ac:dyDescent="0.2">
      <c r="B65276" s="6"/>
      <c r="C65276" s="6"/>
      <c r="D65276" s="6"/>
      <c r="E65276" s="6"/>
      <c r="F65276" s="6"/>
      <c r="G65276" s="6"/>
      <c r="H65276" s="6"/>
      <c r="I65276" s="6"/>
      <c r="J65276" s="6"/>
      <c r="K65276" s="6"/>
      <c r="L65276" s="6"/>
      <c r="M65276" s="6"/>
      <c r="N65276" s="6"/>
      <c r="O65276" s="6"/>
      <c r="P65276" s="6"/>
      <c r="Q65276" s="6"/>
      <c r="R65276" s="6"/>
      <c r="S65276" s="6"/>
      <c r="T65276" s="6"/>
      <c r="U65276" s="6"/>
      <c r="V65276" s="6"/>
      <c r="W65276" s="6"/>
      <c r="X65276" s="6"/>
      <c r="Y65276" s="6"/>
      <c r="Z65276" s="6"/>
      <c r="AA65276" s="6"/>
      <c r="AB65276" s="6"/>
      <c r="AC65276" s="6"/>
      <c r="AD65276" s="6"/>
      <c r="AE65276" s="6"/>
      <c r="AF65276" s="6"/>
      <c r="AG65276" s="6"/>
      <c r="AH65276" s="6"/>
      <c r="AI65276" s="6"/>
      <c r="AJ65276" s="6"/>
      <c r="AK65276" s="6"/>
      <c r="AL65276" s="6"/>
      <c r="AM65276" s="6"/>
    </row>
    <row r="65277" spans="2:39" ht="9.9499999999999993" hidden="1" customHeight="1" x14ac:dyDescent="0.2">
      <c r="B65277" s="6"/>
      <c r="C65277" s="6"/>
      <c r="D65277" s="6"/>
      <c r="E65277" s="6"/>
      <c r="F65277" s="6"/>
      <c r="G65277" s="6"/>
      <c r="H65277" s="6"/>
      <c r="I65277" s="6"/>
      <c r="J65277" s="6"/>
      <c r="K65277" s="6"/>
      <c r="L65277" s="6"/>
      <c r="M65277" s="6"/>
      <c r="N65277" s="6"/>
      <c r="O65277" s="6"/>
      <c r="P65277" s="6"/>
      <c r="Q65277" s="6"/>
      <c r="R65277" s="6"/>
      <c r="S65277" s="6"/>
      <c r="T65277" s="6"/>
      <c r="U65277" s="6"/>
      <c r="V65277" s="6"/>
      <c r="W65277" s="6"/>
      <c r="X65277" s="6"/>
      <c r="Y65277" s="6"/>
      <c r="Z65277" s="6"/>
      <c r="AA65277" s="6"/>
      <c r="AB65277" s="6"/>
      <c r="AC65277" s="6"/>
      <c r="AD65277" s="6"/>
      <c r="AE65277" s="6"/>
      <c r="AF65277" s="6"/>
      <c r="AG65277" s="6"/>
      <c r="AH65277" s="6"/>
      <c r="AI65277" s="6"/>
      <c r="AJ65277" s="6"/>
      <c r="AK65277" s="6"/>
      <c r="AL65277" s="6"/>
      <c r="AM65277" s="6"/>
    </row>
    <row r="65278" spans="2:39" ht="9.9499999999999993" hidden="1" customHeight="1" x14ac:dyDescent="0.2">
      <c r="B65278" s="6"/>
      <c r="C65278" s="6"/>
      <c r="D65278" s="6"/>
      <c r="E65278" s="6"/>
      <c r="F65278" s="6"/>
      <c r="G65278" s="6"/>
      <c r="H65278" s="6"/>
      <c r="I65278" s="6"/>
      <c r="J65278" s="6"/>
      <c r="K65278" s="6"/>
      <c r="L65278" s="6"/>
      <c r="M65278" s="6"/>
      <c r="N65278" s="6"/>
      <c r="O65278" s="6"/>
      <c r="P65278" s="6"/>
      <c r="Q65278" s="6"/>
      <c r="R65278" s="6"/>
      <c r="S65278" s="6"/>
      <c r="T65278" s="6"/>
      <c r="U65278" s="6"/>
      <c r="V65278" s="6"/>
      <c r="W65278" s="6"/>
      <c r="X65278" s="6"/>
      <c r="Y65278" s="6"/>
      <c r="Z65278" s="6"/>
      <c r="AA65278" s="6"/>
      <c r="AB65278" s="6"/>
      <c r="AC65278" s="6"/>
      <c r="AD65278" s="6"/>
      <c r="AE65278" s="6"/>
      <c r="AF65278" s="6"/>
      <c r="AG65278" s="6"/>
      <c r="AH65278" s="6"/>
      <c r="AI65278" s="6"/>
      <c r="AJ65278" s="6"/>
      <c r="AK65278" s="6"/>
      <c r="AL65278" s="6"/>
      <c r="AM65278" s="6"/>
    </row>
    <row r="65279" spans="2:39" ht="9.9499999999999993" hidden="1" customHeight="1" x14ac:dyDescent="0.2">
      <c r="B65279" s="6"/>
      <c r="C65279" s="6"/>
      <c r="D65279" s="6"/>
      <c r="E65279" s="6"/>
      <c r="F65279" s="6"/>
      <c r="G65279" s="6"/>
      <c r="H65279" s="6"/>
      <c r="I65279" s="6"/>
      <c r="J65279" s="6"/>
      <c r="K65279" s="6"/>
      <c r="L65279" s="6"/>
      <c r="M65279" s="6"/>
      <c r="N65279" s="6"/>
      <c r="O65279" s="6"/>
      <c r="P65279" s="6"/>
      <c r="Q65279" s="6"/>
      <c r="R65279" s="6"/>
      <c r="S65279" s="6"/>
      <c r="T65279" s="6"/>
      <c r="U65279" s="6"/>
      <c r="V65279" s="6"/>
      <c r="W65279" s="6"/>
      <c r="X65279" s="6"/>
      <c r="Y65279" s="6"/>
      <c r="Z65279" s="6"/>
      <c r="AA65279" s="6"/>
      <c r="AB65279" s="6"/>
      <c r="AC65279" s="6"/>
      <c r="AD65279" s="6"/>
      <c r="AE65279" s="6"/>
      <c r="AF65279" s="6"/>
      <c r="AG65279" s="6"/>
      <c r="AH65279" s="6"/>
      <c r="AI65279" s="6"/>
      <c r="AJ65279" s="6"/>
      <c r="AK65279" s="6"/>
      <c r="AL65279" s="6"/>
      <c r="AM65279" s="6"/>
    </row>
    <row r="65280" spans="2:39" ht="9.9499999999999993" hidden="1" customHeight="1" x14ac:dyDescent="0.2">
      <c r="B65280" s="6"/>
      <c r="C65280" s="6"/>
      <c r="D65280" s="6"/>
      <c r="E65280" s="6"/>
      <c r="F65280" s="6"/>
      <c r="G65280" s="6"/>
      <c r="H65280" s="6"/>
      <c r="I65280" s="6"/>
      <c r="J65280" s="6"/>
      <c r="K65280" s="6"/>
      <c r="L65280" s="6"/>
      <c r="M65280" s="6"/>
      <c r="N65280" s="6"/>
      <c r="O65280" s="6"/>
      <c r="P65280" s="6"/>
      <c r="Q65280" s="6"/>
      <c r="R65280" s="6"/>
      <c r="S65280" s="6"/>
      <c r="T65280" s="6"/>
      <c r="U65280" s="6"/>
      <c r="V65280" s="6"/>
      <c r="W65280" s="6"/>
      <c r="X65280" s="6"/>
      <c r="Y65280" s="6"/>
      <c r="Z65280" s="6"/>
      <c r="AA65280" s="6"/>
      <c r="AB65280" s="6"/>
      <c r="AC65280" s="6"/>
      <c r="AD65280" s="6"/>
      <c r="AE65280" s="6"/>
      <c r="AF65280" s="6"/>
      <c r="AG65280" s="6"/>
      <c r="AH65280" s="6"/>
      <c r="AI65280" s="6"/>
      <c r="AJ65280" s="6"/>
      <c r="AK65280" s="6"/>
      <c r="AL65280" s="6"/>
      <c r="AM65280" s="6"/>
    </row>
    <row r="65281" spans="2:39" ht="9.9499999999999993" hidden="1" customHeight="1" x14ac:dyDescent="0.2">
      <c r="B65281" s="6"/>
      <c r="C65281" s="6"/>
      <c r="D65281" s="6"/>
      <c r="E65281" s="6"/>
      <c r="F65281" s="6"/>
      <c r="G65281" s="6"/>
      <c r="H65281" s="6"/>
      <c r="I65281" s="6"/>
      <c r="J65281" s="6"/>
      <c r="K65281" s="6"/>
      <c r="L65281" s="6"/>
      <c r="M65281" s="6"/>
      <c r="N65281" s="6"/>
      <c r="O65281" s="6"/>
      <c r="P65281" s="6"/>
      <c r="Q65281" s="6"/>
      <c r="R65281" s="6"/>
      <c r="S65281" s="6"/>
      <c r="T65281" s="6"/>
      <c r="U65281" s="6"/>
      <c r="V65281" s="6"/>
      <c r="W65281" s="6"/>
      <c r="X65281" s="6"/>
      <c r="Y65281" s="6"/>
      <c r="Z65281" s="6"/>
      <c r="AA65281" s="6"/>
      <c r="AB65281" s="6"/>
      <c r="AC65281" s="6"/>
      <c r="AD65281" s="6"/>
      <c r="AE65281" s="6"/>
      <c r="AF65281" s="6"/>
      <c r="AG65281" s="6"/>
      <c r="AH65281" s="6"/>
      <c r="AI65281" s="6"/>
      <c r="AJ65281" s="6"/>
      <c r="AK65281" s="6"/>
      <c r="AL65281" s="6"/>
      <c r="AM65281" s="6"/>
    </row>
    <row r="65282" spans="2:39" ht="9.9499999999999993" hidden="1" customHeight="1" x14ac:dyDescent="0.2">
      <c r="B65282" s="6"/>
      <c r="C65282" s="6"/>
      <c r="D65282" s="6"/>
      <c r="E65282" s="6"/>
      <c r="F65282" s="6"/>
      <c r="G65282" s="6"/>
      <c r="H65282" s="6"/>
      <c r="I65282" s="6"/>
      <c r="J65282" s="6"/>
      <c r="K65282" s="6"/>
      <c r="L65282" s="6"/>
      <c r="M65282" s="6"/>
      <c r="N65282" s="6"/>
      <c r="O65282" s="6"/>
      <c r="P65282" s="6"/>
      <c r="Q65282" s="6"/>
      <c r="R65282" s="6"/>
      <c r="S65282" s="6"/>
      <c r="T65282" s="6"/>
      <c r="U65282" s="6"/>
      <c r="V65282" s="6"/>
      <c r="W65282" s="6"/>
      <c r="X65282" s="6"/>
      <c r="Y65282" s="6"/>
      <c r="Z65282" s="6"/>
      <c r="AA65282" s="6"/>
      <c r="AB65282" s="6"/>
      <c r="AC65282" s="6"/>
      <c r="AD65282" s="6"/>
      <c r="AE65282" s="6"/>
      <c r="AF65282" s="6"/>
      <c r="AG65282" s="6"/>
      <c r="AH65282" s="6"/>
      <c r="AI65282" s="6"/>
      <c r="AJ65282" s="6"/>
      <c r="AK65282" s="6"/>
      <c r="AL65282" s="6"/>
      <c r="AM65282" s="6"/>
    </row>
    <row r="65283" spans="2:39" ht="9.9499999999999993" hidden="1" customHeight="1" x14ac:dyDescent="0.2">
      <c r="B65283" s="6"/>
      <c r="C65283" s="6"/>
      <c r="D65283" s="6"/>
      <c r="E65283" s="6"/>
      <c r="F65283" s="6"/>
      <c r="G65283" s="6"/>
      <c r="H65283" s="6"/>
      <c r="I65283" s="6"/>
      <c r="J65283" s="6"/>
      <c r="K65283" s="6"/>
      <c r="L65283" s="6"/>
      <c r="M65283" s="6"/>
      <c r="N65283" s="6"/>
      <c r="O65283" s="6"/>
      <c r="P65283" s="6"/>
      <c r="Q65283" s="6"/>
      <c r="R65283" s="6"/>
      <c r="S65283" s="6"/>
      <c r="T65283" s="6"/>
      <c r="U65283" s="6"/>
      <c r="V65283" s="6"/>
      <c r="W65283" s="6"/>
      <c r="X65283" s="6"/>
      <c r="Y65283" s="6"/>
      <c r="Z65283" s="6"/>
      <c r="AA65283" s="6"/>
      <c r="AB65283" s="6"/>
      <c r="AC65283" s="6"/>
      <c r="AD65283" s="6"/>
      <c r="AE65283" s="6"/>
      <c r="AF65283" s="6"/>
      <c r="AG65283" s="6"/>
      <c r="AH65283" s="6"/>
      <c r="AI65283" s="6"/>
      <c r="AJ65283" s="6"/>
      <c r="AK65283" s="6"/>
      <c r="AL65283" s="6"/>
      <c r="AM65283" s="6"/>
    </row>
    <row r="65284" spans="2:39" ht="9.9499999999999993" hidden="1" customHeight="1" x14ac:dyDescent="0.2">
      <c r="B65284" s="6"/>
      <c r="C65284" s="6"/>
      <c r="D65284" s="6"/>
      <c r="E65284" s="6"/>
      <c r="F65284" s="6"/>
      <c r="G65284" s="6"/>
      <c r="H65284" s="6"/>
      <c r="I65284" s="6"/>
      <c r="J65284" s="6"/>
      <c r="K65284" s="6"/>
      <c r="L65284" s="6"/>
      <c r="M65284" s="6"/>
      <c r="N65284" s="6"/>
      <c r="O65284" s="6"/>
      <c r="P65284" s="6"/>
      <c r="Q65284" s="6"/>
      <c r="R65284" s="6"/>
      <c r="S65284" s="6"/>
      <c r="T65284" s="6"/>
      <c r="U65284" s="6"/>
      <c r="V65284" s="6"/>
      <c r="W65284" s="6"/>
      <c r="X65284" s="6"/>
      <c r="Y65284" s="6"/>
      <c r="Z65284" s="6"/>
      <c r="AA65284" s="6"/>
      <c r="AB65284" s="6"/>
      <c r="AC65284" s="6"/>
      <c r="AD65284" s="6"/>
      <c r="AE65284" s="6"/>
      <c r="AF65284" s="6"/>
      <c r="AG65284" s="6"/>
      <c r="AH65284" s="6"/>
      <c r="AI65284" s="6"/>
      <c r="AJ65284" s="6"/>
      <c r="AK65284" s="6"/>
      <c r="AL65284" s="6"/>
      <c r="AM65284" s="6"/>
    </row>
    <row r="65285" spans="2:39" ht="9.9499999999999993" hidden="1" customHeight="1" x14ac:dyDescent="0.2">
      <c r="B65285" s="6"/>
      <c r="C65285" s="6"/>
      <c r="D65285" s="6"/>
      <c r="E65285" s="6"/>
      <c r="F65285" s="6"/>
      <c r="G65285" s="6"/>
      <c r="H65285" s="6"/>
      <c r="I65285" s="6"/>
      <c r="J65285" s="6"/>
      <c r="K65285" s="6"/>
      <c r="L65285" s="6"/>
      <c r="M65285" s="6"/>
      <c r="N65285" s="6"/>
      <c r="O65285" s="6"/>
      <c r="P65285" s="6"/>
      <c r="Q65285" s="6"/>
      <c r="R65285" s="6"/>
      <c r="S65285" s="6"/>
      <c r="T65285" s="6"/>
      <c r="U65285" s="6"/>
      <c r="V65285" s="6"/>
      <c r="W65285" s="6"/>
      <c r="X65285" s="6"/>
      <c r="Y65285" s="6"/>
      <c r="Z65285" s="6"/>
      <c r="AA65285" s="6"/>
      <c r="AB65285" s="6"/>
      <c r="AC65285" s="6"/>
      <c r="AD65285" s="6"/>
      <c r="AE65285" s="6"/>
      <c r="AF65285" s="6"/>
      <c r="AG65285" s="6"/>
      <c r="AH65285" s="6"/>
      <c r="AI65285" s="6"/>
      <c r="AJ65285" s="6"/>
      <c r="AK65285" s="6"/>
      <c r="AL65285" s="6"/>
      <c r="AM65285" s="6"/>
    </row>
    <row r="65286" spans="2:39" ht="9.9499999999999993" hidden="1" customHeight="1" x14ac:dyDescent="0.2">
      <c r="B65286" s="6"/>
      <c r="C65286" s="6"/>
      <c r="D65286" s="6"/>
      <c r="E65286" s="6"/>
      <c r="F65286" s="6"/>
      <c r="G65286" s="6"/>
      <c r="H65286" s="6"/>
      <c r="I65286" s="6"/>
      <c r="J65286" s="6"/>
      <c r="K65286" s="6"/>
      <c r="L65286" s="6"/>
      <c r="M65286" s="6"/>
      <c r="N65286" s="6"/>
      <c r="O65286" s="6"/>
      <c r="P65286" s="6"/>
      <c r="Q65286" s="6"/>
      <c r="R65286" s="6"/>
      <c r="S65286" s="6"/>
      <c r="T65286" s="6"/>
      <c r="U65286" s="6"/>
      <c r="V65286" s="6"/>
      <c r="W65286" s="6"/>
      <c r="X65286" s="6"/>
      <c r="Y65286" s="6"/>
      <c r="Z65286" s="6"/>
      <c r="AA65286" s="6"/>
      <c r="AB65286" s="6"/>
      <c r="AC65286" s="6"/>
      <c r="AD65286" s="6"/>
      <c r="AE65286" s="6"/>
      <c r="AF65286" s="6"/>
      <c r="AG65286" s="6"/>
      <c r="AH65286" s="6"/>
      <c r="AI65286" s="6"/>
      <c r="AJ65286" s="6"/>
      <c r="AK65286" s="6"/>
      <c r="AL65286" s="6"/>
      <c r="AM65286" s="6"/>
    </row>
    <row r="65287" spans="2:39" ht="9.9499999999999993" hidden="1" customHeight="1" x14ac:dyDescent="0.2">
      <c r="B65287" s="6"/>
      <c r="C65287" s="6"/>
      <c r="D65287" s="6"/>
      <c r="E65287" s="6"/>
      <c r="F65287" s="6"/>
      <c r="G65287" s="6"/>
      <c r="H65287" s="6"/>
      <c r="I65287" s="6"/>
      <c r="J65287" s="6"/>
      <c r="K65287" s="6"/>
      <c r="L65287" s="6"/>
      <c r="M65287" s="6"/>
      <c r="N65287" s="6"/>
      <c r="O65287" s="6"/>
      <c r="P65287" s="6"/>
      <c r="Q65287" s="6"/>
      <c r="R65287" s="6"/>
      <c r="S65287" s="6"/>
      <c r="T65287" s="6"/>
      <c r="U65287" s="6"/>
      <c r="V65287" s="6"/>
      <c r="W65287" s="6"/>
      <c r="X65287" s="6"/>
      <c r="Y65287" s="6"/>
      <c r="Z65287" s="6"/>
      <c r="AA65287" s="6"/>
      <c r="AB65287" s="6"/>
      <c r="AC65287" s="6"/>
      <c r="AD65287" s="6"/>
      <c r="AE65287" s="6"/>
      <c r="AF65287" s="6"/>
      <c r="AG65287" s="6"/>
      <c r="AH65287" s="6"/>
      <c r="AI65287" s="6"/>
      <c r="AJ65287" s="6"/>
      <c r="AK65287" s="6"/>
      <c r="AL65287" s="6"/>
      <c r="AM65287" s="6"/>
    </row>
    <row r="65288" spans="2:39" ht="9.9499999999999993" hidden="1" customHeight="1" x14ac:dyDescent="0.2">
      <c r="B65288" s="6"/>
      <c r="C65288" s="6"/>
      <c r="D65288" s="6"/>
      <c r="E65288" s="6"/>
      <c r="F65288" s="6"/>
      <c r="G65288" s="6"/>
      <c r="H65288" s="6"/>
      <c r="I65288" s="6"/>
      <c r="J65288" s="6"/>
      <c r="K65288" s="6"/>
      <c r="L65288" s="6"/>
      <c r="M65288" s="6"/>
      <c r="N65288" s="6"/>
      <c r="O65288" s="6"/>
      <c r="P65288" s="6"/>
      <c r="Q65288" s="6"/>
      <c r="R65288" s="6"/>
      <c r="S65288" s="6"/>
      <c r="T65288" s="6"/>
      <c r="U65288" s="6"/>
      <c r="V65288" s="6"/>
      <c r="W65288" s="6"/>
      <c r="X65288" s="6"/>
      <c r="Y65288" s="6"/>
      <c r="Z65288" s="6"/>
      <c r="AA65288" s="6"/>
      <c r="AB65288" s="6"/>
      <c r="AC65288" s="6"/>
      <c r="AD65288" s="6"/>
      <c r="AE65288" s="6"/>
      <c r="AF65288" s="6"/>
      <c r="AG65288" s="6"/>
      <c r="AH65288" s="6"/>
      <c r="AI65288" s="6"/>
      <c r="AJ65288" s="6"/>
      <c r="AK65288" s="6"/>
      <c r="AL65288" s="6"/>
      <c r="AM65288" s="6"/>
    </row>
    <row r="65289" spans="2:39" ht="9.9499999999999993" hidden="1" customHeight="1" x14ac:dyDescent="0.2">
      <c r="B65289" s="6"/>
      <c r="C65289" s="6"/>
      <c r="D65289" s="6"/>
      <c r="E65289" s="6"/>
      <c r="F65289" s="6"/>
      <c r="G65289" s="6"/>
      <c r="H65289" s="6"/>
      <c r="I65289" s="6"/>
      <c r="J65289" s="6"/>
      <c r="K65289" s="6"/>
      <c r="L65289" s="6"/>
      <c r="M65289" s="6"/>
      <c r="N65289" s="6"/>
      <c r="O65289" s="6"/>
      <c r="P65289" s="6"/>
      <c r="Q65289" s="6"/>
      <c r="R65289" s="6"/>
      <c r="S65289" s="6"/>
      <c r="T65289" s="6"/>
      <c r="U65289" s="6"/>
      <c r="V65289" s="6"/>
      <c r="W65289" s="6"/>
      <c r="X65289" s="6"/>
      <c r="Y65289" s="6"/>
      <c r="Z65289" s="6"/>
      <c r="AA65289" s="6"/>
      <c r="AB65289" s="6"/>
      <c r="AC65289" s="6"/>
      <c r="AD65289" s="6"/>
      <c r="AE65289" s="6"/>
      <c r="AF65289" s="6"/>
      <c r="AG65289" s="6"/>
      <c r="AH65289" s="6"/>
      <c r="AI65289" s="6"/>
      <c r="AJ65289" s="6"/>
      <c r="AK65289" s="6"/>
      <c r="AL65289" s="6"/>
      <c r="AM65289" s="6"/>
    </row>
    <row r="65290" spans="2:39" ht="9.9499999999999993" hidden="1" customHeight="1" x14ac:dyDescent="0.2">
      <c r="B65290" s="6"/>
      <c r="C65290" s="6"/>
      <c r="D65290" s="6"/>
      <c r="E65290" s="6"/>
      <c r="F65290" s="6"/>
      <c r="G65290" s="6"/>
      <c r="H65290" s="6"/>
      <c r="I65290" s="6"/>
      <c r="J65290" s="6"/>
      <c r="K65290" s="6"/>
      <c r="L65290" s="6"/>
      <c r="M65290" s="6"/>
      <c r="N65290" s="6"/>
      <c r="O65290" s="6"/>
      <c r="P65290" s="6"/>
      <c r="Q65290" s="6"/>
      <c r="R65290" s="6"/>
      <c r="S65290" s="6"/>
      <c r="T65290" s="6"/>
      <c r="U65290" s="6"/>
      <c r="V65290" s="6"/>
      <c r="W65290" s="6"/>
      <c r="X65290" s="6"/>
      <c r="Y65290" s="6"/>
      <c r="Z65290" s="6"/>
      <c r="AA65290" s="6"/>
      <c r="AB65290" s="6"/>
      <c r="AC65290" s="6"/>
      <c r="AD65290" s="6"/>
      <c r="AE65290" s="6"/>
      <c r="AF65290" s="6"/>
      <c r="AG65290" s="6"/>
      <c r="AH65290" s="6"/>
      <c r="AI65290" s="6"/>
      <c r="AJ65290" s="6"/>
      <c r="AK65290" s="6"/>
      <c r="AL65290" s="6"/>
      <c r="AM65290" s="6"/>
    </row>
    <row r="65291" spans="2:39" ht="9.9499999999999993" hidden="1" customHeight="1" x14ac:dyDescent="0.2">
      <c r="B65291" s="6"/>
      <c r="C65291" s="6"/>
      <c r="D65291" s="6"/>
      <c r="E65291" s="6"/>
      <c r="F65291" s="6"/>
      <c r="G65291" s="6"/>
      <c r="H65291" s="6"/>
      <c r="I65291" s="6"/>
      <c r="J65291" s="6"/>
      <c r="K65291" s="6"/>
      <c r="L65291" s="6"/>
      <c r="M65291" s="6"/>
      <c r="N65291" s="6"/>
      <c r="O65291" s="6"/>
      <c r="P65291" s="6"/>
      <c r="Q65291" s="6"/>
      <c r="R65291" s="6"/>
      <c r="S65291" s="6"/>
      <c r="T65291" s="6"/>
      <c r="U65291" s="6"/>
      <c r="V65291" s="6"/>
      <c r="W65291" s="6"/>
      <c r="X65291" s="6"/>
      <c r="Y65291" s="6"/>
      <c r="Z65291" s="6"/>
      <c r="AA65291" s="6"/>
      <c r="AB65291" s="6"/>
      <c r="AC65291" s="6"/>
      <c r="AD65291" s="6"/>
      <c r="AE65291" s="6"/>
      <c r="AF65291" s="6"/>
      <c r="AG65291" s="6"/>
      <c r="AH65291" s="6"/>
      <c r="AI65291" s="6"/>
      <c r="AJ65291" s="6"/>
      <c r="AK65291" s="6"/>
      <c r="AL65291" s="6"/>
      <c r="AM65291" s="6"/>
    </row>
    <row r="65292" spans="2:39" ht="9.9499999999999993" hidden="1" customHeight="1" x14ac:dyDescent="0.2">
      <c r="B65292" s="6"/>
      <c r="C65292" s="6"/>
      <c r="D65292" s="6"/>
      <c r="E65292" s="6"/>
      <c r="F65292" s="6"/>
      <c r="G65292" s="6"/>
      <c r="H65292" s="6"/>
      <c r="I65292" s="6"/>
      <c r="J65292" s="6"/>
      <c r="K65292" s="6"/>
      <c r="L65292" s="6"/>
      <c r="M65292" s="6"/>
      <c r="N65292" s="6"/>
      <c r="O65292" s="6"/>
      <c r="P65292" s="6"/>
      <c r="Q65292" s="6"/>
      <c r="R65292" s="6"/>
      <c r="S65292" s="6"/>
      <c r="T65292" s="6"/>
      <c r="U65292" s="6"/>
      <c r="V65292" s="6"/>
      <c r="W65292" s="6"/>
      <c r="X65292" s="6"/>
      <c r="Y65292" s="6"/>
      <c r="Z65292" s="6"/>
      <c r="AA65292" s="6"/>
      <c r="AB65292" s="6"/>
      <c r="AC65292" s="6"/>
      <c r="AD65292" s="6"/>
      <c r="AE65292" s="6"/>
      <c r="AF65292" s="6"/>
      <c r="AG65292" s="6"/>
      <c r="AH65292" s="6"/>
      <c r="AI65292" s="6"/>
      <c r="AJ65292" s="6"/>
      <c r="AK65292" s="6"/>
      <c r="AL65292" s="6"/>
      <c r="AM65292" s="6"/>
    </row>
    <row r="65293" spans="2:39" ht="9.9499999999999993" hidden="1" customHeight="1" x14ac:dyDescent="0.2">
      <c r="B65293" s="6"/>
      <c r="C65293" s="6"/>
      <c r="D65293" s="6"/>
      <c r="E65293" s="6"/>
      <c r="F65293" s="6"/>
      <c r="G65293" s="6"/>
      <c r="H65293" s="6"/>
      <c r="I65293" s="6"/>
      <c r="J65293" s="6"/>
      <c r="K65293" s="6"/>
      <c r="L65293" s="6"/>
      <c r="M65293" s="6"/>
      <c r="N65293" s="6"/>
      <c r="O65293" s="6"/>
      <c r="P65293" s="6"/>
      <c r="Q65293" s="6"/>
      <c r="R65293" s="6"/>
      <c r="S65293" s="6"/>
      <c r="T65293" s="6"/>
      <c r="U65293" s="6"/>
      <c r="V65293" s="6"/>
      <c r="W65293" s="6"/>
      <c r="X65293" s="6"/>
      <c r="Y65293" s="6"/>
      <c r="Z65293" s="6"/>
      <c r="AA65293" s="6"/>
      <c r="AB65293" s="6"/>
      <c r="AC65293" s="6"/>
      <c r="AD65293" s="6"/>
      <c r="AE65293" s="6"/>
      <c r="AF65293" s="6"/>
      <c r="AG65293" s="6"/>
      <c r="AH65293" s="6"/>
      <c r="AI65293" s="6"/>
      <c r="AJ65293" s="6"/>
      <c r="AK65293" s="6"/>
      <c r="AL65293" s="6"/>
      <c r="AM65293" s="6"/>
    </row>
    <row r="65294" spans="2:39" ht="9.9499999999999993" hidden="1" customHeight="1" x14ac:dyDescent="0.2">
      <c r="B65294" s="6"/>
      <c r="C65294" s="6"/>
      <c r="D65294" s="6"/>
      <c r="E65294" s="6"/>
      <c r="F65294" s="6"/>
      <c r="G65294" s="6"/>
      <c r="H65294" s="6"/>
      <c r="I65294" s="6"/>
      <c r="J65294" s="6"/>
      <c r="K65294" s="6"/>
      <c r="L65294" s="6"/>
      <c r="M65294" s="6"/>
      <c r="N65294" s="6"/>
      <c r="O65294" s="6"/>
      <c r="P65294" s="6"/>
      <c r="Q65294" s="6"/>
      <c r="R65294" s="6"/>
      <c r="S65294" s="6"/>
      <c r="T65294" s="6"/>
      <c r="U65294" s="6"/>
      <c r="V65294" s="6"/>
      <c r="W65294" s="6"/>
      <c r="X65294" s="6"/>
      <c r="Y65294" s="6"/>
      <c r="Z65294" s="6"/>
      <c r="AA65294" s="6"/>
      <c r="AB65294" s="6"/>
      <c r="AC65294" s="6"/>
      <c r="AD65294" s="6"/>
      <c r="AE65294" s="6"/>
      <c r="AF65294" s="6"/>
      <c r="AG65294" s="6"/>
      <c r="AH65294" s="6"/>
      <c r="AI65294" s="6"/>
      <c r="AJ65294" s="6"/>
      <c r="AK65294" s="6"/>
      <c r="AL65294" s="6"/>
      <c r="AM65294" s="6"/>
    </row>
    <row r="65295" spans="2:39" ht="9.9499999999999993" hidden="1" customHeight="1" x14ac:dyDescent="0.2">
      <c r="B65295" s="6"/>
      <c r="C65295" s="6"/>
      <c r="D65295" s="6"/>
      <c r="E65295" s="6"/>
      <c r="F65295" s="6"/>
      <c r="G65295" s="6"/>
      <c r="H65295" s="6"/>
      <c r="I65295" s="6"/>
      <c r="J65295" s="6"/>
      <c r="K65295" s="6"/>
      <c r="L65295" s="6"/>
      <c r="M65295" s="6"/>
      <c r="N65295" s="6"/>
      <c r="O65295" s="6"/>
      <c r="P65295" s="6"/>
      <c r="Q65295" s="6"/>
      <c r="R65295" s="6"/>
      <c r="S65295" s="6"/>
      <c r="T65295" s="6"/>
      <c r="U65295" s="6"/>
      <c r="V65295" s="6"/>
      <c r="W65295" s="6"/>
      <c r="X65295" s="6"/>
      <c r="Y65295" s="6"/>
      <c r="Z65295" s="6"/>
      <c r="AA65295" s="6"/>
      <c r="AB65295" s="6"/>
      <c r="AC65295" s="6"/>
      <c r="AD65295" s="6"/>
      <c r="AE65295" s="6"/>
      <c r="AF65295" s="6"/>
      <c r="AG65295" s="6"/>
      <c r="AH65295" s="6"/>
      <c r="AI65295" s="6"/>
      <c r="AJ65295" s="6"/>
      <c r="AK65295" s="6"/>
      <c r="AL65295" s="6"/>
      <c r="AM65295" s="6"/>
    </row>
    <row r="65296" spans="2:39" ht="9.9499999999999993" hidden="1" customHeight="1" x14ac:dyDescent="0.2">
      <c r="B65296" s="6"/>
      <c r="C65296" s="6"/>
      <c r="D65296" s="6"/>
      <c r="E65296" s="6"/>
      <c r="F65296" s="6"/>
      <c r="G65296" s="6"/>
      <c r="H65296" s="6"/>
      <c r="I65296" s="6"/>
      <c r="J65296" s="6"/>
      <c r="K65296" s="6"/>
      <c r="L65296" s="6"/>
      <c r="M65296" s="6"/>
      <c r="N65296" s="6"/>
      <c r="O65296" s="6"/>
      <c r="P65296" s="6"/>
      <c r="Q65296" s="6"/>
      <c r="R65296" s="6"/>
      <c r="S65296" s="6"/>
      <c r="T65296" s="6"/>
      <c r="U65296" s="6"/>
      <c r="V65296" s="6"/>
      <c r="W65296" s="6"/>
      <c r="X65296" s="6"/>
      <c r="Y65296" s="6"/>
      <c r="Z65296" s="6"/>
      <c r="AA65296" s="6"/>
      <c r="AB65296" s="6"/>
      <c r="AC65296" s="6"/>
      <c r="AD65296" s="6"/>
      <c r="AE65296" s="6"/>
      <c r="AF65296" s="6"/>
      <c r="AG65296" s="6"/>
      <c r="AH65296" s="6"/>
      <c r="AI65296" s="6"/>
      <c r="AJ65296" s="6"/>
      <c r="AK65296" s="6"/>
      <c r="AL65296" s="6"/>
      <c r="AM65296" s="6"/>
    </row>
    <row r="65297" spans="2:39" ht="9.9499999999999993" hidden="1" customHeight="1" x14ac:dyDescent="0.2">
      <c r="B65297" s="6"/>
      <c r="C65297" s="6"/>
      <c r="D65297" s="6"/>
      <c r="E65297" s="6"/>
      <c r="F65297" s="6"/>
      <c r="G65297" s="6"/>
      <c r="H65297" s="6"/>
      <c r="I65297" s="6"/>
      <c r="J65297" s="6"/>
      <c r="K65297" s="6"/>
      <c r="L65297" s="6"/>
      <c r="M65297" s="6"/>
      <c r="N65297" s="6"/>
      <c r="O65297" s="6"/>
      <c r="P65297" s="6"/>
      <c r="Q65297" s="6"/>
      <c r="R65297" s="6"/>
      <c r="S65297" s="6"/>
      <c r="T65297" s="6"/>
      <c r="U65297" s="6"/>
      <c r="V65297" s="6"/>
      <c r="W65297" s="6"/>
      <c r="X65297" s="6"/>
      <c r="Y65297" s="6"/>
      <c r="Z65297" s="6"/>
      <c r="AA65297" s="6"/>
      <c r="AB65297" s="6"/>
      <c r="AC65297" s="6"/>
      <c r="AD65297" s="6"/>
      <c r="AE65297" s="6"/>
      <c r="AF65297" s="6"/>
      <c r="AG65297" s="6"/>
      <c r="AH65297" s="6"/>
      <c r="AI65297" s="6"/>
      <c r="AJ65297" s="6"/>
      <c r="AK65297" s="6"/>
      <c r="AL65297" s="6"/>
      <c r="AM65297" s="6"/>
    </row>
    <row r="65298" spans="2:39" ht="9.9499999999999993" hidden="1" customHeight="1" x14ac:dyDescent="0.2">
      <c r="B65298" s="6"/>
      <c r="C65298" s="6"/>
      <c r="D65298" s="6"/>
      <c r="E65298" s="6"/>
      <c r="F65298" s="6"/>
      <c r="G65298" s="6"/>
      <c r="H65298" s="6"/>
      <c r="I65298" s="6"/>
      <c r="J65298" s="6"/>
      <c r="K65298" s="6"/>
      <c r="L65298" s="6"/>
      <c r="M65298" s="6"/>
      <c r="N65298" s="6"/>
      <c r="O65298" s="6"/>
      <c r="P65298" s="6"/>
      <c r="Q65298" s="6"/>
      <c r="R65298" s="6"/>
      <c r="S65298" s="6"/>
      <c r="T65298" s="6"/>
      <c r="U65298" s="6"/>
      <c r="V65298" s="6"/>
      <c r="W65298" s="6"/>
      <c r="X65298" s="6"/>
      <c r="Y65298" s="6"/>
      <c r="Z65298" s="6"/>
      <c r="AA65298" s="6"/>
      <c r="AB65298" s="6"/>
      <c r="AC65298" s="6"/>
      <c r="AD65298" s="6"/>
      <c r="AE65298" s="6"/>
      <c r="AF65298" s="6"/>
      <c r="AG65298" s="6"/>
      <c r="AH65298" s="6"/>
      <c r="AI65298" s="6"/>
      <c r="AJ65298" s="6"/>
      <c r="AK65298" s="6"/>
      <c r="AL65298" s="6"/>
      <c r="AM65298" s="6"/>
    </row>
    <row r="65299" spans="2:39" ht="9.9499999999999993" hidden="1" customHeight="1" x14ac:dyDescent="0.2">
      <c r="B65299" s="6"/>
      <c r="C65299" s="6"/>
      <c r="D65299" s="6"/>
      <c r="E65299" s="6"/>
      <c r="F65299" s="6"/>
      <c r="G65299" s="6"/>
      <c r="H65299" s="6"/>
      <c r="I65299" s="6"/>
      <c r="J65299" s="6"/>
      <c r="K65299" s="6"/>
      <c r="L65299" s="6"/>
      <c r="M65299" s="6"/>
      <c r="N65299" s="6"/>
      <c r="O65299" s="6"/>
      <c r="P65299" s="6"/>
      <c r="Q65299" s="6"/>
      <c r="R65299" s="6"/>
      <c r="S65299" s="6"/>
      <c r="T65299" s="6"/>
      <c r="U65299" s="6"/>
      <c r="V65299" s="6"/>
      <c r="W65299" s="6"/>
      <c r="X65299" s="6"/>
      <c r="Y65299" s="6"/>
      <c r="Z65299" s="6"/>
      <c r="AA65299" s="6"/>
      <c r="AB65299" s="6"/>
      <c r="AC65299" s="6"/>
      <c r="AD65299" s="6"/>
      <c r="AE65299" s="6"/>
      <c r="AF65299" s="6"/>
      <c r="AG65299" s="6"/>
      <c r="AH65299" s="6"/>
      <c r="AI65299" s="6"/>
      <c r="AJ65299" s="6"/>
      <c r="AK65299" s="6"/>
      <c r="AL65299" s="6"/>
      <c r="AM65299" s="6"/>
    </row>
    <row r="65300" spans="2:39" ht="9.9499999999999993" hidden="1" customHeight="1" x14ac:dyDescent="0.2">
      <c r="B65300" s="6"/>
      <c r="C65300" s="6"/>
      <c r="D65300" s="6"/>
      <c r="E65300" s="6"/>
      <c r="F65300" s="6"/>
      <c r="G65300" s="6"/>
      <c r="H65300" s="6"/>
      <c r="I65300" s="6"/>
      <c r="J65300" s="6"/>
      <c r="K65300" s="6"/>
      <c r="L65300" s="6"/>
      <c r="M65300" s="6"/>
      <c r="N65300" s="6"/>
      <c r="O65300" s="6"/>
      <c r="P65300" s="6"/>
      <c r="Q65300" s="6"/>
      <c r="R65300" s="6"/>
      <c r="S65300" s="6"/>
      <c r="T65300" s="6"/>
      <c r="U65300" s="6"/>
      <c r="V65300" s="6"/>
      <c r="W65300" s="6"/>
      <c r="X65300" s="6"/>
      <c r="Y65300" s="6"/>
      <c r="Z65300" s="6"/>
      <c r="AA65300" s="6"/>
      <c r="AB65300" s="6"/>
      <c r="AC65300" s="6"/>
      <c r="AD65300" s="6"/>
      <c r="AE65300" s="6"/>
      <c r="AF65300" s="6"/>
      <c r="AG65300" s="6"/>
      <c r="AH65300" s="6"/>
      <c r="AI65300" s="6"/>
      <c r="AJ65300" s="6"/>
      <c r="AK65300" s="6"/>
      <c r="AL65300" s="6"/>
      <c r="AM65300" s="6"/>
    </row>
    <row r="65301" spans="2:39" ht="9.9499999999999993" hidden="1" customHeight="1" x14ac:dyDescent="0.2">
      <c r="B65301" s="6"/>
      <c r="C65301" s="6"/>
      <c r="D65301" s="6"/>
      <c r="E65301" s="6"/>
      <c r="F65301" s="6"/>
      <c r="G65301" s="6"/>
      <c r="H65301" s="6"/>
      <c r="I65301" s="6"/>
      <c r="J65301" s="6"/>
      <c r="K65301" s="6"/>
      <c r="L65301" s="6"/>
      <c r="M65301" s="6"/>
      <c r="N65301" s="6"/>
      <c r="O65301" s="6"/>
      <c r="P65301" s="6"/>
      <c r="Q65301" s="6"/>
      <c r="R65301" s="6"/>
      <c r="S65301" s="6"/>
      <c r="T65301" s="6"/>
      <c r="U65301" s="6"/>
      <c r="V65301" s="6"/>
      <c r="W65301" s="6"/>
      <c r="X65301" s="6"/>
      <c r="Y65301" s="6"/>
      <c r="Z65301" s="6"/>
      <c r="AA65301" s="6"/>
      <c r="AB65301" s="6"/>
      <c r="AC65301" s="6"/>
      <c r="AD65301" s="6"/>
      <c r="AE65301" s="6"/>
      <c r="AF65301" s="6"/>
      <c r="AG65301" s="6"/>
      <c r="AH65301" s="6"/>
      <c r="AI65301" s="6"/>
      <c r="AJ65301" s="6"/>
      <c r="AK65301" s="6"/>
      <c r="AL65301" s="6"/>
      <c r="AM65301" s="6"/>
    </row>
    <row r="65302" spans="2:39" ht="9.9499999999999993" hidden="1" customHeight="1" x14ac:dyDescent="0.2">
      <c r="B65302" s="6"/>
      <c r="C65302" s="6"/>
      <c r="D65302" s="6"/>
      <c r="E65302" s="6"/>
      <c r="F65302" s="6"/>
      <c r="G65302" s="6"/>
      <c r="H65302" s="6"/>
      <c r="I65302" s="6"/>
      <c r="J65302" s="6"/>
      <c r="K65302" s="6"/>
      <c r="L65302" s="6"/>
      <c r="M65302" s="6"/>
      <c r="N65302" s="6"/>
      <c r="O65302" s="6"/>
      <c r="P65302" s="6"/>
      <c r="Q65302" s="6"/>
      <c r="R65302" s="6"/>
      <c r="S65302" s="6"/>
      <c r="T65302" s="6"/>
      <c r="U65302" s="6"/>
      <c r="V65302" s="6"/>
      <c r="W65302" s="6"/>
      <c r="X65302" s="6"/>
      <c r="Y65302" s="6"/>
      <c r="Z65302" s="6"/>
      <c r="AA65302" s="6"/>
      <c r="AB65302" s="6"/>
      <c r="AC65302" s="6"/>
      <c r="AD65302" s="6"/>
      <c r="AE65302" s="6"/>
      <c r="AF65302" s="6"/>
      <c r="AG65302" s="6"/>
      <c r="AH65302" s="6"/>
      <c r="AI65302" s="6"/>
      <c r="AJ65302" s="6"/>
      <c r="AK65302" s="6"/>
      <c r="AL65302" s="6"/>
      <c r="AM65302" s="6"/>
    </row>
    <row r="65303" spans="2:39" ht="9.9499999999999993" hidden="1" customHeight="1" x14ac:dyDescent="0.2">
      <c r="B65303" s="6"/>
      <c r="C65303" s="6"/>
      <c r="D65303" s="6"/>
      <c r="E65303" s="6"/>
      <c r="F65303" s="6"/>
      <c r="G65303" s="6"/>
      <c r="H65303" s="6"/>
      <c r="I65303" s="6"/>
      <c r="J65303" s="6"/>
      <c r="K65303" s="6"/>
      <c r="L65303" s="6"/>
      <c r="M65303" s="6"/>
      <c r="N65303" s="6"/>
      <c r="O65303" s="6"/>
      <c r="P65303" s="6"/>
      <c r="Q65303" s="6"/>
      <c r="R65303" s="6"/>
      <c r="S65303" s="6"/>
      <c r="T65303" s="6"/>
      <c r="U65303" s="6"/>
      <c r="V65303" s="6"/>
      <c r="W65303" s="6"/>
      <c r="X65303" s="6"/>
      <c r="Y65303" s="6"/>
      <c r="Z65303" s="6"/>
      <c r="AA65303" s="6"/>
      <c r="AB65303" s="6"/>
      <c r="AC65303" s="6"/>
      <c r="AD65303" s="6"/>
      <c r="AE65303" s="6"/>
      <c r="AF65303" s="6"/>
      <c r="AG65303" s="6"/>
      <c r="AH65303" s="6"/>
      <c r="AI65303" s="6"/>
      <c r="AJ65303" s="6"/>
      <c r="AK65303" s="6"/>
      <c r="AL65303" s="6"/>
      <c r="AM65303" s="6"/>
    </row>
    <row r="65304" spans="2:39" ht="9.9499999999999993" hidden="1" customHeight="1" x14ac:dyDescent="0.2">
      <c r="B65304" s="6"/>
      <c r="C65304" s="6"/>
      <c r="D65304" s="6"/>
      <c r="E65304" s="6"/>
      <c r="F65304" s="6"/>
      <c r="G65304" s="6"/>
      <c r="H65304" s="6"/>
      <c r="I65304" s="6"/>
      <c r="J65304" s="6"/>
      <c r="K65304" s="6"/>
      <c r="L65304" s="6"/>
      <c r="M65304" s="6"/>
      <c r="N65304" s="6"/>
      <c r="O65304" s="6"/>
      <c r="P65304" s="6"/>
      <c r="Q65304" s="6"/>
      <c r="R65304" s="6"/>
      <c r="S65304" s="6"/>
      <c r="T65304" s="6"/>
      <c r="U65304" s="6"/>
      <c r="V65304" s="6"/>
      <c r="W65304" s="6"/>
      <c r="X65304" s="6"/>
      <c r="Y65304" s="6"/>
      <c r="Z65304" s="6"/>
      <c r="AA65304" s="6"/>
      <c r="AB65304" s="6"/>
      <c r="AC65304" s="6"/>
      <c r="AD65304" s="6"/>
      <c r="AE65304" s="6"/>
      <c r="AF65304" s="6"/>
      <c r="AG65304" s="6"/>
      <c r="AH65304" s="6"/>
      <c r="AI65304" s="6"/>
      <c r="AJ65304" s="6"/>
      <c r="AK65304" s="6"/>
      <c r="AL65304" s="6"/>
      <c r="AM65304" s="6"/>
    </row>
    <row r="65305" spans="2:39" ht="9.9499999999999993" hidden="1" customHeight="1" x14ac:dyDescent="0.2">
      <c r="B65305" s="6"/>
      <c r="C65305" s="6"/>
      <c r="D65305" s="6"/>
      <c r="E65305" s="6"/>
      <c r="F65305" s="6"/>
      <c r="G65305" s="6"/>
      <c r="H65305" s="6"/>
      <c r="I65305" s="6"/>
      <c r="J65305" s="6"/>
      <c r="K65305" s="6"/>
      <c r="L65305" s="6"/>
      <c r="M65305" s="6"/>
      <c r="N65305" s="6"/>
      <c r="O65305" s="6"/>
      <c r="P65305" s="6"/>
      <c r="Q65305" s="6"/>
      <c r="R65305" s="6"/>
      <c r="S65305" s="6"/>
      <c r="T65305" s="6"/>
      <c r="U65305" s="6"/>
      <c r="V65305" s="6"/>
      <c r="W65305" s="6"/>
      <c r="X65305" s="6"/>
      <c r="Y65305" s="6"/>
      <c r="Z65305" s="6"/>
      <c r="AA65305" s="6"/>
      <c r="AB65305" s="6"/>
      <c r="AC65305" s="6"/>
      <c r="AD65305" s="6"/>
      <c r="AE65305" s="6"/>
      <c r="AF65305" s="6"/>
      <c r="AG65305" s="6"/>
      <c r="AH65305" s="6"/>
      <c r="AI65305" s="6"/>
      <c r="AJ65305" s="6"/>
      <c r="AK65305" s="6"/>
      <c r="AL65305" s="6"/>
      <c r="AM65305" s="6"/>
    </row>
    <row r="65306" spans="2:39" ht="9.9499999999999993" hidden="1" customHeight="1" x14ac:dyDescent="0.2">
      <c r="B65306" s="6"/>
      <c r="C65306" s="6"/>
      <c r="D65306" s="6"/>
      <c r="E65306" s="6"/>
      <c r="F65306" s="6"/>
      <c r="G65306" s="6"/>
      <c r="H65306" s="6"/>
      <c r="I65306" s="6"/>
      <c r="J65306" s="6"/>
      <c r="K65306" s="6"/>
      <c r="L65306" s="6"/>
      <c r="M65306" s="6"/>
      <c r="N65306" s="6"/>
      <c r="O65306" s="6"/>
      <c r="P65306" s="6"/>
      <c r="Q65306" s="6"/>
      <c r="R65306" s="6"/>
      <c r="S65306" s="6"/>
      <c r="T65306" s="6"/>
      <c r="U65306" s="6"/>
      <c r="V65306" s="6"/>
      <c r="W65306" s="6"/>
      <c r="X65306" s="6"/>
      <c r="Y65306" s="6"/>
      <c r="Z65306" s="6"/>
      <c r="AA65306" s="6"/>
      <c r="AB65306" s="6"/>
      <c r="AC65306" s="6"/>
      <c r="AD65306" s="6"/>
      <c r="AE65306" s="6"/>
      <c r="AF65306" s="6"/>
      <c r="AG65306" s="6"/>
      <c r="AH65306" s="6"/>
      <c r="AI65306" s="6"/>
      <c r="AJ65306" s="6"/>
      <c r="AK65306" s="6"/>
      <c r="AL65306" s="6"/>
      <c r="AM65306" s="6"/>
    </row>
    <row r="65307" spans="2:39" ht="9.9499999999999993" hidden="1" customHeight="1" x14ac:dyDescent="0.2">
      <c r="B65307" s="6"/>
      <c r="C65307" s="6"/>
      <c r="D65307" s="6"/>
      <c r="E65307" s="6"/>
      <c r="F65307" s="6"/>
      <c r="G65307" s="6"/>
      <c r="H65307" s="6"/>
      <c r="I65307" s="6"/>
      <c r="J65307" s="6"/>
      <c r="K65307" s="6"/>
      <c r="L65307" s="6"/>
      <c r="M65307" s="6"/>
      <c r="N65307" s="6"/>
      <c r="O65307" s="6"/>
      <c r="P65307" s="6"/>
      <c r="Q65307" s="6"/>
      <c r="R65307" s="6"/>
      <c r="S65307" s="6"/>
      <c r="T65307" s="6"/>
      <c r="U65307" s="6"/>
      <c r="V65307" s="6"/>
      <c r="W65307" s="6"/>
      <c r="X65307" s="6"/>
      <c r="Y65307" s="6"/>
      <c r="Z65307" s="6"/>
      <c r="AA65307" s="6"/>
      <c r="AB65307" s="6"/>
      <c r="AC65307" s="6"/>
      <c r="AD65307" s="6"/>
      <c r="AE65307" s="6"/>
      <c r="AF65307" s="6"/>
      <c r="AG65307" s="6"/>
      <c r="AH65307" s="6"/>
      <c r="AI65307" s="6"/>
      <c r="AJ65307" s="6"/>
      <c r="AK65307" s="6"/>
      <c r="AL65307" s="6"/>
      <c r="AM65307" s="6"/>
    </row>
    <row r="65308" spans="2:39" ht="9.9499999999999993" hidden="1" customHeight="1" x14ac:dyDescent="0.2">
      <c r="B65308" s="6"/>
      <c r="C65308" s="6"/>
      <c r="D65308" s="6"/>
      <c r="E65308" s="6"/>
      <c r="F65308" s="6"/>
      <c r="G65308" s="6"/>
      <c r="H65308" s="6"/>
      <c r="I65308" s="6"/>
      <c r="J65308" s="6"/>
      <c r="K65308" s="6"/>
      <c r="L65308" s="6"/>
      <c r="M65308" s="6"/>
      <c r="N65308" s="6"/>
      <c r="O65308" s="6"/>
      <c r="P65308" s="6"/>
      <c r="Q65308" s="6"/>
      <c r="R65308" s="6"/>
      <c r="S65308" s="6"/>
      <c r="T65308" s="6"/>
      <c r="U65308" s="6"/>
      <c r="V65308" s="6"/>
      <c r="W65308" s="6"/>
      <c r="X65308" s="6"/>
      <c r="Y65308" s="6"/>
      <c r="Z65308" s="6"/>
      <c r="AA65308" s="6"/>
      <c r="AB65308" s="6"/>
      <c r="AC65308" s="6"/>
      <c r="AD65308" s="6"/>
      <c r="AE65308" s="6"/>
      <c r="AF65308" s="6"/>
      <c r="AG65308" s="6"/>
      <c r="AH65308" s="6"/>
      <c r="AI65308" s="6"/>
      <c r="AJ65308" s="6"/>
      <c r="AK65308" s="6"/>
      <c r="AL65308" s="6"/>
      <c r="AM65308" s="6"/>
    </row>
    <row r="65309" spans="2:39" ht="9.9499999999999993" hidden="1" customHeight="1" x14ac:dyDescent="0.2">
      <c r="B65309" s="6"/>
      <c r="C65309" s="6"/>
      <c r="D65309" s="6"/>
      <c r="E65309" s="6"/>
      <c r="F65309" s="6"/>
      <c r="G65309" s="6"/>
      <c r="H65309" s="6"/>
      <c r="I65309" s="6"/>
      <c r="J65309" s="6"/>
      <c r="K65309" s="6"/>
      <c r="L65309" s="6"/>
      <c r="M65309" s="6"/>
      <c r="N65309" s="6"/>
      <c r="O65309" s="6"/>
      <c r="P65309" s="6"/>
      <c r="Q65309" s="6"/>
      <c r="R65309" s="6"/>
      <c r="S65309" s="6"/>
      <c r="T65309" s="6"/>
      <c r="U65309" s="6"/>
      <c r="V65309" s="6"/>
      <c r="W65309" s="6"/>
      <c r="X65309" s="6"/>
      <c r="Y65309" s="6"/>
      <c r="Z65309" s="6"/>
      <c r="AA65309" s="6"/>
      <c r="AB65309" s="6"/>
      <c r="AC65309" s="6"/>
      <c r="AD65309" s="6"/>
      <c r="AE65309" s="6"/>
      <c r="AF65309" s="6"/>
      <c r="AG65309" s="6"/>
      <c r="AH65309" s="6"/>
      <c r="AI65309" s="6"/>
      <c r="AJ65309" s="6"/>
      <c r="AK65309" s="6"/>
      <c r="AL65309" s="6"/>
      <c r="AM65309" s="6"/>
    </row>
    <row r="65310" spans="2:39" ht="9.9499999999999993" hidden="1" customHeight="1" x14ac:dyDescent="0.2">
      <c r="B65310" s="6"/>
      <c r="C65310" s="6"/>
      <c r="D65310" s="6"/>
      <c r="E65310" s="6"/>
      <c r="F65310" s="6"/>
      <c r="G65310" s="6"/>
      <c r="H65310" s="6"/>
      <c r="I65310" s="6"/>
      <c r="J65310" s="6"/>
      <c r="K65310" s="6"/>
      <c r="L65310" s="6"/>
      <c r="M65310" s="6"/>
      <c r="N65310" s="6"/>
      <c r="O65310" s="6"/>
      <c r="P65310" s="6"/>
      <c r="Q65310" s="6"/>
      <c r="R65310" s="6"/>
      <c r="S65310" s="6"/>
      <c r="T65310" s="6"/>
      <c r="U65310" s="6"/>
      <c r="V65310" s="6"/>
      <c r="W65310" s="6"/>
      <c r="X65310" s="6"/>
      <c r="Y65310" s="6"/>
      <c r="Z65310" s="6"/>
      <c r="AA65310" s="6"/>
      <c r="AB65310" s="6"/>
      <c r="AC65310" s="6"/>
      <c r="AD65310" s="6"/>
      <c r="AE65310" s="6"/>
      <c r="AF65310" s="6"/>
      <c r="AG65310" s="6"/>
      <c r="AH65310" s="6"/>
      <c r="AI65310" s="6"/>
      <c r="AJ65310" s="6"/>
      <c r="AK65310" s="6"/>
      <c r="AL65310" s="6"/>
      <c r="AM65310" s="6"/>
    </row>
    <row r="65311" spans="2:39" ht="9.9499999999999993" hidden="1" customHeight="1" x14ac:dyDescent="0.2">
      <c r="B65311" s="6"/>
      <c r="C65311" s="6"/>
      <c r="D65311" s="6"/>
      <c r="E65311" s="6"/>
      <c r="F65311" s="6"/>
      <c r="G65311" s="6"/>
      <c r="H65311" s="6"/>
      <c r="I65311" s="6"/>
      <c r="J65311" s="6"/>
      <c r="K65311" s="6"/>
      <c r="L65311" s="6"/>
      <c r="M65311" s="6"/>
      <c r="N65311" s="6"/>
      <c r="O65311" s="6"/>
      <c r="P65311" s="6"/>
      <c r="Q65311" s="6"/>
      <c r="R65311" s="6"/>
      <c r="S65311" s="6"/>
      <c r="T65311" s="6"/>
      <c r="U65311" s="6"/>
      <c r="V65311" s="6"/>
      <c r="W65311" s="6"/>
      <c r="X65311" s="6"/>
      <c r="Y65311" s="6"/>
      <c r="Z65311" s="6"/>
      <c r="AA65311" s="6"/>
      <c r="AB65311" s="6"/>
      <c r="AC65311" s="6"/>
      <c r="AD65311" s="6"/>
      <c r="AE65311" s="6"/>
      <c r="AF65311" s="6"/>
      <c r="AG65311" s="6"/>
      <c r="AH65311" s="6"/>
      <c r="AI65311" s="6"/>
      <c r="AJ65311" s="6"/>
      <c r="AK65311" s="6"/>
      <c r="AL65311" s="6"/>
      <c r="AM65311" s="6"/>
    </row>
    <row r="65312" spans="2:39" ht="9.9499999999999993" hidden="1" customHeight="1" x14ac:dyDescent="0.2">
      <c r="B65312" s="6"/>
      <c r="C65312" s="6"/>
      <c r="D65312" s="6"/>
      <c r="E65312" s="6"/>
      <c r="F65312" s="6"/>
      <c r="G65312" s="6"/>
      <c r="H65312" s="6"/>
      <c r="I65312" s="6"/>
      <c r="J65312" s="6"/>
      <c r="K65312" s="6"/>
      <c r="L65312" s="6"/>
      <c r="M65312" s="6"/>
      <c r="N65312" s="6"/>
      <c r="O65312" s="6"/>
      <c r="P65312" s="6"/>
      <c r="Q65312" s="6"/>
      <c r="R65312" s="6"/>
      <c r="S65312" s="6"/>
      <c r="T65312" s="6"/>
      <c r="U65312" s="6"/>
      <c r="V65312" s="6"/>
      <c r="W65312" s="6"/>
      <c r="X65312" s="6"/>
      <c r="Y65312" s="6"/>
      <c r="Z65312" s="6"/>
      <c r="AA65312" s="6"/>
      <c r="AB65312" s="6"/>
      <c r="AC65312" s="6"/>
      <c r="AD65312" s="6"/>
      <c r="AE65312" s="6"/>
      <c r="AF65312" s="6"/>
      <c r="AG65312" s="6"/>
      <c r="AH65312" s="6"/>
      <c r="AI65312" s="6"/>
      <c r="AJ65312" s="6"/>
      <c r="AK65312" s="6"/>
      <c r="AL65312" s="6"/>
      <c r="AM65312" s="6"/>
    </row>
    <row r="65313" spans="2:39" ht="9.9499999999999993" hidden="1" customHeight="1" x14ac:dyDescent="0.2">
      <c r="B65313" s="6"/>
      <c r="C65313" s="6"/>
      <c r="D65313" s="6"/>
      <c r="E65313" s="6"/>
      <c r="F65313" s="6"/>
      <c r="G65313" s="6"/>
      <c r="H65313" s="6"/>
      <c r="I65313" s="6"/>
      <c r="J65313" s="6"/>
      <c r="K65313" s="6"/>
      <c r="L65313" s="6"/>
      <c r="M65313" s="6"/>
      <c r="N65313" s="6"/>
      <c r="O65313" s="6"/>
      <c r="P65313" s="6"/>
      <c r="Q65313" s="6"/>
      <c r="R65313" s="6"/>
      <c r="S65313" s="6"/>
      <c r="T65313" s="6"/>
      <c r="U65313" s="6"/>
      <c r="V65313" s="6"/>
      <c r="W65313" s="6"/>
      <c r="X65313" s="6"/>
      <c r="Y65313" s="6"/>
      <c r="Z65313" s="6"/>
      <c r="AA65313" s="6"/>
      <c r="AB65313" s="6"/>
      <c r="AC65313" s="6"/>
      <c r="AD65313" s="6"/>
      <c r="AE65313" s="6"/>
      <c r="AF65313" s="6"/>
      <c r="AG65313" s="6"/>
      <c r="AH65313" s="6"/>
      <c r="AI65313" s="6"/>
      <c r="AJ65313" s="6"/>
      <c r="AK65313" s="6"/>
      <c r="AL65313" s="6"/>
      <c r="AM65313" s="6"/>
    </row>
    <row r="65314" spans="2:39" ht="9.9499999999999993" hidden="1" customHeight="1" x14ac:dyDescent="0.2">
      <c r="B65314" s="6"/>
      <c r="C65314" s="6"/>
      <c r="D65314" s="6"/>
      <c r="E65314" s="6"/>
      <c r="F65314" s="6"/>
      <c r="G65314" s="6"/>
      <c r="H65314" s="6"/>
      <c r="I65314" s="6"/>
      <c r="J65314" s="6"/>
      <c r="K65314" s="6"/>
      <c r="L65314" s="6"/>
      <c r="M65314" s="6"/>
      <c r="N65314" s="6"/>
      <c r="O65314" s="6"/>
      <c r="P65314" s="6"/>
      <c r="Q65314" s="6"/>
      <c r="R65314" s="6"/>
      <c r="S65314" s="6"/>
      <c r="T65314" s="6"/>
      <c r="U65314" s="6"/>
      <c r="V65314" s="6"/>
      <c r="W65314" s="6"/>
      <c r="X65314" s="6"/>
      <c r="Y65314" s="6"/>
      <c r="Z65314" s="6"/>
      <c r="AA65314" s="6"/>
      <c r="AB65314" s="6"/>
      <c r="AC65314" s="6"/>
      <c r="AD65314" s="6"/>
      <c r="AE65314" s="6"/>
      <c r="AF65314" s="6"/>
      <c r="AG65314" s="6"/>
      <c r="AH65314" s="6"/>
      <c r="AI65314" s="6"/>
      <c r="AJ65314" s="6"/>
      <c r="AK65314" s="6"/>
      <c r="AL65314" s="6"/>
      <c r="AM65314" s="6"/>
    </row>
    <row r="65315" spans="2:39" ht="9.9499999999999993" hidden="1" customHeight="1" x14ac:dyDescent="0.2">
      <c r="B65315" s="6"/>
      <c r="C65315" s="6"/>
      <c r="D65315" s="6"/>
      <c r="E65315" s="6"/>
      <c r="F65315" s="6"/>
      <c r="G65315" s="6"/>
      <c r="H65315" s="6"/>
      <c r="I65315" s="6"/>
      <c r="J65315" s="6"/>
      <c r="K65315" s="6"/>
      <c r="L65315" s="6"/>
      <c r="M65315" s="6"/>
      <c r="N65315" s="6"/>
      <c r="O65315" s="6"/>
      <c r="P65315" s="6"/>
      <c r="Q65315" s="6"/>
      <c r="R65315" s="6"/>
      <c r="S65315" s="6"/>
      <c r="T65315" s="6"/>
      <c r="U65315" s="6"/>
      <c r="V65315" s="6"/>
      <c r="W65315" s="6"/>
      <c r="X65315" s="6"/>
      <c r="Y65315" s="6"/>
      <c r="Z65315" s="6"/>
      <c r="AA65315" s="6"/>
      <c r="AB65315" s="6"/>
      <c r="AC65315" s="6"/>
      <c r="AD65315" s="6"/>
      <c r="AE65315" s="6"/>
      <c r="AF65315" s="6"/>
      <c r="AG65315" s="6"/>
      <c r="AH65315" s="6"/>
      <c r="AI65315" s="6"/>
      <c r="AJ65315" s="6"/>
      <c r="AK65315" s="6"/>
      <c r="AL65315" s="6"/>
      <c r="AM65315" s="6"/>
    </row>
    <row r="65316" spans="2:39" ht="9.9499999999999993" hidden="1" customHeight="1" x14ac:dyDescent="0.2">
      <c r="B65316" s="6"/>
      <c r="C65316" s="6"/>
      <c r="D65316" s="6"/>
      <c r="E65316" s="6"/>
      <c r="F65316" s="6"/>
      <c r="G65316" s="6"/>
      <c r="H65316" s="6"/>
      <c r="I65316" s="6"/>
      <c r="J65316" s="6"/>
      <c r="K65316" s="6"/>
      <c r="L65316" s="6"/>
      <c r="M65316" s="6"/>
      <c r="N65316" s="6"/>
      <c r="O65316" s="6"/>
      <c r="P65316" s="6"/>
      <c r="Q65316" s="6"/>
      <c r="R65316" s="6"/>
      <c r="S65316" s="6"/>
      <c r="T65316" s="6"/>
      <c r="U65316" s="6"/>
      <c r="V65316" s="6"/>
      <c r="W65316" s="6"/>
      <c r="X65316" s="6"/>
      <c r="Y65316" s="6"/>
      <c r="Z65316" s="6"/>
      <c r="AA65316" s="6"/>
      <c r="AB65316" s="6"/>
      <c r="AC65316" s="6"/>
      <c r="AD65316" s="6"/>
      <c r="AE65316" s="6"/>
      <c r="AF65316" s="6"/>
      <c r="AG65316" s="6"/>
      <c r="AH65316" s="6"/>
      <c r="AI65316" s="6"/>
      <c r="AJ65316" s="6"/>
      <c r="AK65316" s="6"/>
      <c r="AL65316" s="6"/>
      <c r="AM65316" s="6"/>
    </row>
    <row r="65317" spans="2:39" ht="9.9499999999999993" hidden="1" customHeight="1" x14ac:dyDescent="0.2">
      <c r="B65317" s="6"/>
      <c r="C65317" s="6"/>
      <c r="D65317" s="6"/>
      <c r="E65317" s="6"/>
      <c r="F65317" s="6"/>
      <c r="G65317" s="6"/>
      <c r="H65317" s="6"/>
      <c r="I65317" s="6"/>
      <c r="J65317" s="6"/>
      <c r="K65317" s="6"/>
      <c r="L65317" s="6"/>
      <c r="M65317" s="6"/>
      <c r="N65317" s="6"/>
      <c r="O65317" s="6"/>
      <c r="P65317" s="6"/>
      <c r="Q65317" s="6"/>
      <c r="R65317" s="6"/>
      <c r="S65317" s="6"/>
      <c r="T65317" s="6"/>
      <c r="U65317" s="6"/>
      <c r="V65317" s="6"/>
      <c r="W65317" s="6"/>
      <c r="X65317" s="6"/>
      <c r="Y65317" s="6"/>
      <c r="Z65317" s="6"/>
      <c r="AA65317" s="6"/>
      <c r="AB65317" s="6"/>
      <c r="AC65317" s="6"/>
      <c r="AD65317" s="6"/>
      <c r="AE65317" s="6"/>
      <c r="AF65317" s="6"/>
      <c r="AG65317" s="6"/>
      <c r="AH65317" s="6"/>
      <c r="AI65317" s="6"/>
      <c r="AJ65317" s="6"/>
      <c r="AK65317" s="6"/>
      <c r="AL65317" s="6"/>
      <c r="AM65317" s="6"/>
    </row>
    <row r="65318" spans="2:39" ht="9.9499999999999993" hidden="1" customHeight="1" x14ac:dyDescent="0.2">
      <c r="B65318" s="6"/>
      <c r="C65318" s="6"/>
      <c r="D65318" s="6"/>
      <c r="E65318" s="6"/>
      <c r="F65318" s="6"/>
      <c r="G65318" s="6"/>
      <c r="H65318" s="6"/>
      <c r="I65318" s="6"/>
      <c r="J65318" s="6"/>
      <c r="K65318" s="6"/>
      <c r="L65318" s="6"/>
      <c r="M65318" s="6"/>
      <c r="N65318" s="6"/>
      <c r="O65318" s="6"/>
      <c r="P65318" s="6"/>
      <c r="Q65318" s="6"/>
      <c r="R65318" s="6"/>
      <c r="S65318" s="6"/>
      <c r="T65318" s="6"/>
      <c r="U65318" s="6"/>
      <c r="V65318" s="6"/>
      <c r="W65318" s="6"/>
      <c r="X65318" s="6"/>
      <c r="Y65318" s="6"/>
      <c r="Z65318" s="6"/>
      <c r="AA65318" s="6"/>
      <c r="AB65318" s="6"/>
      <c r="AC65318" s="6"/>
      <c r="AD65318" s="6"/>
      <c r="AE65318" s="6"/>
      <c r="AF65318" s="6"/>
      <c r="AG65318" s="6"/>
      <c r="AH65318" s="6"/>
      <c r="AI65318" s="6"/>
      <c r="AJ65318" s="6"/>
      <c r="AK65318" s="6"/>
      <c r="AL65318" s="6"/>
      <c r="AM65318" s="6"/>
    </row>
    <row r="65319" spans="2:39" ht="9.9499999999999993" hidden="1" customHeight="1" x14ac:dyDescent="0.2">
      <c r="B65319" s="6"/>
      <c r="C65319" s="6"/>
      <c r="D65319" s="6"/>
      <c r="E65319" s="6"/>
      <c r="F65319" s="6"/>
      <c r="G65319" s="6"/>
      <c r="H65319" s="6"/>
      <c r="I65319" s="6"/>
      <c r="J65319" s="6"/>
      <c r="K65319" s="6"/>
      <c r="L65319" s="6"/>
      <c r="M65319" s="6"/>
      <c r="N65319" s="6"/>
      <c r="O65319" s="6"/>
      <c r="P65319" s="6"/>
      <c r="Q65319" s="6"/>
      <c r="R65319" s="6"/>
      <c r="S65319" s="6"/>
      <c r="T65319" s="6"/>
      <c r="U65319" s="6"/>
      <c r="V65319" s="6"/>
      <c r="W65319" s="6"/>
      <c r="X65319" s="6"/>
      <c r="Y65319" s="6"/>
      <c r="Z65319" s="6"/>
      <c r="AA65319" s="6"/>
      <c r="AB65319" s="6"/>
      <c r="AC65319" s="6"/>
      <c r="AD65319" s="6"/>
      <c r="AE65319" s="6"/>
      <c r="AF65319" s="6"/>
      <c r="AG65319" s="6"/>
      <c r="AH65319" s="6"/>
      <c r="AI65319" s="6"/>
      <c r="AJ65319" s="6"/>
      <c r="AK65319" s="6"/>
      <c r="AL65319" s="6"/>
      <c r="AM65319" s="6"/>
    </row>
    <row r="65320" spans="2:39" ht="9.9499999999999993" hidden="1" customHeight="1" x14ac:dyDescent="0.2">
      <c r="B65320" s="6"/>
      <c r="C65320" s="6"/>
      <c r="D65320" s="6"/>
      <c r="E65320" s="6"/>
      <c r="F65320" s="6"/>
      <c r="G65320" s="6"/>
      <c r="H65320" s="6"/>
      <c r="I65320" s="6"/>
      <c r="J65320" s="6"/>
      <c r="K65320" s="6"/>
      <c r="L65320" s="6"/>
      <c r="M65320" s="6"/>
      <c r="N65320" s="6"/>
      <c r="O65320" s="6"/>
      <c r="P65320" s="6"/>
      <c r="Q65320" s="6"/>
      <c r="R65320" s="6"/>
      <c r="S65320" s="6"/>
      <c r="T65320" s="6"/>
      <c r="U65320" s="6"/>
      <c r="V65320" s="6"/>
      <c r="W65320" s="6"/>
      <c r="X65320" s="6"/>
      <c r="Y65320" s="6"/>
      <c r="Z65320" s="6"/>
      <c r="AA65320" s="6"/>
      <c r="AB65320" s="6"/>
      <c r="AC65320" s="6"/>
      <c r="AD65320" s="6"/>
      <c r="AE65320" s="6"/>
      <c r="AF65320" s="6"/>
      <c r="AG65320" s="6"/>
      <c r="AH65320" s="6"/>
      <c r="AI65320" s="6"/>
      <c r="AJ65320" s="6"/>
      <c r="AK65320" s="6"/>
      <c r="AL65320" s="6"/>
      <c r="AM65320" s="6"/>
    </row>
    <row r="65321" spans="2:39" ht="9.9499999999999993" hidden="1" customHeight="1" x14ac:dyDescent="0.2">
      <c r="B65321" s="6"/>
      <c r="C65321" s="6"/>
      <c r="D65321" s="6"/>
      <c r="E65321" s="6"/>
      <c r="F65321" s="6"/>
      <c r="G65321" s="6"/>
      <c r="H65321" s="6"/>
      <c r="I65321" s="6"/>
      <c r="J65321" s="6"/>
      <c r="K65321" s="6"/>
      <c r="L65321" s="6"/>
      <c r="M65321" s="6"/>
      <c r="N65321" s="6"/>
      <c r="O65321" s="6"/>
      <c r="P65321" s="6"/>
      <c r="Q65321" s="6"/>
      <c r="R65321" s="6"/>
      <c r="S65321" s="6"/>
      <c r="T65321" s="6"/>
      <c r="U65321" s="6"/>
      <c r="V65321" s="6"/>
      <c r="W65321" s="6"/>
      <c r="X65321" s="6"/>
      <c r="Y65321" s="6"/>
      <c r="Z65321" s="6"/>
      <c r="AA65321" s="6"/>
      <c r="AB65321" s="6"/>
      <c r="AC65321" s="6"/>
      <c r="AD65321" s="6"/>
      <c r="AE65321" s="6"/>
      <c r="AF65321" s="6"/>
      <c r="AG65321" s="6"/>
      <c r="AH65321" s="6"/>
      <c r="AI65321" s="6"/>
      <c r="AJ65321" s="6"/>
      <c r="AK65321" s="6"/>
      <c r="AL65321" s="6"/>
      <c r="AM65321" s="6"/>
    </row>
    <row r="65322" spans="2:39" ht="9.9499999999999993" hidden="1" customHeight="1" x14ac:dyDescent="0.2">
      <c r="B65322" s="6"/>
      <c r="C65322" s="6"/>
      <c r="D65322" s="6"/>
      <c r="E65322" s="6"/>
      <c r="F65322" s="6"/>
      <c r="G65322" s="6"/>
      <c r="H65322" s="6"/>
      <c r="I65322" s="6"/>
      <c r="J65322" s="6"/>
      <c r="K65322" s="6"/>
      <c r="L65322" s="6"/>
      <c r="M65322" s="6"/>
      <c r="N65322" s="6"/>
      <c r="O65322" s="6"/>
      <c r="P65322" s="6"/>
      <c r="Q65322" s="6"/>
      <c r="R65322" s="6"/>
      <c r="S65322" s="6"/>
      <c r="T65322" s="6"/>
      <c r="U65322" s="6"/>
      <c r="V65322" s="6"/>
      <c r="W65322" s="6"/>
      <c r="X65322" s="6"/>
      <c r="Y65322" s="6"/>
      <c r="Z65322" s="6"/>
      <c r="AA65322" s="6"/>
      <c r="AB65322" s="6"/>
      <c r="AC65322" s="6"/>
      <c r="AD65322" s="6"/>
      <c r="AE65322" s="6"/>
      <c r="AF65322" s="6"/>
      <c r="AG65322" s="6"/>
      <c r="AH65322" s="6"/>
      <c r="AI65322" s="6"/>
      <c r="AJ65322" s="6"/>
      <c r="AK65322" s="6"/>
      <c r="AL65322" s="6"/>
      <c r="AM65322" s="6"/>
    </row>
    <row r="65323" spans="2:39" ht="9.9499999999999993" hidden="1" customHeight="1" x14ac:dyDescent="0.2">
      <c r="B65323" s="6"/>
      <c r="C65323" s="6"/>
      <c r="D65323" s="6"/>
      <c r="E65323" s="6"/>
      <c r="F65323" s="6"/>
      <c r="G65323" s="6"/>
      <c r="H65323" s="6"/>
      <c r="I65323" s="6"/>
      <c r="J65323" s="6"/>
      <c r="K65323" s="6"/>
      <c r="L65323" s="6"/>
      <c r="M65323" s="6"/>
      <c r="N65323" s="6"/>
      <c r="O65323" s="6"/>
      <c r="P65323" s="6"/>
      <c r="Q65323" s="6"/>
      <c r="R65323" s="6"/>
      <c r="S65323" s="6"/>
      <c r="T65323" s="6"/>
      <c r="U65323" s="6"/>
      <c r="V65323" s="6"/>
      <c r="W65323" s="6"/>
      <c r="X65323" s="6"/>
      <c r="Y65323" s="6"/>
      <c r="Z65323" s="6"/>
      <c r="AA65323" s="6"/>
      <c r="AB65323" s="6"/>
      <c r="AC65323" s="6"/>
      <c r="AD65323" s="6"/>
      <c r="AE65323" s="6"/>
      <c r="AF65323" s="6"/>
      <c r="AG65323" s="6"/>
      <c r="AH65323" s="6"/>
      <c r="AI65323" s="6"/>
      <c r="AJ65323" s="6"/>
      <c r="AK65323" s="6"/>
      <c r="AL65323" s="6"/>
      <c r="AM65323" s="6"/>
    </row>
    <row r="65324" spans="2:39" ht="9.9499999999999993" hidden="1" customHeight="1" x14ac:dyDescent="0.2">
      <c r="B65324" s="6"/>
      <c r="C65324" s="6"/>
      <c r="D65324" s="6"/>
      <c r="E65324" s="6"/>
      <c r="F65324" s="6"/>
      <c r="G65324" s="6"/>
      <c r="H65324" s="6"/>
      <c r="I65324" s="6"/>
      <c r="J65324" s="6"/>
      <c r="K65324" s="6"/>
      <c r="L65324" s="6"/>
      <c r="M65324" s="6"/>
      <c r="N65324" s="6"/>
      <c r="O65324" s="6"/>
      <c r="P65324" s="6"/>
      <c r="Q65324" s="6"/>
      <c r="R65324" s="6"/>
      <c r="S65324" s="6"/>
      <c r="T65324" s="6"/>
      <c r="U65324" s="6"/>
      <c r="V65324" s="6"/>
      <c r="W65324" s="6"/>
      <c r="X65324" s="6"/>
      <c r="Y65324" s="6"/>
      <c r="Z65324" s="6"/>
      <c r="AA65324" s="6"/>
      <c r="AB65324" s="6"/>
      <c r="AC65324" s="6"/>
      <c r="AD65324" s="6"/>
      <c r="AE65324" s="6"/>
      <c r="AF65324" s="6"/>
      <c r="AG65324" s="6"/>
      <c r="AH65324" s="6"/>
      <c r="AI65324" s="6"/>
      <c r="AJ65324" s="6"/>
      <c r="AK65324" s="6"/>
      <c r="AL65324" s="6"/>
      <c r="AM65324" s="6"/>
    </row>
    <row r="65325" spans="2:39" ht="9.9499999999999993" hidden="1" customHeight="1" x14ac:dyDescent="0.2">
      <c r="B65325" s="6"/>
      <c r="C65325" s="6"/>
      <c r="D65325" s="6"/>
      <c r="E65325" s="6"/>
      <c r="F65325" s="6"/>
      <c r="G65325" s="6"/>
      <c r="H65325" s="6"/>
      <c r="I65325" s="6"/>
      <c r="J65325" s="6"/>
      <c r="K65325" s="6"/>
      <c r="L65325" s="6"/>
      <c r="M65325" s="6"/>
      <c r="N65325" s="6"/>
      <c r="O65325" s="6"/>
      <c r="P65325" s="6"/>
      <c r="Q65325" s="6"/>
      <c r="R65325" s="6"/>
      <c r="S65325" s="6"/>
      <c r="T65325" s="6"/>
      <c r="U65325" s="6"/>
      <c r="V65325" s="6"/>
      <c r="W65325" s="6"/>
      <c r="X65325" s="6"/>
      <c r="Y65325" s="6"/>
      <c r="Z65325" s="6"/>
      <c r="AA65325" s="6"/>
      <c r="AB65325" s="6"/>
      <c r="AC65325" s="6"/>
      <c r="AD65325" s="6"/>
      <c r="AE65325" s="6"/>
      <c r="AF65325" s="6"/>
      <c r="AG65325" s="6"/>
      <c r="AH65325" s="6"/>
      <c r="AI65325" s="6"/>
      <c r="AJ65325" s="6"/>
      <c r="AK65325" s="6"/>
      <c r="AL65325" s="6"/>
      <c r="AM65325" s="6"/>
    </row>
    <row r="65326" spans="2:39" ht="9.9499999999999993" hidden="1" customHeight="1" x14ac:dyDescent="0.2">
      <c r="B65326" s="6"/>
      <c r="C65326" s="6"/>
      <c r="D65326" s="6"/>
      <c r="E65326" s="6"/>
      <c r="F65326" s="6"/>
      <c r="G65326" s="6"/>
      <c r="H65326" s="6"/>
      <c r="I65326" s="6"/>
      <c r="J65326" s="6"/>
      <c r="K65326" s="6"/>
      <c r="L65326" s="6"/>
      <c r="M65326" s="6"/>
      <c r="N65326" s="6"/>
      <c r="O65326" s="6"/>
      <c r="P65326" s="6"/>
      <c r="Q65326" s="6"/>
      <c r="R65326" s="6"/>
      <c r="S65326" s="6"/>
      <c r="T65326" s="6"/>
      <c r="U65326" s="6"/>
      <c r="V65326" s="6"/>
      <c r="W65326" s="6"/>
      <c r="X65326" s="6"/>
      <c r="Y65326" s="6"/>
      <c r="Z65326" s="6"/>
      <c r="AA65326" s="6"/>
      <c r="AB65326" s="6"/>
      <c r="AC65326" s="6"/>
      <c r="AD65326" s="6"/>
      <c r="AE65326" s="6"/>
      <c r="AF65326" s="6"/>
      <c r="AG65326" s="6"/>
      <c r="AH65326" s="6"/>
      <c r="AI65326" s="6"/>
      <c r="AJ65326" s="6"/>
      <c r="AK65326" s="6"/>
      <c r="AL65326" s="6"/>
      <c r="AM65326" s="6"/>
    </row>
    <row r="65327" spans="2:39" ht="9.9499999999999993" hidden="1" customHeight="1" x14ac:dyDescent="0.2">
      <c r="B65327" s="6"/>
      <c r="C65327" s="6"/>
      <c r="D65327" s="6"/>
      <c r="E65327" s="6"/>
      <c r="F65327" s="6"/>
      <c r="G65327" s="6"/>
      <c r="H65327" s="6"/>
      <c r="I65327" s="6"/>
      <c r="J65327" s="6"/>
      <c r="K65327" s="6"/>
      <c r="L65327" s="6"/>
      <c r="M65327" s="6"/>
      <c r="N65327" s="6"/>
      <c r="O65327" s="6"/>
      <c r="P65327" s="6"/>
      <c r="Q65327" s="6"/>
      <c r="R65327" s="6"/>
      <c r="S65327" s="6"/>
      <c r="T65327" s="6"/>
      <c r="U65327" s="6"/>
      <c r="V65327" s="6"/>
      <c r="W65327" s="6"/>
      <c r="X65327" s="6"/>
      <c r="Y65327" s="6"/>
      <c r="Z65327" s="6"/>
      <c r="AA65327" s="6"/>
      <c r="AB65327" s="6"/>
      <c r="AC65327" s="6"/>
      <c r="AD65327" s="6"/>
      <c r="AE65327" s="6"/>
      <c r="AF65327" s="6"/>
      <c r="AG65327" s="6"/>
      <c r="AH65327" s="6"/>
      <c r="AI65327" s="6"/>
      <c r="AJ65327" s="6"/>
      <c r="AK65327" s="6"/>
      <c r="AL65327" s="6"/>
      <c r="AM65327" s="6"/>
    </row>
    <row r="65328" spans="2:39" ht="9.9499999999999993" hidden="1" customHeight="1" x14ac:dyDescent="0.2">
      <c r="B65328" s="6"/>
      <c r="C65328" s="6"/>
      <c r="D65328" s="6"/>
      <c r="E65328" s="6"/>
      <c r="F65328" s="6"/>
      <c r="G65328" s="6"/>
      <c r="H65328" s="6"/>
      <c r="I65328" s="6"/>
      <c r="J65328" s="6"/>
      <c r="K65328" s="6"/>
      <c r="L65328" s="6"/>
      <c r="M65328" s="6"/>
      <c r="N65328" s="6"/>
      <c r="O65328" s="6"/>
      <c r="P65328" s="6"/>
      <c r="Q65328" s="6"/>
      <c r="R65328" s="6"/>
      <c r="S65328" s="6"/>
      <c r="T65328" s="6"/>
      <c r="U65328" s="6"/>
      <c r="V65328" s="6"/>
      <c r="W65328" s="6"/>
      <c r="X65328" s="6"/>
      <c r="Y65328" s="6"/>
      <c r="Z65328" s="6"/>
      <c r="AA65328" s="6"/>
      <c r="AB65328" s="6"/>
      <c r="AC65328" s="6"/>
      <c r="AD65328" s="6"/>
      <c r="AE65328" s="6"/>
      <c r="AF65328" s="6"/>
      <c r="AG65328" s="6"/>
      <c r="AH65328" s="6"/>
      <c r="AI65328" s="6"/>
      <c r="AJ65328" s="6"/>
      <c r="AK65328" s="6"/>
      <c r="AL65328" s="6"/>
      <c r="AM65328" s="6"/>
    </row>
    <row r="65329" spans="2:39" ht="9.9499999999999993" hidden="1" customHeight="1" x14ac:dyDescent="0.2">
      <c r="B65329" s="6"/>
      <c r="C65329" s="6"/>
      <c r="D65329" s="6"/>
      <c r="E65329" s="6"/>
      <c r="F65329" s="6"/>
      <c r="G65329" s="6"/>
      <c r="H65329" s="6"/>
      <c r="I65329" s="6"/>
      <c r="J65329" s="6"/>
      <c r="K65329" s="6"/>
      <c r="L65329" s="6"/>
      <c r="M65329" s="6"/>
      <c r="N65329" s="6"/>
      <c r="O65329" s="6"/>
      <c r="P65329" s="6"/>
      <c r="Q65329" s="6"/>
      <c r="R65329" s="6"/>
      <c r="S65329" s="6"/>
      <c r="T65329" s="6"/>
      <c r="U65329" s="6"/>
      <c r="V65329" s="6"/>
      <c r="W65329" s="6"/>
      <c r="X65329" s="6"/>
      <c r="Y65329" s="6"/>
      <c r="Z65329" s="6"/>
      <c r="AA65329" s="6"/>
      <c r="AB65329" s="6"/>
      <c r="AC65329" s="6"/>
      <c r="AD65329" s="6"/>
      <c r="AE65329" s="6"/>
      <c r="AF65329" s="6"/>
      <c r="AG65329" s="6"/>
      <c r="AH65329" s="6"/>
      <c r="AI65329" s="6"/>
      <c r="AJ65329" s="6"/>
      <c r="AK65329" s="6"/>
      <c r="AL65329" s="6"/>
      <c r="AM65329" s="6"/>
    </row>
    <row r="65330" spans="2:39" ht="9.9499999999999993" hidden="1" customHeight="1" x14ac:dyDescent="0.2">
      <c r="B65330" s="6"/>
      <c r="C65330" s="6"/>
      <c r="D65330" s="6"/>
      <c r="E65330" s="6"/>
      <c r="F65330" s="6"/>
      <c r="G65330" s="6"/>
      <c r="H65330" s="6"/>
      <c r="I65330" s="6"/>
      <c r="J65330" s="6"/>
      <c r="K65330" s="6"/>
      <c r="L65330" s="6"/>
      <c r="M65330" s="6"/>
      <c r="N65330" s="6"/>
      <c r="O65330" s="6"/>
      <c r="P65330" s="6"/>
      <c r="Q65330" s="6"/>
      <c r="R65330" s="6"/>
      <c r="S65330" s="6"/>
      <c r="T65330" s="6"/>
      <c r="U65330" s="6"/>
      <c r="V65330" s="6"/>
      <c r="W65330" s="6"/>
      <c r="X65330" s="6"/>
      <c r="Y65330" s="6"/>
      <c r="Z65330" s="6"/>
      <c r="AA65330" s="6"/>
      <c r="AB65330" s="6"/>
      <c r="AC65330" s="6"/>
      <c r="AD65330" s="6"/>
      <c r="AE65330" s="6"/>
      <c r="AF65330" s="6"/>
      <c r="AG65330" s="6"/>
      <c r="AH65330" s="6"/>
      <c r="AI65330" s="6"/>
      <c r="AJ65330" s="6"/>
      <c r="AK65330" s="6"/>
      <c r="AL65330" s="6"/>
      <c r="AM65330" s="6"/>
    </row>
    <row r="65331" spans="2:39" ht="9.9499999999999993" hidden="1" customHeight="1" x14ac:dyDescent="0.2">
      <c r="B65331" s="6"/>
      <c r="C65331" s="6"/>
      <c r="D65331" s="6"/>
      <c r="E65331" s="6"/>
      <c r="F65331" s="6"/>
      <c r="G65331" s="6"/>
      <c r="H65331" s="6"/>
      <c r="I65331" s="6"/>
      <c r="J65331" s="6"/>
      <c r="K65331" s="6"/>
      <c r="L65331" s="6"/>
      <c r="M65331" s="6"/>
      <c r="N65331" s="6"/>
      <c r="O65331" s="6"/>
      <c r="P65331" s="6"/>
      <c r="Q65331" s="6"/>
      <c r="R65331" s="6"/>
      <c r="S65331" s="6"/>
      <c r="T65331" s="6"/>
      <c r="U65331" s="6"/>
      <c r="V65331" s="6"/>
      <c r="W65331" s="6"/>
      <c r="X65331" s="6"/>
      <c r="Y65331" s="6"/>
      <c r="Z65331" s="6"/>
      <c r="AA65331" s="6"/>
      <c r="AB65331" s="6"/>
      <c r="AC65331" s="6"/>
      <c r="AD65331" s="6"/>
      <c r="AE65331" s="6"/>
      <c r="AF65331" s="6"/>
      <c r="AG65331" s="6"/>
      <c r="AH65331" s="6"/>
      <c r="AI65331" s="6"/>
      <c r="AJ65331" s="6"/>
      <c r="AK65331" s="6"/>
      <c r="AL65331" s="6"/>
      <c r="AM65331" s="6"/>
    </row>
    <row r="65332" spans="2:39" ht="9.9499999999999993" hidden="1" customHeight="1" x14ac:dyDescent="0.2">
      <c r="B65332" s="6"/>
      <c r="C65332" s="6"/>
      <c r="D65332" s="6"/>
      <c r="E65332" s="6"/>
      <c r="F65332" s="6"/>
      <c r="G65332" s="6"/>
      <c r="H65332" s="6"/>
      <c r="I65332" s="6"/>
      <c r="J65332" s="6"/>
      <c r="K65332" s="6"/>
      <c r="L65332" s="6"/>
      <c r="M65332" s="6"/>
      <c r="N65332" s="6"/>
      <c r="O65332" s="6"/>
      <c r="P65332" s="6"/>
      <c r="Q65332" s="6"/>
      <c r="R65332" s="6"/>
      <c r="S65332" s="6"/>
      <c r="T65332" s="6"/>
      <c r="U65332" s="6"/>
      <c r="V65332" s="6"/>
      <c r="W65332" s="6"/>
      <c r="X65332" s="6"/>
      <c r="Y65332" s="6"/>
      <c r="Z65332" s="6"/>
      <c r="AA65332" s="6"/>
      <c r="AB65332" s="6"/>
      <c r="AC65332" s="6"/>
      <c r="AD65332" s="6"/>
      <c r="AE65332" s="6"/>
      <c r="AF65332" s="6"/>
      <c r="AG65332" s="6"/>
      <c r="AH65332" s="6"/>
      <c r="AI65332" s="6"/>
      <c r="AJ65332" s="6"/>
      <c r="AK65332" s="6"/>
      <c r="AL65332" s="6"/>
      <c r="AM65332" s="6"/>
    </row>
    <row r="65333" spans="2:39" ht="9.9499999999999993" hidden="1" customHeight="1" x14ac:dyDescent="0.2">
      <c r="B65333" s="6"/>
      <c r="C65333" s="6"/>
      <c r="D65333" s="6"/>
      <c r="E65333" s="6"/>
      <c r="F65333" s="6"/>
      <c r="G65333" s="6"/>
      <c r="H65333" s="6"/>
      <c r="I65333" s="6"/>
      <c r="J65333" s="6"/>
      <c r="K65333" s="6"/>
      <c r="L65333" s="6"/>
      <c r="M65333" s="6"/>
      <c r="N65333" s="6"/>
      <c r="O65333" s="6"/>
      <c r="P65333" s="6"/>
      <c r="Q65333" s="6"/>
      <c r="R65333" s="6"/>
      <c r="S65333" s="6"/>
      <c r="T65333" s="6"/>
      <c r="U65333" s="6"/>
      <c r="V65333" s="6"/>
      <c r="W65333" s="6"/>
      <c r="X65333" s="6"/>
      <c r="Y65333" s="6"/>
      <c r="Z65333" s="6"/>
      <c r="AA65333" s="6"/>
      <c r="AB65333" s="6"/>
      <c r="AC65333" s="6"/>
      <c r="AD65333" s="6"/>
      <c r="AE65333" s="6"/>
      <c r="AF65333" s="6"/>
      <c r="AG65333" s="6"/>
      <c r="AH65333" s="6"/>
      <c r="AI65333" s="6"/>
      <c r="AJ65333" s="6"/>
      <c r="AK65333" s="6"/>
      <c r="AL65333" s="6"/>
      <c r="AM65333" s="6"/>
    </row>
    <row r="65334" spans="2:39" ht="9.9499999999999993" hidden="1" customHeight="1" x14ac:dyDescent="0.2">
      <c r="B65334" s="6"/>
      <c r="C65334" s="6"/>
      <c r="D65334" s="6"/>
      <c r="E65334" s="6"/>
      <c r="F65334" s="6"/>
      <c r="G65334" s="6"/>
      <c r="H65334" s="6"/>
      <c r="I65334" s="6"/>
      <c r="J65334" s="6"/>
      <c r="K65334" s="6"/>
      <c r="L65334" s="6"/>
      <c r="M65334" s="6"/>
      <c r="N65334" s="6"/>
      <c r="O65334" s="6"/>
      <c r="P65334" s="6"/>
      <c r="Q65334" s="6"/>
      <c r="R65334" s="6"/>
      <c r="S65334" s="6"/>
      <c r="T65334" s="6"/>
      <c r="U65334" s="6"/>
      <c r="V65334" s="6"/>
      <c r="W65334" s="6"/>
      <c r="X65334" s="6"/>
      <c r="Y65334" s="6"/>
      <c r="Z65334" s="6"/>
      <c r="AA65334" s="6"/>
      <c r="AB65334" s="6"/>
      <c r="AC65334" s="6"/>
      <c r="AD65334" s="6"/>
      <c r="AE65334" s="6"/>
      <c r="AF65334" s="6"/>
      <c r="AG65334" s="6"/>
      <c r="AH65334" s="6"/>
      <c r="AI65334" s="6"/>
      <c r="AJ65334" s="6"/>
      <c r="AK65334" s="6"/>
      <c r="AL65334" s="6"/>
      <c r="AM65334" s="6"/>
    </row>
    <row r="65335" spans="2:39" ht="9.9499999999999993" hidden="1" customHeight="1" x14ac:dyDescent="0.2">
      <c r="B65335" s="6"/>
      <c r="C65335" s="6"/>
      <c r="D65335" s="6"/>
      <c r="E65335" s="6"/>
      <c r="F65335" s="6"/>
      <c r="G65335" s="6"/>
      <c r="H65335" s="6"/>
      <c r="I65335" s="6"/>
      <c r="J65335" s="6"/>
      <c r="K65335" s="6"/>
      <c r="L65335" s="6"/>
      <c r="M65335" s="6"/>
      <c r="N65335" s="6"/>
      <c r="O65335" s="6"/>
      <c r="P65335" s="6"/>
      <c r="Q65335" s="6"/>
      <c r="R65335" s="6"/>
      <c r="S65335" s="6"/>
      <c r="T65335" s="6"/>
      <c r="U65335" s="6"/>
      <c r="V65335" s="6"/>
      <c r="W65335" s="6"/>
      <c r="X65335" s="6"/>
      <c r="Y65335" s="6"/>
      <c r="Z65335" s="6"/>
      <c r="AA65335" s="6"/>
      <c r="AB65335" s="6"/>
      <c r="AC65335" s="6"/>
      <c r="AD65335" s="6"/>
      <c r="AE65335" s="6"/>
      <c r="AF65335" s="6"/>
      <c r="AG65335" s="6"/>
      <c r="AH65335" s="6"/>
      <c r="AI65335" s="6"/>
      <c r="AJ65335" s="6"/>
      <c r="AK65335" s="6"/>
      <c r="AL65335" s="6"/>
      <c r="AM65335" s="6"/>
    </row>
    <row r="65336" spans="2:39" ht="9.9499999999999993" hidden="1" customHeight="1" x14ac:dyDescent="0.2">
      <c r="B65336" s="6"/>
      <c r="C65336" s="6"/>
      <c r="D65336" s="6"/>
      <c r="E65336" s="6"/>
      <c r="F65336" s="6"/>
      <c r="G65336" s="6"/>
      <c r="H65336" s="6"/>
      <c r="I65336" s="6"/>
      <c r="J65336" s="6"/>
      <c r="K65336" s="6"/>
      <c r="L65336" s="6"/>
      <c r="M65336" s="6"/>
      <c r="N65336" s="6"/>
      <c r="O65336" s="6"/>
      <c r="P65336" s="6"/>
      <c r="Q65336" s="6"/>
      <c r="R65336" s="6"/>
      <c r="S65336" s="6"/>
      <c r="T65336" s="6"/>
      <c r="U65336" s="6"/>
      <c r="V65336" s="6"/>
      <c r="W65336" s="6"/>
      <c r="X65336" s="6"/>
      <c r="Y65336" s="6"/>
      <c r="Z65336" s="6"/>
      <c r="AA65336" s="6"/>
      <c r="AB65336" s="6"/>
      <c r="AC65336" s="6"/>
      <c r="AD65336" s="6"/>
      <c r="AE65336" s="6"/>
      <c r="AF65336" s="6"/>
      <c r="AG65336" s="6"/>
      <c r="AH65336" s="6"/>
      <c r="AI65336" s="6"/>
      <c r="AJ65336" s="6"/>
      <c r="AK65336" s="6"/>
      <c r="AL65336" s="6"/>
      <c r="AM65336" s="6"/>
    </row>
    <row r="65337" spans="2:39" ht="9.9499999999999993" hidden="1" customHeight="1" x14ac:dyDescent="0.2">
      <c r="B65337" s="6"/>
      <c r="C65337" s="6"/>
      <c r="D65337" s="6"/>
      <c r="E65337" s="6"/>
      <c r="F65337" s="6"/>
      <c r="G65337" s="6"/>
      <c r="H65337" s="6"/>
      <c r="I65337" s="6"/>
      <c r="J65337" s="6"/>
      <c r="K65337" s="6"/>
      <c r="L65337" s="6"/>
      <c r="M65337" s="6"/>
      <c r="N65337" s="6"/>
      <c r="O65337" s="6"/>
      <c r="P65337" s="6"/>
      <c r="Q65337" s="6"/>
      <c r="R65337" s="6"/>
      <c r="S65337" s="6"/>
      <c r="T65337" s="6"/>
      <c r="U65337" s="6"/>
      <c r="V65337" s="6"/>
      <c r="W65337" s="6"/>
      <c r="X65337" s="6"/>
      <c r="Y65337" s="6"/>
      <c r="Z65337" s="6"/>
      <c r="AA65337" s="6"/>
      <c r="AB65337" s="6"/>
      <c r="AC65337" s="6"/>
      <c r="AD65337" s="6"/>
      <c r="AE65337" s="6"/>
      <c r="AF65337" s="6"/>
      <c r="AG65337" s="6"/>
      <c r="AH65337" s="6"/>
      <c r="AI65337" s="6"/>
      <c r="AJ65337" s="6"/>
      <c r="AK65337" s="6"/>
      <c r="AL65337" s="6"/>
      <c r="AM65337" s="6"/>
    </row>
    <row r="65338" spans="2:39" ht="9.9499999999999993" hidden="1" customHeight="1" x14ac:dyDescent="0.2">
      <c r="B65338" s="6"/>
      <c r="C65338" s="6"/>
      <c r="D65338" s="6"/>
      <c r="E65338" s="6"/>
      <c r="F65338" s="6"/>
      <c r="G65338" s="6"/>
      <c r="H65338" s="6"/>
      <c r="I65338" s="6"/>
      <c r="J65338" s="6"/>
      <c r="K65338" s="6"/>
      <c r="L65338" s="6"/>
      <c r="M65338" s="6"/>
      <c r="N65338" s="6"/>
      <c r="O65338" s="6"/>
      <c r="P65338" s="6"/>
      <c r="Q65338" s="6"/>
      <c r="R65338" s="6"/>
      <c r="S65338" s="6"/>
      <c r="T65338" s="6"/>
      <c r="U65338" s="6"/>
      <c r="V65338" s="6"/>
      <c r="W65338" s="6"/>
      <c r="X65338" s="6"/>
      <c r="Y65338" s="6"/>
      <c r="Z65338" s="6"/>
      <c r="AA65338" s="6"/>
      <c r="AB65338" s="6"/>
      <c r="AC65338" s="6"/>
      <c r="AD65338" s="6"/>
      <c r="AE65338" s="6"/>
      <c r="AF65338" s="6"/>
      <c r="AG65338" s="6"/>
      <c r="AH65338" s="6"/>
      <c r="AI65338" s="6"/>
      <c r="AJ65338" s="6"/>
      <c r="AK65338" s="6"/>
      <c r="AL65338" s="6"/>
      <c r="AM65338" s="6"/>
    </row>
    <row r="65339" spans="2:39" ht="9.9499999999999993" hidden="1" customHeight="1" x14ac:dyDescent="0.2">
      <c r="B65339" s="6"/>
      <c r="C65339" s="6"/>
      <c r="D65339" s="6"/>
      <c r="E65339" s="6"/>
      <c r="F65339" s="6"/>
      <c r="G65339" s="6"/>
      <c r="H65339" s="6"/>
      <c r="I65339" s="6"/>
      <c r="J65339" s="6"/>
      <c r="K65339" s="6"/>
      <c r="L65339" s="6"/>
      <c r="M65339" s="6"/>
      <c r="N65339" s="6"/>
      <c r="O65339" s="6"/>
      <c r="P65339" s="6"/>
      <c r="Q65339" s="6"/>
      <c r="R65339" s="6"/>
      <c r="S65339" s="6"/>
      <c r="T65339" s="6"/>
      <c r="U65339" s="6"/>
      <c r="V65339" s="6"/>
      <c r="W65339" s="6"/>
      <c r="X65339" s="6"/>
      <c r="Y65339" s="6"/>
      <c r="Z65339" s="6"/>
      <c r="AA65339" s="6"/>
      <c r="AB65339" s="6"/>
      <c r="AC65339" s="6"/>
      <c r="AD65339" s="6"/>
      <c r="AE65339" s="6"/>
      <c r="AF65339" s="6"/>
      <c r="AG65339" s="6"/>
      <c r="AH65339" s="6"/>
      <c r="AI65339" s="6"/>
      <c r="AJ65339" s="6"/>
      <c r="AK65339" s="6"/>
      <c r="AL65339" s="6"/>
      <c r="AM65339" s="6"/>
    </row>
    <row r="65340" spans="2:39" ht="9.9499999999999993" hidden="1" customHeight="1" x14ac:dyDescent="0.2">
      <c r="B65340" s="6"/>
      <c r="C65340" s="6"/>
      <c r="D65340" s="6"/>
      <c r="E65340" s="6"/>
      <c r="F65340" s="6"/>
      <c r="G65340" s="6"/>
      <c r="H65340" s="6"/>
      <c r="I65340" s="6"/>
      <c r="J65340" s="6"/>
      <c r="K65340" s="6"/>
      <c r="L65340" s="6"/>
      <c r="M65340" s="6"/>
      <c r="N65340" s="6"/>
      <c r="O65340" s="6"/>
      <c r="P65340" s="6"/>
      <c r="Q65340" s="6"/>
      <c r="R65340" s="6"/>
      <c r="S65340" s="6"/>
      <c r="T65340" s="6"/>
      <c r="U65340" s="6"/>
      <c r="V65340" s="6"/>
      <c r="W65340" s="6"/>
      <c r="X65340" s="6"/>
      <c r="Y65340" s="6"/>
      <c r="Z65340" s="6"/>
      <c r="AA65340" s="6"/>
      <c r="AB65340" s="6"/>
      <c r="AC65340" s="6"/>
      <c r="AD65340" s="6"/>
      <c r="AE65340" s="6"/>
      <c r="AF65340" s="6"/>
      <c r="AG65340" s="6"/>
      <c r="AH65340" s="6"/>
      <c r="AI65340" s="6"/>
      <c r="AJ65340" s="6"/>
      <c r="AK65340" s="6"/>
      <c r="AL65340" s="6"/>
      <c r="AM65340" s="6"/>
    </row>
    <row r="65341" spans="2:39" ht="9.9499999999999993" hidden="1" customHeight="1" x14ac:dyDescent="0.2">
      <c r="B65341" s="6"/>
      <c r="C65341" s="6"/>
      <c r="D65341" s="6"/>
      <c r="E65341" s="6"/>
      <c r="F65341" s="6"/>
      <c r="G65341" s="6"/>
      <c r="H65341" s="6"/>
      <c r="I65341" s="6"/>
      <c r="J65341" s="6"/>
      <c r="K65341" s="6"/>
      <c r="L65341" s="6"/>
      <c r="M65341" s="6"/>
      <c r="N65341" s="6"/>
      <c r="O65341" s="6"/>
      <c r="P65341" s="6"/>
      <c r="Q65341" s="6"/>
      <c r="R65341" s="6"/>
      <c r="S65341" s="6"/>
      <c r="T65341" s="6"/>
      <c r="U65341" s="6"/>
      <c r="V65341" s="6"/>
      <c r="W65341" s="6"/>
      <c r="X65341" s="6"/>
      <c r="Y65341" s="6"/>
      <c r="Z65341" s="6"/>
      <c r="AA65341" s="6"/>
      <c r="AB65341" s="6"/>
      <c r="AC65341" s="6"/>
      <c r="AD65341" s="6"/>
      <c r="AE65341" s="6"/>
      <c r="AF65341" s="6"/>
      <c r="AG65341" s="6"/>
      <c r="AH65341" s="6"/>
      <c r="AI65341" s="6"/>
      <c r="AJ65341" s="6"/>
      <c r="AK65341" s="6"/>
      <c r="AL65341" s="6"/>
      <c r="AM65341" s="6"/>
    </row>
    <row r="65342" spans="2:39" ht="9.9499999999999993" hidden="1" customHeight="1" x14ac:dyDescent="0.2">
      <c r="B65342" s="6"/>
      <c r="C65342" s="6"/>
      <c r="D65342" s="6"/>
      <c r="E65342" s="6"/>
      <c r="F65342" s="6"/>
      <c r="G65342" s="6"/>
      <c r="H65342" s="6"/>
      <c r="I65342" s="6"/>
      <c r="J65342" s="6"/>
      <c r="K65342" s="6"/>
      <c r="L65342" s="6"/>
      <c r="M65342" s="6"/>
      <c r="N65342" s="6"/>
      <c r="O65342" s="6"/>
      <c r="P65342" s="6"/>
      <c r="Q65342" s="6"/>
      <c r="R65342" s="6"/>
      <c r="S65342" s="6"/>
      <c r="T65342" s="6"/>
      <c r="U65342" s="6"/>
      <c r="V65342" s="6"/>
      <c r="W65342" s="6"/>
      <c r="X65342" s="6"/>
      <c r="Y65342" s="6"/>
      <c r="Z65342" s="6"/>
      <c r="AA65342" s="6"/>
      <c r="AB65342" s="6"/>
      <c r="AC65342" s="6"/>
      <c r="AD65342" s="6"/>
      <c r="AE65342" s="6"/>
      <c r="AF65342" s="6"/>
      <c r="AG65342" s="6"/>
      <c r="AH65342" s="6"/>
      <c r="AI65342" s="6"/>
      <c r="AJ65342" s="6"/>
      <c r="AK65342" s="6"/>
      <c r="AL65342" s="6"/>
      <c r="AM65342" s="6"/>
    </row>
    <row r="65343" spans="2:39" ht="9.9499999999999993" hidden="1" customHeight="1" x14ac:dyDescent="0.2">
      <c r="B65343" s="6"/>
      <c r="C65343" s="6"/>
      <c r="D65343" s="6"/>
      <c r="E65343" s="6"/>
      <c r="F65343" s="6"/>
      <c r="G65343" s="6"/>
      <c r="H65343" s="6"/>
      <c r="I65343" s="6"/>
      <c r="J65343" s="6"/>
      <c r="K65343" s="6"/>
      <c r="L65343" s="6"/>
      <c r="M65343" s="6"/>
      <c r="N65343" s="6"/>
      <c r="O65343" s="6"/>
      <c r="P65343" s="6"/>
      <c r="Q65343" s="6"/>
      <c r="R65343" s="6"/>
      <c r="S65343" s="6"/>
      <c r="T65343" s="6"/>
      <c r="U65343" s="6"/>
      <c r="V65343" s="6"/>
      <c r="W65343" s="6"/>
      <c r="X65343" s="6"/>
      <c r="Y65343" s="6"/>
      <c r="Z65343" s="6"/>
      <c r="AA65343" s="6"/>
      <c r="AB65343" s="6"/>
      <c r="AC65343" s="6"/>
      <c r="AD65343" s="6"/>
      <c r="AE65343" s="6"/>
      <c r="AF65343" s="6"/>
      <c r="AG65343" s="6"/>
      <c r="AH65343" s="6"/>
      <c r="AI65343" s="6"/>
      <c r="AJ65343" s="6"/>
      <c r="AK65343" s="6"/>
      <c r="AL65343" s="6"/>
      <c r="AM65343" s="6"/>
    </row>
    <row r="65344" spans="2:39" ht="9.9499999999999993" hidden="1" customHeight="1" x14ac:dyDescent="0.2">
      <c r="B65344" s="6"/>
      <c r="C65344" s="6"/>
      <c r="D65344" s="6"/>
      <c r="E65344" s="6"/>
      <c r="F65344" s="6"/>
      <c r="G65344" s="6"/>
      <c r="H65344" s="6"/>
      <c r="I65344" s="6"/>
      <c r="J65344" s="6"/>
      <c r="K65344" s="6"/>
      <c r="L65344" s="6"/>
      <c r="M65344" s="6"/>
      <c r="N65344" s="6"/>
      <c r="O65344" s="6"/>
      <c r="P65344" s="6"/>
      <c r="Q65344" s="6"/>
      <c r="R65344" s="6"/>
      <c r="S65344" s="6"/>
      <c r="T65344" s="6"/>
      <c r="U65344" s="6"/>
      <c r="V65344" s="6"/>
      <c r="W65344" s="6"/>
      <c r="X65344" s="6"/>
      <c r="Y65344" s="6"/>
      <c r="Z65344" s="6"/>
      <c r="AA65344" s="6"/>
      <c r="AB65344" s="6"/>
      <c r="AC65344" s="6"/>
      <c r="AD65344" s="6"/>
      <c r="AE65344" s="6"/>
      <c r="AF65344" s="6"/>
      <c r="AG65344" s="6"/>
      <c r="AH65344" s="6"/>
      <c r="AI65344" s="6"/>
      <c r="AJ65344" s="6"/>
      <c r="AK65344" s="6"/>
      <c r="AL65344" s="6"/>
      <c r="AM65344" s="6"/>
    </row>
    <row r="65345" spans="2:39" ht="9.9499999999999993" hidden="1" customHeight="1" x14ac:dyDescent="0.2">
      <c r="B65345" s="6"/>
      <c r="C65345" s="6"/>
      <c r="D65345" s="6"/>
      <c r="E65345" s="6"/>
      <c r="F65345" s="6"/>
      <c r="G65345" s="6"/>
      <c r="H65345" s="6"/>
      <c r="I65345" s="6"/>
      <c r="J65345" s="6"/>
      <c r="K65345" s="6"/>
      <c r="L65345" s="6"/>
      <c r="M65345" s="6"/>
      <c r="N65345" s="6"/>
      <c r="O65345" s="6"/>
      <c r="P65345" s="6"/>
      <c r="Q65345" s="6"/>
      <c r="R65345" s="6"/>
      <c r="S65345" s="6"/>
      <c r="T65345" s="6"/>
      <c r="U65345" s="6"/>
      <c r="V65345" s="6"/>
      <c r="W65345" s="6"/>
      <c r="X65345" s="6"/>
      <c r="Y65345" s="6"/>
      <c r="Z65345" s="6"/>
      <c r="AA65345" s="6"/>
      <c r="AB65345" s="6"/>
      <c r="AC65345" s="6"/>
      <c r="AD65345" s="6"/>
      <c r="AE65345" s="6"/>
      <c r="AF65345" s="6"/>
      <c r="AG65345" s="6"/>
      <c r="AH65345" s="6"/>
      <c r="AI65345" s="6"/>
      <c r="AJ65345" s="6"/>
      <c r="AK65345" s="6"/>
      <c r="AL65345" s="6"/>
      <c r="AM65345" s="6"/>
    </row>
    <row r="65346" spans="2:39" ht="9.9499999999999993" hidden="1" customHeight="1" x14ac:dyDescent="0.2">
      <c r="B65346" s="6"/>
      <c r="C65346" s="6"/>
      <c r="D65346" s="6"/>
      <c r="E65346" s="6"/>
      <c r="F65346" s="6"/>
      <c r="G65346" s="6"/>
      <c r="H65346" s="6"/>
      <c r="I65346" s="6"/>
      <c r="J65346" s="6"/>
      <c r="K65346" s="6"/>
      <c r="L65346" s="6"/>
      <c r="M65346" s="6"/>
      <c r="N65346" s="6"/>
      <c r="O65346" s="6"/>
      <c r="P65346" s="6"/>
      <c r="Q65346" s="6"/>
      <c r="R65346" s="6"/>
      <c r="S65346" s="6"/>
      <c r="T65346" s="6"/>
      <c r="U65346" s="6"/>
      <c r="V65346" s="6"/>
      <c r="W65346" s="6"/>
      <c r="X65346" s="6"/>
      <c r="Y65346" s="6"/>
      <c r="Z65346" s="6"/>
      <c r="AA65346" s="6"/>
      <c r="AB65346" s="6"/>
      <c r="AC65346" s="6"/>
      <c r="AD65346" s="6"/>
      <c r="AE65346" s="6"/>
      <c r="AF65346" s="6"/>
      <c r="AG65346" s="6"/>
      <c r="AH65346" s="6"/>
      <c r="AI65346" s="6"/>
      <c r="AJ65346" s="6"/>
      <c r="AK65346" s="6"/>
      <c r="AL65346" s="6"/>
      <c r="AM65346" s="6"/>
    </row>
    <row r="65347" spans="2:39" ht="9.9499999999999993" hidden="1" customHeight="1" x14ac:dyDescent="0.2">
      <c r="B65347" s="6"/>
      <c r="C65347" s="6"/>
      <c r="D65347" s="6"/>
      <c r="E65347" s="6"/>
      <c r="F65347" s="6"/>
      <c r="G65347" s="6"/>
      <c r="H65347" s="6"/>
      <c r="I65347" s="6"/>
      <c r="J65347" s="6"/>
      <c r="K65347" s="6"/>
      <c r="L65347" s="6"/>
      <c r="M65347" s="6"/>
      <c r="N65347" s="6"/>
      <c r="O65347" s="6"/>
      <c r="P65347" s="6"/>
      <c r="Q65347" s="6"/>
      <c r="R65347" s="6"/>
      <c r="S65347" s="6"/>
      <c r="T65347" s="6"/>
      <c r="U65347" s="6"/>
      <c r="V65347" s="6"/>
      <c r="W65347" s="6"/>
      <c r="X65347" s="6"/>
      <c r="Y65347" s="6"/>
      <c r="Z65347" s="6"/>
      <c r="AA65347" s="6"/>
      <c r="AB65347" s="6"/>
      <c r="AC65347" s="6"/>
      <c r="AD65347" s="6"/>
      <c r="AE65347" s="6"/>
      <c r="AF65347" s="6"/>
      <c r="AG65347" s="6"/>
      <c r="AH65347" s="6"/>
      <c r="AI65347" s="6"/>
      <c r="AJ65347" s="6"/>
      <c r="AK65347" s="6"/>
      <c r="AL65347" s="6"/>
      <c r="AM65347" s="6"/>
    </row>
    <row r="65348" spans="2:39" ht="9.9499999999999993" hidden="1" customHeight="1" x14ac:dyDescent="0.2">
      <c r="B65348" s="6"/>
      <c r="C65348" s="6"/>
      <c r="D65348" s="6"/>
      <c r="E65348" s="6"/>
      <c r="F65348" s="6"/>
      <c r="G65348" s="6"/>
      <c r="H65348" s="6"/>
      <c r="I65348" s="6"/>
      <c r="J65348" s="6"/>
      <c r="K65348" s="6"/>
      <c r="L65348" s="6"/>
      <c r="M65348" s="6"/>
      <c r="N65348" s="6"/>
      <c r="O65348" s="6"/>
      <c r="P65348" s="6"/>
      <c r="Q65348" s="6"/>
      <c r="R65348" s="6"/>
      <c r="S65348" s="6"/>
      <c r="T65348" s="6"/>
      <c r="U65348" s="6"/>
      <c r="V65348" s="6"/>
      <c r="W65348" s="6"/>
      <c r="X65348" s="6"/>
      <c r="Y65348" s="6"/>
      <c r="Z65348" s="6"/>
      <c r="AA65348" s="6"/>
      <c r="AB65348" s="6"/>
      <c r="AC65348" s="6"/>
      <c r="AD65348" s="6"/>
      <c r="AE65348" s="6"/>
      <c r="AF65348" s="6"/>
      <c r="AG65348" s="6"/>
      <c r="AH65348" s="6"/>
      <c r="AI65348" s="6"/>
      <c r="AJ65348" s="6"/>
      <c r="AK65348" s="6"/>
      <c r="AL65348" s="6"/>
      <c r="AM65348" s="6"/>
    </row>
    <row r="65349" spans="2:39" ht="9.9499999999999993" hidden="1" customHeight="1" x14ac:dyDescent="0.2">
      <c r="B65349" s="6"/>
      <c r="C65349" s="6"/>
      <c r="D65349" s="6"/>
      <c r="E65349" s="6"/>
      <c r="F65349" s="6"/>
      <c r="G65349" s="6"/>
      <c r="H65349" s="6"/>
      <c r="I65349" s="6"/>
      <c r="J65349" s="6"/>
      <c r="K65349" s="6"/>
      <c r="L65349" s="6"/>
      <c r="M65349" s="6"/>
      <c r="N65349" s="6"/>
      <c r="O65349" s="6"/>
      <c r="P65349" s="6"/>
      <c r="Q65349" s="6"/>
      <c r="R65349" s="6"/>
      <c r="S65349" s="6"/>
      <c r="T65349" s="6"/>
      <c r="U65349" s="6"/>
      <c r="V65349" s="6"/>
      <c r="W65349" s="6"/>
      <c r="X65349" s="6"/>
      <c r="Y65349" s="6"/>
      <c r="Z65349" s="6"/>
      <c r="AA65349" s="6"/>
      <c r="AB65349" s="6"/>
      <c r="AC65349" s="6"/>
      <c r="AD65349" s="6"/>
      <c r="AE65349" s="6"/>
      <c r="AF65349" s="6"/>
      <c r="AG65349" s="6"/>
      <c r="AH65349" s="6"/>
      <c r="AI65349" s="6"/>
      <c r="AJ65349" s="6"/>
      <c r="AK65349" s="6"/>
      <c r="AL65349" s="6"/>
      <c r="AM65349" s="6"/>
    </row>
    <row r="65350" spans="2:39" ht="9.9499999999999993" hidden="1" customHeight="1" x14ac:dyDescent="0.2">
      <c r="B65350" s="6"/>
      <c r="C65350" s="6"/>
      <c r="D65350" s="6"/>
      <c r="E65350" s="6"/>
      <c r="F65350" s="6"/>
      <c r="G65350" s="6"/>
      <c r="H65350" s="6"/>
      <c r="I65350" s="6"/>
      <c r="J65350" s="6"/>
      <c r="K65350" s="6"/>
      <c r="L65350" s="6"/>
      <c r="M65350" s="6"/>
      <c r="N65350" s="6"/>
      <c r="O65350" s="6"/>
      <c r="P65350" s="6"/>
      <c r="Q65350" s="6"/>
      <c r="R65350" s="6"/>
      <c r="S65350" s="6"/>
      <c r="T65350" s="6"/>
      <c r="U65350" s="6"/>
      <c r="V65350" s="6"/>
      <c r="W65350" s="6"/>
      <c r="X65350" s="6"/>
      <c r="Y65350" s="6"/>
      <c r="Z65350" s="6"/>
      <c r="AA65350" s="6"/>
      <c r="AB65350" s="6"/>
      <c r="AC65350" s="6"/>
      <c r="AD65350" s="6"/>
      <c r="AE65350" s="6"/>
      <c r="AF65350" s="6"/>
      <c r="AG65350" s="6"/>
      <c r="AH65350" s="6"/>
      <c r="AI65350" s="6"/>
      <c r="AJ65350" s="6"/>
      <c r="AK65350" s="6"/>
      <c r="AL65350" s="6"/>
      <c r="AM65350" s="6"/>
    </row>
    <row r="65351" spans="2:39" ht="9.9499999999999993" hidden="1" customHeight="1" x14ac:dyDescent="0.2">
      <c r="B65351" s="6"/>
      <c r="C65351" s="6"/>
      <c r="D65351" s="6"/>
      <c r="E65351" s="6"/>
      <c r="F65351" s="6"/>
      <c r="G65351" s="6"/>
      <c r="H65351" s="6"/>
      <c r="I65351" s="6"/>
      <c r="J65351" s="6"/>
      <c r="K65351" s="6"/>
      <c r="L65351" s="6"/>
      <c r="M65351" s="6"/>
      <c r="N65351" s="6"/>
      <c r="O65351" s="6"/>
      <c r="P65351" s="6"/>
      <c r="Q65351" s="6"/>
      <c r="R65351" s="6"/>
      <c r="S65351" s="6"/>
      <c r="T65351" s="6"/>
      <c r="U65351" s="6"/>
      <c r="V65351" s="6"/>
      <c r="W65351" s="6"/>
      <c r="X65351" s="6"/>
      <c r="Y65351" s="6"/>
      <c r="Z65351" s="6"/>
      <c r="AA65351" s="6"/>
      <c r="AB65351" s="6"/>
      <c r="AC65351" s="6"/>
      <c r="AD65351" s="6"/>
      <c r="AE65351" s="6"/>
      <c r="AF65351" s="6"/>
      <c r="AG65351" s="6"/>
      <c r="AH65351" s="6"/>
      <c r="AI65351" s="6"/>
      <c r="AJ65351" s="6"/>
      <c r="AK65351" s="6"/>
      <c r="AL65351" s="6"/>
      <c r="AM65351" s="6"/>
    </row>
    <row r="65352" spans="2:39" ht="9.9499999999999993" hidden="1" customHeight="1" x14ac:dyDescent="0.2">
      <c r="B65352" s="6"/>
      <c r="C65352" s="6"/>
      <c r="D65352" s="6"/>
      <c r="E65352" s="6"/>
      <c r="F65352" s="6"/>
      <c r="G65352" s="6"/>
      <c r="H65352" s="6"/>
      <c r="I65352" s="6"/>
      <c r="J65352" s="6"/>
      <c r="K65352" s="6"/>
      <c r="L65352" s="6"/>
      <c r="M65352" s="6"/>
      <c r="N65352" s="6"/>
      <c r="O65352" s="6"/>
      <c r="P65352" s="6"/>
      <c r="Q65352" s="6"/>
      <c r="R65352" s="6"/>
      <c r="S65352" s="6"/>
      <c r="T65352" s="6"/>
      <c r="U65352" s="6"/>
      <c r="V65352" s="6"/>
      <c r="W65352" s="6"/>
      <c r="X65352" s="6"/>
      <c r="Y65352" s="6"/>
      <c r="Z65352" s="6"/>
      <c r="AA65352" s="6"/>
      <c r="AB65352" s="6"/>
      <c r="AC65352" s="6"/>
      <c r="AD65352" s="6"/>
      <c r="AE65352" s="6"/>
      <c r="AF65352" s="6"/>
      <c r="AG65352" s="6"/>
      <c r="AH65352" s="6"/>
      <c r="AI65352" s="6"/>
      <c r="AJ65352" s="6"/>
      <c r="AK65352" s="6"/>
      <c r="AL65352" s="6"/>
      <c r="AM65352" s="6"/>
    </row>
    <row r="65353" spans="2:39" ht="9.9499999999999993" hidden="1" customHeight="1" x14ac:dyDescent="0.2">
      <c r="B65353" s="6"/>
      <c r="C65353" s="6"/>
      <c r="D65353" s="6"/>
      <c r="E65353" s="6"/>
      <c r="F65353" s="6"/>
      <c r="G65353" s="6"/>
      <c r="H65353" s="6"/>
      <c r="I65353" s="6"/>
      <c r="J65353" s="6"/>
      <c r="K65353" s="6"/>
      <c r="L65353" s="6"/>
      <c r="M65353" s="6"/>
      <c r="N65353" s="6"/>
      <c r="O65353" s="6"/>
      <c r="P65353" s="6"/>
      <c r="Q65353" s="6"/>
      <c r="R65353" s="6"/>
      <c r="S65353" s="6"/>
      <c r="T65353" s="6"/>
      <c r="U65353" s="6"/>
      <c r="V65353" s="6"/>
      <c r="W65353" s="6"/>
      <c r="X65353" s="6"/>
      <c r="Y65353" s="6"/>
      <c r="Z65353" s="6"/>
      <c r="AA65353" s="6"/>
      <c r="AB65353" s="6"/>
      <c r="AC65353" s="6"/>
      <c r="AD65353" s="6"/>
      <c r="AE65353" s="6"/>
      <c r="AF65353" s="6"/>
      <c r="AG65353" s="6"/>
      <c r="AH65353" s="6"/>
      <c r="AI65353" s="6"/>
      <c r="AJ65353" s="6"/>
      <c r="AK65353" s="6"/>
      <c r="AL65353" s="6"/>
      <c r="AM65353" s="6"/>
    </row>
    <row r="65354" spans="2:39" ht="9.9499999999999993" hidden="1" customHeight="1" x14ac:dyDescent="0.2">
      <c r="B65354" s="6"/>
      <c r="C65354" s="6"/>
      <c r="D65354" s="6"/>
      <c r="E65354" s="6"/>
      <c r="F65354" s="6"/>
      <c r="G65354" s="6"/>
      <c r="H65354" s="6"/>
      <c r="I65354" s="6"/>
      <c r="J65354" s="6"/>
      <c r="K65354" s="6"/>
      <c r="L65354" s="6"/>
      <c r="M65354" s="6"/>
      <c r="N65354" s="6"/>
      <c r="O65354" s="6"/>
      <c r="P65354" s="6"/>
      <c r="Q65354" s="6"/>
      <c r="R65354" s="6"/>
      <c r="S65354" s="6"/>
      <c r="T65354" s="6"/>
      <c r="U65354" s="6"/>
      <c r="V65354" s="6"/>
      <c r="W65354" s="6"/>
      <c r="X65354" s="6"/>
      <c r="Y65354" s="6"/>
      <c r="Z65354" s="6"/>
      <c r="AA65354" s="6"/>
      <c r="AB65354" s="6"/>
      <c r="AC65354" s="6"/>
      <c r="AD65354" s="6"/>
      <c r="AE65354" s="6"/>
      <c r="AF65354" s="6"/>
      <c r="AG65354" s="6"/>
      <c r="AH65354" s="6"/>
      <c r="AI65354" s="6"/>
      <c r="AJ65354" s="6"/>
      <c r="AK65354" s="6"/>
      <c r="AL65354" s="6"/>
      <c r="AM65354" s="6"/>
    </row>
    <row r="65355" spans="2:39" ht="9.9499999999999993" hidden="1" customHeight="1" x14ac:dyDescent="0.2">
      <c r="B65355" s="6"/>
      <c r="C65355" s="6"/>
      <c r="D65355" s="6"/>
      <c r="E65355" s="6"/>
      <c r="F65355" s="6"/>
      <c r="G65355" s="6"/>
      <c r="H65355" s="6"/>
      <c r="I65355" s="6"/>
      <c r="J65355" s="6"/>
      <c r="K65355" s="6"/>
      <c r="L65355" s="6"/>
      <c r="M65355" s="6"/>
      <c r="N65355" s="6"/>
      <c r="O65355" s="6"/>
      <c r="P65355" s="6"/>
      <c r="Q65355" s="6"/>
      <c r="R65355" s="6"/>
      <c r="S65355" s="6"/>
      <c r="T65355" s="6"/>
      <c r="U65355" s="6"/>
      <c r="V65355" s="6"/>
      <c r="W65355" s="6"/>
      <c r="X65355" s="6"/>
      <c r="Y65355" s="6"/>
      <c r="Z65355" s="6"/>
      <c r="AA65355" s="6"/>
      <c r="AB65355" s="6"/>
      <c r="AC65355" s="6"/>
      <c r="AD65355" s="6"/>
      <c r="AE65355" s="6"/>
      <c r="AF65355" s="6"/>
      <c r="AG65355" s="6"/>
      <c r="AH65355" s="6"/>
      <c r="AI65355" s="6"/>
      <c r="AJ65355" s="6"/>
      <c r="AK65355" s="6"/>
      <c r="AL65355" s="6"/>
      <c r="AM65355" s="6"/>
    </row>
    <row r="65356" spans="2:39" ht="9.9499999999999993" hidden="1" customHeight="1" x14ac:dyDescent="0.2">
      <c r="B65356" s="6"/>
      <c r="C65356" s="6"/>
      <c r="D65356" s="6"/>
      <c r="E65356" s="6"/>
      <c r="F65356" s="6"/>
      <c r="G65356" s="6"/>
      <c r="H65356" s="6"/>
      <c r="I65356" s="6"/>
      <c r="J65356" s="6"/>
      <c r="K65356" s="6"/>
      <c r="L65356" s="6"/>
      <c r="M65356" s="6"/>
      <c r="N65356" s="6"/>
      <c r="O65356" s="6"/>
      <c r="P65356" s="6"/>
      <c r="Q65356" s="6"/>
      <c r="R65356" s="6"/>
      <c r="S65356" s="6"/>
      <c r="T65356" s="6"/>
      <c r="U65356" s="6"/>
      <c r="V65356" s="6"/>
      <c r="W65356" s="6"/>
      <c r="X65356" s="6"/>
      <c r="Y65356" s="6"/>
      <c r="Z65356" s="6"/>
      <c r="AA65356" s="6"/>
      <c r="AB65356" s="6"/>
      <c r="AC65356" s="6"/>
      <c r="AD65356" s="6"/>
      <c r="AE65356" s="6"/>
      <c r="AF65356" s="6"/>
      <c r="AG65356" s="6"/>
      <c r="AH65356" s="6"/>
      <c r="AI65356" s="6"/>
      <c r="AJ65356" s="6"/>
      <c r="AK65356" s="6"/>
      <c r="AL65356" s="6"/>
      <c r="AM65356" s="6"/>
    </row>
    <row r="65357" spans="2:39" ht="9.9499999999999993" hidden="1" customHeight="1" x14ac:dyDescent="0.2">
      <c r="B65357" s="6"/>
      <c r="C65357" s="6"/>
      <c r="D65357" s="6"/>
      <c r="E65357" s="6"/>
      <c r="F65357" s="6"/>
      <c r="G65357" s="6"/>
      <c r="H65357" s="6"/>
      <c r="I65357" s="6"/>
      <c r="J65357" s="6"/>
      <c r="K65357" s="6"/>
      <c r="L65357" s="6"/>
      <c r="M65357" s="6"/>
      <c r="N65357" s="6"/>
      <c r="O65357" s="6"/>
      <c r="P65357" s="6"/>
      <c r="Q65357" s="6"/>
      <c r="R65357" s="6"/>
      <c r="S65357" s="6"/>
      <c r="T65357" s="6"/>
      <c r="U65357" s="6"/>
      <c r="V65357" s="6"/>
      <c r="W65357" s="6"/>
      <c r="X65357" s="6"/>
      <c r="Y65357" s="6"/>
      <c r="Z65357" s="6"/>
      <c r="AA65357" s="6"/>
      <c r="AB65357" s="6"/>
      <c r="AC65357" s="6"/>
      <c r="AD65357" s="6"/>
      <c r="AE65357" s="6"/>
      <c r="AF65357" s="6"/>
      <c r="AG65357" s="6"/>
      <c r="AH65357" s="6"/>
      <c r="AI65357" s="6"/>
      <c r="AJ65357" s="6"/>
      <c r="AK65357" s="6"/>
      <c r="AL65357" s="6"/>
      <c r="AM65357" s="6"/>
    </row>
    <row r="65358" spans="2:39" ht="9.9499999999999993" hidden="1" customHeight="1" x14ac:dyDescent="0.2">
      <c r="B65358" s="6"/>
      <c r="C65358" s="6"/>
      <c r="D65358" s="6"/>
      <c r="E65358" s="6"/>
      <c r="F65358" s="6"/>
      <c r="G65358" s="6"/>
      <c r="H65358" s="6"/>
      <c r="I65358" s="6"/>
      <c r="J65358" s="6"/>
      <c r="K65358" s="6"/>
      <c r="L65358" s="6"/>
      <c r="M65358" s="6"/>
      <c r="N65358" s="6"/>
      <c r="O65358" s="6"/>
      <c r="P65358" s="6"/>
      <c r="Q65358" s="6"/>
      <c r="R65358" s="6"/>
      <c r="S65358" s="6"/>
      <c r="T65358" s="6"/>
      <c r="U65358" s="6"/>
      <c r="V65358" s="6"/>
      <c r="W65358" s="6"/>
      <c r="X65358" s="6"/>
      <c r="Y65358" s="6"/>
      <c r="Z65358" s="6"/>
      <c r="AA65358" s="6"/>
      <c r="AB65358" s="6"/>
      <c r="AC65358" s="6"/>
      <c r="AD65358" s="6"/>
      <c r="AE65358" s="6"/>
      <c r="AF65358" s="6"/>
      <c r="AG65358" s="6"/>
      <c r="AH65358" s="6"/>
      <c r="AI65358" s="6"/>
      <c r="AJ65358" s="6"/>
      <c r="AK65358" s="6"/>
      <c r="AL65358" s="6"/>
      <c r="AM65358" s="6"/>
    </row>
    <row r="65359" spans="2:39" ht="9.9499999999999993" hidden="1" customHeight="1" x14ac:dyDescent="0.2">
      <c r="B65359" s="6"/>
      <c r="C65359" s="6"/>
      <c r="D65359" s="6"/>
      <c r="E65359" s="6"/>
      <c r="F65359" s="6"/>
      <c r="G65359" s="6"/>
      <c r="H65359" s="6"/>
      <c r="I65359" s="6"/>
      <c r="J65359" s="6"/>
      <c r="K65359" s="6"/>
      <c r="L65359" s="6"/>
      <c r="M65359" s="6"/>
      <c r="N65359" s="6"/>
      <c r="O65359" s="6"/>
      <c r="P65359" s="6"/>
      <c r="Q65359" s="6"/>
      <c r="R65359" s="6"/>
      <c r="S65359" s="6"/>
      <c r="T65359" s="6"/>
      <c r="U65359" s="6"/>
      <c r="V65359" s="6"/>
      <c r="W65359" s="6"/>
      <c r="X65359" s="6"/>
      <c r="Y65359" s="6"/>
      <c r="Z65359" s="6"/>
      <c r="AA65359" s="6"/>
      <c r="AB65359" s="6"/>
      <c r="AC65359" s="6"/>
      <c r="AD65359" s="6"/>
      <c r="AE65359" s="6"/>
      <c r="AF65359" s="6"/>
      <c r="AG65359" s="6"/>
      <c r="AH65359" s="6"/>
      <c r="AI65359" s="6"/>
      <c r="AJ65359" s="6"/>
      <c r="AK65359" s="6"/>
      <c r="AL65359" s="6"/>
      <c r="AM65359" s="6"/>
    </row>
    <row r="65360" spans="2:39" ht="9.9499999999999993" hidden="1" customHeight="1" x14ac:dyDescent="0.2">
      <c r="B65360" s="6"/>
      <c r="C65360" s="6"/>
      <c r="D65360" s="6"/>
      <c r="E65360" s="6"/>
      <c r="F65360" s="6"/>
      <c r="G65360" s="6"/>
      <c r="H65360" s="6"/>
      <c r="I65360" s="6"/>
      <c r="J65360" s="6"/>
      <c r="K65360" s="6"/>
      <c r="L65360" s="6"/>
      <c r="M65360" s="6"/>
      <c r="N65360" s="6"/>
      <c r="O65360" s="6"/>
      <c r="P65360" s="6"/>
      <c r="Q65360" s="6"/>
      <c r="R65360" s="6"/>
      <c r="S65360" s="6"/>
      <c r="T65360" s="6"/>
      <c r="U65360" s="6"/>
      <c r="V65360" s="6"/>
      <c r="W65360" s="6"/>
      <c r="X65360" s="6"/>
      <c r="Y65360" s="6"/>
      <c r="Z65360" s="6"/>
      <c r="AA65360" s="6"/>
      <c r="AB65360" s="6"/>
      <c r="AC65360" s="6"/>
      <c r="AD65360" s="6"/>
      <c r="AE65360" s="6"/>
      <c r="AF65360" s="6"/>
      <c r="AG65360" s="6"/>
      <c r="AH65360" s="6"/>
      <c r="AI65360" s="6"/>
      <c r="AJ65360" s="6"/>
      <c r="AK65360" s="6"/>
      <c r="AL65360" s="6"/>
      <c r="AM65360" s="6"/>
    </row>
    <row r="65361" spans="2:39" ht="9.9499999999999993" hidden="1" customHeight="1" x14ac:dyDescent="0.2">
      <c r="B65361" s="6"/>
      <c r="C65361" s="6"/>
      <c r="D65361" s="6"/>
      <c r="E65361" s="6"/>
      <c r="F65361" s="6"/>
      <c r="G65361" s="6"/>
      <c r="H65361" s="6"/>
      <c r="I65361" s="6"/>
      <c r="J65361" s="6"/>
      <c r="K65361" s="6"/>
      <c r="L65361" s="6"/>
      <c r="M65361" s="6"/>
      <c r="N65361" s="6"/>
      <c r="O65361" s="6"/>
      <c r="P65361" s="6"/>
      <c r="Q65361" s="6"/>
      <c r="R65361" s="6"/>
      <c r="S65361" s="6"/>
      <c r="T65361" s="6"/>
      <c r="U65361" s="6"/>
      <c r="V65361" s="6"/>
      <c r="W65361" s="6"/>
      <c r="X65361" s="6"/>
      <c r="Y65361" s="6"/>
      <c r="Z65361" s="6"/>
      <c r="AA65361" s="6"/>
      <c r="AB65361" s="6"/>
      <c r="AC65361" s="6"/>
      <c r="AD65361" s="6"/>
      <c r="AE65361" s="6"/>
      <c r="AF65361" s="6"/>
      <c r="AG65361" s="6"/>
      <c r="AH65361" s="6"/>
      <c r="AI65361" s="6"/>
      <c r="AJ65361" s="6"/>
      <c r="AK65361" s="6"/>
      <c r="AL65361" s="6"/>
      <c r="AM65361" s="6"/>
    </row>
    <row r="65362" spans="2:39" ht="9.9499999999999993" hidden="1" customHeight="1" x14ac:dyDescent="0.2">
      <c r="B65362" s="6"/>
      <c r="C65362" s="6"/>
      <c r="D65362" s="6"/>
      <c r="E65362" s="6"/>
      <c r="F65362" s="6"/>
      <c r="G65362" s="6"/>
      <c r="H65362" s="6"/>
      <c r="I65362" s="6"/>
      <c r="J65362" s="6"/>
      <c r="K65362" s="6"/>
      <c r="L65362" s="6"/>
      <c r="M65362" s="6"/>
      <c r="N65362" s="6"/>
      <c r="O65362" s="6"/>
      <c r="P65362" s="6"/>
      <c r="Q65362" s="6"/>
      <c r="R65362" s="6"/>
      <c r="S65362" s="6"/>
      <c r="T65362" s="6"/>
      <c r="U65362" s="6"/>
      <c r="V65362" s="6"/>
      <c r="W65362" s="6"/>
      <c r="X65362" s="6"/>
      <c r="Y65362" s="6"/>
      <c r="Z65362" s="6"/>
      <c r="AA65362" s="6"/>
      <c r="AB65362" s="6"/>
      <c r="AC65362" s="6"/>
      <c r="AD65362" s="6"/>
      <c r="AE65362" s="6"/>
      <c r="AF65362" s="6"/>
      <c r="AG65362" s="6"/>
      <c r="AH65362" s="6"/>
      <c r="AI65362" s="6"/>
      <c r="AJ65362" s="6"/>
      <c r="AK65362" s="6"/>
      <c r="AL65362" s="6"/>
      <c r="AM65362" s="6"/>
    </row>
    <row r="65363" spans="2:39" ht="9.9499999999999993" hidden="1" customHeight="1" x14ac:dyDescent="0.2">
      <c r="B65363" s="6"/>
      <c r="C65363" s="6"/>
      <c r="D65363" s="6"/>
      <c r="E65363" s="6"/>
      <c r="F65363" s="6"/>
      <c r="G65363" s="6"/>
      <c r="H65363" s="6"/>
      <c r="I65363" s="6"/>
      <c r="J65363" s="6"/>
      <c r="K65363" s="6"/>
      <c r="L65363" s="6"/>
      <c r="M65363" s="6"/>
      <c r="N65363" s="6"/>
      <c r="O65363" s="6"/>
      <c r="P65363" s="6"/>
      <c r="Q65363" s="6"/>
      <c r="R65363" s="6"/>
      <c r="S65363" s="6"/>
      <c r="T65363" s="6"/>
      <c r="U65363" s="6"/>
      <c r="V65363" s="6"/>
      <c r="W65363" s="6"/>
      <c r="X65363" s="6"/>
      <c r="Y65363" s="6"/>
      <c r="Z65363" s="6"/>
      <c r="AA65363" s="6"/>
      <c r="AB65363" s="6"/>
      <c r="AC65363" s="6"/>
      <c r="AD65363" s="6"/>
      <c r="AE65363" s="6"/>
      <c r="AF65363" s="6"/>
      <c r="AG65363" s="6"/>
      <c r="AH65363" s="6"/>
      <c r="AI65363" s="6"/>
      <c r="AJ65363" s="6"/>
      <c r="AK65363" s="6"/>
      <c r="AL65363" s="6"/>
      <c r="AM65363" s="6"/>
    </row>
    <row r="65364" spans="2:39" ht="9.9499999999999993" hidden="1" customHeight="1" x14ac:dyDescent="0.2">
      <c r="B65364" s="6"/>
      <c r="C65364" s="6"/>
      <c r="D65364" s="6"/>
      <c r="E65364" s="6"/>
      <c r="F65364" s="6"/>
      <c r="G65364" s="6"/>
      <c r="H65364" s="6"/>
      <c r="I65364" s="6"/>
      <c r="J65364" s="6"/>
      <c r="K65364" s="6"/>
      <c r="L65364" s="6"/>
      <c r="M65364" s="6"/>
      <c r="N65364" s="6"/>
      <c r="O65364" s="6"/>
      <c r="P65364" s="6"/>
      <c r="Q65364" s="6"/>
      <c r="R65364" s="6"/>
      <c r="S65364" s="6"/>
      <c r="T65364" s="6"/>
      <c r="U65364" s="6"/>
      <c r="V65364" s="6"/>
      <c r="W65364" s="6"/>
      <c r="X65364" s="6"/>
      <c r="Y65364" s="6"/>
      <c r="Z65364" s="6"/>
      <c r="AA65364" s="6"/>
      <c r="AB65364" s="6"/>
      <c r="AC65364" s="6"/>
      <c r="AD65364" s="6"/>
      <c r="AE65364" s="6"/>
      <c r="AF65364" s="6"/>
      <c r="AG65364" s="6"/>
      <c r="AH65364" s="6"/>
      <c r="AI65364" s="6"/>
      <c r="AJ65364" s="6"/>
      <c r="AK65364" s="6"/>
      <c r="AL65364" s="6"/>
      <c r="AM65364" s="6"/>
    </row>
    <row r="65365" spans="2:39" ht="9.9499999999999993" hidden="1" customHeight="1" x14ac:dyDescent="0.2">
      <c r="B65365" s="6"/>
      <c r="C65365" s="6"/>
      <c r="D65365" s="6"/>
      <c r="E65365" s="6"/>
      <c r="F65365" s="6"/>
      <c r="G65365" s="6"/>
      <c r="H65365" s="6"/>
      <c r="I65365" s="6"/>
      <c r="J65365" s="6"/>
      <c r="K65365" s="6"/>
      <c r="L65365" s="6"/>
      <c r="M65365" s="6"/>
      <c r="N65365" s="6"/>
      <c r="O65365" s="6"/>
      <c r="P65365" s="6"/>
      <c r="Q65365" s="6"/>
      <c r="R65365" s="6"/>
      <c r="S65365" s="6"/>
      <c r="T65365" s="6"/>
      <c r="U65365" s="6"/>
      <c r="V65365" s="6"/>
      <c r="W65365" s="6"/>
      <c r="X65365" s="6"/>
      <c r="Y65365" s="6"/>
      <c r="Z65365" s="6"/>
      <c r="AA65365" s="6"/>
      <c r="AB65365" s="6"/>
      <c r="AC65365" s="6"/>
      <c r="AD65365" s="6"/>
      <c r="AE65365" s="6"/>
      <c r="AF65365" s="6"/>
      <c r="AG65365" s="6"/>
      <c r="AH65365" s="6"/>
      <c r="AI65365" s="6"/>
      <c r="AJ65365" s="6"/>
      <c r="AK65365" s="6"/>
      <c r="AL65365" s="6"/>
      <c r="AM65365" s="6"/>
    </row>
    <row r="65366" spans="2:39" ht="9.9499999999999993" hidden="1" customHeight="1" x14ac:dyDescent="0.2">
      <c r="B65366" s="6"/>
      <c r="C65366" s="6"/>
      <c r="D65366" s="6"/>
      <c r="E65366" s="6"/>
      <c r="F65366" s="6"/>
      <c r="G65366" s="6"/>
      <c r="H65366" s="6"/>
      <c r="I65366" s="6"/>
      <c r="J65366" s="6"/>
      <c r="K65366" s="6"/>
      <c r="L65366" s="6"/>
      <c r="M65366" s="6"/>
      <c r="N65366" s="6"/>
      <c r="O65366" s="6"/>
      <c r="P65366" s="6"/>
      <c r="Q65366" s="6"/>
      <c r="R65366" s="6"/>
      <c r="S65366" s="6"/>
      <c r="T65366" s="6"/>
      <c r="U65366" s="6"/>
      <c r="V65366" s="6"/>
      <c r="W65366" s="6"/>
      <c r="X65366" s="6"/>
      <c r="Y65366" s="6"/>
      <c r="Z65366" s="6"/>
      <c r="AA65366" s="6"/>
      <c r="AB65366" s="6"/>
      <c r="AC65366" s="6"/>
      <c r="AD65366" s="6"/>
      <c r="AE65366" s="6"/>
      <c r="AF65366" s="6"/>
      <c r="AG65366" s="6"/>
      <c r="AH65366" s="6"/>
      <c r="AI65366" s="6"/>
      <c r="AJ65366" s="6"/>
      <c r="AK65366" s="6"/>
      <c r="AL65366" s="6"/>
      <c r="AM65366" s="6"/>
    </row>
    <row r="65367" spans="2:39" ht="9.9499999999999993" hidden="1" customHeight="1" x14ac:dyDescent="0.2">
      <c r="B65367" s="6"/>
      <c r="C65367" s="6"/>
      <c r="D65367" s="6"/>
      <c r="E65367" s="6"/>
      <c r="F65367" s="6"/>
      <c r="G65367" s="6"/>
      <c r="H65367" s="6"/>
      <c r="I65367" s="6"/>
      <c r="J65367" s="6"/>
      <c r="K65367" s="6"/>
      <c r="L65367" s="6"/>
      <c r="M65367" s="6"/>
      <c r="N65367" s="6"/>
      <c r="O65367" s="6"/>
      <c r="P65367" s="6"/>
      <c r="Q65367" s="6"/>
      <c r="R65367" s="6"/>
      <c r="S65367" s="6"/>
      <c r="T65367" s="6"/>
      <c r="U65367" s="6"/>
      <c r="V65367" s="6"/>
      <c r="W65367" s="6"/>
      <c r="X65367" s="6"/>
      <c r="Y65367" s="6"/>
      <c r="Z65367" s="6"/>
      <c r="AA65367" s="6"/>
      <c r="AB65367" s="6"/>
      <c r="AC65367" s="6"/>
      <c r="AD65367" s="6"/>
      <c r="AE65367" s="6"/>
      <c r="AF65367" s="6"/>
      <c r="AG65367" s="6"/>
      <c r="AH65367" s="6"/>
      <c r="AI65367" s="6"/>
      <c r="AJ65367" s="6"/>
      <c r="AK65367" s="6"/>
      <c r="AL65367" s="6"/>
      <c r="AM65367" s="6"/>
    </row>
    <row r="65368" spans="2:39" ht="9.9499999999999993" hidden="1" customHeight="1" x14ac:dyDescent="0.2">
      <c r="B65368" s="6"/>
      <c r="C65368" s="6"/>
      <c r="D65368" s="6"/>
      <c r="E65368" s="6"/>
      <c r="F65368" s="6"/>
      <c r="G65368" s="6"/>
      <c r="H65368" s="6"/>
      <c r="I65368" s="6"/>
      <c r="J65368" s="6"/>
      <c r="K65368" s="6"/>
      <c r="L65368" s="6"/>
      <c r="M65368" s="6"/>
      <c r="N65368" s="6"/>
      <c r="O65368" s="6"/>
      <c r="P65368" s="6"/>
      <c r="Q65368" s="6"/>
      <c r="R65368" s="6"/>
      <c r="S65368" s="6"/>
      <c r="T65368" s="6"/>
      <c r="U65368" s="6"/>
      <c r="V65368" s="6"/>
      <c r="W65368" s="6"/>
      <c r="X65368" s="6"/>
      <c r="Y65368" s="6"/>
      <c r="Z65368" s="6"/>
      <c r="AA65368" s="6"/>
      <c r="AB65368" s="6"/>
      <c r="AC65368" s="6"/>
      <c r="AD65368" s="6"/>
      <c r="AE65368" s="6"/>
      <c r="AF65368" s="6"/>
      <c r="AG65368" s="6"/>
      <c r="AH65368" s="6"/>
      <c r="AI65368" s="6"/>
      <c r="AJ65368" s="6"/>
      <c r="AK65368" s="6"/>
      <c r="AL65368" s="6"/>
      <c r="AM65368" s="6"/>
    </row>
    <row r="65369" spans="2:39" ht="9.9499999999999993" hidden="1" customHeight="1" x14ac:dyDescent="0.2">
      <c r="B65369" s="6"/>
      <c r="C65369" s="6"/>
      <c r="D65369" s="6"/>
      <c r="E65369" s="6"/>
      <c r="F65369" s="6"/>
      <c r="G65369" s="6"/>
      <c r="H65369" s="6"/>
      <c r="I65369" s="6"/>
      <c r="J65369" s="6"/>
      <c r="K65369" s="6"/>
      <c r="L65369" s="6"/>
      <c r="M65369" s="6"/>
      <c r="N65369" s="6"/>
      <c r="O65369" s="6"/>
      <c r="P65369" s="6"/>
      <c r="Q65369" s="6"/>
      <c r="R65369" s="6"/>
      <c r="S65369" s="6"/>
      <c r="T65369" s="6"/>
      <c r="U65369" s="6"/>
      <c r="V65369" s="6"/>
      <c r="W65369" s="6"/>
      <c r="X65369" s="6"/>
      <c r="Y65369" s="6"/>
      <c r="Z65369" s="6"/>
      <c r="AA65369" s="6"/>
      <c r="AB65369" s="6"/>
      <c r="AC65369" s="6"/>
      <c r="AD65369" s="6"/>
      <c r="AE65369" s="6"/>
      <c r="AF65369" s="6"/>
      <c r="AG65369" s="6"/>
      <c r="AH65369" s="6"/>
      <c r="AI65369" s="6"/>
      <c r="AJ65369" s="6"/>
      <c r="AK65369" s="6"/>
      <c r="AL65369" s="6"/>
      <c r="AM65369" s="6"/>
    </row>
    <row r="65370" spans="2:39" ht="9.9499999999999993" hidden="1" customHeight="1" x14ac:dyDescent="0.2">
      <c r="B65370" s="6"/>
      <c r="C65370" s="6"/>
      <c r="D65370" s="6"/>
      <c r="E65370" s="6"/>
      <c r="F65370" s="6"/>
      <c r="G65370" s="6"/>
      <c r="H65370" s="6"/>
      <c r="I65370" s="6"/>
      <c r="J65370" s="6"/>
      <c r="K65370" s="6"/>
      <c r="L65370" s="6"/>
      <c r="M65370" s="6"/>
      <c r="N65370" s="6"/>
      <c r="O65370" s="6"/>
      <c r="P65370" s="6"/>
      <c r="Q65370" s="6"/>
      <c r="R65370" s="6"/>
      <c r="S65370" s="6"/>
      <c r="T65370" s="6"/>
      <c r="U65370" s="6"/>
      <c r="V65370" s="6"/>
      <c r="W65370" s="6"/>
      <c r="X65370" s="6"/>
      <c r="Y65370" s="6"/>
      <c r="Z65370" s="6"/>
      <c r="AA65370" s="6"/>
      <c r="AB65370" s="6"/>
      <c r="AC65370" s="6"/>
      <c r="AD65370" s="6"/>
      <c r="AE65370" s="6"/>
      <c r="AF65370" s="6"/>
      <c r="AG65370" s="6"/>
      <c r="AH65370" s="6"/>
      <c r="AI65370" s="6"/>
      <c r="AJ65370" s="6"/>
      <c r="AK65370" s="6"/>
      <c r="AL65370" s="6"/>
      <c r="AM65370" s="6"/>
    </row>
    <row r="65371" spans="2:39" ht="9.9499999999999993" hidden="1" customHeight="1" x14ac:dyDescent="0.2">
      <c r="B65371" s="6"/>
      <c r="C65371" s="6"/>
      <c r="D65371" s="6"/>
      <c r="E65371" s="6"/>
      <c r="F65371" s="6"/>
      <c r="G65371" s="6"/>
      <c r="H65371" s="6"/>
      <c r="I65371" s="6"/>
      <c r="J65371" s="6"/>
      <c r="K65371" s="6"/>
      <c r="L65371" s="6"/>
      <c r="M65371" s="6"/>
      <c r="N65371" s="6"/>
      <c r="O65371" s="6"/>
      <c r="P65371" s="6"/>
      <c r="Q65371" s="6"/>
      <c r="R65371" s="6"/>
      <c r="S65371" s="6"/>
      <c r="T65371" s="6"/>
      <c r="U65371" s="6"/>
      <c r="V65371" s="6"/>
      <c r="W65371" s="6"/>
      <c r="X65371" s="6"/>
      <c r="Y65371" s="6"/>
      <c r="Z65371" s="6"/>
      <c r="AA65371" s="6"/>
      <c r="AB65371" s="6"/>
      <c r="AC65371" s="6"/>
      <c r="AD65371" s="6"/>
      <c r="AE65371" s="6"/>
      <c r="AF65371" s="6"/>
      <c r="AG65371" s="6"/>
      <c r="AH65371" s="6"/>
      <c r="AI65371" s="6"/>
      <c r="AJ65371" s="6"/>
      <c r="AK65371" s="6"/>
      <c r="AL65371" s="6"/>
      <c r="AM65371" s="6"/>
    </row>
    <row r="65372" spans="2:39" ht="9.9499999999999993" hidden="1" customHeight="1" x14ac:dyDescent="0.2">
      <c r="B65372" s="6"/>
      <c r="C65372" s="6"/>
      <c r="D65372" s="6"/>
      <c r="E65372" s="6"/>
      <c r="F65372" s="6"/>
      <c r="G65372" s="6"/>
      <c r="H65372" s="6"/>
      <c r="I65372" s="6"/>
      <c r="J65372" s="6"/>
      <c r="K65372" s="6"/>
      <c r="L65372" s="6"/>
      <c r="M65372" s="6"/>
      <c r="N65372" s="6"/>
      <c r="O65372" s="6"/>
      <c r="P65372" s="6"/>
      <c r="Q65372" s="6"/>
      <c r="R65372" s="6"/>
      <c r="S65372" s="6"/>
      <c r="T65372" s="6"/>
      <c r="U65372" s="6"/>
      <c r="V65372" s="6"/>
      <c r="W65372" s="6"/>
      <c r="X65372" s="6"/>
      <c r="Y65372" s="6"/>
      <c r="Z65372" s="6"/>
      <c r="AA65372" s="6"/>
      <c r="AB65372" s="6"/>
      <c r="AC65372" s="6"/>
      <c r="AD65372" s="6"/>
      <c r="AE65372" s="6"/>
      <c r="AF65372" s="6"/>
      <c r="AG65372" s="6"/>
      <c r="AH65372" s="6"/>
      <c r="AI65372" s="6"/>
      <c r="AJ65372" s="6"/>
      <c r="AK65372" s="6"/>
      <c r="AL65372" s="6"/>
      <c r="AM65372" s="6"/>
    </row>
    <row r="65373" spans="2:39" ht="9.9499999999999993" hidden="1" customHeight="1" x14ac:dyDescent="0.2">
      <c r="B65373" s="6"/>
      <c r="C65373" s="6"/>
      <c r="D65373" s="6"/>
      <c r="E65373" s="6"/>
      <c r="F65373" s="6"/>
      <c r="G65373" s="6"/>
      <c r="H65373" s="6"/>
      <c r="I65373" s="6"/>
      <c r="J65373" s="6"/>
      <c r="K65373" s="6"/>
      <c r="L65373" s="6"/>
      <c r="M65373" s="6"/>
      <c r="N65373" s="6"/>
      <c r="O65373" s="6"/>
      <c r="P65373" s="6"/>
      <c r="Q65373" s="6"/>
      <c r="R65373" s="6"/>
      <c r="S65373" s="6"/>
      <c r="T65373" s="6"/>
      <c r="U65373" s="6"/>
      <c r="V65373" s="6"/>
      <c r="W65373" s="6"/>
      <c r="X65373" s="6"/>
      <c r="Y65373" s="6"/>
      <c r="Z65373" s="6"/>
      <c r="AA65373" s="6"/>
      <c r="AB65373" s="6"/>
      <c r="AC65373" s="6"/>
      <c r="AD65373" s="6"/>
      <c r="AE65373" s="6"/>
      <c r="AF65373" s="6"/>
      <c r="AG65373" s="6"/>
      <c r="AH65373" s="6"/>
      <c r="AI65373" s="6"/>
      <c r="AJ65373" s="6"/>
      <c r="AK65373" s="6"/>
      <c r="AL65373" s="6"/>
      <c r="AM65373" s="6"/>
    </row>
    <row r="65374" spans="2:39" ht="9.9499999999999993" hidden="1" customHeight="1" x14ac:dyDescent="0.2">
      <c r="B65374" s="6"/>
      <c r="C65374" s="6"/>
      <c r="D65374" s="6"/>
      <c r="E65374" s="6"/>
      <c r="F65374" s="6"/>
      <c r="G65374" s="6"/>
      <c r="H65374" s="6"/>
      <c r="I65374" s="6"/>
      <c r="J65374" s="6"/>
      <c r="K65374" s="6"/>
      <c r="L65374" s="6"/>
      <c r="M65374" s="6"/>
      <c r="N65374" s="6"/>
      <c r="O65374" s="6"/>
      <c r="P65374" s="6"/>
      <c r="Q65374" s="6"/>
      <c r="R65374" s="6"/>
      <c r="S65374" s="6"/>
      <c r="T65374" s="6"/>
      <c r="U65374" s="6"/>
      <c r="V65374" s="6"/>
      <c r="W65374" s="6"/>
      <c r="X65374" s="6"/>
      <c r="Y65374" s="6"/>
      <c r="Z65374" s="6"/>
      <c r="AA65374" s="6"/>
      <c r="AB65374" s="6"/>
      <c r="AC65374" s="6"/>
      <c r="AD65374" s="6"/>
      <c r="AE65374" s="6"/>
      <c r="AF65374" s="6"/>
      <c r="AG65374" s="6"/>
      <c r="AH65374" s="6"/>
      <c r="AI65374" s="6"/>
      <c r="AJ65374" s="6"/>
      <c r="AK65374" s="6"/>
      <c r="AL65374" s="6"/>
      <c r="AM65374" s="6"/>
    </row>
    <row r="65375" spans="2:39" ht="9.9499999999999993" hidden="1" customHeight="1" x14ac:dyDescent="0.2">
      <c r="B65375" s="6"/>
      <c r="C65375" s="6"/>
      <c r="D65375" s="6"/>
      <c r="E65375" s="6"/>
      <c r="F65375" s="6"/>
      <c r="G65375" s="6"/>
      <c r="H65375" s="6"/>
      <c r="I65375" s="6"/>
      <c r="J65375" s="6"/>
      <c r="K65375" s="6"/>
      <c r="L65375" s="6"/>
      <c r="M65375" s="6"/>
      <c r="N65375" s="6"/>
      <c r="O65375" s="6"/>
      <c r="P65375" s="6"/>
      <c r="Q65375" s="6"/>
      <c r="R65375" s="6"/>
      <c r="S65375" s="6"/>
      <c r="T65375" s="6"/>
      <c r="U65375" s="6"/>
      <c r="V65375" s="6"/>
      <c r="W65375" s="6"/>
      <c r="X65375" s="6"/>
      <c r="Y65375" s="6"/>
      <c r="Z65375" s="6"/>
      <c r="AA65375" s="6"/>
      <c r="AB65375" s="6"/>
      <c r="AC65375" s="6"/>
      <c r="AD65375" s="6"/>
      <c r="AE65375" s="6"/>
      <c r="AF65375" s="6"/>
      <c r="AG65375" s="6"/>
      <c r="AH65375" s="6"/>
      <c r="AI65375" s="6"/>
      <c r="AJ65375" s="6"/>
      <c r="AK65375" s="6"/>
      <c r="AL65375" s="6"/>
      <c r="AM65375" s="6"/>
    </row>
    <row r="65376" spans="2:39" ht="9.9499999999999993" hidden="1" customHeight="1" x14ac:dyDescent="0.2">
      <c r="B65376" s="6"/>
      <c r="C65376" s="6"/>
      <c r="D65376" s="6"/>
      <c r="E65376" s="6"/>
      <c r="F65376" s="6"/>
      <c r="G65376" s="6"/>
      <c r="H65376" s="6"/>
      <c r="I65376" s="6"/>
      <c r="J65376" s="6"/>
      <c r="K65376" s="6"/>
      <c r="L65376" s="6"/>
      <c r="M65376" s="6"/>
      <c r="N65376" s="6"/>
      <c r="O65376" s="6"/>
      <c r="P65376" s="6"/>
      <c r="Q65376" s="6"/>
      <c r="R65376" s="6"/>
      <c r="S65376" s="6"/>
      <c r="T65376" s="6"/>
      <c r="U65376" s="6"/>
      <c r="V65376" s="6"/>
      <c r="W65376" s="6"/>
      <c r="X65376" s="6"/>
      <c r="Y65376" s="6"/>
      <c r="Z65376" s="6"/>
      <c r="AA65376" s="6"/>
      <c r="AB65376" s="6"/>
      <c r="AC65376" s="6"/>
      <c r="AD65376" s="6"/>
      <c r="AE65376" s="6"/>
      <c r="AF65376" s="6"/>
      <c r="AG65376" s="6"/>
      <c r="AH65376" s="6"/>
      <c r="AI65376" s="6"/>
      <c r="AJ65376" s="6"/>
      <c r="AK65376" s="6"/>
      <c r="AL65376" s="6"/>
      <c r="AM65376" s="6"/>
    </row>
    <row r="65377" spans="2:39" ht="9.9499999999999993" hidden="1" customHeight="1" x14ac:dyDescent="0.2">
      <c r="B65377" s="6"/>
      <c r="C65377" s="6"/>
      <c r="D65377" s="6"/>
      <c r="E65377" s="6"/>
      <c r="F65377" s="6"/>
      <c r="G65377" s="6"/>
      <c r="H65377" s="6"/>
      <c r="I65377" s="6"/>
      <c r="J65377" s="6"/>
      <c r="K65377" s="6"/>
      <c r="L65377" s="6"/>
      <c r="M65377" s="6"/>
      <c r="N65377" s="6"/>
      <c r="O65377" s="6"/>
      <c r="P65377" s="6"/>
      <c r="Q65377" s="6"/>
      <c r="R65377" s="6"/>
      <c r="S65377" s="6"/>
      <c r="T65377" s="6"/>
      <c r="U65377" s="6"/>
      <c r="V65377" s="6"/>
      <c r="W65377" s="6"/>
      <c r="X65377" s="6"/>
      <c r="Y65377" s="6"/>
      <c r="Z65377" s="6"/>
      <c r="AA65377" s="6"/>
      <c r="AB65377" s="6"/>
      <c r="AC65377" s="6"/>
      <c r="AD65377" s="6"/>
      <c r="AE65377" s="6"/>
      <c r="AF65377" s="6"/>
      <c r="AG65377" s="6"/>
      <c r="AH65377" s="6"/>
      <c r="AI65377" s="6"/>
      <c r="AJ65377" s="6"/>
      <c r="AK65377" s="6"/>
      <c r="AL65377" s="6"/>
      <c r="AM65377" s="6"/>
    </row>
    <row r="65378" spans="2:39" ht="9.9499999999999993" hidden="1" customHeight="1" x14ac:dyDescent="0.2">
      <c r="B65378" s="6"/>
      <c r="C65378" s="6"/>
      <c r="D65378" s="6"/>
      <c r="E65378" s="6"/>
      <c r="F65378" s="6"/>
      <c r="G65378" s="6"/>
      <c r="H65378" s="6"/>
      <c r="I65378" s="6"/>
      <c r="J65378" s="6"/>
      <c r="K65378" s="6"/>
      <c r="L65378" s="6"/>
      <c r="M65378" s="6"/>
      <c r="N65378" s="6"/>
      <c r="O65378" s="6"/>
      <c r="P65378" s="6"/>
      <c r="Q65378" s="6"/>
      <c r="R65378" s="6"/>
      <c r="S65378" s="6"/>
      <c r="T65378" s="6"/>
      <c r="U65378" s="6"/>
      <c r="V65378" s="6"/>
      <c r="W65378" s="6"/>
      <c r="X65378" s="6"/>
      <c r="Y65378" s="6"/>
      <c r="Z65378" s="6"/>
      <c r="AA65378" s="6"/>
      <c r="AB65378" s="6"/>
      <c r="AC65378" s="6"/>
      <c r="AD65378" s="6"/>
      <c r="AE65378" s="6"/>
      <c r="AF65378" s="6"/>
      <c r="AG65378" s="6"/>
      <c r="AH65378" s="6"/>
      <c r="AI65378" s="6"/>
      <c r="AJ65378" s="6"/>
      <c r="AK65378" s="6"/>
      <c r="AL65378" s="6"/>
      <c r="AM65378" s="6"/>
    </row>
    <row r="65379" spans="2:39" ht="9.9499999999999993" hidden="1" customHeight="1" x14ac:dyDescent="0.2">
      <c r="B65379" s="6"/>
      <c r="C65379" s="6"/>
      <c r="D65379" s="6"/>
      <c r="E65379" s="6"/>
      <c r="F65379" s="6"/>
      <c r="G65379" s="6"/>
      <c r="H65379" s="6"/>
      <c r="I65379" s="6"/>
      <c r="J65379" s="6"/>
      <c r="K65379" s="6"/>
      <c r="L65379" s="6"/>
      <c r="M65379" s="6"/>
      <c r="N65379" s="6"/>
      <c r="O65379" s="6"/>
      <c r="P65379" s="6"/>
      <c r="Q65379" s="6"/>
      <c r="R65379" s="6"/>
      <c r="S65379" s="6"/>
      <c r="T65379" s="6"/>
      <c r="U65379" s="6"/>
      <c r="V65379" s="6"/>
      <c r="W65379" s="6"/>
      <c r="X65379" s="6"/>
      <c r="Y65379" s="6"/>
      <c r="Z65379" s="6"/>
      <c r="AA65379" s="6"/>
      <c r="AB65379" s="6"/>
      <c r="AC65379" s="6"/>
      <c r="AD65379" s="6"/>
      <c r="AE65379" s="6"/>
      <c r="AF65379" s="6"/>
      <c r="AG65379" s="6"/>
      <c r="AH65379" s="6"/>
      <c r="AI65379" s="6"/>
      <c r="AJ65379" s="6"/>
      <c r="AK65379" s="6"/>
      <c r="AL65379" s="6"/>
      <c r="AM65379" s="6"/>
    </row>
    <row r="65380" spans="2:39" ht="9.9499999999999993" hidden="1" customHeight="1" x14ac:dyDescent="0.2">
      <c r="B65380" s="6"/>
      <c r="C65380" s="6"/>
      <c r="D65380" s="6"/>
      <c r="E65380" s="6"/>
      <c r="F65380" s="6"/>
      <c r="G65380" s="6"/>
      <c r="H65380" s="6"/>
      <c r="I65380" s="6"/>
      <c r="J65380" s="6"/>
      <c r="K65380" s="6"/>
      <c r="L65380" s="6"/>
      <c r="M65380" s="6"/>
      <c r="N65380" s="6"/>
      <c r="O65380" s="6"/>
      <c r="P65380" s="6"/>
      <c r="Q65380" s="6"/>
      <c r="R65380" s="6"/>
      <c r="S65380" s="6"/>
      <c r="T65380" s="6"/>
      <c r="U65380" s="6"/>
      <c r="V65380" s="6"/>
      <c r="W65380" s="6"/>
      <c r="X65380" s="6"/>
      <c r="Y65380" s="6"/>
      <c r="Z65380" s="6"/>
      <c r="AA65380" s="6"/>
      <c r="AB65380" s="6"/>
      <c r="AC65380" s="6"/>
      <c r="AD65380" s="6"/>
      <c r="AE65380" s="6"/>
      <c r="AF65380" s="6"/>
      <c r="AG65380" s="6"/>
      <c r="AH65380" s="6"/>
      <c r="AI65380" s="6"/>
      <c r="AJ65380" s="6"/>
      <c r="AK65380" s="6"/>
      <c r="AL65380" s="6"/>
      <c r="AM65380" s="6"/>
    </row>
    <row r="65381" spans="2:39" ht="9.9499999999999993" hidden="1" customHeight="1" x14ac:dyDescent="0.2">
      <c r="B65381" s="6"/>
      <c r="C65381" s="6"/>
      <c r="D65381" s="6"/>
      <c r="E65381" s="6"/>
      <c r="F65381" s="6"/>
      <c r="G65381" s="6"/>
      <c r="H65381" s="6"/>
      <c r="I65381" s="6"/>
      <c r="J65381" s="6"/>
      <c r="K65381" s="6"/>
      <c r="L65381" s="6"/>
      <c r="M65381" s="6"/>
      <c r="N65381" s="6"/>
      <c r="O65381" s="6"/>
      <c r="P65381" s="6"/>
      <c r="Q65381" s="6"/>
      <c r="R65381" s="6"/>
      <c r="S65381" s="6"/>
      <c r="T65381" s="6"/>
      <c r="U65381" s="6"/>
      <c r="V65381" s="6"/>
      <c r="W65381" s="6"/>
      <c r="X65381" s="6"/>
      <c r="Y65381" s="6"/>
      <c r="Z65381" s="6"/>
      <c r="AA65381" s="6"/>
      <c r="AB65381" s="6"/>
      <c r="AC65381" s="6"/>
      <c r="AD65381" s="6"/>
      <c r="AE65381" s="6"/>
      <c r="AF65381" s="6"/>
      <c r="AG65381" s="6"/>
      <c r="AH65381" s="6"/>
      <c r="AI65381" s="6"/>
      <c r="AJ65381" s="6"/>
      <c r="AK65381" s="6"/>
      <c r="AL65381" s="6"/>
      <c r="AM65381" s="6"/>
    </row>
    <row r="65382" spans="2:39" ht="9.9499999999999993" hidden="1" customHeight="1" x14ac:dyDescent="0.2">
      <c r="B65382" s="6"/>
      <c r="C65382" s="6"/>
      <c r="D65382" s="6"/>
      <c r="E65382" s="6"/>
      <c r="F65382" s="6"/>
      <c r="G65382" s="6"/>
      <c r="H65382" s="6"/>
      <c r="I65382" s="6"/>
      <c r="J65382" s="6"/>
      <c r="K65382" s="6"/>
      <c r="L65382" s="6"/>
      <c r="M65382" s="6"/>
      <c r="N65382" s="6"/>
      <c r="O65382" s="6"/>
      <c r="P65382" s="6"/>
      <c r="Q65382" s="6"/>
      <c r="R65382" s="6"/>
      <c r="S65382" s="6"/>
      <c r="T65382" s="6"/>
      <c r="U65382" s="6"/>
      <c r="V65382" s="6"/>
      <c r="W65382" s="6"/>
      <c r="X65382" s="6"/>
      <c r="Y65382" s="6"/>
      <c r="Z65382" s="6"/>
      <c r="AA65382" s="6"/>
      <c r="AB65382" s="6"/>
      <c r="AC65382" s="6"/>
      <c r="AD65382" s="6"/>
      <c r="AE65382" s="6"/>
      <c r="AF65382" s="6"/>
      <c r="AG65382" s="6"/>
      <c r="AH65382" s="6"/>
      <c r="AI65382" s="6"/>
      <c r="AJ65382" s="6"/>
      <c r="AK65382" s="6"/>
      <c r="AL65382" s="6"/>
      <c r="AM65382" s="6"/>
    </row>
    <row r="65383" spans="2:39" ht="9.9499999999999993" hidden="1" customHeight="1" x14ac:dyDescent="0.2">
      <c r="B65383" s="6"/>
      <c r="C65383" s="6"/>
      <c r="D65383" s="6"/>
      <c r="E65383" s="6"/>
      <c r="F65383" s="6"/>
      <c r="G65383" s="6"/>
      <c r="H65383" s="6"/>
      <c r="I65383" s="6"/>
      <c r="J65383" s="6"/>
      <c r="K65383" s="6"/>
      <c r="L65383" s="6"/>
      <c r="M65383" s="6"/>
      <c r="N65383" s="6"/>
      <c r="O65383" s="6"/>
      <c r="P65383" s="6"/>
      <c r="Q65383" s="6"/>
      <c r="R65383" s="6"/>
      <c r="S65383" s="6"/>
      <c r="T65383" s="6"/>
      <c r="U65383" s="6"/>
      <c r="V65383" s="6"/>
      <c r="W65383" s="6"/>
      <c r="X65383" s="6"/>
      <c r="Y65383" s="6"/>
      <c r="Z65383" s="6"/>
      <c r="AA65383" s="6"/>
      <c r="AB65383" s="6"/>
      <c r="AC65383" s="6"/>
      <c r="AD65383" s="6"/>
      <c r="AE65383" s="6"/>
      <c r="AF65383" s="6"/>
      <c r="AG65383" s="6"/>
      <c r="AH65383" s="6"/>
      <c r="AI65383" s="6"/>
      <c r="AJ65383" s="6"/>
      <c r="AK65383" s="6"/>
      <c r="AL65383" s="6"/>
      <c r="AM65383" s="6"/>
    </row>
    <row r="65384" spans="2:39" ht="9.9499999999999993" hidden="1" customHeight="1" x14ac:dyDescent="0.2">
      <c r="B65384" s="6"/>
      <c r="C65384" s="6"/>
      <c r="D65384" s="6"/>
      <c r="E65384" s="6"/>
      <c r="F65384" s="6"/>
      <c r="G65384" s="6"/>
      <c r="H65384" s="6"/>
      <c r="I65384" s="6"/>
      <c r="J65384" s="6"/>
      <c r="K65384" s="6"/>
      <c r="L65384" s="6"/>
      <c r="M65384" s="6"/>
      <c r="N65384" s="6"/>
      <c r="O65384" s="6"/>
      <c r="P65384" s="6"/>
      <c r="Q65384" s="6"/>
      <c r="R65384" s="6"/>
      <c r="S65384" s="6"/>
      <c r="T65384" s="6"/>
      <c r="U65384" s="6"/>
      <c r="V65384" s="6"/>
      <c r="W65384" s="6"/>
      <c r="X65384" s="6"/>
      <c r="Y65384" s="6"/>
      <c r="Z65384" s="6"/>
      <c r="AA65384" s="6"/>
      <c r="AB65384" s="6"/>
      <c r="AC65384" s="6"/>
      <c r="AD65384" s="6"/>
      <c r="AE65384" s="6"/>
      <c r="AF65384" s="6"/>
      <c r="AG65384" s="6"/>
      <c r="AH65384" s="6"/>
      <c r="AI65384" s="6"/>
      <c r="AJ65384" s="6"/>
      <c r="AK65384" s="6"/>
      <c r="AL65384" s="6"/>
      <c r="AM65384" s="6"/>
    </row>
    <row r="65385" spans="2:39" ht="9.9499999999999993" hidden="1" customHeight="1" x14ac:dyDescent="0.2">
      <c r="B65385" s="6"/>
      <c r="C65385" s="6"/>
      <c r="D65385" s="6"/>
      <c r="E65385" s="6"/>
      <c r="F65385" s="6"/>
      <c r="G65385" s="6"/>
      <c r="H65385" s="6"/>
      <c r="I65385" s="6"/>
      <c r="J65385" s="6"/>
      <c r="K65385" s="6"/>
      <c r="L65385" s="6"/>
      <c r="M65385" s="6"/>
      <c r="N65385" s="6"/>
      <c r="O65385" s="6"/>
      <c r="P65385" s="6"/>
      <c r="Q65385" s="6"/>
      <c r="R65385" s="6"/>
      <c r="S65385" s="6"/>
      <c r="T65385" s="6"/>
      <c r="U65385" s="6"/>
      <c r="V65385" s="6"/>
      <c r="W65385" s="6"/>
      <c r="X65385" s="6"/>
      <c r="Y65385" s="6"/>
      <c r="Z65385" s="6"/>
      <c r="AA65385" s="6"/>
      <c r="AB65385" s="6"/>
      <c r="AC65385" s="6"/>
      <c r="AD65385" s="6"/>
      <c r="AE65385" s="6"/>
      <c r="AF65385" s="6"/>
      <c r="AG65385" s="6"/>
      <c r="AH65385" s="6"/>
      <c r="AI65385" s="6"/>
      <c r="AJ65385" s="6"/>
      <c r="AK65385" s="6"/>
      <c r="AL65385" s="6"/>
      <c r="AM65385" s="6"/>
    </row>
    <row r="65386" spans="2:39" ht="9.9499999999999993" hidden="1" customHeight="1" x14ac:dyDescent="0.2">
      <c r="B65386" s="6"/>
      <c r="C65386" s="6"/>
      <c r="D65386" s="6"/>
      <c r="E65386" s="6"/>
      <c r="F65386" s="6"/>
      <c r="G65386" s="6"/>
      <c r="H65386" s="6"/>
      <c r="I65386" s="6"/>
      <c r="J65386" s="6"/>
      <c r="K65386" s="6"/>
      <c r="L65386" s="6"/>
      <c r="M65386" s="6"/>
      <c r="N65386" s="6"/>
      <c r="O65386" s="6"/>
      <c r="P65386" s="6"/>
      <c r="Q65386" s="6"/>
      <c r="R65386" s="6"/>
      <c r="S65386" s="6"/>
      <c r="T65386" s="6"/>
      <c r="U65386" s="6"/>
      <c r="V65386" s="6"/>
      <c r="W65386" s="6"/>
      <c r="X65386" s="6"/>
      <c r="Y65386" s="6"/>
      <c r="Z65386" s="6"/>
      <c r="AA65386" s="6"/>
      <c r="AB65386" s="6"/>
      <c r="AC65386" s="6"/>
      <c r="AD65386" s="6"/>
      <c r="AE65386" s="6"/>
      <c r="AF65386" s="6"/>
      <c r="AG65386" s="6"/>
      <c r="AH65386" s="6"/>
      <c r="AI65386" s="6"/>
      <c r="AJ65386" s="6"/>
      <c r="AK65386" s="6"/>
      <c r="AL65386" s="6"/>
      <c r="AM65386" s="6"/>
    </row>
    <row r="65387" spans="2:39" ht="9.9499999999999993" hidden="1" customHeight="1" x14ac:dyDescent="0.2">
      <c r="B65387" s="6"/>
      <c r="C65387" s="6"/>
      <c r="D65387" s="6"/>
      <c r="E65387" s="6"/>
      <c r="F65387" s="6"/>
      <c r="G65387" s="6"/>
      <c r="H65387" s="6"/>
      <c r="I65387" s="6"/>
      <c r="J65387" s="6"/>
      <c r="K65387" s="6"/>
      <c r="L65387" s="6"/>
      <c r="M65387" s="6"/>
      <c r="N65387" s="6"/>
      <c r="O65387" s="6"/>
      <c r="P65387" s="6"/>
      <c r="Q65387" s="6"/>
      <c r="R65387" s="6"/>
      <c r="S65387" s="6"/>
      <c r="T65387" s="6"/>
      <c r="U65387" s="6"/>
      <c r="V65387" s="6"/>
      <c r="W65387" s="6"/>
      <c r="X65387" s="6"/>
      <c r="Y65387" s="6"/>
      <c r="Z65387" s="6"/>
      <c r="AA65387" s="6"/>
      <c r="AB65387" s="6"/>
      <c r="AC65387" s="6"/>
      <c r="AD65387" s="6"/>
      <c r="AE65387" s="6"/>
      <c r="AF65387" s="6"/>
      <c r="AG65387" s="6"/>
      <c r="AH65387" s="6"/>
      <c r="AI65387" s="6"/>
      <c r="AJ65387" s="6"/>
      <c r="AK65387" s="6"/>
      <c r="AL65387" s="6"/>
      <c r="AM65387" s="6"/>
    </row>
    <row r="65388" spans="2:39" ht="9.9499999999999993" hidden="1" customHeight="1" x14ac:dyDescent="0.2">
      <c r="B65388" s="6"/>
      <c r="C65388" s="6"/>
      <c r="D65388" s="6"/>
      <c r="E65388" s="6"/>
      <c r="F65388" s="6"/>
      <c r="G65388" s="6"/>
      <c r="H65388" s="6"/>
      <c r="I65388" s="6"/>
      <c r="J65388" s="6"/>
      <c r="K65388" s="6"/>
      <c r="L65388" s="6"/>
      <c r="M65388" s="6"/>
      <c r="N65388" s="6"/>
      <c r="O65388" s="6"/>
      <c r="P65388" s="6"/>
      <c r="Q65388" s="6"/>
      <c r="R65388" s="6"/>
      <c r="S65388" s="6"/>
      <c r="T65388" s="6"/>
      <c r="U65388" s="6"/>
      <c r="V65388" s="6"/>
      <c r="W65388" s="6"/>
      <c r="X65388" s="6"/>
      <c r="Y65388" s="6"/>
      <c r="Z65388" s="6"/>
      <c r="AA65388" s="6"/>
      <c r="AB65388" s="6"/>
      <c r="AC65388" s="6"/>
      <c r="AD65388" s="6"/>
      <c r="AE65388" s="6"/>
      <c r="AF65388" s="6"/>
      <c r="AG65388" s="6"/>
      <c r="AH65388" s="6"/>
      <c r="AI65388" s="6"/>
      <c r="AJ65388" s="6"/>
      <c r="AK65388" s="6"/>
      <c r="AL65388" s="6"/>
      <c r="AM65388" s="6"/>
    </row>
    <row r="65389" spans="2:39" ht="9.9499999999999993" hidden="1" customHeight="1" x14ac:dyDescent="0.2">
      <c r="B65389" s="6"/>
      <c r="C65389" s="6"/>
      <c r="D65389" s="6"/>
      <c r="E65389" s="6"/>
      <c r="F65389" s="6"/>
      <c r="G65389" s="6"/>
      <c r="H65389" s="6"/>
      <c r="I65389" s="6"/>
      <c r="J65389" s="6"/>
      <c r="K65389" s="6"/>
      <c r="L65389" s="6"/>
      <c r="M65389" s="6"/>
      <c r="N65389" s="6"/>
      <c r="O65389" s="6"/>
      <c r="P65389" s="6"/>
      <c r="Q65389" s="6"/>
      <c r="R65389" s="6"/>
      <c r="S65389" s="6"/>
      <c r="T65389" s="6"/>
      <c r="U65389" s="6"/>
      <c r="V65389" s="6"/>
      <c r="W65389" s="6"/>
      <c r="X65389" s="6"/>
      <c r="Y65389" s="6"/>
      <c r="Z65389" s="6"/>
      <c r="AA65389" s="6"/>
      <c r="AB65389" s="6"/>
      <c r="AC65389" s="6"/>
      <c r="AD65389" s="6"/>
      <c r="AE65389" s="6"/>
      <c r="AF65389" s="6"/>
      <c r="AG65389" s="6"/>
      <c r="AH65389" s="6"/>
      <c r="AI65389" s="6"/>
      <c r="AJ65389" s="6"/>
      <c r="AK65389" s="6"/>
      <c r="AL65389" s="6"/>
      <c r="AM65389" s="6"/>
    </row>
    <row r="65390" spans="2:39" ht="9.9499999999999993" hidden="1" customHeight="1" x14ac:dyDescent="0.2">
      <c r="B65390" s="6"/>
      <c r="C65390" s="6"/>
      <c r="D65390" s="6"/>
      <c r="E65390" s="6"/>
      <c r="F65390" s="6"/>
      <c r="G65390" s="6"/>
      <c r="H65390" s="6"/>
      <c r="I65390" s="6"/>
      <c r="J65390" s="6"/>
      <c r="K65390" s="6"/>
      <c r="L65390" s="6"/>
      <c r="M65390" s="6"/>
      <c r="N65390" s="6"/>
      <c r="O65390" s="6"/>
      <c r="P65390" s="6"/>
      <c r="Q65390" s="6"/>
      <c r="R65390" s="6"/>
      <c r="S65390" s="6"/>
      <c r="T65390" s="6"/>
      <c r="U65390" s="6"/>
      <c r="V65390" s="6"/>
      <c r="W65390" s="6"/>
      <c r="X65390" s="6"/>
      <c r="Y65390" s="6"/>
      <c r="Z65390" s="6"/>
      <c r="AA65390" s="6"/>
      <c r="AB65390" s="6"/>
      <c r="AC65390" s="6"/>
      <c r="AD65390" s="6"/>
      <c r="AE65390" s="6"/>
      <c r="AF65390" s="6"/>
      <c r="AG65390" s="6"/>
      <c r="AH65390" s="6"/>
      <c r="AI65390" s="6"/>
      <c r="AJ65390" s="6"/>
      <c r="AK65390" s="6"/>
      <c r="AL65390" s="6"/>
      <c r="AM65390" s="6"/>
    </row>
    <row r="65391" spans="2:39" ht="9.9499999999999993" hidden="1" customHeight="1" x14ac:dyDescent="0.2">
      <c r="B65391" s="6"/>
      <c r="C65391" s="6"/>
      <c r="D65391" s="6"/>
      <c r="E65391" s="6"/>
      <c r="F65391" s="6"/>
      <c r="G65391" s="6"/>
      <c r="H65391" s="6"/>
      <c r="I65391" s="6"/>
      <c r="J65391" s="6"/>
      <c r="K65391" s="6"/>
      <c r="L65391" s="6"/>
      <c r="M65391" s="6"/>
      <c r="N65391" s="6"/>
      <c r="O65391" s="6"/>
      <c r="P65391" s="6"/>
      <c r="Q65391" s="6"/>
      <c r="R65391" s="6"/>
      <c r="S65391" s="6"/>
      <c r="T65391" s="6"/>
      <c r="U65391" s="6"/>
      <c r="V65391" s="6"/>
      <c r="W65391" s="6"/>
      <c r="X65391" s="6"/>
      <c r="Y65391" s="6"/>
      <c r="Z65391" s="6"/>
      <c r="AA65391" s="6"/>
      <c r="AB65391" s="6"/>
      <c r="AC65391" s="6"/>
      <c r="AD65391" s="6"/>
      <c r="AE65391" s="6"/>
      <c r="AF65391" s="6"/>
      <c r="AG65391" s="6"/>
      <c r="AH65391" s="6"/>
      <c r="AI65391" s="6"/>
      <c r="AJ65391" s="6"/>
      <c r="AK65391" s="6"/>
      <c r="AL65391" s="6"/>
      <c r="AM65391" s="6"/>
    </row>
    <row r="65392" spans="2:39" ht="9.9499999999999993" hidden="1" customHeight="1" x14ac:dyDescent="0.2">
      <c r="B65392" s="6"/>
      <c r="C65392" s="6"/>
      <c r="D65392" s="6"/>
      <c r="E65392" s="6"/>
      <c r="F65392" s="6"/>
      <c r="G65392" s="6"/>
      <c r="H65392" s="6"/>
      <c r="I65392" s="6"/>
      <c r="J65392" s="6"/>
      <c r="K65392" s="6"/>
      <c r="L65392" s="6"/>
      <c r="M65392" s="6"/>
      <c r="N65392" s="6"/>
      <c r="O65392" s="6"/>
      <c r="P65392" s="6"/>
      <c r="Q65392" s="6"/>
      <c r="R65392" s="6"/>
      <c r="S65392" s="6"/>
      <c r="T65392" s="6"/>
      <c r="U65392" s="6"/>
      <c r="V65392" s="6"/>
      <c r="W65392" s="6"/>
      <c r="X65392" s="6"/>
      <c r="Y65392" s="6"/>
      <c r="Z65392" s="6"/>
      <c r="AA65392" s="6"/>
      <c r="AB65392" s="6"/>
      <c r="AC65392" s="6"/>
      <c r="AD65392" s="6"/>
      <c r="AE65392" s="6"/>
      <c r="AF65392" s="6"/>
      <c r="AG65392" s="6"/>
      <c r="AH65392" s="6"/>
      <c r="AI65392" s="6"/>
      <c r="AJ65392" s="6"/>
      <c r="AK65392" s="6"/>
      <c r="AL65392" s="6"/>
      <c r="AM65392" s="6"/>
    </row>
    <row r="65393" spans="2:39" ht="9.9499999999999993" hidden="1" customHeight="1" x14ac:dyDescent="0.2">
      <c r="B65393" s="6"/>
      <c r="C65393" s="6"/>
      <c r="D65393" s="6"/>
      <c r="E65393" s="6"/>
      <c r="F65393" s="6"/>
      <c r="G65393" s="6"/>
      <c r="H65393" s="6"/>
      <c r="I65393" s="6"/>
      <c r="J65393" s="6"/>
      <c r="K65393" s="6"/>
      <c r="L65393" s="6"/>
      <c r="M65393" s="6"/>
      <c r="N65393" s="6"/>
      <c r="O65393" s="6"/>
      <c r="P65393" s="6"/>
      <c r="Q65393" s="6"/>
      <c r="R65393" s="6"/>
      <c r="S65393" s="6"/>
      <c r="T65393" s="6"/>
      <c r="U65393" s="6"/>
      <c r="V65393" s="6"/>
      <c r="W65393" s="6"/>
      <c r="X65393" s="6"/>
      <c r="Y65393" s="6"/>
      <c r="Z65393" s="6"/>
      <c r="AA65393" s="6"/>
      <c r="AB65393" s="6"/>
      <c r="AC65393" s="6"/>
      <c r="AD65393" s="6"/>
      <c r="AE65393" s="6"/>
      <c r="AF65393" s="6"/>
      <c r="AG65393" s="6"/>
      <c r="AH65393" s="6"/>
      <c r="AI65393" s="6"/>
      <c r="AJ65393" s="6"/>
      <c r="AK65393" s="6"/>
      <c r="AL65393" s="6"/>
      <c r="AM65393" s="6"/>
    </row>
    <row r="65394" spans="2:39" ht="9.9499999999999993" hidden="1" customHeight="1" x14ac:dyDescent="0.2">
      <c r="B65394" s="6"/>
      <c r="C65394" s="6"/>
      <c r="D65394" s="6"/>
      <c r="E65394" s="6"/>
      <c r="F65394" s="6"/>
      <c r="G65394" s="6"/>
      <c r="H65394" s="6"/>
      <c r="I65394" s="6"/>
      <c r="J65394" s="6"/>
      <c r="K65394" s="6"/>
      <c r="L65394" s="6"/>
      <c r="M65394" s="6"/>
      <c r="N65394" s="6"/>
      <c r="O65394" s="6"/>
      <c r="P65394" s="6"/>
      <c r="Q65394" s="6"/>
      <c r="R65394" s="6"/>
      <c r="S65394" s="6"/>
      <c r="T65394" s="6"/>
      <c r="U65394" s="6"/>
      <c r="V65394" s="6"/>
      <c r="W65394" s="6"/>
      <c r="X65394" s="6"/>
      <c r="Y65394" s="6"/>
      <c r="Z65394" s="6"/>
      <c r="AA65394" s="6"/>
      <c r="AB65394" s="6"/>
      <c r="AC65394" s="6"/>
      <c r="AD65394" s="6"/>
      <c r="AE65394" s="6"/>
      <c r="AF65394" s="6"/>
      <c r="AG65394" s="6"/>
      <c r="AH65394" s="6"/>
      <c r="AI65394" s="6"/>
      <c r="AJ65394" s="6"/>
      <c r="AK65394" s="6"/>
      <c r="AL65394" s="6"/>
      <c r="AM65394" s="6"/>
    </row>
    <row r="65395" spans="2:39" ht="9.9499999999999993" hidden="1" customHeight="1" x14ac:dyDescent="0.2">
      <c r="B65395" s="6"/>
      <c r="C65395" s="6"/>
      <c r="D65395" s="6"/>
      <c r="E65395" s="6"/>
      <c r="F65395" s="6"/>
      <c r="G65395" s="6"/>
      <c r="H65395" s="6"/>
      <c r="I65395" s="6"/>
      <c r="J65395" s="6"/>
      <c r="K65395" s="6"/>
      <c r="L65395" s="6"/>
      <c r="M65395" s="6"/>
      <c r="N65395" s="6"/>
      <c r="O65395" s="6"/>
      <c r="P65395" s="6"/>
      <c r="Q65395" s="6"/>
      <c r="R65395" s="6"/>
      <c r="S65395" s="6"/>
      <c r="T65395" s="6"/>
      <c r="U65395" s="6"/>
      <c r="V65395" s="6"/>
      <c r="W65395" s="6"/>
      <c r="X65395" s="6"/>
      <c r="Y65395" s="6"/>
      <c r="Z65395" s="6"/>
      <c r="AA65395" s="6"/>
      <c r="AB65395" s="6"/>
      <c r="AC65395" s="6"/>
      <c r="AD65395" s="6"/>
      <c r="AE65395" s="6"/>
      <c r="AF65395" s="6"/>
      <c r="AG65395" s="6"/>
      <c r="AH65395" s="6"/>
      <c r="AI65395" s="6"/>
      <c r="AJ65395" s="6"/>
      <c r="AK65395" s="6"/>
      <c r="AL65395" s="6"/>
      <c r="AM65395" s="6"/>
    </row>
    <row r="65396" spans="2:39" ht="9.9499999999999993" hidden="1" customHeight="1" x14ac:dyDescent="0.2">
      <c r="B65396" s="6"/>
      <c r="C65396" s="6"/>
      <c r="D65396" s="6"/>
      <c r="E65396" s="6"/>
      <c r="F65396" s="6"/>
      <c r="G65396" s="6"/>
      <c r="H65396" s="6"/>
      <c r="I65396" s="6"/>
      <c r="J65396" s="6"/>
      <c r="K65396" s="6"/>
      <c r="L65396" s="6"/>
      <c r="M65396" s="6"/>
      <c r="N65396" s="6"/>
      <c r="O65396" s="6"/>
      <c r="P65396" s="6"/>
      <c r="Q65396" s="6"/>
      <c r="R65396" s="6"/>
      <c r="S65396" s="6"/>
      <c r="T65396" s="6"/>
      <c r="U65396" s="6"/>
      <c r="V65396" s="6"/>
      <c r="W65396" s="6"/>
      <c r="X65396" s="6"/>
      <c r="Y65396" s="6"/>
      <c r="Z65396" s="6"/>
      <c r="AA65396" s="6"/>
      <c r="AB65396" s="6"/>
      <c r="AC65396" s="6"/>
      <c r="AD65396" s="6"/>
      <c r="AE65396" s="6"/>
      <c r="AF65396" s="6"/>
      <c r="AG65396" s="6"/>
      <c r="AH65396" s="6"/>
      <c r="AI65396" s="6"/>
      <c r="AJ65396" s="6"/>
      <c r="AK65396" s="6"/>
      <c r="AL65396" s="6"/>
      <c r="AM65396" s="6"/>
    </row>
    <row r="65397" spans="2:39" ht="9.9499999999999993" hidden="1" customHeight="1" x14ac:dyDescent="0.2">
      <c r="B65397" s="6"/>
      <c r="C65397" s="6"/>
      <c r="D65397" s="6"/>
      <c r="E65397" s="6"/>
      <c r="F65397" s="6"/>
      <c r="G65397" s="6"/>
      <c r="H65397" s="6"/>
      <c r="I65397" s="6"/>
      <c r="J65397" s="6"/>
      <c r="K65397" s="6"/>
      <c r="L65397" s="6"/>
      <c r="M65397" s="6"/>
      <c r="N65397" s="6"/>
      <c r="O65397" s="6"/>
      <c r="P65397" s="6"/>
      <c r="Q65397" s="6"/>
      <c r="R65397" s="6"/>
      <c r="S65397" s="6"/>
      <c r="T65397" s="6"/>
      <c r="U65397" s="6"/>
      <c r="V65397" s="6"/>
      <c r="W65397" s="6"/>
      <c r="X65397" s="6"/>
      <c r="Y65397" s="6"/>
      <c r="Z65397" s="6"/>
      <c r="AA65397" s="6"/>
      <c r="AB65397" s="6"/>
      <c r="AC65397" s="6"/>
      <c r="AD65397" s="6"/>
      <c r="AE65397" s="6"/>
      <c r="AF65397" s="6"/>
      <c r="AG65397" s="6"/>
      <c r="AH65397" s="6"/>
      <c r="AI65397" s="6"/>
      <c r="AJ65397" s="6"/>
      <c r="AK65397" s="6"/>
      <c r="AL65397" s="6"/>
      <c r="AM65397" s="6"/>
    </row>
    <row r="65398" spans="2:39" ht="9.9499999999999993" hidden="1" customHeight="1" x14ac:dyDescent="0.2">
      <c r="B65398" s="6"/>
      <c r="C65398" s="6"/>
      <c r="D65398" s="6"/>
      <c r="E65398" s="6"/>
      <c r="F65398" s="6"/>
      <c r="G65398" s="6"/>
      <c r="H65398" s="6"/>
      <c r="I65398" s="6"/>
      <c r="J65398" s="6"/>
      <c r="K65398" s="6"/>
      <c r="L65398" s="6"/>
      <c r="M65398" s="6"/>
      <c r="N65398" s="6"/>
      <c r="O65398" s="6"/>
      <c r="P65398" s="6"/>
      <c r="Q65398" s="6"/>
      <c r="R65398" s="6"/>
      <c r="S65398" s="6"/>
      <c r="T65398" s="6"/>
      <c r="U65398" s="6"/>
      <c r="V65398" s="6"/>
      <c r="W65398" s="6"/>
      <c r="X65398" s="6"/>
      <c r="Y65398" s="6"/>
      <c r="Z65398" s="6"/>
      <c r="AA65398" s="6"/>
      <c r="AB65398" s="6"/>
      <c r="AC65398" s="6"/>
      <c r="AD65398" s="6"/>
      <c r="AE65398" s="6"/>
      <c r="AF65398" s="6"/>
      <c r="AG65398" s="6"/>
      <c r="AH65398" s="6"/>
      <c r="AI65398" s="6"/>
      <c r="AJ65398" s="6"/>
      <c r="AK65398" s="6"/>
      <c r="AL65398" s="6"/>
      <c r="AM65398" s="6"/>
    </row>
    <row r="65399" spans="2:39" ht="9.9499999999999993" hidden="1" customHeight="1" x14ac:dyDescent="0.2">
      <c r="B65399" s="6"/>
      <c r="C65399" s="6"/>
      <c r="D65399" s="6"/>
      <c r="E65399" s="6"/>
      <c r="F65399" s="6"/>
      <c r="G65399" s="6"/>
      <c r="H65399" s="6"/>
      <c r="I65399" s="6"/>
      <c r="J65399" s="6"/>
      <c r="K65399" s="6"/>
      <c r="L65399" s="6"/>
      <c r="M65399" s="6"/>
      <c r="N65399" s="6"/>
      <c r="O65399" s="6"/>
      <c r="P65399" s="6"/>
      <c r="Q65399" s="6"/>
      <c r="R65399" s="6"/>
      <c r="S65399" s="6"/>
      <c r="T65399" s="6"/>
      <c r="U65399" s="6"/>
      <c r="V65399" s="6"/>
      <c r="W65399" s="6"/>
      <c r="X65399" s="6"/>
      <c r="Y65399" s="6"/>
      <c r="Z65399" s="6"/>
      <c r="AA65399" s="6"/>
      <c r="AB65399" s="6"/>
      <c r="AC65399" s="6"/>
      <c r="AD65399" s="6"/>
      <c r="AE65399" s="6"/>
      <c r="AF65399" s="6"/>
      <c r="AG65399" s="6"/>
      <c r="AH65399" s="6"/>
      <c r="AI65399" s="6"/>
      <c r="AJ65399" s="6"/>
      <c r="AK65399" s="6"/>
      <c r="AL65399" s="6"/>
      <c r="AM65399" s="6"/>
    </row>
    <row r="65400" spans="2:39" ht="9.9499999999999993" hidden="1" customHeight="1" x14ac:dyDescent="0.2">
      <c r="B65400" s="6"/>
      <c r="C65400" s="6"/>
      <c r="D65400" s="6"/>
      <c r="E65400" s="6"/>
      <c r="F65400" s="6"/>
      <c r="G65400" s="6"/>
      <c r="H65400" s="6"/>
      <c r="I65400" s="6"/>
      <c r="J65400" s="6"/>
      <c r="K65400" s="6"/>
      <c r="L65400" s="6"/>
      <c r="M65400" s="6"/>
      <c r="N65400" s="6"/>
      <c r="O65400" s="6"/>
      <c r="P65400" s="6"/>
      <c r="Q65400" s="6"/>
      <c r="R65400" s="6"/>
      <c r="S65400" s="6"/>
      <c r="T65400" s="6"/>
      <c r="U65400" s="6"/>
      <c r="V65400" s="6"/>
      <c r="W65400" s="6"/>
      <c r="X65400" s="6"/>
      <c r="Y65400" s="6"/>
      <c r="Z65400" s="6"/>
      <c r="AA65400" s="6"/>
      <c r="AB65400" s="6"/>
      <c r="AC65400" s="6"/>
      <c r="AD65400" s="6"/>
      <c r="AE65400" s="6"/>
      <c r="AF65400" s="6"/>
      <c r="AG65400" s="6"/>
      <c r="AH65400" s="6"/>
      <c r="AI65400" s="6"/>
      <c r="AJ65400" s="6"/>
      <c r="AK65400" s="6"/>
      <c r="AL65400" s="6"/>
      <c r="AM65400" s="6"/>
    </row>
    <row r="65401" spans="2:39" ht="9.9499999999999993" hidden="1" customHeight="1" x14ac:dyDescent="0.2">
      <c r="B65401" s="6"/>
      <c r="C65401" s="6"/>
      <c r="D65401" s="6"/>
      <c r="E65401" s="6"/>
      <c r="F65401" s="6"/>
      <c r="G65401" s="6"/>
      <c r="H65401" s="6"/>
      <c r="I65401" s="6"/>
      <c r="J65401" s="6"/>
      <c r="K65401" s="6"/>
      <c r="L65401" s="6"/>
      <c r="M65401" s="6"/>
      <c r="N65401" s="6"/>
      <c r="O65401" s="6"/>
      <c r="P65401" s="6"/>
      <c r="Q65401" s="6"/>
      <c r="R65401" s="6"/>
      <c r="S65401" s="6"/>
      <c r="T65401" s="6"/>
      <c r="U65401" s="6"/>
      <c r="V65401" s="6"/>
      <c r="W65401" s="6"/>
      <c r="X65401" s="6"/>
      <c r="Y65401" s="6"/>
      <c r="Z65401" s="6"/>
      <c r="AA65401" s="6"/>
      <c r="AB65401" s="6"/>
      <c r="AC65401" s="6"/>
      <c r="AD65401" s="6"/>
      <c r="AE65401" s="6"/>
      <c r="AF65401" s="6"/>
      <c r="AG65401" s="6"/>
      <c r="AH65401" s="6"/>
      <c r="AI65401" s="6"/>
      <c r="AJ65401" s="6"/>
      <c r="AK65401" s="6"/>
      <c r="AL65401" s="6"/>
      <c r="AM65401" s="6"/>
    </row>
    <row r="65402" spans="2:39" ht="9.9499999999999993" hidden="1" customHeight="1" x14ac:dyDescent="0.2">
      <c r="B65402" s="6"/>
      <c r="C65402" s="6"/>
      <c r="D65402" s="6"/>
      <c r="E65402" s="6"/>
      <c r="F65402" s="6"/>
      <c r="G65402" s="6"/>
      <c r="H65402" s="6"/>
      <c r="I65402" s="6"/>
      <c r="J65402" s="6"/>
      <c r="K65402" s="6"/>
      <c r="L65402" s="6"/>
      <c r="M65402" s="6"/>
      <c r="N65402" s="6"/>
      <c r="O65402" s="6"/>
      <c r="P65402" s="6"/>
      <c r="Q65402" s="6"/>
      <c r="R65402" s="6"/>
      <c r="S65402" s="6"/>
      <c r="T65402" s="6"/>
      <c r="U65402" s="6"/>
      <c r="V65402" s="6"/>
      <c r="W65402" s="6"/>
      <c r="X65402" s="6"/>
      <c r="Y65402" s="6"/>
      <c r="Z65402" s="6"/>
      <c r="AA65402" s="6"/>
      <c r="AB65402" s="6"/>
      <c r="AC65402" s="6"/>
      <c r="AD65402" s="6"/>
      <c r="AE65402" s="6"/>
      <c r="AF65402" s="6"/>
      <c r="AG65402" s="6"/>
      <c r="AH65402" s="6"/>
      <c r="AI65402" s="6"/>
      <c r="AJ65402" s="6"/>
      <c r="AK65402" s="6"/>
      <c r="AL65402" s="6"/>
      <c r="AM65402" s="6"/>
    </row>
    <row r="65403" spans="2:39" ht="9.9499999999999993" hidden="1" customHeight="1" x14ac:dyDescent="0.2">
      <c r="B65403" s="6"/>
      <c r="C65403" s="6"/>
      <c r="D65403" s="6"/>
      <c r="E65403" s="6"/>
      <c r="F65403" s="6"/>
      <c r="G65403" s="6"/>
      <c r="H65403" s="6"/>
      <c r="I65403" s="6"/>
      <c r="J65403" s="6"/>
      <c r="K65403" s="6"/>
      <c r="L65403" s="6"/>
      <c r="M65403" s="6"/>
      <c r="N65403" s="6"/>
      <c r="O65403" s="6"/>
      <c r="P65403" s="6"/>
      <c r="Q65403" s="6"/>
      <c r="R65403" s="6"/>
      <c r="S65403" s="6"/>
      <c r="T65403" s="6"/>
      <c r="U65403" s="6"/>
      <c r="V65403" s="6"/>
      <c r="W65403" s="6"/>
      <c r="X65403" s="6"/>
      <c r="Y65403" s="6"/>
      <c r="Z65403" s="6"/>
      <c r="AA65403" s="6"/>
      <c r="AB65403" s="6"/>
      <c r="AC65403" s="6"/>
      <c r="AD65403" s="6"/>
      <c r="AE65403" s="6"/>
      <c r="AF65403" s="6"/>
      <c r="AG65403" s="6"/>
      <c r="AH65403" s="6"/>
      <c r="AI65403" s="6"/>
      <c r="AJ65403" s="6"/>
      <c r="AK65403" s="6"/>
      <c r="AL65403" s="6"/>
      <c r="AM65403" s="6"/>
    </row>
    <row r="65404" spans="2:39" ht="9.9499999999999993" hidden="1" customHeight="1" x14ac:dyDescent="0.2">
      <c r="B65404" s="6"/>
      <c r="C65404" s="6"/>
      <c r="D65404" s="6"/>
      <c r="E65404" s="6"/>
      <c r="F65404" s="6"/>
      <c r="G65404" s="6"/>
      <c r="H65404" s="6"/>
      <c r="I65404" s="6"/>
      <c r="J65404" s="6"/>
      <c r="K65404" s="6"/>
      <c r="L65404" s="6"/>
      <c r="M65404" s="6"/>
      <c r="N65404" s="6"/>
      <c r="O65404" s="6"/>
      <c r="P65404" s="6"/>
      <c r="Q65404" s="6"/>
      <c r="R65404" s="6"/>
      <c r="S65404" s="6"/>
      <c r="T65404" s="6"/>
      <c r="U65404" s="6"/>
      <c r="V65404" s="6"/>
      <c r="W65404" s="6"/>
      <c r="X65404" s="6"/>
      <c r="Y65404" s="6"/>
      <c r="Z65404" s="6"/>
      <c r="AA65404" s="6"/>
      <c r="AB65404" s="6"/>
      <c r="AC65404" s="6"/>
      <c r="AD65404" s="6"/>
      <c r="AE65404" s="6"/>
      <c r="AF65404" s="6"/>
      <c r="AG65404" s="6"/>
      <c r="AH65404" s="6"/>
      <c r="AI65404" s="6"/>
      <c r="AJ65404" s="6"/>
      <c r="AK65404" s="6"/>
      <c r="AL65404" s="6"/>
      <c r="AM65404" s="6"/>
    </row>
    <row r="65405" spans="2:39" ht="9.9499999999999993" hidden="1" customHeight="1" x14ac:dyDescent="0.2">
      <c r="B65405" s="6"/>
      <c r="C65405" s="6"/>
      <c r="D65405" s="6"/>
      <c r="E65405" s="6"/>
      <c r="F65405" s="6"/>
      <c r="G65405" s="6"/>
      <c r="H65405" s="6"/>
      <c r="I65405" s="6"/>
      <c r="J65405" s="6"/>
      <c r="K65405" s="6"/>
      <c r="L65405" s="6"/>
      <c r="M65405" s="6"/>
      <c r="N65405" s="6"/>
      <c r="O65405" s="6"/>
      <c r="P65405" s="6"/>
      <c r="Q65405" s="6"/>
      <c r="R65405" s="6"/>
      <c r="S65405" s="6"/>
      <c r="T65405" s="6"/>
      <c r="U65405" s="6"/>
      <c r="V65405" s="6"/>
      <c r="W65405" s="6"/>
      <c r="X65405" s="6"/>
      <c r="Y65405" s="6"/>
      <c r="Z65405" s="6"/>
      <c r="AA65405" s="6"/>
      <c r="AB65405" s="6"/>
      <c r="AC65405" s="6"/>
      <c r="AD65405" s="6"/>
      <c r="AE65405" s="6"/>
      <c r="AF65405" s="6"/>
      <c r="AG65405" s="6"/>
      <c r="AH65405" s="6"/>
      <c r="AI65405" s="6"/>
      <c r="AJ65405" s="6"/>
      <c r="AK65405" s="6"/>
      <c r="AL65405" s="6"/>
      <c r="AM65405" s="6"/>
    </row>
    <row r="65406" spans="2:39" ht="9.9499999999999993" hidden="1" customHeight="1" x14ac:dyDescent="0.2">
      <c r="B65406" s="6"/>
      <c r="C65406" s="6"/>
      <c r="D65406" s="6"/>
      <c r="E65406" s="6"/>
      <c r="F65406" s="6"/>
      <c r="G65406" s="6"/>
      <c r="H65406" s="6"/>
      <c r="I65406" s="6"/>
      <c r="J65406" s="6"/>
      <c r="K65406" s="6"/>
      <c r="L65406" s="6"/>
      <c r="M65406" s="6"/>
      <c r="N65406" s="6"/>
      <c r="O65406" s="6"/>
      <c r="P65406" s="6"/>
      <c r="Q65406" s="6"/>
      <c r="R65406" s="6"/>
      <c r="S65406" s="6"/>
      <c r="T65406" s="6"/>
      <c r="U65406" s="6"/>
      <c r="V65406" s="6"/>
      <c r="W65406" s="6"/>
      <c r="X65406" s="6"/>
      <c r="Y65406" s="6"/>
      <c r="Z65406" s="6"/>
      <c r="AA65406" s="6"/>
      <c r="AB65406" s="6"/>
      <c r="AC65406" s="6"/>
      <c r="AD65406" s="6"/>
      <c r="AE65406" s="6"/>
      <c r="AF65406" s="6"/>
      <c r="AG65406" s="6"/>
      <c r="AH65406" s="6"/>
      <c r="AI65406" s="6"/>
      <c r="AJ65406" s="6"/>
      <c r="AK65406" s="6"/>
      <c r="AL65406" s="6"/>
      <c r="AM65406" s="6"/>
    </row>
    <row r="65407" spans="2:39" ht="9.9499999999999993" hidden="1" customHeight="1" x14ac:dyDescent="0.2">
      <c r="B65407" s="6"/>
      <c r="C65407" s="6"/>
      <c r="D65407" s="6"/>
      <c r="E65407" s="6"/>
      <c r="F65407" s="6"/>
      <c r="G65407" s="6"/>
      <c r="H65407" s="6"/>
      <c r="I65407" s="6"/>
      <c r="J65407" s="6"/>
      <c r="K65407" s="6"/>
      <c r="L65407" s="6"/>
      <c r="M65407" s="6"/>
      <c r="N65407" s="6"/>
      <c r="O65407" s="6"/>
      <c r="P65407" s="6"/>
      <c r="Q65407" s="6"/>
      <c r="R65407" s="6"/>
      <c r="S65407" s="6"/>
      <c r="T65407" s="6"/>
      <c r="U65407" s="6"/>
      <c r="V65407" s="6"/>
      <c r="W65407" s="6"/>
      <c r="X65407" s="6"/>
      <c r="Y65407" s="6"/>
      <c r="Z65407" s="6"/>
      <c r="AA65407" s="6"/>
      <c r="AB65407" s="6"/>
      <c r="AC65407" s="6"/>
      <c r="AD65407" s="6"/>
      <c r="AE65407" s="6"/>
      <c r="AF65407" s="6"/>
      <c r="AG65407" s="6"/>
      <c r="AH65407" s="6"/>
      <c r="AI65407" s="6"/>
      <c r="AJ65407" s="6"/>
      <c r="AK65407" s="6"/>
      <c r="AL65407" s="6"/>
      <c r="AM65407" s="6"/>
    </row>
    <row r="65408" spans="2:39" ht="9.9499999999999993" hidden="1" customHeight="1" x14ac:dyDescent="0.2">
      <c r="B65408" s="6"/>
      <c r="C65408" s="6"/>
      <c r="D65408" s="6"/>
      <c r="E65408" s="6"/>
      <c r="F65408" s="6"/>
      <c r="G65408" s="6"/>
      <c r="H65408" s="6"/>
      <c r="I65408" s="6"/>
      <c r="J65408" s="6"/>
      <c r="K65408" s="6"/>
      <c r="L65408" s="6"/>
      <c r="M65408" s="6"/>
      <c r="N65408" s="6"/>
      <c r="O65408" s="6"/>
      <c r="P65408" s="6"/>
      <c r="Q65408" s="6"/>
      <c r="R65408" s="6"/>
      <c r="S65408" s="6"/>
      <c r="T65408" s="6"/>
      <c r="U65408" s="6"/>
      <c r="V65408" s="6"/>
      <c r="W65408" s="6"/>
      <c r="X65408" s="6"/>
      <c r="Y65408" s="6"/>
      <c r="Z65408" s="6"/>
      <c r="AA65408" s="6"/>
      <c r="AB65408" s="6"/>
      <c r="AC65408" s="6"/>
      <c r="AD65408" s="6"/>
      <c r="AE65408" s="6"/>
      <c r="AF65408" s="6"/>
      <c r="AG65408" s="6"/>
      <c r="AH65408" s="6"/>
      <c r="AI65408" s="6"/>
      <c r="AJ65408" s="6"/>
      <c r="AK65408" s="6"/>
      <c r="AL65408" s="6"/>
      <c r="AM65408" s="6"/>
    </row>
    <row r="65409" spans="2:39" ht="9.9499999999999993" hidden="1" customHeight="1" x14ac:dyDescent="0.2">
      <c r="B65409" s="6"/>
      <c r="C65409" s="6"/>
      <c r="D65409" s="6"/>
      <c r="E65409" s="6"/>
      <c r="F65409" s="6"/>
      <c r="G65409" s="6"/>
      <c r="H65409" s="6"/>
      <c r="I65409" s="6"/>
      <c r="J65409" s="6"/>
      <c r="K65409" s="6"/>
      <c r="L65409" s="6"/>
      <c r="M65409" s="6"/>
      <c r="N65409" s="6"/>
      <c r="O65409" s="6"/>
      <c r="P65409" s="6"/>
      <c r="Q65409" s="6"/>
      <c r="R65409" s="6"/>
      <c r="S65409" s="6"/>
      <c r="T65409" s="6"/>
      <c r="U65409" s="6"/>
      <c r="V65409" s="6"/>
      <c r="W65409" s="6"/>
      <c r="X65409" s="6"/>
      <c r="Y65409" s="6"/>
      <c r="Z65409" s="6"/>
      <c r="AA65409" s="6"/>
      <c r="AB65409" s="6"/>
      <c r="AC65409" s="6"/>
      <c r="AD65409" s="6"/>
      <c r="AE65409" s="6"/>
      <c r="AF65409" s="6"/>
      <c r="AG65409" s="6"/>
      <c r="AH65409" s="6"/>
      <c r="AI65409" s="6"/>
      <c r="AJ65409" s="6"/>
      <c r="AK65409" s="6"/>
      <c r="AL65409" s="6"/>
      <c r="AM65409" s="6"/>
    </row>
    <row r="65410" spans="2:39" ht="9.9499999999999993" hidden="1" customHeight="1" x14ac:dyDescent="0.2">
      <c r="B65410" s="6"/>
      <c r="C65410" s="6"/>
      <c r="D65410" s="6"/>
      <c r="E65410" s="6"/>
      <c r="F65410" s="6"/>
      <c r="G65410" s="6"/>
      <c r="H65410" s="6"/>
      <c r="I65410" s="6"/>
      <c r="J65410" s="6"/>
      <c r="K65410" s="6"/>
      <c r="L65410" s="6"/>
      <c r="M65410" s="6"/>
      <c r="N65410" s="6"/>
      <c r="O65410" s="6"/>
      <c r="P65410" s="6"/>
      <c r="Q65410" s="6"/>
      <c r="R65410" s="6"/>
      <c r="S65410" s="6"/>
      <c r="T65410" s="6"/>
      <c r="U65410" s="6"/>
      <c r="V65410" s="6"/>
      <c r="W65410" s="6"/>
      <c r="X65410" s="6"/>
      <c r="Y65410" s="6"/>
      <c r="Z65410" s="6"/>
      <c r="AA65410" s="6"/>
      <c r="AB65410" s="6"/>
      <c r="AC65410" s="6"/>
      <c r="AD65410" s="6"/>
      <c r="AE65410" s="6"/>
      <c r="AF65410" s="6"/>
      <c r="AG65410" s="6"/>
      <c r="AH65410" s="6"/>
      <c r="AI65410" s="6"/>
      <c r="AJ65410" s="6"/>
      <c r="AK65410" s="6"/>
      <c r="AL65410" s="6"/>
      <c r="AM65410" s="6"/>
    </row>
    <row r="65411" spans="2:39" ht="9.9499999999999993" hidden="1" customHeight="1" x14ac:dyDescent="0.2">
      <c r="B65411" s="6"/>
      <c r="C65411" s="6"/>
      <c r="D65411" s="6"/>
      <c r="E65411" s="6"/>
      <c r="F65411" s="6"/>
      <c r="G65411" s="6"/>
      <c r="H65411" s="6"/>
      <c r="I65411" s="6"/>
      <c r="J65411" s="6"/>
      <c r="K65411" s="6"/>
      <c r="L65411" s="6"/>
      <c r="M65411" s="6"/>
      <c r="N65411" s="6"/>
      <c r="O65411" s="6"/>
      <c r="P65411" s="6"/>
      <c r="Q65411" s="6"/>
      <c r="R65411" s="6"/>
      <c r="S65411" s="6"/>
      <c r="T65411" s="6"/>
      <c r="U65411" s="6"/>
      <c r="V65411" s="6"/>
      <c r="W65411" s="6"/>
      <c r="X65411" s="6"/>
      <c r="Y65411" s="6"/>
      <c r="Z65411" s="6"/>
      <c r="AA65411" s="6"/>
      <c r="AB65411" s="6"/>
      <c r="AC65411" s="6"/>
      <c r="AD65411" s="6"/>
      <c r="AE65411" s="6"/>
      <c r="AF65411" s="6"/>
      <c r="AG65411" s="6"/>
      <c r="AH65411" s="6"/>
      <c r="AI65411" s="6"/>
      <c r="AJ65411" s="6"/>
      <c r="AK65411" s="6"/>
      <c r="AL65411" s="6"/>
      <c r="AM65411" s="6"/>
    </row>
    <row r="65412" spans="2:39" ht="9.9499999999999993" hidden="1" customHeight="1" x14ac:dyDescent="0.2">
      <c r="B65412" s="6"/>
      <c r="C65412" s="6"/>
      <c r="D65412" s="6"/>
      <c r="E65412" s="6"/>
      <c r="F65412" s="6"/>
      <c r="G65412" s="6"/>
      <c r="H65412" s="6"/>
      <c r="I65412" s="6"/>
      <c r="J65412" s="6"/>
      <c r="K65412" s="6"/>
      <c r="L65412" s="6"/>
      <c r="M65412" s="6"/>
      <c r="N65412" s="6"/>
      <c r="O65412" s="6"/>
      <c r="P65412" s="6"/>
      <c r="Q65412" s="6"/>
      <c r="R65412" s="6"/>
      <c r="S65412" s="6"/>
      <c r="T65412" s="6"/>
      <c r="U65412" s="6"/>
      <c r="V65412" s="6"/>
      <c r="W65412" s="6"/>
      <c r="X65412" s="6"/>
      <c r="Y65412" s="6"/>
      <c r="Z65412" s="6"/>
      <c r="AA65412" s="6"/>
      <c r="AB65412" s="6"/>
      <c r="AC65412" s="6"/>
      <c r="AD65412" s="6"/>
      <c r="AE65412" s="6"/>
      <c r="AF65412" s="6"/>
      <c r="AG65412" s="6"/>
      <c r="AH65412" s="6"/>
      <c r="AI65412" s="6"/>
      <c r="AJ65412" s="6"/>
      <c r="AK65412" s="6"/>
      <c r="AL65412" s="6"/>
      <c r="AM65412" s="6"/>
    </row>
    <row r="65413" spans="2:39" ht="9.9499999999999993" hidden="1" customHeight="1" x14ac:dyDescent="0.2">
      <c r="B65413" s="6"/>
      <c r="C65413" s="6"/>
      <c r="D65413" s="6"/>
      <c r="E65413" s="6"/>
      <c r="F65413" s="6"/>
      <c r="G65413" s="6"/>
      <c r="H65413" s="6"/>
      <c r="I65413" s="6"/>
      <c r="J65413" s="6"/>
      <c r="K65413" s="6"/>
      <c r="L65413" s="6"/>
      <c r="M65413" s="6"/>
      <c r="N65413" s="6"/>
      <c r="O65413" s="6"/>
      <c r="P65413" s="6"/>
      <c r="Q65413" s="6"/>
      <c r="R65413" s="6"/>
      <c r="S65413" s="6"/>
      <c r="T65413" s="6"/>
      <c r="U65413" s="6"/>
      <c r="V65413" s="6"/>
      <c r="W65413" s="6"/>
      <c r="X65413" s="6"/>
      <c r="Y65413" s="6"/>
      <c r="Z65413" s="6"/>
      <c r="AA65413" s="6"/>
      <c r="AB65413" s="6"/>
      <c r="AC65413" s="6"/>
      <c r="AD65413" s="6"/>
      <c r="AE65413" s="6"/>
      <c r="AF65413" s="6"/>
      <c r="AG65413" s="6"/>
      <c r="AH65413" s="6"/>
      <c r="AI65413" s="6"/>
      <c r="AJ65413" s="6"/>
      <c r="AK65413" s="6"/>
      <c r="AL65413" s="6"/>
      <c r="AM65413" s="6"/>
    </row>
    <row r="65414" spans="2:39" ht="9.9499999999999993" hidden="1" customHeight="1" x14ac:dyDescent="0.2">
      <c r="B65414" s="6"/>
      <c r="C65414" s="6"/>
      <c r="D65414" s="6"/>
      <c r="E65414" s="6"/>
      <c r="F65414" s="6"/>
      <c r="G65414" s="6"/>
      <c r="H65414" s="6"/>
      <c r="I65414" s="6"/>
      <c r="J65414" s="6"/>
      <c r="K65414" s="6"/>
      <c r="L65414" s="6"/>
      <c r="M65414" s="6"/>
      <c r="N65414" s="6"/>
      <c r="O65414" s="6"/>
      <c r="P65414" s="6"/>
      <c r="Q65414" s="6"/>
      <c r="R65414" s="6"/>
      <c r="S65414" s="6"/>
      <c r="T65414" s="6"/>
      <c r="U65414" s="6"/>
      <c r="V65414" s="6"/>
      <c r="W65414" s="6"/>
      <c r="X65414" s="6"/>
      <c r="Y65414" s="6"/>
      <c r="Z65414" s="6"/>
      <c r="AA65414" s="6"/>
      <c r="AB65414" s="6"/>
      <c r="AC65414" s="6"/>
      <c r="AD65414" s="6"/>
      <c r="AE65414" s="6"/>
      <c r="AF65414" s="6"/>
      <c r="AG65414" s="6"/>
      <c r="AH65414" s="6"/>
      <c r="AI65414" s="6"/>
      <c r="AJ65414" s="6"/>
      <c r="AK65414" s="6"/>
      <c r="AL65414" s="6"/>
      <c r="AM65414" s="6"/>
    </row>
    <row r="65415" spans="2:39" ht="9.9499999999999993" hidden="1" customHeight="1" x14ac:dyDescent="0.2">
      <c r="B65415" s="6"/>
      <c r="C65415" s="6"/>
      <c r="D65415" s="6"/>
      <c r="E65415" s="6"/>
      <c r="F65415" s="6"/>
      <c r="G65415" s="6"/>
      <c r="H65415" s="6"/>
      <c r="I65415" s="6"/>
      <c r="J65415" s="6"/>
      <c r="K65415" s="6"/>
      <c r="L65415" s="6"/>
      <c r="M65415" s="6"/>
      <c r="N65415" s="6"/>
      <c r="O65415" s="6"/>
      <c r="P65415" s="6"/>
      <c r="Q65415" s="6"/>
      <c r="R65415" s="6"/>
      <c r="S65415" s="6"/>
      <c r="T65415" s="6"/>
      <c r="U65415" s="6"/>
      <c r="V65415" s="6"/>
      <c r="W65415" s="6"/>
      <c r="X65415" s="6"/>
      <c r="Y65415" s="6"/>
      <c r="Z65415" s="6"/>
      <c r="AA65415" s="6"/>
      <c r="AB65415" s="6"/>
      <c r="AC65415" s="6"/>
      <c r="AD65415" s="6"/>
      <c r="AE65415" s="6"/>
      <c r="AF65415" s="6"/>
      <c r="AG65415" s="6"/>
      <c r="AH65415" s="6"/>
      <c r="AI65415" s="6"/>
      <c r="AJ65415" s="6"/>
      <c r="AK65415" s="6"/>
      <c r="AL65415" s="6"/>
      <c r="AM65415" s="6"/>
    </row>
    <row r="65416" spans="2:39" ht="9.9499999999999993" hidden="1" customHeight="1" x14ac:dyDescent="0.2">
      <c r="B65416" s="6"/>
      <c r="C65416" s="6"/>
      <c r="D65416" s="6"/>
      <c r="E65416" s="6"/>
      <c r="F65416" s="6"/>
      <c r="G65416" s="6"/>
      <c r="H65416" s="6"/>
      <c r="I65416" s="6"/>
      <c r="J65416" s="6"/>
      <c r="K65416" s="6"/>
      <c r="L65416" s="6"/>
      <c r="M65416" s="6"/>
      <c r="N65416" s="6"/>
      <c r="O65416" s="6"/>
      <c r="P65416" s="6"/>
      <c r="Q65416" s="6"/>
      <c r="R65416" s="6"/>
      <c r="S65416" s="6"/>
      <c r="T65416" s="6"/>
      <c r="U65416" s="6"/>
      <c r="V65416" s="6"/>
      <c r="W65416" s="6"/>
      <c r="X65416" s="6"/>
      <c r="Y65416" s="6"/>
      <c r="Z65416" s="6"/>
      <c r="AA65416" s="6"/>
      <c r="AB65416" s="6"/>
      <c r="AC65416" s="6"/>
      <c r="AD65416" s="6"/>
      <c r="AE65416" s="6"/>
      <c r="AF65416" s="6"/>
      <c r="AG65416" s="6"/>
      <c r="AH65416" s="6"/>
      <c r="AI65416" s="6"/>
      <c r="AJ65416" s="6"/>
      <c r="AK65416" s="6"/>
      <c r="AL65416" s="6"/>
      <c r="AM65416" s="6"/>
    </row>
    <row r="65417" spans="2:39" ht="9.9499999999999993" hidden="1" customHeight="1" x14ac:dyDescent="0.2">
      <c r="B65417" s="6"/>
      <c r="C65417" s="6"/>
      <c r="D65417" s="6"/>
      <c r="E65417" s="6"/>
      <c r="F65417" s="6"/>
      <c r="G65417" s="6"/>
      <c r="H65417" s="6"/>
      <c r="I65417" s="6"/>
      <c r="J65417" s="6"/>
      <c r="K65417" s="6"/>
      <c r="L65417" s="6"/>
      <c r="M65417" s="6"/>
      <c r="N65417" s="6"/>
      <c r="O65417" s="6"/>
      <c r="P65417" s="6"/>
      <c r="Q65417" s="6"/>
      <c r="R65417" s="6"/>
      <c r="S65417" s="6"/>
      <c r="T65417" s="6"/>
      <c r="U65417" s="6"/>
      <c r="V65417" s="6"/>
      <c r="W65417" s="6"/>
      <c r="X65417" s="6"/>
      <c r="Y65417" s="6"/>
      <c r="Z65417" s="6"/>
      <c r="AA65417" s="6"/>
      <c r="AB65417" s="6"/>
      <c r="AC65417" s="6"/>
      <c r="AD65417" s="6"/>
      <c r="AE65417" s="6"/>
      <c r="AF65417" s="6"/>
      <c r="AG65417" s="6"/>
      <c r="AH65417" s="6"/>
      <c r="AI65417" s="6"/>
      <c r="AJ65417" s="6"/>
      <c r="AK65417" s="6"/>
      <c r="AL65417" s="6"/>
      <c r="AM65417" s="6"/>
    </row>
    <row r="65418" spans="2:39" ht="9.9499999999999993" hidden="1" customHeight="1" x14ac:dyDescent="0.2">
      <c r="B65418" s="6"/>
      <c r="C65418" s="6"/>
      <c r="D65418" s="6"/>
      <c r="E65418" s="6"/>
      <c r="F65418" s="6"/>
      <c r="G65418" s="6"/>
      <c r="H65418" s="6"/>
      <c r="I65418" s="6"/>
      <c r="J65418" s="6"/>
      <c r="K65418" s="6"/>
      <c r="L65418" s="6"/>
      <c r="M65418" s="6"/>
      <c r="N65418" s="6"/>
      <c r="O65418" s="6"/>
      <c r="P65418" s="6"/>
      <c r="Q65418" s="6"/>
      <c r="R65418" s="6"/>
      <c r="S65418" s="6"/>
      <c r="T65418" s="6"/>
      <c r="U65418" s="6"/>
      <c r="V65418" s="6"/>
      <c r="W65418" s="6"/>
      <c r="X65418" s="6"/>
      <c r="Y65418" s="6"/>
      <c r="Z65418" s="6"/>
      <c r="AA65418" s="6"/>
      <c r="AB65418" s="6"/>
      <c r="AC65418" s="6"/>
      <c r="AD65418" s="6"/>
      <c r="AE65418" s="6"/>
      <c r="AF65418" s="6"/>
      <c r="AG65418" s="6"/>
      <c r="AH65418" s="6"/>
      <c r="AI65418" s="6"/>
      <c r="AJ65418" s="6"/>
      <c r="AK65418" s="6"/>
      <c r="AL65418" s="6"/>
      <c r="AM65418" s="6"/>
    </row>
    <row r="65419" spans="2:39" ht="9.9499999999999993" hidden="1" customHeight="1" x14ac:dyDescent="0.2">
      <c r="B65419" s="6"/>
      <c r="C65419" s="6"/>
      <c r="D65419" s="6"/>
      <c r="E65419" s="6"/>
      <c r="F65419" s="6"/>
      <c r="G65419" s="6"/>
      <c r="H65419" s="6"/>
      <c r="I65419" s="6"/>
      <c r="J65419" s="6"/>
      <c r="K65419" s="6"/>
      <c r="L65419" s="6"/>
      <c r="M65419" s="6"/>
      <c r="N65419" s="6"/>
      <c r="O65419" s="6"/>
      <c r="P65419" s="6"/>
      <c r="Q65419" s="6"/>
      <c r="R65419" s="6"/>
      <c r="S65419" s="6"/>
      <c r="T65419" s="6"/>
      <c r="U65419" s="6"/>
      <c r="V65419" s="6"/>
      <c r="W65419" s="6"/>
      <c r="X65419" s="6"/>
      <c r="Y65419" s="6"/>
      <c r="Z65419" s="6"/>
      <c r="AA65419" s="6"/>
      <c r="AB65419" s="6"/>
      <c r="AC65419" s="6"/>
      <c r="AD65419" s="6"/>
      <c r="AE65419" s="6"/>
      <c r="AF65419" s="6"/>
      <c r="AG65419" s="6"/>
      <c r="AH65419" s="6"/>
      <c r="AI65419" s="6"/>
      <c r="AJ65419" s="6"/>
      <c r="AK65419" s="6"/>
      <c r="AL65419" s="6"/>
      <c r="AM65419" s="6"/>
    </row>
    <row r="65420" spans="2:39" ht="9.9499999999999993" hidden="1" customHeight="1" x14ac:dyDescent="0.2">
      <c r="B65420" s="6"/>
      <c r="C65420" s="6"/>
      <c r="D65420" s="6"/>
      <c r="E65420" s="6"/>
      <c r="F65420" s="6"/>
      <c r="G65420" s="6"/>
      <c r="H65420" s="6"/>
      <c r="I65420" s="6"/>
      <c r="J65420" s="6"/>
      <c r="K65420" s="6"/>
      <c r="L65420" s="6"/>
      <c r="M65420" s="6"/>
      <c r="N65420" s="6"/>
      <c r="O65420" s="6"/>
      <c r="P65420" s="6"/>
      <c r="Q65420" s="6"/>
      <c r="R65420" s="6"/>
      <c r="S65420" s="6"/>
      <c r="T65420" s="6"/>
      <c r="U65420" s="6"/>
      <c r="V65420" s="6"/>
      <c r="W65420" s="6"/>
      <c r="X65420" s="6"/>
      <c r="Y65420" s="6"/>
      <c r="Z65420" s="6"/>
      <c r="AA65420" s="6"/>
      <c r="AB65420" s="6"/>
      <c r="AC65420" s="6"/>
      <c r="AD65420" s="6"/>
      <c r="AE65420" s="6"/>
      <c r="AF65420" s="6"/>
      <c r="AG65420" s="6"/>
      <c r="AH65420" s="6"/>
      <c r="AI65420" s="6"/>
      <c r="AJ65420" s="6"/>
      <c r="AK65420" s="6"/>
      <c r="AL65420" s="6"/>
      <c r="AM65420" s="6"/>
    </row>
    <row r="65421" spans="2:39" ht="9.9499999999999993" hidden="1" customHeight="1" x14ac:dyDescent="0.2">
      <c r="B65421" s="6"/>
      <c r="C65421" s="6"/>
      <c r="D65421" s="6"/>
      <c r="E65421" s="6"/>
      <c r="F65421" s="6"/>
      <c r="G65421" s="6"/>
      <c r="H65421" s="6"/>
      <c r="I65421" s="6"/>
      <c r="J65421" s="6"/>
      <c r="K65421" s="6"/>
      <c r="L65421" s="6"/>
      <c r="M65421" s="6"/>
      <c r="N65421" s="6"/>
      <c r="O65421" s="6"/>
      <c r="P65421" s="6"/>
      <c r="Q65421" s="6"/>
      <c r="R65421" s="6"/>
      <c r="S65421" s="6"/>
      <c r="T65421" s="6"/>
      <c r="U65421" s="6"/>
      <c r="V65421" s="6"/>
      <c r="W65421" s="6"/>
      <c r="X65421" s="6"/>
      <c r="Y65421" s="6"/>
      <c r="Z65421" s="6"/>
      <c r="AA65421" s="6"/>
      <c r="AB65421" s="6"/>
      <c r="AC65421" s="6"/>
      <c r="AD65421" s="6"/>
      <c r="AE65421" s="6"/>
      <c r="AF65421" s="6"/>
      <c r="AG65421" s="6"/>
      <c r="AH65421" s="6"/>
      <c r="AI65421" s="6"/>
      <c r="AJ65421" s="6"/>
      <c r="AK65421" s="6"/>
      <c r="AL65421" s="6"/>
      <c r="AM65421" s="6"/>
    </row>
    <row r="65422" spans="2:39" ht="9.9499999999999993" hidden="1" customHeight="1" x14ac:dyDescent="0.2">
      <c r="B65422" s="6"/>
      <c r="C65422" s="6"/>
      <c r="D65422" s="6"/>
      <c r="E65422" s="6"/>
      <c r="F65422" s="6"/>
      <c r="G65422" s="6"/>
      <c r="H65422" s="6"/>
      <c r="I65422" s="6"/>
      <c r="J65422" s="6"/>
      <c r="K65422" s="6"/>
      <c r="L65422" s="6"/>
      <c r="M65422" s="6"/>
      <c r="N65422" s="6"/>
      <c r="O65422" s="6"/>
      <c r="P65422" s="6"/>
      <c r="Q65422" s="6"/>
      <c r="R65422" s="6"/>
      <c r="S65422" s="6"/>
      <c r="T65422" s="6"/>
      <c r="U65422" s="6"/>
      <c r="V65422" s="6"/>
      <c r="W65422" s="6"/>
      <c r="X65422" s="6"/>
      <c r="Y65422" s="6"/>
      <c r="Z65422" s="6"/>
      <c r="AA65422" s="6"/>
      <c r="AB65422" s="6"/>
      <c r="AC65422" s="6"/>
      <c r="AD65422" s="6"/>
      <c r="AE65422" s="6"/>
      <c r="AF65422" s="6"/>
      <c r="AG65422" s="6"/>
      <c r="AH65422" s="6"/>
      <c r="AI65422" s="6"/>
      <c r="AJ65422" s="6"/>
      <c r="AK65422" s="6"/>
      <c r="AL65422" s="6"/>
      <c r="AM65422" s="6"/>
    </row>
    <row r="65423" spans="2:39" ht="9.9499999999999993" hidden="1" customHeight="1" x14ac:dyDescent="0.2">
      <c r="B65423" s="6"/>
      <c r="C65423" s="6"/>
      <c r="D65423" s="6"/>
      <c r="E65423" s="6"/>
      <c r="F65423" s="6"/>
      <c r="G65423" s="6"/>
      <c r="H65423" s="6"/>
      <c r="I65423" s="6"/>
      <c r="J65423" s="6"/>
      <c r="K65423" s="6"/>
      <c r="L65423" s="6"/>
      <c r="M65423" s="6"/>
      <c r="N65423" s="6"/>
      <c r="O65423" s="6"/>
      <c r="P65423" s="6"/>
      <c r="Q65423" s="6"/>
      <c r="R65423" s="6"/>
      <c r="S65423" s="6"/>
      <c r="T65423" s="6"/>
      <c r="U65423" s="6"/>
      <c r="V65423" s="6"/>
      <c r="W65423" s="6"/>
      <c r="X65423" s="6"/>
      <c r="Y65423" s="6"/>
      <c r="Z65423" s="6"/>
      <c r="AA65423" s="6"/>
      <c r="AB65423" s="6"/>
      <c r="AC65423" s="6"/>
      <c r="AD65423" s="6"/>
      <c r="AE65423" s="6"/>
      <c r="AF65423" s="6"/>
      <c r="AG65423" s="6"/>
      <c r="AH65423" s="6"/>
      <c r="AI65423" s="6"/>
      <c r="AJ65423" s="6"/>
      <c r="AK65423" s="6"/>
      <c r="AL65423" s="6"/>
      <c r="AM65423" s="6"/>
    </row>
    <row r="65424" spans="2:39" ht="9.9499999999999993" hidden="1" customHeight="1" x14ac:dyDescent="0.2">
      <c r="B65424" s="6"/>
      <c r="C65424" s="6"/>
      <c r="D65424" s="6"/>
      <c r="E65424" s="6"/>
      <c r="F65424" s="6"/>
      <c r="G65424" s="6"/>
      <c r="H65424" s="6"/>
      <c r="I65424" s="6"/>
      <c r="J65424" s="6"/>
      <c r="K65424" s="6"/>
      <c r="L65424" s="6"/>
      <c r="M65424" s="6"/>
      <c r="N65424" s="6"/>
      <c r="O65424" s="6"/>
      <c r="P65424" s="6"/>
      <c r="Q65424" s="6"/>
      <c r="R65424" s="6"/>
      <c r="S65424" s="6"/>
      <c r="T65424" s="6"/>
      <c r="U65424" s="6"/>
      <c r="V65424" s="6"/>
      <c r="W65424" s="6"/>
      <c r="X65424" s="6"/>
      <c r="Y65424" s="6"/>
      <c r="Z65424" s="6"/>
      <c r="AA65424" s="6"/>
      <c r="AB65424" s="6"/>
      <c r="AC65424" s="6"/>
      <c r="AD65424" s="6"/>
      <c r="AE65424" s="6"/>
      <c r="AF65424" s="6"/>
      <c r="AG65424" s="6"/>
      <c r="AH65424" s="6"/>
      <c r="AI65424" s="6"/>
      <c r="AJ65424" s="6"/>
      <c r="AK65424" s="6"/>
      <c r="AL65424" s="6"/>
      <c r="AM65424" s="6"/>
    </row>
    <row r="65425" spans="2:39" ht="9.9499999999999993" hidden="1" customHeight="1" x14ac:dyDescent="0.2">
      <c r="B65425" s="6"/>
      <c r="C65425" s="6"/>
      <c r="D65425" s="6"/>
      <c r="E65425" s="6"/>
      <c r="F65425" s="6"/>
      <c r="G65425" s="6"/>
      <c r="H65425" s="6"/>
      <c r="I65425" s="6"/>
      <c r="J65425" s="6"/>
      <c r="K65425" s="6"/>
      <c r="L65425" s="6"/>
      <c r="M65425" s="6"/>
      <c r="N65425" s="6"/>
      <c r="O65425" s="6"/>
      <c r="P65425" s="6"/>
      <c r="Q65425" s="6"/>
      <c r="R65425" s="6"/>
      <c r="S65425" s="6"/>
      <c r="T65425" s="6"/>
      <c r="U65425" s="6"/>
      <c r="V65425" s="6"/>
      <c r="W65425" s="6"/>
      <c r="X65425" s="6"/>
      <c r="Y65425" s="6"/>
      <c r="Z65425" s="6"/>
      <c r="AA65425" s="6"/>
      <c r="AB65425" s="6"/>
      <c r="AC65425" s="6"/>
      <c r="AD65425" s="6"/>
      <c r="AE65425" s="6"/>
      <c r="AF65425" s="6"/>
      <c r="AG65425" s="6"/>
      <c r="AH65425" s="6"/>
      <c r="AI65425" s="6"/>
      <c r="AJ65425" s="6"/>
      <c r="AK65425" s="6"/>
      <c r="AL65425" s="6"/>
      <c r="AM65425" s="6"/>
    </row>
    <row r="65426" spans="2:39" ht="9.9499999999999993" hidden="1" customHeight="1" x14ac:dyDescent="0.2">
      <c r="B65426" s="6"/>
      <c r="C65426" s="6"/>
      <c r="D65426" s="6"/>
      <c r="E65426" s="6"/>
      <c r="F65426" s="6"/>
      <c r="G65426" s="6"/>
      <c r="H65426" s="6"/>
      <c r="I65426" s="6"/>
      <c r="J65426" s="6"/>
      <c r="K65426" s="6"/>
      <c r="L65426" s="6"/>
      <c r="M65426" s="6"/>
      <c r="N65426" s="6"/>
      <c r="O65426" s="6"/>
      <c r="P65426" s="6"/>
      <c r="Q65426" s="6"/>
      <c r="R65426" s="6"/>
      <c r="S65426" s="6"/>
      <c r="T65426" s="6"/>
      <c r="U65426" s="6"/>
      <c r="V65426" s="6"/>
      <c r="W65426" s="6"/>
      <c r="X65426" s="6"/>
      <c r="Y65426" s="6"/>
      <c r="Z65426" s="6"/>
      <c r="AA65426" s="6"/>
      <c r="AB65426" s="6"/>
      <c r="AC65426" s="6"/>
      <c r="AD65426" s="6"/>
      <c r="AE65426" s="6"/>
      <c r="AF65426" s="6"/>
      <c r="AG65426" s="6"/>
      <c r="AH65426" s="6"/>
      <c r="AI65426" s="6"/>
      <c r="AJ65426" s="6"/>
      <c r="AK65426" s="6"/>
      <c r="AL65426" s="6"/>
      <c r="AM65426" s="6"/>
    </row>
    <row r="65427" spans="2:39" ht="9.9499999999999993" hidden="1" customHeight="1" x14ac:dyDescent="0.2">
      <c r="B65427" s="6"/>
      <c r="C65427" s="6"/>
      <c r="D65427" s="6"/>
      <c r="E65427" s="6"/>
      <c r="F65427" s="6"/>
      <c r="G65427" s="6"/>
      <c r="H65427" s="6"/>
      <c r="I65427" s="6"/>
      <c r="J65427" s="6"/>
      <c r="K65427" s="6"/>
      <c r="L65427" s="6"/>
      <c r="M65427" s="6"/>
      <c r="N65427" s="6"/>
      <c r="O65427" s="6"/>
      <c r="P65427" s="6"/>
      <c r="Q65427" s="6"/>
      <c r="R65427" s="6"/>
      <c r="S65427" s="6"/>
      <c r="T65427" s="6"/>
      <c r="U65427" s="6"/>
      <c r="V65427" s="6"/>
      <c r="W65427" s="6"/>
      <c r="X65427" s="6"/>
      <c r="Y65427" s="6"/>
      <c r="Z65427" s="6"/>
      <c r="AA65427" s="6"/>
      <c r="AB65427" s="6"/>
      <c r="AC65427" s="6"/>
      <c r="AD65427" s="6"/>
      <c r="AE65427" s="6"/>
      <c r="AF65427" s="6"/>
      <c r="AG65427" s="6"/>
      <c r="AH65427" s="6"/>
      <c r="AI65427" s="6"/>
      <c r="AJ65427" s="6"/>
      <c r="AK65427" s="6"/>
      <c r="AL65427" s="6"/>
      <c r="AM65427" s="6"/>
    </row>
    <row r="65428" spans="2:39" ht="9.9499999999999993" hidden="1" customHeight="1" x14ac:dyDescent="0.2">
      <c r="B65428" s="6"/>
      <c r="C65428" s="6"/>
      <c r="D65428" s="6"/>
      <c r="E65428" s="6"/>
      <c r="F65428" s="6"/>
      <c r="G65428" s="6"/>
      <c r="H65428" s="6"/>
      <c r="I65428" s="6"/>
      <c r="J65428" s="6"/>
      <c r="K65428" s="6"/>
      <c r="L65428" s="6"/>
      <c r="M65428" s="6"/>
      <c r="N65428" s="6"/>
      <c r="O65428" s="6"/>
      <c r="P65428" s="6"/>
      <c r="Q65428" s="6"/>
      <c r="R65428" s="6"/>
      <c r="S65428" s="6"/>
      <c r="T65428" s="6"/>
      <c r="U65428" s="6"/>
      <c r="V65428" s="6"/>
      <c r="W65428" s="6"/>
      <c r="X65428" s="6"/>
      <c r="Y65428" s="6"/>
      <c r="Z65428" s="6"/>
      <c r="AA65428" s="6"/>
      <c r="AB65428" s="6"/>
      <c r="AC65428" s="6"/>
      <c r="AD65428" s="6"/>
      <c r="AE65428" s="6"/>
      <c r="AF65428" s="6"/>
      <c r="AG65428" s="6"/>
      <c r="AH65428" s="6"/>
      <c r="AI65428" s="6"/>
      <c r="AJ65428" s="6"/>
      <c r="AK65428" s="6"/>
      <c r="AL65428" s="6"/>
      <c r="AM65428" s="6"/>
    </row>
    <row r="65429" spans="2:39" ht="9.9499999999999993" hidden="1" customHeight="1" x14ac:dyDescent="0.2">
      <c r="B65429" s="6"/>
      <c r="C65429" s="6"/>
      <c r="D65429" s="6"/>
      <c r="E65429" s="6"/>
      <c r="F65429" s="6"/>
      <c r="G65429" s="6"/>
      <c r="H65429" s="6"/>
      <c r="I65429" s="6"/>
      <c r="J65429" s="6"/>
      <c r="K65429" s="6"/>
      <c r="L65429" s="6"/>
      <c r="M65429" s="6"/>
      <c r="N65429" s="6"/>
      <c r="O65429" s="6"/>
      <c r="P65429" s="6"/>
      <c r="Q65429" s="6"/>
      <c r="R65429" s="6"/>
      <c r="S65429" s="6"/>
      <c r="T65429" s="6"/>
      <c r="U65429" s="6"/>
      <c r="V65429" s="6"/>
      <c r="W65429" s="6"/>
      <c r="X65429" s="6"/>
      <c r="Y65429" s="6"/>
      <c r="Z65429" s="6"/>
      <c r="AA65429" s="6"/>
      <c r="AB65429" s="6"/>
      <c r="AC65429" s="6"/>
      <c r="AD65429" s="6"/>
      <c r="AE65429" s="6"/>
      <c r="AF65429" s="6"/>
      <c r="AG65429" s="6"/>
      <c r="AH65429" s="6"/>
      <c r="AI65429" s="6"/>
      <c r="AJ65429" s="6"/>
      <c r="AK65429" s="6"/>
      <c r="AL65429" s="6"/>
      <c r="AM65429" s="6"/>
    </row>
    <row r="65430" spans="2:39" ht="9.9499999999999993" hidden="1" customHeight="1" x14ac:dyDescent="0.2">
      <c r="B65430" s="6"/>
      <c r="C65430" s="6"/>
      <c r="D65430" s="6"/>
      <c r="E65430" s="6"/>
      <c r="F65430" s="6"/>
      <c r="G65430" s="6"/>
      <c r="H65430" s="6"/>
      <c r="I65430" s="6"/>
      <c r="J65430" s="6"/>
      <c r="K65430" s="6"/>
      <c r="L65430" s="6"/>
      <c r="M65430" s="6"/>
      <c r="N65430" s="6"/>
      <c r="O65430" s="6"/>
      <c r="P65430" s="6"/>
      <c r="Q65430" s="6"/>
      <c r="R65430" s="6"/>
      <c r="S65430" s="6"/>
      <c r="T65430" s="6"/>
      <c r="U65430" s="6"/>
      <c r="V65430" s="6"/>
      <c r="W65430" s="6"/>
      <c r="X65430" s="6"/>
      <c r="Y65430" s="6"/>
      <c r="Z65430" s="6"/>
      <c r="AA65430" s="6"/>
      <c r="AB65430" s="6"/>
      <c r="AC65430" s="6"/>
      <c r="AD65430" s="6"/>
      <c r="AE65430" s="6"/>
      <c r="AF65430" s="6"/>
      <c r="AG65430" s="6"/>
      <c r="AH65430" s="6"/>
      <c r="AI65430" s="6"/>
      <c r="AJ65430" s="6"/>
      <c r="AK65430" s="6"/>
      <c r="AL65430" s="6"/>
      <c r="AM65430" s="6"/>
    </row>
    <row r="65431" spans="2:39" ht="9.9499999999999993" hidden="1" customHeight="1" x14ac:dyDescent="0.2">
      <c r="B65431" s="6"/>
      <c r="C65431" s="6"/>
      <c r="D65431" s="6"/>
      <c r="E65431" s="6"/>
      <c r="F65431" s="6"/>
      <c r="G65431" s="6"/>
      <c r="H65431" s="6"/>
      <c r="I65431" s="6"/>
      <c r="J65431" s="6"/>
      <c r="K65431" s="6"/>
      <c r="L65431" s="6"/>
      <c r="M65431" s="6"/>
      <c r="N65431" s="6"/>
      <c r="O65431" s="6"/>
      <c r="P65431" s="6"/>
      <c r="Q65431" s="6"/>
      <c r="R65431" s="6"/>
      <c r="S65431" s="6"/>
      <c r="T65431" s="6"/>
      <c r="U65431" s="6"/>
      <c r="V65431" s="6"/>
      <c r="W65431" s="6"/>
      <c r="X65431" s="6"/>
      <c r="Y65431" s="6"/>
      <c r="Z65431" s="6"/>
      <c r="AA65431" s="6"/>
      <c r="AB65431" s="6"/>
      <c r="AC65431" s="6"/>
      <c r="AD65431" s="6"/>
      <c r="AE65431" s="6"/>
      <c r="AF65431" s="6"/>
      <c r="AG65431" s="6"/>
      <c r="AH65431" s="6"/>
      <c r="AI65431" s="6"/>
      <c r="AJ65431" s="6"/>
      <c r="AK65431" s="6"/>
      <c r="AL65431" s="6"/>
      <c r="AM65431" s="6"/>
    </row>
    <row r="65432" spans="2:39" ht="9.9499999999999993" hidden="1" customHeight="1" x14ac:dyDescent="0.2">
      <c r="B65432" s="6"/>
      <c r="C65432" s="6"/>
      <c r="D65432" s="6"/>
      <c r="E65432" s="6"/>
      <c r="F65432" s="6"/>
      <c r="G65432" s="6"/>
      <c r="H65432" s="6"/>
      <c r="I65432" s="6"/>
      <c r="J65432" s="6"/>
      <c r="K65432" s="6"/>
      <c r="L65432" s="6"/>
      <c r="M65432" s="6"/>
      <c r="N65432" s="6"/>
      <c r="O65432" s="6"/>
      <c r="P65432" s="6"/>
      <c r="Q65432" s="6"/>
      <c r="R65432" s="6"/>
      <c r="S65432" s="6"/>
      <c r="T65432" s="6"/>
      <c r="U65432" s="6"/>
      <c r="V65432" s="6"/>
      <c r="W65432" s="6"/>
      <c r="X65432" s="6"/>
      <c r="Y65432" s="6"/>
      <c r="Z65432" s="6"/>
      <c r="AA65432" s="6"/>
      <c r="AB65432" s="6"/>
      <c r="AC65432" s="6"/>
      <c r="AD65432" s="6"/>
      <c r="AE65432" s="6"/>
      <c r="AF65432" s="6"/>
      <c r="AG65432" s="6"/>
      <c r="AH65432" s="6"/>
      <c r="AI65432" s="6"/>
      <c r="AJ65432" s="6"/>
      <c r="AK65432" s="6"/>
      <c r="AL65432" s="6"/>
      <c r="AM65432" s="6"/>
    </row>
    <row r="65433" spans="2:39" ht="9.9499999999999993" hidden="1" customHeight="1" x14ac:dyDescent="0.2">
      <c r="B65433" s="6"/>
      <c r="C65433" s="6"/>
      <c r="D65433" s="6"/>
      <c r="E65433" s="6"/>
      <c r="F65433" s="6"/>
      <c r="G65433" s="6"/>
      <c r="H65433" s="6"/>
      <c r="I65433" s="6"/>
      <c r="J65433" s="6"/>
      <c r="K65433" s="6"/>
      <c r="L65433" s="6"/>
      <c r="M65433" s="6"/>
      <c r="N65433" s="6"/>
      <c r="O65433" s="6"/>
      <c r="P65433" s="6"/>
      <c r="Q65433" s="6"/>
      <c r="R65433" s="6"/>
      <c r="S65433" s="6"/>
      <c r="T65433" s="6"/>
      <c r="U65433" s="6"/>
      <c r="V65433" s="6"/>
      <c r="W65433" s="6"/>
      <c r="X65433" s="6"/>
      <c r="Y65433" s="6"/>
      <c r="Z65433" s="6"/>
      <c r="AA65433" s="6"/>
      <c r="AB65433" s="6"/>
      <c r="AC65433" s="6"/>
      <c r="AD65433" s="6"/>
      <c r="AE65433" s="6"/>
      <c r="AF65433" s="6"/>
      <c r="AG65433" s="6"/>
      <c r="AH65433" s="6"/>
      <c r="AI65433" s="6"/>
      <c r="AJ65433" s="6"/>
      <c r="AK65433" s="6"/>
      <c r="AL65433" s="6"/>
      <c r="AM65433" s="6"/>
    </row>
    <row r="65434" spans="2:39" ht="9.9499999999999993" hidden="1" customHeight="1" x14ac:dyDescent="0.2">
      <c r="B65434" s="6"/>
      <c r="C65434" s="6"/>
      <c r="D65434" s="6"/>
      <c r="E65434" s="6"/>
      <c r="F65434" s="6"/>
      <c r="G65434" s="6"/>
      <c r="H65434" s="6"/>
      <c r="I65434" s="6"/>
      <c r="J65434" s="6"/>
      <c r="K65434" s="6"/>
      <c r="L65434" s="6"/>
      <c r="M65434" s="6"/>
      <c r="N65434" s="6"/>
      <c r="O65434" s="6"/>
      <c r="P65434" s="6"/>
      <c r="Q65434" s="6"/>
      <c r="R65434" s="6"/>
      <c r="S65434" s="6"/>
      <c r="T65434" s="6"/>
      <c r="U65434" s="6"/>
      <c r="V65434" s="6"/>
      <c r="W65434" s="6"/>
      <c r="X65434" s="6"/>
      <c r="Y65434" s="6"/>
      <c r="Z65434" s="6"/>
      <c r="AA65434" s="6"/>
      <c r="AB65434" s="6"/>
      <c r="AC65434" s="6"/>
      <c r="AD65434" s="6"/>
      <c r="AE65434" s="6"/>
      <c r="AF65434" s="6"/>
      <c r="AG65434" s="6"/>
      <c r="AH65434" s="6"/>
      <c r="AI65434" s="6"/>
      <c r="AJ65434" s="6"/>
      <c r="AK65434" s="6"/>
      <c r="AL65434" s="6"/>
      <c r="AM65434" s="6"/>
    </row>
    <row r="65435" spans="2:39" ht="9.9499999999999993" hidden="1" customHeight="1" x14ac:dyDescent="0.2">
      <c r="B65435" s="6"/>
      <c r="C65435" s="6"/>
      <c r="D65435" s="6"/>
      <c r="E65435" s="6"/>
      <c r="F65435" s="6"/>
      <c r="G65435" s="6"/>
      <c r="H65435" s="6"/>
      <c r="I65435" s="6"/>
      <c r="J65435" s="6"/>
      <c r="K65435" s="6"/>
      <c r="L65435" s="6"/>
      <c r="M65435" s="6"/>
      <c r="N65435" s="6"/>
      <c r="O65435" s="6"/>
      <c r="P65435" s="6"/>
      <c r="Q65435" s="6"/>
      <c r="R65435" s="6"/>
      <c r="S65435" s="6"/>
      <c r="T65435" s="6"/>
      <c r="U65435" s="6"/>
      <c r="V65435" s="6"/>
      <c r="W65435" s="6"/>
      <c r="X65435" s="6"/>
      <c r="Y65435" s="6"/>
      <c r="Z65435" s="6"/>
      <c r="AA65435" s="6"/>
      <c r="AB65435" s="6"/>
      <c r="AC65435" s="6"/>
      <c r="AD65435" s="6"/>
      <c r="AE65435" s="6"/>
      <c r="AF65435" s="6"/>
      <c r="AG65435" s="6"/>
      <c r="AH65435" s="6"/>
      <c r="AI65435" s="6"/>
      <c r="AJ65435" s="6"/>
      <c r="AK65435" s="6"/>
      <c r="AL65435" s="6"/>
      <c r="AM65435" s="6"/>
    </row>
    <row r="65436" spans="2:39" ht="9.9499999999999993" hidden="1" customHeight="1" x14ac:dyDescent="0.2">
      <c r="B65436" s="6"/>
      <c r="C65436" s="6"/>
      <c r="D65436" s="6"/>
      <c r="E65436" s="6"/>
      <c r="F65436" s="6"/>
      <c r="G65436" s="6"/>
      <c r="H65436" s="6"/>
      <c r="I65436" s="6"/>
      <c r="J65436" s="6"/>
      <c r="K65436" s="6"/>
      <c r="L65436" s="6"/>
      <c r="M65436" s="6"/>
      <c r="N65436" s="6"/>
      <c r="O65436" s="6"/>
      <c r="P65436" s="6"/>
      <c r="Q65436" s="6"/>
      <c r="R65436" s="6"/>
      <c r="S65436" s="6"/>
      <c r="T65436" s="6"/>
      <c r="U65436" s="6"/>
      <c r="V65436" s="6"/>
      <c r="W65436" s="6"/>
      <c r="X65436" s="6"/>
      <c r="Y65436" s="6"/>
      <c r="Z65436" s="6"/>
      <c r="AA65436" s="6"/>
      <c r="AB65436" s="6"/>
      <c r="AC65436" s="6"/>
      <c r="AD65436" s="6"/>
      <c r="AE65436" s="6"/>
      <c r="AF65436" s="6"/>
      <c r="AG65436" s="6"/>
      <c r="AH65436" s="6"/>
      <c r="AI65436" s="6"/>
      <c r="AJ65436" s="6"/>
      <c r="AK65436" s="6"/>
      <c r="AL65436" s="6"/>
      <c r="AM65436" s="6"/>
    </row>
    <row r="65437" spans="2:39" ht="9.9499999999999993" hidden="1" customHeight="1" x14ac:dyDescent="0.2">
      <c r="B65437" s="6"/>
      <c r="C65437" s="6"/>
      <c r="D65437" s="6"/>
      <c r="E65437" s="6"/>
      <c r="F65437" s="6"/>
      <c r="G65437" s="6"/>
      <c r="H65437" s="6"/>
      <c r="I65437" s="6"/>
      <c r="J65437" s="6"/>
      <c r="K65437" s="6"/>
      <c r="L65437" s="6"/>
      <c r="M65437" s="6"/>
      <c r="N65437" s="6"/>
      <c r="O65437" s="6"/>
      <c r="P65437" s="6"/>
      <c r="Q65437" s="6"/>
      <c r="R65437" s="6"/>
      <c r="S65437" s="6"/>
      <c r="T65437" s="6"/>
      <c r="U65437" s="6"/>
      <c r="V65437" s="6"/>
      <c r="W65437" s="6"/>
      <c r="X65437" s="6"/>
      <c r="Y65437" s="6"/>
      <c r="Z65437" s="6"/>
      <c r="AA65437" s="6"/>
      <c r="AB65437" s="6"/>
      <c r="AC65437" s="6"/>
      <c r="AD65437" s="6"/>
      <c r="AE65437" s="6"/>
      <c r="AF65437" s="6"/>
      <c r="AG65437" s="6"/>
      <c r="AH65437" s="6"/>
      <c r="AI65437" s="6"/>
      <c r="AJ65437" s="6"/>
      <c r="AK65437" s="6"/>
      <c r="AL65437" s="6"/>
      <c r="AM65437" s="6"/>
    </row>
    <row r="65438" spans="2:39" ht="9.9499999999999993" hidden="1" customHeight="1" x14ac:dyDescent="0.2">
      <c r="B65438" s="6"/>
      <c r="C65438" s="6"/>
      <c r="D65438" s="6"/>
      <c r="E65438" s="6"/>
      <c r="F65438" s="6"/>
      <c r="G65438" s="6"/>
      <c r="H65438" s="6"/>
      <c r="I65438" s="6"/>
      <c r="J65438" s="6"/>
      <c r="K65438" s="6"/>
      <c r="L65438" s="6"/>
      <c r="M65438" s="6"/>
      <c r="N65438" s="6"/>
      <c r="O65438" s="6"/>
      <c r="P65438" s="6"/>
      <c r="Q65438" s="6"/>
      <c r="R65438" s="6"/>
      <c r="S65438" s="6"/>
      <c r="T65438" s="6"/>
      <c r="U65438" s="6"/>
      <c r="V65438" s="6"/>
      <c r="W65438" s="6"/>
      <c r="X65438" s="6"/>
      <c r="Y65438" s="6"/>
      <c r="Z65438" s="6"/>
      <c r="AA65438" s="6"/>
      <c r="AB65438" s="6"/>
      <c r="AC65438" s="6"/>
      <c r="AD65438" s="6"/>
      <c r="AE65438" s="6"/>
      <c r="AF65438" s="6"/>
      <c r="AG65438" s="6"/>
      <c r="AH65438" s="6"/>
      <c r="AI65438" s="6"/>
      <c r="AJ65438" s="6"/>
      <c r="AK65438" s="6"/>
      <c r="AL65438" s="6"/>
      <c r="AM65438" s="6"/>
    </row>
    <row r="65439" spans="2:39" ht="9.9499999999999993" hidden="1" customHeight="1" x14ac:dyDescent="0.2">
      <c r="B65439" s="6"/>
      <c r="C65439" s="6"/>
      <c r="D65439" s="6"/>
      <c r="E65439" s="6"/>
      <c r="F65439" s="6"/>
      <c r="G65439" s="6"/>
      <c r="H65439" s="6"/>
      <c r="I65439" s="6"/>
      <c r="J65439" s="6"/>
      <c r="K65439" s="6"/>
      <c r="L65439" s="6"/>
      <c r="M65439" s="6"/>
      <c r="N65439" s="6"/>
      <c r="O65439" s="6"/>
      <c r="P65439" s="6"/>
      <c r="Q65439" s="6"/>
      <c r="R65439" s="6"/>
      <c r="S65439" s="6"/>
      <c r="T65439" s="6"/>
      <c r="U65439" s="6"/>
      <c r="V65439" s="6"/>
      <c r="W65439" s="6"/>
      <c r="X65439" s="6"/>
      <c r="Y65439" s="6"/>
      <c r="Z65439" s="6"/>
      <c r="AA65439" s="6"/>
      <c r="AB65439" s="6"/>
      <c r="AC65439" s="6"/>
      <c r="AD65439" s="6"/>
      <c r="AE65439" s="6"/>
      <c r="AF65439" s="6"/>
      <c r="AG65439" s="6"/>
      <c r="AH65439" s="6"/>
      <c r="AI65439" s="6"/>
      <c r="AJ65439" s="6"/>
      <c r="AK65439" s="6"/>
      <c r="AL65439" s="6"/>
      <c r="AM65439" s="6"/>
    </row>
    <row r="65440" spans="2:39" ht="9.9499999999999993" hidden="1" customHeight="1" x14ac:dyDescent="0.2">
      <c r="B65440" s="6"/>
      <c r="C65440" s="6"/>
      <c r="D65440" s="6"/>
      <c r="E65440" s="6"/>
      <c r="F65440" s="6"/>
      <c r="G65440" s="6"/>
      <c r="H65440" s="6"/>
      <c r="I65440" s="6"/>
      <c r="J65440" s="6"/>
      <c r="K65440" s="6"/>
      <c r="L65440" s="6"/>
      <c r="M65440" s="6"/>
      <c r="N65440" s="6"/>
      <c r="O65440" s="6"/>
      <c r="P65440" s="6"/>
      <c r="Q65440" s="6"/>
      <c r="R65440" s="6"/>
      <c r="S65440" s="6"/>
      <c r="T65440" s="6"/>
      <c r="U65440" s="6"/>
      <c r="V65440" s="6"/>
      <c r="W65440" s="6"/>
      <c r="X65440" s="6"/>
      <c r="Y65440" s="6"/>
      <c r="Z65440" s="6"/>
      <c r="AA65440" s="6"/>
      <c r="AB65440" s="6"/>
      <c r="AC65440" s="6"/>
      <c r="AD65440" s="6"/>
      <c r="AE65440" s="6"/>
      <c r="AF65440" s="6"/>
      <c r="AG65440" s="6"/>
      <c r="AH65440" s="6"/>
      <c r="AI65440" s="6"/>
      <c r="AJ65440" s="6"/>
      <c r="AK65440" s="6"/>
      <c r="AL65440" s="6"/>
      <c r="AM65440" s="6"/>
    </row>
    <row r="65441" spans="2:39" ht="9.9499999999999993" hidden="1" customHeight="1" x14ac:dyDescent="0.2">
      <c r="B65441" s="6"/>
      <c r="C65441" s="6"/>
      <c r="D65441" s="6"/>
      <c r="E65441" s="6"/>
      <c r="F65441" s="6"/>
      <c r="G65441" s="6"/>
      <c r="H65441" s="6"/>
      <c r="I65441" s="6"/>
      <c r="J65441" s="6"/>
      <c r="K65441" s="6"/>
      <c r="L65441" s="6"/>
      <c r="M65441" s="6"/>
      <c r="N65441" s="6"/>
      <c r="O65441" s="6"/>
      <c r="P65441" s="6"/>
      <c r="Q65441" s="6"/>
      <c r="R65441" s="6"/>
      <c r="S65441" s="6"/>
      <c r="T65441" s="6"/>
      <c r="U65441" s="6"/>
      <c r="V65441" s="6"/>
      <c r="W65441" s="6"/>
      <c r="X65441" s="6"/>
      <c r="Y65441" s="6"/>
      <c r="Z65441" s="6"/>
      <c r="AA65441" s="6"/>
      <c r="AB65441" s="6"/>
      <c r="AC65441" s="6"/>
      <c r="AD65441" s="6"/>
      <c r="AE65441" s="6"/>
      <c r="AF65441" s="6"/>
      <c r="AG65441" s="6"/>
      <c r="AH65441" s="6"/>
      <c r="AI65441" s="6"/>
      <c r="AJ65441" s="6"/>
      <c r="AK65441" s="6"/>
      <c r="AL65441" s="6"/>
      <c r="AM65441" s="6"/>
    </row>
    <row r="65442" spans="2:39" ht="9.9499999999999993" hidden="1" customHeight="1" x14ac:dyDescent="0.2">
      <c r="B65442" s="6"/>
      <c r="C65442" s="6"/>
      <c r="D65442" s="6"/>
      <c r="E65442" s="6"/>
      <c r="F65442" s="6"/>
      <c r="G65442" s="6"/>
      <c r="H65442" s="6"/>
      <c r="I65442" s="6"/>
      <c r="J65442" s="6"/>
      <c r="K65442" s="6"/>
      <c r="L65442" s="6"/>
      <c r="M65442" s="6"/>
      <c r="N65442" s="6"/>
      <c r="O65442" s="6"/>
      <c r="P65442" s="6"/>
      <c r="Q65442" s="6"/>
      <c r="R65442" s="6"/>
      <c r="S65442" s="6"/>
      <c r="T65442" s="6"/>
      <c r="U65442" s="6"/>
      <c r="V65442" s="6"/>
      <c r="W65442" s="6"/>
      <c r="X65442" s="6"/>
      <c r="Y65442" s="6"/>
      <c r="Z65442" s="6"/>
      <c r="AA65442" s="6"/>
      <c r="AB65442" s="6"/>
      <c r="AC65442" s="6"/>
      <c r="AD65442" s="6"/>
      <c r="AE65442" s="6"/>
      <c r="AF65442" s="6"/>
      <c r="AG65442" s="6"/>
      <c r="AH65442" s="6"/>
      <c r="AI65442" s="6"/>
      <c r="AJ65442" s="6"/>
      <c r="AK65442" s="6"/>
      <c r="AL65442" s="6"/>
      <c r="AM65442" s="6"/>
    </row>
    <row r="65443" spans="2:39" ht="9.9499999999999993" hidden="1" customHeight="1" x14ac:dyDescent="0.2">
      <c r="B65443" s="6"/>
      <c r="C65443" s="6"/>
      <c r="D65443" s="6"/>
      <c r="E65443" s="6"/>
      <c r="F65443" s="6"/>
      <c r="G65443" s="6"/>
      <c r="H65443" s="6"/>
      <c r="I65443" s="6"/>
      <c r="J65443" s="6"/>
      <c r="K65443" s="6"/>
      <c r="L65443" s="6"/>
      <c r="M65443" s="6"/>
      <c r="N65443" s="6"/>
      <c r="O65443" s="6"/>
      <c r="P65443" s="6"/>
      <c r="Q65443" s="6"/>
      <c r="R65443" s="6"/>
      <c r="S65443" s="6"/>
      <c r="T65443" s="6"/>
      <c r="U65443" s="6"/>
      <c r="V65443" s="6"/>
      <c r="W65443" s="6"/>
      <c r="X65443" s="6"/>
      <c r="Y65443" s="6"/>
      <c r="Z65443" s="6"/>
      <c r="AA65443" s="6"/>
      <c r="AB65443" s="6"/>
      <c r="AC65443" s="6"/>
      <c r="AD65443" s="6"/>
      <c r="AE65443" s="6"/>
      <c r="AF65443" s="6"/>
      <c r="AG65443" s="6"/>
      <c r="AH65443" s="6"/>
      <c r="AI65443" s="6"/>
      <c r="AJ65443" s="6"/>
      <c r="AK65443" s="6"/>
      <c r="AL65443" s="6"/>
      <c r="AM65443" s="6"/>
    </row>
    <row r="65444" spans="2:39" ht="9.9499999999999993" hidden="1" customHeight="1" x14ac:dyDescent="0.2">
      <c r="B65444" s="6"/>
      <c r="C65444" s="6"/>
      <c r="D65444" s="6"/>
      <c r="E65444" s="6"/>
      <c r="F65444" s="6"/>
      <c r="G65444" s="6"/>
      <c r="H65444" s="6"/>
      <c r="I65444" s="6"/>
      <c r="J65444" s="6"/>
      <c r="K65444" s="6"/>
      <c r="L65444" s="6"/>
      <c r="M65444" s="6"/>
      <c r="N65444" s="6"/>
      <c r="O65444" s="6"/>
      <c r="P65444" s="6"/>
      <c r="Q65444" s="6"/>
      <c r="R65444" s="6"/>
      <c r="S65444" s="6"/>
      <c r="T65444" s="6"/>
      <c r="U65444" s="6"/>
      <c r="V65444" s="6"/>
      <c r="W65444" s="6"/>
      <c r="X65444" s="6"/>
      <c r="Y65444" s="6"/>
      <c r="Z65444" s="6"/>
      <c r="AA65444" s="6"/>
      <c r="AB65444" s="6"/>
      <c r="AC65444" s="6"/>
      <c r="AD65444" s="6"/>
      <c r="AE65444" s="6"/>
      <c r="AF65444" s="6"/>
      <c r="AG65444" s="6"/>
      <c r="AH65444" s="6"/>
      <c r="AI65444" s="6"/>
      <c r="AJ65444" s="6"/>
      <c r="AK65444" s="6"/>
      <c r="AL65444" s="6"/>
      <c r="AM65444" s="6"/>
    </row>
    <row r="65445" spans="2:39" ht="9.9499999999999993" hidden="1" customHeight="1" x14ac:dyDescent="0.2">
      <c r="B65445" s="6"/>
      <c r="C65445" s="6"/>
      <c r="D65445" s="6"/>
      <c r="E65445" s="6"/>
      <c r="F65445" s="6"/>
      <c r="G65445" s="6"/>
      <c r="H65445" s="6"/>
      <c r="I65445" s="6"/>
      <c r="J65445" s="6"/>
      <c r="K65445" s="6"/>
      <c r="L65445" s="6"/>
      <c r="M65445" s="6"/>
      <c r="N65445" s="6"/>
      <c r="O65445" s="6"/>
      <c r="P65445" s="6"/>
      <c r="Q65445" s="6"/>
      <c r="R65445" s="6"/>
      <c r="S65445" s="6"/>
      <c r="T65445" s="6"/>
      <c r="U65445" s="6"/>
      <c r="V65445" s="6"/>
      <c r="W65445" s="6"/>
      <c r="X65445" s="6"/>
      <c r="Y65445" s="6"/>
      <c r="Z65445" s="6"/>
      <c r="AA65445" s="6"/>
      <c r="AB65445" s="6"/>
      <c r="AC65445" s="6"/>
      <c r="AD65445" s="6"/>
      <c r="AE65445" s="6"/>
      <c r="AF65445" s="6"/>
      <c r="AG65445" s="6"/>
      <c r="AH65445" s="6"/>
      <c r="AI65445" s="6"/>
      <c r="AJ65445" s="6"/>
      <c r="AK65445" s="6"/>
      <c r="AL65445" s="6"/>
      <c r="AM65445" s="6"/>
    </row>
    <row r="65446" spans="2:39" ht="9.9499999999999993" hidden="1" customHeight="1" x14ac:dyDescent="0.2">
      <c r="B65446" s="6"/>
      <c r="C65446" s="6"/>
      <c r="D65446" s="6"/>
      <c r="E65446" s="6"/>
      <c r="F65446" s="6"/>
      <c r="G65446" s="6"/>
      <c r="H65446" s="6"/>
      <c r="I65446" s="6"/>
      <c r="J65446" s="6"/>
      <c r="K65446" s="6"/>
      <c r="L65446" s="6"/>
      <c r="M65446" s="6"/>
      <c r="N65446" s="6"/>
      <c r="O65446" s="6"/>
      <c r="P65446" s="6"/>
      <c r="Q65446" s="6"/>
      <c r="R65446" s="6"/>
      <c r="S65446" s="6"/>
      <c r="T65446" s="6"/>
      <c r="U65446" s="6"/>
      <c r="V65446" s="6"/>
      <c r="W65446" s="6"/>
      <c r="X65446" s="6"/>
      <c r="Y65446" s="6"/>
      <c r="Z65446" s="6"/>
      <c r="AA65446" s="6"/>
      <c r="AB65446" s="6"/>
      <c r="AC65446" s="6"/>
      <c r="AD65446" s="6"/>
      <c r="AE65446" s="6"/>
      <c r="AF65446" s="6"/>
      <c r="AG65446" s="6"/>
      <c r="AH65446" s="6"/>
      <c r="AI65446" s="6"/>
      <c r="AJ65446" s="6"/>
      <c r="AK65446" s="6"/>
      <c r="AL65446" s="6"/>
      <c r="AM65446" s="6"/>
    </row>
    <row r="65447" spans="2:39" ht="9.9499999999999993" hidden="1" customHeight="1" x14ac:dyDescent="0.2">
      <c r="B65447" s="6"/>
      <c r="C65447" s="6"/>
      <c r="D65447" s="6"/>
      <c r="E65447" s="6"/>
      <c r="F65447" s="6"/>
      <c r="G65447" s="6"/>
      <c r="H65447" s="6"/>
      <c r="I65447" s="6"/>
      <c r="J65447" s="6"/>
      <c r="K65447" s="6"/>
      <c r="L65447" s="6"/>
      <c r="M65447" s="6"/>
      <c r="N65447" s="6"/>
      <c r="O65447" s="6"/>
      <c r="P65447" s="6"/>
      <c r="Q65447" s="6"/>
      <c r="R65447" s="6"/>
      <c r="S65447" s="6"/>
      <c r="T65447" s="6"/>
      <c r="U65447" s="6"/>
      <c r="V65447" s="6"/>
      <c r="W65447" s="6"/>
      <c r="X65447" s="6"/>
      <c r="Y65447" s="6"/>
      <c r="Z65447" s="6"/>
      <c r="AA65447" s="6"/>
      <c r="AB65447" s="6"/>
      <c r="AC65447" s="6"/>
      <c r="AD65447" s="6"/>
      <c r="AE65447" s="6"/>
      <c r="AF65447" s="6"/>
      <c r="AG65447" s="6"/>
      <c r="AH65447" s="6"/>
      <c r="AI65447" s="6"/>
      <c r="AJ65447" s="6"/>
      <c r="AK65447" s="6"/>
      <c r="AL65447" s="6"/>
      <c r="AM65447" s="6"/>
    </row>
    <row r="65448" spans="2:39" ht="9.9499999999999993" hidden="1" customHeight="1" x14ac:dyDescent="0.2">
      <c r="B65448" s="6"/>
      <c r="C65448" s="6"/>
      <c r="D65448" s="6"/>
      <c r="E65448" s="6"/>
      <c r="F65448" s="6"/>
      <c r="G65448" s="6"/>
      <c r="H65448" s="6"/>
      <c r="I65448" s="6"/>
      <c r="J65448" s="6"/>
      <c r="K65448" s="6"/>
      <c r="L65448" s="6"/>
      <c r="M65448" s="6"/>
      <c r="N65448" s="6"/>
      <c r="O65448" s="6"/>
      <c r="P65448" s="6"/>
      <c r="Q65448" s="6"/>
      <c r="R65448" s="6"/>
      <c r="S65448" s="6"/>
      <c r="T65448" s="6"/>
      <c r="U65448" s="6"/>
      <c r="V65448" s="6"/>
      <c r="W65448" s="6"/>
      <c r="X65448" s="6"/>
      <c r="Y65448" s="6"/>
      <c r="Z65448" s="6"/>
      <c r="AA65448" s="6"/>
      <c r="AB65448" s="6"/>
      <c r="AC65448" s="6"/>
      <c r="AD65448" s="6"/>
      <c r="AE65448" s="6"/>
      <c r="AF65448" s="6"/>
      <c r="AG65448" s="6"/>
      <c r="AH65448" s="6"/>
      <c r="AI65448" s="6"/>
      <c r="AJ65448" s="6"/>
      <c r="AK65448" s="6"/>
      <c r="AL65448" s="6"/>
      <c r="AM65448" s="6"/>
    </row>
    <row r="65449" spans="2:39" ht="9.9499999999999993" hidden="1" customHeight="1" x14ac:dyDescent="0.2">
      <c r="B65449" s="6"/>
      <c r="C65449" s="6"/>
      <c r="D65449" s="6"/>
      <c r="E65449" s="6"/>
      <c r="F65449" s="6"/>
      <c r="G65449" s="6"/>
      <c r="H65449" s="6"/>
      <c r="I65449" s="6"/>
      <c r="J65449" s="6"/>
      <c r="K65449" s="6"/>
      <c r="L65449" s="6"/>
      <c r="M65449" s="6"/>
      <c r="N65449" s="6"/>
      <c r="O65449" s="6"/>
      <c r="P65449" s="6"/>
      <c r="Q65449" s="6"/>
      <c r="R65449" s="6"/>
      <c r="S65449" s="6"/>
      <c r="T65449" s="6"/>
      <c r="U65449" s="6"/>
      <c r="V65449" s="6"/>
      <c r="W65449" s="6"/>
      <c r="X65449" s="6"/>
      <c r="Y65449" s="6"/>
      <c r="Z65449" s="6"/>
      <c r="AA65449" s="6"/>
      <c r="AB65449" s="6"/>
      <c r="AC65449" s="6"/>
      <c r="AD65449" s="6"/>
      <c r="AE65449" s="6"/>
      <c r="AF65449" s="6"/>
      <c r="AG65449" s="6"/>
      <c r="AH65449" s="6"/>
      <c r="AI65449" s="6"/>
      <c r="AJ65449" s="6"/>
      <c r="AK65449" s="6"/>
      <c r="AL65449" s="6"/>
      <c r="AM65449" s="6"/>
    </row>
    <row r="65450" spans="2:39" ht="9.9499999999999993" hidden="1" customHeight="1" x14ac:dyDescent="0.2">
      <c r="B65450" s="6"/>
      <c r="C65450" s="6"/>
      <c r="D65450" s="6"/>
      <c r="E65450" s="6"/>
      <c r="F65450" s="6"/>
      <c r="G65450" s="6"/>
      <c r="H65450" s="6"/>
      <c r="I65450" s="6"/>
      <c r="J65450" s="6"/>
      <c r="K65450" s="6"/>
      <c r="L65450" s="6"/>
      <c r="M65450" s="6"/>
      <c r="N65450" s="6"/>
      <c r="O65450" s="6"/>
      <c r="P65450" s="6"/>
      <c r="Q65450" s="6"/>
      <c r="R65450" s="6"/>
      <c r="S65450" s="6"/>
      <c r="T65450" s="6"/>
      <c r="U65450" s="6"/>
      <c r="V65450" s="6"/>
      <c r="W65450" s="6"/>
      <c r="X65450" s="6"/>
      <c r="Y65450" s="6"/>
      <c r="Z65450" s="6"/>
      <c r="AA65450" s="6"/>
      <c r="AB65450" s="6"/>
      <c r="AC65450" s="6"/>
      <c r="AD65450" s="6"/>
      <c r="AE65450" s="6"/>
      <c r="AF65450" s="6"/>
      <c r="AG65450" s="6"/>
      <c r="AH65450" s="6"/>
      <c r="AI65450" s="6"/>
      <c r="AJ65450" s="6"/>
      <c r="AK65450" s="6"/>
      <c r="AL65450" s="6"/>
      <c r="AM65450" s="6"/>
    </row>
    <row r="65451" spans="2:39" ht="9.9499999999999993" hidden="1" customHeight="1" x14ac:dyDescent="0.2">
      <c r="B65451" s="6"/>
      <c r="C65451" s="6"/>
      <c r="D65451" s="6"/>
      <c r="E65451" s="6"/>
      <c r="F65451" s="6"/>
      <c r="G65451" s="6"/>
      <c r="H65451" s="6"/>
      <c r="I65451" s="6"/>
      <c r="J65451" s="6"/>
      <c r="K65451" s="6"/>
      <c r="L65451" s="6"/>
      <c r="M65451" s="6"/>
      <c r="N65451" s="6"/>
      <c r="O65451" s="6"/>
      <c r="P65451" s="6"/>
      <c r="Q65451" s="6"/>
      <c r="R65451" s="6"/>
      <c r="S65451" s="6"/>
      <c r="T65451" s="6"/>
      <c r="U65451" s="6"/>
      <c r="V65451" s="6"/>
      <c r="W65451" s="6"/>
      <c r="X65451" s="6"/>
      <c r="Y65451" s="6"/>
      <c r="Z65451" s="6"/>
      <c r="AA65451" s="6"/>
      <c r="AB65451" s="6"/>
      <c r="AC65451" s="6"/>
      <c r="AD65451" s="6"/>
      <c r="AE65451" s="6"/>
      <c r="AF65451" s="6"/>
      <c r="AG65451" s="6"/>
      <c r="AH65451" s="6"/>
      <c r="AI65451" s="6"/>
      <c r="AJ65451" s="6"/>
      <c r="AK65451" s="6"/>
      <c r="AL65451" s="6"/>
      <c r="AM65451" s="6"/>
    </row>
    <row r="65452" spans="2:39" ht="9.9499999999999993" hidden="1" customHeight="1" x14ac:dyDescent="0.2">
      <c r="B65452" s="6"/>
      <c r="C65452" s="6"/>
      <c r="D65452" s="6"/>
      <c r="E65452" s="6"/>
      <c r="F65452" s="6"/>
      <c r="G65452" s="6"/>
      <c r="H65452" s="6"/>
      <c r="I65452" s="6"/>
      <c r="J65452" s="6"/>
      <c r="K65452" s="6"/>
      <c r="L65452" s="6"/>
      <c r="M65452" s="6"/>
      <c r="N65452" s="6"/>
      <c r="O65452" s="6"/>
      <c r="P65452" s="6"/>
      <c r="Q65452" s="6"/>
      <c r="R65452" s="6"/>
      <c r="S65452" s="6"/>
      <c r="T65452" s="6"/>
      <c r="U65452" s="6"/>
      <c r="V65452" s="6"/>
      <c r="W65452" s="6"/>
      <c r="X65452" s="6"/>
      <c r="Y65452" s="6"/>
      <c r="Z65452" s="6"/>
      <c r="AA65452" s="6"/>
      <c r="AB65452" s="6"/>
      <c r="AC65452" s="6"/>
      <c r="AD65452" s="6"/>
      <c r="AE65452" s="6"/>
      <c r="AF65452" s="6"/>
      <c r="AG65452" s="6"/>
      <c r="AH65452" s="6"/>
      <c r="AI65452" s="6"/>
      <c r="AJ65452" s="6"/>
      <c r="AK65452" s="6"/>
      <c r="AL65452" s="6"/>
      <c r="AM65452" s="6"/>
    </row>
    <row r="65453" spans="2:39" ht="9.9499999999999993" hidden="1" customHeight="1" x14ac:dyDescent="0.2">
      <c r="B65453" s="6"/>
      <c r="C65453" s="6"/>
      <c r="D65453" s="6"/>
      <c r="E65453" s="6"/>
      <c r="F65453" s="6"/>
      <c r="G65453" s="6"/>
      <c r="H65453" s="6"/>
      <c r="I65453" s="6"/>
      <c r="J65453" s="6"/>
      <c r="K65453" s="6"/>
      <c r="L65453" s="6"/>
      <c r="M65453" s="6"/>
      <c r="N65453" s="6"/>
      <c r="O65453" s="6"/>
      <c r="P65453" s="6"/>
      <c r="Q65453" s="6"/>
      <c r="R65453" s="6"/>
      <c r="S65453" s="6"/>
      <c r="T65453" s="6"/>
      <c r="U65453" s="6"/>
      <c r="V65453" s="6"/>
      <c r="W65453" s="6"/>
      <c r="X65453" s="6"/>
      <c r="Y65453" s="6"/>
      <c r="Z65453" s="6"/>
      <c r="AA65453" s="6"/>
      <c r="AB65453" s="6"/>
      <c r="AC65453" s="6"/>
      <c r="AD65453" s="6"/>
      <c r="AE65453" s="6"/>
      <c r="AF65453" s="6"/>
      <c r="AG65453" s="6"/>
      <c r="AH65453" s="6"/>
      <c r="AI65453" s="6"/>
      <c r="AJ65453" s="6"/>
      <c r="AK65453" s="6"/>
      <c r="AL65453" s="6"/>
      <c r="AM65453" s="6"/>
    </row>
    <row r="65454" spans="2:39" ht="9.9499999999999993" hidden="1" customHeight="1" x14ac:dyDescent="0.2">
      <c r="B65454" s="6"/>
      <c r="C65454" s="6"/>
      <c r="D65454" s="6"/>
      <c r="E65454" s="6"/>
      <c r="F65454" s="6"/>
      <c r="G65454" s="6"/>
      <c r="H65454" s="6"/>
      <c r="I65454" s="6"/>
      <c r="J65454" s="6"/>
      <c r="K65454" s="6"/>
      <c r="L65454" s="6"/>
      <c r="M65454" s="6"/>
      <c r="N65454" s="6"/>
      <c r="O65454" s="6"/>
      <c r="P65454" s="6"/>
      <c r="Q65454" s="6"/>
      <c r="R65454" s="6"/>
      <c r="S65454" s="6"/>
      <c r="T65454" s="6"/>
      <c r="U65454" s="6"/>
      <c r="V65454" s="6"/>
      <c r="W65454" s="6"/>
      <c r="X65454" s="6"/>
      <c r="Y65454" s="6"/>
      <c r="Z65454" s="6"/>
      <c r="AA65454" s="6"/>
      <c r="AB65454" s="6"/>
      <c r="AC65454" s="6"/>
      <c r="AD65454" s="6"/>
      <c r="AE65454" s="6"/>
      <c r="AF65454" s="6"/>
      <c r="AG65454" s="6"/>
      <c r="AH65454" s="6"/>
      <c r="AI65454" s="6"/>
      <c r="AJ65454" s="6"/>
      <c r="AK65454" s="6"/>
      <c r="AL65454" s="6"/>
      <c r="AM65454" s="6"/>
    </row>
    <row r="65455" spans="2:39" ht="9.9499999999999993" hidden="1" customHeight="1" x14ac:dyDescent="0.2">
      <c r="B65455" s="6"/>
      <c r="C65455" s="6"/>
      <c r="D65455" s="6"/>
      <c r="E65455" s="6"/>
      <c r="F65455" s="6"/>
      <c r="G65455" s="6"/>
      <c r="H65455" s="6"/>
      <c r="I65455" s="6"/>
      <c r="J65455" s="6"/>
      <c r="K65455" s="6"/>
      <c r="L65455" s="6"/>
      <c r="M65455" s="6"/>
      <c r="N65455" s="6"/>
      <c r="O65455" s="6"/>
      <c r="P65455" s="6"/>
      <c r="Q65455" s="6"/>
      <c r="R65455" s="6"/>
      <c r="S65455" s="6"/>
      <c r="T65455" s="6"/>
      <c r="U65455" s="6"/>
      <c r="V65455" s="6"/>
      <c r="W65455" s="6"/>
      <c r="X65455" s="6"/>
      <c r="Y65455" s="6"/>
      <c r="Z65455" s="6"/>
      <c r="AA65455" s="6"/>
      <c r="AB65455" s="6"/>
      <c r="AC65455" s="6"/>
      <c r="AD65455" s="6"/>
      <c r="AE65455" s="6"/>
      <c r="AF65455" s="6"/>
      <c r="AG65455" s="6"/>
      <c r="AH65455" s="6"/>
      <c r="AI65455" s="6"/>
      <c r="AJ65455" s="6"/>
      <c r="AK65455" s="6"/>
      <c r="AL65455" s="6"/>
      <c r="AM65455" s="6"/>
    </row>
    <row r="65456" spans="2:39" ht="9.9499999999999993" hidden="1" customHeight="1" x14ac:dyDescent="0.2">
      <c r="B65456" s="6"/>
      <c r="C65456" s="6"/>
      <c r="D65456" s="6"/>
      <c r="E65456" s="6"/>
      <c r="F65456" s="6"/>
      <c r="G65456" s="6"/>
      <c r="H65456" s="6"/>
      <c r="I65456" s="6"/>
      <c r="J65456" s="6"/>
      <c r="K65456" s="6"/>
      <c r="L65456" s="6"/>
      <c r="M65456" s="6"/>
      <c r="N65456" s="6"/>
      <c r="O65456" s="6"/>
      <c r="P65456" s="6"/>
      <c r="Q65456" s="6"/>
      <c r="R65456" s="6"/>
      <c r="S65456" s="6"/>
      <c r="T65456" s="6"/>
      <c r="U65456" s="6"/>
      <c r="V65456" s="6"/>
      <c r="W65456" s="6"/>
      <c r="X65456" s="6"/>
      <c r="Y65456" s="6"/>
      <c r="Z65456" s="6"/>
      <c r="AA65456" s="6"/>
      <c r="AB65456" s="6"/>
      <c r="AC65456" s="6"/>
      <c r="AD65456" s="6"/>
      <c r="AE65456" s="6"/>
      <c r="AF65456" s="6"/>
      <c r="AG65456" s="6"/>
      <c r="AH65456" s="6"/>
      <c r="AI65456" s="6"/>
      <c r="AJ65456" s="6"/>
      <c r="AK65456" s="6"/>
      <c r="AL65456" s="6"/>
      <c r="AM65456" s="6"/>
    </row>
    <row r="65457" spans="2:39" ht="9.9499999999999993" hidden="1" customHeight="1" x14ac:dyDescent="0.2">
      <c r="B65457" s="6"/>
      <c r="C65457" s="6"/>
      <c r="D65457" s="6"/>
      <c r="E65457" s="6"/>
      <c r="F65457" s="6"/>
      <c r="G65457" s="6"/>
      <c r="H65457" s="6"/>
      <c r="I65457" s="6"/>
      <c r="J65457" s="6"/>
      <c r="K65457" s="6"/>
      <c r="L65457" s="6"/>
      <c r="M65457" s="6"/>
      <c r="N65457" s="6"/>
      <c r="O65457" s="6"/>
      <c r="P65457" s="6"/>
      <c r="Q65457" s="6"/>
      <c r="R65457" s="6"/>
      <c r="S65457" s="6"/>
      <c r="T65457" s="6"/>
      <c r="U65457" s="6"/>
      <c r="V65457" s="6"/>
      <c r="W65457" s="6"/>
      <c r="X65457" s="6"/>
      <c r="Y65457" s="6"/>
      <c r="Z65457" s="6"/>
      <c r="AA65457" s="6"/>
      <c r="AB65457" s="6"/>
      <c r="AC65457" s="6"/>
      <c r="AD65457" s="6"/>
      <c r="AE65457" s="6"/>
      <c r="AF65457" s="6"/>
      <c r="AG65457" s="6"/>
      <c r="AH65457" s="6"/>
      <c r="AI65457" s="6"/>
      <c r="AJ65457" s="6"/>
      <c r="AK65457" s="6"/>
      <c r="AL65457" s="6"/>
      <c r="AM65457" s="6"/>
    </row>
    <row r="65458" spans="2:39" ht="9.9499999999999993" hidden="1" customHeight="1" x14ac:dyDescent="0.2">
      <c r="B65458" s="6"/>
      <c r="C65458" s="6"/>
      <c r="D65458" s="6"/>
      <c r="E65458" s="6"/>
      <c r="F65458" s="6"/>
      <c r="G65458" s="6"/>
      <c r="H65458" s="6"/>
      <c r="I65458" s="6"/>
      <c r="J65458" s="6"/>
      <c r="K65458" s="6"/>
      <c r="L65458" s="6"/>
      <c r="M65458" s="6"/>
      <c r="N65458" s="6"/>
      <c r="O65458" s="6"/>
      <c r="P65458" s="6"/>
      <c r="Q65458" s="6"/>
      <c r="R65458" s="6"/>
      <c r="S65458" s="6"/>
      <c r="T65458" s="6"/>
      <c r="U65458" s="6"/>
      <c r="V65458" s="6"/>
      <c r="W65458" s="6"/>
      <c r="X65458" s="6"/>
      <c r="Y65458" s="6"/>
      <c r="Z65458" s="6"/>
      <c r="AA65458" s="6"/>
      <c r="AB65458" s="6"/>
      <c r="AC65458" s="6"/>
      <c r="AD65458" s="6"/>
      <c r="AE65458" s="6"/>
      <c r="AF65458" s="6"/>
      <c r="AG65458" s="6"/>
      <c r="AH65458" s="6"/>
      <c r="AI65458" s="6"/>
      <c r="AJ65458" s="6"/>
      <c r="AK65458" s="6"/>
      <c r="AL65458" s="6"/>
      <c r="AM65458" s="6"/>
    </row>
    <row r="65459" spans="2:39" ht="9.9499999999999993" hidden="1" customHeight="1" x14ac:dyDescent="0.2">
      <c r="B65459" s="6"/>
      <c r="C65459" s="6"/>
      <c r="D65459" s="6"/>
      <c r="E65459" s="6"/>
      <c r="F65459" s="6"/>
      <c r="G65459" s="6"/>
      <c r="H65459" s="6"/>
      <c r="I65459" s="6"/>
      <c r="J65459" s="6"/>
      <c r="K65459" s="6"/>
      <c r="L65459" s="6"/>
      <c r="M65459" s="6"/>
      <c r="N65459" s="6"/>
      <c r="O65459" s="6"/>
      <c r="P65459" s="6"/>
      <c r="Q65459" s="6"/>
      <c r="R65459" s="6"/>
      <c r="S65459" s="6"/>
      <c r="T65459" s="6"/>
      <c r="U65459" s="6"/>
      <c r="V65459" s="6"/>
      <c r="W65459" s="6"/>
      <c r="X65459" s="6"/>
      <c r="Y65459" s="6"/>
      <c r="Z65459" s="6"/>
      <c r="AA65459" s="6"/>
      <c r="AB65459" s="6"/>
      <c r="AC65459" s="6"/>
      <c r="AD65459" s="6"/>
      <c r="AE65459" s="6"/>
      <c r="AF65459" s="6"/>
      <c r="AG65459" s="6"/>
      <c r="AH65459" s="6"/>
      <c r="AI65459" s="6"/>
      <c r="AJ65459" s="6"/>
      <c r="AK65459" s="6"/>
      <c r="AL65459" s="6"/>
      <c r="AM65459" s="6"/>
    </row>
    <row r="65460" spans="2:39" ht="9.9499999999999993" hidden="1" customHeight="1" x14ac:dyDescent="0.2">
      <c r="B65460" s="6"/>
      <c r="C65460" s="6"/>
      <c r="D65460" s="6"/>
      <c r="E65460" s="6"/>
      <c r="F65460" s="6"/>
      <c r="G65460" s="6"/>
      <c r="H65460" s="6"/>
      <c r="I65460" s="6"/>
      <c r="J65460" s="6"/>
      <c r="K65460" s="6"/>
      <c r="L65460" s="6"/>
      <c r="M65460" s="6"/>
      <c r="N65460" s="6"/>
      <c r="O65460" s="6"/>
      <c r="P65460" s="6"/>
      <c r="Q65460" s="6"/>
      <c r="R65460" s="6"/>
      <c r="S65460" s="6"/>
      <c r="T65460" s="6"/>
      <c r="U65460" s="6"/>
      <c r="V65460" s="6"/>
      <c r="W65460" s="6"/>
      <c r="X65460" s="6"/>
      <c r="Y65460" s="6"/>
      <c r="Z65460" s="6"/>
      <c r="AA65460" s="6"/>
      <c r="AB65460" s="6"/>
      <c r="AC65460" s="6"/>
      <c r="AD65460" s="6"/>
      <c r="AE65460" s="6"/>
      <c r="AF65460" s="6"/>
      <c r="AG65460" s="6"/>
      <c r="AH65460" s="6"/>
      <c r="AI65460" s="6"/>
      <c r="AJ65460" s="6"/>
      <c r="AK65460" s="6"/>
      <c r="AL65460" s="6"/>
      <c r="AM65460" s="6"/>
    </row>
    <row r="65461" spans="2:39" ht="9.9499999999999993" hidden="1" customHeight="1" x14ac:dyDescent="0.2">
      <c r="B65461" s="6"/>
      <c r="C65461" s="6"/>
      <c r="D65461" s="6"/>
      <c r="E65461" s="6"/>
      <c r="F65461" s="6"/>
      <c r="G65461" s="6"/>
      <c r="H65461" s="6"/>
      <c r="I65461" s="6"/>
      <c r="J65461" s="6"/>
      <c r="K65461" s="6"/>
      <c r="L65461" s="6"/>
      <c r="M65461" s="6"/>
      <c r="N65461" s="6"/>
      <c r="O65461" s="6"/>
      <c r="P65461" s="6"/>
      <c r="Q65461" s="6"/>
      <c r="R65461" s="6"/>
      <c r="S65461" s="6"/>
      <c r="T65461" s="6"/>
      <c r="U65461" s="6"/>
      <c r="V65461" s="6"/>
      <c r="W65461" s="6"/>
      <c r="X65461" s="6"/>
      <c r="Y65461" s="6"/>
      <c r="Z65461" s="6"/>
      <c r="AA65461" s="6"/>
      <c r="AB65461" s="6"/>
      <c r="AC65461" s="6"/>
      <c r="AD65461" s="6"/>
      <c r="AE65461" s="6"/>
      <c r="AF65461" s="6"/>
      <c r="AG65461" s="6"/>
      <c r="AH65461" s="6"/>
      <c r="AI65461" s="6"/>
      <c r="AJ65461" s="6"/>
      <c r="AK65461" s="6"/>
      <c r="AL65461" s="6"/>
      <c r="AM65461" s="6"/>
    </row>
    <row r="65462" spans="2:39" ht="9.9499999999999993" hidden="1" customHeight="1" x14ac:dyDescent="0.2">
      <c r="B65462" s="6"/>
      <c r="C65462" s="6"/>
      <c r="D65462" s="6"/>
      <c r="E65462" s="6"/>
      <c r="F65462" s="6"/>
      <c r="G65462" s="6"/>
      <c r="H65462" s="6"/>
      <c r="I65462" s="6"/>
      <c r="J65462" s="6"/>
      <c r="K65462" s="6"/>
      <c r="L65462" s="6"/>
      <c r="M65462" s="6"/>
      <c r="N65462" s="6"/>
      <c r="O65462" s="6"/>
      <c r="P65462" s="6"/>
      <c r="Q65462" s="6"/>
      <c r="R65462" s="6"/>
      <c r="S65462" s="6"/>
      <c r="T65462" s="6"/>
      <c r="U65462" s="6"/>
      <c r="V65462" s="6"/>
      <c r="W65462" s="6"/>
      <c r="X65462" s="6"/>
      <c r="Y65462" s="6"/>
      <c r="Z65462" s="6"/>
      <c r="AA65462" s="6"/>
      <c r="AB65462" s="6"/>
      <c r="AC65462" s="6"/>
      <c r="AD65462" s="6"/>
      <c r="AE65462" s="6"/>
      <c r="AF65462" s="6"/>
      <c r="AG65462" s="6"/>
      <c r="AH65462" s="6"/>
      <c r="AI65462" s="6"/>
      <c r="AJ65462" s="6"/>
      <c r="AK65462" s="6"/>
      <c r="AL65462" s="6"/>
      <c r="AM65462" s="6"/>
    </row>
    <row r="65463" spans="2:39" ht="9.9499999999999993" hidden="1" customHeight="1" x14ac:dyDescent="0.2">
      <c r="B65463" s="6"/>
      <c r="C65463" s="6"/>
      <c r="D65463" s="6"/>
      <c r="E65463" s="6"/>
      <c r="F65463" s="6"/>
      <c r="G65463" s="6"/>
      <c r="H65463" s="6"/>
      <c r="I65463" s="6"/>
      <c r="J65463" s="6"/>
      <c r="K65463" s="6"/>
      <c r="L65463" s="6"/>
      <c r="M65463" s="6"/>
      <c r="N65463" s="6"/>
      <c r="O65463" s="6"/>
      <c r="P65463" s="6"/>
      <c r="Q65463" s="6"/>
      <c r="R65463" s="6"/>
      <c r="S65463" s="6"/>
      <c r="T65463" s="6"/>
      <c r="U65463" s="6"/>
      <c r="V65463" s="6"/>
      <c r="W65463" s="6"/>
      <c r="X65463" s="6"/>
      <c r="Y65463" s="6"/>
      <c r="Z65463" s="6"/>
      <c r="AA65463" s="6"/>
      <c r="AB65463" s="6"/>
      <c r="AC65463" s="6"/>
      <c r="AD65463" s="6"/>
      <c r="AE65463" s="6"/>
      <c r="AF65463" s="6"/>
      <c r="AG65463" s="6"/>
      <c r="AH65463" s="6"/>
      <c r="AI65463" s="6"/>
      <c r="AJ65463" s="6"/>
      <c r="AK65463" s="6"/>
      <c r="AL65463" s="6"/>
      <c r="AM65463" s="6"/>
    </row>
    <row r="65464" spans="2:39" ht="9.9499999999999993" hidden="1" customHeight="1" x14ac:dyDescent="0.2">
      <c r="B65464" s="6"/>
      <c r="C65464" s="6"/>
      <c r="D65464" s="6"/>
      <c r="E65464" s="6"/>
      <c r="F65464" s="6"/>
      <c r="G65464" s="6"/>
      <c r="H65464" s="6"/>
      <c r="I65464" s="6"/>
      <c r="J65464" s="6"/>
      <c r="K65464" s="6"/>
      <c r="L65464" s="6"/>
      <c r="M65464" s="6"/>
      <c r="N65464" s="6"/>
      <c r="O65464" s="6"/>
      <c r="P65464" s="6"/>
      <c r="Q65464" s="6"/>
      <c r="R65464" s="6"/>
      <c r="S65464" s="6"/>
      <c r="T65464" s="6"/>
      <c r="U65464" s="6"/>
      <c r="V65464" s="6"/>
      <c r="W65464" s="6"/>
      <c r="X65464" s="6"/>
      <c r="Y65464" s="6"/>
      <c r="Z65464" s="6"/>
      <c r="AA65464" s="6"/>
      <c r="AB65464" s="6"/>
      <c r="AC65464" s="6"/>
      <c r="AD65464" s="6"/>
      <c r="AE65464" s="6"/>
      <c r="AF65464" s="6"/>
      <c r="AG65464" s="6"/>
      <c r="AH65464" s="6"/>
      <c r="AI65464" s="6"/>
      <c r="AJ65464" s="6"/>
      <c r="AK65464" s="6"/>
      <c r="AL65464" s="6"/>
      <c r="AM65464" s="6"/>
    </row>
    <row r="65465" spans="2:39" ht="9.9499999999999993" hidden="1" customHeight="1" x14ac:dyDescent="0.2">
      <c r="B65465" s="6"/>
      <c r="C65465" s="6"/>
      <c r="D65465" s="6"/>
      <c r="E65465" s="6"/>
      <c r="F65465" s="6"/>
      <c r="G65465" s="6"/>
      <c r="H65465" s="6"/>
      <c r="I65465" s="6"/>
      <c r="J65465" s="6"/>
      <c r="K65465" s="6"/>
      <c r="L65465" s="6"/>
      <c r="M65465" s="6"/>
      <c r="N65465" s="6"/>
      <c r="O65465" s="6"/>
      <c r="P65465" s="6"/>
      <c r="Q65465" s="6"/>
      <c r="R65465" s="6"/>
      <c r="S65465" s="6"/>
      <c r="T65465" s="6"/>
      <c r="U65465" s="6"/>
      <c r="V65465" s="6"/>
      <c r="W65465" s="6"/>
      <c r="X65465" s="6"/>
      <c r="Y65465" s="6"/>
      <c r="Z65465" s="6"/>
      <c r="AA65465" s="6"/>
      <c r="AB65465" s="6"/>
      <c r="AC65465" s="6"/>
      <c r="AD65465" s="6"/>
      <c r="AE65465" s="6"/>
      <c r="AF65465" s="6"/>
      <c r="AG65465" s="6"/>
      <c r="AH65465" s="6"/>
      <c r="AI65465" s="6"/>
      <c r="AJ65465" s="6"/>
      <c r="AK65465" s="6"/>
      <c r="AL65465" s="6"/>
      <c r="AM65465" s="6"/>
    </row>
    <row r="65466" spans="2:39" ht="9.9499999999999993" hidden="1" customHeight="1" x14ac:dyDescent="0.2">
      <c r="B65466" s="6"/>
      <c r="C65466" s="6"/>
      <c r="D65466" s="6"/>
      <c r="E65466" s="6"/>
      <c r="F65466" s="6"/>
      <c r="G65466" s="6"/>
      <c r="H65466" s="6"/>
      <c r="I65466" s="6"/>
      <c r="J65466" s="6"/>
      <c r="K65466" s="6"/>
      <c r="L65466" s="6"/>
      <c r="M65466" s="6"/>
      <c r="N65466" s="6"/>
      <c r="O65466" s="6"/>
      <c r="P65466" s="6"/>
      <c r="Q65466" s="6"/>
      <c r="R65466" s="6"/>
      <c r="S65466" s="6"/>
      <c r="T65466" s="6"/>
      <c r="U65466" s="6"/>
      <c r="V65466" s="6"/>
      <c r="W65466" s="6"/>
      <c r="X65466" s="6"/>
      <c r="Y65466" s="6"/>
      <c r="Z65466" s="6"/>
      <c r="AA65466" s="6"/>
      <c r="AB65466" s="6"/>
      <c r="AC65466" s="6"/>
      <c r="AD65466" s="6"/>
      <c r="AE65466" s="6"/>
      <c r="AF65466" s="6"/>
      <c r="AG65466" s="6"/>
      <c r="AH65466" s="6"/>
      <c r="AI65466" s="6"/>
      <c r="AJ65466" s="6"/>
      <c r="AK65466" s="6"/>
      <c r="AL65466" s="6"/>
      <c r="AM65466" s="6"/>
    </row>
    <row r="65467" spans="2:39" ht="9.9499999999999993" hidden="1" customHeight="1" x14ac:dyDescent="0.2">
      <c r="B65467" s="6"/>
      <c r="C65467" s="6"/>
      <c r="D65467" s="6"/>
      <c r="E65467" s="6"/>
      <c r="F65467" s="6"/>
      <c r="G65467" s="6"/>
      <c r="H65467" s="6"/>
      <c r="I65467" s="6"/>
      <c r="J65467" s="6"/>
      <c r="K65467" s="6"/>
      <c r="L65467" s="6"/>
      <c r="M65467" s="6"/>
      <c r="N65467" s="6"/>
      <c r="O65467" s="6"/>
      <c r="P65467" s="6"/>
      <c r="Q65467" s="6"/>
      <c r="R65467" s="6"/>
      <c r="S65467" s="6"/>
      <c r="T65467" s="6"/>
      <c r="U65467" s="6"/>
      <c r="V65467" s="6"/>
      <c r="W65467" s="6"/>
      <c r="X65467" s="6"/>
      <c r="Y65467" s="6"/>
      <c r="Z65467" s="6"/>
      <c r="AA65467" s="6"/>
      <c r="AB65467" s="6"/>
      <c r="AC65467" s="6"/>
      <c r="AD65467" s="6"/>
      <c r="AE65467" s="6"/>
      <c r="AF65467" s="6"/>
      <c r="AG65467" s="6"/>
      <c r="AH65467" s="6"/>
      <c r="AI65467" s="6"/>
      <c r="AJ65467" s="6"/>
      <c r="AK65467" s="6"/>
      <c r="AL65467" s="6"/>
      <c r="AM65467" s="6"/>
    </row>
    <row r="65468" spans="2:39" ht="9.9499999999999993" hidden="1" customHeight="1" x14ac:dyDescent="0.2">
      <c r="B65468" s="6"/>
      <c r="C65468" s="6"/>
      <c r="D65468" s="6"/>
      <c r="E65468" s="6"/>
      <c r="F65468" s="6"/>
      <c r="G65468" s="6"/>
      <c r="H65468" s="6"/>
      <c r="I65468" s="6"/>
      <c r="J65468" s="6"/>
      <c r="K65468" s="6"/>
      <c r="L65468" s="6"/>
      <c r="M65468" s="6"/>
      <c r="N65468" s="6"/>
      <c r="O65468" s="6"/>
      <c r="P65468" s="6"/>
      <c r="Q65468" s="6"/>
      <c r="R65468" s="6"/>
      <c r="S65468" s="6"/>
      <c r="T65468" s="6"/>
      <c r="U65468" s="6"/>
      <c r="V65468" s="6"/>
      <c r="W65468" s="6"/>
      <c r="X65468" s="6"/>
      <c r="Y65468" s="6"/>
      <c r="Z65468" s="6"/>
      <c r="AA65468" s="6"/>
      <c r="AB65468" s="6"/>
      <c r="AC65468" s="6"/>
      <c r="AD65468" s="6"/>
      <c r="AE65468" s="6"/>
      <c r="AF65468" s="6"/>
      <c r="AG65468" s="6"/>
      <c r="AH65468" s="6"/>
      <c r="AI65468" s="6"/>
      <c r="AJ65468" s="6"/>
      <c r="AK65468" s="6"/>
      <c r="AL65468" s="6"/>
      <c r="AM65468" s="6"/>
    </row>
    <row r="65469" spans="2:39" ht="9.9499999999999993" hidden="1" customHeight="1" x14ac:dyDescent="0.2">
      <c r="B65469" s="6"/>
      <c r="C65469" s="6"/>
      <c r="D65469" s="6"/>
      <c r="E65469" s="6"/>
      <c r="F65469" s="6"/>
      <c r="G65469" s="6"/>
      <c r="H65469" s="6"/>
      <c r="I65469" s="6"/>
      <c r="J65469" s="6"/>
      <c r="K65469" s="6"/>
      <c r="L65469" s="6"/>
      <c r="M65469" s="6"/>
      <c r="N65469" s="6"/>
      <c r="O65469" s="6"/>
      <c r="P65469" s="6"/>
      <c r="Q65469" s="6"/>
      <c r="R65469" s="6"/>
      <c r="S65469" s="6"/>
      <c r="T65469" s="6"/>
      <c r="U65469" s="6"/>
      <c r="V65469" s="6"/>
      <c r="W65469" s="6"/>
      <c r="X65469" s="6"/>
      <c r="Y65469" s="6"/>
      <c r="Z65469" s="6"/>
      <c r="AA65469" s="6"/>
      <c r="AB65469" s="6"/>
      <c r="AC65469" s="6"/>
      <c r="AD65469" s="6"/>
      <c r="AE65469" s="6"/>
      <c r="AF65469" s="6"/>
      <c r="AG65469" s="6"/>
      <c r="AH65469" s="6"/>
      <c r="AI65469" s="6"/>
      <c r="AJ65469" s="6"/>
      <c r="AK65469" s="6"/>
      <c r="AL65469" s="6"/>
      <c r="AM65469" s="6"/>
    </row>
    <row r="65470" spans="2:39" ht="9.9499999999999993" hidden="1" customHeight="1" x14ac:dyDescent="0.2">
      <c r="B65470" s="6"/>
      <c r="C65470" s="6"/>
      <c r="D65470" s="6"/>
      <c r="E65470" s="6"/>
      <c r="F65470" s="6"/>
      <c r="G65470" s="6"/>
      <c r="H65470" s="6"/>
      <c r="I65470" s="6"/>
      <c r="J65470" s="6"/>
      <c r="K65470" s="6"/>
      <c r="L65470" s="6"/>
      <c r="M65470" s="6"/>
      <c r="N65470" s="6"/>
      <c r="O65470" s="6"/>
      <c r="P65470" s="6"/>
      <c r="Q65470" s="6"/>
      <c r="R65470" s="6"/>
      <c r="S65470" s="6"/>
      <c r="T65470" s="6"/>
      <c r="U65470" s="6"/>
      <c r="V65470" s="6"/>
      <c r="W65470" s="6"/>
      <c r="X65470" s="6"/>
      <c r="Y65470" s="6"/>
      <c r="Z65470" s="6"/>
      <c r="AA65470" s="6"/>
      <c r="AB65470" s="6"/>
      <c r="AC65470" s="6"/>
      <c r="AD65470" s="6"/>
      <c r="AE65470" s="6"/>
      <c r="AF65470" s="6"/>
      <c r="AG65470" s="6"/>
      <c r="AH65470" s="6"/>
      <c r="AI65470" s="6"/>
      <c r="AJ65470" s="6"/>
      <c r="AK65470" s="6"/>
      <c r="AL65470" s="6"/>
      <c r="AM65470" s="6"/>
    </row>
    <row r="65471" spans="2:39" ht="9.9499999999999993" hidden="1" customHeight="1" x14ac:dyDescent="0.2">
      <c r="B65471" s="6"/>
      <c r="C65471" s="6"/>
      <c r="D65471" s="6"/>
      <c r="E65471" s="6"/>
      <c r="F65471" s="6"/>
      <c r="G65471" s="6"/>
      <c r="H65471" s="6"/>
      <c r="I65471" s="6"/>
      <c r="J65471" s="6"/>
      <c r="K65471" s="6"/>
      <c r="L65471" s="6"/>
      <c r="M65471" s="6"/>
      <c r="N65471" s="6"/>
      <c r="O65471" s="6"/>
      <c r="P65471" s="6"/>
      <c r="Q65471" s="6"/>
      <c r="R65471" s="6"/>
      <c r="S65471" s="6"/>
      <c r="T65471" s="6"/>
      <c r="U65471" s="6"/>
      <c r="V65471" s="6"/>
      <c r="W65471" s="6"/>
      <c r="X65471" s="6"/>
      <c r="Y65471" s="6"/>
      <c r="Z65471" s="6"/>
      <c r="AA65471" s="6"/>
      <c r="AB65471" s="6"/>
      <c r="AC65471" s="6"/>
      <c r="AD65471" s="6"/>
      <c r="AE65471" s="6"/>
      <c r="AF65471" s="6"/>
      <c r="AG65471" s="6"/>
      <c r="AH65471" s="6"/>
      <c r="AI65471" s="6"/>
      <c r="AJ65471" s="6"/>
      <c r="AK65471" s="6"/>
      <c r="AL65471" s="6"/>
      <c r="AM65471" s="6"/>
    </row>
    <row r="65472" spans="2:39" ht="9.9499999999999993" hidden="1" customHeight="1" x14ac:dyDescent="0.2">
      <c r="B65472" s="6"/>
      <c r="C65472" s="6"/>
      <c r="D65472" s="6"/>
      <c r="E65472" s="6"/>
      <c r="F65472" s="6"/>
      <c r="G65472" s="6"/>
      <c r="H65472" s="6"/>
      <c r="I65472" s="6"/>
      <c r="J65472" s="6"/>
      <c r="K65472" s="6"/>
      <c r="L65472" s="6"/>
      <c r="M65472" s="6"/>
      <c r="N65472" s="6"/>
      <c r="O65472" s="6"/>
      <c r="P65472" s="6"/>
      <c r="Q65472" s="6"/>
      <c r="R65472" s="6"/>
      <c r="S65472" s="6"/>
      <c r="T65472" s="6"/>
      <c r="U65472" s="6"/>
      <c r="V65472" s="6"/>
      <c r="W65472" s="6"/>
      <c r="X65472" s="6"/>
      <c r="Y65472" s="6"/>
      <c r="Z65472" s="6"/>
      <c r="AA65472" s="6"/>
      <c r="AB65472" s="6"/>
      <c r="AC65472" s="6"/>
      <c r="AD65472" s="6"/>
      <c r="AE65472" s="6"/>
      <c r="AF65472" s="6"/>
      <c r="AG65472" s="6"/>
      <c r="AH65472" s="6"/>
      <c r="AI65472" s="6"/>
      <c r="AJ65472" s="6"/>
      <c r="AK65472" s="6"/>
      <c r="AL65472" s="6"/>
      <c r="AM65472" s="6"/>
    </row>
    <row r="65473" spans="2:39" ht="9.9499999999999993" hidden="1" customHeight="1" x14ac:dyDescent="0.2">
      <c r="B65473" s="6"/>
      <c r="C65473" s="6"/>
      <c r="D65473" s="6"/>
      <c r="E65473" s="6"/>
      <c r="F65473" s="6"/>
      <c r="G65473" s="6"/>
      <c r="H65473" s="6"/>
      <c r="I65473" s="6"/>
      <c r="J65473" s="6"/>
      <c r="K65473" s="6"/>
      <c r="L65473" s="6"/>
      <c r="M65473" s="6"/>
      <c r="N65473" s="6"/>
      <c r="O65473" s="6"/>
      <c r="P65473" s="6"/>
      <c r="Q65473" s="6"/>
      <c r="R65473" s="6"/>
      <c r="S65473" s="6"/>
      <c r="T65473" s="6"/>
      <c r="U65473" s="6"/>
      <c r="V65473" s="6"/>
      <c r="W65473" s="6"/>
      <c r="X65473" s="6"/>
      <c r="Y65473" s="6"/>
      <c r="Z65473" s="6"/>
      <c r="AA65473" s="6"/>
      <c r="AB65473" s="6"/>
      <c r="AC65473" s="6"/>
      <c r="AD65473" s="6"/>
      <c r="AE65473" s="6"/>
      <c r="AF65473" s="6"/>
      <c r="AG65473" s="6"/>
      <c r="AH65473" s="6"/>
      <c r="AI65473" s="6"/>
      <c r="AJ65473" s="6"/>
      <c r="AK65473" s="6"/>
      <c r="AL65473" s="6"/>
      <c r="AM65473" s="6"/>
    </row>
    <row r="65474" spans="2:39" ht="9.9499999999999993" hidden="1" customHeight="1" x14ac:dyDescent="0.2">
      <c r="B65474" s="6"/>
      <c r="C65474" s="6"/>
      <c r="D65474" s="6"/>
      <c r="E65474" s="6"/>
      <c r="F65474" s="6"/>
      <c r="G65474" s="6"/>
      <c r="H65474" s="6"/>
      <c r="I65474" s="6"/>
      <c r="J65474" s="6"/>
      <c r="K65474" s="6"/>
      <c r="L65474" s="6"/>
      <c r="M65474" s="6"/>
      <c r="N65474" s="6"/>
      <c r="O65474" s="6"/>
      <c r="P65474" s="6"/>
      <c r="Q65474" s="6"/>
      <c r="R65474" s="6"/>
      <c r="S65474" s="6"/>
      <c r="T65474" s="6"/>
      <c r="U65474" s="6"/>
      <c r="V65474" s="6"/>
      <c r="W65474" s="6"/>
      <c r="X65474" s="6"/>
      <c r="Y65474" s="6"/>
      <c r="Z65474" s="6"/>
      <c r="AA65474" s="6"/>
      <c r="AB65474" s="6"/>
      <c r="AC65474" s="6"/>
      <c r="AD65474" s="6"/>
      <c r="AE65474" s="6"/>
      <c r="AF65474" s="6"/>
      <c r="AG65474" s="6"/>
      <c r="AH65474" s="6"/>
      <c r="AI65474" s="6"/>
      <c r="AJ65474" s="6"/>
      <c r="AK65474" s="6"/>
      <c r="AL65474" s="6"/>
      <c r="AM65474" s="6"/>
    </row>
    <row r="65475" spans="2:39" ht="9.9499999999999993" hidden="1" customHeight="1" x14ac:dyDescent="0.2">
      <c r="B65475" s="6"/>
      <c r="C65475" s="6"/>
      <c r="D65475" s="6"/>
      <c r="E65475" s="6"/>
      <c r="F65475" s="6"/>
      <c r="G65475" s="6"/>
      <c r="H65475" s="6"/>
      <c r="I65475" s="6"/>
      <c r="J65475" s="6"/>
      <c r="K65475" s="6"/>
      <c r="L65475" s="6"/>
      <c r="M65475" s="6"/>
      <c r="N65475" s="6"/>
      <c r="O65475" s="6"/>
      <c r="P65475" s="6"/>
      <c r="Q65475" s="6"/>
      <c r="R65475" s="6"/>
      <c r="S65475" s="6"/>
      <c r="T65475" s="6"/>
      <c r="U65475" s="6"/>
      <c r="V65475" s="6"/>
      <c r="W65475" s="6"/>
      <c r="X65475" s="6"/>
      <c r="Y65475" s="6"/>
      <c r="Z65475" s="6"/>
      <c r="AA65475" s="6"/>
      <c r="AB65475" s="6"/>
      <c r="AC65475" s="6"/>
      <c r="AD65475" s="6"/>
      <c r="AE65475" s="6"/>
      <c r="AF65475" s="6"/>
      <c r="AG65475" s="6"/>
      <c r="AH65475" s="6"/>
      <c r="AI65475" s="6"/>
      <c r="AJ65475" s="6"/>
      <c r="AK65475" s="6"/>
      <c r="AL65475" s="6"/>
      <c r="AM65475" s="6"/>
    </row>
    <row r="65476" spans="2:39" ht="9.9499999999999993" hidden="1" customHeight="1" x14ac:dyDescent="0.2">
      <c r="B65476" s="6"/>
      <c r="C65476" s="6"/>
      <c r="D65476" s="6"/>
      <c r="E65476" s="6"/>
      <c r="F65476" s="6"/>
      <c r="G65476" s="6"/>
      <c r="H65476" s="6"/>
      <c r="I65476" s="6"/>
      <c r="J65476" s="6"/>
      <c r="K65476" s="6"/>
      <c r="L65476" s="6"/>
      <c r="M65476" s="6"/>
      <c r="N65476" s="6"/>
      <c r="O65476" s="6"/>
      <c r="P65476" s="6"/>
      <c r="Q65476" s="6"/>
      <c r="R65476" s="6"/>
      <c r="S65476" s="6"/>
      <c r="T65476" s="6"/>
      <c r="U65476" s="6"/>
      <c r="V65476" s="6"/>
      <c r="W65476" s="6"/>
      <c r="X65476" s="6"/>
      <c r="Y65476" s="6"/>
      <c r="Z65476" s="6"/>
      <c r="AA65476" s="6"/>
      <c r="AB65476" s="6"/>
      <c r="AC65476" s="6"/>
      <c r="AD65476" s="6"/>
      <c r="AE65476" s="6"/>
      <c r="AF65476" s="6"/>
      <c r="AG65476" s="6"/>
      <c r="AH65476" s="6"/>
      <c r="AI65476" s="6"/>
      <c r="AJ65476" s="6"/>
      <c r="AK65476" s="6"/>
      <c r="AL65476" s="6"/>
      <c r="AM65476" s="6"/>
    </row>
    <row r="65477" spans="2:39" ht="9.9499999999999993" hidden="1" customHeight="1" x14ac:dyDescent="0.2">
      <c r="B65477" s="6"/>
      <c r="C65477" s="6"/>
      <c r="D65477" s="6"/>
      <c r="E65477" s="6"/>
      <c r="F65477" s="6"/>
      <c r="G65477" s="6"/>
      <c r="H65477" s="6"/>
      <c r="I65477" s="6"/>
      <c r="J65477" s="6"/>
      <c r="K65477" s="6"/>
      <c r="L65477" s="6"/>
      <c r="M65477" s="6"/>
      <c r="N65477" s="6"/>
      <c r="O65477" s="6"/>
      <c r="P65477" s="6"/>
      <c r="Q65477" s="6"/>
      <c r="R65477" s="6"/>
      <c r="S65477" s="6"/>
      <c r="T65477" s="6"/>
      <c r="U65477" s="6"/>
      <c r="V65477" s="6"/>
      <c r="W65477" s="6"/>
      <c r="X65477" s="6"/>
      <c r="Y65477" s="6"/>
      <c r="Z65477" s="6"/>
      <c r="AA65477" s="6"/>
      <c r="AB65477" s="6"/>
      <c r="AC65477" s="6"/>
      <c r="AD65477" s="6"/>
      <c r="AE65477" s="6"/>
      <c r="AF65477" s="6"/>
      <c r="AG65477" s="6"/>
      <c r="AH65477" s="6"/>
      <c r="AI65477" s="6"/>
      <c r="AJ65477" s="6"/>
      <c r="AK65477" s="6"/>
      <c r="AL65477" s="6"/>
      <c r="AM65477" s="6"/>
    </row>
    <row r="65478" spans="2:39" ht="9.9499999999999993" hidden="1" customHeight="1" x14ac:dyDescent="0.2">
      <c r="B65478" s="6"/>
      <c r="C65478" s="6"/>
      <c r="D65478" s="6"/>
      <c r="E65478" s="6"/>
      <c r="F65478" s="6"/>
      <c r="G65478" s="6"/>
      <c r="H65478" s="6"/>
      <c r="I65478" s="6"/>
      <c r="J65478" s="6"/>
      <c r="K65478" s="6"/>
      <c r="L65478" s="6"/>
      <c r="M65478" s="6"/>
      <c r="N65478" s="6"/>
      <c r="O65478" s="6"/>
      <c r="P65478" s="6"/>
      <c r="Q65478" s="6"/>
      <c r="R65478" s="6"/>
      <c r="S65478" s="6"/>
      <c r="T65478" s="6"/>
      <c r="U65478" s="6"/>
      <c r="V65478" s="6"/>
      <c r="W65478" s="6"/>
      <c r="X65478" s="6"/>
      <c r="Y65478" s="6"/>
      <c r="Z65478" s="6"/>
      <c r="AA65478" s="6"/>
      <c r="AB65478" s="6"/>
      <c r="AC65478" s="6"/>
      <c r="AD65478" s="6"/>
      <c r="AE65478" s="6"/>
      <c r="AF65478" s="6"/>
      <c r="AG65478" s="6"/>
      <c r="AH65478" s="6"/>
      <c r="AI65478" s="6"/>
      <c r="AJ65478" s="6"/>
      <c r="AK65478" s="6"/>
      <c r="AL65478" s="6"/>
      <c r="AM65478" s="6"/>
    </row>
    <row r="65479" spans="2:39" ht="9.9499999999999993" hidden="1" customHeight="1" x14ac:dyDescent="0.2">
      <c r="B65479" s="6"/>
      <c r="C65479" s="6"/>
      <c r="D65479" s="6"/>
      <c r="E65479" s="6"/>
      <c r="F65479" s="6"/>
      <c r="G65479" s="6"/>
      <c r="H65479" s="6"/>
      <c r="I65479" s="6"/>
      <c r="J65479" s="6"/>
      <c r="K65479" s="6"/>
      <c r="L65479" s="6"/>
      <c r="M65479" s="6"/>
      <c r="N65479" s="6"/>
      <c r="O65479" s="6"/>
      <c r="P65479" s="6"/>
      <c r="Q65479" s="6"/>
      <c r="R65479" s="6"/>
      <c r="S65479" s="6"/>
      <c r="T65479" s="6"/>
      <c r="U65479" s="6"/>
      <c r="V65479" s="6"/>
      <c r="W65479" s="6"/>
      <c r="X65479" s="6"/>
      <c r="Y65479" s="6"/>
      <c r="Z65479" s="6"/>
      <c r="AA65479" s="6"/>
      <c r="AB65479" s="6"/>
      <c r="AC65479" s="6"/>
      <c r="AD65479" s="6"/>
      <c r="AE65479" s="6"/>
      <c r="AF65479" s="6"/>
      <c r="AG65479" s="6"/>
      <c r="AH65479" s="6"/>
      <c r="AI65479" s="6"/>
      <c r="AJ65479" s="6"/>
      <c r="AK65479" s="6"/>
      <c r="AL65479" s="6"/>
      <c r="AM65479" s="6"/>
    </row>
    <row r="65480" spans="2:39" ht="9.9499999999999993" hidden="1" customHeight="1" x14ac:dyDescent="0.2">
      <c r="B65480" s="6"/>
      <c r="C65480" s="6"/>
      <c r="D65480" s="6"/>
      <c r="E65480" s="6"/>
      <c r="F65480" s="6"/>
      <c r="G65480" s="6"/>
      <c r="H65480" s="6"/>
      <c r="I65480" s="6"/>
      <c r="J65480" s="6"/>
      <c r="K65480" s="6"/>
      <c r="L65480" s="6"/>
      <c r="M65480" s="6"/>
      <c r="N65480" s="6"/>
      <c r="O65480" s="6"/>
      <c r="P65480" s="6"/>
      <c r="Q65480" s="6"/>
      <c r="R65480" s="6"/>
      <c r="S65480" s="6"/>
      <c r="T65480" s="6"/>
      <c r="U65480" s="6"/>
      <c r="V65480" s="6"/>
      <c r="W65480" s="6"/>
      <c r="X65480" s="6"/>
      <c r="Y65480" s="6"/>
      <c r="Z65480" s="6"/>
      <c r="AA65480" s="6"/>
      <c r="AB65480" s="6"/>
      <c r="AC65480" s="6"/>
      <c r="AD65480" s="6"/>
      <c r="AE65480" s="6"/>
      <c r="AF65480" s="6"/>
      <c r="AG65480" s="6"/>
      <c r="AH65480" s="6"/>
      <c r="AI65480" s="6"/>
      <c r="AJ65480" s="6"/>
      <c r="AK65480" s="6"/>
      <c r="AL65480" s="6"/>
      <c r="AM65480" s="6"/>
    </row>
    <row r="65481" spans="2:39" ht="9.9499999999999993" hidden="1" customHeight="1" x14ac:dyDescent="0.2">
      <c r="B65481" s="6"/>
      <c r="C65481" s="6"/>
      <c r="D65481" s="6"/>
      <c r="E65481" s="6"/>
      <c r="F65481" s="6"/>
      <c r="G65481" s="6"/>
      <c r="H65481" s="6"/>
      <c r="I65481" s="6"/>
      <c r="J65481" s="6"/>
      <c r="K65481" s="6"/>
      <c r="L65481" s="6"/>
      <c r="M65481" s="6"/>
      <c r="N65481" s="6"/>
      <c r="O65481" s="6"/>
      <c r="P65481" s="6"/>
      <c r="Q65481" s="6"/>
      <c r="R65481" s="6"/>
      <c r="S65481" s="6"/>
      <c r="T65481" s="6"/>
      <c r="U65481" s="6"/>
      <c r="V65481" s="6"/>
      <c r="W65481" s="6"/>
      <c r="X65481" s="6"/>
      <c r="Y65481" s="6"/>
      <c r="Z65481" s="6"/>
      <c r="AA65481" s="6"/>
      <c r="AB65481" s="6"/>
      <c r="AC65481" s="6"/>
      <c r="AD65481" s="6"/>
      <c r="AE65481" s="6"/>
      <c r="AF65481" s="6"/>
      <c r="AG65481" s="6"/>
      <c r="AH65481" s="6"/>
      <c r="AI65481" s="6"/>
      <c r="AJ65481" s="6"/>
      <c r="AK65481" s="6"/>
      <c r="AL65481" s="6"/>
      <c r="AM65481" s="6"/>
    </row>
    <row r="65482" spans="2:39" ht="9.9499999999999993" hidden="1" customHeight="1" x14ac:dyDescent="0.2">
      <c r="B65482" s="6"/>
      <c r="C65482" s="6"/>
      <c r="D65482" s="6"/>
      <c r="E65482" s="6"/>
      <c r="F65482" s="6"/>
      <c r="G65482" s="6"/>
      <c r="H65482" s="6"/>
      <c r="I65482" s="6"/>
      <c r="J65482" s="6"/>
      <c r="K65482" s="6"/>
      <c r="L65482" s="6"/>
      <c r="M65482" s="6"/>
      <c r="N65482" s="6"/>
      <c r="O65482" s="6"/>
      <c r="P65482" s="6"/>
      <c r="Q65482" s="6"/>
      <c r="R65482" s="6"/>
      <c r="S65482" s="6"/>
      <c r="T65482" s="6"/>
      <c r="U65482" s="6"/>
      <c r="V65482" s="6"/>
      <c r="W65482" s="6"/>
      <c r="X65482" s="6"/>
      <c r="Y65482" s="6"/>
      <c r="Z65482" s="6"/>
      <c r="AA65482" s="6"/>
      <c r="AB65482" s="6"/>
      <c r="AC65482" s="6"/>
      <c r="AD65482" s="6"/>
      <c r="AE65482" s="6"/>
      <c r="AF65482" s="6"/>
      <c r="AG65482" s="6"/>
      <c r="AH65482" s="6"/>
      <c r="AI65482" s="6"/>
      <c r="AJ65482" s="6"/>
      <c r="AK65482" s="6"/>
      <c r="AL65482" s="6"/>
      <c r="AM65482" s="6"/>
    </row>
    <row r="65483" spans="2:39" ht="9.9499999999999993" hidden="1" customHeight="1" x14ac:dyDescent="0.2">
      <c r="B65483" s="6"/>
      <c r="C65483" s="6"/>
      <c r="D65483" s="6"/>
      <c r="E65483" s="6"/>
      <c r="F65483" s="6"/>
      <c r="G65483" s="6"/>
      <c r="H65483" s="6"/>
      <c r="I65483" s="6"/>
      <c r="J65483" s="6"/>
      <c r="K65483" s="6"/>
      <c r="L65483" s="6"/>
      <c r="M65483" s="6"/>
      <c r="N65483" s="6"/>
      <c r="O65483" s="6"/>
      <c r="P65483" s="6"/>
      <c r="Q65483" s="6"/>
      <c r="R65483" s="6"/>
      <c r="S65483" s="6"/>
      <c r="T65483" s="6"/>
      <c r="U65483" s="6"/>
      <c r="V65483" s="6"/>
      <c r="W65483" s="6"/>
      <c r="X65483" s="6"/>
      <c r="Y65483" s="6"/>
      <c r="Z65483" s="6"/>
      <c r="AA65483" s="6"/>
      <c r="AB65483" s="6"/>
      <c r="AC65483" s="6"/>
      <c r="AD65483" s="6"/>
      <c r="AE65483" s="6"/>
      <c r="AF65483" s="6"/>
      <c r="AG65483" s="6"/>
      <c r="AH65483" s="6"/>
      <c r="AI65483" s="6"/>
      <c r="AJ65483" s="6"/>
      <c r="AK65483" s="6"/>
      <c r="AL65483" s="6"/>
      <c r="AM65483" s="6"/>
    </row>
    <row r="65484" spans="2:39" ht="9.9499999999999993" hidden="1" customHeight="1" x14ac:dyDescent="0.2">
      <c r="B65484" s="6"/>
      <c r="C65484" s="6"/>
      <c r="D65484" s="6"/>
      <c r="E65484" s="6"/>
      <c r="F65484" s="6"/>
      <c r="G65484" s="6"/>
      <c r="H65484" s="6"/>
      <c r="I65484" s="6"/>
      <c r="J65484" s="6"/>
      <c r="K65484" s="6"/>
      <c r="L65484" s="6"/>
      <c r="M65484" s="6"/>
      <c r="N65484" s="6"/>
      <c r="O65484" s="6"/>
      <c r="P65484" s="6"/>
      <c r="Q65484" s="6"/>
      <c r="R65484" s="6"/>
      <c r="S65484" s="6"/>
      <c r="T65484" s="6"/>
      <c r="U65484" s="6"/>
      <c r="V65484" s="6"/>
      <c r="W65484" s="6"/>
      <c r="X65484" s="6"/>
      <c r="Y65484" s="6"/>
      <c r="Z65484" s="6"/>
      <c r="AA65484" s="6"/>
      <c r="AB65484" s="6"/>
      <c r="AC65484" s="6"/>
      <c r="AD65484" s="6"/>
      <c r="AE65484" s="6"/>
      <c r="AF65484" s="6"/>
      <c r="AG65484" s="6"/>
      <c r="AH65484" s="6"/>
      <c r="AI65484" s="6"/>
      <c r="AJ65484" s="6"/>
      <c r="AK65484" s="6"/>
      <c r="AL65484" s="6"/>
      <c r="AM65484" s="6"/>
    </row>
    <row r="65485" spans="2:39" ht="9.9499999999999993" hidden="1" customHeight="1" x14ac:dyDescent="0.2">
      <c r="B65485" s="6"/>
      <c r="C65485" s="6"/>
      <c r="D65485" s="6"/>
      <c r="E65485" s="6"/>
      <c r="F65485" s="6"/>
      <c r="G65485" s="6"/>
      <c r="H65485" s="6"/>
      <c r="I65485" s="6"/>
      <c r="J65485" s="6"/>
      <c r="K65485" s="6"/>
      <c r="L65485" s="6"/>
      <c r="M65485" s="6"/>
      <c r="N65485" s="6"/>
      <c r="O65485" s="6"/>
      <c r="P65485" s="6"/>
      <c r="Q65485" s="6"/>
      <c r="R65485" s="6"/>
      <c r="S65485" s="6"/>
      <c r="T65485" s="6"/>
      <c r="U65485" s="6"/>
      <c r="V65485" s="6"/>
      <c r="W65485" s="6"/>
      <c r="X65485" s="6"/>
      <c r="Y65485" s="6"/>
      <c r="Z65485" s="6"/>
      <c r="AA65485" s="6"/>
      <c r="AB65485" s="6"/>
      <c r="AC65485" s="6"/>
      <c r="AD65485" s="6"/>
      <c r="AE65485" s="6"/>
      <c r="AF65485" s="6"/>
      <c r="AG65485" s="6"/>
      <c r="AH65485" s="6"/>
      <c r="AI65485" s="6"/>
      <c r="AJ65485" s="6"/>
      <c r="AK65485" s="6"/>
      <c r="AL65485" s="6"/>
      <c r="AM65485" s="6"/>
    </row>
    <row r="65486" spans="2:39" ht="9.9499999999999993" hidden="1" customHeight="1" x14ac:dyDescent="0.2">
      <c r="B65486" s="6"/>
      <c r="C65486" s="6"/>
      <c r="D65486" s="6"/>
      <c r="E65486" s="6"/>
      <c r="F65486" s="6"/>
      <c r="G65486" s="6"/>
      <c r="H65486" s="6"/>
      <c r="I65486" s="6"/>
      <c r="J65486" s="6"/>
      <c r="K65486" s="6"/>
      <c r="L65486" s="6"/>
      <c r="M65486" s="6"/>
      <c r="N65486" s="6"/>
      <c r="O65486" s="6"/>
      <c r="P65486" s="6"/>
      <c r="Q65486" s="6"/>
      <c r="R65486" s="6"/>
      <c r="S65486" s="6"/>
      <c r="T65486" s="6"/>
      <c r="U65486" s="6"/>
      <c r="V65486" s="6"/>
      <c r="W65486" s="6"/>
      <c r="X65486" s="6"/>
      <c r="Y65486" s="6"/>
      <c r="Z65486" s="6"/>
      <c r="AA65486" s="6"/>
      <c r="AB65486" s="6"/>
      <c r="AC65486" s="6"/>
      <c r="AD65486" s="6"/>
      <c r="AE65486" s="6"/>
      <c r="AF65486" s="6"/>
      <c r="AG65486" s="6"/>
      <c r="AH65486" s="6"/>
      <c r="AI65486" s="6"/>
      <c r="AJ65486" s="6"/>
      <c r="AK65486" s="6"/>
      <c r="AL65486" s="6"/>
      <c r="AM65486" s="6"/>
    </row>
    <row r="65487" spans="2:39" ht="9.9499999999999993" hidden="1" customHeight="1" x14ac:dyDescent="0.2">
      <c r="B65487" s="6"/>
      <c r="C65487" s="6"/>
      <c r="D65487" s="6"/>
      <c r="E65487" s="6"/>
      <c r="F65487" s="6"/>
      <c r="G65487" s="6"/>
      <c r="H65487" s="6"/>
      <c r="I65487" s="6"/>
      <c r="J65487" s="6"/>
      <c r="K65487" s="6"/>
      <c r="L65487" s="6"/>
      <c r="M65487" s="6"/>
      <c r="N65487" s="6"/>
      <c r="O65487" s="6"/>
      <c r="P65487" s="6"/>
      <c r="Q65487" s="6"/>
      <c r="R65487" s="6"/>
      <c r="S65487" s="6"/>
      <c r="T65487" s="6"/>
      <c r="U65487" s="6"/>
      <c r="V65487" s="6"/>
      <c r="W65487" s="6"/>
      <c r="X65487" s="6"/>
      <c r="Y65487" s="6"/>
      <c r="Z65487" s="6"/>
      <c r="AA65487" s="6"/>
      <c r="AB65487" s="6"/>
      <c r="AC65487" s="6"/>
      <c r="AD65487" s="6"/>
      <c r="AE65487" s="6"/>
      <c r="AF65487" s="6"/>
      <c r="AG65487" s="6"/>
      <c r="AH65487" s="6"/>
      <c r="AI65487" s="6"/>
      <c r="AJ65487" s="6"/>
      <c r="AK65487" s="6"/>
      <c r="AL65487" s="6"/>
      <c r="AM65487" s="6"/>
    </row>
    <row r="65488" spans="2:39" ht="9.9499999999999993" hidden="1" customHeight="1" x14ac:dyDescent="0.2">
      <c r="B65488" s="6"/>
      <c r="C65488" s="6"/>
      <c r="D65488" s="6"/>
      <c r="E65488" s="6"/>
      <c r="F65488" s="6"/>
      <c r="G65488" s="6"/>
      <c r="H65488" s="6"/>
      <c r="I65488" s="6"/>
      <c r="J65488" s="6"/>
      <c r="K65488" s="6"/>
      <c r="L65488" s="6"/>
      <c r="M65488" s="6"/>
      <c r="N65488" s="6"/>
      <c r="O65488" s="6"/>
      <c r="P65488" s="6"/>
      <c r="Q65488" s="6"/>
      <c r="R65488" s="6"/>
      <c r="S65488" s="6"/>
      <c r="T65488" s="6"/>
      <c r="U65488" s="6"/>
      <c r="V65488" s="6"/>
      <c r="W65488" s="6"/>
      <c r="X65488" s="6"/>
      <c r="Y65488" s="6"/>
      <c r="Z65488" s="6"/>
      <c r="AA65488" s="6"/>
      <c r="AB65488" s="6"/>
      <c r="AC65488" s="6"/>
      <c r="AD65488" s="6"/>
      <c r="AE65488" s="6"/>
      <c r="AF65488" s="6"/>
      <c r="AG65488" s="6"/>
      <c r="AH65488" s="6"/>
      <c r="AI65488" s="6"/>
      <c r="AJ65488" s="6"/>
      <c r="AK65488" s="6"/>
      <c r="AL65488" s="6"/>
      <c r="AM65488" s="6"/>
    </row>
    <row r="65489" spans="2:39" ht="9.9499999999999993" hidden="1" customHeight="1" x14ac:dyDescent="0.2">
      <c r="B65489" s="6"/>
      <c r="C65489" s="6"/>
      <c r="D65489" s="6"/>
      <c r="E65489" s="6"/>
      <c r="F65489" s="6"/>
      <c r="G65489" s="6"/>
      <c r="H65489" s="6"/>
      <c r="I65489" s="6"/>
      <c r="J65489" s="6"/>
      <c r="K65489" s="6"/>
      <c r="L65489" s="6"/>
      <c r="M65489" s="6"/>
      <c r="N65489" s="6"/>
      <c r="O65489" s="6"/>
      <c r="P65489" s="6"/>
      <c r="Q65489" s="6"/>
      <c r="R65489" s="6"/>
      <c r="S65489" s="6"/>
      <c r="T65489" s="6"/>
      <c r="U65489" s="6"/>
      <c r="V65489" s="6"/>
      <c r="W65489" s="6"/>
      <c r="X65489" s="6"/>
      <c r="Y65489" s="6"/>
      <c r="Z65489" s="6"/>
      <c r="AA65489" s="6"/>
      <c r="AB65489" s="6"/>
      <c r="AC65489" s="6"/>
      <c r="AD65489" s="6"/>
      <c r="AE65489" s="6"/>
      <c r="AF65489" s="6"/>
      <c r="AG65489" s="6"/>
      <c r="AH65489" s="6"/>
      <c r="AI65489" s="6"/>
      <c r="AJ65489" s="6"/>
      <c r="AK65489" s="6"/>
      <c r="AL65489" s="6"/>
      <c r="AM65489" s="6"/>
    </row>
    <row r="65490" spans="2:39" ht="9.9499999999999993" hidden="1" customHeight="1" x14ac:dyDescent="0.2">
      <c r="B65490" s="6"/>
      <c r="C65490" s="6"/>
      <c r="D65490" s="6"/>
      <c r="E65490" s="6"/>
      <c r="F65490" s="6"/>
      <c r="G65490" s="6"/>
      <c r="H65490" s="6"/>
      <c r="I65490" s="6"/>
      <c r="J65490" s="6"/>
      <c r="K65490" s="6"/>
      <c r="L65490" s="6"/>
      <c r="M65490" s="6"/>
      <c r="N65490" s="6"/>
      <c r="O65490" s="6"/>
      <c r="P65490" s="6"/>
      <c r="Q65490" s="6"/>
      <c r="R65490" s="6"/>
      <c r="S65490" s="6"/>
      <c r="T65490" s="6"/>
      <c r="U65490" s="6"/>
      <c r="V65490" s="6"/>
      <c r="W65490" s="6"/>
      <c r="X65490" s="6"/>
      <c r="Y65490" s="6"/>
      <c r="Z65490" s="6"/>
      <c r="AA65490" s="6"/>
      <c r="AB65490" s="6"/>
      <c r="AC65490" s="6"/>
      <c r="AD65490" s="6"/>
      <c r="AE65490" s="6"/>
      <c r="AF65490" s="6"/>
      <c r="AG65490" s="6"/>
      <c r="AH65490" s="6"/>
      <c r="AI65490" s="6"/>
      <c r="AJ65490" s="6"/>
      <c r="AK65490" s="6"/>
      <c r="AL65490" s="6"/>
      <c r="AM65490" s="6"/>
    </row>
    <row r="65491" spans="2:39" ht="9.9499999999999993" hidden="1" customHeight="1" x14ac:dyDescent="0.2">
      <c r="B65491" s="6"/>
      <c r="C65491" s="6"/>
      <c r="D65491" s="6"/>
      <c r="E65491" s="6"/>
      <c r="F65491" s="6"/>
      <c r="G65491" s="6"/>
      <c r="H65491" s="6"/>
      <c r="I65491" s="6"/>
      <c r="J65491" s="6"/>
      <c r="K65491" s="6"/>
      <c r="L65491" s="6"/>
      <c r="M65491" s="6"/>
      <c r="N65491" s="6"/>
      <c r="O65491" s="6"/>
      <c r="P65491" s="6"/>
      <c r="Q65491" s="6"/>
      <c r="R65491" s="6"/>
      <c r="S65491" s="6"/>
      <c r="T65491" s="6"/>
      <c r="U65491" s="6"/>
      <c r="V65491" s="6"/>
      <c r="W65491" s="6"/>
      <c r="X65491" s="6"/>
      <c r="Y65491" s="6"/>
      <c r="Z65491" s="6"/>
      <c r="AA65491" s="6"/>
      <c r="AB65491" s="6"/>
      <c r="AC65491" s="6"/>
      <c r="AD65491" s="6"/>
      <c r="AE65491" s="6"/>
      <c r="AF65491" s="6"/>
      <c r="AG65491" s="6"/>
      <c r="AH65491" s="6"/>
      <c r="AI65491" s="6"/>
      <c r="AJ65491" s="6"/>
      <c r="AK65491" s="6"/>
      <c r="AL65491" s="6"/>
      <c r="AM65491" s="6"/>
    </row>
    <row r="65492" spans="2:39" ht="9.9499999999999993" hidden="1" customHeight="1" x14ac:dyDescent="0.2">
      <c r="B65492" s="6"/>
      <c r="C65492" s="6"/>
      <c r="D65492" s="6"/>
      <c r="E65492" s="6"/>
      <c r="F65492" s="6"/>
      <c r="G65492" s="6"/>
      <c r="H65492" s="6"/>
      <c r="I65492" s="6"/>
      <c r="J65492" s="6"/>
      <c r="K65492" s="6"/>
      <c r="L65492" s="6"/>
      <c r="M65492" s="6"/>
      <c r="N65492" s="6"/>
      <c r="O65492" s="6"/>
      <c r="P65492" s="6"/>
      <c r="Q65492" s="6"/>
      <c r="R65492" s="6"/>
      <c r="S65492" s="6"/>
      <c r="T65492" s="6"/>
      <c r="U65492" s="6"/>
      <c r="V65492" s="6"/>
      <c r="W65492" s="6"/>
      <c r="X65492" s="6"/>
      <c r="Y65492" s="6"/>
      <c r="Z65492" s="6"/>
      <c r="AA65492" s="6"/>
      <c r="AB65492" s="6"/>
      <c r="AC65492" s="6"/>
      <c r="AD65492" s="6"/>
      <c r="AE65492" s="6"/>
      <c r="AF65492" s="6"/>
      <c r="AG65492" s="6"/>
      <c r="AH65492" s="6"/>
      <c r="AI65492" s="6"/>
      <c r="AJ65492" s="6"/>
      <c r="AK65492" s="6"/>
      <c r="AL65492" s="6"/>
      <c r="AM65492" s="6"/>
    </row>
    <row r="65493" spans="2:39" ht="9.9499999999999993" hidden="1" customHeight="1" x14ac:dyDescent="0.2">
      <c r="B65493" s="6"/>
      <c r="C65493" s="6"/>
      <c r="D65493" s="6"/>
      <c r="E65493" s="6"/>
      <c r="F65493" s="6"/>
      <c r="G65493" s="6"/>
      <c r="H65493" s="6"/>
      <c r="I65493" s="6"/>
      <c r="J65493" s="6"/>
      <c r="K65493" s="6"/>
      <c r="L65493" s="6"/>
      <c r="M65493" s="6"/>
      <c r="N65493" s="6"/>
      <c r="O65493" s="6"/>
      <c r="P65493" s="6"/>
      <c r="Q65493" s="6"/>
      <c r="R65493" s="6"/>
      <c r="S65493" s="6"/>
      <c r="T65493" s="6"/>
      <c r="U65493" s="6"/>
      <c r="V65493" s="6"/>
      <c r="W65493" s="6"/>
      <c r="X65493" s="6"/>
      <c r="Y65493" s="6"/>
      <c r="Z65493" s="6"/>
      <c r="AA65493" s="6"/>
      <c r="AB65493" s="6"/>
      <c r="AC65493" s="6"/>
      <c r="AD65493" s="6"/>
      <c r="AE65493" s="6"/>
      <c r="AF65493" s="6"/>
      <c r="AG65493" s="6"/>
      <c r="AH65493" s="6"/>
      <c r="AI65493" s="6"/>
      <c r="AJ65493" s="6"/>
      <c r="AK65493" s="6"/>
      <c r="AL65493" s="6"/>
      <c r="AM65493" s="6"/>
    </row>
    <row r="65494" spans="2:39" ht="9.9499999999999993" hidden="1" customHeight="1" x14ac:dyDescent="0.2">
      <c r="B65494" s="6"/>
      <c r="C65494" s="6"/>
      <c r="D65494" s="6"/>
      <c r="E65494" s="6"/>
      <c r="F65494" s="6"/>
      <c r="G65494" s="6"/>
      <c r="H65494" s="6"/>
      <c r="I65494" s="6"/>
      <c r="J65494" s="6"/>
      <c r="K65494" s="6"/>
      <c r="L65494" s="6"/>
      <c r="M65494" s="6"/>
      <c r="N65494" s="6"/>
      <c r="O65494" s="6"/>
      <c r="P65494" s="6"/>
      <c r="Q65494" s="6"/>
      <c r="R65494" s="6"/>
      <c r="S65494" s="6"/>
      <c r="T65494" s="6"/>
      <c r="U65494" s="6"/>
      <c r="V65494" s="6"/>
      <c r="W65494" s="6"/>
      <c r="X65494" s="6"/>
      <c r="Y65494" s="6"/>
      <c r="Z65494" s="6"/>
      <c r="AA65494" s="6"/>
      <c r="AB65494" s="6"/>
      <c r="AC65494" s="6"/>
      <c r="AD65494" s="6"/>
      <c r="AE65494" s="6"/>
      <c r="AF65494" s="6"/>
      <c r="AG65494" s="6"/>
      <c r="AH65494" s="6"/>
      <c r="AI65494" s="6"/>
      <c r="AJ65494" s="6"/>
      <c r="AK65494" s="6"/>
      <c r="AL65494" s="6"/>
      <c r="AM65494" s="6"/>
    </row>
    <row r="65495" spans="2:39" ht="9.9499999999999993" hidden="1" customHeight="1" x14ac:dyDescent="0.2">
      <c r="B65495" s="6"/>
      <c r="C65495" s="6"/>
      <c r="D65495" s="6"/>
      <c r="E65495" s="6"/>
      <c r="F65495" s="6"/>
      <c r="G65495" s="6"/>
      <c r="H65495" s="6"/>
      <c r="I65495" s="6"/>
      <c r="J65495" s="6"/>
      <c r="K65495" s="6"/>
      <c r="L65495" s="6"/>
      <c r="M65495" s="6"/>
      <c r="N65495" s="6"/>
      <c r="O65495" s="6"/>
      <c r="P65495" s="6"/>
      <c r="Q65495" s="6"/>
      <c r="R65495" s="6"/>
      <c r="S65495" s="6"/>
      <c r="T65495" s="6"/>
      <c r="U65495" s="6"/>
      <c r="V65495" s="6"/>
      <c r="W65495" s="6"/>
      <c r="X65495" s="6"/>
      <c r="Y65495" s="6"/>
      <c r="Z65495" s="6"/>
      <c r="AA65495" s="6"/>
      <c r="AB65495" s="6"/>
      <c r="AC65495" s="6"/>
      <c r="AD65495" s="6"/>
      <c r="AE65495" s="6"/>
      <c r="AF65495" s="6"/>
      <c r="AG65495" s="6"/>
      <c r="AH65495" s="6"/>
      <c r="AI65495" s="6"/>
      <c r="AJ65495" s="6"/>
      <c r="AK65495" s="6"/>
      <c r="AL65495" s="6"/>
      <c r="AM65495" s="6"/>
    </row>
    <row r="65496" spans="2:39" ht="9.9499999999999993" hidden="1" customHeight="1" x14ac:dyDescent="0.2">
      <c r="B65496" s="6"/>
      <c r="C65496" s="6"/>
      <c r="D65496" s="6"/>
      <c r="E65496" s="6"/>
      <c r="F65496" s="6"/>
      <c r="G65496" s="6"/>
      <c r="H65496" s="6"/>
      <c r="I65496" s="6"/>
      <c r="J65496" s="6"/>
      <c r="K65496" s="6"/>
      <c r="L65496" s="6"/>
      <c r="M65496" s="6"/>
      <c r="N65496" s="6"/>
      <c r="O65496" s="6"/>
      <c r="P65496" s="6"/>
      <c r="Q65496" s="6"/>
      <c r="R65496" s="6"/>
      <c r="S65496" s="6"/>
      <c r="T65496" s="6"/>
      <c r="U65496" s="6"/>
      <c r="V65496" s="6"/>
      <c r="W65496" s="6"/>
      <c r="X65496" s="6"/>
      <c r="Y65496" s="6"/>
      <c r="Z65496" s="6"/>
      <c r="AA65496" s="6"/>
      <c r="AB65496" s="6"/>
      <c r="AC65496" s="6"/>
      <c r="AD65496" s="6"/>
      <c r="AE65496" s="6"/>
      <c r="AF65496" s="6"/>
      <c r="AG65496" s="6"/>
      <c r="AH65496" s="6"/>
      <c r="AI65496" s="6"/>
      <c r="AJ65496" s="6"/>
      <c r="AK65496" s="6"/>
      <c r="AL65496" s="6"/>
      <c r="AM65496" s="6"/>
    </row>
    <row r="65497" spans="2:39" ht="9.9499999999999993" hidden="1" customHeight="1" x14ac:dyDescent="0.2">
      <c r="B65497" s="6"/>
      <c r="C65497" s="6"/>
      <c r="D65497" s="6"/>
      <c r="E65497" s="6"/>
      <c r="F65497" s="6"/>
      <c r="G65497" s="6"/>
      <c r="H65497" s="6"/>
      <c r="I65497" s="6"/>
      <c r="J65497" s="6"/>
      <c r="K65497" s="6"/>
      <c r="L65497" s="6"/>
      <c r="M65497" s="6"/>
      <c r="N65497" s="6"/>
      <c r="O65497" s="6"/>
      <c r="P65497" s="6"/>
      <c r="Q65497" s="6"/>
      <c r="R65497" s="6"/>
      <c r="S65497" s="6"/>
      <c r="T65497" s="6"/>
      <c r="U65497" s="6"/>
      <c r="V65497" s="6"/>
      <c r="W65497" s="6"/>
      <c r="X65497" s="6"/>
      <c r="Y65497" s="6"/>
      <c r="Z65497" s="6"/>
      <c r="AA65497" s="6"/>
      <c r="AB65497" s="6"/>
      <c r="AC65497" s="6"/>
      <c r="AD65497" s="6"/>
      <c r="AE65497" s="6"/>
      <c r="AF65497" s="6"/>
      <c r="AG65497" s="6"/>
      <c r="AH65497" s="6"/>
      <c r="AI65497" s="6"/>
      <c r="AJ65497" s="6"/>
      <c r="AK65497" s="6"/>
      <c r="AL65497" s="6"/>
      <c r="AM65497" s="6"/>
    </row>
    <row r="65498" spans="2:39" ht="9.9499999999999993" hidden="1" customHeight="1" x14ac:dyDescent="0.2">
      <c r="B65498" s="6"/>
      <c r="C65498" s="6"/>
      <c r="D65498" s="6"/>
      <c r="E65498" s="6"/>
      <c r="F65498" s="6"/>
      <c r="G65498" s="6"/>
      <c r="H65498" s="6"/>
      <c r="I65498" s="6"/>
      <c r="J65498" s="6"/>
      <c r="K65498" s="6"/>
      <c r="L65498" s="6"/>
      <c r="M65498" s="6"/>
      <c r="N65498" s="6"/>
      <c r="O65498" s="6"/>
      <c r="P65498" s="6"/>
      <c r="Q65498" s="6"/>
      <c r="R65498" s="6"/>
      <c r="S65498" s="6"/>
      <c r="T65498" s="6"/>
      <c r="U65498" s="6"/>
      <c r="V65498" s="6"/>
      <c r="W65498" s="6"/>
      <c r="X65498" s="6"/>
      <c r="Y65498" s="6"/>
      <c r="Z65498" s="6"/>
      <c r="AA65498" s="6"/>
      <c r="AB65498" s="6"/>
      <c r="AC65498" s="6"/>
      <c r="AD65498" s="6"/>
      <c r="AE65498" s="6"/>
      <c r="AF65498" s="6"/>
      <c r="AG65498" s="6"/>
      <c r="AH65498" s="6"/>
      <c r="AI65498" s="6"/>
      <c r="AJ65498" s="6"/>
      <c r="AK65498" s="6"/>
      <c r="AL65498" s="6"/>
      <c r="AM65498" s="6"/>
    </row>
    <row r="65499" spans="2:39" ht="9.9499999999999993" hidden="1" customHeight="1" x14ac:dyDescent="0.2">
      <c r="B65499" s="6"/>
      <c r="C65499" s="6"/>
      <c r="D65499" s="6"/>
      <c r="E65499" s="6"/>
      <c r="F65499" s="6"/>
      <c r="G65499" s="6"/>
      <c r="H65499" s="6"/>
      <c r="I65499" s="6"/>
      <c r="J65499" s="6"/>
      <c r="K65499" s="6"/>
      <c r="L65499" s="6"/>
      <c r="M65499" s="6"/>
      <c r="N65499" s="6"/>
      <c r="O65499" s="6"/>
      <c r="P65499" s="6"/>
      <c r="Q65499" s="6"/>
      <c r="R65499" s="6"/>
      <c r="S65499" s="6"/>
      <c r="T65499" s="6"/>
      <c r="U65499" s="6"/>
      <c r="V65499" s="6"/>
      <c r="W65499" s="6"/>
      <c r="X65499" s="6"/>
      <c r="Y65499" s="6"/>
      <c r="Z65499" s="6"/>
      <c r="AA65499" s="6"/>
      <c r="AB65499" s="6"/>
      <c r="AC65499" s="6"/>
      <c r="AD65499" s="6"/>
      <c r="AE65499" s="6"/>
      <c r="AF65499" s="6"/>
      <c r="AG65499" s="6"/>
      <c r="AH65499" s="6"/>
      <c r="AI65499" s="6"/>
      <c r="AJ65499" s="6"/>
      <c r="AK65499" s="6"/>
      <c r="AL65499" s="6"/>
      <c r="AM65499" s="6"/>
    </row>
    <row r="65500" spans="2:39" ht="9.9499999999999993" hidden="1" customHeight="1" x14ac:dyDescent="0.2">
      <c r="B65500" s="6"/>
      <c r="C65500" s="6"/>
      <c r="D65500" s="6"/>
      <c r="E65500" s="6"/>
      <c r="F65500" s="6"/>
      <c r="G65500" s="6"/>
      <c r="H65500" s="6"/>
      <c r="I65500" s="6"/>
      <c r="J65500" s="6"/>
      <c r="K65500" s="6"/>
      <c r="L65500" s="6"/>
      <c r="M65500" s="6"/>
      <c r="N65500" s="6"/>
      <c r="O65500" s="6"/>
      <c r="P65500" s="6"/>
      <c r="Q65500" s="6"/>
      <c r="R65500" s="6"/>
      <c r="S65500" s="6"/>
      <c r="T65500" s="6"/>
      <c r="U65500" s="6"/>
      <c r="V65500" s="6"/>
      <c r="W65500" s="6"/>
      <c r="X65500" s="6"/>
      <c r="Y65500" s="6"/>
      <c r="Z65500" s="6"/>
      <c r="AA65500" s="6"/>
      <c r="AB65500" s="6"/>
      <c r="AC65500" s="6"/>
      <c r="AD65500" s="6"/>
      <c r="AE65500" s="6"/>
      <c r="AF65500" s="6"/>
      <c r="AG65500" s="6"/>
      <c r="AH65500" s="6"/>
      <c r="AI65500" s="6"/>
      <c r="AJ65500" s="6"/>
      <c r="AK65500" s="6"/>
      <c r="AL65500" s="6"/>
      <c r="AM65500" s="6"/>
    </row>
    <row r="65501" spans="2:39" ht="9.9499999999999993" hidden="1" customHeight="1" x14ac:dyDescent="0.2">
      <c r="B65501" s="6"/>
      <c r="C65501" s="6"/>
      <c r="D65501" s="6"/>
      <c r="E65501" s="6"/>
      <c r="F65501" s="6"/>
      <c r="G65501" s="6"/>
      <c r="H65501" s="6"/>
      <c r="I65501" s="6"/>
      <c r="J65501" s="6"/>
      <c r="K65501" s="6"/>
      <c r="L65501" s="6"/>
      <c r="M65501" s="6"/>
      <c r="N65501" s="6"/>
      <c r="O65501" s="6"/>
      <c r="P65501" s="6"/>
      <c r="Q65501" s="6"/>
      <c r="R65501" s="6"/>
      <c r="S65501" s="6"/>
      <c r="T65501" s="6"/>
      <c r="U65501" s="6"/>
      <c r="V65501" s="6"/>
      <c r="W65501" s="6"/>
      <c r="X65501" s="6"/>
      <c r="Y65501" s="6"/>
      <c r="Z65501" s="6"/>
      <c r="AA65501" s="6"/>
      <c r="AB65501" s="6"/>
      <c r="AC65501" s="6"/>
      <c r="AD65501" s="6"/>
      <c r="AE65501" s="6"/>
      <c r="AF65501" s="6"/>
      <c r="AG65501" s="6"/>
      <c r="AH65501" s="6"/>
      <c r="AI65501" s="6"/>
      <c r="AJ65501" s="6"/>
      <c r="AK65501" s="6"/>
      <c r="AL65501" s="6"/>
      <c r="AM65501" s="6"/>
    </row>
    <row r="65502" spans="2:39" ht="9.9499999999999993" hidden="1" customHeight="1" x14ac:dyDescent="0.2">
      <c r="B65502" s="6"/>
      <c r="C65502" s="6"/>
      <c r="D65502" s="6"/>
      <c r="E65502" s="6"/>
      <c r="F65502" s="6"/>
      <c r="G65502" s="6"/>
      <c r="H65502" s="6"/>
      <c r="I65502" s="6"/>
      <c r="J65502" s="6"/>
      <c r="K65502" s="6"/>
      <c r="L65502" s="6"/>
      <c r="M65502" s="6"/>
      <c r="N65502" s="6"/>
      <c r="O65502" s="6"/>
      <c r="P65502" s="6"/>
      <c r="Q65502" s="6"/>
      <c r="R65502" s="6"/>
      <c r="S65502" s="6"/>
      <c r="T65502" s="6"/>
      <c r="U65502" s="6"/>
      <c r="V65502" s="6"/>
      <c r="W65502" s="6"/>
      <c r="X65502" s="6"/>
      <c r="Y65502" s="6"/>
      <c r="Z65502" s="6"/>
      <c r="AA65502" s="6"/>
      <c r="AB65502" s="6"/>
      <c r="AC65502" s="6"/>
      <c r="AD65502" s="6"/>
      <c r="AE65502" s="6"/>
      <c r="AF65502" s="6"/>
      <c r="AG65502" s="6"/>
      <c r="AH65502" s="6"/>
      <c r="AI65502" s="6"/>
      <c r="AJ65502" s="6"/>
      <c r="AK65502" s="6"/>
      <c r="AL65502" s="6"/>
      <c r="AM65502" s="6"/>
    </row>
    <row r="65503" spans="2:39" ht="9.9499999999999993" hidden="1" customHeight="1" x14ac:dyDescent="0.2">
      <c r="B65503" s="6"/>
      <c r="C65503" s="6"/>
      <c r="D65503" s="6"/>
      <c r="E65503" s="6"/>
      <c r="F65503" s="6"/>
      <c r="G65503" s="6"/>
      <c r="H65503" s="6"/>
      <c r="I65503" s="6"/>
      <c r="J65503" s="6"/>
      <c r="K65503" s="6"/>
      <c r="L65503" s="6"/>
      <c r="M65503" s="6"/>
      <c r="N65503" s="6"/>
      <c r="O65503" s="6"/>
      <c r="P65503" s="6"/>
      <c r="Q65503" s="6"/>
      <c r="R65503" s="6"/>
      <c r="S65503" s="6"/>
      <c r="T65503" s="6"/>
      <c r="U65503" s="6"/>
      <c r="V65503" s="6"/>
      <c r="W65503" s="6"/>
      <c r="X65503" s="6"/>
      <c r="Y65503" s="6"/>
      <c r="Z65503" s="6"/>
      <c r="AA65503" s="6"/>
      <c r="AB65503" s="6"/>
      <c r="AC65503" s="6"/>
      <c r="AD65503" s="6"/>
      <c r="AE65503" s="6"/>
      <c r="AF65503" s="6"/>
      <c r="AG65503" s="6"/>
      <c r="AH65503" s="6"/>
      <c r="AI65503" s="6"/>
      <c r="AJ65503" s="6"/>
      <c r="AK65503" s="6"/>
      <c r="AL65503" s="6"/>
      <c r="AM65503" s="6"/>
    </row>
    <row r="65504" spans="2:39" ht="9.9499999999999993" hidden="1" customHeight="1" x14ac:dyDescent="0.2">
      <c r="B65504" s="6"/>
      <c r="C65504" s="6"/>
      <c r="D65504" s="6"/>
      <c r="E65504" s="6"/>
      <c r="F65504" s="6"/>
      <c r="G65504" s="6"/>
      <c r="H65504" s="6"/>
      <c r="I65504" s="6"/>
      <c r="J65504" s="6"/>
      <c r="K65504" s="6"/>
      <c r="L65504" s="6"/>
      <c r="M65504" s="6"/>
      <c r="N65504" s="6"/>
      <c r="O65504" s="6"/>
      <c r="P65504" s="6"/>
      <c r="Q65504" s="6"/>
      <c r="R65504" s="6"/>
      <c r="S65504" s="6"/>
      <c r="T65504" s="6"/>
      <c r="U65504" s="6"/>
      <c r="V65504" s="6"/>
      <c r="W65504" s="6"/>
      <c r="X65504" s="6"/>
      <c r="Y65504" s="6"/>
      <c r="Z65504" s="6"/>
      <c r="AA65504" s="6"/>
      <c r="AB65504" s="6"/>
      <c r="AC65504" s="6"/>
      <c r="AD65504" s="6"/>
      <c r="AE65504" s="6"/>
      <c r="AF65504" s="6"/>
      <c r="AG65504" s="6"/>
      <c r="AH65504" s="6"/>
      <c r="AI65504" s="6"/>
      <c r="AJ65504" s="6"/>
      <c r="AK65504" s="6"/>
      <c r="AL65504" s="6"/>
      <c r="AM65504" s="6"/>
    </row>
    <row r="65505" spans="2:39" ht="9.9499999999999993" hidden="1" customHeight="1" x14ac:dyDescent="0.2">
      <c r="B65505" s="6"/>
      <c r="C65505" s="6"/>
      <c r="D65505" s="6"/>
      <c r="E65505" s="6"/>
      <c r="F65505" s="6"/>
      <c r="G65505" s="6"/>
      <c r="H65505" s="6"/>
      <c r="I65505" s="6"/>
      <c r="J65505" s="6"/>
      <c r="K65505" s="6"/>
      <c r="L65505" s="6"/>
      <c r="M65505" s="6"/>
      <c r="N65505" s="6"/>
      <c r="O65505" s="6"/>
      <c r="P65505" s="6"/>
      <c r="Q65505" s="6"/>
      <c r="R65505" s="6"/>
      <c r="S65505" s="6"/>
      <c r="T65505" s="6"/>
      <c r="U65505" s="6"/>
      <c r="V65505" s="6"/>
      <c r="W65505" s="6"/>
      <c r="X65505" s="6"/>
      <c r="Y65505" s="6"/>
      <c r="Z65505" s="6"/>
      <c r="AA65505" s="6"/>
      <c r="AB65505" s="6"/>
      <c r="AC65505" s="6"/>
      <c r="AD65505" s="6"/>
      <c r="AE65505" s="6"/>
      <c r="AF65505" s="6"/>
      <c r="AG65505" s="6"/>
      <c r="AH65505" s="6"/>
      <c r="AI65505" s="6"/>
      <c r="AJ65505" s="6"/>
      <c r="AK65505" s="6"/>
      <c r="AL65505" s="6"/>
      <c r="AM65505" s="6"/>
    </row>
    <row r="65506" spans="2:39" ht="9.9499999999999993" hidden="1" customHeight="1" x14ac:dyDescent="0.2">
      <c r="B65506" s="6"/>
      <c r="C65506" s="6"/>
      <c r="D65506" s="6"/>
      <c r="E65506" s="6"/>
      <c r="F65506" s="6"/>
      <c r="G65506" s="6"/>
      <c r="H65506" s="6"/>
      <c r="I65506" s="6"/>
      <c r="J65506" s="6"/>
      <c r="K65506" s="6"/>
      <c r="L65506" s="6"/>
      <c r="M65506" s="6"/>
      <c r="N65506" s="6"/>
      <c r="O65506" s="6"/>
      <c r="P65506" s="6"/>
      <c r="Q65506" s="6"/>
      <c r="R65506" s="6"/>
      <c r="S65506" s="6"/>
      <c r="T65506" s="6"/>
      <c r="U65506" s="6"/>
      <c r="V65506" s="6"/>
      <c r="W65506" s="6"/>
      <c r="X65506" s="6"/>
      <c r="Y65506" s="6"/>
      <c r="Z65506" s="6"/>
      <c r="AA65506" s="6"/>
      <c r="AB65506" s="6"/>
      <c r="AC65506" s="6"/>
      <c r="AD65506" s="6"/>
      <c r="AE65506" s="6"/>
      <c r="AF65506" s="6"/>
      <c r="AG65506" s="6"/>
      <c r="AH65506" s="6"/>
      <c r="AI65506" s="6"/>
      <c r="AJ65506" s="6"/>
      <c r="AK65506" s="6"/>
      <c r="AL65506" s="6"/>
      <c r="AM65506" s="6"/>
    </row>
    <row r="65507" spans="2:39" ht="9.9499999999999993" hidden="1" customHeight="1" x14ac:dyDescent="0.2">
      <c r="B65507" s="6"/>
      <c r="C65507" s="6"/>
      <c r="D65507" s="6"/>
      <c r="E65507" s="6"/>
      <c r="F65507" s="6"/>
      <c r="G65507" s="6"/>
      <c r="H65507" s="6"/>
      <c r="I65507" s="6"/>
      <c r="J65507" s="6"/>
      <c r="K65507" s="6"/>
      <c r="L65507" s="6"/>
      <c r="M65507" s="6"/>
      <c r="N65507" s="6"/>
      <c r="O65507" s="6"/>
      <c r="P65507" s="6"/>
      <c r="Q65507" s="6"/>
      <c r="R65507" s="6"/>
      <c r="S65507" s="6"/>
      <c r="T65507" s="6"/>
      <c r="U65507" s="6"/>
      <c r="V65507" s="6"/>
      <c r="W65507" s="6"/>
      <c r="X65507" s="6"/>
      <c r="Y65507" s="6"/>
      <c r="Z65507" s="6"/>
      <c r="AA65507" s="6"/>
      <c r="AB65507" s="6"/>
      <c r="AC65507" s="6"/>
      <c r="AD65507" s="6"/>
      <c r="AE65507" s="6"/>
      <c r="AF65507" s="6"/>
      <c r="AG65507" s="6"/>
      <c r="AH65507" s="6"/>
      <c r="AI65507" s="6"/>
      <c r="AJ65507" s="6"/>
      <c r="AK65507" s="6"/>
      <c r="AL65507" s="6"/>
      <c r="AM65507" s="6"/>
    </row>
    <row r="65508" spans="2:39" ht="9.9499999999999993" hidden="1" customHeight="1" x14ac:dyDescent="0.2">
      <c r="B65508" s="6"/>
      <c r="C65508" s="6"/>
      <c r="D65508" s="6"/>
      <c r="E65508" s="6"/>
      <c r="F65508" s="6"/>
      <c r="G65508" s="6"/>
      <c r="H65508" s="6"/>
      <c r="I65508" s="6"/>
      <c r="J65508" s="6"/>
      <c r="K65508" s="6"/>
      <c r="L65508" s="6"/>
      <c r="M65508" s="6"/>
      <c r="N65508" s="6"/>
      <c r="O65508" s="6"/>
      <c r="P65508" s="6"/>
      <c r="Q65508" s="6"/>
      <c r="R65508" s="6"/>
      <c r="S65508" s="6"/>
      <c r="T65508" s="6"/>
      <c r="U65508" s="6"/>
      <c r="V65508" s="6"/>
      <c r="W65508" s="6"/>
      <c r="X65508" s="6"/>
      <c r="Y65508" s="6"/>
      <c r="Z65508" s="6"/>
      <c r="AA65508" s="6"/>
      <c r="AB65508" s="6"/>
      <c r="AC65508" s="6"/>
      <c r="AD65508" s="6"/>
      <c r="AE65508" s="6"/>
      <c r="AF65508" s="6"/>
      <c r="AG65508" s="6"/>
      <c r="AH65508" s="6"/>
      <c r="AI65508" s="6"/>
      <c r="AJ65508" s="6"/>
      <c r="AK65508" s="6"/>
      <c r="AL65508" s="6"/>
      <c r="AM65508" s="6"/>
    </row>
    <row r="65509" spans="2:39" ht="9.9499999999999993" hidden="1" customHeight="1" x14ac:dyDescent="0.2">
      <c r="B65509" s="6"/>
      <c r="C65509" s="6"/>
      <c r="D65509" s="6"/>
      <c r="E65509" s="6"/>
      <c r="F65509" s="6"/>
      <c r="G65509" s="6"/>
      <c r="H65509" s="6"/>
      <c r="I65509" s="6"/>
      <c r="J65509" s="6"/>
      <c r="K65509" s="6"/>
      <c r="L65509" s="6"/>
      <c r="M65509" s="6"/>
      <c r="N65509" s="6"/>
      <c r="O65509" s="6"/>
      <c r="P65509" s="6"/>
      <c r="Q65509" s="6"/>
      <c r="R65509" s="6"/>
      <c r="S65509" s="6"/>
      <c r="T65509" s="6"/>
      <c r="U65509" s="6"/>
      <c r="V65509" s="6"/>
      <c r="W65509" s="6"/>
      <c r="X65509" s="6"/>
      <c r="Y65509" s="6"/>
      <c r="Z65509" s="6"/>
      <c r="AA65509" s="6"/>
      <c r="AB65509" s="6"/>
      <c r="AC65509" s="6"/>
      <c r="AD65509" s="6"/>
      <c r="AE65509" s="6"/>
      <c r="AF65509" s="6"/>
      <c r="AG65509" s="6"/>
      <c r="AH65509" s="6"/>
      <c r="AI65509" s="6"/>
      <c r="AJ65509" s="6"/>
      <c r="AK65509" s="6"/>
      <c r="AL65509" s="6"/>
      <c r="AM65509" s="6"/>
    </row>
    <row r="65510" spans="2:39" ht="9.9499999999999993" hidden="1" customHeight="1" x14ac:dyDescent="0.2">
      <c r="B65510" s="6"/>
      <c r="C65510" s="6"/>
      <c r="D65510" s="6"/>
      <c r="E65510" s="6"/>
      <c r="F65510" s="6"/>
      <c r="G65510" s="6"/>
      <c r="H65510" s="6"/>
      <c r="I65510" s="6"/>
      <c r="J65510" s="6"/>
      <c r="K65510" s="6"/>
      <c r="L65510" s="6"/>
      <c r="M65510" s="6"/>
      <c r="N65510" s="6"/>
      <c r="O65510" s="6"/>
      <c r="P65510" s="6"/>
      <c r="Q65510" s="6"/>
      <c r="R65510" s="6"/>
      <c r="S65510" s="6"/>
      <c r="T65510" s="6"/>
      <c r="U65510" s="6"/>
      <c r="V65510" s="6"/>
      <c r="W65510" s="6"/>
      <c r="X65510" s="6"/>
      <c r="Y65510" s="6"/>
      <c r="Z65510" s="6"/>
      <c r="AA65510" s="6"/>
      <c r="AB65510" s="6"/>
      <c r="AC65510" s="6"/>
      <c r="AD65510" s="6"/>
      <c r="AE65510" s="6"/>
      <c r="AF65510" s="6"/>
      <c r="AG65510" s="6"/>
      <c r="AH65510" s="6"/>
      <c r="AI65510" s="6"/>
      <c r="AJ65510" s="6"/>
      <c r="AK65510" s="6"/>
      <c r="AL65510" s="6"/>
      <c r="AM65510" s="6"/>
    </row>
    <row r="65511" spans="2:39" ht="9.9499999999999993" hidden="1" customHeight="1" x14ac:dyDescent="0.2">
      <c r="B65511" s="6"/>
      <c r="C65511" s="6"/>
      <c r="D65511" s="6"/>
      <c r="E65511" s="6"/>
      <c r="F65511" s="6"/>
      <c r="G65511" s="6"/>
      <c r="H65511" s="6"/>
      <c r="I65511" s="6"/>
      <c r="J65511" s="6"/>
      <c r="K65511" s="6"/>
      <c r="L65511" s="6"/>
      <c r="M65511" s="6"/>
      <c r="N65511" s="6"/>
      <c r="O65511" s="6"/>
      <c r="P65511" s="6"/>
      <c r="Q65511" s="6"/>
      <c r="R65511" s="6"/>
      <c r="S65511" s="6"/>
      <c r="T65511" s="6"/>
      <c r="U65511" s="6"/>
      <c r="V65511" s="6"/>
      <c r="W65511" s="6"/>
      <c r="X65511" s="6"/>
      <c r="Y65511" s="6"/>
      <c r="Z65511" s="6"/>
      <c r="AA65511" s="6"/>
      <c r="AB65511" s="6"/>
      <c r="AC65511" s="6"/>
      <c r="AD65511" s="6"/>
      <c r="AE65511" s="6"/>
      <c r="AF65511" s="6"/>
      <c r="AG65511" s="6"/>
      <c r="AH65511" s="6"/>
      <c r="AI65511" s="6"/>
      <c r="AJ65511" s="6"/>
      <c r="AK65511" s="6"/>
      <c r="AL65511" s="6"/>
      <c r="AM65511" s="6"/>
    </row>
    <row r="65512" spans="2:39" ht="9.9499999999999993" hidden="1" customHeight="1" x14ac:dyDescent="0.2">
      <c r="B65512" s="6"/>
      <c r="C65512" s="6"/>
      <c r="D65512" s="6"/>
      <c r="E65512" s="6"/>
      <c r="F65512" s="6"/>
      <c r="G65512" s="6"/>
      <c r="H65512" s="6"/>
      <c r="I65512" s="6"/>
      <c r="J65512" s="6"/>
      <c r="K65512" s="6"/>
      <c r="L65512" s="6"/>
      <c r="M65512" s="6"/>
      <c r="N65512" s="6"/>
      <c r="O65512" s="6"/>
      <c r="P65512" s="6"/>
      <c r="Q65512" s="6"/>
      <c r="R65512" s="6"/>
      <c r="S65512" s="6"/>
      <c r="T65512" s="6"/>
      <c r="U65512" s="6"/>
      <c r="V65512" s="6"/>
      <c r="W65512" s="6"/>
      <c r="X65512" s="6"/>
      <c r="Y65512" s="6"/>
      <c r="Z65512" s="6"/>
      <c r="AA65512" s="6"/>
      <c r="AB65512" s="6"/>
      <c r="AC65512" s="6"/>
      <c r="AD65512" s="6"/>
      <c r="AE65512" s="6"/>
      <c r="AF65512" s="6"/>
      <c r="AG65512" s="6"/>
      <c r="AH65512" s="6"/>
      <c r="AI65512" s="6"/>
      <c r="AJ65512" s="6"/>
      <c r="AK65512" s="6"/>
      <c r="AL65512" s="6"/>
      <c r="AM65512" s="6"/>
    </row>
    <row r="65513" spans="2:39" ht="9.9499999999999993" hidden="1" customHeight="1" x14ac:dyDescent="0.2">
      <c r="B65513" s="6"/>
      <c r="C65513" s="6"/>
      <c r="D65513" s="6"/>
      <c r="E65513" s="6"/>
      <c r="F65513" s="6"/>
      <c r="G65513" s="6"/>
      <c r="H65513" s="6"/>
      <c r="I65513" s="6"/>
      <c r="J65513" s="6"/>
      <c r="K65513" s="6"/>
      <c r="L65513" s="6"/>
      <c r="M65513" s="6"/>
      <c r="N65513" s="6"/>
      <c r="O65513" s="6"/>
      <c r="P65513" s="6"/>
      <c r="Q65513" s="6"/>
      <c r="R65513" s="6"/>
      <c r="S65513" s="6"/>
      <c r="T65513" s="6"/>
      <c r="U65513" s="6"/>
      <c r="V65513" s="6"/>
      <c r="W65513" s="6"/>
      <c r="X65513" s="6"/>
      <c r="Y65513" s="6"/>
      <c r="Z65513" s="6"/>
      <c r="AA65513" s="6"/>
      <c r="AB65513" s="6"/>
      <c r="AC65513" s="6"/>
      <c r="AD65513" s="6"/>
      <c r="AE65513" s="6"/>
      <c r="AF65513" s="6"/>
      <c r="AG65513" s="6"/>
      <c r="AH65513" s="6"/>
      <c r="AI65513" s="6"/>
      <c r="AJ65513" s="6"/>
      <c r="AK65513" s="6"/>
      <c r="AL65513" s="6"/>
      <c r="AM65513" s="6"/>
    </row>
    <row r="65514" spans="2:39" ht="9.9499999999999993" hidden="1" customHeight="1" x14ac:dyDescent="0.2">
      <c r="B65514" s="6"/>
      <c r="C65514" s="6"/>
      <c r="D65514" s="6"/>
      <c r="E65514" s="6"/>
      <c r="F65514" s="6"/>
      <c r="G65514" s="6"/>
      <c r="H65514" s="6"/>
      <c r="I65514" s="6"/>
      <c r="J65514" s="6"/>
      <c r="K65514" s="6"/>
      <c r="L65514" s="6"/>
      <c r="M65514" s="6"/>
      <c r="N65514" s="6"/>
      <c r="O65514" s="6"/>
      <c r="P65514" s="6"/>
      <c r="Q65514" s="6"/>
      <c r="R65514" s="6"/>
      <c r="S65514" s="6"/>
      <c r="T65514" s="6"/>
      <c r="U65514" s="6"/>
      <c r="V65514" s="6"/>
      <c r="W65514" s="6"/>
      <c r="X65514" s="6"/>
      <c r="Y65514" s="6"/>
      <c r="Z65514" s="6"/>
      <c r="AA65514" s="6"/>
      <c r="AB65514" s="6"/>
      <c r="AC65514" s="6"/>
      <c r="AD65514" s="6"/>
      <c r="AE65514" s="6"/>
      <c r="AF65514" s="6"/>
      <c r="AG65514" s="6"/>
      <c r="AH65514" s="6"/>
      <c r="AI65514" s="6"/>
      <c r="AJ65514" s="6"/>
      <c r="AK65514" s="6"/>
      <c r="AL65514" s="6"/>
      <c r="AM65514" s="6"/>
    </row>
    <row r="65515" spans="2:39" ht="9.9499999999999993" hidden="1" customHeight="1" x14ac:dyDescent="0.2">
      <c r="B65515" s="6"/>
      <c r="C65515" s="6"/>
      <c r="D65515" s="6"/>
      <c r="E65515" s="6"/>
      <c r="F65515" s="6"/>
      <c r="G65515" s="6"/>
      <c r="H65515" s="6"/>
      <c r="I65515" s="6"/>
      <c r="J65515" s="6"/>
      <c r="K65515" s="6"/>
      <c r="L65515" s="6"/>
      <c r="M65515" s="6"/>
      <c r="N65515" s="6"/>
      <c r="O65515" s="6"/>
      <c r="P65515" s="6"/>
      <c r="Q65515" s="6"/>
      <c r="R65515" s="6"/>
      <c r="S65515" s="6"/>
      <c r="T65515" s="6"/>
      <c r="U65515" s="6"/>
      <c r="V65515" s="6"/>
      <c r="W65515" s="6"/>
      <c r="X65515" s="6"/>
      <c r="Y65515" s="6"/>
      <c r="Z65515" s="6"/>
      <c r="AA65515" s="6"/>
      <c r="AB65515" s="6"/>
      <c r="AC65515" s="6"/>
      <c r="AD65515" s="6"/>
      <c r="AE65515" s="6"/>
      <c r="AF65515" s="6"/>
      <c r="AG65515" s="6"/>
      <c r="AH65515" s="6"/>
      <c r="AI65515" s="6"/>
      <c r="AJ65515" s="6"/>
      <c r="AK65515" s="6"/>
      <c r="AL65515" s="6"/>
      <c r="AM65515" s="6"/>
    </row>
    <row r="65516" spans="2:39" ht="9.9499999999999993" hidden="1" customHeight="1" x14ac:dyDescent="0.2">
      <c r="B65516" s="6"/>
      <c r="C65516" s="6"/>
      <c r="D65516" s="6"/>
      <c r="E65516" s="6"/>
      <c r="F65516" s="6"/>
      <c r="G65516" s="6"/>
      <c r="H65516" s="6"/>
      <c r="I65516" s="6"/>
      <c r="J65516" s="6"/>
      <c r="K65516" s="6"/>
      <c r="L65516" s="6"/>
      <c r="M65516" s="6"/>
      <c r="N65516" s="6"/>
      <c r="O65516" s="6"/>
      <c r="P65516" s="6"/>
      <c r="Q65516" s="6"/>
      <c r="R65516" s="6"/>
      <c r="S65516" s="6"/>
      <c r="T65516" s="6"/>
      <c r="U65516" s="6"/>
      <c r="V65516" s="6"/>
      <c r="W65516" s="6"/>
      <c r="X65516" s="6"/>
      <c r="Y65516" s="6"/>
      <c r="Z65516" s="6"/>
      <c r="AA65516" s="6"/>
      <c r="AB65516" s="6"/>
      <c r="AC65516" s="6"/>
      <c r="AD65516" s="6"/>
      <c r="AE65516" s="6"/>
      <c r="AF65516" s="6"/>
      <c r="AG65516" s="6"/>
      <c r="AH65516" s="6"/>
      <c r="AI65516" s="6"/>
      <c r="AJ65516" s="6"/>
      <c r="AK65516" s="6"/>
      <c r="AL65516" s="6"/>
      <c r="AM65516" s="6"/>
    </row>
    <row r="65517" spans="2:39" ht="9.9499999999999993" hidden="1" customHeight="1" x14ac:dyDescent="0.2">
      <c r="B65517" s="6"/>
      <c r="C65517" s="6"/>
      <c r="D65517" s="6"/>
      <c r="E65517" s="6"/>
      <c r="F65517" s="6"/>
      <c r="G65517" s="6"/>
      <c r="H65517" s="6"/>
      <c r="I65517" s="6"/>
      <c r="J65517" s="6"/>
      <c r="K65517" s="6"/>
      <c r="L65517" s="6"/>
      <c r="M65517" s="6"/>
      <c r="N65517" s="6"/>
      <c r="O65517" s="6"/>
      <c r="P65517" s="6"/>
      <c r="Q65517" s="6"/>
      <c r="R65517" s="6"/>
      <c r="S65517" s="6"/>
      <c r="T65517" s="6"/>
      <c r="U65517" s="6"/>
      <c r="V65517" s="6"/>
      <c r="W65517" s="6"/>
      <c r="X65517" s="6"/>
      <c r="Y65517" s="6"/>
      <c r="Z65517" s="6"/>
      <c r="AA65517" s="6"/>
      <c r="AB65517" s="6"/>
      <c r="AC65517" s="6"/>
      <c r="AD65517" s="6"/>
      <c r="AE65517" s="6"/>
      <c r="AF65517" s="6"/>
      <c r="AG65517" s="6"/>
      <c r="AH65517" s="6"/>
      <c r="AI65517" s="6"/>
      <c r="AJ65517" s="6"/>
      <c r="AK65517" s="6"/>
      <c r="AL65517" s="6"/>
      <c r="AM65517" s="6"/>
    </row>
    <row r="65518" spans="2:39" ht="9.9499999999999993" hidden="1" customHeight="1" x14ac:dyDescent="0.2">
      <c r="B65518" s="6"/>
      <c r="C65518" s="6"/>
      <c r="D65518" s="6"/>
      <c r="E65518" s="6"/>
      <c r="F65518" s="6"/>
      <c r="G65518" s="6"/>
      <c r="H65518" s="6"/>
      <c r="I65518" s="6"/>
      <c r="J65518" s="6"/>
      <c r="K65518" s="6"/>
      <c r="L65518" s="6"/>
      <c r="M65518" s="6"/>
      <c r="N65518" s="6"/>
      <c r="O65518" s="6"/>
      <c r="P65518" s="6"/>
      <c r="Q65518" s="6"/>
      <c r="R65518" s="6"/>
      <c r="S65518" s="6"/>
      <c r="T65518" s="6"/>
      <c r="U65518" s="6"/>
      <c r="V65518" s="6"/>
      <c r="W65518" s="6"/>
      <c r="X65518" s="6"/>
      <c r="Y65518" s="6"/>
      <c r="Z65518" s="6"/>
      <c r="AA65518" s="6"/>
      <c r="AB65518" s="6"/>
      <c r="AC65518" s="6"/>
      <c r="AD65518" s="6"/>
      <c r="AE65518" s="6"/>
      <c r="AF65518" s="6"/>
      <c r="AG65518" s="6"/>
      <c r="AH65518" s="6"/>
      <c r="AI65518" s="6"/>
      <c r="AJ65518" s="6"/>
      <c r="AK65518" s="6"/>
      <c r="AL65518" s="6"/>
      <c r="AM65518" s="6"/>
    </row>
    <row r="65519" spans="2:39" ht="9.9499999999999993" hidden="1" customHeight="1" x14ac:dyDescent="0.2">
      <c r="B65519" s="6"/>
      <c r="C65519" s="6"/>
      <c r="D65519" s="6"/>
      <c r="E65519" s="6"/>
      <c r="F65519" s="6"/>
      <c r="G65519" s="6"/>
      <c r="H65519" s="6"/>
      <c r="I65519" s="6"/>
      <c r="J65519" s="6"/>
      <c r="K65519" s="6"/>
      <c r="L65519" s="6"/>
      <c r="M65519" s="6"/>
      <c r="N65519" s="6"/>
      <c r="O65519" s="6"/>
      <c r="P65519" s="6"/>
      <c r="Q65519" s="6"/>
      <c r="R65519" s="6"/>
      <c r="S65519" s="6"/>
      <c r="T65519" s="6"/>
      <c r="U65519" s="6"/>
      <c r="V65519" s="6"/>
      <c r="W65519" s="6"/>
      <c r="X65519" s="6"/>
      <c r="Y65519" s="6"/>
      <c r="Z65519" s="6"/>
      <c r="AA65519" s="6"/>
      <c r="AB65519" s="6"/>
      <c r="AC65519" s="6"/>
      <c r="AD65519" s="6"/>
      <c r="AE65519" s="6"/>
      <c r="AF65519" s="6"/>
      <c r="AG65519" s="6"/>
      <c r="AH65519" s="6"/>
      <c r="AI65519" s="6"/>
      <c r="AJ65519" s="6"/>
      <c r="AK65519" s="6"/>
      <c r="AL65519" s="6"/>
      <c r="AM65519" s="6"/>
    </row>
    <row r="65520" spans="2:39" ht="9.9499999999999993" hidden="1" customHeight="1" x14ac:dyDescent="0.2">
      <c r="B65520" s="6"/>
      <c r="C65520" s="6"/>
      <c r="D65520" s="6"/>
      <c r="E65520" s="6"/>
      <c r="F65520" s="6"/>
      <c r="G65520" s="6"/>
      <c r="H65520" s="6"/>
      <c r="I65520" s="6"/>
      <c r="J65520" s="6"/>
      <c r="K65520" s="6"/>
      <c r="L65520" s="6"/>
      <c r="M65520" s="6"/>
      <c r="N65520" s="6"/>
      <c r="O65520" s="6"/>
      <c r="P65520" s="6"/>
      <c r="Q65520" s="6"/>
      <c r="R65520" s="6"/>
      <c r="S65520" s="6"/>
      <c r="T65520" s="6"/>
      <c r="U65520" s="6"/>
      <c r="V65520" s="6"/>
      <c r="W65520" s="6"/>
      <c r="X65520" s="6"/>
      <c r="Y65520" s="6"/>
      <c r="Z65520" s="6"/>
      <c r="AA65520" s="6"/>
      <c r="AB65520" s="6"/>
      <c r="AC65520" s="6"/>
      <c r="AD65520" s="6"/>
      <c r="AE65520" s="6"/>
      <c r="AF65520" s="6"/>
      <c r="AG65520" s="6"/>
      <c r="AH65520" s="6"/>
      <c r="AI65520" s="6"/>
      <c r="AJ65520" s="6"/>
      <c r="AK65520" s="6"/>
      <c r="AL65520" s="6"/>
      <c r="AM65520" s="6"/>
    </row>
    <row r="65521" spans="2:39" ht="9.9499999999999993" hidden="1" customHeight="1" x14ac:dyDescent="0.2">
      <c r="B65521" s="6"/>
      <c r="C65521" s="6"/>
      <c r="D65521" s="6"/>
      <c r="E65521" s="6"/>
      <c r="F65521" s="6"/>
      <c r="G65521" s="6"/>
      <c r="H65521" s="6"/>
      <c r="I65521" s="6"/>
      <c r="J65521" s="6"/>
      <c r="K65521" s="6"/>
      <c r="L65521" s="6"/>
      <c r="M65521" s="6"/>
      <c r="N65521" s="6"/>
      <c r="O65521" s="6"/>
      <c r="P65521" s="6"/>
      <c r="Q65521" s="6"/>
      <c r="R65521" s="6"/>
      <c r="S65521" s="6"/>
      <c r="T65521" s="6"/>
      <c r="U65521" s="6"/>
      <c r="V65521" s="6"/>
      <c r="W65521" s="6"/>
      <c r="X65521" s="6"/>
      <c r="Y65521" s="6"/>
      <c r="Z65521" s="6"/>
      <c r="AA65521" s="6"/>
      <c r="AB65521" s="6"/>
      <c r="AC65521" s="6"/>
      <c r="AD65521" s="6"/>
      <c r="AE65521" s="6"/>
      <c r="AF65521" s="6"/>
      <c r="AG65521" s="6"/>
      <c r="AH65521" s="6"/>
      <c r="AI65521" s="6"/>
      <c r="AJ65521" s="6"/>
      <c r="AK65521" s="6"/>
      <c r="AL65521" s="6"/>
      <c r="AM65521" s="6"/>
    </row>
    <row r="65522" spans="2:39" ht="9.9499999999999993" hidden="1" customHeight="1" x14ac:dyDescent="0.2">
      <c r="B65522" s="6"/>
      <c r="C65522" s="6"/>
      <c r="D65522" s="6"/>
      <c r="E65522" s="6"/>
      <c r="F65522" s="6"/>
      <c r="G65522" s="6"/>
      <c r="H65522" s="6"/>
      <c r="I65522" s="6"/>
      <c r="J65522" s="6"/>
      <c r="K65522" s="6"/>
      <c r="L65522" s="6"/>
      <c r="M65522" s="6"/>
      <c r="N65522" s="6"/>
      <c r="O65522" s="6"/>
      <c r="P65522" s="6"/>
      <c r="Q65522" s="6"/>
      <c r="R65522" s="6"/>
      <c r="S65522" s="6"/>
      <c r="T65522" s="6"/>
      <c r="U65522" s="6"/>
      <c r="V65522" s="6"/>
      <c r="W65522" s="6"/>
      <c r="X65522" s="6"/>
      <c r="Y65522" s="6"/>
      <c r="Z65522" s="6"/>
      <c r="AA65522" s="6"/>
      <c r="AB65522" s="6"/>
      <c r="AC65522" s="6"/>
      <c r="AD65522" s="6"/>
      <c r="AE65522" s="6"/>
      <c r="AF65522" s="6"/>
      <c r="AG65522" s="6"/>
      <c r="AH65522" s="6"/>
      <c r="AI65522" s="6"/>
      <c r="AJ65522" s="6"/>
      <c r="AK65522" s="6"/>
      <c r="AL65522" s="6"/>
      <c r="AM65522" s="6"/>
    </row>
    <row r="65523" spans="2:39" ht="9.9499999999999993" hidden="1" customHeight="1" x14ac:dyDescent="0.2">
      <c r="B65523" s="6"/>
      <c r="C65523" s="6"/>
      <c r="D65523" s="6"/>
      <c r="E65523" s="6"/>
      <c r="F65523" s="6"/>
      <c r="G65523" s="6"/>
      <c r="H65523" s="6"/>
      <c r="I65523" s="6"/>
      <c r="J65523" s="6"/>
      <c r="K65523" s="6"/>
      <c r="L65523" s="6"/>
      <c r="M65523" s="6"/>
      <c r="N65523" s="6"/>
      <c r="O65523" s="6"/>
      <c r="P65523" s="6"/>
      <c r="Q65523" s="6"/>
      <c r="R65523" s="6"/>
      <c r="S65523" s="6"/>
      <c r="T65523" s="6"/>
      <c r="U65523" s="6"/>
      <c r="V65523" s="6"/>
      <c r="W65523" s="6"/>
      <c r="X65523" s="6"/>
      <c r="Y65523" s="6"/>
      <c r="Z65523" s="6"/>
      <c r="AA65523" s="6"/>
      <c r="AB65523" s="6"/>
      <c r="AC65523" s="6"/>
      <c r="AD65523" s="6"/>
      <c r="AE65523" s="6"/>
      <c r="AF65523" s="6"/>
      <c r="AG65523" s="6"/>
      <c r="AH65523" s="6"/>
      <c r="AI65523" s="6"/>
      <c r="AJ65523" s="6"/>
      <c r="AK65523" s="6"/>
      <c r="AL65523" s="6"/>
      <c r="AM65523" s="6"/>
    </row>
    <row r="65524" spans="2:39" ht="9.9499999999999993" hidden="1" customHeight="1" x14ac:dyDescent="0.2">
      <c r="B65524" s="6"/>
      <c r="C65524" s="6"/>
      <c r="D65524" s="6"/>
      <c r="E65524" s="6"/>
      <c r="F65524" s="6"/>
      <c r="G65524" s="6"/>
      <c r="H65524" s="6"/>
      <c r="I65524" s="6"/>
      <c r="J65524" s="6"/>
      <c r="K65524" s="6"/>
      <c r="L65524" s="6"/>
      <c r="M65524" s="6"/>
      <c r="N65524" s="6"/>
      <c r="O65524" s="6"/>
      <c r="P65524" s="6"/>
      <c r="Q65524" s="6"/>
      <c r="R65524" s="6"/>
      <c r="S65524" s="6"/>
      <c r="T65524" s="6"/>
      <c r="U65524" s="6"/>
      <c r="V65524" s="6"/>
      <c r="W65524" s="6"/>
      <c r="X65524" s="6"/>
      <c r="Y65524" s="6"/>
      <c r="Z65524" s="6"/>
      <c r="AA65524" s="6"/>
      <c r="AB65524" s="6"/>
      <c r="AC65524" s="6"/>
      <c r="AD65524" s="6"/>
      <c r="AE65524" s="6"/>
      <c r="AF65524" s="6"/>
      <c r="AG65524" s="6"/>
      <c r="AH65524" s="6"/>
      <c r="AI65524" s="6"/>
      <c r="AJ65524" s="6"/>
      <c r="AK65524" s="6"/>
      <c r="AL65524" s="6"/>
      <c r="AM65524" s="6"/>
    </row>
    <row r="65525" spans="2:39" ht="9.9499999999999993" hidden="1" customHeight="1" x14ac:dyDescent="0.2">
      <c r="B65525" s="6"/>
      <c r="C65525" s="6"/>
      <c r="D65525" s="6"/>
      <c r="E65525" s="6"/>
      <c r="F65525" s="6"/>
      <c r="G65525" s="6"/>
      <c r="H65525" s="6"/>
      <c r="I65525" s="6"/>
      <c r="J65525" s="6"/>
      <c r="K65525" s="6"/>
      <c r="L65525" s="6"/>
      <c r="M65525" s="6"/>
      <c r="N65525" s="6"/>
      <c r="O65525" s="6"/>
      <c r="P65525" s="6"/>
      <c r="Q65525" s="6"/>
      <c r="R65525" s="6"/>
      <c r="S65525" s="6"/>
      <c r="T65525" s="6"/>
      <c r="U65525" s="6"/>
      <c r="V65525" s="6"/>
      <c r="W65525" s="6"/>
      <c r="X65525" s="6"/>
      <c r="Y65525" s="6"/>
      <c r="Z65525" s="6"/>
      <c r="AA65525" s="6"/>
      <c r="AB65525" s="6"/>
      <c r="AC65525" s="6"/>
      <c r="AD65525" s="6"/>
      <c r="AE65525" s="6"/>
      <c r="AF65525" s="6"/>
      <c r="AG65525" s="6"/>
      <c r="AH65525" s="6"/>
      <c r="AI65525" s="6"/>
      <c r="AJ65525" s="6"/>
      <c r="AK65525" s="6"/>
      <c r="AL65525" s="6"/>
      <c r="AM65525" s="6"/>
    </row>
    <row r="65526" spans="2:39" ht="9.9499999999999993" hidden="1" customHeight="1" x14ac:dyDescent="0.2">
      <c r="B65526" s="6"/>
      <c r="C65526" s="6"/>
      <c r="D65526" s="6"/>
      <c r="E65526" s="6"/>
      <c r="F65526" s="6"/>
      <c r="G65526" s="6"/>
      <c r="H65526" s="6"/>
      <c r="I65526" s="6"/>
      <c r="J65526" s="6"/>
      <c r="K65526" s="6"/>
      <c r="L65526" s="6"/>
      <c r="M65526" s="6"/>
      <c r="N65526" s="6"/>
      <c r="O65526" s="6"/>
      <c r="P65526" s="6"/>
      <c r="Q65526" s="6"/>
      <c r="R65526" s="6"/>
      <c r="S65526" s="6"/>
      <c r="T65526" s="6"/>
      <c r="U65526" s="6"/>
      <c r="V65526" s="6"/>
      <c r="W65526" s="6"/>
      <c r="X65526" s="6"/>
      <c r="Y65526" s="6"/>
      <c r="Z65526" s="6"/>
      <c r="AA65526" s="6"/>
      <c r="AB65526" s="6"/>
      <c r="AC65526" s="6"/>
      <c r="AD65526" s="6"/>
      <c r="AE65526" s="6"/>
      <c r="AF65526" s="6"/>
      <c r="AG65526" s="6"/>
      <c r="AH65526" s="6"/>
      <c r="AI65526" s="6"/>
      <c r="AJ65526" s="6"/>
      <c r="AK65526" s="6"/>
      <c r="AL65526" s="6"/>
      <c r="AM65526" s="6"/>
    </row>
    <row r="65527" spans="2:39" ht="9.9499999999999993" hidden="1" customHeight="1" x14ac:dyDescent="0.2">
      <c r="B65527" s="6"/>
      <c r="C65527" s="6"/>
      <c r="D65527" s="6"/>
      <c r="E65527" s="6"/>
      <c r="F65527" s="6"/>
      <c r="G65527" s="6"/>
      <c r="H65527" s="6"/>
      <c r="I65527" s="6"/>
      <c r="J65527" s="6"/>
      <c r="K65527" s="6"/>
      <c r="L65527" s="6"/>
      <c r="M65527" s="6"/>
      <c r="N65527" s="6"/>
      <c r="O65527" s="6"/>
      <c r="P65527" s="6"/>
      <c r="Q65527" s="6"/>
      <c r="R65527" s="6"/>
      <c r="S65527" s="6"/>
      <c r="T65527" s="6"/>
      <c r="U65527" s="6"/>
      <c r="V65527" s="6"/>
      <c r="W65527" s="6"/>
      <c r="X65527" s="6"/>
      <c r="Y65527" s="6"/>
      <c r="Z65527" s="6"/>
      <c r="AA65527" s="6"/>
      <c r="AB65527" s="6"/>
      <c r="AC65527" s="6"/>
      <c r="AD65527" s="6"/>
      <c r="AE65527" s="6"/>
      <c r="AF65527" s="6"/>
      <c r="AG65527" s="6"/>
      <c r="AH65527" s="6"/>
      <c r="AI65527" s="6"/>
      <c r="AJ65527" s="6"/>
      <c r="AK65527" s="6"/>
      <c r="AL65527" s="6"/>
      <c r="AM65527" s="6"/>
    </row>
    <row r="65528" spans="2:39" ht="9.9499999999999993" hidden="1" customHeight="1" x14ac:dyDescent="0.2">
      <c r="B65528" s="6"/>
      <c r="C65528" s="6"/>
      <c r="D65528" s="6"/>
      <c r="E65528" s="6"/>
      <c r="F65528" s="6"/>
      <c r="G65528" s="6"/>
      <c r="H65528" s="6"/>
      <c r="I65528" s="6"/>
      <c r="J65528" s="6"/>
      <c r="K65528" s="6"/>
      <c r="L65528" s="6"/>
      <c r="M65528" s="6"/>
      <c r="N65528" s="6"/>
      <c r="O65528" s="6"/>
      <c r="P65528" s="6"/>
      <c r="Q65528" s="6"/>
      <c r="R65528" s="6"/>
      <c r="S65528" s="6"/>
      <c r="T65528" s="6"/>
      <c r="U65528" s="6"/>
      <c r="V65528" s="6"/>
      <c r="W65528" s="6"/>
      <c r="X65528" s="6"/>
      <c r="Y65528" s="6"/>
      <c r="Z65528" s="6"/>
      <c r="AA65528" s="6"/>
      <c r="AB65528" s="6"/>
      <c r="AC65528" s="6"/>
      <c r="AD65528" s="6"/>
      <c r="AE65528" s="6"/>
      <c r="AF65528" s="6"/>
      <c r="AG65528" s="6"/>
      <c r="AH65528" s="6"/>
      <c r="AI65528" s="6"/>
      <c r="AJ65528" s="6"/>
      <c r="AK65528" s="6"/>
      <c r="AL65528" s="6"/>
      <c r="AM65528" s="6"/>
    </row>
    <row r="65529" spans="2:39" ht="9.9499999999999993" hidden="1" customHeight="1" x14ac:dyDescent="0.2">
      <c r="B65529" s="6"/>
      <c r="C65529" s="6"/>
      <c r="D65529" s="6"/>
      <c r="E65529" s="6"/>
      <c r="F65529" s="6"/>
      <c r="G65529" s="6"/>
      <c r="H65529" s="6"/>
      <c r="I65529" s="6"/>
      <c r="J65529" s="6"/>
      <c r="K65529" s="6"/>
      <c r="L65529" s="6"/>
      <c r="M65529" s="6"/>
      <c r="N65529" s="6"/>
      <c r="O65529" s="6"/>
      <c r="P65529" s="6"/>
      <c r="Q65529" s="6"/>
      <c r="R65529" s="6"/>
      <c r="S65529" s="6"/>
      <c r="T65529" s="6"/>
      <c r="U65529" s="6"/>
      <c r="V65529" s="6"/>
      <c r="W65529" s="6"/>
      <c r="X65529" s="6"/>
      <c r="Y65529" s="6"/>
      <c r="Z65529" s="6"/>
      <c r="AA65529" s="6"/>
      <c r="AB65529" s="6"/>
      <c r="AC65529" s="6"/>
      <c r="AD65529" s="6"/>
      <c r="AE65529" s="6"/>
      <c r="AF65529" s="6"/>
      <c r="AG65529" s="6"/>
      <c r="AH65529" s="6"/>
      <c r="AI65529" s="6"/>
      <c r="AJ65529" s="6"/>
      <c r="AK65529" s="6"/>
      <c r="AL65529" s="6"/>
      <c r="AM65529" s="6"/>
    </row>
    <row r="65530" spans="2:39" ht="9.9499999999999993" hidden="1" customHeight="1" x14ac:dyDescent="0.2">
      <c r="B65530" s="6"/>
      <c r="C65530" s="6"/>
      <c r="D65530" s="6"/>
      <c r="E65530" s="6"/>
      <c r="F65530" s="6"/>
      <c r="G65530" s="6"/>
      <c r="H65530" s="6"/>
      <c r="I65530" s="6"/>
      <c r="J65530" s="6"/>
      <c r="K65530" s="6"/>
      <c r="L65530" s="6"/>
      <c r="M65530" s="6"/>
      <c r="N65530" s="6"/>
      <c r="O65530" s="6"/>
      <c r="P65530" s="6"/>
      <c r="Q65530" s="6"/>
      <c r="R65530" s="6"/>
      <c r="S65530" s="6"/>
      <c r="T65530" s="6"/>
      <c r="U65530" s="6"/>
      <c r="V65530" s="6"/>
      <c r="W65530" s="6"/>
      <c r="X65530" s="6"/>
      <c r="Y65530" s="6"/>
      <c r="Z65530" s="6"/>
      <c r="AA65530" s="6"/>
      <c r="AB65530" s="6"/>
      <c r="AC65530" s="6"/>
      <c r="AD65530" s="6"/>
      <c r="AE65530" s="6"/>
      <c r="AF65530" s="6"/>
      <c r="AG65530" s="6"/>
      <c r="AH65530" s="6"/>
      <c r="AI65530" s="6"/>
      <c r="AJ65530" s="6"/>
      <c r="AK65530" s="6"/>
      <c r="AL65530" s="6"/>
      <c r="AM65530" s="6"/>
    </row>
    <row r="65531" spans="2:39" ht="9.9499999999999993" hidden="1" customHeight="1" x14ac:dyDescent="0.2">
      <c r="B65531" s="6"/>
      <c r="C65531" s="6"/>
      <c r="D65531" s="6"/>
      <c r="E65531" s="6"/>
      <c r="F65531" s="6"/>
      <c r="G65531" s="6"/>
      <c r="H65531" s="6"/>
      <c r="I65531" s="6"/>
      <c r="J65531" s="6"/>
      <c r="K65531" s="6"/>
      <c r="L65531" s="6"/>
      <c r="M65531" s="6"/>
      <c r="N65531" s="6"/>
      <c r="O65531" s="6"/>
      <c r="P65531" s="6"/>
      <c r="Q65531" s="6"/>
      <c r="R65531" s="6"/>
      <c r="S65531" s="6"/>
      <c r="T65531" s="6"/>
      <c r="U65531" s="6"/>
      <c r="V65531" s="6"/>
      <c r="W65531" s="6"/>
      <c r="X65531" s="6"/>
      <c r="Y65531" s="6"/>
      <c r="Z65531" s="6"/>
      <c r="AA65531" s="6"/>
      <c r="AB65531" s="6"/>
      <c r="AC65531" s="6"/>
      <c r="AD65531" s="6"/>
      <c r="AE65531" s="6"/>
      <c r="AF65531" s="6"/>
      <c r="AG65531" s="6"/>
      <c r="AH65531" s="6"/>
      <c r="AI65531" s="6"/>
      <c r="AJ65531" s="6"/>
      <c r="AK65531" s="6"/>
      <c r="AL65531" s="6"/>
      <c r="AM65531" s="6"/>
    </row>
    <row r="65532" spans="2:39" ht="9.9499999999999993" hidden="1" customHeight="1" x14ac:dyDescent="0.2">
      <c r="B65532" s="6"/>
      <c r="C65532" s="6"/>
      <c r="D65532" s="6"/>
      <c r="E65532" s="6"/>
      <c r="F65532" s="6"/>
      <c r="G65532" s="6"/>
      <c r="H65532" s="6"/>
      <c r="I65532" s="6"/>
      <c r="J65532" s="6"/>
      <c r="K65532" s="6"/>
      <c r="L65532" s="6"/>
      <c r="M65532" s="6"/>
      <c r="N65532" s="6"/>
      <c r="O65532" s="6"/>
      <c r="P65532" s="6"/>
      <c r="Q65532" s="6"/>
      <c r="R65532" s="6"/>
      <c r="S65532" s="6"/>
      <c r="T65532" s="6"/>
      <c r="U65532" s="6"/>
      <c r="V65532" s="6"/>
      <c r="W65532" s="6"/>
      <c r="X65532" s="6"/>
      <c r="Y65532" s="6"/>
      <c r="Z65532" s="6"/>
      <c r="AA65532" s="6"/>
      <c r="AB65532" s="6"/>
      <c r="AC65532" s="6"/>
      <c r="AD65532" s="6"/>
      <c r="AE65532" s="6"/>
      <c r="AF65532" s="6"/>
      <c r="AG65532" s="6"/>
      <c r="AH65532" s="6"/>
      <c r="AI65532" s="6"/>
      <c r="AJ65532" s="6"/>
      <c r="AK65532" s="6"/>
      <c r="AL65532" s="6"/>
      <c r="AM65532" s="6"/>
    </row>
    <row r="65533" spans="2:39" ht="9.9499999999999993" hidden="1" customHeight="1" x14ac:dyDescent="0.2">
      <c r="B65533" s="6"/>
      <c r="C65533" s="6"/>
      <c r="D65533" s="6"/>
      <c r="E65533" s="6"/>
      <c r="F65533" s="6"/>
      <c r="G65533" s="6"/>
      <c r="H65533" s="6"/>
      <c r="I65533" s="6"/>
      <c r="J65533" s="6"/>
      <c r="K65533" s="6"/>
      <c r="L65533" s="6"/>
      <c r="M65533" s="6"/>
      <c r="N65533" s="6"/>
      <c r="O65533" s="6"/>
      <c r="P65533" s="6"/>
      <c r="Q65533" s="6"/>
      <c r="R65533" s="6"/>
      <c r="S65533" s="6"/>
      <c r="T65533" s="6"/>
      <c r="U65533" s="6"/>
      <c r="V65533" s="6"/>
      <c r="W65533" s="6"/>
      <c r="X65533" s="6"/>
      <c r="Y65533" s="6"/>
      <c r="Z65533" s="6"/>
      <c r="AA65533" s="6"/>
      <c r="AB65533" s="6"/>
      <c r="AC65533" s="6"/>
      <c r="AD65533" s="6"/>
      <c r="AE65533" s="6"/>
      <c r="AF65533" s="6"/>
      <c r="AG65533" s="6"/>
      <c r="AH65533" s="6"/>
      <c r="AI65533" s="6"/>
      <c r="AJ65533" s="6"/>
      <c r="AK65533" s="6"/>
      <c r="AL65533" s="6"/>
      <c r="AM65533" s="6"/>
    </row>
    <row r="65534" spans="2:39" ht="9.9499999999999993" hidden="1" customHeight="1" x14ac:dyDescent="0.2">
      <c r="B65534" s="6"/>
      <c r="C65534" s="6"/>
      <c r="D65534" s="6"/>
      <c r="E65534" s="6"/>
      <c r="F65534" s="6"/>
      <c r="G65534" s="6"/>
      <c r="H65534" s="6"/>
      <c r="I65534" s="6"/>
      <c r="J65534" s="6"/>
      <c r="K65534" s="6"/>
      <c r="L65534" s="6"/>
      <c r="M65534" s="6"/>
      <c r="N65534" s="6"/>
      <c r="O65534" s="6"/>
      <c r="P65534" s="6"/>
      <c r="Q65534" s="6"/>
      <c r="R65534" s="6"/>
      <c r="S65534" s="6"/>
      <c r="T65534" s="6"/>
      <c r="U65534" s="6"/>
      <c r="V65534" s="6"/>
      <c r="W65534" s="6"/>
      <c r="X65534" s="6"/>
      <c r="Y65534" s="6"/>
      <c r="Z65534" s="6"/>
      <c r="AA65534" s="6"/>
      <c r="AB65534" s="6"/>
      <c r="AC65534" s="6"/>
      <c r="AD65534" s="6"/>
      <c r="AE65534" s="6"/>
      <c r="AF65534" s="6"/>
      <c r="AG65534" s="6"/>
      <c r="AH65534" s="6"/>
      <c r="AI65534" s="6"/>
      <c r="AJ65534" s="6"/>
      <c r="AK65534" s="6"/>
      <c r="AL65534" s="6"/>
      <c r="AM65534" s="6"/>
    </row>
    <row r="65535" spans="2:39" ht="9.9499999999999993" hidden="1" customHeight="1" x14ac:dyDescent="0.2"/>
    <row r="65536" spans="2:39" ht="9.9499999999999993" hidden="1" customHeight="1" x14ac:dyDescent="0.2"/>
  </sheetData>
  <sheetProtection sheet="1" objects="1" scenarios="1"/>
  <mergeCells count="257">
    <mergeCell ref="AB120:AD120"/>
    <mergeCell ref="AB121:AD121"/>
    <mergeCell ref="P129:S129"/>
    <mergeCell ref="Z128:AC128"/>
    <mergeCell ref="Z127:AC127"/>
    <mergeCell ref="Z126:AC126"/>
    <mergeCell ref="S122:U122"/>
    <mergeCell ref="Q127:T127"/>
    <mergeCell ref="AB122:AD122"/>
    <mergeCell ref="Z125:AC125"/>
    <mergeCell ref="V122:Z122"/>
    <mergeCell ref="V121:Z121"/>
    <mergeCell ref="V120:Z120"/>
    <mergeCell ref="B157:F157"/>
    <mergeCell ref="G157:K157"/>
    <mergeCell ref="B153:F153"/>
    <mergeCell ref="G153:K153"/>
    <mergeCell ref="B154:F154"/>
    <mergeCell ref="G154:K154"/>
    <mergeCell ref="B146:F146"/>
    <mergeCell ref="G146:K146"/>
    <mergeCell ref="B147:F147"/>
    <mergeCell ref="G147:K147"/>
    <mergeCell ref="G152:K152"/>
    <mergeCell ref="B156:F156"/>
    <mergeCell ref="G156:K156"/>
    <mergeCell ref="B155:F155"/>
    <mergeCell ref="G155:K155"/>
    <mergeCell ref="B149:F149"/>
    <mergeCell ref="G149:K149"/>
    <mergeCell ref="B150:F150"/>
    <mergeCell ref="G150:K150"/>
    <mergeCell ref="B151:F151"/>
    <mergeCell ref="G151:K151"/>
    <mergeCell ref="B152:F152"/>
    <mergeCell ref="B141:F141"/>
    <mergeCell ref="G141:K141"/>
    <mergeCell ref="B148:F148"/>
    <mergeCell ref="G148:K148"/>
    <mergeCell ref="B143:F143"/>
    <mergeCell ref="G143:K143"/>
    <mergeCell ref="B144:F144"/>
    <mergeCell ref="G144:K144"/>
    <mergeCell ref="B145:F145"/>
    <mergeCell ref="G145:K145"/>
    <mergeCell ref="B142:F142"/>
    <mergeCell ref="G142:K142"/>
    <mergeCell ref="B137:F137"/>
    <mergeCell ref="G137:K137"/>
    <mergeCell ref="B138:F138"/>
    <mergeCell ref="G138:K138"/>
    <mergeCell ref="B139:F139"/>
    <mergeCell ref="G139:K139"/>
    <mergeCell ref="B140:F140"/>
    <mergeCell ref="G140:K140"/>
    <mergeCell ref="C76:U76"/>
    <mergeCell ref="M121:O121"/>
    <mergeCell ref="M120:O120"/>
    <mergeCell ref="S121:U121"/>
    <mergeCell ref="S120:U120"/>
    <mergeCell ref="C67:U67"/>
    <mergeCell ref="V72:AL72"/>
    <mergeCell ref="V68:AL68"/>
    <mergeCell ref="V67:AL67"/>
    <mergeCell ref="C59:U59"/>
    <mergeCell ref="V60:AL61"/>
    <mergeCell ref="C66:U66"/>
    <mergeCell ref="V63:AL63"/>
    <mergeCell ref="V76:AL76"/>
    <mergeCell ref="V69:AL69"/>
    <mergeCell ref="C71:U71"/>
    <mergeCell ref="C72:U72"/>
    <mergeCell ref="C75:U75"/>
    <mergeCell ref="V75:AL75"/>
    <mergeCell ref="C73:U73"/>
    <mergeCell ref="V73:AL73"/>
    <mergeCell ref="C74:U74"/>
    <mergeCell ref="V74:AL74"/>
    <mergeCell ref="X17:AD17"/>
    <mergeCell ref="U20:AA20"/>
    <mergeCell ref="C23:T23"/>
    <mergeCell ref="AH28:AL28"/>
    <mergeCell ref="AI20:AL20"/>
    <mergeCell ref="C56:U56"/>
    <mergeCell ref="V56:AL57"/>
    <mergeCell ref="C57:U57"/>
    <mergeCell ref="V66:AL66"/>
    <mergeCell ref="C61:U61"/>
    <mergeCell ref="V62:AL62"/>
    <mergeCell ref="U136:V136"/>
    <mergeCell ref="Q121:R121"/>
    <mergeCell ref="U135:V135"/>
    <mergeCell ref="Q120:R120"/>
    <mergeCell ref="C60:U60"/>
    <mergeCell ref="Q17:W17"/>
    <mergeCell ref="U45:AL45"/>
    <mergeCell ref="AE29:AG29"/>
    <mergeCell ref="C13:I13"/>
    <mergeCell ref="AE18:AL18"/>
    <mergeCell ref="K14:AD14"/>
    <mergeCell ref="X18:AD18"/>
    <mergeCell ref="J18:P18"/>
    <mergeCell ref="K15:AD15"/>
    <mergeCell ref="J17:P17"/>
    <mergeCell ref="C18:I18"/>
    <mergeCell ref="Q18:W18"/>
    <mergeCell ref="AE36:AG36"/>
    <mergeCell ref="P36:T36"/>
    <mergeCell ref="P27:T27"/>
    <mergeCell ref="U28:AD28"/>
    <mergeCell ref="AE17:AL17"/>
    <mergeCell ref="K13:AD13"/>
    <mergeCell ref="AB21:AH21"/>
    <mergeCell ref="C30:L30"/>
    <mergeCell ref="C21:I21"/>
    <mergeCell ref="C27:L27"/>
    <mergeCell ref="C31:L31"/>
    <mergeCell ref="C28:L28"/>
    <mergeCell ref="B51:AM54"/>
    <mergeCell ref="C55:U55"/>
    <mergeCell ref="B1:AM1"/>
    <mergeCell ref="P122:Q122"/>
    <mergeCell ref="C11:I11"/>
    <mergeCell ref="B5:AM8"/>
    <mergeCell ref="J9:AL9"/>
    <mergeCell ref="J11:AL11"/>
    <mergeCell ref="AM9:AM48"/>
    <mergeCell ref="C9:I9"/>
    <mergeCell ref="AH29:AL29"/>
    <mergeCell ref="AH36:AL36"/>
    <mergeCell ref="M31:O31"/>
    <mergeCell ref="P32:T32"/>
    <mergeCell ref="P33:T33"/>
    <mergeCell ref="M34:O34"/>
    <mergeCell ref="M36:O36"/>
    <mergeCell ref="M33:O33"/>
    <mergeCell ref="P31:T31"/>
    <mergeCell ref="P28:T28"/>
    <mergeCell ref="P29:T29"/>
    <mergeCell ref="M30:O30"/>
    <mergeCell ref="M29:O29"/>
    <mergeCell ref="P34:T34"/>
    <mergeCell ref="M32:O32"/>
    <mergeCell ref="P30:T30"/>
    <mergeCell ref="C17:I17"/>
    <mergeCell ref="AE33:AG33"/>
    <mergeCell ref="U33:AD33"/>
    <mergeCell ref="AB20:AH20"/>
    <mergeCell ref="U27:AD27"/>
    <mergeCell ref="AE27:AG27"/>
    <mergeCell ref="C25:L25"/>
    <mergeCell ref="M26:O26"/>
    <mergeCell ref="C24:L24"/>
    <mergeCell ref="M27:O27"/>
    <mergeCell ref="J21:M21"/>
    <mergeCell ref="N20:T20"/>
    <mergeCell ref="M25:O25"/>
    <mergeCell ref="J20:M20"/>
    <mergeCell ref="C26:L26"/>
    <mergeCell ref="C20:I20"/>
    <mergeCell ref="C29:L29"/>
    <mergeCell ref="C40:T40"/>
    <mergeCell ref="M37:T37"/>
    <mergeCell ref="M38:T38"/>
    <mergeCell ref="M35:O35"/>
    <mergeCell ref="P35:T35"/>
    <mergeCell ref="C37:L37"/>
    <mergeCell ref="C38:L38"/>
    <mergeCell ref="AI21:AL21"/>
    <mergeCell ref="U24:AD24"/>
    <mergeCell ref="U25:AD25"/>
    <mergeCell ref="AE28:AG28"/>
    <mergeCell ref="M28:O28"/>
    <mergeCell ref="AE34:AG34"/>
    <mergeCell ref="AE35:AG35"/>
    <mergeCell ref="AH30:AL30"/>
    <mergeCell ref="U29:AD29"/>
    <mergeCell ref="AE32:AG32"/>
    <mergeCell ref="AH32:AL32"/>
    <mergeCell ref="AH33:AL33"/>
    <mergeCell ref="AE31:AG31"/>
    <mergeCell ref="U32:AD32"/>
    <mergeCell ref="U30:AD30"/>
    <mergeCell ref="U31:AD31"/>
    <mergeCell ref="AH31:AL31"/>
    <mergeCell ref="C46:K46"/>
    <mergeCell ref="C45:K45"/>
    <mergeCell ref="U44:AD44"/>
    <mergeCell ref="C34:L34"/>
    <mergeCell ref="C32:H32"/>
    <mergeCell ref="I33:L33"/>
    <mergeCell ref="U40:AL40"/>
    <mergeCell ref="I32:L32"/>
    <mergeCell ref="L45:T45"/>
    <mergeCell ref="C42:K42"/>
    <mergeCell ref="AH35:AL35"/>
    <mergeCell ref="AE42:AL42"/>
    <mergeCell ref="U43:AD43"/>
    <mergeCell ref="L42:T42"/>
    <mergeCell ref="C33:H33"/>
    <mergeCell ref="AE37:AL37"/>
    <mergeCell ref="V38:AL38"/>
    <mergeCell ref="AE41:AL41"/>
    <mergeCell ref="L44:T44"/>
    <mergeCell ref="C43:K43"/>
    <mergeCell ref="L43:T43"/>
    <mergeCell ref="L41:T41"/>
    <mergeCell ref="C35:L35"/>
    <mergeCell ref="C36:L36"/>
    <mergeCell ref="V107:X107"/>
    <mergeCell ref="AE26:AG26"/>
    <mergeCell ref="V46:AL46"/>
    <mergeCell ref="U35:AD35"/>
    <mergeCell ref="AH34:AL34"/>
    <mergeCell ref="V104:X104"/>
    <mergeCell ref="U36:AD36"/>
    <mergeCell ref="X86:Z86"/>
    <mergeCell ref="AG83:AK83"/>
    <mergeCell ref="V106:X106"/>
    <mergeCell ref="X82:Z82"/>
    <mergeCell ref="V105:X105"/>
    <mergeCell ref="AH26:AL26"/>
    <mergeCell ref="AH27:AL27"/>
    <mergeCell ref="X87:Z87"/>
    <mergeCell ref="X88:Z88"/>
    <mergeCell ref="X83:Z83"/>
    <mergeCell ref="X84:Z84"/>
    <mergeCell ref="X85:Z85"/>
    <mergeCell ref="U34:AD34"/>
    <mergeCell ref="U26:AD26"/>
    <mergeCell ref="AC48:AL48"/>
    <mergeCell ref="AE43:AL43"/>
    <mergeCell ref="U47:AL47"/>
    <mergeCell ref="AB2:AM3"/>
    <mergeCell ref="A2:AA3"/>
    <mergeCell ref="IO2:IV3"/>
    <mergeCell ref="C65:X65"/>
    <mergeCell ref="N21:T21"/>
    <mergeCell ref="U21:AA21"/>
    <mergeCell ref="M24:O24"/>
    <mergeCell ref="AE44:AL44"/>
    <mergeCell ref="U23:AL23"/>
    <mergeCell ref="C48:AB48"/>
    <mergeCell ref="AH24:AL24"/>
    <mergeCell ref="U37:AD37"/>
    <mergeCell ref="P25:T25"/>
    <mergeCell ref="AE24:AG24"/>
    <mergeCell ref="AE30:AG30"/>
    <mergeCell ref="P26:T26"/>
    <mergeCell ref="P24:T24"/>
    <mergeCell ref="AH25:AL25"/>
    <mergeCell ref="AE25:AG25"/>
    <mergeCell ref="C41:K41"/>
    <mergeCell ref="C44:K44"/>
    <mergeCell ref="L46:T46"/>
    <mergeCell ref="U41:AD41"/>
    <mergeCell ref="U42:AD42"/>
  </mergeCells>
  <phoneticPr fontId="3" type="noConversion"/>
  <pageMargins left="0.24" right="0.12" top="0.28999999999999998" bottom="0.56000000000000005" header="0.25" footer="0.5500000000000000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133350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133350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133350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print="0" autoLine="0" autoPict="0">
                <anchor moveWithCells="1">
                  <from>
                    <xdr:col>30</xdr:col>
                    <xdr:colOff>152400</xdr:colOff>
                    <xdr:row>17</xdr:row>
                    <xdr:rowOff>0</xdr:rowOff>
                  </from>
                  <to>
                    <xdr:col>37</xdr:col>
                    <xdr:colOff>28575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print="0" autoLine="0" autoPict="0">
                <anchor moveWithCells="1">
                  <from>
                    <xdr:col>2</xdr:col>
                    <xdr:colOff>66675</xdr:colOff>
                    <xdr:row>20</xdr:row>
                    <xdr:rowOff>0</xdr:rowOff>
                  </from>
                  <to>
                    <xdr:col>8</xdr:col>
                    <xdr:colOff>114300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9" name="Drop Down 1084">
              <controlPr defaultSize="0" print="0" autoLine="0" autoPict="0">
                <anchor moveWithCells="1">
                  <from>
                    <xdr:col>2</xdr:col>
                    <xdr:colOff>19050</xdr:colOff>
                    <xdr:row>41</xdr:row>
                    <xdr:rowOff>19050</xdr:rowOff>
                  </from>
                  <to>
                    <xdr:col>10</xdr:col>
                    <xdr:colOff>152400</xdr:colOff>
                    <xdr:row>41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  <pageSetUpPr fitToPage="1"/>
  </sheetPr>
  <dimension ref="A1:AN35"/>
  <sheetViews>
    <sheetView showGridLines="0" showRowColHeaders="0" workbookViewId="0">
      <selection activeCell="E26" sqref="E26"/>
    </sheetView>
  </sheetViews>
  <sheetFormatPr defaultColWidth="0" defaultRowHeight="15" customHeight="1" zeroHeight="1" x14ac:dyDescent="0.2"/>
  <cols>
    <col min="1" max="1" width="4.7109375" style="3" customWidth="1"/>
    <col min="2" max="2" width="1.42578125" style="3" customWidth="1"/>
    <col min="3" max="9" width="15.7109375" style="5" customWidth="1"/>
    <col min="10" max="10" width="1.42578125" style="3" customWidth="1"/>
    <col min="11" max="11" width="4.7109375" style="308" customWidth="1"/>
    <col min="12" max="16384" width="4.85546875" style="3" hidden="1"/>
  </cols>
  <sheetData>
    <row r="1" spans="1:40" s="308" customFormat="1" ht="9.9499999999999993" customHeight="1" x14ac:dyDescent="0.2">
      <c r="G1" s="309"/>
      <c r="K1" s="310"/>
    </row>
    <row r="2" spans="1:40" s="308" customFormat="1" ht="30" customHeight="1" x14ac:dyDescent="0.2">
      <c r="A2" s="311"/>
      <c r="B2" s="312"/>
      <c r="C2" s="312"/>
      <c r="D2" s="312"/>
      <c r="E2" s="312"/>
      <c r="F2" s="312"/>
      <c r="G2" s="295" t="s">
        <v>103</v>
      </c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7"/>
    </row>
    <row r="3" spans="1:40" s="308" customFormat="1" ht="20.100000000000001" customHeight="1" x14ac:dyDescent="0.2">
      <c r="A3" s="313"/>
      <c r="B3" s="314"/>
      <c r="C3" s="314"/>
      <c r="D3" s="314"/>
      <c r="E3" s="314"/>
      <c r="F3" s="314"/>
      <c r="G3" s="298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300"/>
    </row>
    <row r="4" spans="1:40" s="308" customFormat="1" ht="9.9499999999999993" customHeight="1" x14ac:dyDescent="0.2">
      <c r="B4" s="315"/>
      <c r="C4" s="315"/>
      <c r="D4" s="315"/>
      <c r="E4" s="315"/>
      <c r="F4" s="315"/>
      <c r="G4" s="315"/>
      <c r="H4" s="315"/>
      <c r="I4" s="315"/>
      <c r="J4" s="315"/>
      <c r="K4" s="310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6"/>
      <c r="AJ4" s="316"/>
      <c r="AK4" s="316"/>
      <c r="AL4" s="316"/>
      <c r="AM4" s="316"/>
      <c r="AN4" s="316"/>
    </row>
    <row r="5" spans="1:40" ht="9.9499999999999993" customHeight="1" x14ac:dyDescent="0.2">
      <c r="A5" s="317"/>
      <c r="B5" s="58"/>
      <c r="C5" s="288" t="s">
        <v>111</v>
      </c>
      <c r="D5" s="288"/>
      <c r="E5" s="288"/>
      <c r="F5" s="288"/>
      <c r="G5" s="288"/>
      <c r="H5" s="288"/>
      <c r="I5" s="92"/>
      <c r="J5" s="61"/>
    </row>
    <row r="6" spans="1:40" ht="20.100000000000001" customHeight="1" x14ac:dyDescent="0.2">
      <c r="A6" s="308"/>
      <c r="B6" s="59"/>
      <c r="C6" s="289"/>
      <c r="D6" s="289"/>
      <c r="E6" s="289"/>
      <c r="F6" s="289"/>
      <c r="G6" s="289"/>
      <c r="H6" s="289"/>
      <c r="I6" s="93"/>
      <c r="J6" s="62"/>
    </row>
    <row r="7" spans="1:40" ht="20.100000000000001" customHeight="1" x14ac:dyDescent="0.2">
      <c r="A7" s="308"/>
      <c r="B7" s="59"/>
      <c r="C7" s="75" t="s">
        <v>30</v>
      </c>
      <c r="D7" s="89">
        <v>0.01</v>
      </c>
      <c r="E7" s="75" t="s">
        <v>32</v>
      </c>
      <c r="F7" s="89">
        <v>1320</v>
      </c>
      <c r="G7" s="75" t="s">
        <v>33</v>
      </c>
      <c r="H7" s="79">
        <v>7.4999999999999997E-2</v>
      </c>
      <c r="I7" s="94">
        <v>0</v>
      </c>
      <c r="J7" s="62"/>
      <c r="L7" s="4">
        <v>1</v>
      </c>
    </row>
    <row r="8" spans="1:40" ht="20.100000000000001" customHeight="1" x14ac:dyDescent="0.2">
      <c r="A8" s="308"/>
      <c r="B8" s="59"/>
      <c r="C8" s="77" t="s">
        <v>30</v>
      </c>
      <c r="D8" s="90">
        <f>F7+0.01</f>
        <v>1320.01</v>
      </c>
      <c r="E8" s="77" t="s">
        <v>32</v>
      </c>
      <c r="F8" s="78">
        <v>2571.29</v>
      </c>
      <c r="G8" s="77" t="s">
        <v>33</v>
      </c>
      <c r="H8" s="80">
        <v>0.09</v>
      </c>
      <c r="I8" s="78">
        <v>18.18</v>
      </c>
      <c r="J8" s="62"/>
      <c r="L8" s="4">
        <v>2</v>
      </c>
    </row>
    <row r="9" spans="1:40" ht="20.100000000000001" customHeight="1" x14ac:dyDescent="0.2">
      <c r="A9" s="308"/>
      <c r="B9" s="59"/>
      <c r="C9" s="75" t="s">
        <v>30</v>
      </c>
      <c r="D9" s="89">
        <f>F8+0.01</f>
        <v>2571.3000000000002</v>
      </c>
      <c r="E9" s="75" t="s">
        <v>32</v>
      </c>
      <c r="F9" s="76">
        <v>3856.94</v>
      </c>
      <c r="G9" s="75" t="s">
        <v>33</v>
      </c>
      <c r="H9" s="79">
        <v>0.12</v>
      </c>
      <c r="I9" s="95">
        <v>91.01</v>
      </c>
      <c r="J9" s="62"/>
      <c r="L9" s="4">
        <v>3</v>
      </c>
    </row>
    <row r="10" spans="1:40" ht="20.100000000000001" customHeight="1" x14ac:dyDescent="0.2">
      <c r="A10" s="308"/>
      <c r="B10" s="59"/>
      <c r="C10" s="77" t="s">
        <v>30</v>
      </c>
      <c r="D10" s="90">
        <f>F9+0.01</f>
        <v>3856.9500000000003</v>
      </c>
      <c r="E10" s="77" t="s">
        <v>32</v>
      </c>
      <c r="F10" s="78">
        <v>7507.49</v>
      </c>
      <c r="G10" s="77" t="s">
        <v>33</v>
      </c>
      <c r="H10" s="80">
        <v>0.14000000000000001</v>
      </c>
      <c r="I10" s="78">
        <v>163</v>
      </c>
      <c r="J10" s="62"/>
      <c r="L10" s="4">
        <v>4</v>
      </c>
    </row>
    <row r="11" spans="1:40" ht="20.100000000000001" customHeight="1" x14ac:dyDescent="0.2">
      <c r="A11" s="308"/>
      <c r="B11" s="59"/>
      <c r="C11" s="75" t="s">
        <v>31</v>
      </c>
      <c r="D11" s="89">
        <f>F10+0.01</f>
        <v>7507.5</v>
      </c>
      <c r="E11" s="75" t="s">
        <v>106</v>
      </c>
      <c r="F11" s="89">
        <f>(F7*H7)+((F8-D8)*H8)+((F9-D9)*H9)+((F10-D10)*H10)</f>
        <v>876.96759999999995</v>
      </c>
      <c r="G11" s="71"/>
      <c r="H11" s="71"/>
      <c r="I11" s="71"/>
      <c r="J11" s="62"/>
      <c r="L11" s="4">
        <v>5</v>
      </c>
    </row>
    <row r="12" spans="1:40" ht="9.9499999999999993" customHeight="1" x14ac:dyDescent="0.2">
      <c r="A12" s="308"/>
      <c r="B12" s="60"/>
      <c r="C12" s="72"/>
      <c r="D12" s="72"/>
      <c r="E12" s="72"/>
      <c r="F12" s="72"/>
      <c r="G12" s="72"/>
      <c r="H12" s="72"/>
      <c r="I12" s="72"/>
      <c r="J12" s="63"/>
      <c r="L12" s="4"/>
    </row>
    <row r="13" spans="1:40" ht="9.9499999999999993" customHeight="1" x14ac:dyDescent="0.2">
      <c r="A13" s="308"/>
      <c r="B13" s="308"/>
      <c r="C13" s="319"/>
      <c r="D13" s="319"/>
      <c r="E13" s="319"/>
      <c r="F13" s="319"/>
      <c r="G13" s="319"/>
      <c r="H13" s="319"/>
      <c r="I13" s="319"/>
      <c r="J13" s="308"/>
    </row>
    <row r="14" spans="1:40" ht="9.9499999999999993" customHeight="1" x14ac:dyDescent="0.25">
      <c r="A14" s="308"/>
      <c r="B14" s="65"/>
      <c r="C14" s="288" t="s">
        <v>112</v>
      </c>
      <c r="D14" s="288"/>
      <c r="E14" s="288"/>
      <c r="F14" s="288"/>
      <c r="G14" s="288"/>
      <c r="H14" s="288"/>
      <c r="I14" s="92"/>
      <c r="J14" s="66"/>
    </row>
    <row r="15" spans="1:40" ht="20.100000000000001" customHeight="1" x14ac:dyDescent="0.25">
      <c r="A15" s="308"/>
      <c r="B15" s="67"/>
      <c r="C15" s="289"/>
      <c r="D15" s="289"/>
      <c r="E15" s="289"/>
      <c r="F15" s="289"/>
      <c r="G15" s="289"/>
      <c r="H15" s="289"/>
      <c r="I15" s="93"/>
      <c r="J15" s="68"/>
    </row>
    <row r="16" spans="1:40" ht="20.100000000000001" customHeight="1" x14ac:dyDescent="0.2">
      <c r="A16" s="308"/>
      <c r="B16" s="59"/>
      <c r="C16" s="89">
        <v>0.01</v>
      </c>
      <c r="D16" s="75" t="s">
        <v>32</v>
      </c>
      <c r="E16" s="76">
        <v>2112</v>
      </c>
      <c r="F16" s="75" t="s">
        <v>33</v>
      </c>
      <c r="G16" s="81">
        <v>0</v>
      </c>
      <c r="H16" s="75" t="s">
        <v>34</v>
      </c>
      <c r="I16" s="93"/>
      <c r="J16" s="62"/>
      <c r="L16" s="4">
        <v>1</v>
      </c>
    </row>
    <row r="17" spans="1:12" ht="20.100000000000001" customHeight="1" x14ac:dyDescent="0.2">
      <c r="A17" s="308"/>
      <c r="B17" s="59"/>
      <c r="C17" s="90">
        <f>E16+0.01</f>
        <v>2112.0100000000002</v>
      </c>
      <c r="D17" s="77" t="s">
        <v>32</v>
      </c>
      <c r="E17" s="78">
        <v>2826.65</v>
      </c>
      <c r="F17" s="77" t="s">
        <v>33</v>
      </c>
      <c r="G17" s="82">
        <v>7.4999999999999997E-2</v>
      </c>
      <c r="H17" s="90">
        <f>E16*G17</f>
        <v>158.4</v>
      </c>
      <c r="I17" s="93"/>
      <c r="J17" s="62"/>
      <c r="L17" s="4">
        <v>2</v>
      </c>
    </row>
    <row r="18" spans="1:12" ht="20.100000000000001" customHeight="1" x14ac:dyDescent="0.2">
      <c r="A18" s="308"/>
      <c r="B18" s="59"/>
      <c r="C18" s="89">
        <f>E17+0.01</f>
        <v>2826.6600000000003</v>
      </c>
      <c r="D18" s="75" t="s">
        <v>32</v>
      </c>
      <c r="E18" s="76">
        <v>3751.05</v>
      </c>
      <c r="F18" s="75" t="s">
        <v>33</v>
      </c>
      <c r="G18" s="81">
        <v>0.15</v>
      </c>
      <c r="H18" s="89">
        <f>E17*(G18-G17)+H17</f>
        <v>370.39875000000001</v>
      </c>
      <c r="I18" s="93"/>
      <c r="J18" s="62"/>
      <c r="L18" s="4"/>
    </row>
    <row r="19" spans="1:12" ht="20.100000000000001" customHeight="1" x14ac:dyDescent="0.2">
      <c r="A19" s="308"/>
      <c r="B19" s="59"/>
      <c r="C19" s="90">
        <f>E18+0.01</f>
        <v>3751.0600000000004</v>
      </c>
      <c r="D19" s="77" t="s">
        <v>32</v>
      </c>
      <c r="E19" s="78">
        <v>4664.68</v>
      </c>
      <c r="F19" s="77" t="s">
        <v>33</v>
      </c>
      <c r="G19" s="82">
        <v>0.22500000000000001</v>
      </c>
      <c r="H19" s="90">
        <f>E18*(G19-G18)+H18</f>
        <v>651.72750000000008</v>
      </c>
      <c r="I19" s="93"/>
      <c r="J19" s="62"/>
      <c r="L19" s="4"/>
    </row>
    <row r="20" spans="1:12" ht="20.100000000000001" customHeight="1" x14ac:dyDescent="0.2">
      <c r="A20" s="308"/>
      <c r="B20" s="59"/>
      <c r="C20" s="71"/>
      <c r="D20" s="75" t="s">
        <v>31</v>
      </c>
      <c r="E20" s="89">
        <f>E19+0.01</f>
        <v>4664.6900000000005</v>
      </c>
      <c r="F20" s="75" t="s">
        <v>33</v>
      </c>
      <c r="G20" s="81">
        <v>0.27500000000000002</v>
      </c>
      <c r="H20" s="89">
        <f>E19*(G20-G19)+H19</f>
        <v>884.96150000000011</v>
      </c>
      <c r="I20" s="93"/>
      <c r="J20" s="62"/>
      <c r="L20" s="4">
        <v>3</v>
      </c>
    </row>
    <row r="21" spans="1:12" ht="20.100000000000001" customHeight="1" x14ac:dyDescent="0.2">
      <c r="A21" s="308"/>
      <c r="B21" s="59"/>
      <c r="C21" s="71"/>
      <c r="D21" s="287" t="s">
        <v>104</v>
      </c>
      <c r="E21" s="287"/>
      <c r="F21" s="83">
        <v>189.59</v>
      </c>
      <c r="G21" s="71"/>
      <c r="H21" s="71"/>
      <c r="I21" s="71"/>
      <c r="J21" s="62"/>
    </row>
    <row r="22" spans="1:12" ht="9.9499999999999993" customHeight="1" x14ac:dyDescent="0.2">
      <c r="A22" s="308"/>
      <c r="B22" s="60"/>
      <c r="C22" s="73"/>
      <c r="D22" s="73"/>
      <c r="E22" s="73"/>
      <c r="F22" s="73"/>
      <c r="G22" s="73"/>
      <c r="H22" s="73"/>
      <c r="I22" s="73"/>
      <c r="J22" s="63"/>
    </row>
    <row r="23" spans="1:12" ht="9.9499999999999993" customHeight="1" x14ac:dyDescent="0.2">
      <c r="A23" s="308"/>
      <c r="B23" s="308"/>
      <c r="C23" s="319"/>
      <c r="D23" s="319"/>
      <c r="E23" s="319"/>
      <c r="F23" s="319"/>
      <c r="G23" s="319"/>
      <c r="H23" s="319"/>
      <c r="I23" s="319"/>
      <c r="J23" s="308"/>
    </row>
    <row r="24" spans="1:12" ht="9.9499999999999993" customHeight="1" x14ac:dyDescent="0.2">
      <c r="A24" s="308"/>
      <c r="B24" s="58"/>
      <c r="C24" s="288" t="s">
        <v>113</v>
      </c>
      <c r="D24" s="288"/>
      <c r="E24" s="288"/>
      <c r="F24" s="288"/>
      <c r="G24" s="288"/>
      <c r="H24" s="288"/>
      <c r="I24" s="92"/>
      <c r="J24" s="61"/>
    </row>
    <row r="25" spans="1:12" ht="20.100000000000001" customHeight="1" x14ac:dyDescent="0.2">
      <c r="A25" s="308"/>
      <c r="B25" s="59"/>
      <c r="C25" s="289"/>
      <c r="D25" s="289"/>
      <c r="E25" s="289"/>
      <c r="F25" s="289"/>
      <c r="G25" s="289"/>
      <c r="H25" s="289"/>
      <c r="I25" s="93"/>
      <c r="J25" s="62"/>
    </row>
    <row r="26" spans="1:12" ht="20.100000000000001" customHeight="1" x14ac:dyDescent="0.2">
      <c r="A26" s="308"/>
      <c r="B26" s="59"/>
      <c r="C26" s="89">
        <v>0.01</v>
      </c>
      <c r="D26" s="75" t="s">
        <v>32</v>
      </c>
      <c r="E26" s="84">
        <v>1968.37</v>
      </c>
      <c r="F26" s="75" t="s">
        <v>33</v>
      </c>
      <c r="G26" s="85">
        <v>0.8</v>
      </c>
      <c r="H26" s="74"/>
      <c r="I26" s="74"/>
      <c r="J26" s="62"/>
      <c r="L26" s="4">
        <v>1</v>
      </c>
    </row>
    <row r="27" spans="1:12" ht="20.100000000000001" customHeight="1" x14ac:dyDescent="0.2">
      <c r="A27" s="308"/>
      <c r="B27" s="59"/>
      <c r="C27" s="90">
        <f>(E26+0.01)</f>
        <v>1968.3799999999999</v>
      </c>
      <c r="D27" s="77" t="s">
        <v>32</v>
      </c>
      <c r="E27" s="86">
        <v>3280.93</v>
      </c>
      <c r="F27" s="77" t="s">
        <v>33</v>
      </c>
      <c r="G27" s="87">
        <v>0.5</v>
      </c>
      <c r="H27" s="86">
        <v>1486.53</v>
      </c>
      <c r="I27" s="74"/>
      <c r="J27" s="62"/>
      <c r="L27" s="4">
        <v>2</v>
      </c>
    </row>
    <row r="28" spans="1:12" ht="20.100000000000001" customHeight="1" x14ac:dyDescent="0.2">
      <c r="A28" s="308"/>
      <c r="B28" s="59"/>
      <c r="C28" s="71"/>
      <c r="D28" s="75" t="s">
        <v>31</v>
      </c>
      <c r="E28" s="88">
        <f>E27+0.01</f>
        <v>3280.94</v>
      </c>
      <c r="F28" s="75" t="s">
        <v>57</v>
      </c>
      <c r="G28" s="84">
        <v>2230.9699999999998</v>
      </c>
      <c r="H28" s="74"/>
      <c r="I28" s="74"/>
      <c r="J28" s="62"/>
      <c r="L28" s="4">
        <v>3</v>
      </c>
    </row>
    <row r="29" spans="1:12" ht="20.100000000000001" customHeight="1" x14ac:dyDescent="0.2">
      <c r="A29" s="308"/>
      <c r="B29" s="59"/>
      <c r="C29" s="71"/>
      <c r="D29" s="287" t="s">
        <v>78</v>
      </c>
      <c r="E29" s="287"/>
      <c r="F29" s="287"/>
      <c r="G29" s="86">
        <v>1320</v>
      </c>
      <c r="H29" s="91" t="s">
        <v>114</v>
      </c>
      <c r="I29" s="91"/>
      <c r="J29" s="62"/>
      <c r="L29" s="4"/>
    </row>
    <row r="30" spans="1:12" ht="9.9499999999999993" customHeight="1" x14ac:dyDescent="0.2">
      <c r="A30" s="308"/>
      <c r="B30" s="60"/>
      <c r="C30" s="64"/>
      <c r="D30" s="64"/>
      <c r="E30" s="70"/>
      <c r="F30" s="64"/>
      <c r="G30" s="70"/>
      <c r="H30" s="69"/>
      <c r="I30" s="69"/>
      <c r="J30" s="63"/>
      <c r="L30" s="4"/>
    </row>
    <row r="31" spans="1:12" ht="9.9499999999999993" customHeight="1" x14ac:dyDescent="0.2">
      <c r="A31" s="308"/>
      <c r="B31" s="308"/>
      <c r="C31" s="320"/>
      <c r="D31" s="320"/>
      <c r="E31" s="320"/>
      <c r="F31" s="320"/>
      <c r="G31" s="320"/>
      <c r="H31" s="320"/>
      <c r="I31" s="320"/>
      <c r="J31" s="308"/>
    </row>
    <row r="32" spans="1:12" ht="9.9499999999999993" hidden="1" customHeight="1" x14ac:dyDescent="0.2">
      <c r="A32" s="53"/>
      <c r="B32" s="53"/>
      <c r="C32" s="54"/>
      <c r="D32" s="54"/>
      <c r="E32" s="54"/>
      <c r="F32" s="54"/>
      <c r="G32" s="54"/>
      <c r="H32" s="54"/>
      <c r="I32" s="54"/>
      <c r="J32" s="53"/>
    </row>
    <row r="33" spans="1:19" ht="20.100000000000001" hidden="1" customHeight="1" x14ac:dyDescent="0.2">
      <c r="A33" s="42"/>
      <c r="B33" s="42"/>
      <c r="C33" s="43"/>
      <c r="D33" s="43"/>
      <c r="E33" s="43"/>
      <c r="F33" s="43"/>
      <c r="G33" s="43"/>
      <c r="H33" s="43"/>
      <c r="I33" s="43"/>
      <c r="J33" s="42"/>
      <c r="K33" s="318"/>
      <c r="L33" s="41"/>
      <c r="M33" s="41"/>
      <c r="N33" s="41"/>
      <c r="O33" s="41"/>
      <c r="P33" s="41"/>
      <c r="Q33" s="41"/>
      <c r="R33" s="41"/>
      <c r="S33" s="41"/>
    </row>
    <row r="34" spans="1:19" ht="9.9499999999999993" hidden="1" customHeight="1" x14ac:dyDescent="0.2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318"/>
    </row>
    <row r="35" spans="1:19" ht="15" hidden="1" customHeight="1" x14ac:dyDescent="0.2"/>
  </sheetData>
  <sheetProtection sheet="1" objects="1" scenarios="1" selectLockedCells="1"/>
  <mergeCells count="6">
    <mergeCell ref="G2:S3"/>
    <mergeCell ref="D29:F29"/>
    <mergeCell ref="C5:H6"/>
    <mergeCell ref="C24:H25"/>
    <mergeCell ref="D21:E21"/>
    <mergeCell ref="C14:H15"/>
  </mergeCells>
  <phoneticPr fontId="3" type="noConversion"/>
  <pageMargins left="0.78740157480314965" right="0.78740157480314965" top="0.98425196850393704" bottom="0.98425196850393704" header="0.51181102362204722" footer="0.51181102362204722"/>
  <pageSetup paperSize="9" scale="8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Drino Planilhas</vt:lpstr>
      <vt:lpstr>RESCISÃO</vt:lpstr>
      <vt:lpstr>TABELAS</vt:lpstr>
      <vt:lpstr>RESCISÃO!Area_de_impressao</vt:lpstr>
    </vt:vector>
  </TitlesOfParts>
  <Company>Drino Planilhas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Rescisão de Trabalho</dc:title>
  <dc:creator>Adriano Rodrigues</dc:creator>
  <dc:description>drino_rs@yahoo.com.br</dc:description>
  <cp:lastModifiedBy>ADRIANO RODRIGUES</cp:lastModifiedBy>
  <cp:lastPrinted>2022-01-21T12:26:45Z</cp:lastPrinted>
  <dcterms:created xsi:type="dcterms:W3CDTF">2007-03-19T15:28:46Z</dcterms:created>
  <dcterms:modified xsi:type="dcterms:W3CDTF">2023-12-11T23:13:21Z</dcterms:modified>
</cp:coreProperties>
</file>