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05-WORKSPACES\PythonProjects\calculo-recisao-trabalhista\"/>
    </mc:Choice>
  </mc:AlternateContent>
  <xr:revisionPtr revIDLastSave="0" documentId="13_ncr:1_{AB6EF357-990F-431A-8D48-80C13786F93F}" xr6:coauthVersionLast="47" xr6:coauthVersionMax="47" xr10:uidLastSave="{00000000-0000-0000-0000-000000000000}"/>
  <bookViews>
    <workbookView xWindow="20370" yWindow="-10110" windowWidth="13740" windowHeight="23520" activeTab="1" xr2:uid="{00000000-000D-0000-FFFF-FFFF00000000}"/>
  </bookViews>
  <sheets>
    <sheet name="Drino Planilhas" sheetId="9" r:id="rId1"/>
    <sheet name="RESCISÃO" sheetId="1" r:id="rId2"/>
    <sheet name="TABELAS" sheetId="2" r:id="rId3"/>
  </sheets>
  <externalReferences>
    <externalReference r:id="rId4"/>
    <externalReference r:id="rId5"/>
  </externalReferences>
  <definedNames>
    <definedName name="_cat2" localSheetId="0">[1]Matriz!#REF!</definedName>
    <definedName name="_cat2">[1]Matriz!#REF!</definedName>
    <definedName name="_xlnm.Print_Area" localSheetId="1">RESCISÃO!$B$5:$AM$77</definedName>
    <definedName name="_xlnm.Print_Area" localSheetId="2">TABELAS!#REF!</definedName>
    <definedName name="categoria" localSheetId="0">'[1]Cadastro Produtos'!#REF!</definedName>
    <definedName name="categoria">'[1]Cadastro Produtos'!#REF!</definedName>
    <definedName name="CC" localSheetId="0">#REF!</definedName>
    <definedName name="CC">#REF!</definedName>
    <definedName name="codigo2" localSheetId="0">[1]Matriz!#REF!</definedName>
    <definedName name="codigo2">[1]Matriz!#REF!</definedName>
    <definedName name="codigocat" localSheetId="0">'[1]Cadastro Produtos'!#REF!</definedName>
    <definedName name="codigocat">'[1]Cadastro Produtos'!#REF!</definedName>
    <definedName name="DATA_INICIAL" localSheetId="0">#REF!</definedName>
    <definedName name="DATA_INICIAL">#REF!</definedName>
    <definedName name="data64" localSheetId="0">#REF!</definedName>
    <definedName name="data64">#REF!</definedName>
    <definedName name="data65" localSheetId="0">#REF!</definedName>
    <definedName name="data65">#REF!</definedName>
    <definedName name="DAYINDX" localSheetId="0">#REF!</definedName>
    <definedName name="DAYINDX">#REF!</definedName>
    <definedName name="Empregado" localSheetId="0">#REF!</definedName>
    <definedName name="Empregado">#REF!</definedName>
    <definedName name="HTML_CodePage" hidden="1">1252</definedName>
    <definedName name="HTML_Control" localSheetId="0" hidden="1">{"'Menu'!$A$1:$L$22","'Menu'!$H$1"}</definedName>
    <definedName name="HTML_Control" hidden="1">{"'Menu'!$A$1:$L$22","'Menu'!$H$1"}</definedName>
    <definedName name="HTML_Description" hidden="1">""</definedName>
    <definedName name="HTML_Email" hidden="1">""</definedName>
    <definedName name="HTML_Header" hidden="1">"Menu"</definedName>
    <definedName name="HTML_LastUpdate" hidden="1">"31/05/04"</definedName>
    <definedName name="HTML_LineAfter" hidden="1">FALSE</definedName>
    <definedName name="HTML_LineBefore" hidden="1">FALSE</definedName>
    <definedName name="HTML_Name" hidden="1">"LUCIMARA"</definedName>
    <definedName name="HTML_OBDlg2" hidden="1">TRUE</definedName>
    <definedName name="HTML_OBDlg4" hidden="1">TRUE</definedName>
    <definedName name="HTML_OS" hidden="1">0</definedName>
    <definedName name="HTML_PathFile" hidden="1">"C:\Meus documentos\MeuHTML.htm"</definedName>
    <definedName name="HTML_Title" hidden="1">"Menu Principal"</definedName>
    <definedName name="linha10" localSheetId="0">'[1]Cadastro Produtos'!#REF!</definedName>
    <definedName name="linha10">'[1]Cadastro Produtos'!#REF!</definedName>
    <definedName name="linha11" localSheetId="0">'[1]Cadastro Produtos'!#REF!</definedName>
    <definedName name="linha11">'[1]Cadastro Produtos'!#REF!</definedName>
    <definedName name="linha12" localSheetId="0">'[1]Cadastro Produtos'!#REF!</definedName>
    <definedName name="linha12">'[1]Cadastro Produtos'!#REF!</definedName>
    <definedName name="linha13" localSheetId="0">'[1]Cadastro Produtos'!#REF!</definedName>
    <definedName name="linha13">'[1]Cadastro Produtos'!#REF!</definedName>
    <definedName name="linha14" localSheetId="0">'[1]Cadastro Produtos'!#REF!</definedName>
    <definedName name="linha14">'[1]Cadastro Produtos'!#REF!</definedName>
    <definedName name="linha15">'[1]Cadastro Produtos'!#REF!</definedName>
    <definedName name="linha16">'[1]Cadastro Produtos'!#REF!</definedName>
    <definedName name="linha17">'[1]Cadastro Produtos'!#REF!</definedName>
    <definedName name="linha18">'[1]Cadastro Produtos'!#REF!</definedName>
    <definedName name="linha19">'[1]Cadastro Produtos'!#REF!</definedName>
    <definedName name="linha20">'[1]Cadastro Produtos'!#REF!</definedName>
    <definedName name="linha7">'[1]Cadastro Produtos'!#REF!</definedName>
    <definedName name="linha8">'[1]Cadastro Produtos'!#REF!</definedName>
    <definedName name="linha9">'[1]Cadastro Produtos'!#REF!</definedName>
    <definedName name="produto2">[1]Matriz!#REF!</definedName>
    <definedName name="recebimento" localSheetId="0">#REF!</definedName>
    <definedName name="recebimento">#REF!</definedName>
    <definedName name="VALOR_HORA" localSheetId="0">#REF!</definedName>
    <definedName name="VALOR_HORA">#REF!</definedName>
    <definedName name="VALORT">[2]Janeiro!$L$7:$L$8,[2]Janeiro!#REF!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3" i="1" l="1"/>
  <c r="P95" i="1" s="1"/>
  <c r="P94" i="1"/>
  <c r="I98" i="1"/>
  <c r="G98" i="1"/>
  <c r="G97" i="1" s="1"/>
  <c r="F115" i="1"/>
  <c r="H118" i="1"/>
  <c r="G118" i="1"/>
  <c r="Q104" i="1"/>
  <c r="G94" i="1"/>
  <c r="H17" i="2"/>
  <c r="H18" i="2" s="1"/>
  <c r="R111" i="1" s="1"/>
  <c r="D9" i="2"/>
  <c r="O101" i="1" s="1"/>
  <c r="G89" i="1"/>
  <c r="F91" i="1" s="1"/>
  <c r="AG83" i="1"/>
  <c r="L42" i="1" s="1"/>
  <c r="E119" i="1" s="1"/>
  <c r="X87" i="1"/>
  <c r="X82" i="1"/>
  <c r="X83" i="1"/>
  <c r="X84" i="1" s="1"/>
  <c r="X85" i="1" s="1"/>
  <c r="X86" i="1" s="1"/>
  <c r="D8" i="2"/>
  <c r="D10" i="2"/>
  <c r="O102" i="1" s="1"/>
  <c r="D11" i="2"/>
  <c r="O103" i="1" s="1"/>
  <c r="C17" i="2"/>
  <c r="C18" i="2"/>
  <c r="C19" i="2"/>
  <c r="E20" i="2"/>
  <c r="C27" i="2"/>
  <c r="E28" i="2"/>
  <c r="AE18" i="1"/>
  <c r="C21" i="1"/>
  <c r="M28" i="1"/>
  <c r="AE29" i="1"/>
  <c r="I32" i="1"/>
  <c r="M32" i="1"/>
  <c r="C33" i="1"/>
  <c r="M33" i="1"/>
  <c r="M34" i="1"/>
  <c r="V74" i="1"/>
  <c r="F80" i="1"/>
  <c r="AE28" i="1" s="1"/>
  <c r="G80" i="1"/>
  <c r="F85" i="1"/>
  <c r="F88" i="1"/>
  <c r="F90" i="1" s="1"/>
  <c r="M30" i="1" s="1"/>
  <c r="F89" i="1"/>
  <c r="H90" i="1"/>
  <c r="H91" i="1" s="1"/>
  <c r="O93" i="1"/>
  <c r="O95" i="1" s="1"/>
  <c r="O94" i="1"/>
  <c r="G96" i="1"/>
  <c r="O97" i="1"/>
  <c r="P97" i="1"/>
  <c r="N96" i="1" s="1"/>
  <c r="F98" i="1"/>
  <c r="F99" i="1" s="1"/>
  <c r="Q100" i="1"/>
  <c r="Q101" i="1"/>
  <c r="Q102" i="1"/>
  <c r="Q103" i="1"/>
  <c r="F106" i="1"/>
  <c r="F107" i="1"/>
  <c r="G106" i="1" s="1"/>
  <c r="G107" i="1"/>
  <c r="E109" i="1"/>
  <c r="E110" i="1"/>
  <c r="E111" i="1"/>
  <c r="E112" i="1"/>
  <c r="O109" i="1"/>
  <c r="Q109" i="1"/>
  <c r="O110" i="1"/>
  <c r="Q110" i="1"/>
  <c r="O111" i="1"/>
  <c r="Q111" i="1"/>
  <c r="T111" i="1"/>
  <c r="O112" i="1"/>
  <c r="Q112" i="1"/>
  <c r="T112" i="1"/>
  <c r="O113" i="1"/>
  <c r="Q113" i="1"/>
  <c r="T113" i="1"/>
  <c r="F114" i="1"/>
  <c r="F116" i="1" s="1"/>
  <c r="R116" i="1"/>
  <c r="T116" i="1"/>
  <c r="E120" i="1"/>
  <c r="F120" i="1" s="1"/>
  <c r="E121" i="1"/>
  <c r="F121" i="1" s="1"/>
  <c r="G121" i="1" s="1"/>
  <c r="P33" i="1" s="1"/>
  <c r="T109" i="1" s="1"/>
  <c r="Q121" i="1"/>
  <c r="E122" i="1"/>
  <c r="F122" i="1" s="1"/>
  <c r="G122" i="1" s="1"/>
  <c r="AH29" i="1" s="1"/>
  <c r="T118" i="1" s="1"/>
  <c r="N131" i="1"/>
  <c r="N132" i="1"/>
  <c r="AH28" i="1"/>
  <c r="T117" i="1" s="1"/>
  <c r="O96" i="1" l="1"/>
  <c r="G100" i="1" s="1"/>
  <c r="M24" i="1" s="1"/>
  <c r="G104" i="1"/>
  <c r="H104" i="1" s="1"/>
  <c r="N133" i="1"/>
  <c r="G99" i="1"/>
  <c r="F102" i="1" s="1"/>
  <c r="O104" i="1"/>
  <c r="R110" i="1"/>
  <c r="H19" i="2"/>
  <c r="H20" i="2" s="1"/>
  <c r="R113" i="1" s="1"/>
  <c r="F11" i="2"/>
  <c r="O100" i="1"/>
  <c r="H89" i="1"/>
  <c r="H88" i="1" s="1"/>
  <c r="G90" i="1" s="1"/>
  <c r="F118" i="1"/>
  <c r="G120" i="1" s="1"/>
  <c r="P32" i="1" s="1"/>
  <c r="T108" i="1" s="1"/>
  <c r="AE41" i="1"/>
  <c r="P28" i="1"/>
  <c r="G79" i="1"/>
  <c r="V121" i="1"/>
  <c r="AB121" i="1"/>
  <c r="G91" i="1"/>
  <c r="G92" i="1"/>
  <c r="H92" i="1" s="1"/>
  <c r="H93" i="1" s="1"/>
  <c r="AE42" i="1" s="1"/>
  <c r="G105" i="1"/>
  <c r="M27" i="1"/>
  <c r="P30" i="1"/>
  <c r="V106" i="1" s="1"/>
  <c r="P27" i="1"/>
  <c r="U103" i="1" s="1"/>
  <c r="F109" i="1"/>
  <c r="P24" i="1" l="1"/>
  <c r="G101" i="1"/>
  <c r="G102" i="1" s="1"/>
  <c r="G103" i="1" s="1"/>
  <c r="P25" i="1" s="1"/>
  <c r="L43" i="1" s="1"/>
  <c r="R112" i="1"/>
  <c r="C67" i="1"/>
  <c r="F108" i="1"/>
  <c r="F105" i="1"/>
  <c r="H105" i="1" s="1"/>
  <c r="O88" i="1"/>
  <c r="P88" i="1" s="1"/>
  <c r="Q88" i="1" s="1"/>
  <c r="O90" i="1"/>
  <c r="P90" i="1" s="1"/>
  <c r="O91" i="1"/>
  <c r="O89" i="1"/>
  <c r="P89" i="1" s="1"/>
  <c r="M120" i="1"/>
  <c r="O122" i="1"/>
  <c r="V104" i="1"/>
  <c r="P26" i="1"/>
  <c r="U102" i="1" s="1"/>
  <c r="M26" i="1"/>
  <c r="M25" i="1"/>
  <c r="X88" i="1"/>
  <c r="P34" i="1" s="1"/>
  <c r="T100" i="1"/>
  <c r="E100" i="1"/>
  <c r="T110" i="1" l="1"/>
  <c r="L44" i="1"/>
  <c r="V46" i="1"/>
  <c r="V38" i="1"/>
  <c r="V56" i="1" s="1"/>
  <c r="V60" i="1" s="1"/>
  <c r="E106" i="1"/>
  <c r="E105" i="1"/>
  <c r="E104" i="1" s="1"/>
  <c r="E107" i="1"/>
  <c r="F104" i="1" s="1"/>
  <c r="G108" i="1"/>
  <c r="O92" i="1"/>
  <c r="G110" i="1"/>
  <c r="F110" i="1" s="1"/>
  <c r="F111" i="1" s="1"/>
  <c r="P99" i="1"/>
  <c r="Q106" i="1" s="1"/>
  <c r="AE24" i="1" s="1"/>
  <c r="C61" i="1"/>
  <c r="L46" i="1"/>
  <c r="L45" i="1"/>
  <c r="S120" i="1"/>
  <c r="E101" i="1"/>
  <c r="U101" i="1"/>
  <c r="AB120" i="1" s="1"/>
  <c r="AB122" i="1" s="1"/>
  <c r="P120" i="1"/>
  <c r="M121" i="1"/>
  <c r="P121" i="1" s="1"/>
  <c r="F100" i="1" l="1"/>
  <c r="AH24" i="1" s="1"/>
  <c r="S122" i="1" s="1"/>
  <c r="F112" i="1"/>
  <c r="G111" i="1"/>
  <c r="E113" i="1"/>
  <c r="Q120" i="1"/>
  <c r="U135" i="1" s="1"/>
  <c r="P122" i="1" s="1"/>
  <c r="U136" i="1" s="1"/>
  <c r="AE43" i="1" s="1"/>
  <c r="V63" i="1"/>
  <c r="V73" i="1"/>
  <c r="Q99" i="1"/>
  <c r="Q107" i="1" s="1"/>
  <c r="AE25" i="1" s="1"/>
  <c r="U124" i="1"/>
  <c r="T132" i="1" l="1"/>
  <c r="U125" i="1"/>
  <c r="Z127" i="1"/>
  <c r="AE44" i="1"/>
  <c r="V67" i="1"/>
  <c r="V69" i="1" s="1"/>
  <c r="V75" i="1" s="1"/>
  <c r="F101" i="1"/>
  <c r="AH25" i="1" s="1"/>
  <c r="F125" i="1"/>
  <c r="F126" i="1" s="1"/>
  <c r="H111" i="1"/>
  <c r="E125" i="1"/>
  <c r="E126" i="1" s="1"/>
  <c r="T124" i="1"/>
  <c r="Q127" i="1" l="1"/>
  <c r="T125" i="1"/>
  <c r="H110" i="1"/>
  <c r="G112" i="1" s="1"/>
  <c r="H113" i="1"/>
  <c r="H114" i="1" s="1"/>
  <c r="G114" i="1" s="1"/>
  <c r="E127" i="1"/>
  <c r="U133" i="1"/>
  <c r="R117" i="1"/>
  <c r="AE27" i="1"/>
  <c r="U126" i="1"/>
  <c r="U128" i="1" s="1"/>
  <c r="AH27" i="1" s="1"/>
  <c r="H112" i="1" l="1"/>
  <c r="G113" i="1"/>
  <c r="AE26" i="1"/>
  <c r="Q128" i="1"/>
  <c r="P129" i="1" s="1"/>
  <c r="Z126" i="1"/>
  <c r="Z125" i="1" s="1"/>
  <c r="AH26" i="1" s="1"/>
  <c r="AE37" i="1" s="1"/>
  <c r="M29" i="1"/>
  <c r="P29" i="1"/>
  <c r="V105" i="1" l="1"/>
  <c r="P31" i="1"/>
  <c r="V107" i="1" s="1"/>
  <c r="E103" i="1"/>
  <c r="E102" i="1" s="1"/>
  <c r="R133" i="1" s="1"/>
  <c r="R118" i="1" s="1"/>
  <c r="M37" i="1" l="1"/>
  <c r="M38" i="1" s="1"/>
  <c r="V120" i="1"/>
  <c r="V122" i="1" s="1"/>
  <c r="O131" i="1"/>
  <c r="AC48" i="1"/>
  <c r="C57" i="1"/>
  <c r="V72" i="1" s="1"/>
  <c r="V76" i="1" s="1"/>
  <c r="V124" i="1"/>
  <c r="Z128" i="1" l="1"/>
  <c r="V125" i="1"/>
  <c r="V126" i="1" s="1"/>
  <c r="R131" i="1"/>
  <c r="Q131" i="1"/>
  <c r="R119" i="1" s="1"/>
  <c r="V12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13" authorId="0" shapeId="0" xr:uid="{00000000-0006-0000-0100-000001000000}">
      <text>
        <r>
          <rPr>
            <sz val="10"/>
            <color indexed="56"/>
            <rFont val="Tahoma"/>
            <family val="2"/>
          </rPr>
          <t>MOTIVO DA RESCISÃO DE CONTRATO</t>
        </r>
      </text>
    </comment>
    <comment ref="C17" authorId="0" shapeId="0" xr:uid="{00000000-0006-0000-0100-000002000000}">
      <text>
        <r>
          <rPr>
            <sz val="10"/>
            <color indexed="56"/>
            <rFont val="Tahoma"/>
            <family val="2"/>
          </rPr>
          <t>DATA DE ADMISSÃO</t>
        </r>
      </text>
    </comment>
    <comment ref="J17" authorId="0" shapeId="0" xr:uid="{00000000-0006-0000-0100-000003000000}">
      <text>
        <r>
          <rPr>
            <sz val="10"/>
            <color indexed="56"/>
            <rFont val="Tahoma"/>
            <family val="2"/>
          </rPr>
          <t>DATA DE DEMISSÃO</t>
        </r>
      </text>
    </comment>
    <comment ref="Q17" authorId="0" shapeId="0" xr:uid="{00000000-0006-0000-0100-000004000000}">
      <text>
        <r>
          <rPr>
            <sz val="10"/>
            <color indexed="56"/>
            <rFont val="Tahoma"/>
            <family val="2"/>
          </rPr>
          <t>SALÁRIO BASE</t>
        </r>
      </text>
    </comment>
    <comment ref="X17" authorId="0" shapeId="0" xr:uid="{00000000-0006-0000-0100-000005000000}">
      <text>
        <r>
          <rPr>
            <sz val="10"/>
            <color indexed="56"/>
            <rFont val="Tahoma"/>
            <family val="2"/>
          </rPr>
          <t>MÉDIAS DE HORAS EXTRAS</t>
        </r>
      </text>
    </comment>
    <comment ref="AE17" authorId="0" shapeId="0" xr:uid="{00000000-0006-0000-0100-000006000000}">
      <text>
        <r>
          <rPr>
            <sz val="10"/>
            <color indexed="56"/>
            <rFont val="Tahoma"/>
            <family val="2"/>
          </rPr>
          <t>TIPOS DE AVISO PRÉVIO</t>
        </r>
      </text>
    </comment>
    <comment ref="C20" authorId="0" shapeId="0" xr:uid="{00000000-0006-0000-0100-000007000000}">
      <text>
        <r>
          <rPr>
            <sz val="10"/>
            <color indexed="56"/>
            <rFont val="Tahoma"/>
            <family val="2"/>
          </rPr>
          <t>DATA DE DEMISSÃO</t>
        </r>
      </text>
    </comment>
    <comment ref="J20" authorId="0" shapeId="0" xr:uid="{00000000-0006-0000-0100-000008000000}">
      <text>
        <r>
          <rPr>
            <sz val="10"/>
            <color indexed="56"/>
            <rFont val="Tahoma"/>
            <family val="2"/>
          </rPr>
          <t>INFORMAR A PORCENTAGEM DE HORAS EXTRAS NORMAIS</t>
        </r>
      </text>
    </comment>
    <comment ref="N20" authorId="0" shapeId="0" xr:uid="{00000000-0006-0000-0100-000009000000}">
      <text>
        <r>
          <rPr>
            <sz val="10"/>
            <color indexed="56"/>
            <rFont val="Tahoma"/>
            <family val="2"/>
          </rPr>
          <t>QUANTIDADE DE HORAS EXTRAS NORMAIS</t>
        </r>
      </text>
    </comment>
    <comment ref="U20" authorId="0" shapeId="0" xr:uid="{00000000-0006-0000-0100-00000A000000}">
      <text>
        <r>
          <rPr>
            <sz val="10"/>
            <color indexed="56"/>
            <rFont val="Tahoma"/>
            <family val="2"/>
          </rPr>
          <t>QUANTIDADE DE HORAS EXTRAS 100%</t>
        </r>
      </text>
    </comment>
    <comment ref="AB20" authorId="0" shapeId="0" xr:uid="{00000000-0006-0000-0100-00000B000000}">
      <text>
        <r>
          <rPr>
            <sz val="10"/>
            <color indexed="56"/>
            <rFont val="Tahoma"/>
            <family val="2"/>
          </rPr>
          <t>QUANTIDADE DE HORAS DE ATRASOS/FALTAS</t>
        </r>
      </text>
    </comment>
    <comment ref="AI20" authorId="0" shapeId="0" xr:uid="{00000000-0006-0000-0100-00000C000000}">
      <text>
        <r>
          <rPr>
            <sz val="10"/>
            <color indexed="56"/>
            <rFont val="Tahoma"/>
            <family val="2"/>
          </rPr>
          <t>QUANTIDADE DE DEPENDENTES PARA O IMPOSTO DE RENDA</t>
        </r>
      </text>
    </comment>
    <comment ref="V38" authorId="0" shapeId="0" xr:uid="{00000000-0006-0000-0100-00000D000000}">
      <text>
        <r>
          <rPr>
            <sz val="10"/>
            <color indexed="56"/>
            <rFont val="Tahoma"/>
            <family val="2"/>
          </rPr>
          <t>DATA LIMITE PARA PAGAMENTO DA RESCISÃO</t>
        </r>
      </text>
    </comment>
    <comment ref="L41" authorId="0" shapeId="0" xr:uid="{00000000-0006-0000-0100-00000E000000}">
      <text>
        <r>
          <rPr>
            <sz val="10"/>
            <color indexed="56"/>
            <rFont val="Tahoma"/>
            <family val="2"/>
          </rPr>
          <t>INFORME O TOTAL DEPOSITADO NA CONTA DO FGTS</t>
        </r>
      </text>
    </comment>
  </commentList>
</comments>
</file>

<file path=xl/sharedStrings.xml><?xml version="1.0" encoding="utf-8"?>
<sst xmlns="http://schemas.openxmlformats.org/spreadsheetml/2006/main" count="166" uniqueCount="117">
  <si>
    <t>ADMISSÃO</t>
  </si>
  <si>
    <t>DEMISSÃO</t>
  </si>
  <si>
    <t>SALÁRIO BASE</t>
  </si>
  <si>
    <t>AVISO PRÉVIO</t>
  </si>
  <si>
    <t>DISPENSA DO EMPREGADO SEM JUSTA CAUSA</t>
  </si>
  <si>
    <t>PEDIDO DE DEMISSÃO POR INCIATIVA DO EMPREGADO</t>
  </si>
  <si>
    <t>TÉRMINO DE CONTRATO DE TRABALHO A TERMO</t>
  </si>
  <si>
    <t>SALDO DE SALÁRIO</t>
  </si>
  <si>
    <t>13º SALÁRIO PROP.</t>
  </si>
  <si>
    <t>13º SAL. VARIÁVEL</t>
  </si>
  <si>
    <t>FÉRIAS VENCIDAS</t>
  </si>
  <si>
    <t>FÉRIAS PROPORCIONAIS</t>
  </si>
  <si>
    <t>HORA EXTRA 100%</t>
  </si>
  <si>
    <t xml:space="preserve">HORA EXTRA </t>
  </si>
  <si>
    <t>13º SAL. INDENIZADO</t>
  </si>
  <si>
    <t>FÉRIAS INDENIZADAS</t>
  </si>
  <si>
    <t>PROVENTOS</t>
  </si>
  <si>
    <t>AVISO PRÉVIO INDEN.</t>
  </si>
  <si>
    <t>ADIANTAMENTOS</t>
  </si>
  <si>
    <t>DESCONTOS</t>
  </si>
  <si>
    <t>TOTAL DE VENCIMENTOS</t>
  </si>
  <si>
    <t>TOTAL DE DESCONTOS</t>
  </si>
  <si>
    <t>AP</t>
  </si>
  <si>
    <t>MOT</t>
  </si>
  <si>
    <t>NÃO</t>
  </si>
  <si>
    <t>SIM</t>
  </si>
  <si>
    <t>01/03</t>
  </si>
  <si>
    <t>-</t>
  </si>
  <si>
    <t>QUANTIDADE</t>
  </si>
  <si>
    <t>INDENIZADO</t>
  </si>
  <si>
    <t>DE</t>
  </si>
  <si>
    <t>ACIMA DE</t>
  </si>
  <si>
    <t>ATÉ</t>
  </si>
  <si>
    <t>ALÍQUOTA</t>
  </si>
  <si>
    <t>DEDUÇÃO</t>
  </si>
  <si>
    <t>Dep</t>
  </si>
  <si>
    <t>INSS</t>
  </si>
  <si>
    <t>FGTS DEPOSITADO</t>
  </si>
  <si>
    <t>FGTS (AVISO PRÉVIO)</t>
  </si>
  <si>
    <t>FGTS (VENCIMENTOS)</t>
  </si>
  <si>
    <t>MULTA 50% FGTS</t>
  </si>
  <si>
    <t>TOTAL CONTA FGTS</t>
  </si>
  <si>
    <t>CÁLCULO DE SEGURO DESEMPREGO</t>
  </si>
  <si>
    <t>PARCELAS</t>
  </si>
  <si>
    <t>MÉDIA SALARIAL</t>
  </si>
  <si>
    <t>CÁLCULO DE MULTA DO FGTS</t>
  </si>
  <si>
    <t>DEPEND.</t>
  </si>
  <si>
    <t>% H.E.</t>
  </si>
  <si>
    <t>FALTAS/ATRASOS</t>
  </si>
  <si>
    <t xml:space="preserve">FUNCIONÁRIO.: </t>
  </si>
  <si>
    <t xml:space="preserve">EMPRESA.....: </t>
  </si>
  <si>
    <t></t>
  </si>
  <si>
    <t>MÉDIAS H.E.</t>
  </si>
  <si>
    <t>MOTIVO......:</t>
  </si>
  <si>
    <t>FÉRIAS VENCIDAS?</t>
  </si>
  <si>
    <t>ATRASOS/FALTAS</t>
  </si>
  <si>
    <t>SEGURO</t>
  </si>
  <si>
    <t>VALOR FIXO</t>
  </si>
  <si>
    <t>Ñ TRABALHADO</t>
  </si>
  <si>
    <t>TRABALHADO</t>
  </si>
  <si>
    <t>Salário</t>
  </si>
  <si>
    <t>13º</t>
  </si>
  <si>
    <t>Férias</t>
  </si>
  <si>
    <t>Desc</t>
  </si>
  <si>
    <t>RESCISÃO + MULTA FGTS + SEGURO DESEMPREGO:</t>
  </si>
  <si>
    <t>LÍQUIDO DE RESCISÃO:</t>
  </si>
  <si>
    <t>PEDIDO DE DEMISSÃO POR INICIATIVA DO EMPREGADO</t>
  </si>
  <si>
    <t>RESCISÃO</t>
  </si>
  <si>
    <t>VALOR LÍQUIDO DA RESCISÃO:</t>
  </si>
  <si>
    <t>FUNDO DE GARANTIA</t>
  </si>
  <si>
    <t>SEGURO DESEMPREGO (VALORES ESTIMADOS):</t>
  </si>
  <si>
    <t>QUANTIDADE DE PARCELAS:</t>
  </si>
  <si>
    <t>VALOR TOTAL A RECEBER:</t>
  </si>
  <si>
    <t>RESCISÃO:</t>
  </si>
  <si>
    <t>MULTA DO FGTS:</t>
  </si>
  <si>
    <t>FGTS DEPOSITADO:</t>
  </si>
  <si>
    <t>SEGURO DESEMPREGO:</t>
  </si>
  <si>
    <t>TOTAL A RECEBER:</t>
  </si>
  <si>
    <t>SALÁRIO MÍNIMO (NACIONAL) VIGENTE</t>
  </si>
  <si>
    <t>EM DOBRO</t>
  </si>
  <si>
    <t>IMPORTANTE: VALORES SUJEITOS A VARIAÇÕES</t>
  </si>
  <si>
    <t>salário</t>
  </si>
  <si>
    <t>férias</t>
  </si>
  <si>
    <t>GRRF (CALCULAR 50%)</t>
  </si>
  <si>
    <t>GRRF (CALCULAR 40%)</t>
  </si>
  <si>
    <t>TOTAL A RECEBER (SEGURO DESEMPREGO):</t>
  </si>
  <si>
    <t>VALOR POR PARCELA:</t>
  </si>
  <si>
    <t>TOTAL DEPOSITADO NA CONTA DO FGTS:</t>
  </si>
  <si>
    <t>(DOM.)</t>
  </si>
  <si>
    <t>(SEG.)</t>
  </si>
  <si>
    <t>(TER.)</t>
  </si>
  <si>
    <t>(QUA.)</t>
  </si>
  <si>
    <t>(QUI.)</t>
  </si>
  <si>
    <t>(SEX.)</t>
  </si>
  <si>
    <t>(SÁB.)</t>
  </si>
  <si>
    <t>1/3 SOBRE FÉRIAS</t>
  </si>
  <si>
    <t>INSS SOBRE 13º SALÁRIO</t>
  </si>
  <si>
    <t>IRRF SOBRE SALÁRIO</t>
  </si>
  <si>
    <t>IRRF SOBRE 13º SALÁRIO</t>
  </si>
  <si>
    <t>VALOR POR PARCELA</t>
  </si>
  <si>
    <t>TOTAL SEGURO DESEMPREGO:</t>
  </si>
  <si>
    <t>TOTAL GUIA GRFC:</t>
  </si>
  <si>
    <t>TOTAL GRFC (SOMENTE A PARTE DO FUNCIONÁRIO):</t>
  </si>
  <si>
    <t>ATENÇÃO: Planilha com fórmulas travada. Células para preenchimento estão destravadas.</t>
  </si>
  <si>
    <t>DEDUÇÃO POR DEPENDENTE</t>
  </si>
  <si>
    <t>Adriano Rodrigues</t>
  </si>
  <si>
    <t>LIMITE</t>
  </si>
  <si>
    <r>
      <t xml:space="preserve">Para mais planilhas, acesse o meu site: </t>
    </r>
    <r>
      <rPr>
        <b/>
        <sz val="10"/>
        <color indexed="17"/>
        <rFont val="Arial"/>
        <family val="2"/>
      </rPr>
      <t>www.drinoplanilhas.com.br</t>
    </r>
  </si>
  <si>
    <t>INSS SOBRE SALDO DE SALÁRIOS</t>
  </si>
  <si>
    <r>
      <t xml:space="preserve">Importante! Todo material contido nesta planilha é de minha autoria.
</t>
    </r>
    <r>
      <rPr>
        <sz val="10"/>
        <color indexed="10"/>
        <rFont val="Arial"/>
        <family val="2"/>
      </rPr>
      <t>Não é permitida a cópia desta planilha para</t>
    </r>
    <r>
      <rPr>
        <b/>
        <sz val="10"/>
        <color indexed="10"/>
        <rFont val="Arial"/>
        <family val="2"/>
      </rPr>
      <t xml:space="preserve"> "revenda" </t>
    </r>
    <r>
      <rPr>
        <sz val="10"/>
        <color indexed="10"/>
        <rFont val="Arial"/>
        <family val="2"/>
      </rPr>
      <t>sem a prévia autorização do autor.
A planilha é propriedade intelectual do autor e é protegida através das leis de direitos autorais.</t>
    </r>
  </si>
  <si>
    <t>Suporte pós-venda para esclarecer quaisquer dúvidas que possam surgir:
contato@drinoplanilhas.com.br</t>
  </si>
  <si>
    <t>TABELA DE CONTRIBUIÇÃO - INSS - 2023</t>
  </si>
  <si>
    <t>TABELA DE IMPOSTO DE RENDA SOBRE SALÁRIOS - 2023</t>
  </si>
  <si>
    <t>TABELA DE RECEBIMENTO DO SEGURO DESEMPREGO - 2023</t>
  </si>
  <si>
    <t>2023</t>
  </si>
  <si>
    <t>CÁLCULO PRÉVIO DE RESCISÃO</t>
  </si>
  <si>
    <t>RESUMO DE CÁLCULO DE RESCISÃO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</si>
</sst>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dd/mm/yy"/>
    <numFmt numFmtId="165" formatCode="[hh]:mm"/>
    <numFmt numFmtId="166" formatCode="0.0%"/>
    <numFmt numFmtId="167" formatCode="&quot;R$ &quot;#,##0.00"/>
    <numFmt numFmtId="168" formatCode="00&quot;/&quot;00"/>
    <numFmt numFmtId="169" formatCode="_([$€-2]* #,##0.00_);_([$€-2]* \(#,##0.00\);_([$€-2]* &quot;-&quot;??_)"/>
  </numFmts>
  <fonts count="51" x14ac:knownFonts="1">
    <font>
      <sz val="10"/>
      <name val="Arial"/>
    </font>
    <font>
      <sz val="10"/>
      <name val="Arial"/>
      <family val="2"/>
    </font>
    <font>
      <sz val="10"/>
      <name val="Courier New"/>
      <family val="3"/>
    </font>
    <font>
      <sz val="8"/>
      <name val="Arial"/>
      <family val="2"/>
    </font>
    <font>
      <b/>
      <sz val="12"/>
      <name val="Courier New"/>
      <family val="3"/>
    </font>
    <font>
      <b/>
      <sz val="10"/>
      <name val="Courier New"/>
      <family val="3"/>
    </font>
    <font>
      <sz val="12"/>
      <name val="Courier New"/>
      <family val="3"/>
    </font>
    <font>
      <i/>
      <sz val="10"/>
      <name val="Courier New"/>
      <family val="3"/>
    </font>
    <font>
      <b/>
      <i/>
      <sz val="10"/>
      <name val="Courier New"/>
      <family val="3"/>
    </font>
    <font>
      <b/>
      <sz val="12"/>
      <color indexed="63"/>
      <name val="Courier New"/>
      <family val="3"/>
    </font>
    <font>
      <sz val="8"/>
      <name val="Wingdings"/>
      <charset val="2"/>
    </font>
    <font>
      <sz val="11"/>
      <name val="Wingdings"/>
      <charset val="2"/>
    </font>
    <font>
      <sz val="10"/>
      <color indexed="56"/>
      <name val="Tahoma"/>
      <family val="2"/>
    </font>
    <font>
      <sz val="12"/>
      <color indexed="56"/>
      <name val="Courier New"/>
      <family val="3"/>
    </font>
    <font>
      <sz val="10"/>
      <name val="Arial"/>
      <family val="2"/>
    </font>
    <font>
      <i/>
      <sz val="8"/>
      <name val="Courier New"/>
      <family val="3"/>
    </font>
    <font>
      <b/>
      <i/>
      <sz val="11"/>
      <name val="Courier New"/>
      <family val="3"/>
    </font>
    <font>
      <sz val="8"/>
      <name val="Courier New"/>
      <family val="3"/>
    </font>
    <font>
      <sz val="10"/>
      <name val="Arial"/>
      <family val="2"/>
    </font>
    <font>
      <sz val="9"/>
      <name val="Courier New"/>
      <family val="3"/>
    </font>
    <font>
      <b/>
      <i/>
      <sz val="8"/>
      <name val="Courier New"/>
      <family val="3"/>
    </font>
    <font>
      <sz val="12"/>
      <name val="Arial Rounded MT Bold"/>
      <family val="2"/>
    </font>
    <font>
      <b/>
      <i/>
      <sz val="12"/>
      <name val="Courier New"/>
      <family val="3"/>
    </font>
    <font>
      <sz val="6"/>
      <name val="Courier New"/>
      <family val="3"/>
    </font>
    <font>
      <sz val="18"/>
      <name val="Arial Rounded MT Bold"/>
      <family val="2"/>
    </font>
    <font>
      <sz val="5"/>
      <name val="Courier New"/>
      <family val="3"/>
    </font>
    <font>
      <sz val="2"/>
      <name val="Courier New"/>
      <family val="3"/>
    </font>
    <font>
      <u/>
      <sz val="10"/>
      <color indexed="12"/>
      <name val="Arial"/>
      <family val="2"/>
    </font>
    <font>
      <sz val="9"/>
      <color indexed="9"/>
      <name val="Arial Rounded MT Bold"/>
      <family val="2"/>
    </font>
    <font>
      <sz val="12"/>
      <color indexed="10"/>
      <name val="Courier New"/>
      <family val="3"/>
    </font>
    <font>
      <b/>
      <sz val="12"/>
      <color indexed="10"/>
      <name val="Courier New"/>
      <family val="3"/>
    </font>
    <font>
      <sz val="10"/>
      <color indexed="9"/>
      <name val="Arial Rounded MT Bold"/>
      <family val="2"/>
    </font>
    <font>
      <b/>
      <sz val="15"/>
      <color indexed="23"/>
      <name val="Courier New"/>
      <family val="3"/>
    </font>
    <font>
      <u/>
      <sz val="18"/>
      <color indexed="12"/>
      <name val="Arial Rounded MT Bold"/>
      <family val="2"/>
    </font>
    <font>
      <sz val="10"/>
      <color indexed="12"/>
      <name val="Arial Rounded MT Bold"/>
      <family val="2"/>
    </font>
    <font>
      <sz val="12"/>
      <color indexed="18"/>
      <name val="Courier New"/>
      <family val="3"/>
    </font>
    <font>
      <sz val="10"/>
      <color indexed="8"/>
      <name val="Calibri"/>
      <family val="2"/>
    </font>
    <font>
      <b/>
      <sz val="10"/>
      <color indexed="63"/>
      <name val="Arial"/>
      <family val="2"/>
    </font>
    <font>
      <b/>
      <sz val="10"/>
      <name val="Arial"/>
      <family val="2"/>
    </font>
    <font>
      <b/>
      <sz val="11"/>
      <color indexed="9"/>
      <name val="Arial"/>
      <family val="2"/>
    </font>
    <font>
      <b/>
      <sz val="11"/>
      <color indexed="63"/>
      <name val="Arial"/>
      <family val="2"/>
    </font>
    <font>
      <b/>
      <sz val="11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u/>
      <sz val="10"/>
      <color theme="10"/>
      <name val="Arial"/>
      <family val="2"/>
    </font>
    <font>
      <sz val="10"/>
      <color theme="1"/>
      <name val="Courier New"/>
      <family val="2"/>
    </font>
    <font>
      <b/>
      <sz val="11"/>
      <name val="Calibri"/>
      <family val="2"/>
    </font>
    <font>
      <b/>
      <sz val="20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/>
      <right/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3"/>
      </top>
      <bottom/>
      <diagonal/>
    </border>
    <border>
      <left/>
      <right style="thin">
        <color indexed="22"/>
      </right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23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23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23"/>
      </bottom>
      <diagonal/>
    </border>
    <border>
      <left style="hair">
        <color indexed="64"/>
      </left>
      <right style="thin">
        <color indexed="23"/>
      </right>
      <top style="hair">
        <color indexed="64"/>
      </top>
      <bottom style="thin">
        <color indexed="23"/>
      </bottom>
      <diagonal/>
    </border>
    <border>
      <left style="thin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 style="thin">
        <color indexed="23"/>
      </left>
      <right style="hair">
        <color indexed="64"/>
      </right>
      <top style="thin">
        <color indexed="23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23"/>
      </top>
      <bottom style="hair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23"/>
      </top>
      <bottom style="thin">
        <color indexed="23"/>
      </bottom>
      <diagonal/>
    </border>
    <border>
      <left style="hair">
        <color indexed="64"/>
      </left>
      <right/>
      <top style="thin">
        <color indexed="23"/>
      </top>
      <bottom style="hair">
        <color indexed="64"/>
      </bottom>
      <diagonal/>
    </border>
    <border>
      <left/>
      <right/>
      <top style="thin">
        <color indexed="23"/>
      </top>
      <bottom style="hair">
        <color indexed="64"/>
      </bottom>
      <diagonal/>
    </border>
    <border>
      <left/>
      <right style="thin">
        <color indexed="23"/>
      </right>
      <top style="thin">
        <color indexed="23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23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indexed="23"/>
      </right>
      <top style="hair">
        <color indexed="64"/>
      </top>
      <bottom/>
      <diagonal/>
    </border>
    <border>
      <left style="thin">
        <color indexed="23"/>
      </left>
      <right style="hair">
        <color indexed="64"/>
      </right>
      <top style="hair">
        <color indexed="64"/>
      </top>
      <bottom style="thin">
        <color indexed="23"/>
      </bottom>
      <diagonal/>
    </border>
    <border>
      <left style="hair">
        <color indexed="64"/>
      </left>
      <right/>
      <top style="thin">
        <color indexed="23"/>
      </top>
      <bottom/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 style="hair">
        <color indexed="64"/>
      </left>
      <right style="thin">
        <color indexed="23"/>
      </right>
      <top style="thin">
        <color indexed="23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23"/>
      </top>
      <bottom style="medium">
        <color indexed="23"/>
      </bottom>
      <diagonal/>
    </border>
    <border>
      <left style="hair">
        <color indexed="64"/>
      </left>
      <right style="hair">
        <color indexed="64"/>
      </right>
      <top style="medium">
        <color indexed="23"/>
      </top>
      <bottom style="medium">
        <color indexed="23"/>
      </bottom>
      <diagonal/>
    </border>
    <border>
      <left style="hair">
        <color indexed="64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64"/>
      </bottom>
      <diagonal/>
    </border>
    <border>
      <left/>
      <right style="hair">
        <color indexed="64"/>
      </right>
      <top style="thin">
        <color indexed="23"/>
      </top>
      <bottom style="hair">
        <color indexed="64"/>
      </bottom>
      <diagonal/>
    </border>
    <border>
      <left style="thin">
        <color indexed="23"/>
      </left>
      <right/>
      <top style="hair">
        <color indexed="64"/>
      </top>
      <bottom style="hair">
        <color indexed="64"/>
      </bottom>
      <diagonal/>
    </border>
    <border>
      <left style="medium">
        <color indexed="23"/>
      </left>
      <right style="hair">
        <color indexed="64"/>
      </right>
      <top style="medium">
        <color indexed="23"/>
      </top>
      <bottom style="medium">
        <color indexed="23"/>
      </bottom>
      <diagonal/>
    </border>
    <border>
      <left style="hair">
        <color indexed="64"/>
      </left>
      <right/>
      <top style="medium">
        <color indexed="23"/>
      </top>
      <bottom style="medium">
        <color indexed="23"/>
      </bottom>
      <diagonal/>
    </border>
    <border>
      <left/>
      <right style="hair">
        <color indexed="64"/>
      </right>
      <top/>
      <bottom/>
      <diagonal/>
    </border>
    <border>
      <left/>
      <right style="thin">
        <color indexed="22"/>
      </right>
      <top style="thin">
        <color indexed="22"/>
      </top>
      <bottom/>
      <diagonal/>
    </border>
  </borders>
  <cellStyleXfs count="15">
    <xf numFmtId="0" fontId="0" fillId="0" borderId="0"/>
    <xf numFmtId="169" fontId="14" fillId="0" borderId="0" applyFont="0" applyFill="0" applyBorder="0" applyAlignment="0" applyProtection="0"/>
    <xf numFmtId="21" fontId="1" fillId="0" borderId="0">
      <alignment horizontal="center"/>
    </xf>
    <xf numFmtId="0" fontId="27" fillId="0" borderId="2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47" fillId="0" borderId="0" applyNumberFormat="0" applyFill="0" applyBorder="0" applyAlignment="0" applyProtection="0">
      <alignment vertical="top"/>
      <protection locked="0"/>
    </xf>
    <xf numFmtId="0" fontId="42" fillId="0" borderId="0" applyNumberFormat="0" applyFill="0" applyBorder="0" applyAlignment="0" applyProtection="0">
      <alignment vertical="top"/>
      <protection locked="0"/>
    </xf>
    <xf numFmtId="0" fontId="48" fillId="0" borderId="0"/>
    <xf numFmtId="0" fontId="14" fillId="0" borderId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" fillId="0" borderId="0"/>
    <xf numFmtId="0" fontId="27" fillId="0" borderId="0" applyNumberFormat="0" applyFill="0" applyBorder="0" applyAlignment="0" applyProtection="0">
      <alignment vertical="top"/>
      <protection locked="0"/>
    </xf>
  </cellStyleXfs>
  <cellXfs count="305">
    <xf numFmtId="0" fontId="0" fillId="0" borderId="0" xfId="0"/>
    <xf numFmtId="43" fontId="6" fillId="0" borderId="0" xfId="1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3" fontId="6" fillId="0" borderId="0" xfId="11" applyFont="1" applyFill="1" applyAlignment="1" applyProtection="1">
      <alignment horizontal="center" vertical="center"/>
    </xf>
    <xf numFmtId="0" fontId="6" fillId="0" borderId="0" xfId="11" applyNumberFormat="1" applyFont="1" applyFill="1" applyAlignment="1" applyProtection="1">
      <alignment horizontal="center" vertical="center"/>
    </xf>
    <xf numFmtId="43" fontId="4" fillId="0" borderId="0" xfId="11" applyFont="1" applyFill="1" applyAlignment="1" applyProtection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indent="2"/>
    </xf>
    <xf numFmtId="0" fontId="2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164" fontId="2" fillId="0" borderId="0" xfId="0" applyNumberFormat="1" applyFont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9" fontId="2" fillId="0" borderId="0" xfId="9" applyFont="1" applyFill="1" applyAlignment="1">
      <alignment horizontal="center" vertical="center"/>
    </xf>
    <xf numFmtId="0" fontId="2" fillId="0" borderId="0" xfId="9" applyNumberFormat="1" applyFont="1" applyFill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6" fillId="0" borderId="0" xfId="11" applyNumberFormat="1" applyFont="1" applyFill="1" applyAlignment="1">
      <alignment horizontal="center" vertical="center"/>
    </xf>
    <xf numFmtId="10" fontId="2" fillId="0" borderId="0" xfId="9" applyNumberFormat="1" applyFont="1" applyFill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43" fontId="2" fillId="0" borderId="0" xfId="11" applyFont="1" applyFill="1" applyAlignment="1">
      <alignment horizontal="center" vertical="center"/>
    </xf>
    <xf numFmtId="166" fontId="2" fillId="0" borderId="0" xfId="9" applyNumberFormat="1" applyFont="1" applyFill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43" fontId="11" fillId="0" borderId="0" xfId="1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left" vertical="center" indent="1"/>
    </xf>
    <xf numFmtId="43" fontId="2" fillId="0" borderId="0" xfId="0" applyNumberFormat="1" applyFont="1" applyAlignment="1">
      <alignment horizontal="left" vertical="center" indent="1"/>
    </xf>
    <xf numFmtId="167" fontId="2" fillId="0" borderId="0" xfId="0" applyNumberFormat="1" applyFont="1" applyAlignment="1">
      <alignment horizontal="left" vertical="center" indent="1"/>
    </xf>
    <xf numFmtId="0" fontId="17" fillId="0" borderId="0" xfId="0" applyFont="1" applyAlignment="1">
      <alignment vertical="center" textRotation="90"/>
    </xf>
    <xf numFmtId="0" fontId="17" fillId="0" borderId="0" xfId="0" applyFont="1" applyAlignment="1">
      <alignment horizontal="left" vertical="center" indent="1"/>
    </xf>
    <xf numFmtId="0" fontId="21" fillId="3" borderId="0" xfId="0" applyFont="1" applyFill="1" applyAlignment="1">
      <alignment vertical="center"/>
    </xf>
    <xf numFmtId="43" fontId="29" fillId="0" borderId="0" xfId="11" applyFont="1" applyFill="1" applyAlignment="1" applyProtection="1">
      <alignment horizontal="center" vertical="center"/>
    </xf>
    <xf numFmtId="43" fontId="30" fillId="0" borderId="0" xfId="11" applyFont="1" applyFill="1" applyAlignment="1" applyProtection="1">
      <alignment horizontal="center" vertical="center"/>
    </xf>
    <xf numFmtId="0" fontId="19" fillId="0" borderId="0" xfId="0" applyFont="1" applyAlignment="1">
      <alignment horizontal="center" vertical="center"/>
    </xf>
    <xf numFmtId="9" fontId="25" fillId="0" borderId="0" xfId="9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166" fontId="25" fillId="0" borderId="0" xfId="9" applyNumberFormat="1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43" fontId="26" fillId="0" borderId="0" xfId="11" applyFont="1" applyFill="1" applyAlignment="1">
      <alignment horizontal="center" vertical="center"/>
    </xf>
    <xf numFmtId="167" fontId="5" fillId="0" borderId="0" xfId="0" applyNumberFormat="1" applyFont="1" applyAlignment="1">
      <alignment horizontal="left" vertical="center" indent="1"/>
    </xf>
    <xf numFmtId="43" fontId="6" fillId="3" borderId="0" xfId="11" applyFont="1" applyFill="1" applyAlignment="1" applyProtection="1">
      <alignment horizontal="center" vertical="center"/>
    </xf>
    <xf numFmtId="43" fontId="4" fillId="3" borderId="0" xfId="11" applyFont="1" applyFill="1" applyAlignment="1" applyProtection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43" fontId="6" fillId="2" borderId="8" xfId="11" applyFont="1" applyFill="1" applyBorder="1" applyAlignment="1" applyProtection="1">
      <alignment horizontal="center" vertical="center"/>
    </xf>
    <xf numFmtId="43" fontId="6" fillId="2" borderId="9" xfId="11" applyFont="1" applyFill="1" applyBorder="1" applyAlignment="1" applyProtection="1">
      <alignment horizontal="center" vertical="center"/>
    </xf>
    <xf numFmtId="43" fontId="6" fillId="2" borderId="10" xfId="11" applyFont="1" applyFill="1" applyBorder="1" applyAlignment="1" applyProtection="1">
      <alignment horizontal="center" vertical="center"/>
    </xf>
    <xf numFmtId="43" fontId="6" fillId="2" borderId="11" xfId="11" applyFont="1" applyFill="1" applyBorder="1" applyAlignment="1" applyProtection="1">
      <alignment horizontal="center" vertical="center"/>
    </xf>
    <xf numFmtId="43" fontId="6" fillId="2" borderId="12" xfId="11" applyFont="1" applyFill="1" applyBorder="1" applyAlignment="1" applyProtection="1">
      <alignment horizontal="center" vertical="center"/>
    </xf>
    <xf numFmtId="43" fontId="6" fillId="2" borderId="13" xfId="11" applyFont="1" applyFill="1" applyBorder="1" applyAlignment="1" applyProtection="1">
      <alignment horizontal="center" vertical="center"/>
    </xf>
    <xf numFmtId="43" fontId="9" fillId="2" borderId="5" xfId="11" applyFont="1" applyFill="1" applyBorder="1" applyAlignment="1" applyProtection="1">
      <alignment horizontal="center" vertical="center"/>
    </xf>
    <xf numFmtId="43" fontId="35" fillId="2" borderId="8" xfId="11" applyFont="1" applyFill="1" applyBorder="1" applyAlignment="1" applyProtection="1">
      <alignment horizontal="center"/>
    </xf>
    <xf numFmtId="43" fontId="35" fillId="2" borderId="11" xfId="11" applyFont="1" applyFill="1" applyBorder="1" applyAlignment="1" applyProtection="1">
      <alignment horizontal="center"/>
    </xf>
    <xf numFmtId="43" fontId="35" fillId="2" borderId="9" xfId="11" applyFont="1" applyFill="1" applyBorder="1" applyAlignment="1" applyProtection="1">
      <alignment horizontal="center"/>
    </xf>
    <xf numFmtId="43" fontId="35" fillId="2" borderId="12" xfId="11" applyFont="1" applyFill="1" applyBorder="1" applyAlignment="1" applyProtection="1">
      <alignment horizontal="center"/>
    </xf>
    <xf numFmtId="43" fontId="4" fillId="2" borderId="5" xfId="11" applyFont="1" applyFill="1" applyBorder="1" applyAlignment="1" applyProtection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43" fontId="40" fillId="2" borderId="0" xfId="11" applyFont="1" applyFill="1" applyBorder="1" applyAlignment="1" applyProtection="1">
      <alignment horizontal="center" vertical="center"/>
    </xf>
    <xf numFmtId="43" fontId="40" fillId="2" borderId="5" xfId="11" applyFont="1" applyFill="1" applyBorder="1" applyAlignment="1" applyProtection="1">
      <alignment horizontal="center" vertical="center"/>
    </xf>
    <xf numFmtId="43" fontId="41" fillId="2" borderId="5" xfId="11" applyFont="1" applyFill="1" applyBorder="1" applyAlignment="1" applyProtection="1">
      <alignment horizontal="center" vertical="center"/>
    </xf>
    <xf numFmtId="43" fontId="41" fillId="2" borderId="0" xfId="11" applyFont="1" applyFill="1" applyBorder="1" applyAlignment="1" applyProtection="1">
      <alignment horizontal="center" vertical="center"/>
    </xf>
    <xf numFmtId="43" fontId="37" fillId="3" borderId="1" xfId="11" applyFont="1" applyFill="1" applyBorder="1" applyAlignment="1" applyProtection="1">
      <alignment horizontal="center" vertical="center"/>
    </xf>
    <xf numFmtId="4" fontId="40" fillId="3" borderId="1" xfId="11" applyNumberFormat="1" applyFont="1" applyFill="1" applyBorder="1" applyAlignment="1" applyProtection="1">
      <alignment horizontal="center" vertical="center"/>
      <protection locked="0"/>
    </xf>
    <xf numFmtId="43" fontId="37" fillId="4" borderId="1" xfId="11" applyFont="1" applyFill="1" applyBorder="1" applyAlignment="1" applyProtection="1">
      <alignment horizontal="center" vertical="center"/>
    </xf>
    <xf numFmtId="4" fontId="40" fillId="4" borderId="1" xfId="11" applyNumberFormat="1" applyFont="1" applyFill="1" applyBorder="1" applyAlignment="1" applyProtection="1">
      <alignment horizontal="center" vertical="center"/>
      <protection locked="0"/>
    </xf>
    <xf numFmtId="10" fontId="40" fillId="3" borderId="1" xfId="9" applyNumberFormat="1" applyFont="1" applyFill="1" applyBorder="1" applyAlignment="1" applyProtection="1">
      <alignment horizontal="center" vertical="center"/>
      <protection locked="0"/>
    </xf>
    <xf numFmtId="10" fontId="40" fillId="4" borderId="1" xfId="9" applyNumberFormat="1" applyFont="1" applyFill="1" applyBorder="1" applyAlignment="1" applyProtection="1">
      <alignment horizontal="center" vertical="center"/>
      <protection locked="0"/>
    </xf>
    <xf numFmtId="166" fontId="40" fillId="3" borderId="1" xfId="9" applyNumberFormat="1" applyFont="1" applyFill="1" applyBorder="1" applyAlignment="1" applyProtection="1">
      <alignment horizontal="center" vertical="center"/>
      <protection locked="0"/>
    </xf>
    <xf numFmtId="166" fontId="40" fillId="4" borderId="1" xfId="9" applyNumberFormat="1" applyFont="1" applyFill="1" applyBorder="1" applyAlignment="1" applyProtection="1">
      <alignment horizontal="center" vertical="center"/>
      <protection locked="0"/>
    </xf>
    <xf numFmtId="43" fontId="40" fillId="4" borderId="1" xfId="11" applyFont="1" applyFill="1" applyBorder="1" applyAlignment="1" applyProtection="1">
      <alignment horizontal="center" vertical="center"/>
      <protection locked="0"/>
    </xf>
    <xf numFmtId="4" fontId="40" fillId="3" borderId="1" xfId="0" applyNumberFormat="1" applyFont="1" applyFill="1" applyBorder="1" applyAlignment="1" applyProtection="1">
      <alignment horizontal="center" vertical="center"/>
      <protection locked="0"/>
    </xf>
    <xf numFmtId="9" fontId="40" fillId="3" borderId="1" xfId="9" applyFont="1" applyFill="1" applyBorder="1" applyAlignment="1" applyProtection="1">
      <alignment horizontal="center" vertical="center"/>
      <protection locked="0"/>
    </xf>
    <xf numFmtId="4" fontId="40" fillId="4" borderId="1" xfId="0" applyNumberFormat="1" applyFont="1" applyFill="1" applyBorder="1" applyAlignment="1" applyProtection="1">
      <alignment horizontal="center" vertical="center"/>
      <protection locked="0"/>
    </xf>
    <xf numFmtId="9" fontId="40" fillId="4" borderId="1" xfId="9" applyFont="1" applyFill="1" applyBorder="1" applyAlignment="1" applyProtection="1">
      <alignment horizontal="center" vertical="center"/>
      <protection locked="0"/>
    </xf>
    <xf numFmtId="4" fontId="40" fillId="3" borderId="1" xfId="0" applyNumberFormat="1" applyFont="1" applyFill="1" applyBorder="1" applyAlignment="1">
      <alignment horizontal="center" vertical="center"/>
    </xf>
    <xf numFmtId="4" fontId="40" fillId="3" borderId="1" xfId="11" applyNumberFormat="1" applyFont="1" applyFill="1" applyBorder="1" applyAlignment="1" applyProtection="1">
      <alignment horizontal="center" vertical="center"/>
    </xf>
    <xf numFmtId="4" fontId="40" fillId="4" borderId="1" xfId="11" applyNumberFormat="1" applyFont="1" applyFill="1" applyBorder="1" applyAlignment="1" applyProtection="1">
      <alignment horizontal="center" vertical="center"/>
    </xf>
    <xf numFmtId="49" fontId="39" fillId="2" borderId="0" xfId="11" applyNumberFormat="1" applyFont="1" applyFill="1" applyBorder="1" applyAlignment="1" applyProtection="1">
      <alignment horizontal="center" vertical="center"/>
    </xf>
    <xf numFmtId="43" fontId="39" fillId="2" borderId="19" xfId="11" applyFont="1" applyFill="1" applyBorder="1" applyAlignment="1" applyProtection="1">
      <alignment horizontal="left" vertical="center"/>
    </xf>
    <xf numFmtId="43" fontId="39" fillId="2" borderId="0" xfId="11" applyFont="1" applyFill="1" applyBorder="1" applyAlignment="1" applyProtection="1">
      <alignment horizontal="left" vertical="center"/>
    </xf>
    <xf numFmtId="4" fontId="40" fillId="5" borderId="1" xfId="11" applyNumberFormat="1" applyFont="1" applyFill="1" applyBorder="1" applyAlignment="1" applyProtection="1">
      <alignment horizontal="center" vertical="center"/>
    </xf>
    <xf numFmtId="4" fontId="40" fillId="5" borderId="1" xfId="11" applyNumberFormat="1" applyFont="1" applyFill="1" applyBorder="1" applyAlignment="1" applyProtection="1">
      <alignment horizontal="center" vertical="center"/>
      <protection locked="0"/>
    </xf>
    <xf numFmtId="0" fontId="1" fillId="3" borderId="0" xfId="13" applyFill="1"/>
    <xf numFmtId="0" fontId="1" fillId="0" borderId="0" xfId="13"/>
    <xf numFmtId="0" fontId="1" fillId="3" borderId="14" xfId="13" applyFill="1" applyBorder="1"/>
    <xf numFmtId="0" fontId="1" fillId="3" borderId="15" xfId="13" applyFill="1" applyBorder="1"/>
    <xf numFmtId="0" fontId="38" fillId="3" borderId="0" xfId="14" applyFont="1" applyFill="1" applyBorder="1" applyAlignment="1" applyProtection="1">
      <alignment horizontal="center" vertical="center"/>
    </xf>
    <xf numFmtId="0" fontId="38" fillId="3" borderId="0" xfId="13" applyFont="1" applyFill="1" applyAlignment="1">
      <alignment horizontal="center" vertical="center"/>
    </xf>
    <xf numFmtId="0" fontId="1" fillId="3" borderId="16" xfId="13" applyFill="1" applyBorder="1"/>
    <xf numFmtId="0" fontId="38" fillId="3" borderId="17" xfId="13" applyFont="1" applyFill="1" applyBorder="1" applyAlignment="1">
      <alignment vertical="top"/>
    </xf>
    <xf numFmtId="0" fontId="1" fillId="3" borderId="17" xfId="13" applyFill="1" applyBorder="1"/>
    <xf numFmtId="0" fontId="1" fillId="3" borderId="18" xfId="13" applyFill="1" applyBorder="1"/>
    <xf numFmtId="0" fontId="31" fillId="6" borderId="0" xfId="0" applyFont="1" applyFill="1" applyAlignment="1">
      <alignment vertical="center" wrapText="1"/>
    </xf>
    <xf numFmtId="0" fontId="2" fillId="6" borderId="0" xfId="0" applyFont="1" applyFill="1" applyAlignment="1">
      <alignment horizontal="center" vertical="center"/>
    </xf>
    <xf numFmtId="0" fontId="2" fillId="6" borderId="0" xfId="0" applyFont="1" applyFill="1" applyAlignment="1">
      <alignment vertical="center"/>
    </xf>
    <xf numFmtId="0" fontId="32" fillId="6" borderId="0" xfId="4" applyFont="1" applyFill="1" applyAlignment="1" applyProtection="1">
      <alignment vertical="center"/>
    </xf>
    <xf numFmtId="0" fontId="33" fillId="6" borderId="0" xfId="4" applyFont="1" applyFill="1" applyBorder="1" applyAlignment="1" applyProtection="1">
      <alignment vertical="center" textRotation="255"/>
    </xf>
    <xf numFmtId="43" fontId="34" fillId="6" borderId="0" xfId="11" applyFont="1" applyFill="1" applyBorder="1" applyAlignment="1" applyProtection="1">
      <alignment vertical="center"/>
    </xf>
    <xf numFmtId="43" fontId="6" fillId="6" borderId="0" xfId="11" applyFont="1" applyFill="1" applyAlignment="1" applyProtection="1">
      <alignment horizontal="center" vertical="center"/>
    </xf>
    <xf numFmtId="43" fontId="13" fillId="6" borderId="0" xfId="11" applyFont="1" applyFill="1" applyAlignment="1" applyProtection="1">
      <alignment horizontal="center" vertical="center"/>
    </xf>
    <xf numFmtId="43" fontId="6" fillId="6" borderId="0" xfId="11" applyFont="1" applyFill="1" applyAlignment="1" applyProtection="1">
      <alignment vertical="center"/>
    </xf>
    <xf numFmtId="43" fontId="6" fillId="6" borderId="6" xfId="11" applyFont="1" applyFill="1" applyBorder="1" applyAlignment="1" applyProtection="1">
      <alignment vertical="center"/>
    </xf>
    <xf numFmtId="0" fontId="24" fillId="6" borderId="4" xfId="0" applyFont="1" applyFill="1" applyBorder="1" applyAlignment="1">
      <alignment vertical="center"/>
    </xf>
    <xf numFmtId="43" fontId="6" fillId="6" borderId="7" xfId="11" applyFont="1" applyFill="1" applyBorder="1" applyAlignment="1" applyProtection="1">
      <alignment vertical="center"/>
    </xf>
    <xf numFmtId="0" fontId="24" fillId="6" borderId="5" xfId="0" applyFont="1" applyFill="1" applyBorder="1" applyAlignment="1">
      <alignment vertical="center"/>
    </xf>
    <xf numFmtId="0" fontId="24" fillId="6" borderId="0" xfId="0" applyFont="1" applyFill="1" applyAlignment="1">
      <alignment vertical="center"/>
    </xf>
    <xf numFmtId="0" fontId="28" fillId="6" borderId="0" xfId="0" applyFont="1" applyFill="1" applyAlignment="1">
      <alignment vertical="center"/>
    </xf>
    <xf numFmtId="43" fontId="6" fillId="6" borderId="0" xfId="11" applyFont="1" applyFill="1" applyBorder="1" applyAlignment="1" applyProtection="1">
      <alignment horizontal="center" vertical="center"/>
    </xf>
    <xf numFmtId="43" fontId="29" fillId="6" borderId="0" xfId="11" applyFont="1" applyFill="1" applyAlignment="1" applyProtection="1">
      <alignment horizontal="center" vertical="center"/>
    </xf>
    <xf numFmtId="43" fontId="40" fillId="6" borderId="0" xfId="11" applyFont="1" applyFill="1" applyAlignment="1" applyProtection="1">
      <alignment horizontal="center" vertical="center"/>
    </xf>
    <xf numFmtId="43" fontId="4" fillId="6" borderId="0" xfId="11" applyFont="1" applyFill="1" applyAlignment="1" applyProtection="1">
      <alignment horizontal="center" vertical="center"/>
    </xf>
    <xf numFmtId="0" fontId="44" fillId="3" borderId="23" xfId="13" applyFont="1" applyFill="1" applyBorder="1" applyAlignment="1">
      <alignment horizontal="left" vertical="center" wrapText="1"/>
    </xf>
    <xf numFmtId="0" fontId="43" fillId="3" borderId="23" xfId="13" applyFont="1" applyFill="1" applyBorder="1" applyAlignment="1">
      <alignment horizontal="left" vertical="center" wrapText="1"/>
    </xf>
    <xf numFmtId="0" fontId="43" fillId="3" borderId="24" xfId="13" applyFont="1" applyFill="1" applyBorder="1" applyAlignment="1">
      <alignment horizontal="left" vertical="center" wrapText="1"/>
    </xf>
    <xf numFmtId="0" fontId="38" fillId="3" borderId="0" xfId="14" applyFont="1" applyFill="1" applyBorder="1" applyAlignment="1" applyProtection="1">
      <alignment horizontal="left" vertical="center"/>
    </xf>
    <xf numFmtId="0" fontId="38" fillId="3" borderId="25" xfId="14" applyFont="1" applyFill="1" applyBorder="1" applyAlignment="1" applyProtection="1">
      <alignment horizontal="left" vertical="center"/>
    </xf>
    <xf numFmtId="0" fontId="46" fillId="3" borderId="0" xfId="13" applyFont="1" applyFill="1" applyAlignment="1">
      <alignment horizontal="left" vertical="center" wrapText="1"/>
    </xf>
    <xf numFmtId="0" fontId="46" fillId="3" borderId="0" xfId="13" applyFont="1" applyFill="1" applyAlignment="1">
      <alignment horizontal="left" vertical="center"/>
    </xf>
    <xf numFmtId="0" fontId="46" fillId="3" borderId="25" xfId="13" applyFont="1" applyFill="1" applyBorder="1" applyAlignment="1">
      <alignment horizontal="left" vertical="center"/>
    </xf>
    <xf numFmtId="43" fontId="23" fillId="0" borderId="0" xfId="0" applyNumberFormat="1" applyFont="1" applyAlignment="1">
      <alignment horizontal="center" vertical="center"/>
    </xf>
    <xf numFmtId="43" fontId="2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0" borderId="20" xfId="0" applyFont="1" applyBorder="1" applyAlignment="1">
      <alignment horizontal="left" vertical="center" indent="1"/>
    </xf>
    <xf numFmtId="0" fontId="22" fillId="0" borderId="26" xfId="0" applyFont="1" applyBorder="1" applyAlignment="1">
      <alignment horizontal="left" vertical="center" indent="1"/>
    </xf>
    <xf numFmtId="0" fontId="8" fillId="0" borderId="20" xfId="0" applyFont="1" applyBorder="1" applyAlignment="1">
      <alignment horizontal="left" vertical="center" indent="1"/>
    </xf>
    <xf numFmtId="0" fontId="8" fillId="0" borderId="26" xfId="0" applyFont="1" applyBorder="1" applyAlignment="1">
      <alignment horizontal="left" vertical="center" indent="1"/>
    </xf>
    <xf numFmtId="0" fontId="8" fillId="0" borderId="27" xfId="0" applyFont="1" applyBorder="1" applyAlignment="1">
      <alignment horizontal="left" vertical="center" indent="1"/>
    </xf>
    <xf numFmtId="167" fontId="8" fillId="0" borderId="22" xfId="0" applyNumberFormat="1" applyFont="1" applyBorder="1" applyAlignment="1">
      <alignment horizontal="left" vertical="center" indent="1"/>
    </xf>
    <xf numFmtId="167" fontId="8" fillId="0" borderId="30" xfId="0" applyNumberFormat="1" applyFont="1" applyBorder="1" applyAlignment="1">
      <alignment horizontal="left" vertical="center" indent="1"/>
    </xf>
    <xf numFmtId="0" fontId="2" fillId="3" borderId="21" xfId="0" applyFont="1" applyFill="1" applyBorder="1" applyAlignment="1">
      <alignment horizontal="left" vertical="center" indent="1"/>
    </xf>
    <xf numFmtId="0" fontId="2" fillId="3" borderId="22" xfId="0" applyFont="1" applyFill="1" applyBorder="1" applyAlignment="1">
      <alignment horizontal="left" vertical="center" indent="1"/>
    </xf>
    <xf numFmtId="0" fontId="2" fillId="3" borderId="30" xfId="0" applyFont="1" applyFill="1" applyBorder="1" applyAlignment="1">
      <alignment horizontal="left" vertical="center" indent="1"/>
    </xf>
    <xf numFmtId="167" fontId="8" fillId="0" borderId="20" xfId="0" applyNumberFormat="1" applyFont="1" applyBorder="1" applyAlignment="1">
      <alignment horizontal="left" vertical="center" indent="1"/>
    </xf>
    <xf numFmtId="167" fontId="8" fillId="0" borderId="26" xfId="0" applyNumberFormat="1" applyFont="1" applyBorder="1" applyAlignment="1">
      <alignment horizontal="left" vertical="center" indent="1"/>
    </xf>
    <xf numFmtId="167" fontId="8" fillId="0" borderId="27" xfId="0" applyNumberFormat="1" applyFont="1" applyBorder="1" applyAlignment="1">
      <alignment horizontal="left" vertical="center" indent="1"/>
    </xf>
    <xf numFmtId="43" fontId="8" fillId="0" borderId="21" xfId="0" applyNumberFormat="1" applyFont="1" applyBorder="1" applyAlignment="1">
      <alignment horizontal="left" vertical="center" indent="1"/>
    </xf>
    <xf numFmtId="43" fontId="8" fillId="0" borderId="22" xfId="0" applyNumberFormat="1" applyFont="1" applyBorder="1" applyAlignment="1">
      <alignment horizontal="left" vertical="center" indent="1"/>
    </xf>
    <xf numFmtId="43" fontId="8" fillId="0" borderId="30" xfId="0" applyNumberFormat="1" applyFont="1" applyBorder="1" applyAlignment="1">
      <alignment horizontal="left" vertical="center" indent="1"/>
    </xf>
    <xf numFmtId="43" fontId="8" fillId="0" borderId="20" xfId="0" applyNumberFormat="1" applyFont="1" applyBorder="1" applyAlignment="1">
      <alignment horizontal="left" vertical="center" indent="1"/>
    </xf>
    <xf numFmtId="43" fontId="8" fillId="0" borderId="26" xfId="0" applyNumberFormat="1" applyFont="1" applyBorder="1" applyAlignment="1">
      <alignment horizontal="left" vertical="center" indent="1"/>
    </xf>
    <xf numFmtId="43" fontId="8" fillId="0" borderId="27" xfId="0" applyNumberFormat="1" applyFont="1" applyBorder="1" applyAlignment="1">
      <alignment horizontal="left" vertical="center" indent="1"/>
    </xf>
    <xf numFmtId="167" fontId="22" fillId="0" borderId="26" xfId="0" applyNumberFormat="1" applyFont="1" applyBorder="1" applyAlignment="1">
      <alignment horizontal="left" vertical="center" indent="1"/>
    </xf>
    <xf numFmtId="167" fontId="22" fillId="0" borderId="27" xfId="0" applyNumberFormat="1" applyFont="1" applyBorder="1" applyAlignment="1">
      <alignment horizontal="left" vertical="center" indent="1"/>
    </xf>
    <xf numFmtId="0" fontId="22" fillId="0" borderId="0" xfId="0" applyFont="1" applyAlignment="1">
      <alignment horizontal="left" vertical="center" indent="1"/>
    </xf>
    <xf numFmtId="0" fontId="2" fillId="0" borderId="21" xfId="0" applyFont="1" applyBorder="1" applyAlignment="1">
      <alignment horizontal="left" vertical="center" indent="1"/>
    </xf>
    <xf numFmtId="0" fontId="2" fillId="0" borderId="22" xfId="0" applyFont="1" applyBorder="1" applyAlignment="1">
      <alignment horizontal="left" vertical="center" indent="1"/>
    </xf>
    <xf numFmtId="0" fontId="2" fillId="3" borderId="20" xfId="0" applyFont="1" applyFill="1" applyBorder="1" applyAlignment="1">
      <alignment horizontal="left" vertical="center" indent="1"/>
    </xf>
    <xf numFmtId="0" fontId="2" fillId="3" borderId="26" xfId="0" applyFont="1" applyFill="1" applyBorder="1" applyAlignment="1">
      <alignment horizontal="left" vertical="center" indent="1"/>
    </xf>
    <xf numFmtId="167" fontId="8" fillId="3" borderId="26" xfId="0" applyNumberFormat="1" applyFont="1" applyFill="1" applyBorder="1" applyAlignment="1">
      <alignment horizontal="left" vertical="center" indent="1"/>
    </xf>
    <xf numFmtId="167" fontId="8" fillId="3" borderId="27" xfId="0" applyNumberFormat="1" applyFont="1" applyFill="1" applyBorder="1" applyAlignment="1">
      <alignment horizontal="left" vertical="center" indent="1"/>
    </xf>
    <xf numFmtId="0" fontId="2" fillId="3" borderId="28" xfId="0" applyFont="1" applyFill="1" applyBorder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167" fontId="8" fillId="3" borderId="0" xfId="0" applyNumberFormat="1" applyFont="1" applyFill="1" applyAlignment="1">
      <alignment horizontal="left" vertical="center" indent="1"/>
    </xf>
    <xf numFmtId="167" fontId="8" fillId="3" borderId="29" xfId="0" applyNumberFormat="1" applyFont="1" applyFill="1" applyBorder="1" applyAlignment="1">
      <alignment horizontal="left" vertical="center" indent="1"/>
    </xf>
    <xf numFmtId="0" fontId="2" fillId="0" borderId="28" xfId="0" applyFont="1" applyBorder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167" fontId="8" fillId="0" borderId="0" xfId="0" applyNumberFormat="1" applyFont="1" applyAlignment="1">
      <alignment horizontal="left" vertical="center" indent="1"/>
    </xf>
    <xf numFmtId="167" fontId="8" fillId="0" borderId="29" xfId="0" applyNumberFormat="1" applyFont="1" applyBorder="1" applyAlignment="1">
      <alignment horizontal="left" vertical="center" indent="1"/>
    </xf>
    <xf numFmtId="0" fontId="2" fillId="0" borderId="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43" fontId="2" fillId="0" borderId="31" xfId="11" applyFont="1" applyFill="1" applyBorder="1" applyAlignment="1">
      <alignment vertical="center"/>
    </xf>
    <xf numFmtId="43" fontId="2" fillId="0" borderId="32" xfId="11" applyFont="1" applyFill="1" applyBorder="1" applyAlignment="1">
      <alignment vertical="center"/>
    </xf>
    <xf numFmtId="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0" fontId="15" fillId="0" borderId="41" xfId="0" applyFont="1" applyBorder="1" applyAlignment="1">
      <alignment horizontal="center" vertical="center"/>
    </xf>
    <xf numFmtId="165" fontId="2" fillId="0" borderId="31" xfId="0" applyNumberFormat="1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" fontId="4" fillId="0" borderId="35" xfId="0" applyNumberFormat="1" applyFont="1" applyBorder="1" applyAlignment="1" applyProtection="1">
      <alignment horizontal="center" vertical="center"/>
      <protection locked="0"/>
    </xf>
    <xf numFmtId="4" fontId="4" fillId="0" borderId="36" xfId="0" applyNumberFormat="1" applyFont="1" applyBorder="1" applyAlignment="1" applyProtection="1">
      <alignment horizontal="center" vertical="center"/>
      <protection locked="0"/>
    </xf>
    <xf numFmtId="4" fontId="4" fillId="0" borderId="37" xfId="0" applyNumberFormat="1" applyFont="1" applyBorder="1" applyAlignment="1" applyProtection="1">
      <alignment horizontal="center" vertical="center"/>
      <protection locked="0"/>
    </xf>
    <xf numFmtId="164" fontId="4" fillId="0" borderId="35" xfId="0" applyNumberFormat="1" applyFont="1" applyBorder="1" applyAlignment="1" applyProtection="1">
      <alignment horizontal="center" vertical="center"/>
      <protection locked="0"/>
    </xf>
    <xf numFmtId="164" fontId="4" fillId="0" borderId="36" xfId="0" applyNumberFormat="1" applyFont="1" applyBorder="1" applyAlignment="1" applyProtection="1">
      <alignment horizontal="center" vertical="center"/>
      <protection locked="0"/>
    </xf>
    <xf numFmtId="164" fontId="4" fillId="0" borderId="37" xfId="0" applyNumberFormat="1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43" fontId="2" fillId="0" borderId="38" xfId="11" applyFont="1" applyFill="1" applyBorder="1" applyAlignment="1" applyProtection="1">
      <alignment vertical="center"/>
      <protection locked="0"/>
    </xf>
    <xf numFmtId="43" fontId="2" fillId="0" borderId="39" xfId="11" applyFont="1" applyFill="1" applyBorder="1" applyAlignment="1" applyProtection="1">
      <alignment vertical="center"/>
      <protection locked="0"/>
    </xf>
    <xf numFmtId="0" fontId="2" fillId="0" borderId="33" xfId="0" applyFont="1" applyBorder="1" applyAlignment="1">
      <alignment vertical="center"/>
    </xf>
    <xf numFmtId="0" fontId="2" fillId="0" borderId="31" xfId="0" applyFont="1" applyBorder="1" applyAlignment="1">
      <alignment vertical="center"/>
    </xf>
    <xf numFmtId="165" fontId="4" fillId="0" borderId="35" xfId="0" applyNumberFormat="1" applyFont="1" applyBorder="1" applyAlignment="1" applyProtection="1">
      <alignment horizontal="center" vertical="center"/>
      <protection locked="0"/>
    </xf>
    <xf numFmtId="165" fontId="4" fillId="0" borderId="36" xfId="0" applyNumberFormat="1" applyFont="1" applyBorder="1" applyAlignment="1" applyProtection="1">
      <alignment horizontal="center" vertical="center"/>
      <protection locked="0"/>
    </xf>
    <xf numFmtId="165" fontId="4" fillId="0" borderId="37" xfId="0" applyNumberFormat="1" applyFont="1" applyBorder="1" applyAlignment="1" applyProtection="1">
      <alignment horizontal="center" vertical="center"/>
      <protection locked="0"/>
    </xf>
    <xf numFmtId="0" fontId="50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4" fillId="0" borderId="26" xfId="0" applyFont="1" applyBorder="1" applyAlignment="1" applyProtection="1">
      <alignment horizontal="left" vertical="center" indent="1"/>
      <protection locked="0"/>
    </xf>
    <xf numFmtId="43" fontId="17" fillId="0" borderId="0" xfId="11" applyFont="1" applyFill="1" applyBorder="1" applyAlignment="1" applyProtection="1">
      <alignment horizontal="center" vertical="center" textRotation="90"/>
    </xf>
    <xf numFmtId="43" fontId="2" fillId="0" borderId="31" xfId="11" applyFont="1" applyFill="1" applyBorder="1" applyAlignment="1" applyProtection="1">
      <alignment vertical="center"/>
    </xf>
    <xf numFmtId="43" fontId="2" fillId="0" borderId="32" xfId="11" applyFont="1" applyFill="1" applyBorder="1" applyAlignment="1" applyProtection="1">
      <alignment vertical="center"/>
    </xf>
    <xf numFmtId="0" fontId="2" fillId="0" borderId="31" xfId="0" quotePrefix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vertical="center"/>
      <protection locked="0"/>
    </xf>
    <xf numFmtId="0" fontId="2" fillId="0" borderId="31" xfId="0" applyFont="1" applyBorder="1" applyAlignment="1" applyProtection="1">
      <alignment vertical="center"/>
      <protection locked="0"/>
    </xf>
    <xf numFmtId="166" fontId="2" fillId="0" borderId="31" xfId="9" applyNumberFormat="1" applyFont="1" applyFill="1" applyBorder="1" applyAlignment="1">
      <alignment horizontal="center" vertical="center"/>
    </xf>
    <xf numFmtId="168" fontId="2" fillId="0" borderId="3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vertical="center"/>
    </xf>
    <xf numFmtId="0" fontId="2" fillId="0" borderId="43" xfId="0" applyFont="1" applyBorder="1" applyAlignment="1">
      <alignment vertical="center"/>
    </xf>
    <xf numFmtId="16" fontId="2" fillId="0" borderId="31" xfId="0" quotePrefix="1" applyNumberFormat="1" applyFont="1" applyBorder="1" applyAlignment="1">
      <alignment horizontal="center" vertical="center"/>
    </xf>
    <xf numFmtId="9" fontId="4" fillId="0" borderId="35" xfId="9" applyFont="1" applyFill="1" applyBorder="1" applyAlignment="1" applyProtection="1">
      <alignment horizontal="center" vertical="center"/>
      <protection locked="0"/>
    </xf>
    <xf numFmtId="9" fontId="4" fillId="0" borderId="36" xfId="9" applyFont="1" applyFill="1" applyBorder="1" applyAlignment="1" applyProtection="1">
      <alignment horizontal="center" vertical="center"/>
      <protection locked="0"/>
    </xf>
    <xf numFmtId="9" fontId="4" fillId="0" borderId="37" xfId="9" applyFont="1" applyFill="1" applyBorder="1" applyAlignment="1" applyProtection="1">
      <alignment horizontal="center" vertical="center"/>
      <protection locked="0"/>
    </xf>
    <xf numFmtId="43" fontId="5" fillId="0" borderId="60" xfId="0" applyNumberFormat="1" applyFont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5" fillId="0" borderId="34" xfId="0" applyFont="1" applyBorder="1" applyAlignment="1">
      <alignment vertical="center"/>
    </xf>
    <xf numFmtId="43" fontId="4" fillId="3" borderId="61" xfId="0" applyNumberFormat="1" applyFont="1" applyFill="1" applyBorder="1" applyAlignment="1">
      <alignment vertical="center"/>
    </xf>
    <xf numFmtId="0" fontId="4" fillId="3" borderId="61" xfId="0" applyFont="1" applyFill="1" applyBorder="1" applyAlignment="1">
      <alignment vertical="center"/>
    </xf>
    <xf numFmtId="0" fontId="4" fillId="3" borderId="62" xfId="0" applyFont="1" applyFill="1" applyBorder="1" applyAlignment="1">
      <alignment vertical="center"/>
    </xf>
    <xf numFmtId="43" fontId="2" fillId="0" borderId="31" xfId="11" applyFont="1" applyFill="1" applyBorder="1" applyAlignment="1" applyProtection="1">
      <alignment vertical="center"/>
      <protection locked="0"/>
    </xf>
    <xf numFmtId="43" fontId="2" fillId="0" borderId="32" xfId="11" applyFont="1" applyFill="1" applyBorder="1" applyAlignment="1" applyProtection="1">
      <alignment vertical="center"/>
      <protection locked="0"/>
    </xf>
    <xf numFmtId="0" fontId="2" fillId="0" borderId="8" xfId="0" applyFont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5" fillId="3" borderId="63" xfId="0" applyFont="1" applyFill="1" applyBorder="1" applyAlignment="1">
      <alignment vertical="center"/>
    </xf>
    <xf numFmtId="0" fontId="5" fillId="3" borderId="61" xfId="0" applyFont="1" applyFill="1" applyBorder="1" applyAlignment="1">
      <alignment vertical="center"/>
    </xf>
    <xf numFmtId="0" fontId="4" fillId="0" borderId="35" xfId="0" applyFont="1" applyBorder="1" applyAlignment="1" applyProtection="1">
      <alignment horizontal="center" vertical="center"/>
      <protection locked="0"/>
    </xf>
    <xf numFmtId="0" fontId="4" fillId="0" borderId="36" xfId="0" applyFont="1" applyBorder="1" applyAlignment="1" applyProtection="1">
      <alignment horizontal="center" vertical="center"/>
      <protection locked="0"/>
    </xf>
    <xf numFmtId="0" fontId="4" fillId="0" borderId="37" xfId="0" applyFont="1" applyBorder="1" applyAlignment="1" applyProtection="1">
      <alignment horizontal="center" vertical="center"/>
      <protection locked="0"/>
    </xf>
    <xf numFmtId="0" fontId="5" fillId="3" borderId="72" xfId="0" applyFont="1" applyFill="1" applyBorder="1" applyAlignment="1">
      <alignment vertical="center"/>
    </xf>
    <xf numFmtId="0" fontId="5" fillId="3" borderId="67" xfId="0" applyFont="1" applyFill="1" applyBorder="1" applyAlignment="1">
      <alignment vertical="center"/>
    </xf>
    <xf numFmtId="0" fontId="5" fillId="3" borderId="73" xfId="0" applyFont="1" applyFill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74" xfId="0" applyFont="1" applyBorder="1" applyAlignment="1">
      <alignment vertical="center"/>
    </xf>
    <xf numFmtId="9" fontId="2" fillId="0" borderId="33" xfId="9" applyFont="1" applyFill="1" applyBorder="1" applyAlignment="1">
      <alignment vertical="center"/>
    </xf>
    <xf numFmtId="9" fontId="2" fillId="0" borderId="31" xfId="9" applyFont="1" applyFill="1" applyBorder="1" applyAlignment="1">
      <alignment vertical="center"/>
    </xf>
    <xf numFmtId="9" fontId="2" fillId="0" borderId="54" xfId="9" applyFont="1" applyFill="1" applyBorder="1" applyAlignment="1">
      <alignment vertical="center"/>
    </xf>
    <xf numFmtId="9" fontId="2" fillId="0" borderId="65" xfId="9" applyFont="1" applyFill="1" applyBorder="1" applyAlignment="1">
      <alignment horizontal="center" vertical="center"/>
    </xf>
    <xf numFmtId="9" fontId="2" fillId="0" borderId="31" xfId="9" applyFont="1" applyFill="1" applyBorder="1" applyAlignment="1">
      <alignment horizontal="center" vertical="center"/>
    </xf>
    <xf numFmtId="43" fontId="8" fillId="0" borderId="57" xfId="0" applyNumberFormat="1" applyFont="1" applyBorder="1" applyAlignment="1">
      <alignment vertical="center"/>
    </xf>
    <xf numFmtId="0" fontId="8" fillId="0" borderId="48" xfId="0" applyFont="1" applyBorder="1" applyAlignment="1">
      <alignment vertical="center"/>
    </xf>
    <xf numFmtId="0" fontId="8" fillId="0" borderId="58" xfId="0" applyFont="1" applyBorder="1" applyAlignment="1">
      <alignment vertical="center"/>
    </xf>
    <xf numFmtId="0" fontId="2" fillId="0" borderId="54" xfId="11" applyNumberFormat="1" applyFont="1" applyFill="1" applyBorder="1" applyAlignment="1">
      <alignment horizontal="left" vertical="center" indent="10"/>
    </xf>
    <xf numFmtId="0" fontId="2" fillId="0" borderId="55" xfId="11" applyNumberFormat="1" applyFont="1" applyFill="1" applyBorder="1" applyAlignment="1">
      <alignment horizontal="left" vertical="center" indent="10"/>
    </xf>
    <xf numFmtId="0" fontId="2" fillId="0" borderId="56" xfId="11" applyNumberFormat="1" applyFont="1" applyFill="1" applyBorder="1" applyAlignment="1">
      <alignment horizontal="left" vertical="center" indent="10"/>
    </xf>
    <xf numFmtId="0" fontId="2" fillId="0" borderId="47" xfId="0" applyFont="1" applyBorder="1" applyAlignment="1">
      <alignment vertical="center"/>
    </xf>
    <xf numFmtId="0" fontId="2" fillId="0" borderId="48" xfId="0" applyFont="1" applyBorder="1" applyAlignment="1">
      <alignment vertical="center"/>
    </xf>
    <xf numFmtId="0" fontId="2" fillId="0" borderId="49" xfId="0" applyFont="1" applyBorder="1" applyAlignment="1">
      <alignment vertical="center"/>
    </xf>
    <xf numFmtId="43" fontId="5" fillId="0" borderId="50" xfId="0" applyNumberFormat="1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5" fillId="0" borderId="46" xfId="0" applyFont="1" applyBorder="1" applyAlignment="1">
      <alignment vertical="center"/>
    </xf>
    <xf numFmtId="43" fontId="16" fillId="0" borderId="0" xfId="11" applyFont="1" applyFill="1" applyBorder="1" applyAlignment="1">
      <alignment vertical="center"/>
    </xf>
    <xf numFmtId="43" fontId="2" fillId="0" borderId="51" xfId="11" applyFont="1" applyFill="1" applyBorder="1" applyAlignment="1">
      <alignment vertical="center"/>
    </xf>
    <xf numFmtId="43" fontId="2" fillId="0" borderId="52" xfId="11" applyFont="1" applyFill="1" applyBorder="1" applyAlignment="1">
      <alignment vertical="center"/>
    </xf>
    <xf numFmtId="43" fontId="2" fillId="0" borderId="53" xfId="11" applyFont="1" applyFill="1" applyBorder="1" applyAlignment="1">
      <alignment vertical="center"/>
    </xf>
    <xf numFmtId="43" fontId="2" fillId="0" borderId="54" xfId="11" applyFont="1" applyFill="1" applyBorder="1" applyAlignment="1">
      <alignment vertical="center"/>
    </xf>
    <xf numFmtId="43" fontId="8" fillId="0" borderId="43" xfId="11" applyFont="1" applyFill="1" applyBorder="1" applyAlignment="1" applyProtection="1">
      <alignment vertical="center"/>
      <protection locked="0"/>
    </xf>
    <xf numFmtId="43" fontId="8" fillId="0" borderId="64" xfId="11" applyFont="1" applyFill="1" applyBorder="1" applyAlignment="1" applyProtection="1">
      <alignment vertical="center"/>
      <protection locked="0"/>
    </xf>
    <xf numFmtId="0" fontId="2" fillId="0" borderId="59" xfId="0" applyFont="1" applyBorder="1" applyAlignment="1" applyProtection="1">
      <alignment vertical="center"/>
      <protection locked="0"/>
    </xf>
    <xf numFmtId="0" fontId="2" fillId="0" borderId="38" xfId="0" applyFont="1" applyBorder="1" applyAlignment="1" applyProtection="1">
      <alignment vertical="center"/>
      <protection locked="0"/>
    </xf>
    <xf numFmtId="0" fontId="16" fillId="0" borderId="0" xfId="0" applyFont="1" applyAlignment="1">
      <alignment horizontal="left" vertical="center" indent="1"/>
    </xf>
    <xf numFmtId="9" fontId="2" fillId="0" borderId="0" xfId="9" applyFont="1" applyFill="1" applyAlignment="1">
      <alignment horizontal="center" vertical="center"/>
    </xf>
    <xf numFmtId="167" fontId="4" fillId="3" borderId="61" xfId="0" applyNumberFormat="1" applyFont="1" applyFill="1" applyBorder="1" applyAlignment="1">
      <alignment horizontal="center" vertical="center"/>
    </xf>
    <xf numFmtId="167" fontId="4" fillId="3" borderId="62" xfId="0" applyNumberFormat="1" applyFont="1" applyFill="1" applyBorder="1" applyAlignment="1">
      <alignment horizontal="center" vertical="center"/>
    </xf>
    <xf numFmtId="43" fontId="2" fillId="0" borderId="57" xfId="11" applyFont="1" applyFill="1" applyBorder="1" applyAlignment="1">
      <alignment vertical="center"/>
    </xf>
    <xf numFmtId="43" fontId="2" fillId="0" borderId="48" xfId="11" applyFont="1" applyFill="1" applyBorder="1" applyAlignment="1">
      <alignment vertical="center"/>
    </xf>
    <xf numFmtId="43" fontId="2" fillId="0" borderId="58" xfId="11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49" fillId="7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43" fontId="4" fillId="3" borderId="61" xfId="11" applyFont="1" applyFill="1" applyBorder="1" applyAlignment="1">
      <alignment vertical="center"/>
    </xf>
    <xf numFmtId="43" fontId="4" fillId="3" borderId="62" xfId="11" applyFont="1" applyFill="1" applyBorder="1" applyAlignment="1">
      <alignment vertical="center"/>
    </xf>
    <xf numFmtId="0" fontId="4" fillId="3" borderId="63" xfId="0" applyFont="1" applyFill="1" applyBorder="1" applyAlignment="1">
      <alignment horizontal="center" vertical="center"/>
    </xf>
    <xf numFmtId="0" fontId="4" fillId="3" borderId="61" xfId="0" applyFont="1" applyFill="1" applyBorder="1" applyAlignment="1">
      <alignment horizontal="center" vertical="center"/>
    </xf>
    <xf numFmtId="43" fontId="2" fillId="0" borderId="43" xfId="11" applyFont="1" applyFill="1" applyBorder="1" applyAlignment="1">
      <alignment vertical="center"/>
    </xf>
    <xf numFmtId="43" fontId="2" fillId="0" borderId="64" xfId="11" applyFont="1" applyFill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10" fontId="2" fillId="0" borderId="43" xfId="9" applyNumberFormat="1" applyFont="1" applyFill="1" applyBorder="1" applyAlignment="1">
      <alignment horizontal="center" vertical="center"/>
    </xf>
    <xf numFmtId="10" fontId="2" fillId="0" borderId="31" xfId="9" applyNumberFormat="1" applyFont="1" applyFill="1" applyBorder="1" applyAlignment="1">
      <alignment horizontal="center" vertical="center"/>
    </xf>
    <xf numFmtId="0" fontId="8" fillId="0" borderId="42" xfId="0" applyFont="1" applyBorder="1" applyAlignment="1">
      <alignment vertical="center"/>
    </xf>
    <xf numFmtId="0" fontId="8" fillId="0" borderId="43" xfId="0" applyFont="1" applyBorder="1" applyAlignment="1">
      <alignment vertical="center"/>
    </xf>
    <xf numFmtId="43" fontId="4" fillId="3" borderId="66" xfId="11" applyFont="1" applyFill="1" applyBorder="1" applyAlignment="1">
      <alignment vertical="center"/>
    </xf>
    <xf numFmtId="43" fontId="4" fillId="3" borderId="67" xfId="11" applyFont="1" applyFill="1" applyBorder="1" applyAlignment="1">
      <alignment vertical="center"/>
    </xf>
    <xf numFmtId="43" fontId="4" fillId="3" borderId="68" xfId="11" applyFont="1" applyFill="1" applyBorder="1" applyAlignment="1">
      <alignment vertical="center"/>
    </xf>
    <xf numFmtId="0" fontId="2" fillId="0" borderId="69" xfId="0" applyFont="1" applyBorder="1" applyAlignment="1">
      <alignment vertical="center"/>
    </xf>
    <xf numFmtId="0" fontId="2" fillId="0" borderId="52" xfId="0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0" fontId="2" fillId="0" borderId="71" xfId="0" applyFont="1" applyBorder="1" applyAlignment="1">
      <alignment vertical="center"/>
    </xf>
    <xf numFmtId="0" fontId="2" fillId="0" borderId="55" xfId="0" applyFont="1" applyBorder="1" applyAlignment="1">
      <alignment vertical="center"/>
    </xf>
    <xf numFmtId="0" fontId="2" fillId="0" borderId="65" xfId="0" applyFont="1" applyBorder="1" applyAlignment="1">
      <alignment vertical="center"/>
    </xf>
    <xf numFmtId="0" fontId="49" fillId="7" borderId="6" xfId="0" applyFont="1" applyFill="1" applyBorder="1" applyAlignment="1">
      <alignment horizontal="center" vertical="center" wrapText="1"/>
    </xf>
    <xf numFmtId="0" fontId="49" fillId="7" borderId="4" xfId="0" applyFont="1" applyFill="1" applyBorder="1" applyAlignment="1">
      <alignment horizontal="center" vertical="center" wrapText="1"/>
    </xf>
    <xf numFmtId="0" fontId="49" fillId="7" borderId="75" xfId="0" applyFont="1" applyFill="1" applyBorder="1" applyAlignment="1">
      <alignment horizontal="center" vertical="center" wrapText="1"/>
    </xf>
    <xf numFmtId="0" fontId="49" fillId="7" borderId="7" xfId="0" applyFont="1" applyFill="1" applyBorder="1" applyAlignment="1">
      <alignment horizontal="center" vertical="center" wrapText="1"/>
    </xf>
    <xf numFmtId="0" fontId="49" fillId="7" borderId="5" xfId="0" applyFont="1" applyFill="1" applyBorder="1" applyAlignment="1">
      <alignment horizontal="center" vertical="center" wrapText="1"/>
    </xf>
    <xf numFmtId="0" fontId="49" fillId="7" borderId="13" xfId="0" applyFont="1" applyFill="1" applyBorder="1" applyAlignment="1">
      <alignment horizontal="center" vertical="center" wrapText="1"/>
    </xf>
    <xf numFmtId="43" fontId="37" fillId="4" borderId="1" xfId="11" applyFont="1" applyFill="1" applyBorder="1" applyAlignment="1" applyProtection="1">
      <alignment horizontal="center" vertical="center"/>
    </xf>
    <xf numFmtId="43" fontId="39" fillId="2" borderId="19" xfId="11" applyFont="1" applyFill="1" applyBorder="1" applyAlignment="1" applyProtection="1">
      <alignment horizontal="left" vertical="center"/>
    </xf>
    <xf numFmtId="43" fontId="39" fillId="2" borderId="0" xfId="11" applyFont="1" applyFill="1" applyBorder="1" applyAlignment="1" applyProtection="1">
      <alignment horizontal="left" vertical="center"/>
    </xf>
  </cellXfs>
  <cellStyles count="15">
    <cellStyle name="Euro" xfId="1" xr:uid="{00000000-0005-0000-0000-000000000000}"/>
    <cellStyle name="hh:mm:ss Hora" xfId="2" xr:uid="{00000000-0005-0000-0000-000001000000}"/>
    <cellStyle name="Hiperlink" xfId="4" builtinId="8"/>
    <cellStyle name="Hiperlink 2" xfId="3" xr:uid="{00000000-0005-0000-0000-000003000000}"/>
    <cellStyle name="Hyperlink 2" xfId="5" xr:uid="{00000000-0005-0000-0000-000004000000}"/>
    <cellStyle name="Hyperlink_Planilha de Vendas Mercado Livre" xfId="6" xr:uid="{00000000-0005-0000-0000-000005000000}"/>
    <cellStyle name="Hyperlink_Planilha de Vendas Mercado Livre 2" xfId="14" xr:uid="{00000000-0005-0000-0000-000006000000}"/>
    <cellStyle name="Normal" xfId="0" builtinId="0"/>
    <cellStyle name="Normal 2" xfId="7" xr:uid="{00000000-0005-0000-0000-000008000000}"/>
    <cellStyle name="Normal 3" xfId="8" xr:uid="{00000000-0005-0000-0000-000009000000}"/>
    <cellStyle name="Normal 4" xfId="13" xr:uid="{00000000-0005-0000-0000-00000A000000}"/>
    <cellStyle name="Porcentagem" xfId="9" builtinId="5"/>
    <cellStyle name="Porcentagem 2" xfId="10" xr:uid="{00000000-0005-0000-0000-00000C000000}"/>
    <cellStyle name="Separador de milhares 2" xfId="12" xr:uid="{00000000-0005-0000-0000-00000D000000}"/>
    <cellStyle name="Vírgula" xfId="11" builtinId="3"/>
  </cellStyles>
  <dxfs count="0"/>
  <tableStyles count="0" defaultTableStyle="TableStyleMedium9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fmlaLink="$F$82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Drop" dropLines="3" dropStyle="combo" dx="22" fmlaLink="$F$83" fmlaRange="$H$82:$H$84" sel="1" val="0"/>
</file>

<file path=xl/ctrlProps/ctrlProp5.xml><?xml version="1.0" encoding="utf-8"?>
<formControlPr xmlns="http://schemas.microsoft.com/office/spreadsheetml/2009/9/main" objectType="Drop" dropLines="3" dropStyle="combo" dx="22" fmlaLink="$I$88" fmlaRange="$H$85:$H$87" sel="1" val="0"/>
</file>

<file path=xl/ctrlProps/ctrlProp6.xml><?xml version="1.0" encoding="utf-8"?>
<formControlPr xmlns="http://schemas.microsoft.com/office/spreadsheetml/2009/9/main" objectType="Drop" dropLines="2" dropStyle="combo" dx="22" fmlaLink="$AF$83" fmlaRange="$AG$81:$AG$82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nsultainss.net/tabela-inss-2016/" TargetMode="External"/><Relationship Id="rId2" Type="http://schemas.openxmlformats.org/officeDocument/2006/relationships/hyperlink" Target="http://www.dpc.com.br/pt-br/show/tabela-progressiva-do-imposto-de-renda" TargetMode="External"/><Relationship Id="rId1" Type="http://schemas.openxmlformats.org/officeDocument/2006/relationships/hyperlink" Target="http://segurodesemprego2016.com/tabela-seguro-desemprego-2016-novos-valores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1647825</xdr:colOff>
      <xdr:row>0</xdr:row>
      <xdr:rowOff>104775</xdr:rowOff>
    </xdr:from>
    <xdr:to>
      <xdr:col>9</xdr:col>
      <xdr:colOff>47625</xdr:colOff>
      <xdr:row>16</xdr:row>
      <xdr:rowOff>0</xdr:rowOff>
    </xdr:to>
    <xdr:pic>
      <xdr:nvPicPr>
        <xdr:cNvPr id="2" name="Imagem 1" descr="branco_WEB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5" y="104775"/>
          <a:ext cx="5734050" cy="270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23</xdr:row>
      <xdr:rowOff>0</xdr:rowOff>
    </xdr:from>
    <xdr:to>
      <xdr:col>19</xdr:col>
      <xdr:colOff>180975</xdr:colOff>
      <xdr:row>34</xdr:row>
      <xdr:rowOff>9525</xdr:rowOff>
    </xdr:to>
    <xdr:sp macro="" textlink="">
      <xdr:nvSpPr>
        <xdr:cNvPr id="11352" name="AutoShape 51">
          <a:extLst>
            <a:ext uri="{FF2B5EF4-FFF2-40B4-BE49-F238E27FC236}">
              <a16:creationId xmlns:a16="http://schemas.microsoft.com/office/drawing/2014/main" id="{00000000-0008-0000-0100-0000582C0000}"/>
            </a:ext>
          </a:extLst>
        </xdr:cNvPr>
        <xdr:cNvSpPr>
          <a:spLocks noChangeArrowheads="1"/>
        </xdr:cNvSpPr>
      </xdr:nvSpPr>
      <xdr:spPr bwMode="auto">
        <a:xfrm>
          <a:off x="381000" y="4714875"/>
          <a:ext cx="3248025" cy="2733675"/>
        </a:xfrm>
        <a:prstGeom prst="rect">
          <a:avLst/>
        </a:prstGeom>
        <a:solidFill>
          <a:srgbClr val="B7DEE8">
            <a:alpha val="25098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20</xdr:col>
      <xdr:colOff>19050</xdr:colOff>
      <xdr:row>23</xdr:row>
      <xdr:rowOff>0</xdr:rowOff>
    </xdr:from>
    <xdr:to>
      <xdr:col>38</xdr:col>
      <xdr:colOff>9525</xdr:colOff>
      <xdr:row>29</xdr:row>
      <xdr:rowOff>0</xdr:rowOff>
    </xdr:to>
    <xdr:sp macro="" textlink="">
      <xdr:nvSpPr>
        <xdr:cNvPr id="11353" name="AutoShape 53">
          <a:extLst>
            <a:ext uri="{FF2B5EF4-FFF2-40B4-BE49-F238E27FC236}">
              <a16:creationId xmlns:a16="http://schemas.microsoft.com/office/drawing/2014/main" id="{00000000-0008-0000-0100-0000592C0000}"/>
            </a:ext>
          </a:extLst>
        </xdr:cNvPr>
        <xdr:cNvSpPr>
          <a:spLocks noChangeArrowheads="1"/>
        </xdr:cNvSpPr>
      </xdr:nvSpPr>
      <xdr:spPr bwMode="auto">
        <a:xfrm>
          <a:off x="3648075" y="4714875"/>
          <a:ext cx="3295650" cy="1485900"/>
        </a:xfrm>
        <a:prstGeom prst="rect">
          <a:avLst/>
        </a:prstGeom>
        <a:solidFill>
          <a:srgbClr val="B7DEE8">
            <a:alpha val="25098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23</xdr:col>
      <xdr:colOff>161925</xdr:colOff>
      <xdr:row>25</xdr:row>
      <xdr:rowOff>171450</xdr:rowOff>
    </xdr:from>
    <xdr:to>
      <xdr:col>34</xdr:col>
      <xdr:colOff>57150</xdr:colOff>
      <xdr:row>26</xdr:row>
      <xdr:rowOff>123825</xdr:rowOff>
    </xdr:to>
    <xdr:sp macro="" textlink="">
      <xdr:nvSpPr>
        <xdr:cNvPr id="1079" name="WordArt 55">
          <a:extLst>
            <a:ext uri="{FF2B5EF4-FFF2-40B4-BE49-F238E27FC236}">
              <a16:creationId xmlns:a16="http://schemas.microsoft.com/office/drawing/2014/main" id="{00000000-0008-0000-0100-000037040000}"/>
            </a:ext>
          </a:extLst>
        </xdr:cNvPr>
        <xdr:cNvSpPr>
          <a:spLocks noChangeArrowheads="1" noChangeShapeType="1" noTextEdit="1"/>
        </xdr:cNvSpPr>
      </xdr:nvSpPr>
      <xdr:spPr bwMode="auto">
        <a:xfrm rot="-585707">
          <a:off x="4829175" y="5324475"/>
          <a:ext cx="1885950" cy="2000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pt-BR" sz="1400" b="1" kern="10" spc="0">
              <a:ln w="9525">
                <a:noFill/>
                <a:round/>
                <a:headEnd/>
                <a:tailEnd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Courier New"/>
              <a:cs typeface="Courier New"/>
            </a:rPr>
            <a:t>CÁLCULO AUTOMÁTICO</a:t>
          </a:r>
        </a:p>
      </xdr:txBody>
    </xdr:sp>
    <xdr:clientData fPrintsWithSheet="0"/>
  </xdr:twoCellAnchor>
  <xdr:twoCellAnchor>
    <xdr:from>
      <xdr:col>5</xdr:col>
      <xdr:colOff>152400</xdr:colOff>
      <xdr:row>27</xdr:row>
      <xdr:rowOff>190500</xdr:rowOff>
    </xdr:from>
    <xdr:to>
      <xdr:col>16</xdr:col>
      <xdr:colOff>47625</xdr:colOff>
      <xdr:row>28</xdr:row>
      <xdr:rowOff>142875</xdr:rowOff>
    </xdr:to>
    <xdr:sp macro="" textlink="">
      <xdr:nvSpPr>
        <xdr:cNvPr id="1081" name="WordArt 57">
          <a:extLst>
            <a:ext uri="{FF2B5EF4-FFF2-40B4-BE49-F238E27FC236}">
              <a16:creationId xmlns:a16="http://schemas.microsoft.com/office/drawing/2014/main" id="{00000000-0008-0000-0100-000039040000}"/>
            </a:ext>
          </a:extLst>
        </xdr:cNvPr>
        <xdr:cNvSpPr>
          <a:spLocks noChangeArrowheads="1" noChangeShapeType="1" noTextEdit="1"/>
        </xdr:cNvSpPr>
      </xdr:nvSpPr>
      <xdr:spPr bwMode="auto">
        <a:xfrm rot="-585707">
          <a:off x="942975" y="6105525"/>
          <a:ext cx="1885950" cy="2000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pt-BR" sz="1400" b="1" kern="10" spc="0">
              <a:ln w="9525">
                <a:noFill/>
                <a:round/>
                <a:headEnd/>
                <a:tailEnd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Courier New"/>
              <a:cs typeface="Courier New"/>
            </a:rPr>
            <a:t>CÁLCULO AUTOMÁTICO</a:t>
          </a:r>
        </a:p>
      </xdr:txBody>
    </xdr:sp>
    <xdr:clientData fPrintsWithSheet="0"/>
  </xdr:twoCellAnchor>
  <xdr:twoCellAnchor>
    <xdr:from>
      <xdr:col>20</xdr:col>
      <xdr:colOff>9525</xdr:colOff>
      <xdr:row>40</xdr:row>
      <xdr:rowOff>9525</xdr:rowOff>
    </xdr:from>
    <xdr:to>
      <xdr:col>38</xdr:col>
      <xdr:colOff>0</xdr:colOff>
      <xdr:row>42</xdr:row>
      <xdr:rowOff>238125</xdr:rowOff>
    </xdr:to>
    <xdr:sp macro="" textlink="">
      <xdr:nvSpPr>
        <xdr:cNvPr id="11356" name="AutoShape 61">
          <a:extLst>
            <a:ext uri="{FF2B5EF4-FFF2-40B4-BE49-F238E27FC236}">
              <a16:creationId xmlns:a16="http://schemas.microsoft.com/office/drawing/2014/main" id="{00000000-0008-0000-0100-00005C2C0000}"/>
            </a:ext>
          </a:extLst>
        </xdr:cNvPr>
        <xdr:cNvSpPr>
          <a:spLocks noChangeArrowheads="1"/>
        </xdr:cNvSpPr>
      </xdr:nvSpPr>
      <xdr:spPr bwMode="auto">
        <a:xfrm>
          <a:off x="3638550" y="8810625"/>
          <a:ext cx="3295650" cy="723900"/>
        </a:xfrm>
        <a:prstGeom prst="rect">
          <a:avLst/>
        </a:prstGeom>
        <a:solidFill>
          <a:srgbClr val="B7DEE8">
            <a:alpha val="25098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24</xdr:col>
      <xdr:colOff>0</xdr:colOff>
      <xdr:row>41</xdr:row>
      <xdr:rowOff>0</xdr:rowOff>
    </xdr:from>
    <xdr:to>
      <xdr:col>34</xdr:col>
      <xdr:colOff>76200</xdr:colOff>
      <xdr:row>41</xdr:row>
      <xdr:rowOff>200025</xdr:rowOff>
    </xdr:to>
    <xdr:sp macro="" textlink="">
      <xdr:nvSpPr>
        <xdr:cNvPr id="1087" name="WordArt 63">
          <a:extLst>
            <a:ext uri="{FF2B5EF4-FFF2-40B4-BE49-F238E27FC236}">
              <a16:creationId xmlns:a16="http://schemas.microsoft.com/office/drawing/2014/main" id="{00000000-0008-0000-0100-00003F040000}"/>
            </a:ext>
          </a:extLst>
        </xdr:cNvPr>
        <xdr:cNvSpPr>
          <a:spLocks noChangeArrowheads="1" noChangeShapeType="1" noTextEdit="1"/>
        </xdr:cNvSpPr>
      </xdr:nvSpPr>
      <xdr:spPr bwMode="auto">
        <a:xfrm rot="-585707">
          <a:off x="4229100" y="9286875"/>
          <a:ext cx="1885950" cy="2000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pt-BR" sz="1400" b="1" kern="10" spc="0">
              <a:ln w="9525">
                <a:noFill/>
                <a:round/>
                <a:headEnd/>
                <a:tailEnd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Courier New"/>
              <a:cs typeface="Courier New"/>
            </a:rPr>
            <a:t>CÁLCULO AUTOMÁTICO</a:t>
          </a:r>
        </a:p>
      </xdr:txBody>
    </xdr:sp>
    <xdr:clientData fPrintsWithSheet="0"/>
  </xdr:twoCellAnchor>
  <xdr:twoCellAnchor>
    <xdr:from>
      <xdr:col>2</xdr:col>
      <xdr:colOff>9525</xdr:colOff>
      <xdr:row>41</xdr:row>
      <xdr:rowOff>9525</xdr:rowOff>
    </xdr:from>
    <xdr:to>
      <xdr:col>20</xdr:col>
      <xdr:colOff>0</xdr:colOff>
      <xdr:row>44</xdr:row>
      <xdr:rowOff>238125</xdr:rowOff>
    </xdr:to>
    <xdr:sp macro="" textlink="">
      <xdr:nvSpPr>
        <xdr:cNvPr id="11358" name="AutoShape 64">
          <a:extLst>
            <a:ext uri="{FF2B5EF4-FFF2-40B4-BE49-F238E27FC236}">
              <a16:creationId xmlns:a16="http://schemas.microsoft.com/office/drawing/2014/main" id="{00000000-0008-0000-0100-00005E2C0000}"/>
            </a:ext>
          </a:extLst>
        </xdr:cNvPr>
        <xdr:cNvSpPr>
          <a:spLocks noChangeArrowheads="1"/>
        </xdr:cNvSpPr>
      </xdr:nvSpPr>
      <xdr:spPr bwMode="auto">
        <a:xfrm>
          <a:off x="381000" y="9058275"/>
          <a:ext cx="3248025" cy="971550"/>
        </a:xfrm>
        <a:prstGeom prst="rect">
          <a:avLst/>
        </a:prstGeom>
        <a:solidFill>
          <a:srgbClr val="B7DEE8">
            <a:alpha val="25098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5</xdr:col>
      <xdr:colOff>161925</xdr:colOff>
      <xdr:row>42</xdr:row>
      <xdr:rowOff>133350</xdr:rowOff>
    </xdr:from>
    <xdr:to>
      <xdr:col>16</xdr:col>
      <xdr:colOff>57150</xdr:colOff>
      <xdr:row>43</xdr:row>
      <xdr:rowOff>85725</xdr:rowOff>
    </xdr:to>
    <xdr:sp macro="" textlink="">
      <xdr:nvSpPr>
        <xdr:cNvPr id="1089" name="WordArt 65">
          <a:extLst>
            <a:ext uri="{FF2B5EF4-FFF2-40B4-BE49-F238E27FC236}">
              <a16:creationId xmlns:a16="http://schemas.microsoft.com/office/drawing/2014/main" id="{00000000-0008-0000-0100-000041040000}"/>
            </a:ext>
          </a:extLst>
        </xdr:cNvPr>
        <xdr:cNvSpPr>
          <a:spLocks noChangeArrowheads="1" noChangeShapeType="1" noTextEdit="1"/>
        </xdr:cNvSpPr>
      </xdr:nvSpPr>
      <xdr:spPr bwMode="auto">
        <a:xfrm rot="-585707">
          <a:off x="952500" y="9667875"/>
          <a:ext cx="1885950" cy="2000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pt-BR" sz="1400" b="1" kern="10" spc="0">
              <a:ln w="9525">
                <a:noFill/>
                <a:round/>
                <a:headEnd/>
                <a:tailEnd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Courier New"/>
              <a:cs typeface="Courier New"/>
            </a:rPr>
            <a:t>CÁLCULO AUTOMÁTICO</a:t>
          </a:r>
        </a:p>
      </xdr:txBody>
    </xdr:sp>
    <xdr:clientData fPrintsWithSheet="0"/>
  </xdr:twoCellAnchor>
  <xdr:twoCellAnchor>
    <xdr:from>
      <xdr:col>18</xdr:col>
      <xdr:colOff>123825</xdr:colOff>
      <xdr:row>39</xdr:row>
      <xdr:rowOff>47625</xdr:rowOff>
    </xdr:from>
    <xdr:to>
      <xdr:col>20</xdr:col>
      <xdr:colOff>66675</xdr:colOff>
      <xdr:row>40</xdr:row>
      <xdr:rowOff>0</xdr:rowOff>
    </xdr:to>
    <xdr:sp macro="" textlink="">
      <xdr:nvSpPr>
        <xdr:cNvPr id="9416" name="AutoShape 66">
          <a:extLst>
            <a:ext uri="{FF2B5EF4-FFF2-40B4-BE49-F238E27FC236}">
              <a16:creationId xmlns:a16="http://schemas.microsoft.com/office/drawing/2014/main" id="{00000000-0008-0000-0100-0000C8240000}"/>
            </a:ext>
          </a:extLst>
        </xdr:cNvPr>
        <xdr:cNvSpPr>
          <a:spLocks noChangeArrowheads="1"/>
        </xdr:cNvSpPr>
      </xdr:nvSpPr>
      <xdr:spPr bwMode="auto">
        <a:xfrm rot="1353823">
          <a:off x="3390900" y="8601075"/>
          <a:ext cx="304800" cy="200025"/>
        </a:xfrm>
        <a:prstGeom prst="downArrow">
          <a:avLst>
            <a:gd name="adj1" fmla="val 40426"/>
            <a:gd name="adj2" fmla="val 47370"/>
          </a:avLst>
        </a:prstGeom>
        <a:ln>
          <a:headEnd/>
          <a:tailEnd/>
        </a:ln>
        <a:effectLst>
          <a:glow rad="101600">
            <a:schemeClr val="accent6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/>
        <a:lstStyle/>
        <a:p>
          <a:endParaRPr lang="pt-BR"/>
        </a:p>
      </xdr:txBody>
    </xdr:sp>
    <xdr:clientData fPrintsWithSheet="0"/>
  </xdr:twoCellAnchor>
  <xdr:twoCellAnchor>
    <xdr:from>
      <xdr:col>0</xdr:col>
      <xdr:colOff>147315</xdr:colOff>
      <xdr:row>40</xdr:row>
      <xdr:rowOff>91365</xdr:rowOff>
    </xdr:from>
    <xdr:to>
      <xdr:col>1</xdr:col>
      <xdr:colOff>35724</xdr:colOff>
      <xdr:row>41</xdr:row>
      <xdr:rowOff>148515</xdr:rowOff>
    </xdr:to>
    <xdr:sp macro="" textlink="">
      <xdr:nvSpPr>
        <xdr:cNvPr id="14" name="AutoShape 66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rrowheads="1"/>
        </xdr:cNvSpPr>
      </xdr:nvSpPr>
      <xdr:spPr bwMode="auto">
        <a:xfrm rot="18625584">
          <a:off x="96282" y="8943498"/>
          <a:ext cx="304800" cy="202734"/>
        </a:xfrm>
        <a:prstGeom prst="downArrow">
          <a:avLst>
            <a:gd name="adj1" fmla="val 40426"/>
            <a:gd name="adj2" fmla="val 47370"/>
          </a:avLst>
        </a:prstGeom>
        <a:ln>
          <a:headEnd/>
          <a:tailEnd/>
        </a:ln>
        <a:effectLst>
          <a:glow rad="101600">
            <a:schemeClr val="accent6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/>
        <a:lstStyle/>
        <a:p>
          <a:endParaRPr lang="pt-BR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0</xdr:rowOff>
        </xdr:from>
        <xdr:to>
          <xdr:col>10</xdr:col>
          <xdr:colOff>133350</xdr:colOff>
          <xdr:row>12</xdr:row>
          <xdr:rowOff>219075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0</xdr:rowOff>
        </xdr:from>
        <xdr:to>
          <xdr:col>10</xdr:col>
          <xdr:colOff>133350</xdr:colOff>
          <xdr:row>13</xdr:row>
          <xdr:rowOff>219075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0</xdr:rowOff>
        </xdr:from>
        <xdr:to>
          <xdr:col>10</xdr:col>
          <xdr:colOff>133350</xdr:colOff>
          <xdr:row>14</xdr:row>
          <xdr:rowOff>219075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152400</xdr:colOff>
          <xdr:row>17</xdr:row>
          <xdr:rowOff>0</xdr:rowOff>
        </xdr:from>
        <xdr:to>
          <xdr:col>37</xdr:col>
          <xdr:colOff>28575</xdr:colOff>
          <xdr:row>17</xdr:row>
          <xdr:rowOff>200025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8</xdr:col>
          <xdr:colOff>114300</xdr:colOff>
          <xdr:row>20</xdr:row>
          <xdr:rowOff>200025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41</xdr:row>
          <xdr:rowOff>19050</xdr:rowOff>
        </xdr:from>
        <xdr:to>
          <xdr:col>10</xdr:col>
          <xdr:colOff>152400</xdr:colOff>
          <xdr:row>41</xdr:row>
          <xdr:rowOff>238125</xdr:rowOff>
        </xdr:to>
        <xdr:sp macro="" textlink="">
          <xdr:nvSpPr>
            <xdr:cNvPr id="11324" name="Drop Down 1084" hidden="1">
              <a:extLst>
                <a:ext uri="{63B3BB69-23CF-44E3-9099-C40C66FF867C}">
                  <a14:compatExt spid="_x0000_s11324"/>
                </a:ext>
                <a:ext uri="{FF2B5EF4-FFF2-40B4-BE49-F238E27FC236}">
                  <a16:creationId xmlns:a16="http://schemas.microsoft.com/office/drawing/2014/main" id="{00000000-0008-0000-0100-00003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23</xdr:row>
      <xdr:rowOff>114300</xdr:rowOff>
    </xdr:from>
    <xdr:to>
      <xdr:col>8</xdr:col>
      <xdr:colOff>1009650</xdr:colOff>
      <xdr:row>24</xdr:row>
      <xdr:rowOff>200025</xdr:rowOff>
    </xdr:to>
    <xdr:sp macro="" textlink="">
      <xdr:nvSpPr>
        <xdr:cNvPr id="2054" name="AutoShape 6">
          <a:hlinkClick xmlns:r="http://schemas.openxmlformats.org/officeDocument/2006/relationships" r:id="rId1" tooltip="TABELAS ATUALIZADAS!"/>
          <a:extLst>
            <a:ext uri="{FF2B5EF4-FFF2-40B4-BE49-F238E27FC236}">
              <a16:creationId xmlns:a16="http://schemas.microsoft.com/office/drawing/2014/main" id="{00000000-0008-0000-0200-000006080000}"/>
            </a:ext>
          </a:extLst>
        </xdr:cNvPr>
        <xdr:cNvSpPr>
          <a:spLocks noChangeArrowheads="1"/>
        </xdr:cNvSpPr>
      </xdr:nvSpPr>
      <xdr:spPr bwMode="auto">
        <a:xfrm>
          <a:off x="5800725" y="4953000"/>
          <a:ext cx="942975" cy="209550"/>
        </a:xfrm>
        <a:prstGeom prst="roundRect">
          <a:avLst>
            <a:gd name="adj" fmla="val 16667"/>
          </a:avLst>
        </a:prstGeom>
        <a:gradFill>
          <a:gsLst>
            <a:gs pos="0">
              <a:schemeClr val="bg1"/>
            </a:gs>
            <a:gs pos="50000">
              <a:schemeClr val="bg1">
                <a:lumMod val="75000"/>
              </a:schemeClr>
            </a:gs>
            <a:gs pos="100000">
              <a:schemeClr val="bg1">
                <a:lumMod val="50000"/>
              </a:schemeClr>
            </a:gs>
          </a:gsLst>
          <a:lin ang="5400000" scaled="0"/>
        </a:gradFill>
        <a:ln w="9525">
          <a:round/>
          <a:headEnd/>
          <a:tailEnd/>
        </a:ln>
        <a:effectLst/>
        <a:scene3d>
          <a:camera prst="legacyPerspectiveBottom" fov="4800000">
            <a:rot lat="900000" lon="0" rev="0"/>
          </a:camera>
          <a:lightRig rig="legacyFlat3" dir="r"/>
        </a:scene3d>
        <a:sp3d extrusionH="887400" prstMaterial="legacyMatte">
          <a:bevelT w="13500" h="13500" prst="angle"/>
          <a:bevelB w="13500" h="13500" prst="angle"/>
          <a:extrusionClr>
            <a:schemeClr val="bg1"/>
          </a:extrusionClr>
        </a:sp3d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Rounded MT Bold"/>
            </a:rPr>
            <a:t>ATUALIZAÇÃO</a:t>
          </a:r>
        </a:p>
      </xdr:txBody>
    </xdr:sp>
    <xdr:clientData/>
  </xdr:twoCellAnchor>
  <xdr:twoCellAnchor>
    <xdr:from>
      <xdr:col>8</xdr:col>
      <xdr:colOff>57150</xdr:colOff>
      <xdr:row>13</xdr:row>
      <xdr:rowOff>114300</xdr:rowOff>
    </xdr:from>
    <xdr:to>
      <xdr:col>8</xdr:col>
      <xdr:colOff>1000125</xdr:colOff>
      <xdr:row>14</xdr:row>
      <xdr:rowOff>200025</xdr:rowOff>
    </xdr:to>
    <xdr:sp macro="" textlink="">
      <xdr:nvSpPr>
        <xdr:cNvPr id="2055" name="AutoShape 7">
          <a:hlinkClick xmlns:r="http://schemas.openxmlformats.org/officeDocument/2006/relationships" r:id="rId2" tooltip="TABELAS ATUALIZADAS - IMPOSTO DE RENDA PF."/>
          <a:extLst>
            <a:ext uri="{FF2B5EF4-FFF2-40B4-BE49-F238E27FC236}">
              <a16:creationId xmlns:a16="http://schemas.microsoft.com/office/drawing/2014/main" id="{00000000-0008-0000-0200-000007080000}"/>
            </a:ext>
          </a:extLst>
        </xdr:cNvPr>
        <xdr:cNvSpPr>
          <a:spLocks noChangeArrowheads="1"/>
        </xdr:cNvSpPr>
      </xdr:nvSpPr>
      <xdr:spPr bwMode="auto">
        <a:xfrm>
          <a:off x="5800725" y="2847975"/>
          <a:ext cx="942975" cy="209550"/>
        </a:xfrm>
        <a:prstGeom prst="roundRect">
          <a:avLst>
            <a:gd name="adj" fmla="val 16667"/>
          </a:avLst>
        </a:prstGeom>
        <a:gradFill>
          <a:gsLst>
            <a:gs pos="0">
              <a:schemeClr val="bg1"/>
            </a:gs>
            <a:gs pos="50000">
              <a:schemeClr val="bg1">
                <a:lumMod val="85000"/>
              </a:schemeClr>
            </a:gs>
            <a:gs pos="100000">
              <a:schemeClr val="bg1">
                <a:lumMod val="50000"/>
              </a:schemeClr>
            </a:gs>
          </a:gsLst>
          <a:lin ang="5400000" scaled="0"/>
        </a:gradFill>
        <a:ln w="9525">
          <a:round/>
          <a:headEnd/>
          <a:tailEnd/>
        </a:ln>
        <a:effectLst/>
        <a:scene3d>
          <a:camera prst="legacyPerspectiveBottom" fov="4800000">
            <a:rot lat="900000" lon="0" rev="0"/>
          </a:camera>
          <a:lightRig rig="legacyFlat3" dir="r"/>
        </a:scene3d>
        <a:sp3d extrusionH="887400" prstMaterial="legacyMatte">
          <a:bevelT w="13500" h="13500" prst="angle"/>
          <a:bevelB w="13500" h="13500" prst="angle"/>
          <a:extrusionClr>
            <a:schemeClr val="bg1"/>
          </a:extrusionClr>
        </a:sp3d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Rounded MT Bold"/>
            </a:rPr>
            <a:t>ATUALIZAÇÃO</a:t>
          </a:r>
        </a:p>
      </xdr:txBody>
    </xdr:sp>
    <xdr:clientData/>
  </xdr:twoCellAnchor>
  <xdr:twoCellAnchor>
    <xdr:from>
      <xdr:col>8</xdr:col>
      <xdr:colOff>76200</xdr:colOff>
      <xdr:row>4</xdr:row>
      <xdr:rowOff>114300</xdr:rowOff>
    </xdr:from>
    <xdr:to>
      <xdr:col>8</xdr:col>
      <xdr:colOff>1019175</xdr:colOff>
      <xdr:row>5</xdr:row>
      <xdr:rowOff>200025</xdr:rowOff>
    </xdr:to>
    <xdr:sp macro="" textlink="">
      <xdr:nvSpPr>
        <xdr:cNvPr id="6" name="AutoShape 7">
          <a:hlinkClick xmlns:r="http://schemas.openxmlformats.org/officeDocument/2006/relationships" r:id="rId3" tooltip="TABELAS ATUALIZADAS - CONTRIBUIÇÃO PREVIDENCIÁRIA.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5800725" y="990600"/>
          <a:ext cx="942975" cy="209550"/>
        </a:xfrm>
        <a:prstGeom prst="roundRect">
          <a:avLst>
            <a:gd name="adj" fmla="val 16667"/>
          </a:avLst>
        </a:prstGeom>
        <a:gradFill>
          <a:gsLst>
            <a:gs pos="0">
              <a:schemeClr val="bg1"/>
            </a:gs>
            <a:gs pos="50000">
              <a:schemeClr val="bg1">
                <a:lumMod val="85000"/>
              </a:schemeClr>
            </a:gs>
            <a:gs pos="100000">
              <a:schemeClr val="bg1">
                <a:lumMod val="50000"/>
              </a:schemeClr>
            </a:gs>
          </a:gsLst>
          <a:lin ang="5400000" scaled="0"/>
        </a:gradFill>
        <a:ln w="9525">
          <a:round/>
          <a:headEnd/>
          <a:tailEnd/>
        </a:ln>
        <a:effectLst/>
        <a:scene3d>
          <a:camera prst="legacyPerspectiveBottom" fov="4800000">
            <a:rot lat="900000" lon="0" rev="0"/>
          </a:camera>
          <a:lightRig rig="legacyFlat3" dir="r"/>
        </a:scene3d>
        <a:sp3d extrusionH="887400" prstMaterial="legacyMatte">
          <a:bevelT w="13500" h="13500" prst="angle"/>
          <a:bevelB w="13500" h="13500" prst="angle"/>
          <a:extrusionClr>
            <a:schemeClr val="bg1"/>
          </a:extrusionClr>
        </a:sp3d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Rounded MT Bold"/>
            </a:rPr>
            <a:t>ATUALIZAÇÃO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RIANO\Documents\Pasta%20pessoal\Vendas%20Drino%20Planilhas\planilhas%20para%20venda\Projetos%20para%20planilhas%20ML\Controle%20Estoqu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RIANO\Documents\Pasta%20pessoal\Vendas%20Drino%20Planilhas\planilhas%20para%20venda\cart&#227;o%20de%20ponto%20avan&#231;ado%202.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Leia_me"/>
      <sheetName val="Menu_Principal"/>
      <sheetName val="Cadastro Produtos"/>
      <sheetName val="Matriz"/>
      <sheetName val="Filial1"/>
      <sheetName val="Filial2"/>
      <sheetName val="Relatorio"/>
      <sheetName val="Graficos"/>
      <sheetName val="Calendário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uração"/>
      <sheetName val="Janeiro"/>
      <sheetName val="Fevereiro"/>
      <sheetName val="Março"/>
      <sheetName val="Abril"/>
      <sheetName val="Maio"/>
      <sheetName val="Junho"/>
      <sheetName val="Julho"/>
      <sheetName val="Agosto"/>
      <sheetName val="Setembro"/>
      <sheetName val="Outubro"/>
      <sheetName val="Novembro"/>
      <sheetName val="Dezembro"/>
      <sheetName val="Drino Planilh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B171"/>
  <sheetViews>
    <sheetView showGridLines="0" showRowColHeaders="0" workbookViewId="0">
      <selection activeCell="A25" sqref="A25"/>
    </sheetView>
  </sheetViews>
  <sheetFormatPr defaultRowHeight="12.75" x14ac:dyDescent="0.2"/>
  <cols>
    <col min="1" max="1" width="25.7109375" style="90" customWidth="1"/>
    <col min="2" max="2" width="2.28515625" style="90" customWidth="1"/>
    <col min="3" max="3" width="19" style="90" customWidth="1"/>
    <col min="4" max="4" width="8.7109375" style="90" customWidth="1"/>
    <col min="5" max="5" width="19" style="90" customWidth="1"/>
    <col min="6" max="6" width="8.7109375" style="90" customWidth="1"/>
    <col min="7" max="7" width="19" style="90" customWidth="1"/>
    <col min="8" max="8" width="5.28515625" style="90" customWidth="1"/>
    <col min="9" max="9" width="2.28515625" style="90" customWidth="1"/>
    <col min="10" max="10" width="8.7109375" style="90" customWidth="1"/>
    <col min="11" max="11" width="19" style="90" customWidth="1"/>
    <col min="12" max="12" width="25.7109375" style="90" customWidth="1"/>
    <col min="13" max="13" width="19" style="90" customWidth="1"/>
    <col min="14" max="14" width="5.7109375" style="90" customWidth="1"/>
    <col min="15" max="17" width="19" style="90" customWidth="1"/>
    <col min="18" max="21" width="14.7109375" style="90" customWidth="1"/>
    <col min="22" max="16384" width="9.140625" style="90"/>
  </cols>
  <sheetData>
    <row r="1" spans="1:106" ht="30" customHeight="1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</row>
    <row r="2" spans="1:106" x14ac:dyDescent="0.2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89"/>
      <c r="DA2" s="89"/>
      <c r="DB2" s="89"/>
    </row>
    <row r="3" spans="1:106" x14ac:dyDescent="0.2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89"/>
      <c r="DA3" s="89"/>
      <c r="DB3" s="89"/>
    </row>
    <row r="4" spans="1:106" x14ac:dyDescent="0.2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89"/>
      <c r="BH4" s="89"/>
      <c r="BI4" s="89"/>
      <c r="BJ4" s="89"/>
      <c r="BK4" s="89"/>
      <c r="BL4" s="89"/>
      <c r="BM4" s="89"/>
      <c r="BN4" s="89"/>
      <c r="BO4" s="89"/>
      <c r="BP4" s="89"/>
      <c r="BQ4" s="89"/>
      <c r="BR4" s="89"/>
      <c r="BS4" s="89"/>
      <c r="BT4" s="89"/>
      <c r="BU4" s="89"/>
      <c r="BV4" s="89"/>
      <c r="BW4" s="89"/>
      <c r="BX4" s="89"/>
      <c r="BY4" s="89"/>
      <c r="BZ4" s="89"/>
      <c r="CA4" s="89"/>
      <c r="CB4" s="89"/>
      <c r="CC4" s="89"/>
      <c r="CD4" s="89"/>
      <c r="CE4" s="89"/>
      <c r="CF4" s="89"/>
      <c r="CG4" s="89"/>
      <c r="CH4" s="89"/>
      <c r="CI4" s="89"/>
      <c r="CJ4" s="89"/>
      <c r="CK4" s="89"/>
      <c r="CL4" s="89"/>
      <c r="CM4" s="89"/>
      <c r="CN4" s="89"/>
      <c r="CO4" s="89"/>
      <c r="CP4" s="89"/>
      <c r="CQ4" s="89"/>
      <c r="CR4" s="89"/>
      <c r="CS4" s="89"/>
      <c r="CT4" s="89"/>
      <c r="CU4" s="89"/>
      <c r="CV4" s="89"/>
      <c r="CW4" s="89"/>
      <c r="CX4" s="89"/>
      <c r="CY4" s="89"/>
      <c r="CZ4" s="89"/>
      <c r="DA4" s="89"/>
      <c r="DB4" s="89"/>
    </row>
    <row r="5" spans="1:106" x14ac:dyDescent="0.2">
      <c r="A5" s="89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  <c r="AO5" s="89"/>
      <c r="AP5" s="89"/>
      <c r="AQ5" s="89"/>
      <c r="AR5" s="89"/>
      <c r="AS5" s="89"/>
      <c r="AT5" s="89"/>
      <c r="AU5" s="89"/>
      <c r="AV5" s="89"/>
      <c r="AW5" s="89"/>
      <c r="AX5" s="89"/>
      <c r="AY5" s="89"/>
      <c r="AZ5" s="89"/>
      <c r="BA5" s="89"/>
      <c r="BB5" s="89"/>
      <c r="BC5" s="89"/>
      <c r="BD5" s="89"/>
      <c r="BE5" s="89"/>
      <c r="BF5" s="89"/>
      <c r="BG5" s="89"/>
      <c r="BH5" s="89"/>
      <c r="BI5" s="89"/>
      <c r="BJ5" s="89"/>
      <c r="BK5" s="89"/>
      <c r="BL5" s="89"/>
      <c r="BM5" s="89"/>
      <c r="BN5" s="89"/>
      <c r="BO5" s="89"/>
      <c r="BP5" s="89"/>
      <c r="BQ5" s="89"/>
      <c r="BR5" s="89"/>
      <c r="BS5" s="89"/>
      <c r="BT5" s="89"/>
      <c r="BU5" s="89"/>
      <c r="BV5" s="89"/>
      <c r="BW5" s="89"/>
      <c r="BX5" s="89"/>
      <c r="BY5" s="89"/>
      <c r="BZ5" s="89"/>
      <c r="CA5" s="89"/>
      <c r="CB5" s="89"/>
      <c r="CC5" s="89"/>
      <c r="CD5" s="89"/>
      <c r="CE5" s="89"/>
      <c r="CF5" s="89"/>
      <c r="CG5" s="89"/>
      <c r="CH5" s="89"/>
      <c r="CI5" s="89"/>
      <c r="CJ5" s="89"/>
      <c r="CK5" s="89"/>
      <c r="CL5" s="89"/>
      <c r="CM5" s="89"/>
      <c r="CN5" s="89"/>
      <c r="CO5" s="89"/>
      <c r="CP5" s="89"/>
      <c r="CQ5" s="89"/>
      <c r="CR5" s="89"/>
      <c r="CS5" s="89"/>
      <c r="CT5" s="89"/>
      <c r="CU5" s="89"/>
      <c r="CV5" s="89"/>
      <c r="CW5" s="89"/>
      <c r="CX5" s="89"/>
      <c r="CY5" s="89"/>
      <c r="CZ5" s="89"/>
      <c r="DA5" s="89"/>
      <c r="DB5" s="89"/>
    </row>
    <row r="6" spans="1:106" x14ac:dyDescent="0.2">
      <c r="A6" s="89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</row>
    <row r="7" spans="1:106" x14ac:dyDescent="0.2">
      <c r="A7" s="89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89"/>
      <c r="X7" s="89"/>
      <c r="Y7" s="89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89"/>
      <c r="CL7" s="89"/>
      <c r="CM7" s="89"/>
      <c r="CN7" s="89"/>
      <c r="CO7" s="89"/>
      <c r="CP7" s="89"/>
      <c r="CQ7" s="89"/>
      <c r="CR7" s="89"/>
      <c r="CS7" s="89"/>
      <c r="CT7" s="89"/>
      <c r="CU7" s="89"/>
      <c r="CV7" s="89"/>
      <c r="CW7" s="89"/>
      <c r="CX7" s="89"/>
      <c r="CY7" s="89"/>
      <c r="CZ7" s="89"/>
      <c r="DA7" s="89"/>
      <c r="DB7" s="89"/>
    </row>
    <row r="8" spans="1:106" x14ac:dyDescent="0.2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89"/>
      <c r="CD8" s="89"/>
      <c r="CE8" s="89"/>
      <c r="CF8" s="89"/>
      <c r="CG8" s="89"/>
      <c r="CH8" s="89"/>
      <c r="CI8" s="89"/>
      <c r="CJ8" s="89"/>
      <c r="CK8" s="89"/>
      <c r="CL8" s="89"/>
      <c r="CM8" s="89"/>
      <c r="CN8" s="89"/>
      <c r="CO8" s="89"/>
      <c r="CP8" s="89"/>
      <c r="CQ8" s="89"/>
      <c r="CR8" s="89"/>
      <c r="CS8" s="89"/>
      <c r="CT8" s="89"/>
      <c r="CU8" s="89"/>
      <c r="CV8" s="89"/>
      <c r="CW8" s="89"/>
      <c r="CX8" s="89"/>
      <c r="CY8" s="89"/>
      <c r="CZ8" s="89"/>
      <c r="DA8" s="89"/>
      <c r="DB8" s="89"/>
    </row>
    <row r="9" spans="1:106" x14ac:dyDescent="0.2">
      <c r="A9" s="89"/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9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89"/>
      <c r="CT9" s="89"/>
      <c r="CU9" s="89"/>
      <c r="CV9" s="89"/>
      <c r="CW9" s="89"/>
      <c r="CX9" s="89"/>
      <c r="CY9" s="89"/>
      <c r="CZ9" s="89"/>
      <c r="DA9" s="89"/>
      <c r="DB9" s="89"/>
    </row>
    <row r="10" spans="1:106" x14ac:dyDescent="0.2">
      <c r="A10" s="89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9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89"/>
      <c r="CT10" s="89"/>
      <c r="CU10" s="89"/>
      <c r="CV10" s="89"/>
      <c r="CW10" s="89"/>
      <c r="CX10" s="89"/>
      <c r="CY10" s="89"/>
      <c r="CZ10" s="89"/>
      <c r="DA10" s="89"/>
      <c r="DB10" s="89"/>
    </row>
    <row r="11" spans="1:106" x14ac:dyDescent="0.2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9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89"/>
      <c r="CT11" s="89"/>
      <c r="CU11" s="89"/>
      <c r="CV11" s="89"/>
      <c r="CW11" s="89"/>
      <c r="CX11" s="89"/>
      <c r="CY11" s="89"/>
      <c r="CZ11" s="89"/>
      <c r="DA11" s="89"/>
      <c r="DB11" s="89"/>
    </row>
    <row r="12" spans="1:106" x14ac:dyDescent="0.2">
      <c r="A12" s="89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9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89"/>
      <c r="CT12" s="89"/>
      <c r="CU12" s="89"/>
      <c r="CV12" s="89"/>
      <c r="CW12" s="89"/>
      <c r="CX12" s="89"/>
      <c r="CY12" s="89"/>
      <c r="CZ12" s="89"/>
      <c r="DA12" s="89"/>
      <c r="DB12" s="89"/>
    </row>
    <row r="13" spans="1:106" x14ac:dyDescent="0.2">
      <c r="A13" s="89"/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9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89"/>
      <c r="CT13" s="89"/>
      <c r="CU13" s="89"/>
      <c r="CV13" s="89"/>
      <c r="CW13" s="89"/>
      <c r="CX13" s="89"/>
      <c r="CY13" s="89"/>
      <c r="CZ13" s="89"/>
      <c r="DA13" s="89"/>
      <c r="DB13" s="89"/>
    </row>
    <row r="14" spans="1:106" x14ac:dyDescent="0.2">
      <c r="A14" s="89"/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89"/>
      <c r="CD14" s="89"/>
      <c r="CE14" s="89"/>
      <c r="CF14" s="89"/>
      <c r="CG14" s="89"/>
      <c r="CH14" s="89"/>
      <c r="CI14" s="89"/>
      <c r="CJ14" s="89"/>
      <c r="CK14" s="89"/>
      <c r="CL14" s="89"/>
      <c r="CM14" s="89"/>
      <c r="CN14" s="89"/>
      <c r="CO14" s="89"/>
      <c r="CP14" s="89"/>
      <c r="CQ14" s="89"/>
      <c r="CR14" s="89"/>
      <c r="CS14" s="89"/>
      <c r="CT14" s="89"/>
      <c r="CU14" s="89"/>
      <c r="CV14" s="89"/>
      <c r="CW14" s="89"/>
      <c r="CX14" s="89"/>
      <c r="CY14" s="89"/>
      <c r="CZ14" s="89"/>
      <c r="DA14" s="89"/>
      <c r="DB14" s="89"/>
    </row>
    <row r="15" spans="1:106" x14ac:dyDescent="0.2">
      <c r="A15" s="89"/>
      <c r="B15" s="89"/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89"/>
      <c r="CD15" s="89"/>
      <c r="CE15" s="89"/>
      <c r="CF15" s="89"/>
      <c r="CG15" s="89"/>
      <c r="CH15" s="89"/>
      <c r="CI15" s="89"/>
      <c r="CJ15" s="89"/>
      <c r="CK15" s="89"/>
      <c r="CL15" s="89"/>
      <c r="CM15" s="89"/>
      <c r="CN15" s="89"/>
      <c r="CO15" s="89"/>
      <c r="CP15" s="89"/>
      <c r="CQ15" s="89"/>
      <c r="CR15" s="89"/>
      <c r="CS15" s="89"/>
      <c r="CT15" s="89"/>
      <c r="CU15" s="89"/>
      <c r="CV15" s="89"/>
      <c r="CW15" s="89"/>
      <c r="CX15" s="89"/>
      <c r="CY15" s="89"/>
      <c r="CZ15" s="89"/>
      <c r="DA15" s="89"/>
      <c r="DB15" s="89"/>
    </row>
    <row r="16" spans="1:106" x14ac:dyDescent="0.2">
      <c r="A16" s="89"/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89"/>
      <c r="CD16" s="89"/>
      <c r="CE16" s="89"/>
      <c r="CF16" s="89"/>
      <c r="CG16" s="89"/>
      <c r="CH16" s="89"/>
      <c r="CI16" s="89"/>
      <c r="CJ16" s="89"/>
      <c r="CK16" s="89"/>
      <c r="CL16" s="89"/>
      <c r="CM16" s="89"/>
      <c r="CN16" s="89"/>
      <c r="CO16" s="89"/>
      <c r="CP16" s="89"/>
      <c r="CQ16" s="89"/>
      <c r="CR16" s="89"/>
      <c r="CS16" s="89"/>
      <c r="CT16" s="89"/>
      <c r="CU16" s="89"/>
      <c r="CV16" s="89"/>
      <c r="CW16" s="89"/>
      <c r="CX16" s="89"/>
      <c r="CY16" s="89"/>
      <c r="CZ16" s="89"/>
      <c r="DA16" s="89"/>
      <c r="DB16" s="89"/>
    </row>
    <row r="17" spans="1:106" ht="15.95" customHeight="1" thickBot="1" x14ac:dyDescent="0.25">
      <c r="A17" s="89"/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  <c r="R17" s="89"/>
      <c r="S17" s="89"/>
      <c r="T17" s="89"/>
      <c r="U17" s="89"/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89"/>
      <c r="CD17" s="89"/>
      <c r="CE17" s="89"/>
      <c r="CF17" s="89"/>
      <c r="CG17" s="89"/>
      <c r="CH17" s="89"/>
      <c r="CI17" s="89"/>
      <c r="CJ17" s="89"/>
      <c r="CK17" s="89"/>
      <c r="CL17" s="89"/>
      <c r="CM17" s="89"/>
      <c r="CN17" s="89"/>
      <c r="CO17" s="89"/>
      <c r="CP17" s="89"/>
      <c r="CQ17" s="89"/>
      <c r="CR17" s="89"/>
      <c r="CS17" s="89"/>
      <c r="CT17" s="89"/>
      <c r="CU17" s="89"/>
      <c r="CV17" s="89"/>
      <c r="CW17" s="89"/>
      <c r="CX17" s="89"/>
      <c r="CY17" s="89"/>
      <c r="CZ17" s="89"/>
      <c r="DA17" s="89"/>
      <c r="DB17" s="89"/>
    </row>
    <row r="18" spans="1:106" ht="42.75" customHeight="1" x14ac:dyDescent="0.2">
      <c r="A18" s="89"/>
      <c r="B18" s="91"/>
      <c r="C18" s="118" t="s">
        <v>109</v>
      </c>
      <c r="D18" s="119"/>
      <c r="E18" s="119"/>
      <c r="F18" s="119"/>
      <c r="G18" s="119"/>
      <c r="H18" s="120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 s="89"/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89"/>
      <c r="CD18" s="89"/>
      <c r="CE18" s="89"/>
      <c r="CF18" s="89"/>
      <c r="CG18" s="89"/>
      <c r="CH18" s="89"/>
      <c r="CI18" s="89"/>
      <c r="CJ18" s="89"/>
      <c r="CK18" s="89"/>
      <c r="CL18" s="89"/>
      <c r="CM18" s="89"/>
      <c r="CN18" s="89"/>
      <c r="CO18" s="89"/>
      <c r="CP18" s="89"/>
      <c r="CQ18" s="89"/>
      <c r="CR18" s="89"/>
      <c r="CS18" s="89"/>
      <c r="CT18" s="89"/>
      <c r="CU18" s="89"/>
      <c r="CV18" s="89"/>
      <c r="CW18" s="89"/>
      <c r="CX18" s="89"/>
      <c r="CY18" s="89"/>
      <c r="CZ18" s="89"/>
      <c r="DA18" s="89"/>
      <c r="DB18" s="89"/>
    </row>
    <row r="19" spans="1:106" ht="16.5" customHeight="1" x14ac:dyDescent="0.2">
      <c r="A19" s="89"/>
      <c r="B19" s="92"/>
      <c r="C19" s="121" t="s">
        <v>107</v>
      </c>
      <c r="D19" s="121"/>
      <c r="E19" s="121"/>
      <c r="F19" s="121"/>
      <c r="G19" s="121"/>
      <c r="H19" s="122"/>
      <c r="I19" s="93"/>
      <c r="J19" s="94"/>
      <c r="K19" s="93"/>
      <c r="L19" s="89"/>
      <c r="M19" s="89"/>
      <c r="N19" s="89"/>
      <c r="O19" s="89"/>
      <c r="P19" s="89"/>
      <c r="Q19" s="89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89"/>
      <c r="CD19" s="89"/>
      <c r="CE19" s="89"/>
      <c r="CF19" s="89"/>
      <c r="CG19" s="89"/>
      <c r="CH19" s="89"/>
      <c r="CI19" s="89"/>
      <c r="CJ19" s="89"/>
      <c r="CK19" s="89"/>
      <c r="CL19" s="89"/>
      <c r="CM19" s="89"/>
      <c r="CN19" s="89"/>
      <c r="CO19" s="89"/>
      <c r="CP19" s="89"/>
      <c r="CQ19" s="89"/>
      <c r="CR19" s="89"/>
      <c r="CS19" s="89"/>
      <c r="CT19" s="89"/>
      <c r="CU19" s="89"/>
      <c r="CV19" s="89"/>
      <c r="CW19" s="89"/>
      <c r="CX19" s="89"/>
      <c r="CY19" s="89"/>
      <c r="CZ19" s="89"/>
      <c r="DA19" s="89"/>
      <c r="DB19" s="89"/>
    </row>
    <row r="20" spans="1:106" ht="30.75" customHeight="1" x14ac:dyDescent="0.2">
      <c r="A20" s="89"/>
      <c r="B20" s="92"/>
      <c r="C20" s="123" t="s">
        <v>110</v>
      </c>
      <c r="D20" s="124"/>
      <c r="E20" s="124"/>
      <c r="F20" s="124"/>
      <c r="G20" s="124"/>
      <c r="H20" s="125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89"/>
      <c r="CD20" s="89"/>
      <c r="CE20" s="89"/>
      <c r="CF20" s="89"/>
      <c r="CG20" s="89"/>
      <c r="CH20" s="89"/>
      <c r="CI20" s="89"/>
      <c r="CJ20" s="89"/>
      <c r="CK20" s="89"/>
      <c r="CL20" s="89"/>
      <c r="CM20" s="89"/>
      <c r="CN20" s="89"/>
      <c r="CO20" s="89"/>
      <c r="CP20" s="89"/>
      <c r="CQ20" s="89"/>
      <c r="CR20" s="89"/>
      <c r="CS20" s="89"/>
      <c r="CT20" s="89"/>
      <c r="CU20" s="89"/>
      <c r="CV20" s="89"/>
      <c r="CW20" s="89"/>
      <c r="CX20" s="89"/>
      <c r="CY20" s="89"/>
      <c r="CZ20" s="89"/>
      <c r="DA20" s="89"/>
      <c r="DB20" s="89"/>
    </row>
    <row r="21" spans="1:106" ht="20.25" customHeight="1" thickBot="1" x14ac:dyDescent="0.25">
      <c r="A21" s="89"/>
      <c r="B21" s="95"/>
      <c r="C21" s="96" t="s">
        <v>105</v>
      </c>
      <c r="D21" s="97"/>
      <c r="E21" s="97"/>
      <c r="F21" s="97"/>
      <c r="G21" s="97"/>
      <c r="H21" s="98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  <c r="AY21" s="89"/>
      <c r="AZ21" s="89"/>
      <c r="BA21" s="89"/>
      <c r="BB21" s="89"/>
      <c r="BC21" s="89"/>
      <c r="BD21" s="89"/>
      <c r="BE21" s="89"/>
      <c r="BF21" s="89"/>
      <c r="BG21" s="89"/>
      <c r="BH21" s="89"/>
      <c r="BI21" s="89"/>
      <c r="BJ21" s="89"/>
      <c r="BK21" s="89"/>
      <c r="BL21" s="89"/>
      <c r="BM21" s="89"/>
      <c r="BN21" s="89"/>
      <c r="BO21" s="89"/>
      <c r="BP21" s="89"/>
      <c r="BQ21" s="89"/>
      <c r="BR21" s="89"/>
      <c r="BS21" s="89"/>
      <c r="BT21" s="89"/>
      <c r="BU21" s="89"/>
      <c r="BV21" s="89"/>
      <c r="BW21" s="89"/>
      <c r="BX21" s="89"/>
      <c r="BY21" s="89"/>
      <c r="BZ21" s="89"/>
      <c r="CA21" s="89"/>
      <c r="CB21" s="89"/>
      <c r="CC21" s="89"/>
      <c r="CD21" s="89"/>
      <c r="CE21" s="89"/>
      <c r="CF21" s="89"/>
      <c r="CG21" s="89"/>
      <c r="CH21" s="89"/>
      <c r="CI21" s="89"/>
      <c r="CJ21" s="89"/>
      <c r="CK21" s="89"/>
      <c r="CL21" s="89"/>
      <c r="CM21" s="89"/>
      <c r="CN21" s="89"/>
      <c r="CO21" s="89"/>
      <c r="CP21" s="89"/>
      <c r="CQ21" s="89"/>
      <c r="CR21" s="89"/>
      <c r="CS21" s="89"/>
      <c r="CT21" s="89"/>
      <c r="CU21" s="89"/>
      <c r="CV21" s="89"/>
      <c r="CW21" s="89"/>
      <c r="CX21" s="89"/>
      <c r="CY21" s="89"/>
      <c r="CZ21" s="89"/>
      <c r="DA21" s="89"/>
      <c r="DB21" s="89"/>
    </row>
    <row r="22" spans="1:106" x14ac:dyDescent="0.2">
      <c r="A22" s="89"/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  <c r="AL22" s="89"/>
      <c r="AM22" s="89"/>
      <c r="AN22" s="89"/>
      <c r="AO22" s="89"/>
      <c r="AP22" s="89"/>
      <c r="AQ22" s="89"/>
      <c r="AR22" s="89"/>
      <c r="AS22" s="89"/>
      <c r="AT22" s="89"/>
      <c r="AU22" s="89"/>
      <c r="AV22" s="89"/>
      <c r="AW22" s="89"/>
      <c r="AX22" s="89"/>
      <c r="AY22" s="89"/>
      <c r="AZ22" s="89"/>
      <c r="BA22" s="89"/>
      <c r="BB22" s="89"/>
      <c r="BC22" s="89"/>
      <c r="BD22" s="89"/>
      <c r="BE22" s="89"/>
      <c r="BF22" s="89"/>
      <c r="BG22" s="89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  <c r="BS22" s="89"/>
      <c r="BT22" s="89"/>
      <c r="BU22" s="89"/>
      <c r="BV22" s="89"/>
      <c r="BW22" s="89"/>
      <c r="BX22" s="89"/>
      <c r="BY22" s="89"/>
      <c r="BZ22" s="89"/>
      <c r="CA22" s="89"/>
      <c r="CB22" s="89"/>
      <c r="CC22" s="89"/>
      <c r="CD22" s="89"/>
      <c r="CE22" s="89"/>
      <c r="CF22" s="89"/>
      <c r="CG22" s="89"/>
      <c r="CH22" s="89"/>
      <c r="CI22" s="89"/>
      <c r="CJ22" s="89"/>
      <c r="CK22" s="89"/>
      <c r="CL22" s="89"/>
      <c r="CM22" s="89"/>
      <c r="CN22" s="89"/>
      <c r="CO22" s="89"/>
      <c r="CP22" s="89"/>
      <c r="CQ22" s="89"/>
      <c r="CR22" s="89"/>
      <c r="CS22" s="89"/>
      <c r="CT22" s="89"/>
      <c r="CU22" s="89"/>
      <c r="CV22" s="89"/>
      <c r="CW22" s="89"/>
      <c r="CX22" s="89"/>
      <c r="CY22" s="89"/>
      <c r="CZ22" s="89"/>
      <c r="DA22" s="89"/>
      <c r="DB22" s="89"/>
    </row>
    <row r="23" spans="1:106" x14ac:dyDescent="0.2">
      <c r="A23" s="89"/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89"/>
      <c r="AR23" s="89"/>
      <c r="AS23" s="89"/>
      <c r="AT23" s="89"/>
      <c r="AU23" s="89"/>
      <c r="AV23" s="89"/>
      <c r="AW23" s="89"/>
      <c r="AX23" s="89"/>
      <c r="AY23" s="89"/>
      <c r="AZ23" s="89"/>
      <c r="BA23" s="89"/>
      <c r="BB23" s="89"/>
      <c r="BC23" s="89"/>
      <c r="BD23" s="89"/>
      <c r="BE23" s="89"/>
      <c r="BF23" s="89"/>
      <c r="BG23" s="89"/>
      <c r="BH23" s="89"/>
      <c r="BI23" s="89"/>
      <c r="BJ23" s="89"/>
      <c r="BK23" s="89"/>
      <c r="BL23" s="89"/>
      <c r="BM23" s="89"/>
      <c r="BN23" s="89"/>
      <c r="BO23" s="89"/>
      <c r="BP23" s="89"/>
      <c r="BQ23" s="89"/>
      <c r="BR23" s="89"/>
      <c r="BS23" s="89"/>
      <c r="BT23" s="89"/>
      <c r="BU23" s="89"/>
      <c r="BV23" s="89"/>
      <c r="BW23" s="89"/>
      <c r="BX23" s="89"/>
      <c r="BY23" s="89"/>
      <c r="BZ23" s="89"/>
      <c r="CA23" s="89"/>
      <c r="CB23" s="89"/>
      <c r="CC23" s="89"/>
      <c r="CD23" s="89"/>
      <c r="CE23" s="89"/>
      <c r="CF23" s="89"/>
      <c r="CG23" s="89"/>
      <c r="CH23" s="89"/>
      <c r="CI23" s="89"/>
      <c r="CJ23" s="89"/>
      <c r="CK23" s="89"/>
      <c r="CL23" s="89"/>
      <c r="CM23" s="89"/>
      <c r="CN23" s="89"/>
      <c r="CO23" s="89"/>
      <c r="CP23" s="89"/>
      <c r="CQ23" s="89"/>
      <c r="CR23" s="89"/>
      <c r="CS23" s="89"/>
      <c r="CT23" s="89"/>
      <c r="CU23" s="89"/>
      <c r="CV23" s="89"/>
      <c r="CW23" s="89"/>
      <c r="CX23" s="89"/>
      <c r="CY23" s="89"/>
      <c r="CZ23" s="89"/>
      <c r="DA23" s="89"/>
      <c r="DB23" s="89"/>
    </row>
    <row r="24" spans="1:106" x14ac:dyDescent="0.2">
      <c r="A24" s="89"/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  <c r="AY24" s="89"/>
      <c r="AZ24" s="89"/>
      <c r="BA24" s="89"/>
      <c r="BB24" s="89"/>
      <c r="BC24" s="89"/>
      <c r="BD24" s="89"/>
      <c r="BE24" s="89"/>
      <c r="BF24" s="89"/>
      <c r="BG24" s="89"/>
      <c r="BH24" s="89"/>
      <c r="BI24" s="89"/>
      <c r="BJ24" s="89"/>
      <c r="BK24" s="89"/>
      <c r="BL24" s="89"/>
      <c r="BM24" s="89"/>
      <c r="BN24" s="89"/>
      <c r="BO24" s="89"/>
      <c r="BP24" s="89"/>
      <c r="BQ24" s="89"/>
      <c r="BR24" s="89"/>
      <c r="BS24" s="89"/>
      <c r="BT24" s="89"/>
      <c r="BU24" s="89"/>
      <c r="BV24" s="89"/>
      <c r="BW24" s="89"/>
      <c r="BX24" s="89"/>
      <c r="BY24" s="89"/>
      <c r="BZ24" s="89"/>
      <c r="CA24" s="89"/>
      <c r="CB24" s="89"/>
      <c r="CC24" s="89"/>
      <c r="CD24" s="89"/>
      <c r="CE24" s="89"/>
      <c r="CF24" s="89"/>
      <c r="CG24" s="89"/>
      <c r="CH24" s="89"/>
      <c r="CI24" s="89"/>
      <c r="CJ24" s="89"/>
      <c r="CK24" s="89"/>
      <c r="CL24" s="89"/>
      <c r="CM24" s="89"/>
      <c r="CN24" s="89"/>
      <c r="CO24" s="89"/>
      <c r="CP24" s="89"/>
      <c r="CQ24" s="89"/>
      <c r="CR24" s="89"/>
      <c r="CS24" s="89"/>
      <c r="CT24" s="89"/>
      <c r="CU24" s="89"/>
      <c r="CV24" s="89"/>
      <c r="CW24" s="89"/>
      <c r="CX24" s="89"/>
      <c r="CY24" s="89"/>
      <c r="CZ24" s="89"/>
      <c r="DA24" s="89"/>
      <c r="DB24" s="89"/>
    </row>
    <row r="25" spans="1:106" x14ac:dyDescent="0.2">
      <c r="A25" s="89"/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  <c r="AY25" s="89"/>
      <c r="AZ25" s="89"/>
      <c r="BA25" s="89"/>
      <c r="BB25" s="89"/>
      <c r="BC25" s="89"/>
      <c r="BD25" s="89"/>
      <c r="BE25" s="89"/>
      <c r="BF25" s="89"/>
      <c r="BG25" s="89"/>
      <c r="BH25" s="89"/>
      <c r="BI25" s="89"/>
      <c r="BJ25" s="89"/>
      <c r="BK25" s="89"/>
      <c r="BL25" s="89"/>
      <c r="BM25" s="89"/>
      <c r="BN25" s="89"/>
      <c r="BO25" s="89"/>
      <c r="BP25" s="89"/>
      <c r="BQ25" s="89"/>
      <c r="BR25" s="89"/>
      <c r="BS25" s="89"/>
      <c r="BT25" s="89"/>
      <c r="BU25" s="89"/>
      <c r="BV25" s="89"/>
      <c r="BW25" s="89"/>
      <c r="BX25" s="89"/>
      <c r="BY25" s="89"/>
      <c r="BZ25" s="89"/>
      <c r="CA25" s="89"/>
      <c r="CB25" s="89"/>
      <c r="CC25" s="89"/>
      <c r="CD25" s="89"/>
      <c r="CE25" s="89"/>
      <c r="CF25" s="89"/>
      <c r="CG25" s="89"/>
      <c r="CH25" s="89"/>
      <c r="CI25" s="89"/>
      <c r="CJ25" s="89"/>
      <c r="CK25" s="89"/>
      <c r="CL25" s="89"/>
      <c r="CM25" s="89"/>
      <c r="CN25" s="89"/>
      <c r="CO25" s="89"/>
      <c r="CP25" s="89"/>
      <c r="CQ25" s="89"/>
      <c r="CR25" s="89"/>
      <c r="CS25" s="89"/>
      <c r="CT25" s="89"/>
      <c r="CU25" s="89"/>
      <c r="CV25" s="89"/>
      <c r="CW25" s="89"/>
      <c r="CX25" s="89"/>
      <c r="CY25" s="89"/>
      <c r="CZ25" s="89"/>
      <c r="DA25" s="89"/>
      <c r="DB25" s="89"/>
    </row>
    <row r="26" spans="1:106" x14ac:dyDescent="0.2">
      <c r="A26" s="89"/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89"/>
      <c r="AR26" s="89"/>
      <c r="AS26" s="89"/>
      <c r="AT26" s="89"/>
      <c r="AU26" s="89"/>
      <c r="AV26" s="89"/>
      <c r="AW26" s="89"/>
      <c r="AX26" s="89"/>
      <c r="AY26" s="89"/>
      <c r="AZ26" s="89"/>
      <c r="BA26" s="89"/>
      <c r="BB26" s="89"/>
      <c r="BC26" s="89"/>
      <c r="BD26" s="89"/>
      <c r="BE26" s="89"/>
      <c r="BF26" s="89"/>
      <c r="BG26" s="89"/>
      <c r="BH26" s="89"/>
      <c r="BI26" s="89"/>
      <c r="BJ26" s="89"/>
      <c r="BK26" s="89"/>
      <c r="BL26" s="89"/>
      <c r="BM26" s="89"/>
      <c r="BN26" s="89"/>
      <c r="BO26" s="89"/>
      <c r="BP26" s="89"/>
      <c r="BQ26" s="89"/>
      <c r="BR26" s="89"/>
      <c r="BS26" s="89"/>
      <c r="BT26" s="89"/>
      <c r="BU26" s="89"/>
      <c r="BV26" s="89"/>
      <c r="BW26" s="89"/>
      <c r="BX26" s="89"/>
      <c r="BY26" s="89"/>
      <c r="BZ26" s="89"/>
      <c r="CA26" s="89"/>
      <c r="CB26" s="89"/>
      <c r="CC26" s="89"/>
      <c r="CD26" s="89"/>
      <c r="CE26" s="89"/>
      <c r="CF26" s="89"/>
      <c r="CG26" s="89"/>
      <c r="CH26" s="89"/>
      <c r="CI26" s="89"/>
      <c r="CJ26" s="89"/>
      <c r="CK26" s="89"/>
      <c r="CL26" s="89"/>
      <c r="CM26" s="89"/>
      <c r="CN26" s="89"/>
      <c r="CO26" s="89"/>
      <c r="CP26" s="89"/>
      <c r="CQ26" s="89"/>
      <c r="CR26" s="89"/>
      <c r="CS26" s="89"/>
      <c r="CT26" s="89"/>
      <c r="CU26" s="89"/>
      <c r="CV26" s="89"/>
      <c r="CW26" s="89"/>
      <c r="CX26" s="89"/>
      <c r="CY26" s="89"/>
      <c r="CZ26" s="89"/>
      <c r="DA26" s="89"/>
      <c r="DB26" s="89"/>
    </row>
    <row r="27" spans="1:106" x14ac:dyDescent="0.2">
      <c r="A27" s="89"/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89"/>
      <c r="AR27" s="89"/>
      <c r="AS27" s="89"/>
      <c r="AT27" s="89"/>
      <c r="AU27" s="89"/>
      <c r="AV27" s="89"/>
      <c r="AW27" s="89"/>
      <c r="AX27" s="89"/>
      <c r="AY27" s="89"/>
      <c r="AZ27" s="89"/>
      <c r="BA27" s="89"/>
      <c r="BB27" s="89"/>
      <c r="BC27" s="89"/>
      <c r="BD27" s="89"/>
      <c r="BE27" s="89"/>
      <c r="BF27" s="89"/>
      <c r="BG27" s="89"/>
      <c r="BH27" s="89"/>
      <c r="BI27" s="89"/>
      <c r="BJ27" s="89"/>
      <c r="BK27" s="89"/>
      <c r="BL27" s="89"/>
      <c r="BM27" s="89"/>
      <c r="BN27" s="89"/>
      <c r="BO27" s="89"/>
      <c r="BP27" s="89"/>
      <c r="BQ27" s="89"/>
      <c r="BR27" s="89"/>
      <c r="BS27" s="89"/>
      <c r="BT27" s="89"/>
      <c r="BU27" s="89"/>
      <c r="BV27" s="89"/>
      <c r="BW27" s="89"/>
      <c r="BX27" s="89"/>
      <c r="BY27" s="89"/>
      <c r="BZ27" s="89"/>
      <c r="CA27" s="89"/>
      <c r="CB27" s="89"/>
      <c r="CC27" s="89"/>
      <c r="CD27" s="89"/>
      <c r="CE27" s="89"/>
      <c r="CF27" s="89"/>
      <c r="CG27" s="89"/>
      <c r="CH27" s="89"/>
      <c r="CI27" s="89"/>
      <c r="CJ27" s="89"/>
      <c r="CK27" s="89"/>
      <c r="CL27" s="89"/>
      <c r="CM27" s="89"/>
      <c r="CN27" s="89"/>
      <c r="CO27" s="89"/>
      <c r="CP27" s="89"/>
      <c r="CQ27" s="89"/>
      <c r="CR27" s="89"/>
      <c r="CS27" s="89"/>
      <c r="CT27" s="89"/>
      <c r="CU27" s="89"/>
      <c r="CV27" s="89"/>
      <c r="CW27" s="89"/>
      <c r="CX27" s="89"/>
      <c r="CY27" s="89"/>
      <c r="CZ27" s="89"/>
      <c r="DA27" s="89"/>
      <c r="DB27" s="89"/>
    </row>
    <row r="28" spans="1:106" x14ac:dyDescent="0.2">
      <c r="A28" s="89"/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  <c r="AL28" s="89"/>
      <c r="AM28" s="89"/>
      <c r="AN28" s="89"/>
      <c r="AO28" s="89"/>
      <c r="AP28" s="89"/>
      <c r="AQ28" s="89"/>
      <c r="AR28" s="89"/>
      <c r="AS28" s="89"/>
      <c r="AT28" s="89"/>
      <c r="AU28" s="89"/>
      <c r="AV28" s="89"/>
      <c r="AW28" s="89"/>
      <c r="AX28" s="89"/>
      <c r="AY28" s="89"/>
      <c r="AZ28" s="89"/>
      <c r="BA28" s="89"/>
      <c r="BB28" s="89"/>
      <c r="BC28" s="89"/>
      <c r="BD28" s="89"/>
      <c r="BE28" s="89"/>
      <c r="BF28" s="89"/>
      <c r="BG28" s="89"/>
      <c r="BH28" s="89"/>
      <c r="BI28" s="89"/>
      <c r="BJ28" s="89"/>
      <c r="BK28" s="89"/>
      <c r="BL28" s="89"/>
      <c r="BM28" s="89"/>
      <c r="BN28" s="89"/>
      <c r="BO28" s="89"/>
      <c r="BP28" s="89"/>
      <c r="BQ28" s="89"/>
      <c r="BR28" s="89"/>
      <c r="BS28" s="89"/>
      <c r="BT28" s="89"/>
      <c r="BU28" s="89"/>
      <c r="BV28" s="89"/>
      <c r="BW28" s="89"/>
      <c r="BX28" s="89"/>
      <c r="BY28" s="89"/>
      <c r="BZ28" s="89"/>
      <c r="CA28" s="89"/>
      <c r="CB28" s="89"/>
      <c r="CC28" s="89"/>
      <c r="CD28" s="89"/>
      <c r="CE28" s="89"/>
      <c r="CF28" s="89"/>
      <c r="CG28" s="89"/>
      <c r="CH28" s="89"/>
      <c r="CI28" s="89"/>
      <c r="CJ28" s="89"/>
      <c r="CK28" s="89"/>
      <c r="CL28" s="89"/>
      <c r="CM28" s="89"/>
      <c r="CN28" s="89"/>
      <c r="CO28" s="89"/>
      <c r="CP28" s="89"/>
      <c r="CQ28" s="89"/>
      <c r="CR28" s="89"/>
      <c r="CS28" s="89"/>
      <c r="CT28" s="89"/>
      <c r="CU28" s="89"/>
      <c r="CV28" s="89"/>
      <c r="CW28" s="89"/>
      <c r="CX28" s="89"/>
      <c r="CY28" s="89"/>
      <c r="CZ28" s="89"/>
      <c r="DA28" s="89"/>
      <c r="DB28" s="89"/>
    </row>
    <row r="29" spans="1:106" x14ac:dyDescent="0.2">
      <c r="A29" s="89"/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  <c r="AL29" s="89"/>
      <c r="AM29" s="89"/>
      <c r="AN29" s="89"/>
      <c r="AO29" s="89"/>
      <c r="AP29" s="89"/>
      <c r="AQ29" s="89"/>
      <c r="AR29" s="89"/>
      <c r="AS29" s="89"/>
      <c r="AT29" s="89"/>
      <c r="AU29" s="89"/>
      <c r="AV29" s="89"/>
      <c r="AW29" s="89"/>
      <c r="AX29" s="89"/>
      <c r="AY29" s="89"/>
      <c r="AZ29" s="89"/>
      <c r="BA29" s="89"/>
      <c r="BB29" s="89"/>
      <c r="BC29" s="89"/>
      <c r="BD29" s="89"/>
      <c r="BE29" s="89"/>
      <c r="BF29" s="89"/>
      <c r="BG29" s="89"/>
      <c r="BH29" s="89"/>
      <c r="BI29" s="89"/>
      <c r="BJ29" s="89"/>
      <c r="BK29" s="89"/>
      <c r="BL29" s="89"/>
      <c r="BM29" s="89"/>
      <c r="BN29" s="89"/>
      <c r="BO29" s="89"/>
      <c r="BP29" s="89"/>
      <c r="BQ29" s="89"/>
      <c r="BR29" s="89"/>
      <c r="BS29" s="89"/>
      <c r="BT29" s="89"/>
      <c r="BU29" s="89"/>
      <c r="BV29" s="89"/>
      <c r="BW29" s="89"/>
      <c r="BX29" s="89"/>
      <c r="BY29" s="89"/>
      <c r="BZ29" s="89"/>
      <c r="CA29" s="89"/>
      <c r="CB29" s="89"/>
      <c r="CC29" s="89"/>
      <c r="CD29" s="89"/>
      <c r="CE29" s="89"/>
      <c r="CF29" s="89"/>
      <c r="CG29" s="89"/>
      <c r="CH29" s="89"/>
      <c r="CI29" s="89"/>
      <c r="CJ29" s="89"/>
      <c r="CK29" s="89"/>
      <c r="CL29" s="89"/>
      <c r="CM29" s="89"/>
      <c r="CN29" s="89"/>
      <c r="CO29" s="89"/>
      <c r="CP29" s="89"/>
      <c r="CQ29" s="89"/>
      <c r="CR29" s="89"/>
      <c r="CS29" s="89"/>
      <c r="CT29" s="89"/>
      <c r="CU29" s="89"/>
      <c r="CV29" s="89"/>
      <c r="CW29" s="89"/>
      <c r="CX29" s="89"/>
      <c r="CY29" s="89"/>
      <c r="CZ29" s="89"/>
      <c r="DA29" s="89"/>
      <c r="DB29" s="89"/>
    </row>
    <row r="30" spans="1:106" x14ac:dyDescent="0.2">
      <c r="A30" s="89"/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89"/>
      <c r="AR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BL30" s="89"/>
      <c r="BM30" s="89"/>
      <c r="BN30" s="89"/>
      <c r="BO30" s="89"/>
      <c r="BP30" s="89"/>
      <c r="BQ30" s="89"/>
      <c r="BR30" s="89"/>
      <c r="BS30" s="89"/>
      <c r="BT30" s="89"/>
      <c r="BU30" s="89"/>
      <c r="BV30" s="89"/>
      <c r="BW30" s="89"/>
      <c r="BX30" s="89"/>
      <c r="BY30" s="89"/>
      <c r="BZ30" s="89"/>
      <c r="CA30" s="89"/>
      <c r="CB30" s="89"/>
      <c r="CC30" s="89"/>
      <c r="CD30" s="89"/>
      <c r="CE30" s="89"/>
      <c r="CF30" s="89"/>
      <c r="CG30" s="89"/>
      <c r="CH30" s="89"/>
      <c r="CI30" s="89"/>
      <c r="CJ30" s="89"/>
      <c r="CK30" s="89"/>
      <c r="CL30" s="89"/>
      <c r="CM30" s="89"/>
      <c r="CN30" s="89"/>
      <c r="CO30" s="89"/>
      <c r="CP30" s="89"/>
      <c r="CQ30" s="89"/>
      <c r="CR30" s="89"/>
      <c r="CS30" s="89"/>
      <c r="CT30" s="89"/>
      <c r="CU30" s="89"/>
      <c r="CV30" s="89"/>
      <c r="CW30" s="89"/>
      <c r="CX30" s="89"/>
      <c r="CY30" s="89"/>
      <c r="CZ30" s="89"/>
      <c r="DA30" s="89"/>
      <c r="DB30" s="89"/>
    </row>
    <row r="31" spans="1:106" x14ac:dyDescent="0.2">
      <c r="A31" s="89"/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  <c r="AL31" s="89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BL31" s="89"/>
      <c r="BM31" s="89"/>
      <c r="BN31" s="89"/>
      <c r="BO31" s="89"/>
      <c r="BP31" s="89"/>
      <c r="BQ31" s="89"/>
      <c r="BR31" s="89"/>
      <c r="BS31" s="89"/>
      <c r="BT31" s="89"/>
      <c r="BU31" s="89"/>
      <c r="BV31" s="89"/>
      <c r="BW31" s="89"/>
      <c r="BX31" s="89"/>
      <c r="BY31" s="89"/>
      <c r="BZ31" s="89"/>
      <c r="CA31" s="89"/>
      <c r="CB31" s="89"/>
      <c r="CC31" s="89"/>
      <c r="CD31" s="89"/>
      <c r="CE31" s="89"/>
      <c r="CF31" s="89"/>
      <c r="CG31" s="89"/>
      <c r="CH31" s="89"/>
      <c r="CI31" s="89"/>
      <c r="CJ31" s="89"/>
      <c r="CK31" s="89"/>
      <c r="CL31" s="89"/>
      <c r="CM31" s="89"/>
      <c r="CN31" s="89"/>
      <c r="CO31" s="89"/>
      <c r="CP31" s="89"/>
      <c r="CQ31" s="89"/>
      <c r="CR31" s="89"/>
      <c r="CS31" s="89"/>
      <c r="CT31" s="89"/>
      <c r="CU31" s="89"/>
      <c r="CV31" s="89"/>
      <c r="CW31" s="89"/>
      <c r="CX31" s="89"/>
      <c r="CY31" s="89"/>
      <c r="CZ31" s="89"/>
      <c r="DA31" s="89"/>
      <c r="DB31" s="89"/>
    </row>
    <row r="32" spans="1:106" x14ac:dyDescent="0.2">
      <c r="A32" s="89"/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BL32" s="89"/>
      <c r="BM32" s="89"/>
      <c r="BN32" s="89"/>
      <c r="BO32" s="89"/>
      <c r="BP32" s="89"/>
      <c r="BQ32" s="89"/>
      <c r="BR32" s="89"/>
      <c r="BS32" s="89"/>
      <c r="BT32" s="89"/>
      <c r="BU32" s="89"/>
      <c r="BV32" s="89"/>
      <c r="BW32" s="89"/>
      <c r="BX32" s="89"/>
      <c r="BY32" s="89"/>
      <c r="BZ32" s="89"/>
      <c r="CA32" s="89"/>
      <c r="CB32" s="89"/>
      <c r="CC32" s="89"/>
      <c r="CD32" s="89"/>
      <c r="CE32" s="89"/>
      <c r="CF32" s="89"/>
      <c r="CG32" s="89"/>
      <c r="CH32" s="89"/>
      <c r="CI32" s="89"/>
      <c r="CJ32" s="89"/>
      <c r="CK32" s="89"/>
      <c r="CL32" s="89"/>
      <c r="CM32" s="89"/>
      <c r="CN32" s="89"/>
      <c r="CO32" s="89"/>
      <c r="CP32" s="89"/>
      <c r="CQ32" s="89"/>
      <c r="CR32" s="89"/>
      <c r="CS32" s="89"/>
      <c r="CT32" s="89"/>
      <c r="CU32" s="89"/>
      <c r="CV32" s="89"/>
      <c r="CW32" s="89"/>
      <c r="CX32" s="89"/>
      <c r="CY32" s="89"/>
      <c r="CZ32" s="89"/>
      <c r="DA32" s="89"/>
      <c r="DB32" s="89"/>
    </row>
    <row r="33" spans="1:106" x14ac:dyDescent="0.2">
      <c r="A33" s="89"/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89"/>
      <c r="CD33" s="89"/>
      <c r="CE33" s="89"/>
      <c r="CF33" s="89"/>
      <c r="CG33" s="89"/>
      <c r="CH33" s="89"/>
      <c r="CI33" s="89"/>
      <c r="CJ33" s="89"/>
      <c r="CK33" s="89"/>
      <c r="CL33" s="89"/>
      <c r="CM33" s="89"/>
      <c r="CN33" s="89"/>
      <c r="CO33" s="89"/>
      <c r="CP33" s="89"/>
      <c r="CQ33" s="89"/>
      <c r="CR33" s="89"/>
      <c r="CS33" s="89"/>
      <c r="CT33" s="89"/>
      <c r="CU33" s="89"/>
      <c r="CV33" s="89"/>
      <c r="CW33" s="89"/>
      <c r="CX33" s="89"/>
      <c r="CY33" s="89"/>
      <c r="CZ33" s="89"/>
      <c r="DA33" s="89"/>
      <c r="DB33" s="89"/>
    </row>
    <row r="34" spans="1:106" x14ac:dyDescent="0.2">
      <c r="A34" s="89"/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89"/>
      <c r="CD34" s="89"/>
      <c r="CE34" s="89"/>
      <c r="CF34" s="89"/>
      <c r="CG34" s="89"/>
      <c r="CH34" s="89"/>
      <c r="CI34" s="89"/>
      <c r="CJ34" s="89"/>
      <c r="CK34" s="89"/>
      <c r="CL34" s="89"/>
      <c r="CM34" s="89"/>
      <c r="CN34" s="89"/>
      <c r="CO34" s="89"/>
      <c r="CP34" s="89"/>
      <c r="CQ34" s="89"/>
      <c r="CR34" s="89"/>
      <c r="CS34" s="89"/>
      <c r="CT34" s="89"/>
      <c r="CU34" s="89"/>
      <c r="CV34" s="89"/>
      <c r="CW34" s="89"/>
      <c r="CX34" s="89"/>
      <c r="CY34" s="89"/>
      <c r="CZ34" s="89"/>
      <c r="DA34" s="89"/>
      <c r="DB34" s="89"/>
    </row>
    <row r="35" spans="1:106" x14ac:dyDescent="0.2">
      <c r="A35" s="89"/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89"/>
      <c r="CD35" s="89"/>
      <c r="CE35" s="89"/>
      <c r="CF35" s="89"/>
      <c r="CG35" s="89"/>
      <c r="CH35" s="89"/>
      <c r="CI35" s="89"/>
      <c r="CJ35" s="89"/>
      <c r="CK35" s="89"/>
      <c r="CL35" s="89"/>
      <c r="CM35" s="89"/>
      <c r="CN35" s="89"/>
      <c r="CO35" s="89"/>
      <c r="CP35" s="89"/>
      <c r="CQ35" s="89"/>
      <c r="CR35" s="89"/>
      <c r="CS35" s="89"/>
      <c r="CT35" s="89"/>
      <c r="CU35" s="89"/>
      <c r="CV35" s="89"/>
      <c r="CW35" s="89"/>
      <c r="CX35" s="89"/>
      <c r="CY35" s="89"/>
      <c r="CZ35" s="89"/>
      <c r="DA35" s="89"/>
      <c r="DB35" s="89"/>
    </row>
    <row r="36" spans="1:106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89"/>
      <c r="CD36" s="89"/>
      <c r="CE36" s="89"/>
      <c r="CF36" s="89"/>
      <c r="CG36" s="89"/>
      <c r="CH36" s="89"/>
      <c r="CI36" s="89"/>
      <c r="CJ36" s="89"/>
      <c r="CK36" s="89"/>
      <c r="CL36" s="89"/>
      <c r="CM36" s="89"/>
      <c r="CN36" s="89"/>
      <c r="CO36" s="89"/>
      <c r="CP36" s="89"/>
      <c r="CQ36" s="89"/>
      <c r="CR36" s="89"/>
      <c r="CS36" s="89"/>
      <c r="CT36" s="89"/>
      <c r="CU36" s="89"/>
      <c r="CV36" s="89"/>
      <c r="CW36" s="89"/>
      <c r="CX36" s="89"/>
      <c r="CY36" s="89"/>
      <c r="CZ36" s="89"/>
      <c r="DA36" s="89"/>
      <c r="DB36" s="89"/>
    </row>
    <row r="37" spans="1:106" x14ac:dyDescent="0.2">
      <c r="A37" s="89"/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89"/>
      <c r="CD37" s="89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/>
      <c r="DA37" s="89"/>
      <c r="DB37" s="89"/>
    </row>
    <row r="38" spans="1:106" x14ac:dyDescent="0.2">
      <c r="A38" s="89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89"/>
      <c r="CD38" s="89"/>
      <c r="CE38" s="89"/>
      <c r="CF38" s="89"/>
      <c r="CG38" s="89"/>
      <c r="CH38" s="89"/>
      <c r="CI38" s="89"/>
      <c r="CJ38" s="89"/>
      <c r="CK38" s="89"/>
      <c r="CL38" s="89"/>
      <c r="CM38" s="89"/>
      <c r="CN38" s="89"/>
      <c r="CO38" s="89"/>
      <c r="CP38" s="89"/>
      <c r="CQ38" s="89"/>
      <c r="CR38" s="89"/>
      <c r="CS38" s="89"/>
      <c r="CT38" s="89"/>
      <c r="CU38" s="89"/>
      <c r="CV38" s="89"/>
      <c r="CW38" s="89"/>
      <c r="CX38" s="89"/>
      <c r="CY38" s="89"/>
      <c r="CZ38" s="89"/>
      <c r="DA38" s="89"/>
      <c r="DB38" s="89"/>
    </row>
    <row r="39" spans="1:106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89"/>
      <c r="CD39" s="89"/>
      <c r="CE39" s="89"/>
      <c r="CF39" s="89"/>
      <c r="CG39" s="89"/>
      <c r="CH39" s="89"/>
      <c r="CI39" s="89"/>
      <c r="CJ39" s="89"/>
      <c r="CK39" s="89"/>
      <c r="CL39" s="89"/>
      <c r="CM39" s="89"/>
      <c r="CN39" s="89"/>
      <c r="CO39" s="89"/>
      <c r="CP39" s="89"/>
      <c r="CQ39" s="89"/>
      <c r="CR39" s="89"/>
      <c r="CS39" s="89"/>
      <c r="CT39" s="89"/>
      <c r="CU39" s="89"/>
      <c r="CV39" s="89"/>
      <c r="CW39" s="89"/>
      <c r="CX39" s="89"/>
      <c r="CY39" s="89"/>
      <c r="CZ39" s="89"/>
      <c r="DA39" s="89"/>
      <c r="DB39" s="89"/>
    </row>
    <row r="40" spans="1:106" x14ac:dyDescent="0.2">
      <c r="A40" s="89"/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L40" s="89"/>
      <c r="BM40" s="89"/>
      <c r="BN40" s="89"/>
      <c r="BO40" s="89"/>
      <c r="BP40" s="89"/>
      <c r="BQ40" s="89"/>
      <c r="BR40" s="89"/>
      <c r="BS40" s="89"/>
      <c r="BT40" s="89"/>
      <c r="BU40" s="89"/>
      <c r="BV40" s="89"/>
      <c r="BW40" s="89"/>
      <c r="BX40" s="89"/>
      <c r="BY40" s="89"/>
      <c r="BZ40" s="89"/>
      <c r="CA40" s="89"/>
      <c r="CB40" s="89"/>
      <c r="CC40" s="89"/>
      <c r="CD40" s="89"/>
      <c r="CE40" s="89"/>
      <c r="CF40" s="89"/>
      <c r="CG40" s="89"/>
      <c r="CH40" s="89"/>
      <c r="CI40" s="89"/>
      <c r="CJ40" s="89"/>
      <c r="CK40" s="89"/>
      <c r="CL40" s="89"/>
      <c r="CM40" s="89"/>
      <c r="CN40" s="89"/>
      <c r="CO40" s="89"/>
      <c r="CP40" s="89"/>
      <c r="CQ40" s="89"/>
      <c r="CR40" s="89"/>
      <c r="CS40" s="89"/>
      <c r="CT40" s="89"/>
      <c r="CU40" s="89"/>
      <c r="CV40" s="89"/>
      <c r="CW40" s="89"/>
      <c r="CX40" s="89"/>
      <c r="CY40" s="89"/>
      <c r="CZ40" s="89"/>
      <c r="DA40" s="89"/>
      <c r="DB40" s="89"/>
    </row>
    <row r="41" spans="1:106" x14ac:dyDescent="0.2">
      <c r="A41" s="89"/>
      <c r="B41" s="89"/>
      <c r="C41" s="89"/>
      <c r="D41" s="89"/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L41" s="89"/>
      <c r="BM41" s="89"/>
      <c r="BN41" s="89"/>
      <c r="BO41" s="89"/>
      <c r="BP41" s="89"/>
      <c r="BQ41" s="89"/>
      <c r="BR41" s="89"/>
      <c r="BS41" s="89"/>
      <c r="BT41" s="89"/>
      <c r="BU41" s="89"/>
      <c r="BV41" s="89"/>
      <c r="BW41" s="89"/>
      <c r="BX41" s="89"/>
      <c r="BY41" s="89"/>
      <c r="BZ41" s="89"/>
      <c r="CA41" s="89"/>
      <c r="CB41" s="89"/>
      <c r="CC41" s="89"/>
      <c r="CD41" s="89"/>
      <c r="CE41" s="89"/>
      <c r="CF41" s="89"/>
      <c r="CG41" s="89"/>
      <c r="CH41" s="89"/>
      <c r="CI41" s="89"/>
      <c r="CJ41" s="89"/>
      <c r="CK41" s="89"/>
      <c r="CL41" s="89"/>
      <c r="CM41" s="89"/>
      <c r="CN41" s="89"/>
      <c r="CO41" s="89"/>
      <c r="CP41" s="89"/>
      <c r="CQ41" s="89"/>
      <c r="CR41" s="89"/>
      <c r="CS41" s="89"/>
      <c r="CT41" s="89"/>
      <c r="CU41" s="89"/>
      <c r="CV41" s="89"/>
      <c r="CW41" s="89"/>
      <c r="CX41" s="89"/>
      <c r="CY41" s="89"/>
      <c r="CZ41" s="89"/>
      <c r="DA41" s="89"/>
      <c r="DB41" s="89"/>
    </row>
    <row r="42" spans="1:106" x14ac:dyDescent="0.2">
      <c r="A42" s="89"/>
      <c r="B42" s="89"/>
      <c r="C42" s="89"/>
      <c r="D42" s="89"/>
      <c r="E42" s="89"/>
      <c r="F42" s="89"/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L42" s="89"/>
      <c r="BM42" s="89"/>
      <c r="BN42" s="89"/>
      <c r="BO42" s="89"/>
      <c r="BP42" s="89"/>
      <c r="BQ42" s="89"/>
      <c r="BR42" s="89"/>
      <c r="BS42" s="89"/>
      <c r="BT42" s="89"/>
      <c r="BU42" s="89"/>
      <c r="BV42" s="89"/>
      <c r="BW42" s="89"/>
      <c r="BX42" s="89"/>
      <c r="BY42" s="89"/>
      <c r="BZ42" s="89"/>
      <c r="CA42" s="89"/>
      <c r="CB42" s="89"/>
      <c r="CC42" s="89"/>
      <c r="CD42" s="89"/>
      <c r="CE42" s="89"/>
      <c r="CF42" s="89"/>
      <c r="CG42" s="89"/>
      <c r="CH42" s="89"/>
      <c r="CI42" s="89"/>
      <c r="CJ42" s="89"/>
      <c r="CK42" s="89"/>
      <c r="CL42" s="89"/>
      <c r="CM42" s="89"/>
      <c r="CN42" s="89"/>
      <c r="CO42" s="89"/>
      <c r="CP42" s="89"/>
      <c r="CQ42" s="89"/>
      <c r="CR42" s="89"/>
      <c r="CS42" s="89"/>
      <c r="CT42" s="89"/>
      <c r="CU42" s="89"/>
      <c r="CV42" s="89"/>
      <c r="CW42" s="89"/>
      <c r="CX42" s="89"/>
      <c r="CY42" s="89"/>
      <c r="CZ42" s="89"/>
      <c r="DA42" s="89"/>
      <c r="DB42" s="89"/>
    </row>
    <row r="43" spans="1:106" x14ac:dyDescent="0.2">
      <c r="A43" s="89"/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L43" s="89"/>
      <c r="BM43" s="89"/>
      <c r="BN43" s="89"/>
      <c r="BO43" s="89"/>
      <c r="BP43" s="89"/>
      <c r="BQ43" s="89"/>
      <c r="BR43" s="89"/>
      <c r="BS43" s="89"/>
      <c r="BT43" s="89"/>
      <c r="BU43" s="89"/>
      <c r="BV43" s="89"/>
      <c r="BW43" s="89"/>
      <c r="BX43" s="89"/>
      <c r="BY43" s="89"/>
      <c r="BZ43" s="89"/>
      <c r="CA43" s="89"/>
      <c r="CB43" s="89"/>
      <c r="CC43" s="89"/>
      <c r="CD43" s="89"/>
      <c r="CE43" s="89"/>
      <c r="CF43" s="89"/>
      <c r="CG43" s="89"/>
      <c r="CH43" s="89"/>
      <c r="CI43" s="89"/>
      <c r="CJ43" s="89"/>
      <c r="CK43" s="89"/>
      <c r="CL43" s="89"/>
      <c r="CM43" s="89"/>
      <c r="CN43" s="89"/>
      <c r="CO43" s="89"/>
      <c r="CP43" s="89"/>
      <c r="CQ43" s="89"/>
      <c r="CR43" s="89"/>
      <c r="CS43" s="89"/>
      <c r="CT43" s="89"/>
      <c r="CU43" s="89"/>
      <c r="CV43" s="89"/>
      <c r="CW43" s="89"/>
      <c r="CX43" s="89"/>
      <c r="CY43" s="89"/>
      <c r="CZ43" s="89"/>
      <c r="DA43" s="89"/>
      <c r="DB43" s="89"/>
    </row>
    <row r="44" spans="1:106" x14ac:dyDescent="0.2">
      <c r="A44" s="89"/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</row>
    <row r="45" spans="1:106" x14ac:dyDescent="0.2">
      <c r="A45" s="89"/>
      <c r="B45" s="89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L45" s="89"/>
      <c r="BM45" s="89"/>
      <c r="BN45" s="89"/>
      <c r="BO45" s="89"/>
      <c r="BP45" s="89"/>
      <c r="BQ45" s="89"/>
      <c r="BR45" s="89"/>
      <c r="BS45" s="89"/>
      <c r="BT45" s="89"/>
      <c r="BU45" s="89"/>
      <c r="BV45" s="89"/>
      <c r="BW45" s="89"/>
      <c r="BX45" s="89"/>
      <c r="BY45" s="89"/>
      <c r="BZ45" s="89"/>
      <c r="CA45" s="89"/>
      <c r="CB45" s="89"/>
      <c r="CC45" s="89"/>
      <c r="CD45" s="89"/>
      <c r="CE45" s="89"/>
      <c r="CF45" s="89"/>
      <c r="CG45" s="89"/>
      <c r="CH45" s="89"/>
      <c r="CI45" s="89"/>
      <c r="CJ45" s="89"/>
      <c r="CK45" s="89"/>
      <c r="CL45" s="89"/>
      <c r="CM45" s="89"/>
      <c r="CN45" s="89"/>
      <c r="CO45" s="89"/>
      <c r="CP45" s="89"/>
      <c r="CQ45" s="89"/>
      <c r="CR45" s="89"/>
      <c r="CS45" s="89"/>
      <c r="CT45" s="89"/>
      <c r="CU45" s="89"/>
      <c r="CV45" s="89"/>
      <c r="CW45" s="89"/>
      <c r="CX45" s="89"/>
      <c r="CY45" s="89"/>
      <c r="CZ45" s="89"/>
      <c r="DA45" s="89"/>
      <c r="DB45" s="89"/>
    </row>
    <row r="46" spans="1:106" x14ac:dyDescent="0.2">
      <c r="A46" s="89"/>
      <c r="B46" s="89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L46" s="89"/>
      <c r="BM46" s="89"/>
      <c r="BN46" s="89"/>
      <c r="BO46" s="89"/>
      <c r="BP46" s="89"/>
      <c r="BQ46" s="89"/>
      <c r="BR46" s="89"/>
      <c r="BS46" s="89"/>
      <c r="BT46" s="89"/>
      <c r="BU46" s="89"/>
      <c r="BV46" s="89"/>
      <c r="BW46" s="89"/>
      <c r="BX46" s="89"/>
      <c r="BY46" s="89"/>
      <c r="BZ46" s="89"/>
      <c r="CA46" s="89"/>
      <c r="CB46" s="89"/>
      <c r="CC46" s="89"/>
      <c r="CD46" s="89"/>
      <c r="CE46" s="89"/>
      <c r="CF46" s="89"/>
      <c r="CG46" s="89"/>
      <c r="CH46" s="89"/>
      <c r="CI46" s="89"/>
      <c r="CJ46" s="89"/>
      <c r="CK46" s="89"/>
      <c r="CL46" s="89"/>
      <c r="CM46" s="89"/>
      <c r="CN46" s="89"/>
      <c r="CO46" s="89"/>
      <c r="CP46" s="89"/>
      <c r="CQ46" s="89"/>
      <c r="CR46" s="89"/>
      <c r="CS46" s="89"/>
      <c r="CT46" s="89"/>
      <c r="CU46" s="89"/>
      <c r="CV46" s="89"/>
      <c r="CW46" s="89"/>
      <c r="CX46" s="89"/>
      <c r="CY46" s="89"/>
      <c r="CZ46" s="89"/>
      <c r="DA46" s="89"/>
      <c r="DB46" s="89"/>
    </row>
    <row r="47" spans="1:106" x14ac:dyDescent="0.2">
      <c r="A47" s="89"/>
      <c r="B47" s="89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L47" s="89"/>
      <c r="BM47" s="89"/>
      <c r="BN47" s="89"/>
      <c r="BO47" s="89"/>
      <c r="BP47" s="89"/>
      <c r="BQ47" s="89"/>
      <c r="BR47" s="89"/>
      <c r="BS47" s="89"/>
      <c r="BT47" s="89"/>
      <c r="BU47" s="89"/>
      <c r="BV47" s="89"/>
      <c r="BW47" s="89"/>
      <c r="BX47" s="89"/>
      <c r="BY47" s="89"/>
      <c r="BZ47" s="89"/>
      <c r="CA47" s="89"/>
      <c r="CB47" s="89"/>
      <c r="CC47" s="89"/>
      <c r="CD47" s="89"/>
      <c r="CE47" s="89"/>
      <c r="CF47" s="89"/>
      <c r="CG47" s="89"/>
      <c r="CH47" s="89"/>
      <c r="CI47" s="89"/>
      <c r="CJ47" s="89"/>
      <c r="CK47" s="89"/>
      <c r="CL47" s="89"/>
      <c r="CM47" s="89"/>
      <c r="CN47" s="89"/>
      <c r="CO47" s="89"/>
      <c r="CP47" s="89"/>
      <c r="CQ47" s="89"/>
      <c r="CR47" s="89"/>
      <c r="CS47" s="89"/>
      <c r="CT47" s="89"/>
      <c r="CU47" s="89"/>
      <c r="CV47" s="89"/>
      <c r="CW47" s="89"/>
      <c r="CX47" s="89"/>
      <c r="CY47" s="89"/>
      <c r="CZ47" s="89"/>
      <c r="DA47" s="89"/>
      <c r="DB47" s="89"/>
    </row>
    <row r="48" spans="1:106" x14ac:dyDescent="0.2">
      <c r="A48" s="89"/>
      <c r="B48" s="89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L48" s="89"/>
      <c r="BM48" s="89"/>
      <c r="BN48" s="89"/>
      <c r="BO48" s="89"/>
      <c r="BP48" s="89"/>
      <c r="BQ48" s="89"/>
      <c r="BR48" s="89"/>
      <c r="BS48" s="89"/>
      <c r="BT48" s="89"/>
      <c r="BU48" s="89"/>
      <c r="BV48" s="89"/>
      <c r="BW48" s="89"/>
      <c r="BX48" s="89"/>
      <c r="BY48" s="89"/>
      <c r="BZ48" s="89"/>
      <c r="CA48" s="89"/>
      <c r="CB48" s="89"/>
      <c r="CC48" s="89"/>
      <c r="CD48" s="89"/>
      <c r="CE48" s="89"/>
      <c r="CF48" s="89"/>
      <c r="CG48" s="89"/>
      <c r="CH48" s="89"/>
      <c r="CI48" s="89"/>
      <c r="CJ48" s="89"/>
      <c r="CK48" s="89"/>
      <c r="CL48" s="89"/>
      <c r="CM48" s="89"/>
      <c r="CN48" s="89"/>
      <c r="CO48" s="89"/>
      <c r="CP48" s="89"/>
      <c r="CQ48" s="89"/>
      <c r="CR48" s="89"/>
      <c r="CS48" s="89"/>
      <c r="CT48" s="89"/>
      <c r="CU48" s="89"/>
      <c r="CV48" s="89"/>
      <c r="CW48" s="89"/>
      <c r="CX48" s="89"/>
      <c r="CY48" s="89"/>
      <c r="CZ48" s="89"/>
      <c r="DA48" s="89"/>
      <c r="DB48" s="89"/>
    </row>
    <row r="49" spans="1:106" x14ac:dyDescent="0.2">
      <c r="A49" s="89"/>
      <c r="B49" s="89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  <c r="AL49" s="89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L49" s="89"/>
      <c r="BM49" s="89"/>
      <c r="BN49" s="89"/>
      <c r="BO49" s="89"/>
      <c r="BP49" s="89"/>
      <c r="BQ49" s="89"/>
      <c r="BR49" s="89"/>
      <c r="BS49" s="89"/>
      <c r="BT49" s="89"/>
      <c r="BU49" s="89"/>
      <c r="BV49" s="89"/>
      <c r="BW49" s="89"/>
      <c r="BX49" s="89"/>
      <c r="BY49" s="89"/>
      <c r="BZ49" s="89"/>
      <c r="CA49" s="89"/>
      <c r="CB49" s="89"/>
      <c r="CC49" s="89"/>
      <c r="CD49" s="89"/>
      <c r="CE49" s="89"/>
      <c r="CF49" s="89"/>
      <c r="CG49" s="89"/>
      <c r="CH49" s="89"/>
      <c r="CI49" s="89"/>
      <c r="CJ49" s="89"/>
      <c r="CK49" s="89"/>
      <c r="CL49" s="89"/>
      <c r="CM49" s="89"/>
      <c r="CN49" s="89"/>
      <c r="CO49" s="89"/>
      <c r="CP49" s="89"/>
      <c r="CQ49" s="89"/>
      <c r="CR49" s="89"/>
      <c r="CS49" s="89"/>
      <c r="CT49" s="89"/>
      <c r="CU49" s="89"/>
      <c r="CV49" s="89"/>
      <c r="CW49" s="89"/>
      <c r="CX49" s="89"/>
      <c r="CY49" s="89"/>
      <c r="CZ49" s="89"/>
      <c r="DA49" s="89"/>
      <c r="DB49" s="89"/>
    </row>
    <row r="50" spans="1:106" x14ac:dyDescent="0.2">
      <c r="A50" s="89"/>
      <c r="B50" s="89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  <c r="AL50" s="89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L50" s="89"/>
      <c r="BM50" s="89"/>
      <c r="BN50" s="89"/>
      <c r="BO50" s="89"/>
      <c r="BP50" s="89"/>
      <c r="BQ50" s="89"/>
      <c r="BR50" s="89"/>
      <c r="BS50" s="89"/>
      <c r="BT50" s="89"/>
      <c r="BU50" s="89"/>
      <c r="BV50" s="89"/>
      <c r="BW50" s="89"/>
      <c r="BX50" s="89"/>
      <c r="BY50" s="89"/>
      <c r="BZ50" s="89"/>
      <c r="CA50" s="89"/>
      <c r="CB50" s="89"/>
      <c r="CC50" s="89"/>
      <c r="CD50" s="89"/>
      <c r="CE50" s="89"/>
      <c r="CF50" s="89"/>
      <c r="CG50" s="89"/>
      <c r="CH50" s="89"/>
      <c r="CI50" s="89"/>
      <c r="CJ50" s="89"/>
      <c r="CK50" s="89"/>
      <c r="CL50" s="89"/>
      <c r="CM50" s="89"/>
      <c r="CN50" s="89"/>
      <c r="CO50" s="89"/>
      <c r="CP50" s="89"/>
      <c r="CQ50" s="89"/>
      <c r="CR50" s="89"/>
      <c r="CS50" s="89"/>
      <c r="CT50" s="89"/>
      <c r="CU50" s="89"/>
      <c r="CV50" s="89"/>
      <c r="CW50" s="89"/>
      <c r="CX50" s="89"/>
      <c r="CY50" s="89"/>
      <c r="CZ50" s="89"/>
      <c r="DA50" s="89"/>
      <c r="DB50" s="89"/>
    </row>
    <row r="51" spans="1:106" x14ac:dyDescent="0.2">
      <c r="A51" s="89"/>
      <c r="B51" s="89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89"/>
      <c r="BR51" s="89"/>
      <c r="BS51" s="89"/>
      <c r="BT51" s="89"/>
      <c r="BU51" s="89"/>
      <c r="BV51" s="89"/>
      <c r="BW51" s="89"/>
      <c r="BX51" s="89"/>
      <c r="BY51" s="89"/>
      <c r="BZ51" s="89"/>
      <c r="CA51" s="89"/>
      <c r="CB51" s="89"/>
      <c r="CC51" s="89"/>
      <c r="CD51" s="89"/>
      <c r="CE51" s="89"/>
      <c r="CF51" s="89"/>
      <c r="CG51" s="89"/>
      <c r="CH51" s="89"/>
      <c r="CI51" s="89"/>
      <c r="CJ51" s="89"/>
      <c r="CK51" s="89"/>
      <c r="CL51" s="89"/>
      <c r="CM51" s="89"/>
      <c r="CN51" s="89"/>
      <c r="CO51" s="89"/>
      <c r="CP51" s="89"/>
      <c r="CQ51" s="89"/>
      <c r="CR51" s="89"/>
      <c r="CS51" s="89"/>
      <c r="CT51" s="89"/>
      <c r="CU51" s="89"/>
      <c r="CV51" s="89"/>
      <c r="CW51" s="89"/>
      <c r="CX51" s="89"/>
      <c r="CY51" s="89"/>
      <c r="CZ51" s="89"/>
      <c r="DA51" s="89"/>
      <c r="DB51" s="89"/>
    </row>
    <row r="52" spans="1:106" x14ac:dyDescent="0.2">
      <c r="A52" s="89"/>
      <c r="B52" s="89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89"/>
      <c r="BR52" s="89"/>
      <c r="BS52" s="89"/>
      <c r="BT52" s="89"/>
      <c r="BU52" s="89"/>
      <c r="BV52" s="89"/>
      <c r="BW52" s="89"/>
      <c r="BX52" s="89"/>
      <c r="BY52" s="89"/>
      <c r="BZ52" s="89"/>
      <c r="CA52" s="89"/>
      <c r="CB52" s="89"/>
      <c r="CC52" s="89"/>
      <c r="CD52" s="89"/>
      <c r="CE52" s="89"/>
      <c r="CF52" s="89"/>
      <c r="CG52" s="89"/>
      <c r="CH52" s="89"/>
      <c r="CI52" s="89"/>
      <c r="CJ52" s="89"/>
      <c r="CK52" s="89"/>
      <c r="CL52" s="89"/>
      <c r="CM52" s="89"/>
      <c r="CN52" s="89"/>
      <c r="CO52" s="89"/>
      <c r="CP52" s="89"/>
      <c r="CQ52" s="89"/>
      <c r="CR52" s="89"/>
      <c r="CS52" s="89"/>
      <c r="CT52" s="89"/>
      <c r="CU52" s="89"/>
      <c r="CV52" s="89"/>
      <c r="CW52" s="89"/>
      <c r="CX52" s="89"/>
      <c r="CY52" s="89"/>
      <c r="CZ52" s="89"/>
      <c r="DA52" s="89"/>
      <c r="DB52" s="89"/>
    </row>
    <row r="53" spans="1:106" x14ac:dyDescent="0.2">
      <c r="A53" s="89"/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89"/>
      <c r="CD53" s="89"/>
      <c r="CE53" s="89"/>
      <c r="CF53" s="89"/>
      <c r="CG53" s="89"/>
      <c r="CH53" s="89"/>
      <c r="CI53" s="89"/>
      <c r="CJ53" s="89"/>
      <c r="CK53" s="89"/>
      <c r="CL53" s="89"/>
      <c r="CM53" s="89"/>
      <c r="CN53" s="89"/>
      <c r="CO53" s="89"/>
      <c r="CP53" s="89"/>
      <c r="CQ53" s="89"/>
      <c r="CR53" s="89"/>
      <c r="CS53" s="89"/>
      <c r="CT53" s="89"/>
      <c r="CU53" s="89"/>
      <c r="CV53" s="89"/>
      <c r="CW53" s="89"/>
      <c r="CX53" s="89"/>
      <c r="CY53" s="89"/>
      <c r="CZ53" s="89"/>
      <c r="DA53" s="89"/>
      <c r="DB53" s="89"/>
    </row>
    <row r="54" spans="1:106" x14ac:dyDescent="0.2">
      <c r="A54" s="89"/>
      <c r="B54" s="89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L54" s="89"/>
      <c r="BM54" s="89"/>
      <c r="BN54" s="89"/>
      <c r="BO54" s="89"/>
      <c r="BP54" s="89"/>
      <c r="BQ54" s="89"/>
      <c r="BR54" s="89"/>
      <c r="BS54" s="89"/>
      <c r="BT54" s="89"/>
      <c r="BU54" s="89"/>
      <c r="BV54" s="89"/>
      <c r="BW54" s="89"/>
      <c r="BX54" s="89"/>
      <c r="BY54" s="89"/>
      <c r="BZ54" s="89"/>
      <c r="CA54" s="89"/>
      <c r="CB54" s="89"/>
      <c r="CC54" s="89"/>
      <c r="CD54" s="89"/>
      <c r="CE54" s="89"/>
      <c r="CF54" s="89"/>
      <c r="CG54" s="89"/>
      <c r="CH54" s="89"/>
      <c r="CI54" s="89"/>
      <c r="CJ54" s="89"/>
      <c r="CK54" s="89"/>
      <c r="CL54" s="89"/>
      <c r="CM54" s="89"/>
      <c r="CN54" s="89"/>
      <c r="CO54" s="89"/>
      <c r="CP54" s="89"/>
      <c r="CQ54" s="89"/>
      <c r="CR54" s="89"/>
      <c r="CS54" s="89"/>
      <c r="CT54" s="89"/>
      <c r="CU54" s="89"/>
      <c r="CV54" s="89"/>
      <c r="CW54" s="89"/>
      <c r="CX54" s="89"/>
      <c r="CY54" s="89"/>
      <c r="CZ54" s="89"/>
      <c r="DA54" s="89"/>
      <c r="DB54" s="89"/>
    </row>
    <row r="55" spans="1:106" x14ac:dyDescent="0.2">
      <c r="A55" s="89"/>
      <c r="B55" s="89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L55" s="89"/>
      <c r="BM55" s="89"/>
      <c r="BN55" s="89"/>
      <c r="BO55" s="89"/>
      <c r="BP55" s="89"/>
      <c r="BQ55" s="89"/>
      <c r="BR55" s="89"/>
      <c r="BS55" s="89"/>
      <c r="BT55" s="89"/>
      <c r="BU55" s="89"/>
      <c r="BV55" s="89"/>
      <c r="BW55" s="89"/>
      <c r="BX55" s="89"/>
      <c r="BY55" s="89"/>
      <c r="BZ55" s="89"/>
      <c r="CA55" s="89"/>
      <c r="CB55" s="89"/>
      <c r="CC55" s="89"/>
      <c r="CD55" s="89"/>
      <c r="CE55" s="89"/>
      <c r="CF55" s="89"/>
      <c r="CG55" s="89"/>
      <c r="CH55" s="89"/>
      <c r="CI55" s="89"/>
      <c r="CJ55" s="89"/>
      <c r="CK55" s="89"/>
      <c r="CL55" s="89"/>
      <c r="CM55" s="89"/>
      <c r="CN55" s="89"/>
      <c r="CO55" s="89"/>
      <c r="CP55" s="89"/>
      <c r="CQ55" s="89"/>
      <c r="CR55" s="89"/>
      <c r="CS55" s="89"/>
      <c r="CT55" s="89"/>
      <c r="CU55" s="89"/>
      <c r="CV55" s="89"/>
      <c r="CW55" s="89"/>
      <c r="CX55" s="89"/>
      <c r="CY55" s="89"/>
      <c r="CZ55" s="89"/>
      <c r="DA55" s="89"/>
      <c r="DB55" s="89"/>
    </row>
    <row r="56" spans="1:106" x14ac:dyDescent="0.2">
      <c r="A56" s="89"/>
      <c r="B56" s="89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L56" s="89"/>
      <c r="BM56" s="89"/>
      <c r="BN56" s="89"/>
      <c r="BO56" s="89"/>
      <c r="BP56" s="89"/>
      <c r="BQ56" s="89"/>
      <c r="BR56" s="89"/>
      <c r="BS56" s="89"/>
      <c r="BT56" s="89"/>
      <c r="BU56" s="89"/>
      <c r="BV56" s="89"/>
      <c r="BW56" s="89"/>
      <c r="BX56" s="89"/>
      <c r="BY56" s="89"/>
      <c r="BZ56" s="89"/>
      <c r="CA56" s="89"/>
      <c r="CB56" s="89"/>
      <c r="CC56" s="89"/>
      <c r="CD56" s="89"/>
      <c r="CE56" s="89"/>
      <c r="CF56" s="89"/>
      <c r="CG56" s="89"/>
      <c r="CH56" s="89"/>
      <c r="CI56" s="89"/>
      <c r="CJ56" s="89"/>
      <c r="CK56" s="89"/>
      <c r="CL56" s="89"/>
      <c r="CM56" s="89"/>
      <c r="CN56" s="89"/>
      <c r="CO56" s="89"/>
      <c r="CP56" s="89"/>
      <c r="CQ56" s="89"/>
      <c r="CR56" s="89"/>
      <c r="CS56" s="89"/>
      <c r="CT56" s="89"/>
      <c r="CU56" s="89"/>
      <c r="CV56" s="89"/>
      <c r="CW56" s="89"/>
      <c r="CX56" s="89"/>
      <c r="CY56" s="89"/>
      <c r="CZ56" s="89"/>
      <c r="DA56" s="89"/>
      <c r="DB56" s="89"/>
    </row>
    <row r="57" spans="1:106" x14ac:dyDescent="0.2">
      <c r="A57" s="89"/>
      <c r="B57" s="89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89"/>
      <c r="BR57" s="89"/>
      <c r="BS57" s="89"/>
      <c r="BT57" s="89"/>
      <c r="BU57" s="89"/>
      <c r="BV57" s="89"/>
      <c r="BW57" s="89"/>
      <c r="BX57" s="89"/>
      <c r="BY57" s="89"/>
      <c r="BZ57" s="89"/>
      <c r="CA57" s="89"/>
      <c r="CB57" s="89"/>
      <c r="CC57" s="89"/>
      <c r="CD57" s="89"/>
      <c r="CE57" s="89"/>
      <c r="CF57" s="89"/>
      <c r="CG57" s="89"/>
      <c r="CH57" s="89"/>
      <c r="CI57" s="89"/>
      <c r="CJ57" s="89"/>
      <c r="CK57" s="89"/>
      <c r="CL57" s="89"/>
      <c r="CM57" s="89"/>
      <c r="CN57" s="89"/>
      <c r="CO57" s="89"/>
      <c r="CP57" s="89"/>
      <c r="CQ57" s="89"/>
      <c r="CR57" s="89"/>
      <c r="CS57" s="89"/>
      <c r="CT57" s="89"/>
      <c r="CU57" s="89"/>
      <c r="CV57" s="89"/>
      <c r="CW57" s="89"/>
      <c r="CX57" s="89"/>
      <c r="CY57" s="89"/>
      <c r="CZ57" s="89"/>
      <c r="DA57" s="89"/>
      <c r="DB57" s="89"/>
    </row>
    <row r="58" spans="1:106" x14ac:dyDescent="0.2">
      <c r="A58" s="89"/>
      <c r="B58" s="89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L58" s="89"/>
      <c r="BM58" s="89"/>
      <c r="BN58" s="89"/>
      <c r="BO58" s="89"/>
      <c r="BP58" s="89"/>
      <c r="BQ58" s="89"/>
      <c r="BR58" s="89"/>
      <c r="BS58" s="89"/>
      <c r="BT58" s="89"/>
      <c r="BU58" s="89"/>
      <c r="BV58" s="89"/>
      <c r="BW58" s="89"/>
      <c r="BX58" s="89"/>
      <c r="BY58" s="89"/>
      <c r="BZ58" s="89"/>
      <c r="CA58" s="89"/>
      <c r="CB58" s="89"/>
      <c r="CC58" s="89"/>
      <c r="CD58" s="89"/>
      <c r="CE58" s="89"/>
      <c r="CF58" s="89"/>
      <c r="CG58" s="89"/>
      <c r="CH58" s="89"/>
      <c r="CI58" s="89"/>
      <c r="CJ58" s="89"/>
      <c r="CK58" s="89"/>
      <c r="CL58" s="89"/>
      <c r="CM58" s="89"/>
      <c r="CN58" s="89"/>
      <c r="CO58" s="89"/>
      <c r="CP58" s="89"/>
      <c r="CQ58" s="89"/>
      <c r="CR58" s="89"/>
      <c r="CS58" s="89"/>
      <c r="CT58" s="89"/>
      <c r="CU58" s="89"/>
      <c r="CV58" s="89"/>
      <c r="CW58" s="89"/>
      <c r="CX58" s="89"/>
      <c r="CY58" s="89"/>
      <c r="CZ58" s="89"/>
      <c r="DA58" s="89"/>
      <c r="DB58" s="89"/>
    </row>
    <row r="59" spans="1:106" x14ac:dyDescent="0.2">
      <c r="A59" s="89"/>
      <c r="B59" s="89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L59" s="89"/>
      <c r="BM59" s="89"/>
      <c r="BN59" s="89"/>
      <c r="BO59" s="89"/>
      <c r="BP59" s="89"/>
      <c r="BQ59" s="89"/>
      <c r="BR59" s="89"/>
      <c r="BS59" s="89"/>
      <c r="BT59" s="89"/>
      <c r="BU59" s="89"/>
      <c r="BV59" s="89"/>
      <c r="BW59" s="89"/>
      <c r="BX59" s="89"/>
      <c r="BY59" s="89"/>
      <c r="BZ59" s="89"/>
      <c r="CA59" s="89"/>
      <c r="CB59" s="89"/>
      <c r="CC59" s="89"/>
      <c r="CD59" s="89"/>
      <c r="CE59" s="89"/>
      <c r="CF59" s="89"/>
      <c r="CG59" s="89"/>
      <c r="CH59" s="89"/>
      <c r="CI59" s="89"/>
      <c r="CJ59" s="89"/>
      <c r="CK59" s="89"/>
      <c r="CL59" s="89"/>
      <c r="CM59" s="89"/>
      <c r="CN59" s="89"/>
      <c r="CO59" s="89"/>
      <c r="CP59" s="89"/>
      <c r="CQ59" s="89"/>
      <c r="CR59" s="89"/>
      <c r="CS59" s="89"/>
      <c r="CT59" s="89"/>
      <c r="CU59" s="89"/>
      <c r="CV59" s="89"/>
      <c r="CW59" s="89"/>
      <c r="CX59" s="89"/>
      <c r="CY59" s="89"/>
      <c r="CZ59" s="89"/>
      <c r="DA59" s="89"/>
      <c r="DB59" s="89"/>
    </row>
    <row r="60" spans="1:106" x14ac:dyDescent="0.2">
      <c r="A60" s="89"/>
      <c r="B60" s="89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L60" s="89"/>
      <c r="BM60" s="89"/>
      <c r="BN60" s="89"/>
      <c r="BO60" s="89"/>
      <c r="BP60" s="89"/>
      <c r="BQ60" s="89"/>
      <c r="BR60" s="89"/>
      <c r="BS60" s="89"/>
      <c r="BT60" s="89"/>
      <c r="BU60" s="89"/>
      <c r="BV60" s="89"/>
      <c r="BW60" s="89"/>
      <c r="BX60" s="89"/>
      <c r="BY60" s="89"/>
      <c r="BZ60" s="89"/>
      <c r="CA60" s="89"/>
      <c r="CB60" s="89"/>
      <c r="CC60" s="89"/>
      <c r="CD60" s="89"/>
      <c r="CE60" s="89"/>
      <c r="CF60" s="89"/>
      <c r="CG60" s="89"/>
      <c r="CH60" s="89"/>
      <c r="CI60" s="89"/>
      <c r="CJ60" s="89"/>
      <c r="CK60" s="89"/>
      <c r="CL60" s="89"/>
      <c r="CM60" s="89"/>
      <c r="CN60" s="89"/>
      <c r="CO60" s="89"/>
      <c r="CP60" s="89"/>
      <c r="CQ60" s="89"/>
      <c r="CR60" s="89"/>
      <c r="CS60" s="89"/>
      <c r="CT60" s="89"/>
      <c r="CU60" s="89"/>
      <c r="CV60" s="89"/>
      <c r="CW60" s="89"/>
      <c r="CX60" s="89"/>
      <c r="CY60" s="89"/>
      <c r="CZ60" s="89"/>
      <c r="DA60" s="89"/>
      <c r="DB60" s="89"/>
    </row>
    <row r="61" spans="1:106" x14ac:dyDescent="0.2">
      <c r="A61" s="89"/>
      <c r="B61" s="89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L61" s="89"/>
      <c r="BM61" s="89"/>
      <c r="BN61" s="89"/>
      <c r="BO61" s="89"/>
      <c r="BP61" s="89"/>
      <c r="BQ61" s="89"/>
      <c r="BR61" s="89"/>
      <c r="BS61" s="89"/>
      <c r="BT61" s="89"/>
      <c r="BU61" s="89"/>
      <c r="BV61" s="89"/>
      <c r="BW61" s="89"/>
      <c r="BX61" s="89"/>
      <c r="BY61" s="89"/>
      <c r="BZ61" s="89"/>
      <c r="CA61" s="89"/>
      <c r="CB61" s="89"/>
      <c r="CC61" s="89"/>
      <c r="CD61" s="89"/>
      <c r="CE61" s="89"/>
      <c r="CF61" s="89"/>
      <c r="CG61" s="89"/>
      <c r="CH61" s="89"/>
      <c r="CI61" s="89"/>
      <c r="CJ61" s="89"/>
      <c r="CK61" s="89"/>
      <c r="CL61" s="89"/>
      <c r="CM61" s="89"/>
      <c r="CN61" s="89"/>
      <c r="CO61" s="89"/>
      <c r="CP61" s="89"/>
      <c r="CQ61" s="89"/>
      <c r="CR61" s="89"/>
      <c r="CS61" s="89"/>
      <c r="CT61" s="89"/>
      <c r="CU61" s="89"/>
      <c r="CV61" s="89"/>
      <c r="CW61" s="89"/>
      <c r="CX61" s="89"/>
      <c r="CY61" s="89"/>
      <c r="CZ61" s="89"/>
      <c r="DA61" s="89"/>
      <c r="DB61" s="89"/>
    </row>
    <row r="62" spans="1:106" x14ac:dyDescent="0.2">
      <c r="A62" s="89"/>
      <c r="B62" s="89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L62" s="89"/>
      <c r="BM62" s="89"/>
      <c r="BN62" s="89"/>
      <c r="BO62" s="89"/>
      <c r="BP62" s="89"/>
      <c r="BQ62" s="89"/>
      <c r="BR62" s="89"/>
      <c r="BS62" s="89"/>
      <c r="BT62" s="89"/>
      <c r="BU62" s="89"/>
      <c r="BV62" s="89"/>
      <c r="BW62" s="89"/>
      <c r="BX62" s="89"/>
      <c r="BY62" s="89"/>
      <c r="BZ62" s="89"/>
      <c r="CA62" s="89"/>
      <c r="CB62" s="89"/>
      <c r="CC62" s="89"/>
      <c r="CD62" s="89"/>
      <c r="CE62" s="89"/>
      <c r="CF62" s="89"/>
      <c r="CG62" s="89"/>
      <c r="CH62" s="89"/>
      <c r="CI62" s="89"/>
      <c r="CJ62" s="89"/>
      <c r="CK62" s="89"/>
      <c r="CL62" s="89"/>
      <c r="CM62" s="89"/>
      <c r="CN62" s="89"/>
      <c r="CO62" s="89"/>
      <c r="CP62" s="89"/>
      <c r="CQ62" s="89"/>
      <c r="CR62" s="89"/>
      <c r="CS62" s="89"/>
      <c r="CT62" s="89"/>
      <c r="CU62" s="89"/>
      <c r="CV62" s="89"/>
      <c r="CW62" s="89"/>
      <c r="CX62" s="89"/>
      <c r="CY62" s="89"/>
      <c r="CZ62" s="89"/>
      <c r="DA62" s="89"/>
      <c r="DB62" s="89"/>
    </row>
    <row r="63" spans="1:106" x14ac:dyDescent="0.2">
      <c r="A63" s="89"/>
      <c r="B63" s="89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L63" s="89"/>
      <c r="BM63" s="89"/>
      <c r="BN63" s="89"/>
      <c r="BO63" s="89"/>
      <c r="BP63" s="89"/>
      <c r="BQ63" s="89"/>
      <c r="BR63" s="89"/>
      <c r="BS63" s="89"/>
      <c r="BT63" s="89"/>
      <c r="BU63" s="89"/>
      <c r="BV63" s="89"/>
      <c r="BW63" s="89"/>
      <c r="BX63" s="89"/>
      <c r="BY63" s="89"/>
      <c r="BZ63" s="89"/>
      <c r="CA63" s="89"/>
      <c r="CB63" s="89"/>
      <c r="CC63" s="89"/>
      <c r="CD63" s="89"/>
      <c r="CE63" s="89"/>
      <c r="CF63" s="89"/>
      <c r="CG63" s="89"/>
      <c r="CH63" s="89"/>
      <c r="CI63" s="89"/>
      <c r="CJ63" s="89"/>
      <c r="CK63" s="89"/>
      <c r="CL63" s="89"/>
      <c r="CM63" s="89"/>
      <c r="CN63" s="89"/>
      <c r="CO63" s="89"/>
      <c r="CP63" s="89"/>
      <c r="CQ63" s="89"/>
      <c r="CR63" s="89"/>
      <c r="CS63" s="89"/>
      <c r="CT63" s="89"/>
      <c r="CU63" s="89"/>
      <c r="CV63" s="89"/>
      <c r="CW63" s="89"/>
      <c r="CX63" s="89"/>
      <c r="CY63" s="89"/>
      <c r="CZ63" s="89"/>
      <c r="DA63" s="89"/>
      <c r="DB63" s="89"/>
    </row>
    <row r="64" spans="1:106" x14ac:dyDescent="0.2">
      <c r="A64" s="89"/>
      <c r="B64" s="89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L64" s="89"/>
      <c r="BM64" s="89"/>
      <c r="BN64" s="89"/>
      <c r="BO64" s="89"/>
      <c r="BP64" s="89"/>
      <c r="BQ64" s="89"/>
      <c r="BR64" s="89"/>
      <c r="BS64" s="89"/>
      <c r="BT64" s="89"/>
      <c r="BU64" s="89"/>
      <c r="BV64" s="89"/>
      <c r="BW64" s="89"/>
      <c r="BX64" s="89"/>
      <c r="BY64" s="89"/>
      <c r="BZ64" s="89"/>
      <c r="CA64" s="89"/>
      <c r="CB64" s="89"/>
      <c r="CC64" s="89"/>
      <c r="CD64" s="89"/>
      <c r="CE64" s="89"/>
      <c r="CF64" s="89"/>
      <c r="CG64" s="89"/>
      <c r="CH64" s="89"/>
      <c r="CI64" s="89"/>
      <c r="CJ64" s="89"/>
      <c r="CK64" s="89"/>
      <c r="CL64" s="89"/>
      <c r="CM64" s="89"/>
      <c r="CN64" s="89"/>
      <c r="CO64" s="89"/>
      <c r="CP64" s="89"/>
      <c r="CQ64" s="89"/>
      <c r="CR64" s="89"/>
      <c r="CS64" s="89"/>
      <c r="CT64" s="89"/>
      <c r="CU64" s="89"/>
      <c r="CV64" s="89"/>
      <c r="CW64" s="89"/>
      <c r="CX64" s="89"/>
      <c r="CY64" s="89"/>
      <c r="CZ64" s="89"/>
      <c r="DA64" s="89"/>
      <c r="DB64" s="89"/>
    </row>
    <row r="65" spans="1:106" x14ac:dyDescent="0.2">
      <c r="A65" s="89"/>
      <c r="B65" s="89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L65" s="89"/>
      <c r="BM65" s="89"/>
      <c r="BN65" s="89"/>
      <c r="BO65" s="89"/>
      <c r="BP65" s="89"/>
      <c r="BQ65" s="89"/>
      <c r="BR65" s="89"/>
      <c r="BS65" s="89"/>
      <c r="BT65" s="89"/>
      <c r="BU65" s="89"/>
      <c r="BV65" s="89"/>
      <c r="BW65" s="89"/>
      <c r="BX65" s="89"/>
      <c r="BY65" s="89"/>
      <c r="BZ65" s="89"/>
      <c r="CA65" s="89"/>
      <c r="CB65" s="89"/>
      <c r="CC65" s="89"/>
      <c r="CD65" s="89"/>
      <c r="CE65" s="89"/>
      <c r="CF65" s="89"/>
      <c r="CG65" s="89"/>
      <c r="CH65" s="89"/>
      <c r="CI65" s="89"/>
      <c r="CJ65" s="89"/>
      <c r="CK65" s="89"/>
      <c r="CL65" s="89"/>
      <c r="CM65" s="89"/>
      <c r="CN65" s="89"/>
      <c r="CO65" s="89"/>
      <c r="CP65" s="89"/>
      <c r="CQ65" s="89"/>
      <c r="CR65" s="89"/>
      <c r="CS65" s="89"/>
      <c r="CT65" s="89"/>
      <c r="CU65" s="89"/>
      <c r="CV65" s="89"/>
      <c r="CW65" s="89"/>
      <c r="CX65" s="89"/>
      <c r="CY65" s="89"/>
      <c r="CZ65" s="89"/>
      <c r="DA65" s="89"/>
      <c r="DB65" s="89"/>
    </row>
    <row r="66" spans="1:106" x14ac:dyDescent="0.2">
      <c r="A66" s="89"/>
      <c r="B66" s="89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L66" s="89"/>
      <c r="BM66" s="89"/>
      <c r="BN66" s="89"/>
      <c r="BO66" s="89"/>
      <c r="BP66" s="89"/>
      <c r="BQ66" s="89"/>
      <c r="BR66" s="89"/>
      <c r="BS66" s="89"/>
      <c r="BT66" s="89"/>
      <c r="BU66" s="89"/>
      <c r="BV66" s="89"/>
      <c r="BW66" s="89"/>
      <c r="BX66" s="89"/>
      <c r="BY66" s="89"/>
      <c r="BZ66" s="89"/>
      <c r="CA66" s="89"/>
      <c r="CB66" s="89"/>
      <c r="CC66" s="89"/>
      <c r="CD66" s="89"/>
      <c r="CE66" s="89"/>
      <c r="CF66" s="89"/>
      <c r="CG66" s="89"/>
      <c r="CH66" s="89"/>
      <c r="CI66" s="89"/>
      <c r="CJ66" s="89"/>
      <c r="CK66" s="89"/>
      <c r="CL66" s="89"/>
      <c r="CM66" s="89"/>
      <c r="CN66" s="89"/>
      <c r="CO66" s="89"/>
      <c r="CP66" s="89"/>
      <c r="CQ66" s="89"/>
      <c r="CR66" s="89"/>
      <c r="CS66" s="89"/>
      <c r="CT66" s="89"/>
      <c r="CU66" s="89"/>
      <c r="CV66" s="89"/>
      <c r="CW66" s="89"/>
      <c r="CX66" s="89"/>
      <c r="CY66" s="89"/>
      <c r="CZ66" s="89"/>
      <c r="DA66" s="89"/>
      <c r="DB66" s="89"/>
    </row>
    <row r="67" spans="1:106" x14ac:dyDescent="0.2">
      <c r="A67" s="89"/>
      <c r="B67" s="89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L67" s="89"/>
      <c r="BM67" s="89"/>
      <c r="BN67" s="89"/>
      <c r="BO67" s="89"/>
      <c r="BP67" s="89"/>
      <c r="BQ67" s="89"/>
      <c r="BR67" s="89"/>
      <c r="BS67" s="89"/>
      <c r="BT67" s="89"/>
      <c r="BU67" s="89"/>
      <c r="BV67" s="89"/>
      <c r="BW67" s="89"/>
      <c r="BX67" s="89"/>
      <c r="BY67" s="89"/>
      <c r="BZ67" s="89"/>
      <c r="CA67" s="89"/>
      <c r="CB67" s="89"/>
      <c r="CC67" s="89"/>
      <c r="CD67" s="89"/>
      <c r="CE67" s="89"/>
      <c r="CF67" s="89"/>
      <c r="CG67" s="89"/>
      <c r="CH67" s="89"/>
      <c r="CI67" s="89"/>
      <c r="CJ67" s="89"/>
      <c r="CK67" s="89"/>
      <c r="CL67" s="89"/>
      <c r="CM67" s="89"/>
      <c r="CN67" s="89"/>
      <c r="CO67" s="89"/>
      <c r="CP67" s="89"/>
      <c r="CQ67" s="89"/>
      <c r="CR67" s="89"/>
      <c r="CS67" s="89"/>
      <c r="CT67" s="89"/>
      <c r="CU67" s="89"/>
      <c r="CV67" s="89"/>
      <c r="CW67" s="89"/>
      <c r="CX67" s="89"/>
      <c r="CY67" s="89"/>
      <c r="CZ67" s="89"/>
      <c r="DA67" s="89"/>
      <c r="DB67" s="89"/>
    </row>
    <row r="68" spans="1:106" x14ac:dyDescent="0.2">
      <c r="A68" s="89"/>
      <c r="B68" s="89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L68" s="89"/>
      <c r="BM68" s="89"/>
      <c r="BN68" s="89"/>
      <c r="BO68" s="89"/>
      <c r="BP68" s="89"/>
      <c r="BQ68" s="89"/>
      <c r="BR68" s="89"/>
      <c r="BS68" s="89"/>
      <c r="BT68" s="89"/>
      <c r="BU68" s="89"/>
      <c r="BV68" s="89"/>
      <c r="BW68" s="89"/>
      <c r="BX68" s="89"/>
      <c r="BY68" s="89"/>
      <c r="BZ68" s="89"/>
      <c r="CA68" s="89"/>
      <c r="CB68" s="89"/>
      <c r="CC68" s="89"/>
      <c r="CD68" s="89"/>
      <c r="CE68" s="89"/>
      <c r="CF68" s="89"/>
      <c r="CG68" s="89"/>
      <c r="CH68" s="89"/>
      <c r="CI68" s="89"/>
      <c r="CJ68" s="89"/>
      <c r="CK68" s="89"/>
      <c r="CL68" s="89"/>
      <c r="CM68" s="89"/>
      <c r="CN68" s="89"/>
      <c r="CO68" s="89"/>
      <c r="CP68" s="89"/>
      <c r="CQ68" s="89"/>
      <c r="CR68" s="89"/>
      <c r="CS68" s="89"/>
      <c r="CT68" s="89"/>
      <c r="CU68" s="89"/>
      <c r="CV68" s="89"/>
      <c r="CW68" s="89"/>
      <c r="CX68" s="89"/>
      <c r="CY68" s="89"/>
      <c r="CZ68" s="89"/>
      <c r="DA68" s="89"/>
      <c r="DB68" s="89"/>
    </row>
    <row r="69" spans="1:106" x14ac:dyDescent="0.2">
      <c r="A69" s="89"/>
      <c r="B69" s="89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L69" s="89"/>
      <c r="BM69" s="89"/>
      <c r="BN69" s="89"/>
      <c r="BO69" s="89"/>
      <c r="BP69" s="89"/>
      <c r="BQ69" s="89"/>
      <c r="BR69" s="89"/>
      <c r="BS69" s="89"/>
      <c r="BT69" s="89"/>
      <c r="BU69" s="89"/>
      <c r="BV69" s="89"/>
      <c r="BW69" s="89"/>
      <c r="BX69" s="89"/>
      <c r="BY69" s="89"/>
      <c r="BZ69" s="89"/>
      <c r="CA69" s="89"/>
      <c r="CB69" s="89"/>
      <c r="CC69" s="89"/>
      <c r="CD69" s="89"/>
      <c r="CE69" s="89"/>
      <c r="CF69" s="89"/>
      <c r="CG69" s="89"/>
      <c r="CH69" s="89"/>
      <c r="CI69" s="89"/>
      <c r="CJ69" s="89"/>
      <c r="CK69" s="89"/>
      <c r="CL69" s="89"/>
      <c r="CM69" s="89"/>
      <c r="CN69" s="89"/>
      <c r="CO69" s="89"/>
      <c r="CP69" s="89"/>
      <c r="CQ69" s="89"/>
      <c r="CR69" s="89"/>
      <c r="CS69" s="89"/>
      <c r="CT69" s="89"/>
      <c r="CU69" s="89"/>
      <c r="CV69" s="89"/>
      <c r="CW69" s="89"/>
      <c r="CX69" s="89"/>
      <c r="CY69" s="89"/>
      <c r="CZ69" s="89"/>
      <c r="DA69" s="89"/>
      <c r="DB69" s="89"/>
    </row>
    <row r="70" spans="1:106" x14ac:dyDescent="0.2">
      <c r="A70" s="89"/>
      <c r="B70" s="89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L70" s="89"/>
      <c r="BM70" s="89"/>
      <c r="BN70" s="89"/>
      <c r="BO70" s="89"/>
      <c r="BP70" s="89"/>
      <c r="BQ70" s="89"/>
      <c r="BR70" s="89"/>
      <c r="BS70" s="89"/>
      <c r="BT70" s="89"/>
      <c r="BU70" s="89"/>
      <c r="BV70" s="89"/>
      <c r="BW70" s="89"/>
      <c r="BX70" s="89"/>
      <c r="BY70" s="89"/>
      <c r="BZ70" s="89"/>
      <c r="CA70" s="89"/>
      <c r="CB70" s="89"/>
      <c r="CC70" s="89"/>
      <c r="CD70" s="89"/>
      <c r="CE70" s="89"/>
      <c r="CF70" s="89"/>
      <c r="CG70" s="89"/>
      <c r="CH70" s="89"/>
      <c r="CI70" s="89"/>
      <c r="CJ70" s="89"/>
      <c r="CK70" s="89"/>
      <c r="CL70" s="89"/>
      <c r="CM70" s="89"/>
      <c r="CN70" s="89"/>
      <c r="CO70" s="89"/>
      <c r="CP70" s="89"/>
      <c r="CQ70" s="89"/>
      <c r="CR70" s="89"/>
      <c r="CS70" s="89"/>
      <c r="CT70" s="89"/>
      <c r="CU70" s="89"/>
      <c r="CV70" s="89"/>
      <c r="CW70" s="89"/>
      <c r="CX70" s="89"/>
      <c r="CY70" s="89"/>
      <c r="CZ70" s="89"/>
      <c r="DA70" s="89"/>
      <c r="DB70" s="89"/>
    </row>
    <row r="71" spans="1:106" x14ac:dyDescent="0.2">
      <c r="A71" s="89"/>
      <c r="B71" s="89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L71" s="89"/>
      <c r="BM71" s="89"/>
      <c r="BN71" s="89"/>
      <c r="BO71" s="89"/>
      <c r="BP71" s="89"/>
      <c r="BQ71" s="89"/>
      <c r="BR71" s="89"/>
      <c r="BS71" s="89"/>
      <c r="BT71" s="89"/>
      <c r="BU71" s="89"/>
      <c r="BV71" s="89"/>
      <c r="BW71" s="89"/>
      <c r="BX71" s="89"/>
      <c r="BY71" s="89"/>
      <c r="BZ71" s="89"/>
      <c r="CA71" s="89"/>
      <c r="CB71" s="89"/>
      <c r="CC71" s="89"/>
      <c r="CD71" s="89"/>
      <c r="CE71" s="89"/>
      <c r="CF71" s="89"/>
      <c r="CG71" s="89"/>
      <c r="CH71" s="89"/>
      <c r="CI71" s="89"/>
      <c r="CJ71" s="89"/>
      <c r="CK71" s="89"/>
      <c r="CL71" s="89"/>
      <c r="CM71" s="89"/>
      <c r="CN71" s="89"/>
      <c r="CO71" s="89"/>
      <c r="CP71" s="89"/>
      <c r="CQ71" s="89"/>
      <c r="CR71" s="89"/>
      <c r="CS71" s="89"/>
      <c r="CT71" s="89"/>
      <c r="CU71" s="89"/>
      <c r="CV71" s="89"/>
      <c r="CW71" s="89"/>
      <c r="CX71" s="89"/>
      <c r="CY71" s="89"/>
      <c r="CZ71" s="89"/>
      <c r="DA71" s="89"/>
      <c r="DB71" s="89"/>
    </row>
    <row r="72" spans="1:106" x14ac:dyDescent="0.2">
      <c r="A72" s="89"/>
      <c r="B72" s="89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L72" s="89"/>
      <c r="BM72" s="89"/>
      <c r="BN72" s="89"/>
      <c r="BO72" s="89"/>
      <c r="BP72" s="89"/>
      <c r="BQ72" s="89"/>
      <c r="BR72" s="89"/>
      <c r="BS72" s="89"/>
      <c r="BT72" s="89"/>
      <c r="BU72" s="89"/>
      <c r="BV72" s="89"/>
      <c r="BW72" s="89"/>
      <c r="BX72" s="89"/>
      <c r="BY72" s="89"/>
      <c r="BZ72" s="89"/>
      <c r="CA72" s="89"/>
      <c r="CB72" s="89"/>
      <c r="CC72" s="89"/>
      <c r="CD72" s="89"/>
      <c r="CE72" s="89"/>
      <c r="CF72" s="89"/>
      <c r="CG72" s="89"/>
      <c r="CH72" s="89"/>
      <c r="CI72" s="89"/>
      <c r="CJ72" s="89"/>
      <c r="CK72" s="89"/>
      <c r="CL72" s="89"/>
      <c r="CM72" s="89"/>
      <c r="CN72" s="89"/>
      <c r="CO72" s="89"/>
      <c r="CP72" s="89"/>
      <c r="CQ72" s="89"/>
      <c r="CR72" s="89"/>
      <c r="CS72" s="89"/>
      <c r="CT72" s="89"/>
      <c r="CU72" s="89"/>
      <c r="CV72" s="89"/>
      <c r="CW72" s="89"/>
      <c r="CX72" s="89"/>
      <c r="CY72" s="89"/>
      <c r="CZ72" s="89"/>
      <c r="DA72" s="89"/>
      <c r="DB72" s="89"/>
    </row>
    <row r="73" spans="1:106" x14ac:dyDescent="0.2">
      <c r="A73" s="89"/>
      <c r="B73" s="89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L73" s="89"/>
      <c r="BM73" s="89"/>
      <c r="BN73" s="89"/>
      <c r="BO73" s="89"/>
      <c r="BP73" s="89"/>
      <c r="BQ73" s="89"/>
      <c r="BR73" s="89"/>
      <c r="BS73" s="89"/>
      <c r="BT73" s="89"/>
      <c r="BU73" s="89"/>
      <c r="BV73" s="89"/>
      <c r="BW73" s="89"/>
      <c r="BX73" s="89"/>
      <c r="BY73" s="89"/>
      <c r="BZ73" s="89"/>
      <c r="CA73" s="89"/>
      <c r="CB73" s="89"/>
      <c r="CC73" s="89"/>
      <c r="CD73" s="89"/>
      <c r="CE73" s="89"/>
      <c r="CF73" s="89"/>
      <c r="CG73" s="89"/>
      <c r="CH73" s="89"/>
      <c r="CI73" s="89"/>
      <c r="CJ73" s="89"/>
      <c r="CK73" s="89"/>
      <c r="CL73" s="89"/>
      <c r="CM73" s="89"/>
      <c r="CN73" s="89"/>
      <c r="CO73" s="89"/>
      <c r="CP73" s="89"/>
      <c r="CQ73" s="89"/>
      <c r="CR73" s="89"/>
      <c r="CS73" s="89"/>
      <c r="CT73" s="89"/>
      <c r="CU73" s="89"/>
      <c r="CV73" s="89"/>
      <c r="CW73" s="89"/>
      <c r="CX73" s="89"/>
      <c r="CY73" s="89"/>
      <c r="CZ73" s="89"/>
      <c r="DA73" s="89"/>
      <c r="DB73" s="89"/>
    </row>
    <row r="74" spans="1:106" x14ac:dyDescent="0.2">
      <c r="A74" s="89"/>
      <c r="B74" s="89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89"/>
      <c r="AC74" s="89"/>
      <c r="AD74" s="89"/>
      <c r="AE74" s="89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L74" s="89"/>
      <c r="BM74" s="89"/>
      <c r="BN74" s="89"/>
      <c r="BO74" s="89"/>
      <c r="BP74" s="89"/>
      <c r="BQ74" s="89"/>
      <c r="BR74" s="89"/>
      <c r="BS74" s="89"/>
      <c r="BT74" s="89"/>
      <c r="BU74" s="89"/>
      <c r="BV74" s="89"/>
      <c r="BW74" s="89"/>
      <c r="BX74" s="89"/>
      <c r="BY74" s="89"/>
      <c r="BZ74" s="89"/>
      <c r="CA74" s="89"/>
      <c r="CB74" s="89"/>
      <c r="CC74" s="89"/>
      <c r="CD74" s="89"/>
      <c r="CE74" s="89"/>
      <c r="CF74" s="89"/>
      <c r="CG74" s="89"/>
      <c r="CH74" s="89"/>
      <c r="CI74" s="89"/>
      <c r="CJ74" s="89"/>
      <c r="CK74" s="89"/>
      <c r="CL74" s="89"/>
      <c r="CM74" s="89"/>
      <c r="CN74" s="89"/>
      <c r="CO74" s="89"/>
      <c r="CP74" s="89"/>
      <c r="CQ74" s="89"/>
      <c r="CR74" s="89"/>
      <c r="CS74" s="89"/>
      <c r="CT74" s="89"/>
      <c r="CU74" s="89"/>
      <c r="CV74" s="89"/>
      <c r="CW74" s="89"/>
      <c r="CX74" s="89"/>
      <c r="CY74" s="89"/>
      <c r="CZ74" s="89"/>
      <c r="DA74" s="89"/>
      <c r="DB74" s="89"/>
    </row>
    <row r="75" spans="1:106" x14ac:dyDescent="0.2">
      <c r="A75" s="89"/>
      <c r="B75" s="89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89"/>
      <c r="AC75" s="89"/>
      <c r="AD75" s="89"/>
      <c r="AE75" s="89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L75" s="89"/>
      <c r="BM75" s="89"/>
      <c r="BN75" s="89"/>
      <c r="BO75" s="89"/>
      <c r="BP75" s="89"/>
      <c r="BQ75" s="89"/>
      <c r="BR75" s="89"/>
      <c r="BS75" s="89"/>
      <c r="BT75" s="89"/>
      <c r="BU75" s="89"/>
      <c r="BV75" s="89"/>
      <c r="BW75" s="89"/>
      <c r="BX75" s="89"/>
      <c r="BY75" s="89"/>
      <c r="BZ75" s="89"/>
      <c r="CA75" s="89"/>
      <c r="CB75" s="89"/>
      <c r="CC75" s="89"/>
      <c r="CD75" s="89"/>
      <c r="CE75" s="89"/>
      <c r="CF75" s="89"/>
      <c r="CG75" s="89"/>
      <c r="CH75" s="89"/>
      <c r="CI75" s="89"/>
      <c r="CJ75" s="89"/>
      <c r="CK75" s="89"/>
      <c r="CL75" s="89"/>
      <c r="CM75" s="89"/>
      <c r="CN75" s="89"/>
      <c r="CO75" s="89"/>
      <c r="CP75" s="89"/>
      <c r="CQ75" s="89"/>
      <c r="CR75" s="89"/>
      <c r="CS75" s="89"/>
      <c r="CT75" s="89"/>
      <c r="CU75" s="89"/>
      <c r="CV75" s="89"/>
      <c r="CW75" s="89"/>
      <c r="CX75" s="89"/>
      <c r="CY75" s="89"/>
      <c r="CZ75" s="89"/>
      <c r="DA75" s="89"/>
      <c r="DB75" s="89"/>
    </row>
    <row r="76" spans="1:106" x14ac:dyDescent="0.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89"/>
      <c r="AC76" s="89"/>
      <c r="AD76" s="89"/>
      <c r="AE76" s="89"/>
      <c r="AF76" s="89"/>
      <c r="AG76" s="89"/>
      <c r="AH76" s="89"/>
      <c r="AI76" s="89"/>
      <c r="AJ76" s="89"/>
      <c r="AK76" s="89"/>
      <c r="AL76" s="89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L76" s="89"/>
      <c r="BM76" s="89"/>
      <c r="BN76" s="89"/>
      <c r="BO76" s="89"/>
      <c r="BP76" s="89"/>
      <c r="BQ76" s="89"/>
      <c r="BR76" s="89"/>
      <c r="BS76" s="89"/>
      <c r="BT76" s="89"/>
      <c r="BU76" s="89"/>
      <c r="BV76" s="89"/>
      <c r="BW76" s="89"/>
      <c r="BX76" s="89"/>
      <c r="BY76" s="89"/>
      <c r="BZ76" s="89"/>
      <c r="CA76" s="89"/>
      <c r="CB76" s="89"/>
      <c r="CC76" s="89"/>
      <c r="CD76" s="89"/>
      <c r="CE76" s="89"/>
      <c r="CF76" s="89"/>
      <c r="CG76" s="89"/>
      <c r="CH76" s="89"/>
      <c r="CI76" s="89"/>
      <c r="CJ76" s="89"/>
      <c r="CK76" s="89"/>
      <c r="CL76" s="89"/>
      <c r="CM76" s="89"/>
      <c r="CN76" s="89"/>
      <c r="CO76" s="89"/>
      <c r="CP76" s="89"/>
      <c r="CQ76" s="89"/>
      <c r="CR76" s="89"/>
      <c r="CS76" s="89"/>
      <c r="CT76" s="89"/>
      <c r="CU76" s="89"/>
      <c r="CV76" s="89"/>
      <c r="CW76" s="89"/>
      <c r="CX76" s="89"/>
      <c r="CY76" s="89"/>
      <c r="CZ76" s="89"/>
      <c r="DA76" s="89"/>
      <c r="DB76" s="89"/>
    </row>
    <row r="77" spans="1:106" x14ac:dyDescent="0.2">
      <c r="A77" s="89"/>
      <c r="B77" s="89"/>
      <c r="C77" s="89"/>
      <c r="D77" s="89"/>
      <c r="E77" s="89"/>
      <c r="F77" s="89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  <c r="AE77" s="89"/>
      <c r="AF77" s="89"/>
      <c r="AG77" s="89"/>
      <c r="AH77" s="89"/>
      <c r="AI77" s="89"/>
      <c r="AJ77" s="89"/>
      <c r="AK77" s="89"/>
      <c r="AL77" s="89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L77" s="89"/>
      <c r="BM77" s="89"/>
      <c r="BN77" s="89"/>
      <c r="BO77" s="89"/>
      <c r="BP77" s="89"/>
      <c r="BQ77" s="89"/>
      <c r="BR77" s="89"/>
      <c r="BS77" s="89"/>
      <c r="BT77" s="89"/>
      <c r="BU77" s="89"/>
      <c r="BV77" s="89"/>
      <c r="BW77" s="89"/>
      <c r="BX77" s="89"/>
      <c r="BY77" s="89"/>
      <c r="BZ77" s="89"/>
      <c r="CA77" s="89"/>
      <c r="CB77" s="89"/>
      <c r="CC77" s="89"/>
      <c r="CD77" s="89"/>
      <c r="CE77" s="89"/>
      <c r="CF77" s="89"/>
      <c r="CG77" s="89"/>
      <c r="CH77" s="89"/>
      <c r="CI77" s="89"/>
      <c r="CJ77" s="89"/>
      <c r="CK77" s="89"/>
      <c r="CL77" s="89"/>
      <c r="CM77" s="89"/>
      <c r="CN77" s="89"/>
      <c r="CO77" s="89"/>
      <c r="CP77" s="89"/>
      <c r="CQ77" s="89"/>
      <c r="CR77" s="89"/>
      <c r="CS77" s="89"/>
      <c r="CT77" s="89"/>
      <c r="CU77" s="89"/>
      <c r="CV77" s="89"/>
      <c r="CW77" s="89"/>
      <c r="CX77" s="89"/>
      <c r="CY77" s="89"/>
      <c r="CZ77" s="89"/>
      <c r="DA77" s="89"/>
      <c r="DB77" s="89"/>
    </row>
    <row r="78" spans="1:106" x14ac:dyDescent="0.2">
      <c r="A78" s="89"/>
      <c r="B78" s="89"/>
      <c r="C78" s="89"/>
      <c r="D78" s="89"/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89"/>
      <c r="AC78" s="89"/>
      <c r="AD78" s="89"/>
      <c r="AE78" s="89"/>
      <c r="AF78" s="89"/>
      <c r="AG78" s="89"/>
      <c r="AH78" s="89"/>
      <c r="AI78" s="89"/>
      <c r="AJ78" s="89"/>
      <c r="AK78" s="89"/>
      <c r="AL78" s="89"/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BL78" s="89"/>
      <c r="BM78" s="89"/>
      <c r="BN78" s="89"/>
      <c r="BO78" s="89"/>
      <c r="BP78" s="89"/>
      <c r="BQ78" s="89"/>
      <c r="BR78" s="89"/>
      <c r="BS78" s="89"/>
      <c r="BT78" s="89"/>
      <c r="BU78" s="89"/>
      <c r="BV78" s="89"/>
      <c r="BW78" s="89"/>
      <c r="BX78" s="89"/>
      <c r="BY78" s="89"/>
      <c r="BZ78" s="89"/>
      <c r="CA78" s="89"/>
      <c r="CB78" s="89"/>
      <c r="CC78" s="89"/>
      <c r="CD78" s="89"/>
      <c r="CE78" s="89"/>
      <c r="CF78" s="89"/>
      <c r="CG78" s="89"/>
      <c r="CH78" s="89"/>
      <c r="CI78" s="89"/>
      <c r="CJ78" s="89"/>
      <c r="CK78" s="89"/>
      <c r="CL78" s="89"/>
      <c r="CM78" s="89"/>
      <c r="CN78" s="89"/>
      <c r="CO78" s="89"/>
      <c r="CP78" s="89"/>
      <c r="CQ78" s="89"/>
      <c r="CR78" s="89"/>
      <c r="CS78" s="89"/>
      <c r="CT78" s="89"/>
      <c r="CU78" s="89"/>
      <c r="CV78" s="89"/>
      <c r="CW78" s="89"/>
      <c r="CX78" s="89"/>
      <c r="CY78" s="89"/>
      <c r="CZ78" s="89"/>
      <c r="DA78" s="89"/>
      <c r="DB78" s="89"/>
    </row>
    <row r="79" spans="1:106" x14ac:dyDescent="0.2">
      <c r="A79" s="89"/>
      <c r="B79" s="89"/>
      <c r="C79" s="89"/>
      <c r="D79" s="89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89"/>
      <c r="AC79" s="89"/>
      <c r="AD79" s="89"/>
      <c r="AE79" s="89"/>
      <c r="AF79" s="89"/>
      <c r="AG79" s="89"/>
      <c r="AH79" s="89"/>
      <c r="AI79" s="89"/>
      <c r="AJ79" s="89"/>
      <c r="AK79" s="89"/>
      <c r="AL79" s="89"/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BL79" s="89"/>
      <c r="BM79" s="89"/>
      <c r="BN79" s="89"/>
      <c r="BO79" s="89"/>
      <c r="BP79" s="89"/>
      <c r="BQ79" s="89"/>
      <c r="BR79" s="89"/>
      <c r="BS79" s="89"/>
      <c r="BT79" s="89"/>
      <c r="BU79" s="89"/>
      <c r="BV79" s="89"/>
      <c r="BW79" s="89"/>
      <c r="BX79" s="89"/>
      <c r="BY79" s="89"/>
      <c r="BZ79" s="89"/>
      <c r="CA79" s="89"/>
      <c r="CB79" s="89"/>
      <c r="CC79" s="89"/>
      <c r="CD79" s="89"/>
      <c r="CE79" s="89"/>
      <c r="CF79" s="89"/>
      <c r="CG79" s="89"/>
      <c r="CH79" s="89"/>
      <c r="CI79" s="89"/>
      <c r="CJ79" s="89"/>
      <c r="CK79" s="89"/>
      <c r="CL79" s="89"/>
      <c r="CM79" s="89"/>
      <c r="CN79" s="89"/>
      <c r="CO79" s="89"/>
      <c r="CP79" s="89"/>
      <c r="CQ79" s="89"/>
      <c r="CR79" s="89"/>
      <c r="CS79" s="89"/>
      <c r="CT79" s="89"/>
      <c r="CU79" s="89"/>
      <c r="CV79" s="89"/>
      <c r="CW79" s="89"/>
      <c r="CX79" s="89"/>
      <c r="CY79" s="89"/>
      <c r="CZ79" s="89"/>
      <c r="DA79" s="89"/>
      <c r="DB79" s="89"/>
    </row>
    <row r="80" spans="1:106" x14ac:dyDescent="0.2">
      <c r="A80" s="89"/>
      <c r="B80" s="89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89"/>
      <c r="AC80" s="89"/>
      <c r="AD80" s="89"/>
      <c r="AE80" s="89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BL80" s="89"/>
      <c r="BM80" s="89"/>
      <c r="BN80" s="89"/>
      <c r="BO80" s="89"/>
      <c r="BP80" s="89"/>
      <c r="BQ80" s="89"/>
      <c r="BR80" s="89"/>
      <c r="BS80" s="89"/>
      <c r="BT80" s="89"/>
      <c r="BU80" s="89"/>
      <c r="BV80" s="89"/>
      <c r="BW80" s="89"/>
      <c r="BX80" s="89"/>
      <c r="BY80" s="89"/>
      <c r="BZ80" s="89"/>
      <c r="CA80" s="89"/>
      <c r="CB80" s="89"/>
      <c r="CC80" s="89"/>
      <c r="CD80" s="89"/>
      <c r="CE80" s="89"/>
      <c r="CF80" s="89"/>
      <c r="CG80" s="89"/>
      <c r="CH80" s="89"/>
      <c r="CI80" s="89"/>
      <c r="CJ80" s="89"/>
      <c r="CK80" s="89"/>
      <c r="CL80" s="89"/>
      <c r="CM80" s="89"/>
      <c r="CN80" s="89"/>
      <c r="CO80" s="89"/>
      <c r="CP80" s="89"/>
      <c r="CQ80" s="89"/>
      <c r="CR80" s="89"/>
      <c r="CS80" s="89"/>
      <c r="CT80" s="89"/>
      <c r="CU80" s="89"/>
      <c r="CV80" s="89"/>
      <c r="CW80" s="89"/>
      <c r="CX80" s="89"/>
      <c r="CY80" s="89"/>
      <c r="CZ80" s="89"/>
      <c r="DA80" s="89"/>
      <c r="DB80" s="89"/>
    </row>
    <row r="81" spans="1:106" x14ac:dyDescent="0.2">
      <c r="A81" s="89"/>
      <c r="B81" s="89"/>
      <c r="C81" s="89"/>
      <c r="D81" s="89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E81" s="89"/>
      <c r="AF81" s="89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BL81" s="89"/>
      <c r="BM81" s="89"/>
      <c r="BN81" s="89"/>
      <c r="BO81" s="89"/>
      <c r="BP81" s="89"/>
      <c r="BQ81" s="89"/>
      <c r="BR81" s="89"/>
      <c r="BS81" s="89"/>
      <c r="BT81" s="89"/>
      <c r="BU81" s="89"/>
      <c r="BV81" s="89"/>
      <c r="BW81" s="89"/>
      <c r="BX81" s="89"/>
      <c r="BY81" s="89"/>
      <c r="BZ81" s="89"/>
      <c r="CA81" s="89"/>
      <c r="CB81" s="89"/>
      <c r="CC81" s="89"/>
      <c r="CD81" s="89"/>
      <c r="CE81" s="89"/>
      <c r="CF81" s="89"/>
      <c r="CG81" s="89"/>
      <c r="CH81" s="89"/>
      <c r="CI81" s="89"/>
      <c r="CJ81" s="89"/>
      <c r="CK81" s="89"/>
      <c r="CL81" s="89"/>
      <c r="CM81" s="89"/>
      <c r="CN81" s="89"/>
      <c r="CO81" s="89"/>
      <c r="CP81" s="89"/>
      <c r="CQ81" s="89"/>
      <c r="CR81" s="89"/>
      <c r="CS81" s="89"/>
      <c r="CT81" s="89"/>
      <c r="CU81" s="89"/>
      <c r="CV81" s="89"/>
      <c r="CW81" s="89"/>
      <c r="CX81" s="89"/>
      <c r="CY81" s="89"/>
      <c r="CZ81" s="89"/>
      <c r="DA81" s="89"/>
      <c r="DB81" s="89"/>
    </row>
    <row r="82" spans="1:106" x14ac:dyDescent="0.2">
      <c r="A82" s="89"/>
      <c r="B82" s="89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89"/>
      <c r="AC82" s="89"/>
      <c r="AD82" s="89"/>
      <c r="AE82" s="89"/>
      <c r="AF82" s="89"/>
      <c r="AG82" s="89"/>
      <c r="AH82" s="89"/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BL82" s="89"/>
      <c r="BM82" s="89"/>
      <c r="BN82" s="89"/>
      <c r="BO82" s="89"/>
      <c r="BP82" s="89"/>
      <c r="BQ82" s="89"/>
      <c r="BR82" s="89"/>
      <c r="BS82" s="89"/>
      <c r="BT82" s="89"/>
      <c r="BU82" s="89"/>
      <c r="BV82" s="89"/>
      <c r="BW82" s="89"/>
      <c r="BX82" s="89"/>
      <c r="BY82" s="89"/>
      <c r="BZ82" s="89"/>
      <c r="CA82" s="89"/>
      <c r="CB82" s="89"/>
      <c r="CC82" s="89"/>
      <c r="CD82" s="89"/>
      <c r="CE82" s="89"/>
      <c r="CF82" s="89"/>
      <c r="CG82" s="89"/>
      <c r="CH82" s="89"/>
      <c r="CI82" s="89"/>
      <c r="CJ82" s="89"/>
      <c r="CK82" s="89"/>
      <c r="CL82" s="89"/>
      <c r="CM82" s="89"/>
      <c r="CN82" s="89"/>
      <c r="CO82" s="89"/>
      <c r="CP82" s="89"/>
      <c r="CQ82" s="89"/>
      <c r="CR82" s="89"/>
      <c r="CS82" s="89"/>
      <c r="CT82" s="89"/>
      <c r="CU82" s="89"/>
      <c r="CV82" s="89"/>
      <c r="CW82" s="89"/>
      <c r="CX82" s="89"/>
      <c r="CY82" s="89"/>
      <c r="CZ82" s="89"/>
      <c r="DA82" s="89"/>
      <c r="DB82" s="89"/>
    </row>
    <row r="83" spans="1:106" x14ac:dyDescent="0.2">
      <c r="A83" s="89"/>
      <c r="B83" s="89"/>
      <c r="C83" s="89"/>
      <c r="D83" s="89"/>
      <c r="E83" s="89"/>
      <c r="F83" s="89"/>
      <c r="G83" s="89"/>
      <c r="H83" s="89"/>
      <c r="I83" s="89"/>
      <c r="J83" s="89"/>
      <c r="K83" s="89"/>
      <c r="L83" s="89"/>
      <c r="M83" s="89"/>
      <c r="N83" s="89"/>
      <c r="O83" s="89"/>
      <c r="P83" s="89"/>
      <c r="Q83" s="89"/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89"/>
      <c r="AC83" s="89"/>
      <c r="AD83" s="89"/>
      <c r="AE83" s="89"/>
      <c r="AF83" s="89"/>
      <c r="AG83" s="89"/>
      <c r="AH83" s="89"/>
      <c r="AI83" s="89"/>
      <c r="AJ83" s="89"/>
      <c r="AK83" s="89"/>
      <c r="AL83" s="89"/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  <c r="BC83" s="89"/>
      <c r="BD83" s="89"/>
      <c r="BE83" s="89"/>
      <c r="BF83" s="89"/>
      <c r="BG83" s="89"/>
      <c r="BH83" s="89"/>
      <c r="BI83" s="89"/>
      <c r="BJ83" s="89"/>
      <c r="BK83" s="89"/>
      <c r="BL83" s="89"/>
      <c r="BM83" s="89"/>
      <c r="BN83" s="89"/>
      <c r="BO83" s="89"/>
      <c r="BP83" s="89"/>
      <c r="BQ83" s="89"/>
      <c r="BR83" s="89"/>
      <c r="BS83" s="89"/>
      <c r="BT83" s="89"/>
      <c r="BU83" s="89"/>
      <c r="BV83" s="89"/>
      <c r="BW83" s="89"/>
      <c r="BX83" s="89"/>
      <c r="BY83" s="89"/>
      <c r="BZ83" s="89"/>
      <c r="CA83" s="89"/>
      <c r="CB83" s="89"/>
      <c r="CC83" s="89"/>
      <c r="CD83" s="89"/>
      <c r="CE83" s="89"/>
      <c r="CF83" s="89"/>
      <c r="CG83" s="89"/>
      <c r="CH83" s="89"/>
      <c r="CI83" s="89"/>
      <c r="CJ83" s="89"/>
      <c r="CK83" s="89"/>
      <c r="CL83" s="89"/>
      <c r="CM83" s="89"/>
      <c r="CN83" s="89"/>
      <c r="CO83" s="89"/>
      <c r="CP83" s="89"/>
      <c r="CQ83" s="89"/>
      <c r="CR83" s="89"/>
      <c r="CS83" s="89"/>
      <c r="CT83" s="89"/>
      <c r="CU83" s="89"/>
      <c r="CV83" s="89"/>
      <c r="CW83" s="89"/>
      <c r="CX83" s="89"/>
      <c r="CY83" s="89"/>
      <c r="CZ83" s="89"/>
      <c r="DA83" s="89"/>
      <c r="DB83" s="89"/>
    </row>
    <row r="84" spans="1:106" x14ac:dyDescent="0.2">
      <c r="A84" s="89"/>
      <c r="B84" s="89"/>
      <c r="C84" s="89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E84" s="89"/>
      <c r="AF84" s="89"/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  <c r="AT84" s="89"/>
      <c r="AU84" s="89"/>
      <c r="AV84" s="89"/>
      <c r="AW84" s="89"/>
      <c r="AX84" s="89"/>
      <c r="AY84" s="89"/>
      <c r="AZ84" s="89"/>
      <c r="BA84" s="89"/>
      <c r="BB84" s="89"/>
      <c r="BC84" s="89"/>
      <c r="BD84" s="89"/>
      <c r="BE84" s="89"/>
      <c r="BF84" s="89"/>
      <c r="BG84" s="89"/>
      <c r="BH84" s="89"/>
      <c r="BI84" s="89"/>
      <c r="BJ84" s="89"/>
      <c r="BK84" s="89"/>
      <c r="BL84" s="89"/>
      <c r="BM84" s="89"/>
      <c r="BN84" s="89"/>
      <c r="BO84" s="89"/>
      <c r="BP84" s="89"/>
      <c r="BQ84" s="89"/>
      <c r="BR84" s="89"/>
      <c r="BS84" s="89"/>
      <c r="BT84" s="89"/>
      <c r="BU84" s="89"/>
      <c r="BV84" s="89"/>
      <c r="BW84" s="89"/>
      <c r="BX84" s="89"/>
      <c r="BY84" s="89"/>
      <c r="BZ84" s="89"/>
      <c r="CA84" s="89"/>
      <c r="CB84" s="89"/>
      <c r="CC84" s="89"/>
      <c r="CD84" s="89"/>
      <c r="CE84" s="89"/>
      <c r="CF84" s="89"/>
      <c r="CG84" s="89"/>
      <c r="CH84" s="89"/>
      <c r="CI84" s="89"/>
      <c r="CJ84" s="89"/>
      <c r="CK84" s="89"/>
      <c r="CL84" s="89"/>
      <c r="CM84" s="89"/>
      <c r="CN84" s="89"/>
      <c r="CO84" s="89"/>
      <c r="CP84" s="89"/>
      <c r="CQ84" s="89"/>
      <c r="CR84" s="89"/>
      <c r="CS84" s="89"/>
      <c r="CT84" s="89"/>
      <c r="CU84" s="89"/>
      <c r="CV84" s="89"/>
      <c r="CW84" s="89"/>
      <c r="CX84" s="89"/>
      <c r="CY84" s="89"/>
      <c r="CZ84" s="89"/>
      <c r="DA84" s="89"/>
      <c r="DB84" s="89"/>
    </row>
    <row r="85" spans="1:106" x14ac:dyDescent="0.2">
      <c r="A85" s="89"/>
      <c r="B85" s="89"/>
      <c r="C85" s="89"/>
      <c r="D85" s="89"/>
      <c r="E85" s="89"/>
      <c r="F85" s="89"/>
      <c r="G85" s="89"/>
      <c r="H85" s="89"/>
      <c r="I85" s="89"/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9"/>
      <c r="AW85" s="89"/>
      <c r="AX85" s="89"/>
      <c r="AY85" s="89"/>
      <c r="AZ85" s="89"/>
      <c r="BA85" s="89"/>
      <c r="BB85" s="89"/>
      <c r="BC85" s="89"/>
      <c r="BD85" s="89"/>
      <c r="BE85" s="89"/>
      <c r="BF85" s="89"/>
      <c r="BG85" s="89"/>
      <c r="BH85" s="89"/>
      <c r="BI85" s="89"/>
      <c r="BJ85" s="89"/>
      <c r="BK85" s="89"/>
      <c r="BL85" s="89"/>
      <c r="BM85" s="89"/>
      <c r="BN85" s="89"/>
      <c r="BO85" s="89"/>
      <c r="BP85" s="89"/>
      <c r="BQ85" s="89"/>
      <c r="BR85" s="89"/>
      <c r="BS85" s="89"/>
      <c r="BT85" s="89"/>
      <c r="BU85" s="89"/>
      <c r="BV85" s="89"/>
      <c r="BW85" s="89"/>
      <c r="BX85" s="89"/>
      <c r="BY85" s="89"/>
      <c r="BZ85" s="89"/>
      <c r="CA85" s="89"/>
      <c r="CB85" s="89"/>
      <c r="CC85" s="89"/>
      <c r="CD85" s="89"/>
      <c r="CE85" s="89"/>
      <c r="CF85" s="89"/>
      <c r="CG85" s="89"/>
      <c r="CH85" s="89"/>
      <c r="CI85" s="89"/>
      <c r="CJ85" s="89"/>
      <c r="CK85" s="89"/>
      <c r="CL85" s="89"/>
      <c r="CM85" s="89"/>
      <c r="CN85" s="89"/>
      <c r="CO85" s="89"/>
      <c r="CP85" s="89"/>
      <c r="CQ85" s="89"/>
      <c r="CR85" s="89"/>
      <c r="CS85" s="89"/>
      <c r="CT85" s="89"/>
      <c r="CU85" s="89"/>
      <c r="CV85" s="89"/>
      <c r="CW85" s="89"/>
      <c r="CX85" s="89"/>
      <c r="CY85" s="89"/>
      <c r="CZ85" s="89"/>
      <c r="DA85" s="89"/>
      <c r="DB85" s="89"/>
    </row>
    <row r="86" spans="1:106" x14ac:dyDescent="0.2">
      <c r="A86" s="89"/>
      <c r="B86" s="89"/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  <c r="AT86" s="89"/>
      <c r="AU86" s="89"/>
      <c r="AV86" s="89"/>
      <c r="AW86" s="89"/>
      <c r="AX86" s="89"/>
      <c r="AY86" s="89"/>
      <c r="AZ86" s="89"/>
      <c r="BA86" s="89"/>
      <c r="BB86" s="89"/>
      <c r="BC86" s="89"/>
      <c r="BD86" s="89"/>
      <c r="BE86" s="89"/>
      <c r="BF86" s="89"/>
      <c r="BG86" s="89"/>
      <c r="BH86" s="89"/>
      <c r="BI86" s="89"/>
      <c r="BJ86" s="89"/>
      <c r="BK86" s="89"/>
      <c r="BL86" s="89"/>
      <c r="BM86" s="89"/>
      <c r="BN86" s="89"/>
      <c r="BO86" s="89"/>
      <c r="BP86" s="89"/>
      <c r="BQ86" s="89"/>
      <c r="BR86" s="89"/>
      <c r="BS86" s="89"/>
      <c r="BT86" s="89"/>
      <c r="BU86" s="89"/>
      <c r="BV86" s="89"/>
      <c r="BW86" s="89"/>
      <c r="BX86" s="89"/>
      <c r="BY86" s="89"/>
      <c r="BZ86" s="89"/>
      <c r="CA86" s="89"/>
      <c r="CB86" s="89"/>
      <c r="CC86" s="89"/>
      <c r="CD86" s="89"/>
      <c r="CE86" s="89"/>
      <c r="CF86" s="89"/>
      <c r="CG86" s="89"/>
      <c r="CH86" s="89"/>
      <c r="CI86" s="89"/>
      <c r="CJ86" s="89"/>
      <c r="CK86" s="89"/>
      <c r="CL86" s="89"/>
      <c r="CM86" s="89"/>
      <c r="CN86" s="89"/>
      <c r="CO86" s="89"/>
      <c r="CP86" s="89"/>
      <c r="CQ86" s="89"/>
      <c r="CR86" s="89"/>
      <c r="CS86" s="89"/>
      <c r="CT86" s="89"/>
      <c r="CU86" s="89"/>
      <c r="CV86" s="89"/>
      <c r="CW86" s="89"/>
      <c r="CX86" s="89"/>
      <c r="CY86" s="89"/>
      <c r="CZ86" s="89"/>
      <c r="DA86" s="89"/>
      <c r="DB86" s="89"/>
    </row>
    <row r="87" spans="1:106" x14ac:dyDescent="0.2">
      <c r="A87" s="89"/>
      <c r="B87" s="89"/>
      <c r="C87" s="89"/>
      <c r="D87" s="89"/>
      <c r="E87" s="89"/>
      <c r="F87" s="89"/>
      <c r="G87" s="89"/>
      <c r="H87" s="89"/>
      <c r="I87" s="89"/>
      <c r="J87" s="89"/>
      <c r="K87" s="89"/>
      <c r="L87" s="89"/>
      <c r="M87" s="89"/>
      <c r="N87" s="89"/>
      <c r="O87" s="89"/>
      <c r="P87" s="89"/>
      <c r="Q87" s="89"/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  <c r="AG87" s="89"/>
      <c r="AH87" s="89"/>
      <c r="AI87" s="89"/>
      <c r="AJ87" s="89"/>
      <c r="AK87" s="89"/>
      <c r="AL87" s="89"/>
      <c r="AM87" s="89"/>
      <c r="AN87" s="89"/>
      <c r="AO87" s="89"/>
      <c r="AP87" s="89"/>
      <c r="AQ87" s="89"/>
      <c r="AR87" s="89"/>
      <c r="AS87" s="89"/>
      <c r="AT87" s="89"/>
      <c r="AU87" s="89"/>
      <c r="AV87" s="89"/>
      <c r="AW87" s="89"/>
      <c r="AX87" s="89"/>
      <c r="AY87" s="89"/>
      <c r="AZ87" s="89"/>
      <c r="BA87" s="89"/>
      <c r="BB87" s="89"/>
      <c r="BC87" s="89"/>
      <c r="BD87" s="89"/>
      <c r="BE87" s="89"/>
      <c r="BF87" s="89"/>
      <c r="BG87" s="89"/>
      <c r="BH87" s="89"/>
      <c r="BI87" s="89"/>
      <c r="BJ87" s="89"/>
      <c r="BK87" s="89"/>
      <c r="BL87" s="89"/>
      <c r="BM87" s="89"/>
      <c r="BN87" s="89"/>
      <c r="BO87" s="89"/>
      <c r="BP87" s="89"/>
      <c r="BQ87" s="89"/>
      <c r="BR87" s="89"/>
      <c r="BS87" s="89"/>
      <c r="BT87" s="89"/>
      <c r="BU87" s="89"/>
      <c r="BV87" s="89"/>
      <c r="BW87" s="89"/>
      <c r="BX87" s="89"/>
      <c r="BY87" s="89"/>
      <c r="BZ87" s="89"/>
      <c r="CA87" s="89"/>
      <c r="CB87" s="89"/>
      <c r="CC87" s="89"/>
      <c r="CD87" s="89"/>
      <c r="CE87" s="89"/>
      <c r="CF87" s="89"/>
      <c r="CG87" s="89"/>
      <c r="CH87" s="89"/>
      <c r="CI87" s="89"/>
      <c r="CJ87" s="89"/>
      <c r="CK87" s="89"/>
      <c r="CL87" s="89"/>
      <c r="CM87" s="89"/>
      <c r="CN87" s="89"/>
      <c r="CO87" s="89"/>
      <c r="CP87" s="89"/>
      <c r="CQ87" s="89"/>
      <c r="CR87" s="89"/>
      <c r="CS87" s="89"/>
      <c r="CT87" s="89"/>
      <c r="CU87" s="89"/>
      <c r="CV87" s="89"/>
      <c r="CW87" s="89"/>
      <c r="CX87" s="89"/>
      <c r="CY87" s="89"/>
      <c r="CZ87" s="89"/>
      <c r="DA87" s="89"/>
      <c r="DB87" s="89"/>
    </row>
    <row r="88" spans="1:106" x14ac:dyDescent="0.2">
      <c r="A88" s="89"/>
      <c r="B88" s="89"/>
      <c r="C88" s="89"/>
      <c r="D88" s="89"/>
      <c r="E88" s="89"/>
      <c r="F88" s="89"/>
      <c r="G88" s="89"/>
      <c r="H88" s="89"/>
      <c r="I88" s="89"/>
      <c r="J88" s="89"/>
      <c r="K88" s="89"/>
      <c r="L88" s="89"/>
      <c r="M88" s="89"/>
      <c r="N88" s="89"/>
      <c r="O88" s="89"/>
      <c r="P88" s="89"/>
      <c r="Q88" s="89"/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89"/>
      <c r="AC88" s="89"/>
      <c r="AD88" s="89"/>
      <c r="AE88" s="89"/>
      <c r="AF88" s="89"/>
      <c r="AG88" s="89"/>
      <c r="AH88" s="89"/>
      <c r="AI88" s="89"/>
      <c r="AJ88" s="89"/>
      <c r="AK88" s="89"/>
      <c r="AL88" s="89"/>
      <c r="AM88" s="89"/>
      <c r="AN88" s="89"/>
      <c r="AO88" s="89"/>
      <c r="AP88" s="89"/>
      <c r="AQ88" s="89"/>
      <c r="AR88" s="89"/>
      <c r="AS88" s="89"/>
      <c r="AT88" s="89"/>
      <c r="AU88" s="89"/>
      <c r="AV88" s="89"/>
      <c r="AW88" s="89"/>
      <c r="AX88" s="89"/>
      <c r="AY88" s="89"/>
      <c r="AZ88" s="89"/>
      <c r="BA88" s="89"/>
      <c r="BB88" s="89"/>
      <c r="BC88" s="89"/>
      <c r="BD88" s="89"/>
      <c r="BE88" s="89"/>
      <c r="BF88" s="89"/>
      <c r="BG88" s="89"/>
      <c r="BH88" s="89"/>
      <c r="BI88" s="89"/>
      <c r="BJ88" s="89"/>
      <c r="BK88" s="89"/>
      <c r="BL88" s="89"/>
      <c r="BM88" s="89"/>
      <c r="BN88" s="89"/>
      <c r="BO88" s="89"/>
      <c r="BP88" s="89"/>
      <c r="BQ88" s="89"/>
      <c r="BR88" s="89"/>
      <c r="BS88" s="89"/>
      <c r="BT88" s="89"/>
      <c r="BU88" s="89"/>
      <c r="BV88" s="89"/>
      <c r="BW88" s="89"/>
      <c r="BX88" s="89"/>
      <c r="BY88" s="89"/>
      <c r="BZ88" s="89"/>
      <c r="CA88" s="89"/>
      <c r="CB88" s="89"/>
      <c r="CC88" s="89"/>
      <c r="CD88" s="89"/>
      <c r="CE88" s="89"/>
      <c r="CF88" s="89"/>
      <c r="CG88" s="89"/>
      <c r="CH88" s="89"/>
      <c r="CI88" s="89"/>
      <c r="CJ88" s="89"/>
      <c r="CK88" s="89"/>
      <c r="CL88" s="89"/>
      <c r="CM88" s="89"/>
      <c r="CN88" s="89"/>
      <c r="CO88" s="89"/>
      <c r="CP88" s="89"/>
      <c r="CQ88" s="89"/>
      <c r="CR88" s="89"/>
      <c r="CS88" s="89"/>
      <c r="CT88" s="89"/>
      <c r="CU88" s="89"/>
      <c r="CV88" s="89"/>
      <c r="CW88" s="89"/>
      <c r="CX88" s="89"/>
      <c r="CY88" s="89"/>
      <c r="CZ88" s="89"/>
      <c r="DA88" s="89"/>
      <c r="DB88" s="89"/>
    </row>
    <row r="89" spans="1:106" x14ac:dyDescent="0.2">
      <c r="A89" s="89"/>
      <c r="B89" s="89"/>
      <c r="C89" s="89"/>
      <c r="D89" s="89"/>
      <c r="E89" s="89"/>
      <c r="F89" s="89"/>
      <c r="G89" s="89"/>
      <c r="H89" s="89"/>
      <c r="I89" s="89"/>
      <c r="J89" s="89"/>
      <c r="K89" s="89"/>
      <c r="L89" s="89"/>
      <c r="M89" s="89"/>
      <c r="N89" s="89"/>
      <c r="O89" s="89"/>
      <c r="P89" s="89"/>
      <c r="Q89" s="89"/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89"/>
      <c r="AC89" s="89"/>
      <c r="AD89" s="89"/>
      <c r="AE89" s="89"/>
      <c r="AF89" s="89"/>
      <c r="AG89" s="89"/>
      <c r="AH89" s="89"/>
      <c r="AI89" s="89"/>
      <c r="AJ89" s="89"/>
      <c r="AK89" s="89"/>
      <c r="AL89" s="89"/>
      <c r="AM89" s="89"/>
      <c r="AN89" s="89"/>
      <c r="AO89" s="89"/>
      <c r="AP89" s="89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89"/>
      <c r="BE89" s="89"/>
      <c r="BF89" s="89"/>
      <c r="BG89" s="89"/>
      <c r="BH89" s="89"/>
      <c r="BI89" s="89"/>
      <c r="BJ89" s="89"/>
      <c r="BK89" s="89"/>
      <c r="BL89" s="89"/>
      <c r="BM89" s="89"/>
      <c r="BN89" s="89"/>
      <c r="BO89" s="89"/>
      <c r="BP89" s="89"/>
      <c r="BQ89" s="89"/>
      <c r="BR89" s="89"/>
      <c r="BS89" s="89"/>
      <c r="BT89" s="89"/>
      <c r="BU89" s="89"/>
      <c r="BV89" s="89"/>
      <c r="BW89" s="89"/>
      <c r="BX89" s="89"/>
      <c r="BY89" s="89"/>
      <c r="BZ89" s="89"/>
      <c r="CA89" s="89"/>
      <c r="CB89" s="89"/>
      <c r="CC89" s="89"/>
      <c r="CD89" s="89"/>
      <c r="CE89" s="89"/>
      <c r="CF89" s="89"/>
      <c r="CG89" s="89"/>
      <c r="CH89" s="89"/>
      <c r="CI89" s="89"/>
      <c r="CJ89" s="89"/>
      <c r="CK89" s="89"/>
      <c r="CL89" s="89"/>
      <c r="CM89" s="89"/>
      <c r="CN89" s="89"/>
      <c r="CO89" s="89"/>
      <c r="CP89" s="89"/>
      <c r="CQ89" s="89"/>
      <c r="CR89" s="89"/>
      <c r="CS89" s="89"/>
      <c r="CT89" s="89"/>
      <c r="CU89" s="89"/>
      <c r="CV89" s="89"/>
      <c r="CW89" s="89"/>
      <c r="CX89" s="89"/>
      <c r="CY89" s="89"/>
      <c r="CZ89" s="89"/>
      <c r="DA89" s="89"/>
      <c r="DB89" s="89"/>
    </row>
    <row r="90" spans="1:106" x14ac:dyDescent="0.2">
      <c r="A90" s="89"/>
      <c r="B90" s="89"/>
      <c r="C90" s="89"/>
      <c r="D90" s="89"/>
      <c r="E90" s="89"/>
      <c r="F90" s="89"/>
      <c r="G90" s="89"/>
      <c r="H90" s="89"/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E90" s="89"/>
      <c r="AF90" s="89"/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89"/>
      <c r="BE90" s="89"/>
      <c r="BF90" s="89"/>
      <c r="BG90" s="89"/>
      <c r="BH90" s="89"/>
      <c r="BI90" s="89"/>
      <c r="BJ90" s="89"/>
      <c r="BK90" s="89"/>
      <c r="BL90" s="89"/>
      <c r="BM90" s="89"/>
      <c r="BN90" s="89"/>
      <c r="BO90" s="89"/>
      <c r="BP90" s="89"/>
      <c r="BQ90" s="89"/>
      <c r="BR90" s="89"/>
      <c r="BS90" s="89"/>
      <c r="BT90" s="89"/>
      <c r="BU90" s="89"/>
      <c r="BV90" s="89"/>
      <c r="BW90" s="89"/>
      <c r="BX90" s="89"/>
      <c r="BY90" s="89"/>
      <c r="BZ90" s="89"/>
      <c r="CA90" s="89"/>
      <c r="CB90" s="89"/>
      <c r="CC90" s="89"/>
      <c r="CD90" s="89"/>
      <c r="CE90" s="89"/>
      <c r="CF90" s="89"/>
      <c r="CG90" s="89"/>
      <c r="CH90" s="89"/>
      <c r="CI90" s="89"/>
      <c r="CJ90" s="89"/>
      <c r="CK90" s="89"/>
      <c r="CL90" s="89"/>
      <c r="CM90" s="89"/>
      <c r="CN90" s="89"/>
      <c r="CO90" s="89"/>
      <c r="CP90" s="89"/>
      <c r="CQ90" s="89"/>
      <c r="CR90" s="89"/>
      <c r="CS90" s="89"/>
      <c r="CT90" s="89"/>
      <c r="CU90" s="89"/>
      <c r="CV90" s="89"/>
      <c r="CW90" s="89"/>
      <c r="CX90" s="89"/>
      <c r="CY90" s="89"/>
      <c r="CZ90" s="89"/>
      <c r="DA90" s="89"/>
      <c r="DB90" s="89"/>
    </row>
    <row r="91" spans="1:106" x14ac:dyDescent="0.2">
      <c r="A91" s="89"/>
      <c r="B91" s="89"/>
      <c r="C91" s="89"/>
      <c r="D91" s="89"/>
      <c r="E91" s="89"/>
      <c r="F91" s="89"/>
      <c r="G91" s="89"/>
      <c r="H91" s="89"/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89"/>
      <c r="AC91" s="89"/>
      <c r="AD91" s="89"/>
      <c r="AE91" s="89"/>
      <c r="AF91" s="89"/>
      <c r="AG91" s="89"/>
      <c r="AH91" s="89"/>
      <c r="AI91" s="89"/>
      <c r="AJ91" s="89"/>
      <c r="AK91" s="89"/>
      <c r="AL91" s="89"/>
      <c r="AM91" s="89"/>
      <c r="AN91" s="89"/>
      <c r="AO91" s="89"/>
      <c r="AP91" s="89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89"/>
      <c r="BE91" s="89"/>
      <c r="BF91" s="89"/>
      <c r="BG91" s="89"/>
      <c r="BH91" s="89"/>
      <c r="BI91" s="89"/>
      <c r="BJ91" s="89"/>
      <c r="BK91" s="89"/>
      <c r="BL91" s="89"/>
      <c r="BM91" s="89"/>
      <c r="BN91" s="89"/>
      <c r="BO91" s="89"/>
      <c r="BP91" s="89"/>
      <c r="BQ91" s="89"/>
      <c r="BR91" s="89"/>
      <c r="BS91" s="89"/>
      <c r="BT91" s="89"/>
      <c r="BU91" s="89"/>
      <c r="BV91" s="89"/>
      <c r="BW91" s="89"/>
      <c r="BX91" s="89"/>
      <c r="BY91" s="89"/>
      <c r="BZ91" s="89"/>
      <c r="CA91" s="89"/>
      <c r="CB91" s="89"/>
      <c r="CC91" s="89"/>
      <c r="CD91" s="89"/>
      <c r="CE91" s="89"/>
      <c r="CF91" s="89"/>
      <c r="CG91" s="89"/>
      <c r="CH91" s="89"/>
      <c r="CI91" s="89"/>
      <c r="CJ91" s="89"/>
      <c r="CK91" s="89"/>
      <c r="CL91" s="89"/>
      <c r="CM91" s="89"/>
      <c r="CN91" s="89"/>
      <c r="CO91" s="89"/>
      <c r="CP91" s="89"/>
      <c r="CQ91" s="89"/>
      <c r="CR91" s="89"/>
      <c r="CS91" s="89"/>
      <c r="CT91" s="89"/>
      <c r="CU91" s="89"/>
      <c r="CV91" s="89"/>
      <c r="CW91" s="89"/>
      <c r="CX91" s="89"/>
      <c r="CY91" s="89"/>
      <c r="CZ91" s="89"/>
      <c r="DA91" s="89"/>
      <c r="DB91" s="89"/>
    </row>
    <row r="92" spans="1:106" x14ac:dyDescent="0.2">
      <c r="A92" s="89"/>
      <c r="B92" s="89"/>
      <c r="C92" s="89"/>
      <c r="D92" s="89"/>
      <c r="E92" s="89"/>
      <c r="F92" s="89"/>
      <c r="G92" s="89"/>
      <c r="H92" s="89"/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T92" s="89"/>
      <c r="AU92" s="89"/>
      <c r="AV92" s="89"/>
      <c r="AW92" s="89"/>
      <c r="AX92" s="89"/>
      <c r="AY92" s="89"/>
      <c r="AZ92" s="89"/>
      <c r="BA92" s="89"/>
      <c r="BB92" s="89"/>
      <c r="BC92" s="89"/>
      <c r="BD92" s="89"/>
      <c r="BE92" s="89"/>
      <c r="BF92" s="89"/>
      <c r="BG92" s="89"/>
      <c r="BH92" s="89"/>
      <c r="BI92" s="89"/>
      <c r="BJ92" s="89"/>
      <c r="BK92" s="89"/>
      <c r="BL92" s="89"/>
      <c r="BM92" s="89"/>
      <c r="BN92" s="89"/>
      <c r="BO92" s="89"/>
      <c r="BP92" s="89"/>
      <c r="BQ92" s="89"/>
      <c r="BR92" s="89"/>
      <c r="BS92" s="89"/>
      <c r="BT92" s="89"/>
      <c r="BU92" s="89"/>
      <c r="BV92" s="89"/>
      <c r="BW92" s="89"/>
      <c r="BX92" s="89"/>
      <c r="BY92" s="89"/>
      <c r="BZ92" s="89"/>
      <c r="CA92" s="89"/>
      <c r="CB92" s="89"/>
      <c r="CC92" s="89"/>
      <c r="CD92" s="89"/>
      <c r="CE92" s="89"/>
      <c r="CF92" s="89"/>
      <c r="CG92" s="89"/>
      <c r="CH92" s="89"/>
      <c r="CI92" s="89"/>
      <c r="CJ92" s="89"/>
      <c r="CK92" s="89"/>
      <c r="CL92" s="89"/>
      <c r="CM92" s="89"/>
      <c r="CN92" s="89"/>
      <c r="CO92" s="89"/>
      <c r="CP92" s="89"/>
      <c r="CQ92" s="89"/>
      <c r="CR92" s="89"/>
      <c r="CS92" s="89"/>
      <c r="CT92" s="89"/>
      <c r="CU92" s="89"/>
      <c r="CV92" s="89"/>
      <c r="CW92" s="89"/>
      <c r="CX92" s="89"/>
      <c r="CY92" s="89"/>
      <c r="CZ92" s="89"/>
      <c r="DA92" s="89"/>
      <c r="DB92" s="89"/>
    </row>
    <row r="93" spans="1:106" x14ac:dyDescent="0.2">
      <c r="A93" s="89"/>
      <c r="B93" s="89"/>
      <c r="C93" s="89"/>
      <c r="D93" s="89"/>
      <c r="E93" s="89"/>
      <c r="F93" s="89"/>
      <c r="G93" s="89"/>
      <c r="H93" s="89"/>
      <c r="I93" s="89"/>
      <c r="J93" s="89"/>
      <c r="K93" s="89"/>
      <c r="L93" s="89"/>
      <c r="M93" s="89"/>
      <c r="N93" s="89"/>
      <c r="O93" s="89"/>
      <c r="P93" s="89"/>
      <c r="Q93" s="89"/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E93" s="89"/>
      <c r="AF93" s="89"/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  <c r="AT93" s="89"/>
      <c r="AU93" s="89"/>
      <c r="AV93" s="89"/>
      <c r="AW93" s="89"/>
      <c r="AX93" s="89"/>
      <c r="AY93" s="89"/>
      <c r="AZ93" s="89"/>
      <c r="BA93" s="89"/>
      <c r="BB93" s="89"/>
      <c r="BC93" s="89"/>
      <c r="BD93" s="89"/>
      <c r="BE93" s="89"/>
      <c r="BF93" s="89"/>
      <c r="BG93" s="89"/>
      <c r="BH93" s="89"/>
      <c r="BI93" s="89"/>
      <c r="BJ93" s="89"/>
      <c r="BK93" s="89"/>
      <c r="BL93" s="89"/>
      <c r="BM93" s="89"/>
      <c r="BN93" s="89"/>
      <c r="BO93" s="89"/>
      <c r="BP93" s="89"/>
      <c r="BQ93" s="89"/>
      <c r="BR93" s="89"/>
      <c r="BS93" s="89"/>
      <c r="BT93" s="89"/>
      <c r="BU93" s="89"/>
      <c r="BV93" s="89"/>
      <c r="BW93" s="89"/>
      <c r="BX93" s="89"/>
      <c r="BY93" s="89"/>
      <c r="BZ93" s="89"/>
      <c r="CA93" s="89"/>
      <c r="CB93" s="89"/>
      <c r="CC93" s="89"/>
      <c r="CD93" s="89"/>
      <c r="CE93" s="89"/>
      <c r="CF93" s="89"/>
      <c r="CG93" s="89"/>
      <c r="CH93" s="89"/>
      <c r="CI93" s="89"/>
      <c r="CJ93" s="89"/>
      <c r="CK93" s="89"/>
      <c r="CL93" s="89"/>
      <c r="CM93" s="89"/>
      <c r="CN93" s="89"/>
      <c r="CO93" s="89"/>
      <c r="CP93" s="89"/>
      <c r="CQ93" s="89"/>
      <c r="CR93" s="89"/>
      <c r="CS93" s="89"/>
      <c r="CT93" s="89"/>
      <c r="CU93" s="89"/>
      <c r="CV93" s="89"/>
      <c r="CW93" s="89"/>
      <c r="CX93" s="89"/>
      <c r="CY93" s="89"/>
      <c r="CZ93" s="89"/>
      <c r="DA93" s="89"/>
      <c r="DB93" s="89"/>
    </row>
    <row r="94" spans="1:106" x14ac:dyDescent="0.2">
      <c r="A94" s="89"/>
      <c r="B94" s="89"/>
      <c r="C94" s="89"/>
      <c r="D94" s="89"/>
      <c r="E94" s="89"/>
      <c r="F94" s="89"/>
      <c r="G94" s="89"/>
      <c r="H94" s="89"/>
      <c r="I94" s="89"/>
      <c r="J94" s="89"/>
      <c r="K94" s="89"/>
      <c r="L94" s="89"/>
      <c r="M94" s="89"/>
      <c r="N94" s="89"/>
      <c r="O94" s="89"/>
      <c r="P94" s="89"/>
      <c r="Q94" s="89"/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89"/>
      <c r="AC94" s="89"/>
      <c r="AD94" s="89"/>
      <c r="AE94" s="89"/>
      <c r="AF94" s="89"/>
      <c r="AG94" s="89"/>
      <c r="AH94" s="89"/>
      <c r="AI94" s="89"/>
      <c r="AJ94" s="89"/>
      <c r="AK94" s="89"/>
      <c r="AL94" s="89"/>
      <c r="AM94" s="89"/>
      <c r="AN94" s="89"/>
      <c r="AO94" s="89"/>
      <c r="AP94" s="89"/>
      <c r="AQ94" s="89"/>
      <c r="AR94" s="89"/>
      <c r="AS94" s="89"/>
      <c r="AT94" s="89"/>
      <c r="AU94" s="89"/>
      <c r="AV94" s="89"/>
      <c r="AW94" s="89"/>
      <c r="AX94" s="89"/>
      <c r="AY94" s="89"/>
      <c r="AZ94" s="89"/>
      <c r="BA94" s="89"/>
      <c r="BB94" s="89"/>
      <c r="BC94" s="89"/>
      <c r="BD94" s="89"/>
      <c r="BE94" s="89"/>
      <c r="BF94" s="89"/>
      <c r="BG94" s="89"/>
      <c r="BH94" s="89"/>
      <c r="BI94" s="89"/>
      <c r="BJ94" s="89"/>
      <c r="BK94" s="89"/>
      <c r="BL94" s="89"/>
      <c r="BM94" s="89"/>
      <c r="BN94" s="89"/>
      <c r="BO94" s="89"/>
      <c r="BP94" s="89"/>
      <c r="BQ94" s="89"/>
      <c r="BR94" s="89"/>
      <c r="BS94" s="89"/>
      <c r="BT94" s="89"/>
      <c r="BU94" s="89"/>
      <c r="BV94" s="89"/>
      <c r="BW94" s="89"/>
      <c r="BX94" s="89"/>
      <c r="BY94" s="89"/>
      <c r="BZ94" s="89"/>
      <c r="CA94" s="89"/>
      <c r="CB94" s="89"/>
      <c r="CC94" s="89"/>
      <c r="CD94" s="89"/>
      <c r="CE94" s="89"/>
      <c r="CF94" s="89"/>
      <c r="CG94" s="89"/>
      <c r="CH94" s="89"/>
      <c r="CI94" s="89"/>
      <c r="CJ94" s="89"/>
      <c r="CK94" s="89"/>
      <c r="CL94" s="89"/>
      <c r="CM94" s="89"/>
      <c r="CN94" s="89"/>
      <c r="CO94" s="89"/>
      <c r="CP94" s="89"/>
      <c r="CQ94" s="89"/>
      <c r="CR94" s="89"/>
      <c r="CS94" s="89"/>
      <c r="CT94" s="89"/>
      <c r="CU94" s="89"/>
      <c r="CV94" s="89"/>
      <c r="CW94" s="89"/>
      <c r="CX94" s="89"/>
      <c r="CY94" s="89"/>
      <c r="CZ94" s="89"/>
      <c r="DA94" s="89"/>
      <c r="DB94" s="89"/>
    </row>
    <row r="95" spans="1:106" x14ac:dyDescent="0.2">
      <c r="A95" s="89"/>
      <c r="B95" s="89"/>
      <c r="C95" s="89"/>
      <c r="D95" s="89"/>
      <c r="E95" s="89"/>
      <c r="F95" s="89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89"/>
      <c r="AI95" s="89"/>
      <c r="AJ95" s="89"/>
      <c r="AK95" s="89"/>
      <c r="AL95" s="89"/>
      <c r="AM95" s="89"/>
      <c r="AN95" s="89"/>
      <c r="AO95" s="89"/>
      <c r="AP95" s="89"/>
      <c r="AQ95" s="89"/>
      <c r="AR95" s="89"/>
      <c r="AS95" s="89"/>
      <c r="AT95" s="89"/>
      <c r="AU95" s="89"/>
      <c r="AV95" s="89"/>
      <c r="AW95" s="89"/>
      <c r="AX95" s="89"/>
      <c r="AY95" s="89"/>
      <c r="AZ95" s="89"/>
      <c r="BA95" s="89"/>
      <c r="BB95" s="89"/>
      <c r="BC95" s="89"/>
      <c r="BD95" s="89"/>
      <c r="BE95" s="89"/>
      <c r="BF95" s="89"/>
      <c r="BG95" s="89"/>
      <c r="BH95" s="89"/>
      <c r="BI95" s="89"/>
      <c r="BJ95" s="89"/>
      <c r="BK95" s="89"/>
      <c r="BL95" s="89"/>
      <c r="BM95" s="89"/>
      <c r="BN95" s="89"/>
      <c r="BO95" s="89"/>
      <c r="BP95" s="89"/>
      <c r="BQ95" s="89"/>
      <c r="BR95" s="89"/>
      <c r="BS95" s="89"/>
      <c r="BT95" s="89"/>
      <c r="BU95" s="89"/>
      <c r="BV95" s="89"/>
      <c r="BW95" s="89"/>
      <c r="BX95" s="89"/>
      <c r="BY95" s="89"/>
      <c r="BZ95" s="89"/>
      <c r="CA95" s="89"/>
      <c r="CB95" s="89"/>
      <c r="CC95" s="89"/>
      <c r="CD95" s="89"/>
      <c r="CE95" s="89"/>
      <c r="CF95" s="89"/>
      <c r="CG95" s="89"/>
      <c r="CH95" s="89"/>
      <c r="CI95" s="89"/>
      <c r="CJ95" s="89"/>
      <c r="CK95" s="89"/>
      <c r="CL95" s="89"/>
      <c r="CM95" s="89"/>
      <c r="CN95" s="89"/>
      <c r="CO95" s="89"/>
      <c r="CP95" s="89"/>
      <c r="CQ95" s="89"/>
      <c r="CR95" s="89"/>
      <c r="CS95" s="89"/>
      <c r="CT95" s="89"/>
      <c r="CU95" s="89"/>
      <c r="CV95" s="89"/>
      <c r="CW95" s="89"/>
      <c r="CX95" s="89"/>
      <c r="CY95" s="89"/>
      <c r="CZ95" s="89"/>
      <c r="DA95" s="89"/>
      <c r="DB95" s="89"/>
    </row>
    <row r="96" spans="1:106" x14ac:dyDescent="0.2">
      <c r="A96" s="89"/>
      <c r="B96" s="89"/>
      <c r="C96" s="89"/>
      <c r="D96" s="89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89"/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89"/>
      <c r="AC96" s="89"/>
      <c r="AD96" s="89"/>
      <c r="AE96" s="89"/>
      <c r="AF96" s="89"/>
      <c r="AG96" s="89"/>
      <c r="AH96" s="89"/>
      <c r="AI96" s="89"/>
      <c r="AJ96" s="89"/>
      <c r="AK96" s="89"/>
      <c r="AL96" s="89"/>
      <c r="AM96" s="89"/>
      <c r="AN96" s="89"/>
      <c r="AO96" s="89"/>
      <c r="AP96" s="89"/>
      <c r="AQ96" s="89"/>
      <c r="AR96" s="89"/>
      <c r="AS96" s="89"/>
      <c r="AT96" s="89"/>
      <c r="AU96" s="89"/>
      <c r="AV96" s="89"/>
      <c r="AW96" s="89"/>
      <c r="AX96" s="89"/>
      <c r="AY96" s="89"/>
      <c r="AZ96" s="89"/>
      <c r="BA96" s="89"/>
      <c r="BB96" s="89"/>
      <c r="BC96" s="89"/>
      <c r="BD96" s="89"/>
      <c r="BE96" s="89"/>
      <c r="BF96" s="89"/>
      <c r="BG96" s="89"/>
      <c r="BH96" s="89"/>
      <c r="BI96" s="89"/>
      <c r="BJ96" s="89"/>
      <c r="BK96" s="89"/>
      <c r="BL96" s="89"/>
      <c r="BM96" s="89"/>
      <c r="BN96" s="89"/>
      <c r="BO96" s="89"/>
      <c r="BP96" s="89"/>
      <c r="BQ96" s="89"/>
      <c r="BR96" s="89"/>
      <c r="BS96" s="89"/>
      <c r="BT96" s="89"/>
      <c r="BU96" s="89"/>
      <c r="BV96" s="89"/>
      <c r="BW96" s="89"/>
      <c r="BX96" s="89"/>
      <c r="BY96" s="89"/>
      <c r="BZ96" s="89"/>
      <c r="CA96" s="89"/>
      <c r="CB96" s="89"/>
      <c r="CC96" s="89"/>
      <c r="CD96" s="89"/>
      <c r="CE96" s="89"/>
      <c r="CF96" s="89"/>
      <c r="CG96" s="89"/>
      <c r="CH96" s="89"/>
      <c r="CI96" s="89"/>
      <c r="CJ96" s="89"/>
      <c r="CK96" s="89"/>
      <c r="CL96" s="89"/>
      <c r="CM96" s="89"/>
      <c r="CN96" s="89"/>
      <c r="CO96" s="89"/>
      <c r="CP96" s="89"/>
      <c r="CQ96" s="89"/>
      <c r="CR96" s="89"/>
      <c r="CS96" s="89"/>
      <c r="CT96" s="89"/>
      <c r="CU96" s="89"/>
      <c r="CV96" s="89"/>
      <c r="CW96" s="89"/>
      <c r="CX96" s="89"/>
      <c r="CY96" s="89"/>
      <c r="CZ96" s="89"/>
      <c r="DA96" s="89"/>
      <c r="DB96" s="89"/>
    </row>
    <row r="97" spans="1:106" x14ac:dyDescent="0.2">
      <c r="A97" s="89"/>
      <c r="B97" s="89"/>
      <c r="C97" s="89"/>
      <c r="D97" s="89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  <c r="AT97" s="89"/>
      <c r="AU97" s="89"/>
      <c r="AV97" s="89"/>
      <c r="AW97" s="89"/>
      <c r="AX97" s="89"/>
      <c r="AY97" s="89"/>
      <c r="AZ97" s="89"/>
      <c r="BA97" s="89"/>
      <c r="BB97" s="89"/>
      <c r="BC97" s="89"/>
      <c r="BD97" s="89"/>
      <c r="BE97" s="89"/>
      <c r="BF97" s="89"/>
      <c r="BG97" s="89"/>
      <c r="BH97" s="89"/>
      <c r="BI97" s="89"/>
      <c r="BJ97" s="89"/>
      <c r="BK97" s="89"/>
      <c r="BL97" s="89"/>
      <c r="BM97" s="89"/>
      <c r="BN97" s="89"/>
      <c r="BO97" s="89"/>
      <c r="BP97" s="89"/>
      <c r="BQ97" s="89"/>
      <c r="BR97" s="89"/>
      <c r="BS97" s="89"/>
      <c r="BT97" s="89"/>
      <c r="BU97" s="89"/>
      <c r="BV97" s="89"/>
      <c r="BW97" s="89"/>
      <c r="BX97" s="89"/>
      <c r="BY97" s="89"/>
      <c r="BZ97" s="89"/>
      <c r="CA97" s="89"/>
      <c r="CB97" s="89"/>
      <c r="CC97" s="89"/>
      <c r="CD97" s="89"/>
      <c r="CE97" s="89"/>
      <c r="CF97" s="89"/>
      <c r="CG97" s="89"/>
      <c r="CH97" s="89"/>
      <c r="CI97" s="89"/>
      <c r="CJ97" s="89"/>
      <c r="CK97" s="89"/>
      <c r="CL97" s="89"/>
      <c r="CM97" s="89"/>
      <c r="CN97" s="89"/>
      <c r="CO97" s="89"/>
      <c r="CP97" s="89"/>
      <c r="CQ97" s="89"/>
      <c r="CR97" s="89"/>
      <c r="CS97" s="89"/>
      <c r="CT97" s="89"/>
      <c r="CU97" s="89"/>
      <c r="CV97" s="89"/>
      <c r="CW97" s="89"/>
      <c r="CX97" s="89"/>
      <c r="CY97" s="89"/>
      <c r="CZ97" s="89"/>
      <c r="DA97" s="89"/>
      <c r="DB97" s="89"/>
    </row>
    <row r="98" spans="1:106" x14ac:dyDescent="0.2">
      <c r="A98" s="89"/>
      <c r="B98" s="89"/>
      <c r="C98" s="89"/>
      <c r="D98" s="89"/>
      <c r="E98" s="89"/>
      <c r="F98" s="89"/>
      <c r="G98" s="89"/>
      <c r="H98" s="89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9"/>
      <c r="AI98" s="89"/>
      <c r="AJ98" s="89"/>
      <c r="AK98" s="89"/>
      <c r="AL98" s="89"/>
      <c r="AM98" s="89"/>
      <c r="AN98" s="89"/>
      <c r="AO98" s="89"/>
      <c r="AP98" s="89"/>
      <c r="AQ98" s="89"/>
      <c r="AR98" s="89"/>
      <c r="AS98" s="89"/>
      <c r="AT98" s="89"/>
      <c r="AU98" s="89"/>
      <c r="AV98" s="89"/>
      <c r="AW98" s="89"/>
      <c r="AX98" s="89"/>
      <c r="AY98" s="89"/>
      <c r="AZ98" s="89"/>
      <c r="BA98" s="89"/>
      <c r="BB98" s="89"/>
      <c r="BC98" s="89"/>
      <c r="BD98" s="89"/>
      <c r="BE98" s="89"/>
      <c r="BF98" s="89"/>
      <c r="BG98" s="89"/>
      <c r="BH98" s="89"/>
      <c r="BI98" s="89"/>
      <c r="BJ98" s="89"/>
      <c r="BK98" s="89"/>
      <c r="BL98" s="89"/>
      <c r="BM98" s="89"/>
      <c r="BN98" s="89"/>
      <c r="BO98" s="89"/>
      <c r="BP98" s="89"/>
      <c r="BQ98" s="89"/>
      <c r="BR98" s="89"/>
      <c r="BS98" s="89"/>
      <c r="BT98" s="89"/>
      <c r="BU98" s="89"/>
      <c r="BV98" s="89"/>
      <c r="BW98" s="89"/>
      <c r="BX98" s="89"/>
      <c r="BY98" s="89"/>
      <c r="BZ98" s="89"/>
      <c r="CA98" s="89"/>
      <c r="CB98" s="89"/>
      <c r="CC98" s="89"/>
      <c r="CD98" s="89"/>
      <c r="CE98" s="89"/>
      <c r="CF98" s="89"/>
      <c r="CG98" s="89"/>
      <c r="CH98" s="89"/>
      <c r="CI98" s="89"/>
      <c r="CJ98" s="89"/>
      <c r="CK98" s="89"/>
      <c r="CL98" s="89"/>
      <c r="CM98" s="89"/>
      <c r="CN98" s="89"/>
      <c r="CO98" s="89"/>
      <c r="CP98" s="89"/>
      <c r="CQ98" s="89"/>
      <c r="CR98" s="89"/>
      <c r="CS98" s="89"/>
      <c r="CT98" s="89"/>
      <c r="CU98" s="89"/>
      <c r="CV98" s="89"/>
      <c r="CW98" s="89"/>
      <c r="CX98" s="89"/>
      <c r="CY98" s="89"/>
      <c r="CZ98" s="89"/>
      <c r="DA98" s="89"/>
      <c r="DB98" s="89"/>
    </row>
    <row r="99" spans="1:106" x14ac:dyDescent="0.2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89"/>
      <c r="BJ99" s="89"/>
      <c r="BK99" s="89"/>
      <c r="BL99" s="89"/>
      <c r="BM99" s="89"/>
      <c r="BN99" s="89"/>
      <c r="BO99" s="89"/>
      <c r="BP99" s="89"/>
      <c r="BQ99" s="89"/>
      <c r="BR99" s="89"/>
      <c r="BS99" s="89"/>
      <c r="BT99" s="89"/>
      <c r="BU99" s="89"/>
      <c r="BV99" s="89"/>
      <c r="BW99" s="89"/>
      <c r="BX99" s="89"/>
      <c r="BY99" s="89"/>
      <c r="BZ99" s="89"/>
      <c r="CA99" s="89"/>
      <c r="CB99" s="89"/>
      <c r="CC99" s="89"/>
      <c r="CD99" s="89"/>
      <c r="CE99" s="89"/>
      <c r="CF99" s="89"/>
      <c r="CG99" s="89"/>
      <c r="CH99" s="89"/>
      <c r="CI99" s="89"/>
      <c r="CJ99" s="89"/>
      <c r="CK99" s="89"/>
      <c r="CL99" s="89"/>
      <c r="CM99" s="89"/>
      <c r="CN99" s="89"/>
      <c r="CO99" s="89"/>
      <c r="CP99" s="89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</row>
    <row r="100" spans="1:106" x14ac:dyDescent="0.2">
      <c r="A100" s="89"/>
      <c r="B100" s="89"/>
      <c r="C100" s="89"/>
      <c r="D100" s="89"/>
      <c r="E100" s="89"/>
      <c r="F100" s="89"/>
      <c r="G100" s="89"/>
      <c r="H100" s="89"/>
      <c r="I100" s="89"/>
      <c r="J100" s="89"/>
      <c r="K100" s="89"/>
      <c r="L100" s="89"/>
      <c r="M100" s="89"/>
      <c r="N100" s="89"/>
      <c r="O100" s="89"/>
      <c r="P100" s="89"/>
      <c r="Q100" s="89"/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89"/>
      <c r="AC100" s="89"/>
      <c r="AD100" s="89"/>
      <c r="AE100" s="89"/>
      <c r="AF100" s="89"/>
      <c r="AG100" s="89"/>
      <c r="AH100" s="89"/>
      <c r="AI100" s="89"/>
      <c r="AJ100" s="89"/>
      <c r="AK100" s="89"/>
      <c r="AL100" s="89"/>
      <c r="AM100" s="89"/>
      <c r="AN100" s="89"/>
      <c r="AO100" s="89"/>
      <c r="AP100" s="89"/>
      <c r="AQ100" s="89"/>
      <c r="AR100" s="89"/>
      <c r="AS100" s="89"/>
      <c r="AT100" s="89"/>
      <c r="AU100" s="89"/>
      <c r="AV100" s="89"/>
      <c r="AW100" s="89"/>
      <c r="AX100" s="89"/>
      <c r="AY100" s="89"/>
      <c r="AZ100" s="89"/>
      <c r="BA100" s="89"/>
      <c r="BB100" s="89"/>
      <c r="BC100" s="89"/>
      <c r="BD100" s="89"/>
      <c r="BE100" s="89"/>
      <c r="BF100" s="89"/>
      <c r="BG100" s="89"/>
      <c r="BH100" s="89"/>
      <c r="BI100" s="89"/>
      <c r="BJ100" s="89"/>
      <c r="BK100" s="89"/>
      <c r="BL100" s="89"/>
      <c r="BM100" s="89"/>
      <c r="BN100" s="89"/>
      <c r="BO100" s="89"/>
      <c r="BP100" s="89"/>
      <c r="BQ100" s="89"/>
      <c r="BR100" s="89"/>
      <c r="BS100" s="89"/>
      <c r="BT100" s="89"/>
      <c r="BU100" s="89"/>
      <c r="BV100" s="89"/>
      <c r="BW100" s="89"/>
      <c r="BX100" s="89"/>
      <c r="BY100" s="89"/>
      <c r="BZ100" s="89"/>
      <c r="CA100" s="89"/>
      <c r="CB100" s="89"/>
      <c r="CC100" s="89"/>
      <c r="CD100" s="89"/>
      <c r="CE100" s="89"/>
      <c r="CF100" s="89"/>
      <c r="CG100" s="89"/>
      <c r="CH100" s="89"/>
      <c r="CI100" s="89"/>
      <c r="CJ100" s="89"/>
      <c r="CK100" s="89"/>
      <c r="CL100" s="89"/>
      <c r="CM100" s="89"/>
      <c r="CN100" s="89"/>
      <c r="CO100" s="89"/>
      <c r="CP100" s="89"/>
      <c r="CQ100" s="89"/>
      <c r="CR100" s="89"/>
      <c r="CS100" s="89"/>
      <c r="CT100" s="89"/>
      <c r="CU100" s="89"/>
      <c r="CV100" s="89"/>
      <c r="CW100" s="89"/>
      <c r="CX100" s="89"/>
      <c r="CY100" s="89"/>
      <c r="CZ100" s="89"/>
      <c r="DA100" s="89"/>
      <c r="DB100" s="89"/>
    </row>
    <row r="101" spans="1:106" x14ac:dyDescent="0.2">
      <c r="A101" s="89"/>
      <c r="B101" s="89"/>
      <c r="C101" s="89"/>
      <c r="D101" s="89"/>
      <c r="E101" s="89"/>
      <c r="F101" s="89"/>
      <c r="G101" s="89"/>
      <c r="H101" s="89"/>
      <c r="I101" s="89"/>
      <c r="J101" s="89"/>
      <c r="K101" s="89"/>
      <c r="L101" s="89"/>
      <c r="M101" s="89"/>
      <c r="N101" s="89"/>
      <c r="O101" s="89"/>
      <c r="P101" s="89"/>
      <c r="Q101" s="89"/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89"/>
      <c r="AC101" s="89"/>
      <c r="AD101" s="89"/>
      <c r="AE101" s="89"/>
      <c r="AF101" s="89"/>
      <c r="AG101" s="89"/>
      <c r="AH101" s="89"/>
      <c r="AI101" s="89"/>
      <c r="AJ101" s="89"/>
      <c r="AK101" s="89"/>
      <c r="AL101" s="89"/>
      <c r="AM101" s="89"/>
      <c r="AN101" s="89"/>
      <c r="AO101" s="89"/>
      <c r="AP101" s="89"/>
      <c r="AQ101" s="89"/>
      <c r="AR101" s="89"/>
      <c r="AS101" s="89"/>
      <c r="AT101" s="89"/>
      <c r="AU101" s="89"/>
      <c r="AV101" s="89"/>
      <c r="AW101" s="89"/>
      <c r="AX101" s="89"/>
      <c r="AY101" s="89"/>
      <c r="AZ101" s="89"/>
      <c r="BA101" s="89"/>
      <c r="BB101" s="89"/>
      <c r="BC101" s="89"/>
      <c r="BD101" s="89"/>
      <c r="BE101" s="89"/>
      <c r="BF101" s="89"/>
      <c r="BG101" s="89"/>
      <c r="BH101" s="89"/>
      <c r="BI101" s="89"/>
      <c r="BJ101" s="89"/>
      <c r="BK101" s="89"/>
      <c r="BL101" s="89"/>
      <c r="BM101" s="89"/>
      <c r="BN101" s="89"/>
      <c r="BO101" s="89"/>
      <c r="BP101" s="89"/>
      <c r="BQ101" s="89"/>
      <c r="BR101" s="89"/>
      <c r="BS101" s="89"/>
      <c r="BT101" s="89"/>
      <c r="BU101" s="89"/>
      <c r="BV101" s="89"/>
      <c r="BW101" s="89"/>
      <c r="BX101" s="89"/>
      <c r="BY101" s="89"/>
      <c r="BZ101" s="89"/>
      <c r="CA101" s="89"/>
      <c r="CB101" s="89"/>
      <c r="CC101" s="89"/>
      <c r="CD101" s="89"/>
      <c r="CE101" s="89"/>
      <c r="CF101" s="89"/>
      <c r="CG101" s="89"/>
      <c r="CH101" s="89"/>
      <c r="CI101" s="89"/>
      <c r="CJ101" s="89"/>
      <c r="CK101" s="89"/>
      <c r="CL101" s="89"/>
      <c r="CM101" s="89"/>
      <c r="CN101" s="89"/>
      <c r="CO101" s="89"/>
      <c r="CP101" s="89"/>
      <c r="CQ101" s="89"/>
      <c r="CR101" s="89"/>
      <c r="CS101" s="89"/>
      <c r="CT101" s="89"/>
      <c r="CU101" s="89"/>
      <c r="CV101" s="89"/>
      <c r="CW101" s="89"/>
      <c r="CX101" s="89"/>
      <c r="CY101" s="89"/>
      <c r="CZ101" s="89"/>
      <c r="DA101" s="89"/>
      <c r="DB101" s="89"/>
    </row>
    <row r="102" spans="1:106" x14ac:dyDescent="0.2">
      <c r="A102" s="89"/>
      <c r="B102" s="89"/>
      <c r="C102" s="89"/>
      <c r="D102" s="89"/>
      <c r="E102" s="89"/>
      <c r="F102" s="89"/>
      <c r="G102" s="89"/>
      <c r="H102" s="89"/>
      <c r="I102" s="89"/>
      <c r="J102" s="89"/>
      <c r="K102" s="89"/>
      <c r="L102" s="89"/>
      <c r="M102" s="89"/>
      <c r="N102" s="89"/>
      <c r="O102" s="89"/>
      <c r="P102" s="89"/>
      <c r="Q102" s="89"/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89"/>
      <c r="AC102" s="89"/>
      <c r="AD102" s="89"/>
      <c r="AE102" s="89"/>
      <c r="AF102" s="89"/>
      <c r="AG102" s="89"/>
      <c r="AH102" s="89"/>
      <c r="AI102" s="89"/>
      <c r="AJ102" s="89"/>
      <c r="AK102" s="89"/>
      <c r="AL102" s="89"/>
      <c r="AM102" s="89"/>
      <c r="AN102" s="89"/>
      <c r="AO102" s="89"/>
      <c r="AP102" s="89"/>
      <c r="AQ102" s="89"/>
      <c r="AR102" s="89"/>
      <c r="AS102" s="89"/>
      <c r="AT102" s="89"/>
      <c r="AU102" s="89"/>
      <c r="AV102" s="89"/>
      <c r="AW102" s="89"/>
      <c r="AX102" s="89"/>
      <c r="AY102" s="89"/>
      <c r="AZ102" s="89"/>
      <c r="BA102" s="89"/>
      <c r="BB102" s="89"/>
      <c r="BC102" s="89"/>
      <c r="BD102" s="89"/>
      <c r="BE102" s="89"/>
      <c r="BF102" s="89"/>
      <c r="BG102" s="89"/>
      <c r="BH102" s="89"/>
      <c r="BI102" s="89"/>
      <c r="BJ102" s="89"/>
      <c r="BK102" s="89"/>
      <c r="BL102" s="89"/>
      <c r="BM102" s="89"/>
      <c r="BN102" s="89"/>
      <c r="BO102" s="89"/>
      <c r="BP102" s="89"/>
      <c r="BQ102" s="89"/>
      <c r="BR102" s="89"/>
      <c r="BS102" s="89"/>
      <c r="BT102" s="89"/>
      <c r="BU102" s="89"/>
      <c r="BV102" s="89"/>
      <c r="BW102" s="89"/>
      <c r="BX102" s="89"/>
      <c r="BY102" s="89"/>
      <c r="BZ102" s="89"/>
      <c r="CA102" s="89"/>
      <c r="CB102" s="89"/>
      <c r="CC102" s="89"/>
      <c r="CD102" s="89"/>
      <c r="CE102" s="89"/>
      <c r="CF102" s="89"/>
      <c r="CG102" s="89"/>
      <c r="CH102" s="89"/>
      <c r="CI102" s="89"/>
      <c r="CJ102" s="89"/>
      <c r="CK102" s="89"/>
      <c r="CL102" s="89"/>
      <c r="CM102" s="89"/>
      <c r="CN102" s="89"/>
      <c r="CO102" s="89"/>
      <c r="CP102" s="89"/>
      <c r="CQ102" s="89"/>
      <c r="CR102" s="89"/>
      <c r="CS102" s="89"/>
      <c r="CT102" s="89"/>
      <c r="CU102" s="89"/>
      <c r="CV102" s="89"/>
      <c r="CW102" s="89"/>
      <c r="CX102" s="89"/>
      <c r="CY102" s="89"/>
      <c r="CZ102" s="89"/>
      <c r="DA102" s="89"/>
      <c r="DB102" s="89"/>
    </row>
    <row r="103" spans="1:106" x14ac:dyDescent="0.2">
      <c r="A103" s="89"/>
      <c r="B103" s="89"/>
      <c r="C103" s="89"/>
      <c r="D103" s="89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89"/>
      <c r="AC103" s="89"/>
      <c r="AD103" s="89"/>
      <c r="AE103" s="89"/>
      <c r="AF103" s="89"/>
      <c r="AG103" s="89"/>
      <c r="AH103" s="89"/>
      <c r="AI103" s="89"/>
      <c r="AJ103" s="89"/>
      <c r="AK103" s="89"/>
      <c r="AL103" s="89"/>
      <c r="AM103" s="89"/>
      <c r="AN103" s="89"/>
      <c r="AO103" s="89"/>
      <c r="AP103" s="89"/>
      <c r="AQ103" s="89"/>
      <c r="AR103" s="89"/>
      <c r="AS103" s="89"/>
      <c r="AT103" s="89"/>
      <c r="AU103" s="89"/>
      <c r="AV103" s="89"/>
      <c r="AW103" s="89"/>
      <c r="AX103" s="89"/>
      <c r="AY103" s="89"/>
      <c r="AZ103" s="89"/>
      <c r="BA103" s="89"/>
      <c r="BB103" s="89"/>
      <c r="BC103" s="89"/>
      <c r="BD103" s="89"/>
      <c r="BE103" s="89"/>
      <c r="BF103" s="89"/>
      <c r="BG103" s="89"/>
      <c r="BH103" s="89"/>
      <c r="BI103" s="89"/>
      <c r="BJ103" s="89"/>
      <c r="BK103" s="89"/>
      <c r="BL103" s="89"/>
      <c r="BM103" s="89"/>
      <c r="BN103" s="89"/>
      <c r="BO103" s="89"/>
      <c r="BP103" s="89"/>
      <c r="BQ103" s="89"/>
      <c r="BR103" s="89"/>
      <c r="BS103" s="89"/>
      <c r="BT103" s="89"/>
      <c r="BU103" s="89"/>
      <c r="BV103" s="89"/>
      <c r="BW103" s="89"/>
      <c r="BX103" s="89"/>
      <c r="BY103" s="89"/>
      <c r="BZ103" s="89"/>
      <c r="CA103" s="89"/>
      <c r="CB103" s="89"/>
      <c r="CC103" s="89"/>
      <c r="CD103" s="89"/>
      <c r="CE103" s="89"/>
      <c r="CF103" s="89"/>
      <c r="CG103" s="89"/>
      <c r="CH103" s="89"/>
      <c r="CI103" s="89"/>
      <c r="CJ103" s="89"/>
      <c r="CK103" s="89"/>
      <c r="CL103" s="89"/>
      <c r="CM103" s="89"/>
      <c r="CN103" s="89"/>
      <c r="CO103" s="89"/>
      <c r="CP103" s="89"/>
      <c r="CQ103" s="89"/>
      <c r="CR103" s="89"/>
      <c r="CS103" s="89"/>
      <c r="CT103" s="89"/>
      <c r="CU103" s="89"/>
      <c r="CV103" s="89"/>
      <c r="CW103" s="89"/>
      <c r="CX103" s="89"/>
      <c r="CY103" s="89"/>
      <c r="CZ103" s="89"/>
      <c r="DA103" s="89"/>
      <c r="DB103" s="89"/>
    </row>
    <row r="104" spans="1:106" x14ac:dyDescent="0.2">
      <c r="A104" s="89"/>
      <c r="B104" s="89"/>
      <c r="C104" s="89"/>
      <c r="D104" s="89"/>
      <c r="E104" s="89"/>
      <c r="F104" s="89"/>
      <c r="G104" s="89"/>
      <c r="H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89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N104" s="89"/>
      <c r="AO104" s="89"/>
      <c r="AP104" s="89"/>
      <c r="AQ104" s="89"/>
      <c r="AR104" s="89"/>
      <c r="AS104" s="89"/>
      <c r="AT104" s="89"/>
      <c r="AU104" s="89"/>
      <c r="AV104" s="89"/>
      <c r="AW104" s="89"/>
      <c r="AX104" s="89"/>
      <c r="AY104" s="89"/>
      <c r="AZ104" s="89"/>
      <c r="BA104" s="89"/>
      <c r="BB104" s="89"/>
      <c r="BC104" s="89"/>
      <c r="BD104" s="89"/>
      <c r="BE104" s="89"/>
      <c r="BF104" s="89"/>
      <c r="BG104" s="89"/>
      <c r="BH104" s="89"/>
      <c r="BI104" s="89"/>
      <c r="BJ104" s="89"/>
      <c r="BK104" s="89"/>
      <c r="BL104" s="89"/>
      <c r="BM104" s="89"/>
      <c r="BN104" s="89"/>
      <c r="BO104" s="89"/>
      <c r="BP104" s="89"/>
      <c r="BQ104" s="89"/>
      <c r="BR104" s="89"/>
      <c r="BS104" s="89"/>
      <c r="BT104" s="89"/>
      <c r="BU104" s="89"/>
      <c r="BV104" s="89"/>
      <c r="BW104" s="89"/>
      <c r="BX104" s="89"/>
      <c r="BY104" s="89"/>
      <c r="BZ104" s="89"/>
      <c r="CA104" s="89"/>
      <c r="CB104" s="89"/>
      <c r="CC104" s="89"/>
      <c r="CD104" s="89"/>
      <c r="CE104" s="89"/>
      <c r="CF104" s="89"/>
      <c r="CG104" s="89"/>
      <c r="CH104" s="89"/>
      <c r="CI104" s="89"/>
      <c r="CJ104" s="89"/>
      <c r="CK104" s="89"/>
      <c r="CL104" s="89"/>
      <c r="CM104" s="89"/>
      <c r="CN104" s="89"/>
      <c r="CO104" s="89"/>
      <c r="CP104" s="89"/>
      <c r="CQ104" s="89"/>
      <c r="CR104" s="89"/>
      <c r="CS104" s="89"/>
      <c r="CT104" s="89"/>
      <c r="CU104" s="89"/>
      <c r="CV104" s="89"/>
      <c r="CW104" s="89"/>
      <c r="CX104" s="89"/>
      <c r="CY104" s="89"/>
      <c r="CZ104" s="89"/>
      <c r="DA104" s="89"/>
      <c r="DB104" s="89"/>
    </row>
    <row r="105" spans="1:106" x14ac:dyDescent="0.2">
      <c r="A105" s="89"/>
      <c r="B105" s="89"/>
      <c r="C105" s="89"/>
      <c r="D105" s="89"/>
      <c r="E105" s="89"/>
      <c r="F105" s="89"/>
      <c r="G105" s="89"/>
      <c r="H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N105" s="89"/>
      <c r="AO105" s="89"/>
      <c r="AP105" s="89"/>
      <c r="AQ105" s="89"/>
      <c r="AR105" s="89"/>
      <c r="AS105" s="89"/>
      <c r="AT105" s="89"/>
      <c r="AU105" s="89"/>
      <c r="AV105" s="89"/>
      <c r="AW105" s="89"/>
      <c r="AX105" s="89"/>
      <c r="AY105" s="89"/>
      <c r="AZ105" s="89"/>
      <c r="BA105" s="89"/>
      <c r="BB105" s="89"/>
      <c r="BC105" s="89"/>
      <c r="BD105" s="89"/>
      <c r="BE105" s="89"/>
      <c r="BF105" s="89"/>
      <c r="BG105" s="89"/>
      <c r="BH105" s="89"/>
      <c r="BI105" s="89"/>
      <c r="BJ105" s="89"/>
      <c r="BK105" s="89"/>
      <c r="BL105" s="89"/>
      <c r="BM105" s="89"/>
      <c r="BN105" s="89"/>
      <c r="BO105" s="89"/>
      <c r="BP105" s="89"/>
      <c r="BQ105" s="89"/>
      <c r="BR105" s="89"/>
      <c r="BS105" s="89"/>
      <c r="BT105" s="89"/>
      <c r="BU105" s="89"/>
      <c r="BV105" s="89"/>
      <c r="BW105" s="89"/>
      <c r="BX105" s="89"/>
      <c r="BY105" s="89"/>
      <c r="BZ105" s="89"/>
      <c r="CA105" s="89"/>
      <c r="CB105" s="89"/>
      <c r="CC105" s="89"/>
      <c r="CD105" s="89"/>
      <c r="CE105" s="89"/>
      <c r="CF105" s="89"/>
      <c r="CG105" s="89"/>
      <c r="CH105" s="89"/>
      <c r="CI105" s="89"/>
      <c r="CJ105" s="89"/>
      <c r="CK105" s="89"/>
      <c r="CL105" s="89"/>
      <c r="CM105" s="89"/>
      <c r="CN105" s="89"/>
      <c r="CO105" s="89"/>
      <c r="CP105" s="89"/>
      <c r="CQ105" s="89"/>
      <c r="CR105" s="89"/>
      <c r="CS105" s="89"/>
      <c r="CT105" s="89"/>
      <c r="CU105" s="89"/>
      <c r="CV105" s="89"/>
      <c r="CW105" s="89"/>
      <c r="CX105" s="89"/>
      <c r="CY105" s="89"/>
      <c r="CZ105" s="89"/>
      <c r="DA105" s="89"/>
      <c r="DB105" s="89"/>
    </row>
    <row r="106" spans="1:106" x14ac:dyDescent="0.2">
      <c r="A106" s="89"/>
      <c r="B106" s="89"/>
      <c r="C106" s="89"/>
      <c r="D106" s="89"/>
      <c r="E106" s="89"/>
      <c r="F106" s="89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89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N106" s="89"/>
      <c r="AO106" s="89"/>
      <c r="AP106" s="89"/>
      <c r="AQ106" s="89"/>
      <c r="AR106" s="89"/>
      <c r="AS106" s="89"/>
      <c r="AT106" s="89"/>
      <c r="AU106" s="89"/>
      <c r="AV106" s="89"/>
      <c r="AW106" s="89"/>
      <c r="AX106" s="89"/>
      <c r="AY106" s="89"/>
      <c r="AZ106" s="89"/>
      <c r="BA106" s="89"/>
      <c r="BB106" s="89"/>
      <c r="BC106" s="89"/>
      <c r="BD106" s="89"/>
      <c r="BE106" s="89"/>
      <c r="BF106" s="89"/>
      <c r="BG106" s="89"/>
      <c r="BH106" s="89"/>
      <c r="BI106" s="89"/>
      <c r="BJ106" s="89"/>
      <c r="BK106" s="89"/>
      <c r="BL106" s="89"/>
      <c r="BM106" s="89"/>
      <c r="BN106" s="89"/>
      <c r="BO106" s="89"/>
      <c r="BP106" s="89"/>
      <c r="BQ106" s="89"/>
      <c r="BR106" s="89"/>
      <c r="BS106" s="89"/>
      <c r="BT106" s="89"/>
      <c r="BU106" s="89"/>
      <c r="BV106" s="89"/>
      <c r="BW106" s="89"/>
      <c r="BX106" s="89"/>
      <c r="BY106" s="89"/>
      <c r="BZ106" s="89"/>
      <c r="CA106" s="89"/>
      <c r="CB106" s="89"/>
      <c r="CC106" s="89"/>
      <c r="CD106" s="89"/>
      <c r="CE106" s="89"/>
      <c r="CF106" s="89"/>
      <c r="CG106" s="89"/>
      <c r="CH106" s="89"/>
      <c r="CI106" s="89"/>
      <c r="CJ106" s="89"/>
      <c r="CK106" s="89"/>
      <c r="CL106" s="89"/>
      <c r="CM106" s="89"/>
      <c r="CN106" s="89"/>
      <c r="CO106" s="89"/>
      <c r="CP106" s="89"/>
      <c r="CQ106" s="89"/>
      <c r="CR106" s="89"/>
      <c r="CS106" s="89"/>
      <c r="CT106" s="89"/>
      <c r="CU106" s="89"/>
      <c r="CV106" s="89"/>
      <c r="CW106" s="89"/>
      <c r="CX106" s="89"/>
      <c r="CY106" s="89"/>
      <c r="CZ106" s="89"/>
      <c r="DA106" s="89"/>
      <c r="DB106" s="89"/>
    </row>
    <row r="107" spans="1:106" x14ac:dyDescent="0.2">
      <c r="A107" s="89"/>
      <c r="B107" s="89"/>
      <c r="C107" s="89"/>
      <c r="D107" s="89"/>
      <c r="E107" s="89"/>
      <c r="F107" s="89"/>
      <c r="G107" s="89"/>
      <c r="H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89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N107" s="89"/>
      <c r="AO107" s="89"/>
      <c r="AP107" s="89"/>
      <c r="AQ107" s="89"/>
      <c r="AR107" s="89"/>
      <c r="AS107" s="89"/>
      <c r="AT107" s="89"/>
      <c r="AU107" s="89"/>
      <c r="AV107" s="89"/>
      <c r="AW107" s="89"/>
      <c r="AX107" s="89"/>
      <c r="AY107" s="89"/>
      <c r="AZ107" s="89"/>
      <c r="BA107" s="89"/>
      <c r="BB107" s="89"/>
      <c r="BC107" s="89"/>
      <c r="BD107" s="89"/>
      <c r="BE107" s="89"/>
      <c r="BF107" s="89"/>
      <c r="BG107" s="89"/>
      <c r="BH107" s="89"/>
      <c r="BI107" s="89"/>
      <c r="BJ107" s="89"/>
      <c r="BK107" s="89"/>
      <c r="BL107" s="89"/>
      <c r="BM107" s="89"/>
      <c r="BN107" s="89"/>
      <c r="BO107" s="89"/>
      <c r="BP107" s="89"/>
      <c r="BQ107" s="89"/>
      <c r="BR107" s="89"/>
      <c r="BS107" s="89"/>
      <c r="BT107" s="89"/>
      <c r="BU107" s="89"/>
      <c r="BV107" s="89"/>
      <c r="BW107" s="89"/>
      <c r="BX107" s="89"/>
      <c r="BY107" s="89"/>
      <c r="BZ107" s="89"/>
      <c r="CA107" s="89"/>
      <c r="CB107" s="89"/>
      <c r="CC107" s="89"/>
      <c r="CD107" s="89"/>
      <c r="CE107" s="89"/>
      <c r="CF107" s="89"/>
      <c r="CG107" s="89"/>
      <c r="CH107" s="89"/>
      <c r="CI107" s="89"/>
      <c r="CJ107" s="89"/>
      <c r="CK107" s="89"/>
      <c r="CL107" s="89"/>
      <c r="CM107" s="89"/>
      <c r="CN107" s="89"/>
      <c r="CO107" s="89"/>
      <c r="CP107" s="89"/>
      <c r="CQ107" s="89"/>
      <c r="CR107" s="89"/>
      <c r="CS107" s="89"/>
      <c r="CT107" s="89"/>
      <c r="CU107" s="89"/>
      <c r="CV107" s="89"/>
      <c r="CW107" s="89"/>
      <c r="CX107" s="89"/>
      <c r="CY107" s="89"/>
      <c r="CZ107" s="89"/>
      <c r="DA107" s="89"/>
      <c r="DB107" s="89"/>
    </row>
    <row r="108" spans="1:106" x14ac:dyDescent="0.2">
      <c r="A108" s="89"/>
      <c r="B108" s="89"/>
      <c r="C108" s="89"/>
      <c r="D108" s="89"/>
      <c r="E108" s="89"/>
      <c r="F108" s="89"/>
      <c r="G108" s="89"/>
      <c r="H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89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N108" s="89"/>
      <c r="AO108" s="89"/>
      <c r="AP108" s="89"/>
      <c r="AQ108" s="89"/>
      <c r="AR108" s="89"/>
      <c r="AS108" s="89"/>
      <c r="AT108" s="89"/>
      <c r="AU108" s="89"/>
      <c r="AV108" s="89"/>
      <c r="AW108" s="89"/>
      <c r="AX108" s="89"/>
      <c r="AY108" s="89"/>
      <c r="AZ108" s="89"/>
      <c r="BA108" s="89"/>
      <c r="BB108" s="89"/>
      <c r="BC108" s="89"/>
      <c r="BD108" s="89"/>
      <c r="BE108" s="89"/>
      <c r="BF108" s="89"/>
      <c r="BG108" s="89"/>
      <c r="BH108" s="89"/>
      <c r="BI108" s="89"/>
      <c r="BJ108" s="89"/>
      <c r="BK108" s="89"/>
      <c r="BL108" s="89"/>
      <c r="BM108" s="89"/>
      <c r="BN108" s="89"/>
      <c r="BO108" s="89"/>
      <c r="BP108" s="89"/>
      <c r="BQ108" s="89"/>
      <c r="BR108" s="89"/>
      <c r="BS108" s="89"/>
      <c r="BT108" s="89"/>
      <c r="BU108" s="89"/>
      <c r="BV108" s="89"/>
      <c r="BW108" s="89"/>
      <c r="BX108" s="89"/>
      <c r="BY108" s="89"/>
      <c r="BZ108" s="89"/>
      <c r="CA108" s="89"/>
      <c r="CB108" s="89"/>
      <c r="CC108" s="89"/>
      <c r="CD108" s="89"/>
      <c r="CE108" s="89"/>
      <c r="CF108" s="89"/>
      <c r="CG108" s="89"/>
      <c r="CH108" s="89"/>
      <c r="CI108" s="89"/>
      <c r="CJ108" s="89"/>
      <c r="CK108" s="89"/>
      <c r="CL108" s="89"/>
      <c r="CM108" s="89"/>
      <c r="CN108" s="89"/>
      <c r="CO108" s="89"/>
      <c r="CP108" s="89"/>
      <c r="CQ108" s="89"/>
      <c r="CR108" s="89"/>
      <c r="CS108" s="89"/>
      <c r="CT108" s="89"/>
      <c r="CU108" s="89"/>
      <c r="CV108" s="89"/>
      <c r="CW108" s="89"/>
      <c r="CX108" s="89"/>
      <c r="CY108" s="89"/>
      <c r="CZ108" s="89"/>
      <c r="DA108" s="89"/>
      <c r="DB108" s="89"/>
    </row>
    <row r="109" spans="1:106" x14ac:dyDescent="0.2">
      <c r="A109" s="89"/>
      <c r="B109" s="89"/>
      <c r="C109" s="89"/>
      <c r="D109" s="89"/>
      <c r="E109" s="89"/>
      <c r="F109" s="89"/>
      <c r="G109" s="89"/>
      <c r="H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89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N109" s="89"/>
      <c r="AO109" s="89"/>
      <c r="AP109" s="89"/>
      <c r="AQ109" s="89"/>
      <c r="AR109" s="89"/>
      <c r="AS109" s="89"/>
      <c r="AT109" s="89"/>
      <c r="AU109" s="89"/>
      <c r="AV109" s="89"/>
      <c r="AW109" s="89"/>
      <c r="AX109" s="89"/>
      <c r="AY109" s="89"/>
      <c r="AZ109" s="89"/>
      <c r="BA109" s="89"/>
      <c r="BB109" s="89"/>
      <c r="BC109" s="89"/>
      <c r="BD109" s="89"/>
      <c r="BE109" s="89"/>
      <c r="BF109" s="89"/>
      <c r="BG109" s="89"/>
      <c r="BH109" s="89"/>
      <c r="BI109" s="89"/>
      <c r="BJ109" s="89"/>
      <c r="BK109" s="89"/>
      <c r="BL109" s="89"/>
      <c r="BM109" s="89"/>
      <c r="BN109" s="89"/>
      <c r="BO109" s="89"/>
      <c r="BP109" s="89"/>
      <c r="BQ109" s="89"/>
      <c r="BR109" s="89"/>
      <c r="BS109" s="89"/>
      <c r="BT109" s="89"/>
      <c r="BU109" s="89"/>
      <c r="BV109" s="89"/>
      <c r="BW109" s="89"/>
      <c r="BX109" s="89"/>
      <c r="BY109" s="89"/>
      <c r="BZ109" s="89"/>
      <c r="CA109" s="89"/>
      <c r="CB109" s="89"/>
      <c r="CC109" s="89"/>
      <c r="CD109" s="89"/>
      <c r="CE109" s="89"/>
      <c r="CF109" s="89"/>
      <c r="CG109" s="89"/>
      <c r="CH109" s="89"/>
      <c r="CI109" s="89"/>
      <c r="CJ109" s="89"/>
      <c r="CK109" s="89"/>
      <c r="CL109" s="89"/>
      <c r="CM109" s="89"/>
      <c r="CN109" s="89"/>
      <c r="CO109" s="89"/>
      <c r="CP109" s="89"/>
      <c r="CQ109" s="89"/>
      <c r="CR109" s="89"/>
      <c r="CS109" s="89"/>
      <c r="CT109" s="89"/>
      <c r="CU109" s="89"/>
      <c r="CV109" s="89"/>
      <c r="CW109" s="89"/>
      <c r="CX109" s="89"/>
      <c r="CY109" s="89"/>
      <c r="CZ109" s="89"/>
      <c r="DA109" s="89"/>
      <c r="DB109" s="89"/>
    </row>
    <row r="110" spans="1:106" x14ac:dyDescent="0.2">
      <c r="A110" s="89"/>
      <c r="B110" s="89"/>
      <c r="C110" s="89"/>
      <c r="D110" s="89"/>
      <c r="E110" s="89"/>
      <c r="F110" s="89"/>
      <c r="G110" s="89"/>
      <c r="H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89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N110" s="89"/>
      <c r="AO110" s="89"/>
      <c r="AP110" s="89"/>
      <c r="AQ110" s="89"/>
      <c r="AR110" s="89"/>
      <c r="AS110" s="89"/>
      <c r="AT110" s="89"/>
      <c r="AU110" s="89"/>
      <c r="AV110" s="89"/>
      <c r="AW110" s="89"/>
      <c r="AX110" s="89"/>
      <c r="AY110" s="89"/>
      <c r="AZ110" s="89"/>
      <c r="BA110" s="89"/>
      <c r="BB110" s="89"/>
      <c r="BC110" s="89"/>
      <c r="BD110" s="89"/>
      <c r="BE110" s="89"/>
      <c r="BF110" s="89"/>
      <c r="BG110" s="89"/>
      <c r="BH110" s="89"/>
      <c r="BI110" s="89"/>
      <c r="BJ110" s="89"/>
      <c r="BK110" s="89"/>
      <c r="BL110" s="89"/>
      <c r="BM110" s="89"/>
      <c r="BN110" s="89"/>
      <c r="BO110" s="89"/>
      <c r="BP110" s="89"/>
      <c r="BQ110" s="89"/>
      <c r="BR110" s="89"/>
      <c r="BS110" s="89"/>
      <c r="BT110" s="89"/>
      <c r="BU110" s="89"/>
      <c r="BV110" s="89"/>
      <c r="BW110" s="89"/>
      <c r="BX110" s="89"/>
      <c r="BY110" s="89"/>
      <c r="BZ110" s="89"/>
      <c r="CA110" s="89"/>
      <c r="CB110" s="89"/>
      <c r="CC110" s="89"/>
      <c r="CD110" s="89"/>
      <c r="CE110" s="89"/>
      <c r="CF110" s="89"/>
      <c r="CG110" s="89"/>
      <c r="CH110" s="89"/>
      <c r="CI110" s="89"/>
      <c r="CJ110" s="89"/>
      <c r="CK110" s="89"/>
      <c r="CL110" s="89"/>
      <c r="CM110" s="89"/>
      <c r="CN110" s="89"/>
      <c r="CO110" s="89"/>
      <c r="CP110" s="89"/>
      <c r="CQ110" s="89"/>
      <c r="CR110" s="89"/>
      <c r="CS110" s="89"/>
      <c r="CT110" s="89"/>
      <c r="CU110" s="89"/>
      <c r="CV110" s="89"/>
      <c r="CW110" s="89"/>
      <c r="CX110" s="89"/>
      <c r="CY110" s="89"/>
      <c r="CZ110" s="89"/>
      <c r="DA110" s="89"/>
      <c r="DB110" s="89"/>
    </row>
    <row r="111" spans="1:106" x14ac:dyDescent="0.2">
      <c r="A111" s="89"/>
      <c r="B111" s="89"/>
      <c r="C111" s="89"/>
      <c r="D111" s="89"/>
      <c r="E111" s="89"/>
      <c r="F111" s="89"/>
      <c r="G111" s="89"/>
      <c r="H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N111" s="89"/>
      <c r="AO111" s="89"/>
      <c r="AP111" s="89"/>
      <c r="AQ111" s="89"/>
      <c r="AR111" s="89"/>
      <c r="AS111" s="89"/>
      <c r="AT111" s="89"/>
      <c r="AU111" s="89"/>
      <c r="AV111" s="89"/>
      <c r="AW111" s="89"/>
      <c r="AX111" s="89"/>
      <c r="AY111" s="89"/>
      <c r="AZ111" s="89"/>
      <c r="BA111" s="89"/>
      <c r="BB111" s="89"/>
      <c r="BC111" s="89"/>
      <c r="BD111" s="89"/>
      <c r="BE111" s="89"/>
      <c r="BF111" s="89"/>
      <c r="BG111" s="89"/>
      <c r="BH111" s="89"/>
      <c r="BI111" s="89"/>
      <c r="BJ111" s="89"/>
      <c r="BK111" s="89"/>
      <c r="BL111" s="89"/>
      <c r="BM111" s="89"/>
      <c r="BN111" s="89"/>
      <c r="BO111" s="89"/>
      <c r="BP111" s="89"/>
      <c r="BQ111" s="89"/>
      <c r="BR111" s="89"/>
      <c r="BS111" s="89"/>
      <c r="BT111" s="89"/>
      <c r="BU111" s="89"/>
      <c r="BV111" s="89"/>
      <c r="BW111" s="89"/>
      <c r="BX111" s="89"/>
      <c r="BY111" s="89"/>
      <c r="BZ111" s="89"/>
      <c r="CA111" s="89"/>
      <c r="CB111" s="89"/>
      <c r="CC111" s="89"/>
      <c r="CD111" s="89"/>
      <c r="CE111" s="89"/>
      <c r="CF111" s="89"/>
      <c r="CG111" s="89"/>
      <c r="CH111" s="89"/>
      <c r="CI111" s="89"/>
      <c r="CJ111" s="89"/>
      <c r="CK111" s="89"/>
      <c r="CL111" s="89"/>
      <c r="CM111" s="89"/>
      <c r="CN111" s="89"/>
      <c r="CO111" s="89"/>
      <c r="CP111" s="89"/>
      <c r="CQ111" s="89"/>
      <c r="CR111" s="89"/>
      <c r="CS111" s="89"/>
      <c r="CT111" s="89"/>
      <c r="CU111" s="89"/>
      <c r="CV111" s="89"/>
      <c r="CW111" s="89"/>
      <c r="CX111" s="89"/>
      <c r="CY111" s="89"/>
      <c r="CZ111" s="89"/>
      <c r="DA111" s="89"/>
      <c r="DB111" s="89"/>
    </row>
    <row r="112" spans="1:106" x14ac:dyDescent="0.2">
      <c r="A112" s="89"/>
      <c r="B112" s="89"/>
      <c r="C112" s="89"/>
      <c r="D112" s="89"/>
      <c r="E112" s="89"/>
      <c r="F112" s="89"/>
      <c r="G112" s="89"/>
      <c r="H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89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N112" s="89"/>
      <c r="AO112" s="89"/>
      <c r="AP112" s="89"/>
      <c r="AQ112" s="89"/>
      <c r="AR112" s="89"/>
      <c r="AS112" s="89"/>
      <c r="AT112" s="89"/>
      <c r="AU112" s="89"/>
      <c r="AV112" s="89"/>
      <c r="AW112" s="89"/>
      <c r="AX112" s="89"/>
      <c r="AY112" s="89"/>
      <c r="AZ112" s="89"/>
      <c r="BA112" s="89"/>
      <c r="BB112" s="89"/>
      <c r="BC112" s="89"/>
      <c r="BD112" s="89"/>
      <c r="BE112" s="89"/>
      <c r="BF112" s="89"/>
      <c r="BG112" s="89"/>
      <c r="BH112" s="89"/>
      <c r="BI112" s="89"/>
      <c r="BJ112" s="89"/>
      <c r="BK112" s="89"/>
      <c r="BL112" s="89"/>
      <c r="BM112" s="89"/>
      <c r="BN112" s="89"/>
      <c r="BO112" s="89"/>
      <c r="BP112" s="89"/>
      <c r="BQ112" s="89"/>
      <c r="BR112" s="89"/>
      <c r="BS112" s="89"/>
      <c r="BT112" s="89"/>
      <c r="BU112" s="89"/>
      <c r="BV112" s="89"/>
      <c r="BW112" s="89"/>
      <c r="BX112" s="89"/>
      <c r="BY112" s="89"/>
      <c r="BZ112" s="89"/>
      <c r="CA112" s="89"/>
      <c r="CB112" s="89"/>
      <c r="CC112" s="89"/>
      <c r="CD112" s="89"/>
      <c r="CE112" s="89"/>
      <c r="CF112" s="89"/>
      <c r="CG112" s="89"/>
      <c r="CH112" s="89"/>
      <c r="CI112" s="89"/>
      <c r="CJ112" s="89"/>
      <c r="CK112" s="89"/>
      <c r="CL112" s="89"/>
      <c r="CM112" s="89"/>
      <c r="CN112" s="89"/>
      <c r="CO112" s="89"/>
      <c r="CP112" s="89"/>
      <c r="CQ112" s="89"/>
      <c r="CR112" s="89"/>
      <c r="CS112" s="89"/>
      <c r="CT112" s="89"/>
      <c r="CU112" s="89"/>
      <c r="CV112" s="89"/>
      <c r="CW112" s="89"/>
      <c r="CX112" s="89"/>
      <c r="CY112" s="89"/>
      <c r="CZ112" s="89"/>
      <c r="DA112" s="89"/>
      <c r="DB112" s="89"/>
    </row>
    <row r="113" spans="1:106" x14ac:dyDescent="0.2">
      <c r="A113" s="89"/>
      <c r="B113" s="89"/>
      <c r="C113" s="89"/>
      <c r="D113" s="89"/>
      <c r="E113" s="89"/>
      <c r="F113" s="89"/>
      <c r="G113" s="89"/>
      <c r="H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89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N113" s="89"/>
      <c r="AO113" s="89"/>
      <c r="AP113" s="89"/>
      <c r="AQ113" s="89"/>
      <c r="AR113" s="89"/>
      <c r="AS113" s="89"/>
      <c r="AT113" s="89"/>
      <c r="AU113" s="89"/>
      <c r="AV113" s="89"/>
      <c r="AW113" s="89"/>
      <c r="AX113" s="89"/>
      <c r="AY113" s="89"/>
      <c r="AZ113" s="89"/>
      <c r="BA113" s="89"/>
      <c r="BB113" s="89"/>
      <c r="BC113" s="89"/>
      <c r="BD113" s="89"/>
      <c r="BE113" s="89"/>
      <c r="BF113" s="89"/>
      <c r="BG113" s="89"/>
      <c r="BH113" s="89"/>
      <c r="BI113" s="89"/>
      <c r="BJ113" s="89"/>
      <c r="BK113" s="89"/>
      <c r="BL113" s="89"/>
      <c r="BM113" s="89"/>
      <c r="BN113" s="89"/>
      <c r="BO113" s="89"/>
      <c r="BP113" s="89"/>
      <c r="BQ113" s="89"/>
      <c r="BR113" s="89"/>
      <c r="BS113" s="89"/>
      <c r="BT113" s="89"/>
      <c r="BU113" s="89"/>
      <c r="BV113" s="89"/>
      <c r="BW113" s="89"/>
      <c r="BX113" s="89"/>
      <c r="BY113" s="89"/>
      <c r="BZ113" s="89"/>
      <c r="CA113" s="89"/>
      <c r="CB113" s="89"/>
      <c r="CC113" s="89"/>
      <c r="CD113" s="89"/>
      <c r="CE113" s="89"/>
      <c r="CF113" s="89"/>
      <c r="CG113" s="89"/>
      <c r="CH113" s="89"/>
      <c r="CI113" s="89"/>
      <c r="CJ113" s="89"/>
      <c r="CK113" s="89"/>
      <c r="CL113" s="89"/>
      <c r="CM113" s="89"/>
      <c r="CN113" s="89"/>
      <c r="CO113" s="89"/>
      <c r="CP113" s="89"/>
      <c r="CQ113" s="89"/>
      <c r="CR113" s="89"/>
      <c r="CS113" s="89"/>
      <c r="CT113" s="89"/>
      <c r="CU113" s="89"/>
      <c r="CV113" s="89"/>
      <c r="CW113" s="89"/>
      <c r="CX113" s="89"/>
      <c r="CY113" s="89"/>
      <c r="CZ113" s="89"/>
      <c r="DA113" s="89"/>
      <c r="DB113" s="89"/>
    </row>
    <row r="114" spans="1:106" x14ac:dyDescent="0.2">
      <c r="A114" s="89"/>
      <c r="B114" s="89"/>
      <c r="C114" s="89"/>
      <c r="D114" s="89"/>
      <c r="E114" s="89"/>
      <c r="F114" s="89"/>
      <c r="G114" s="89"/>
      <c r="H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89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N114" s="89"/>
      <c r="AO114" s="89"/>
      <c r="AP114" s="89"/>
      <c r="AQ114" s="89"/>
      <c r="AR114" s="89"/>
      <c r="AS114" s="89"/>
      <c r="AT114" s="89"/>
      <c r="AU114" s="89"/>
      <c r="AV114" s="89"/>
      <c r="AW114" s="89"/>
      <c r="AX114" s="89"/>
      <c r="AY114" s="89"/>
      <c r="AZ114" s="89"/>
      <c r="BA114" s="89"/>
      <c r="BB114" s="89"/>
      <c r="BC114" s="89"/>
      <c r="BD114" s="89"/>
      <c r="BE114" s="89"/>
      <c r="BF114" s="89"/>
      <c r="BG114" s="89"/>
      <c r="BH114" s="89"/>
      <c r="BI114" s="89"/>
      <c r="BJ114" s="89"/>
      <c r="BK114" s="89"/>
      <c r="BL114" s="89"/>
      <c r="BM114" s="89"/>
      <c r="BN114" s="89"/>
      <c r="BO114" s="89"/>
      <c r="BP114" s="89"/>
      <c r="BQ114" s="89"/>
      <c r="BR114" s="89"/>
      <c r="BS114" s="89"/>
      <c r="BT114" s="89"/>
      <c r="BU114" s="89"/>
      <c r="BV114" s="89"/>
      <c r="BW114" s="89"/>
      <c r="BX114" s="89"/>
      <c r="BY114" s="89"/>
      <c r="BZ114" s="89"/>
      <c r="CA114" s="89"/>
      <c r="CB114" s="89"/>
      <c r="CC114" s="89"/>
      <c r="CD114" s="89"/>
      <c r="CE114" s="89"/>
      <c r="CF114" s="89"/>
      <c r="CG114" s="89"/>
      <c r="CH114" s="89"/>
      <c r="CI114" s="89"/>
      <c r="CJ114" s="89"/>
      <c r="CK114" s="89"/>
      <c r="CL114" s="89"/>
      <c r="CM114" s="89"/>
      <c r="CN114" s="89"/>
      <c r="CO114" s="89"/>
      <c r="CP114" s="89"/>
      <c r="CQ114" s="89"/>
      <c r="CR114" s="89"/>
      <c r="CS114" s="89"/>
      <c r="CT114" s="89"/>
      <c r="CU114" s="89"/>
      <c r="CV114" s="89"/>
      <c r="CW114" s="89"/>
      <c r="CX114" s="89"/>
      <c r="CY114" s="89"/>
      <c r="CZ114" s="89"/>
      <c r="DA114" s="89"/>
      <c r="DB114" s="89"/>
    </row>
    <row r="115" spans="1:106" x14ac:dyDescent="0.2">
      <c r="A115" s="89"/>
      <c r="B115" s="89"/>
      <c r="C115" s="89"/>
      <c r="D115" s="89"/>
      <c r="E115" s="89"/>
      <c r="F115" s="89"/>
      <c r="G115" s="89"/>
      <c r="H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89"/>
      <c r="AS115" s="89"/>
      <c r="AT115" s="89"/>
      <c r="AU115" s="89"/>
      <c r="AV115" s="89"/>
      <c r="AW115" s="89"/>
      <c r="AX115" s="89"/>
      <c r="AY115" s="89"/>
      <c r="AZ115" s="89"/>
      <c r="BA115" s="89"/>
      <c r="BB115" s="89"/>
      <c r="BC115" s="89"/>
      <c r="BD115" s="89"/>
      <c r="BE115" s="89"/>
      <c r="BF115" s="89"/>
      <c r="BG115" s="89"/>
      <c r="BH115" s="89"/>
      <c r="BI115" s="89"/>
      <c r="BJ115" s="89"/>
      <c r="BK115" s="89"/>
      <c r="BL115" s="89"/>
      <c r="BM115" s="89"/>
      <c r="BN115" s="89"/>
      <c r="BO115" s="89"/>
      <c r="BP115" s="89"/>
      <c r="BQ115" s="89"/>
      <c r="BR115" s="89"/>
      <c r="BS115" s="89"/>
      <c r="BT115" s="89"/>
      <c r="BU115" s="89"/>
      <c r="BV115" s="89"/>
      <c r="BW115" s="89"/>
      <c r="BX115" s="89"/>
      <c r="BY115" s="89"/>
      <c r="BZ115" s="89"/>
      <c r="CA115" s="89"/>
      <c r="CB115" s="89"/>
      <c r="CC115" s="89"/>
      <c r="CD115" s="89"/>
      <c r="CE115" s="89"/>
      <c r="CF115" s="89"/>
      <c r="CG115" s="89"/>
      <c r="CH115" s="89"/>
      <c r="CI115" s="89"/>
      <c r="CJ115" s="89"/>
      <c r="CK115" s="89"/>
      <c r="CL115" s="89"/>
      <c r="CM115" s="89"/>
      <c r="CN115" s="89"/>
      <c r="CO115" s="89"/>
      <c r="CP115" s="89"/>
      <c r="CQ115" s="89"/>
      <c r="CR115" s="89"/>
      <c r="CS115" s="89"/>
      <c r="CT115" s="89"/>
      <c r="CU115" s="89"/>
      <c r="CV115" s="89"/>
      <c r="CW115" s="89"/>
      <c r="CX115" s="89"/>
      <c r="CY115" s="89"/>
      <c r="CZ115" s="89"/>
      <c r="DA115" s="89"/>
      <c r="DB115" s="89"/>
    </row>
    <row r="116" spans="1:106" x14ac:dyDescent="0.2">
      <c r="A116" s="89"/>
      <c r="B116" s="89"/>
      <c r="C116" s="89"/>
      <c r="D116" s="89"/>
      <c r="E116" s="89"/>
      <c r="F116" s="89"/>
      <c r="G116" s="89"/>
      <c r="H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89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N116" s="89"/>
      <c r="AO116" s="89"/>
      <c r="AP116" s="89"/>
      <c r="AQ116" s="89"/>
      <c r="AR116" s="89"/>
      <c r="AS116" s="89"/>
      <c r="AT116" s="89"/>
      <c r="AU116" s="89"/>
      <c r="AV116" s="89"/>
      <c r="AW116" s="89"/>
      <c r="AX116" s="89"/>
      <c r="AY116" s="89"/>
      <c r="AZ116" s="89"/>
      <c r="BA116" s="89"/>
      <c r="BB116" s="89"/>
      <c r="BC116" s="89"/>
      <c r="BD116" s="89"/>
      <c r="BE116" s="89"/>
      <c r="BF116" s="89"/>
      <c r="BG116" s="89"/>
      <c r="BH116" s="89"/>
      <c r="BI116" s="89"/>
      <c r="BJ116" s="89"/>
      <c r="BK116" s="89"/>
      <c r="BL116" s="89"/>
      <c r="BM116" s="89"/>
      <c r="BN116" s="89"/>
      <c r="BO116" s="89"/>
      <c r="BP116" s="89"/>
      <c r="BQ116" s="89"/>
      <c r="BR116" s="89"/>
      <c r="BS116" s="89"/>
      <c r="BT116" s="89"/>
      <c r="BU116" s="89"/>
      <c r="BV116" s="89"/>
      <c r="BW116" s="89"/>
      <c r="BX116" s="89"/>
      <c r="BY116" s="89"/>
      <c r="BZ116" s="89"/>
      <c r="CA116" s="89"/>
      <c r="CB116" s="89"/>
      <c r="CC116" s="89"/>
      <c r="CD116" s="89"/>
      <c r="CE116" s="89"/>
      <c r="CF116" s="89"/>
      <c r="CG116" s="89"/>
      <c r="CH116" s="89"/>
      <c r="CI116" s="89"/>
      <c r="CJ116" s="89"/>
      <c r="CK116" s="89"/>
      <c r="CL116" s="89"/>
      <c r="CM116" s="89"/>
      <c r="CN116" s="89"/>
      <c r="CO116" s="89"/>
      <c r="CP116" s="89"/>
      <c r="CQ116" s="89"/>
      <c r="CR116" s="89"/>
      <c r="CS116" s="89"/>
      <c r="CT116" s="89"/>
      <c r="CU116" s="89"/>
      <c r="CV116" s="89"/>
      <c r="CW116" s="89"/>
      <c r="CX116" s="89"/>
      <c r="CY116" s="89"/>
      <c r="CZ116" s="89"/>
      <c r="DA116" s="89"/>
      <c r="DB116" s="89"/>
    </row>
    <row r="117" spans="1:106" x14ac:dyDescent="0.2">
      <c r="A117" s="89"/>
      <c r="B117" s="89"/>
      <c r="C117" s="89"/>
      <c r="D117" s="89"/>
      <c r="E117" s="89"/>
      <c r="F117" s="89"/>
      <c r="G117" s="89"/>
      <c r="H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89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N117" s="89"/>
      <c r="AO117" s="89"/>
      <c r="AP117" s="89"/>
      <c r="AQ117" s="89"/>
      <c r="AR117" s="89"/>
      <c r="AS117" s="89"/>
      <c r="AT117" s="89"/>
      <c r="AU117" s="89"/>
      <c r="AV117" s="89"/>
      <c r="AW117" s="89"/>
      <c r="AX117" s="89"/>
      <c r="AY117" s="89"/>
      <c r="AZ117" s="89"/>
      <c r="BA117" s="89"/>
      <c r="BB117" s="89"/>
      <c r="BC117" s="89"/>
      <c r="BD117" s="89"/>
      <c r="BE117" s="89"/>
      <c r="BF117" s="89"/>
      <c r="BG117" s="89"/>
      <c r="BH117" s="89"/>
      <c r="BI117" s="89"/>
      <c r="BJ117" s="89"/>
      <c r="BK117" s="89"/>
      <c r="BL117" s="89"/>
      <c r="BM117" s="89"/>
      <c r="BN117" s="89"/>
      <c r="BO117" s="89"/>
      <c r="BP117" s="89"/>
      <c r="BQ117" s="89"/>
      <c r="BR117" s="89"/>
      <c r="BS117" s="89"/>
      <c r="BT117" s="89"/>
      <c r="BU117" s="89"/>
      <c r="BV117" s="89"/>
      <c r="BW117" s="89"/>
      <c r="BX117" s="89"/>
      <c r="BY117" s="89"/>
      <c r="BZ117" s="89"/>
      <c r="CA117" s="89"/>
      <c r="CB117" s="89"/>
      <c r="CC117" s="89"/>
      <c r="CD117" s="89"/>
      <c r="CE117" s="89"/>
      <c r="CF117" s="89"/>
      <c r="CG117" s="89"/>
      <c r="CH117" s="89"/>
      <c r="CI117" s="89"/>
      <c r="CJ117" s="89"/>
      <c r="CK117" s="89"/>
      <c r="CL117" s="89"/>
      <c r="CM117" s="89"/>
      <c r="CN117" s="89"/>
      <c r="CO117" s="89"/>
      <c r="CP117" s="89"/>
      <c r="CQ117" s="89"/>
      <c r="CR117" s="89"/>
      <c r="CS117" s="89"/>
      <c r="CT117" s="89"/>
      <c r="CU117" s="89"/>
      <c r="CV117" s="89"/>
      <c r="CW117" s="89"/>
      <c r="CX117" s="89"/>
      <c r="CY117" s="89"/>
      <c r="CZ117" s="89"/>
      <c r="DA117" s="89"/>
      <c r="DB117" s="89"/>
    </row>
    <row r="118" spans="1:106" x14ac:dyDescent="0.2">
      <c r="A118" s="89"/>
      <c r="B118" s="89"/>
      <c r="C118" s="89"/>
      <c r="D118" s="89"/>
      <c r="E118" s="89"/>
      <c r="F118" s="89"/>
      <c r="G118" s="89"/>
      <c r="H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89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N118" s="89"/>
      <c r="AO118" s="89"/>
      <c r="AP118" s="89"/>
      <c r="AQ118" s="89"/>
      <c r="AR118" s="89"/>
      <c r="AS118" s="89"/>
      <c r="AT118" s="89"/>
      <c r="AU118" s="89"/>
      <c r="AV118" s="89"/>
      <c r="AW118" s="89"/>
      <c r="AX118" s="89"/>
      <c r="AY118" s="89"/>
      <c r="AZ118" s="89"/>
      <c r="BA118" s="89"/>
      <c r="BB118" s="89"/>
      <c r="BC118" s="89"/>
      <c r="BD118" s="89"/>
      <c r="BE118" s="89"/>
      <c r="BF118" s="89"/>
      <c r="BG118" s="89"/>
      <c r="BH118" s="89"/>
      <c r="BI118" s="89"/>
      <c r="BJ118" s="89"/>
      <c r="BK118" s="89"/>
      <c r="BL118" s="89"/>
      <c r="BM118" s="89"/>
      <c r="BN118" s="89"/>
      <c r="BO118" s="89"/>
      <c r="BP118" s="89"/>
      <c r="BQ118" s="89"/>
      <c r="BR118" s="89"/>
      <c r="BS118" s="89"/>
      <c r="BT118" s="89"/>
      <c r="BU118" s="89"/>
      <c r="BV118" s="89"/>
      <c r="BW118" s="89"/>
      <c r="BX118" s="89"/>
      <c r="BY118" s="89"/>
      <c r="BZ118" s="89"/>
      <c r="CA118" s="89"/>
      <c r="CB118" s="89"/>
      <c r="CC118" s="89"/>
      <c r="CD118" s="89"/>
      <c r="CE118" s="89"/>
      <c r="CF118" s="89"/>
      <c r="CG118" s="89"/>
      <c r="CH118" s="89"/>
      <c r="CI118" s="89"/>
      <c r="CJ118" s="89"/>
      <c r="CK118" s="89"/>
      <c r="CL118" s="89"/>
      <c r="CM118" s="89"/>
      <c r="CN118" s="89"/>
      <c r="CO118" s="89"/>
      <c r="CP118" s="89"/>
      <c r="CQ118" s="89"/>
      <c r="CR118" s="89"/>
      <c r="CS118" s="89"/>
      <c r="CT118" s="89"/>
      <c r="CU118" s="89"/>
      <c r="CV118" s="89"/>
      <c r="CW118" s="89"/>
      <c r="CX118" s="89"/>
      <c r="CY118" s="89"/>
      <c r="CZ118" s="89"/>
      <c r="DA118" s="89"/>
      <c r="DB118" s="89"/>
    </row>
    <row r="119" spans="1:106" x14ac:dyDescent="0.2">
      <c r="A119" s="89"/>
      <c r="B119" s="89"/>
      <c r="C119" s="89"/>
      <c r="D119" s="89"/>
      <c r="E119" s="89"/>
      <c r="F119" s="89"/>
      <c r="G119" s="89"/>
      <c r="H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89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N119" s="89"/>
      <c r="AO119" s="89"/>
      <c r="AP119" s="89"/>
      <c r="AQ119" s="89"/>
      <c r="AR119" s="89"/>
      <c r="AS119" s="89"/>
      <c r="AT119" s="89"/>
      <c r="AU119" s="89"/>
      <c r="AV119" s="89"/>
      <c r="AW119" s="89"/>
      <c r="AX119" s="89"/>
      <c r="AY119" s="89"/>
      <c r="AZ119" s="89"/>
      <c r="BA119" s="89"/>
      <c r="BB119" s="89"/>
      <c r="BC119" s="89"/>
      <c r="BD119" s="89"/>
      <c r="BE119" s="89"/>
      <c r="BF119" s="89"/>
      <c r="BG119" s="89"/>
      <c r="BH119" s="89"/>
      <c r="BI119" s="89"/>
      <c r="BJ119" s="89"/>
      <c r="BK119" s="89"/>
      <c r="BL119" s="89"/>
      <c r="BM119" s="89"/>
      <c r="BN119" s="89"/>
      <c r="BO119" s="89"/>
      <c r="BP119" s="89"/>
      <c r="BQ119" s="89"/>
      <c r="BR119" s="89"/>
      <c r="BS119" s="89"/>
      <c r="BT119" s="89"/>
      <c r="BU119" s="89"/>
      <c r="BV119" s="89"/>
      <c r="BW119" s="89"/>
      <c r="BX119" s="89"/>
      <c r="BY119" s="89"/>
      <c r="BZ119" s="89"/>
      <c r="CA119" s="89"/>
      <c r="CB119" s="89"/>
      <c r="CC119" s="89"/>
      <c r="CD119" s="89"/>
      <c r="CE119" s="89"/>
      <c r="CF119" s="89"/>
      <c r="CG119" s="89"/>
      <c r="CH119" s="89"/>
      <c r="CI119" s="89"/>
      <c r="CJ119" s="89"/>
      <c r="CK119" s="89"/>
      <c r="CL119" s="89"/>
      <c r="CM119" s="89"/>
      <c r="CN119" s="89"/>
      <c r="CO119" s="89"/>
      <c r="CP119" s="89"/>
      <c r="CQ119" s="89"/>
      <c r="CR119" s="89"/>
      <c r="CS119" s="89"/>
      <c r="CT119" s="89"/>
      <c r="CU119" s="89"/>
      <c r="CV119" s="89"/>
      <c r="CW119" s="89"/>
      <c r="CX119" s="89"/>
      <c r="CY119" s="89"/>
      <c r="CZ119" s="89"/>
      <c r="DA119" s="89"/>
      <c r="DB119" s="89"/>
    </row>
    <row r="120" spans="1:106" x14ac:dyDescent="0.2">
      <c r="A120" s="89"/>
      <c r="B120" s="89"/>
      <c r="C120" s="89"/>
      <c r="D120" s="89"/>
      <c r="E120" s="89"/>
      <c r="F120" s="89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N120" s="89"/>
      <c r="AO120" s="89"/>
      <c r="AP120" s="89"/>
      <c r="AQ120" s="89"/>
      <c r="AR120" s="89"/>
      <c r="AS120" s="89"/>
      <c r="AT120" s="89"/>
      <c r="AU120" s="89"/>
      <c r="AV120" s="89"/>
      <c r="AW120" s="89"/>
      <c r="AX120" s="89"/>
      <c r="AY120" s="89"/>
      <c r="AZ120" s="89"/>
      <c r="BA120" s="89"/>
      <c r="BB120" s="89"/>
      <c r="BC120" s="89"/>
      <c r="BD120" s="89"/>
      <c r="BE120" s="89"/>
      <c r="BF120" s="89"/>
      <c r="BG120" s="89"/>
      <c r="BH120" s="89"/>
      <c r="BI120" s="89"/>
      <c r="BJ120" s="89"/>
      <c r="BK120" s="89"/>
      <c r="BL120" s="89"/>
      <c r="BM120" s="89"/>
      <c r="BN120" s="89"/>
      <c r="BO120" s="89"/>
      <c r="BP120" s="89"/>
      <c r="BQ120" s="89"/>
      <c r="BR120" s="89"/>
      <c r="BS120" s="89"/>
      <c r="BT120" s="89"/>
      <c r="BU120" s="89"/>
      <c r="BV120" s="89"/>
      <c r="BW120" s="89"/>
      <c r="BX120" s="89"/>
      <c r="BY120" s="89"/>
      <c r="BZ120" s="89"/>
      <c r="CA120" s="89"/>
      <c r="CB120" s="89"/>
      <c r="CC120" s="89"/>
      <c r="CD120" s="89"/>
      <c r="CE120" s="89"/>
      <c r="CF120" s="89"/>
      <c r="CG120" s="89"/>
      <c r="CH120" s="89"/>
      <c r="CI120" s="89"/>
      <c r="CJ120" s="89"/>
      <c r="CK120" s="89"/>
      <c r="CL120" s="89"/>
      <c r="CM120" s="89"/>
      <c r="CN120" s="89"/>
      <c r="CO120" s="89"/>
      <c r="CP120" s="89"/>
      <c r="CQ120" s="89"/>
      <c r="CR120" s="89"/>
      <c r="CS120" s="89"/>
      <c r="CT120" s="89"/>
      <c r="CU120" s="89"/>
      <c r="CV120" s="89"/>
      <c r="CW120" s="89"/>
      <c r="CX120" s="89"/>
      <c r="CY120" s="89"/>
      <c r="CZ120" s="89"/>
      <c r="DA120" s="89"/>
      <c r="DB120" s="89"/>
    </row>
    <row r="121" spans="1:106" x14ac:dyDescent="0.2">
      <c r="A121" s="89"/>
      <c r="B121" s="89"/>
      <c r="C121" s="89"/>
      <c r="D121" s="89"/>
      <c r="E121" s="89"/>
      <c r="F121" s="89"/>
      <c r="G121" s="89"/>
      <c r="H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89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N121" s="89"/>
      <c r="AO121" s="89"/>
      <c r="AP121" s="89"/>
      <c r="AQ121" s="89"/>
      <c r="AR121" s="89"/>
      <c r="AS121" s="89"/>
      <c r="AT121" s="89"/>
      <c r="AU121" s="89"/>
      <c r="AV121" s="89"/>
      <c r="AW121" s="89"/>
      <c r="AX121" s="89"/>
      <c r="AY121" s="89"/>
      <c r="AZ121" s="89"/>
      <c r="BA121" s="89"/>
      <c r="BB121" s="89"/>
      <c r="BC121" s="89"/>
      <c r="BD121" s="89"/>
      <c r="BE121" s="89"/>
      <c r="BF121" s="89"/>
      <c r="BG121" s="89"/>
      <c r="BH121" s="89"/>
      <c r="BI121" s="89"/>
      <c r="BJ121" s="89"/>
      <c r="BK121" s="89"/>
      <c r="BL121" s="89"/>
      <c r="BM121" s="89"/>
      <c r="BN121" s="89"/>
      <c r="BO121" s="89"/>
      <c r="BP121" s="89"/>
      <c r="BQ121" s="89"/>
      <c r="BR121" s="89"/>
      <c r="BS121" s="89"/>
      <c r="BT121" s="89"/>
      <c r="BU121" s="89"/>
      <c r="BV121" s="89"/>
      <c r="BW121" s="89"/>
      <c r="BX121" s="89"/>
      <c r="BY121" s="89"/>
      <c r="BZ121" s="89"/>
      <c r="CA121" s="89"/>
      <c r="CB121" s="89"/>
      <c r="CC121" s="89"/>
      <c r="CD121" s="89"/>
      <c r="CE121" s="89"/>
      <c r="CF121" s="89"/>
      <c r="CG121" s="89"/>
      <c r="CH121" s="89"/>
      <c r="CI121" s="89"/>
      <c r="CJ121" s="89"/>
      <c r="CK121" s="89"/>
      <c r="CL121" s="89"/>
      <c r="CM121" s="89"/>
      <c r="CN121" s="89"/>
      <c r="CO121" s="89"/>
      <c r="CP121" s="89"/>
      <c r="CQ121" s="89"/>
      <c r="CR121" s="89"/>
      <c r="CS121" s="89"/>
      <c r="CT121" s="89"/>
      <c r="CU121" s="89"/>
      <c r="CV121" s="89"/>
      <c r="CW121" s="89"/>
      <c r="CX121" s="89"/>
      <c r="CY121" s="89"/>
      <c r="CZ121" s="89"/>
      <c r="DA121" s="89"/>
      <c r="DB121" s="89"/>
    </row>
    <row r="122" spans="1:106" x14ac:dyDescent="0.2">
      <c r="A122" s="89"/>
      <c r="B122" s="89"/>
      <c r="C122" s="89"/>
      <c r="D122" s="89"/>
      <c r="E122" s="89"/>
      <c r="F122" s="89"/>
      <c r="G122" s="89"/>
      <c r="H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89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N122" s="89"/>
      <c r="AO122" s="89"/>
      <c r="AP122" s="89"/>
      <c r="AQ122" s="89"/>
      <c r="AR122" s="89"/>
      <c r="AS122" s="89"/>
      <c r="AT122" s="89"/>
      <c r="AU122" s="89"/>
      <c r="AV122" s="89"/>
      <c r="AW122" s="89"/>
      <c r="AX122" s="89"/>
      <c r="AY122" s="89"/>
      <c r="AZ122" s="89"/>
      <c r="BA122" s="89"/>
      <c r="BB122" s="89"/>
      <c r="BC122" s="89"/>
      <c r="BD122" s="89"/>
      <c r="BE122" s="89"/>
      <c r="BF122" s="89"/>
      <c r="BG122" s="89"/>
      <c r="BH122" s="89"/>
      <c r="BI122" s="89"/>
      <c r="BJ122" s="89"/>
      <c r="BK122" s="89"/>
      <c r="BL122" s="89"/>
      <c r="BM122" s="89"/>
      <c r="BN122" s="89"/>
      <c r="BO122" s="89"/>
      <c r="BP122" s="89"/>
      <c r="BQ122" s="89"/>
      <c r="BR122" s="89"/>
      <c r="BS122" s="89"/>
      <c r="BT122" s="89"/>
      <c r="BU122" s="89"/>
      <c r="BV122" s="89"/>
      <c r="BW122" s="89"/>
      <c r="BX122" s="89"/>
      <c r="BY122" s="89"/>
      <c r="BZ122" s="89"/>
      <c r="CA122" s="89"/>
      <c r="CB122" s="89"/>
      <c r="CC122" s="89"/>
      <c r="CD122" s="89"/>
      <c r="CE122" s="89"/>
      <c r="CF122" s="89"/>
      <c r="CG122" s="89"/>
      <c r="CH122" s="89"/>
      <c r="CI122" s="89"/>
      <c r="CJ122" s="89"/>
      <c r="CK122" s="89"/>
      <c r="CL122" s="89"/>
      <c r="CM122" s="89"/>
      <c r="CN122" s="89"/>
      <c r="CO122" s="89"/>
      <c r="CP122" s="89"/>
      <c r="CQ122" s="89"/>
      <c r="CR122" s="89"/>
      <c r="CS122" s="89"/>
      <c r="CT122" s="89"/>
      <c r="CU122" s="89"/>
      <c r="CV122" s="89"/>
      <c r="CW122" s="89"/>
      <c r="CX122" s="89"/>
      <c r="CY122" s="89"/>
      <c r="CZ122" s="89"/>
      <c r="DA122" s="89"/>
      <c r="DB122" s="89"/>
    </row>
    <row r="123" spans="1:106" x14ac:dyDescent="0.2">
      <c r="A123" s="89"/>
      <c r="B123" s="89"/>
      <c r="C123" s="89"/>
      <c r="D123" s="89"/>
      <c r="E123" s="89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89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N123" s="89"/>
      <c r="AO123" s="89"/>
      <c r="AP123" s="89"/>
      <c r="AQ123" s="89"/>
      <c r="AR123" s="89"/>
      <c r="AS123" s="89"/>
      <c r="AT123" s="89"/>
      <c r="AU123" s="89"/>
      <c r="AV123" s="89"/>
      <c r="AW123" s="89"/>
      <c r="AX123" s="89"/>
      <c r="AY123" s="89"/>
      <c r="AZ123" s="89"/>
      <c r="BA123" s="89"/>
      <c r="BB123" s="89"/>
      <c r="BC123" s="89"/>
      <c r="BD123" s="89"/>
      <c r="BE123" s="89"/>
      <c r="BF123" s="89"/>
      <c r="BG123" s="89"/>
      <c r="BH123" s="89"/>
      <c r="BI123" s="89"/>
      <c r="BJ123" s="89"/>
      <c r="BK123" s="89"/>
      <c r="BL123" s="89"/>
      <c r="BM123" s="89"/>
      <c r="BN123" s="89"/>
      <c r="BO123" s="89"/>
      <c r="BP123" s="89"/>
      <c r="BQ123" s="89"/>
      <c r="BR123" s="89"/>
      <c r="BS123" s="89"/>
      <c r="BT123" s="89"/>
      <c r="BU123" s="89"/>
      <c r="BV123" s="89"/>
      <c r="BW123" s="89"/>
      <c r="BX123" s="89"/>
      <c r="BY123" s="89"/>
      <c r="BZ123" s="89"/>
      <c r="CA123" s="89"/>
      <c r="CB123" s="89"/>
      <c r="CC123" s="89"/>
      <c r="CD123" s="89"/>
      <c r="CE123" s="89"/>
      <c r="CF123" s="89"/>
      <c r="CG123" s="89"/>
      <c r="CH123" s="89"/>
      <c r="CI123" s="89"/>
      <c r="CJ123" s="89"/>
      <c r="CK123" s="89"/>
      <c r="CL123" s="89"/>
      <c r="CM123" s="89"/>
      <c r="CN123" s="89"/>
      <c r="CO123" s="89"/>
      <c r="CP123" s="89"/>
      <c r="CQ123" s="89"/>
      <c r="CR123" s="89"/>
      <c r="CS123" s="89"/>
      <c r="CT123" s="89"/>
      <c r="CU123" s="89"/>
      <c r="CV123" s="89"/>
      <c r="CW123" s="89"/>
      <c r="CX123" s="89"/>
      <c r="CY123" s="89"/>
      <c r="CZ123" s="89"/>
      <c r="DA123" s="89"/>
      <c r="DB123" s="89"/>
    </row>
    <row r="124" spans="1:106" x14ac:dyDescent="0.2">
      <c r="A124" s="89"/>
      <c r="B124" s="89"/>
      <c r="C124" s="89"/>
      <c r="D124" s="89"/>
      <c r="E124" s="89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89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N124" s="89"/>
      <c r="AO124" s="89"/>
      <c r="AP124" s="89"/>
      <c r="AQ124" s="89"/>
      <c r="AR124" s="89"/>
      <c r="AS124" s="89"/>
      <c r="AT124" s="89"/>
      <c r="AU124" s="89"/>
      <c r="AV124" s="89"/>
      <c r="AW124" s="89"/>
      <c r="AX124" s="89"/>
      <c r="AY124" s="89"/>
      <c r="AZ124" s="89"/>
      <c r="BA124" s="89"/>
      <c r="BB124" s="89"/>
      <c r="BC124" s="89"/>
      <c r="BD124" s="89"/>
      <c r="BE124" s="89"/>
      <c r="BF124" s="89"/>
      <c r="BG124" s="89"/>
      <c r="BH124" s="89"/>
      <c r="BI124" s="89"/>
      <c r="BJ124" s="89"/>
      <c r="BK124" s="89"/>
      <c r="BL124" s="89"/>
      <c r="BM124" s="89"/>
      <c r="BN124" s="89"/>
      <c r="BO124" s="89"/>
      <c r="BP124" s="89"/>
      <c r="BQ124" s="89"/>
      <c r="BR124" s="89"/>
      <c r="BS124" s="89"/>
      <c r="BT124" s="89"/>
      <c r="BU124" s="89"/>
      <c r="BV124" s="89"/>
      <c r="BW124" s="89"/>
      <c r="BX124" s="89"/>
      <c r="BY124" s="89"/>
      <c r="BZ124" s="89"/>
      <c r="CA124" s="89"/>
      <c r="CB124" s="89"/>
      <c r="CC124" s="89"/>
      <c r="CD124" s="89"/>
      <c r="CE124" s="89"/>
      <c r="CF124" s="89"/>
      <c r="CG124" s="89"/>
      <c r="CH124" s="89"/>
      <c r="CI124" s="89"/>
      <c r="CJ124" s="89"/>
      <c r="CK124" s="89"/>
      <c r="CL124" s="89"/>
      <c r="CM124" s="89"/>
      <c r="CN124" s="89"/>
      <c r="CO124" s="89"/>
      <c r="CP124" s="89"/>
      <c r="CQ124" s="89"/>
      <c r="CR124" s="89"/>
      <c r="CS124" s="89"/>
      <c r="CT124" s="89"/>
      <c r="CU124" s="89"/>
      <c r="CV124" s="89"/>
      <c r="CW124" s="89"/>
      <c r="CX124" s="89"/>
      <c r="CY124" s="89"/>
      <c r="CZ124" s="89"/>
      <c r="DA124" s="89"/>
      <c r="DB124" s="89"/>
    </row>
    <row r="125" spans="1:106" x14ac:dyDescent="0.2">
      <c r="A125" s="89"/>
      <c r="B125" s="89"/>
      <c r="C125" s="89"/>
      <c r="D125" s="89"/>
      <c r="E125" s="89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89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N125" s="89"/>
      <c r="AO125" s="89"/>
      <c r="AP125" s="89"/>
      <c r="AQ125" s="89"/>
      <c r="AR125" s="89"/>
      <c r="AS125" s="89"/>
      <c r="AT125" s="89"/>
      <c r="AU125" s="89"/>
      <c r="AV125" s="89"/>
      <c r="AW125" s="89"/>
      <c r="AX125" s="89"/>
      <c r="AY125" s="89"/>
      <c r="AZ125" s="89"/>
      <c r="BA125" s="89"/>
      <c r="BB125" s="89"/>
      <c r="BC125" s="89"/>
      <c r="BD125" s="89"/>
      <c r="BE125" s="89"/>
      <c r="BF125" s="89"/>
      <c r="BG125" s="89"/>
      <c r="BH125" s="89"/>
      <c r="BI125" s="89"/>
      <c r="BJ125" s="89"/>
      <c r="BK125" s="89"/>
      <c r="BL125" s="89"/>
      <c r="BM125" s="89"/>
      <c r="BN125" s="89"/>
      <c r="BO125" s="89"/>
      <c r="BP125" s="89"/>
      <c r="BQ125" s="89"/>
      <c r="BR125" s="89"/>
      <c r="BS125" s="89"/>
      <c r="BT125" s="89"/>
      <c r="BU125" s="89"/>
      <c r="BV125" s="89"/>
      <c r="BW125" s="89"/>
      <c r="BX125" s="89"/>
      <c r="BY125" s="89"/>
      <c r="BZ125" s="89"/>
      <c r="CA125" s="89"/>
      <c r="CB125" s="89"/>
      <c r="CC125" s="89"/>
      <c r="CD125" s="89"/>
      <c r="CE125" s="89"/>
      <c r="CF125" s="89"/>
      <c r="CG125" s="89"/>
      <c r="CH125" s="89"/>
      <c r="CI125" s="89"/>
      <c r="CJ125" s="89"/>
      <c r="CK125" s="89"/>
      <c r="CL125" s="89"/>
      <c r="CM125" s="89"/>
      <c r="CN125" s="89"/>
      <c r="CO125" s="89"/>
      <c r="CP125" s="89"/>
      <c r="CQ125" s="89"/>
      <c r="CR125" s="89"/>
      <c r="CS125" s="89"/>
      <c r="CT125" s="89"/>
      <c r="CU125" s="89"/>
      <c r="CV125" s="89"/>
      <c r="CW125" s="89"/>
      <c r="CX125" s="89"/>
      <c r="CY125" s="89"/>
      <c r="CZ125" s="89"/>
      <c r="DA125" s="89"/>
      <c r="DB125" s="89"/>
    </row>
    <row r="126" spans="1:106" x14ac:dyDescent="0.2">
      <c r="A126" s="89"/>
      <c r="B126" s="89"/>
      <c r="C126" s="89"/>
      <c r="D126" s="89"/>
      <c r="E126" s="89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N126" s="89"/>
      <c r="AO126" s="89"/>
      <c r="AP126" s="89"/>
      <c r="AQ126" s="89"/>
      <c r="AR126" s="89"/>
      <c r="AS126" s="89"/>
      <c r="AT126" s="89"/>
      <c r="AU126" s="89"/>
      <c r="AV126" s="89"/>
      <c r="AW126" s="89"/>
      <c r="AX126" s="89"/>
      <c r="AY126" s="89"/>
      <c r="AZ126" s="89"/>
      <c r="BA126" s="89"/>
      <c r="BB126" s="89"/>
      <c r="BC126" s="89"/>
      <c r="BD126" s="89"/>
      <c r="BE126" s="89"/>
      <c r="BF126" s="89"/>
      <c r="BG126" s="89"/>
      <c r="BH126" s="89"/>
      <c r="BI126" s="89"/>
      <c r="BJ126" s="89"/>
      <c r="BK126" s="89"/>
      <c r="BL126" s="89"/>
      <c r="BM126" s="89"/>
      <c r="BN126" s="89"/>
      <c r="BO126" s="89"/>
      <c r="BP126" s="89"/>
      <c r="BQ126" s="89"/>
      <c r="BR126" s="89"/>
      <c r="BS126" s="89"/>
      <c r="BT126" s="89"/>
      <c r="BU126" s="89"/>
      <c r="BV126" s="89"/>
      <c r="BW126" s="89"/>
      <c r="BX126" s="89"/>
      <c r="BY126" s="89"/>
      <c r="BZ126" s="89"/>
      <c r="CA126" s="89"/>
      <c r="CB126" s="89"/>
      <c r="CC126" s="89"/>
      <c r="CD126" s="89"/>
      <c r="CE126" s="89"/>
      <c r="CF126" s="89"/>
      <c r="CG126" s="89"/>
      <c r="CH126" s="89"/>
      <c r="CI126" s="89"/>
      <c r="CJ126" s="89"/>
      <c r="CK126" s="89"/>
      <c r="CL126" s="89"/>
      <c r="CM126" s="89"/>
      <c r="CN126" s="89"/>
      <c r="CO126" s="89"/>
      <c r="CP126" s="89"/>
      <c r="CQ126" s="89"/>
      <c r="CR126" s="89"/>
      <c r="CS126" s="89"/>
      <c r="CT126" s="89"/>
      <c r="CU126" s="89"/>
      <c r="CV126" s="89"/>
      <c r="CW126" s="89"/>
      <c r="CX126" s="89"/>
      <c r="CY126" s="89"/>
      <c r="CZ126" s="89"/>
      <c r="DA126" s="89"/>
      <c r="DB126" s="89"/>
    </row>
    <row r="127" spans="1:106" x14ac:dyDescent="0.2">
      <c r="A127" s="89"/>
      <c r="B127" s="89"/>
      <c r="C127" s="89"/>
      <c r="D127" s="89"/>
      <c r="E127" s="89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N127" s="89"/>
      <c r="AO127" s="89"/>
      <c r="AP127" s="89"/>
      <c r="AQ127" s="89"/>
      <c r="AR127" s="89"/>
      <c r="AS127" s="89"/>
      <c r="AT127" s="89"/>
      <c r="AU127" s="89"/>
      <c r="AV127" s="89"/>
      <c r="AW127" s="89"/>
      <c r="AX127" s="89"/>
      <c r="AY127" s="89"/>
      <c r="AZ127" s="89"/>
      <c r="BA127" s="89"/>
      <c r="BB127" s="89"/>
      <c r="BC127" s="89"/>
      <c r="BD127" s="89"/>
      <c r="BE127" s="89"/>
      <c r="BF127" s="89"/>
      <c r="BG127" s="89"/>
      <c r="BH127" s="89"/>
      <c r="BI127" s="89"/>
      <c r="BJ127" s="89"/>
      <c r="BK127" s="89"/>
      <c r="BL127" s="89"/>
      <c r="BM127" s="89"/>
      <c r="BN127" s="89"/>
      <c r="BO127" s="89"/>
      <c r="BP127" s="89"/>
      <c r="BQ127" s="89"/>
      <c r="BR127" s="89"/>
      <c r="BS127" s="89"/>
      <c r="BT127" s="89"/>
      <c r="BU127" s="89"/>
      <c r="BV127" s="89"/>
      <c r="BW127" s="89"/>
      <c r="BX127" s="89"/>
      <c r="BY127" s="89"/>
      <c r="BZ127" s="89"/>
      <c r="CA127" s="89"/>
      <c r="CB127" s="89"/>
      <c r="CC127" s="89"/>
      <c r="CD127" s="89"/>
      <c r="CE127" s="89"/>
      <c r="CF127" s="89"/>
      <c r="CG127" s="89"/>
      <c r="CH127" s="89"/>
      <c r="CI127" s="89"/>
      <c r="CJ127" s="89"/>
      <c r="CK127" s="89"/>
      <c r="CL127" s="89"/>
      <c r="CM127" s="89"/>
      <c r="CN127" s="89"/>
      <c r="CO127" s="89"/>
      <c r="CP127" s="89"/>
      <c r="CQ127" s="89"/>
      <c r="CR127" s="89"/>
      <c r="CS127" s="89"/>
      <c r="CT127" s="89"/>
      <c r="CU127" s="89"/>
      <c r="CV127" s="89"/>
      <c r="CW127" s="89"/>
      <c r="CX127" s="89"/>
      <c r="CY127" s="89"/>
      <c r="CZ127" s="89"/>
      <c r="DA127" s="89"/>
      <c r="DB127" s="89"/>
    </row>
    <row r="128" spans="1:106" x14ac:dyDescent="0.2">
      <c r="A128" s="89"/>
      <c r="B128" s="89"/>
      <c r="C128" s="89"/>
      <c r="D128" s="89"/>
      <c r="E128" s="89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N128" s="89"/>
      <c r="AO128" s="89"/>
      <c r="AP128" s="89"/>
      <c r="AQ128" s="89"/>
      <c r="AR128" s="89"/>
      <c r="AS128" s="89"/>
      <c r="AT128" s="89"/>
      <c r="AU128" s="89"/>
      <c r="AV128" s="89"/>
      <c r="AW128" s="89"/>
      <c r="AX128" s="89"/>
      <c r="AY128" s="89"/>
      <c r="AZ128" s="89"/>
      <c r="BA128" s="89"/>
      <c r="BB128" s="89"/>
      <c r="BC128" s="89"/>
      <c r="BD128" s="89"/>
      <c r="BE128" s="89"/>
      <c r="BF128" s="89"/>
      <c r="BG128" s="89"/>
      <c r="BH128" s="89"/>
      <c r="BI128" s="89"/>
      <c r="BJ128" s="89"/>
      <c r="BK128" s="89"/>
      <c r="BL128" s="89"/>
      <c r="BM128" s="89"/>
      <c r="BN128" s="89"/>
      <c r="BO128" s="89"/>
      <c r="BP128" s="89"/>
      <c r="BQ128" s="89"/>
      <c r="BR128" s="89"/>
      <c r="BS128" s="89"/>
      <c r="BT128" s="89"/>
      <c r="BU128" s="89"/>
      <c r="BV128" s="89"/>
      <c r="BW128" s="89"/>
      <c r="BX128" s="89"/>
      <c r="BY128" s="89"/>
      <c r="BZ128" s="89"/>
      <c r="CA128" s="89"/>
      <c r="CB128" s="89"/>
      <c r="CC128" s="89"/>
      <c r="CD128" s="89"/>
      <c r="CE128" s="89"/>
      <c r="CF128" s="89"/>
      <c r="CG128" s="89"/>
      <c r="CH128" s="89"/>
      <c r="CI128" s="89"/>
      <c r="CJ128" s="89"/>
      <c r="CK128" s="89"/>
      <c r="CL128" s="89"/>
      <c r="CM128" s="89"/>
      <c r="CN128" s="89"/>
      <c r="CO128" s="89"/>
      <c r="CP128" s="89"/>
      <c r="CQ128" s="89"/>
      <c r="CR128" s="89"/>
      <c r="CS128" s="89"/>
      <c r="CT128" s="89"/>
      <c r="CU128" s="89"/>
      <c r="CV128" s="89"/>
      <c r="CW128" s="89"/>
      <c r="CX128" s="89"/>
      <c r="CY128" s="89"/>
      <c r="CZ128" s="89"/>
      <c r="DA128" s="89"/>
      <c r="DB128" s="89"/>
    </row>
    <row r="129" spans="1:106" x14ac:dyDescent="0.2">
      <c r="A129" s="89"/>
      <c r="B129" s="89"/>
      <c r="C129" s="89"/>
      <c r="D129" s="89"/>
      <c r="E129" s="89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N129" s="89"/>
      <c r="AO129" s="89"/>
      <c r="AP129" s="89"/>
      <c r="AQ129" s="89"/>
      <c r="AR129" s="89"/>
      <c r="AS129" s="89"/>
      <c r="AT129" s="89"/>
      <c r="AU129" s="89"/>
      <c r="AV129" s="89"/>
      <c r="AW129" s="89"/>
      <c r="AX129" s="89"/>
      <c r="AY129" s="89"/>
      <c r="AZ129" s="89"/>
      <c r="BA129" s="89"/>
      <c r="BB129" s="89"/>
      <c r="BC129" s="89"/>
      <c r="BD129" s="89"/>
      <c r="BE129" s="89"/>
      <c r="BF129" s="89"/>
      <c r="BG129" s="89"/>
      <c r="BH129" s="89"/>
      <c r="BI129" s="89"/>
      <c r="BJ129" s="89"/>
      <c r="BK129" s="89"/>
      <c r="BL129" s="89"/>
      <c r="BM129" s="89"/>
      <c r="BN129" s="89"/>
      <c r="BO129" s="89"/>
      <c r="BP129" s="89"/>
      <c r="BQ129" s="89"/>
      <c r="BR129" s="89"/>
      <c r="BS129" s="89"/>
      <c r="BT129" s="89"/>
      <c r="BU129" s="89"/>
      <c r="BV129" s="89"/>
      <c r="BW129" s="89"/>
      <c r="BX129" s="89"/>
      <c r="BY129" s="89"/>
      <c r="BZ129" s="89"/>
      <c r="CA129" s="89"/>
      <c r="CB129" s="89"/>
      <c r="CC129" s="89"/>
      <c r="CD129" s="89"/>
      <c r="CE129" s="89"/>
      <c r="CF129" s="89"/>
      <c r="CG129" s="89"/>
      <c r="CH129" s="89"/>
      <c r="CI129" s="89"/>
      <c r="CJ129" s="89"/>
      <c r="CK129" s="89"/>
      <c r="CL129" s="89"/>
      <c r="CM129" s="89"/>
      <c r="CN129" s="89"/>
      <c r="CO129" s="89"/>
      <c r="CP129" s="89"/>
      <c r="CQ129" s="89"/>
      <c r="CR129" s="89"/>
      <c r="CS129" s="89"/>
      <c r="CT129" s="89"/>
      <c r="CU129" s="89"/>
      <c r="CV129" s="89"/>
      <c r="CW129" s="89"/>
      <c r="CX129" s="89"/>
      <c r="CY129" s="89"/>
      <c r="CZ129" s="89"/>
      <c r="DA129" s="89"/>
      <c r="DB129" s="89"/>
    </row>
    <row r="130" spans="1:106" x14ac:dyDescent="0.2">
      <c r="A130" s="89"/>
      <c r="B130" s="89"/>
      <c r="C130" s="89"/>
      <c r="D130" s="89"/>
      <c r="E130" s="89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N130" s="89"/>
      <c r="AO130" s="89"/>
      <c r="AP130" s="89"/>
      <c r="AQ130" s="89"/>
      <c r="AR130" s="89"/>
      <c r="AS130" s="89"/>
      <c r="AT130" s="89"/>
      <c r="AU130" s="89"/>
      <c r="AV130" s="89"/>
      <c r="AW130" s="89"/>
      <c r="AX130" s="89"/>
      <c r="AY130" s="89"/>
      <c r="AZ130" s="89"/>
      <c r="BA130" s="89"/>
      <c r="BB130" s="89"/>
      <c r="BC130" s="89"/>
      <c r="BD130" s="89"/>
      <c r="BE130" s="89"/>
      <c r="BF130" s="89"/>
      <c r="BG130" s="89"/>
      <c r="BH130" s="89"/>
      <c r="BI130" s="89"/>
      <c r="BJ130" s="89"/>
      <c r="BK130" s="89"/>
      <c r="BL130" s="89"/>
      <c r="BM130" s="89"/>
      <c r="BN130" s="89"/>
      <c r="BO130" s="89"/>
      <c r="BP130" s="89"/>
      <c r="BQ130" s="89"/>
      <c r="BR130" s="89"/>
      <c r="BS130" s="89"/>
      <c r="BT130" s="89"/>
      <c r="BU130" s="89"/>
      <c r="BV130" s="89"/>
      <c r="BW130" s="89"/>
      <c r="BX130" s="89"/>
      <c r="BY130" s="89"/>
      <c r="BZ130" s="89"/>
      <c r="CA130" s="89"/>
      <c r="CB130" s="89"/>
      <c r="CC130" s="89"/>
      <c r="CD130" s="89"/>
      <c r="CE130" s="89"/>
      <c r="CF130" s="89"/>
      <c r="CG130" s="89"/>
      <c r="CH130" s="89"/>
      <c r="CI130" s="89"/>
      <c r="CJ130" s="89"/>
      <c r="CK130" s="89"/>
      <c r="CL130" s="89"/>
      <c r="CM130" s="89"/>
      <c r="CN130" s="89"/>
      <c r="CO130" s="89"/>
      <c r="CP130" s="89"/>
      <c r="CQ130" s="89"/>
      <c r="CR130" s="89"/>
      <c r="CS130" s="89"/>
      <c r="CT130" s="89"/>
      <c r="CU130" s="89"/>
      <c r="CV130" s="89"/>
      <c r="CW130" s="89"/>
      <c r="CX130" s="89"/>
      <c r="CY130" s="89"/>
      <c r="CZ130" s="89"/>
      <c r="DA130" s="89"/>
      <c r="DB130" s="89"/>
    </row>
    <row r="131" spans="1:106" x14ac:dyDescent="0.2">
      <c r="A131" s="89"/>
      <c r="B131" s="89"/>
      <c r="C131" s="89"/>
      <c r="D131" s="89"/>
      <c r="E131" s="89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N131" s="89"/>
      <c r="AO131" s="89"/>
      <c r="AP131" s="89"/>
      <c r="AQ131" s="89"/>
      <c r="AR131" s="89"/>
      <c r="AS131" s="89"/>
      <c r="AT131" s="89"/>
      <c r="AU131" s="89"/>
      <c r="AV131" s="89"/>
      <c r="AW131" s="89"/>
      <c r="AX131" s="89"/>
      <c r="AY131" s="89"/>
      <c r="AZ131" s="89"/>
      <c r="BA131" s="89"/>
      <c r="BB131" s="89"/>
      <c r="BC131" s="89"/>
      <c r="BD131" s="89"/>
      <c r="BE131" s="89"/>
      <c r="BF131" s="89"/>
      <c r="BG131" s="89"/>
      <c r="BH131" s="89"/>
      <c r="BI131" s="89"/>
      <c r="BJ131" s="89"/>
      <c r="BK131" s="89"/>
      <c r="BL131" s="89"/>
      <c r="BM131" s="89"/>
      <c r="BN131" s="89"/>
      <c r="BO131" s="89"/>
      <c r="BP131" s="89"/>
      <c r="BQ131" s="89"/>
      <c r="BR131" s="89"/>
      <c r="BS131" s="89"/>
      <c r="BT131" s="89"/>
      <c r="BU131" s="89"/>
      <c r="BV131" s="89"/>
      <c r="BW131" s="89"/>
      <c r="BX131" s="89"/>
      <c r="BY131" s="89"/>
      <c r="BZ131" s="89"/>
      <c r="CA131" s="89"/>
      <c r="CB131" s="89"/>
      <c r="CC131" s="89"/>
      <c r="CD131" s="89"/>
      <c r="CE131" s="89"/>
      <c r="CF131" s="89"/>
      <c r="CG131" s="89"/>
      <c r="CH131" s="89"/>
      <c r="CI131" s="89"/>
      <c r="CJ131" s="89"/>
      <c r="CK131" s="89"/>
      <c r="CL131" s="89"/>
      <c r="CM131" s="89"/>
      <c r="CN131" s="89"/>
      <c r="CO131" s="89"/>
      <c r="CP131" s="89"/>
      <c r="CQ131" s="89"/>
      <c r="CR131" s="89"/>
      <c r="CS131" s="89"/>
      <c r="CT131" s="89"/>
      <c r="CU131" s="89"/>
      <c r="CV131" s="89"/>
      <c r="CW131" s="89"/>
      <c r="CX131" s="89"/>
      <c r="CY131" s="89"/>
      <c r="CZ131" s="89"/>
      <c r="DA131" s="89"/>
      <c r="DB131" s="89"/>
    </row>
    <row r="132" spans="1:106" x14ac:dyDescent="0.2">
      <c r="A132" s="89"/>
      <c r="B132" s="89"/>
      <c r="C132" s="89"/>
      <c r="D132" s="89"/>
      <c r="E132" s="89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N132" s="89"/>
      <c r="AO132" s="89"/>
      <c r="AP132" s="89"/>
      <c r="AQ132" s="89"/>
      <c r="AR132" s="89"/>
      <c r="AS132" s="89"/>
      <c r="AT132" s="89"/>
      <c r="AU132" s="89"/>
      <c r="AV132" s="89"/>
      <c r="AW132" s="89"/>
      <c r="AX132" s="89"/>
      <c r="AY132" s="89"/>
      <c r="AZ132" s="89"/>
      <c r="BA132" s="89"/>
      <c r="BB132" s="89"/>
      <c r="BC132" s="89"/>
      <c r="BD132" s="89"/>
      <c r="BE132" s="89"/>
      <c r="BF132" s="89"/>
      <c r="BG132" s="89"/>
      <c r="BH132" s="89"/>
      <c r="BI132" s="89"/>
      <c r="BJ132" s="89"/>
      <c r="BK132" s="89"/>
      <c r="BL132" s="89"/>
      <c r="BM132" s="89"/>
      <c r="BN132" s="89"/>
      <c r="BO132" s="89"/>
      <c r="BP132" s="89"/>
      <c r="BQ132" s="89"/>
      <c r="BR132" s="89"/>
      <c r="BS132" s="89"/>
      <c r="BT132" s="89"/>
      <c r="BU132" s="89"/>
      <c r="BV132" s="89"/>
      <c r="BW132" s="89"/>
      <c r="BX132" s="89"/>
      <c r="BY132" s="89"/>
      <c r="BZ132" s="89"/>
      <c r="CA132" s="89"/>
      <c r="CB132" s="89"/>
      <c r="CC132" s="89"/>
      <c r="CD132" s="89"/>
      <c r="CE132" s="89"/>
      <c r="CF132" s="89"/>
      <c r="CG132" s="89"/>
      <c r="CH132" s="89"/>
      <c r="CI132" s="89"/>
      <c r="CJ132" s="89"/>
      <c r="CK132" s="89"/>
      <c r="CL132" s="89"/>
      <c r="CM132" s="89"/>
      <c r="CN132" s="89"/>
      <c r="CO132" s="89"/>
      <c r="CP132" s="89"/>
      <c r="CQ132" s="89"/>
      <c r="CR132" s="89"/>
      <c r="CS132" s="89"/>
      <c r="CT132" s="89"/>
      <c r="CU132" s="89"/>
      <c r="CV132" s="89"/>
      <c r="CW132" s="89"/>
      <c r="CX132" s="89"/>
      <c r="CY132" s="89"/>
      <c r="CZ132" s="89"/>
      <c r="DA132" s="89"/>
      <c r="DB132" s="89"/>
    </row>
    <row r="133" spans="1:106" x14ac:dyDescent="0.2">
      <c r="A133" s="89"/>
      <c r="B133" s="89"/>
      <c r="C133" s="89"/>
      <c r="D133" s="89"/>
      <c r="E133" s="89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N133" s="89"/>
      <c r="AO133" s="89"/>
      <c r="AP133" s="89"/>
      <c r="AQ133" s="89"/>
      <c r="AR133" s="89"/>
      <c r="AS133" s="89"/>
      <c r="AT133" s="89"/>
      <c r="AU133" s="89"/>
      <c r="AV133" s="89"/>
      <c r="AW133" s="89"/>
      <c r="AX133" s="89"/>
      <c r="AY133" s="89"/>
      <c r="AZ133" s="89"/>
      <c r="BA133" s="89"/>
      <c r="BB133" s="89"/>
      <c r="BC133" s="89"/>
      <c r="BD133" s="89"/>
      <c r="BE133" s="89"/>
      <c r="BF133" s="89"/>
      <c r="BG133" s="89"/>
      <c r="BH133" s="89"/>
      <c r="BI133" s="89"/>
      <c r="BJ133" s="89"/>
      <c r="BK133" s="89"/>
      <c r="BL133" s="89"/>
      <c r="BM133" s="89"/>
      <c r="BN133" s="89"/>
      <c r="BO133" s="89"/>
      <c r="BP133" s="89"/>
      <c r="BQ133" s="89"/>
      <c r="BR133" s="89"/>
      <c r="BS133" s="89"/>
      <c r="BT133" s="89"/>
      <c r="BU133" s="89"/>
      <c r="BV133" s="89"/>
      <c r="BW133" s="89"/>
      <c r="BX133" s="89"/>
      <c r="BY133" s="89"/>
      <c r="BZ133" s="89"/>
      <c r="CA133" s="89"/>
      <c r="CB133" s="89"/>
      <c r="CC133" s="89"/>
      <c r="CD133" s="89"/>
      <c r="CE133" s="89"/>
      <c r="CF133" s="89"/>
      <c r="CG133" s="89"/>
      <c r="CH133" s="89"/>
      <c r="CI133" s="89"/>
      <c r="CJ133" s="89"/>
      <c r="CK133" s="89"/>
      <c r="CL133" s="89"/>
      <c r="CM133" s="89"/>
      <c r="CN133" s="89"/>
      <c r="CO133" s="89"/>
      <c r="CP133" s="89"/>
      <c r="CQ133" s="89"/>
      <c r="CR133" s="89"/>
      <c r="CS133" s="89"/>
      <c r="CT133" s="89"/>
      <c r="CU133" s="89"/>
      <c r="CV133" s="89"/>
      <c r="CW133" s="89"/>
      <c r="CX133" s="89"/>
      <c r="CY133" s="89"/>
      <c r="CZ133" s="89"/>
      <c r="DA133" s="89"/>
      <c r="DB133" s="89"/>
    </row>
    <row r="134" spans="1:106" x14ac:dyDescent="0.2">
      <c r="A134" s="89"/>
      <c r="B134" s="89"/>
      <c r="C134" s="89"/>
      <c r="D134" s="89"/>
      <c r="E134" s="89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N134" s="89"/>
      <c r="AO134" s="89"/>
      <c r="AP134" s="89"/>
      <c r="AQ134" s="89"/>
      <c r="AR134" s="89"/>
      <c r="AS134" s="89"/>
      <c r="AT134" s="89"/>
      <c r="AU134" s="89"/>
      <c r="AV134" s="89"/>
      <c r="AW134" s="89"/>
      <c r="AX134" s="89"/>
      <c r="AY134" s="89"/>
      <c r="AZ134" s="89"/>
      <c r="BA134" s="89"/>
      <c r="BB134" s="89"/>
      <c r="BC134" s="89"/>
      <c r="BD134" s="89"/>
      <c r="BE134" s="89"/>
      <c r="BF134" s="89"/>
      <c r="BG134" s="89"/>
      <c r="BH134" s="89"/>
      <c r="BI134" s="89"/>
      <c r="BJ134" s="89"/>
      <c r="BK134" s="89"/>
      <c r="BL134" s="89"/>
      <c r="BM134" s="89"/>
      <c r="BN134" s="89"/>
      <c r="BO134" s="89"/>
      <c r="BP134" s="89"/>
      <c r="BQ134" s="89"/>
      <c r="BR134" s="89"/>
      <c r="BS134" s="89"/>
      <c r="BT134" s="89"/>
      <c r="BU134" s="89"/>
      <c r="BV134" s="89"/>
      <c r="BW134" s="89"/>
      <c r="BX134" s="89"/>
      <c r="BY134" s="89"/>
      <c r="BZ134" s="89"/>
      <c r="CA134" s="89"/>
      <c r="CB134" s="89"/>
      <c r="CC134" s="89"/>
      <c r="CD134" s="89"/>
      <c r="CE134" s="89"/>
      <c r="CF134" s="89"/>
      <c r="CG134" s="89"/>
      <c r="CH134" s="89"/>
      <c r="CI134" s="89"/>
      <c r="CJ134" s="89"/>
      <c r="CK134" s="89"/>
      <c r="CL134" s="89"/>
      <c r="CM134" s="89"/>
      <c r="CN134" s="89"/>
      <c r="CO134" s="89"/>
      <c r="CP134" s="89"/>
      <c r="CQ134" s="89"/>
      <c r="CR134" s="89"/>
      <c r="CS134" s="89"/>
      <c r="CT134" s="89"/>
      <c r="CU134" s="89"/>
      <c r="CV134" s="89"/>
      <c r="CW134" s="89"/>
      <c r="CX134" s="89"/>
      <c r="CY134" s="89"/>
      <c r="CZ134" s="89"/>
      <c r="DA134" s="89"/>
      <c r="DB134" s="89"/>
    </row>
    <row r="135" spans="1:106" x14ac:dyDescent="0.2">
      <c r="A135" s="89"/>
      <c r="B135" s="89"/>
      <c r="C135" s="89"/>
      <c r="D135" s="89"/>
      <c r="E135" s="89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N135" s="89"/>
      <c r="AO135" s="89"/>
      <c r="AP135" s="89"/>
      <c r="AQ135" s="89"/>
      <c r="AR135" s="89"/>
      <c r="AS135" s="89"/>
      <c r="AT135" s="89"/>
      <c r="AU135" s="89"/>
      <c r="AV135" s="89"/>
      <c r="AW135" s="89"/>
      <c r="AX135" s="89"/>
      <c r="AY135" s="89"/>
      <c r="AZ135" s="89"/>
      <c r="BA135" s="89"/>
      <c r="BB135" s="89"/>
      <c r="BC135" s="89"/>
      <c r="BD135" s="89"/>
      <c r="BE135" s="89"/>
      <c r="BF135" s="89"/>
      <c r="BG135" s="89"/>
      <c r="BH135" s="89"/>
      <c r="BI135" s="89"/>
      <c r="BJ135" s="89"/>
      <c r="BK135" s="89"/>
      <c r="BL135" s="89"/>
      <c r="BM135" s="89"/>
      <c r="BN135" s="89"/>
      <c r="BO135" s="89"/>
      <c r="BP135" s="89"/>
      <c r="BQ135" s="89"/>
      <c r="BR135" s="89"/>
      <c r="BS135" s="89"/>
      <c r="BT135" s="89"/>
      <c r="BU135" s="89"/>
      <c r="BV135" s="89"/>
      <c r="BW135" s="89"/>
      <c r="BX135" s="89"/>
      <c r="BY135" s="89"/>
      <c r="BZ135" s="89"/>
      <c r="CA135" s="89"/>
      <c r="CB135" s="89"/>
      <c r="CC135" s="89"/>
      <c r="CD135" s="89"/>
      <c r="CE135" s="89"/>
      <c r="CF135" s="89"/>
      <c r="CG135" s="89"/>
      <c r="CH135" s="89"/>
      <c r="CI135" s="89"/>
      <c r="CJ135" s="89"/>
      <c r="CK135" s="89"/>
      <c r="CL135" s="89"/>
      <c r="CM135" s="89"/>
      <c r="CN135" s="89"/>
      <c r="CO135" s="89"/>
      <c r="CP135" s="89"/>
      <c r="CQ135" s="89"/>
      <c r="CR135" s="89"/>
      <c r="CS135" s="89"/>
      <c r="CT135" s="89"/>
      <c r="CU135" s="89"/>
      <c r="CV135" s="89"/>
      <c r="CW135" s="89"/>
      <c r="CX135" s="89"/>
      <c r="CY135" s="89"/>
      <c r="CZ135" s="89"/>
      <c r="DA135" s="89"/>
      <c r="DB135" s="89"/>
    </row>
    <row r="136" spans="1:106" x14ac:dyDescent="0.2">
      <c r="A136" s="89"/>
      <c r="B136" s="89"/>
      <c r="C136" s="89"/>
      <c r="D136" s="89"/>
      <c r="E136" s="89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N136" s="89"/>
      <c r="AO136" s="89"/>
      <c r="AP136" s="89"/>
      <c r="AQ136" s="89"/>
      <c r="AR136" s="89"/>
      <c r="AS136" s="89"/>
      <c r="AT136" s="89"/>
      <c r="AU136" s="89"/>
      <c r="AV136" s="89"/>
      <c r="AW136" s="89"/>
      <c r="AX136" s="89"/>
      <c r="AY136" s="89"/>
      <c r="AZ136" s="89"/>
      <c r="BA136" s="89"/>
      <c r="BB136" s="89"/>
      <c r="BC136" s="89"/>
      <c r="BD136" s="89"/>
      <c r="BE136" s="89"/>
      <c r="BF136" s="89"/>
      <c r="BG136" s="89"/>
      <c r="BH136" s="89"/>
      <c r="BI136" s="89"/>
      <c r="BJ136" s="89"/>
      <c r="BK136" s="89"/>
      <c r="BL136" s="89"/>
      <c r="BM136" s="89"/>
      <c r="BN136" s="89"/>
      <c r="BO136" s="89"/>
      <c r="BP136" s="89"/>
      <c r="BQ136" s="89"/>
      <c r="BR136" s="89"/>
      <c r="BS136" s="89"/>
      <c r="BT136" s="89"/>
      <c r="BU136" s="89"/>
      <c r="BV136" s="89"/>
      <c r="BW136" s="89"/>
      <c r="BX136" s="89"/>
      <c r="BY136" s="89"/>
      <c r="BZ136" s="89"/>
      <c r="CA136" s="89"/>
      <c r="CB136" s="89"/>
      <c r="CC136" s="89"/>
      <c r="CD136" s="89"/>
      <c r="CE136" s="89"/>
      <c r="CF136" s="89"/>
      <c r="CG136" s="89"/>
      <c r="CH136" s="89"/>
      <c r="CI136" s="89"/>
      <c r="CJ136" s="89"/>
      <c r="CK136" s="89"/>
      <c r="CL136" s="89"/>
      <c r="CM136" s="89"/>
      <c r="CN136" s="89"/>
      <c r="CO136" s="89"/>
      <c r="CP136" s="89"/>
      <c r="CQ136" s="89"/>
      <c r="CR136" s="89"/>
      <c r="CS136" s="89"/>
      <c r="CT136" s="89"/>
      <c r="CU136" s="89"/>
      <c r="CV136" s="89"/>
      <c r="CW136" s="89"/>
      <c r="CX136" s="89"/>
      <c r="CY136" s="89"/>
      <c r="CZ136" s="89"/>
      <c r="DA136" s="89"/>
      <c r="DB136" s="89"/>
    </row>
    <row r="137" spans="1:106" x14ac:dyDescent="0.2">
      <c r="A137" s="89"/>
      <c r="B137" s="89"/>
      <c r="C137" s="89"/>
      <c r="D137" s="89"/>
      <c r="E137" s="89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N137" s="89"/>
      <c r="AO137" s="89"/>
      <c r="AP137" s="89"/>
      <c r="AQ137" s="89"/>
      <c r="AR137" s="89"/>
      <c r="AS137" s="89"/>
      <c r="AT137" s="89"/>
      <c r="AU137" s="89"/>
      <c r="AV137" s="89"/>
      <c r="AW137" s="89"/>
      <c r="AX137" s="89"/>
      <c r="AY137" s="89"/>
      <c r="AZ137" s="89"/>
      <c r="BA137" s="89"/>
      <c r="BB137" s="89"/>
      <c r="BC137" s="89"/>
      <c r="BD137" s="89"/>
      <c r="BE137" s="89"/>
      <c r="BF137" s="89"/>
      <c r="BG137" s="89"/>
      <c r="BH137" s="89"/>
      <c r="BI137" s="89"/>
      <c r="BJ137" s="89"/>
      <c r="BK137" s="89"/>
      <c r="BL137" s="89"/>
      <c r="BM137" s="89"/>
      <c r="BN137" s="89"/>
      <c r="BO137" s="89"/>
      <c r="BP137" s="89"/>
      <c r="BQ137" s="89"/>
      <c r="BR137" s="89"/>
      <c r="BS137" s="89"/>
      <c r="BT137" s="89"/>
      <c r="BU137" s="89"/>
      <c r="BV137" s="89"/>
      <c r="BW137" s="89"/>
      <c r="BX137" s="89"/>
      <c r="BY137" s="89"/>
      <c r="BZ137" s="89"/>
      <c r="CA137" s="89"/>
      <c r="CB137" s="89"/>
      <c r="CC137" s="89"/>
      <c r="CD137" s="89"/>
      <c r="CE137" s="89"/>
      <c r="CF137" s="89"/>
      <c r="CG137" s="89"/>
      <c r="CH137" s="89"/>
      <c r="CI137" s="89"/>
      <c r="CJ137" s="89"/>
      <c r="CK137" s="89"/>
      <c r="CL137" s="89"/>
      <c r="CM137" s="89"/>
      <c r="CN137" s="89"/>
      <c r="CO137" s="89"/>
      <c r="CP137" s="89"/>
      <c r="CQ137" s="89"/>
      <c r="CR137" s="89"/>
      <c r="CS137" s="89"/>
      <c r="CT137" s="89"/>
      <c r="CU137" s="89"/>
      <c r="CV137" s="89"/>
      <c r="CW137" s="89"/>
      <c r="CX137" s="89"/>
      <c r="CY137" s="89"/>
      <c r="CZ137" s="89"/>
      <c r="DA137" s="89"/>
      <c r="DB137" s="89"/>
    </row>
    <row r="138" spans="1:106" x14ac:dyDescent="0.2">
      <c r="A138" s="89"/>
      <c r="B138" s="89"/>
      <c r="C138" s="89"/>
      <c r="D138" s="89"/>
      <c r="E138" s="89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N138" s="89"/>
      <c r="AO138" s="89"/>
      <c r="AP138" s="89"/>
      <c r="AQ138" s="89"/>
      <c r="AR138" s="89"/>
      <c r="AS138" s="89"/>
      <c r="AT138" s="89"/>
      <c r="AU138" s="89"/>
      <c r="AV138" s="89"/>
      <c r="AW138" s="89"/>
      <c r="AX138" s="89"/>
      <c r="AY138" s="89"/>
      <c r="AZ138" s="89"/>
      <c r="BA138" s="89"/>
      <c r="BB138" s="89"/>
      <c r="BC138" s="89"/>
      <c r="BD138" s="89"/>
      <c r="BE138" s="89"/>
      <c r="BF138" s="89"/>
      <c r="BG138" s="89"/>
      <c r="BH138" s="89"/>
      <c r="BI138" s="89"/>
      <c r="BJ138" s="89"/>
      <c r="BK138" s="89"/>
      <c r="BL138" s="89"/>
      <c r="BM138" s="89"/>
      <c r="BN138" s="89"/>
      <c r="BO138" s="89"/>
      <c r="BP138" s="89"/>
      <c r="BQ138" s="89"/>
      <c r="BR138" s="89"/>
      <c r="BS138" s="89"/>
      <c r="BT138" s="89"/>
      <c r="BU138" s="89"/>
      <c r="BV138" s="89"/>
      <c r="BW138" s="89"/>
      <c r="BX138" s="89"/>
      <c r="BY138" s="89"/>
      <c r="BZ138" s="89"/>
      <c r="CA138" s="89"/>
      <c r="CB138" s="89"/>
      <c r="CC138" s="89"/>
      <c r="CD138" s="89"/>
      <c r="CE138" s="89"/>
      <c r="CF138" s="89"/>
      <c r="CG138" s="89"/>
      <c r="CH138" s="89"/>
      <c r="CI138" s="89"/>
      <c r="CJ138" s="89"/>
      <c r="CK138" s="89"/>
      <c r="CL138" s="89"/>
      <c r="CM138" s="89"/>
      <c r="CN138" s="89"/>
      <c r="CO138" s="89"/>
      <c r="CP138" s="89"/>
      <c r="CQ138" s="89"/>
      <c r="CR138" s="89"/>
      <c r="CS138" s="89"/>
      <c r="CT138" s="89"/>
      <c r="CU138" s="89"/>
      <c r="CV138" s="89"/>
      <c r="CW138" s="89"/>
      <c r="CX138" s="89"/>
      <c r="CY138" s="89"/>
      <c r="CZ138" s="89"/>
      <c r="DA138" s="89"/>
      <c r="DB138" s="89"/>
    </row>
    <row r="139" spans="1:106" x14ac:dyDescent="0.2">
      <c r="A139" s="89"/>
      <c r="B139" s="89"/>
      <c r="C139" s="89"/>
      <c r="D139" s="89"/>
      <c r="E139" s="89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N139" s="89"/>
      <c r="AO139" s="89"/>
      <c r="AP139" s="89"/>
      <c r="AQ139" s="89"/>
      <c r="AR139" s="89"/>
      <c r="AS139" s="89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/>
      <c r="BK139" s="89"/>
      <c r="BL139" s="89"/>
      <c r="BM139" s="89"/>
      <c r="BN139" s="89"/>
      <c r="BO139" s="89"/>
      <c r="BP139" s="89"/>
      <c r="BQ139" s="89"/>
      <c r="BR139" s="89"/>
      <c r="BS139" s="89"/>
      <c r="BT139" s="89"/>
      <c r="BU139" s="89"/>
      <c r="BV139" s="89"/>
      <c r="BW139" s="89"/>
      <c r="BX139" s="89"/>
      <c r="BY139" s="89"/>
      <c r="BZ139" s="89"/>
      <c r="CA139" s="89"/>
      <c r="CB139" s="89"/>
      <c r="CC139" s="89"/>
      <c r="CD139" s="89"/>
      <c r="CE139" s="89"/>
      <c r="CF139" s="89"/>
      <c r="CG139" s="89"/>
      <c r="CH139" s="89"/>
      <c r="CI139" s="89"/>
      <c r="CJ139" s="89"/>
      <c r="CK139" s="89"/>
      <c r="CL139" s="89"/>
      <c r="CM139" s="89"/>
      <c r="CN139" s="89"/>
      <c r="CO139" s="89"/>
      <c r="CP139" s="89"/>
      <c r="CQ139" s="89"/>
      <c r="CR139" s="89"/>
      <c r="CS139" s="89"/>
      <c r="CT139" s="89"/>
      <c r="CU139" s="89"/>
      <c r="CV139" s="89"/>
      <c r="CW139" s="89"/>
      <c r="CX139" s="89"/>
      <c r="CY139" s="89"/>
      <c r="CZ139" s="89"/>
      <c r="DA139" s="89"/>
      <c r="DB139" s="89"/>
    </row>
    <row r="140" spans="1:106" x14ac:dyDescent="0.2">
      <c r="A140" s="89"/>
      <c r="B140" s="89"/>
      <c r="C140" s="89"/>
      <c r="D140" s="89"/>
      <c r="E140" s="89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N140" s="89"/>
      <c r="AO140" s="89"/>
      <c r="AP140" s="89"/>
      <c r="AQ140" s="89"/>
      <c r="AR140" s="89"/>
      <c r="AS140" s="89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/>
      <c r="BK140" s="89"/>
      <c r="BL140" s="89"/>
      <c r="BM140" s="89"/>
      <c r="BN140" s="89"/>
      <c r="BO140" s="89"/>
      <c r="BP140" s="89"/>
      <c r="BQ140" s="89"/>
      <c r="BR140" s="89"/>
      <c r="BS140" s="89"/>
      <c r="BT140" s="89"/>
      <c r="BU140" s="89"/>
      <c r="BV140" s="89"/>
      <c r="BW140" s="89"/>
      <c r="BX140" s="89"/>
      <c r="BY140" s="89"/>
      <c r="BZ140" s="89"/>
      <c r="CA140" s="89"/>
      <c r="CB140" s="89"/>
      <c r="CC140" s="89"/>
      <c r="CD140" s="89"/>
      <c r="CE140" s="89"/>
      <c r="CF140" s="89"/>
      <c r="CG140" s="89"/>
      <c r="CH140" s="89"/>
      <c r="CI140" s="89"/>
      <c r="CJ140" s="89"/>
      <c r="CK140" s="89"/>
      <c r="CL140" s="89"/>
      <c r="CM140" s="89"/>
      <c r="CN140" s="89"/>
      <c r="CO140" s="89"/>
      <c r="CP140" s="89"/>
      <c r="CQ140" s="89"/>
      <c r="CR140" s="89"/>
      <c r="CS140" s="89"/>
      <c r="CT140" s="89"/>
      <c r="CU140" s="89"/>
      <c r="CV140" s="89"/>
      <c r="CW140" s="89"/>
      <c r="CX140" s="89"/>
      <c r="CY140" s="89"/>
      <c r="CZ140" s="89"/>
      <c r="DA140" s="89"/>
      <c r="DB140" s="89"/>
    </row>
    <row r="141" spans="1:106" x14ac:dyDescent="0.2">
      <c r="A141" s="89"/>
      <c r="B141" s="89"/>
      <c r="C141" s="89"/>
      <c r="D141" s="89"/>
      <c r="E141" s="89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N141" s="89"/>
      <c r="AO141" s="89"/>
      <c r="AP141" s="89"/>
      <c r="AQ141" s="89"/>
      <c r="AR141" s="89"/>
      <c r="AS141" s="89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/>
      <c r="BK141" s="89"/>
      <c r="BL141" s="89"/>
      <c r="BM141" s="89"/>
      <c r="BN141" s="89"/>
      <c r="BO141" s="89"/>
      <c r="BP141" s="89"/>
      <c r="BQ141" s="89"/>
      <c r="BR141" s="89"/>
      <c r="BS141" s="89"/>
      <c r="BT141" s="89"/>
      <c r="BU141" s="89"/>
      <c r="BV141" s="89"/>
      <c r="BW141" s="89"/>
      <c r="BX141" s="89"/>
      <c r="BY141" s="89"/>
      <c r="BZ141" s="89"/>
      <c r="CA141" s="89"/>
      <c r="CB141" s="89"/>
      <c r="CC141" s="89"/>
      <c r="CD141" s="89"/>
      <c r="CE141" s="89"/>
      <c r="CF141" s="89"/>
      <c r="CG141" s="89"/>
      <c r="CH141" s="89"/>
      <c r="CI141" s="89"/>
      <c r="CJ141" s="89"/>
      <c r="CK141" s="89"/>
      <c r="CL141" s="89"/>
      <c r="CM141" s="89"/>
      <c r="CN141" s="89"/>
      <c r="CO141" s="89"/>
      <c r="CP141" s="89"/>
      <c r="CQ141" s="89"/>
      <c r="CR141" s="89"/>
      <c r="CS141" s="89"/>
      <c r="CT141" s="89"/>
      <c r="CU141" s="89"/>
      <c r="CV141" s="89"/>
      <c r="CW141" s="89"/>
      <c r="CX141" s="89"/>
      <c r="CY141" s="89"/>
      <c r="CZ141" s="89"/>
      <c r="DA141" s="89"/>
      <c r="DB141" s="89"/>
    </row>
    <row r="142" spans="1:106" x14ac:dyDescent="0.2">
      <c r="A142" s="89"/>
      <c r="B142" s="89"/>
      <c r="C142" s="89"/>
      <c r="D142" s="89"/>
      <c r="E142" s="89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N142" s="89"/>
      <c r="AO142" s="89"/>
      <c r="AP142" s="89"/>
      <c r="AQ142" s="89"/>
      <c r="AR142" s="89"/>
      <c r="AS142" s="89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/>
      <c r="BK142" s="89"/>
      <c r="BL142" s="89"/>
      <c r="BM142" s="89"/>
      <c r="BN142" s="89"/>
      <c r="BO142" s="89"/>
      <c r="BP142" s="89"/>
      <c r="BQ142" s="89"/>
      <c r="BR142" s="89"/>
      <c r="BS142" s="89"/>
      <c r="BT142" s="89"/>
      <c r="BU142" s="89"/>
      <c r="BV142" s="89"/>
      <c r="BW142" s="89"/>
      <c r="BX142" s="89"/>
      <c r="BY142" s="89"/>
      <c r="BZ142" s="89"/>
      <c r="CA142" s="89"/>
      <c r="CB142" s="89"/>
      <c r="CC142" s="89"/>
      <c r="CD142" s="89"/>
      <c r="CE142" s="89"/>
      <c r="CF142" s="89"/>
      <c r="CG142" s="89"/>
      <c r="CH142" s="89"/>
      <c r="CI142" s="89"/>
      <c r="CJ142" s="89"/>
      <c r="CK142" s="89"/>
      <c r="CL142" s="89"/>
      <c r="CM142" s="89"/>
      <c r="CN142" s="89"/>
      <c r="CO142" s="89"/>
      <c r="CP142" s="89"/>
      <c r="CQ142" s="89"/>
      <c r="CR142" s="89"/>
      <c r="CS142" s="89"/>
      <c r="CT142" s="89"/>
      <c r="CU142" s="89"/>
      <c r="CV142" s="89"/>
      <c r="CW142" s="89"/>
      <c r="CX142" s="89"/>
      <c r="CY142" s="89"/>
      <c r="CZ142" s="89"/>
      <c r="DA142" s="89"/>
      <c r="DB142" s="89"/>
    </row>
    <row r="143" spans="1:106" x14ac:dyDescent="0.2">
      <c r="A143" s="89"/>
      <c r="B143" s="89"/>
      <c r="C143" s="89"/>
      <c r="D143" s="89"/>
      <c r="E143" s="89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N143" s="89"/>
      <c r="AO143" s="89"/>
      <c r="AP143" s="89"/>
      <c r="AQ143" s="89"/>
      <c r="AR143" s="89"/>
      <c r="AS143" s="89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/>
      <c r="BK143" s="89"/>
      <c r="BL143" s="89"/>
      <c r="BM143" s="89"/>
      <c r="BN143" s="89"/>
      <c r="BO143" s="89"/>
      <c r="BP143" s="89"/>
      <c r="BQ143" s="89"/>
      <c r="BR143" s="89"/>
      <c r="BS143" s="89"/>
      <c r="BT143" s="89"/>
      <c r="BU143" s="89"/>
      <c r="BV143" s="89"/>
      <c r="BW143" s="89"/>
      <c r="BX143" s="89"/>
      <c r="BY143" s="89"/>
      <c r="BZ143" s="89"/>
      <c r="CA143" s="89"/>
      <c r="CB143" s="89"/>
      <c r="CC143" s="89"/>
      <c r="CD143" s="89"/>
      <c r="CE143" s="89"/>
      <c r="CF143" s="89"/>
      <c r="CG143" s="89"/>
      <c r="CH143" s="89"/>
      <c r="CI143" s="89"/>
      <c r="CJ143" s="89"/>
      <c r="CK143" s="89"/>
      <c r="CL143" s="89"/>
      <c r="CM143" s="89"/>
      <c r="CN143" s="89"/>
      <c r="CO143" s="89"/>
      <c r="CP143" s="89"/>
      <c r="CQ143" s="89"/>
      <c r="CR143" s="89"/>
      <c r="CS143" s="89"/>
      <c r="CT143" s="89"/>
      <c r="CU143" s="89"/>
      <c r="CV143" s="89"/>
      <c r="CW143" s="89"/>
      <c r="CX143" s="89"/>
      <c r="CY143" s="89"/>
      <c r="CZ143" s="89"/>
      <c r="DA143" s="89"/>
      <c r="DB143" s="89"/>
    </row>
    <row r="144" spans="1:106" x14ac:dyDescent="0.2">
      <c r="A144" s="89"/>
      <c r="B144" s="89"/>
      <c r="C144" s="89"/>
      <c r="D144" s="89"/>
      <c r="E144" s="89"/>
      <c r="F144" s="89"/>
      <c r="G144" s="89"/>
      <c r="H144" s="89"/>
      <c r="I144" s="89"/>
      <c r="J144" s="89"/>
      <c r="K144" s="89"/>
      <c r="L144" s="89"/>
      <c r="M144" s="89"/>
      <c r="N144" s="89"/>
      <c r="O144" s="89"/>
      <c r="P144" s="89"/>
      <c r="Q144" s="89"/>
      <c r="R144" s="89"/>
      <c r="S144" s="89"/>
      <c r="T144" s="89"/>
      <c r="U144" s="89"/>
      <c r="V144" s="89"/>
      <c r="W144" s="89"/>
      <c r="X144" s="89"/>
      <c r="Y144" s="89"/>
      <c r="Z144" s="89"/>
      <c r="AA144" s="89"/>
      <c r="AB144" s="89"/>
      <c r="AC144" s="89"/>
      <c r="AD144" s="89"/>
      <c r="AE144" s="89"/>
      <c r="AF144" s="89"/>
      <c r="AG144" s="89"/>
      <c r="AH144" s="89"/>
      <c r="AI144" s="89"/>
      <c r="AJ144" s="89"/>
      <c r="AK144" s="89"/>
      <c r="AL144" s="89"/>
      <c r="AM144" s="89"/>
      <c r="AN144" s="89"/>
      <c r="AO144" s="89"/>
      <c r="AP144" s="89"/>
      <c r="AQ144" s="89"/>
      <c r="AR144" s="89"/>
      <c r="AS144" s="89"/>
      <c r="AT144" s="89"/>
      <c r="AU144" s="89"/>
      <c r="AV144" s="89"/>
      <c r="AW144" s="89"/>
      <c r="AX144" s="89"/>
      <c r="AY144" s="89"/>
      <c r="AZ144" s="89"/>
      <c r="BA144" s="89"/>
      <c r="BB144" s="89"/>
      <c r="BC144" s="89"/>
      <c r="BD144" s="89"/>
      <c r="BE144" s="89"/>
      <c r="BF144" s="89"/>
      <c r="BG144" s="89"/>
      <c r="BH144" s="89"/>
      <c r="BI144" s="89"/>
      <c r="BJ144" s="89"/>
      <c r="BK144" s="89"/>
      <c r="BL144" s="89"/>
      <c r="BM144" s="89"/>
      <c r="BN144" s="89"/>
      <c r="BO144" s="89"/>
      <c r="BP144" s="89"/>
      <c r="BQ144" s="89"/>
      <c r="BR144" s="89"/>
      <c r="BS144" s="89"/>
      <c r="BT144" s="89"/>
      <c r="BU144" s="89"/>
      <c r="BV144" s="89"/>
      <c r="BW144" s="89"/>
      <c r="BX144" s="89"/>
      <c r="BY144" s="89"/>
      <c r="BZ144" s="89"/>
      <c r="CA144" s="89"/>
      <c r="CB144" s="89"/>
      <c r="CC144" s="89"/>
      <c r="CD144" s="89"/>
      <c r="CE144" s="89"/>
      <c r="CF144" s="89"/>
      <c r="CG144" s="89"/>
      <c r="CH144" s="89"/>
      <c r="CI144" s="89"/>
      <c r="CJ144" s="89"/>
      <c r="CK144" s="89"/>
      <c r="CL144" s="89"/>
      <c r="CM144" s="89"/>
      <c r="CN144" s="89"/>
      <c r="CO144" s="89"/>
      <c r="CP144" s="89"/>
      <c r="CQ144" s="89"/>
      <c r="CR144" s="89"/>
      <c r="CS144" s="89"/>
      <c r="CT144" s="89"/>
      <c r="CU144" s="89"/>
      <c r="CV144" s="89"/>
      <c r="CW144" s="89"/>
      <c r="CX144" s="89"/>
      <c r="CY144" s="89"/>
      <c r="CZ144" s="89"/>
      <c r="DA144" s="89"/>
      <c r="DB144" s="89"/>
    </row>
    <row r="145" spans="1:106" x14ac:dyDescent="0.2">
      <c r="A145" s="89"/>
      <c r="B145" s="89"/>
      <c r="C145" s="89"/>
      <c r="D145" s="89"/>
      <c r="E145" s="89"/>
      <c r="F145" s="89"/>
      <c r="G145" s="89"/>
      <c r="H145" s="89"/>
      <c r="I145" s="89"/>
      <c r="J145" s="89"/>
      <c r="K145" s="89"/>
      <c r="L145" s="89"/>
      <c r="M145" s="89"/>
      <c r="N145" s="89"/>
      <c r="O145" s="89"/>
      <c r="P145" s="89"/>
      <c r="Q145" s="89"/>
      <c r="R145" s="89"/>
      <c r="S145" s="89"/>
      <c r="T145" s="89"/>
      <c r="U145" s="89"/>
      <c r="V145" s="89"/>
      <c r="W145" s="89"/>
      <c r="X145" s="89"/>
      <c r="Y145" s="89"/>
      <c r="Z145" s="89"/>
      <c r="AA145" s="89"/>
      <c r="AB145" s="89"/>
      <c r="AC145" s="89"/>
      <c r="AD145" s="89"/>
      <c r="AE145" s="89"/>
      <c r="AF145" s="89"/>
      <c r="AG145" s="89"/>
      <c r="AH145" s="89"/>
      <c r="AI145" s="89"/>
      <c r="AJ145" s="89"/>
      <c r="AK145" s="89"/>
      <c r="AL145" s="89"/>
      <c r="AM145" s="89"/>
      <c r="AN145" s="89"/>
      <c r="AO145" s="89"/>
      <c r="AP145" s="89"/>
      <c r="AQ145" s="89"/>
      <c r="AR145" s="89"/>
      <c r="AS145" s="89"/>
      <c r="AT145" s="89"/>
      <c r="AU145" s="89"/>
      <c r="AV145" s="89"/>
      <c r="AW145" s="89"/>
      <c r="AX145" s="89"/>
      <c r="AY145" s="89"/>
      <c r="AZ145" s="89"/>
      <c r="BA145" s="89"/>
      <c r="BB145" s="89"/>
      <c r="BC145" s="89"/>
      <c r="BD145" s="89"/>
      <c r="BE145" s="89"/>
      <c r="BF145" s="89"/>
      <c r="BG145" s="89"/>
      <c r="BH145" s="89"/>
      <c r="BI145" s="89"/>
      <c r="BJ145" s="89"/>
      <c r="BK145" s="89"/>
      <c r="BL145" s="89"/>
      <c r="BM145" s="89"/>
      <c r="BN145" s="89"/>
      <c r="BO145" s="89"/>
      <c r="BP145" s="89"/>
      <c r="BQ145" s="89"/>
      <c r="BR145" s="89"/>
      <c r="BS145" s="89"/>
      <c r="BT145" s="89"/>
      <c r="BU145" s="89"/>
      <c r="BV145" s="89"/>
      <c r="BW145" s="89"/>
      <c r="BX145" s="89"/>
      <c r="BY145" s="89"/>
      <c r="BZ145" s="89"/>
      <c r="CA145" s="89"/>
      <c r="CB145" s="89"/>
      <c r="CC145" s="89"/>
      <c r="CD145" s="89"/>
      <c r="CE145" s="89"/>
      <c r="CF145" s="89"/>
      <c r="CG145" s="89"/>
      <c r="CH145" s="89"/>
      <c r="CI145" s="89"/>
      <c r="CJ145" s="89"/>
      <c r="CK145" s="89"/>
      <c r="CL145" s="89"/>
      <c r="CM145" s="89"/>
      <c r="CN145" s="89"/>
      <c r="CO145" s="89"/>
      <c r="CP145" s="89"/>
      <c r="CQ145" s="89"/>
      <c r="CR145" s="89"/>
      <c r="CS145" s="89"/>
      <c r="CT145" s="89"/>
      <c r="CU145" s="89"/>
      <c r="CV145" s="89"/>
      <c r="CW145" s="89"/>
      <c r="CX145" s="89"/>
      <c r="CY145" s="89"/>
      <c r="CZ145" s="89"/>
      <c r="DA145" s="89"/>
      <c r="DB145" s="89"/>
    </row>
    <row r="146" spans="1:106" x14ac:dyDescent="0.2">
      <c r="A146" s="89"/>
      <c r="B146" s="89"/>
      <c r="C146" s="89"/>
      <c r="D146" s="89"/>
      <c r="E146" s="89"/>
      <c r="F146" s="89"/>
      <c r="G146" s="89"/>
      <c r="H146" s="89"/>
      <c r="I146" s="89"/>
      <c r="J146" s="89"/>
      <c r="K146" s="89"/>
      <c r="L146" s="89"/>
      <c r="M146" s="89"/>
      <c r="N146" s="89"/>
      <c r="O146" s="89"/>
      <c r="P146" s="89"/>
      <c r="Q146" s="89"/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  <c r="AE146" s="89"/>
      <c r="AF146" s="89"/>
      <c r="AG146" s="89"/>
      <c r="AH146" s="89"/>
      <c r="AI146" s="89"/>
      <c r="AJ146" s="89"/>
      <c r="AK146" s="89"/>
      <c r="AL146" s="89"/>
      <c r="AM146" s="89"/>
      <c r="AN146" s="89"/>
      <c r="AO146" s="89"/>
      <c r="AP146" s="89"/>
      <c r="AQ146" s="89"/>
      <c r="AR146" s="89"/>
      <c r="AS146" s="89"/>
      <c r="AT146" s="89"/>
      <c r="AU146" s="89"/>
      <c r="AV146" s="89"/>
      <c r="AW146" s="89"/>
      <c r="AX146" s="89"/>
      <c r="AY146" s="89"/>
      <c r="AZ146" s="89"/>
      <c r="BA146" s="89"/>
      <c r="BB146" s="89"/>
      <c r="BC146" s="89"/>
      <c r="BD146" s="89"/>
      <c r="BE146" s="89"/>
      <c r="BF146" s="89"/>
      <c r="BG146" s="89"/>
      <c r="BH146" s="89"/>
      <c r="BI146" s="89"/>
      <c r="BJ146" s="89"/>
      <c r="BK146" s="89"/>
      <c r="BL146" s="89"/>
      <c r="BM146" s="89"/>
      <c r="BN146" s="89"/>
      <c r="BO146" s="89"/>
      <c r="BP146" s="89"/>
      <c r="BQ146" s="89"/>
      <c r="BR146" s="89"/>
      <c r="BS146" s="89"/>
      <c r="BT146" s="89"/>
      <c r="BU146" s="89"/>
      <c r="BV146" s="89"/>
      <c r="BW146" s="89"/>
      <c r="BX146" s="89"/>
      <c r="BY146" s="89"/>
      <c r="BZ146" s="89"/>
      <c r="CA146" s="89"/>
      <c r="CB146" s="89"/>
      <c r="CC146" s="89"/>
      <c r="CD146" s="89"/>
      <c r="CE146" s="89"/>
      <c r="CF146" s="89"/>
      <c r="CG146" s="89"/>
      <c r="CH146" s="89"/>
      <c r="CI146" s="89"/>
      <c r="CJ146" s="89"/>
      <c r="CK146" s="89"/>
      <c r="CL146" s="89"/>
      <c r="CM146" s="89"/>
      <c r="CN146" s="89"/>
      <c r="CO146" s="89"/>
      <c r="CP146" s="89"/>
      <c r="CQ146" s="89"/>
      <c r="CR146" s="89"/>
      <c r="CS146" s="89"/>
      <c r="CT146" s="89"/>
      <c r="CU146" s="89"/>
      <c r="CV146" s="89"/>
      <c r="CW146" s="89"/>
      <c r="CX146" s="89"/>
      <c r="CY146" s="89"/>
      <c r="CZ146" s="89"/>
      <c r="DA146" s="89"/>
      <c r="DB146" s="89"/>
    </row>
    <row r="147" spans="1:106" x14ac:dyDescent="0.2">
      <c r="A147" s="89"/>
      <c r="B147" s="89"/>
      <c r="C147" s="89"/>
      <c r="D147" s="89"/>
      <c r="E147" s="89"/>
      <c r="F147" s="89"/>
      <c r="G147" s="89"/>
      <c r="H147" s="89"/>
      <c r="I147" s="89"/>
      <c r="J147" s="89"/>
      <c r="K147" s="89"/>
      <c r="L147" s="89"/>
      <c r="M147" s="89"/>
      <c r="N147" s="89"/>
      <c r="O147" s="89"/>
      <c r="P147" s="89"/>
      <c r="Q147" s="89"/>
      <c r="R147" s="89"/>
      <c r="S147" s="89"/>
      <c r="T147" s="89"/>
      <c r="U147" s="89"/>
      <c r="V147" s="89"/>
      <c r="W147" s="89"/>
      <c r="X147" s="89"/>
      <c r="Y147" s="89"/>
      <c r="Z147" s="89"/>
      <c r="AA147" s="89"/>
      <c r="AB147" s="89"/>
      <c r="AC147" s="89"/>
      <c r="AD147" s="89"/>
      <c r="AE147" s="89"/>
      <c r="AF147" s="89"/>
      <c r="AG147" s="89"/>
      <c r="AH147" s="89"/>
      <c r="AI147" s="89"/>
      <c r="AJ147" s="89"/>
      <c r="AK147" s="89"/>
      <c r="AL147" s="89"/>
      <c r="AM147" s="89"/>
      <c r="AN147" s="89"/>
      <c r="AO147" s="89"/>
      <c r="AP147" s="89"/>
      <c r="AQ147" s="89"/>
      <c r="AR147" s="89"/>
      <c r="AS147" s="89"/>
      <c r="AT147" s="89"/>
      <c r="AU147" s="89"/>
      <c r="AV147" s="89"/>
      <c r="AW147" s="89"/>
      <c r="AX147" s="89"/>
      <c r="AY147" s="89"/>
      <c r="AZ147" s="89"/>
      <c r="BA147" s="89"/>
      <c r="BB147" s="89"/>
      <c r="BC147" s="89"/>
      <c r="BD147" s="89"/>
      <c r="BE147" s="89"/>
      <c r="BF147" s="89"/>
      <c r="BG147" s="89"/>
      <c r="BH147" s="89"/>
      <c r="BI147" s="89"/>
      <c r="BJ147" s="89"/>
      <c r="BK147" s="89"/>
      <c r="BL147" s="89"/>
      <c r="BM147" s="89"/>
      <c r="BN147" s="89"/>
      <c r="BO147" s="89"/>
      <c r="BP147" s="89"/>
      <c r="BQ147" s="89"/>
      <c r="BR147" s="89"/>
      <c r="BS147" s="89"/>
      <c r="BT147" s="89"/>
      <c r="BU147" s="89"/>
      <c r="BV147" s="89"/>
      <c r="BW147" s="89"/>
      <c r="BX147" s="89"/>
      <c r="BY147" s="89"/>
      <c r="BZ147" s="89"/>
      <c r="CA147" s="89"/>
      <c r="CB147" s="89"/>
      <c r="CC147" s="89"/>
      <c r="CD147" s="89"/>
      <c r="CE147" s="89"/>
      <c r="CF147" s="89"/>
      <c r="CG147" s="89"/>
      <c r="CH147" s="89"/>
      <c r="CI147" s="89"/>
      <c r="CJ147" s="89"/>
      <c r="CK147" s="89"/>
      <c r="CL147" s="89"/>
      <c r="CM147" s="89"/>
      <c r="CN147" s="89"/>
      <c r="CO147" s="89"/>
      <c r="CP147" s="89"/>
      <c r="CQ147" s="89"/>
      <c r="CR147" s="89"/>
      <c r="CS147" s="89"/>
      <c r="CT147" s="89"/>
      <c r="CU147" s="89"/>
      <c r="CV147" s="89"/>
      <c r="CW147" s="89"/>
      <c r="CX147" s="89"/>
      <c r="CY147" s="89"/>
      <c r="CZ147" s="89"/>
      <c r="DA147" s="89"/>
      <c r="DB147" s="89"/>
    </row>
    <row r="148" spans="1:106" x14ac:dyDescent="0.2">
      <c r="A148" s="89"/>
      <c r="B148" s="89"/>
      <c r="C148" s="89"/>
      <c r="D148" s="89"/>
      <c r="E148" s="89"/>
      <c r="F148" s="89"/>
      <c r="G148" s="89"/>
      <c r="H148" s="89"/>
      <c r="I148" s="89"/>
      <c r="J148" s="89"/>
      <c r="K148" s="89"/>
      <c r="L148" s="89"/>
      <c r="M148" s="89"/>
      <c r="N148" s="89"/>
      <c r="O148" s="89"/>
      <c r="P148" s="89"/>
      <c r="Q148" s="89"/>
      <c r="R148" s="89"/>
      <c r="S148" s="89"/>
      <c r="T148" s="89"/>
      <c r="U148" s="89"/>
      <c r="V148" s="89"/>
      <c r="W148" s="89"/>
      <c r="X148" s="89"/>
      <c r="Y148" s="89"/>
      <c r="Z148" s="89"/>
      <c r="AA148" s="89"/>
      <c r="AB148" s="89"/>
      <c r="AC148" s="89"/>
      <c r="AD148" s="89"/>
      <c r="AE148" s="89"/>
      <c r="AF148" s="89"/>
      <c r="AG148" s="89"/>
      <c r="AH148" s="89"/>
      <c r="AI148" s="89"/>
      <c r="AJ148" s="89"/>
      <c r="AK148" s="89"/>
      <c r="AL148" s="89"/>
      <c r="AM148" s="89"/>
      <c r="AN148" s="89"/>
      <c r="AO148" s="89"/>
      <c r="AP148" s="89"/>
      <c r="AQ148" s="89"/>
      <c r="AR148" s="89"/>
      <c r="AS148" s="89"/>
      <c r="AT148" s="89"/>
      <c r="AU148" s="89"/>
      <c r="AV148" s="89"/>
      <c r="AW148" s="89"/>
      <c r="AX148" s="89"/>
      <c r="AY148" s="89"/>
      <c r="AZ148" s="89"/>
      <c r="BA148" s="89"/>
      <c r="BB148" s="89"/>
      <c r="BC148" s="89"/>
      <c r="BD148" s="89"/>
      <c r="BE148" s="89"/>
      <c r="BF148" s="89"/>
      <c r="BG148" s="89"/>
      <c r="BH148" s="89"/>
      <c r="BI148" s="89"/>
      <c r="BJ148" s="89"/>
      <c r="BK148" s="89"/>
      <c r="BL148" s="89"/>
      <c r="BM148" s="89"/>
      <c r="BN148" s="89"/>
      <c r="BO148" s="89"/>
      <c r="BP148" s="89"/>
      <c r="BQ148" s="89"/>
      <c r="BR148" s="89"/>
      <c r="BS148" s="89"/>
      <c r="BT148" s="89"/>
      <c r="BU148" s="89"/>
      <c r="BV148" s="89"/>
      <c r="BW148" s="89"/>
      <c r="BX148" s="89"/>
      <c r="BY148" s="89"/>
      <c r="BZ148" s="89"/>
      <c r="CA148" s="89"/>
      <c r="CB148" s="89"/>
      <c r="CC148" s="89"/>
      <c r="CD148" s="89"/>
      <c r="CE148" s="89"/>
      <c r="CF148" s="89"/>
      <c r="CG148" s="89"/>
      <c r="CH148" s="89"/>
      <c r="CI148" s="89"/>
      <c r="CJ148" s="89"/>
      <c r="CK148" s="89"/>
      <c r="CL148" s="89"/>
      <c r="CM148" s="89"/>
      <c r="CN148" s="89"/>
      <c r="CO148" s="89"/>
      <c r="CP148" s="89"/>
      <c r="CQ148" s="89"/>
      <c r="CR148" s="89"/>
      <c r="CS148" s="89"/>
      <c r="CT148" s="89"/>
      <c r="CU148" s="89"/>
      <c r="CV148" s="89"/>
      <c r="CW148" s="89"/>
      <c r="CX148" s="89"/>
      <c r="CY148" s="89"/>
      <c r="CZ148" s="89"/>
      <c r="DA148" s="89"/>
      <c r="DB148" s="89"/>
    </row>
    <row r="149" spans="1:106" x14ac:dyDescent="0.2">
      <c r="A149" s="89"/>
      <c r="B149" s="89"/>
      <c r="C149" s="89"/>
      <c r="D149" s="89"/>
      <c r="E149" s="89"/>
      <c r="F149" s="89"/>
      <c r="G149" s="89"/>
      <c r="H149" s="89"/>
      <c r="I149" s="89"/>
      <c r="J149" s="89"/>
      <c r="K149" s="89"/>
      <c r="L149" s="89"/>
      <c r="M149" s="89"/>
      <c r="N149" s="89"/>
      <c r="O149" s="89"/>
      <c r="P149" s="89"/>
      <c r="Q149" s="89"/>
      <c r="R149" s="89"/>
      <c r="S149" s="89"/>
      <c r="T149" s="89"/>
      <c r="U149" s="89"/>
      <c r="V149" s="89"/>
      <c r="W149" s="89"/>
      <c r="X149" s="89"/>
      <c r="Y149" s="89"/>
      <c r="Z149" s="89"/>
      <c r="AA149" s="89"/>
      <c r="AB149" s="89"/>
      <c r="AC149" s="89"/>
      <c r="AD149" s="89"/>
      <c r="AE149" s="89"/>
      <c r="AF149" s="89"/>
      <c r="AG149" s="89"/>
      <c r="AH149" s="89"/>
      <c r="AI149" s="89"/>
      <c r="AJ149" s="89"/>
      <c r="AK149" s="89"/>
      <c r="AL149" s="89"/>
      <c r="AM149" s="89"/>
      <c r="AN149" s="89"/>
      <c r="AO149" s="89"/>
      <c r="AP149" s="89"/>
      <c r="AQ149" s="89"/>
      <c r="AR149" s="89"/>
      <c r="AS149" s="89"/>
      <c r="AT149" s="89"/>
      <c r="AU149" s="89"/>
      <c r="AV149" s="89"/>
      <c r="AW149" s="89"/>
      <c r="AX149" s="89"/>
      <c r="AY149" s="89"/>
      <c r="AZ149" s="89"/>
      <c r="BA149" s="89"/>
      <c r="BB149" s="89"/>
      <c r="BC149" s="89"/>
      <c r="BD149" s="89"/>
      <c r="BE149" s="89"/>
      <c r="BF149" s="89"/>
      <c r="BG149" s="89"/>
      <c r="BH149" s="89"/>
      <c r="BI149" s="89"/>
      <c r="BJ149" s="89"/>
      <c r="BK149" s="89"/>
      <c r="BL149" s="89"/>
      <c r="BM149" s="89"/>
      <c r="BN149" s="89"/>
      <c r="BO149" s="89"/>
      <c r="BP149" s="89"/>
      <c r="BQ149" s="89"/>
      <c r="BR149" s="89"/>
      <c r="BS149" s="89"/>
      <c r="BT149" s="89"/>
      <c r="BU149" s="89"/>
      <c r="BV149" s="89"/>
      <c r="BW149" s="89"/>
      <c r="BX149" s="89"/>
      <c r="BY149" s="89"/>
      <c r="BZ149" s="89"/>
      <c r="CA149" s="89"/>
      <c r="CB149" s="89"/>
      <c r="CC149" s="89"/>
      <c r="CD149" s="89"/>
      <c r="CE149" s="89"/>
      <c r="CF149" s="89"/>
      <c r="CG149" s="89"/>
      <c r="CH149" s="89"/>
      <c r="CI149" s="89"/>
      <c r="CJ149" s="89"/>
      <c r="CK149" s="89"/>
      <c r="CL149" s="89"/>
      <c r="CM149" s="89"/>
      <c r="CN149" s="89"/>
      <c r="CO149" s="89"/>
      <c r="CP149" s="89"/>
      <c r="CQ149" s="89"/>
      <c r="CR149" s="89"/>
      <c r="CS149" s="89"/>
      <c r="CT149" s="89"/>
      <c r="CU149" s="89"/>
      <c r="CV149" s="89"/>
      <c r="CW149" s="89"/>
      <c r="CX149" s="89"/>
      <c r="CY149" s="89"/>
      <c r="CZ149" s="89"/>
      <c r="DA149" s="89"/>
      <c r="DB149" s="89"/>
    </row>
    <row r="150" spans="1:106" x14ac:dyDescent="0.2">
      <c r="A150" s="89"/>
      <c r="B150" s="89"/>
      <c r="C150" s="89"/>
      <c r="D150" s="89"/>
      <c r="E150" s="89"/>
      <c r="F150" s="89"/>
      <c r="G150" s="89"/>
      <c r="H150" s="89"/>
      <c r="I150" s="89"/>
      <c r="J150" s="89"/>
      <c r="K150" s="89"/>
      <c r="L150" s="89"/>
      <c r="M150" s="89"/>
      <c r="N150" s="89"/>
      <c r="O150" s="89"/>
      <c r="P150" s="89"/>
      <c r="Q150" s="89"/>
      <c r="R150" s="89"/>
      <c r="S150" s="89"/>
      <c r="T150" s="89"/>
      <c r="U150" s="89"/>
      <c r="V150" s="89"/>
      <c r="W150" s="89"/>
      <c r="X150" s="89"/>
      <c r="Y150" s="89"/>
      <c r="Z150" s="89"/>
      <c r="AA150" s="89"/>
      <c r="AB150" s="89"/>
      <c r="AC150" s="89"/>
      <c r="AD150" s="89"/>
      <c r="AE150" s="89"/>
      <c r="AF150" s="89"/>
      <c r="AG150" s="89"/>
      <c r="AH150" s="89"/>
      <c r="AI150" s="89"/>
      <c r="AJ150" s="89"/>
      <c r="AK150" s="89"/>
      <c r="AL150" s="89"/>
      <c r="AM150" s="89"/>
      <c r="AN150" s="89"/>
      <c r="AO150" s="89"/>
      <c r="AP150" s="89"/>
      <c r="AQ150" s="89"/>
      <c r="AR150" s="89"/>
      <c r="AS150" s="89"/>
      <c r="AT150" s="89"/>
      <c r="AU150" s="89"/>
      <c r="AV150" s="89"/>
      <c r="AW150" s="89"/>
      <c r="AX150" s="89"/>
      <c r="AY150" s="89"/>
      <c r="AZ150" s="89"/>
      <c r="BA150" s="89"/>
      <c r="BB150" s="89"/>
      <c r="BC150" s="89"/>
      <c r="BD150" s="89"/>
      <c r="BE150" s="89"/>
      <c r="BF150" s="89"/>
      <c r="BG150" s="89"/>
      <c r="BH150" s="89"/>
      <c r="BI150" s="89"/>
      <c r="BJ150" s="89"/>
      <c r="BK150" s="89"/>
      <c r="BL150" s="89"/>
      <c r="BM150" s="89"/>
      <c r="BN150" s="89"/>
      <c r="BO150" s="89"/>
      <c r="BP150" s="89"/>
      <c r="BQ150" s="89"/>
      <c r="BR150" s="89"/>
      <c r="BS150" s="89"/>
      <c r="BT150" s="89"/>
      <c r="BU150" s="89"/>
      <c r="BV150" s="89"/>
      <c r="BW150" s="89"/>
      <c r="BX150" s="89"/>
      <c r="BY150" s="89"/>
      <c r="BZ150" s="89"/>
      <c r="CA150" s="89"/>
      <c r="CB150" s="89"/>
      <c r="CC150" s="89"/>
      <c r="CD150" s="89"/>
      <c r="CE150" s="89"/>
      <c r="CF150" s="89"/>
      <c r="CG150" s="89"/>
      <c r="CH150" s="89"/>
      <c r="CI150" s="89"/>
      <c r="CJ150" s="89"/>
      <c r="CK150" s="89"/>
      <c r="CL150" s="89"/>
      <c r="CM150" s="89"/>
      <c r="CN150" s="89"/>
      <c r="CO150" s="89"/>
      <c r="CP150" s="89"/>
      <c r="CQ150" s="89"/>
      <c r="CR150" s="89"/>
      <c r="CS150" s="89"/>
      <c r="CT150" s="89"/>
      <c r="CU150" s="89"/>
      <c r="CV150" s="89"/>
      <c r="CW150" s="89"/>
      <c r="CX150" s="89"/>
      <c r="CY150" s="89"/>
      <c r="CZ150" s="89"/>
      <c r="DA150" s="89"/>
      <c r="DB150" s="89"/>
    </row>
    <row r="151" spans="1:106" x14ac:dyDescent="0.2">
      <c r="A151" s="89"/>
      <c r="B151" s="89"/>
      <c r="C151" s="89"/>
      <c r="D151" s="89"/>
      <c r="E151" s="89"/>
      <c r="F151" s="89"/>
      <c r="G151" s="89"/>
      <c r="H151" s="89"/>
      <c r="I151" s="89"/>
      <c r="J151" s="89"/>
      <c r="K151" s="89"/>
      <c r="L151" s="89"/>
      <c r="M151" s="89"/>
      <c r="N151" s="89"/>
      <c r="O151" s="89"/>
      <c r="P151" s="89"/>
      <c r="Q151" s="89"/>
      <c r="R151" s="89"/>
      <c r="S151" s="89"/>
      <c r="T151" s="89"/>
      <c r="U151" s="89"/>
      <c r="V151" s="89"/>
      <c r="W151" s="89"/>
      <c r="X151" s="89"/>
      <c r="Y151" s="89"/>
      <c r="Z151" s="89"/>
      <c r="AA151" s="89"/>
      <c r="AB151" s="89"/>
      <c r="AC151" s="89"/>
      <c r="AD151" s="89"/>
      <c r="AE151" s="89"/>
      <c r="AF151" s="89"/>
      <c r="AG151" s="89"/>
      <c r="AH151" s="89"/>
      <c r="AI151" s="89"/>
      <c r="AJ151" s="89"/>
      <c r="AK151" s="89"/>
      <c r="AL151" s="89"/>
      <c r="AM151" s="89"/>
      <c r="AN151" s="89"/>
      <c r="AO151" s="89"/>
      <c r="AP151" s="89"/>
      <c r="AQ151" s="89"/>
      <c r="AR151" s="89"/>
      <c r="AS151" s="89"/>
      <c r="AT151" s="89"/>
      <c r="AU151" s="89"/>
      <c r="AV151" s="89"/>
      <c r="AW151" s="89"/>
      <c r="AX151" s="89"/>
      <c r="AY151" s="89"/>
      <c r="AZ151" s="89"/>
      <c r="BA151" s="89"/>
      <c r="BB151" s="89"/>
      <c r="BC151" s="89"/>
      <c r="BD151" s="89"/>
      <c r="BE151" s="89"/>
      <c r="BF151" s="89"/>
      <c r="BG151" s="89"/>
      <c r="BH151" s="89"/>
      <c r="BI151" s="89"/>
      <c r="BJ151" s="89"/>
      <c r="BK151" s="89"/>
      <c r="BL151" s="89"/>
      <c r="BM151" s="89"/>
      <c r="BN151" s="89"/>
      <c r="BO151" s="89"/>
      <c r="BP151" s="89"/>
      <c r="BQ151" s="89"/>
      <c r="BR151" s="89"/>
      <c r="BS151" s="89"/>
      <c r="BT151" s="89"/>
      <c r="BU151" s="89"/>
      <c r="BV151" s="89"/>
      <c r="BW151" s="89"/>
      <c r="BX151" s="89"/>
      <c r="BY151" s="89"/>
      <c r="BZ151" s="89"/>
      <c r="CA151" s="89"/>
      <c r="CB151" s="89"/>
      <c r="CC151" s="89"/>
      <c r="CD151" s="89"/>
      <c r="CE151" s="89"/>
      <c r="CF151" s="89"/>
      <c r="CG151" s="89"/>
      <c r="CH151" s="89"/>
      <c r="CI151" s="89"/>
      <c r="CJ151" s="89"/>
      <c r="CK151" s="89"/>
      <c r="CL151" s="89"/>
      <c r="CM151" s="89"/>
      <c r="CN151" s="89"/>
      <c r="CO151" s="89"/>
      <c r="CP151" s="89"/>
      <c r="CQ151" s="89"/>
      <c r="CR151" s="89"/>
      <c r="CS151" s="89"/>
      <c r="CT151" s="89"/>
      <c r="CU151" s="89"/>
      <c r="CV151" s="89"/>
      <c r="CW151" s="89"/>
      <c r="CX151" s="89"/>
      <c r="CY151" s="89"/>
      <c r="CZ151" s="89"/>
      <c r="DA151" s="89"/>
      <c r="DB151" s="89"/>
    </row>
    <row r="152" spans="1:106" x14ac:dyDescent="0.2">
      <c r="A152" s="89"/>
      <c r="B152" s="89"/>
      <c r="C152" s="89"/>
      <c r="D152" s="89"/>
      <c r="E152" s="89"/>
      <c r="F152" s="89"/>
      <c r="G152" s="89"/>
      <c r="H152" s="89"/>
      <c r="I152" s="89"/>
      <c r="J152" s="89"/>
      <c r="K152" s="89"/>
      <c r="L152" s="89"/>
      <c r="M152" s="89"/>
      <c r="N152" s="89"/>
      <c r="O152" s="89"/>
      <c r="P152" s="89"/>
      <c r="Q152" s="89"/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  <c r="AE152" s="89"/>
      <c r="AF152" s="89"/>
      <c r="AG152" s="89"/>
      <c r="AH152" s="89"/>
      <c r="AI152" s="89"/>
      <c r="AJ152" s="89"/>
      <c r="AK152" s="89"/>
      <c r="AL152" s="89"/>
      <c r="AM152" s="89"/>
      <c r="AN152" s="89"/>
      <c r="AO152" s="89"/>
      <c r="AP152" s="89"/>
      <c r="AQ152" s="89"/>
      <c r="AR152" s="89"/>
      <c r="AS152" s="89"/>
      <c r="AT152" s="89"/>
      <c r="AU152" s="89"/>
      <c r="AV152" s="89"/>
      <c r="AW152" s="89"/>
      <c r="AX152" s="89"/>
      <c r="AY152" s="89"/>
      <c r="AZ152" s="89"/>
      <c r="BA152" s="89"/>
      <c r="BB152" s="89"/>
      <c r="BC152" s="89"/>
      <c r="BD152" s="89"/>
      <c r="BE152" s="89"/>
      <c r="BF152" s="89"/>
      <c r="BG152" s="89"/>
      <c r="BH152" s="89"/>
      <c r="BI152" s="89"/>
      <c r="BJ152" s="89"/>
      <c r="BK152" s="89"/>
      <c r="BL152" s="89"/>
      <c r="BM152" s="89"/>
      <c r="BN152" s="89"/>
      <c r="BO152" s="89"/>
      <c r="BP152" s="89"/>
      <c r="BQ152" s="89"/>
      <c r="BR152" s="89"/>
      <c r="BS152" s="89"/>
      <c r="BT152" s="89"/>
      <c r="BU152" s="89"/>
      <c r="BV152" s="89"/>
      <c r="BW152" s="89"/>
      <c r="BX152" s="89"/>
      <c r="BY152" s="89"/>
      <c r="BZ152" s="89"/>
      <c r="CA152" s="89"/>
      <c r="CB152" s="89"/>
      <c r="CC152" s="89"/>
      <c r="CD152" s="89"/>
      <c r="CE152" s="89"/>
      <c r="CF152" s="89"/>
      <c r="CG152" s="89"/>
      <c r="CH152" s="89"/>
      <c r="CI152" s="89"/>
      <c r="CJ152" s="89"/>
      <c r="CK152" s="89"/>
      <c r="CL152" s="89"/>
      <c r="CM152" s="89"/>
      <c r="CN152" s="89"/>
      <c r="CO152" s="89"/>
      <c r="CP152" s="89"/>
      <c r="CQ152" s="89"/>
      <c r="CR152" s="89"/>
      <c r="CS152" s="89"/>
      <c r="CT152" s="89"/>
      <c r="CU152" s="89"/>
      <c r="CV152" s="89"/>
      <c r="CW152" s="89"/>
      <c r="CX152" s="89"/>
      <c r="CY152" s="89"/>
      <c r="CZ152" s="89"/>
      <c r="DA152" s="89"/>
      <c r="DB152" s="89"/>
    </row>
    <row r="153" spans="1:106" x14ac:dyDescent="0.2">
      <c r="A153" s="89"/>
      <c r="B153" s="89"/>
      <c r="C153" s="89"/>
      <c r="D153" s="89"/>
      <c r="E153" s="89"/>
      <c r="F153" s="89"/>
      <c r="G153" s="89"/>
      <c r="H153" s="89"/>
      <c r="I153" s="89"/>
      <c r="J153" s="89"/>
      <c r="K153" s="89"/>
      <c r="L153" s="89"/>
      <c r="M153" s="89"/>
      <c r="N153" s="89"/>
      <c r="O153" s="89"/>
      <c r="P153" s="89"/>
      <c r="Q153" s="89"/>
      <c r="R153" s="89"/>
      <c r="S153" s="89"/>
      <c r="T153" s="89"/>
      <c r="U153" s="89"/>
      <c r="V153" s="89"/>
      <c r="W153" s="89"/>
      <c r="X153" s="89"/>
      <c r="Y153" s="89"/>
      <c r="Z153" s="89"/>
      <c r="AA153" s="89"/>
      <c r="AB153" s="89"/>
      <c r="AC153" s="89"/>
      <c r="AD153" s="89"/>
      <c r="AE153" s="89"/>
      <c r="AF153" s="89"/>
      <c r="AG153" s="89"/>
      <c r="AH153" s="89"/>
      <c r="AI153" s="89"/>
      <c r="AJ153" s="89"/>
      <c r="AK153" s="89"/>
      <c r="AL153" s="89"/>
      <c r="AM153" s="89"/>
      <c r="AN153" s="89"/>
      <c r="AO153" s="89"/>
      <c r="AP153" s="89"/>
      <c r="AQ153" s="89"/>
      <c r="AR153" s="89"/>
      <c r="AS153" s="89"/>
      <c r="AT153" s="89"/>
      <c r="AU153" s="89"/>
      <c r="AV153" s="89"/>
      <c r="AW153" s="89"/>
      <c r="AX153" s="89"/>
      <c r="AY153" s="89"/>
      <c r="AZ153" s="89"/>
      <c r="BA153" s="89"/>
      <c r="BB153" s="89"/>
      <c r="BC153" s="89"/>
      <c r="BD153" s="89"/>
      <c r="BE153" s="89"/>
      <c r="BF153" s="89"/>
      <c r="BG153" s="89"/>
      <c r="BH153" s="89"/>
      <c r="BI153" s="89"/>
      <c r="BJ153" s="89"/>
      <c r="BK153" s="89"/>
      <c r="BL153" s="89"/>
      <c r="BM153" s="89"/>
      <c r="BN153" s="89"/>
      <c r="BO153" s="89"/>
      <c r="BP153" s="89"/>
      <c r="BQ153" s="89"/>
      <c r="BR153" s="89"/>
      <c r="BS153" s="89"/>
      <c r="BT153" s="89"/>
      <c r="BU153" s="89"/>
      <c r="BV153" s="89"/>
      <c r="BW153" s="89"/>
      <c r="BX153" s="89"/>
      <c r="BY153" s="89"/>
      <c r="BZ153" s="89"/>
      <c r="CA153" s="89"/>
      <c r="CB153" s="89"/>
      <c r="CC153" s="89"/>
      <c r="CD153" s="89"/>
      <c r="CE153" s="89"/>
      <c r="CF153" s="89"/>
      <c r="CG153" s="89"/>
      <c r="CH153" s="89"/>
      <c r="CI153" s="89"/>
      <c r="CJ153" s="89"/>
      <c r="CK153" s="89"/>
      <c r="CL153" s="89"/>
      <c r="CM153" s="89"/>
      <c r="CN153" s="89"/>
      <c r="CO153" s="89"/>
      <c r="CP153" s="89"/>
      <c r="CQ153" s="89"/>
      <c r="CR153" s="89"/>
      <c r="CS153" s="89"/>
      <c r="CT153" s="89"/>
      <c r="CU153" s="89"/>
      <c r="CV153" s="89"/>
      <c r="CW153" s="89"/>
      <c r="CX153" s="89"/>
      <c r="CY153" s="89"/>
      <c r="CZ153" s="89"/>
      <c r="DA153" s="89"/>
      <c r="DB153" s="89"/>
    </row>
    <row r="154" spans="1:106" x14ac:dyDescent="0.2">
      <c r="A154" s="89"/>
      <c r="B154" s="89"/>
      <c r="C154" s="89"/>
      <c r="D154" s="89"/>
      <c r="E154" s="89"/>
      <c r="F154" s="89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  <c r="X154" s="89"/>
      <c r="Y154" s="89"/>
      <c r="Z154" s="89"/>
      <c r="AA154" s="89"/>
      <c r="AB154" s="89"/>
      <c r="AC154" s="89"/>
      <c r="AD154" s="89"/>
      <c r="AE154" s="89"/>
      <c r="AF154" s="89"/>
      <c r="AG154" s="89"/>
      <c r="AH154" s="89"/>
      <c r="AI154" s="89"/>
      <c r="AJ154" s="89"/>
      <c r="AK154" s="89"/>
      <c r="AL154" s="89"/>
      <c r="AM154" s="89"/>
      <c r="AN154" s="89"/>
      <c r="AO154" s="89"/>
      <c r="AP154" s="89"/>
      <c r="AQ154" s="89"/>
      <c r="AR154" s="89"/>
      <c r="AS154" s="89"/>
      <c r="AT154" s="89"/>
      <c r="AU154" s="89"/>
      <c r="AV154" s="89"/>
      <c r="AW154" s="89"/>
      <c r="AX154" s="89"/>
      <c r="AY154" s="89"/>
      <c r="AZ154" s="89"/>
      <c r="BA154" s="89"/>
      <c r="BB154" s="89"/>
      <c r="BC154" s="89"/>
      <c r="BD154" s="89"/>
      <c r="BE154" s="89"/>
      <c r="BF154" s="89"/>
      <c r="BG154" s="89"/>
      <c r="BH154" s="89"/>
      <c r="BI154" s="89"/>
      <c r="BJ154" s="89"/>
      <c r="BK154" s="89"/>
      <c r="BL154" s="89"/>
      <c r="BM154" s="89"/>
      <c r="BN154" s="89"/>
      <c r="BO154" s="89"/>
      <c r="BP154" s="89"/>
      <c r="BQ154" s="89"/>
      <c r="BR154" s="89"/>
      <c r="BS154" s="89"/>
      <c r="BT154" s="89"/>
      <c r="BU154" s="89"/>
      <c r="BV154" s="89"/>
      <c r="BW154" s="89"/>
      <c r="BX154" s="89"/>
      <c r="BY154" s="89"/>
      <c r="BZ154" s="89"/>
      <c r="CA154" s="89"/>
      <c r="CB154" s="89"/>
      <c r="CC154" s="89"/>
      <c r="CD154" s="89"/>
      <c r="CE154" s="89"/>
      <c r="CF154" s="89"/>
      <c r="CG154" s="89"/>
      <c r="CH154" s="89"/>
      <c r="CI154" s="89"/>
      <c r="CJ154" s="89"/>
      <c r="CK154" s="89"/>
      <c r="CL154" s="89"/>
      <c r="CM154" s="89"/>
      <c r="CN154" s="89"/>
      <c r="CO154" s="89"/>
      <c r="CP154" s="89"/>
      <c r="CQ154" s="89"/>
      <c r="CR154" s="89"/>
      <c r="CS154" s="89"/>
      <c r="CT154" s="89"/>
      <c r="CU154" s="89"/>
      <c r="CV154" s="89"/>
      <c r="CW154" s="89"/>
      <c r="CX154" s="89"/>
      <c r="CY154" s="89"/>
      <c r="CZ154" s="89"/>
      <c r="DA154" s="89"/>
      <c r="DB154" s="89"/>
    </row>
    <row r="155" spans="1:106" x14ac:dyDescent="0.2">
      <c r="A155" s="89"/>
      <c r="B155" s="89"/>
      <c r="C155" s="89"/>
      <c r="D155" s="89"/>
      <c r="E155" s="89"/>
      <c r="F155" s="89"/>
      <c r="G155" s="89"/>
      <c r="H155" s="89"/>
      <c r="I155" s="89"/>
      <c r="J155" s="89"/>
      <c r="K155" s="89"/>
      <c r="L155" s="89"/>
      <c r="M155" s="89"/>
      <c r="N155" s="89"/>
      <c r="O155" s="89"/>
      <c r="P155" s="89"/>
      <c r="Q155" s="89"/>
      <c r="R155" s="89"/>
      <c r="S155" s="89"/>
      <c r="T155" s="89"/>
      <c r="U155" s="89"/>
      <c r="V155" s="89"/>
      <c r="W155" s="89"/>
      <c r="X155" s="89"/>
      <c r="Y155" s="89"/>
      <c r="Z155" s="89"/>
      <c r="AA155" s="89"/>
      <c r="AB155" s="89"/>
      <c r="AC155" s="89"/>
      <c r="AD155" s="89"/>
      <c r="AE155" s="89"/>
      <c r="AF155" s="89"/>
      <c r="AG155" s="89"/>
      <c r="AH155" s="89"/>
      <c r="AI155" s="89"/>
      <c r="AJ155" s="89"/>
      <c r="AK155" s="89"/>
      <c r="AL155" s="89"/>
      <c r="AM155" s="89"/>
      <c r="AN155" s="89"/>
      <c r="AO155" s="89"/>
      <c r="AP155" s="89"/>
      <c r="AQ155" s="89"/>
      <c r="AR155" s="89"/>
      <c r="AS155" s="89"/>
      <c r="AT155" s="89"/>
      <c r="AU155" s="89"/>
      <c r="AV155" s="89"/>
      <c r="AW155" s="89"/>
      <c r="AX155" s="89"/>
      <c r="AY155" s="89"/>
      <c r="AZ155" s="89"/>
      <c r="BA155" s="89"/>
      <c r="BB155" s="89"/>
      <c r="BC155" s="89"/>
      <c r="BD155" s="89"/>
      <c r="BE155" s="89"/>
      <c r="BF155" s="89"/>
      <c r="BG155" s="89"/>
      <c r="BH155" s="89"/>
      <c r="BI155" s="89"/>
      <c r="BJ155" s="89"/>
      <c r="BK155" s="89"/>
      <c r="BL155" s="89"/>
      <c r="BM155" s="89"/>
      <c r="BN155" s="89"/>
      <c r="BO155" s="89"/>
      <c r="BP155" s="89"/>
      <c r="BQ155" s="89"/>
      <c r="BR155" s="89"/>
      <c r="BS155" s="89"/>
      <c r="BT155" s="89"/>
      <c r="BU155" s="89"/>
      <c r="BV155" s="89"/>
      <c r="BW155" s="89"/>
      <c r="BX155" s="89"/>
      <c r="BY155" s="89"/>
      <c r="BZ155" s="89"/>
      <c r="CA155" s="89"/>
      <c r="CB155" s="89"/>
      <c r="CC155" s="89"/>
      <c r="CD155" s="89"/>
      <c r="CE155" s="89"/>
      <c r="CF155" s="89"/>
      <c r="CG155" s="89"/>
      <c r="CH155" s="89"/>
      <c r="CI155" s="89"/>
      <c r="CJ155" s="89"/>
      <c r="CK155" s="89"/>
      <c r="CL155" s="89"/>
      <c r="CM155" s="89"/>
      <c r="CN155" s="89"/>
      <c r="CO155" s="89"/>
      <c r="CP155" s="89"/>
      <c r="CQ155" s="89"/>
      <c r="CR155" s="89"/>
      <c r="CS155" s="89"/>
      <c r="CT155" s="89"/>
      <c r="CU155" s="89"/>
      <c r="CV155" s="89"/>
      <c r="CW155" s="89"/>
      <c r="CX155" s="89"/>
      <c r="CY155" s="89"/>
      <c r="CZ155" s="89"/>
      <c r="DA155" s="89"/>
      <c r="DB155" s="89"/>
    </row>
    <row r="156" spans="1:106" x14ac:dyDescent="0.2">
      <c r="A156" s="89"/>
      <c r="B156" s="89"/>
      <c r="C156" s="89"/>
      <c r="D156" s="89"/>
      <c r="E156" s="89"/>
      <c r="F156" s="89"/>
      <c r="G156" s="89"/>
      <c r="H156" s="89"/>
      <c r="I156" s="89"/>
      <c r="J156" s="89"/>
      <c r="K156" s="89"/>
      <c r="L156" s="89"/>
      <c r="M156" s="89"/>
      <c r="N156" s="89"/>
      <c r="O156" s="89"/>
      <c r="P156" s="89"/>
      <c r="Q156" s="89"/>
      <c r="R156" s="89"/>
      <c r="S156" s="89"/>
      <c r="T156" s="89"/>
      <c r="U156" s="89"/>
      <c r="V156" s="89"/>
      <c r="W156" s="89"/>
      <c r="X156" s="89"/>
      <c r="Y156" s="89"/>
      <c r="Z156" s="89"/>
      <c r="AA156" s="89"/>
      <c r="AB156" s="89"/>
      <c r="AC156" s="89"/>
      <c r="AD156" s="89"/>
      <c r="AE156" s="89"/>
      <c r="AF156" s="89"/>
      <c r="AG156" s="89"/>
      <c r="AH156" s="89"/>
      <c r="AI156" s="89"/>
      <c r="AJ156" s="89"/>
      <c r="AK156" s="89"/>
      <c r="AL156" s="89"/>
      <c r="AM156" s="89"/>
      <c r="AN156" s="89"/>
      <c r="AO156" s="89"/>
      <c r="AP156" s="89"/>
      <c r="AQ156" s="89"/>
      <c r="AR156" s="89"/>
      <c r="AS156" s="89"/>
      <c r="AT156" s="89"/>
      <c r="AU156" s="89"/>
      <c r="AV156" s="89"/>
      <c r="AW156" s="89"/>
      <c r="AX156" s="89"/>
      <c r="AY156" s="89"/>
      <c r="AZ156" s="89"/>
      <c r="BA156" s="89"/>
      <c r="BB156" s="89"/>
      <c r="BC156" s="89"/>
      <c r="BD156" s="89"/>
      <c r="BE156" s="89"/>
      <c r="BF156" s="89"/>
      <c r="BG156" s="89"/>
      <c r="BH156" s="89"/>
      <c r="BI156" s="89"/>
      <c r="BJ156" s="89"/>
      <c r="BK156" s="89"/>
      <c r="BL156" s="89"/>
      <c r="BM156" s="89"/>
      <c r="BN156" s="89"/>
      <c r="BO156" s="89"/>
      <c r="BP156" s="89"/>
      <c r="BQ156" s="89"/>
      <c r="BR156" s="89"/>
      <c r="BS156" s="89"/>
      <c r="BT156" s="89"/>
      <c r="BU156" s="89"/>
      <c r="BV156" s="89"/>
      <c r="BW156" s="89"/>
      <c r="BX156" s="89"/>
      <c r="BY156" s="89"/>
      <c r="BZ156" s="89"/>
      <c r="CA156" s="89"/>
      <c r="CB156" s="89"/>
      <c r="CC156" s="89"/>
      <c r="CD156" s="89"/>
      <c r="CE156" s="89"/>
      <c r="CF156" s="89"/>
      <c r="CG156" s="89"/>
      <c r="CH156" s="89"/>
      <c r="CI156" s="89"/>
      <c r="CJ156" s="89"/>
      <c r="CK156" s="89"/>
      <c r="CL156" s="89"/>
      <c r="CM156" s="89"/>
      <c r="CN156" s="89"/>
      <c r="CO156" s="89"/>
      <c r="CP156" s="89"/>
      <c r="CQ156" s="89"/>
      <c r="CR156" s="89"/>
      <c r="CS156" s="89"/>
      <c r="CT156" s="89"/>
      <c r="CU156" s="89"/>
      <c r="CV156" s="89"/>
      <c r="CW156" s="89"/>
      <c r="CX156" s="89"/>
      <c r="CY156" s="89"/>
      <c r="CZ156" s="89"/>
      <c r="DA156" s="89"/>
      <c r="DB156" s="89"/>
    </row>
    <row r="157" spans="1:106" x14ac:dyDescent="0.2">
      <c r="A157" s="89"/>
      <c r="B157" s="89"/>
      <c r="C157" s="89"/>
      <c r="D157" s="89"/>
      <c r="E157" s="89"/>
      <c r="F157" s="89"/>
      <c r="G157" s="89"/>
      <c r="H157" s="89"/>
      <c r="I157" s="89"/>
      <c r="J157" s="89"/>
      <c r="K157" s="89"/>
      <c r="L157" s="89"/>
      <c r="M157" s="89"/>
      <c r="N157" s="89"/>
      <c r="O157" s="89"/>
      <c r="P157" s="89"/>
      <c r="Q157" s="89"/>
      <c r="R157" s="89"/>
      <c r="S157" s="89"/>
      <c r="T157" s="89"/>
      <c r="U157" s="89"/>
      <c r="V157" s="89"/>
      <c r="W157" s="89"/>
      <c r="X157" s="89"/>
      <c r="Y157" s="89"/>
      <c r="Z157" s="89"/>
      <c r="AA157" s="89"/>
      <c r="AB157" s="89"/>
      <c r="AC157" s="89"/>
      <c r="AD157" s="89"/>
      <c r="AE157" s="89"/>
      <c r="AF157" s="89"/>
      <c r="AG157" s="89"/>
      <c r="AH157" s="89"/>
      <c r="AI157" s="89"/>
      <c r="AJ157" s="89"/>
      <c r="AK157" s="89"/>
      <c r="AL157" s="89"/>
      <c r="AM157" s="89"/>
      <c r="AN157" s="89"/>
      <c r="AO157" s="89"/>
      <c r="AP157" s="89"/>
      <c r="AQ157" s="89"/>
      <c r="AR157" s="89"/>
      <c r="AS157" s="89"/>
      <c r="AT157" s="89"/>
      <c r="AU157" s="89"/>
      <c r="AV157" s="89"/>
      <c r="AW157" s="89"/>
      <c r="AX157" s="89"/>
      <c r="AY157" s="89"/>
      <c r="AZ157" s="89"/>
      <c r="BA157" s="89"/>
      <c r="BB157" s="89"/>
      <c r="BC157" s="89"/>
      <c r="BD157" s="89"/>
      <c r="BE157" s="89"/>
      <c r="BF157" s="89"/>
      <c r="BG157" s="89"/>
      <c r="BH157" s="89"/>
      <c r="BI157" s="89"/>
      <c r="BJ157" s="89"/>
      <c r="BK157" s="89"/>
      <c r="BL157" s="89"/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</row>
    <row r="158" spans="1:106" x14ac:dyDescent="0.2">
      <c r="A158" s="89"/>
      <c r="B158" s="89"/>
      <c r="C158" s="89"/>
      <c r="D158" s="89"/>
      <c r="E158" s="89"/>
      <c r="F158" s="89"/>
      <c r="G158" s="89"/>
      <c r="H158" s="89"/>
      <c r="I158" s="89"/>
      <c r="J158" s="89"/>
      <c r="K158" s="89"/>
      <c r="L158" s="89"/>
      <c r="M158" s="89"/>
      <c r="N158" s="89"/>
      <c r="O158" s="89"/>
      <c r="P158" s="89"/>
      <c r="Q158" s="89"/>
      <c r="R158" s="89"/>
      <c r="S158" s="89"/>
      <c r="T158" s="89"/>
      <c r="U158" s="89"/>
      <c r="V158" s="89"/>
      <c r="W158" s="89"/>
      <c r="X158" s="89"/>
      <c r="Y158" s="89"/>
      <c r="Z158" s="89"/>
      <c r="AA158" s="89"/>
      <c r="AB158" s="89"/>
      <c r="AC158" s="89"/>
      <c r="AD158" s="89"/>
      <c r="AE158" s="89"/>
      <c r="AF158" s="89"/>
      <c r="AG158" s="89"/>
      <c r="AH158" s="89"/>
      <c r="AI158" s="89"/>
      <c r="AJ158" s="89"/>
      <c r="AK158" s="89"/>
      <c r="AL158" s="89"/>
      <c r="AM158" s="89"/>
      <c r="AN158" s="89"/>
      <c r="AO158" s="89"/>
      <c r="AP158" s="89"/>
      <c r="AQ158" s="89"/>
      <c r="AR158" s="89"/>
      <c r="AS158" s="89"/>
      <c r="AT158" s="89"/>
      <c r="AU158" s="89"/>
      <c r="AV158" s="89"/>
      <c r="AW158" s="89"/>
      <c r="AX158" s="89"/>
      <c r="AY158" s="89"/>
      <c r="AZ158" s="89"/>
      <c r="BA158" s="89"/>
      <c r="BB158" s="89"/>
      <c r="BC158" s="89"/>
      <c r="BD158" s="89"/>
      <c r="BE158" s="89"/>
      <c r="BF158" s="89"/>
      <c r="BG158" s="89"/>
      <c r="BH158" s="89"/>
      <c r="BI158" s="89"/>
      <c r="BJ158" s="89"/>
      <c r="BK158" s="89"/>
      <c r="BL158" s="89"/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</row>
    <row r="159" spans="1:106" x14ac:dyDescent="0.2">
      <c r="A159" s="89"/>
      <c r="B159" s="89"/>
      <c r="C159" s="89"/>
      <c r="D159" s="89"/>
      <c r="E159" s="89"/>
      <c r="F159" s="89"/>
      <c r="G159" s="89"/>
      <c r="H159" s="89"/>
      <c r="I159" s="89"/>
      <c r="J159" s="89"/>
      <c r="K159" s="89"/>
      <c r="L159" s="89"/>
      <c r="M159" s="89"/>
      <c r="N159" s="89"/>
      <c r="O159" s="89"/>
      <c r="P159" s="89"/>
      <c r="Q159" s="89"/>
      <c r="R159" s="89"/>
      <c r="S159" s="89"/>
      <c r="T159" s="89"/>
      <c r="U159" s="89"/>
      <c r="V159" s="89"/>
      <c r="W159" s="89"/>
      <c r="X159" s="89"/>
      <c r="Y159" s="89"/>
      <c r="Z159" s="89"/>
      <c r="AA159" s="89"/>
      <c r="AB159" s="89"/>
      <c r="AC159" s="89"/>
      <c r="AD159" s="89"/>
      <c r="AE159" s="89"/>
      <c r="AF159" s="89"/>
      <c r="AG159" s="89"/>
      <c r="AH159" s="89"/>
      <c r="AI159" s="89"/>
      <c r="AJ159" s="89"/>
      <c r="AK159" s="89"/>
      <c r="AL159" s="89"/>
      <c r="AM159" s="89"/>
      <c r="AN159" s="89"/>
      <c r="AO159" s="89"/>
      <c r="AP159" s="89"/>
      <c r="AQ159" s="89"/>
      <c r="AR159" s="89"/>
      <c r="AS159" s="89"/>
      <c r="AT159" s="89"/>
      <c r="AU159" s="89"/>
      <c r="AV159" s="89"/>
      <c r="AW159" s="89"/>
      <c r="AX159" s="89"/>
      <c r="AY159" s="89"/>
      <c r="AZ159" s="89"/>
      <c r="BA159" s="89"/>
      <c r="BB159" s="89"/>
      <c r="BC159" s="89"/>
      <c r="BD159" s="89"/>
      <c r="BE159" s="89"/>
      <c r="BF159" s="89"/>
      <c r="BG159" s="89"/>
      <c r="BH159" s="89"/>
      <c r="BI159" s="89"/>
      <c r="BJ159" s="89"/>
      <c r="BK159" s="89"/>
      <c r="BL159" s="89"/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</row>
    <row r="160" spans="1:106" x14ac:dyDescent="0.2">
      <c r="A160" s="89"/>
      <c r="B160" s="89"/>
      <c r="C160" s="89"/>
      <c r="D160" s="89"/>
      <c r="E160" s="89"/>
      <c r="F160" s="89"/>
      <c r="G160" s="89"/>
      <c r="H160" s="89"/>
      <c r="I160" s="89"/>
      <c r="J160" s="89"/>
      <c r="K160" s="89"/>
      <c r="L160" s="89"/>
      <c r="M160" s="89"/>
      <c r="N160" s="89"/>
      <c r="O160" s="89"/>
      <c r="P160" s="89"/>
      <c r="Q160" s="89"/>
      <c r="R160" s="89"/>
      <c r="S160" s="89"/>
      <c r="T160" s="89"/>
      <c r="U160" s="89"/>
      <c r="V160" s="89"/>
      <c r="W160" s="89"/>
      <c r="X160" s="89"/>
      <c r="Y160" s="89"/>
      <c r="Z160" s="89"/>
      <c r="AA160" s="89"/>
      <c r="AB160" s="89"/>
      <c r="AC160" s="89"/>
      <c r="AD160" s="89"/>
      <c r="AE160" s="89"/>
      <c r="AF160" s="89"/>
      <c r="AG160" s="89"/>
      <c r="AH160" s="89"/>
      <c r="AI160" s="89"/>
      <c r="AJ160" s="89"/>
      <c r="AK160" s="89"/>
      <c r="AL160" s="89"/>
      <c r="AM160" s="89"/>
      <c r="AN160" s="89"/>
      <c r="AO160" s="89"/>
      <c r="AP160" s="89"/>
      <c r="AQ160" s="89"/>
      <c r="AR160" s="89"/>
      <c r="AS160" s="89"/>
      <c r="AT160" s="89"/>
      <c r="AU160" s="89"/>
      <c r="AV160" s="89"/>
      <c r="AW160" s="89"/>
      <c r="AX160" s="89"/>
      <c r="AY160" s="89"/>
      <c r="AZ160" s="89"/>
      <c r="BA160" s="89"/>
      <c r="BB160" s="89"/>
      <c r="BC160" s="89"/>
      <c r="BD160" s="89"/>
      <c r="BE160" s="89"/>
      <c r="BF160" s="89"/>
      <c r="BG160" s="89"/>
      <c r="BH160" s="89"/>
      <c r="BI160" s="89"/>
      <c r="BJ160" s="89"/>
      <c r="BK160" s="89"/>
      <c r="BL160" s="8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</row>
    <row r="161" spans="1:106" x14ac:dyDescent="0.2">
      <c r="A161" s="89"/>
      <c r="B161" s="89"/>
      <c r="C161" s="89"/>
      <c r="D161" s="89"/>
      <c r="E161" s="89"/>
      <c r="F161" s="89"/>
      <c r="G161" s="89"/>
      <c r="H161" s="89"/>
      <c r="I161" s="89"/>
      <c r="J161" s="89"/>
      <c r="K161" s="89"/>
      <c r="L161" s="89"/>
      <c r="M161" s="89"/>
      <c r="N161" s="89"/>
      <c r="O161" s="89"/>
      <c r="P161" s="89"/>
      <c r="Q161" s="89"/>
      <c r="R161" s="89"/>
      <c r="S161" s="89"/>
      <c r="T161" s="89"/>
      <c r="U161" s="89"/>
      <c r="V161" s="89"/>
      <c r="W161" s="89"/>
      <c r="X161" s="89"/>
      <c r="Y161" s="89"/>
      <c r="Z161" s="89"/>
      <c r="AA161" s="89"/>
      <c r="AB161" s="89"/>
      <c r="AC161" s="89"/>
      <c r="AD161" s="89"/>
      <c r="AE161" s="89"/>
      <c r="AF161" s="89"/>
      <c r="AG161" s="89"/>
      <c r="AH161" s="89"/>
      <c r="AI161" s="89"/>
      <c r="AJ161" s="89"/>
      <c r="AK161" s="89"/>
      <c r="AL161" s="89"/>
      <c r="AM161" s="89"/>
      <c r="AN161" s="89"/>
      <c r="AO161" s="89"/>
      <c r="AP161" s="89"/>
      <c r="AQ161" s="89"/>
      <c r="AR161" s="89"/>
      <c r="AS161" s="89"/>
      <c r="AT161" s="89"/>
      <c r="AU161" s="89"/>
      <c r="AV161" s="89"/>
      <c r="AW161" s="89"/>
      <c r="AX161" s="89"/>
      <c r="AY161" s="89"/>
      <c r="AZ161" s="89"/>
      <c r="BA161" s="89"/>
      <c r="BB161" s="89"/>
      <c r="BC161" s="89"/>
      <c r="BD161" s="89"/>
      <c r="BE161" s="89"/>
      <c r="BF161" s="89"/>
      <c r="BG161" s="89"/>
      <c r="BH161" s="89"/>
      <c r="BI161" s="89"/>
      <c r="BJ161" s="89"/>
      <c r="BK161" s="89"/>
      <c r="BL161" s="8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</row>
    <row r="162" spans="1:106" x14ac:dyDescent="0.2">
      <c r="A162" s="89"/>
      <c r="B162" s="89"/>
      <c r="C162" s="89"/>
      <c r="D162" s="89"/>
      <c r="E162" s="89"/>
      <c r="F162" s="89"/>
      <c r="G162" s="89"/>
      <c r="H162" s="89"/>
      <c r="I162" s="89"/>
      <c r="J162" s="89"/>
      <c r="K162" s="89"/>
      <c r="L162" s="89"/>
      <c r="M162" s="89"/>
      <c r="N162" s="89"/>
      <c r="O162" s="89"/>
      <c r="P162" s="89"/>
      <c r="Q162" s="89"/>
      <c r="R162" s="89"/>
      <c r="S162" s="89"/>
      <c r="T162" s="89"/>
      <c r="U162" s="89"/>
      <c r="V162" s="89"/>
      <c r="W162" s="89"/>
      <c r="X162" s="89"/>
      <c r="Y162" s="89"/>
      <c r="Z162" s="89"/>
      <c r="AA162" s="89"/>
      <c r="AB162" s="89"/>
      <c r="AC162" s="89"/>
      <c r="AD162" s="89"/>
      <c r="AE162" s="89"/>
      <c r="AF162" s="89"/>
      <c r="AG162" s="89"/>
      <c r="AH162" s="89"/>
      <c r="AI162" s="89"/>
      <c r="AJ162" s="89"/>
      <c r="AK162" s="89"/>
      <c r="AL162" s="89"/>
      <c r="AM162" s="89"/>
      <c r="AN162" s="89"/>
      <c r="AO162" s="89"/>
      <c r="AP162" s="89"/>
      <c r="AQ162" s="89"/>
      <c r="AR162" s="89"/>
      <c r="AS162" s="89"/>
      <c r="AT162" s="89"/>
      <c r="AU162" s="89"/>
      <c r="AV162" s="89"/>
      <c r="AW162" s="89"/>
      <c r="AX162" s="89"/>
      <c r="AY162" s="89"/>
      <c r="AZ162" s="89"/>
      <c r="BA162" s="89"/>
      <c r="BB162" s="89"/>
      <c r="BC162" s="89"/>
      <c r="BD162" s="89"/>
      <c r="BE162" s="89"/>
      <c r="BF162" s="89"/>
      <c r="BG162" s="89"/>
      <c r="BH162" s="89"/>
      <c r="BI162" s="89"/>
      <c r="BJ162" s="89"/>
      <c r="BK162" s="89"/>
      <c r="BL162" s="8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</row>
    <row r="163" spans="1:106" x14ac:dyDescent="0.2">
      <c r="A163" s="89"/>
      <c r="B163" s="89"/>
      <c r="C163" s="89"/>
      <c r="D163" s="89"/>
      <c r="E163" s="89"/>
      <c r="F163" s="89"/>
      <c r="G163" s="89"/>
      <c r="H163" s="89"/>
      <c r="I163" s="89"/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  <c r="AF163" s="89"/>
      <c r="AG163" s="89"/>
      <c r="AH163" s="89"/>
      <c r="AI163" s="89"/>
      <c r="AJ163" s="89"/>
      <c r="AK163" s="89"/>
      <c r="AL163" s="89"/>
      <c r="AM163" s="89"/>
      <c r="AN163" s="89"/>
      <c r="AO163" s="89"/>
      <c r="AP163" s="89"/>
      <c r="AQ163" s="89"/>
      <c r="AR163" s="89"/>
      <c r="AS163" s="89"/>
      <c r="AT163" s="89"/>
      <c r="AU163" s="89"/>
      <c r="AV163" s="89"/>
      <c r="AW163" s="89"/>
      <c r="AX163" s="89"/>
      <c r="AY163" s="89"/>
      <c r="AZ163" s="89"/>
      <c r="BA163" s="89"/>
      <c r="BB163" s="89"/>
      <c r="BC163" s="89"/>
      <c r="BD163" s="89"/>
      <c r="BE163" s="89"/>
      <c r="BF163" s="89"/>
      <c r="BG163" s="89"/>
      <c r="BH163" s="89"/>
      <c r="BI163" s="89"/>
      <c r="BJ163" s="89"/>
      <c r="BK163" s="89"/>
      <c r="BL163" s="8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</row>
    <row r="164" spans="1:106" x14ac:dyDescent="0.2">
      <c r="A164" s="89"/>
      <c r="B164" s="89"/>
      <c r="C164" s="89"/>
      <c r="D164" s="89"/>
      <c r="E164" s="89"/>
      <c r="F164" s="89"/>
      <c r="G164" s="89"/>
      <c r="H164" s="89"/>
      <c r="I164" s="89"/>
      <c r="J164" s="89"/>
      <c r="K164" s="89"/>
      <c r="L164" s="89"/>
      <c r="M164" s="89"/>
      <c r="N164" s="89"/>
      <c r="O164" s="89"/>
      <c r="P164" s="89"/>
      <c r="Q164" s="89"/>
      <c r="R164" s="89"/>
      <c r="S164" s="89"/>
      <c r="T164" s="89"/>
      <c r="U164" s="89"/>
      <c r="V164" s="89"/>
      <c r="W164" s="89"/>
      <c r="X164" s="89"/>
      <c r="Y164" s="89"/>
      <c r="Z164" s="89"/>
      <c r="AA164" s="89"/>
      <c r="AB164" s="89"/>
      <c r="AC164" s="89"/>
      <c r="AD164" s="89"/>
      <c r="AE164" s="89"/>
      <c r="AF164" s="89"/>
      <c r="AG164" s="89"/>
      <c r="AH164" s="89"/>
      <c r="AI164" s="89"/>
      <c r="AJ164" s="89"/>
      <c r="AK164" s="89"/>
      <c r="AL164" s="89"/>
      <c r="AM164" s="89"/>
      <c r="AN164" s="89"/>
      <c r="AO164" s="89"/>
      <c r="AP164" s="89"/>
      <c r="AQ164" s="89"/>
      <c r="AR164" s="89"/>
      <c r="AS164" s="89"/>
      <c r="AT164" s="89"/>
      <c r="AU164" s="89"/>
      <c r="AV164" s="89"/>
      <c r="AW164" s="89"/>
      <c r="AX164" s="89"/>
      <c r="AY164" s="89"/>
      <c r="AZ164" s="89"/>
      <c r="BA164" s="89"/>
      <c r="BB164" s="89"/>
      <c r="BC164" s="89"/>
      <c r="BD164" s="89"/>
      <c r="BE164" s="89"/>
      <c r="BF164" s="89"/>
      <c r="BG164" s="89"/>
      <c r="BH164" s="89"/>
      <c r="BI164" s="89"/>
      <c r="BJ164" s="89"/>
      <c r="BK164" s="89"/>
      <c r="BL164" s="8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</row>
    <row r="165" spans="1:106" x14ac:dyDescent="0.2">
      <c r="A165" s="89"/>
      <c r="B165" s="89"/>
      <c r="C165" s="89"/>
      <c r="D165" s="89"/>
      <c r="E165" s="89"/>
      <c r="F165" s="89"/>
      <c r="G165" s="89"/>
      <c r="H165" s="89"/>
      <c r="I165" s="89"/>
      <c r="J165" s="89"/>
      <c r="K165" s="89"/>
      <c r="L165" s="89"/>
      <c r="M165" s="89"/>
      <c r="N165" s="89"/>
      <c r="O165" s="89"/>
      <c r="P165" s="89"/>
      <c r="Q165" s="89"/>
      <c r="R165" s="89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89"/>
      <c r="AK165" s="89"/>
      <c r="AL165" s="89"/>
      <c r="AM165" s="89"/>
      <c r="AN165" s="89"/>
      <c r="AO165" s="89"/>
      <c r="AP165" s="89"/>
      <c r="AQ165" s="89"/>
      <c r="AR165" s="89"/>
      <c r="AS165" s="89"/>
      <c r="AT165" s="89"/>
      <c r="AU165" s="89"/>
      <c r="AV165" s="89"/>
      <c r="AW165" s="89"/>
      <c r="AX165" s="89"/>
      <c r="AY165" s="89"/>
      <c r="AZ165" s="89"/>
      <c r="BA165" s="89"/>
      <c r="BB165" s="89"/>
      <c r="BC165" s="89"/>
      <c r="BD165" s="89"/>
      <c r="BE165" s="89"/>
      <c r="BF165" s="89"/>
      <c r="BG165" s="89"/>
      <c r="BH165" s="89"/>
      <c r="BI165" s="89"/>
      <c r="BJ165" s="89"/>
      <c r="BK165" s="89"/>
      <c r="BL165" s="8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</row>
    <row r="166" spans="1:106" x14ac:dyDescent="0.2">
      <c r="A166" s="89"/>
      <c r="B166" s="89"/>
      <c r="C166" s="89"/>
      <c r="D166" s="89"/>
      <c r="E166" s="89"/>
      <c r="F166" s="89"/>
      <c r="G166" s="89"/>
      <c r="H166" s="89"/>
      <c r="I166" s="89"/>
      <c r="J166" s="89"/>
      <c r="K166" s="89"/>
      <c r="L166" s="89"/>
      <c r="M166" s="89"/>
      <c r="N166" s="89"/>
      <c r="O166" s="89"/>
      <c r="P166" s="89"/>
      <c r="Q166" s="89"/>
      <c r="R166" s="89"/>
      <c r="S166" s="89"/>
      <c r="T166" s="89"/>
      <c r="U166" s="89"/>
      <c r="V166" s="89"/>
      <c r="W166" s="89"/>
      <c r="X166" s="89"/>
      <c r="Y166" s="89"/>
      <c r="Z166" s="89"/>
      <c r="AA166" s="89"/>
      <c r="AB166" s="89"/>
      <c r="AC166" s="89"/>
      <c r="AD166" s="89"/>
      <c r="AE166" s="89"/>
      <c r="AF166" s="89"/>
      <c r="AG166" s="89"/>
      <c r="AH166" s="89"/>
      <c r="AI166" s="89"/>
      <c r="AJ166" s="89"/>
      <c r="AK166" s="89"/>
      <c r="AL166" s="89"/>
      <c r="AM166" s="89"/>
      <c r="AN166" s="89"/>
      <c r="AO166" s="89"/>
      <c r="AP166" s="89"/>
      <c r="AQ166" s="89"/>
      <c r="AR166" s="89"/>
      <c r="AS166" s="89"/>
      <c r="AT166" s="89"/>
      <c r="AU166" s="89"/>
      <c r="AV166" s="89"/>
      <c r="AW166" s="89"/>
      <c r="AX166" s="89"/>
      <c r="AY166" s="89"/>
      <c r="AZ166" s="89"/>
      <c r="BA166" s="89"/>
      <c r="BB166" s="89"/>
      <c r="BC166" s="89"/>
      <c r="BD166" s="89"/>
      <c r="BE166" s="89"/>
      <c r="BF166" s="89"/>
      <c r="BG166" s="89"/>
      <c r="BH166" s="89"/>
      <c r="BI166" s="89"/>
      <c r="BJ166" s="89"/>
      <c r="BK166" s="89"/>
      <c r="BL166" s="8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</row>
    <row r="167" spans="1:106" x14ac:dyDescent="0.2">
      <c r="A167" s="89"/>
      <c r="B167" s="89"/>
      <c r="C167" s="89"/>
      <c r="D167" s="89"/>
      <c r="E167" s="89"/>
      <c r="F167" s="89"/>
      <c r="G167" s="89"/>
      <c r="H167" s="89"/>
      <c r="I167" s="89"/>
      <c r="J167" s="89"/>
      <c r="K167" s="89"/>
      <c r="L167" s="89"/>
      <c r="M167" s="89"/>
      <c r="N167" s="89"/>
      <c r="O167" s="89"/>
      <c r="P167" s="89"/>
      <c r="Q167" s="89"/>
      <c r="R167" s="89"/>
      <c r="S167" s="89"/>
      <c r="T167" s="89"/>
      <c r="U167" s="89"/>
      <c r="V167" s="89"/>
      <c r="W167" s="89"/>
      <c r="X167" s="89"/>
      <c r="Y167" s="89"/>
      <c r="Z167" s="89"/>
      <c r="AA167" s="89"/>
      <c r="AB167" s="89"/>
      <c r="AC167" s="89"/>
      <c r="AD167" s="89"/>
      <c r="AE167" s="89"/>
      <c r="AF167" s="89"/>
      <c r="AG167" s="89"/>
      <c r="AH167" s="89"/>
      <c r="AI167" s="89"/>
      <c r="AJ167" s="89"/>
      <c r="AK167" s="89"/>
      <c r="AL167" s="89"/>
      <c r="AM167" s="89"/>
      <c r="AN167" s="89"/>
      <c r="AO167" s="89"/>
      <c r="AP167" s="89"/>
      <c r="AQ167" s="89"/>
      <c r="AR167" s="89"/>
      <c r="AS167" s="89"/>
      <c r="AT167" s="89"/>
      <c r="AU167" s="89"/>
      <c r="AV167" s="89"/>
      <c r="AW167" s="89"/>
      <c r="AX167" s="89"/>
      <c r="AY167" s="89"/>
      <c r="AZ167" s="89"/>
      <c r="BA167" s="89"/>
      <c r="BB167" s="89"/>
      <c r="BC167" s="89"/>
      <c r="BD167" s="89"/>
      <c r="BE167" s="89"/>
      <c r="BF167" s="89"/>
      <c r="BG167" s="89"/>
      <c r="BH167" s="89"/>
      <c r="BI167" s="89"/>
      <c r="BJ167" s="89"/>
      <c r="BK167" s="89"/>
      <c r="BL167" s="8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</row>
    <row r="168" spans="1:106" x14ac:dyDescent="0.2">
      <c r="A168" s="89"/>
      <c r="B168" s="89"/>
      <c r="C168" s="89"/>
      <c r="D168" s="89"/>
      <c r="E168" s="89"/>
      <c r="F168" s="89"/>
      <c r="G168" s="89"/>
      <c r="H168" s="89"/>
      <c r="I168" s="89"/>
      <c r="J168" s="89"/>
      <c r="K168" s="89"/>
      <c r="L168" s="89"/>
      <c r="M168" s="89"/>
      <c r="N168" s="89"/>
      <c r="O168" s="89"/>
      <c r="P168" s="89"/>
      <c r="Q168" s="89"/>
      <c r="R168" s="89"/>
      <c r="S168" s="89"/>
      <c r="T168" s="89"/>
      <c r="U168" s="89"/>
      <c r="V168" s="89"/>
      <c r="W168" s="89"/>
      <c r="X168" s="89"/>
      <c r="Y168" s="89"/>
      <c r="Z168" s="89"/>
      <c r="AA168" s="89"/>
      <c r="AB168" s="89"/>
      <c r="AC168" s="89"/>
      <c r="AD168" s="89"/>
      <c r="AE168" s="89"/>
      <c r="AF168" s="89"/>
      <c r="AG168" s="89"/>
      <c r="AH168" s="89"/>
      <c r="AI168" s="89"/>
      <c r="AJ168" s="89"/>
      <c r="AK168" s="89"/>
      <c r="AL168" s="89"/>
      <c r="AM168" s="89"/>
      <c r="AN168" s="89"/>
      <c r="AO168" s="89"/>
      <c r="AP168" s="89"/>
      <c r="AQ168" s="89"/>
      <c r="AR168" s="89"/>
      <c r="AS168" s="89"/>
      <c r="AT168" s="89"/>
      <c r="AU168" s="89"/>
      <c r="AV168" s="89"/>
      <c r="AW168" s="89"/>
      <c r="AX168" s="89"/>
      <c r="AY168" s="89"/>
      <c r="AZ168" s="89"/>
      <c r="BA168" s="89"/>
      <c r="BB168" s="89"/>
      <c r="BC168" s="89"/>
      <c r="BD168" s="89"/>
      <c r="BE168" s="89"/>
      <c r="BF168" s="89"/>
      <c r="BG168" s="89"/>
      <c r="BH168" s="89"/>
      <c r="BI168" s="89"/>
      <c r="BJ168" s="89"/>
      <c r="BK168" s="89"/>
      <c r="BL168" s="8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</row>
    <row r="169" spans="1:106" x14ac:dyDescent="0.2">
      <c r="A169" s="89"/>
      <c r="B169" s="89"/>
      <c r="C169" s="89"/>
      <c r="D169" s="89"/>
      <c r="E169" s="89"/>
      <c r="F169" s="89"/>
      <c r="G169" s="89"/>
      <c r="H169" s="89"/>
      <c r="I169" s="89"/>
      <c r="J169" s="89"/>
      <c r="K169" s="89"/>
      <c r="L169" s="89"/>
      <c r="M169" s="89"/>
      <c r="N169" s="89"/>
      <c r="O169" s="89"/>
      <c r="P169" s="89"/>
      <c r="Q169" s="89"/>
      <c r="R169" s="89"/>
      <c r="S169" s="89"/>
      <c r="T169" s="89"/>
      <c r="U169" s="89"/>
      <c r="V169" s="89"/>
      <c r="W169" s="89"/>
      <c r="X169" s="89"/>
      <c r="Y169" s="89"/>
      <c r="Z169" s="89"/>
      <c r="AA169" s="89"/>
      <c r="AB169" s="89"/>
      <c r="AC169" s="89"/>
      <c r="AD169" s="89"/>
      <c r="AE169" s="89"/>
      <c r="AF169" s="89"/>
      <c r="AG169" s="89"/>
      <c r="AH169" s="89"/>
      <c r="AI169" s="89"/>
      <c r="AJ169" s="89"/>
      <c r="AK169" s="89"/>
      <c r="AL169" s="89"/>
      <c r="AM169" s="89"/>
      <c r="AN169" s="89"/>
      <c r="AO169" s="89"/>
      <c r="AP169" s="89"/>
      <c r="AQ169" s="89"/>
      <c r="AR169" s="89"/>
      <c r="AS169" s="89"/>
      <c r="AT169" s="89"/>
      <c r="AU169" s="89"/>
      <c r="AV169" s="89"/>
      <c r="AW169" s="89"/>
      <c r="AX169" s="89"/>
      <c r="AY169" s="89"/>
      <c r="AZ169" s="89"/>
      <c r="BA169" s="89"/>
      <c r="BB169" s="89"/>
      <c r="BC169" s="89"/>
      <c r="BD169" s="89"/>
      <c r="BE169" s="89"/>
      <c r="BF169" s="89"/>
      <c r="BG169" s="89"/>
      <c r="BH169" s="89"/>
      <c r="BI169" s="89"/>
      <c r="BJ169" s="89"/>
      <c r="BK169" s="89"/>
      <c r="BL169" s="8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</row>
    <row r="170" spans="1:106" x14ac:dyDescent="0.2">
      <c r="A170" s="89"/>
      <c r="B170" s="89"/>
      <c r="C170" s="89"/>
      <c r="D170" s="89"/>
      <c r="E170" s="89"/>
      <c r="F170" s="89"/>
      <c r="G170" s="89"/>
      <c r="H170" s="89"/>
      <c r="I170" s="89"/>
      <c r="J170" s="89"/>
      <c r="K170" s="89"/>
      <c r="L170" s="89"/>
      <c r="M170" s="89"/>
      <c r="N170" s="89"/>
      <c r="O170" s="89"/>
      <c r="P170" s="89"/>
      <c r="Q170" s="89"/>
      <c r="R170" s="89"/>
      <c r="S170" s="89"/>
      <c r="T170" s="89"/>
      <c r="U170" s="89"/>
      <c r="V170" s="89"/>
      <c r="W170" s="89"/>
      <c r="X170" s="89"/>
      <c r="Y170" s="89"/>
      <c r="Z170" s="89"/>
      <c r="AA170" s="89"/>
      <c r="AB170" s="89"/>
      <c r="AC170" s="89"/>
      <c r="AD170" s="89"/>
      <c r="AE170" s="89"/>
      <c r="AF170" s="89"/>
      <c r="AG170" s="89"/>
      <c r="AH170" s="89"/>
      <c r="AI170" s="89"/>
      <c r="AJ170" s="89"/>
      <c r="AK170" s="89"/>
      <c r="AL170" s="89"/>
      <c r="AM170" s="89"/>
      <c r="AN170" s="89"/>
      <c r="AO170" s="89"/>
      <c r="AP170" s="89"/>
      <c r="AQ170" s="89"/>
      <c r="AR170" s="89"/>
      <c r="AS170" s="89"/>
      <c r="AT170" s="89"/>
      <c r="AU170" s="89"/>
      <c r="AV170" s="89"/>
      <c r="AW170" s="89"/>
      <c r="AX170" s="89"/>
      <c r="AY170" s="89"/>
      <c r="AZ170" s="89"/>
      <c r="BA170" s="89"/>
      <c r="BB170" s="89"/>
      <c r="BC170" s="89"/>
      <c r="BD170" s="89"/>
      <c r="BE170" s="89"/>
      <c r="BF170" s="89"/>
      <c r="BG170" s="89"/>
      <c r="BH170" s="89"/>
      <c r="BI170" s="89"/>
      <c r="BJ170" s="89"/>
      <c r="BK170" s="89"/>
      <c r="BL170" s="89"/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</row>
    <row r="171" spans="1:106" x14ac:dyDescent="0.2">
      <c r="A171" s="89"/>
      <c r="B171" s="89"/>
      <c r="C171" s="89"/>
      <c r="D171" s="89"/>
      <c r="E171" s="89"/>
      <c r="F171" s="89"/>
      <c r="G171" s="89"/>
      <c r="H171" s="89"/>
      <c r="I171" s="89"/>
      <c r="J171" s="89"/>
      <c r="K171" s="89"/>
      <c r="L171" s="89"/>
      <c r="M171" s="89"/>
      <c r="N171" s="89"/>
      <c r="O171" s="89"/>
      <c r="P171" s="89"/>
      <c r="Q171" s="89"/>
      <c r="R171" s="89"/>
      <c r="S171" s="89"/>
      <c r="T171" s="89"/>
      <c r="U171" s="89"/>
      <c r="V171" s="89"/>
      <c r="W171" s="89"/>
      <c r="X171" s="89"/>
      <c r="Y171" s="89"/>
      <c r="Z171" s="89"/>
      <c r="AA171" s="89"/>
      <c r="AB171" s="89"/>
      <c r="AC171" s="89"/>
      <c r="AD171" s="89"/>
      <c r="AE171" s="89"/>
      <c r="AF171" s="89"/>
      <c r="AG171" s="89"/>
      <c r="AH171" s="89"/>
      <c r="AI171" s="89"/>
      <c r="AJ171" s="89"/>
      <c r="AK171" s="89"/>
      <c r="AL171" s="89"/>
      <c r="AM171" s="89"/>
      <c r="AN171" s="89"/>
      <c r="AO171" s="89"/>
      <c r="AP171" s="89"/>
      <c r="AQ171" s="89"/>
      <c r="AR171" s="89"/>
      <c r="AS171" s="89"/>
      <c r="AT171" s="89"/>
      <c r="AU171" s="89"/>
      <c r="AV171" s="89"/>
      <c r="AW171" s="89"/>
      <c r="AX171" s="89"/>
      <c r="AY171" s="89"/>
      <c r="AZ171" s="89"/>
      <c r="BA171" s="89"/>
      <c r="BB171" s="89"/>
      <c r="BC171" s="89"/>
      <c r="BD171" s="89"/>
      <c r="BE171" s="89"/>
      <c r="BF171" s="89"/>
      <c r="BG171" s="89"/>
      <c r="BH171" s="89"/>
      <c r="BI171" s="89"/>
      <c r="BJ171" s="89"/>
      <c r="BK171" s="89"/>
      <c r="BL171" s="89"/>
      <c r="BM171" s="89"/>
      <c r="BN171" s="89"/>
      <c r="BO171" s="89"/>
      <c r="BP171" s="89"/>
      <c r="BQ171" s="89"/>
      <c r="BR171" s="89"/>
      <c r="BS171" s="89"/>
      <c r="BT171" s="89"/>
      <c r="BU171" s="89"/>
      <c r="BV171" s="89"/>
      <c r="BW171" s="89"/>
      <c r="BX171" s="89"/>
      <c r="BY171" s="89"/>
      <c r="BZ171" s="89"/>
      <c r="CA171" s="89"/>
      <c r="CB171" s="89"/>
      <c r="CC171" s="89"/>
      <c r="CD171" s="89"/>
      <c r="CE171" s="89"/>
      <c r="CF171" s="89"/>
      <c r="CG171" s="89"/>
      <c r="CH171" s="89"/>
      <c r="CI171" s="89"/>
      <c r="CJ171" s="89"/>
      <c r="CK171" s="89"/>
      <c r="CL171" s="89"/>
      <c r="CM171" s="89"/>
      <c r="CN171" s="89"/>
      <c r="CO171" s="89"/>
      <c r="CP171" s="89"/>
      <c r="CQ171" s="89"/>
      <c r="CR171" s="89"/>
      <c r="CS171" s="89"/>
      <c r="CT171" s="89"/>
      <c r="CU171" s="89"/>
      <c r="CV171" s="89"/>
      <c r="CW171" s="89"/>
      <c r="CX171" s="89"/>
      <c r="CY171" s="89"/>
      <c r="CZ171" s="89"/>
      <c r="DA171" s="89"/>
      <c r="DB171" s="89"/>
    </row>
  </sheetData>
  <sheetProtection selectLockedCells="1" selectUnlockedCells="1"/>
  <mergeCells count="3">
    <mergeCell ref="C18:H18"/>
    <mergeCell ref="C19:H19"/>
    <mergeCell ref="C20:H20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 tint="0.39997558519241921"/>
  </sheetPr>
  <dimension ref="A1:BEX157"/>
  <sheetViews>
    <sheetView showGridLines="0" showRowColHeaders="0" tabSelected="1" topLeftCell="A9" zoomScaleNormal="100" workbookViewId="0">
      <selection activeCell="JD9" sqref="JD9"/>
    </sheetView>
  </sheetViews>
  <sheetFormatPr defaultColWidth="0.85546875" defaultRowHeight="9.9499999999999993" customHeight="1" zeroHeight="1" x14ac:dyDescent="0.2"/>
  <cols>
    <col min="1" max="1" width="4.7109375" style="2" customWidth="1"/>
    <col min="2" max="2" width="0.85546875" style="2" customWidth="1"/>
    <col min="3" max="29" width="2.7109375" style="2" customWidth="1"/>
    <col min="30" max="30" width="3.42578125" style="2" customWidth="1"/>
    <col min="31" max="38" width="2.7109375" style="2" customWidth="1"/>
    <col min="39" max="39" width="1.7109375" style="2" customWidth="1"/>
    <col min="40" max="40" width="2.7109375" style="2" hidden="1" customWidth="1"/>
    <col min="41" max="248" width="0.85546875" style="2" hidden="1" customWidth="1"/>
    <col min="249" max="16384" width="0.85546875" style="2"/>
  </cols>
  <sheetData>
    <row r="1" spans="1:1399" s="48" customFormat="1" ht="9.9499999999999993" customHeight="1" x14ac:dyDescent="0.2">
      <c r="A1" s="99"/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199"/>
      <c r="AF1" s="199"/>
      <c r="AG1" s="199"/>
      <c r="AH1" s="199"/>
      <c r="AI1" s="199"/>
      <c r="AJ1" s="199"/>
      <c r="AK1" s="199"/>
      <c r="AL1" s="199"/>
      <c r="AM1" s="199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0"/>
      <c r="EH1" s="100"/>
      <c r="EI1" s="100"/>
      <c r="EJ1" s="100"/>
      <c r="EK1" s="100"/>
      <c r="EL1" s="100"/>
      <c r="EM1" s="100"/>
      <c r="EN1" s="100"/>
      <c r="EO1" s="100"/>
      <c r="EP1" s="100"/>
      <c r="EQ1" s="100"/>
      <c r="ER1" s="100"/>
      <c r="ES1" s="100"/>
      <c r="ET1" s="100"/>
      <c r="EU1" s="100"/>
      <c r="EV1" s="100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1"/>
      <c r="FW1" s="101"/>
      <c r="FX1" s="101"/>
      <c r="FY1" s="101"/>
      <c r="FZ1" s="101"/>
      <c r="GA1" s="101"/>
      <c r="GB1" s="101"/>
      <c r="GC1" s="101"/>
      <c r="GD1" s="101"/>
      <c r="GE1" s="101"/>
      <c r="GF1" s="101"/>
      <c r="GG1" s="101"/>
      <c r="GH1" s="101"/>
      <c r="GI1" s="101"/>
      <c r="GJ1" s="101"/>
      <c r="GK1" s="101"/>
      <c r="GL1" s="101"/>
      <c r="GM1" s="101"/>
      <c r="GN1" s="101"/>
      <c r="GO1" s="101"/>
      <c r="GP1" s="101"/>
      <c r="GQ1" s="101"/>
      <c r="GR1" s="101"/>
      <c r="GS1" s="101"/>
      <c r="GT1" s="101"/>
      <c r="GU1" s="101"/>
      <c r="GV1" s="101"/>
      <c r="GW1" s="101"/>
      <c r="GX1" s="101"/>
      <c r="GY1" s="101"/>
      <c r="GZ1" s="101"/>
      <c r="HA1" s="101"/>
      <c r="HB1" s="101"/>
      <c r="HC1" s="101"/>
      <c r="HD1" s="101"/>
      <c r="HE1" s="101"/>
      <c r="HF1" s="101"/>
      <c r="HG1" s="101"/>
      <c r="HH1" s="101"/>
      <c r="HI1" s="101"/>
      <c r="HJ1" s="101"/>
      <c r="HK1" s="101"/>
      <c r="HL1" s="101"/>
      <c r="HM1" s="101"/>
      <c r="HN1" s="101"/>
      <c r="HO1" s="101"/>
      <c r="HP1" s="101"/>
      <c r="HQ1" s="101"/>
      <c r="HR1" s="101"/>
      <c r="HS1" s="101"/>
      <c r="HT1" s="101"/>
      <c r="HU1" s="101"/>
      <c r="HV1" s="101"/>
      <c r="HW1" s="101"/>
      <c r="HX1" s="101"/>
      <c r="HY1" s="101"/>
      <c r="HZ1" s="101"/>
      <c r="IA1" s="101"/>
      <c r="IB1" s="101"/>
      <c r="IC1" s="101"/>
      <c r="ID1" s="101"/>
      <c r="IE1" s="101"/>
      <c r="IF1" s="101"/>
      <c r="IG1" s="101"/>
      <c r="IH1" s="101"/>
      <c r="II1" s="101"/>
      <c r="IJ1" s="101"/>
      <c r="IK1" s="101"/>
      <c r="IL1" s="101"/>
      <c r="IM1" s="101"/>
      <c r="IN1" s="101"/>
      <c r="IO1" s="100"/>
      <c r="IP1" s="100"/>
      <c r="IQ1" s="100"/>
      <c r="IR1" s="100"/>
      <c r="IS1" s="100"/>
      <c r="IT1" s="100"/>
      <c r="IU1" s="100"/>
      <c r="IV1" s="100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</row>
    <row r="2" spans="1:1399" s="49" customFormat="1" ht="30" customHeight="1" x14ac:dyDescent="0.2">
      <c r="A2" s="273"/>
      <c r="B2" s="273"/>
      <c r="C2" s="273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273"/>
      <c r="Q2" s="273"/>
      <c r="R2" s="273"/>
      <c r="S2" s="273"/>
      <c r="T2" s="273"/>
      <c r="U2" s="273"/>
      <c r="V2" s="273"/>
      <c r="W2" s="273"/>
      <c r="X2" s="273"/>
      <c r="Y2" s="273"/>
      <c r="Z2" s="273"/>
      <c r="AA2" s="273"/>
      <c r="AB2" s="272" t="s">
        <v>103</v>
      </c>
      <c r="AC2" s="272"/>
      <c r="AD2" s="272"/>
      <c r="AE2" s="272"/>
      <c r="AF2" s="272"/>
      <c r="AG2" s="272"/>
      <c r="AH2" s="272"/>
      <c r="AI2" s="272"/>
      <c r="AJ2" s="272"/>
      <c r="AK2" s="272"/>
      <c r="AL2" s="272"/>
      <c r="AM2" s="272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100"/>
      <c r="BP2" s="100"/>
      <c r="BQ2" s="100"/>
      <c r="BR2" s="100"/>
      <c r="BS2" s="100"/>
      <c r="BT2" s="100"/>
      <c r="BU2" s="100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100"/>
      <c r="DD2" s="100"/>
      <c r="DE2" s="100"/>
      <c r="DF2" s="100"/>
      <c r="DG2" s="100"/>
      <c r="DH2" s="100"/>
      <c r="DI2" s="100"/>
      <c r="DJ2" s="100"/>
      <c r="DK2" s="100"/>
      <c r="DL2" s="100"/>
      <c r="DM2" s="100"/>
      <c r="DN2" s="100"/>
      <c r="DO2" s="100"/>
      <c r="DP2" s="100"/>
      <c r="DQ2" s="100"/>
      <c r="DR2" s="100"/>
      <c r="DS2" s="100"/>
      <c r="DT2" s="100"/>
      <c r="DU2" s="100"/>
      <c r="DV2" s="100"/>
      <c r="DW2" s="100"/>
      <c r="DX2" s="100"/>
      <c r="DY2" s="100"/>
      <c r="DZ2" s="100"/>
      <c r="EA2" s="100"/>
      <c r="EB2" s="100"/>
      <c r="EC2" s="100"/>
      <c r="ED2" s="100"/>
      <c r="EE2" s="100"/>
      <c r="EF2" s="100"/>
      <c r="EG2" s="100"/>
      <c r="EH2" s="100"/>
      <c r="EI2" s="100"/>
      <c r="EJ2" s="100"/>
      <c r="EK2" s="100"/>
      <c r="EL2" s="100"/>
      <c r="EM2" s="100"/>
      <c r="EN2" s="100"/>
      <c r="EO2" s="100"/>
      <c r="EP2" s="100"/>
      <c r="EQ2" s="100"/>
      <c r="ER2" s="100"/>
      <c r="ES2" s="100"/>
      <c r="ET2" s="100"/>
      <c r="EU2" s="100"/>
      <c r="EV2" s="100"/>
      <c r="EW2" s="100"/>
      <c r="EX2" s="100"/>
      <c r="EY2" s="100"/>
      <c r="EZ2" s="100"/>
      <c r="FA2" s="100"/>
      <c r="FB2" s="100"/>
      <c r="FC2" s="100"/>
      <c r="FD2" s="100"/>
      <c r="FE2" s="100"/>
      <c r="FF2" s="100"/>
      <c r="FG2" s="100"/>
      <c r="FH2" s="100"/>
      <c r="FI2" s="100"/>
      <c r="FJ2" s="100"/>
      <c r="FK2" s="100"/>
      <c r="FL2" s="100"/>
      <c r="FM2" s="100"/>
      <c r="FN2" s="100"/>
      <c r="FO2" s="100"/>
      <c r="FP2" s="100"/>
      <c r="FQ2" s="100"/>
      <c r="FR2" s="100"/>
      <c r="FS2" s="100"/>
      <c r="FT2" s="100"/>
      <c r="FU2" s="100"/>
      <c r="FV2" s="101"/>
      <c r="FW2" s="101"/>
      <c r="FX2" s="101"/>
      <c r="FY2" s="101"/>
      <c r="FZ2" s="101"/>
      <c r="GA2" s="101"/>
      <c r="GB2" s="101"/>
      <c r="GC2" s="101"/>
      <c r="GD2" s="101"/>
      <c r="GE2" s="101"/>
      <c r="GF2" s="101"/>
      <c r="GG2" s="101"/>
      <c r="GH2" s="101"/>
      <c r="GI2" s="101"/>
      <c r="GJ2" s="101"/>
      <c r="GK2" s="101"/>
      <c r="GL2" s="101"/>
      <c r="GM2" s="101"/>
      <c r="GN2" s="101"/>
      <c r="GO2" s="101"/>
      <c r="GP2" s="101"/>
      <c r="GQ2" s="101"/>
      <c r="GR2" s="101"/>
      <c r="GS2" s="101"/>
      <c r="GT2" s="101"/>
      <c r="GU2" s="101"/>
      <c r="GV2" s="101"/>
      <c r="GW2" s="101"/>
      <c r="GX2" s="101"/>
      <c r="GY2" s="101"/>
      <c r="GZ2" s="101"/>
      <c r="HA2" s="101"/>
      <c r="HB2" s="101"/>
      <c r="HC2" s="101"/>
      <c r="HD2" s="101"/>
      <c r="HE2" s="101"/>
      <c r="HF2" s="101"/>
      <c r="HG2" s="101"/>
      <c r="HH2" s="101"/>
      <c r="HI2" s="101"/>
      <c r="HJ2" s="101"/>
      <c r="HK2" s="101"/>
      <c r="HL2" s="101"/>
      <c r="HM2" s="101"/>
      <c r="HN2" s="101"/>
      <c r="HO2" s="101"/>
      <c r="HP2" s="101"/>
      <c r="HQ2" s="101"/>
      <c r="HR2" s="101"/>
      <c r="HS2" s="101"/>
      <c r="HT2" s="101"/>
      <c r="HU2" s="101"/>
      <c r="HV2" s="101"/>
      <c r="HW2" s="101"/>
      <c r="HX2" s="101"/>
      <c r="HY2" s="101"/>
      <c r="HZ2" s="101"/>
      <c r="IA2" s="101"/>
      <c r="IB2" s="101"/>
      <c r="IC2" s="101"/>
      <c r="ID2" s="101"/>
      <c r="IE2" s="101"/>
      <c r="IF2" s="101"/>
      <c r="IG2" s="101"/>
      <c r="IH2" s="101"/>
      <c r="II2" s="101"/>
      <c r="IJ2" s="101"/>
      <c r="IK2" s="101"/>
      <c r="IL2" s="101"/>
      <c r="IM2" s="101"/>
      <c r="IN2" s="101"/>
      <c r="IO2" s="199"/>
      <c r="IP2" s="199"/>
      <c r="IQ2" s="199"/>
      <c r="IR2" s="199"/>
      <c r="IS2" s="199"/>
      <c r="IT2" s="199"/>
      <c r="IU2" s="199"/>
      <c r="IV2" s="199"/>
    </row>
    <row r="3" spans="1:1399" s="50" customFormat="1" ht="20.100000000000001" customHeight="1" x14ac:dyDescent="0.2">
      <c r="A3" s="273"/>
      <c r="B3" s="273"/>
      <c r="C3" s="273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3"/>
      <c r="U3" s="273"/>
      <c r="V3" s="273"/>
      <c r="W3" s="273"/>
      <c r="X3" s="273"/>
      <c r="Y3" s="273"/>
      <c r="Z3" s="273"/>
      <c r="AA3" s="273"/>
      <c r="AB3" s="272"/>
      <c r="AC3" s="272"/>
      <c r="AD3" s="272"/>
      <c r="AE3" s="272"/>
      <c r="AF3" s="272"/>
      <c r="AG3" s="272"/>
      <c r="AH3" s="272"/>
      <c r="AI3" s="272"/>
      <c r="AJ3" s="272"/>
      <c r="AK3" s="272"/>
      <c r="AL3" s="272"/>
      <c r="AM3" s="272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  <c r="BG3" s="100"/>
      <c r="BH3" s="100"/>
      <c r="BI3" s="100"/>
      <c r="BJ3" s="100"/>
      <c r="BK3" s="100"/>
      <c r="BL3" s="100"/>
      <c r="BM3" s="100"/>
      <c r="BN3" s="100"/>
      <c r="BO3" s="100"/>
      <c r="BP3" s="100"/>
      <c r="BQ3" s="100"/>
      <c r="BR3" s="100"/>
      <c r="BS3" s="100"/>
      <c r="BT3" s="100"/>
      <c r="BU3" s="100"/>
      <c r="BV3" s="100"/>
      <c r="BW3" s="100"/>
      <c r="BX3" s="100"/>
      <c r="BY3" s="100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00"/>
      <c r="CY3" s="100"/>
      <c r="CZ3" s="100"/>
      <c r="DA3" s="100"/>
      <c r="DB3" s="100"/>
      <c r="DC3" s="100"/>
      <c r="DD3" s="100"/>
      <c r="DE3" s="100"/>
      <c r="DF3" s="100"/>
      <c r="DG3" s="100"/>
      <c r="DH3" s="100"/>
      <c r="DI3" s="100"/>
      <c r="DJ3" s="100"/>
      <c r="DK3" s="100"/>
      <c r="DL3" s="100"/>
      <c r="DM3" s="100"/>
      <c r="DN3" s="100"/>
      <c r="DO3" s="100"/>
      <c r="DP3" s="100"/>
      <c r="DQ3" s="100"/>
      <c r="DR3" s="100"/>
      <c r="DS3" s="100"/>
      <c r="DT3" s="100"/>
      <c r="DU3" s="100"/>
      <c r="DV3" s="100"/>
      <c r="DW3" s="100"/>
      <c r="DX3" s="100"/>
      <c r="DY3" s="100"/>
      <c r="DZ3" s="100"/>
      <c r="EA3" s="100"/>
      <c r="EB3" s="100"/>
      <c r="EC3" s="100"/>
      <c r="ED3" s="100"/>
      <c r="EE3" s="100"/>
      <c r="EF3" s="100"/>
      <c r="EG3" s="100"/>
      <c r="EH3" s="100"/>
      <c r="EI3" s="100"/>
      <c r="EJ3" s="100"/>
      <c r="EK3" s="100"/>
      <c r="EL3" s="100"/>
      <c r="EM3" s="100"/>
      <c r="EN3" s="100"/>
      <c r="EO3" s="100"/>
      <c r="EP3" s="100"/>
      <c r="EQ3" s="100"/>
      <c r="ER3" s="100"/>
      <c r="ES3" s="100"/>
      <c r="ET3" s="100"/>
      <c r="EU3" s="100"/>
      <c r="EV3" s="100"/>
      <c r="EW3" s="100"/>
      <c r="EX3" s="100"/>
      <c r="EY3" s="100"/>
      <c r="EZ3" s="100"/>
      <c r="FA3" s="100"/>
      <c r="FB3" s="100"/>
      <c r="FC3" s="100"/>
      <c r="FD3" s="100"/>
      <c r="FE3" s="100"/>
      <c r="FF3" s="100"/>
      <c r="FG3" s="100"/>
      <c r="FH3" s="100"/>
      <c r="FI3" s="100"/>
      <c r="FJ3" s="100"/>
      <c r="FK3" s="100"/>
      <c r="FL3" s="100"/>
      <c r="FM3" s="100"/>
      <c r="FN3" s="100"/>
      <c r="FO3" s="100"/>
      <c r="FP3" s="100"/>
      <c r="FQ3" s="100"/>
      <c r="FR3" s="100"/>
      <c r="FS3" s="100"/>
      <c r="FT3" s="100"/>
      <c r="FU3" s="100"/>
      <c r="FV3" s="101"/>
      <c r="FW3" s="101"/>
      <c r="FX3" s="101"/>
      <c r="FY3" s="101"/>
      <c r="FZ3" s="101"/>
      <c r="GA3" s="101"/>
      <c r="GB3" s="101"/>
      <c r="GC3" s="101"/>
      <c r="GD3" s="101"/>
      <c r="GE3" s="101"/>
      <c r="GF3" s="101"/>
      <c r="GG3" s="101"/>
      <c r="GH3" s="101"/>
      <c r="GI3" s="101"/>
      <c r="GJ3" s="101"/>
      <c r="GK3" s="101"/>
      <c r="GL3" s="101"/>
      <c r="GM3" s="101"/>
      <c r="GN3" s="101"/>
      <c r="GO3" s="101"/>
      <c r="GP3" s="101"/>
      <c r="GQ3" s="101"/>
      <c r="GR3" s="101"/>
      <c r="GS3" s="101"/>
      <c r="GT3" s="101"/>
      <c r="GU3" s="101"/>
      <c r="GV3" s="101"/>
      <c r="GW3" s="101"/>
      <c r="GX3" s="101"/>
      <c r="GY3" s="101"/>
      <c r="GZ3" s="101"/>
      <c r="HA3" s="101"/>
      <c r="HB3" s="101"/>
      <c r="HC3" s="101"/>
      <c r="HD3" s="101"/>
      <c r="HE3" s="101"/>
      <c r="HF3" s="101"/>
      <c r="HG3" s="101"/>
      <c r="HH3" s="101"/>
      <c r="HI3" s="101"/>
      <c r="HJ3" s="101"/>
      <c r="HK3" s="101"/>
      <c r="HL3" s="101"/>
      <c r="HM3" s="101"/>
      <c r="HN3" s="101"/>
      <c r="HO3" s="101"/>
      <c r="HP3" s="101"/>
      <c r="HQ3" s="101"/>
      <c r="HR3" s="101"/>
      <c r="HS3" s="101"/>
      <c r="HT3" s="101"/>
      <c r="HU3" s="101"/>
      <c r="HV3" s="101"/>
      <c r="HW3" s="101"/>
      <c r="HX3" s="101"/>
      <c r="HY3" s="101"/>
      <c r="HZ3" s="101"/>
      <c r="IA3" s="101"/>
      <c r="IB3" s="101"/>
      <c r="IC3" s="101"/>
      <c r="ID3" s="101"/>
      <c r="IE3" s="101"/>
      <c r="IF3" s="101"/>
      <c r="IG3" s="101"/>
      <c r="IH3" s="101"/>
      <c r="II3" s="101"/>
      <c r="IJ3" s="101"/>
      <c r="IK3" s="101"/>
      <c r="IL3" s="101"/>
      <c r="IM3" s="101"/>
      <c r="IN3" s="101"/>
      <c r="IO3" s="199"/>
      <c r="IP3" s="199"/>
      <c r="IQ3" s="199"/>
      <c r="IR3" s="199"/>
      <c r="IS3" s="199"/>
      <c r="IT3" s="199"/>
      <c r="IU3" s="199"/>
      <c r="IV3" s="199"/>
    </row>
    <row r="4" spans="1:1399" ht="9.9499999999999993" customHeight="1" x14ac:dyDescent="0.2">
      <c r="A4" s="99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  <c r="BA4" s="100"/>
      <c r="BB4" s="100"/>
      <c r="BC4" s="100"/>
      <c r="BD4" s="100"/>
      <c r="BE4" s="100"/>
      <c r="BF4" s="100"/>
      <c r="BG4" s="100"/>
      <c r="BH4" s="100"/>
      <c r="BI4" s="100"/>
      <c r="BJ4" s="100"/>
      <c r="BK4" s="100"/>
      <c r="BL4" s="100"/>
      <c r="BM4" s="100"/>
      <c r="BN4" s="100"/>
      <c r="BO4" s="100"/>
      <c r="BP4" s="100"/>
      <c r="BQ4" s="100"/>
      <c r="BR4" s="100"/>
      <c r="BS4" s="100"/>
      <c r="BT4" s="100"/>
      <c r="BU4" s="100"/>
      <c r="BV4" s="100"/>
      <c r="BW4" s="100"/>
      <c r="BX4" s="100"/>
      <c r="BY4" s="100"/>
      <c r="BZ4" s="100"/>
      <c r="CA4" s="100"/>
      <c r="CB4" s="100"/>
      <c r="CC4" s="100"/>
      <c r="CD4" s="100"/>
      <c r="CE4" s="100"/>
      <c r="CF4" s="100"/>
      <c r="CG4" s="100"/>
      <c r="CH4" s="100"/>
      <c r="CI4" s="100"/>
      <c r="CJ4" s="100"/>
      <c r="CK4" s="100"/>
      <c r="CL4" s="100"/>
      <c r="CM4" s="100"/>
      <c r="CN4" s="100"/>
      <c r="CO4" s="100"/>
      <c r="CP4" s="100"/>
      <c r="CQ4" s="100"/>
      <c r="CR4" s="100"/>
      <c r="CS4" s="100"/>
      <c r="CT4" s="100"/>
      <c r="CU4" s="100"/>
      <c r="CV4" s="100"/>
      <c r="CW4" s="100"/>
      <c r="CX4" s="100"/>
      <c r="CY4" s="100"/>
      <c r="CZ4" s="100"/>
      <c r="DA4" s="100"/>
      <c r="DB4" s="100"/>
      <c r="DC4" s="100"/>
      <c r="DD4" s="100"/>
      <c r="DE4" s="100"/>
      <c r="DF4" s="100"/>
      <c r="DG4" s="100"/>
      <c r="DH4" s="100"/>
      <c r="DI4" s="100"/>
      <c r="DJ4" s="100"/>
      <c r="DK4" s="100"/>
      <c r="DL4" s="100"/>
      <c r="DM4" s="100"/>
      <c r="DN4" s="100"/>
      <c r="DO4" s="100"/>
      <c r="DP4" s="100"/>
      <c r="DQ4" s="100"/>
      <c r="DR4" s="100"/>
      <c r="DS4" s="100"/>
      <c r="DT4" s="100"/>
      <c r="DU4" s="100"/>
      <c r="DV4" s="100"/>
      <c r="DW4" s="100"/>
      <c r="DX4" s="100"/>
      <c r="DY4" s="100"/>
      <c r="DZ4" s="100"/>
      <c r="EA4" s="100"/>
      <c r="EB4" s="100"/>
      <c r="EC4" s="100"/>
      <c r="ED4" s="100"/>
      <c r="EE4" s="100"/>
      <c r="EF4" s="100"/>
      <c r="EG4" s="100"/>
      <c r="EH4" s="100"/>
      <c r="EI4" s="100"/>
      <c r="EJ4" s="100"/>
      <c r="EK4" s="100"/>
      <c r="EL4" s="100"/>
      <c r="EM4" s="100"/>
      <c r="EN4" s="100"/>
      <c r="EO4" s="100"/>
      <c r="EP4" s="100"/>
      <c r="EQ4" s="100"/>
      <c r="ER4" s="100"/>
      <c r="ES4" s="100"/>
      <c r="ET4" s="100"/>
      <c r="EU4" s="100"/>
      <c r="EV4" s="100"/>
      <c r="EW4" s="100"/>
      <c r="EX4" s="100"/>
      <c r="EY4" s="100"/>
      <c r="EZ4" s="100"/>
      <c r="FA4" s="100"/>
      <c r="FB4" s="100"/>
      <c r="FC4" s="100"/>
      <c r="FD4" s="100"/>
      <c r="FE4" s="100"/>
      <c r="FF4" s="100"/>
      <c r="FG4" s="100"/>
      <c r="FH4" s="100"/>
      <c r="FI4" s="100"/>
      <c r="FJ4" s="100"/>
      <c r="FK4" s="100"/>
      <c r="FL4" s="100"/>
      <c r="FM4" s="100"/>
      <c r="FN4" s="100"/>
      <c r="FO4" s="100"/>
      <c r="FP4" s="100"/>
      <c r="FQ4" s="100"/>
      <c r="FR4" s="100"/>
      <c r="FS4" s="100"/>
      <c r="FT4" s="100"/>
      <c r="FU4" s="100"/>
      <c r="FV4" s="101"/>
      <c r="FW4" s="101"/>
      <c r="FX4" s="101"/>
      <c r="FY4" s="101"/>
      <c r="FZ4" s="101"/>
      <c r="GA4" s="101"/>
      <c r="GB4" s="101"/>
      <c r="GC4" s="101"/>
      <c r="GD4" s="101"/>
      <c r="GE4" s="101"/>
      <c r="GF4" s="101"/>
      <c r="GG4" s="101"/>
      <c r="GH4" s="101"/>
      <c r="GI4" s="101"/>
      <c r="GJ4" s="101"/>
      <c r="GK4" s="101"/>
      <c r="GL4" s="101"/>
      <c r="GM4" s="101"/>
      <c r="GN4" s="101"/>
      <c r="GO4" s="101"/>
      <c r="GP4" s="101"/>
      <c r="GQ4" s="101"/>
      <c r="GR4" s="101"/>
      <c r="GS4" s="101"/>
      <c r="GT4" s="101"/>
      <c r="GU4" s="101"/>
      <c r="GV4" s="101"/>
      <c r="GW4" s="101"/>
      <c r="GX4" s="101"/>
      <c r="GY4" s="101"/>
      <c r="GZ4" s="101"/>
      <c r="HA4" s="101"/>
      <c r="HB4" s="101"/>
      <c r="HC4" s="101"/>
      <c r="HD4" s="101"/>
      <c r="HE4" s="101"/>
      <c r="HF4" s="101"/>
      <c r="HG4" s="101"/>
      <c r="HH4" s="101"/>
      <c r="HI4" s="101"/>
      <c r="HJ4" s="101"/>
      <c r="HK4" s="101"/>
      <c r="HL4" s="101"/>
      <c r="HM4" s="101"/>
      <c r="HN4" s="101"/>
      <c r="HO4" s="101"/>
      <c r="HP4" s="101"/>
      <c r="HQ4" s="101"/>
      <c r="HR4" s="101"/>
      <c r="HS4" s="101"/>
      <c r="HT4" s="101"/>
      <c r="HU4" s="101"/>
      <c r="HV4" s="101"/>
      <c r="HW4" s="101"/>
      <c r="HX4" s="101"/>
      <c r="HY4" s="101"/>
      <c r="HZ4" s="101"/>
      <c r="IA4" s="101"/>
      <c r="IB4" s="101"/>
      <c r="IC4" s="101"/>
      <c r="ID4" s="101"/>
      <c r="IE4" s="101"/>
      <c r="IF4" s="101"/>
      <c r="IG4" s="101"/>
      <c r="IH4" s="101"/>
      <c r="II4" s="101"/>
      <c r="IJ4" s="101"/>
      <c r="IK4" s="101"/>
      <c r="IL4" s="101"/>
      <c r="IM4" s="101"/>
      <c r="IN4" s="101"/>
      <c r="IO4" s="100"/>
      <c r="IP4" s="100"/>
      <c r="IQ4" s="100"/>
      <c r="IR4" s="100"/>
      <c r="IS4" s="100"/>
      <c r="IT4" s="100"/>
      <c r="IU4" s="100"/>
      <c r="IV4" s="100"/>
    </row>
    <row r="5" spans="1:1399" ht="9.9499999999999993" customHeight="1" x14ac:dyDescent="0.2">
      <c r="A5" s="99"/>
      <c r="B5" s="198" t="s">
        <v>115</v>
      </c>
      <c r="C5" s="198"/>
      <c r="D5" s="198"/>
      <c r="E5" s="198"/>
      <c r="F5" s="198"/>
      <c r="G5" s="198"/>
      <c r="H5" s="198"/>
      <c r="I5" s="198"/>
      <c r="J5" s="198"/>
      <c r="K5" s="198"/>
      <c r="L5" s="198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100"/>
      <c r="IP5" s="100"/>
      <c r="IQ5" s="100"/>
      <c r="IR5" s="100"/>
      <c r="IS5" s="100"/>
      <c r="IT5" s="100"/>
      <c r="IU5" s="100"/>
      <c r="IV5" s="100"/>
    </row>
    <row r="6" spans="1:1399" ht="20.100000000000001" customHeight="1" x14ac:dyDescent="0.2">
      <c r="A6" s="99"/>
      <c r="B6" s="198"/>
      <c r="C6" s="198"/>
      <c r="D6" s="198"/>
      <c r="E6" s="198"/>
      <c r="F6" s="198"/>
      <c r="G6" s="198"/>
      <c r="H6" s="198"/>
      <c r="I6" s="198"/>
      <c r="J6" s="198"/>
      <c r="K6" s="198"/>
      <c r="L6" s="198"/>
      <c r="M6" s="198"/>
      <c r="N6" s="198"/>
      <c r="O6" s="198"/>
      <c r="P6" s="198"/>
      <c r="Q6" s="198"/>
      <c r="R6" s="198"/>
      <c r="S6" s="198"/>
      <c r="T6" s="198"/>
      <c r="U6" s="198"/>
      <c r="V6" s="198"/>
      <c r="W6" s="198"/>
      <c r="X6" s="198"/>
      <c r="Y6" s="198"/>
      <c r="Z6" s="198"/>
      <c r="AA6" s="198"/>
      <c r="AB6" s="198"/>
      <c r="AC6" s="198"/>
      <c r="AD6" s="198"/>
      <c r="AE6" s="198"/>
      <c r="AF6" s="198"/>
      <c r="AG6" s="198"/>
      <c r="AH6" s="198"/>
      <c r="AI6" s="198"/>
      <c r="AJ6" s="198"/>
      <c r="AK6" s="198"/>
      <c r="AL6" s="198"/>
      <c r="AM6" s="198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100"/>
      <c r="IP6" s="100"/>
      <c r="IQ6" s="100"/>
      <c r="IR6" s="100"/>
      <c r="IS6" s="100"/>
      <c r="IT6" s="100"/>
      <c r="IU6" s="100"/>
      <c r="IV6" s="100"/>
    </row>
    <row r="7" spans="1:1399" ht="20.100000000000001" customHeight="1" x14ac:dyDescent="0.2">
      <c r="A7" s="103"/>
      <c r="B7" s="198"/>
      <c r="C7" s="198"/>
      <c r="D7" s="198"/>
      <c r="E7" s="198"/>
      <c r="F7" s="198"/>
      <c r="G7" s="198"/>
      <c r="H7" s="198"/>
      <c r="I7" s="198"/>
      <c r="J7" s="198"/>
      <c r="K7" s="198"/>
      <c r="L7" s="198"/>
      <c r="M7" s="198"/>
      <c r="N7" s="198"/>
      <c r="O7" s="198"/>
      <c r="P7" s="198"/>
      <c r="Q7" s="198"/>
      <c r="R7" s="198"/>
      <c r="S7" s="198"/>
      <c r="T7" s="198"/>
      <c r="U7" s="198"/>
      <c r="V7" s="198"/>
      <c r="W7" s="198"/>
      <c r="X7" s="198"/>
      <c r="Y7" s="198"/>
      <c r="Z7" s="198"/>
      <c r="AA7" s="198"/>
      <c r="AB7" s="198"/>
      <c r="AC7" s="198"/>
      <c r="AD7" s="198"/>
      <c r="AE7" s="198"/>
      <c r="AF7" s="198"/>
      <c r="AG7" s="198"/>
      <c r="AH7" s="198"/>
      <c r="AI7" s="198"/>
      <c r="AJ7" s="198"/>
      <c r="AK7" s="198"/>
      <c r="AL7" s="198"/>
      <c r="AM7" s="198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100"/>
      <c r="IP7" s="100"/>
      <c r="IQ7" s="100"/>
      <c r="IR7" s="100"/>
      <c r="IS7" s="100"/>
      <c r="IT7" s="100"/>
      <c r="IU7" s="100"/>
      <c r="IV7" s="100"/>
    </row>
    <row r="8" spans="1:1399" ht="9.9499999999999993" customHeight="1" x14ac:dyDescent="0.2">
      <c r="A8" s="103"/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98"/>
      <c r="Q8" s="198"/>
      <c r="R8" s="198"/>
      <c r="S8" s="198"/>
      <c r="T8" s="198"/>
      <c r="U8" s="198"/>
      <c r="V8" s="198"/>
      <c r="W8" s="198"/>
      <c r="X8" s="198"/>
      <c r="Y8" s="198"/>
      <c r="Z8" s="198"/>
      <c r="AA8" s="198"/>
      <c r="AB8" s="198"/>
      <c r="AC8" s="198"/>
      <c r="AD8" s="198"/>
      <c r="AE8" s="198"/>
      <c r="AF8" s="198"/>
      <c r="AG8" s="198"/>
      <c r="AH8" s="198"/>
      <c r="AI8" s="198"/>
      <c r="AJ8" s="198"/>
      <c r="AK8" s="198"/>
      <c r="AL8" s="198"/>
      <c r="AM8" s="198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100"/>
      <c r="IP8" s="100"/>
      <c r="IQ8" s="100"/>
      <c r="IR8" s="100"/>
      <c r="IS8" s="100"/>
      <c r="IT8" s="100"/>
      <c r="IU8" s="100"/>
      <c r="IV8" s="100"/>
    </row>
    <row r="9" spans="1:1399" ht="20.100000000000001" customHeight="1" x14ac:dyDescent="0.2">
      <c r="A9" s="103"/>
      <c r="C9" s="164" t="s">
        <v>50</v>
      </c>
      <c r="D9" s="164"/>
      <c r="E9" s="164"/>
      <c r="F9" s="164"/>
      <c r="G9" s="164"/>
      <c r="H9" s="164"/>
      <c r="I9" s="164"/>
      <c r="J9" s="200" t="s">
        <v>27</v>
      </c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200"/>
      <c r="AI9" s="200"/>
      <c r="AJ9" s="200"/>
      <c r="AK9" s="200"/>
      <c r="AL9" s="200"/>
      <c r="AM9" s="201" t="s">
        <v>80</v>
      </c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100"/>
      <c r="IP9" s="100"/>
      <c r="IQ9" s="100"/>
      <c r="IR9" s="100"/>
      <c r="IS9" s="100"/>
      <c r="IT9" s="100"/>
      <c r="IU9" s="100"/>
      <c r="IV9" s="100"/>
    </row>
    <row r="10" spans="1:1399" ht="9.9499999999999993" customHeight="1" x14ac:dyDescent="0.2">
      <c r="A10" s="103"/>
      <c r="C10" s="11"/>
      <c r="D10" s="11"/>
      <c r="E10" s="11"/>
      <c r="F10" s="11"/>
      <c r="G10" s="11"/>
      <c r="H10" s="11"/>
      <c r="I10" s="11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35"/>
      <c r="AM10" s="201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100"/>
      <c r="IP10" s="100"/>
      <c r="IQ10" s="100"/>
      <c r="IR10" s="100"/>
      <c r="IS10" s="100"/>
      <c r="IT10" s="100"/>
      <c r="IU10" s="100"/>
      <c r="IV10" s="100"/>
    </row>
    <row r="11" spans="1:1399" ht="20.100000000000001" customHeight="1" x14ac:dyDescent="0.2">
      <c r="A11" s="103"/>
      <c r="C11" s="164" t="s">
        <v>49</v>
      </c>
      <c r="D11" s="164"/>
      <c r="E11" s="164"/>
      <c r="F11" s="164"/>
      <c r="G11" s="164"/>
      <c r="H11" s="164"/>
      <c r="I11" s="164"/>
      <c r="J11" s="200" t="s">
        <v>27</v>
      </c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1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100"/>
      <c r="IP11" s="100"/>
      <c r="IQ11" s="100"/>
      <c r="IR11" s="100"/>
      <c r="IS11" s="100"/>
      <c r="IT11" s="100"/>
      <c r="IU11" s="100"/>
      <c r="IV11" s="100"/>
    </row>
    <row r="12" spans="1:1399" ht="9.9499999999999993" customHeight="1" x14ac:dyDescent="0.2">
      <c r="A12" s="103"/>
      <c r="C12" s="11"/>
      <c r="D12" s="11"/>
      <c r="E12" s="11"/>
      <c r="F12" s="11"/>
      <c r="G12" s="11"/>
      <c r="H12" s="11"/>
      <c r="I12" s="11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34"/>
      <c r="AM12" s="201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100"/>
      <c r="IP12" s="100"/>
      <c r="IQ12" s="100"/>
      <c r="IR12" s="100"/>
      <c r="IS12" s="100"/>
      <c r="IT12" s="100"/>
      <c r="IU12" s="100"/>
      <c r="IV12" s="100"/>
    </row>
    <row r="13" spans="1:1399" ht="20.100000000000001" customHeight="1" x14ac:dyDescent="0.2">
      <c r="A13" s="103"/>
      <c r="C13" s="164" t="s">
        <v>53</v>
      </c>
      <c r="D13" s="164"/>
      <c r="E13" s="164"/>
      <c r="F13" s="164"/>
      <c r="G13" s="164"/>
      <c r="H13" s="164"/>
      <c r="I13" s="164"/>
      <c r="J13" s="12"/>
      <c r="K13" s="183" t="s">
        <v>4</v>
      </c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2"/>
      <c r="AF13" s="12"/>
      <c r="AG13" s="12"/>
      <c r="AH13" s="12"/>
      <c r="AI13" s="12"/>
      <c r="AJ13" s="12"/>
      <c r="AK13" s="12"/>
      <c r="AL13" s="34"/>
      <c r="AM13" s="201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100"/>
      <c r="IP13" s="100"/>
      <c r="IQ13" s="100"/>
      <c r="IR13" s="100"/>
      <c r="IS13" s="100"/>
      <c r="IT13" s="100"/>
      <c r="IU13" s="100"/>
      <c r="IV13" s="100"/>
    </row>
    <row r="14" spans="1:1399" ht="20.100000000000001" customHeight="1" x14ac:dyDescent="0.2">
      <c r="A14" s="103"/>
      <c r="J14" s="12"/>
      <c r="K14" s="183" t="s">
        <v>66</v>
      </c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2"/>
      <c r="AF14" s="12"/>
      <c r="AG14" s="12"/>
      <c r="AH14" s="12"/>
      <c r="AI14" s="12"/>
      <c r="AJ14" s="12"/>
      <c r="AK14" s="12"/>
      <c r="AL14" s="34"/>
      <c r="AM14" s="201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100"/>
      <c r="IP14" s="100"/>
      <c r="IQ14" s="100"/>
      <c r="IR14" s="100"/>
      <c r="IS14" s="100"/>
      <c r="IT14" s="100"/>
      <c r="IU14" s="100"/>
      <c r="IV14" s="100"/>
    </row>
    <row r="15" spans="1:1399" ht="20.100000000000001" customHeight="1" x14ac:dyDescent="0.2">
      <c r="A15" s="103"/>
      <c r="J15" s="12"/>
      <c r="K15" s="183" t="s">
        <v>6</v>
      </c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2"/>
      <c r="AF15" s="12"/>
      <c r="AG15" s="12"/>
      <c r="AH15" s="12"/>
      <c r="AI15" s="12"/>
      <c r="AJ15" s="12"/>
      <c r="AK15" s="12"/>
      <c r="AL15" s="34"/>
      <c r="AM15" s="201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100"/>
      <c r="IP15" s="100"/>
      <c r="IQ15" s="100"/>
      <c r="IR15" s="100"/>
      <c r="IS15" s="100"/>
      <c r="IT15" s="100"/>
      <c r="IU15" s="100"/>
      <c r="IV15" s="100"/>
    </row>
    <row r="16" spans="1:1399" ht="9.9499999999999993" customHeight="1" x14ac:dyDescent="0.2">
      <c r="A16" s="103"/>
      <c r="AL16" s="34"/>
      <c r="AM16" s="201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100"/>
      <c r="IP16" s="100"/>
      <c r="IQ16" s="100"/>
      <c r="IR16" s="100"/>
      <c r="IS16" s="100"/>
      <c r="IT16" s="100"/>
      <c r="IU16" s="100"/>
      <c r="IV16" s="100"/>
    </row>
    <row r="17" spans="1:256" ht="20.100000000000001" customHeight="1" x14ac:dyDescent="0.2">
      <c r="A17" s="103"/>
      <c r="C17" s="167" t="s">
        <v>0</v>
      </c>
      <c r="D17" s="168"/>
      <c r="E17" s="168"/>
      <c r="F17" s="168"/>
      <c r="G17" s="168"/>
      <c r="H17" s="168"/>
      <c r="I17" s="169"/>
      <c r="J17" s="167" t="s">
        <v>1</v>
      </c>
      <c r="K17" s="168"/>
      <c r="L17" s="168"/>
      <c r="M17" s="168"/>
      <c r="N17" s="168"/>
      <c r="O17" s="168"/>
      <c r="P17" s="169"/>
      <c r="Q17" s="167" t="s">
        <v>2</v>
      </c>
      <c r="R17" s="168"/>
      <c r="S17" s="168"/>
      <c r="T17" s="168"/>
      <c r="U17" s="168"/>
      <c r="V17" s="168"/>
      <c r="W17" s="169"/>
      <c r="X17" s="167" t="s">
        <v>52</v>
      </c>
      <c r="Y17" s="168"/>
      <c r="Z17" s="168"/>
      <c r="AA17" s="168"/>
      <c r="AB17" s="168"/>
      <c r="AC17" s="168"/>
      <c r="AD17" s="169"/>
      <c r="AE17" s="167" t="s">
        <v>3</v>
      </c>
      <c r="AF17" s="168"/>
      <c r="AG17" s="168"/>
      <c r="AH17" s="168"/>
      <c r="AI17" s="168"/>
      <c r="AJ17" s="168"/>
      <c r="AK17" s="168"/>
      <c r="AL17" s="169"/>
      <c r="AM17" s="201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100"/>
      <c r="IP17" s="100"/>
      <c r="IQ17" s="100"/>
      <c r="IR17" s="100"/>
      <c r="IS17" s="100"/>
      <c r="IT17" s="100"/>
      <c r="IU17" s="100"/>
      <c r="IV17" s="100"/>
    </row>
    <row r="18" spans="1:256" ht="20.100000000000001" customHeight="1" x14ac:dyDescent="0.2">
      <c r="A18" s="103"/>
      <c r="C18" s="187">
        <v>43466</v>
      </c>
      <c r="D18" s="188"/>
      <c r="E18" s="188"/>
      <c r="F18" s="188"/>
      <c r="G18" s="188"/>
      <c r="H18" s="188"/>
      <c r="I18" s="189"/>
      <c r="J18" s="187">
        <v>43951</v>
      </c>
      <c r="K18" s="188"/>
      <c r="L18" s="188"/>
      <c r="M18" s="188"/>
      <c r="N18" s="188"/>
      <c r="O18" s="188"/>
      <c r="P18" s="189"/>
      <c r="Q18" s="184">
        <v>2500</v>
      </c>
      <c r="R18" s="185"/>
      <c r="S18" s="185"/>
      <c r="T18" s="185"/>
      <c r="U18" s="185"/>
      <c r="V18" s="185"/>
      <c r="W18" s="186"/>
      <c r="X18" s="184">
        <v>0</v>
      </c>
      <c r="Y18" s="185"/>
      <c r="Z18" s="185"/>
      <c r="AA18" s="185"/>
      <c r="AB18" s="185"/>
      <c r="AC18" s="185"/>
      <c r="AD18" s="186"/>
      <c r="AE18" s="180" t="str">
        <f>VLOOKUP(F83,G82:H84,2,FALSE)</f>
        <v>INDENIZADO</v>
      </c>
      <c r="AF18" s="181"/>
      <c r="AG18" s="181"/>
      <c r="AH18" s="181"/>
      <c r="AI18" s="181"/>
      <c r="AJ18" s="181"/>
      <c r="AK18" s="181"/>
      <c r="AL18" s="182"/>
      <c r="AM18" s="201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100"/>
      <c r="IP18" s="100"/>
      <c r="IQ18" s="100"/>
      <c r="IR18" s="100"/>
      <c r="IS18" s="100"/>
      <c r="IT18" s="100"/>
      <c r="IU18" s="100"/>
      <c r="IV18" s="100"/>
    </row>
    <row r="19" spans="1:256" ht="9.9499999999999993" customHeight="1" x14ac:dyDescent="0.2">
      <c r="A19" s="10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M19" s="201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100"/>
      <c r="IP19" s="100"/>
      <c r="IQ19" s="100"/>
      <c r="IR19" s="100"/>
      <c r="IS19" s="100"/>
      <c r="IT19" s="100"/>
      <c r="IU19" s="100"/>
      <c r="IV19" s="100"/>
    </row>
    <row r="20" spans="1:256" ht="20.100000000000001" customHeight="1" x14ac:dyDescent="0.2">
      <c r="A20" s="103"/>
      <c r="C20" s="167" t="s">
        <v>54</v>
      </c>
      <c r="D20" s="168"/>
      <c r="E20" s="168"/>
      <c r="F20" s="168"/>
      <c r="G20" s="168"/>
      <c r="H20" s="168"/>
      <c r="I20" s="169"/>
      <c r="J20" s="167" t="s">
        <v>47</v>
      </c>
      <c r="K20" s="168"/>
      <c r="L20" s="168"/>
      <c r="M20" s="169"/>
      <c r="N20" s="167" t="s">
        <v>28</v>
      </c>
      <c r="O20" s="168"/>
      <c r="P20" s="168"/>
      <c r="Q20" s="168"/>
      <c r="R20" s="168"/>
      <c r="S20" s="168"/>
      <c r="T20" s="169"/>
      <c r="U20" s="167" t="s">
        <v>12</v>
      </c>
      <c r="V20" s="168"/>
      <c r="W20" s="168"/>
      <c r="X20" s="168"/>
      <c r="Y20" s="168"/>
      <c r="Z20" s="168"/>
      <c r="AA20" s="169"/>
      <c r="AB20" s="167" t="s">
        <v>55</v>
      </c>
      <c r="AC20" s="168"/>
      <c r="AD20" s="168"/>
      <c r="AE20" s="168"/>
      <c r="AF20" s="168"/>
      <c r="AG20" s="168"/>
      <c r="AH20" s="169"/>
      <c r="AI20" s="167" t="s">
        <v>46</v>
      </c>
      <c r="AJ20" s="168"/>
      <c r="AK20" s="168"/>
      <c r="AL20" s="169"/>
      <c r="AM20" s="201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100"/>
      <c r="IP20" s="100"/>
      <c r="IQ20" s="100"/>
      <c r="IR20" s="100"/>
      <c r="IS20" s="100"/>
      <c r="IT20" s="100"/>
      <c r="IU20" s="100"/>
      <c r="IV20" s="100"/>
    </row>
    <row r="21" spans="1:256" ht="20.100000000000001" customHeight="1" x14ac:dyDescent="0.2">
      <c r="A21" s="103"/>
      <c r="C21" s="180" t="str">
        <f>VLOOKUP(I88,G85:H86,2,FALSE)</f>
        <v>NÃO</v>
      </c>
      <c r="D21" s="181"/>
      <c r="E21" s="181"/>
      <c r="F21" s="181"/>
      <c r="G21" s="181"/>
      <c r="H21" s="181"/>
      <c r="I21" s="182"/>
      <c r="J21" s="214">
        <v>0.5</v>
      </c>
      <c r="K21" s="215"/>
      <c r="L21" s="215"/>
      <c r="M21" s="216"/>
      <c r="N21" s="195">
        <v>0</v>
      </c>
      <c r="O21" s="196"/>
      <c r="P21" s="196"/>
      <c r="Q21" s="196"/>
      <c r="R21" s="196"/>
      <c r="S21" s="196"/>
      <c r="T21" s="197"/>
      <c r="U21" s="195">
        <v>0</v>
      </c>
      <c r="V21" s="196"/>
      <c r="W21" s="196"/>
      <c r="X21" s="196"/>
      <c r="Y21" s="196"/>
      <c r="Z21" s="196"/>
      <c r="AA21" s="197"/>
      <c r="AB21" s="195">
        <v>0</v>
      </c>
      <c r="AC21" s="196"/>
      <c r="AD21" s="196"/>
      <c r="AE21" s="196"/>
      <c r="AF21" s="196"/>
      <c r="AG21" s="196"/>
      <c r="AH21" s="197"/>
      <c r="AI21" s="229">
        <v>0</v>
      </c>
      <c r="AJ21" s="230"/>
      <c r="AK21" s="230"/>
      <c r="AL21" s="231"/>
      <c r="AM21" s="201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100"/>
      <c r="IP21" s="100"/>
      <c r="IQ21" s="100"/>
      <c r="IR21" s="100"/>
      <c r="IS21" s="100"/>
      <c r="IT21" s="100"/>
      <c r="IU21" s="100"/>
      <c r="IV21" s="100"/>
    </row>
    <row r="22" spans="1:256" ht="9.9499999999999993" customHeight="1" x14ac:dyDescent="0.2">
      <c r="A22" s="103"/>
      <c r="C22" s="13"/>
      <c r="D22" s="13"/>
      <c r="E22" s="13"/>
      <c r="F22" s="13"/>
      <c r="G22" s="13"/>
      <c r="H22" s="13"/>
      <c r="I22" s="13"/>
      <c r="J22" s="16"/>
      <c r="K22" s="17"/>
      <c r="L22" s="17"/>
      <c r="M22" s="17"/>
      <c r="N22" s="17"/>
      <c r="O22" s="17"/>
      <c r="P22" s="17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M22" s="201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100"/>
      <c r="IP22" s="100"/>
      <c r="IQ22" s="100"/>
      <c r="IR22" s="100"/>
      <c r="IS22" s="100"/>
      <c r="IT22" s="100"/>
      <c r="IU22" s="100"/>
      <c r="IV22" s="100"/>
    </row>
    <row r="23" spans="1:256" ht="20.100000000000001" customHeight="1" x14ac:dyDescent="0.2">
      <c r="A23" s="103"/>
      <c r="C23" s="170" t="s">
        <v>16</v>
      </c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2"/>
      <c r="U23" s="170" t="s">
        <v>19</v>
      </c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2"/>
      <c r="AM23" s="201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100"/>
      <c r="IP23" s="100"/>
      <c r="IQ23" s="100"/>
      <c r="IR23" s="100"/>
      <c r="IS23" s="100"/>
      <c r="IT23" s="100"/>
      <c r="IU23" s="100"/>
      <c r="IV23" s="100"/>
    </row>
    <row r="24" spans="1:256" ht="20.100000000000001" customHeight="1" x14ac:dyDescent="0.2">
      <c r="A24" s="104"/>
      <c r="C24" s="211" t="s">
        <v>7</v>
      </c>
      <c r="D24" s="212"/>
      <c r="E24" s="212"/>
      <c r="F24" s="212"/>
      <c r="G24" s="212"/>
      <c r="H24" s="212"/>
      <c r="I24" s="212"/>
      <c r="J24" s="212"/>
      <c r="K24" s="212"/>
      <c r="L24" s="212"/>
      <c r="M24" s="274">
        <f>G100</f>
        <v>30</v>
      </c>
      <c r="N24" s="274"/>
      <c r="O24" s="274"/>
      <c r="P24" s="279">
        <f>(Q18/J98*G100)</f>
        <v>2500</v>
      </c>
      <c r="Q24" s="279"/>
      <c r="R24" s="279"/>
      <c r="S24" s="279"/>
      <c r="T24" s="280"/>
      <c r="U24" s="211" t="s">
        <v>108</v>
      </c>
      <c r="V24" s="212"/>
      <c r="W24" s="212"/>
      <c r="X24" s="212"/>
      <c r="Y24" s="212"/>
      <c r="Z24" s="212"/>
      <c r="AA24" s="212"/>
      <c r="AB24" s="212"/>
      <c r="AC24" s="212"/>
      <c r="AD24" s="212"/>
      <c r="AE24" s="283">
        <f>(Q106)</f>
        <v>0.09</v>
      </c>
      <c r="AF24" s="283"/>
      <c r="AG24" s="283"/>
      <c r="AH24" s="279">
        <f>(F100)</f>
        <v>225</v>
      </c>
      <c r="AI24" s="279"/>
      <c r="AJ24" s="279"/>
      <c r="AK24" s="279"/>
      <c r="AL24" s="280"/>
      <c r="AM24" s="201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100"/>
      <c r="IP24" s="100"/>
      <c r="IQ24" s="100"/>
      <c r="IR24" s="100"/>
      <c r="IS24" s="100"/>
      <c r="IT24" s="100"/>
      <c r="IU24" s="100"/>
      <c r="IV24" s="100"/>
    </row>
    <row r="25" spans="1:256" ht="20.100000000000001" customHeight="1" x14ac:dyDescent="0.2">
      <c r="A25" s="103"/>
      <c r="C25" s="193" t="s">
        <v>8</v>
      </c>
      <c r="D25" s="194"/>
      <c r="E25" s="194"/>
      <c r="F25" s="194"/>
      <c r="G25" s="194"/>
      <c r="H25" s="194"/>
      <c r="I25" s="194"/>
      <c r="J25" s="194"/>
      <c r="K25" s="194"/>
      <c r="L25" s="194"/>
      <c r="M25" s="210" t="str">
        <f>CONCATENATE(G103,"/12")</f>
        <v>4/12</v>
      </c>
      <c r="N25" s="210"/>
      <c r="O25" s="210"/>
      <c r="P25" s="173">
        <f>(Q18/12*G103)</f>
        <v>833.33333333333337</v>
      </c>
      <c r="Q25" s="173"/>
      <c r="R25" s="173"/>
      <c r="S25" s="173"/>
      <c r="T25" s="174"/>
      <c r="U25" s="193" t="s">
        <v>96</v>
      </c>
      <c r="V25" s="194"/>
      <c r="W25" s="194"/>
      <c r="X25" s="194"/>
      <c r="Y25" s="194"/>
      <c r="Z25" s="194"/>
      <c r="AA25" s="194"/>
      <c r="AB25" s="194"/>
      <c r="AC25" s="194"/>
      <c r="AD25" s="194"/>
      <c r="AE25" s="284">
        <f>(Q107)</f>
        <v>7.4999999999999997E-2</v>
      </c>
      <c r="AF25" s="284"/>
      <c r="AG25" s="284"/>
      <c r="AH25" s="173">
        <f>(F101)</f>
        <v>62.5</v>
      </c>
      <c r="AI25" s="173"/>
      <c r="AJ25" s="173"/>
      <c r="AK25" s="173"/>
      <c r="AL25" s="174"/>
      <c r="AM25" s="201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100"/>
      <c r="IP25" s="100"/>
      <c r="IQ25" s="100"/>
      <c r="IR25" s="100"/>
      <c r="IS25" s="100"/>
      <c r="IT25" s="100"/>
      <c r="IU25" s="100"/>
      <c r="IV25" s="100"/>
    </row>
    <row r="26" spans="1:256" ht="20.100000000000001" customHeight="1" x14ac:dyDescent="0.2">
      <c r="A26" s="103"/>
      <c r="C26" s="193" t="s">
        <v>9</v>
      </c>
      <c r="D26" s="194"/>
      <c r="E26" s="194"/>
      <c r="F26" s="194"/>
      <c r="G26" s="194"/>
      <c r="H26" s="194"/>
      <c r="I26" s="194"/>
      <c r="J26" s="194"/>
      <c r="K26" s="194"/>
      <c r="L26" s="194"/>
      <c r="M26" s="210" t="str">
        <f>CONCATENATE(G103,"/12")</f>
        <v>4/12</v>
      </c>
      <c r="N26" s="210"/>
      <c r="O26" s="210"/>
      <c r="P26" s="173">
        <f>(X18/12*G103)</f>
        <v>0</v>
      </c>
      <c r="Q26" s="173"/>
      <c r="R26" s="173"/>
      <c r="S26" s="173"/>
      <c r="T26" s="174"/>
      <c r="U26" s="193" t="s">
        <v>97</v>
      </c>
      <c r="V26" s="194"/>
      <c r="W26" s="194"/>
      <c r="X26" s="194"/>
      <c r="Y26" s="194"/>
      <c r="Z26" s="194"/>
      <c r="AA26" s="194"/>
      <c r="AB26" s="194"/>
      <c r="AC26" s="194"/>
      <c r="AD26" s="194"/>
      <c r="AE26" s="209">
        <f>T125</f>
        <v>0.27500000000000002</v>
      </c>
      <c r="AF26" s="209"/>
      <c r="AG26" s="209"/>
      <c r="AH26" s="173">
        <f>Z125</f>
        <v>496.91349999999989</v>
      </c>
      <c r="AI26" s="173"/>
      <c r="AJ26" s="173"/>
      <c r="AK26" s="173"/>
      <c r="AL26" s="174"/>
      <c r="AM26" s="201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100"/>
      <c r="IP26" s="100"/>
      <c r="IQ26" s="100"/>
      <c r="IR26" s="100"/>
      <c r="IS26" s="100"/>
      <c r="IT26" s="100"/>
      <c r="IU26" s="100"/>
      <c r="IV26" s="100"/>
    </row>
    <row r="27" spans="1:256" ht="20.100000000000001" customHeight="1" x14ac:dyDescent="0.2">
      <c r="A27" s="103"/>
      <c r="C27" s="193" t="s">
        <v>14</v>
      </c>
      <c r="D27" s="194"/>
      <c r="E27" s="194"/>
      <c r="F27" s="194"/>
      <c r="G27" s="194"/>
      <c r="H27" s="194"/>
      <c r="I27" s="194"/>
      <c r="J27" s="194"/>
      <c r="K27" s="194"/>
      <c r="L27" s="194"/>
      <c r="M27" s="213" t="str">
        <f>IF(F90=2,("01/12"),("-"))</f>
        <v>01/12</v>
      </c>
      <c r="N27" s="205"/>
      <c r="O27" s="205"/>
      <c r="P27" s="173">
        <f>IF(F90=2,(G94/12),(0))</f>
        <v>208.33333333333334</v>
      </c>
      <c r="Q27" s="173"/>
      <c r="R27" s="173"/>
      <c r="S27" s="173"/>
      <c r="T27" s="174"/>
      <c r="U27" s="193" t="s">
        <v>98</v>
      </c>
      <c r="V27" s="194"/>
      <c r="W27" s="194"/>
      <c r="X27" s="194"/>
      <c r="Y27" s="194"/>
      <c r="Z27" s="194"/>
      <c r="AA27" s="194"/>
      <c r="AB27" s="194"/>
      <c r="AC27" s="194"/>
      <c r="AD27" s="194"/>
      <c r="AE27" s="209">
        <f>U125</f>
        <v>0</v>
      </c>
      <c r="AF27" s="209"/>
      <c r="AG27" s="209"/>
      <c r="AH27" s="173">
        <f>U128</f>
        <v>0</v>
      </c>
      <c r="AI27" s="173"/>
      <c r="AJ27" s="173"/>
      <c r="AK27" s="173"/>
      <c r="AL27" s="174"/>
      <c r="AM27" s="201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100"/>
      <c r="IP27" s="100"/>
      <c r="IQ27" s="100"/>
      <c r="IR27" s="100"/>
      <c r="IS27" s="100"/>
      <c r="IT27" s="100"/>
      <c r="IU27" s="100"/>
      <c r="IV27" s="100"/>
    </row>
    <row r="28" spans="1:256" ht="20.100000000000001" customHeight="1" x14ac:dyDescent="0.2">
      <c r="A28" s="103"/>
      <c r="C28" s="193" t="s">
        <v>10</v>
      </c>
      <c r="D28" s="194"/>
      <c r="E28" s="194"/>
      <c r="F28" s="194"/>
      <c r="G28" s="194"/>
      <c r="H28" s="194"/>
      <c r="I28" s="194"/>
      <c r="J28" s="194"/>
      <c r="K28" s="194"/>
      <c r="L28" s="194"/>
      <c r="M28" s="205" t="str">
        <f>IF(I88=2,(1),(IF(I88=3,("DOB+3ª"),("-"))))</f>
        <v>-</v>
      </c>
      <c r="N28" s="205"/>
      <c r="O28" s="205"/>
      <c r="P28" s="173">
        <f>IF(I88=2,(G94),(IF(I88=3,(G94*3),(0))))</f>
        <v>0</v>
      </c>
      <c r="Q28" s="173"/>
      <c r="R28" s="173"/>
      <c r="S28" s="173"/>
      <c r="T28" s="174"/>
      <c r="U28" s="193" t="s">
        <v>3</v>
      </c>
      <c r="V28" s="194"/>
      <c r="W28" s="194"/>
      <c r="X28" s="194"/>
      <c r="Y28" s="194"/>
      <c r="Z28" s="194"/>
      <c r="AA28" s="194"/>
      <c r="AB28" s="194"/>
      <c r="AC28" s="194"/>
      <c r="AD28" s="194"/>
      <c r="AE28" s="205" t="str">
        <f>IF(F80=2,(1),("-"))</f>
        <v>-</v>
      </c>
      <c r="AF28" s="205"/>
      <c r="AG28" s="205"/>
      <c r="AH28" s="173">
        <f>IF(F80=2,(G80),(0))</f>
        <v>0</v>
      </c>
      <c r="AI28" s="173"/>
      <c r="AJ28" s="173"/>
      <c r="AK28" s="173"/>
      <c r="AL28" s="174"/>
      <c r="AM28" s="201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100"/>
      <c r="IP28" s="100"/>
      <c r="IQ28" s="100"/>
      <c r="IR28" s="100"/>
      <c r="IS28" s="100"/>
      <c r="IT28" s="100"/>
      <c r="IU28" s="100"/>
      <c r="IV28" s="100"/>
    </row>
    <row r="29" spans="1:256" ht="20.100000000000001" customHeight="1" x14ac:dyDescent="0.2">
      <c r="A29" s="100"/>
      <c r="C29" s="193" t="s">
        <v>11</v>
      </c>
      <c r="D29" s="194"/>
      <c r="E29" s="194"/>
      <c r="F29" s="194"/>
      <c r="G29" s="194"/>
      <c r="H29" s="194"/>
      <c r="I29" s="194"/>
      <c r="J29" s="194"/>
      <c r="K29" s="194"/>
      <c r="L29" s="194"/>
      <c r="M29" s="205" t="str">
        <f>CONCATENATE(E127,"/12")</f>
        <v>4/12</v>
      </c>
      <c r="N29" s="205"/>
      <c r="O29" s="205"/>
      <c r="P29" s="173">
        <f>(G94/12)*E127</f>
        <v>833.33333333333337</v>
      </c>
      <c r="Q29" s="173"/>
      <c r="R29" s="173"/>
      <c r="S29" s="173"/>
      <c r="T29" s="174"/>
      <c r="U29" s="193" t="s">
        <v>48</v>
      </c>
      <c r="V29" s="194"/>
      <c r="W29" s="194"/>
      <c r="X29" s="194"/>
      <c r="Y29" s="194"/>
      <c r="Z29" s="194"/>
      <c r="AA29" s="194"/>
      <c r="AB29" s="194"/>
      <c r="AC29" s="194"/>
      <c r="AD29" s="194"/>
      <c r="AE29" s="179">
        <f>(AB21)</f>
        <v>0</v>
      </c>
      <c r="AF29" s="179"/>
      <c r="AG29" s="179"/>
      <c r="AH29" s="202">
        <f>(G122)</f>
        <v>0</v>
      </c>
      <c r="AI29" s="202"/>
      <c r="AJ29" s="202"/>
      <c r="AK29" s="202"/>
      <c r="AL29" s="203"/>
      <c r="AM29" s="201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100"/>
      <c r="IP29" s="100"/>
      <c r="IQ29" s="100"/>
      <c r="IR29" s="100"/>
      <c r="IS29" s="100"/>
      <c r="IT29" s="100"/>
      <c r="IU29" s="100"/>
      <c r="IV29" s="100"/>
    </row>
    <row r="30" spans="1:256" ht="20.100000000000001" customHeight="1" x14ac:dyDescent="0.2">
      <c r="A30" s="100"/>
      <c r="C30" s="193" t="s">
        <v>15</v>
      </c>
      <c r="D30" s="194"/>
      <c r="E30" s="194"/>
      <c r="F30" s="194"/>
      <c r="G30" s="194"/>
      <c r="H30" s="194"/>
      <c r="I30" s="194"/>
      <c r="J30" s="194"/>
      <c r="K30" s="194"/>
      <c r="L30" s="194"/>
      <c r="M30" s="205" t="str">
        <f>IF(F90=2,("01/12"),("-"))</f>
        <v>01/12</v>
      </c>
      <c r="N30" s="205"/>
      <c r="O30" s="205"/>
      <c r="P30" s="173">
        <f>IF(F90=2,(G94/12),(0))</f>
        <v>208.33333333333334</v>
      </c>
      <c r="Q30" s="173"/>
      <c r="R30" s="173"/>
      <c r="S30" s="173"/>
      <c r="T30" s="174"/>
      <c r="U30" s="193" t="s">
        <v>18</v>
      </c>
      <c r="V30" s="194"/>
      <c r="W30" s="194"/>
      <c r="X30" s="194"/>
      <c r="Y30" s="194"/>
      <c r="Z30" s="194"/>
      <c r="AA30" s="194"/>
      <c r="AB30" s="194"/>
      <c r="AC30" s="194"/>
      <c r="AD30" s="194"/>
      <c r="AE30" s="206" t="s">
        <v>27</v>
      </c>
      <c r="AF30" s="206"/>
      <c r="AG30" s="206"/>
      <c r="AH30" s="223">
        <v>0</v>
      </c>
      <c r="AI30" s="223"/>
      <c r="AJ30" s="223"/>
      <c r="AK30" s="223"/>
      <c r="AL30" s="224"/>
      <c r="AM30" s="201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100"/>
      <c r="IP30" s="100"/>
      <c r="IQ30" s="100"/>
      <c r="IR30" s="100"/>
      <c r="IS30" s="100"/>
      <c r="IT30" s="100"/>
      <c r="IU30" s="100"/>
      <c r="IV30" s="100"/>
    </row>
    <row r="31" spans="1:256" ht="20.100000000000001" customHeight="1" x14ac:dyDescent="0.2">
      <c r="A31" s="100"/>
      <c r="C31" s="193" t="s">
        <v>95</v>
      </c>
      <c r="D31" s="194"/>
      <c r="E31" s="194"/>
      <c r="F31" s="194"/>
      <c r="G31" s="194"/>
      <c r="H31" s="194"/>
      <c r="I31" s="194"/>
      <c r="J31" s="194"/>
      <c r="K31" s="194"/>
      <c r="L31" s="194"/>
      <c r="M31" s="204" t="s">
        <v>26</v>
      </c>
      <c r="N31" s="205"/>
      <c r="O31" s="205"/>
      <c r="P31" s="173">
        <f>SUM(P28:T30)/3</f>
        <v>347.22222222222223</v>
      </c>
      <c r="Q31" s="173"/>
      <c r="R31" s="173"/>
      <c r="S31" s="173"/>
      <c r="T31" s="174"/>
      <c r="U31" s="193" t="s">
        <v>27</v>
      </c>
      <c r="V31" s="194"/>
      <c r="W31" s="194"/>
      <c r="X31" s="194"/>
      <c r="Y31" s="194"/>
      <c r="Z31" s="194"/>
      <c r="AA31" s="194"/>
      <c r="AB31" s="194"/>
      <c r="AC31" s="194"/>
      <c r="AD31" s="194"/>
      <c r="AE31" s="206" t="s">
        <v>27</v>
      </c>
      <c r="AF31" s="206"/>
      <c r="AG31" s="206"/>
      <c r="AH31" s="223">
        <v>0</v>
      </c>
      <c r="AI31" s="223"/>
      <c r="AJ31" s="223"/>
      <c r="AK31" s="223"/>
      <c r="AL31" s="224"/>
      <c r="AM31" s="201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100"/>
      <c r="IP31" s="100"/>
      <c r="IQ31" s="100"/>
      <c r="IR31" s="100"/>
      <c r="IS31" s="100"/>
      <c r="IT31" s="100"/>
      <c r="IU31" s="100"/>
      <c r="IV31" s="100"/>
    </row>
    <row r="32" spans="1:256" ht="20.100000000000001" customHeight="1" x14ac:dyDescent="0.2">
      <c r="A32" s="100"/>
      <c r="C32" s="238" t="s">
        <v>13</v>
      </c>
      <c r="D32" s="239"/>
      <c r="E32" s="239"/>
      <c r="F32" s="239"/>
      <c r="G32" s="239"/>
      <c r="H32" s="240"/>
      <c r="I32" s="241">
        <f>(J21)</f>
        <v>0.5</v>
      </c>
      <c r="J32" s="242"/>
      <c r="K32" s="242"/>
      <c r="L32" s="242"/>
      <c r="M32" s="179">
        <f>(N21)</f>
        <v>0</v>
      </c>
      <c r="N32" s="179"/>
      <c r="O32" s="179"/>
      <c r="P32" s="173">
        <f>(G120)</f>
        <v>0</v>
      </c>
      <c r="Q32" s="173"/>
      <c r="R32" s="173"/>
      <c r="S32" s="173"/>
      <c r="T32" s="174"/>
      <c r="U32" s="207" t="s">
        <v>27</v>
      </c>
      <c r="V32" s="208"/>
      <c r="W32" s="208"/>
      <c r="X32" s="208"/>
      <c r="Y32" s="208"/>
      <c r="Z32" s="208"/>
      <c r="AA32" s="208"/>
      <c r="AB32" s="208"/>
      <c r="AC32" s="208"/>
      <c r="AD32" s="208"/>
      <c r="AE32" s="206" t="s">
        <v>27</v>
      </c>
      <c r="AF32" s="206"/>
      <c r="AG32" s="206"/>
      <c r="AH32" s="223">
        <v>0</v>
      </c>
      <c r="AI32" s="223"/>
      <c r="AJ32" s="223"/>
      <c r="AK32" s="223"/>
      <c r="AL32" s="224"/>
      <c r="AM32" s="201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100"/>
      <c r="IP32" s="100"/>
      <c r="IQ32" s="100"/>
      <c r="IR32" s="100"/>
      <c r="IS32" s="100"/>
      <c r="IT32" s="100"/>
      <c r="IU32" s="100"/>
      <c r="IV32" s="100"/>
    </row>
    <row r="33" spans="1:256" ht="20.100000000000001" customHeight="1" x14ac:dyDescent="0.2">
      <c r="A33" s="100"/>
      <c r="C33" s="238" t="str">
        <f>CONCATENATE("HORA EXTRA ",J23)</f>
        <v xml:space="preserve">HORA EXTRA </v>
      </c>
      <c r="D33" s="239"/>
      <c r="E33" s="239"/>
      <c r="F33" s="239"/>
      <c r="G33" s="239"/>
      <c r="H33" s="240"/>
      <c r="I33" s="241">
        <v>1</v>
      </c>
      <c r="J33" s="242"/>
      <c r="K33" s="242"/>
      <c r="L33" s="242"/>
      <c r="M33" s="179">
        <f>(U21)</f>
        <v>0</v>
      </c>
      <c r="N33" s="179"/>
      <c r="O33" s="179"/>
      <c r="P33" s="173">
        <f>(G121)</f>
        <v>0</v>
      </c>
      <c r="Q33" s="173"/>
      <c r="R33" s="173"/>
      <c r="S33" s="173"/>
      <c r="T33" s="174"/>
      <c r="U33" s="207" t="s">
        <v>27</v>
      </c>
      <c r="V33" s="208"/>
      <c r="W33" s="208"/>
      <c r="X33" s="208"/>
      <c r="Y33" s="208"/>
      <c r="Z33" s="208"/>
      <c r="AA33" s="208"/>
      <c r="AB33" s="208"/>
      <c r="AC33" s="208"/>
      <c r="AD33" s="208"/>
      <c r="AE33" s="206" t="s">
        <v>27</v>
      </c>
      <c r="AF33" s="206"/>
      <c r="AG33" s="206"/>
      <c r="AH33" s="223">
        <v>0</v>
      </c>
      <c r="AI33" s="223"/>
      <c r="AJ33" s="223"/>
      <c r="AK33" s="223"/>
      <c r="AL33" s="224"/>
      <c r="AM33" s="201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100"/>
      <c r="IP33" s="100"/>
      <c r="IQ33" s="100"/>
      <c r="IR33" s="100"/>
      <c r="IS33" s="100"/>
      <c r="IT33" s="100"/>
      <c r="IU33" s="100"/>
      <c r="IV33" s="100"/>
    </row>
    <row r="34" spans="1:256" ht="20.100000000000001" customHeight="1" x14ac:dyDescent="0.2">
      <c r="A34" s="100"/>
      <c r="C34" s="193" t="s">
        <v>17</v>
      </c>
      <c r="D34" s="194"/>
      <c r="E34" s="194"/>
      <c r="F34" s="194"/>
      <c r="G34" s="194"/>
      <c r="H34" s="194"/>
      <c r="I34" s="194"/>
      <c r="J34" s="194"/>
      <c r="K34" s="194"/>
      <c r="L34" s="194"/>
      <c r="M34" s="205">
        <f>IF(F83=1,(1),("-"))</f>
        <v>1</v>
      </c>
      <c r="N34" s="205"/>
      <c r="O34" s="205"/>
      <c r="P34" s="173">
        <f>G79+X88</f>
        <v>2750</v>
      </c>
      <c r="Q34" s="173"/>
      <c r="R34" s="173"/>
      <c r="S34" s="173"/>
      <c r="T34" s="174"/>
      <c r="U34" s="207" t="s">
        <v>27</v>
      </c>
      <c r="V34" s="208"/>
      <c r="W34" s="208"/>
      <c r="X34" s="208"/>
      <c r="Y34" s="208"/>
      <c r="Z34" s="208"/>
      <c r="AA34" s="208"/>
      <c r="AB34" s="208"/>
      <c r="AC34" s="208"/>
      <c r="AD34" s="208"/>
      <c r="AE34" s="206" t="s">
        <v>27</v>
      </c>
      <c r="AF34" s="206"/>
      <c r="AG34" s="206"/>
      <c r="AH34" s="223">
        <v>0</v>
      </c>
      <c r="AI34" s="223"/>
      <c r="AJ34" s="223"/>
      <c r="AK34" s="223"/>
      <c r="AL34" s="224"/>
      <c r="AM34" s="201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100"/>
      <c r="IP34" s="100"/>
      <c r="IQ34" s="100"/>
      <c r="IR34" s="100"/>
      <c r="IS34" s="100"/>
      <c r="IT34" s="100"/>
      <c r="IU34" s="100"/>
      <c r="IV34" s="100"/>
    </row>
    <row r="35" spans="1:256" ht="20.100000000000001" customHeight="1" x14ac:dyDescent="0.2">
      <c r="A35" s="100"/>
      <c r="C35" s="207" t="s">
        <v>27</v>
      </c>
      <c r="D35" s="208"/>
      <c r="E35" s="208"/>
      <c r="F35" s="208"/>
      <c r="G35" s="208"/>
      <c r="H35" s="208"/>
      <c r="I35" s="208"/>
      <c r="J35" s="208"/>
      <c r="K35" s="208"/>
      <c r="L35" s="208"/>
      <c r="M35" s="206" t="s">
        <v>27</v>
      </c>
      <c r="N35" s="206"/>
      <c r="O35" s="206"/>
      <c r="P35" s="223">
        <v>0</v>
      </c>
      <c r="Q35" s="223"/>
      <c r="R35" s="223"/>
      <c r="S35" s="223"/>
      <c r="T35" s="224"/>
      <c r="U35" s="207" t="s">
        <v>27</v>
      </c>
      <c r="V35" s="208"/>
      <c r="W35" s="208"/>
      <c r="X35" s="208"/>
      <c r="Y35" s="208"/>
      <c r="Z35" s="208"/>
      <c r="AA35" s="208"/>
      <c r="AB35" s="208"/>
      <c r="AC35" s="208"/>
      <c r="AD35" s="208"/>
      <c r="AE35" s="206" t="s">
        <v>27</v>
      </c>
      <c r="AF35" s="206"/>
      <c r="AG35" s="206"/>
      <c r="AH35" s="223">
        <v>0</v>
      </c>
      <c r="AI35" s="223"/>
      <c r="AJ35" s="223"/>
      <c r="AK35" s="223"/>
      <c r="AL35" s="224"/>
      <c r="AM35" s="201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100"/>
      <c r="IP35" s="100"/>
      <c r="IQ35" s="100"/>
      <c r="IR35" s="100"/>
      <c r="IS35" s="100"/>
      <c r="IT35" s="100"/>
      <c r="IU35" s="100"/>
      <c r="IV35" s="100"/>
    </row>
    <row r="36" spans="1:256" ht="20.100000000000001" customHeight="1" x14ac:dyDescent="0.2">
      <c r="A36" s="100"/>
      <c r="C36" s="262" t="s">
        <v>27</v>
      </c>
      <c r="D36" s="263"/>
      <c r="E36" s="263"/>
      <c r="F36" s="263"/>
      <c r="G36" s="263"/>
      <c r="H36" s="263"/>
      <c r="I36" s="263"/>
      <c r="J36" s="263"/>
      <c r="K36" s="263"/>
      <c r="L36" s="263"/>
      <c r="M36" s="190" t="s">
        <v>27</v>
      </c>
      <c r="N36" s="190"/>
      <c r="O36" s="190"/>
      <c r="P36" s="191">
        <v>0</v>
      </c>
      <c r="Q36" s="191"/>
      <c r="R36" s="191"/>
      <c r="S36" s="191"/>
      <c r="T36" s="192"/>
      <c r="U36" s="262" t="s">
        <v>27</v>
      </c>
      <c r="V36" s="263"/>
      <c r="W36" s="263"/>
      <c r="X36" s="263"/>
      <c r="Y36" s="263"/>
      <c r="Z36" s="263"/>
      <c r="AA36" s="263"/>
      <c r="AB36" s="263"/>
      <c r="AC36" s="263"/>
      <c r="AD36" s="263"/>
      <c r="AE36" s="190" t="s">
        <v>27</v>
      </c>
      <c r="AF36" s="190"/>
      <c r="AG36" s="190"/>
      <c r="AH36" s="191">
        <v>0</v>
      </c>
      <c r="AI36" s="191"/>
      <c r="AJ36" s="191"/>
      <c r="AK36" s="191"/>
      <c r="AL36" s="192"/>
      <c r="AM36" s="201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100"/>
      <c r="IP36" s="100"/>
      <c r="IQ36" s="100"/>
      <c r="IR36" s="100"/>
      <c r="IS36" s="100"/>
      <c r="IT36" s="100"/>
      <c r="IU36" s="100"/>
      <c r="IV36" s="100"/>
    </row>
    <row r="37" spans="1:256" ht="20.100000000000001" customHeight="1" thickBot="1" x14ac:dyDescent="0.25">
      <c r="A37" s="100"/>
      <c r="C37" s="225" t="s">
        <v>20</v>
      </c>
      <c r="D37" s="226"/>
      <c r="E37" s="226"/>
      <c r="F37" s="226"/>
      <c r="G37" s="226"/>
      <c r="H37" s="226"/>
      <c r="I37" s="226"/>
      <c r="J37" s="226"/>
      <c r="K37" s="226"/>
      <c r="L37" s="226"/>
      <c r="M37" s="217">
        <f>SUM(P24:T36)</f>
        <v>7680.5555555555557</v>
      </c>
      <c r="N37" s="218"/>
      <c r="O37" s="218"/>
      <c r="P37" s="218"/>
      <c r="Q37" s="218"/>
      <c r="R37" s="218"/>
      <c r="S37" s="218"/>
      <c r="T37" s="219"/>
      <c r="U37" s="281" t="s">
        <v>21</v>
      </c>
      <c r="V37" s="282"/>
      <c r="W37" s="282"/>
      <c r="X37" s="282"/>
      <c r="Y37" s="282"/>
      <c r="Z37" s="282"/>
      <c r="AA37" s="282"/>
      <c r="AB37" s="282"/>
      <c r="AC37" s="282"/>
      <c r="AD37" s="282"/>
      <c r="AE37" s="252">
        <f>SUM(AH24:AL36)</f>
        <v>784.41349999999989</v>
      </c>
      <c r="AF37" s="253"/>
      <c r="AG37" s="253"/>
      <c r="AH37" s="253"/>
      <c r="AI37" s="253"/>
      <c r="AJ37" s="253"/>
      <c r="AK37" s="253"/>
      <c r="AL37" s="254"/>
      <c r="AM37" s="201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100"/>
      <c r="IP37" s="100"/>
      <c r="IQ37" s="100"/>
      <c r="IR37" s="100"/>
      <c r="IS37" s="100"/>
      <c r="IT37" s="100"/>
      <c r="IU37" s="100"/>
      <c r="IV37" s="100"/>
    </row>
    <row r="38" spans="1:256" ht="20.100000000000001" customHeight="1" thickBot="1" x14ac:dyDescent="0.25">
      <c r="A38" s="100"/>
      <c r="C38" s="227" t="s">
        <v>65</v>
      </c>
      <c r="D38" s="228"/>
      <c r="E38" s="228"/>
      <c r="F38" s="228"/>
      <c r="G38" s="228"/>
      <c r="H38" s="228"/>
      <c r="I38" s="228"/>
      <c r="J38" s="228"/>
      <c r="K38" s="228"/>
      <c r="L38" s="228"/>
      <c r="M38" s="220">
        <f>(M37-AE37)</f>
        <v>6896.142055555556</v>
      </c>
      <c r="N38" s="221"/>
      <c r="O38" s="221"/>
      <c r="P38" s="221"/>
      <c r="Q38" s="221"/>
      <c r="R38" s="221"/>
      <c r="S38" s="221"/>
      <c r="T38" s="222"/>
      <c r="U38" s="27" t="s">
        <v>51</v>
      </c>
      <c r="V38" s="255" t="str">
        <f>CONCATENATE("PAGAMENTO ATÉ: ",P89,"/",P90,"/",O91," ",Q88)</f>
        <v>PAGAMENTO ATÉ: 08/05/2020 (SEX.)</v>
      </c>
      <c r="W38" s="255"/>
      <c r="X38" s="255"/>
      <c r="Y38" s="255"/>
      <c r="Z38" s="255"/>
      <c r="AA38" s="255"/>
      <c r="AB38" s="255"/>
      <c r="AC38" s="255"/>
      <c r="AD38" s="255"/>
      <c r="AE38" s="255"/>
      <c r="AF38" s="255"/>
      <c r="AG38" s="255"/>
      <c r="AH38" s="255"/>
      <c r="AI38" s="255"/>
      <c r="AJ38" s="255"/>
      <c r="AK38" s="255"/>
      <c r="AL38" s="255"/>
      <c r="AM38" s="201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100"/>
      <c r="IP38" s="100"/>
      <c r="IQ38" s="100"/>
      <c r="IR38" s="100"/>
      <c r="IS38" s="100"/>
      <c r="IT38" s="100"/>
      <c r="IU38" s="100"/>
      <c r="IV38" s="100"/>
    </row>
    <row r="39" spans="1:256" ht="9.9499999999999993" customHeight="1" x14ac:dyDescent="0.2">
      <c r="A39" s="100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201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100"/>
      <c r="IP39" s="100"/>
      <c r="IQ39" s="100"/>
      <c r="IR39" s="100"/>
      <c r="IS39" s="100"/>
      <c r="IT39" s="100"/>
      <c r="IU39" s="100"/>
      <c r="IV39" s="100"/>
    </row>
    <row r="40" spans="1:256" ht="20.100000000000001" customHeight="1" x14ac:dyDescent="0.2">
      <c r="A40" s="100"/>
      <c r="C40" s="170" t="s">
        <v>45</v>
      </c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2"/>
      <c r="U40" s="170" t="s">
        <v>42</v>
      </c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2"/>
      <c r="AM40" s="201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100"/>
      <c r="IP40" s="100"/>
      <c r="IQ40" s="100"/>
      <c r="IR40" s="100"/>
      <c r="IS40" s="100"/>
      <c r="IT40" s="100"/>
      <c r="IU40" s="100"/>
      <c r="IV40" s="100"/>
    </row>
    <row r="41" spans="1:256" ht="20.100000000000001" customHeight="1" x14ac:dyDescent="0.2">
      <c r="A41" s="100"/>
      <c r="C41" s="285" t="s">
        <v>37</v>
      </c>
      <c r="D41" s="286"/>
      <c r="E41" s="286"/>
      <c r="F41" s="286"/>
      <c r="G41" s="286"/>
      <c r="H41" s="286"/>
      <c r="I41" s="286"/>
      <c r="J41" s="286"/>
      <c r="K41" s="286"/>
      <c r="L41" s="260">
        <v>0</v>
      </c>
      <c r="M41" s="260"/>
      <c r="N41" s="260"/>
      <c r="O41" s="260"/>
      <c r="P41" s="260"/>
      <c r="Q41" s="260"/>
      <c r="R41" s="260"/>
      <c r="S41" s="260"/>
      <c r="T41" s="261"/>
      <c r="U41" s="290" t="s">
        <v>44</v>
      </c>
      <c r="V41" s="291"/>
      <c r="W41" s="291"/>
      <c r="X41" s="291"/>
      <c r="Y41" s="291"/>
      <c r="Z41" s="291"/>
      <c r="AA41" s="291"/>
      <c r="AB41" s="291"/>
      <c r="AC41" s="291"/>
      <c r="AD41" s="292"/>
      <c r="AE41" s="256">
        <f>IF(F82=1,(G94),(0))</f>
        <v>2500</v>
      </c>
      <c r="AF41" s="257"/>
      <c r="AG41" s="257"/>
      <c r="AH41" s="257"/>
      <c r="AI41" s="257"/>
      <c r="AJ41" s="257"/>
      <c r="AK41" s="257"/>
      <c r="AL41" s="258"/>
      <c r="AM41" s="201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100"/>
      <c r="IP41" s="100"/>
      <c r="IQ41" s="100"/>
      <c r="IR41" s="100"/>
      <c r="IS41" s="100"/>
      <c r="IT41" s="100"/>
      <c r="IU41" s="100"/>
      <c r="IV41" s="100"/>
    </row>
    <row r="42" spans="1:256" ht="20.100000000000001" customHeight="1" x14ac:dyDescent="0.2">
      <c r="A42" s="100"/>
      <c r="C42" s="193" t="s">
        <v>40</v>
      </c>
      <c r="D42" s="194"/>
      <c r="E42" s="194"/>
      <c r="F42" s="194"/>
      <c r="G42" s="194"/>
      <c r="H42" s="194"/>
      <c r="I42" s="194"/>
      <c r="J42" s="194"/>
      <c r="K42" s="194"/>
      <c r="L42" s="173">
        <f>IF(F82=1,(L41*AG83),(0))</f>
        <v>0</v>
      </c>
      <c r="M42" s="173"/>
      <c r="N42" s="173"/>
      <c r="O42" s="173"/>
      <c r="P42" s="173"/>
      <c r="Q42" s="173"/>
      <c r="R42" s="173"/>
      <c r="S42" s="173"/>
      <c r="T42" s="174"/>
      <c r="U42" s="293" t="s">
        <v>43</v>
      </c>
      <c r="V42" s="294"/>
      <c r="W42" s="294"/>
      <c r="X42" s="294"/>
      <c r="Y42" s="294"/>
      <c r="Z42" s="294"/>
      <c r="AA42" s="294"/>
      <c r="AB42" s="294"/>
      <c r="AC42" s="294"/>
      <c r="AD42" s="295"/>
      <c r="AE42" s="246">
        <f>IF(F82=1,(VLOOKUP(H93,R81:S106,2,FALSE)),(0))</f>
        <v>4</v>
      </c>
      <c r="AF42" s="247"/>
      <c r="AG42" s="247"/>
      <c r="AH42" s="247"/>
      <c r="AI42" s="247"/>
      <c r="AJ42" s="247"/>
      <c r="AK42" s="247"/>
      <c r="AL42" s="248"/>
      <c r="AM42" s="201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100"/>
      <c r="IP42" s="100"/>
      <c r="IQ42" s="100"/>
      <c r="IR42" s="100"/>
      <c r="IS42" s="100"/>
      <c r="IT42" s="100"/>
      <c r="IU42" s="100"/>
      <c r="IV42" s="100"/>
    </row>
    <row r="43" spans="1:256" ht="20.100000000000001" customHeight="1" thickBot="1" x14ac:dyDescent="0.25">
      <c r="A43" s="100"/>
      <c r="C43" s="193" t="s">
        <v>39</v>
      </c>
      <c r="D43" s="194"/>
      <c r="E43" s="194"/>
      <c r="F43" s="194"/>
      <c r="G43" s="194"/>
      <c r="H43" s="194"/>
      <c r="I43" s="194"/>
      <c r="J43" s="194"/>
      <c r="K43" s="194"/>
      <c r="L43" s="173">
        <f>SUM(P24,P25,P26,P32,P33,P35,P36)*8%</f>
        <v>266.66666666666669</v>
      </c>
      <c r="M43" s="173"/>
      <c r="N43" s="173"/>
      <c r="O43" s="173"/>
      <c r="P43" s="173"/>
      <c r="Q43" s="173"/>
      <c r="R43" s="173"/>
      <c r="S43" s="173"/>
      <c r="T43" s="174"/>
      <c r="U43" s="249" t="s">
        <v>99</v>
      </c>
      <c r="V43" s="250"/>
      <c r="W43" s="250"/>
      <c r="X43" s="250"/>
      <c r="Y43" s="250"/>
      <c r="Z43" s="250"/>
      <c r="AA43" s="250"/>
      <c r="AB43" s="250"/>
      <c r="AC43" s="250"/>
      <c r="AD43" s="251"/>
      <c r="AE43" s="268">
        <f>IF(F82=1,(U136),(0))</f>
        <v>1840.511</v>
      </c>
      <c r="AF43" s="269"/>
      <c r="AG43" s="269"/>
      <c r="AH43" s="269"/>
      <c r="AI43" s="269"/>
      <c r="AJ43" s="269"/>
      <c r="AK43" s="269"/>
      <c r="AL43" s="270"/>
      <c r="AM43" s="201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100"/>
      <c r="IP43" s="100"/>
      <c r="IQ43" s="100"/>
      <c r="IR43" s="100"/>
      <c r="IS43" s="100"/>
      <c r="IT43" s="100"/>
      <c r="IU43" s="100"/>
      <c r="IV43" s="100"/>
    </row>
    <row r="44" spans="1:256" ht="20.100000000000001" customHeight="1" thickBot="1" x14ac:dyDescent="0.25">
      <c r="A44" s="100"/>
      <c r="C44" s="193" t="s">
        <v>38</v>
      </c>
      <c r="D44" s="194"/>
      <c r="E44" s="194"/>
      <c r="F44" s="194"/>
      <c r="G44" s="194"/>
      <c r="H44" s="194"/>
      <c r="I44" s="194"/>
      <c r="J44" s="194"/>
      <c r="K44" s="194"/>
      <c r="L44" s="173">
        <f>SUM(P34,P27)*8%</f>
        <v>236.66666666666669</v>
      </c>
      <c r="M44" s="173"/>
      <c r="N44" s="173"/>
      <c r="O44" s="173"/>
      <c r="P44" s="173"/>
      <c r="Q44" s="173"/>
      <c r="R44" s="173"/>
      <c r="S44" s="173"/>
      <c r="T44" s="259"/>
      <c r="U44" s="227" t="s">
        <v>100</v>
      </c>
      <c r="V44" s="228"/>
      <c r="W44" s="228"/>
      <c r="X44" s="228"/>
      <c r="Y44" s="228"/>
      <c r="Z44" s="228"/>
      <c r="AA44" s="228"/>
      <c r="AB44" s="228"/>
      <c r="AC44" s="228"/>
      <c r="AD44" s="228"/>
      <c r="AE44" s="275">
        <f>(AE43*AE42)</f>
        <v>7362.0439999999999</v>
      </c>
      <c r="AF44" s="275"/>
      <c r="AG44" s="275"/>
      <c r="AH44" s="275"/>
      <c r="AI44" s="275"/>
      <c r="AJ44" s="275"/>
      <c r="AK44" s="275"/>
      <c r="AL44" s="276"/>
      <c r="AM44" s="201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100"/>
      <c r="IP44" s="100"/>
      <c r="IQ44" s="100"/>
      <c r="IR44" s="100"/>
      <c r="IS44" s="100"/>
      <c r="IT44" s="100"/>
      <c r="IU44" s="100"/>
      <c r="IV44" s="100"/>
    </row>
    <row r="45" spans="1:256" ht="20.100000000000001" customHeight="1" thickBot="1" x14ac:dyDescent="0.25">
      <c r="A45" s="100"/>
      <c r="C45" s="235" t="s">
        <v>41</v>
      </c>
      <c r="D45" s="236"/>
      <c r="E45" s="236"/>
      <c r="F45" s="236"/>
      <c r="G45" s="236"/>
      <c r="H45" s="236"/>
      <c r="I45" s="236"/>
      <c r="J45" s="236"/>
      <c r="K45" s="237"/>
      <c r="L45" s="243">
        <f>SUM(L41,E119,L43,L44)</f>
        <v>503.33333333333337</v>
      </c>
      <c r="M45" s="244"/>
      <c r="N45" s="244"/>
      <c r="O45" s="244"/>
      <c r="P45" s="244"/>
      <c r="Q45" s="244"/>
      <c r="R45" s="244"/>
      <c r="S45" s="244"/>
      <c r="T45" s="245"/>
      <c r="U45" s="177"/>
      <c r="V45" s="178"/>
      <c r="W45" s="178"/>
      <c r="X45" s="178"/>
      <c r="Y45" s="178"/>
      <c r="Z45" s="178"/>
      <c r="AA45" s="178"/>
      <c r="AB45" s="178"/>
      <c r="AC45" s="178"/>
      <c r="AD45" s="178"/>
      <c r="AE45" s="178"/>
      <c r="AF45" s="178"/>
      <c r="AG45" s="178"/>
      <c r="AH45" s="178"/>
      <c r="AI45" s="178"/>
      <c r="AJ45" s="178"/>
      <c r="AK45" s="178"/>
      <c r="AL45" s="178"/>
      <c r="AM45" s="201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100"/>
      <c r="IP45" s="100"/>
      <c r="IQ45" s="100"/>
      <c r="IR45" s="100"/>
      <c r="IS45" s="100"/>
      <c r="IT45" s="100"/>
      <c r="IU45" s="100"/>
      <c r="IV45" s="100"/>
    </row>
    <row r="46" spans="1:256" ht="20.100000000000001" customHeight="1" thickBot="1" x14ac:dyDescent="0.25">
      <c r="A46" s="100"/>
      <c r="C46" s="232" t="s">
        <v>101</v>
      </c>
      <c r="D46" s="233"/>
      <c r="E46" s="233"/>
      <c r="F46" s="233"/>
      <c r="G46" s="233"/>
      <c r="H46" s="233"/>
      <c r="I46" s="233"/>
      <c r="J46" s="233"/>
      <c r="K46" s="234"/>
      <c r="L46" s="287">
        <f>SUM(L42:T44)</f>
        <v>503.33333333333337</v>
      </c>
      <c r="M46" s="288"/>
      <c r="N46" s="288"/>
      <c r="O46" s="288"/>
      <c r="P46" s="288"/>
      <c r="Q46" s="288"/>
      <c r="R46" s="288"/>
      <c r="S46" s="288"/>
      <c r="T46" s="289"/>
      <c r="U46" s="27" t="s">
        <v>51</v>
      </c>
      <c r="V46" s="264" t="str">
        <f>CONCATENATE("PAGAMENTO ATÉ: ",P89,"/",P90,"/",O91," ",Q88)</f>
        <v>PAGAMENTO ATÉ: 08/05/2020 (SEX.)</v>
      </c>
      <c r="W46" s="264"/>
      <c r="X46" s="264"/>
      <c r="Y46" s="264"/>
      <c r="Z46" s="264"/>
      <c r="AA46" s="264"/>
      <c r="AB46" s="264"/>
      <c r="AC46" s="264"/>
      <c r="AD46" s="264"/>
      <c r="AE46" s="264"/>
      <c r="AF46" s="264"/>
      <c r="AG46" s="264"/>
      <c r="AH46" s="264"/>
      <c r="AI46" s="264"/>
      <c r="AJ46" s="264"/>
      <c r="AK46" s="264"/>
      <c r="AL46" s="264"/>
      <c r="AM46" s="201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100"/>
      <c r="IP46" s="100"/>
      <c r="IQ46" s="100"/>
      <c r="IR46" s="100"/>
      <c r="IS46" s="100"/>
      <c r="IT46" s="100"/>
      <c r="IU46" s="100"/>
      <c r="IV46" s="100"/>
    </row>
    <row r="47" spans="1:256" ht="9.9499999999999993" customHeight="1" thickBot="1" x14ac:dyDescent="0.25">
      <c r="A47" s="100"/>
      <c r="U47" s="271"/>
      <c r="V47" s="271"/>
      <c r="W47" s="271"/>
      <c r="X47" s="271"/>
      <c r="Y47" s="271"/>
      <c r="Z47" s="271"/>
      <c r="AA47" s="271"/>
      <c r="AB47" s="271"/>
      <c r="AC47" s="271"/>
      <c r="AD47" s="271"/>
      <c r="AE47" s="271"/>
      <c r="AF47" s="271"/>
      <c r="AG47" s="271"/>
      <c r="AH47" s="271"/>
      <c r="AI47" s="271"/>
      <c r="AJ47" s="271"/>
      <c r="AK47" s="271"/>
      <c r="AL47" s="271"/>
      <c r="AM47" s="201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100"/>
      <c r="IP47" s="100"/>
      <c r="IQ47" s="100"/>
      <c r="IR47" s="100"/>
      <c r="IS47" s="100"/>
      <c r="IT47" s="100"/>
      <c r="IU47" s="100"/>
      <c r="IV47" s="100"/>
    </row>
    <row r="48" spans="1:256" ht="20.100000000000001" customHeight="1" thickBot="1" x14ac:dyDescent="0.25">
      <c r="A48" s="100"/>
      <c r="C48" s="277" t="s">
        <v>64</v>
      </c>
      <c r="D48" s="278"/>
      <c r="E48" s="278"/>
      <c r="F48" s="278"/>
      <c r="G48" s="278"/>
      <c r="H48" s="278"/>
      <c r="I48" s="278"/>
      <c r="J48" s="278"/>
      <c r="K48" s="278"/>
      <c r="L48" s="278"/>
      <c r="M48" s="278"/>
      <c r="N48" s="278"/>
      <c r="O48" s="278"/>
      <c r="P48" s="278"/>
      <c r="Q48" s="278"/>
      <c r="R48" s="278"/>
      <c r="S48" s="278"/>
      <c r="T48" s="278"/>
      <c r="U48" s="278"/>
      <c r="V48" s="278"/>
      <c r="W48" s="278"/>
      <c r="X48" s="278"/>
      <c r="Y48" s="278"/>
      <c r="Z48" s="278"/>
      <c r="AA48" s="278"/>
      <c r="AB48" s="278"/>
      <c r="AC48" s="266">
        <f>M38+L46+AE44</f>
        <v>14761.51938888889</v>
      </c>
      <c r="AD48" s="266"/>
      <c r="AE48" s="266"/>
      <c r="AF48" s="266"/>
      <c r="AG48" s="266"/>
      <c r="AH48" s="266"/>
      <c r="AI48" s="266"/>
      <c r="AJ48" s="266"/>
      <c r="AK48" s="266"/>
      <c r="AL48" s="267"/>
      <c r="AM48" s="201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100"/>
      <c r="IP48" s="100"/>
      <c r="IQ48" s="100"/>
      <c r="IR48" s="100"/>
      <c r="IS48" s="100"/>
      <c r="IT48" s="100"/>
      <c r="IU48" s="100"/>
      <c r="IV48" s="100"/>
    </row>
    <row r="49" spans="1:256" ht="20.100000000000001" customHeight="1" x14ac:dyDescent="0.2">
      <c r="A49" s="100"/>
      <c r="C49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28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100"/>
      <c r="IP49" s="100"/>
      <c r="IQ49" s="100"/>
      <c r="IR49" s="100"/>
      <c r="IS49" s="100"/>
      <c r="IT49" s="100"/>
      <c r="IU49" s="100"/>
      <c r="IV49" s="100"/>
    </row>
    <row r="50" spans="1:256" ht="9.9499999999999993" customHeight="1" x14ac:dyDescent="0.2">
      <c r="A50" s="100"/>
      <c r="C50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100"/>
      <c r="IP50" s="100"/>
      <c r="IQ50" s="100"/>
      <c r="IR50" s="100"/>
      <c r="IS50" s="100"/>
      <c r="IT50" s="100"/>
      <c r="IU50" s="100"/>
      <c r="IV50" s="100"/>
    </row>
    <row r="51" spans="1:256" ht="9.9499999999999993" customHeight="1" x14ac:dyDescent="0.2">
      <c r="A51" s="100"/>
      <c r="B51" s="198" t="s">
        <v>116</v>
      </c>
      <c r="C51" s="198"/>
      <c r="D51" s="198"/>
      <c r="E51" s="198"/>
      <c r="F51" s="198"/>
      <c r="G51" s="198"/>
      <c r="H51" s="198"/>
      <c r="I51" s="198"/>
      <c r="J51" s="198"/>
      <c r="K51" s="198"/>
      <c r="L51" s="198"/>
      <c r="M51" s="198"/>
      <c r="N51" s="198"/>
      <c r="O51" s="198"/>
      <c r="P51" s="198"/>
      <c r="Q51" s="198"/>
      <c r="R51" s="198"/>
      <c r="S51" s="198"/>
      <c r="T51" s="198"/>
      <c r="U51" s="198"/>
      <c r="V51" s="198"/>
      <c r="W51" s="198"/>
      <c r="X51" s="198"/>
      <c r="Y51" s="198"/>
      <c r="Z51" s="198"/>
      <c r="AA51" s="198"/>
      <c r="AB51" s="198"/>
      <c r="AC51" s="198"/>
      <c r="AD51" s="198"/>
      <c r="AE51" s="198"/>
      <c r="AF51" s="198"/>
      <c r="AG51" s="198"/>
      <c r="AH51" s="198"/>
      <c r="AI51" s="198"/>
      <c r="AJ51" s="198"/>
      <c r="AK51" s="198"/>
      <c r="AL51" s="198"/>
      <c r="AM51" s="198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100"/>
      <c r="IP51" s="100"/>
      <c r="IQ51" s="100"/>
      <c r="IR51" s="100"/>
      <c r="IS51" s="100"/>
      <c r="IT51" s="100"/>
      <c r="IU51" s="100"/>
      <c r="IV51" s="100"/>
    </row>
    <row r="52" spans="1:256" ht="20.100000000000001" customHeight="1" x14ac:dyDescent="0.2">
      <c r="A52" s="100"/>
      <c r="B52" s="198"/>
      <c r="C52" s="198"/>
      <c r="D52" s="198"/>
      <c r="E52" s="198"/>
      <c r="F52" s="198"/>
      <c r="G52" s="198"/>
      <c r="H52" s="198"/>
      <c r="I52" s="198"/>
      <c r="J52" s="198"/>
      <c r="K52" s="198"/>
      <c r="L52" s="198"/>
      <c r="M52" s="198"/>
      <c r="N52" s="198"/>
      <c r="O52" s="198"/>
      <c r="P52" s="198"/>
      <c r="Q52" s="198"/>
      <c r="R52" s="198"/>
      <c r="S52" s="198"/>
      <c r="T52" s="198"/>
      <c r="U52" s="198"/>
      <c r="V52" s="198"/>
      <c r="W52" s="198"/>
      <c r="X52" s="198"/>
      <c r="Y52" s="198"/>
      <c r="Z52" s="198"/>
      <c r="AA52" s="198"/>
      <c r="AB52" s="198"/>
      <c r="AC52" s="198"/>
      <c r="AD52" s="198"/>
      <c r="AE52" s="198"/>
      <c r="AF52" s="198"/>
      <c r="AG52" s="198"/>
      <c r="AH52" s="198"/>
      <c r="AI52" s="198"/>
      <c r="AJ52" s="198"/>
      <c r="AK52" s="198"/>
      <c r="AL52" s="198"/>
      <c r="AM52" s="198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100"/>
      <c r="IP52" s="100"/>
      <c r="IQ52" s="100"/>
      <c r="IR52" s="100"/>
      <c r="IS52" s="100"/>
      <c r="IT52" s="100"/>
      <c r="IU52" s="100"/>
      <c r="IV52" s="100"/>
    </row>
    <row r="53" spans="1:256" ht="20.100000000000001" customHeight="1" x14ac:dyDescent="0.2">
      <c r="A53" s="100"/>
      <c r="B53" s="198"/>
      <c r="C53" s="198"/>
      <c r="D53" s="198"/>
      <c r="E53" s="198"/>
      <c r="F53" s="198"/>
      <c r="G53" s="198"/>
      <c r="H53" s="198"/>
      <c r="I53" s="198"/>
      <c r="J53" s="198"/>
      <c r="K53" s="198"/>
      <c r="L53" s="198"/>
      <c r="M53" s="198"/>
      <c r="N53" s="198"/>
      <c r="O53" s="198"/>
      <c r="P53" s="198"/>
      <c r="Q53" s="198"/>
      <c r="R53" s="198"/>
      <c r="S53" s="198"/>
      <c r="T53" s="198"/>
      <c r="U53" s="198"/>
      <c r="V53" s="198"/>
      <c r="W53" s="198"/>
      <c r="X53" s="198"/>
      <c r="Y53" s="198"/>
      <c r="Z53" s="198"/>
      <c r="AA53" s="198"/>
      <c r="AB53" s="198"/>
      <c r="AC53" s="198"/>
      <c r="AD53" s="198"/>
      <c r="AE53" s="198"/>
      <c r="AF53" s="198"/>
      <c r="AG53" s="198"/>
      <c r="AH53" s="198"/>
      <c r="AI53" s="198"/>
      <c r="AJ53" s="198"/>
      <c r="AK53" s="198"/>
      <c r="AL53" s="198"/>
      <c r="AM53" s="198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100"/>
      <c r="IP53" s="100"/>
      <c r="IQ53" s="100"/>
      <c r="IR53" s="100"/>
      <c r="IS53" s="100"/>
      <c r="IT53" s="100"/>
      <c r="IU53" s="100"/>
      <c r="IV53" s="100"/>
    </row>
    <row r="54" spans="1:256" ht="9.9499999999999993" customHeight="1" x14ac:dyDescent="0.2">
      <c r="A54" s="100"/>
      <c r="B54" s="198"/>
      <c r="C54" s="198"/>
      <c r="D54" s="198"/>
      <c r="E54" s="198"/>
      <c r="F54" s="198"/>
      <c r="G54" s="198"/>
      <c r="H54" s="198"/>
      <c r="I54" s="198"/>
      <c r="J54" s="198"/>
      <c r="K54" s="198"/>
      <c r="L54" s="198"/>
      <c r="M54" s="198"/>
      <c r="N54" s="198"/>
      <c r="O54" s="198"/>
      <c r="P54" s="198"/>
      <c r="Q54" s="198"/>
      <c r="R54" s="198"/>
      <c r="S54" s="198"/>
      <c r="T54" s="198"/>
      <c r="U54" s="198"/>
      <c r="V54" s="198"/>
      <c r="W54" s="198"/>
      <c r="X54" s="198"/>
      <c r="Y54" s="198"/>
      <c r="Z54" s="198"/>
      <c r="AA54" s="198"/>
      <c r="AB54" s="198"/>
      <c r="AC54" s="198"/>
      <c r="AD54" s="198"/>
      <c r="AE54" s="198"/>
      <c r="AF54" s="198"/>
      <c r="AG54" s="198"/>
      <c r="AH54" s="198"/>
      <c r="AI54" s="198"/>
      <c r="AJ54" s="198"/>
      <c r="AK54" s="198"/>
      <c r="AL54" s="198"/>
      <c r="AM54" s="198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100"/>
      <c r="IP54" s="100"/>
      <c r="IQ54" s="100"/>
      <c r="IR54" s="100"/>
      <c r="IS54" s="100"/>
      <c r="IT54" s="100"/>
      <c r="IU54" s="100"/>
      <c r="IV54" s="100"/>
    </row>
    <row r="55" spans="1:256" ht="20.100000000000001" customHeight="1" x14ac:dyDescent="0.2">
      <c r="A55" s="100"/>
      <c r="B55" s="29"/>
      <c r="C55" s="132" t="s">
        <v>67</v>
      </c>
      <c r="D55" s="132"/>
      <c r="E55" s="132"/>
      <c r="F55" s="132"/>
      <c r="G55" s="132"/>
      <c r="H55" s="132"/>
      <c r="I55" s="132"/>
      <c r="J55" s="132"/>
      <c r="K55" s="132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100"/>
      <c r="IP55" s="100"/>
      <c r="IQ55" s="100"/>
      <c r="IR55" s="100"/>
      <c r="IS55" s="100"/>
      <c r="IT55" s="100"/>
      <c r="IU55" s="100"/>
      <c r="IV55" s="100"/>
    </row>
    <row r="56" spans="1:256" ht="20.100000000000001" customHeight="1" x14ac:dyDescent="0.2">
      <c r="A56" s="100"/>
      <c r="B56" s="29"/>
      <c r="C56" s="138" t="s">
        <v>68</v>
      </c>
      <c r="D56" s="139"/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40"/>
      <c r="V56" s="144" t="str">
        <f>RESCISÃO!V38</f>
        <v>PAGAMENTO ATÉ: 08/05/2020 (SEX.)</v>
      </c>
      <c r="W56" s="145"/>
      <c r="X56" s="145"/>
      <c r="Y56" s="145"/>
      <c r="Z56" s="145"/>
      <c r="AA56" s="145"/>
      <c r="AB56" s="145"/>
      <c r="AC56" s="145"/>
      <c r="AD56" s="145"/>
      <c r="AE56" s="145"/>
      <c r="AF56" s="145"/>
      <c r="AG56" s="145"/>
      <c r="AH56" s="145"/>
      <c r="AI56" s="145"/>
      <c r="AJ56" s="145"/>
      <c r="AK56" s="145"/>
      <c r="AL56" s="146"/>
      <c r="AM56" s="32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100"/>
      <c r="IP56" s="100"/>
      <c r="IQ56" s="100"/>
      <c r="IR56" s="100"/>
      <c r="IS56" s="100"/>
      <c r="IT56" s="100"/>
      <c r="IU56" s="100"/>
      <c r="IV56" s="100"/>
    </row>
    <row r="57" spans="1:256" ht="20.100000000000001" customHeight="1" x14ac:dyDescent="0.2">
      <c r="A57" s="100"/>
      <c r="B57" s="29"/>
      <c r="C57" s="141">
        <f>M38</f>
        <v>6896.142055555556</v>
      </c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3"/>
      <c r="V57" s="147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9"/>
      <c r="AM57" s="32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100"/>
      <c r="IP57" s="100"/>
      <c r="IQ57" s="100"/>
      <c r="IR57" s="100"/>
      <c r="IS57" s="100"/>
      <c r="IT57" s="100"/>
      <c r="IU57" s="100"/>
      <c r="IV57" s="100"/>
    </row>
    <row r="58" spans="1:256" ht="9.9499999999999993" customHeight="1" x14ac:dyDescent="0.2">
      <c r="A58" s="100"/>
      <c r="B58" s="29"/>
      <c r="C58" s="29"/>
      <c r="D58" s="29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100"/>
      <c r="IP58" s="100"/>
      <c r="IQ58" s="100"/>
      <c r="IR58" s="100"/>
      <c r="IS58" s="100"/>
      <c r="IT58" s="100"/>
      <c r="IU58" s="100"/>
      <c r="IV58" s="100"/>
    </row>
    <row r="59" spans="1:256" ht="20.100000000000001" customHeight="1" x14ac:dyDescent="0.2">
      <c r="A59" s="100"/>
      <c r="B59" s="29"/>
      <c r="C59" s="132" t="s">
        <v>69</v>
      </c>
      <c r="D59" s="132"/>
      <c r="E59" s="132"/>
      <c r="F59" s="132"/>
      <c r="G59" s="132"/>
      <c r="H59" s="132"/>
      <c r="I59" s="132"/>
      <c r="J59" s="132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100"/>
      <c r="IP59" s="100"/>
      <c r="IQ59" s="100"/>
      <c r="IR59" s="100"/>
      <c r="IS59" s="100"/>
      <c r="IT59" s="100"/>
      <c r="IU59" s="100"/>
      <c r="IV59" s="100"/>
    </row>
    <row r="60" spans="1:256" ht="20.100000000000001" customHeight="1" x14ac:dyDescent="0.2">
      <c r="A60" s="100"/>
      <c r="B60" s="29"/>
      <c r="C60" s="138" t="s">
        <v>102</v>
      </c>
      <c r="D60" s="139"/>
      <c r="E60" s="139"/>
      <c r="F60" s="139"/>
      <c r="G60" s="139"/>
      <c r="H60" s="139"/>
      <c r="I60" s="139"/>
      <c r="J60" s="139"/>
      <c r="K60" s="139"/>
      <c r="L60" s="139"/>
      <c r="M60" s="139"/>
      <c r="N60" s="139"/>
      <c r="O60" s="139"/>
      <c r="P60" s="139"/>
      <c r="Q60" s="139"/>
      <c r="R60" s="139"/>
      <c r="S60" s="139"/>
      <c r="T60" s="139"/>
      <c r="U60" s="140"/>
      <c r="V60" s="144" t="str">
        <f>V56</f>
        <v>PAGAMENTO ATÉ: 08/05/2020 (SEX.)</v>
      </c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  <c r="AH60" s="145"/>
      <c r="AI60" s="145"/>
      <c r="AJ60" s="145"/>
      <c r="AK60" s="145"/>
      <c r="AL60" s="146"/>
      <c r="AM60" s="32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100"/>
      <c r="IP60" s="100"/>
      <c r="IQ60" s="100"/>
      <c r="IR60" s="100"/>
      <c r="IS60" s="100"/>
      <c r="IT60" s="100"/>
      <c r="IU60" s="100"/>
      <c r="IV60" s="100"/>
    </row>
    <row r="61" spans="1:256" ht="20.100000000000001" customHeight="1" x14ac:dyDescent="0.2">
      <c r="A61" s="100"/>
      <c r="B61" s="29"/>
      <c r="C61" s="141">
        <f>RESCISÃO!L43+L44+(RESCISÃO!L42*80%)</f>
        <v>503.33333333333337</v>
      </c>
      <c r="D61" s="142"/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3"/>
      <c r="V61" s="147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9"/>
      <c r="AM61" s="32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100"/>
      <c r="IP61" s="100"/>
      <c r="IQ61" s="100"/>
      <c r="IR61" s="100"/>
      <c r="IS61" s="100"/>
      <c r="IT61" s="100"/>
      <c r="IU61" s="100"/>
      <c r="IV61" s="100"/>
    </row>
    <row r="62" spans="1:256" ht="20.100000000000001" customHeight="1" x14ac:dyDescent="0.2">
      <c r="A62" s="100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138" t="s">
        <v>87</v>
      </c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40"/>
      <c r="AM62" s="11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100"/>
      <c r="IP62" s="100"/>
      <c r="IQ62" s="100"/>
      <c r="IR62" s="100"/>
      <c r="IS62" s="100"/>
      <c r="IT62" s="100"/>
      <c r="IU62" s="100"/>
      <c r="IV62" s="100"/>
    </row>
    <row r="63" spans="1:256" ht="20.100000000000001" customHeight="1" x14ac:dyDescent="0.2">
      <c r="A63" s="100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141">
        <f>C61+L41</f>
        <v>503.33333333333337</v>
      </c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3"/>
      <c r="AM63" s="33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100"/>
      <c r="IP63" s="100"/>
      <c r="IQ63" s="100"/>
      <c r="IR63" s="100"/>
      <c r="IS63" s="100"/>
      <c r="IT63" s="100"/>
      <c r="IU63" s="100"/>
      <c r="IV63" s="100"/>
    </row>
    <row r="64" spans="1:256" ht="9.9499999999999993" customHeight="1" x14ac:dyDescent="0.2">
      <c r="A64" s="100"/>
      <c r="B64" s="29"/>
      <c r="C64" s="29"/>
      <c r="D64" s="29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100"/>
      <c r="IP64" s="100"/>
      <c r="IQ64" s="100"/>
      <c r="IR64" s="100"/>
      <c r="IS64" s="100"/>
      <c r="IT64" s="100"/>
      <c r="IU64" s="100"/>
      <c r="IV64" s="100"/>
    </row>
    <row r="65" spans="1:1506" ht="20.100000000000001" customHeight="1" x14ac:dyDescent="0.2">
      <c r="A65" s="100"/>
      <c r="B65" s="29"/>
      <c r="C65" s="132" t="s">
        <v>70</v>
      </c>
      <c r="D65" s="132"/>
      <c r="E65" s="132"/>
      <c r="F65" s="132"/>
      <c r="G65" s="132"/>
      <c r="H65" s="132"/>
      <c r="I65" s="132"/>
      <c r="J65" s="132"/>
      <c r="K65" s="132"/>
      <c r="L65" s="132"/>
      <c r="M65" s="132"/>
      <c r="N65" s="132"/>
      <c r="O65" s="132"/>
      <c r="P65" s="132"/>
      <c r="Q65" s="132"/>
      <c r="R65" s="132"/>
      <c r="S65" s="132"/>
      <c r="T65" s="132"/>
      <c r="U65" s="132"/>
      <c r="V65" s="132"/>
      <c r="W65" s="132"/>
      <c r="X65" s="132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100"/>
      <c r="IP65" s="100"/>
      <c r="IQ65" s="100"/>
      <c r="IR65" s="100"/>
      <c r="IS65" s="100"/>
      <c r="IT65" s="100"/>
      <c r="IU65" s="100"/>
      <c r="IV65" s="100"/>
    </row>
    <row r="66" spans="1:1506" ht="20.100000000000001" customHeight="1" x14ac:dyDescent="0.2">
      <c r="A66" s="100"/>
      <c r="B66" s="29"/>
      <c r="C66" s="138" t="s">
        <v>71</v>
      </c>
      <c r="D66" s="139"/>
      <c r="E66" s="139"/>
      <c r="F66" s="139"/>
      <c r="G66" s="139"/>
      <c r="H66" s="139"/>
      <c r="I66" s="139"/>
      <c r="J66" s="139"/>
      <c r="K66" s="139"/>
      <c r="L66" s="139"/>
      <c r="M66" s="139"/>
      <c r="N66" s="139"/>
      <c r="O66" s="139"/>
      <c r="P66" s="139"/>
      <c r="Q66" s="139"/>
      <c r="R66" s="139"/>
      <c r="S66" s="139"/>
      <c r="T66" s="139"/>
      <c r="U66" s="140"/>
      <c r="V66" s="138" t="s">
        <v>86</v>
      </c>
      <c r="W66" s="139"/>
      <c r="X66" s="139"/>
      <c r="Y66" s="139"/>
      <c r="Z66" s="139"/>
      <c r="AA66" s="139"/>
      <c r="AB66" s="139"/>
      <c r="AC66" s="139"/>
      <c r="AD66" s="139"/>
      <c r="AE66" s="139"/>
      <c r="AF66" s="139"/>
      <c r="AG66" s="139"/>
      <c r="AH66" s="139"/>
      <c r="AI66" s="139"/>
      <c r="AJ66" s="139"/>
      <c r="AK66" s="139"/>
      <c r="AL66" s="140"/>
      <c r="AM66" s="11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100"/>
      <c r="IP66" s="100"/>
      <c r="IQ66" s="100"/>
      <c r="IR66" s="100"/>
      <c r="IS66" s="100"/>
      <c r="IT66" s="100"/>
      <c r="IU66" s="100"/>
      <c r="IV66" s="100"/>
    </row>
    <row r="67" spans="1:1506" ht="20.100000000000001" customHeight="1" x14ac:dyDescent="0.2">
      <c r="A67" s="100"/>
      <c r="B67" s="29"/>
      <c r="C67" s="133">
        <f>AE42</f>
        <v>4</v>
      </c>
      <c r="D67" s="134"/>
      <c r="E67" s="134"/>
      <c r="F67" s="134"/>
      <c r="G67" s="134"/>
      <c r="H67" s="134"/>
      <c r="I67" s="134"/>
      <c r="J67" s="134"/>
      <c r="K67" s="134"/>
      <c r="L67" s="134"/>
      <c r="M67" s="134"/>
      <c r="N67" s="134"/>
      <c r="O67" s="134"/>
      <c r="P67" s="134"/>
      <c r="Q67" s="134"/>
      <c r="R67" s="134"/>
      <c r="S67" s="134"/>
      <c r="T67" s="134"/>
      <c r="U67" s="135"/>
      <c r="V67" s="141">
        <f>RESCISÃO!AE43</f>
        <v>1840.511</v>
      </c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3"/>
      <c r="AM67" s="33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100"/>
      <c r="IP67" s="100"/>
      <c r="IQ67" s="100"/>
      <c r="IR67" s="100"/>
      <c r="IS67" s="100"/>
      <c r="IT67" s="100"/>
      <c r="IU67" s="100"/>
      <c r="IV67" s="100"/>
    </row>
    <row r="68" spans="1:1506" ht="20.100000000000001" customHeight="1" x14ac:dyDescent="0.2">
      <c r="A68" s="100"/>
      <c r="B68" s="29"/>
      <c r="C68" s="29"/>
      <c r="D68" s="29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138" t="s">
        <v>85</v>
      </c>
      <c r="W68" s="139"/>
      <c r="X68" s="139"/>
      <c r="Y68" s="139"/>
      <c r="Z68" s="139"/>
      <c r="AA68" s="139"/>
      <c r="AB68" s="139"/>
      <c r="AC68" s="139"/>
      <c r="AD68" s="139"/>
      <c r="AE68" s="139"/>
      <c r="AF68" s="139"/>
      <c r="AG68" s="139"/>
      <c r="AH68" s="139"/>
      <c r="AI68" s="139"/>
      <c r="AJ68" s="139"/>
      <c r="AK68" s="139"/>
      <c r="AL68" s="140"/>
      <c r="AM68" s="11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100"/>
      <c r="IP68" s="100"/>
      <c r="IQ68" s="100"/>
      <c r="IR68" s="100"/>
      <c r="IS68" s="100"/>
      <c r="IT68" s="100"/>
      <c r="IU68" s="100"/>
      <c r="IV68" s="100"/>
    </row>
    <row r="69" spans="1:1506" ht="20.100000000000001" customHeight="1" x14ac:dyDescent="0.2">
      <c r="A69" s="100"/>
      <c r="B69" s="29"/>
      <c r="C69" s="29"/>
      <c r="D69" s="29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141">
        <f>V67*C67</f>
        <v>7362.0439999999999</v>
      </c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3"/>
      <c r="AM69" s="33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100"/>
      <c r="IP69" s="100"/>
      <c r="IQ69" s="100"/>
      <c r="IR69" s="100"/>
      <c r="IS69" s="100"/>
      <c r="IT69" s="100"/>
      <c r="IU69" s="100"/>
      <c r="IV69" s="100"/>
    </row>
    <row r="70" spans="1:1506" ht="9.9499999999999993" customHeight="1" x14ac:dyDescent="0.2">
      <c r="A70" s="100"/>
      <c r="B70" s="29"/>
      <c r="C70" s="29"/>
      <c r="D70" s="29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100"/>
      <c r="IP70" s="100"/>
      <c r="IQ70" s="100"/>
      <c r="IR70" s="100"/>
      <c r="IS70" s="100"/>
      <c r="IT70" s="100"/>
      <c r="IU70" s="100"/>
      <c r="IV70" s="100"/>
    </row>
    <row r="71" spans="1:1506" ht="20.100000000000001" customHeight="1" x14ac:dyDescent="0.2">
      <c r="A71" s="100"/>
      <c r="B71" s="29"/>
      <c r="C71" s="152" t="s">
        <v>72</v>
      </c>
      <c r="D71" s="152"/>
      <c r="E71" s="152"/>
      <c r="F71" s="152"/>
      <c r="G71" s="152"/>
      <c r="H71" s="152"/>
      <c r="I71" s="152"/>
      <c r="J71" s="152"/>
      <c r="K71" s="152"/>
      <c r="L71" s="152"/>
      <c r="M71" s="152"/>
      <c r="N71" s="152"/>
      <c r="O71" s="152"/>
      <c r="P71" s="152"/>
      <c r="Q71" s="152"/>
      <c r="R71" s="152"/>
      <c r="S71" s="152"/>
      <c r="T71" s="152"/>
      <c r="U71" s="152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100"/>
      <c r="IP71" s="100"/>
      <c r="IQ71" s="100"/>
      <c r="IR71" s="100"/>
      <c r="IS71" s="100"/>
      <c r="IT71" s="100"/>
      <c r="IU71" s="100"/>
      <c r="IV71" s="100"/>
    </row>
    <row r="72" spans="1:1506" ht="20.100000000000001" customHeight="1" x14ac:dyDescent="0.2">
      <c r="A72" s="100"/>
      <c r="B72" s="29"/>
      <c r="C72" s="153" t="s">
        <v>73</v>
      </c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36">
        <f>C57</f>
        <v>6896.142055555556</v>
      </c>
      <c r="W72" s="136"/>
      <c r="X72" s="136"/>
      <c r="Y72" s="136"/>
      <c r="Z72" s="136"/>
      <c r="AA72" s="136"/>
      <c r="AB72" s="136"/>
      <c r="AC72" s="136"/>
      <c r="AD72" s="136"/>
      <c r="AE72" s="136"/>
      <c r="AF72" s="136"/>
      <c r="AG72" s="136"/>
      <c r="AH72" s="136"/>
      <c r="AI72" s="136"/>
      <c r="AJ72" s="136"/>
      <c r="AK72" s="136"/>
      <c r="AL72" s="137"/>
      <c r="AM72" s="33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100"/>
      <c r="IP72" s="100"/>
      <c r="IQ72" s="100"/>
      <c r="IR72" s="100"/>
      <c r="IS72" s="100"/>
      <c r="IT72" s="100"/>
      <c r="IU72" s="100"/>
      <c r="IV72" s="100"/>
    </row>
    <row r="73" spans="1:1506" ht="20.100000000000001" customHeight="1" x14ac:dyDescent="0.2">
      <c r="A73" s="100"/>
      <c r="B73" s="29"/>
      <c r="C73" s="159" t="s">
        <v>74</v>
      </c>
      <c r="D73" s="160"/>
      <c r="E73" s="160"/>
      <c r="F73" s="160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1">
        <f>C61</f>
        <v>503.33333333333337</v>
      </c>
      <c r="W73" s="161"/>
      <c r="X73" s="161"/>
      <c r="Y73" s="161"/>
      <c r="Z73" s="161"/>
      <c r="AA73" s="161"/>
      <c r="AB73" s="161"/>
      <c r="AC73" s="161"/>
      <c r="AD73" s="161"/>
      <c r="AE73" s="161"/>
      <c r="AF73" s="161"/>
      <c r="AG73" s="161"/>
      <c r="AH73" s="161"/>
      <c r="AI73" s="161"/>
      <c r="AJ73" s="161"/>
      <c r="AK73" s="161"/>
      <c r="AL73" s="162"/>
      <c r="AM73" s="33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100"/>
      <c r="IP73" s="100"/>
      <c r="IQ73" s="100"/>
      <c r="IR73" s="100"/>
      <c r="IS73" s="100"/>
      <c r="IT73" s="100"/>
      <c r="IU73" s="100"/>
      <c r="IV73" s="100"/>
    </row>
    <row r="74" spans="1:1506" ht="20.100000000000001" customHeight="1" x14ac:dyDescent="0.2">
      <c r="A74" s="100"/>
      <c r="B74" s="29"/>
      <c r="C74" s="163" t="s">
        <v>75</v>
      </c>
      <c r="D74" s="164"/>
      <c r="E74" s="164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5">
        <f>RESCISÃO!L41</f>
        <v>0</v>
      </c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  <c r="AG74" s="165"/>
      <c r="AH74" s="165"/>
      <c r="AI74" s="165"/>
      <c r="AJ74" s="165"/>
      <c r="AK74" s="165"/>
      <c r="AL74" s="166"/>
      <c r="AM74" s="33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100"/>
      <c r="IP74" s="100"/>
      <c r="IQ74" s="100"/>
      <c r="IR74" s="100"/>
      <c r="IS74" s="100"/>
      <c r="IT74" s="100"/>
      <c r="IU74" s="100"/>
      <c r="IV74" s="100"/>
    </row>
    <row r="75" spans="1:1506" ht="20.100000000000001" customHeight="1" x14ac:dyDescent="0.2">
      <c r="A75" s="100"/>
      <c r="B75" s="29"/>
      <c r="C75" s="155" t="s">
        <v>76</v>
      </c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  <c r="V75" s="157">
        <f>V69</f>
        <v>7362.0439999999999</v>
      </c>
      <c r="W75" s="157"/>
      <c r="X75" s="157"/>
      <c r="Y75" s="157"/>
      <c r="Z75" s="157"/>
      <c r="AA75" s="157"/>
      <c r="AB75" s="157"/>
      <c r="AC75" s="157"/>
      <c r="AD75" s="157"/>
      <c r="AE75" s="157"/>
      <c r="AF75" s="157"/>
      <c r="AG75" s="157"/>
      <c r="AH75" s="157"/>
      <c r="AI75" s="157"/>
      <c r="AJ75" s="157"/>
      <c r="AK75" s="157"/>
      <c r="AL75" s="158"/>
      <c r="AM75" s="33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100"/>
      <c r="IP75" s="100"/>
      <c r="IQ75" s="100"/>
      <c r="IR75" s="100"/>
      <c r="IS75" s="100"/>
      <c r="IT75" s="100"/>
      <c r="IU75" s="100"/>
      <c r="IV75" s="100"/>
    </row>
    <row r="76" spans="1:1506" ht="20.100000000000001" customHeight="1" x14ac:dyDescent="0.2">
      <c r="A76" s="100"/>
      <c r="B76" s="29"/>
      <c r="C76" s="131" t="s">
        <v>77</v>
      </c>
      <c r="D76" s="132"/>
      <c r="E76" s="132"/>
      <c r="F76" s="132"/>
      <c r="G76" s="132"/>
      <c r="H76" s="132"/>
      <c r="I76" s="132"/>
      <c r="J76" s="132"/>
      <c r="K76" s="132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V76" s="150">
        <f>SUM(V72:AL75)</f>
        <v>14761.51938888889</v>
      </c>
      <c r="W76" s="150"/>
      <c r="X76" s="150"/>
      <c r="Y76" s="150"/>
      <c r="Z76" s="150"/>
      <c r="AA76" s="150"/>
      <c r="AB76" s="150"/>
      <c r="AC76" s="150"/>
      <c r="AD76" s="150"/>
      <c r="AE76" s="150"/>
      <c r="AF76" s="150"/>
      <c r="AG76" s="150"/>
      <c r="AH76" s="150"/>
      <c r="AI76" s="150"/>
      <c r="AJ76" s="150"/>
      <c r="AK76" s="150"/>
      <c r="AL76" s="151"/>
      <c r="AM76" s="45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100"/>
      <c r="IP76" s="100"/>
      <c r="IQ76" s="100"/>
      <c r="IR76" s="100"/>
      <c r="IS76" s="100"/>
      <c r="IT76" s="100"/>
      <c r="IU76" s="100"/>
      <c r="IV76" s="100"/>
    </row>
    <row r="77" spans="1:1506" ht="9.9499999999999993" customHeight="1" x14ac:dyDescent="0.2">
      <c r="A77" s="100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100"/>
      <c r="IP77" s="100"/>
      <c r="IQ77" s="100"/>
      <c r="IR77" s="100"/>
      <c r="IS77" s="100"/>
      <c r="IT77" s="100"/>
      <c r="IU77" s="100"/>
      <c r="IV77" s="100"/>
    </row>
    <row r="78" spans="1:1506" s="48" customFormat="1" ht="9.9499999999999993" customHeight="1" x14ac:dyDescent="0.2">
      <c r="A78" s="100"/>
      <c r="B78" s="100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0"/>
      <c r="AF78" s="100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  <c r="AY78" s="100"/>
      <c r="AZ78" s="100"/>
      <c r="BA78" s="100"/>
      <c r="BB78" s="100"/>
      <c r="BC78" s="100"/>
      <c r="BD78" s="100"/>
      <c r="BE78" s="100"/>
      <c r="BF78" s="100"/>
      <c r="BG78" s="100"/>
      <c r="BH78" s="100"/>
      <c r="BI78" s="100"/>
      <c r="BJ78" s="100"/>
      <c r="BK78" s="100"/>
      <c r="BL78" s="100"/>
      <c r="BM78" s="100"/>
      <c r="BN78" s="100"/>
      <c r="BO78" s="100"/>
      <c r="BP78" s="100"/>
      <c r="BQ78" s="100"/>
      <c r="BR78" s="100"/>
      <c r="BS78" s="100"/>
      <c r="BT78" s="100"/>
      <c r="BU78" s="100"/>
      <c r="BV78" s="100"/>
      <c r="BW78" s="100"/>
      <c r="BX78" s="100"/>
      <c r="BY78" s="100"/>
      <c r="BZ78" s="100"/>
      <c r="CA78" s="100"/>
      <c r="CB78" s="100"/>
      <c r="CC78" s="100"/>
      <c r="CD78" s="100"/>
      <c r="CE78" s="100"/>
      <c r="CF78" s="100"/>
      <c r="CG78" s="100"/>
      <c r="CH78" s="100"/>
      <c r="CI78" s="100"/>
      <c r="CJ78" s="100"/>
      <c r="CK78" s="100"/>
      <c r="CL78" s="100"/>
      <c r="CM78" s="100"/>
      <c r="CN78" s="100"/>
      <c r="CO78" s="100"/>
      <c r="CP78" s="100"/>
      <c r="CQ78" s="100"/>
      <c r="CR78" s="100"/>
      <c r="CS78" s="100"/>
      <c r="CT78" s="100"/>
      <c r="CU78" s="100"/>
      <c r="CV78" s="100"/>
      <c r="CW78" s="100"/>
      <c r="CX78" s="100"/>
      <c r="CY78" s="100"/>
      <c r="CZ78" s="100"/>
      <c r="DA78" s="100"/>
      <c r="DB78" s="100"/>
      <c r="DC78" s="100"/>
      <c r="DD78" s="100"/>
      <c r="DE78" s="100"/>
      <c r="DF78" s="100"/>
      <c r="DG78" s="100"/>
      <c r="DH78" s="100"/>
      <c r="DI78" s="100"/>
      <c r="DJ78" s="100"/>
      <c r="DK78" s="100"/>
      <c r="DL78" s="100"/>
      <c r="DM78" s="100"/>
      <c r="DN78" s="100"/>
      <c r="DO78" s="100"/>
      <c r="DP78" s="100"/>
      <c r="DQ78" s="100"/>
      <c r="DR78" s="100"/>
      <c r="DS78" s="100"/>
      <c r="DT78" s="100"/>
      <c r="DU78" s="100"/>
      <c r="DV78" s="100"/>
      <c r="DW78" s="100"/>
      <c r="DX78" s="100"/>
      <c r="DY78" s="100"/>
      <c r="DZ78" s="100"/>
      <c r="EA78" s="100"/>
      <c r="EB78" s="100"/>
      <c r="EC78" s="100"/>
      <c r="ED78" s="100"/>
      <c r="EE78" s="100"/>
      <c r="EF78" s="100"/>
      <c r="EG78" s="100"/>
      <c r="EH78" s="100"/>
      <c r="EI78" s="100"/>
      <c r="EJ78" s="100"/>
      <c r="EK78" s="100"/>
      <c r="EL78" s="100"/>
      <c r="EM78" s="100"/>
      <c r="EN78" s="100"/>
      <c r="EO78" s="100"/>
      <c r="EP78" s="100"/>
      <c r="EQ78" s="100"/>
      <c r="ER78" s="100"/>
      <c r="ES78" s="100"/>
      <c r="ET78" s="100"/>
      <c r="EU78" s="100"/>
      <c r="EV78" s="100"/>
      <c r="EW78" s="100"/>
      <c r="EX78" s="100"/>
      <c r="EY78" s="100"/>
      <c r="EZ78" s="100"/>
      <c r="FA78" s="100"/>
      <c r="FB78" s="100"/>
      <c r="FC78" s="100"/>
      <c r="FD78" s="100"/>
      <c r="FE78" s="100"/>
      <c r="FF78" s="100"/>
      <c r="FG78" s="100"/>
      <c r="FH78" s="100"/>
      <c r="FI78" s="100"/>
      <c r="FJ78" s="100"/>
      <c r="FK78" s="100"/>
      <c r="FL78" s="100"/>
      <c r="FM78" s="100"/>
      <c r="FN78" s="100"/>
      <c r="FO78" s="100"/>
      <c r="FP78" s="100"/>
      <c r="FQ78" s="100"/>
      <c r="FR78" s="100"/>
      <c r="FS78" s="100"/>
      <c r="FT78" s="100"/>
      <c r="FU78" s="100"/>
      <c r="FV78" s="100"/>
      <c r="FW78" s="100"/>
      <c r="FX78" s="100"/>
      <c r="FY78" s="100"/>
      <c r="FZ78" s="100"/>
      <c r="GA78" s="100"/>
      <c r="GB78" s="100"/>
      <c r="GC78" s="100"/>
      <c r="GD78" s="100"/>
      <c r="GE78" s="100"/>
      <c r="GF78" s="100"/>
      <c r="GG78" s="100"/>
      <c r="GH78" s="100"/>
      <c r="GI78" s="100"/>
      <c r="GJ78" s="100"/>
      <c r="GK78" s="100"/>
      <c r="GL78" s="100"/>
      <c r="GM78" s="100"/>
      <c r="GN78" s="100"/>
      <c r="GO78" s="100"/>
      <c r="GP78" s="100"/>
      <c r="GQ78" s="100"/>
      <c r="GR78" s="100"/>
      <c r="GS78" s="100"/>
      <c r="GT78" s="100"/>
      <c r="GU78" s="100"/>
      <c r="GV78" s="100"/>
      <c r="GW78" s="100"/>
      <c r="GX78" s="100"/>
      <c r="GY78" s="100"/>
      <c r="GZ78" s="100"/>
      <c r="HA78" s="100"/>
      <c r="HB78" s="100"/>
      <c r="HC78" s="100"/>
      <c r="HD78" s="100"/>
      <c r="HE78" s="100"/>
      <c r="HF78" s="100"/>
      <c r="HG78" s="100"/>
      <c r="HH78" s="100"/>
      <c r="HI78" s="100"/>
      <c r="HJ78" s="100"/>
      <c r="HK78" s="100"/>
      <c r="HL78" s="100"/>
      <c r="HM78" s="100"/>
      <c r="HN78" s="100"/>
      <c r="HO78" s="100"/>
      <c r="HP78" s="100"/>
      <c r="HQ78" s="100"/>
      <c r="HR78" s="100"/>
      <c r="HS78" s="100"/>
      <c r="HT78" s="100"/>
      <c r="HU78" s="100"/>
      <c r="HV78" s="100"/>
      <c r="HW78" s="100"/>
      <c r="HX78" s="100"/>
      <c r="HY78" s="100"/>
      <c r="HZ78" s="100"/>
      <c r="IA78" s="100"/>
      <c r="IB78" s="100"/>
      <c r="IC78" s="100"/>
      <c r="ID78" s="100"/>
      <c r="IE78" s="100"/>
      <c r="IF78" s="100"/>
      <c r="IG78" s="100"/>
      <c r="IH78" s="100"/>
      <c r="II78" s="100"/>
      <c r="IJ78" s="100"/>
      <c r="IK78" s="100"/>
      <c r="IL78" s="100"/>
      <c r="IM78" s="100"/>
      <c r="IN78" s="100"/>
      <c r="IO78" s="100"/>
      <c r="IP78" s="100"/>
      <c r="IQ78" s="100"/>
      <c r="IR78" s="100"/>
      <c r="IS78" s="100"/>
      <c r="IT78" s="100"/>
      <c r="IU78" s="100"/>
      <c r="IV78" s="100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  <c r="AAA78" s="2"/>
      <c r="AAB78" s="2"/>
      <c r="AAC78" s="2"/>
      <c r="AAD78" s="2"/>
      <c r="AAE78" s="2"/>
      <c r="AAF78" s="2"/>
      <c r="AAG78" s="2"/>
      <c r="AAH78" s="2"/>
      <c r="AAI78" s="2"/>
      <c r="AAJ78" s="2"/>
      <c r="AAK78" s="2"/>
      <c r="AAL78" s="2"/>
      <c r="AAM78" s="2"/>
      <c r="AAN78" s="2"/>
      <c r="AAO78" s="2"/>
      <c r="AAP78" s="2"/>
      <c r="AAQ78" s="2"/>
      <c r="AAR78" s="2"/>
      <c r="AAS78" s="2"/>
      <c r="AAT78" s="2"/>
      <c r="AAU78" s="2"/>
      <c r="AAV78" s="2"/>
      <c r="AAW78" s="2"/>
      <c r="AAX78" s="2"/>
      <c r="AAY78" s="2"/>
      <c r="AAZ78" s="2"/>
      <c r="ABA78" s="2"/>
      <c r="ABB78" s="2"/>
      <c r="ABC78" s="2"/>
      <c r="ABD78" s="2"/>
      <c r="ABE78" s="2"/>
      <c r="ABF78" s="2"/>
      <c r="ABG78" s="2"/>
      <c r="ABH78" s="2"/>
      <c r="ABI78" s="2"/>
      <c r="ABJ78" s="2"/>
      <c r="ABK78" s="2"/>
      <c r="ABL78" s="2"/>
      <c r="ABM78" s="2"/>
      <c r="ABN78" s="2"/>
      <c r="ABO78" s="2"/>
      <c r="ABP78" s="2"/>
      <c r="ABQ78" s="2"/>
      <c r="ABR78" s="2"/>
      <c r="ABS78" s="2"/>
      <c r="ABT78" s="2"/>
      <c r="ABU78" s="2"/>
      <c r="ABV78" s="2"/>
      <c r="ABW78" s="2"/>
      <c r="ABX78" s="2"/>
      <c r="ABY78" s="2"/>
      <c r="ABZ78" s="2"/>
      <c r="ACA78" s="2"/>
      <c r="ACB78" s="2"/>
      <c r="ACC78" s="2"/>
      <c r="ACD78" s="2"/>
      <c r="ACE78" s="2"/>
      <c r="ACF78" s="2"/>
      <c r="ACG78" s="2"/>
      <c r="ACH78" s="2"/>
      <c r="ACI78" s="2"/>
      <c r="ACJ78" s="2"/>
      <c r="ACK78" s="2"/>
      <c r="ACL78" s="2"/>
      <c r="ACM78" s="2"/>
      <c r="ACN78" s="2"/>
      <c r="ACO78" s="2"/>
      <c r="ACP78" s="2"/>
      <c r="ACQ78" s="2"/>
      <c r="ACR78" s="2"/>
      <c r="ACS78" s="2"/>
      <c r="ACT78" s="2"/>
      <c r="ACU78" s="2"/>
      <c r="ACV78" s="2"/>
      <c r="ACW78" s="2"/>
      <c r="ACX78" s="2"/>
      <c r="ACY78" s="2"/>
      <c r="ACZ78" s="2"/>
      <c r="ADA78" s="2"/>
      <c r="ADB78" s="2"/>
      <c r="ADC78" s="2"/>
      <c r="ADD78" s="2"/>
      <c r="ADE78" s="2"/>
      <c r="ADF78" s="2"/>
      <c r="ADG78" s="2"/>
      <c r="ADH78" s="2"/>
      <c r="ADI78" s="2"/>
      <c r="ADJ78" s="2"/>
      <c r="ADK78" s="2"/>
      <c r="ADL78" s="2"/>
      <c r="ADM78" s="2"/>
      <c r="ADN78" s="2"/>
      <c r="ADO78" s="2"/>
      <c r="ADP78" s="2"/>
      <c r="ADQ78" s="2"/>
      <c r="ADR78" s="2"/>
      <c r="ADS78" s="2"/>
      <c r="ADT78" s="2"/>
      <c r="ADU78" s="2"/>
      <c r="ADV78" s="2"/>
      <c r="ADW78" s="2"/>
      <c r="ADX78" s="2"/>
      <c r="ADY78" s="2"/>
      <c r="ADZ78" s="2"/>
      <c r="AEA78" s="2"/>
      <c r="AEB78" s="2"/>
      <c r="AEC78" s="2"/>
      <c r="AED78" s="2"/>
      <c r="AEE78" s="2"/>
      <c r="AEF78" s="2"/>
      <c r="AEG78" s="2"/>
      <c r="AEH78" s="2"/>
      <c r="AEI78" s="2"/>
      <c r="AEJ78" s="2"/>
      <c r="AEK78" s="2"/>
      <c r="AEL78" s="2"/>
      <c r="AEM78" s="2"/>
      <c r="AEN78" s="2"/>
      <c r="AEO78" s="2"/>
      <c r="AEP78" s="2"/>
      <c r="AEQ78" s="2"/>
      <c r="AER78" s="2"/>
      <c r="AES78" s="2"/>
      <c r="AET78" s="2"/>
      <c r="AEU78" s="2"/>
      <c r="AEV78" s="2"/>
      <c r="AEW78" s="2"/>
      <c r="AEX78" s="2"/>
      <c r="AEY78" s="2"/>
      <c r="AEZ78" s="2"/>
      <c r="AFA78" s="2"/>
      <c r="AFB78" s="2"/>
      <c r="AFC78" s="2"/>
      <c r="AFD78" s="2"/>
      <c r="AFE78" s="2"/>
      <c r="AFF78" s="2"/>
      <c r="AFG78" s="2"/>
      <c r="AFH78" s="2"/>
      <c r="AFI78" s="2"/>
      <c r="AFJ78" s="2"/>
      <c r="AFK78" s="2"/>
      <c r="AFL78" s="2"/>
      <c r="AFM78" s="2"/>
      <c r="AFN78" s="2"/>
      <c r="AFO78" s="2"/>
      <c r="AFP78" s="2"/>
      <c r="AFQ78" s="2"/>
      <c r="AFR78" s="2"/>
      <c r="AFS78" s="2"/>
      <c r="AFT78" s="2"/>
      <c r="AFU78" s="2"/>
      <c r="AFV78" s="2"/>
      <c r="AFW78" s="2"/>
      <c r="AFX78" s="2"/>
      <c r="AFY78" s="2"/>
      <c r="AFZ78" s="2"/>
      <c r="AGA78" s="2"/>
      <c r="AGB78" s="2"/>
      <c r="AGC78" s="2"/>
      <c r="AGD78" s="2"/>
      <c r="AGE78" s="2"/>
      <c r="AGF78" s="2"/>
      <c r="AGG78" s="2"/>
      <c r="AGH78" s="2"/>
      <c r="AGI78" s="2"/>
      <c r="AGJ78" s="2"/>
      <c r="AGK78" s="2"/>
      <c r="AGL78" s="2"/>
      <c r="AGM78" s="2"/>
      <c r="AGN78" s="2"/>
      <c r="AGO78" s="2"/>
      <c r="AGP78" s="2"/>
      <c r="AGQ78" s="2"/>
      <c r="AGR78" s="2"/>
      <c r="AGS78" s="2"/>
      <c r="AGT78" s="2"/>
      <c r="AGU78" s="2"/>
      <c r="AGV78" s="2"/>
      <c r="AGW78" s="2"/>
      <c r="AGX78" s="2"/>
      <c r="AGY78" s="2"/>
      <c r="AGZ78" s="2"/>
      <c r="AHA78" s="2"/>
      <c r="AHB78" s="2"/>
      <c r="AHC78" s="2"/>
      <c r="AHD78" s="2"/>
      <c r="AHE78" s="2"/>
      <c r="AHF78" s="2"/>
      <c r="AHG78" s="2"/>
      <c r="AHH78" s="2"/>
      <c r="AHI78" s="2"/>
      <c r="AHJ78" s="2"/>
      <c r="AHK78" s="2"/>
      <c r="AHL78" s="2"/>
      <c r="AHM78" s="2"/>
      <c r="AHN78" s="2"/>
      <c r="AHO78" s="2"/>
      <c r="AHP78" s="2"/>
      <c r="AHQ78" s="2"/>
      <c r="AHR78" s="2"/>
      <c r="AHS78" s="2"/>
      <c r="AHT78" s="2"/>
      <c r="AHU78" s="2"/>
      <c r="AHV78" s="2"/>
      <c r="AHW78" s="2"/>
      <c r="AHX78" s="2"/>
      <c r="AHY78" s="2"/>
      <c r="AHZ78" s="2"/>
      <c r="AIA78" s="2"/>
      <c r="AIB78" s="2"/>
      <c r="AIC78" s="2"/>
      <c r="AID78" s="2"/>
      <c r="AIE78" s="2"/>
      <c r="AIF78" s="2"/>
      <c r="AIG78" s="2"/>
      <c r="AIH78" s="2"/>
      <c r="AII78" s="2"/>
      <c r="AIJ78" s="2"/>
      <c r="AIK78" s="2"/>
      <c r="AIL78" s="2"/>
      <c r="AIM78" s="2"/>
      <c r="AIN78" s="2"/>
      <c r="AIO78" s="2"/>
      <c r="AIP78" s="2"/>
      <c r="AIQ78" s="2"/>
      <c r="AIR78" s="2"/>
      <c r="AIS78" s="2"/>
      <c r="AIT78" s="2"/>
      <c r="AIU78" s="2"/>
      <c r="AIV78" s="2"/>
      <c r="AIW78" s="2"/>
      <c r="AIX78" s="2"/>
      <c r="AIY78" s="2"/>
      <c r="AIZ78" s="2"/>
      <c r="AJA78" s="2"/>
      <c r="AJB78" s="2"/>
      <c r="AJC78" s="2"/>
      <c r="AJD78" s="2"/>
      <c r="AJE78" s="2"/>
      <c r="AJF78" s="2"/>
      <c r="AJG78" s="2"/>
      <c r="AJH78" s="2"/>
      <c r="AJI78" s="2"/>
      <c r="AJJ78" s="2"/>
      <c r="AJK78" s="2"/>
      <c r="AJL78" s="2"/>
      <c r="AJM78" s="2"/>
      <c r="AJN78" s="2"/>
      <c r="AJO78" s="2"/>
      <c r="AJP78" s="2"/>
      <c r="AJQ78" s="2"/>
      <c r="AJR78" s="2"/>
      <c r="AJS78" s="2"/>
      <c r="AJT78" s="2"/>
      <c r="AJU78" s="2"/>
      <c r="AJV78" s="2"/>
      <c r="AJW78" s="2"/>
      <c r="AJX78" s="2"/>
      <c r="AJY78" s="2"/>
      <c r="AJZ78" s="2"/>
      <c r="AKA78" s="2"/>
      <c r="AKB78" s="2"/>
      <c r="AKC78" s="2"/>
      <c r="AKD78" s="2"/>
      <c r="AKE78" s="2"/>
      <c r="AKF78" s="2"/>
      <c r="AKG78" s="2"/>
      <c r="AKH78" s="2"/>
      <c r="AKI78" s="2"/>
      <c r="AKJ78" s="2"/>
      <c r="AKK78" s="2"/>
      <c r="AKL78" s="2"/>
      <c r="AKM78" s="2"/>
      <c r="AKN78" s="2"/>
      <c r="AKO78" s="2"/>
      <c r="AKP78" s="2"/>
      <c r="AKQ78" s="2"/>
      <c r="AKR78" s="2"/>
      <c r="AKS78" s="2"/>
      <c r="AKT78" s="2"/>
      <c r="AKU78" s="2"/>
      <c r="AKV78" s="2"/>
      <c r="AKW78" s="2"/>
      <c r="AKX78" s="2"/>
      <c r="AKY78" s="2"/>
      <c r="AKZ78" s="2"/>
      <c r="ALA78" s="2"/>
      <c r="ALB78" s="2"/>
      <c r="ALC78" s="2"/>
      <c r="ALD78" s="2"/>
      <c r="ALE78" s="2"/>
      <c r="ALF78" s="2"/>
      <c r="ALG78" s="2"/>
      <c r="ALH78" s="2"/>
      <c r="ALI78" s="2"/>
      <c r="ALJ78" s="2"/>
      <c r="ALK78" s="2"/>
      <c r="ALL78" s="2"/>
      <c r="ALM78" s="2"/>
      <c r="ALN78" s="2"/>
      <c r="ALO78" s="2"/>
      <c r="ALP78" s="2"/>
      <c r="ALQ78" s="2"/>
      <c r="ALR78" s="2"/>
      <c r="ALS78" s="2"/>
      <c r="ALT78" s="2"/>
      <c r="ALU78" s="2"/>
      <c r="ALV78" s="2"/>
      <c r="ALW78" s="2"/>
      <c r="ALX78" s="2"/>
      <c r="ALY78" s="2"/>
      <c r="ALZ78" s="2"/>
      <c r="AMA78" s="2"/>
      <c r="AMB78" s="2"/>
      <c r="AMC78" s="2"/>
      <c r="AMD78" s="2"/>
      <c r="AME78" s="2"/>
      <c r="AMF78" s="2"/>
      <c r="AMG78" s="2"/>
      <c r="AMH78" s="2"/>
      <c r="AMI78" s="2"/>
      <c r="AMJ78" s="2"/>
      <c r="AMK78" s="2"/>
      <c r="AML78" s="2"/>
      <c r="AMM78" s="2"/>
      <c r="AMN78" s="2"/>
      <c r="AMO78" s="2"/>
      <c r="AMP78" s="2"/>
      <c r="AMQ78" s="2"/>
      <c r="AMR78" s="2"/>
      <c r="AMS78" s="2"/>
      <c r="AMT78" s="2"/>
      <c r="AMU78" s="2"/>
      <c r="AMV78" s="2"/>
      <c r="AMW78" s="2"/>
      <c r="AMX78" s="2"/>
      <c r="AMY78" s="2"/>
      <c r="AMZ78" s="2"/>
      <c r="ANA78" s="2"/>
      <c r="ANB78" s="2"/>
      <c r="ANC78" s="2"/>
      <c r="AND78" s="2"/>
      <c r="ANE78" s="2"/>
      <c r="ANF78" s="2"/>
      <c r="ANG78" s="2"/>
      <c r="ANH78" s="2"/>
      <c r="ANI78" s="2"/>
      <c r="ANJ78" s="2"/>
      <c r="ANK78" s="2"/>
      <c r="ANL78" s="2"/>
      <c r="ANM78" s="2"/>
      <c r="ANN78" s="2"/>
      <c r="ANO78" s="2"/>
      <c r="ANP78" s="2"/>
      <c r="ANQ78" s="2"/>
      <c r="ANR78" s="2"/>
      <c r="ANS78" s="2"/>
      <c r="ANT78" s="2"/>
      <c r="ANU78" s="2"/>
      <c r="ANV78" s="2"/>
      <c r="ANW78" s="2"/>
      <c r="ANX78" s="2"/>
      <c r="ANY78" s="2"/>
      <c r="ANZ78" s="2"/>
      <c r="AOA78" s="2"/>
      <c r="AOB78" s="2"/>
      <c r="AOC78" s="2"/>
      <c r="AOD78" s="2"/>
      <c r="AOE78" s="2"/>
      <c r="AOF78" s="2"/>
      <c r="AOG78" s="2"/>
      <c r="AOH78" s="2"/>
      <c r="AOI78" s="2"/>
      <c r="AOJ78" s="2"/>
      <c r="AOK78" s="2"/>
      <c r="AOL78" s="2"/>
      <c r="AOM78" s="2"/>
      <c r="AON78" s="2"/>
      <c r="AOO78" s="2"/>
      <c r="AOP78" s="2"/>
      <c r="AOQ78" s="2"/>
      <c r="AOR78" s="2"/>
      <c r="AOS78" s="2"/>
      <c r="AOT78" s="2"/>
      <c r="AOU78" s="2"/>
      <c r="AOV78" s="2"/>
      <c r="AOW78" s="2"/>
      <c r="AOX78" s="2"/>
      <c r="AOY78" s="2"/>
      <c r="AOZ78" s="2"/>
      <c r="APA78" s="2"/>
      <c r="APB78" s="2"/>
      <c r="APC78" s="2"/>
      <c r="APD78" s="2"/>
      <c r="APE78" s="2"/>
      <c r="APF78" s="2"/>
      <c r="APG78" s="2"/>
      <c r="APH78" s="2"/>
      <c r="API78" s="2"/>
      <c r="APJ78" s="2"/>
      <c r="APK78" s="2"/>
      <c r="APL78" s="2"/>
      <c r="APM78" s="2"/>
      <c r="APN78" s="2"/>
      <c r="APO78" s="2"/>
      <c r="APP78" s="2"/>
      <c r="APQ78" s="2"/>
      <c r="APR78" s="2"/>
      <c r="APS78" s="2"/>
      <c r="APT78" s="2"/>
      <c r="APU78" s="2"/>
      <c r="APV78" s="2"/>
      <c r="APW78" s="2"/>
      <c r="APX78" s="2"/>
      <c r="APY78" s="2"/>
      <c r="APZ78" s="2"/>
      <c r="AQA78" s="2"/>
      <c r="AQB78" s="2"/>
      <c r="AQC78" s="2"/>
      <c r="AQD78" s="2"/>
      <c r="AQE78" s="2"/>
      <c r="AQF78" s="2"/>
      <c r="AQG78" s="2"/>
      <c r="AQH78" s="2"/>
      <c r="AQI78" s="2"/>
      <c r="AQJ78" s="2"/>
      <c r="AQK78" s="2"/>
      <c r="AQL78" s="2"/>
      <c r="AQM78" s="2"/>
      <c r="AQN78" s="2"/>
      <c r="AQO78" s="2"/>
      <c r="AQP78" s="2"/>
      <c r="AQQ78" s="2"/>
      <c r="AQR78" s="2"/>
      <c r="AQS78" s="2"/>
      <c r="AQT78" s="2"/>
      <c r="AQU78" s="2"/>
      <c r="AQV78" s="2"/>
      <c r="AQW78" s="2"/>
      <c r="AQX78" s="2"/>
      <c r="AQY78" s="2"/>
      <c r="AQZ78" s="2"/>
      <c r="ARA78" s="2"/>
      <c r="ARB78" s="2"/>
      <c r="ARC78" s="2"/>
      <c r="ARD78" s="2"/>
      <c r="ARE78" s="2"/>
      <c r="ARF78" s="2"/>
      <c r="ARG78" s="2"/>
      <c r="ARH78" s="2"/>
      <c r="ARI78" s="2"/>
      <c r="ARJ78" s="2"/>
      <c r="ARK78" s="2"/>
      <c r="ARL78" s="2"/>
      <c r="ARM78" s="2"/>
      <c r="ARN78" s="2"/>
      <c r="ARO78" s="2"/>
      <c r="ARP78" s="2"/>
      <c r="ARQ78" s="2"/>
      <c r="ARR78" s="2"/>
      <c r="ARS78" s="2"/>
      <c r="ART78" s="2"/>
      <c r="ARU78" s="2"/>
      <c r="ARV78" s="2"/>
      <c r="ARW78" s="2"/>
      <c r="ARX78" s="2"/>
      <c r="ARY78" s="2"/>
      <c r="ARZ78" s="2"/>
      <c r="ASA78" s="2"/>
      <c r="ASB78" s="2"/>
      <c r="ASC78" s="2"/>
      <c r="ASD78" s="2"/>
      <c r="ASE78" s="2"/>
      <c r="ASF78" s="2"/>
      <c r="ASG78" s="2"/>
      <c r="ASH78" s="2"/>
      <c r="ASI78" s="2"/>
      <c r="ASJ78" s="2"/>
      <c r="ASK78" s="2"/>
      <c r="ASL78" s="2"/>
      <c r="ASM78" s="2"/>
      <c r="ASN78" s="2"/>
      <c r="ASO78" s="2"/>
      <c r="ASP78" s="2"/>
      <c r="ASQ78" s="2"/>
      <c r="ASR78" s="2"/>
      <c r="ASS78" s="2"/>
      <c r="AST78" s="2"/>
      <c r="ASU78" s="2"/>
      <c r="ASV78" s="2"/>
      <c r="ASW78" s="2"/>
      <c r="ASX78" s="2"/>
      <c r="ASY78" s="2"/>
      <c r="ASZ78" s="2"/>
      <c r="ATA78" s="2"/>
      <c r="ATB78" s="2"/>
      <c r="ATC78" s="2"/>
      <c r="ATD78" s="2"/>
      <c r="ATE78" s="2"/>
      <c r="ATF78" s="2"/>
      <c r="ATG78" s="2"/>
      <c r="ATH78" s="2"/>
      <c r="ATI78" s="2"/>
      <c r="ATJ78" s="2"/>
      <c r="ATK78" s="2"/>
      <c r="ATL78" s="2"/>
      <c r="ATM78" s="2"/>
      <c r="ATN78" s="2"/>
      <c r="ATO78" s="2"/>
      <c r="ATP78" s="2"/>
      <c r="ATQ78" s="2"/>
      <c r="ATR78" s="2"/>
      <c r="ATS78" s="2"/>
      <c r="ATT78" s="2"/>
      <c r="ATU78" s="2"/>
      <c r="ATV78" s="2"/>
      <c r="ATW78" s="2"/>
      <c r="ATX78" s="2"/>
      <c r="ATY78" s="2"/>
      <c r="ATZ78" s="2"/>
      <c r="AUA78" s="2"/>
      <c r="AUB78" s="2"/>
      <c r="AUC78" s="2"/>
      <c r="AUD78" s="2"/>
      <c r="AUE78" s="2"/>
      <c r="AUF78" s="2"/>
      <c r="AUG78" s="2"/>
      <c r="AUH78" s="2"/>
      <c r="AUI78" s="2"/>
      <c r="AUJ78" s="2"/>
      <c r="AUK78" s="2"/>
      <c r="AUL78" s="2"/>
      <c r="AUM78" s="2"/>
      <c r="AUN78" s="2"/>
      <c r="AUO78" s="2"/>
      <c r="AUP78" s="2"/>
      <c r="AUQ78" s="2"/>
      <c r="AUR78" s="2"/>
      <c r="AUS78" s="2"/>
      <c r="AUT78" s="2"/>
      <c r="AUU78" s="2"/>
      <c r="AUV78" s="2"/>
      <c r="AUW78" s="2"/>
      <c r="AUX78" s="2"/>
      <c r="AUY78" s="2"/>
      <c r="AUZ78" s="2"/>
      <c r="AVA78" s="2"/>
      <c r="AVB78" s="2"/>
      <c r="AVC78" s="2"/>
      <c r="AVD78" s="2"/>
      <c r="AVE78" s="2"/>
      <c r="AVF78" s="2"/>
      <c r="AVG78" s="2"/>
      <c r="AVH78" s="2"/>
      <c r="AVI78" s="2"/>
      <c r="AVJ78" s="2"/>
      <c r="AVK78" s="2"/>
      <c r="AVL78" s="2"/>
      <c r="AVM78" s="2"/>
      <c r="AVN78" s="2"/>
      <c r="AVO78" s="2"/>
      <c r="AVP78" s="2"/>
      <c r="AVQ78" s="2"/>
      <c r="AVR78" s="2"/>
      <c r="AVS78" s="2"/>
      <c r="AVT78" s="2"/>
      <c r="AVU78" s="2"/>
      <c r="AVV78" s="2"/>
      <c r="AVW78" s="2"/>
      <c r="AVX78" s="2"/>
      <c r="AVY78" s="2"/>
      <c r="AVZ78" s="2"/>
      <c r="AWA78" s="2"/>
      <c r="AWB78" s="2"/>
      <c r="AWC78" s="2"/>
      <c r="AWD78" s="2"/>
      <c r="AWE78" s="2"/>
      <c r="AWF78" s="2"/>
      <c r="AWG78" s="2"/>
      <c r="AWH78" s="2"/>
      <c r="AWI78" s="2"/>
      <c r="AWJ78" s="2"/>
      <c r="AWK78" s="2"/>
      <c r="AWL78" s="2"/>
      <c r="AWM78" s="2"/>
      <c r="AWN78" s="2"/>
      <c r="AWO78" s="2"/>
      <c r="AWP78" s="2"/>
      <c r="AWQ78" s="2"/>
      <c r="AWR78" s="2"/>
      <c r="AWS78" s="2"/>
      <c r="AWT78" s="2"/>
      <c r="AWU78" s="2"/>
      <c r="AWV78" s="2"/>
      <c r="AWW78" s="2"/>
      <c r="AWX78" s="2"/>
      <c r="AWY78" s="2"/>
      <c r="AWZ78" s="2"/>
      <c r="AXA78" s="2"/>
      <c r="AXB78" s="2"/>
      <c r="AXC78" s="2"/>
      <c r="AXD78" s="2"/>
      <c r="AXE78" s="2"/>
      <c r="AXF78" s="2"/>
      <c r="AXG78" s="2"/>
      <c r="AXH78" s="2"/>
      <c r="AXI78" s="2"/>
      <c r="AXJ78" s="2"/>
      <c r="AXK78" s="2"/>
      <c r="AXL78" s="2"/>
      <c r="AXM78" s="2"/>
      <c r="AXN78" s="2"/>
      <c r="AXO78" s="2"/>
      <c r="AXP78" s="2"/>
      <c r="AXQ78" s="2"/>
      <c r="AXR78" s="2"/>
      <c r="AXS78" s="2"/>
      <c r="AXT78" s="2"/>
      <c r="AXU78" s="2"/>
      <c r="AXV78" s="2"/>
      <c r="AXW78" s="2"/>
      <c r="AXX78" s="2"/>
      <c r="AXY78" s="2"/>
      <c r="AXZ78" s="2"/>
      <c r="AYA78" s="2"/>
      <c r="AYB78" s="2"/>
      <c r="AYC78" s="2"/>
      <c r="AYD78" s="2"/>
      <c r="AYE78" s="2"/>
      <c r="AYF78" s="2"/>
      <c r="AYG78" s="2"/>
      <c r="AYH78" s="2"/>
      <c r="AYI78" s="2"/>
      <c r="AYJ78" s="2"/>
      <c r="AYK78" s="2"/>
      <c r="AYL78" s="2"/>
      <c r="AYM78" s="2"/>
      <c r="AYN78" s="2"/>
      <c r="AYO78" s="2"/>
      <c r="AYP78" s="2"/>
      <c r="AYQ78" s="2"/>
      <c r="AYR78" s="2"/>
      <c r="AYS78" s="2"/>
      <c r="AYT78" s="2"/>
      <c r="AYU78" s="2"/>
      <c r="AYV78" s="2"/>
      <c r="AYW78" s="2"/>
      <c r="AYX78" s="2"/>
      <c r="AYY78" s="2"/>
      <c r="AYZ78" s="2"/>
      <c r="AZA78" s="2"/>
      <c r="AZB78" s="2"/>
      <c r="AZC78" s="2"/>
      <c r="AZD78" s="2"/>
      <c r="AZE78" s="2"/>
      <c r="AZF78" s="2"/>
      <c r="AZG78" s="2"/>
      <c r="AZH78" s="2"/>
      <c r="AZI78" s="2"/>
      <c r="AZJ78" s="2"/>
      <c r="AZK78" s="2"/>
      <c r="AZL78" s="2"/>
      <c r="AZM78" s="2"/>
      <c r="AZN78" s="2"/>
      <c r="AZO78" s="2"/>
      <c r="AZP78" s="2"/>
      <c r="AZQ78" s="2"/>
      <c r="AZR78" s="2"/>
      <c r="AZS78" s="2"/>
      <c r="AZT78" s="2"/>
      <c r="AZU78" s="2"/>
      <c r="AZV78" s="2"/>
      <c r="AZW78" s="2"/>
      <c r="AZX78" s="2"/>
      <c r="AZY78" s="2"/>
      <c r="AZZ78" s="2"/>
      <c r="BAA78" s="2"/>
      <c r="BAB78" s="2"/>
      <c r="BAC78" s="2"/>
      <c r="BAD78" s="2"/>
      <c r="BAE78" s="2"/>
      <c r="BAF78" s="2"/>
      <c r="BAG78" s="2"/>
      <c r="BAH78" s="2"/>
      <c r="BAI78" s="2"/>
      <c r="BAJ78" s="2"/>
      <c r="BAK78" s="2"/>
      <c r="BAL78" s="2"/>
      <c r="BAM78" s="2"/>
      <c r="BAN78" s="2"/>
      <c r="BAO78" s="2"/>
      <c r="BAP78" s="2"/>
      <c r="BAQ78" s="2"/>
      <c r="BAR78" s="2"/>
      <c r="BAS78" s="2"/>
      <c r="BAT78" s="2"/>
      <c r="BAU78" s="2"/>
      <c r="BAV78" s="2"/>
      <c r="BAW78" s="2"/>
      <c r="BAX78" s="2"/>
      <c r="BAY78" s="2"/>
      <c r="BAZ78" s="2"/>
      <c r="BBA78" s="2"/>
      <c r="BBB78" s="2"/>
      <c r="BBC78" s="2"/>
      <c r="BBD78" s="2"/>
      <c r="BBE78" s="2"/>
      <c r="BBF78" s="2"/>
      <c r="BBG78" s="2"/>
      <c r="BBH78" s="2"/>
      <c r="BBI78" s="2"/>
      <c r="BBJ78" s="2"/>
      <c r="BBK78" s="2"/>
      <c r="BBL78" s="2"/>
      <c r="BBM78" s="2"/>
      <c r="BBN78" s="2"/>
      <c r="BBO78" s="2"/>
      <c r="BBP78" s="2"/>
      <c r="BBQ78" s="2"/>
      <c r="BBR78" s="2"/>
      <c r="BBS78" s="2"/>
      <c r="BBT78" s="2"/>
      <c r="BBU78" s="2"/>
      <c r="BBV78" s="2"/>
      <c r="BBW78" s="2"/>
      <c r="BBX78" s="2"/>
      <c r="BBY78" s="2"/>
      <c r="BBZ78" s="2"/>
      <c r="BCA78" s="2"/>
      <c r="BCB78" s="2"/>
      <c r="BCC78" s="2"/>
      <c r="BCD78" s="2"/>
      <c r="BCE78" s="2"/>
      <c r="BCF78" s="2"/>
      <c r="BCG78" s="2"/>
      <c r="BCH78" s="2"/>
      <c r="BCI78" s="2"/>
      <c r="BCJ78" s="2"/>
      <c r="BCK78" s="2"/>
      <c r="BCL78" s="2"/>
      <c r="BCM78" s="2"/>
      <c r="BCN78" s="2"/>
      <c r="BCO78" s="2"/>
      <c r="BCP78" s="2"/>
      <c r="BCQ78" s="2"/>
      <c r="BCR78" s="2"/>
      <c r="BCS78" s="2"/>
      <c r="BCT78" s="2"/>
      <c r="BCU78" s="2"/>
      <c r="BCV78" s="2"/>
      <c r="BCW78" s="2"/>
      <c r="BCX78" s="2"/>
      <c r="BCY78" s="2"/>
      <c r="BCZ78" s="2"/>
      <c r="BDA78" s="2"/>
      <c r="BDB78" s="2"/>
      <c r="BDC78" s="2"/>
      <c r="BDD78" s="2"/>
      <c r="BDE78" s="2"/>
      <c r="BDF78" s="2"/>
      <c r="BDG78" s="2"/>
      <c r="BDH78" s="2"/>
      <c r="BDI78" s="2"/>
      <c r="BDJ78" s="2"/>
      <c r="BDK78" s="2"/>
      <c r="BDL78" s="2"/>
      <c r="BDM78" s="2"/>
      <c r="BDN78" s="2"/>
      <c r="BDO78" s="2"/>
      <c r="BDP78" s="2"/>
      <c r="BDQ78" s="2"/>
      <c r="BDR78" s="2"/>
      <c r="BDS78" s="2"/>
      <c r="BDT78" s="2"/>
      <c r="BDU78" s="2"/>
      <c r="BDV78" s="2"/>
      <c r="BDW78" s="2"/>
      <c r="BDX78" s="2"/>
      <c r="BDY78" s="2"/>
      <c r="BDZ78" s="2"/>
      <c r="BEA78" s="2"/>
      <c r="BEB78" s="2"/>
      <c r="BEC78" s="2"/>
      <c r="BED78" s="2"/>
      <c r="BEE78" s="2"/>
      <c r="BEF78" s="2"/>
      <c r="BEG78" s="2"/>
      <c r="BEH78" s="2"/>
      <c r="BEI78" s="2"/>
      <c r="BEJ78" s="2"/>
      <c r="BEK78" s="2"/>
      <c r="BEL78" s="2"/>
      <c r="BEM78" s="2"/>
      <c r="BEN78" s="2"/>
      <c r="BEO78" s="2"/>
      <c r="BEP78" s="2"/>
      <c r="BEQ78" s="2"/>
      <c r="BER78" s="2"/>
      <c r="BES78" s="2"/>
      <c r="BET78" s="2"/>
      <c r="BEU78" s="2"/>
      <c r="BEV78" s="2"/>
      <c r="BEW78" s="2"/>
      <c r="BEX78" s="2"/>
    </row>
    <row r="79" spans="1:1506" ht="9.9499999999999993" hidden="1" customHeight="1" x14ac:dyDescent="0.2">
      <c r="G79" s="2">
        <f>IF(F83=1,(G94),(0))</f>
        <v>2500</v>
      </c>
    </row>
    <row r="80" spans="1:1506" ht="20.100000000000001" hidden="1" customHeight="1" x14ac:dyDescent="0.2">
      <c r="F80" s="2">
        <f>IF(F82=1,(1),IF(F82=2,(2),(IF(F82=3,(1)))))</f>
        <v>1</v>
      </c>
      <c r="G80" s="2">
        <f>IF(F83=3,(G94),(0))</f>
        <v>0</v>
      </c>
    </row>
    <row r="81" spans="5:37" ht="20.100000000000001" hidden="1" customHeight="1" x14ac:dyDescent="0.2">
      <c r="P81" s="2">
        <v>1</v>
      </c>
      <c r="Q81" s="2" t="s">
        <v>88</v>
      </c>
      <c r="R81" s="2">
        <v>1</v>
      </c>
      <c r="S81" s="2">
        <v>0</v>
      </c>
      <c r="AF81" s="2">
        <v>1</v>
      </c>
      <c r="AG81" s="2" t="s">
        <v>83</v>
      </c>
    </row>
    <row r="82" spans="5:37" ht="20.100000000000001" hidden="1" customHeight="1" x14ac:dyDescent="0.2">
      <c r="E82" s="2" t="s">
        <v>23</v>
      </c>
      <c r="F82" s="8">
        <v>1</v>
      </c>
      <c r="G82" s="2">
        <v>1</v>
      </c>
      <c r="H82" s="7" t="s">
        <v>29</v>
      </c>
      <c r="P82" s="2">
        <v>2</v>
      </c>
      <c r="Q82" s="2" t="s">
        <v>89</v>
      </c>
      <c r="R82" s="2">
        <v>2</v>
      </c>
      <c r="S82" s="2">
        <v>0</v>
      </c>
      <c r="X82" s="128">
        <f>J18-C18</f>
        <v>485</v>
      </c>
      <c r="Y82" s="128"/>
      <c r="Z82" s="128"/>
      <c r="AF82" s="2">
        <v>2</v>
      </c>
      <c r="AG82" s="2" t="s">
        <v>84</v>
      </c>
    </row>
    <row r="83" spans="5:37" ht="20.100000000000001" hidden="1" customHeight="1" x14ac:dyDescent="0.2">
      <c r="E83" s="2" t="s">
        <v>22</v>
      </c>
      <c r="F83" s="8">
        <v>1</v>
      </c>
      <c r="G83" s="2">
        <v>2</v>
      </c>
      <c r="H83" s="7" t="s">
        <v>59</v>
      </c>
      <c r="P83" s="2">
        <v>3</v>
      </c>
      <c r="Q83" s="2" t="s">
        <v>90</v>
      </c>
      <c r="R83" s="2">
        <v>3</v>
      </c>
      <c r="S83" s="2">
        <v>0</v>
      </c>
      <c r="X83" s="128">
        <f>X82/365</f>
        <v>1.3287671232876712</v>
      </c>
      <c r="Y83" s="128"/>
      <c r="Z83" s="128"/>
      <c r="AF83" s="8">
        <v>1</v>
      </c>
      <c r="AG83" s="265">
        <f>IF(AF83=1,(50%),(40%))</f>
        <v>0.5</v>
      </c>
      <c r="AH83" s="265"/>
      <c r="AI83" s="265"/>
      <c r="AJ83" s="265"/>
      <c r="AK83" s="265"/>
    </row>
    <row r="84" spans="5:37" ht="20.100000000000001" hidden="1" customHeight="1" x14ac:dyDescent="0.2">
      <c r="G84" s="2">
        <v>3</v>
      </c>
      <c r="H84" s="7" t="s">
        <v>58</v>
      </c>
      <c r="P84" s="2">
        <v>4</v>
      </c>
      <c r="Q84" s="2" t="s">
        <v>91</v>
      </c>
      <c r="R84" s="2">
        <v>4</v>
      </c>
      <c r="S84" s="2">
        <v>0</v>
      </c>
      <c r="X84" s="128">
        <f>ROUNDDOWN(X83,0)</f>
        <v>1</v>
      </c>
      <c r="Y84" s="128"/>
      <c r="Z84" s="128"/>
    </row>
    <row r="85" spans="5:37" ht="20.100000000000001" hidden="1" customHeight="1" x14ac:dyDescent="0.2">
      <c r="F85" s="15">
        <f>IF(F83=2,(J18-30),(J18))</f>
        <v>43951</v>
      </c>
      <c r="G85" s="2">
        <v>1</v>
      </c>
      <c r="H85" s="2" t="s">
        <v>24</v>
      </c>
      <c r="P85" s="2">
        <v>5</v>
      </c>
      <c r="Q85" s="2" t="s">
        <v>92</v>
      </c>
      <c r="R85" s="2">
        <v>5</v>
      </c>
      <c r="S85" s="2">
        <v>0</v>
      </c>
      <c r="X85" s="128">
        <f>VALUE(X84)</f>
        <v>1</v>
      </c>
      <c r="Y85" s="128"/>
      <c r="Z85" s="128"/>
    </row>
    <row r="86" spans="5:37" ht="20.100000000000001" hidden="1" customHeight="1" x14ac:dyDescent="0.2">
      <c r="G86" s="2">
        <v>2</v>
      </c>
      <c r="H86" s="2" t="s">
        <v>25</v>
      </c>
      <c r="P86" s="2">
        <v>6</v>
      </c>
      <c r="Q86" s="2" t="s">
        <v>93</v>
      </c>
      <c r="R86" s="2">
        <v>6</v>
      </c>
      <c r="S86" s="2">
        <v>3</v>
      </c>
      <c r="X86" s="128">
        <f>X85*3</f>
        <v>3</v>
      </c>
      <c r="Y86" s="128"/>
      <c r="Z86" s="128"/>
    </row>
    <row r="87" spans="5:37" ht="20.100000000000001" hidden="1" customHeight="1" x14ac:dyDescent="0.2">
      <c r="G87" s="2">
        <v>3</v>
      </c>
      <c r="H87" s="2" t="s">
        <v>79</v>
      </c>
      <c r="P87" s="2">
        <v>7</v>
      </c>
      <c r="Q87" s="2" t="s">
        <v>94</v>
      </c>
      <c r="R87" s="2">
        <v>7</v>
      </c>
      <c r="S87" s="2">
        <v>3</v>
      </c>
      <c r="X87" s="128">
        <f>(Q18/J98)</f>
        <v>83.333333333333329</v>
      </c>
      <c r="Y87" s="128"/>
      <c r="Z87" s="128"/>
    </row>
    <row r="88" spans="5:37" ht="20.100000000000001" hidden="1" customHeight="1" x14ac:dyDescent="0.2">
      <c r="F88" s="2">
        <f>IF(F82=1,(1),(0))</f>
        <v>1</v>
      </c>
      <c r="H88" s="2">
        <f>IF(H89=1,(-1),(IF(H89=7,(-1),(0))))</f>
        <v>-1</v>
      </c>
      <c r="I88" s="8">
        <v>1</v>
      </c>
      <c r="O88" s="2">
        <f>WEEKDAY(G90)</f>
        <v>6</v>
      </c>
      <c r="P88" s="2">
        <f>(O88)</f>
        <v>6</v>
      </c>
      <c r="Q88" s="2" t="str">
        <f>VLOOKUP(P88,P81:Q87,2,FALSE)</f>
        <v>(SEX.)</v>
      </c>
      <c r="R88" s="2">
        <v>8</v>
      </c>
      <c r="S88" s="2">
        <v>3</v>
      </c>
      <c r="X88" s="128">
        <f>IF(G79&gt;0,(X87*X86),(0))</f>
        <v>250</v>
      </c>
      <c r="Y88" s="128"/>
      <c r="Z88" s="128"/>
    </row>
    <row r="89" spans="5:37" ht="20.100000000000001" hidden="1" customHeight="1" x14ac:dyDescent="0.2">
      <c r="F89" s="2">
        <f>IF(F83=1,(1),(0))</f>
        <v>1</v>
      </c>
      <c r="G89" s="13">
        <f>(J18)</f>
        <v>43951</v>
      </c>
      <c r="H89" s="2">
        <f>WEEKDAY(F91)</f>
        <v>7</v>
      </c>
      <c r="O89" s="2">
        <f>DAY(G90)</f>
        <v>8</v>
      </c>
      <c r="P89" s="2" t="str">
        <f>IF(O89&lt;10,(CONCATENATE("0",O89)),(O89))</f>
        <v>08</v>
      </c>
      <c r="R89" s="2">
        <v>9</v>
      </c>
      <c r="S89" s="2">
        <v>3</v>
      </c>
    </row>
    <row r="90" spans="5:37" ht="20.100000000000001" hidden="1" customHeight="1" x14ac:dyDescent="0.2">
      <c r="F90" s="2">
        <f>SUM(F88:F89)</f>
        <v>2</v>
      </c>
      <c r="G90" s="13">
        <f>(F91+H88)</f>
        <v>43959</v>
      </c>
      <c r="H90" s="2">
        <f>(J18-C18)</f>
        <v>485</v>
      </c>
      <c r="O90" s="2">
        <f>MONTH(G90)</f>
        <v>5</v>
      </c>
      <c r="P90" s="2" t="str">
        <f>IF(O90&lt;10,(CONCATENATE("0",O90)),(O90))</f>
        <v>05</v>
      </c>
      <c r="R90" s="2">
        <v>10</v>
      </c>
      <c r="S90" s="2">
        <v>3</v>
      </c>
    </row>
    <row r="91" spans="5:37" ht="20.100000000000001" hidden="1" customHeight="1" x14ac:dyDescent="0.2">
      <c r="F91" s="15">
        <f>IF(F83=2,(G89+1),(G89+9))</f>
        <v>43960</v>
      </c>
      <c r="G91" s="2">
        <f>IF(H91&gt;99,(3),(2))</f>
        <v>2</v>
      </c>
      <c r="H91" s="2">
        <f>(H90/30)</f>
        <v>16.166666666666668</v>
      </c>
      <c r="O91" s="2">
        <f>YEAR(G90)</f>
        <v>2020</v>
      </c>
      <c r="R91" s="2">
        <v>11</v>
      </c>
      <c r="S91" s="2">
        <v>3</v>
      </c>
    </row>
    <row r="92" spans="5:37" ht="20.100000000000001" hidden="1" customHeight="1" x14ac:dyDescent="0.2">
      <c r="G92" s="2" t="str">
        <f>MID(H91,1,G91)</f>
        <v>16</v>
      </c>
      <c r="H92" s="2">
        <f>VALUE(G92)</f>
        <v>16</v>
      </c>
      <c r="O92" s="15">
        <f>DATE(O91,P90,P89)</f>
        <v>43959</v>
      </c>
      <c r="R92" s="2">
        <v>12</v>
      </c>
      <c r="S92" s="2">
        <v>4</v>
      </c>
    </row>
    <row r="93" spans="5:37" ht="20.100000000000001" hidden="1" customHeight="1" x14ac:dyDescent="0.2">
      <c r="H93" s="2">
        <f>IF(H92&gt;25,(25),(H92))</f>
        <v>16</v>
      </c>
      <c r="O93" s="2">
        <f>MONTH(C18)</f>
        <v>1</v>
      </c>
      <c r="P93" s="2">
        <f>MONTH(J18)</f>
        <v>4</v>
      </c>
      <c r="R93" s="2">
        <v>13</v>
      </c>
      <c r="S93" s="2">
        <v>4</v>
      </c>
    </row>
    <row r="94" spans="5:37" ht="20.100000000000001" hidden="1" customHeight="1" x14ac:dyDescent="0.2">
      <c r="G94" s="14">
        <f>SUM(Q18:AD18)</f>
        <v>2500</v>
      </c>
      <c r="O94" s="2">
        <f>YEAR(C18)</f>
        <v>2019</v>
      </c>
      <c r="P94" s="2">
        <f>YEAR(J18)</f>
        <v>2020</v>
      </c>
      <c r="R94" s="2">
        <v>14</v>
      </c>
      <c r="S94" s="2">
        <v>4</v>
      </c>
    </row>
    <row r="95" spans="5:37" ht="20.100000000000001" hidden="1" customHeight="1" x14ac:dyDescent="0.2">
      <c r="O95" s="2" t="str">
        <f>CONCATENATE(O93,O94)</f>
        <v>12019</v>
      </c>
      <c r="P95" s="2" t="str">
        <f>CONCATENATE(P93,P94)</f>
        <v>42020</v>
      </c>
      <c r="R95" s="2">
        <v>15</v>
      </c>
      <c r="S95" s="2">
        <v>4</v>
      </c>
    </row>
    <row r="96" spans="5:37" ht="20.100000000000001" hidden="1" customHeight="1" x14ac:dyDescent="0.2">
      <c r="F96" s="2">
        <v>1</v>
      </c>
      <c r="G96" s="13">
        <f>(C18)</f>
        <v>43466</v>
      </c>
      <c r="N96" s="2">
        <f>(P97-O97)</f>
        <v>29</v>
      </c>
      <c r="O96" s="2">
        <f>IF(O95=P95,(2),(1))</f>
        <v>1</v>
      </c>
      <c r="R96" s="2">
        <v>16</v>
      </c>
      <c r="S96" s="2">
        <v>4</v>
      </c>
    </row>
    <row r="97" spans="5:24" ht="20.100000000000001" hidden="1" customHeight="1" x14ac:dyDescent="0.2">
      <c r="F97" s="2">
        <v>2</v>
      </c>
      <c r="G97" s="15">
        <f>DATE(G98,1,1)</f>
        <v>43831</v>
      </c>
      <c r="O97" s="2">
        <f>DAY(C18)</f>
        <v>1</v>
      </c>
      <c r="P97" s="2">
        <f>DAY(J18)</f>
        <v>30</v>
      </c>
      <c r="R97" s="2">
        <v>17</v>
      </c>
      <c r="S97" s="2">
        <v>4</v>
      </c>
    </row>
    <row r="98" spans="5:24" ht="20.100000000000001" hidden="1" customHeight="1" x14ac:dyDescent="0.2">
      <c r="F98" s="2">
        <f>YEAR(C18)</f>
        <v>2019</v>
      </c>
      <c r="G98" s="2">
        <f>YEAR(J18)</f>
        <v>2020</v>
      </c>
      <c r="I98" s="2">
        <f>MONTH(J18)</f>
        <v>4</v>
      </c>
      <c r="J98" s="2">
        <v>30</v>
      </c>
      <c r="R98" s="2">
        <v>18</v>
      </c>
      <c r="S98" s="2">
        <v>4</v>
      </c>
    </row>
    <row r="99" spans="5:24" ht="20.100000000000001" hidden="1" customHeight="1" x14ac:dyDescent="0.2">
      <c r="F99" s="2">
        <f>IF(F98=G98,(1),(2))</f>
        <v>2</v>
      </c>
      <c r="G99" s="13">
        <f>VLOOKUP(F99,F96:G97,2,FALSE)</f>
        <v>43831</v>
      </c>
      <c r="I99" s="2">
        <v>1</v>
      </c>
      <c r="J99" s="2">
        <v>31</v>
      </c>
      <c r="P99" s="2">
        <f>IF(E100&lt;O100,(1),IF(E100&lt;O101,(2),(IF(E100&lt;O102,(3),(IF(E100&lt;O103,(4),(IF(E100&gt;O104,(5)))))))))</f>
        <v>2</v>
      </c>
      <c r="Q99" s="2">
        <f>IF(E101&lt;O100,(1),IF(E101&lt;O101,(2),(IF(E101&lt;O102,(3),(IF(E101&lt;O103,(4),(IF(E101&gt;O104,(5)))))))))</f>
        <v>1</v>
      </c>
      <c r="R99" s="2">
        <v>19</v>
      </c>
      <c r="S99" s="2">
        <v>4</v>
      </c>
      <c r="T99" s="2" t="s">
        <v>60</v>
      </c>
      <c r="U99" s="2" t="s">
        <v>61</v>
      </c>
      <c r="V99" s="2" t="s">
        <v>62</v>
      </c>
    </row>
    <row r="100" spans="5:24" ht="20.100000000000001" hidden="1" customHeight="1" x14ac:dyDescent="0.2">
      <c r="E100" s="18">
        <f>SUM(P24,P32,P33,P35,P36)</f>
        <v>2500</v>
      </c>
      <c r="F100" s="6">
        <f>IF(E100&gt;O104,((O104*Q106)-TABELAS!I10),(E100*Q106))</f>
        <v>225</v>
      </c>
      <c r="G100" s="2">
        <f>IF(O96=2,(N96),(DAY(J18)))</f>
        <v>30</v>
      </c>
      <c r="I100" s="2">
        <v>2</v>
      </c>
      <c r="J100" s="2">
        <v>28</v>
      </c>
      <c r="N100" s="19">
        <v>1</v>
      </c>
      <c r="O100" s="1">
        <f>(TABELAS!D8)</f>
        <v>1320.01</v>
      </c>
      <c r="Q100" s="20">
        <f>(TABELAS!H7)</f>
        <v>7.4999999999999997E-2</v>
      </c>
      <c r="R100" s="2">
        <v>20</v>
      </c>
      <c r="S100" s="2">
        <v>4</v>
      </c>
      <c r="T100" s="18">
        <f>P24</f>
        <v>2500</v>
      </c>
      <c r="V100" s="39"/>
    </row>
    <row r="101" spans="5:24" ht="20.100000000000001" hidden="1" customHeight="1" x14ac:dyDescent="0.2">
      <c r="E101" s="18">
        <f>SUM(P25+P26)</f>
        <v>833.33333333333337</v>
      </c>
      <c r="F101" s="6">
        <f>IF(E101&gt;O104,((O104*Q107)-TABELAS!I10),(E101*Q107))</f>
        <v>62.5</v>
      </c>
      <c r="G101" s="2">
        <f>IF(G100&lt;15,(1),(0))</f>
        <v>0</v>
      </c>
      <c r="I101" s="2">
        <v>3</v>
      </c>
      <c r="J101" s="2">
        <v>31</v>
      </c>
      <c r="N101" s="19">
        <v>2</v>
      </c>
      <c r="O101" s="1">
        <f>(TABELAS!D9)</f>
        <v>2571.3000000000002</v>
      </c>
      <c r="Q101" s="20">
        <f>(TABELAS!H8)</f>
        <v>0.09</v>
      </c>
      <c r="R101" s="2">
        <v>21</v>
      </c>
      <c r="S101" s="2">
        <v>4</v>
      </c>
      <c r="U101" s="18">
        <f>P25</f>
        <v>833.33333333333337</v>
      </c>
      <c r="V101" s="39"/>
    </row>
    <row r="102" spans="5:24" ht="20.100000000000001" hidden="1" customHeight="1" x14ac:dyDescent="0.2">
      <c r="E102" s="18">
        <f>E103-AH29</f>
        <v>4930.5555555555557</v>
      </c>
      <c r="F102" s="2">
        <f>MONTH(G99)</f>
        <v>1</v>
      </c>
      <c r="G102" s="2">
        <f>(I98-G101)</f>
        <v>4</v>
      </c>
      <c r="I102" s="2">
        <v>4</v>
      </c>
      <c r="J102" s="2">
        <v>30</v>
      </c>
      <c r="N102" s="19">
        <v>3</v>
      </c>
      <c r="O102" s="1">
        <f>(TABELAS!D10)</f>
        <v>3856.9500000000003</v>
      </c>
      <c r="Q102" s="20">
        <f>(TABELAS!H9)</f>
        <v>0.12</v>
      </c>
      <c r="R102" s="2">
        <v>22</v>
      </c>
      <c r="S102" s="2">
        <v>4</v>
      </c>
      <c r="U102" s="18">
        <f>P26</f>
        <v>0</v>
      </c>
      <c r="V102" s="39"/>
    </row>
    <row r="103" spans="5:24" ht="20.100000000000001" hidden="1" customHeight="1" x14ac:dyDescent="0.2">
      <c r="E103" s="18">
        <f>SUM(P24,P25,P26,P27,P28,P29,P30,P31,P33,P32,P35,P36)</f>
        <v>4930.5555555555557</v>
      </c>
      <c r="G103" s="2">
        <f>(G102-F102)+1</f>
        <v>4</v>
      </c>
      <c r="I103" s="2">
        <v>5</v>
      </c>
      <c r="J103" s="2">
        <v>31</v>
      </c>
      <c r="N103" s="19">
        <v>4</v>
      </c>
      <c r="O103" s="1">
        <f>(TABELAS!D11)</f>
        <v>7507.5</v>
      </c>
      <c r="Q103" s="20">
        <f>(TABELAS!H10)</f>
        <v>0.14000000000000001</v>
      </c>
      <c r="R103" s="2">
        <v>23</v>
      </c>
      <c r="S103" s="2">
        <v>4</v>
      </c>
      <c r="U103" s="18">
        <f>P27</f>
        <v>208.33333333333334</v>
      </c>
      <c r="V103" s="39"/>
    </row>
    <row r="104" spans="5:24" ht="20.100000000000001" hidden="1" customHeight="1" x14ac:dyDescent="0.2">
      <c r="E104" s="2">
        <f>IF(E105&lt;=15,(1),(VLOOKUP(E106,I99:J110,2,FALSE)))</f>
        <v>1</v>
      </c>
      <c r="F104" s="15">
        <f>DATE(E107,E106,E104)</f>
        <v>43831</v>
      </c>
      <c r="G104" s="15">
        <f>DATE(E110-1,E111,E112)</f>
        <v>43466</v>
      </c>
      <c r="H104" s="2">
        <f>IF(G104&lt;365,(0),(1))</f>
        <v>1</v>
      </c>
      <c r="I104" s="2">
        <v>6</v>
      </c>
      <c r="J104" s="2">
        <v>30</v>
      </c>
      <c r="N104" s="19">
        <v>5</v>
      </c>
      <c r="O104" s="1">
        <f>(TABELAS!D11)-0.01</f>
        <v>7507.49</v>
      </c>
      <c r="Q104" s="20">
        <f>(TABELAS!H10)</f>
        <v>0.14000000000000001</v>
      </c>
      <c r="R104" s="2">
        <v>24</v>
      </c>
      <c r="S104" s="2">
        <v>5</v>
      </c>
      <c r="V104" s="126">
        <f>P28</f>
        <v>0</v>
      </c>
      <c r="W104" s="126"/>
      <c r="X104" s="126"/>
    </row>
    <row r="105" spans="5:24" ht="20.100000000000001" hidden="1" customHeight="1" x14ac:dyDescent="0.2">
      <c r="E105" s="2">
        <f>DAY(F105)</f>
        <v>1</v>
      </c>
      <c r="F105" s="13">
        <f>IF(J18-C18&gt;365,(F109),(C18))</f>
        <v>43831</v>
      </c>
      <c r="G105" s="15">
        <f>DATE(G107,F107,G106)</f>
        <v>43951</v>
      </c>
      <c r="H105" s="2">
        <f>IF(G105&gt;F105,(1),(0))</f>
        <v>1</v>
      </c>
      <c r="I105" s="2">
        <v>7</v>
      </c>
      <c r="J105" s="2">
        <v>31</v>
      </c>
      <c r="Q105" s="21"/>
      <c r="R105" s="2">
        <v>25</v>
      </c>
      <c r="S105" s="2">
        <v>5</v>
      </c>
      <c r="V105" s="126">
        <f>P29</f>
        <v>833.33333333333337</v>
      </c>
      <c r="W105" s="126"/>
      <c r="X105" s="126"/>
    </row>
    <row r="106" spans="5:24" ht="9.9499999999999993" hidden="1" customHeight="1" x14ac:dyDescent="0.2">
      <c r="E106" s="2">
        <f>MONTH(F105)</f>
        <v>1</v>
      </c>
      <c r="F106" s="2">
        <f>DAY(J18)</f>
        <v>30</v>
      </c>
      <c r="G106" s="2">
        <f>IF(F106&gt;=15,(VLOOKUP(F107,I99:J110,2,FALSE)),(1))</f>
        <v>30</v>
      </c>
      <c r="I106" s="2">
        <v>8</v>
      </c>
      <c r="J106" s="2">
        <v>31</v>
      </c>
      <c r="Q106" s="20">
        <f>VLOOKUP(P99,N100:Q104,4,FALSE)</f>
        <v>0.09</v>
      </c>
      <c r="R106" s="2">
        <v>0</v>
      </c>
      <c r="S106" s="2">
        <v>0</v>
      </c>
      <c r="V106" s="126">
        <f>P30</f>
        <v>208.33333333333334</v>
      </c>
      <c r="W106" s="126"/>
      <c r="X106" s="126"/>
    </row>
    <row r="107" spans="5:24" ht="9.9499999999999993" hidden="1" customHeight="1" x14ac:dyDescent="0.2">
      <c r="E107" s="2">
        <f>YEAR(F105)</f>
        <v>2020</v>
      </c>
      <c r="F107" s="2">
        <f>MONTH(J18)</f>
        <v>4</v>
      </c>
      <c r="G107" s="2">
        <f>YEAR(J18)</f>
        <v>2020</v>
      </c>
      <c r="I107" s="2">
        <v>9</v>
      </c>
      <c r="J107" s="2">
        <v>30</v>
      </c>
      <c r="Q107" s="20">
        <f>VLOOKUP(Q99,N100:Q104,4,FALSE)</f>
        <v>7.4999999999999997E-2</v>
      </c>
      <c r="V107" s="126">
        <f>P31</f>
        <v>347.22222222222223</v>
      </c>
      <c r="W107" s="126"/>
      <c r="X107" s="126"/>
    </row>
    <row r="108" spans="5:24" ht="9.9499999999999993" hidden="1" customHeight="1" x14ac:dyDescent="0.2">
      <c r="F108" s="2">
        <f>IF(F109&gt;G105,(1),(0))</f>
        <v>0</v>
      </c>
      <c r="G108" s="2">
        <f>(G105-F105)</f>
        <v>120</v>
      </c>
      <c r="I108" s="2">
        <v>10</v>
      </c>
      <c r="J108" s="2">
        <v>31</v>
      </c>
      <c r="N108" s="2">
        <v>0</v>
      </c>
      <c r="O108" s="43"/>
      <c r="P108" s="41"/>
      <c r="Q108" s="41"/>
      <c r="R108" s="41">
        <v>0</v>
      </c>
      <c r="T108" s="18">
        <f>P32</f>
        <v>0</v>
      </c>
      <c r="V108" s="39"/>
    </row>
    <row r="109" spans="5:24" ht="9.9499999999999993" hidden="1" customHeight="1" x14ac:dyDescent="0.2">
      <c r="E109" s="2">
        <f>YEAR(J18)</f>
        <v>2020</v>
      </c>
      <c r="F109" s="15">
        <f>DATE(E110,E111,E112)</f>
        <v>43831</v>
      </c>
      <c r="I109" s="2">
        <v>11</v>
      </c>
      <c r="J109" s="2">
        <v>30</v>
      </c>
      <c r="N109" s="2">
        <v>1</v>
      </c>
      <c r="O109" s="44">
        <f>(TABELAS!E16)</f>
        <v>2112</v>
      </c>
      <c r="P109" s="41"/>
      <c r="Q109" s="42">
        <f>(TABELAS!G16)</f>
        <v>0</v>
      </c>
      <c r="R109" s="41">
        <v>0</v>
      </c>
      <c r="T109" s="18">
        <f>P33</f>
        <v>0</v>
      </c>
      <c r="V109" s="39"/>
    </row>
    <row r="110" spans="5:24" ht="9.9499999999999993" hidden="1" customHeight="1" x14ac:dyDescent="0.2">
      <c r="E110" s="2">
        <f>(E109)</f>
        <v>2020</v>
      </c>
      <c r="F110" s="2">
        <f>IF(G110&lt;=14,(0),(IF(G110&lt;=30,(30),(G110))))</f>
        <v>120</v>
      </c>
      <c r="G110" s="2">
        <f>IF(F108=1,(G105-G104),(G105-F105))</f>
        <v>120</v>
      </c>
      <c r="H110" s="2" t="e">
        <f>(H111-1)</f>
        <v>#VALUE!</v>
      </c>
      <c r="I110" s="2">
        <v>12</v>
      </c>
      <c r="J110" s="2">
        <v>31</v>
      </c>
      <c r="N110" s="2">
        <v>2</v>
      </c>
      <c r="O110" s="44">
        <f>(TABELAS!E17)</f>
        <v>2826.65</v>
      </c>
      <c r="P110" s="41"/>
      <c r="Q110" s="42">
        <f>(TABELAS!G17)</f>
        <v>7.4999999999999997E-2</v>
      </c>
      <c r="R110" s="41">
        <f>(TABELAS!H17)</f>
        <v>158.4</v>
      </c>
      <c r="T110" s="18">
        <f>P34</f>
        <v>2750</v>
      </c>
      <c r="V110" s="39"/>
    </row>
    <row r="111" spans="5:24" ht="9.9499999999999993" hidden="1" customHeight="1" x14ac:dyDescent="0.2">
      <c r="E111" s="2">
        <f>MONTH(C18)</f>
        <v>1</v>
      </c>
      <c r="F111" s="6">
        <f>(F110/30)</f>
        <v>4</v>
      </c>
      <c r="G111" s="2">
        <f>IF(F111&lt;=1,(1.01),(F111))</f>
        <v>4</v>
      </c>
      <c r="H111" s="2" t="e">
        <f>SEARCH(",",E113,1)</f>
        <v>#VALUE!</v>
      </c>
      <c r="N111" s="2">
        <v>3</v>
      </c>
      <c r="O111" s="44">
        <f>(TABELAS!E18)</f>
        <v>3751.05</v>
      </c>
      <c r="P111" s="41"/>
      <c r="Q111" s="42">
        <f>(TABELAS!G18)</f>
        <v>0.15</v>
      </c>
      <c r="R111" s="41">
        <f>(TABELAS!H18)</f>
        <v>370.39875000000001</v>
      </c>
      <c r="T111" s="18">
        <f>P35</f>
        <v>0</v>
      </c>
      <c r="V111" s="39"/>
    </row>
    <row r="112" spans="5:24" ht="9.9499999999999993" hidden="1" customHeight="1" x14ac:dyDescent="0.2">
      <c r="E112" s="2">
        <f>DAY(C18)</f>
        <v>1</v>
      </c>
      <c r="F112" s="2" t="str">
        <f>MID(F111,1,2)</f>
        <v>4</v>
      </c>
      <c r="G112" s="2" t="e">
        <f>MID(F111,1,H110)</f>
        <v>#VALUE!</v>
      </c>
      <c r="H112" s="2" t="e">
        <f>VALUE(G112)</f>
        <v>#VALUE!</v>
      </c>
      <c r="N112" s="2">
        <v>4</v>
      </c>
      <c r="O112" s="44">
        <f>(TABELAS!E19)</f>
        <v>4664.68</v>
      </c>
      <c r="P112" s="41"/>
      <c r="Q112" s="42">
        <f>(TABELAS!G19)</f>
        <v>0.22500000000000001</v>
      </c>
      <c r="R112" s="41">
        <f>(TABELAS!H19)</f>
        <v>651.72750000000008</v>
      </c>
      <c r="T112" s="18">
        <f>P36</f>
        <v>0</v>
      </c>
      <c r="V112" s="39"/>
    </row>
    <row r="113" spans="5:30" ht="9.9499999999999993" hidden="1" customHeight="1" x14ac:dyDescent="0.2">
      <c r="E113" s="6">
        <f>(F111+0.000001)</f>
        <v>4.0000010000000001</v>
      </c>
      <c r="G113" s="2" t="e">
        <f>(G112+G114)</f>
        <v>#VALUE!</v>
      </c>
      <c r="H113" s="2" t="e">
        <f>(H111)+1</f>
        <v>#VALUE!</v>
      </c>
      <c r="N113" s="2">
        <v>5</v>
      </c>
      <c r="O113" s="44">
        <f>(TABELAS!E20)</f>
        <v>4664.6900000000005</v>
      </c>
      <c r="P113" s="41"/>
      <c r="Q113" s="42">
        <f>(TABELAS!G20)</f>
        <v>0.27500000000000002</v>
      </c>
      <c r="R113" s="41">
        <f>(TABELAS!H20)</f>
        <v>884.96150000000011</v>
      </c>
      <c r="T113" s="18">
        <f>P35</f>
        <v>0</v>
      </c>
      <c r="V113" s="39"/>
    </row>
    <row r="114" spans="5:30" ht="9.9499999999999993" hidden="1" customHeight="1" x14ac:dyDescent="0.2">
      <c r="F114" s="24">
        <f>(J21)</f>
        <v>0.5</v>
      </c>
      <c r="G114" s="2" t="e">
        <f>IF(H114&gt;50,(1),(0))</f>
        <v>#VALUE!</v>
      </c>
      <c r="H114" s="2" t="e">
        <f>MID(F111,H113,2)</f>
        <v>#VALUE!</v>
      </c>
      <c r="P114" s="41"/>
      <c r="Q114" s="41"/>
      <c r="R114" s="41"/>
      <c r="V114" s="39"/>
    </row>
    <row r="115" spans="5:30" ht="9.9499999999999993" hidden="1" customHeight="1" x14ac:dyDescent="0.2">
      <c r="F115" s="22">
        <f>(Q18/220)</f>
        <v>11.363636363636363</v>
      </c>
      <c r="P115" s="41"/>
      <c r="Q115" s="41"/>
      <c r="R115" s="41"/>
      <c r="V115" s="39"/>
    </row>
    <row r="116" spans="5:30" ht="9.9499999999999993" hidden="1" customHeight="1" x14ac:dyDescent="0.2">
      <c r="F116" s="2">
        <f>(F115*F114)</f>
        <v>5.6818181818181817</v>
      </c>
      <c r="Q116" s="2" t="s">
        <v>35</v>
      </c>
      <c r="R116" s="22">
        <f>(TABELAS!F21*RESCISÃO!AI21)</f>
        <v>0</v>
      </c>
      <c r="T116" s="18" t="e">
        <f>#REF!</f>
        <v>#REF!</v>
      </c>
    </row>
    <row r="117" spans="5:30" ht="9.9499999999999993" hidden="1" customHeight="1" x14ac:dyDescent="0.2">
      <c r="H117" s="26">
        <v>4.1666666666666664E-2</v>
      </c>
      <c r="Q117" s="2" t="s">
        <v>36</v>
      </c>
      <c r="R117" s="22">
        <f>SUM(AH24:AL25)</f>
        <v>287.5</v>
      </c>
      <c r="T117" s="18">
        <f>AH28</f>
        <v>0</v>
      </c>
    </row>
    <row r="118" spans="5:30" ht="9.9499999999999993" hidden="1" customHeight="1" x14ac:dyDescent="0.2">
      <c r="F118" s="18">
        <f>SUM(F115+F116)</f>
        <v>17.045454545454547</v>
      </c>
      <c r="G118" s="2">
        <f>(F115*2)</f>
        <v>22.727272727272727</v>
      </c>
      <c r="H118" s="2">
        <f>VALUE(H117)</f>
        <v>4.1666666666666664E-2</v>
      </c>
      <c r="R118" s="22">
        <f>(R133-R116-R117)</f>
        <v>4643.0555555555557</v>
      </c>
      <c r="T118" s="18">
        <f>AH29</f>
        <v>0</v>
      </c>
    </row>
    <row r="119" spans="5:30" ht="9.9499999999999993" hidden="1" customHeight="1" x14ac:dyDescent="0.2">
      <c r="E119" s="2">
        <f>(L42*80%)</f>
        <v>0</v>
      </c>
      <c r="R119" s="22">
        <f>(R118*Q131)</f>
        <v>0</v>
      </c>
    </row>
    <row r="120" spans="5:30" ht="9.9499999999999993" hidden="1" customHeight="1" x14ac:dyDescent="0.2">
      <c r="E120" s="2">
        <f>VALUE(N21)</f>
        <v>0</v>
      </c>
      <c r="F120" s="22">
        <f>(E120/H118)</f>
        <v>0</v>
      </c>
      <c r="G120" s="2">
        <f>(F118*F120)</f>
        <v>0</v>
      </c>
      <c r="M120" s="128">
        <f>IF(AE41&lt;TABELAS!E26,(AE41),(TABELAS!E26))</f>
        <v>1968.37</v>
      </c>
      <c r="N120" s="128"/>
      <c r="O120" s="128"/>
      <c r="P120" s="2">
        <f>(M120*TABELAS!G26)</f>
        <v>1574.6959999999999</v>
      </c>
      <c r="Q120" s="176">
        <f>SUM(P120:P121)</f>
        <v>1840.511</v>
      </c>
      <c r="R120" s="176"/>
      <c r="S120" s="127">
        <f>SUM(T100:T112)</f>
        <v>5250</v>
      </c>
      <c r="T120" s="127"/>
      <c r="U120" s="127"/>
      <c r="V120" s="129">
        <f>SUM(V100:V112)</f>
        <v>1388.8888888888889</v>
      </c>
      <c r="W120" s="129"/>
      <c r="X120" s="129"/>
      <c r="Y120" s="129"/>
      <c r="Z120" s="129"/>
      <c r="AB120" s="126">
        <f>SUM(U100:U112)</f>
        <v>1041.6666666666667</v>
      </c>
      <c r="AC120" s="126"/>
      <c r="AD120" s="126"/>
    </row>
    <row r="121" spans="5:30" ht="9.9499999999999993" hidden="1" customHeight="1" x14ac:dyDescent="0.2">
      <c r="E121" s="2">
        <f>VALUE(U21)</f>
        <v>0</v>
      </c>
      <c r="F121" s="22">
        <f>(E121/H118)</f>
        <v>0</v>
      </c>
      <c r="G121" s="2">
        <f>(F121*G118)</f>
        <v>0</v>
      </c>
      <c r="M121" s="128">
        <f>IF(M120=TABELAS!E26,(AE41-TABELAS!E26))</f>
        <v>531.63000000000011</v>
      </c>
      <c r="N121" s="128"/>
      <c r="O121" s="128"/>
      <c r="P121" s="2">
        <f>(M121*TABELAS!G27)</f>
        <v>265.81500000000005</v>
      </c>
      <c r="Q121" s="175">
        <f>TABELAS!G29</f>
        <v>1320</v>
      </c>
      <c r="R121" s="176"/>
      <c r="S121" s="128"/>
      <c r="T121" s="128"/>
      <c r="U121" s="128"/>
      <c r="V121" s="129">
        <f>SUM(V114:V118)+N133</f>
        <v>0</v>
      </c>
      <c r="W121" s="129"/>
      <c r="X121" s="129"/>
      <c r="Y121" s="129"/>
      <c r="Z121" s="129"/>
      <c r="AB121" s="126">
        <f>SUM(U114:U118)+N133</f>
        <v>0</v>
      </c>
      <c r="AC121" s="126"/>
      <c r="AD121" s="126"/>
    </row>
    <row r="122" spans="5:30" ht="9.9499999999999993" hidden="1" customHeight="1" x14ac:dyDescent="0.2">
      <c r="E122" s="2">
        <f>VALUE(AB21)</f>
        <v>0</v>
      </c>
      <c r="F122" s="2">
        <f>(E122/H118)</f>
        <v>0</v>
      </c>
      <c r="G122" s="2">
        <f>(F122*F115)</f>
        <v>0</v>
      </c>
      <c r="O122" s="2">
        <f>IF(AE41&gt;=TABELAS!E28,(2),(1))</f>
        <v>1</v>
      </c>
      <c r="P122" s="128">
        <f>IF(O122=1,(U135),(TABELAS!G28))</f>
        <v>1840.511</v>
      </c>
      <c r="Q122" s="128"/>
      <c r="S122" s="127">
        <f>S120-AH24-AH29</f>
        <v>5025</v>
      </c>
      <c r="T122" s="130"/>
      <c r="U122" s="130"/>
      <c r="V122" s="129">
        <f>V120-V121</f>
        <v>1388.8888888888889</v>
      </c>
      <c r="W122" s="129"/>
      <c r="X122" s="129"/>
      <c r="Y122" s="129"/>
      <c r="Z122" s="129"/>
      <c r="AB122" s="126">
        <f>AB120-AB121</f>
        <v>1041.6666666666667</v>
      </c>
      <c r="AC122" s="126"/>
      <c r="AD122" s="126"/>
    </row>
    <row r="124" spans="5:30" ht="9.9499999999999993" hidden="1" customHeight="1" x14ac:dyDescent="0.2">
      <c r="O124" s="2">
        <v>1</v>
      </c>
      <c r="P124" s="9" t="s">
        <v>4</v>
      </c>
      <c r="T124" s="2">
        <f>IF(S122&lt;O109,(1),(IF(S122&lt;O110,(2),(IF(S122&lt;O111,(3),(IF(S122&lt;O112,(4),(IF(S122&gt;=O113,(5),(0))))))))))</f>
        <v>5</v>
      </c>
      <c r="U124" s="2">
        <f>IF(AB122&lt;O109,(1),(IF(AB122&lt;O110,(2),(IF(AB122&lt;O111,(3),(IF(AB122&lt;O112,(4),(IF(AB122&gt;=O113,(5),(0))))))))))</f>
        <v>1</v>
      </c>
      <c r="V124" s="2">
        <f>IF(V122&lt;O109,(1),(IF(V122&lt;O110,(2),(IF(V122&lt;O111,(3),(IF(V122&lt;O112,(4),(IF(V122&gt;=O113,(5),(0))))))))))</f>
        <v>1</v>
      </c>
    </row>
    <row r="125" spans="5:30" ht="9.9499999999999993" hidden="1" customHeight="1" x14ac:dyDescent="0.2">
      <c r="E125" s="6">
        <f>ROUNDUP(E113,0)</f>
        <v>5</v>
      </c>
      <c r="F125" s="6">
        <f>ROUNDDOWN(E113,0)</f>
        <v>4</v>
      </c>
      <c r="O125" s="2">
        <v>2</v>
      </c>
      <c r="P125" s="9" t="s">
        <v>5</v>
      </c>
      <c r="T125" s="40">
        <f>VLOOKUP(T124,N108:R113,4,FALSE)</f>
        <v>0.27500000000000002</v>
      </c>
      <c r="U125" s="40">
        <f>VLOOKUP(U124,N108:R113,4,FALSE)</f>
        <v>0</v>
      </c>
      <c r="V125" s="40">
        <f>VLOOKUP(V124,N108:R113,4,FALSE)</f>
        <v>0</v>
      </c>
      <c r="Z125" s="129">
        <f>Z126-Q127</f>
        <v>496.91349999999989</v>
      </c>
      <c r="AA125" s="128"/>
      <c r="AB125" s="128"/>
      <c r="AC125" s="128"/>
    </row>
    <row r="126" spans="5:30" ht="9.9499999999999993" hidden="1" customHeight="1" x14ac:dyDescent="0.2">
      <c r="E126" s="6">
        <f>(E125-E113)</f>
        <v>0.99999899999999986</v>
      </c>
      <c r="F126" s="6">
        <f>(E113-F125)</f>
        <v>1.000000000139778E-6</v>
      </c>
      <c r="O126" s="2">
        <v>3</v>
      </c>
      <c r="P126" s="9" t="s">
        <v>6</v>
      </c>
      <c r="U126" s="18">
        <f>AB122*U125</f>
        <v>0</v>
      </c>
      <c r="V126" s="18">
        <f>V122*V125</f>
        <v>0</v>
      </c>
      <c r="Z126" s="129">
        <f>S122*T125</f>
        <v>1381.875</v>
      </c>
      <c r="AA126" s="128"/>
      <c r="AB126" s="128"/>
      <c r="AC126" s="128"/>
    </row>
    <row r="127" spans="5:30" ht="9.9499999999999993" hidden="1" customHeight="1" x14ac:dyDescent="0.2">
      <c r="E127" s="2">
        <f>IF(E126&lt;F126,(E125),(F125))</f>
        <v>4</v>
      </c>
      <c r="Q127" s="128">
        <f>VLOOKUP(T124,N108:R113,5,FALSE)</f>
        <v>884.96150000000011</v>
      </c>
      <c r="R127" s="128"/>
      <c r="S127" s="128"/>
      <c r="T127" s="128"/>
      <c r="Z127" s="128">
        <f>VLOOKUP(U124,N108:R113,5,FALSE)</f>
        <v>0</v>
      </c>
      <c r="AA127" s="128"/>
      <c r="AB127" s="128"/>
      <c r="AC127" s="128"/>
    </row>
    <row r="128" spans="5:30" ht="9.9499999999999993" hidden="1" customHeight="1" x14ac:dyDescent="0.2">
      <c r="Q128" s="18">
        <f>T122*T125</f>
        <v>0</v>
      </c>
      <c r="U128" s="18">
        <f>U126-Z127</f>
        <v>0</v>
      </c>
      <c r="V128" s="18">
        <f>V126-Z128</f>
        <v>0</v>
      </c>
      <c r="Z128" s="128">
        <f>VLOOKUP(V124,N108:R113,5,FALSE)</f>
        <v>0</v>
      </c>
      <c r="AA128" s="128"/>
      <c r="AB128" s="128"/>
      <c r="AC128" s="128"/>
    </row>
    <row r="129" spans="2:22" ht="9.9499999999999993" hidden="1" customHeight="1" x14ac:dyDescent="0.2">
      <c r="P129" s="127">
        <f>Q128-Q127</f>
        <v>-884.96150000000011</v>
      </c>
      <c r="Q129" s="127"/>
      <c r="R129" s="127"/>
      <c r="S129" s="127"/>
    </row>
    <row r="131" spans="2:22" ht="9.9499999999999993" hidden="1" customHeight="1" x14ac:dyDescent="0.2">
      <c r="N131" s="18">
        <f>TABELAS!F21</f>
        <v>189.59</v>
      </c>
      <c r="O131" s="2">
        <f>IF(R118&lt;O109,(1),(IF(R118&lt;O110,(2),IF(R118&gt;=O113,(3),(0)))))</f>
        <v>0</v>
      </c>
      <c r="Q131" s="23">
        <f>VLOOKUP(O131,N108:Q113,4,FALSE)</f>
        <v>0</v>
      </c>
      <c r="R131" s="2">
        <f>VLOOKUP(O131,N108:R113,5,FALSE)</f>
        <v>0</v>
      </c>
      <c r="T131" s="2" t="s">
        <v>63</v>
      </c>
      <c r="U131" s="2" t="s">
        <v>63</v>
      </c>
      <c r="V131" s="2" t="s">
        <v>63</v>
      </c>
    </row>
    <row r="132" spans="2:22" ht="9.9499999999999993" hidden="1" customHeight="1" x14ac:dyDescent="0.2">
      <c r="N132" s="2">
        <f>IF(AI21&gt;5,(5),(AI21))</f>
        <v>0</v>
      </c>
      <c r="T132" s="18">
        <f>AH24</f>
        <v>225</v>
      </c>
    </row>
    <row r="133" spans="2:22" ht="9.9499999999999993" hidden="1" customHeight="1" x14ac:dyDescent="0.2">
      <c r="N133" s="18">
        <f>N131*N132</f>
        <v>0</v>
      </c>
      <c r="O133" s="25" t="s">
        <v>56</v>
      </c>
      <c r="P133" s="25"/>
      <c r="R133" s="22">
        <f>(E102)</f>
        <v>4930.5555555555557</v>
      </c>
      <c r="U133" s="18">
        <f>AH25</f>
        <v>62.5</v>
      </c>
    </row>
    <row r="135" spans="2:22" ht="9.9499999999999993" hidden="1" customHeight="1" x14ac:dyDescent="0.2">
      <c r="U135" s="128">
        <f>IF(Q121&gt;Q120,(Q121),Q120)</f>
        <v>1840.511</v>
      </c>
      <c r="V135" s="128"/>
    </row>
    <row r="136" spans="2:22" ht="9.9499999999999993" hidden="1" customHeight="1" x14ac:dyDescent="0.2">
      <c r="C136" s="2" t="s">
        <v>81</v>
      </c>
      <c r="U136" s="128">
        <f>IF(AE42=0,(0),(P122))</f>
        <v>1840.511</v>
      </c>
      <c r="V136" s="128"/>
    </row>
    <row r="137" spans="2:22" ht="9.9499999999999993" hidden="1" customHeight="1" x14ac:dyDescent="0.2">
      <c r="B137" s="128">
        <v>13</v>
      </c>
      <c r="C137" s="128"/>
      <c r="D137" s="128"/>
      <c r="E137" s="128"/>
      <c r="F137" s="128"/>
      <c r="G137" s="128" t="s">
        <v>82</v>
      </c>
      <c r="H137" s="128"/>
      <c r="I137" s="128"/>
      <c r="J137" s="128"/>
      <c r="K137" s="128"/>
    </row>
    <row r="138" spans="2:22" ht="9.9499999999999993" hidden="1" customHeight="1" x14ac:dyDescent="0.2">
      <c r="B138" s="128"/>
      <c r="C138" s="128"/>
      <c r="D138" s="128"/>
      <c r="E138" s="128"/>
      <c r="F138" s="128"/>
      <c r="G138" s="128"/>
      <c r="H138" s="128"/>
      <c r="I138" s="128"/>
      <c r="J138" s="128"/>
      <c r="K138" s="128"/>
    </row>
    <row r="139" spans="2:22" ht="9.9499999999999993" hidden="1" customHeight="1" x14ac:dyDescent="0.2">
      <c r="B139" s="128"/>
      <c r="C139" s="128"/>
      <c r="D139" s="128"/>
      <c r="E139" s="128"/>
      <c r="F139" s="128"/>
      <c r="G139" s="128"/>
      <c r="H139" s="128"/>
      <c r="I139" s="128"/>
      <c r="J139" s="128"/>
      <c r="K139" s="128"/>
    </row>
    <row r="140" spans="2:22" ht="9.9499999999999993" hidden="1" customHeight="1" x14ac:dyDescent="0.2">
      <c r="B140" s="128"/>
      <c r="C140" s="128"/>
      <c r="D140" s="128"/>
      <c r="E140" s="128"/>
      <c r="F140" s="128"/>
      <c r="G140" s="128"/>
      <c r="H140" s="128"/>
      <c r="I140" s="128"/>
      <c r="J140" s="128"/>
      <c r="K140" s="128"/>
    </row>
    <row r="141" spans="2:22" ht="9.9499999999999993" hidden="1" customHeight="1" x14ac:dyDescent="0.2">
      <c r="B141" s="128"/>
      <c r="C141" s="128"/>
      <c r="D141" s="128"/>
      <c r="E141" s="128"/>
      <c r="F141" s="128"/>
      <c r="G141" s="128"/>
      <c r="H141" s="128"/>
      <c r="I141" s="128"/>
      <c r="J141" s="128"/>
      <c r="K141" s="128"/>
    </row>
    <row r="142" spans="2:22" ht="9.9499999999999993" hidden="1" customHeight="1" x14ac:dyDescent="0.2">
      <c r="B142" s="128"/>
      <c r="C142" s="128"/>
      <c r="D142" s="128"/>
      <c r="E142" s="128"/>
      <c r="F142" s="128"/>
      <c r="G142" s="128"/>
      <c r="H142" s="128"/>
      <c r="I142" s="128"/>
      <c r="J142" s="128"/>
      <c r="K142" s="128"/>
    </row>
    <row r="143" spans="2:22" ht="9.9499999999999993" hidden="1" customHeight="1" x14ac:dyDescent="0.2">
      <c r="B143" s="128"/>
      <c r="C143" s="128"/>
      <c r="D143" s="128"/>
      <c r="E143" s="128"/>
      <c r="F143" s="128"/>
      <c r="G143" s="128"/>
      <c r="H143" s="128"/>
      <c r="I143" s="128"/>
      <c r="J143" s="128"/>
      <c r="K143" s="128"/>
    </row>
    <row r="144" spans="2:22" ht="9.9499999999999993" hidden="1" customHeight="1" x14ac:dyDescent="0.2">
      <c r="B144" s="128"/>
      <c r="C144" s="128"/>
      <c r="D144" s="128"/>
      <c r="E144" s="128"/>
      <c r="F144" s="128"/>
      <c r="G144" s="128"/>
      <c r="H144" s="128"/>
      <c r="I144" s="128"/>
      <c r="J144" s="128"/>
      <c r="K144" s="128"/>
    </row>
    <row r="145" spans="2:11" ht="9.9499999999999993" hidden="1" customHeight="1" x14ac:dyDescent="0.2">
      <c r="B145" s="128"/>
      <c r="C145" s="128"/>
      <c r="D145" s="128"/>
      <c r="E145" s="128"/>
      <c r="F145" s="128"/>
      <c r="G145" s="128"/>
      <c r="H145" s="128"/>
      <c r="I145" s="128"/>
      <c r="J145" s="128"/>
      <c r="K145" s="128"/>
    </row>
    <row r="146" spans="2:11" ht="9.9499999999999993" hidden="1" customHeight="1" x14ac:dyDescent="0.2">
      <c r="B146" s="128"/>
      <c r="C146" s="128"/>
      <c r="D146" s="128"/>
      <c r="E146" s="128"/>
      <c r="F146" s="128"/>
      <c r="G146" s="128"/>
      <c r="H146" s="128"/>
      <c r="I146" s="128"/>
      <c r="J146" s="128"/>
      <c r="K146" s="128"/>
    </row>
    <row r="147" spans="2:11" ht="9.9499999999999993" hidden="1" customHeight="1" x14ac:dyDescent="0.2">
      <c r="B147" s="128"/>
      <c r="C147" s="128"/>
      <c r="D147" s="128"/>
      <c r="E147" s="128"/>
      <c r="F147" s="128"/>
      <c r="G147" s="128"/>
      <c r="H147" s="128"/>
      <c r="I147" s="128"/>
      <c r="J147" s="128"/>
      <c r="K147" s="128"/>
    </row>
    <row r="148" spans="2:11" ht="9.9499999999999993" hidden="1" customHeight="1" x14ac:dyDescent="0.2">
      <c r="B148" s="128"/>
      <c r="C148" s="128"/>
      <c r="D148" s="128"/>
      <c r="E148" s="128"/>
      <c r="F148" s="128"/>
      <c r="G148" s="128"/>
      <c r="H148" s="128"/>
      <c r="I148" s="128"/>
      <c r="J148" s="128"/>
      <c r="K148" s="128"/>
    </row>
    <row r="149" spans="2:11" ht="9.9499999999999993" hidden="1" customHeight="1" x14ac:dyDescent="0.2">
      <c r="B149" s="128"/>
      <c r="C149" s="128"/>
      <c r="D149" s="128"/>
      <c r="E149" s="128"/>
      <c r="F149" s="128"/>
      <c r="G149" s="128"/>
      <c r="H149" s="128"/>
      <c r="I149" s="128"/>
      <c r="J149" s="128"/>
      <c r="K149" s="128"/>
    </row>
    <row r="150" spans="2:11" ht="9.9499999999999993" hidden="1" customHeight="1" x14ac:dyDescent="0.2">
      <c r="B150" s="128"/>
      <c r="C150" s="128"/>
      <c r="D150" s="128"/>
      <c r="E150" s="128"/>
      <c r="F150" s="128"/>
      <c r="G150" s="128"/>
      <c r="H150" s="128"/>
      <c r="I150" s="128"/>
      <c r="J150" s="128"/>
      <c r="K150" s="128"/>
    </row>
    <row r="151" spans="2:11" ht="9.9499999999999993" hidden="1" customHeight="1" x14ac:dyDescent="0.2">
      <c r="B151" s="128"/>
      <c r="C151" s="128"/>
      <c r="D151" s="128"/>
      <c r="E151" s="128"/>
      <c r="F151" s="128"/>
      <c r="G151" s="128"/>
      <c r="H151" s="128"/>
      <c r="I151" s="128"/>
      <c r="J151" s="128"/>
      <c r="K151" s="128"/>
    </row>
    <row r="152" spans="2:11" ht="9.9499999999999993" hidden="1" customHeight="1" x14ac:dyDescent="0.2">
      <c r="B152" s="128"/>
      <c r="C152" s="128"/>
      <c r="D152" s="128"/>
      <c r="E152" s="128"/>
      <c r="F152" s="128"/>
      <c r="G152" s="128"/>
      <c r="H152" s="128"/>
      <c r="I152" s="128"/>
      <c r="J152" s="128"/>
      <c r="K152" s="128"/>
    </row>
    <row r="153" spans="2:11" ht="9.9499999999999993" hidden="1" customHeight="1" x14ac:dyDescent="0.2">
      <c r="B153" s="128"/>
      <c r="C153" s="128"/>
      <c r="D153" s="128"/>
      <c r="E153" s="128"/>
      <c r="F153" s="128"/>
      <c r="G153" s="128"/>
      <c r="H153" s="128"/>
      <c r="I153" s="128"/>
      <c r="J153" s="128"/>
      <c r="K153" s="128"/>
    </row>
    <row r="154" spans="2:11" ht="9.9499999999999993" hidden="1" customHeight="1" x14ac:dyDescent="0.2">
      <c r="B154" s="128"/>
      <c r="C154" s="128"/>
      <c r="D154" s="128"/>
      <c r="E154" s="128"/>
      <c r="F154" s="128"/>
      <c r="G154" s="128"/>
      <c r="H154" s="128"/>
      <c r="I154" s="128"/>
      <c r="J154" s="128"/>
      <c r="K154" s="128"/>
    </row>
    <row r="155" spans="2:11" ht="9.9499999999999993" hidden="1" customHeight="1" x14ac:dyDescent="0.2">
      <c r="B155" s="128"/>
      <c r="C155" s="128"/>
      <c r="D155" s="128"/>
      <c r="E155" s="128"/>
      <c r="F155" s="128"/>
      <c r="G155" s="128"/>
      <c r="H155" s="128"/>
      <c r="I155" s="128"/>
      <c r="J155" s="128"/>
      <c r="K155" s="128"/>
    </row>
    <row r="156" spans="2:11" ht="9.9499999999999993" hidden="1" customHeight="1" x14ac:dyDescent="0.2">
      <c r="B156" s="128"/>
      <c r="C156" s="128"/>
      <c r="D156" s="128"/>
      <c r="E156" s="128"/>
      <c r="F156" s="128"/>
      <c r="G156" s="128"/>
      <c r="H156" s="128"/>
      <c r="I156" s="128"/>
      <c r="J156" s="128"/>
      <c r="K156" s="128"/>
    </row>
    <row r="157" spans="2:11" ht="9.9499999999999993" hidden="1" customHeight="1" x14ac:dyDescent="0.2">
      <c r="B157" s="128"/>
      <c r="C157" s="128"/>
      <c r="D157" s="128"/>
      <c r="E157" s="128"/>
      <c r="F157" s="128"/>
      <c r="G157" s="128"/>
      <c r="H157" s="128"/>
      <c r="I157" s="128"/>
      <c r="J157" s="128"/>
      <c r="K157" s="128"/>
    </row>
  </sheetData>
  <sheetProtection sheet="1" objects="1" scenarios="1"/>
  <mergeCells count="257">
    <mergeCell ref="AB2:AM3"/>
    <mergeCell ref="A2:AA3"/>
    <mergeCell ref="IO2:IV3"/>
    <mergeCell ref="C65:X65"/>
    <mergeCell ref="N21:T21"/>
    <mergeCell ref="U21:AA21"/>
    <mergeCell ref="M24:O24"/>
    <mergeCell ref="AE44:AL44"/>
    <mergeCell ref="U23:AL23"/>
    <mergeCell ref="C48:AB48"/>
    <mergeCell ref="AH24:AL24"/>
    <mergeCell ref="U37:AD37"/>
    <mergeCell ref="P25:T25"/>
    <mergeCell ref="AE24:AG24"/>
    <mergeCell ref="AE30:AG30"/>
    <mergeCell ref="P26:T26"/>
    <mergeCell ref="P24:T24"/>
    <mergeCell ref="AH25:AL25"/>
    <mergeCell ref="AE25:AG25"/>
    <mergeCell ref="C41:K41"/>
    <mergeCell ref="C44:K44"/>
    <mergeCell ref="L46:T46"/>
    <mergeCell ref="U41:AD41"/>
    <mergeCell ref="U42:AD42"/>
    <mergeCell ref="V46:AL46"/>
    <mergeCell ref="U35:AD35"/>
    <mergeCell ref="AH34:AL34"/>
    <mergeCell ref="V104:X104"/>
    <mergeCell ref="U36:AD36"/>
    <mergeCell ref="X86:Z86"/>
    <mergeCell ref="AG83:AK83"/>
    <mergeCell ref="V106:X106"/>
    <mergeCell ref="X82:Z82"/>
    <mergeCell ref="V105:X105"/>
    <mergeCell ref="X87:Z87"/>
    <mergeCell ref="X88:Z88"/>
    <mergeCell ref="X83:Z83"/>
    <mergeCell ref="X84:Z84"/>
    <mergeCell ref="X85:Z85"/>
    <mergeCell ref="U34:AD34"/>
    <mergeCell ref="AC48:AL48"/>
    <mergeCell ref="AE43:AL43"/>
    <mergeCell ref="U47:AL47"/>
    <mergeCell ref="C46:K46"/>
    <mergeCell ref="C45:K45"/>
    <mergeCell ref="U44:AD44"/>
    <mergeCell ref="C34:L34"/>
    <mergeCell ref="C32:H32"/>
    <mergeCell ref="I33:L33"/>
    <mergeCell ref="U40:AL40"/>
    <mergeCell ref="I32:L32"/>
    <mergeCell ref="L45:T45"/>
    <mergeCell ref="C42:K42"/>
    <mergeCell ref="AH35:AL35"/>
    <mergeCell ref="AE42:AL42"/>
    <mergeCell ref="U43:AD43"/>
    <mergeCell ref="L42:T42"/>
    <mergeCell ref="C33:H33"/>
    <mergeCell ref="AE37:AL37"/>
    <mergeCell ref="V38:AL38"/>
    <mergeCell ref="AE41:AL41"/>
    <mergeCell ref="L44:T44"/>
    <mergeCell ref="C43:K43"/>
    <mergeCell ref="L43:T43"/>
    <mergeCell ref="L41:T41"/>
    <mergeCell ref="C35:L35"/>
    <mergeCell ref="C36:L36"/>
    <mergeCell ref="C40:T40"/>
    <mergeCell ref="M37:T37"/>
    <mergeCell ref="M38:T38"/>
    <mergeCell ref="M35:O35"/>
    <mergeCell ref="P35:T35"/>
    <mergeCell ref="C37:L37"/>
    <mergeCell ref="C38:L38"/>
    <mergeCell ref="AI21:AL21"/>
    <mergeCell ref="U24:AD24"/>
    <mergeCell ref="U25:AD25"/>
    <mergeCell ref="AE28:AG28"/>
    <mergeCell ref="M28:O28"/>
    <mergeCell ref="AE34:AG34"/>
    <mergeCell ref="AE35:AG35"/>
    <mergeCell ref="AH30:AL30"/>
    <mergeCell ref="U29:AD29"/>
    <mergeCell ref="AE32:AG32"/>
    <mergeCell ref="AH32:AL32"/>
    <mergeCell ref="AH33:AL33"/>
    <mergeCell ref="AE31:AG31"/>
    <mergeCell ref="U32:AD32"/>
    <mergeCell ref="U30:AD30"/>
    <mergeCell ref="U31:AD31"/>
    <mergeCell ref="AH31:AL31"/>
    <mergeCell ref="P34:T34"/>
    <mergeCell ref="M32:O32"/>
    <mergeCell ref="P30:T30"/>
    <mergeCell ref="C17:I17"/>
    <mergeCell ref="AE33:AG33"/>
    <mergeCell ref="U33:AD33"/>
    <mergeCell ref="AB20:AH20"/>
    <mergeCell ref="U27:AD27"/>
    <mergeCell ref="AE27:AG27"/>
    <mergeCell ref="C25:L25"/>
    <mergeCell ref="M26:O26"/>
    <mergeCell ref="C24:L24"/>
    <mergeCell ref="M27:O27"/>
    <mergeCell ref="J21:M21"/>
    <mergeCell ref="N20:T20"/>
    <mergeCell ref="M25:O25"/>
    <mergeCell ref="J20:M20"/>
    <mergeCell ref="C26:L26"/>
    <mergeCell ref="C20:I20"/>
    <mergeCell ref="C29:L29"/>
    <mergeCell ref="AE26:AG26"/>
    <mergeCell ref="AH26:AL26"/>
    <mergeCell ref="AH27:AL27"/>
    <mergeCell ref="U26:AD26"/>
    <mergeCell ref="C28:L28"/>
    <mergeCell ref="B51:AM54"/>
    <mergeCell ref="C55:U55"/>
    <mergeCell ref="B1:AM1"/>
    <mergeCell ref="P122:Q122"/>
    <mergeCell ref="C11:I11"/>
    <mergeCell ref="B5:AM8"/>
    <mergeCell ref="J9:AL9"/>
    <mergeCell ref="J11:AL11"/>
    <mergeCell ref="AM9:AM48"/>
    <mergeCell ref="C9:I9"/>
    <mergeCell ref="AH29:AL29"/>
    <mergeCell ref="AH36:AL36"/>
    <mergeCell ref="M31:O31"/>
    <mergeCell ref="P32:T32"/>
    <mergeCell ref="P33:T33"/>
    <mergeCell ref="M34:O34"/>
    <mergeCell ref="M36:O36"/>
    <mergeCell ref="M33:O33"/>
    <mergeCell ref="P31:T31"/>
    <mergeCell ref="P28:T28"/>
    <mergeCell ref="P29:T29"/>
    <mergeCell ref="M30:O30"/>
    <mergeCell ref="M29:O29"/>
    <mergeCell ref="C13:I13"/>
    <mergeCell ref="AE18:AL18"/>
    <mergeCell ref="K14:AD14"/>
    <mergeCell ref="X18:AD18"/>
    <mergeCell ref="J18:P18"/>
    <mergeCell ref="K15:AD15"/>
    <mergeCell ref="J17:P17"/>
    <mergeCell ref="C18:I18"/>
    <mergeCell ref="Q18:W18"/>
    <mergeCell ref="AE17:AL17"/>
    <mergeCell ref="K13:AD13"/>
    <mergeCell ref="X17:AD17"/>
    <mergeCell ref="U20:AA20"/>
    <mergeCell ref="C23:T23"/>
    <mergeCell ref="AH28:AL28"/>
    <mergeCell ref="AI20:AL20"/>
    <mergeCell ref="C56:U56"/>
    <mergeCell ref="V56:AL57"/>
    <mergeCell ref="C57:U57"/>
    <mergeCell ref="V66:AL66"/>
    <mergeCell ref="C61:U61"/>
    <mergeCell ref="V62:AL62"/>
    <mergeCell ref="C60:U60"/>
    <mergeCell ref="Q17:W17"/>
    <mergeCell ref="U45:AL45"/>
    <mergeCell ref="AE29:AG29"/>
    <mergeCell ref="AE36:AG36"/>
    <mergeCell ref="P36:T36"/>
    <mergeCell ref="P27:T27"/>
    <mergeCell ref="U28:AD28"/>
    <mergeCell ref="AB21:AH21"/>
    <mergeCell ref="C30:L30"/>
    <mergeCell ref="C21:I21"/>
    <mergeCell ref="C27:L27"/>
    <mergeCell ref="C31:L31"/>
    <mergeCell ref="C67:U67"/>
    <mergeCell ref="V72:AL72"/>
    <mergeCell ref="V68:AL68"/>
    <mergeCell ref="V67:AL67"/>
    <mergeCell ref="C59:U59"/>
    <mergeCell ref="V60:AL61"/>
    <mergeCell ref="C66:U66"/>
    <mergeCell ref="V63:AL63"/>
    <mergeCell ref="V76:AL76"/>
    <mergeCell ref="V69:AL69"/>
    <mergeCell ref="C71:U71"/>
    <mergeCell ref="C72:U72"/>
    <mergeCell ref="C75:U75"/>
    <mergeCell ref="V75:AL75"/>
    <mergeCell ref="C73:U73"/>
    <mergeCell ref="V73:AL73"/>
    <mergeCell ref="C74:U74"/>
    <mergeCell ref="V74:AL74"/>
    <mergeCell ref="B137:F137"/>
    <mergeCell ref="G137:K137"/>
    <mergeCell ref="B138:F138"/>
    <mergeCell ref="G138:K138"/>
    <mergeCell ref="B139:F139"/>
    <mergeCell ref="G139:K139"/>
    <mergeCell ref="B140:F140"/>
    <mergeCell ref="G140:K140"/>
    <mergeCell ref="C76:U76"/>
    <mergeCell ref="M121:O121"/>
    <mergeCell ref="M120:O120"/>
    <mergeCell ref="S121:U121"/>
    <mergeCell ref="S120:U120"/>
    <mergeCell ref="U136:V136"/>
    <mergeCell ref="Q121:R121"/>
    <mergeCell ref="U135:V135"/>
    <mergeCell ref="Q120:R120"/>
    <mergeCell ref="V107:X107"/>
    <mergeCell ref="B141:F141"/>
    <mergeCell ref="G141:K141"/>
    <mergeCell ref="B148:F148"/>
    <mergeCell ref="G148:K148"/>
    <mergeCell ref="B143:F143"/>
    <mergeCell ref="G143:K143"/>
    <mergeCell ref="B144:F144"/>
    <mergeCell ref="G144:K144"/>
    <mergeCell ref="B145:F145"/>
    <mergeCell ref="G145:K145"/>
    <mergeCell ref="B142:F142"/>
    <mergeCell ref="G142:K142"/>
    <mergeCell ref="B157:F157"/>
    <mergeCell ref="G157:K157"/>
    <mergeCell ref="B153:F153"/>
    <mergeCell ref="G153:K153"/>
    <mergeCell ref="B154:F154"/>
    <mergeCell ref="G154:K154"/>
    <mergeCell ref="B146:F146"/>
    <mergeCell ref="G146:K146"/>
    <mergeCell ref="B147:F147"/>
    <mergeCell ref="G147:K147"/>
    <mergeCell ref="G152:K152"/>
    <mergeCell ref="B156:F156"/>
    <mergeCell ref="G156:K156"/>
    <mergeCell ref="B155:F155"/>
    <mergeCell ref="G155:K155"/>
    <mergeCell ref="B149:F149"/>
    <mergeCell ref="G149:K149"/>
    <mergeCell ref="B150:F150"/>
    <mergeCell ref="G150:K150"/>
    <mergeCell ref="B151:F151"/>
    <mergeCell ref="G151:K151"/>
    <mergeCell ref="B152:F152"/>
    <mergeCell ref="AB120:AD120"/>
    <mergeCell ref="AB121:AD121"/>
    <mergeCell ref="P129:S129"/>
    <mergeCell ref="Z128:AC128"/>
    <mergeCell ref="Z127:AC127"/>
    <mergeCell ref="Z126:AC126"/>
    <mergeCell ref="S122:U122"/>
    <mergeCell ref="Q127:T127"/>
    <mergeCell ref="AB122:AD122"/>
    <mergeCell ref="Z125:AC125"/>
    <mergeCell ref="V122:Z122"/>
    <mergeCell ref="V121:Z121"/>
    <mergeCell ref="V120:Z120"/>
  </mergeCells>
  <phoneticPr fontId="3" type="noConversion"/>
  <pageMargins left="0.24" right="0.12" top="0.28999999999999998" bottom="0.56000000000000005" header="0.25" footer="0.55000000000000004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0</xdr:rowOff>
                  </from>
                  <to>
                    <xdr:col>10</xdr:col>
                    <xdr:colOff>133350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133350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0</xdr:rowOff>
                  </from>
                  <to>
                    <xdr:col>10</xdr:col>
                    <xdr:colOff>133350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print="0" autoLine="0" autoPict="0">
                <anchor moveWithCells="1">
                  <from>
                    <xdr:col>30</xdr:col>
                    <xdr:colOff>152400</xdr:colOff>
                    <xdr:row>17</xdr:row>
                    <xdr:rowOff>0</xdr:rowOff>
                  </from>
                  <to>
                    <xdr:col>37</xdr:col>
                    <xdr:colOff>28575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print="0" autoLine="0" autoPict="0">
                <anchor moveWithCells="1">
                  <from>
                    <xdr:col>2</xdr:col>
                    <xdr:colOff>66675</xdr:colOff>
                    <xdr:row>20</xdr:row>
                    <xdr:rowOff>0</xdr:rowOff>
                  </from>
                  <to>
                    <xdr:col>8</xdr:col>
                    <xdr:colOff>114300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4" r:id="rId9" name="Drop Down 1084">
              <controlPr defaultSize="0" print="0" autoLine="0" autoPict="0">
                <anchor moveWithCells="1">
                  <from>
                    <xdr:col>2</xdr:col>
                    <xdr:colOff>19050</xdr:colOff>
                    <xdr:row>41</xdr:row>
                    <xdr:rowOff>19050</xdr:rowOff>
                  </from>
                  <to>
                    <xdr:col>10</xdr:col>
                    <xdr:colOff>152400</xdr:colOff>
                    <xdr:row>41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0" tint="-0.34998626667073579"/>
    <pageSetUpPr fitToPage="1"/>
  </sheetPr>
  <dimension ref="A1:AN34"/>
  <sheetViews>
    <sheetView showGridLines="0" showRowColHeaders="0" workbookViewId="0">
      <selection activeCell="E26" sqref="E26"/>
    </sheetView>
  </sheetViews>
  <sheetFormatPr defaultColWidth="0" defaultRowHeight="15" customHeight="1" zeroHeight="1" x14ac:dyDescent="0.2"/>
  <cols>
    <col min="1" max="1" width="4.7109375" style="3" customWidth="1"/>
    <col min="2" max="2" width="1.42578125" style="3" customWidth="1"/>
    <col min="3" max="9" width="15.7109375" style="5" customWidth="1"/>
    <col min="10" max="10" width="1.42578125" style="3" customWidth="1"/>
    <col min="11" max="11" width="4.7109375" style="105" customWidth="1"/>
    <col min="12" max="16384" width="4.85546875" style="3" hidden="1"/>
  </cols>
  <sheetData>
    <row r="1" spans="1:40" s="105" customFormat="1" ht="9.9499999999999993" customHeight="1" x14ac:dyDescent="0.2">
      <c r="G1" s="106"/>
      <c r="K1" s="107"/>
    </row>
    <row r="2" spans="1:40" s="105" customFormat="1" ht="30" customHeight="1" x14ac:dyDescent="0.2">
      <c r="A2" s="108"/>
      <c r="B2" s="109"/>
      <c r="C2" s="109"/>
      <c r="D2" s="109"/>
      <c r="E2" s="109"/>
      <c r="F2" s="109"/>
      <c r="G2" s="296" t="s">
        <v>103</v>
      </c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8"/>
    </row>
    <row r="3" spans="1:40" s="105" customFormat="1" ht="20.100000000000001" customHeight="1" x14ac:dyDescent="0.2">
      <c r="A3" s="110"/>
      <c r="B3" s="111"/>
      <c r="C3" s="111"/>
      <c r="D3" s="111"/>
      <c r="E3" s="111"/>
      <c r="F3" s="111"/>
      <c r="G3" s="299"/>
      <c r="H3" s="300"/>
      <c r="I3" s="300"/>
      <c r="J3" s="300"/>
      <c r="K3" s="300"/>
      <c r="L3" s="300"/>
      <c r="M3" s="300"/>
      <c r="N3" s="300"/>
      <c r="O3" s="300"/>
      <c r="P3" s="300"/>
      <c r="Q3" s="300"/>
      <c r="R3" s="300"/>
      <c r="S3" s="301"/>
    </row>
    <row r="4" spans="1:40" s="105" customFormat="1" ht="9.9499999999999993" customHeight="1" x14ac:dyDescent="0.2">
      <c r="B4" s="112"/>
      <c r="C4" s="112"/>
      <c r="D4" s="112"/>
      <c r="E4" s="112"/>
      <c r="F4" s="112"/>
      <c r="G4" s="112"/>
      <c r="H4" s="112"/>
      <c r="I4" s="112"/>
      <c r="J4" s="112"/>
      <c r="K4" s="107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</row>
    <row r="5" spans="1:40" ht="9.9499999999999993" customHeight="1" x14ac:dyDescent="0.2">
      <c r="A5" s="114"/>
      <c r="B5" s="51"/>
      <c r="C5" s="303" t="s">
        <v>111</v>
      </c>
      <c r="D5" s="303"/>
      <c r="E5" s="303"/>
      <c r="F5" s="303"/>
      <c r="G5" s="303"/>
      <c r="H5" s="303"/>
      <c r="I5" s="85"/>
      <c r="J5" s="54"/>
    </row>
    <row r="6" spans="1:40" ht="20.100000000000001" customHeight="1" x14ac:dyDescent="0.2">
      <c r="A6" s="105"/>
      <c r="B6" s="52"/>
      <c r="C6" s="304"/>
      <c r="D6" s="304"/>
      <c r="E6" s="304"/>
      <c r="F6" s="304"/>
      <c r="G6" s="304"/>
      <c r="H6" s="304"/>
      <c r="I6" s="86"/>
      <c r="J6" s="55"/>
    </row>
    <row r="7" spans="1:40" ht="20.100000000000001" customHeight="1" x14ac:dyDescent="0.2">
      <c r="A7" s="105"/>
      <c r="B7" s="52"/>
      <c r="C7" s="68" t="s">
        <v>30</v>
      </c>
      <c r="D7" s="82">
        <v>0.01</v>
      </c>
      <c r="E7" s="68" t="s">
        <v>32</v>
      </c>
      <c r="F7" s="82">
        <v>1320</v>
      </c>
      <c r="G7" s="68" t="s">
        <v>33</v>
      </c>
      <c r="H7" s="72">
        <v>7.4999999999999997E-2</v>
      </c>
      <c r="I7" s="87">
        <v>0</v>
      </c>
      <c r="J7" s="55"/>
      <c r="L7" s="4">
        <v>1</v>
      </c>
    </row>
    <row r="8" spans="1:40" ht="20.100000000000001" customHeight="1" x14ac:dyDescent="0.2">
      <c r="A8" s="105"/>
      <c r="B8" s="52"/>
      <c r="C8" s="70" t="s">
        <v>30</v>
      </c>
      <c r="D8" s="83">
        <f>F7+0.01</f>
        <v>1320.01</v>
      </c>
      <c r="E8" s="70" t="s">
        <v>32</v>
      </c>
      <c r="F8" s="71">
        <v>2571.29</v>
      </c>
      <c r="G8" s="70" t="s">
        <v>33</v>
      </c>
      <c r="H8" s="73">
        <v>0.09</v>
      </c>
      <c r="I8" s="71">
        <v>18.18</v>
      </c>
      <c r="J8" s="55"/>
      <c r="L8" s="4">
        <v>2</v>
      </c>
    </row>
    <row r="9" spans="1:40" ht="20.100000000000001" customHeight="1" x14ac:dyDescent="0.2">
      <c r="A9" s="105"/>
      <c r="B9" s="52"/>
      <c r="C9" s="68" t="s">
        <v>30</v>
      </c>
      <c r="D9" s="82">
        <f>F8+0.01</f>
        <v>2571.3000000000002</v>
      </c>
      <c r="E9" s="68" t="s">
        <v>32</v>
      </c>
      <c r="F9" s="69">
        <v>3856.94</v>
      </c>
      <c r="G9" s="68" t="s">
        <v>33</v>
      </c>
      <c r="H9" s="72">
        <v>0.12</v>
      </c>
      <c r="I9" s="88">
        <v>91.01</v>
      </c>
      <c r="J9" s="55"/>
      <c r="L9" s="4">
        <v>3</v>
      </c>
    </row>
    <row r="10" spans="1:40" ht="20.100000000000001" customHeight="1" x14ac:dyDescent="0.2">
      <c r="A10" s="105"/>
      <c r="B10" s="52"/>
      <c r="C10" s="70" t="s">
        <v>30</v>
      </c>
      <c r="D10" s="83">
        <f>F9+0.01</f>
        <v>3856.9500000000003</v>
      </c>
      <c r="E10" s="70" t="s">
        <v>32</v>
      </c>
      <c r="F10" s="71">
        <v>7507.49</v>
      </c>
      <c r="G10" s="70" t="s">
        <v>33</v>
      </c>
      <c r="H10" s="73">
        <v>0.14000000000000001</v>
      </c>
      <c r="I10" s="71">
        <v>163</v>
      </c>
      <c r="J10" s="55"/>
      <c r="L10" s="4">
        <v>4</v>
      </c>
    </row>
    <row r="11" spans="1:40" ht="20.100000000000001" customHeight="1" x14ac:dyDescent="0.2">
      <c r="A11" s="105"/>
      <c r="B11" s="52"/>
      <c r="C11" s="68" t="s">
        <v>31</v>
      </c>
      <c r="D11" s="82">
        <f>F10+0.01</f>
        <v>7507.5</v>
      </c>
      <c r="E11" s="68" t="s">
        <v>106</v>
      </c>
      <c r="F11" s="82">
        <f>(F7*H7)+((F8-D8)*H8)+((F9-D9)*H9)+((F10-D10)*H10)</f>
        <v>876.96759999999995</v>
      </c>
      <c r="G11" s="64"/>
      <c r="H11" s="64"/>
      <c r="I11" s="64"/>
      <c r="J11" s="55"/>
      <c r="L11" s="4">
        <v>5</v>
      </c>
    </row>
    <row r="12" spans="1:40" ht="9.9499999999999993" customHeight="1" x14ac:dyDescent="0.2">
      <c r="A12" s="105"/>
      <c r="B12" s="53"/>
      <c r="C12" s="65"/>
      <c r="D12" s="65"/>
      <c r="E12" s="65"/>
      <c r="F12" s="65"/>
      <c r="G12" s="65"/>
      <c r="H12" s="65"/>
      <c r="I12" s="65"/>
      <c r="J12" s="56"/>
      <c r="L12" s="4"/>
    </row>
    <row r="13" spans="1:40" ht="9.9499999999999993" customHeight="1" x14ac:dyDescent="0.2">
      <c r="A13" s="105"/>
      <c r="B13" s="105"/>
      <c r="C13" s="116"/>
      <c r="D13" s="116"/>
      <c r="E13" s="116"/>
      <c r="F13" s="116"/>
      <c r="G13" s="116"/>
      <c r="H13" s="116"/>
      <c r="I13" s="116"/>
      <c r="J13" s="105"/>
    </row>
    <row r="14" spans="1:40" ht="9.9499999999999993" customHeight="1" x14ac:dyDescent="0.25">
      <c r="A14" s="105"/>
      <c r="B14" s="58"/>
      <c r="C14" s="303" t="s">
        <v>112</v>
      </c>
      <c r="D14" s="303"/>
      <c r="E14" s="303"/>
      <c r="F14" s="303"/>
      <c r="G14" s="303"/>
      <c r="H14" s="303"/>
      <c r="I14" s="85"/>
      <c r="J14" s="59"/>
    </row>
    <row r="15" spans="1:40" ht="20.100000000000001" customHeight="1" x14ac:dyDescent="0.25">
      <c r="A15" s="105"/>
      <c r="B15" s="60"/>
      <c r="C15" s="304"/>
      <c r="D15" s="304"/>
      <c r="E15" s="304"/>
      <c r="F15" s="304"/>
      <c r="G15" s="304"/>
      <c r="H15" s="304"/>
      <c r="I15" s="86"/>
      <c r="J15" s="61"/>
    </row>
    <row r="16" spans="1:40" ht="20.100000000000001" customHeight="1" x14ac:dyDescent="0.2">
      <c r="A16" s="105"/>
      <c r="B16" s="52"/>
      <c r="C16" s="82">
        <v>0.01</v>
      </c>
      <c r="D16" s="68" t="s">
        <v>32</v>
      </c>
      <c r="E16" s="69">
        <v>2112</v>
      </c>
      <c r="F16" s="68" t="s">
        <v>33</v>
      </c>
      <c r="G16" s="74">
        <v>0</v>
      </c>
      <c r="H16" s="68" t="s">
        <v>34</v>
      </c>
      <c r="I16" s="86"/>
      <c r="J16" s="55"/>
      <c r="L16" s="4">
        <v>1</v>
      </c>
    </row>
    <row r="17" spans="1:12" ht="20.100000000000001" customHeight="1" x14ac:dyDescent="0.2">
      <c r="A17" s="105"/>
      <c r="B17" s="52"/>
      <c r="C17" s="83">
        <f>E16+0.01</f>
        <v>2112.0100000000002</v>
      </c>
      <c r="D17" s="70" t="s">
        <v>32</v>
      </c>
      <c r="E17" s="71">
        <v>2826.65</v>
      </c>
      <c r="F17" s="70" t="s">
        <v>33</v>
      </c>
      <c r="G17" s="75">
        <v>7.4999999999999997E-2</v>
      </c>
      <c r="H17" s="83">
        <f>E16*G17</f>
        <v>158.4</v>
      </c>
      <c r="I17" s="86"/>
      <c r="J17" s="55"/>
      <c r="L17" s="4">
        <v>2</v>
      </c>
    </row>
    <row r="18" spans="1:12" ht="20.100000000000001" customHeight="1" x14ac:dyDescent="0.2">
      <c r="A18" s="105"/>
      <c r="B18" s="52"/>
      <c r="C18" s="82">
        <f>E17+0.01</f>
        <v>2826.6600000000003</v>
      </c>
      <c r="D18" s="68" t="s">
        <v>32</v>
      </c>
      <c r="E18" s="69">
        <v>3751.05</v>
      </c>
      <c r="F18" s="68" t="s">
        <v>33</v>
      </c>
      <c r="G18" s="74">
        <v>0.15</v>
      </c>
      <c r="H18" s="82">
        <f>E17*(G18-G17)+H17</f>
        <v>370.39875000000001</v>
      </c>
      <c r="I18" s="86"/>
      <c r="J18" s="55"/>
      <c r="L18" s="4"/>
    </row>
    <row r="19" spans="1:12" ht="20.100000000000001" customHeight="1" x14ac:dyDescent="0.2">
      <c r="A19" s="105"/>
      <c r="B19" s="52"/>
      <c r="C19" s="83">
        <f>E18+0.01</f>
        <v>3751.0600000000004</v>
      </c>
      <c r="D19" s="70" t="s">
        <v>32</v>
      </c>
      <c r="E19" s="71">
        <v>4664.68</v>
      </c>
      <c r="F19" s="70" t="s">
        <v>33</v>
      </c>
      <c r="G19" s="75">
        <v>0.22500000000000001</v>
      </c>
      <c r="H19" s="83">
        <f>E18*(G19-G18)+H18</f>
        <v>651.72750000000008</v>
      </c>
      <c r="I19" s="86"/>
      <c r="J19" s="55"/>
      <c r="L19" s="4"/>
    </row>
    <row r="20" spans="1:12" ht="20.100000000000001" customHeight="1" x14ac:dyDescent="0.2">
      <c r="A20" s="105"/>
      <c r="B20" s="52"/>
      <c r="C20" s="64"/>
      <c r="D20" s="68" t="s">
        <v>31</v>
      </c>
      <c r="E20" s="82">
        <f>E19+0.01</f>
        <v>4664.6900000000005</v>
      </c>
      <c r="F20" s="68" t="s">
        <v>33</v>
      </c>
      <c r="G20" s="74">
        <v>0.27500000000000002</v>
      </c>
      <c r="H20" s="82">
        <f>E19*(G20-G19)+H19</f>
        <v>884.96150000000011</v>
      </c>
      <c r="I20" s="86"/>
      <c r="J20" s="55"/>
      <c r="L20" s="4">
        <v>3</v>
      </c>
    </row>
    <row r="21" spans="1:12" ht="20.100000000000001" customHeight="1" x14ac:dyDescent="0.2">
      <c r="A21" s="105"/>
      <c r="B21" s="52"/>
      <c r="C21" s="64"/>
      <c r="D21" s="302" t="s">
        <v>104</v>
      </c>
      <c r="E21" s="302"/>
      <c r="F21" s="76">
        <v>189.59</v>
      </c>
      <c r="G21" s="64"/>
      <c r="H21" s="64"/>
      <c r="I21" s="64"/>
      <c r="J21" s="55"/>
    </row>
    <row r="22" spans="1:12" ht="9.9499999999999993" customHeight="1" x14ac:dyDescent="0.2">
      <c r="A22" s="105"/>
      <c r="B22" s="53"/>
      <c r="C22" s="66"/>
      <c r="D22" s="66"/>
      <c r="E22" s="66"/>
      <c r="F22" s="66"/>
      <c r="G22" s="66"/>
      <c r="H22" s="66"/>
      <c r="I22" s="66"/>
      <c r="J22" s="56"/>
    </row>
    <row r="23" spans="1:12" ht="9.9499999999999993" customHeight="1" x14ac:dyDescent="0.2">
      <c r="A23" s="105"/>
      <c r="B23" s="105"/>
      <c r="C23" s="116"/>
      <c r="D23" s="116"/>
      <c r="E23" s="116"/>
      <c r="F23" s="116"/>
      <c r="G23" s="116"/>
      <c r="H23" s="116"/>
      <c r="I23" s="116"/>
      <c r="J23" s="105"/>
    </row>
    <row r="24" spans="1:12" ht="9.9499999999999993" customHeight="1" x14ac:dyDescent="0.2">
      <c r="A24" s="105"/>
      <c r="B24" s="51"/>
      <c r="C24" s="303" t="s">
        <v>113</v>
      </c>
      <c r="D24" s="303"/>
      <c r="E24" s="303"/>
      <c r="F24" s="303"/>
      <c r="G24" s="303"/>
      <c r="H24" s="303"/>
      <c r="I24" s="85"/>
      <c r="J24" s="54"/>
    </row>
    <row r="25" spans="1:12" ht="20.100000000000001" customHeight="1" x14ac:dyDescent="0.2">
      <c r="A25" s="105"/>
      <c r="B25" s="52"/>
      <c r="C25" s="304"/>
      <c r="D25" s="304"/>
      <c r="E25" s="304"/>
      <c r="F25" s="304"/>
      <c r="G25" s="304"/>
      <c r="H25" s="304"/>
      <c r="I25" s="86"/>
      <c r="J25" s="55"/>
    </row>
    <row r="26" spans="1:12" ht="20.100000000000001" customHeight="1" x14ac:dyDescent="0.2">
      <c r="A26" s="105"/>
      <c r="B26" s="52"/>
      <c r="C26" s="82">
        <v>0.01</v>
      </c>
      <c r="D26" s="68" t="s">
        <v>32</v>
      </c>
      <c r="E26" s="77">
        <v>1968.37</v>
      </c>
      <c r="F26" s="68" t="s">
        <v>33</v>
      </c>
      <c r="G26" s="78">
        <v>0.8</v>
      </c>
      <c r="H26" s="67"/>
      <c r="I26" s="67"/>
      <c r="J26" s="55"/>
      <c r="L26" s="4">
        <v>1</v>
      </c>
    </row>
    <row r="27" spans="1:12" ht="20.100000000000001" customHeight="1" x14ac:dyDescent="0.2">
      <c r="A27" s="105"/>
      <c r="B27" s="52"/>
      <c r="C27" s="83">
        <f>(E26+0.01)</f>
        <v>1968.3799999999999</v>
      </c>
      <c r="D27" s="70" t="s">
        <v>32</v>
      </c>
      <c r="E27" s="79">
        <v>3280.93</v>
      </c>
      <c r="F27" s="70" t="s">
        <v>33</v>
      </c>
      <c r="G27" s="80">
        <v>0.5</v>
      </c>
      <c r="H27" s="79">
        <v>1486.53</v>
      </c>
      <c r="I27" s="67"/>
      <c r="J27" s="55"/>
      <c r="L27" s="4">
        <v>2</v>
      </c>
    </row>
    <row r="28" spans="1:12" ht="20.100000000000001" customHeight="1" x14ac:dyDescent="0.2">
      <c r="A28" s="105"/>
      <c r="B28" s="52"/>
      <c r="C28" s="64"/>
      <c r="D28" s="68" t="s">
        <v>31</v>
      </c>
      <c r="E28" s="81">
        <f>E27+0.01</f>
        <v>3280.94</v>
      </c>
      <c r="F28" s="68" t="s">
        <v>57</v>
      </c>
      <c r="G28" s="77">
        <v>2230.9699999999998</v>
      </c>
      <c r="H28" s="67"/>
      <c r="I28" s="67"/>
      <c r="J28" s="55"/>
      <c r="L28" s="4">
        <v>3</v>
      </c>
    </row>
    <row r="29" spans="1:12" ht="20.100000000000001" customHeight="1" x14ac:dyDescent="0.2">
      <c r="A29" s="105"/>
      <c r="B29" s="52"/>
      <c r="C29" s="64"/>
      <c r="D29" s="302" t="s">
        <v>78</v>
      </c>
      <c r="E29" s="302"/>
      <c r="F29" s="302"/>
      <c r="G29" s="79">
        <v>1320</v>
      </c>
      <c r="H29" s="84" t="s">
        <v>114</v>
      </c>
      <c r="I29" s="84"/>
      <c r="J29" s="55"/>
      <c r="L29" s="4"/>
    </row>
    <row r="30" spans="1:12" ht="9.9499999999999993" customHeight="1" x14ac:dyDescent="0.2">
      <c r="A30" s="105"/>
      <c r="B30" s="53"/>
      <c r="C30" s="57"/>
      <c r="D30" s="57"/>
      <c r="E30" s="63"/>
      <c r="F30" s="57"/>
      <c r="G30" s="63"/>
      <c r="H30" s="62"/>
      <c r="I30" s="62"/>
      <c r="J30" s="56"/>
      <c r="L30" s="4"/>
    </row>
    <row r="31" spans="1:12" ht="9.9499999999999993" customHeight="1" x14ac:dyDescent="0.2">
      <c r="A31" s="105"/>
      <c r="B31" s="105"/>
      <c r="C31" s="117"/>
      <c r="D31" s="117"/>
      <c r="E31" s="117"/>
      <c r="F31" s="117"/>
      <c r="G31" s="117"/>
      <c r="H31" s="117"/>
      <c r="I31" s="117"/>
      <c r="J31" s="105"/>
    </row>
    <row r="32" spans="1:12" ht="9.9499999999999993" hidden="1" customHeight="1" x14ac:dyDescent="0.2">
      <c r="A32" s="46"/>
      <c r="B32" s="46"/>
      <c r="C32" s="47"/>
      <c r="D32" s="47"/>
      <c r="E32" s="47"/>
      <c r="F32" s="47"/>
      <c r="G32" s="47"/>
      <c r="H32" s="47"/>
      <c r="I32" s="47"/>
      <c r="J32" s="46"/>
    </row>
    <row r="33" spans="1:19" ht="20.100000000000001" hidden="1" customHeight="1" x14ac:dyDescent="0.2">
      <c r="A33" s="37"/>
      <c r="B33" s="37"/>
      <c r="C33" s="38"/>
      <c r="D33" s="38"/>
      <c r="E33" s="38"/>
      <c r="F33" s="38"/>
      <c r="G33" s="38"/>
      <c r="H33" s="38"/>
      <c r="I33" s="38"/>
      <c r="J33" s="37"/>
      <c r="K33" s="115"/>
      <c r="L33" s="36"/>
      <c r="M33" s="36"/>
      <c r="N33" s="36"/>
      <c r="O33" s="36"/>
      <c r="P33" s="36"/>
      <c r="Q33" s="36"/>
      <c r="R33" s="36"/>
      <c r="S33" s="36"/>
    </row>
    <row r="34" spans="1:19" ht="9.9499999999999993" hidden="1" customHeight="1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115"/>
    </row>
  </sheetData>
  <sheetProtection sheet="1" objects="1" scenarios="1" selectLockedCells="1"/>
  <mergeCells count="6">
    <mergeCell ref="G2:S3"/>
    <mergeCell ref="D29:F29"/>
    <mergeCell ref="C5:H6"/>
    <mergeCell ref="C24:H25"/>
    <mergeCell ref="D21:E21"/>
    <mergeCell ref="C14:H15"/>
  </mergeCells>
  <phoneticPr fontId="3" type="noConversion"/>
  <pageMargins left="0.78740157480314965" right="0.78740157480314965" top="0.98425196850393704" bottom="0.98425196850393704" header="0.51181102362204722" footer="0.51181102362204722"/>
  <pageSetup paperSize="9" scale="8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Drino Planilhas</vt:lpstr>
      <vt:lpstr>RESCISÃO</vt:lpstr>
      <vt:lpstr>TABELAS</vt:lpstr>
      <vt:lpstr>RESCISÃO!Area_de_impressao</vt:lpstr>
    </vt:vector>
  </TitlesOfParts>
  <Company>Drino Planilhas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Rescisão de Trabalho</dc:title>
  <dc:creator>Adriano Rodrigues</dc:creator>
  <dc:description>drino_rs@yahoo.com.br</dc:description>
  <cp:lastModifiedBy>MAURICIO DA COSTA SILVA</cp:lastModifiedBy>
  <cp:lastPrinted>2022-01-21T12:26:45Z</cp:lastPrinted>
  <dcterms:created xsi:type="dcterms:W3CDTF">2007-03-19T15:28:46Z</dcterms:created>
  <dcterms:modified xsi:type="dcterms:W3CDTF">2024-02-13T15:41:05Z</dcterms:modified>
</cp:coreProperties>
</file>